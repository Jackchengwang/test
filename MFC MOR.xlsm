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activeX/activeX7.xml" ContentType="application/vnd.ms-office.activeX+xml"/>
  <Override PartName="/xl/activeX/activeX8.xml" ContentType="application/vnd.ms-office.activeX+xml"/>
  <Override PartName="/xl/activeX/activeX9.xml" ContentType="application/vnd.ms-office.activeX+xml"/>
  <Override PartName="/xl/activeX/activeX10.xml" ContentType="application/vnd.ms-office.activeX+xml"/>
  <Override PartName="/xl/activeX/activeX11.xml" ContentType="application/vnd.ms-office.activeX+xml"/>
  <Override PartName="/xl/printerSettings/printerSettings1.bin" ContentType="application/vnd.openxmlformats-officedocument.spreadsheetml.printerSettings"/>
  <Override PartName="/xl/drawings/drawing2.xml" ContentType="application/vnd.openxmlformats-officedocument.drawing+xml"/>
  <Override PartName="/xl/activeX/activeX12.xml" ContentType="application/vnd.ms-office.activeX+xml"/>
  <Override PartName="/xl/printerSettings/printerSettings2.bin" ContentType="application/vnd.openxmlformats-officedocument.spreadsheetml.printerSettings"/>
  <Override PartName="/xl/drawings/drawing3.xml" ContentType="application/vnd.openxmlformats-officedocument.drawing+xml"/>
  <Override PartName="/xl/activeX/activeX13.xml" ContentType="application/vnd.ms-office.activeX+xml"/>
  <Override PartName="/xl/printerSettings/printerSettings3.bin" ContentType="application/vnd.openxmlformats-officedocument.spreadsheetml.printerSettings"/>
  <Override PartName="/xl/drawings/drawing4.xml" ContentType="application/vnd.openxmlformats-officedocument.drawing+xml"/>
  <Override PartName="/xl/activeX/activeX14.xml" ContentType="application/vnd.ms-office.activeX+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rinterSettings/printerSettings4.bin" ContentType="application/vnd.openxmlformats-officedocument.spreadsheetml.printerSettings"/>
  <Override PartName="/xl/drawings/drawing5.xml" ContentType="application/vnd.openxmlformats-officedocument.drawing+xml"/>
  <Override PartName="/xl/activeX/activeX15.xml" ContentType="application/vnd.ms-office.activeX+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rinterSettings/printerSettings5.bin" ContentType="application/vnd.openxmlformats-officedocument.spreadsheetml.printerSettings"/>
  <Override PartName="/xl/drawings/drawing6.xml" ContentType="application/vnd.openxmlformats-officedocument.drawing+xml"/>
  <Override PartName="/xl/activeX/activeX16.xml" ContentType="application/vnd.ms-office.activeX+xml"/>
  <Override PartName="/xl/printerSettings/printerSettings6.bin" ContentType="application/vnd.openxmlformats-officedocument.spreadsheetml.printerSettings"/>
  <Override PartName="/xl/drawings/drawing7.xml" ContentType="application/vnd.openxmlformats-officedocument.drawing+xml"/>
  <Override PartName="/xl/activeX/activeX17.xml" ContentType="application/vnd.ms-office.activeX+xml"/>
  <Override PartName="/xl/tables/table1.xml" ContentType="application/vnd.openxmlformats-officedocument.spreadsheetml.table+xml"/>
  <Override PartName="/xl/comments1.xml" ContentType="application/vnd.openxmlformats-officedocument.spreadsheetml.comments+xml"/>
  <Override PartName="/xl/charts/chart7.xml" ContentType="application/vnd.openxmlformats-officedocument.drawingml.chart+xml"/>
  <Override PartName="/xl/printerSettings/printerSettings7.bin" ContentType="application/vnd.openxmlformats-officedocument.spreadsheetml.printerSettings"/>
  <Override PartName="/xl/drawings/drawing8.xml" ContentType="application/vnd.openxmlformats-officedocument.drawing+xml"/>
  <Override PartName="/xl/activeX/activeX18.xml" ContentType="application/vnd.ms-office.activeX+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tables/table2.xml" ContentType="application/vnd.openxmlformats-officedocument.spreadsheetml.table+xml"/>
  <Override PartName="/xl/printerSettings/printerSettings8.bin" ContentType="application/vnd.openxmlformats-officedocument.spreadsheetml.printerSettings"/>
  <Override PartName="/xl/drawings/drawing9.xml" ContentType="application/vnd.openxmlformats-officedocument.drawing+xml"/>
  <Override PartName="/xl/activeX/activeX19.xml" ContentType="application/vnd.ms-office.activeX+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printerSettings/printerSettings9.bin" ContentType="application/vnd.openxmlformats-officedocument.spreadsheetml.printerSettings"/>
  <Override PartName="/xl/drawings/drawing10.xml" ContentType="application/vnd.openxmlformats-officedocument.drawing+xml"/>
  <Override PartName="/xl/activeX/activeX20.xml" ContentType="application/vnd.ms-office.activeX+xml"/>
  <Override PartName="/xl/drawings/drawing11.xml" ContentType="application/vnd.openxmlformats-officedocument.drawing+xml"/>
  <Override PartName="/xl/activeX/activeX21.xml" ContentType="application/vnd.ms-office.activeX+xml"/>
  <Override PartName="/xl/activeX/activeX22.xml" ContentType="application/vnd.ms-office.activeX+xml"/>
  <Override PartName="/xl/activeX/activeX23.xml" ContentType="application/vnd.ms-office.activeX+xml"/>
  <Override PartName="/xl/tables/table3.xml" ContentType="application/vnd.openxmlformats-officedocument.spreadsheetml.table+xml"/>
  <Override PartName="/xl/pivotTables/pivotTable1.xml" ContentType="application/vnd.openxmlformats-officedocument.spreadsheetml.pivotTable+xml"/>
  <Override PartName="/xl/drawings/drawing12.xml" ContentType="application/vnd.openxmlformats-officedocument.drawing+xml"/>
  <Override PartName="/xl/activeX/activeX24.xml" ContentType="application/vnd.ms-office.activeX+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431" codeName="{B1203076-2D4D-A25B-A398-973B695A806A}"/>
  <workbookPr codeName="ThisWorkbook" hidePivotFieldList="1" defaultThemeVersion="124226"/>
  <mc:AlternateContent xmlns:mc="http://schemas.openxmlformats.org/markup-compatibility/2006">
    <mc:Choice Requires="x15">
      <x15ac:absPath xmlns:x15ac="http://schemas.microsoft.com/office/spreadsheetml/2010/11/ac" url="C:\Users\jackcwang\Desktop\"/>
    </mc:Choice>
  </mc:AlternateContent>
  <bookViews>
    <workbookView xWindow="0" yWindow="0" windowWidth="23040" windowHeight="9030" tabRatio="812" activeTab="2" xr2:uid="{00000000-000D-0000-FFFF-FFFF00000000}"/>
  </bookViews>
  <sheets>
    <sheet name="Start Here" sheetId="29" r:id="rId1"/>
    <sheet name="SPS Data" sheetId="30" r:id="rId2"/>
    <sheet name="User Counts" sheetId="17" r:id="rId3"/>
    <sheet name="Exec Summary" sheetId="40" r:id="rId4"/>
    <sheet name="Availability" sheetId="11" r:id="rId5"/>
    <sheet name="Top 10 Tickets" sheetId="31" r:id="rId6"/>
    <sheet name="Insight Tickets table" sheetId="32" r:id="rId7"/>
    <sheet name="Ticket Stats" sheetId="2" r:id="rId8"/>
    <sheet name="Storage" sheetId="16" r:id="rId9"/>
    <sheet name="Top 10 Mailboxes" sheetId="37" r:id="rId10"/>
    <sheet name="Quarantine" sheetId="8" r:id="rId11"/>
    <sheet name="ProofPoint" sheetId="10" r:id="rId12"/>
    <sheet name="CC Ops Data" sheetId="25" r:id="rId13"/>
    <sheet name="Outages" sheetId="12" r:id="rId14"/>
    <sheet name="Credits" sheetId="13" r:id="rId15"/>
    <sheet name="CCOps Summary" sheetId="41" r:id="rId16"/>
  </sheets>
  <externalReferences>
    <externalReference r:id="rId17"/>
    <externalReference r:id="rId18"/>
  </externalReferences>
  <definedNames>
    <definedName name="_xlnm._FilterDatabase" localSheetId="12" hidden="1">'CC Ops Data'!$C$3:$V$3</definedName>
    <definedName name="_xlnm._FilterDatabase" localSheetId="9" hidden="1">'Top 10 Mailboxes'!$C$5:$Q$5954</definedName>
    <definedName name="IMPACTED">[1]Sheet2!$C$3:$C$4</definedName>
  </definedNames>
  <calcPr calcId="171027"/>
  <pivotCaches>
    <pivotCache cacheId="1" r:id="rId19"/>
  </pivotCaches>
</workbook>
</file>

<file path=xl/calcChain.xml><?xml version="1.0" encoding="utf-8"?>
<calcChain xmlns="http://schemas.openxmlformats.org/spreadsheetml/2006/main">
  <c r="AN25" i="11" l="1"/>
  <c r="AN24" i="11"/>
  <c r="AN23" i="11"/>
  <c r="AN15" i="11"/>
  <c r="J49" i="17"/>
  <c r="F4" i="17"/>
  <c r="E24" i="30"/>
  <c r="BC13" i="10" l="1"/>
  <c r="BC12" i="10"/>
  <c r="BC11" i="10"/>
  <c r="BC10" i="10"/>
  <c r="BC9" i="10"/>
  <c r="BC14" i="10" s="1"/>
  <c r="G59" i="8"/>
  <c r="G60" i="8"/>
  <c r="F59" i="8"/>
  <c r="F60" i="8"/>
  <c r="D61" i="8"/>
  <c r="C61" i="8"/>
  <c r="C20" i="8"/>
  <c r="E61" i="8" s="1"/>
  <c r="X10" i="37"/>
  <c r="W10" i="37"/>
  <c r="V10" i="37"/>
  <c r="V6" i="37"/>
  <c r="H50" i="16"/>
  <c r="C50" i="16"/>
  <c r="G50" i="16" s="1"/>
  <c r="C11" i="31"/>
  <c r="C10" i="31"/>
  <c r="C9" i="31"/>
  <c r="C6" i="31"/>
  <c r="F61" i="8" l="1"/>
  <c r="G61" i="8"/>
  <c r="H44" i="2"/>
  <c r="G44" i="2"/>
  <c r="F44" i="2"/>
  <c r="E44" i="2"/>
  <c r="AM25" i="11" l="1"/>
  <c r="AM24" i="11"/>
  <c r="AL25" i="11"/>
  <c r="AL24" i="11"/>
  <c r="AM23" i="11"/>
  <c r="AL23" i="11"/>
  <c r="AN21" i="11"/>
  <c r="AN20" i="11"/>
  <c r="AN19" i="11"/>
  <c r="AN17" i="11"/>
  <c r="AN16" i="11"/>
  <c r="AN13" i="11"/>
  <c r="AN12" i="11"/>
  <c r="AN11" i="11"/>
  <c r="K49" i="17"/>
  <c r="I49" i="17"/>
  <c r="H49" i="17"/>
  <c r="F5" i="17"/>
  <c r="F2" i="17"/>
  <c r="AN22" i="11" l="1"/>
  <c r="AN18" i="11"/>
  <c r="AN14" i="11"/>
  <c r="AN10" i="11"/>
  <c r="J48" i="17" l="1"/>
  <c r="F3" i="17"/>
  <c r="W6" i="37" l="1"/>
  <c r="K48" i="17"/>
  <c r="I48" i="17"/>
  <c r="H48" i="17"/>
  <c r="C10" i="40"/>
  <c r="C9" i="40"/>
  <c r="AM15" i="11"/>
  <c r="BD14" i="10"/>
  <c r="BD13" i="10"/>
  <c r="BD12" i="10"/>
  <c r="BD11" i="10"/>
  <c r="BD10" i="10"/>
  <c r="BD9" i="10"/>
  <c r="C49" i="16"/>
  <c r="H49" i="16"/>
  <c r="G49" i="16"/>
  <c r="H43" i="2"/>
  <c r="G43" i="2"/>
  <c r="F43" i="2"/>
  <c r="E43" i="2"/>
  <c r="AO69" i="31"/>
  <c r="AO68" i="31"/>
  <c r="AO67" i="31"/>
  <c r="AO66" i="31"/>
  <c r="AO65" i="31"/>
  <c r="AO64" i="31"/>
  <c r="AO63" i="31"/>
  <c r="AO62" i="31"/>
  <c r="AO61" i="31"/>
  <c r="AO60" i="31"/>
  <c r="AO59" i="31"/>
  <c r="AO58" i="31"/>
  <c r="AO57" i="31"/>
  <c r="AO56" i="31"/>
  <c r="AO55" i="31"/>
  <c r="AO54" i="31"/>
  <c r="AO53" i="31"/>
  <c r="AO52" i="31"/>
  <c r="AO51" i="31"/>
  <c r="AO50" i="31"/>
  <c r="AO49" i="31"/>
  <c r="AO48" i="31"/>
  <c r="AO47" i="31"/>
  <c r="AO46" i="31"/>
  <c r="AO45" i="31"/>
  <c r="AO44" i="31"/>
  <c r="AO43" i="31"/>
  <c r="AO42" i="31"/>
  <c r="AO41" i="31"/>
  <c r="AO40" i="31"/>
  <c r="AO39" i="31"/>
  <c r="AO10" i="31"/>
  <c r="AO38" i="31"/>
  <c r="AO37" i="31"/>
  <c r="AO36" i="31"/>
  <c r="AO35" i="31"/>
  <c r="AO34" i="31"/>
  <c r="AO17" i="31"/>
  <c r="AO33" i="31"/>
  <c r="AO32" i="31"/>
  <c r="AO31" i="31"/>
  <c r="AO30" i="31"/>
  <c r="AO29" i="31"/>
  <c r="AO28" i="31"/>
  <c r="AO27" i="31"/>
  <c r="AO26" i="31"/>
  <c r="AO25" i="31"/>
  <c r="AO24" i="31"/>
  <c r="AO23" i="31"/>
  <c r="AO22" i="31"/>
  <c r="AO16" i="31"/>
  <c r="AO21" i="31"/>
  <c r="AO20" i="31"/>
  <c r="AO19" i="31"/>
  <c r="AO15" i="31"/>
  <c r="AO14" i="31"/>
  <c r="AO9" i="31"/>
  <c r="AO13" i="31"/>
  <c r="AO12" i="31"/>
  <c r="AO18" i="31"/>
  <c r="AO11" i="31"/>
  <c r="AO8" i="31"/>
  <c r="AO7" i="31"/>
  <c r="AO5" i="31"/>
  <c r="AO6" i="31"/>
  <c r="AM21" i="11"/>
  <c r="AM20" i="11"/>
  <c r="AM19" i="11"/>
  <c r="AM13" i="11"/>
  <c r="AM12" i="11"/>
  <c r="AM11" i="11"/>
  <c r="C11" i="40" l="1"/>
  <c r="C8" i="40"/>
  <c r="AM22" i="11"/>
  <c r="AM18" i="11"/>
  <c r="AM14" i="11"/>
  <c r="AM10" i="11"/>
  <c r="I12" i="40" l="1"/>
  <c r="I11" i="40"/>
  <c r="I10" i="40"/>
  <c r="I9" i="40"/>
  <c r="I8" i="40"/>
  <c r="H12" i="40"/>
  <c r="H11" i="40"/>
  <c r="H10" i="40"/>
  <c r="H9" i="40"/>
  <c r="H8" i="40"/>
  <c r="G12" i="40"/>
  <c r="G11" i="40"/>
  <c r="G10" i="40"/>
  <c r="G9" i="40"/>
  <c r="G8" i="40"/>
  <c r="J47" i="17"/>
  <c r="I47" i="17"/>
  <c r="V3" i="37" l="1"/>
  <c r="X6" i="37"/>
  <c r="H48" i="16"/>
  <c r="G48" i="16"/>
  <c r="C48" i="16"/>
  <c r="H42" i="2"/>
  <c r="G42" i="2"/>
  <c r="F42" i="2"/>
  <c r="E42" i="2"/>
  <c r="AN5" i="31"/>
  <c r="AN7" i="31"/>
  <c r="AN4" i="31"/>
  <c r="AN8" i="31"/>
  <c r="AN11" i="31"/>
  <c r="AN19" i="31"/>
  <c r="AN18" i="31"/>
  <c r="AN12" i="31"/>
  <c r="AN13" i="31"/>
  <c r="AN9" i="31"/>
  <c r="AN14" i="31"/>
  <c r="AN15" i="31"/>
  <c r="AN20" i="31"/>
  <c r="AN21" i="31"/>
  <c r="AN16" i="31"/>
  <c r="AN22" i="31"/>
  <c r="AN23" i="31"/>
  <c r="AN24" i="31"/>
  <c r="AN25" i="31"/>
  <c r="AN26" i="31"/>
  <c r="AN27" i="31"/>
  <c r="AN28" i="31"/>
  <c r="AN29" i="31"/>
  <c r="AN30" i="31"/>
  <c r="AN31" i="31"/>
  <c r="AN32" i="31"/>
  <c r="AN33" i="31"/>
  <c r="AN17" i="31"/>
  <c r="AN34" i="31"/>
  <c r="AN35" i="31"/>
  <c r="AN36" i="31"/>
  <c r="AN37" i="31"/>
  <c r="AN38" i="31"/>
  <c r="AN10" i="31"/>
  <c r="AN39" i="31"/>
  <c r="AN40" i="31"/>
  <c r="AN41" i="31"/>
  <c r="AN42" i="31"/>
  <c r="AN43" i="31"/>
  <c r="AN44" i="31"/>
  <c r="AN45" i="31"/>
  <c r="AN46" i="31"/>
  <c r="AN47" i="31"/>
  <c r="AN48" i="31"/>
  <c r="AN49" i="31"/>
  <c r="AN50" i="31"/>
  <c r="AN51" i="31"/>
  <c r="AN52" i="31"/>
  <c r="AN53" i="31"/>
  <c r="AN54" i="31"/>
  <c r="AN55" i="31"/>
  <c r="AN56" i="31"/>
  <c r="AN57" i="31"/>
  <c r="AN58" i="31"/>
  <c r="AN59" i="31"/>
  <c r="AN60" i="31"/>
  <c r="AN61" i="31"/>
  <c r="AN62" i="31"/>
  <c r="AN63" i="31"/>
  <c r="AN64" i="31"/>
  <c r="AN65" i="31"/>
  <c r="AN66" i="31"/>
  <c r="AN67" i="31"/>
  <c r="AN68" i="31"/>
  <c r="AN69" i="31"/>
  <c r="AN6" i="31"/>
  <c r="AL21" i="11"/>
  <c r="AL20" i="11"/>
  <c r="AL19" i="11"/>
  <c r="AL17" i="11"/>
  <c r="AL16" i="11"/>
  <c r="AL15" i="11"/>
  <c r="AL13" i="11"/>
  <c r="AL12" i="11"/>
  <c r="AK25" i="11" l="1"/>
  <c r="AK24" i="11"/>
  <c r="AL22" i="11"/>
  <c r="AL18" i="11"/>
  <c r="AL14" i="11"/>
  <c r="AL10" i="11"/>
  <c r="J46" i="17" l="1"/>
  <c r="AR4" i="31" l="1"/>
  <c r="AR6" i="31"/>
  <c r="G56" i="8" l="1"/>
  <c r="G57" i="8"/>
  <c r="G58" i="8"/>
  <c r="F56" i="8"/>
  <c r="F57" i="8"/>
  <c r="F58" i="8" l="1"/>
  <c r="H47" i="16"/>
  <c r="C47" i="16"/>
  <c r="G47" i="16" s="1"/>
  <c r="AM67" i="31"/>
  <c r="AM66" i="31"/>
  <c r="AM65" i="31"/>
  <c r="AM64" i="31"/>
  <c r="AM63" i="31"/>
  <c r="AM62" i="31"/>
  <c r="AM61" i="31"/>
  <c r="AM60" i="31"/>
  <c r="AM59" i="31"/>
  <c r="AM58" i="31"/>
  <c r="AM57" i="31"/>
  <c r="AM56" i="31"/>
  <c r="AM55" i="31"/>
  <c r="AM54" i="31"/>
  <c r="AM53" i="31"/>
  <c r="AM52" i="31"/>
  <c r="AM51" i="31"/>
  <c r="AM50" i="31"/>
  <c r="AM49" i="31"/>
  <c r="AM48" i="31"/>
  <c r="AM47" i="31"/>
  <c r="AM46" i="31"/>
  <c r="AM45" i="31"/>
  <c r="AM44" i="31"/>
  <c r="AM43" i="31"/>
  <c r="AM42" i="31"/>
  <c r="AM41" i="31"/>
  <c r="AM40" i="31"/>
  <c r="AM39" i="31"/>
  <c r="AM10" i="31"/>
  <c r="AM38" i="31"/>
  <c r="AM37" i="31"/>
  <c r="AM36" i="31"/>
  <c r="AM35" i="31"/>
  <c r="AM34" i="31"/>
  <c r="AM17" i="31"/>
  <c r="AM33" i="31"/>
  <c r="AM32" i="31"/>
  <c r="AM31" i="31"/>
  <c r="AM30" i="31"/>
  <c r="AM29" i="31"/>
  <c r="AM28" i="31"/>
  <c r="AM27" i="31"/>
  <c r="AM26" i="31"/>
  <c r="AM25" i="31"/>
  <c r="AM24" i="31"/>
  <c r="AM23" i="31"/>
  <c r="AM22" i="31"/>
  <c r="AM16" i="31"/>
  <c r="AM21" i="31"/>
  <c r="AM13" i="31"/>
  <c r="AQ13" i="31" s="1"/>
  <c r="AM12" i="31"/>
  <c r="AM18" i="31"/>
  <c r="AM19" i="31"/>
  <c r="AM20" i="31"/>
  <c r="AM8" i="31"/>
  <c r="AQ8" i="31" s="1"/>
  <c r="AM4" i="31"/>
  <c r="AM7" i="31"/>
  <c r="AQ7" i="31" s="1"/>
  <c r="AL14" i="31" l="1"/>
  <c r="AQ14" i="31" s="1"/>
  <c r="AL15" i="31"/>
  <c r="AQ15" i="31" s="1"/>
  <c r="AR69" i="31"/>
  <c r="AR68" i="31"/>
  <c r="AK22" i="11"/>
  <c r="AK21" i="11"/>
  <c r="AK20" i="11"/>
  <c r="AK19" i="11"/>
  <c r="AJ22" i="11"/>
  <c r="AK17" i="11"/>
  <c r="AK16" i="11"/>
  <c r="AK15" i="11"/>
  <c r="AK14" i="11" s="1"/>
  <c r="I46" i="17"/>
  <c r="AK13" i="11"/>
  <c r="AK12" i="11"/>
  <c r="AK11" i="11"/>
  <c r="AK10" i="11" s="1"/>
  <c r="K46" i="17"/>
  <c r="H46" i="17"/>
  <c r="AK18" i="11" l="1"/>
  <c r="H46" i="16"/>
  <c r="C46" i="16"/>
  <c r="G46" i="16" s="1"/>
  <c r="D40" i="2"/>
  <c r="D42" i="2"/>
  <c r="D43" i="2"/>
  <c r="D44" i="2"/>
  <c r="D45" i="2"/>
  <c r="D46" i="2"/>
  <c r="D47" i="2"/>
  <c r="D48" i="2"/>
  <c r="D49" i="2"/>
  <c r="D50" i="2"/>
  <c r="D51" i="2"/>
  <c r="D52" i="2"/>
  <c r="AL67" i="31"/>
  <c r="AL66" i="31"/>
  <c r="AL65" i="31"/>
  <c r="AL64" i="31"/>
  <c r="AL63" i="31"/>
  <c r="AL62" i="31"/>
  <c r="AL61" i="31"/>
  <c r="AL60" i="31"/>
  <c r="AL59" i="31"/>
  <c r="AL58" i="31"/>
  <c r="AL57" i="31"/>
  <c r="AL56" i="31"/>
  <c r="AL55" i="31"/>
  <c r="AL54" i="31"/>
  <c r="AL53" i="31"/>
  <c r="AL52" i="31"/>
  <c r="AL51" i="31"/>
  <c r="AL50" i="31"/>
  <c r="AL49" i="31"/>
  <c r="AL48" i="31"/>
  <c r="AL47" i="31"/>
  <c r="AL46" i="31"/>
  <c r="AL45" i="31"/>
  <c r="AL44" i="31"/>
  <c r="AL9" i="31"/>
  <c r="AL43" i="31"/>
  <c r="AL42" i="31"/>
  <c r="AL41" i="31"/>
  <c r="AL40" i="31"/>
  <c r="AL39" i="31"/>
  <c r="AL10" i="31"/>
  <c r="AL38" i="31"/>
  <c r="AL37" i="31"/>
  <c r="AL36" i="31"/>
  <c r="AL35" i="31"/>
  <c r="AL34" i="31"/>
  <c r="AL17" i="31"/>
  <c r="AL33" i="31"/>
  <c r="AL32" i="31"/>
  <c r="AL31" i="31"/>
  <c r="AL30" i="31"/>
  <c r="AL29" i="31"/>
  <c r="AL28" i="31"/>
  <c r="AL27" i="31"/>
  <c r="AL26" i="31"/>
  <c r="AL25" i="31"/>
  <c r="AL24" i="31"/>
  <c r="AL23" i="31"/>
  <c r="AL22" i="31"/>
  <c r="AL16" i="31"/>
  <c r="AL18" i="31"/>
  <c r="AL11" i="31"/>
  <c r="AL19" i="31"/>
  <c r="AL20" i="31"/>
  <c r="AL6" i="31"/>
  <c r="AL21" i="31"/>
  <c r="AL5" i="31"/>
  <c r="AQ5" i="31" s="1"/>
  <c r="AL4" i="31"/>
  <c r="AR67" i="31"/>
  <c r="AJ18" i="11"/>
  <c r="AJ17" i="11"/>
  <c r="AJ16" i="11"/>
  <c r="AJ15" i="11"/>
  <c r="AJ10" i="11"/>
  <c r="AJ14" i="11" l="1"/>
  <c r="H45" i="16"/>
  <c r="C45" i="16"/>
  <c r="G45" i="16" s="1"/>
  <c r="D39" i="2"/>
  <c r="AK67" i="31"/>
  <c r="AQ67" i="31" s="1"/>
  <c r="AK66" i="31"/>
  <c r="AQ66" i="31" s="1"/>
  <c r="AK65" i="31"/>
  <c r="AQ65" i="31" s="1"/>
  <c r="AK64" i="31"/>
  <c r="AQ64" i="31" s="1"/>
  <c r="AK63" i="31"/>
  <c r="AQ63" i="31" s="1"/>
  <c r="AK62" i="31"/>
  <c r="AQ62" i="31" s="1"/>
  <c r="AK61" i="31"/>
  <c r="AQ61" i="31" s="1"/>
  <c r="AK60" i="31"/>
  <c r="AQ60" i="31" s="1"/>
  <c r="AK59" i="31"/>
  <c r="AQ59" i="31" s="1"/>
  <c r="AK58" i="31"/>
  <c r="AQ58" i="31" s="1"/>
  <c r="AK57" i="31"/>
  <c r="AQ57" i="31" s="1"/>
  <c r="AK56" i="31"/>
  <c r="AQ56" i="31" s="1"/>
  <c r="AK55" i="31"/>
  <c r="AQ55" i="31" s="1"/>
  <c r="AK54" i="31"/>
  <c r="AQ54" i="31" s="1"/>
  <c r="AK53" i="31"/>
  <c r="AQ53" i="31" s="1"/>
  <c r="AK52" i="31"/>
  <c r="AQ52" i="31" s="1"/>
  <c r="AK51" i="31"/>
  <c r="AQ51" i="31" s="1"/>
  <c r="AK50" i="31"/>
  <c r="AQ50" i="31" s="1"/>
  <c r="AK49" i="31"/>
  <c r="AQ49" i="31" s="1"/>
  <c r="AK48" i="31"/>
  <c r="AQ48" i="31" s="1"/>
  <c r="AK47" i="31"/>
  <c r="AQ47" i="31" s="1"/>
  <c r="AK46" i="31"/>
  <c r="AQ46" i="31" s="1"/>
  <c r="AK45" i="31"/>
  <c r="AQ45" i="31" s="1"/>
  <c r="AK44" i="31"/>
  <c r="AQ44" i="31" s="1"/>
  <c r="AK9" i="31"/>
  <c r="AQ9" i="31" s="1"/>
  <c r="AK43" i="31"/>
  <c r="AQ43" i="31" s="1"/>
  <c r="AK42" i="31"/>
  <c r="AQ42" i="31" s="1"/>
  <c r="AK41" i="31"/>
  <c r="AQ41" i="31" s="1"/>
  <c r="AK40" i="31"/>
  <c r="AQ40" i="31" s="1"/>
  <c r="AK39" i="31"/>
  <c r="AQ39" i="31" s="1"/>
  <c r="AK10" i="31"/>
  <c r="AQ10" i="31" s="1"/>
  <c r="AK38" i="31"/>
  <c r="AQ38" i="31" s="1"/>
  <c r="AK37" i="31"/>
  <c r="AQ37" i="31" s="1"/>
  <c r="AK36" i="31"/>
  <c r="AQ36" i="31" s="1"/>
  <c r="AK35" i="31"/>
  <c r="AQ35" i="31" s="1"/>
  <c r="AK34" i="31"/>
  <c r="AQ34" i="31" s="1"/>
  <c r="AK17" i="31"/>
  <c r="AQ17" i="31" s="1"/>
  <c r="AK33" i="31"/>
  <c r="AQ33" i="31" s="1"/>
  <c r="AK32" i="31"/>
  <c r="AQ32" i="31" s="1"/>
  <c r="AK31" i="31"/>
  <c r="AQ31" i="31" s="1"/>
  <c r="AK30" i="31"/>
  <c r="AQ30" i="31" s="1"/>
  <c r="AK29" i="31"/>
  <c r="AQ29" i="31" s="1"/>
  <c r="AK28" i="31"/>
  <c r="AQ28" i="31" s="1"/>
  <c r="AK27" i="31"/>
  <c r="AQ27" i="31" s="1"/>
  <c r="AK26" i="31"/>
  <c r="AQ26" i="31" s="1"/>
  <c r="AK25" i="31"/>
  <c r="AQ25" i="31" s="1"/>
  <c r="AK24" i="31"/>
  <c r="AQ24" i="31" s="1"/>
  <c r="AK23" i="31"/>
  <c r="AQ23" i="31" s="1"/>
  <c r="AK22" i="31"/>
  <c r="AQ22" i="31" s="1"/>
  <c r="AK12" i="31"/>
  <c r="AQ12" i="31" s="1"/>
  <c r="AK16" i="31"/>
  <c r="AQ16" i="31" s="1"/>
  <c r="AK18" i="31"/>
  <c r="AQ18" i="31" s="1"/>
  <c r="AK11" i="31"/>
  <c r="AQ11" i="31" s="1"/>
  <c r="AK19" i="31"/>
  <c r="AQ19" i="31" s="1"/>
  <c r="AK20" i="31"/>
  <c r="AQ20" i="31" s="1"/>
  <c r="AK6" i="31"/>
  <c r="AQ6" i="31" s="1"/>
  <c r="AK21" i="31"/>
  <c r="AQ21" i="31" s="1"/>
  <c r="AK4" i="31"/>
  <c r="AQ4" i="31" s="1"/>
  <c r="AI17" i="11"/>
  <c r="AI16" i="11"/>
  <c r="AI15" i="11"/>
  <c r="AI25" i="11"/>
  <c r="AI24" i="11"/>
  <c r="AI22" i="11" s="1"/>
  <c r="AI21" i="11"/>
  <c r="AI20" i="11"/>
  <c r="AI19" i="11"/>
  <c r="AI13" i="11"/>
  <c r="AI12" i="11"/>
  <c r="AI11" i="11"/>
  <c r="AI14" i="11" l="1"/>
  <c r="AI18" i="11"/>
  <c r="AI10" i="11"/>
  <c r="G55" i="8" l="1"/>
  <c r="F55" i="8"/>
  <c r="G44" i="16"/>
  <c r="H44" i="16"/>
  <c r="C44" i="16"/>
  <c r="H38" i="2" l="1"/>
  <c r="G38" i="2"/>
  <c r="F38" i="2"/>
  <c r="E38" i="2"/>
  <c r="D38" i="2"/>
  <c r="AJ67" i="31"/>
  <c r="AJ66" i="31"/>
  <c r="AJ65" i="31"/>
  <c r="AJ64" i="31"/>
  <c r="AJ63" i="31"/>
  <c r="AJ62" i="31"/>
  <c r="AJ61" i="31"/>
  <c r="AJ60" i="31"/>
  <c r="AJ59" i="31"/>
  <c r="AJ58" i="31"/>
  <c r="AJ57" i="31"/>
  <c r="AJ56" i="31"/>
  <c r="AJ55" i="31"/>
  <c r="AJ54" i="31"/>
  <c r="AJ53" i="31"/>
  <c r="AJ52" i="31"/>
  <c r="AJ51" i="31"/>
  <c r="AJ50" i="31"/>
  <c r="AJ49" i="31"/>
  <c r="AJ48" i="31"/>
  <c r="AJ47" i="31"/>
  <c r="AJ46" i="31"/>
  <c r="AJ45" i="31"/>
  <c r="AJ44" i="31"/>
  <c r="AJ9" i="31"/>
  <c r="AJ43" i="31"/>
  <c r="AJ42" i="31"/>
  <c r="AJ41" i="31"/>
  <c r="AJ40" i="31"/>
  <c r="AJ39" i="31"/>
  <c r="AJ10" i="31"/>
  <c r="AJ38" i="31"/>
  <c r="AJ37" i="31"/>
  <c r="AJ36" i="31"/>
  <c r="AJ35" i="31"/>
  <c r="AJ34" i="31"/>
  <c r="AJ17" i="31"/>
  <c r="AJ33" i="31"/>
  <c r="AJ32" i="31"/>
  <c r="AJ31" i="31"/>
  <c r="AJ30" i="31"/>
  <c r="AJ29" i="31"/>
  <c r="AJ28" i="31"/>
  <c r="AJ27" i="31"/>
  <c r="AJ26" i="31"/>
  <c r="AJ25" i="31"/>
  <c r="AJ24" i="31"/>
  <c r="AJ23" i="31"/>
  <c r="AJ22" i="31"/>
  <c r="AJ12" i="31"/>
  <c r="AJ16" i="31"/>
  <c r="AJ8" i="31"/>
  <c r="AJ18" i="31"/>
  <c r="AJ11" i="31"/>
  <c r="AJ19" i="31"/>
  <c r="AJ20" i="31"/>
  <c r="AJ6" i="31"/>
  <c r="AJ5" i="31"/>
  <c r="AJ21" i="31"/>
  <c r="AJ7" i="31"/>
  <c r="AH25" i="11"/>
  <c r="AH24" i="11"/>
  <c r="AH21" i="11"/>
  <c r="AH20" i="11"/>
  <c r="AH19" i="11"/>
  <c r="AH17" i="11"/>
  <c r="AH16" i="11"/>
  <c r="AH15" i="11"/>
  <c r="AH13" i="11"/>
  <c r="AH12" i="11"/>
  <c r="AH10" i="11" l="1"/>
  <c r="AH18" i="11"/>
  <c r="AH22" i="11"/>
  <c r="AH14" i="11"/>
  <c r="F25" i="8"/>
  <c r="G25" i="8"/>
  <c r="F26" i="8"/>
  <c r="G26" i="8"/>
  <c r="F27" i="8"/>
  <c r="G27" i="8"/>
  <c r="F28" i="8"/>
  <c r="G28" i="8"/>
  <c r="F29" i="8"/>
  <c r="G29" i="8"/>
  <c r="F30" i="8"/>
  <c r="G30" i="8"/>
  <c r="F31" i="8"/>
  <c r="G31" i="8"/>
  <c r="F32" i="8"/>
  <c r="G32" i="8"/>
  <c r="F33" i="8"/>
  <c r="G33" i="8"/>
  <c r="F34" i="8"/>
  <c r="G34" i="8"/>
  <c r="F35" i="8"/>
  <c r="G35" i="8"/>
  <c r="F36" i="8"/>
  <c r="G36" i="8"/>
  <c r="G54" i="8" l="1"/>
  <c r="F54" i="8"/>
  <c r="H43" i="16"/>
  <c r="G43" i="16"/>
  <c r="C43" i="16"/>
  <c r="E36" i="2"/>
  <c r="F36" i="2"/>
  <c r="D37" i="2"/>
  <c r="AI67" i="31"/>
  <c r="AI66" i="31"/>
  <c r="AI65" i="31"/>
  <c r="AI64" i="31"/>
  <c r="AI63" i="31"/>
  <c r="AI62" i="31"/>
  <c r="AI61" i="31"/>
  <c r="AI60" i="31"/>
  <c r="AI59" i="31"/>
  <c r="AI58" i="31"/>
  <c r="AI57" i="31"/>
  <c r="AI56" i="31"/>
  <c r="AI55" i="31"/>
  <c r="AI54" i="31"/>
  <c r="AI53" i="31"/>
  <c r="AI52" i="31"/>
  <c r="AI51" i="31"/>
  <c r="AI50" i="31"/>
  <c r="AI49" i="31"/>
  <c r="AI48" i="31"/>
  <c r="AI47" i="31"/>
  <c r="AI46" i="31"/>
  <c r="AI45" i="31"/>
  <c r="AI44" i="31"/>
  <c r="AI9" i="31"/>
  <c r="AI43" i="31"/>
  <c r="AI42" i="31"/>
  <c r="AI41" i="31"/>
  <c r="AI40" i="31"/>
  <c r="AI39" i="31"/>
  <c r="AI10" i="31"/>
  <c r="AI38" i="31"/>
  <c r="AI37" i="31"/>
  <c r="AI36" i="31"/>
  <c r="AI35" i="31"/>
  <c r="AI34" i="31"/>
  <c r="AI17" i="31"/>
  <c r="AI33" i="31"/>
  <c r="AI32" i="31"/>
  <c r="AI31" i="31"/>
  <c r="AI30" i="31"/>
  <c r="AI29" i="31"/>
  <c r="AI28" i="31"/>
  <c r="AI27" i="31"/>
  <c r="AI26" i="31"/>
  <c r="AI25" i="31"/>
  <c r="AI24" i="31"/>
  <c r="AI23" i="31"/>
  <c r="AI22" i="31"/>
  <c r="AI12" i="31"/>
  <c r="AI16" i="31"/>
  <c r="AI19" i="31"/>
  <c r="AI20" i="31"/>
  <c r="AI8" i="31"/>
  <c r="AI4" i="31"/>
  <c r="AI21" i="31"/>
  <c r="AG25" i="11"/>
  <c r="AG24" i="11"/>
  <c r="AG22" i="11" s="1"/>
  <c r="AG21" i="11"/>
  <c r="AG20" i="11"/>
  <c r="AG17" i="11"/>
  <c r="AG16" i="11"/>
  <c r="AG13" i="11"/>
  <c r="AG18" i="11" l="1"/>
  <c r="AG14" i="11"/>
  <c r="AG12" i="11"/>
  <c r="AG10" i="11" s="1"/>
  <c r="C42" i="16" l="1"/>
  <c r="G53" i="8" l="1"/>
  <c r="F53" i="8"/>
  <c r="H42" i="16"/>
  <c r="G42" i="16"/>
  <c r="H36" i="2" l="1"/>
  <c r="G36" i="2"/>
  <c r="D36" i="2"/>
  <c r="AH67" i="31"/>
  <c r="AH66" i="31"/>
  <c r="AH65" i="31"/>
  <c r="AH64" i="31"/>
  <c r="AH63" i="31"/>
  <c r="AH62" i="31"/>
  <c r="AH61" i="31"/>
  <c r="AH60" i="31"/>
  <c r="AH59" i="31"/>
  <c r="AH58" i="31"/>
  <c r="AH57" i="31"/>
  <c r="AH56" i="31"/>
  <c r="AH55" i="31"/>
  <c r="AH54" i="31"/>
  <c r="AH53" i="31"/>
  <c r="AH52" i="31"/>
  <c r="AH51" i="31"/>
  <c r="AH50" i="31"/>
  <c r="AH49" i="31"/>
  <c r="AH48" i="31"/>
  <c r="AH47" i="31"/>
  <c r="AH46" i="31"/>
  <c r="AH45" i="31"/>
  <c r="AH44" i="31"/>
  <c r="AH9" i="31"/>
  <c r="AH43" i="31"/>
  <c r="AH42" i="31"/>
  <c r="AH41" i="31"/>
  <c r="AH40" i="31"/>
  <c r="AH39" i="31"/>
  <c r="AH10" i="31"/>
  <c r="AH38" i="31"/>
  <c r="AH37" i="31"/>
  <c r="AH36" i="31"/>
  <c r="AH35" i="31"/>
  <c r="AH34" i="31"/>
  <c r="AH17" i="31"/>
  <c r="AH33" i="31"/>
  <c r="AH32" i="31"/>
  <c r="AH31" i="31"/>
  <c r="AH30" i="31"/>
  <c r="AH29" i="31"/>
  <c r="AH28" i="31"/>
  <c r="AH27" i="31"/>
  <c r="AH26" i="31"/>
  <c r="AH18" i="31"/>
  <c r="AH11" i="31"/>
  <c r="AH25" i="31"/>
  <c r="AH24" i="31"/>
  <c r="AH23" i="31"/>
  <c r="AH22" i="31"/>
  <c r="AH12" i="31"/>
  <c r="AH20" i="31"/>
  <c r="AH5" i="31"/>
  <c r="AH16" i="31"/>
  <c r="AH6" i="31"/>
  <c r="AH21" i="31"/>
  <c r="AH8" i="31"/>
  <c r="AH7" i="31"/>
  <c r="AF21" i="11" l="1"/>
  <c r="AF20" i="11"/>
  <c r="AF19" i="11"/>
  <c r="AF17" i="11"/>
  <c r="AF16" i="11"/>
  <c r="AF15" i="11"/>
  <c r="AF14" i="11" l="1"/>
  <c r="AF18" i="11"/>
  <c r="AF22" i="11" l="1"/>
  <c r="AF10" i="11"/>
  <c r="H41" i="16" l="1"/>
  <c r="C41" i="16"/>
  <c r="G41" i="16" s="1"/>
  <c r="H35" i="2"/>
  <c r="G35" i="2"/>
  <c r="F35" i="2"/>
  <c r="E35" i="2"/>
  <c r="D35" i="2"/>
  <c r="AG67" i="31"/>
  <c r="AG66" i="31"/>
  <c r="AG65" i="31"/>
  <c r="AG64" i="31"/>
  <c r="AG63" i="31"/>
  <c r="AG62" i="31"/>
  <c r="AG61" i="31"/>
  <c r="AG60" i="31"/>
  <c r="AG59" i="31"/>
  <c r="AG58" i="31"/>
  <c r="AG57" i="31"/>
  <c r="AG56" i="31"/>
  <c r="AG55" i="31"/>
  <c r="AG54" i="31"/>
  <c r="AG53" i="31"/>
  <c r="AG52" i="31"/>
  <c r="AG51" i="31"/>
  <c r="AG50" i="31"/>
  <c r="AG49" i="31"/>
  <c r="AG48" i="31"/>
  <c r="AG47" i="31"/>
  <c r="AG46" i="31"/>
  <c r="AG45" i="31"/>
  <c r="AG44" i="31"/>
  <c r="AG9" i="31"/>
  <c r="AG43" i="31"/>
  <c r="AG42" i="31"/>
  <c r="AG41" i="31"/>
  <c r="AG40" i="31"/>
  <c r="AG39" i="31"/>
  <c r="AG10" i="31"/>
  <c r="AG38" i="31"/>
  <c r="AG37" i="31"/>
  <c r="AG36" i="31"/>
  <c r="AG19" i="31"/>
  <c r="AG35" i="31"/>
  <c r="AG34" i="31"/>
  <c r="AG17" i="31"/>
  <c r="AG33" i="31"/>
  <c r="AG32" i="31"/>
  <c r="AG31" i="31"/>
  <c r="AG30" i="31"/>
  <c r="AG29" i="31"/>
  <c r="AG28" i="31"/>
  <c r="AG27" i="31"/>
  <c r="AG26" i="31"/>
  <c r="AG18" i="31"/>
  <c r="AG11" i="31"/>
  <c r="AG25" i="31"/>
  <c r="AG24" i="31"/>
  <c r="AG23" i="31"/>
  <c r="AG22" i="31"/>
  <c r="AG12" i="31"/>
  <c r="AG4" i="31"/>
  <c r="AG5" i="31"/>
  <c r="AG21" i="31"/>
  <c r="AG8" i="31"/>
  <c r="AG16" i="31"/>
  <c r="AG6" i="31"/>
  <c r="AE25" i="11"/>
  <c r="AE24" i="11"/>
  <c r="AE23" i="11"/>
  <c r="AE21" i="11"/>
  <c r="AE20" i="11"/>
  <c r="AE19" i="11"/>
  <c r="AE17" i="11"/>
  <c r="AE16" i="11"/>
  <c r="AE13" i="11"/>
  <c r="AE12" i="11"/>
  <c r="G52" i="8" l="1"/>
  <c r="F52" i="8"/>
  <c r="AE22" i="11"/>
  <c r="AE18" i="11"/>
  <c r="AE14" i="11"/>
  <c r="AE10" i="11"/>
  <c r="F51" i="8" l="1"/>
  <c r="G51" i="8"/>
  <c r="F48" i="8"/>
  <c r="F49" i="8"/>
  <c r="F50" i="8"/>
  <c r="H40" i="16"/>
  <c r="C40" i="16"/>
  <c r="G40" i="16" s="1"/>
  <c r="H34" i="2"/>
  <c r="G34" i="2"/>
  <c r="F34" i="2"/>
  <c r="E34" i="2"/>
  <c r="D34" i="2"/>
  <c r="AF67" i="31" l="1"/>
  <c r="AF66" i="31"/>
  <c r="AF65" i="31"/>
  <c r="AF64" i="31"/>
  <c r="AF63" i="31"/>
  <c r="AF62" i="31"/>
  <c r="AF61" i="31"/>
  <c r="AF60" i="31"/>
  <c r="AF59" i="31"/>
  <c r="AF58" i="31"/>
  <c r="AF57" i="31"/>
  <c r="AF56" i="31"/>
  <c r="AF55" i="31"/>
  <c r="AF54" i="31"/>
  <c r="AF53" i="31"/>
  <c r="AF52" i="31"/>
  <c r="AF51" i="31"/>
  <c r="AF50" i="31"/>
  <c r="AF49" i="31"/>
  <c r="AF48" i="31"/>
  <c r="AF47" i="31"/>
  <c r="AF46" i="31"/>
  <c r="AF45" i="31"/>
  <c r="AF44" i="31"/>
  <c r="AF9" i="31"/>
  <c r="AF43" i="31"/>
  <c r="AF42" i="31"/>
  <c r="AF41" i="31"/>
  <c r="AF40" i="31"/>
  <c r="AF39" i="31"/>
  <c r="AF10" i="31"/>
  <c r="AF38" i="31"/>
  <c r="AF37" i="31"/>
  <c r="AF36" i="31"/>
  <c r="AF19" i="31"/>
  <c r="AF35" i="31"/>
  <c r="AF34" i="31"/>
  <c r="AF17" i="31"/>
  <c r="AF33" i="31"/>
  <c r="AF32" i="31"/>
  <c r="AF31" i="31"/>
  <c r="AF30" i="31"/>
  <c r="AF29" i="31"/>
  <c r="AF28" i="31"/>
  <c r="AF27" i="31"/>
  <c r="AF26" i="31"/>
  <c r="AF18" i="31"/>
  <c r="AF11" i="31"/>
  <c r="AF25" i="31"/>
  <c r="AF24" i="31"/>
  <c r="AF23" i="31"/>
  <c r="AF5" i="31"/>
  <c r="AF22" i="31"/>
  <c r="AF20" i="31"/>
  <c r="AF8" i="31"/>
  <c r="AF16" i="31"/>
  <c r="AF12" i="31"/>
  <c r="AF6" i="31"/>
  <c r="AF7" i="31"/>
  <c r="AR66" i="31"/>
  <c r="AE21" i="31"/>
  <c r="AC21" i="31"/>
  <c r="AB21" i="31"/>
  <c r="AA21" i="31"/>
  <c r="Z21" i="31"/>
  <c r="Y21" i="31"/>
  <c r="X21" i="31"/>
  <c r="W21" i="31"/>
  <c r="AD11" i="11"/>
  <c r="AD25" i="11"/>
  <c r="AD24" i="11"/>
  <c r="AD23" i="11"/>
  <c r="AD21" i="11"/>
  <c r="AD20" i="11"/>
  <c r="AD19" i="11"/>
  <c r="AD17" i="11"/>
  <c r="AD16" i="11"/>
  <c r="AD15" i="11"/>
  <c r="AD13" i="11" l="1"/>
  <c r="AD12" i="11"/>
  <c r="I39" i="17"/>
  <c r="H39" i="17"/>
  <c r="K39" i="17"/>
  <c r="J39" i="17"/>
  <c r="AD22" i="11" l="1"/>
  <c r="AD18" i="11"/>
  <c r="AD14" i="11"/>
  <c r="AD10" i="11"/>
  <c r="G50" i="8" l="1"/>
  <c r="H39" i="16"/>
  <c r="C39" i="16"/>
  <c r="G39" i="16" s="1"/>
  <c r="AE67" i="31"/>
  <c r="AE66" i="31"/>
  <c r="AE65" i="31"/>
  <c r="AE64" i="31"/>
  <c r="AE63" i="31"/>
  <c r="AE62" i="31"/>
  <c r="AE61" i="31"/>
  <c r="AE60" i="31"/>
  <c r="AE59" i="31"/>
  <c r="AE58" i="31"/>
  <c r="AE57" i="31"/>
  <c r="AE56" i="31"/>
  <c r="AE55" i="31"/>
  <c r="AE54" i="31"/>
  <c r="AE53" i="31"/>
  <c r="AE52" i="31"/>
  <c r="AE51" i="31"/>
  <c r="AE50" i="31"/>
  <c r="AE49" i="31"/>
  <c r="AE48" i="31"/>
  <c r="AE47" i="31"/>
  <c r="AE46" i="31"/>
  <c r="AE45" i="31"/>
  <c r="AE44" i="31"/>
  <c r="AE9" i="31"/>
  <c r="AE43" i="31"/>
  <c r="AE42" i="31"/>
  <c r="AE41" i="31"/>
  <c r="AE40" i="31"/>
  <c r="AE39" i="31"/>
  <c r="AE4" i="31"/>
  <c r="AE10" i="31"/>
  <c r="AE38" i="31"/>
  <c r="AE37" i="31"/>
  <c r="AE36" i="31"/>
  <c r="AE19" i="31"/>
  <c r="AE35" i="31"/>
  <c r="AE34" i="31"/>
  <c r="AE17" i="31"/>
  <c r="AE33" i="31"/>
  <c r="AE32" i="31"/>
  <c r="AE31" i="31"/>
  <c r="AE30" i="31"/>
  <c r="AE29" i="31"/>
  <c r="AE28" i="31"/>
  <c r="AE27" i="31"/>
  <c r="AE26" i="31"/>
  <c r="AE18" i="31"/>
  <c r="AE11" i="31"/>
  <c r="AE25" i="31"/>
  <c r="AE24" i="31"/>
  <c r="AE22" i="31"/>
  <c r="AE20" i="31"/>
  <c r="AE23" i="31"/>
  <c r="AE8" i="31"/>
  <c r="AE16" i="31"/>
  <c r="AE12" i="31"/>
  <c r="AE6" i="31"/>
  <c r="AC25" i="11"/>
  <c r="AC24" i="11"/>
  <c r="AC21" i="11"/>
  <c r="AC20" i="11"/>
  <c r="AC19" i="11"/>
  <c r="AC17" i="11"/>
  <c r="AC16" i="11"/>
  <c r="AC15" i="11"/>
  <c r="AC13" i="11"/>
  <c r="AC12" i="11"/>
  <c r="AC22" i="11" l="1"/>
  <c r="AC18" i="11"/>
  <c r="AC14" i="11"/>
  <c r="AC10" i="11"/>
  <c r="AX10" i="10" l="1"/>
  <c r="AX11" i="10"/>
  <c r="AX12" i="10"/>
  <c r="AX13" i="10"/>
  <c r="AX14" i="10"/>
  <c r="AX9" i="10"/>
  <c r="H38" i="16"/>
  <c r="G38" i="16"/>
  <c r="C38" i="16"/>
  <c r="E32" i="2"/>
  <c r="F32" i="2"/>
  <c r="G32" i="2"/>
  <c r="H32" i="2"/>
  <c r="I32" i="2"/>
  <c r="D32" i="2"/>
  <c r="AB22" i="11"/>
  <c r="AB18" i="11"/>
  <c r="AB14" i="11"/>
  <c r="AB10" i="11"/>
  <c r="G48" i="8"/>
  <c r="H37" i="16"/>
  <c r="C37" i="16"/>
  <c r="G37" i="16" s="1"/>
  <c r="AC67" i="31"/>
  <c r="AC66" i="31"/>
  <c r="AC65" i="31"/>
  <c r="AC64" i="31"/>
  <c r="AC63" i="31"/>
  <c r="AC62" i="31"/>
  <c r="AC61" i="31"/>
  <c r="AC60" i="31"/>
  <c r="AC59" i="31"/>
  <c r="AC58" i="31"/>
  <c r="AC57" i="31"/>
  <c r="AC56" i="31"/>
  <c r="AC55" i="31"/>
  <c r="AC54" i="31"/>
  <c r="AC53" i="31"/>
  <c r="AC52" i="31"/>
  <c r="AC51" i="31"/>
  <c r="AC50" i="31"/>
  <c r="AC49" i="31"/>
  <c r="AC48" i="31"/>
  <c r="AC47" i="31"/>
  <c r="AC46" i="31"/>
  <c r="AC45" i="31"/>
  <c r="AC44" i="31"/>
  <c r="AC9" i="31"/>
  <c r="AC43" i="31"/>
  <c r="AC42" i="31"/>
  <c r="AC41" i="31"/>
  <c r="AC40" i="31"/>
  <c r="AC39" i="31"/>
  <c r="AC4" i="31"/>
  <c r="AC10" i="31"/>
  <c r="AC38" i="31"/>
  <c r="AC37" i="31"/>
  <c r="AC36" i="31"/>
  <c r="AC19" i="31"/>
  <c r="AC35" i="31"/>
  <c r="AC34" i="31"/>
  <c r="AC17" i="31"/>
  <c r="AC33" i="31"/>
  <c r="AC32" i="31"/>
  <c r="AC31" i="31"/>
  <c r="AC30" i="31"/>
  <c r="AC29" i="31"/>
  <c r="AC28" i="31"/>
  <c r="AC27" i="31"/>
  <c r="AC26" i="31"/>
  <c r="AC18" i="31"/>
  <c r="AC22" i="31"/>
  <c r="AC20" i="31"/>
  <c r="AC25" i="31"/>
  <c r="AC11" i="31"/>
  <c r="AC24" i="31"/>
  <c r="AC16" i="31"/>
  <c r="AC12" i="31"/>
  <c r="AC23" i="31"/>
  <c r="AC6" i="31"/>
  <c r="AC5" i="31"/>
  <c r="AA25" i="11"/>
  <c r="AA24" i="11"/>
  <c r="AA23" i="11"/>
  <c r="AA22" i="11" s="1"/>
  <c r="AA21" i="11"/>
  <c r="AA20" i="11"/>
  <c r="AA19" i="11"/>
  <c r="AA18" i="11" s="1"/>
  <c r="AA17" i="11"/>
  <c r="AA16" i="11"/>
  <c r="Z15" i="11"/>
  <c r="AA15" i="11"/>
  <c r="AA13" i="11"/>
  <c r="AA12" i="11"/>
  <c r="AA11" i="11"/>
  <c r="AT13" i="10"/>
  <c r="AT10" i="10"/>
  <c r="AT11" i="10"/>
  <c r="AT12" i="10"/>
  <c r="AT9" i="10"/>
  <c r="G47" i="8"/>
  <c r="F47" i="8"/>
  <c r="H36" i="16"/>
  <c r="C36" i="16"/>
  <c r="G36" i="16" s="1"/>
  <c r="O28" i="32"/>
  <c r="O27" i="32"/>
  <c r="O26" i="32"/>
  <c r="O25" i="32"/>
  <c r="O20" i="32"/>
  <c r="O19" i="32"/>
  <c r="O18" i="32"/>
  <c r="O17" i="32"/>
  <c r="N26" i="32"/>
  <c r="P26" i="32" s="1"/>
  <c r="N27" i="32"/>
  <c r="P27" i="32" s="1"/>
  <c r="N28" i="32"/>
  <c r="N25" i="32"/>
  <c r="P25" i="32" s="1"/>
  <c r="Z25" i="11"/>
  <c r="Z24" i="11"/>
  <c r="Z22" i="11" s="1"/>
  <c r="Z21" i="11"/>
  <c r="Z20" i="11"/>
  <c r="Z18" i="11" s="1"/>
  <c r="Z17" i="11"/>
  <c r="Z16" i="11"/>
  <c r="Z14" i="11" s="1"/>
  <c r="Z13" i="11"/>
  <c r="Z12" i="11"/>
  <c r="Z10" i="11" s="1"/>
  <c r="N20" i="32"/>
  <c r="P20" i="32" s="1"/>
  <c r="N19" i="32"/>
  <c r="P19" i="32" s="1"/>
  <c r="N18" i="32"/>
  <c r="P18" i="32" s="1"/>
  <c r="N17" i="32"/>
  <c r="P17" i="32" s="1"/>
  <c r="AB67" i="31"/>
  <c r="AB66" i="31"/>
  <c r="AB65" i="31"/>
  <c r="AB64" i="31"/>
  <c r="AB63" i="31"/>
  <c r="AB62" i="31"/>
  <c r="AB61" i="31"/>
  <c r="AB60" i="31"/>
  <c r="AB59" i="31"/>
  <c r="AB58" i="31"/>
  <c r="AB57" i="31"/>
  <c r="AB56" i="31"/>
  <c r="AB55" i="31"/>
  <c r="AB54" i="31"/>
  <c r="AB53" i="31"/>
  <c r="AB52" i="31"/>
  <c r="AB51" i="31"/>
  <c r="AB50" i="31"/>
  <c r="AB49" i="31"/>
  <c r="AB48" i="31"/>
  <c r="AB47" i="31"/>
  <c r="AB46" i="31"/>
  <c r="AB45" i="31"/>
  <c r="AB44" i="31"/>
  <c r="AB9" i="31"/>
  <c r="AB43" i="31"/>
  <c r="AB42" i="31"/>
  <c r="AB41" i="31"/>
  <c r="AB40" i="31"/>
  <c r="AB39" i="31"/>
  <c r="AB4" i="31"/>
  <c r="AB10" i="31"/>
  <c r="AB38" i="31"/>
  <c r="AB37" i="31"/>
  <c r="AB36" i="31"/>
  <c r="AB19" i="31"/>
  <c r="AB35" i="31"/>
  <c r="AB34" i="31"/>
  <c r="AB17" i="31"/>
  <c r="AB33" i="31"/>
  <c r="AB32" i="31"/>
  <c r="AB31" i="31"/>
  <c r="AB30" i="31"/>
  <c r="AB29" i="31"/>
  <c r="AB28" i="31"/>
  <c r="AB27" i="31"/>
  <c r="AB26" i="31"/>
  <c r="AB22" i="31"/>
  <c r="AB20" i="31"/>
  <c r="AB25" i="31"/>
  <c r="AB18" i="31"/>
  <c r="AB11" i="31"/>
  <c r="AB24" i="31"/>
  <c r="AB12" i="31"/>
  <c r="AB23" i="31"/>
  <c r="AB5" i="31"/>
  <c r="Y5" i="31"/>
  <c r="Z5" i="31"/>
  <c r="AA5" i="31"/>
  <c r="X6" i="31"/>
  <c r="Y6" i="31"/>
  <c r="X23" i="31"/>
  <c r="Z23" i="31"/>
  <c r="AA23" i="31"/>
  <c r="W12" i="31"/>
  <c r="X12" i="31"/>
  <c r="Y12" i="31"/>
  <c r="AA12" i="31"/>
  <c r="W24" i="31"/>
  <c r="Y24" i="31"/>
  <c r="Z24" i="31"/>
  <c r="AA24" i="31"/>
  <c r="X11" i="31"/>
  <c r="Y11" i="31"/>
  <c r="Z11" i="31"/>
  <c r="AA11" i="31"/>
  <c r="W18" i="31"/>
  <c r="X18" i="31"/>
  <c r="Y18" i="31"/>
  <c r="Z18" i="31"/>
  <c r="AA18" i="31"/>
  <c r="W25" i="31"/>
  <c r="Y25" i="31"/>
  <c r="Z25" i="31"/>
  <c r="AA25" i="31"/>
  <c r="W20" i="31"/>
  <c r="X20" i="31"/>
  <c r="Y20" i="31"/>
  <c r="AA20" i="31"/>
  <c r="W22" i="31"/>
  <c r="X22" i="31"/>
  <c r="Y22" i="31"/>
  <c r="AA22" i="31"/>
  <c r="W16" i="31"/>
  <c r="X16" i="31"/>
  <c r="Y16" i="31"/>
  <c r="Z16" i="31"/>
  <c r="W26" i="31"/>
  <c r="X26" i="31"/>
  <c r="Y26" i="31"/>
  <c r="Z26" i="31"/>
  <c r="AA26" i="31"/>
  <c r="W27" i="31"/>
  <c r="X27" i="31"/>
  <c r="Y27" i="31"/>
  <c r="Z27" i="31"/>
  <c r="AA27" i="31"/>
  <c r="W28" i="31"/>
  <c r="X28" i="31"/>
  <c r="Y28" i="31"/>
  <c r="Z28" i="31"/>
  <c r="AA28" i="31"/>
  <c r="W29" i="31"/>
  <c r="X29" i="31"/>
  <c r="Y29" i="31"/>
  <c r="Z29" i="31"/>
  <c r="AA29" i="31"/>
  <c r="W8" i="31"/>
  <c r="X8" i="31"/>
  <c r="Y8" i="31"/>
  <c r="Z8" i="31"/>
  <c r="AA8" i="31"/>
  <c r="W30" i="31"/>
  <c r="X30" i="31"/>
  <c r="Y30" i="31"/>
  <c r="Z30" i="31"/>
  <c r="AA30" i="31"/>
  <c r="W31" i="31"/>
  <c r="X31" i="31"/>
  <c r="Y31" i="31"/>
  <c r="Z31" i="31"/>
  <c r="AA31" i="31"/>
  <c r="W32" i="31"/>
  <c r="X32" i="31"/>
  <c r="Y32" i="31"/>
  <c r="Z32" i="31"/>
  <c r="AA32" i="31"/>
  <c r="W33" i="31"/>
  <c r="X33" i="31"/>
  <c r="Y33" i="31"/>
  <c r="Z33" i="31"/>
  <c r="AA33" i="31"/>
  <c r="W17" i="31"/>
  <c r="X17" i="31"/>
  <c r="Y17" i="31"/>
  <c r="Z17" i="31"/>
  <c r="AA17" i="31"/>
  <c r="W34" i="31"/>
  <c r="X34" i="31"/>
  <c r="Y34" i="31"/>
  <c r="Z34" i="31"/>
  <c r="AA34" i="31"/>
  <c r="W35" i="31"/>
  <c r="X35" i="31"/>
  <c r="Y35" i="31"/>
  <c r="Z35" i="31"/>
  <c r="AA35" i="31"/>
  <c r="W19" i="31"/>
  <c r="X19" i="31"/>
  <c r="Y19" i="31"/>
  <c r="Z19" i="31"/>
  <c r="AA19" i="31"/>
  <c r="W36" i="31"/>
  <c r="X36" i="31"/>
  <c r="Y36" i="31"/>
  <c r="Z36" i="31"/>
  <c r="AA36" i="31"/>
  <c r="W37" i="31"/>
  <c r="X37" i="31"/>
  <c r="Y37" i="31"/>
  <c r="Z37" i="31"/>
  <c r="AA37" i="31"/>
  <c r="W38" i="31"/>
  <c r="X38" i="31"/>
  <c r="Y38" i="31"/>
  <c r="Z38" i="31"/>
  <c r="AA38" i="31"/>
  <c r="W10" i="31"/>
  <c r="X10" i="31"/>
  <c r="Y10" i="31"/>
  <c r="Z10" i="31"/>
  <c r="AA10" i="31"/>
  <c r="W4" i="31"/>
  <c r="X4" i="31"/>
  <c r="Y4" i="31"/>
  <c r="Z4" i="31"/>
  <c r="AA4" i="31"/>
  <c r="W39" i="31"/>
  <c r="X39" i="31"/>
  <c r="Y39" i="31"/>
  <c r="Z39" i="31"/>
  <c r="AA39" i="31"/>
  <c r="W40" i="31"/>
  <c r="X40" i="31"/>
  <c r="Y40" i="31"/>
  <c r="Z40" i="31"/>
  <c r="AA40" i="31"/>
  <c r="W41" i="31"/>
  <c r="X41" i="31"/>
  <c r="Y41" i="31"/>
  <c r="Z41" i="31"/>
  <c r="AA41" i="31"/>
  <c r="W42" i="31"/>
  <c r="X42" i="31"/>
  <c r="Y42" i="31"/>
  <c r="Z42" i="31"/>
  <c r="AA42" i="31"/>
  <c r="W43" i="31"/>
  <c r="X43" i="31"/>
  <c r="Y43" i="31"/>
  <c r="Z43" i="31"/>
  <c r="AA43" i="31"/>
  <c r="W9" i="31"/>
  <c r="X9" i="31"/>
  <c r="Y9" i="31"/>
  <c r="Z9" i="31"/>
  <c r="AA9" i="31"/>
  <c r="W44" i="31"/>
  <c r="X44" i="31"/>
  <c r="Y44" i="31"/>
  <c r="Z44" i="31"/>
  <c r="AA44" i="31"/>
  <c r="W45" i="31"/>
  <c r="X45" i="31"/>
  <c r="Y45" i="31"/>
  <c r="Z45" i="31"/>
  <c r="AA45" i="31"/>
  <c r="W46" i="31"/>
  <c r="X46" i="31"/>
  <c r="Y46" i="31"/>
  <c r="Z46" i="31"/>
  <c r="AA46" i="31"/>
  <c r="W47" i="31"/>
  <c r="X47" i="31"/>
  <c r="Y47" i="31"/>
  <c r="Z47" i="31"/>
  <c r="AA47" i="31"/>
  <c r="W48" i="31"/>
  <c r="X48" i="31"/>
  <c r="Y48" i="31"/>
  <c r="Z48" i="31"/>
  <c r="AA48" i="31"/>
  <c r="W49" i="31"/>
  <c r="X49" i="31"/>
  <c r="Y49" i="31"/>
  <c r="Z49" i="31"/>
  <c r="AA49" i="31"/>
  <c r="W50" i="31"/>
  <c r="X50" i="31"/>
  <c r="Y50" i="31"/>
  <c r="Z50" i="31"/>
  <c r="AA50" i="31"/>
  <c r="W51" i="31"/>
  <c r="X51" i="31"/>
  <c r="Y51" i="31"/>
  <c r="Z51" i="31"/>
  <c r="AA51" i="31"/>
  <c r="W52" i="31"/>
  <c r="X52" i="31"/>
  <c r="Y52" i="31"/>
  <c r="Z52" i="31"/>
  <c r="AA52" i="31"/>
  <c r="W53" i="31"/>
  <c r="X53" i="31"/>
  <c r="Y53" i="31"/>
  <c r="Z53" i="31"/>
  <c r="AA53" i="31"/>
  <c r="W54" i="31"/>
  <c r="X54" i="31"/>
  <c r="Y54" i="31"/>
  <c r="Z54" i="31"/>
  <c r="AA54" i="31"/>
  <c r="W55" i="31"/>
  <c r="X55" i="31"/>
  <c r="Y55" i="31"/>
  <c r="Z55" i="31"/>
  <c r="AA55" i="31"/>
  <c r="W56" i="31"/>
  <c r="X56" i="31"/>
  <c r="Y56" i="31"/>
  <c r="Z56" i="31"/>
  <c r="AA56" i="31"/>
  <c r="W57" i="31"/>
  <c r="X57" i="31"/>
  <c r="Y57" i="31"/>
  <c r="Z57" i="31"/>
  <c r="AA57" i="31"/>
  <c r="W58" i="31"/>
  <c r="X58" i="31"/>
  <c r="Y58" i="31"/>
  <c r="Z58" i="31"/>
  <c r="AA58" i="31"/>
  <c r="W59" i="31"/>
  <c r="X59" i="31"/>
  <c r="Y59" i="31"/>
  <c r="Z59" i="31"/>
  <c r="AA59" i="31"/>
  <c r="W60" i="31"/>
  <c r="X60" i="31"/>
  <c r="Y60" i="31"/>
  <c r="Z60" i="31"/>
  <c r="AA60" i="31"/>
  <c r="W61" i="31"/>
  <c r="X61" i="31"/>
  <c r="Y61" i="31"/>
  <c r="Z61" i="31"/>
  <c r="AA61" i="31"/>
  <c r="W62" i="31"/>
  <c r="X62" i="31"/>
  <c r="Y62" i="31"/>
  <c r="Z62" i="31"/>
  <c r="AA62" i="31"/>
  <c r="W63" i="31"/>
  <c r="X63" i="31"/>
  <c r="Y63" i="31"/>
  <c r="Z63" i="31"/>
  <c r="AA63" i="31"/>
  <c r="W64" i="31"/>
  <c r="X64" i="31"/>
  <c r="Y64" i="31"/>
  <c r="Z64" i="31"/>
  <c r="AA64" i="31"/>
  <c r="W65" i="31"/>
  <c r="X65" i="31"/>
  <c r="Y65" i="31"/>
  <c r="Z65" i="31"/>
  <c r="AA65" i="31"/>
  <c r="W66" i="31"/>
  <c r="X66" i="31"/>
  <c r="Y66" i="31"/>
  <c r="Z66" i="31"/>
  <c r="AA66" i="31"/>
  <c r="W67" i="31"/>
  <c r="X67" i="31"/>
  <c r="Y67" i="31"/>
  <c r="Z67" i="31"/>
  <c r="AA67" i="31"/>
  <c r="W7" i="31"/>
  <c r="X7" i="31"/>
  <c r="AQ10" i="10"/>
  <c r="G46" i="8"/>
  <c r="F46" i="8"/>
  <c r="H35" i="16"/>
  <c r="C35" i="16"/>
  <c r="G35" i="16" s="1"/>
  <c r="D29" i="2"/>
  <c r="Y25" i="11"/>
  <c r="Y24" i="11"/>
  <c r="Y21" i="11"/>
  <c r="Y18" i="11" s="1"/>
  <c r="Y20" i="11"/>
  <c r="Y17" i="11"/>
  <c r="Y16" i="11"/>
  <c r="Y14" i="11"/>
  <c r="Y13" i="11"/>
  <c r="Y12" i="11"/>
  <c r="Y10" i="11" s="1"/>
  <c r="AP14" i="10"/>
  <c r="AP13" i="10"/>
  <c r="AP12" i="10"/>
  <c r="AP11" i="10"/>
  <c r="AP9" i="10"/>
  <c r="AP10" i="10"/>
  <c r="H34" i="16"/>
  <c r="G34" i="16"/>
  <c r="F45" i="8"/>
  <c r="G45" i="8"/>
  <c r="D27" i="2"/>
  <c r="AR18" i="31"/>
  <c r="AR7" i="31"/>
  <c r="AR12" i="31"/>
  <c r="AR19" i="31"/>
  <c r="AR23" i="31"/>
  <c r="AR20" i="31"/>
  <c r="AR11" i="31"/>
  <c r="AR21" i="31"/>
  <c r="AR16" i="31"/>
  <c r="AR8" i="31"/>
  <c r="AR13" i="31"/>
  <c r="AR22" i="31"/>
  <c r="AR14" i="31"/>
  <c r="AR15" i="31"/>
  <c r="AR24" i="31"/>
  <c r="AR25" i="31"/>
  <c r="AR26" i="31"/>
  <c r="AR27" i="31"/>
  <c r="AR28" i="31"/>
  <c r="AR29" i="31"/>
  <c r="AR30" i="31"/>
  <c r="AR31" i="31"/>
  <c r="AR32" i="31"/>
  <c r="AR33" i="31"/>
  <c r="AR17" i="31"/>
  <c r="AR9" i="31"/>
  <c r="AR34" i="31"/>
  <c r="AR35" i="31"/>
  <c r="AR36" i="31"/>
  <c r="AR37" i="31"/>
  <c r="AR38" i="31"/>
  <c r="AR10" i="31"/>
  <c r="AR39" i="31"/>
  <c r="AR40" i="31"/>
  <c r="AR41" i="31"/>
  <c r="AR42" i="31"/>
  <c r="AR43" i="31"/>
  <c r="AR44" i="31"/>
  <c r="AR45" i="31"/>
  <c r="AR46" i="31"/>
  <c r="AR47" i="31"/>
  <c r="AR48" i="31"/>
  <c r="AR49" i="31"/>
  <c r="AR50" i="31"/>
  <c r="AR51" i="31"/>
  <c r="AR52" i="31"/>
  <c r="AR53" i="31"/>
  <c r="AR54" i="31"/>
  <c r="AR55" i="31"/>
  <c r="AR56" i="31"/>
  <c r="AR57" i="31"/>
  <c r="AR58" i="31"/>
  <c r="AR59" i="31"/>
  <c r="AR60" i="31"/>
  <c r="AR61" i="31"/>
  <c r="AR62" i="31"/>
  <c r="AR63" i="31"/>
  <c r="AR64" i="31"/>
  <c r="AR65" i="31"/>
  <c r="AR5" i="31"/>
  <c r="X25" i="11"/>
  <c r="X24" i="11"/>
  <c r="X22" i="11" s="1"/>
  <c r="X21" i="11"/>
  <c r="X20" i="11"/>
  <c r="X18" i="11" s="1"/>
  <c r="X17" i="11"/>
  <c r="X16" i="11"/>
  <c r="X14" i="11" s="1"/>
  <c r="X13" i="11"/>
  <c r="X12" i="11"/>
  <c r="G44" i="8"/>
  <c r="F44" i="8"/>
  <c r="E26" i="2"/>
  <c r="F26" i="2"/>
  <c r="G33" i="16"/>
  <c r="H33" i="16"/>
  <c r="AN11" i="10"/>
  <c r="W25" i="11"/>
  <c r="W24" i="11"/>
  <c r="W22" i="11" s="1"/>
  <c r="W21" i="11"/>
  <c r="W20" i="11"/>
  <c r="W17" i="11"/>
  <c r="W16" i="11"/>
  <c r="W14" i="11" s="1"/>
  <c r="W13" i="11"/>
  <c r="W10" i="11" s="1"/>
  <c r="W12" i="11"/>
  <c r="AN10" i="10"/>
  <c r="AN12" i="10"/>
  <c r="AN14" i="10"/>
  <c r="AN13" i="10"/>
  <c r="AN9" i="10"/>
  <c r="C53" i="31"/>
  <c r="V22" i="11"/>
  <c r="V18" i="11"/>
  <c r="V14" i="11"/>
  <c r="V13" i="11"/>
  <c r="V10" i="11" s="1"/>
  <c r="H32" i="16"/>
  <c r="C32" i="16"/>
  <c r="G32" i="16"/>
  <c r="H26" i="2"/>
  <c r="G26" i="2"/>
  <c r="U5" i="31"/>
  <c r="C31" i="16"/>
  <c r="G31" i="16" s="1"/>
  <c r="H31" i="16"/>
  <c r="E42" i="8"/>
  <c r="G42" i="8" s="1"/>
  <c r="C42" i="8"/>
  <c r="F42" i="8" s="1"/>
  <c r="E25" i="2"/>
  <c r="I25" i="2" s="1"/>
  <c r="R15" i="13"/>
  <c r="R14" i="13"/>
  <c r="R13" i="13"/>
  <c r="R11" i="13"/>
  <c r="R10" i="13"/>
  <c r="U23" i="11"/>
  <c r="U24" i="11"/>
  <c r="U25" i="11"/>
  <c r="U21" i="11"/>
  <c r="U20" i="11"/>
  <c r="U19" i="11"/>
  <c r="U14" i="11"/>
  <c r="U12" i="11"/>
  <c r="U10" i="11" s="1"/>
  <c r="T10" i="11"/>
  <c r="T14" i="11"/>
  <c r="T18" i="11"/>
  <c r="T22" i="11"/>
  <c r="G30" i="16"/>
  <c r="F41" i="8"/>
  <c r="G41" i="8"/>
  <c r="Z23" i="2"/>
  <c r="AA23" i="2"/>
  <c r="AB23" i="2"/>
  <c r="AC23" i="2"/>
  <c r="Z24" i="2"/>
  <c r="AA24" i="2"/>
  <c r="AB24" i="2"/>
  <c r="AC24" i="2"/>
  <c r="P23" i="2"/>
  <c r="Q23" i="2"/>
  <c r="R23" i="2"/>
  <c r="S23" i="2"/>
  <c r="P24" i="2"/>
  <c r="Q24" i="2"/>
  <c r="R24" i="2"/>
  <c r="S24" i="2"/>
  <c r="AG14" i="10"/>
  <c r="AH13" i="10" s="1"/>
  <c r="AH9" i="10"/>
  <c r="AH12" i="10"/>
  <c r="AH11" i="10"/>
  <c r="S22" i="11"/>
  <c r="S18" i="11"/>
  <c r="S14" i="11"/>
  <c r="S10" i="11"/>
  <c r="G29" i="16"/>
  <c r="C40" i="8"/>
  <c r="F40" i="8" s="1"/>
  <c r="G40" i="8"/>
  <c r="G28" i="16"/>
  <c r="G39" i="8"/>
  <c r="F39" i="8"/>
  <c r="Z21" i="2"/>
  <c r="AA21" i="2"/>
  <c r="AB21" i="2"/>
  <c r="AC21" i="2"/>
  <c r="Z22" i="2"/>
  <c r="AA22" i="2"/>
  <c r="AB22" i="2"/>
  <c r="AC22" i="2"/>
  <c r="P21" i="2"/>
  <c r="Q21" i="2"/>
  <c r="R21" i="2"/>
  <c r="S21" i="2"/>
  <c r="P22" i="2"/>
  <c r="Q22" i="2"/>
  <c r="R22" i="2"/>
  <c r="S22" i="2"/>
  <c r="R22" i="11"/>
  <c r="R18" i="11"/>
  <c r="R14" i="11"/>
  <c r="R10" i="11"/>
  <c r="K27" i="17"/>
  <c r="G27" i="16"/>
  <c r="F38" i="8"/>
  <c r="G38" i="8"/>
  <c r="Q10" i="11"/>
  <c r="Q22" i="11"/>
  <c r="Q18" i="11"/>
  <c r="Q14" i="11"/>
  <c r="G26" i="16"/>
  <c r="F37" i="8"/>
  <c r="G37" i="8"/>
  <c r="P10" i="11"/>
  <c r="P14" i="11"/>
  <c r="P18" i="11"/>
  <c r="P22" i="11"/>
  <c r="Z20" i="2"/>
  <c r="AA20" i="2"/>
  <c r="AB20" i="2"/>
  <c r="AC20" i="2"/>
  <c r="P20" i="2"/>
  <c r="Q20" i="2"/>
  <c r="R20" i="2"/>
  <c r="S20" i="2"/>
  <c r="G25" i="16"/>
  <c r="O10" i="11"/>
  <c r="O14" i="11"/>
  <c r="O18" i="11"/>
  <c r="O22" i="11"/>
  <c r="Z19" i="2"/>
  <c r="AA19" i="2"/>
  <c r="AB19" i="2"/>
  <c r="AC19" i="2"/>
  <c r="P19" i="2"/>
  <c r="Q19" i="2"/>
  <c r="R19" i="2"/>
  <c r="S19" i="2"/>
  <c r="G24" i="16"/>
  <c r="N22" i="11"/>
  <c r="N18" i="11"/>
  <c r="N14" i="11"/>
  <c r="N10" i="11"/>
  <c r="Z18" i="2"/>
  <c r="AA18" i="2"/>
  <c r="AB18" i="2"/>
  <c r="AC18" i="2"/>
  <c r="P18" i="2"/>
  <c r="Q18" i="2"/>
  <c r="R18" i="2"/>
  <c r="S18" i="2"/>
  <c r="M10" i="11"/>
  <c r="M14" i="11"/>
  <c r="M18" i="11"/>
  <c r="M22" i="11"/>
  <c r="G23" i="16"/>
  <c r="I17" i="2"/>
  <c r="P17" i="2"/>
  <c r="Q17" i="2"/>
  <c r="R17" i="2"/>
  <c r="S17" i="2"/>
  <c r="Z17" i="2"/>
  <c r="AA17" i="2"/>
  <c r="AB17" i="2"/>
  <c r="AC17" i="2"/>
  <c r="L10" i="11"/>
  <c r="L14" i="11"/>
  <c r="L18" i="11"/>
  <c r="L22" i="11"/>
  <c r="G22" i="16"/>
  <c r="Z16" i="2"/>
  <c r="AA16" i="2"/>
  <c r="AB16" i="2"/>
  <c r="AC16" i="2"/>
  <c r="P16" i="2"/>
  <c r="Q16" i="2"/>
  <c r="R16" i="2"/>
  <c r="S16" i="2"/>
  <c r="I16" i="2"/>
  <c r="K10" i="11"/>
  <c r="K14" i="11"/>
  <c r="K18" i="11"/>
  <c r="K22" i="11"/>
  <c r="G21" i="16"/>
  <c r="J10" i="11"/>
  <c r="J14" i="11"/>
  <c r="J18" i="11"/>
  <c r="J22" i="11"/>
  <c r="G20" i="16"/>
  <c r="Z14" i="2"/>
  <c r="AA14" i="2"/>
  <c r="AB14" i="2"/>
  <c r="AC14" i="2"/>
  <c r="Z15" i="2"/>
  <c r="AA15" i="2"/>
  <c r="AB15" i="2"/>
  <c r="AC15" i="2"/>
  <c r="AA13" i="2"/>
  <c r="AB13" i="2"/>
  <c r="AC13" i="2"/>
  <c r="Z13" i="2"/>
  <c r="P13" i="2"/>
  <c r="P14" i="2"/>
  <c r="E22" i="11"/>
  <c r="F22" i="11"/>
  <c r="G22" i="11"/>
  <c r="H22" i="11"/>
  <c r="I22" i="11"/>
  <c r="E18" i="11"/>
  <c r="F18" i="11"/>
  <c r="G18" i="11"/>
  <c r="H18" i="11"/>
  <c r="I18" i="11"/>
  <c r="E14" i="11"/>
  <c r="F14" i="11"/>
  <c r="G14" i="11"/>
  <c r="H14" i="11"/>
  <c r="I14" i="11"/>
  <c r="G19" i="16"/>
  <c r="G18" i="16"/>
  <c r="K14" i="17"/>
  <c r="K15" i="17"/>
  <c r="K16" i="17"/>
  <c r="K17" i="17"/>
  <c r="K18" i="17"/>
  <c r="K19" i="17"/>
  <c r="K20" i="17"/>
  <c r="K21" i="17"/>
  <c r="K22" i="17"/>
  <c r="K23" i="17"/>
  <c r="K24" i="17"/>
  <c r="K25" i="17"/>
  <c r="K26" i="17"/>
  <c r="K28" i="17"/>
  <c r="K29" i="17"/>
  <c r="K30" i="17"/>
  <c r="E10" i="11"/>
  <c r="F10" i="11"/>
  <c r="G10" i="11"/>
  <c r="H10" i="11"/>
  <c r="I10" i="11"/>
  <c r="P11" i="2"/>
  <c r="Q11" i="2"/>
  <c r="R11" i="2"/>
  <c r="S11" i="2"/>
  <c r="P12" i="2"/>
  <c r="Q12" i="2"/>
  <c r="R12" i="2"/>
  <c r="S12" i="2"/>
  <c r="Q13" i="2"/>
  <c r="R13" i="2"/>
  <c r="S13" i="2"/>
  <c r="Q14" i="2"/>
  <c r="R14" i="2"/>
  <c r="S14" i="2"/>
  <c r="P15" i="2"/>
  <c r="Q15" i="2"/>
  <c r="R15" i="2"/>
  <c r="S15" i="2"/>
  <c r="K7" i="16"/>
  <c r="P10" i="2"/>
  <c r="Q10" i="2"/>
  <c r="R10" i="2"/>
  <c r="S10" i="2"/>
  <c r="K13" i="17"/>
  <c r="G14" i="16"/>
  <c r="G15" i="16"/>
  <c r="G16" i="16"/>
  <c r="G17" i="16"/>
  <c r="P9" i="2"/>
  <c r="Q9" i="2"/>
  <c r="R9" i="2"/>
  <c r="S9" i="2"/>
  <c r="Q8" i="2"/>
  <c r="R8" i="2"/>
  <c r="S8" i="2"/>
  <c r="P8" i="2"/>
  <c r="I9" i="2"/>
  <c r="I10" i="2"/>
  <c r="I11" i="2"/>
  <c r="I12" i="2"/>
  <c r="I13" i="2"/>
  <c r="I14" i="2"/>
  <c r="I15" i="2"/>
  <c r="I18" i="2"/>
  <c r="I19" i="2"/>
  <c r="I20" i="2"/>
  <c r="I21" i="2"/>
  <c r="I22" i="2"/>
  <c r="I23" i="2"/>
  <c r="I24" i="2"/>
  <c r="I27" i="2"/>
  <c r="I28" i="2"/>
  <c r="I29" i="2"/>
  <c r="I30" i="2"/>
  <c r="I31" i="2"/>
  <c r="I33" i="2"/>
  <c r="I34" i="2"/>
  <c r="I35" i="2"/>
  <c r="I36" i="2"/>
  <c r="I37" i="2"/>
  <c r="I38" i="2"/>
  <c r="I39" i="2"/>
  <c r="I40" i="2"/>
  <c r="I42" i="2"/>
  <c r="I43" i="2"/>
  <c r="I44" i="2"/>
  <c r="I45" i="2"/>
  <c r="I46" i="2"/>
  <c r="I47" i="2"/>
  <c r="I48" i="2"/>
  <c r="I49" i="2"/>
  <c r="I50" i="2"/>
  <c r="I51" i="2"/>
  <c r="I52" i="2"/>
  <c r="D22" i="11"/>
  <c r="D18" i="11"/>
  <c r="D14" i="11"/>
  <c r="D10" i="11"/>
  <c r="I8" i="2"/>
  <c r="AT14" i="10"/>
  <c r="U22" i="11" l="1"/>
  <c r="AH10" i="10"/>
  <c r="U18" i="11"/>
  <c r="Y22" i="11"/>
  <c r="AQ14" i="10"/>
  <c r="W18" i="11"/>
  <c r="X10" i="11"/>
  <c r="AR2" i="31"/>
  <c r="AA14" i="11"/>
  <c r="AA10" i="11"/>
  <c r="P28" i="32"/>
  <c r="I26" i="2"/>
  <c r="AR9" i="10" l="1"/>
  <c r="AR11" i="10"/>
  <c r="AR13" i="10"/>
  <c r="AR12" i="10"/>
  <c r="AR10" i="10"/>
  <c r="AR14"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mhoeger</author>
  </authors>
  <commentList>
    <comment ref="V17" authorId="0" shapeId="0" xr:uid="{00000000-0006-0000-0700-000001000000}">
      <text>
        <r>
          <rPr>
            <b/>
            <sz val="9"/>
            <color indexed="81"/>
            <rFont val="Tahoma"/>
            <family val="2"/>
          </rPr>
          <t>mhoeger:</t>
        </r>
        <r>
          <rPr>
            <sz val="9"/>
            <color indexed="81"/>
            <rFont val="Tahoma"/>
            <family val="2"/>
          </rPr>
          <t xml:space="preserve">
246519: Calendar issues, appears to be corrupt mailbox - requires additional maintenance
</t>
        </r>
      </text>
    </comment>
  </commentList>
</comments>
</file>

<file path=xl/sharedStrings.xml><?xml version="1.0" encoding="utf-8"?>
<sst xmlns="http://schemas.openxmlformats.org/spreadsheetml/2006/main" count="64246" uniqueCount="21712">
  <si>
    <t>Total Tickets</t>
  </si>
  <si>
    <t>Type</t>
  </si>
  <si>
    <t>Password Change</t>
  </si>
  <si>
    <t>CC Account</t>
  </si>
  <si>
    <t>Blackberry</t>
  </si>
  <si>
    <t>Anti-Spam</t>
  </si>
  <si>
    <t>Mail Tracking</t>
  </si>
  <si>
    <t>Mailbox Restore</t>
  </si>
  <si>
    <t>Blackberry Enterprise Activation</t>
  </si>
  <si>
    <t>Edit Exchange Distribution List</t>
  </si>
  <si>
    <t>Exchange</t>
  </si>
  <si>
    <t>Outlook</t>
  </si>
  <si>
    <t>Edit Exchange Account</t>
  </si>
  <si>
    <t>Other</t>
  </si>
  <si>
    <t>CC Filter Creation</t>
  </si>
  <si>
    <t>Mail Routing</t>
  </si>
  <si>
    <t>Reports</t>
  </si>
  <si>
    <t>Add Exchange Account</t>
  </si>
  <si>
    <t>Outlook Troubleshooting</t>
  </si>
  <si>
    <t>OWA</t>
  </si>
  <si>
    <t>Outlook Functionality Question</t>
  </si>
  <si>
    <t>Add Exchange Distribution Group</t>
  </si>
  <si>
    <t>Delete Exchange Account</t>
  </si>
  <si>
    <t>Security Incident</t>
  </si>
  <si>
    <t>CC Defect</t>
  </si>
  <si>
    <t>Resurrect Ghost Account</t>
  </si>
  <si>
    <t>Outage</t>
  </si>
  <si>
    <t>AirWatch</t>
  </si>
  <si>
    <t>Mail Flow</t>
  </si>
  <si>
    <t>ActiveSync</t>
  </si>
  <si>
    <t>Add Exchange Resource</t>
  </si>
  <si>
    <t>Add Exchange Contact</t>
  </si>
  <si>
    <t>Password</t>
  </si>
  <si>
    <t>CC Permissions</t>
  </si>
  <si>
    <t>Iphone</t>
  </si>
  <si>
    <t>Mail Relay</t>
  </si>
  <si>
    <t>False Positive</t>
  </si>
  <si>
    <t>Provisioning Error</t>
  </si>
  <si>
    <t>Lync</t>
  </si>
  <si>
    <t>Anti-Virus</t>
  </si>
  <si>
    <t>Echoworx</t>
  </si>
  <si>
    <t>Unsupported Call</t>
  </si>
  <si>
    <t>Auto-Signature</t>
  </si>
  <si>
    <t>Security Requests</t>
  </si>
  <si>
    <t>Compromised Account</t>
  </si>
  <si>
    <t>Vlookup</t>
  </si>
  <si>
    <t>Edit Exchange Contact</t>
  </si>
  <si>
    <t>Add BES Account</t>
  </si>
  <si>
    <t>Public Folder</t>
  </si>
  <si>
    <t>Severity 1</t>
  </si>
  <si>
    <t>Severity 2</t>
  </si>
  <si>
    <t>Month</t>
  </si>
  <si>
    <t>Identified as SPAM</t>
  </si>
  <si>
    <t>Released by users</t>
  </si>
  <si>
    <t>% of all messages flagged as SPAM</t>
  </si>
  <si>
    <t>% of quarantined messages released as legitimate</t>
  </si>
  <si>
    <t>SecurID</t>
  </si>
  <si>
    <t>Message Received</t>
  </si>
  <si>
    <t>Statistic</t>
  </si>
  <si>
    <t>Source</t>
  </si>
  <si>
    <t>CC Report - Spam Volume by Month</t>
  </si>
  <si>
    <t>https://00199c02.pphosted.com:10000</t>
  </si>
  <si>
    <t>Reporting Month</t>
  </si>
  <si>
    <t>Message Count</t>
  </si>
  <si>
    <t>%</t>
  </si>
  <si>
    <t>Accepted</t>
  </si>
  <si>
    <t>Blocked: Spam</t>
  </si>
  <si>
    <t>Blocked: Others</t>
  </si>
  <si>
    <t>Blocked: Anti-Virus</t>
  </si>
  <si>
    <t>Blocked: Email Firewall</t>
  </si>
  <si>
    <t>Total</t>
  </si>
  <si>
    <t>Unrated/Merged</t>
  </si>
  <si>
    <t>Availability</t>
  </si>
  <si>
    <t>Sept. '14</t>
  </si>
  <si>
    <t>Oct. '14</t>
  </si>
  <si>
    <t>Total Users</t>
  </si>
  <si>
    <r>
      <t>[</t>
    </r>
    <r>
      <rPr>
        <sz val="12"/>
        <color rgb="FF000000"/>
        <rFont val="Calibri"/>
        <family val="2"/>
        <scheme val="minor"/>
      </rPr>
      <t>[</t>
    </r>
    <r>
      <rPr>
        <sz val="11"/>
        <color rgb="FF000000"/>
        <rFont val="Calibri"/>
        <family val="2"/>
        <scheme val="minor"/>
      </rPr>
      <t>(Total Users) x (Total Service Minutes) - ∑(Impacted Users) x (Outage Minutes)</t>
    </r>
    <r>
      <rPr>
        <sz val="12"/>
        <color rgb="FF000000"/>
        <rFont val="Calibri"/>
        <family val="2"/>
        <scheme val="minor"/>
      </rPr>
      <t>]</t>
    </r>
    <r>
      <rPr>
        <sz val="11"/>
        <color rgb="FF000000"/>
        <rFont val="Calibri"/>
        <family val="2"/>
        <scheme val="minor"/>
      </rPr>
      <t xml:space="preserve"> x 100</t>
    </r>
    <r>
      <rPr>
        <sz val="14"/>
        <color rgb="FF000000"/>
        <rFont val="Calibri"/>
        <family val="2"/>
        <scheme val="minor"/>
      </rPr>
      <t>]</t>
    </r>
  </si>
  <si>
    <t>[(Total Users) x (Total Service Minutes)]</t>
  </si>
  <si>
    <t>(24 hrs/day * 60 min/hr * 30 day/mth)</t>
  </si>
  <si>
    <t xml:space="preserve">Total Service Minutes = </t>
  </si>
  <si>
    <t>Impacted Users</t>
  </si>
  <si>
    <t>Outage Minutes</t>
  </si>
  <si>
    <t>BES</t>
  </si>
  <si>
    <t>ProofPoint</t>
  </si>
  <si>
    <t>BES Availability %</t>
  </si>
  <si>
    <t>ProofPoint Availability %</t>
  </si>
  <si>
    <t>Exchange Availability %</t>
  </si>
  <si>
    <t>Exchange Outages</t>
  </si>
  <si>
    <t>BES Outages</t>
  </si>
  <si>
    <t>ProofPoint Outages</t>
  </si>
  <si>
    <t>Ticket</t>
  </si>
  <si>
    <t>Severity</t>
  </si>
  <si>
    <t>Duration (Minutes)</t>
  </si>
  <si>
    <t>Total Impacted Users</t>
  </si>
  <si>
    <t>Total Duration (Minutes)</t>
  </si>
  <si>
    <t>CC Report - Released message by category (export to count)</t>
  </si>
  <si>
    <t>Nov. '14</t>
  </si>
  <si>
    <t>Aug. '14</t>
  </si>
  <si>
    <t>Jul. '14</t>
  </si>
  <si>
    <t>Sev 4</t>
  </si>
  <si>
    <t>Sev 3</t>
  </si>
  <si>
    <t>Sev 2</t>
  </si>
  <si>
    <t>Sev 1</t>
  </si>
  <si>
    <t>Column1</t>
  </si>
  <si>
    <t>Column2</t>
  </si>
  <si>
    <t>Column3</t>
  </si>
  <si>
    <t>Column4</t>
  </si>
  <si>
    <t>Column5</t>
  </si>
  <si>
    <t>Column6</t>
  </si>
  <si>
    <t>Column7</t>
  </si>
  <si>
    <t>Column8</t>
  </si>
  <si>
    <t>Column9</t>
  </si>
  <si>
    <t>Column10</t>
  </si>
  <si>
    <t>Column11</t>
  </si>
  <si>
    <t>Ticket Numbers</t>
  </si>
  <si>
    <t>SLO (Response)</t>
  </si>
  <si>
    <t>SLO</t>
  </si>
  <si>
    <t>Credit (% at risk MRC)</t>
  </si>
  <si>
    <t>Objective</t>
  </si>
  <si>
    <t>miss no more than 2/month</t>
  </si>
  <si>
    <t>If &gt; 20, 95%
If &lt; 20, 2 or less</t>
  </si>
  <si>
    <t>&lt; 99%</t>
  </si>
  <si>
    <t>99%-99.49%</t>
  </si>
  <si>
    <t>99.5%-99.89%</t>
  </si>
  <si>
    <t>99.9%-99.98%</t>
  </si>
  <si>
    <t>ActiveSync %</t>
  </si>
  <si>
    <t>Column82</t>
  </si>
  <si>
    <t>Column94</t>
  </si>
  <si>
    <t>Column105</t>
  </si>
  <si>
    <t>Column116</t>
  </si>
  <si>
    <t>Mailbox Size</t>
  </si>
  <si>
    <t>Sum of mailbox sizes from CC Exchange Users report</t>
  </si>
  <si>
    <t>Available Mailbox size</t>
  </si>
  <si>
    <t>TB Calculator</t>
  </si>
  <si>
    <t>Archive Size</t>
  </si>
  <si>
    <t>Sum of archive sizes form CC Exchange Users report</t>
  </si>
  <si>
    <t xml:space="preserve">GB: </t>
  </si>
  <si>
    <t>&lt;-- Enter here</t>
  </si>
  <si>
    <t>Available Archive Storage</t>
  </si>
  <si>
    <t xml:space="preserve">TB: </t>
  </si>
  <si>
    <t>&lt;-- Read here</t>
  </si>
  <si>
    <t>Total Utilized Storage</t>
  </si>
  <si>
    <t>Mailbox Size + Archive Size</t>
  </si>
  <si>
    <t>Total Available Storage</t>
  </si>
  <si>
    <t>*Convert all to TB</t>
  </si>
  <si>
    <t>Available Mailbox Storage</t>
  </si>
  <si>
    <t>Total number of users from the CC Exchange users report x contracted mailbox size</t>
  </si>
  <si>
    <t>Total number of users from the CC Exchange users report x contracted archive mailbox size</t>
  </si>
  <si>
    <t>MFC</t>
  </si>
  <si>
    <t>5GB Pooled Storage/user</t>
  </si>
  <si>
    <t>if &lt;3000 users = 15TB, if &gt;3000 users = # of users * 5GB</t>
  </si>
  <si>
    <t>Sum</t>
  </si>
  <si>
    <t>Pulled from SPS Invoices: http://cx66.800onemail.com/SpsConsole/SpsInvoices.htm</t>
  </si>
  <si>
    <t>Expand to Year &gt; Month &gt; IBMCA: Scroll down to MANULIFE FINANCIAL CORPORATION</t>
  </si>
  <si>
    <t>Dec. '14</t>
  </si>
  <si>
    <t>(CC Report - Message Volume by Month) + (CC Report - Spam Volume by Month)</t>
  </si>
  <si>
    <t>Jan. '15</t>
  </si>
  <si>
    <t>231731 (MFC caused incident)</t>
  </si>
  <si>
    <t>Feb. '15</t>
  </si>
  <si>
    <t>Sep. '14</t>
  </si>
  <si>
    <t>Column93</t>
  </si>
  <si>
    <t>Column104</t>
  </si>
  <si>
    <t>Column115</t>
  </si>
  <si>
    <t>Column826</t>
  </si>
  <si>
    <t>%7</t>
  </si>
  <si>
    <t>Column948</t>
  </si>
  <si>
    <t>Column1059</t>
  </si>
  <si>
    <t>Column11610</t>
  </si>
  <si>
    <t>Column8262</t>
  </si>
  <si>
    <t>Response Missed SLO</t>
  </si>
  <si>
    <t>Resolution Missed SLO</t>
  </si>
  <si>
    <t>Mar. '15</t>
  </si>
  <si>
    <t>239094 - CC
239700 - EFW (no MFC ticket)</t>
  </si>
  <si>
    <t>Apr. '15</t>
  </si>
  <si>
    <t>Change BES Support model. Only charge for activated, not for all enabled on BES</t>
  </si>
  <si>
    <t>May '15</t>
  </si>
  <si>
    <t>Jun. '15</t>
  </si>
  <si>
    <t>Jul. '15</t>
  </si>
  <si>
    <t>Add Account</t>
  </si>
  <si>
    <t>Adopt/Associate Account</t>
  </si>
  <si>
    <t>Alert</t>
  </si>
  <si>
    <t>Cloud Control Account Password</t>
  </si>
  <si>
    <t>Edit Account</t>
  </si>
  <si>
    <t>Permissions</t>
  </si>
  <si>
    <t>Troubleshooting</t>
  </si>
  <si>
    <t>Unclassified</t>
  </si>
  <si>
    <t>Aug'15</t>
  </si>
  <si>
    <t>Certificate</t>
  </si>
  <si>
    <t>Security Audit</t>
  </si>
  <si>
    <t>Whitelist Creation</t>
  </si>
  <si>
    <t>Aug. '15</t>
  </si>
  <si>
    <t>Sep' 15</t>
  </si>
  <si>
    <t>Sep. '15</t>
  </si>
  <si>
    <t>Connectivity</t>
  </si>
  <si>
    <t>Insight</t>
  </si>
  <si>
    <t>Sept' 15</t>
  </si>
  <si>
    <t>Sept. '15</t>
  </si>
  <si>
    <t>Blocked:Others</t>
  </si>
  <si>
    <t xml:space="preserve">259357
260357
</t>
  </si>
  <si>
    <t>n/a</t>
  </si>
  <si>
    <t>Oct. '15</t>
  </si>
  <si>
    <t>Oct '15</t>
  </si>
  <si>
    <t>Nov. '15</t>
  </si>
  <si>
    <t>Nov '15</t>
  </si>
  <si>
    <t>Blocked:Email Firewall</t>
  </si>
  <si>
    <t>Dec.'15</t>
  </si>
  <si>
    <t>Dec' 15</t>
  </si>
  <si>
    <t>Oct.'15</t>
  </si>
  <si>
    <t>Nov.'15</t>
  </si>
  <si>
    <t>Jan. '16</t>
  </si>
  <si>
    <t>Feb. '16</t>
  </si>
  <si>
    <t>Jan '16</t>
  </si>
  <si>
    <t>Dec. '15</t>
  </si>
  <si>
    <t>Mar.'16</t>
  </si>
  <si>
    <t>Feb.'16</t>
  </si>
  <si>
    <t>Feb'16</t>
  </si>
  <si>
    <t>Logs and Reports &gt; Report Viewer &gt; Global Message Summary -&gt; Then, click on "customize report"</t>
  </si>
  <si>
    <t>Note:</t>
  </si>
  <si>
    <t>Before pasting the data from the SPS tables, make sure that the data in the tab "User Counts" is not referencing this table. For example, if you are reporting March, go to the tab "User Counts"  and make sure that the data from February is already "Static". If not, "copy and paste" the data from February (paste as text) and go back here.</t>
  </si>
  <si>
    <t>Month:</t>
  </si>
  <si>
    <t>(On SPS)</t>
  </si>
  <si>
    <t>April'16</t>
  </si>
  <si>
    <t>To obtain the Activesync (below), you need to go to the SPS (http://crxtweb.crx.local/webapps/CQWS/SpsInvoices.htm) the reseller view. Click on IBMCA and go to the bottom of the page (at right) you will find a table with all the Ibm Customers.</t>
  </si>
  <si>
    <t>Ticket Type</t>
  </si>
  <si>
    <t>Count</t>
  </si>
  <si>
    <t>Mar'16</t>
  </si>
  <si>
    <t xml:space="preserve">Reporting Month: </t>
  </si>
  <si>
    <t>The information in this table comes from the "Insight Tickets System". Copy the table from the reporting month here.</t>
  </si>
  <si>
    <t>Important: Before changing the table, make sure to "copy and paste" the information from the previous month in the "Tickets Stats" tab to keep the historical data.</t>
  </si>
  <si>
    <t>Example: If you are using this file to update the information for March, before pasting the data here, go to the "Tickets Stats" and make sure that the data for February is already "static" (with no references to this table, here).</t>
  </si>
  <si>
    <t>Tickets</t>
  </si>
  <si>
    <t>Resolution</t>
  </si>
  <si>
    <t>Responsefirst</t>
  </si>
  <si>
    <t>Responsemax</t>
  </si>
  <si>
    <t xml:space="preserve">        Month </t>
  </si>
  <si>
    <t xml:space="preserve"> Messages received</t>
  </si>
  <si>
    <t xml:space="preserve"> Messages sent</t>
  </si>
  <si>
    <t xml:space="preserve"> Bytes received</t>
  </si>
  <si>
    <t xml:space="preserve"> Bytes sent </t>
  </si>
  <si>
    <t>Message volume by month</t>
  </si>
  <si>
    <t xml:space="preserve"> Total spam stopped</t>
  </si>
  <si>
    <t xml:space="preserve"> Volume of spam stopped </t>
  </si>
  <si>
    <t>Spam volume by Month</t>
  </si>
  <si>
    <t>Released by category</t>
  </si>
  <si>
    <t>Response</t>
  </si>
  <si>
    <t>Copy data from SPS site. Copy the exact table in the cell C-3. (SPS Link: http://crxtweb.crx.local/webapps/CQWS/SpsCrxInvoices.htm)</t>
  </si>
  <si>
    <t>To create the charts in the "Top 10 Tickets" tab, you'll need the file 'Ticket Class" (Excel File). Copy the Tickets list for the month in the column B of the "Top 10 Tickets". Make sure the charts are point to the right data tables/columns.</t>
  </si>
  <si>
    <t>Go to the "Tickets Stats" tab and refer to the "Insight tickets table" tab. After doing this, make sure you copy and "paste as text" the row with the reference to keep the historical data.</t>
  </si>
  <si>
    <t>Using the "CCExchange Users" report from Cloud Control, go to "CC Ops Data", copy the data(*) in the table and run the macro to create the "CC Ops Chart". // Important: The raw data must be contained in the a tab called "CC Ops Data". Make sure the tab name is exactly this: "CC Ops Data".</t>
  </si>
  <si>
    <t>(*) Related to the step 9 - related to "CC Ops Data" - Before using the macro consider the following:</t>
  </si>
  <si>
    <t>The "data transformation" has to be done in the CCAuditbyEmail file (report from Cloud Control).</t>
  </si>
  <si>
    <t>Once the data is transformed, copy the raw data in the "CC Ops data" tab starting in the cell C3.</t>
  </si>
  <si>
    <t>Use the macro. The Chart will be ready to be used in the MOR report.</t>
  </si>
  <si>
    <t>Service</t>
  </si>
  <si>
    <t>Ticket Class</t>
  </si>
  <si>
    <t># Opened</t>
  </si>
  <si>
    <t># Outside Target</t>
  </si>
  <si>
    <t>SLA</t>
  </si>
  <si>
    <t>Achieved</t>
  </si>
  <si>
    <t>SLA Credit</t>
  </si>
  <si>
    <t>30 Minutes</t>
  </si>
  <si>
    <t>1 Hour</t>
  </si>
  <si>
    <t>Severity 3</t>
  </si>
  <si>
    <t>4 Hours</t>
  </si>
  <si>
    <t>Not Applicable</t>
  </si>
  <si>
    <t>Severity 4</t>
  </si>
  <si>
    <t>1 Business Day</t>
  </si>
  <si>
    <t>Resolution or Workaround</t>
  </si>
  <si>
    <t>Until Resolved</t>
  </si>
  <si>
    <t>48 Hours</t>
  </si>
  <si>
    <t>5 business days</t>
  </si>
  <si>
    <t>There are hidden rows in the table below.</t>
  </si>
  <si>
    <t>Total:</t>
  </si>
  <si>
    <t>SPS Data (Reseller view)</t>
  </si>
  <si>
    <t>Go to the "User Counts" tab and make sure the corrects fields are being added in the table. Reference to the "SPS Data" tab. Make sure to copy and "paste as text" the data in the "User Counts" tab. If don't do it, you'll loose historical data.</t>
  </si>
  <si>
    <t>MFC:: Instructions on how to use this MOR Generator report</t>
  </si>
  <si>
    <t>In the "Availability" tab you'll need the data from the "MI Report" (Major Incident Report) for the reporting month. Check for outages for this customer. Put the availability figures in the MOR (ppt) table.</t>
  </si>
  <si>
    <t>In the "Insight Tickets table" insert the table copied from the insight system ticket. Make sure you're copying the insight table for the reporting month (and for the right customer). Copy the date from the insight table to the tables below it. The tables must be copied to the MOR report.</t>
  </si>
  <si>
    <t>The data for Storage information is taken from Cloud Control. It is necessary to download the "CCExchangeUsers" report from Cloud Control before generating the chart in this part of the report.</t>
  </si>
  <si>
    <t>The Quarantine information is taken from 2 reports on Cloud Control: (CC Report - Message Volume by Month) + (CC Report - Spam Volume by Month). Make sure to download them before making the chart here.</t>
  </si>
  <si>
    <t>The "proofpoint" tab contains information about the firewall usage. It is necessary to log into the proofpoint portal and download data. The link to the portal is in the "proofpoint" tab.</t>
  </si>
  <si>
    <t>Note: The total here must be the same as the total of the "Insight Ticket Table"</t>
  </si>
  <si>
    <t>May'16</t>
  </si>
  <si>
    <t>Apr'16</t>
  </si>
  <si>
    <t>Apr.'16</t>
  </si>
  <si>
    <t>Blocked:Anti-Virus</t>
  </si>
  <si>
    <t>June'16</t>
  </si>
  <si>
    <t>July'16</t>
  </si>
  <si>
    <t>Aug'16</t>
  </si>
  <si>
    <t>Ticket Subclass</t>
  </si>
  <si>
    <t>August'16</t>
  </si>
  <si>
    <t>Sep'16</t>
  </si>
  <si>
    <t>Oct'16</t>
  </si>
  <si>
    <t>September'16</t>
  </si>
  <si>
    <t>Nov'16</t>
  </si>
  <si>
    <t>October'16</t>
  </si>
  <si>
    <t>Blocked:Spam</t>
  </si>
  <si>
    <t>Dec'16</t>
  </si>
  <si>
    <t>Email Firewall (EFW)</t>
  </si>
  <si>
    <t>Jan'17</t>
  </si>
  <si>
    <t>Feb'17</t>
  </si>
  <si>
    <t>Product Code</t>
  </si>
  <si>
    <t>User Count</t>
  </si>
  <si>
    <t>Black Berry</t>
  </si>
  <si>
    <t>Active Sync</t>
  </si>
  <si>
    <t>100MB</t>
  </si>
  <si>
    <t>1GB</t>
  </si>
  <si>
    <t>Storage (MB)</t>
  </si>
  <si>
    <t>Full Month Users</t>
  </si>
  <si>
    <t>User Prorated Days</t>
  </si>
  <si>
    <t>Black Berry Prorated Days</t>
  </si>
  <si>
    <t>Active Sync Prorated Days</t>
  </si>
  <si>
    <t>  Messages</t>
  </si>
  <si>
    <t>  Percent</t>
  </si>
  <si>
    <t>Mar'17</t>
  </si>
  <si>
    <t>539.8GB</t>
  </si>
  <si>
    <t>1MB</t>
  </si>
  <si>
    <t>Apr'17</t>
  </si>
  <si>
    <t>May'17</t>
  </si>
  <si>
    <t>June'17</t>
  </si>
  <si>
    <t>Jun'17</t>
  </si>
  <si>
    <t>Quarantine Digest</t>
  </si>
  <si>
    <t>Top 10 Mailbox Sizes (GB)</t>
  </si>
  <si>
    <t># of Users &gt;5GB</t>
  </si>
  <si>
    <t># of Users &gt;10GB</t>
  </si>
  <si>
    <t># of Users &gt;20GB</t>
  </si>
  <si>
    <t>Note: Data from the "Exchange Users" reports (from  CC). Sort it by "mailbox size".</t>
  </si>
  <si>
    <t>Jul'17</t>
  </si>
  <si>
    <t>auto-discover</t>
  </si>
  <si>
    <t>restore/recover</t>
  </si>
  <si>
    <t>Aug'17</t>
  </si>
  <si>
    <t xml:space="preserve"> User Mailbox Size (TB)</t>
  </si>
  <si>
    <t>User Archive Size (TB)</t>
  </si>
  <si>
    <t>Total Available Storage (TB)</t>
  </si>
  <si>
    <t>User Mailbox size (total) - TB</t>
  </si>
  <si>
    <t>Each</t>
  </si>
  <si>
    <t>CAD</t>
  </si>
  <si>
    <t>GPT</t>
  </si>
  <si>
    <t>900-1406</t>
  </si>
  <si>
    <t>Azure Multi-Factor Authentication for Cloud Control (Amendment #5) - Monthly Base Charge</t>
  </si>
  <si>
    <t>900-2368</t>
  </si>
  <si>
    <t>Exchange 2013 Mailbox 5GB Pooled(Up to 3,000)</t>
  </si>
  <si>
    <t>User</t>
  </si>
  <si>
    <t>900-2369</t>
  </si>
  <si>
    <t>Exchange 2013 Mailbox 5GB Pooled (Client Access License Standard)</t>
  </si>
  <si>
    <t>900-3122</t>
  </si>
  <si>
    <t>ProofPoint Encryption Service (Up to 3,000)</t>
  </si>
  <si>
    <t>900-3123</t>
  </si>
  <si>
    <t>ProofPoint Encryption Service</t>
  </si>
  <si>
    <t>&lt;*&gt;</t>
  </si>
  <si>
    <t>User Counts</t>
  </si>
  <si>
    <t>#</t>
  </si>
  <si>
    <t>Proofpoint</t>
  </si>
  <si>
    <t>Executive Summary</t>
  </si>
  <si>
    <t>Slide 1</t>
  </si>
  <si>
    <t>Ticket Counts</t>
  </si>
  <si>
    <t>Resp.</t>
  </si>
  <si>
    <t>Res</t>
  </si>
  <si>
    <t>Credit</t>
  </si>
  <si>
    <t>Root Cause</t>
  </si>
  <si>
    <t>Event</t>
  </si>
  <si>
    <t>Category</t>
  </si>
  <si>
    <t>Item</t>
  </si>
  <si>
    <t>Details</t>
  </si>
  <si>
    <t>Date</t>
  </si>
  <si>
    <t>Sep'17</t>
  </si>
  <si>
    <t>Oct'17</t>
  </si>
  <si>
    <t>Active Directory and Exchange Server based billing data.  Does not reflect adjustments added in MYOB.</t>
  </si>
  <si>
    <t>nExceeded</t>
  </si>
  <si>
    <t>All</t>
  </si>
  <si>
    <t>Not Set</t>
  </si>
  <si>
    <t>Severity 1 (company down)</t>
  </si>
  <si>
    <t>Severity 2 (user down)</t>
  </si>
  <si>
    <t>Severity 3 (problem)</t>
  </si>
  <si>
    <t>Severity 4 (service request)</t>
  </si>
  <si>
    <t>Email Address</t>
  </si>
  <si>
    <t>Display Name</t>
  </si>
  <si>
    <t>Account Status</t>
  </si>
  <si>
    <t>Mailbox Quota</t>
  </si>
  <si>
    <t>Mailbox Warning</t>
  </si>
  <si>
    <t>ArchiveStatus</t>
  </si>
  <si>
    <t>Archive Mailbox Size</t>
  </si>
  <si>
    <t>Archive Mailbox Quota</t>
  </si>
  <si>
    <t>Archive Mailbox Warning</t>
  </si>
  <si>
    <t>MailboxPolicy</t>
  </si>
  <si>
    <t>Plan Name</t>
  </si>
  <si>
    <t>Organizational Group</t>
  </si>
  <si>
    <t>Last Login</t>
  </si>
  <si>
    <t>Logon Name</t>
  </si>
  <si>
    <t>a.cacic@manulifesecurities.ca</t>
  </si>
  <si>
    <t>Anka Cacic</t>
  </si>
  <si>
    <t>Disabled</t>
  </si>
  <si>
    <t>IBM Hosted Exchange Replicated 5GB V-B</t>
  </si>
  <si>
    <t>DISABLED USERS</t>
  </si>
  <si>
    <t>AnkaCacic</t>
  </si>
  <si>
    <t>a.dacosta@manulifesecurities.ca</t>
  </si>
  <si>
    <t>Alexandra DaCosta</t>
  </si>
  <si>
    <t>Plan for Mail User</t>
  </si>
  <si>
    <t>2017-05-09T12:34:19</t>
  </si>
  <si>
    <t>mfc.a.dacosta</t>
  </si>
  <si>
    <t>A.Houde-Caron@manulifesecurities.ca</t>
  </si>
  <si>
    <t>Antoine Houde-Caron</t>
  </si>
  <si>
    <t>ACTIVE ADVISORS AND ASSISTANTS</t>
  </si>
  <si>
    <t>2017-10-13T12:22:17</t>
  </si>
  <si>
    <t>mfc.a.houde-caron</t>
  </si>
  <si>
    <t>a.khan@manulifesecurities.ca</t>
  </si>
  <si>
    <t>Aliyah Khan</t>
  </si>
  <si>
    <t>2016-08-09T18:16:04</t>
  </si>
  <si>
    <t>mfc.a.khan</t>
  </si>
  <si>
    <t>A.Kim@manulifesecurities.ca</t>
  </si>
  <si>
    <t>Alisa Kim</t>
  </si>
  <si>
    <t>mfc.a.kim</t>
  </si>
  <si>
    <t>A.Lefebvre@manulifesecurities.ca</t>
  </si>
  <si>
    <t>Alexandre Lefebvre</t>
  </si>
  <si>
    <t>ALefebvre</t>
  </si>
  <si>
    <t>a.lupusella@manulifesecurities.ca</t>
  </si>
  <si>
    <t>Ana Lupusella</t>
  </si>
  <si>
    <t>2017-10-16T08:31:48</t>
  </si>
  <si>
    <t>mfc.a.lupusella</t>
  </si>
  <si>
    <t>A.Metcalfe@manulifesecurities.ca</t>
  </si>
  <si>
    <t>Allan Metcalfe</t>
  </si>
  <si>
    <t>2014-12-22T10:22:42</t>
  </si>
  <si>
    <t>AMetcalfe</t>
  </si>
  <si>
    <t>A.Mikolaiczyk@manulifesecurities.ca</t>
  </si>
  <si>
    <t>Andreas Mikolaiczyk</t>
  </si>
  <si>
    <t>2017-10-07T02:46:04</t>
  </si>
  <si>
    <t>AMikolaiczyk</t>
  </si>
  <si>
    <t>A.Mikolziczyk@manulifesecurities.ca</t>
  </si>
  <si>
    <t>Andreas Mikolziczyk</t>
  </si>
  <si>
    <t>AMikolziczyk</t>
  </si>
  <si>
    <t>a.morello@manulifesecurities.ca</t>
  </si>
  <si>
    <t>Andre Morello</t>
  </si>
  <si>
    <t>2017-10-12T09:31:20</t>
  </si>
  <si>
    <t>AndreMorello</t>
  </si>
  <si>
    <t>A.Nikolenko@manulifesecurities.ca</t>
  </si>
  <si>
    <t>Anastasiia Nikolenko</t>
  </si>
  <si>
    <t>2017-08-08T09:13:02</t>
  </si>
  <si>
    <t>mfc.a.nikolenko</t>
  </si>
  <si>
    <t>A.Perrier@manulifesecurities.ca</t>
  </si>
  <si>
    <t>Annette Perrier (AnnettePerrier)</t>
  </si>
  <si>
    <t>2017-10-10T14:54:14</t>
  </si>
  <si>
    <t>AnnettePerrier</t>
  </si>
  <si>
    <t>A.Soares@manulifesecurities.ca</t>
  </si>
  <si>
    <t>Adam Soares</t>
  </si>
  <si>
    <t>AdamSoares</t>
  </si>
  <si>
    <t>A.Veronneau@placementsmanuvie.ca</t>
  </si>
  <si>
    <t>Anne-Marie Veronneau</t>
  </si>
  <si>
    <t>2016-10-03T14:30:25</t>
  </si>
  <si>
    <t>mfc.anne-marie.ve</t>
  </si>
  <si>
    <t>Aaron.Keogh@manulifesecurities.ca</t>
  </si>
  <si>
    <t>Aaron Keogh</t>
  </si>
  <si>
    <t>arkeogh</t>
  </si>
  <si>
    <t>Aaron.Montan@manulifesecurities.ca</t>
  </si>
  <si>
    <t>Aaron Montan</t>
  </si>
  <si>
    <t>amontan</t>
  </si>
  <si>
    <t>Aaron.Niman@manulifesecurities.ca</t>
  </si>
  <si>
    <t>Aaron Niman</t>
  </si>
  <si>
    <t>2017-10-15T06:17:36</t>
  </si>
  <si>
    <t>animan</t>
  </si>
  <si>
    <t>Aaron.Yick@manulifesecurities.ca</t>
  </si>
  <si>
    <t>Aaron Yick</t>
  </si>
  <si>
    <t>aayick</t>
  </si>
  <si>
    <t>abby.white@manulifesecurities.ca</t>
  </si>
  <si>
    <t>Abby White</t>
  </si>
  <si>
    <t>2017-06-04T19:20:07</t>
  </si>
  <si>
    <t>mfc.abby.white</t>
  </si>
  <si>
    <t>abdelnour@manulifesecurities.ca</t>
  </si>
  <si>
    <t>Ralph Abdelnour</t>
  </si>
  <si>
    <t>mfc.abdelnour</t>
  </si>
  <si>
    <t>Abigail.Fabian@manulifesecurities.ca</t>
  </si>
  <si>
    <t>Abigail Fabian</t>
  </si>
  <si>
    <t>AFabian</t>
  </si>
  <si>
    <t>Abraham.Tachjian@manulifesecurities.ca</t>
  </si>
  <si>
    <t>Abraham Tachjian</t>
  </si>
  <si>
    <t>2017-10-14T10:02:54</t>
  </si>
  <si>
    <t>ATachjian</t>
  </si>
  <si>
    <t>Adam.Bates@manulifesecurities.ca</t>
  </si>
  <si>
    <t>Adam Bates</t>
  </si>
  <si>
    <t>abates</t>
  </si>
  <si>
    <t>Adam.Clay@manulifesecurities.ca</t>
  </si>
  <si>
    <t>Adam Clay</t>
  </si>
  <si>
    <t>2017-10-10T09:52:56</t>
  </si>
  <si>
    <t>mfc.adam.clay</t>
  </si>
  <si>
    <t>Adam.Graham@manulifesecurities.ca</t>
  </si>
  <si>
    <t>Adam Graham</t>
  </si>
  <si>
    <t>2016-11-23T20:04:56</t>
  </si>
  <si>
    <t>grahad</t>
  </si>
  <si>
    <t>Adam.Hopper@manulifesecurities.ca</t>
  </si>
  <si>
    <t>Adam Hopper</t>
  </si>
  <si>
    <t>2015-04-13T16:36:18</t>
  </si>
  <si>
    <t>mfc.adam.hopper</t>
  </si>
  <si>
    <t>Adam.Schacter@manulifesecurities.ca</t>
  </si>
  <si>
    <t>Adam Schacter</t>
  </si>
  <si>
    <t>aschacter</t>
  </si>
  <si>
    <t>Adam.Soares@manulifesecurities.ca</t>
  </si>
  <si>
    <t>Adam Soares (Disabled)</t>
  </si>
  <si>
    <t>ASoares</t>
  </si>
  <si>
    <t>Adam.Teasdale@manulifesecurities.ca</t>
  </si>
  <si>
    <t>Adam Teasdale</t>
  </si>
  <si>
    <t>ATeasdale</t>
  </si>
  <si>
    <t>Adam.Tipper@manulifesecurities.ca</t>
  </si>
  <si>
    <t>Adam Tipper</t>
  </si>
  <si>
    <t>2017-08-10T09:33:20</t>
  </si>
  <si>
    <t>adamtipper</t>
  </si>
  <si>
    <t>adam.weaver@manulifesecurities.ca</t>
  </si>
  <si>
    <t>Adam Weaver</t>
  </si>
  <si>
    <t>2015-09-21T09:14:32</t>
  </si>
  <si>
    <t>mfc.adam.weaver</t>
  </si>
  <si>
    <t>Adam.Zylberberg@manulifesecurities.ca</t>
  </si>
  <si>
    <t>Adam Zylberberg</t>
  </si>
  <si>
    <t>AZylberberg</t>
  </si>
  <si>
    <t>Adamo.Cafagno@manulifesecurities.ca</t>
  </si>
  <si>
    <t>Adamo Cafagno</t>
  </si>
  <si>
    <t>2017-06-17T12:14:17</t>
  </si>
  <si>
    <t>mfc.adamo.cafagno</t>
  </si>
  <si>
    <t>Addison.Bell@manulifesecurities.ca</t>
  </si>
  <si>
    <t>Addison Bell</t>
  </si>
  <si>
    <t>2016-09-14T16:21:19</t>
  </si>
  <si>
    <t>adbell</t>
  </si>
  <si>
    <t>Adel.Baazaoui@manulifesecurities.ca</t>
  </si>
  <si>
    <t>Adel Baazaoui</t>
  </si>
  <si>
    <t>ABaazaoui</t>
  </si>
  <si>
    <t>Adele.Tatone@manulifesecurities.ca</t>
  </si>
  <si>
    <t>Adele Tatone</t>
  </si>
  <si>
    <t>2015-06-25T09:45:52</t>
  </si>
  <si>
    <t>mfc.adele.tatone</t>
  </si>
  <si>
    <t>Adelina.Banks@manulifesecurities.ca</t>
  </si>
  <si>
    <t>Adelina Banks</t>
  </si>
  <si>
    <t>2016-09-28T16:59:45</t>
  </si>
  <si>
    <t>mfc.adelina.banks</t>
  </si>
  <si>
    <t>Adelle.Martiuk@manulifesecurities.ca</t>
  </si>
  <si>
    <t>Adelle Martiuk</t>
  </si>
  <si>
    <t>AMartiuk</t>
  </si>
  <si>
    <t>adiano.kitenge@manulifesecurities.ca</t>
  </si>
  <si>
    <t>Adiano Kitenge</t>
  </si>
  <si>
    <t>TEMP - SUPPORT ACCOUNTS</t>
  </si>
  <si>
    <t>2017-10-16T08:13:05</t>
  </si>
  <si>
    <t>mfc.adiano.kiteng</t>
  </si>
  <si>
    <t>Admin.Conference@manulifesecurities.ca</t>
  </si>
  <si>
    <t>Admin Conference</t>
  </si>
  <si>
    <t>acon</t>
  </si>
  <si>
    <t>Admin.Council@manulifesecurities.ca</t>
  </si>
  <si>
    <t>Admin Council</t>
  </si>
  <si>
    <t>AdminCouncil</t>
  </si>
  <si>
    <t>Adnan.Shah@manulifesecurities.ca</t>
  </si>
  <si>
    <t>Adnan Shah</t>
  </si>
  <si>
    <t>AdShah</t>
  </si>
  <si>
    <t>Adrian.Radoi@manulifesecurities.ca</t>
  </si>
  <si>
    <t>Adrian Radoi</t>
  </si>
  <si>
    <t>mfc.adrian.radoi</t>
  </si>
  <si>
    <t>Adrien.Bosc@manulifesecurities.ca</t>
  </si>
  <si>
    <t>Adrien Bosc</t>
  </si>
  <si>
    <t>ABosc</t>
  </si>
  <si>
    <t>Adrienne.Adams@manulifesecurities.ca</t>
  </si>
  <si>
    <t>Adrienne Adams</t>
  </si>
  <si>
    <t>AAdams</t>
  </si>
  <si>
    <t>Adrienne.Dickson@manulifesecurities.ca</t>
  </si>
  <si>
    <t>Adrienne Dickson</t>
  </si>
  <si>
    <t>AdDickson</t>
  </si>
  <si>
    <t>advisor.opportunity@manulifesecurities.ca</t>
  </si>
  <si>
    <t>Advisor Opportunity</t>
  </si>
  <si>
    <t>advisor.opportunity</t>
  </si>
  <si>
    <t>Advisor.TransitionTeam@manulifesecurities.ca</t>
  </si>
  <si>
    <t>Advisor Transition Team</t>
  </si>
  <si>
    <t>atransition</t>
  </si>
  <si>
    <t>AdvisorServices@manulifesecurities.ca</t>
  </si>
  <si>
    <t>zzAdvisor Services</t>
  </si>
  <si>
    <t>AdvisorServices</t>
  </si>
  <si>
    <t>AEhgoetz@manulifesecurities.ca</t>
  </si>
  <si>
    <t>Andrew Ehgoetz</t>
  </si>
  <si>
    <t>2017-10-07T17:06:44</t>
  </si>
  <si>
    <t>ehgoetza</t>
  </si>
  <si>
    <t>affichage@manulifesecurities.ca</t>
  </si>
  <si>
    <t>Affichage</t>
  </si>
  <si>
    <t>affichage</t>
  </si>
  <si>
    <t>Aga.Widecka@manulifesecurities.ca</t>
  </si>
  <si>
    <t>Aga Widecka</t>
  </si>
  <si>
    <t>2015-03-19T11:47:21</t>
  </si>
  <si>
    <t>mfc.a.widecka</t>
  </si>
  <si>
    <t>Aglaia.Panopalis@manulifesecurities.ca</t>
  </si>
  <si>
    <t>Aglaia Panopalis</t>
  </si>
  <si>
    <t>2016-07-28T22:25:19</t>
  </si>
  <si>
    <t>APanopalis</t>
  </si>
  <si>
    <t>Agnes.Lui@manulifesecurities.ca</t>
  </si>
  <si>
    <t>Agnes Lui</t>
  </si>
  <si>
    <t>agneslui</t>
  </si>
  <si>
    <t>Aida.Finch@manulifesecurities.ca</t>
  </si>
  <si>
    <t>AFinch</t>
  </si>
  <si>
    <t>Aileen.Pollock@manulifesecurities.ca</t>
  </si>
  <si>
    <t>Aileen Pollock</t>
  </si>
  <si>
    <t>aileen</t>
  </si>
  <si>
    <t>Aimee.Igloliorte@manulifesecurities.ca</t>
  </si>
  <si>
    <t>Aimee Igloliorte</t>
  </si>
  <si>
    <t>AIgloliorte</t>
  </si>
  <si>
    <t>AJ.Omura@manulifesecurities.ca</t>
  </si>
  <si>
    <t>AJ Omura</t>
  </si>
  <si>
    <t>2017-06-13T16:19:13</t>
  </si>
  <si>
    <t>AOmura</t>
  </si>
  <si>
    <t>Ajay.Gautam@manulifesecurities.ca</t>
  </si>
  <si>
    <t>Ajay Gautam</t>
  </si>
  <si>
    <t>AGautam</t>
  </si>
  <si>
    <t>Ajay.Kitchlu@manulifesecurities.ca</t>
  </si>
  <si>
    <t>Ajay Kitchlu</t>
  </si>
  <si>
    <t>2016-10-11T09:47:34</t>
  </si>
  <si>
    <t>mfc.ajay.kitchlu</t>
  </si>
  <si>
    <t>AKarina.Ahonen@manulifesecurities.ca</t>
  </si>
  <si>
    <t>A Karina Ahonen</t>
  </si>
  <si>
    <t>AAhonen</t>
  </si>
  <si>
    <t>Al.Ladak@manulifesecurities.ca</t>
  </si>
  <si>
    <t>Al Ladak</t>
  </si>
  <si>
    <t>2017-10-13T10:38:33</t>
  </si>
  <si>
    <t>ALadak</t>
  </si>
  <si>
    <t>Al.Mckay@manulifesecurities.ca</t>
  </si>
  <si>
    <t>AMckay</t>
  </si>
  <si>
    <t>Al.Scholing@manulifesecurities.ca</t>
  </si>
  <si>
    <t>Alvin Scholing</t>
  </si>
  <si>
    <t>AScholing</t>
  </si>
  <si>
    <t>Alain.Cho@manulifesecurities.ca</t>
  </si>
  <si>
    <t>Alain Cho</t>
  </si>
  <si>
    <t>2017-10-06T09:10:55</t>
  </si>
  <si>
    <t>ACho</t>
  </si>
  <si>
    <t>Alain.Hanna@manulifesecurities.ca</t>
  </si>
  <si>
    <t>Alain Hanna</t>
  </si>
  <si>
    <t>2017-10-11T23:29:50</t>
  </si>
  <si>
    <t>mfc.alain.hanna</t>
  </si>
  <si>
    <t>Alain.Latulippe@manulifesecurities.ca</t>
  </si>
  <si>
    <t>Alain Latulippe</t>
  </si>
  <si>
    <t>2017-05-11T14:06:39</t>
  </si>
  <si>
    <t>mfc.alain.latulip</t>
  </si>
  <si>
    <t>Alan.Cusson@manulifesecurities.ca</t>
  </si>
  <si>
    <t>Alan Cusson - Disabled 2010-03-22 per JH by MC</t>
  </si>
  <si>
    <t>ACusson</t>
  </si>
  <si>
    <t>Alan.Dustin@manulifesecurities.ca</t>
  </si>
  <si>
    <t>Alan Dustin</t>
  </si>
  <si>
    <t>2017-10-10T08:35:01</t>
  </si>
  <si>
    <t>mfc.alan.dustin</t>
  </si>
  <si>
    <t>Alan.Greenwood@manulifesecurities.ca</t>
  </si>
  <si>
    <t>Alan Greenwood</t>
  </si>
  <si>
    <t>2016-11-02T10:54:43</t>
  </si>
  <si>
    <t>agreenwd</t>
  </si>
  <si>
    <t>Alan.Isaacson@manulifesecurities.ca</t>
  </si>
  <si>
    <t>Alan Isaacson</t>
  </si>
  <si>
    <t>2017-10-10T09:58:48</t>
  </si>
  <si>
    <t>mfc.alan.isaacson</t>
  </si>
  <si>
    <t>Alana.White@manulifesecurities.ca</t>
  </si>
  <si>
    <t>Alana White</t>
  </si>
  <si>
    <t>AWhite</t>
  </si>
  <si>
    <t>Alana.Wiper@manulifesecurities.ca</t>
  </si>
  <si>
    <t>Alana Wiper</t>
  </si>
  <si>
    <t>2017-10-05T12:51:58</t>
  </si>
  <si>
    <t>AWiper</t>
  </si>
  <si>
    <t>Alba.Anastassi@manulifesecurities.ca</t>
  </si>
  <si>
    <t>Alba Anastassi</t>
  </si>
  <si>
    <t>2016-03-03T09:21:27</t>
  </si>
  <si>
    <t>mfc.alba.anastass</t>
  </si>
  <si>
    <t>Albert.Assaf@manulifesecurities.ca</t>
  </si>
  <si>
    <t>Albert Assaf</t>
  </si>
  <si>
    <t>2017-10-14T19:48:40</t>
  </si>
  <si>
    <t>aassaf</t>
  </si>
  <si>
    <t>Albert.Dowdell@manulifesecurities.ca</t>
  </si>
  <si>
    <t>Albert Dowdell</t>
  </si>
  <si>
    <t>2017-08-22T16:40:48</t>
  </si>
  <si>
    <t>mfc.albert.dowdel</t>
  </si>
  <si>
    <t>Albert.Khavkin@manulifesecurities.ca</t>
  </si>
  <si>
    <t>Albert Khavkin</t>
  </si>
  <si>
    <t>2016-11-30T19:49:05</t>
  </si>
  <si>
    <t>AKhavkin</t>
  </si>
  <si>
    <t>Alcide.Giroux@manulifesecurities.ca</t>
  </si>
  <si>
    <t>Alcide Giroux</t>
  </si>
  <si>
    <t>girousi</t>
  </si>
  <si>
    <t>Alden.Appleby@manulifesecurities.ca</t>
  </si>
  <si>
    <t>Alden Appleby</t>
  </si>
  <si>
    <t>2016-12-30T15:39:57</t>
  </si>
  <si>
    <t>AAppleby</t>
  </si>
  <si>
    <t>Aleksandar.Ljubicic@manulifesecurities.ca</t>
  </si>
  <si>
    <t>Aleksandar Ljubicic</t>
  </si>
  <si>
    <t>ALjubicic</t>
  </si>
  <si>
    <t>Aleksandra.Pantazescu@manulifesecurities.ca</t>
  </si>
  <si>
    <t>zz-Aleksandra Pantazescu</t>
  </si>
  <si>
    <t>APantazescu</t>
  </si>
  <si>
    <t>Aleli.Mercader@manulifesecurities.ca</t>
  </si>
  <si>
    <t>Aleli Mercader</t>
  </si>
  <si>
    <t>AMercader</t>
  </si>
  <si>
    <t>Alessandro.Scali@manulifesecurities.ca</t>
  </si>
  <si>
    <t>Alessandro Scali</t>
  </si>
  <si>
    <t>2017-10-12T09:21:56</t>
  </si>
  <si>
    <t>mfc.alessandro.sc</t>
  </si>
  <si>
    <t>Aleta.MacGregor@manulifesecurities.ca</t>
  </si>
  <si>
    <t>Aleta MacGregor</t>
  </si>
  <si>
    <t>2017-10-10T09:46:16</t>
  </si>
  <si>
    <t>AMacGregor</t>
  </si>
  <si>
    <t>Alex.Andric@manulifesecurities.ca</t>
  </si>
  <si>
    <t>AAndric</t>
  </si>
  <si>
    <t>Alex.Blais@manulifesecurities.ca</t>
  </si>
  <si>
    <t>Alex Blais</t>
  </si>
  <si>
    <t>ablais</t>
  </si>
  <si>
    <t>Alex.Bueana@manulifesecurities.ca</t>
  </si>
  <si>
    <t>Alex Buena</t>
  </si>
  <si>
    <t>abuena</t>
  </si>
  <si>
    <t>Alex.Grudiev@manulifesecurities.ca</t>
  </si>
  <si>
    <t>Alex Grudiev</t>
  </si>
  <si>
    <t>agrudiev</t>
  </si>
  <si>
    <t>Alex.Herron@manulifesecurities.ca</t>
  </si>
  <si>
    <t>Alex Herron</t>
  </si>
  <si>
    <t>2017-01-23T12:13:31</t>
  </si>
  <si>
    <t>AHadden</t>
  </si>
  <si>
    <t>alex.hutchison@manulifesecurities.ca</t>
  </si>
  <si>
    <t>Alex Hutchison</t>
  </si>
  <si>
    <t>2017-10-10T09:22:35</t>
  </si>
  <si>
    <t>mfc.alex.hutchiso</t>
  </si>
  <si>
    <t>Alex.Kepic@manulifesecurities.ca</t>
  </si>
  <si>
    <t>AKepic</t>
  </si>
  <si>
    <t>Alex.Lee@manulifesecurities.ca</t>
  </si>
  <si>
    <t>Alex Lee</t>
  </si>
  <si>
    <t>alexlee</t>
  </si>
  <si>
    <t>Alex.Maclean@manulifesecurities.ca</t>
  </si>
  <si>
    <t>Alex Maclean</t>
  </si>
  <si>
    <t>amaclean</t>
  </si>
  <si>
    <t>Alex.Murphy@manulifesecurities.ca</t>
  </si>
  <si>
    <t>Alex Murphy</t>
  </si>
  <si>
    <t>mfc.alex.murphy</t>
  </si>
  <si>
    <t>Alex.Naish@manulifesecurities.ca</t>
  </si>
  <si>
    <t>Alex Naish</t>
  </si>
  <si>
    <t>anaish</t>
  </si>
  <si>
    <t>Alex.Richard@manulifesecurities.ca</t>
  </si>
  <si>
    <t>Alex Richard</t>
  </si>
  <si>
    <t>2017-10-10T09:52:38</t>
  </si>
  <si>
    <t>mfc.alex.richard</t>
  </si>
  <si>
    <t>Alex.Stewart@manulifesecurities.ca</t>
  </si>
  <si>
    <t>Alex Stewart</t>
  </si>
  <si>
    <t>2017-09-28T10:47:15</t>
  </si>
  <si>
    <t>AlexStewart</t>
  </si>
  <si>
    <t>Alex.Williams@manulifesecurities.ca</t>
  </si>
  <si>
    <t>Alex Williams</t>
  </si>
  <si>
    <t>AWilliam</t>
  </si>
  <si>
    <t>alex_buena@manulifesecurities.ca</t>
  </si>
  <si>
    <t>2017-10-06T12:04:56</t>
  </si>
  <si>
    <t>mfc.alex_buena</t>
  </si>
  <si>
    <t>Alexander.Bacomo@manulifesecurities.ca</t>
  </si>
  <si>
    <t>Alexander Bacomo</t>
  </si>
  <si>
    <t>ABacomo</t>
  </si>
  <si>
    <t>Alexander.Odas@manulifesecurities.ca</t>
  </si>
  <si>
    <t>Alexander Odas</t>
  </si>
  <si>
    <t>2017-10-10T11:34:19</t>
  </si>
  <si>
    <t>mfc.alexander.oda</t>
  </si>
  <si>
    <t>Alexander.Petrov@manulifesecurities.ca</t>
  </si>
  <si>
    <t>Alexander Petrov</t>
  </si>
  <si>
    <t>2014-11-18T16:27:03</t>
  </si>
  <si>
    <t>mfc.alexander.pet</t>
  </si>
  <si>
    <t>Alexander.Rutherford@manulifesecurities.ca</t>
  </si>
  <si>
    <t>Alexander Rutherford</t>
  </si>
  <si>
    <t>rutheal</t>
  </si>
  <si>
    <t>Alexander.Soo@manulifesecurities.ca</t>
  </si>
  <si>
    <t>Alexander Soo</t>
  </si>
  <si>
    <t>alexsoo</t>
  </si>
  <si>
    <t>Alexander.Stewart@manulifesecurities.ca</t>
  </si>
  <si>
    <t>Alexander Stewart</t>
  </si>
  <si>
    <t>AlexanderStewart</t>
  </si>
  <si>
    <t>Alexandra.Baker@manulifesecurities.ca</t>
  </si>
  <si>
    <t>Alexandra Baker</t>
  </si>
  <si>
    <t>albaker</t>
  </si>
  <si>
    <t>alexandra.bayard@placementsmanuvie.ca</t>
  </si>
  <si>
    <t>Alexandra Bayard Henry</t>
  </si>
  <si>
    <t>2017-10-12T09:37:05</t>
  </si>
  <si>
    <t>mfc.alexandra.bay</t>
  </si>
  <si>
    <t>alexandra.dacosta@manulifesecurities.ca</t>
  </si>
  <si>
    <t>2016-11-03T15:03:23</t>
  </si>
  <si>
    <t>mfc.alexandra.dac</t>
  </si>
  <si>
    <t>Alexandre.Bozian@manulifesecurities.ca</t>
  </si>
  <si>
    <t>Alexandre Bozian</t>
  </si>
  <si>
    <t>ABozian</t>
  </si>
  <si>
    <t>Alexandre.Dame@manulifesecurities.ca</t>
  </si>
  <si>
    <t>Alexandre Dame</t>
  </si>
  <si>
    <t>2017-10-06T21:05:11</t>
  </si>
  <si>
    <t>ADame</t>
  </si>
  <si>
    <t>Alexandre.Danis@manulifesecurities.ca</t>
  </si>
  <si>
    <t>Alexandre Danis</t>
  </si>
  <si>
    <t>2016-10-11T11:45:58</t>
  </si>
  <si>
    <t>ADanis</t>
  </si>
  <si>
    <t>Alexandre.Douet@manulifesecurities.ca</t>
  </si>
  <si>
    <t>Alexandre Douet</t>
  </si>
  <si>
    <t>2017-10-08T18:11:13</t>
  </si>
  <si>
    <t>mfc.alexandre.dou</t>
  </si>
  <si>
    <t>alexandre.fernandes@manulifesecurities.ca</t>
  </si>
  <si>
    <t>Alexandre Fernandes</t>
  </si>
  <si>
    <t>2017-10-15T20:14:52</t>
  </si>
  <si>
    <t>mfc.alexandre.fer</t>
  </si>
  <si>
    <t>Alexandre.Tremblay@manulifesecurities.ca</t>
  </si>
  <si>
    <t>Alexandre Tremblay</t>
  </si>
  <si>
    <t>2017-10-09T16:48:47</t>
  </si>
  <si>
    <t>ATremblay</t>
  </si>
  <si>
    <t>Alexis.Lewis@manulifesecurities.ca</t>
  </si>
  <si>
    <t>Alexis Lewis</t>
  </si>
  <si>
    <t>ALewis</t>
  </si>
  <si>
    <t>Alexis.Salgado@manulifesecurities.ca</t>
  </si>
  <si>
    <t>Alexis Salgado</t>
  </si>
  <si>
    <t>ASalgado</t>
  </si>
  <si>
    <t>Alfred.Manabat@manulifesecurities.ca</t>
  </si>
  <si>
    <t>Alfred Manabat</t>
  </si>
  <si>
    <t>AManabat</t>
  </si>
  <si>
    <t>Ali.Witteveen@manulifesecurities.ca</t>
  </si>
  <si>
    <t>Ali Witteveen</t>
  </si>
  <si>
    <t>AWitteveen</t>
  </si>
  <si>
    <t>Alice.Tran@manulifesecurities.ca</t>
  </si>
  <si>
    <t>Alice Tran</t>
  </si>
  <si>
    <t>2016-03-13T22:36:45</t>
  </si>
  <si>
    <t>mfc.alice.tran</t>
  </si>
  <si>
    <t>Alicia.Glavac@manulifesecurities.ca</t>
  </si>
  <si>
    <t>Alicia Glavac</t>
  </si>
  <si>
    <t>AGlavac</t>
  </si>
  <si>
    <t>Alin.Greavu@manulifesecurities.ca</t>
  </si>
  <si>
    <t>Alin Greavu</t>
  </si>
  <si>
    <t>AGreavu</t>
  </si>
  <si>
    <t>Alina.Karges@manulifesecurities.ca</t>
  </si>
  <si>
    <t>Alina Karges</t>
  </si>
  <si>
    <t>2017-10-12T09:52:57</t>
  </si>
  <si>
    <t>alkarges</t>
  </si>
  <si>
    <t>Alina.Luca@manulifesecurities.ca</t>
  </si>
  <si>
    <t>Alina Luca (Disabled)</t>
  </si>
  <si>
    <t>ALuca</t>
  </si>
  <si>
    <t>AlinaLuca@manulifesecurities.ca</t>
  </si>
  <si>
    <t>Alina Luca</t>
  </si>
  <si>
    <t>2016-01-15T15:03:55</t>
  </si>
  <si>
    <t>aliluca</t>
  </si>
  <si>
    <t>Aline.Barnett@manulifesecurities.ca</t>
  </si>
  <si>
    <t>Aline Barnett</t>
  </si>
  <si>
    <t>barnett</t>
  </si>
  <si>
    <t>Alisa.Kim@manulifesecurities.ca</t>
  </si>
  <si>
    <t>2017-07-21T13:17:40</t>
  </si>
  <si>
    <t>mfc.alisa.kim</t>
  </si>
  <si>
    <t>Alison.Ellis@manulifesecurities.ca</t>
  </si>
  <si>
    <t>Alison Ellis</t>
  </si>
  <si>
    <t>2015-11-24T02:22:43</t>
  </si>
  <si>
    <t>agalbrai</t>
  </si>
  <si>
    <t>Alison.Fletcher@manulifesecurities.ca</t>
  </si>
  <si>
    <t>Alison Fletcher</t>
  </si>
  <si>
    <t>AFletcher</t>
  </si>
  <si>
    <t>Alison.Kuntz@manulifesecurities.ca</t>
  </si>
  <si>
    <t>Alison Kuntz</t>
  </si>
  <si>
    <t>2017-10-10T10:31:52</t>
  </si>
  <si>
    <t>akuntz</t>
  </si>
  <si>
    <t>Alison.Lum@manulifesecurities.ca</t>
  </si>
  <si>
    <t>Alison Lum</t>
  </si>
  <si>
    <t>2017-10-10T12:40:41</t>
  </si>
  <si>
    <t>ALum</t>
  </si>
  <si>
    <t>Alison.Miller@manulifesecurities.ca</t>
  </si>
  <si>
    <t>Alison Miller</t>
  </si>
  <si>
    <t>2017-10-13T09:39:24</t>
  </si>
  <si>
    <t>AlisonMiller</t>
  </si>
  <si>
    <t>Alison.Rowland@manulifesecurities.ca</t>
  </si>
  <si>
    <t>Alison Rowland</t>
  </si>
  <si>
    <t>2016-04-20T09:58:56</t>
  </si>
  <si>
    <t>arowland</t>
  </si>
  <si>
    <t>Alison.Smith@manulifesecurities.ca</t>
  </si>
  <si>
    <t>Alison Smith</t>
  </si>
  <si>
    <t>2017-10-10T13:12:45</t>
  </si>
  <si>
    <t>alsmith</t>
  </si>
  <si>
    <t>Alison.Stewart@manulifesecurities.ca</t>
  </si>
  <si>
    <t>Alison Stewart</t>
  </si>
  <si>
    <t>2017-10-12T00:27:32</t>
  </si>
  <si>
    <t>AStewart</t>
  </si>
  <si>
    <t>Aliyah.Khan@manulifesecurities.ca</t>
  </si>
  <si>
    <t>AlKhan</t>
  </si>
  <si>
    <t>AliyahG.Khan@manulifesecurities.ca</t>
  </si>
  <si>
    <t>Aliyah G Khan</t>
  </si>
  <si>
    <t>AliKhan</t>
  </si>
  <si>
    <t>Allan.Dolan@manulifesecurities.ca</t>
  </si>
  <si>
    <t>Allan Dolan</t>
  </si>
  <si>
    <t>2017-10-14T16:53:56</t>
  </si>
  <si>
    <t>dolana1</t>
  </si>
  <si>
    <t>Allan.Gallant@manulifesecurities.ca</t>
  </si>
  <si>
    <t>Al Gallant</t>
  </si>
  <si>
    <t>2017-09-14T12:41:12</t>
  </si>
  <si>
    <t>AGallant</t>
  </si>
  <si>
    <t>Allan.Metcalfe@manulifesecurities.ca</t>
  </si>
  <si>
    <t>Allan Metcalfe (Disabled)</t>
  </si>
  <si>
    <t>ametcal</t>
  </si>
  <si>
    <t>Allan.Peaslee@manulifesecurities.ca</t>
  </si>
  <si>
    <t>Allan Peaslee</t>
  </si>
  <si>
    <t>APeaslee</t>
  </si>
  <si>
    <t>Allan.Podesky@manulifesecurities.ca</t>
  </si>
  <si>
    <t>Allan Podesky</t>
  </si>
  <si>
    <t>APodesky</t>
  </si>
  <si>
    <t>Allen.LaRose@manulifesecurities.ca</t>
  </si>
  <si>
    <t>Allen LaRose</t>
  </si>
  <si>
    <t>ALarose</t>
  </si>
  <si>
    <t>Allene.Larrivee@manulifesecurities.ca</t>
  </si>
  <si>
    <t>Allene Larrivee</t>
  </si>
  <si>
    <t>ALarrivee</t>
  </si>
  <si>
    <t>Allie.Curzon@manulifesecurities.ca</t>
  </si>
  <si>
    <t>Allie Curzon</t>
  </si>
  <si>
    <t>butterfly</t>
  </si>
  <si>
    <t>Allison.Braun@manulifesecurities.ca</t>
  </si>
  <si>
    <t>Allison Braun</t>
  </si>
  <si>
    <t>2017-09-19T11:34:35</t>
  </si>
  <si>
    <t>ABraun</t>
  </si>
  <si>
    <t>Allison.Kwong@manulifesecurities.ca</t>
  </si>
  <si>
    <t>Allison Kwong</t>
  </si>
  <si>
    <t>2015-05-07T10:35:31</t>
  </si>
  <si>
    <t>AKwong</t>
  </si>
  <si>
    <t>Allison.MacDougall@manulifesecurities.ca</t>
  </si>
  <si>
    <t>Allison MacDougall</t>
  </si>
  <si>
    <t>allimac</t>
  </si>
  <si>
    <t>Allison.McPhail@manulifesecurities.ca</t>
  </si>
  <si>
    <t>Allison McPhail</t>
  </si>
  <si>
    <t>apmcphail</t>
  </si>
  <si>
    <t>Allison.Miller@manulifesecurities.ca</t>
  </si>
  <si>
    <t>Allison Miller</t>
  </si>
  <si>
    <t>AllisonMiller</t>
  </si>
  <si>
    <t>Allura.Noel@manulifesecurities.ca</t>
  </si>
  <si>
    <t>Allura Noel</t>
  </si>
  <si>
    <t>ANoel</t>
  </si>
  <si>
    <t>Allyana.Escuzar@manulifesecurities.ca</t>
  </si>
  <si>
    <t>Allyana Escuzar</t>
  </si>
  <si>
    <t>AEscuzar</t>
  </si>
  <si>
    <t>Alma.Silao@manulifesecurities.ca</t>
  </si>
  <si>
    <t>Alma Silao</t>
  </si>
  <si>
    <t>ASilao</t>
  </si>
  <si>
    <t>Almina.Self@manulifesecurities.ca</t>
  </si>
  <si>
    <t>Almina Self</t>
  </si>
  <si>
    <t>selfalm</t>
  </si>
  <si>
    <t>Alona.Macapagal@manulifesecurities.ca</t>
  </si>
  <si>
    <t>Alona Macapagal</t>
  </si>
  <si>
    <t>AMacapagal</t>
  </si>
  <si>
    <t>Alpana.Mittal@manulifesecurities.ca</t>
  </si>
  <si>
    <t>Alpana Mittal</t>
  </si>
  <si>
    <t>AMittal</t>
  </si>
  <si>
    <t>Alvin.Jones@manulifesecurities.ca</t>
  </si>
  <si>
    <t>Alvin Jones</t>
  </si>
  <si>
    <t>2017-10-12T15:12:33</t>
  </si>
  <si>
    <t>AJones</t>
  </si>
  <si>
    <t>Alvir.Aliswag@manulifesecurities.ca</t>
  </si>
  <si>
    <t>Alvir B. Aliswag</t>
  </si>
  <si>
    <t>AAliswag</t>
  </si>
  <si>
    <t>Alysha.Veenstra@manulifesecurities.ca</t>
  </si>
  <si>
    <t>Alysha Veenstra</t>
  </si>
  <si>
    <t>2015-10-29T11:04:23</t>
  </si>
  <si>
    <t>AVeenstra</t>
  </si>
  <si>
    <t>alyssa.barthel@manulifesecurities.ca</t>
  </si>
  <si>
    <t>Alyssa Barthel</t>
  </si>
  <si>
    <t>2017-03-24T16:41:36</t>
  </si>
  <si>
    <t>mfc.alyssa.barthe</t>
  </si>
  <si>
    <t>Amanda.Cagnoni@manulifesecurities.ca</t>
  </si>
  <si>
    <t>Amanda Cagnoni</t>
  </si>
  <si>
    <t>2017-04-05T17:42:15</t>
  </si>
  <si>
    <t>mfc.amanda.cagnon</t>
  </si>
  <si>
    <t>amanda.gatto@manulifesecurities.ca</t>
  </si>
  <si>
    <t>Amanda Gatto</t>
  </si>
  <si>
    <t>mfc.amanda.gatto</t>
  </si>
  <si>
    <t>Amanda.Gibbons-Crema@manulifesecurities.ca</t>
  </si>
  <si>
    <t>Amanda Gibbons-Crema</t>
  </si>
  <si>
    <t>AGCrema</t>
  </si>
  <si>
    <t>Amanda.Hamil@manulifesecurities.ca</t>
  </si>
  <si>
    <t>AHamil</t>
  </si>
  <si>
    <t>Amanda.Hesch@manulifesecurities.ca</t>
  </si>
  <si>
    <t>Amanda Hesch</t>
  </si>
  <si>
    <t>ahesch</t>
  </si>
  <si>
    <t>Amanda.Lloyd@manulifesecurities.ca</t>
  </si>
  <si>
    <t>Amanda Lloyd</t>
  </si>
  <si>
    <t>2017-09-28T16:10:36</t>
  </si>
  <si>
    <t>MBukovy</t>
  </si>
  <si>
    <t>Amanda.MelenkaBeckett@manulifesecurities.ca</t>
  </si>
  <si>
    <t>Amanda Melenka-Beckett</t>
  </si>
  <si>
    <t>AMelenkaBeckett</t>
  </si>
  <si>
    <t>Amanda.Mosher@manulifesecurities.ca</t>
  </si>
  <si>
    <t>Amanda Mosher</t>
  </si>
  <si>
    <t>2017-10-11T09:11:23</t>
  </si>
  <si>
    <t>AMosher</t>
  </si>
  <si>
    <t>Amanda.Pitcher@manulifesecurities.ca</t>
  </si>
  <si>
    <t>Amanda Pitcher</t>
  </si>
  <si>
    <t>2017-10-12T10:21:50</t>
  </si>
  <si>
    <t>mfc.amanda.pitche</t>
  </si>
  <si>
    <t>Amanda.Rosso@manulifesecurities.ca</t>
  </si>
  <si>
    <t>Amanda Rosso</t>
  </si>
  <si>
    <t>ARosso</t>
  </si>
  <si>
    <t>amanda.runge@manulifesecurities.ca</t>
  </si>
  <si>
    <t>Amanda Runge</t>
  </si>
  <si>
    <t>2015-02-05T14:51:11</t>
  </si>
  <si>
    <t>ARunge</t>
  </si>
  <si>
    <t>amanda.sinclair@manulifesecurities.ca</t>
  </si>
  <si>
    <t>Amanda Sinclair</t>
  </si>
  <si>
    <t>2017-10-12T11:06:05</t>
  </si>
  <si>
    <t>mfc.amanda.sincla</t>
  </si>
  <si>
    <t>Amanda.Ticchiarelli@manulifesecurities.ca</t>
  </si>
  <si>
    <t>ATicchiarelli</t>
  </si>
  <si>
    <t>Amanda.Turner@manulifesecurities.ca</t>
  </si>
  <si>
    <t>Amanda Turner</t>
  </si>
  <si>
    <t>ATurner</t>
  </si>
  <si>
    <t>Amandeep.Jagde@manulifesecurities.ca</t>
  </si>
  <si>
    <t>Amandeep Jagde</t>
  </si>
  <si>
    <t>amjadge</t>
  </si>
  <si>
    <t>Amber.Alexander@manulifesecurities.ca</t>
  </si>
  <si>
    <t>Amber Alexander</t>
  </si>
  <si>
    <t>2017-10-13T12:07:28</t>
  </si>
  <si>
    <t>AAlexander</t>
  </si>
  <si>
    <t>Amber.Birchard@manulifesecurities.ca</t>
  </si>
  <si>
    <t>Amber Birchard</t>
  </si>
  <si>
    <t>2015-09-01T11:54:18</t>
  </si>
  <si>
    <t>ABirchard</t>
  </si>
  <si>
    <t>Amber.Connolly@manulifesecurities.ca</t>
  </si>
  <si>
    <t>Amber Connolly</t>
  </si>
  <si>
    <t>2016-07-04T14:31:46</t>
  </si>
  <si>
    <t>AConnolly</t>
  </si>
  <si>
    <t>Amber.Kuchinka@manulifesecurities.ca</t>
  </si>
  <si>
    <t>Amber Kuchinka</t>
  </si>
  <si>
    <t>2017-10-12T14:25:33</t>
  </si>
  <si>
    <t>AKuchinka</t>
  </si>
  <si>
    <t>Amber.Reid@manulifesecurities.ca</t>
  </si>
  <si>
    <t>Amber Reid</t>
  </si>
  <si>
    <t>amreid</t>
  </si>
  <si>
    <t>Amber.Swan@manulifesecurities.ca</t>
  </si>
  <si>
    <t>Amber Swan</t>
  </si>
  <si>
    <t>ASwan</t>
  </si>
  <si>
    <t>Amie.Dupuis@manulifesecurities.ca</t>
  </si>
  <si>
    <t>Amie dupuis</t>
  </si>
  <si>
    <t>2015-03-13T12:16:53</t>
  </si>
  <si>
    <t>amdupuis</t>
  </si>
  <si>
    <t>Amie.Torres@manulifesecurities.ca</t>
  </si>
  <si>
    <t>Amie Torres</t>
  </si>
  <si>
    <t>2017-01-26T14:14:55</t>
  </si>
  <si>
    <t>amietorres</t>
  </si>
  <si>
    <t>Amrit.Toor@manulifesecurities.ca</t>
  </si>
  <si>
    <t>Amrit Toor</t>
  </si>
  <si>
    <t>amrit toor</t>
  </si>
  <si>
    <t>Amy.Fan@manulifesecurities.ca</t>
  </si>
  <si>
    <t>Amy Fan</t>
  </si>
  <si>
    <t>AmyFan</t>
  </si>
  <si>
    <t>Amy.Fincham@manulifesecurities.ca</t>
  </si>
  <si>
    <t>Amy Fincham</t>
  </si>
  <si>
    <t>afincham</t>
  </si>
  <si>
    <t>Amy.Hemminger@manulifesecurities.ca</t>
  </si>
  <si>
    <t>Amy Hemminger</t>
  </si>
  <si>
    <t>AHemminger</t>
  </si>
  <si>
    <t>Amy.Jensen@manulifesecurities.ca</t>
  </si>
  <si>
    <t>Amy Jensen</t>
  </si>
  <si>
    <t>2016-09-05T19:12:51</t>
  </si>
  <si>
    <t>AJensen</t>
  </si>
  <si>
    <t>Amy.Lee@manulifesecurities.ca</t>
  </si>
  <si>
    <t>Amy Lee</t>
  </si>
  <si>
    <t>2017-10-10T08:56:12</t>
  </si>
  <si>
    <t>amylee</t>
  </si>
  <si>
    <t>Amy.Smith@manulifesecurities.ca</t>
  </si>
  <si>
    <t>Amy Smith</t>
  </si>
  <si>
    <t>2017-10-05T10:37:52</t>
  </si>
  <si>
    <t>ASmith</t>
  </si>
  <si>
    <t>Ana.Biray@manulifesecurities.ca</t>
  </si>
  <si>
    <t>Ana Biray</t>
  </si>
  <si>
    <t>abiray</t>
  </si>
  <si>
    <t>Ana.Brooks@manulifesecurities.ca</t>
  </si>
  <si>
    <t>Ana Brooks</t>
  </si>
  <si>
    <t>mfc.ana.brooks</t>
  </si>
  <si>
    <t>Ana.Culig@manulifesecurities.ca</t>
  </si>
  <si>
    <t>Ana Culig</t>
  </si>
  <si>
    <t>2017-08-11T12:14:05</t>
  </si>
  <si>
    <t>mfc.ana.culig</t>
  </si>
  <si>
    <t>Ana.Jayne@manulifesecurities.ca</t>
  </si>
  <si>
    <t>Ana Jayne</t>
  </si>
  <si>
    <t>2017-10-16T09:07:57</t>
  </si>
  <si>
    <t>mfc.ana.jayne</t>
  </si>
  <si>
    <t>ana.lupusella@manulifesecurities.ca</t>
  </si>
  <si>
    <t>2016-03-13T06:07:33</t>
  </si>
  <si>
    <t>mfc.ana.lupusella</t>
  </si>
  <si>
    <t>Anabela.Reis@manulifesecurities.ca</t>
  </si>
  <si>
    <t>Anabela Reis</t>
  </si>
  <si>
    <t>2017-10-13T09:36:36</t>
  </si>
  <si>
    <t>AReis</t>
  </si>
  <si>
    <t>Anamaria.Csefko@manulifesecurities.ca</t>
  </si>
  <si>
    <t>Anamaria Csefko</t>
  </si>
  <si>
    <t>acsefko</t>
  </si>
  <si>
    <t>Anand.Jain@manulifesecurities.ca</t>
  </si>
  <si>
    <t>Anand Jain</t>
  </si>
  <si>
    <t>anandjain</t>
  </si>
  <si>
    <t>Andi.Geng@manulifesecurities.ca</t>
  </si>
  <si>
    <t>Andi Geng</t>
  </si>
  <si>
    <t>2015-10-11T12:31:52</t>
  </si>
  <si>
    <t>mfc.andi.geng</t>
  </si>
  <si>
    <t>Andra.Iorga@manulifesecurities.ca</t>
  </si>
  <si>
    <t>Andra Iorga</t>
  </si>
  <si>
    <t>2017-08-08T09:07:54</t>
  </si>
  <si>
    <t>mfc.andra.iorga</t>
  </si>
  <si>
    <t>Andre.Belisle@manulifesecurities.ca</t>
  </si>
  <si>
    <t>Andre Belisle</t>
  </si>
  <si>
    <t>2017-10-06T10:50:46</t>
  </si>
  <si>
    <t>belisan</t>
  </si>
  <si>
    <t>Andre.Boudreau@manulifesecurities.ca</t>
  </si>
  <si>
    <t>Andre Boudreau</t>
  </si>
  <si>
    <t>2017-10-14T01:56:51</t>
  </si>
  <si>
    <t>ABoudreau</t>
  </si>
  <si>
    <t>Andre.Bourgeois@manulifesecurities.ca</t>
  </si>
  <si>
    <t>Andre Bourgeois</t>
  </si>
  <si>
    <t>ABourgeois</t>
  </si>
  <si>
    <t>andre.brewster@manulifesecurities.ca</t>
  </si>
  <si>
    <t>Andre Brewster</t>
  </si>
  <si>
    <t>2017-10-12T10:35:15</t>
  </si>
  <si>
    <t>mfc.andre.brewste</t>
  </si>
  <si>
    <t>Andre.Dubois@manulifesecurities.ca</t>
  </si>
  <si>
    <t>Andre Dubois</t>
  </si>
  <si>
    <t>2016-11-21T14:50:03</t>
  </si>
  <si>
    <t>duboian</t>
  </si>
  <si>
    <t>Andrea.Bullard@manulifesecurities.ca</t>
  </si>
  <si>
    <t>Andrea Bullard</t>
  </si>
  <si>
    <t>abullard</t>
  </si>
  <si>
    <t>Andrea.Denis@manulifesecurities.ca</t>
  </si>
  <si>
    <t>Andrea Denis</t>
  </si>
  <si>
    <t>adenis</t>
  </si>
  <si>
    <t>Andrea.Estrada@manulifesecurities.ca</t>
  </si>
  <si>
    <t>Andrea Estrada</t>
  </si>
  <si>
    <t>Anestrada</t>
  </si>
  <si>
    <t>Andrea.Fox@manulifesecurities.ca</t>
  </si>
  <si>
    <t>Andrea Fox</t>
  </si>
  <si>
    <t>2017-10-13T23:22:35</t>
  </si>
  <si>
    <t>AFox</t>
  </si>
  <si>
    <t>Andrea.Guglielmi@manulifesecurities.ca</t>
  </si>
  <si>
    <t>Andrea Guglielmi</t>
  </si>
  <si>
    <t>2015-08-24T09:14:05</t>
  </si>
  <si>
    <t>AGuglielmi</t>
  </si>
  <si>
    <t>Andrea.Hansen@manulifesecurities.ca</t>
  </si>
  <si>
    <t>Andrea Hansen</t>
  </si>
  <si>
    <t>2017-10-12T09:36:58</t>
  </si>
  <si>
    <t>AHansen</t>
  </si>
  <si>
    <t>Andrea.Hobson@manulifesecurities.ca</t>
  </si>
  <si>
    <t>Andrea Hobson</t>
  </si>
  <si>
    <t>hobson</t>
  </si>
  <si>
    <t>Andrea.Kornelius@manulifesecurities.ca</t>
  </si>
  <si>
    <t>Andrea Kornelius</t>
  </si>
  <si>
    <t>2017-10-03T15:13:07</t>
  </si>
  <si>
    <t>mfc.andrea.kornel</t>
  </si>
  <si>
    <t>Andrea.LaBonte@manulifesecurities.ca</t>
  </si>
  <si>
    <t>Andrea LaBonte</t>
  </si>
  <si>
    <t>2017-01-18T09:55:51</t>
  </si>
  <si>
    <t>ALaBonte</t>
  </si>
  <si>
    <t>Andrea.Lubberts@manulifesecurities.ca</t>
  </si>
  <si>
    <t>Andrea Lubberts</t>
  </si>
  <si>
    <t>2016-06-06T13:00:09</t>
  </si>
  <si>
    <t>mfc.andrea.lubber</t>
  </si>
  <si>
    <t>Andrea.Mays@manulifesecurities.ca</t>
  </si>
  <si>
    <t>Andrea Mays</t>
  </si>
  <si>
    <t>AMays</t>
  </si>
  <si>
    <t>Andrea.Moore@manulifesecurities.ca</t>
  </si>
  <si>
    <t>Andrea Moore</t>
  </si>
  <si>
    <t>Anmoore</t>
  </si>
  <si>
    <t>Andrea.Rosic@manulifesecurities.ca</t>
  </si>
  <si>
    <t>Andrea Rosic</t>
  </si>
  <si>
    <t>ARosic</t>
  </si>
  <si>
    <t>Andrea.Schwartz@manulifesecurities.ca</t>
  </si>
  <si>
    <t>Andrea Schwartz</t>
  </si>
  <si>
    <t>2017-10-02T09:35:10</t>
  </si>
  <si>
    <t>andsch</t>
  </si>
  <si>
    <t>Andrea.Tarini@manulifesecurities.ca</t>
  </si>
  <si>
    <t>Andrea Tarini</t>
  </si>
  <si>
    <t>actarini</t>
  </si>
  <si>
    <t>Andrea.Thomsen@manulifesecurities.ca</t>
  </si>
  <si>
    <t>Andrea Thomsen</t>
  </si>
  <si>
    <t>athomsen</t>
  </si>
  <si>
    <t>Andrea.Thomson@manulifesecurities.ca</t>
  </si>
  <si>
    <t>Andrea Thomson</t>
  </si>
  <si>
    <t>andreathomson</t>
  </si>
  <si>
    <t>Andrea.Verreault@manulifesecurities.ca</t>
  </si>
  <si>
    <t>Andrea Verreault</t>
  </si>
  <si>
    <t>AVerreault</t>
  </si>
  <si>
    <t>Andree.Demers@manulifesecurities.ca</t>
  </si>
  <si>
    <t>Andree Demers</t>
  </si>
  <si>
    <t>ADemers</t>
  </si>
  <si>
    <t>Andreea.Dobrica@manulifesecurities.ca</t>
  </si>
  <si>
    <t>Andreea Dobrica</t>
  </si>
  <si>
    <t>ADobrica</t>
  </si>
  <si>
    <t>Andrew.Ehgoetz2@manulifesecurities.ca</t>
  </si>
  <si>
    <t>Andrew Ehgoetz (Disabled)</t>
  </si>
  <si>
    <t>anehgoetz</t>
  </si>
  <si>
    <t>Andrew.Fitzhenry@manulifesecurities.ca</t>
  </si>
  <si>
    <t>Andrew Fitzhenry</t>
  </si>
  <si>
    <t>2017-10-12T16:36:14</t>
  </si>
  <si>
    <t>AFitzhenry</t>
  </si>
  <si>
    <t>Andrew.Fox@manulifesecurities.ca</t>
  </si>
  <si>
    <t>Andrew Fox</t>
  </si>
  <si>
    <t>2017-10-09T14:29:54</t>
  </si>
  <si>
    <t>AndrewFox</t>
  </si>
  <si>
    <t>Andrew.Garami@manulifesecurities.ca</t>
  </si>
  <si>
    <t>Andrew Garami</t>
  </si>
  <si>
    <t>AGarami</t>
  </si>
  <si>
    <t>Andrew.Glavac@manulifesecurities.ca</t>
  </si>
  <si>
    <t>Andrew Glavac</t>
  </si>
  <si>
    <t>2017-10-06T11:10:31</t>
  </si>
  <si>
    <t>andyglavac</t>
  </si>
  <si>
    <t>Andrew.Griffiths@manulifesecurities.ca</t>
  </si>
  <si>
    <t>Andrew Griffiths</t>
  </si>
  <si>
    <t>2017-10-10T13:35:15</t>
  </si>
  <si>
    <t>lemieux</t>
  </si>
  <si>
    <t>Andrew.Hempel@manulifesecurities.ca</t>
  </si>
  <si>
    <t>Andrew Hempel</t>
  </si>
  <si>
    <t>AHempel</t>
  </si>
  <si>
    <t>Andrew.Lansbury@manulifesecurities.ca</t>
  </si>
  <si>
    <t>Andrew Lansbury</t>
  </si>
  <si>
    <t>2017-10-10T16:42:53</t>
  </si>
  <si>
    <t>ALansbury</t>
  </si>
  <si>
    <t>Andrew.Lee@manulifesecurities.ca</t>
  </si>
  <si>
    <t>Andrew Lee</t>
  </si>
  <si>
    <t>2017-03-17T09:49:30</t>
  </si>
  <si>
    <t>mfc.andrew.lee</t>
  </si>
  <si>
    <t>Andrew.Lillie@manulifesecurities.ca</t>
  </si>
  <si>
    <t>Andrew Lillie</t>
  </si>
  <si>
    <t>2017-10-09T13:25:02</t>
  </si>
  <si>
    <t>ALillie</t>
  </si>
  <si>
    <t>andrew.lorsa@manulifesecurities.ca</t>
  </si>
  <si>
    <t>Andrew L'Orsa</t>
  </si>
  <si>
    <t>2017-01-19T16:31:50</t>
  </si>
  <si>
    <t>mfc.andrew.lorsa</t>
  </si>
  <si>
    <t>Andrew.Meister@manulifesecurities.ca</t>
  </si>
  <si>
    <t>Andrew Meister</t>
  </si>
  <si>
    <t>2017-10-13T18:46:22</t>
  </si>
  <si>
    <t>AMeister</t>
  </si>
  <si>
    <t>Andrew.Michael@manulifesecurities.ca</t>
  </si>
  <si>
    <t>Andrew Michael</t>
  </si>
  <si>
    <t>2017-10-05T12:57:28</t>
  </si>
  <si>
    <t>mfc.andrew.michae</t>
  </si>
  <si>
    <t>Andrew.Oproiu@manulifesecurities.ca</t>
  </si>
  <si>
    <t>Andrew Oproiu (Disabled)</t>
  </si>
  <si>
    <t>aoproius</t>
  </si>
  <si>
    <t>Andrew.Prokopovych@manulifesecurities.ca</t>
  </si>
  <si>
    <t>Andrew Prokopovych</t>
  </si>
  <si>
    <t>AProkopovych</t>
  </si>
  <si>
    <t>Andrew.Richardson@manulifesecurities.ca</t>
  </si>
  <si>
    <t>Andrew Richardson</t>
  </si>
  <si>
    <t>mfc.andrew.richar</t>
  </si>
  <si>
    <t>Andrew.Rickert@manulifesecurities.ca</t>
  </si>
  <si>
    <t>Andrew Rickert</t>
  </si>
  <si>
    <t>2017-07-05T13:54:55</t>
  </si>
  <si>
    <t>ARickert</t>
  </si>
  <si>
    <t>Andrew.Riley@manulifesecurities.ca</t>
  </si>
  <si>
    <t>Andrew Riley</t>
  </si>
  <si>
    <t>2017-10-15T21:35:51</t>
  </si>
  <si>
    <t>ARiley</t>
  </si>
  <si>
    <t>Andrew.Scott@manulifesecurities.ca</t>
  </si>
  <si>
    <t>Andrew Scott</t>
  </si>
  <si>
    <t>mfc.andrew.scott</t>
  </si>
  <si>
    <t>Andrew.Thomson@manulifesecurities.ca</t>
  </si>
  <si>
    <t>zz Manulife - Andrew Thomson</t>
  </si>
  <si>
    <t>athomson</t>
  </si>
  <si>
    <t>Andrew.Watson@manulifesecurities.ca</t>
  </si>
  <si>
    <t>AWatson</t>
  </si>
  <si>
    <t>Andrew_Oproiu@manulifesecurities.ca</t>
  </si>
  <si>
    <t>Andrew Oproiu</t>
  </si>
  <si>
    <t>2017-10-11T10:24:23</t>
  </si>
  <si>
    <t>AOproiu</t>
  </si>
  <si>
    <t>Andy.Guest@manulifesecurities.ca</t>
  </si>
  <si>
    <t>Andy Guest</t>
  </si>
  <si>
    <t>2017-10-07T13:46:33</t>
  </si>
  <si>
    <t>AGuest</t>
  </si>
  <si>
    <t>Andy.Miller@manulifesecurities.ca</t>
  </si>
  <si>
    <t>Andy Miller</t>
  </si>
  <si>
    <t>2017-10-11T14:22:36</t>
  </si>
  <si>
    <t>AMiller</t>
  </si>
  <si>
    <t>Andy.Pauksens@manulifesecurities.ca</t>
  </si>
  <si>
    <t>APauksens</t>
  </si>
  <si>
    <t>apauksens</t>
  </si>
  <si>
    <t>andy.yu@manulifesecurities.ca</t>
  </si>
  <si>
    <t>Shen Yu</t>
  </si>
  <si>
    <t>2017-07-31T14:48:46</t>
  </si>
  <si>
    <t>mfc.shen.yu</t>
  </si>
  <si>
    <t>Aneeta.Parmar@manulifesecurities.ca</t>
  </si>
  <si>
    <t>Aneeta Parmar</t>
  </si>
  <si>
    <t>AParmar</t>
  </si>
  <si>
    <t>Angela.Abrahamson@manulifesecurities.ca</t>
  </si>
  <si>
    <t>Angela Abrahamson</t>
  </si>
  <si>
    <t>aabraham</t>
  </si>
  <si>
    <t>Angela.Bouwmeester@manulifesecurities.ca</t>
  </si>
  <si>
    <t>Angela Bouwmeester</t>
  </si>
  <si>
    <t>2017-08-22T16:40:16</t>
  </si>
  <si>
    <t>angelab</t>
  </si>
  <si>
    <t>Angela.Calandra@manulifesecurities.ca</t>
  </si>
  <si>
    <t>Angela Calandra</t>
  </si>
  <si>
    <t>ACalandra</t>
  </si>
  <si>
    <t>Angela.Cowan@manulifesecurities.ca</t>
  </si>
  <si>
    <t>Angela Cowan</t>
  </si>
  <si>
    <t>ACowan</t>
  </si>
  <si>
    <t>Angela.Davie@manulifesecurities.ca</t>
  </si>
  <si>
    <t>Angela Davie</t>
  </si>
  <si>
    <t>2017-02-10T15:28:25</t>
  </si>
  <si>
    <t>ADavie</t>
  </si>
  <si>
    <t>Angela.DeMerchant@manulifesecurities.ca</t>
  </si>
  <si>
    <t>Angela DeMerchant</t>
  </si>
  <si>
    <t>ademerch</t>
  </si>
  <si>
    <t>Angela.Drever@manulifesecurities.ca</t>
  </si>
  <si>
    <t>Angela Drever</t>
  </si>
  <si>
    <t>angeladre</t>
  </si>
  <si>
    <t>Angela.Estrada@manulifesecurities.ca</t>
  </si>
  <si>
    <t>Angela Estrada</t>
  </si>
  <si>
    <t>AEstrada</t>
  </si>
  <si>
    <t>Angela.Haycock@manulifesecurities.ca</t>
  </si>
  <si>
    <t>AHaycock</t>
  </si>
  <si>
    <t>haycoan</t>
  </si>
  <si>
    <t>Angela.Lozada@manulifesecurities.ca</t>
  </si>
  <si>
    <t>Angela Lozada</t>
  </si>
  <si>
    <t>ALozada</t>
  </si>
  <si>
    <t>Angela.McNee@manulifesecurities.ca</t>
  </si>
  <si>
    <t>Angela McNee</t>
  </si>
  <si>
    <t>2017-10-10T08:53:22</t>
  </si>
  <si>
    <t>mfc.angela.mcnee</t>
  </si>
  <si>
    <t>Angela.Rishworth@manulifesecurities.ca</t>
  </si>
  <si>
    <t>Angela Rishworth</t>
  </si>
  <si>
    <t>arishworth</t>
  </si>
  <si>
    <t>Angela.Sauve@manulifesecurities.ca</t>
  </si>
  <si>
    <t>Angela Sauve</t>
  </si>
  <si>
    <t>angelas</t>
  </si>
  <si>
    <t>Angela.Scauzillo@manulifesecurities.ca</t>
  </si>
  <si>
    <t>Angela Scauzillo</t>
  </si>
  <si>
    <t>2016-01-08T03:57:58</t>
  </si>
  <si>
    <t>AScauzillo</t>
  </si>
  <si>
    <t>Angela.Simpson@manulifesecurities.ca</t>
  </si>
  <si>
    <t>Angela Simpson</t>
  </si>
  <si>
    <t>2017-10-05T10:32:36</t>
  </si>
  <si>
    <t>ASimpson</t>
  </si>
  <si>
    <t>Angela.So@manulifesecurities.ca</t>
  </si>
  <si>
    <t>Angela So</t>
  </si>
  <si>
    <t>2016-05-05T08:46:28</t>
  </si>
  <si>
    <t>angelaso</t>
  </si>
  <si>
    <t>Angela.Steinberg@manulifesecurities.ca</t>
  </si>
  <si>
    <t>Angela Steinberg</t>
  </si>
  <si>
    <t>ASteinberg</t>
  </si>
  <si>
    <t>Angela.Wildeboer@manulifesecurities.ca</t>
  </si>
  <si>
    <t>Angela Wildeboer</t>
  </si>
  <si>
    <t>awildeboer</t>
  </si>
  <si>
    <t>Angelica.Torio@manulifesecurities.ca</t>
  </si>
  <si>
    <t>Angelica Torio</t>
  </si>
  <si>
    <t>ATorio</t>
  </si>
  <si>
    <t>Angelo.Bonaccorso@manulifesecurities.ca</t>
  </si>
  <si>
    <t>Angelo Bonaccorso</t>
  </si>
  <si>
    <t>ABonaccorso</t>
  </si>
  <si>
    <t>Angelo.Moccia@manulifesecurities.ca</t>
  </si>
  <si>
    <t>Angelo Moccia</t>
  </si>
  <si>
    <t>moccian</t>
  </si>
  <si>
    <t>Angelyn.Riego@manulifesecurities.ca</t>
  </si>
  <si>
    <t>Angelyn Riego</t>
  </si>
  <si>
    <t>ARiego</t>
  </si>
  <si>
    <t>Angie.Fratipietro@manulifesecurities.ca</t>
  </si>
  <si>
    <t>Angie Fratipietro</t>
  </si>
  <si>
    <t>AFratipietro</t>
  </si>
  <si>
    <t>Angie.Harris@manulifesecurities.ca</t>
  </si>
  <si>
    <t>Angie Harris</t>
  </si>
  <si>
    <t>2017-10-02T09:13:12</t>
  </si>
  <si>
    <t>aharris</t>
  </si>
  <si>
    <t>Angie.Murdock@manulifesecurities.ca</t>
  </si>
  <si>
    <t>Angie Murdock</t>
  </si>
  <si>
    <t>2017-10-11T11:37:12</t>
  </si>
  <si>
    <t>amurdock</t>
  </si>
  <si>
    <t>Angie.Richards@manulifesecurities.ca</t>
  </si>
  <si>
    <t>Angie Richards</t>
  </si>
  <si>
    <t>ARichards</t>
  </si>
  <si>
    <t>Angie.Symes@manulifesecurities.ca</t>
  </si>
  <si>
    <t>Angie Symes</t>
  </si>
  <si>
    <t>angies</t>
  </si>
  <si>
    <t>Angie.Wong@manulifesecurities.ca</t>
  </si>
  <si>
    <t>Angie Wong</t>
  </si>
  <si>
    <t>angiewong</t>
  </si>
  <si>
    <t>Angus.McLarty@manulifesecurities.ca</t>
  </si>
  <si>
    <t>Angus McLarty</t>
  </si>
  <si>
    <t>amclarty</t>
  </si>
  <si>
    <t>Angus.Sagan@manulifesecurities.ca</t>
  </si>
  <si>
    <t>Angus Sagan</t>
  </si>
  <si>
    <t>2017-09-08T12:35:24</t>
  </si>
  <si>
    <t>asagan</t>
  </si>
  <si>
    <t>AnhNgoc.Nguyen@manulifesecurities.ca</t>
  </si>
  <si>
    <t>Anh Ngoc Nguyen</t>
  </si>
  <si>
    <t>ANguyen</t>
  </si>
  <si>
    <t>Anita.Dehaan@manulifesecurities.ca</t>
  </si>
  <si>
    <t>Anita Dehaan</t>
  </si>
  <si>
    <t>adehaan</t>
  </si>
  <si>
    <t>Anita.Filipe@manulifesecurities.ca</t>
  </si>
  <si>
    <t>Anita Filipe</t>
  </si>
  <si>
    <t>AFilipe</t>
  </si>
  <si>
    <t>Anita.Karkinska@manulifesecurities.ca</t>
  </si>
  <si>
    <t>Anita Karkinska</t>
  </si>
  <si>
    <t>AKarkinska</t>
  </si>
  <si>
    <t>Anita.Maudhoo@manulifesecurities.ca</t>
  </si>
  <si>
    <t>Anita Maudhoo</t>
  </si>
  <si>
    <t>AMaudhoo</t>
  </si>
  <si>
    <t>Anita.Olomi@manulifesecurities.ca</t>
  </si>
  <si>
    <t>Anita Olomi</t>
  </si>
  <si>
    <t>aolomi</t>
  </si>
  <si>
    <t>Anita.Skinner@manulifesecurities.ca</t>
  </si>
  <si>
    <t>Anita Skinner</t>
  </si>
  <si>
    <t>ASkinner</t>
  </si>
  <si>
    <t>Anita.Smith@manulifesecurities.ca</t>
  </si>
  <si>
    <t>Anita Smith</t>
  </si>
  <si>
    <t>Shared Mailbox</t>
  </si>
  <si>
    <t>2017-01-03T09:12:59</t>
  </si>
  <si>
    <t>smitani</t>
  </si>
  <si>
    <t>Anita.Tourangeau@manulifesecurities.ca</t>
  </si>
  <si>
    <t>Anita Tourangeau</t>
  </si>
  <si>
    <t>anitatourangeau</t>
  </si>
  <si>
    <t>Ann.Balmer@manulifesecurities.ca</t>
  </si>
  <si>
    <t>Ann Balmer</t>
  </si>
  <si>
    <t>2017-03-07T09:49:58</t>
  </si>
  <si>
    <t>annieb</t>
  </si>
  <si>
    <t>Ann.Chan@manulifesecurities.ca</t>
  </si>
  <si>
    <t>Ann Chan</t>
  </si>
  <si>
    <t>2016-01-18T08:33:35</t>
  </si>
  <si>
    <t>annchan</t>
  </si>
  <si>
    <t>Ann.CurDaCorte@manulifesecurities.ca</t>
  </si>
  <si>
    <t>Ann CurDaCorte</t>
  </si>
  <si>
    <t>ACurDaCorte</t>
  </si>
  <si>
    <t>Ann.Dickson@manulifesecurities.ca</t>
  </si>
  <si>
    <t>Ann Dickson</t>
  </si>
  <si>
    <t>2017-10-09T02:55:13</t>
  </si>
  <si>
    <t>ADickson</t>
  </si>
  <si>
    <t>Ann.Swift@manulifesecurities.ca</t>
  </si>
  <si>
    <t>Ann Swift</t>
  </si>
  <si>
    <t>annswift</t>
  </si>
  <si>
    <t>Anna.Cantafio@manulifesecurities.ca</t>
  </si>
  <si>
    <t>Anna Cantafio</t>
  </si>
  <si>
    <t>ACantafio</t>
  </si>
  <si>
    <t>Anna.Corsi@manulifesecurities.ca</t>
  </si>
  <si>
    <t>Anna Corsi</t>
  </si>
  <si>
    <t>2017-10-16T07:38:03</t>
  </si>
  <si>
    <t>ancorsi</t>
  </si>
  <si>
    <t>Anna.DeLima@manulifesecurities.ca</t>
  </si>
  <si>
    <t>Anna De Lima</t>
  </si>
  <si>
    <t>AnnaDeLima</t>
  </si>
  <si>
    <t>Anna.DiPaolo@manulifesecurities.ca</t>
  </si>
  <si>
    <t>Anna DiPaolo</t>
  </si>
  <si>
    <t>2015-12-14T02:23:43</t>
  </si>
  <si>
    <t>ADiPaolo</t>
  </si>
  <si>
    <t>Anna.Dobosz@manulifesecurities.ca</t>
  </si>
  <si>
    <t>Anna Dobosz</t>
  </si>
  <si>
    <t>ADobosz</t>
  </si>
  <si>
    <t>Anna.Garasto@manulifesecurities.ca</t>
  </si>
  <si>
    <t>Anna Garasto</t>
  </si>
  <si>
    <t>2017-10-16T04:24:13</t>
  </si>
  <si>
    <t>akranjec</t>
  </si>
  <si>
    <t>Anna.Helseth@manulifesecurities.ca</t>
  </si>
  <si>
    <t>Anna Helseth</t>
  </si>
  <si>
    <t>AHelseth</t>
  </si>
  <si>
    <t>Anna.Hospod@manulifesecurities.ca</t>
  </si>
  <si>
    <t>Anna Hospod</t>
  </si>
  <si>
    <t>AHospod</t>
  </si>
  <si>
    <t>Anna.Kroetsch@manulifesecurities.ca</t>
  </si>
  <si>
    <t>Anna Kroetsch</t>
  </si>
  <si>
    <t>AKroetsch</t>
  </si>
  <si>
    <t>Anna.MacielGomes@manulifesecurities.ca</t>
  </si>
  <si>
    <t>Anna Maciel Gomes</t>
  </si>
  <si>
    <t>2017-10-13T14:29:30</t>
  </si>
  <si>
    <t>AGomes</t>
  </si>
  <si>
    <t>Anna.Pacifico@manulifesecurities.ca</t>
  </si>
  <si>
    <t>Anna Pacifico</t>
  </si>
  <si>
    <t>APacifico</t>
  </si>
  <si>
    <t>Anna.Valarao@manulifesecurities.ca</t>
  </si>
  <si>
    <t>Anna Valarao</t>
  </si>
  <si>
    <t>2017-10-13T02:19:33</t>
  </si>
  <si>
    <t>avalarao</t>
  </si>
  <si>
    <t>Anna.Wessner@manulifesecurities.ca</t>
  </si>
  <si>
    <t>Anna Wessner</t>
  </si>
  <si>
    <t>2017-10-08T09:35:52</t>
  </si>
  <si>
    <t>AWessner</t>
  </si>
  <si>
    <t>Annabelle.Dougan@manulifesecurities.ca</t>
  </si>
  <si>
    <t>Annabelle Dougan</t>
  </si>
  <si>
    <t>2017-07-10T13:53:01</t>
  </si>
  <si>
    <t>dougan</t>
  </si>
  <si>
    <t>Anne.Beattie@manulifesecurities.ca</t>
  </si>
  <si>
    <t>Anne Beattie</t>
  </si>
  <si>
    <t>2017-10-10T08:50:11</t>
  </si>
  <si>
    <t>abeattie</t>
  </si>
  <si>
    <t>Anne.Harvey@manulifesecurities.ca</t>
  </si>
  <si>
    <t>Anne Harvey</t>
  </si>
  <si>
    <t>aharvey</t>
  </si>
  <si>
    <t>Anne.Hillmer@manulifesecurities.ca</t>
  </si>
  <si>
    <t>Anne Hillmer</t>
  </si>
  <si>
    <t>AHillmer</t>
  </si>
  <si>
    <t>Anne.McMurray@manulifesecurities.ca</t>
  </si>
  <si>
    <t>Anne McMurray</t>
  </si>
  <si>
    <t>2017-09-19T18:08:06</t>
  </si>
  <si>
    <t>mfc.anne.mcmurray</t>
  </si>
  <si>
    <t>anne.ng@manulifesecurities.ca</t>
  </si>
  <si>
    <t>Anne Ng</t>
  </si>
  <si>
    <t>anneng</t>
  </si>
  <si>
    <t>Anne.Ruston@manulifesecurities.ca</t>
  </si>
  <si>
    <t>Anne Ruston</t>
  </si>
  <si>
    <t>2017-10-10T15:37:31</t>
  </si>
  <si>
    <t>ARuston</t>
  </si>
  <si>
    <t>Anne.Shearer@manulifesecurities.ca</t>
  </si>
  <si>
    <t>Anne Shearer</t>
  </si>
  <si>
    <t>2015-03-02T09:08:05</t>
  </si>
  <si>
    <t>AShearer</t>
  </si>
  <si>
    <t>Anne.Surian-Roy@manulifesecurities.ca</t>
  </si>
  <si>
    <t>Anne Surian-Roy</t>
  </si>
  <si>
    <t>2015-06-04T10:37:38</t>
  </si>
  <si>
    <t>mfc.anne.surian-r</t>
  </si>
  <si>
    <t>Anne-Marie.Hancock@manulifesecurities.ca</t>
  </si>
  <si>
    <t>Anne-Marie Hancock</t>
  </si>
  <si>
    <t>2017-03-24T09:42:10</t>
  </si>
  <si>
    <t>mfc.anne-marie.ha</t>
  </si>
  <si>
    <t>AnneMarie.Hartman@manulifesecurities.ca</t>
  </si>
  <si>
    <t>Anne Marie Hartman</t>
  </si>
  <si>
    <t>2017-10-10T08:24:19</t>
  </si>
  <si>
    <t>AHartman</t>
  </si>
  <si>
    <t>Annette.Perrier@manulifesecurities.ca</t>
  </si>
  <si>
    <t>Annette Perrier</t>
  </si>
  <si>
    <t>aperrier</t>
  </si>
  <si>
    <t>Annette.Quan@manulifesecurities.ca</t>
  </si>
  <si>
    <t>Annette Quan</t>
  </si>
  <si>
    <t>2017-03-14T14:00:41</t>
  </si>
  <si>
    <t>annequan</t>
  </si>
  <si>
    <t>Annick.Desmarais@manulifesecurities.ca</t>
  </si>
  <si>
    <t>Annick Desmarais</t>
  </si>
  <si>
    <t>annick</t>
  </si>
  <si>
    <t>Annie.Arel@manulifesecurities.ca</t>
  </si>
  <si>
    <t>Annie Arel</t>
  </si>
  <si>
    <t>arelann</t>
  </si>
  <si>
    <t>annie.chiasson@placementsmanuvie.ca</t>
  </si>
  <si>
    <t>Annie Chiasson</t>
  </si>
  <si>
    <t>2017-05-04T15:01:04</t>
  </si>
  <si>
    <t>mfc.annie.chiasso</t>
  </si>
  <si>
    <t>Annie.Gagnon@manulifesecurities.ca</t>
  </si>
  <si>
    <t>Annie Gagnon</t>
  </si>
  <si>
    <t>AGagnon</t>
  </si>
  <si>
    <t>Annie.James@manulifesecurities.ca</t>
  </si>
  <si>
    <t>AJames</t>
  </si>
  <si>
    <t>Annie.Labelle@placementsmanuvie.ca</t>
  </si>
  <si>
    <t>Annie Labelle</t>
  </si>
  <si>
    <t>2017-10-11T22:05:51</t>
  </si>
  <si>
    <t>labellean</t>
  </si>
  <si>
    <t>Annik.Brebner@manulifesecurities.ca</t>
  </si>
  <si>
    <t>Annik Brebner</t>
  </si>
  <si>
    <t>annikbrebner</t>
  </si>
  <si>
    <t>AnnL.Chan@manulifesecurities.ca</t>
  </si>
  <si>
    <t>Ann L Chan</t>
  </si>
  <si>
    <t>2017-10-11T21:33:11</t>
  </si>
  <si>
    <t>mfc.annl.chan</t>
  </si>
  <si>
    <t>Ans.Nahirney@manulifesecurities.ca</t>
  </si>
  <si>
    <t>Ans Nahirney</t>
  </si>
  <si>
    <t>ANahirney</t>
  </si>
  <si>
    <t>Anthony.Delabbio@manulifesecurities.ca</t>
  </si>
  <si>
    <t>Anthony Delabbio</t>
  </si>
  <si>
    <t>2017-10-07T11:29:39</t>
  </si>
  <si>
    <t>adelabbio</t>
  </si>
  <si>
    <t>Anthony.DellaRocca@manulifesecurities.ca</t>
  </si>
  <si>
    <t>Anthony Della Rocca</t>
  </si>
  <si>
    <t>tonydr</t>
  </si>
  <si>
    <t>Anthony.Hendriks@manulifesecurities.ca</t>
  </si>
  <si>
    <t>Anthony Hendriks</t>
  </si>
  <si>
    <t>AHendriks</t>
  </si>
  <si>
    <t>Anthony.Henry@manulifesecurities.ca</t>
  </si>
  <si>
    <t>Anthony Henry</t>
  </si>
  <si>
    <t>2017-10-13T12:32:42</t>
  </si>
  <si>
    <t>AHenry</t>
  </si>
  <si>
    <t>anthony.jabbour@manulifesecurities.ca</t>
  </si>
  <si>
    <t>Anthony Jabbour</t>
  </si>
  <si>
    <t>mfc.anthony.jabbo</t>
  </si>
  <si>
    <t>Anthony.Khoury@manulifesecurities.ca</t>
  </si>
  <si>
    <t>Anthony Khoury</t>
  </si>
  <si>
    <t>2017-09-18T06:44:27</t>
  </si>
  <si>
    <t>mfc.anthony.khour</t>
  </si>
  <si>
    <t>Anthony.Leo@manulifesecurities.ca</t>
  </si>
  <si>
    <t>Anthony Leo</t>
  </si>
  <si>
    <t>2017-10-08T23:11:25</t>
  </si>
  <si>
    <t>ALeo</t>
  </si>
  <si>
    <t>Anthony.Mensch@manulifesecurities.ca</t>
  </si>
  <si>
    <t>Anthony Mensch</t>
  </si>
  <si>
    <t>2017-10-06T14:20:41</t>
  </si>
  <si>
    <t>menscto</t>
  </si>
  <si>
    <t>Anthony.Rickert@manulifesecurities.ca</t>
  </si>
  <si>
    <t>Anthony Rickert</t>
  </si>
  <si>
    <t>2014-09-24T14:27:14</t>
  </si>
  <si>
    <t>Anrickert</t>
  </si>
  <si>
    <t>Anthony.Stuart@manulifesecurities.ca</t>
  </si>
  <si>
    <t>Anthony Stuart</t>
  </si>
  <si>
    <t>amstuart25</t>
  </si>
  <si>
    <t>Anthony.Sutey@manulifesecurities.ca</t>
  </si>
  <si>
    <t>Anthony Sutey</t>
  </si>
  <si>
    <t>ASutey</t>
  </si>
  <si>
    <t>antoine.addoumieh@manulifesecurities.ca</t>
  </si>
  <si>
    <t>Antoine Addoumieh</t>
  </si>
  <si>
    <t>2015-10-02T10:07:10</t>
  </si>
  <si>
    <t>mfc.antoine.addou</t>
  </si>
  <si>
    <t>Antoine.Hamelin@manulifesecurities.ca</t>
  </si>
  <si>
    <t>Antoine Hamelin</t>
  </si>
  <si>
    <t>2016-10-10T14:08:13</t>
  </si>
  <si>
    <t>mfc.antoine.hamel</t>
  </si>
  <si>
    <t>Antoine.LeSaux@manulifesecurities.ca</t>
  </si>
  <si>
    <t>Antoine Le Saux</t>
  </si>
  <si>
    <t>2017-10-14T18:45:59</t>
  </si>
  <si>
    <t>mfc.antoine.lesau</t>
  </si>
  <si>
    <t>Antoine.Niding@manulifesecurities.ca</t>
  </si>
  <si>
    <t>Antoine Niding</t>
  </si>
  <si>
    <t>mfc.antoine.nidin</t>
  </si>
  <si>
    <t>Antonella.Spada@manulifesecurities.ca</t>
  </si>
  <si>
    <t>Antonella Spada</t>
  </si>
  <si>
    <t>aspada</t>
  </si>
  <si>
    <t>Antonella.Tiberi@manulifesecurities.ca</t>
  </si>
  <si>
    <t>Antonella Tiberi</t>
  </si>
  <si>
    <t>2017-10-12T11:21:52</t>
  </si>
  <si>
    <t>antonella</t>
  </si>
  <si>
    <t>Antonett.Cassanova@manulifesecurities.ca</t>
  </si>
  <si>
    <t>Antonett Cassanova</t>
  </si>
  <si>
    <t>cassanova</t>
  </si>
  <si>
    <t>Antonia.Kourakis@manulifesecurities.ca</t>
  </si>
  <si>
    <t>Antonia Kourakis</t>
  </si>
  <si>
    <t>AKourakis</t>
  </si>
  <si>
    <t>Antonia.Laginha@manulifesecurities.ca</t>
  </si>
  <si>
    <t>ALaginha</t>
  </si>
  <si>
    <t>Antonio.DeSanto@manulifesecurities.ca</t>
  </si>
  <si>
    <t>Antonio De Santo</t>
  </si>
  <si>
    <t>ADeSanto</t>
  </si>
  <si>
    <t>Anwar.Hashim@manulifesecurities.ca</t>
  </si>
  <si>
    <t>Anwar Hashim</t>
  </si>
  <si>
    <t>2015-08-10T20:18:56</t>
  </si>
  <si>
    <t>mfc.anwar.hashim</t>
  </si>
  <si>
    <t>ApplicationsRegistration@manulifesecurities.ca</t>
  </si>
  <si>
    <t>Applications Registration</t>
  </si>
  <si>
    <t>ApplicationsRegistra</t>
  </si>
  <si>
    <t>April.Beauclair@manulifesecurities.ca</t>
  </si>
  <si>
    <t>April Beauclair</t>
  </si>
  <si>
    <t>ABeauclair</t>
  </si>
  <si>
    <t>April.Kreutz@manulifesecurities.ca</t>
  </si>
  <si>
    <t>April Kreutz</t>
  </si>
  <si>
    <t>2017-05-08T09:33:29</t>
  </si>
  <si>
    <t>mfc.april.kreutz</t>
  </si>
  <si>
    <t>April.Stevenson@manulifesecurities.ca</t>
  </si>
  <si>
    <t>April Stevenson</t>
  </si>
  <si>
    <t>2017-04-10T15:06:02</t>
  </si>
  <si>
    <t>stevena</t>
  </si>
  <si>
    <t>Aravinda.Manjappaiah@manulifesecurities.ca</t>
  </si>
  <si>
    <t>Aravinda Manjappaiah</t>
  </si>
  <si>
    <t>AManjappaiah</t>
  </si>
  <si>
    <t>Arber.Jakupi@manulifesecurities.ca</t>
  </si>
  <si>
    <t>Arber Jakupi</t>
  </si>
  <si>
    <t>AJakupi</t>
  </si>
  <si>
    <t>Arlen.Keyes@manulifesecurities.ca</t>
  </si>
  <si>
    <t>Arlen Keyes</t>
  </si>
  <si>
    <t>2017-10-10T20:04:41</t>
  </si>
  <si>
    <t>keyesa</t>
  </si>
  <si>
    <t>Arlene.Rheaume@manulifesecurities.ca</t>
  </si>
  <si>
    <t>Arlene Rheaume</t>
  </si>
  <si>
    <t>2017-10-02T14:47:37</t>
  </si>
  <si>
    <t>marheaume</t>
  </si>
  <si>
    <t>Arlyne.Archibald@manulifesecurities.ca</t>
  </si>
  <si>
    <t>Arlyne Archibald</t>
  </si>
  <si>
    <t>arlyne</t>
  </si>
  <si>
    <t>Armando.Vicencio@manulifesecurities.ca</t>
  </si>
  <si>
    <t>Armando Vicencio</t>
  </si>
  <si>
    <t>avicencio</t>
  </si>
  <si>
    <t>Arnold.Nyholt@manulifesecurities.ca</t>
  </si>
  <si>
    <t>Arnold Nyholt</t>
  </si>
  <si>
    <t>2015-12-11T07:04:36</t>
  </si>
  <si>
    <t>arnoldnyholt</t>
  </si>
  <si>
    <t>Arnold.Opoku@manulifesecurities.ca</t>
  </si>
  <si>
    <t>Arnold Opoku</t>
  </si>
  <si>
    <t>2017-10-10T22:39:43</t>
  </si>
  <si>
    <t>AOpoku</t>
  </si>
  <si>
    <t>Arthur.Birch@manulifesecurities.ca</t>
  </si>
  <si>
    <t>Arthur Birch</t>
  </si>
  <si>
    <t>artbir</t>
  </si>
  <si>
    <t>Arthur.Guest@manulifesecurities.ca</t>
  </si>
  <si>
    <t>Arthur Guest</t>
  </si>
  <si>
    <t>2017-10-15T08:29:40</t>
  </si>
  <si>
    <t>arguest</t>
  </si>
  <si>
    <t>Arthur.Standil@manulifesecurities.ca</t>
  </si>
  <si>
    <t>Arthur Standil</t>
  </si>
  <si>
    <t>2017-10-10T09:05:37</t>
  </si>
  <si>
    <t>standil</t>
  </si>
  <si>
    <t>Arwin.Almeda@manulifesecurities.ca</t>
  </si>
  <si>
    <t>Arwin Almeda</t>
  </si>
  <si>
    <t>AAlmeda</t>
  </si>
  <si>
    <t>Ashley.Abrahamson@manulifesecurities.ca</t>
  </si>
  <si>
    <t>Ashley Abrahamson</t>
  </si>
  <si>
    <t>ashabra</t>
  </si>
  <si>
    <t>Ashley.Anderson@manulifesecurities.ca</t>
  </si>
  <si>
    <t>Ashley Anderson</t>
  </si>
  <si>
    <t>AAnderson</t>
  </si>
  <si>
    <t>Ashley.Bauman@manulifesecurities.ca</t>
  </si>
  <si>
    <t>Ashley Bowman</t>
  </si>
  <si>
    <t>mfc.ashley.bauman</t>
  </si>
  <si>
    <t>Ashley.Bowman@manulifesecurities.ca</t>
  </si>
  <si>
    <t>2017-10-13T16:30:43</t>
  </si>
  <si>
    <t>ABowman</t>
  </si>
  <si>
    <t>Ashley.Charlton@manulifesecurities.ca</t>
  </si>
  <si>
    <t>Ashley Charlton</t>
  </si>
  <si>
    <t>acharlton</t>
  </si>
  <si>
    <t>Ashley.Linfitt@manulifesecurities.ca</t>
  </si>
  <si>
    <t>Ashley Linfitt</t>
  </si>
  <si>
    <t>Alinfitt</t>
  </si>
  <si>
    <t>Ashley.Lowe@manulifesecurities.ca</t>
  </si>
  <si>
    <t>Ashley Lowe</t>
  </si>
  <si>
    <t>2017-09-17T14:29:44</t>
  </si>
  <si>
    <t>aslowe</t>
  </si>
  <si>
    <t>Ashley.Maidens@manulifesecurities.ca</t>
  </si>
  <si>
    <t>Ashley Maidens</t>
  </si>
  <si>
    <t>2016-07-04T14:49:39</t>
  </si>
  <si>
    <t>mfc.ashley.maiden</t>
  </si>
  <si>
    <t>Ashley.Mcclosky@manulifesecurities.ca</t>
  </si>
  <si>
    <t>Ashley Mcclosky</t>
  </si>
  <si>
    <t>2017-10-02T09:17:21</t>
  </si>
  <si>
    <t>mfc.ashley.mcclos</t>
  </si>
  <si>
    <t>Ashley.McKerracher@manulifesecurities.ca</t>
  </si>
  <si>
    <t>Ashley McKerracher</t>
  </si>
  <si>
    <t>amckerr</t>
  </si>
  <si>
    <t>Ashley.McVicar@manulifesecurities.ca</t>
  </si>
  <si>
    <t>Ashley McVicar</t>
  </si>
  <si>
    <t>2017-08-28T09:06:29</t>
  </si>
  <si>
    <t>mfc.ashley.mcvica</t>
  </si>
  <si>
    <t>Ashmead.Khan@manulifesecurities.ca</t>
  </si>
  <si>
    <t>Ashmead Khan</t>
  </si>
  <si>
    <t>2017-10-12T13:31:57</t>
  </si>
  <si>
    <t>Askhan</t>
  </si>
  <si>
    <t>Ashwani.Tangri@manulifesecurities.ca</t>
  </si>
  <si>
    <t>Ashwani Tangri</t>
  </si>
  <si>
    <t>2017-10-14T03:49:24</t>
  </si>
  <si>
    <t>ashwani</t>
  </si>
  <si>
    <t>Ask.Frank@manulifesecurities.ca</t>
  </si>
  <si>
    <t>Ask Frank</t>
  </si>
  <si>
    <t>AskFrank</t>
  </si>
  <si>
    <t>Atinder.Vaid@manulifesecurities.ca</t>
  </si>
  <si>
    <t>Atinder Vaid</t>
  </si>
  <si>
    <t>2017-01-09T00:18:55</t>
  </si>
  <si>
    <t>mfc.atinder.vaid</t>
  </si>
  <si>
    <t>Aubert.Sirois@manulifesecurities.ca</t>
  </si>
  <si>
    <t>Aubert Sirois</t>
  </si>
  <si>
    <t>2017-10-11T09:55:48</t>
  </si>
  <si>
    <t>ASirois</t>
  </si>
  <si>
    <t>Audrey.Stuart@manulifesecurities.ca</t>
  </si>
  <si>
    <t>Audrey Stuart</t>
  </si>
  <si>
    <t>stuarau</t>
  </si>
  <si>
    <t>Audrey.Thorhauer@manulifesecurities.ca</t>
  </si>
  <si>
    <t>Audrey Thorhauer</t>
  </si>
  <si>
    <t>2017-10-10T12:30:08</t>
  </si>
  <si>
    <t>athorhauer</t>
  </si>
  <si>
    <t>AuraLee.Lacey@manulifesecurities.ca</t>
  </si>
  <si>
    <t>Aura Lee Lacey</t>
  </si>
  <si>
    <t>alacey</t>
  </si>
  <si>
    <t>Aurele.Campeau@manulifesecurities.ca</t>
  </si>
  <si>
    <t>Aurele Campeau</t>
  </si>
  <si>
    <t>2017-04-02T22:45:57</t>
  </si>
  <si>
    <t>ACampeau</t>
  </si>
  <si>
    <t>Aurelie.Waschuk@manulifesecurities.ca</t>
  </si>
  <si>
    <t>Aurelie Wachuck</t>
  </si>
  <si>
    <t>2017-09-29T11:34:38</t>
  </si>
  <si>
    <t>AAitchison</t>
  </si>
  <si>
    <t>AUTO.review@manulifesecurities.ca</t>
  </si>
  <si>
    <t>AUTO review</t>
  </si>
  <si>
    <t>AUTOreview</t>
  </si>
  <si>
    <t>Auto-Deprov.Test1@manulifesecurities.ca</t>
  </si>
  <si>
    <t>Auto-Deprov Test1 - Deprovisioned 2015-02-20 15:46:06</t>
  </si>
  <si>
    <t>2015-02-20T10:42:06</t>
  </si>
  <si>
    <t>mfc.auto-deprov.t</t>
  </si>
  <si>
    <t>Auto-Deprov.Test2@manulifesecurities.ca</t>
  </si>
  <si>
    <t>Auto-Deprov Test2</t>
  </si>
  <si>
    <t>TEST - AUTO-DEPROV</t>
  </si>
  <si>
    <t>mfc.auto-deprov.t000</t>
  </si>
  <si>
    <t>Auto-Deprov.Test3@placementsmanuvie.ca</t>
  </si>
  <si>
    <t>Auto-Deprov Test3</t>
  </si>
  <si>
    <t>mfc.auto-deprov.t001</t>
  </si>
  <si>
    <t>Auto-Deprov.Test4@manulifesecurities.ca</t>
  </si>
  <si>
    <t>Auto-Deprov Test4 - Deprovisioned 2016-01-22 18:05:54</t>
  </si>
  <si>
    <t>mfc.auto-deprov.t002</t>
  </si>
  <si>
    <t>Autumn.Golden@manulifesecurities.ca</t>
  </si>
  <si>
    <t>Autumn Golden</t>
  </si>
  <si>
    <t>2016-12-05T08:35:48</t>
  </si>
  <si>
    <t>agolden</t>
  </si>
  <si>
    <t>Avegail.Hanrahan@manulifesecurities.ca</t>
  </si>
  <si>
    <t>Avegail Hanrahan</t>
  </si>
  <si>
    <t>AJavier</t>
  </si>
  <si>
    <t>Avellina.Muscat@manulifesecurities.ca</t>
  </si>
  <si>
    <t>Avellina Muscat</t>
  </si>
  <si>
    <t>2017-10-10T08:47:46</t>
  </si>
  <si>
    <t>mfc.avellina.musc</t>
  </si>
  <si>
    <t>Avian.Chaisson@manulifesecurities.ca</t>
  </si>
  <si>
    <t>Avian Chaisson</t>
  </si>
  <si>
    <t>AChaisson</t>
  </si>
  <si>
    <t>Avis.Glatiotis@manulifesecurities.ca</t>
  </si>
  <si>
    <t>Avis Glatiotis</t>
  </si>
  <si>
    <t>2017-10-12T11:47:51</t>
  </si>
  <si>
    <t>AGlatiotis</t>
  </si>
  <si>
    <t>Avril.Downey@manulifesecurities.ca</t>
  </si>
  <si>
    <t>Avril Downey</t>
  </si>
  <si>
    <t>2015-04-14T13:02:32</t>
  </si>
  <si>
    <t>ADowney</t>
  </si>
  <si>
    <t>AWD.Orphans@manulifesecurities.ca</t>
  </si>
  <si>
    <t>AWD Orphans</t>
  </si>
  <si>
    <t>AWDOrphans</t>
  </si>
  <si>
    <t>AXjournal@manulifesecurities.ca</t>
  </si>
  <si>
    <t>Atlas Journal</t>
  </si>
  <si>
    <t>AXjournal</t>
  </si>
  <si>
    <t>Ayo.Oyediran@manulifesecurities.ca</t>
  </si>
  <si>
    <t>Ayo Oyediran</t>
  </si>
  <si>
    <t>AOyediran</t>
  </si>
  <si>
    <t>Ayzer.Cruz@manulifesecurities.ca</t>
  </si>
  <si>
    <t>Ayzer Cruz</t>
  </si>
  <si>
    <t>2017-10-12T17:04:55</t>
  </si>
  <si>
    <t>mfc.ayzer.cruz</t>
  </si>
  <si>
    <t>Azeem.Jadavji@manulifesecurities.ca</t>
  </si>
  <si>
    <t>Azeem Jadavji</t>
  </si>
  <si>
    <t>2016-10-25T00:26:57</t>
  </si>
  <si>
    <t>AJadavji</t>
  </si>
  <si>
    <t>Aziz.Diop@manulifesecurities.ca</t>
  </si>
  <si>
    <t>Aziz Diop</t>
  </si>
  <si>
    <t>aadiop</t>
  </si>
  <si>
    <t>B.Blackmere@manulifesecurities.ca</t>
  </si>
  <si>
    <t>Beth Blackmere</t>
  </si>
  <si>
    <t>BBlackme</t>
  </si>
  <si>
    <t>B.Colafranceschi@manulifesecurities.ca</t>
  </si>
  <si>
    <t>Brendan Colafranceschi (B.Colafranceschi@manulifesecurities.ca)</t>
  </si>
  <si>
    <t>2016-10-15T10:55:19</t>
  </si>
  <si>
    <t>BrendanColafrancesch</t>
  </si>
  <si>
    <t>b.fakhouri@manulifesecurities.ca</t>
  </si>
  <si>
    <t>Bechara Fakhouri</t>
  </si>
  <si>
    <t>2017-10-12T09:13:03</t>
  </si>
  <si>
    <t>mfc.b.fakhouri</t>
  </si>
  <si>
    <t>B.Henderson@manulifesecurities.ca</t>
  </si>
  <si>
    <t>Brian Henderson</t>
  </si>
  <si>
    <t>Brhenderson</t>
  </si>
  <si>
    <t>B.Huggins@manulifesecurities.ca</t>
  </si>
  <si>
    <t>Beatrice Huggins</t>
  </si>
  <si>
    <t>2015-10-20T19:11:41</t>
  </si>
  <si>
    <t>mfc.b.huggins</t>
  </si>
  <si>
    <t>b.lee@manulifesecurities.ca</t>
  </si>
  <si>
    <t>Brenda Lee</t>
  </si>
  <si>
    <t>2017-10-12T10:30:37</t>
  </si>
  <si>
    <t>mfc.b.lee</t>
  </si>
  <si>
    <t>B.Parhar@manulifesecurities.ca</t>
  </si>
  <si>
    <t>Ben Parhar</t>
  </si>
  <si>
    <t>2017-08-12T12:23:27</t>
  </si>
  <si>
    <t>mfc.b.parhar</t>
  </si>
  <si>
    <t>b.rowell@manulifesecurities.ca</t>
  </si>
  <si>
    <t>Barbara Rowell</t>
  </si>
  <si>
    <t>2017-08-14T09:27:16</t>
  </si>
  <si>
    <t>mfc.b.rowell</t>
  </si>
  <si>
    <t>Baldev.Kapil@manulifesecurities.ca</t>
  </si>
  <si>
    <t>Baldev Kapil</t>
  </si>
  <si>
    <t>2017-10-16T04:54:47</t>
  </si>
  <si>
    <t>daveka</t>
  </si>
  <si>
    <t>Banny.Hu@manulifesecurities.ca</t>
  </si>
  <si>
    <t>Banny Hu</t>
  </si>
  <si>
    <t>2017-10-13T15:20:24</t>
  </si>
  <si>
    <t>BHu</t>
  </si>
  <si>
    <t>Banu.Embel@manulifesecurities.ca</t>
  </si>
  <si>
    <t>Banu Embel</t>
  </si>
  <si>
    <t>bembel</t>
  </si>
  <si>
    <t>Barb.Boggs@manulifesecurities.ca</t>
  </si>
  <si>
    <t>Barb Boggs</t>
  </si>
  <si>
    <t>bboggs</t>
  </si>
  <si>
    <t>Barb.Dewar@manulifesecurities.ca</t>
  </si>
  <si>
    <t>Barb Dewar</t>
  </si>
  <si>
    <t>bdewar</t>
  </si>
  <si>
    <t>Barb.Finnerty@manulifesecurities.ca</t>
  </si>
  <si>
    <t>Barb Finnerty</t>
  </si>
  <si>
    <t>2017-10-11T16:26:53</t>
  </si>
  <si>
    <t>BFinnerty</t>
  </si>
  <si>
    <t>barb.hunt@manulifesecurities.ca</t>
  </si>
  <si>
    <t>Barb Hunt</t>
  </si>
  <si>
    <t>2017-08-23T14:51:47</t>
  </si>
  <si>
    <t>bponiat</t>
  </si>
  <si>
    <t>Barb.Kinley@manulifesecurities.ca</t>
  </si>
  <si>
    <t>Barb Kinley</t>
  </si>
  <si>
    <t>bakinley</t>
  </si>
  <si>
    <t>Barb.Kostiw@manulifesecurities.ca</t>
  </si>
  <si>
    <t>Barb Kostiw</t>
  </si>
  <si>
    <t>2017-09-25T10:57:51</t>
  </si>
  <si>
    <t>bkostiw</t>
  </si>
  <si>
    <t>Barb.Reich-Sander@manulifesecurities.ca</t>
  </si>
  <si>
    <t>Barb Reich-Sander</t>
  </si>
  <si>
    <t>2017-10-02T11:26:31</t>
  </si>
  <si>
    <t>breichsander</t>
  </si>
  <si>
    <t>Barb.Rowell@manulifesecurities.ca</t>
  </si>
  <si>
    <t>Barb A. Rowell</t>
  </si>
  <si>
    <t>barowel</t>
  </si>
  <si>
    <t>Barb.Sardo@manulifesecurities.ca</t>
  </si>
  <si>
    <t>Barb Sardo</t>
  </si>
  <si>
    <t>BSardo</t>
  </si>
  <si>
    <t>Barb.Steele@manulifesecurities.ca</t>
  </si>
  <si>
    <t>Barb Steele (Assistant - BC)</t>
  </si>
  <si>
    <t>bjsteele</t>
  </si>
  <si>
    <t>Barbara.Allen@manulifesecurities.ca</t>
  </si>
  <si>
    <t>Barbara Allen</t>
  </si>
  <si>
    <t>2017-10-15T11:28:31</t>
  </si>
  <si>
    <t>BAllen</t>
  </si>
  <si>
    <t>Barbara.Allentoff@manulifesecurities.ca</t>
  </si>
  <si>
    <t>Barbara Allentoff</t>
  </si>
  <si>
    <t>ballentoff</t>
  </si>
  <si>
    <t>Barbara.Best@manulifesecurities.ca</t>
  </si>
  <si>
    <t>Barbara Best</t>
  </si>
  <si>
    <t>2017-10-08T04:46:29</t>
  </si>
  <si>
    <t>bjbest</t>
  </si>
  <si>
    <t>Barbara.Bulger@manulifesecurities.ca</t>
  </si>
  <si>
    <t>Barbara Bulger</t>
  </si>
  <si>
    <t>2017-01-25T11:50:39</t>
  </si>
  <si>
    <t>barbbulger</t>
  </si>
  <si>
    <t>Barbara.Chong@manulifesecurities.ca</t>
  </si>
  <si>
    <t>Barbara Chong</t>
  </si>
  <si>
    <t>mfc.barbara.chong</t>
  </si>
  <si>
    <t>Barbara.Fraser@manulifesecurities.ca</t>
  </si>
  <si>
    <t>Barbara Fraser</t>
  </si>
  <si>
    <t>2016-09-30T11:50:32</t>
  </si>
  <si>
    <t>mfc.barbara.frase</t>
  </si>
  <si>
    <t>Barbara.Fuller@manulifesecurities.ca</t>
  </si>
  <si>
    <t>Barbara Fuller</t>
  </si>
  <si>
    <t>2017-10-03T09:15:54</t>
  </si>
  <si>
    <t>bfuller</t>
  </si>
  <si>
    <t>Barbara.Hryniewicz@manulifesecurities.ca</t>
  </si>
  <si>
    <t>Barbara Hryniewicz</t>
  </si>
  <si>
    <t>2017-10-12T08:33:49</t>
  </si>
  <si>
    <t>BHryniewicz</t>
  </si>
  <si>
    <t>Barbara.Meyer@manulifesecurities.ca</t>
  </si>
  <si>
    <t>Barbara Meyer</t>
  </si>
  <si>
    <t>2017-10-15T21:14:02</t>
  </si>
  <si>
    <t>BMeyer</t>
  </si>
  <si>
    <t>Barbara.Morgan@manulifesecurities.ca</t>
  </si>
  <si>
    <t>BMorgan (Burlington)</t>
  </si>
  <si>
    <t>BMorgan</t>
  </si>
  <si>
    <t>Barbara.Schmidlin@manulifesecurities.ca</t>
  </si>
  <si>
    <t>Barbara Schmidlin</t>
  </si>
  <si>
    <t>2017-10-12T12:13:47</t>
  </si>
  <si>
    <t>mfc.barbara.schmi</t>
  </si>
  <si>
    <t>Barbara.Steele@manulifesecurities.ca</t>
  </si>
  <si>
    <t>Barbara Steele (Advisor - ON)</t>
  </si>
  <si>
    <t>besteele</t>
  </si>
  <si>
    <t>Barbara.Wright@manulifesecurities.ca</t>
  </si>
  <si>
    <t>Barbara Wright</t>
  </si>
  <si>
    <t>blwright</t>
  </si>
  <si>
    <t>BarbaraA.Rowell@manulifesecurities.ca</t>
  </si>
  <si>
    <t>Barbara A Rowell</t>
  </si>
  <si>
    <t>barrowell</t>
  </si>
  <si>
    <t>BarbaraAnne.Rowell@manulifesecurities.ca</t>
  </si>
  <si>
    <t>Barbara Anne Rowell</t>
  </si>
  <si>
    <t>arowell</t>
  </si>
  <si>
    <t>BarbaraARennie@manulifesecurities.ca</t>
  </si>
  <si>
    <t>Barbara A Rennie</t>
  </si>
  <si>
    <t>brennie</t>
  </si>
  <si>
    <t>Barry.Boehmer@manulifesecurities.ca</t>
  </si>
  <si>
    <t>Barry Boehmer</t>
  </si>
  <si>
    <t>boehmba</t>
  </si>
  <si>
    <t>Barry.Davis@manulifesecurities.ca</t>
  </si>
  <si>
    <t>Barry Davis</t>
  </si>
  <si>
    <t>BDavis</t>
  </si>
  <si>
    <t>Barry.Fowler@manulifesecurities.ca</t>
  </si>
  <si>
    <t>Barry Fowler</t>
  </si>
  <si>
    <t>2017-10-14T00:15:16</t>
  </si>
  <si>
    <t>bareman</t>
  </si>
  <si>
    <t>Barry.Goldberg@manulifesecurities.ca</t>
  </si>
  <si>
    <t>BGoldberg</t>
  </si>
  <si>
    <t>Barry.Hill@manulifesecurities.ca</t>
  </si>
  <si>
    <t>Barry Hill</t>
  </si>
  <si>
    <t>2017-10-06T09:16:59</t>
  </si>
  <si>
    <t>mfc.barry.hill</t>
  </si>
  <si>
    <t>Barry.Laberge@manulifesecurities.ca</t>
  </si>
  <si>
    <t>Barry Laberge</t>
  </si>
  <si>
    <t>2017-09-12T14:46:28</t>
  </si>
  <si>
    <t>blaberge</t>
  </si>
  <si>
    <t>Barry.MacDonald@manulifesecurities.ca</t>
  </si>
  <si>
    <t>Barry MacDonald</t>
  </si>
  <si>
    <t>2017-10-15T00:27:55</t>
  </si>
  <si>
    <t>BMacDonald</t>
  </si>
  <si>
    <t>Barry.McKay@manulifesecurities.ca</t>
  </si>
  <si>
    <t>Barry McKay</t>
  </si>
  <si>
    <t>2017-10-15T14:09:46</t>
  </si>
  <si>
    <t>BMcKay</t>
  </si>
  <si>
    <t>Barry.Moore@manulifesecurities.ca</t>
  </si>
  <si>
    <t>Barry Moore</t>
  </si>
  <si>
    <t>BMoore</t>
  </si>
  <si>
    <t>Barry.Prosser@manulifesecurities.ca</t>
  </si>
  <si>
    <t>Barry Prosser</t>
  </si>
  <si>
    <t>barryp</t>
  </si>
  <si>
    <t>Barry.Rebuck@manulifesecurities.ca</t>
  </si>
  <si>
    <t>Barry Rebuck</t>
  </si>
  <si>
    <t>2017-10-08T09:42:56</t>
  </si>
  <si>
    <t>brebuck</t>
  </si>
  <si>
    <t>Barry.Scott@manulifesecurities.ca</t>
  </si>
  <si>
    <t>Barry Scott</t>
  </si>
  <si>
    <t>BScott</t>
  </si>
  <si>
    <t>Barry.Sjolin@manulifesecurities.ca</t>
  </si>
  <si>
    <t>Barry Sjolin</t>
  </si>
  <si>
    <t>bsjolin</t>
  </si>
  <si>
    <t>Barry.Talbot@manulifesecurities.ca</t>
  </si>
  <si>
    <t>Barry Talbot</t>
  </si>
  <si>
    <t>2017-07-12T18:03:37</t>
  </si>
  <si>
    <t>btalbot</t>
  </si>
  <si>
    <t>Beatrice.Hale@manulifesecurities.ca</t>
  </si>
  <si>
    <t>Beatrice Hale</t>
  </si>
  <si>
    <t>2017-10-12T10:12:54</t>
  </si>
  <si>
    <t>BHale</t>
  </si>
  <si>
    <t>Beatrice.Huggins@manulifesecurities.ca</t>
  </si>
  <si>
    <t>2015-05-27T15:39:25</t>
  </si>
  <si>
    <t>mfc.beatrice.hugg</t>
  </si>
  <si>
    <t>Beatrice.Salihova@manulifesecurities.ca</t>
  </si>
  <si>
    <t>Beatrice Salihova</t>
  </si>
  <si>
    <t>bsalihov</t>
  </si>
  <si>
    <t>Beatriz.Mejio@manulifesecurities.ca</t>
  </si>
  <si>
    <t>Beatriz Mejio</t>
  </si>
  <si>
    <t>BMejio</t>
  </si>
  <si>
    <t>Bechara.Fakhouri@manulifesecurities.ca</t>
  </si>
  <si>
    <t>2015-03-17T11:56:50</t>
  </si>
  <si>
    <t>bfakhouri</t>
  </si>
  <si>
    <t>Becky.Skinner@manulifesecurities.ca</t>
  </si>
  <si>
    <t>Becky Skinner</t>
  </si>
  <si>
    <t>BSkinner</t>
  </si>
  <si>
    <t>Beirong.Xiong@manulifesecurities.ca</t>
  </si>
  <si>
    <t>Beirong Xiong</t>
  </si>
  <si>
    <t>2017-10-06T18:10:23</t>
  </si>
  <si>
    <t>BXiong</t>
  </si>
  <si>
    <t>Belinda.Kuipers@manulifesecurities.ca</t>
  </si>
  <si>
    <t>Belinda Kuipers</t>
  </si>
  <si>
    <t>BKuipers</t>
  </si>
  <si>
    <t>Belva.Crabtree@manulifesecurities.ca</t>
  </si>
  <si>
    <t>Belva Crabtree</t>
  </si>
  <si>
    <t>BCrabtree</t>
  </si>
  <si>
    <t>Ben.Doro@manulifesecurities.ca</t>
  </si>
  <si>
    <t>Ben Doro</t>
  </si>
  <si>
    <t>BDoro</t>
  </si>
  <si>
    <t>Ben.Eby@manulifesecurities.ca</t>
  </si>
  <si>
    <t>Ben Eby</t>
  </si>
  <si>
    <t>ebyben</t>
  </si>
  <si>
    <t>Ben.Edwards@manulifesecurities.ca</t>
  </si>
  <si>
    <t>Ben Edwards</t>
  </si>
  <si>
    <t>2017-10-06T09:15:47</t>
  </si>
  <si>
    <t>BEdwards</t>
  </si>
  <si>
    <t>Ben.Holyday@manulifesecurities.ca</t>
  </si>
  <si>
    <t>Ben Holyday</t>
  </si>
  <si>
    <t>2017-10-12T10:33:06</t>
  </si>
  <si>
    <t>bholyday</t>
  </si>
  <si>
    <t>Ben.Paquin@manulifesecurities.ca</t>
  </si>
  <si>
    <t>Ben Paquin</t>
  </si>
  <si>
    <t>2017-10-14T15:10:34</t>
  </si>
  <si>
    <t>mfc.ben.paquin</t>
  </si>
  <si>
    <t>Ben.Parhar@manulifesecurities.ca</t>
  </si>
  <si>
    <t>BParhar</t>
  </si>
  <si>
    <t>Benjamin.Achache@manulifesecurities.ca</t>
  </si>
  <si>
    <t>Benjamin Achache</t>
  </si>
  <si>
    <t>bachache</t>
  </si>
  <si>
    <t>Benjamin.Bandosz@manulifesecurities.ca</t>
  </si>
  <si>
    <t>Benjamin Bandosz</t>
  </si>
  <si>
    <t>2017-07-31T09:33:06</t>
  </si>
  <si>
    <t>mfc.benjamin.band</t>
  </si>
  <si>
    <t>Benjamin.Eby@manulifesecurities.ca</t>
  </si>
  <si>
    <t>Benjamin Eby</t>
  </si>
  <si>
    <t>2017-10-12T10:26:11</t>
  </si>
  <si>
    <t>beneby</t>
  </si>
  <si>
    <t>Benjamin.Lo@manulifesecurities.ca</t>
  </si>
  <si>
    <t>Benjamin Lo</t>
  </si>
  <si>
    <t>benlo476052</t>
  </si>
  <si>
    <t>Benjamin.Manion@manulifesecurities.ca</t>
  </si>
  <si>
    <t>BManion</t>
  </si>
  <si>
    <t>Benjamin.Thibault@manulifesecurities.ca</t>
  </si>
  <si>
    <t>Benjamin Thibault</t>
  </si>
  <si>
    <t>mfc.benjamin.thib</t>
  </si>
  <si>
    <t>Benoit.Leger@manulifesecurities.ca</t>
  </si>
  <si>
    <t>Benoit Leger</t>
  </si>
  <si>
    <t>2014-11-21T10:31:29</t>
  </si>
  <si>
    <t>BLeger</t>
  </si>
  <si>
    <t>Bente.Rowland@manulifesecurities.ca</t>
  </si>
  <si>
    <t>Bente Rowland</t>
  </si>
  <si>
    <t>2017-10-13T12:45:24</t>
  </si>
  <si>
    <t>bkrowland</t>
  </si>
  <si>
    <t>Berge.Alyanak@manulifesecurities.ca</t>
  </si>
  <si>
    <t>Berge Alyanak</t>
  </si>
  <si>
    <t>2017-10-13T07:34:25</t>
  </si>
  <si>
    <t>BAlyanak</t>
  </si>
  <si>
    <t>Bernadeth.Florindo@manulifesecurities.ca</t>
  </si>
  <si>
    <t>Bernadeth Florindo</t>
  </si>
  <si>
    <t>BFlorindo</t>
  </si>
  <si>
    <t>Bernadette.Sylvia@manulifesecurities.ca</t>
  </si>
  <si>
    <t>Bernadette Sylvia</t>
  </si>
  <si>
    <t>BSylvia</t>
  </si>
  <si>
    <t>Bernard.Cote@manulifesecurities.ca</t>
  </si>
  <si>
    <t>Bernard Cote</t>
  </si>
  <si>
    <t>2017-10-15T16:35:44</t>
  </si>
  <si>
    <t>BCote</t>
  </si>
  <si>
    <t>Bernard.Lesiege@placementsmanuvie.ca</t>
  </si>
  <si>
    <t>Bernard Lesiege</t>
  </si>
  <si>
    <t>2017-08-16T09:10:45</t>
  </si>
  <si>
    <t>BLesiege</t>
  </si>
  <si>
    <t>Bernard.Martins@manulifesecurities.ca</t>
  </si>
  <si>
    <t>Bernard Martins</t>
  </si>
  <si>
    <t>warrant</t>
  </si>
  <si>
    <t>Bernard.Pepin@manulifesecurities.ca</t>
  </si>
  <si>
    <t>Bernard Pepin</t>
  </si>
  <si>
    <t>2017-10-11T11:45:31</t>
  </si>
  <si>
    <t>berniepepin</t>
  </si>
  <si>
    <t>Bernardo.D'Angelo@manulifesecurities.ca</t>
  </si>
  <si>
    <t>Bernardo D'Angelo</t>
  </si>
  <si>
    <t>2015-09-21T18:06:52</t>
  </si>
  <si>
    <t>BDAngelo</t>
  </si>
  <si>
    <t>Bernice.Leblanc@manulifesecurities.ca</t>
  </si>
  <si>
    <t>Bernice Leblanc</t>
  </si>
  <si>
    <t>2017-10-03T10:12:33</t>
  </si>
  <si>
    <t>leblancb</t>
  </si>
  <si>
    <t>Bert.Griffin@manulifesecurities.ca</t>
  </si>
  <si>
    <t>Bert Griffin</t>
  </si>
  <si>
    <t>2017-10-10T22:00:48</t>
  </si>
  <si>
    <t>BGriffin</t>
  </si>
  <si>
    <t>BESAdmin@manulifesecurities.ca</t>
  </si>
  <si>
    <t>BES Admin</t>
  </si>
  <si>
    <t>BESAdmin</t>
  </si>
  <si>
    <t>Beth.Bauman@manulifesecurities.ca</t>
  </si>
  <si>
    <t>Beth Bauman</t>
  </si>
  <si>
    <t>2016-11-11T11:44:16</t>
  </si>
  <si>
    <t>bhbauman</t>
  </si>
  <si>
    <t>Beth.Closs@manulifesecurities.ca</t>
  </si>
  <si>
    <t>Beth Closs</t>
  </si>
  <si>
    <t>2017-10-16T09:34:34</t>
  </si>
  <si>
    <t>bethcloss</t>
  </si>
  <si>
    <t>Beth.Cockcroft@manulifesecurities.ca</t>
  </si>
  <si>
    <t>Beth Cockcroft</t>
  </si>
  <si>
    <t>bcockcro</t>
  </si>
  <si>
    <t>Beth.Forsyth@manulifesecurities.ca</t>
  </si>
  <si>
    <t>Beth Forsyth</t>
  </si>
  <si>
    <t>forbet</t>
  </si>
  <si>
    <t>Beth.Hesson@manulifesecurities.ca</t>
  </si>
  <si>
    <t>Beth Hesson</t>
  </si>
  <si>
    <t>2017-10-04T13:40:11</t>
  </si>
  <si>
    <t>hesson</t>
  </si>
  <si>
    <t>Beth.Lockhart@manulifesecurities.ca</t>
  </si>
  <si>
    <t>Beth Lockhart</t>
  </si>
  <si>
    <t>2014-09-22T14:59:57</t>
  </si>
  <si>
    <t>BLockhart</t>
  </si>
  <si>
    <t>Beth.Munro@manulifesecurities.ca</t>
  </si>
  <si>
    <t>Beth Munro</t>
  </si>
  <si>
    <t>davidyusuf</t>
  </si>
  <si>
    <t>Beth.Ruff@manulifesecurities.ca</t>
  </si>
  <si>
    <t>Beth Ruff</t>
  </si>
  <si>
    <t>2017-10-16T07:29:32</t>
  </si>
  <si>
    <t>mfc.beth.ruff</t>
  </si>
  <si>
    <t>Betty.Watson@manulifesecurities.ca</t>
  </si>
  <si>
    <t>Betty Watson</t>
  </si>
  <si>
    <t>2017-10-12T12:32:05</t>
  </si>
  <si>
    <t>bwatson</t>
  </si>
  <si>
    <t>Betty.Wintonyk@manulifesecurities.ca</t>
  </si>
  <si>
    <t>Betty Wintonyk</t>
  </si>
  <si>
    <t>kidekt</t>
  </si>
  <si>
    <t>Beverley.Vane@manulifesecurities.ca</t>
  </si>
  <si>
    <t>Beverley Vane</t>
  </si>
  <si>
    <t>BVane</t>
  </si>
  <si>
    <t>Beverly.Bond@manulifesecurities.ca</t>
  </si>
  <si>
    <t>Beverly Bond</t>
  </si>
  <si>
    <t>2017-10-16T09:03:44</t>
  </si>
  <si>
    <t>mfc.beverly.bond</t>
  </si>
  <si>
    <t>Beverly.Hickey@manulifesecurities.ca</t>
  </si>
  <si>
    <t>Beverly Hickey</t>
  </si>
  <si>
    <t>bhickey</t>
  </si>
  <si>
    <t>Beverly.Jalos@manulifesecurities.ca</t>
  </si>
  <si>
    <t>Beverly Jalos</t>
  </si>
  <si>
    <t>BJalos</t>
  </si>
  <si>
    <t>Beverly.Krzmarcik@manulifesecurities.ca</t>
  </si>
  <si>
    <t>Beverly Krzmarcik</t>
  </si>
  <si>
    <t>2017-10-05T13:31:01</t>
  </si>
  <si>
    <t>Krzmarcik</t>
  </si>
  <si>
    <t>Beverly.Roy@manulifesecurities.ca</t>
  </si>
  <si>
    <t>Beverly Roy</t>
  </si>
  <si>
    <t>2017-09-13T09:14:14</t>
  </si>
  <si>
    <t>roybev</t>
  </si>
  <si>
    <t>Bibiano.Chenilla@manulifesecurities.ca</t>
  </si>
  <si>
    <t>Bibiano Chenilla</t>
  </si>
  <si>
    <t>BChenilla</t>
  </si>
  <si>
    <t>Bilkish.Makani@manulifesecurities.ca</t>
  </si>
  <si>
    <t>Bilkish Makani</t>
  </si>
  <si>
    <t>bmakani</t>
  </si>
  <si>
    <t>Bill.Aird@manulifesecurities.ca</t>
  </si>
  <si>
    <t>Bill Aird</t>
  </si>
  <si>
    <t>2016-12-14T12:30:44</t>
  </si>
  <si>
    <t>biaird</t>
  </si>
  <si>
    <t>Bill.Allen@manulifesecurities.ca</t>
  </si>
  <si>
    <t>Bill Allen</t>
  </si>
  <si>
    <t>billallen</t>
  </si>
  <si>
    <t>Bill.Davidson@manulifesecurities.ca</t>
  </si>
  <si>
    <t>Bill Davidson</t>
  </si>
  <si>
    <t>2017-05-11T14:00:39</t>
  </si>
  <si>
    <t>mfc.bill.davidson</t>
  </si>
  <si>
    <t>Bill.Hemenway@manulifesecurities.ca</t>
  </si>
  <si>
    <t>Bill Hemenway</t>
  </si>
  <si>
    <t>WHemenway</t>
  </si>
  <si>
    <t>Bill.Jory@manulifesecurities.ca</t>
  </si>
  <si>
    <t>Bill Jory</t>
  </si>
  <si>
    <t>2017-10-11T18:58:19</t>
  </si>
  <si>
    <t>billjory</t>
  </si>
  <si>
    <t>Bill.MacLean@manulifesecurities.ca</t>
  </si>
  <si>
    <t>Bill MacLean</t>
  </si>
  <si>
    <t>macleanb</t>
  </si>
  <si>
    <t>Bill.McInerney@manulifesecurities.ca</t>
  </si>
  <si>
    <t>Bill McInerney</t>
  </si>
  <si>
    <t>2017-10-14T09:27:05</t>
  </si>
  <si>
    <t>BMcInerney</t>
  </si>
  <si>
    <t>Bill.McLaren@manulifesecurities.ca</t>
  </si>
  <si>
    <t>Bill McLaren</t>
  </si>
  <si>
    <t>BMcLaren</t>
  </si>
  <si>
    <t>Bill.Noble@manulifesecurities.ca</t>
  </si>
  <si>
    <t>Bill Noble</t>
  </si>
  <si>
    <t>2017-10-10T16:55:22</t>
  </si>
  <si>
    <t>BNoble</t>
  </si>
  <si>
    <t>Bill.Ohara@manulifesecurities.ca</t>
  </si>
  <si>
    <t>Bill Ohara</t>
  </si>
  <si>
    <t>bohara</t>
  </si>
  <si>
    <t>Bill.Pangborn@manulifesecurities.ca</t>
  </si>
  <si>
    <t>Bill Pangborn</t>
  </si>
  <si>
    <t>bpangborn</t>
  </si>
  <si>
    <t>Bill.Petch@manulifesecurities.ca</t>
  </si>
  <si>
    <t>Bill Petch</t>
  </si>
  <si>
    <t>2015-01-22T14:06:38</t>
  </si>
  <si>
    <t>petchbi</t>
  </si>
  <si>
    <t>bill.porter@manulifesecurities.ca</t>
  </si>
  <si>
    <t>Bill Porter</t>
  </si>
  <si>
    <t>2017-08-22T13:57:07</t>
  </si>
  <si>
    <t>mfc.bill.porter</t>
  </si>
  <si>
    <t>Bill.Preston@manulifesecurities.ca</t>
  </si>
  <si>
    <t>William Preston</t>
  </si>
  <si>
    <t>2016-12-19T09:53:08</t>
  </si>
  <si>
    <t>bpreston</t>
  </si>
  <si>
    <t>Bill.Raddatz@manulifesecurities.ca</t>
  </si>
  <si>
    <t>Bill Raddatz</t>
  </si>
  <si>
    <t>2014-12-23T10:07:41</t>
  </si>
  <si>
    <t>BRaddatz</t>
  </si>
  <si>
    <t>Bill.Robillard@manulifesecurities.ca</t>
  </si>
  <si>
    <t>Bill Robillard</t>
  </si>
  <si>
    <t>2017-10-16T09:43:31</t>
  </si>
  <si>
    <t>BRobillard</t>
  </si>
  <si>
    <t>Bill.Vollmer@manulifesecurities.ca</t>
  </si>
  <si>
    <t>Bill Vollmer</t>
  </si>
  <si>
    <t>2017-10-13T19:55:38</t>
  </si>
  <si>
    <t>bvollmer</t>
  </si>
  <si>
    <t>Bill.Wenman@manulifesecurities.ca</t>
  </si>
  <si>
    <t>Bill Wenman</t>
  </si>
  <si>
    <t>2017-10-12T13:28:47</t>
  </si>
  <si>
    <t>bwenman</t>
  </si>
  <si>
    <t>Billy.Vuong@manulifesecurities.ca</t>
  </si>
  <si>
    <t>Billy Vuong</t>
  </si>
  <si>
    <t>2017-10-12T09:33:50</t>
  </si>
  <si>
    <t>mfc.billy.vuong</t>
  </si>
  <si>
    <t>BJRita.Fong@manulifesecurities.ca</t>
  </si>
  <si>
    <t>BJRita Fong</t>
  </si>
  <si>
    <t>BJRFong</t>
  </si>
  <si>
    <t>Blaine.Dickson@manulifesecurities.ca</t>
  </si>
  <si>
    <t>Blaine Dickson</t>
  </si>
  <si>
    <t>2017-10-11T19:35:46</t>
  </si>
  <si>
    <t>BDickson</t>
  </si>
  <si>
    <t>Blair.Vanderholst@manulifesecurities.ca</t>
  </si>
  <si>
    <t>Blair Vanderholst</t>
  </si>
  <si>
    <t>2017-10-16T09:14:38</t>
  </si>
  <si>
    <t>mfc.blair.vanderh</t>
  </si>
  <si>
    <t>Blake.Williams@manulifesecurities.ca</t>
  </si>
  <si>
    <t>Blake Williams Neepewa MN</t>
  </si>
  <si>
    <t>BLWilliams</t>
  </si>
  <si>
    <t>blue.red@manulifesecurities.ca</t>
  </si>
  <si>
    <t>blue red</t>
  </si>
  <si>
    <t>bred</t>
  </si>
  <si>
    <t>Bob.Burke@manulifesecurities.ca</t>
  </si>
  <si>
    <t>Bob Burke</t>
  </si>
  <si>
    <t>RoBurke</t>
  </si>
  <si>
    <t>Bob.Bursey@manulifesecurities.ca</t>
  </si>
  <si>
    <t>Bob Bursey</t>
  </si>
  <si>
    <t>BBursey</t>
  </si>
  <si>
    <t>bob.chick@manulifesecurities.ca</t>
  </si>
  <si>
    <t>Bob Chick</t>
  </si>
  <si>
    <t>2017-10-13T19:45:10</t>
  </si>
  <si>
    <t>mfc.bob.chick</t>
  </si>
  <si>
    <t>Bob.Clark@manulifesecurities.ca</t>
  </si>
  <si>
    <t>Bob Clark - Disable by MC as per special request Feb-10</t>
  </si>
  <si>
    <t>BClark</t>
  </si>
  <si>
    <t>Bob.Jet@manulifesecurities.ca</t>
  </si>
  <si>
    <t>Bob Jet</t>
  </si>
  <si>
    <t>2017-10-14T13:44:58</t>
  </si>
  <si>
    <t>mfc.bob.jet</t>
  </si>
  <si>
    <t>Bob.Mason@manulifesecurities.ca</t>
  </si>
  <si>
    <t>Bob Mason</t>
  </si>
  <si>
    <t>bullmarket</t>
  </si>
  <si>
    <t>Bob.McIntosh@manulifesecurities.ca</t>
  </si>
  <si>
    <t>Bob McIntosh (Ontario)</t>
  </si>
  <si>
    <t>2017-10-06T09:33:07</t>
  </si>
  <si>
    <t>mcintosh</t>
  </si>
  <si>
    <t>Bob.Preece@manulifesecurities.ca</t>
  </si>
  <si>
    <t>Bob Preece</t>
  </si>
  <si>
    <t>BPreece</t>
  </si>
  <si>
    <t>Bob.Rudick@manulifesecurities.ca</t>
  </si>
  <si>
    <t>Bob Rudick</t>
  </si>
  <si>
    <t>2017-10-10T16:24:13</t>
  </si>
  <si>
    <t>BRudick</t>
  </si>
  <si>
    <t>Bob.Seel@manulifesecurities.ca</t>
  </si>
  <si>
    <t>Bob Seel</t>
  </si>
  <si>
    <t>2017-10-15T05:20:14</t>
  </si>
  <si>
    <t>BobSeel</t>
  </si>
  <si>
    <t>Bob.Starr@manulifesecurities.ca</t>
  </si>
  <si>
    <t>Bob Starr</t>
  </si>
  <si>
    <t>starrbo</t>
  </si>
  <si>
    <t>Bob.Sutton@manulifesecurities.ca</t>
  </si>
  <si>
    <t>Bob Sutton</t>
  </si>
  <si>
    <t>2016-03-07T17:13:33</t>
  </si>
  <si>
    <t>BSutton</t>
  </si>
  <si>
    <t>Bob.Wareham@manulifesecurities.ca</t>
  </si>
  <si>
    <t>Bob Wareham</t>
  </si>
  <si>
    <t>2014-11-05T20:18:36</t>
  </si>
  <si>
    <t>awareham</t>
  </si>
  <si>
    <t>Bob.Watts@manulifesecurities.ca</t>
  </si>
  <si>
    <t>Bob Watts</t>
  </si>
  <si>
    <t>2016-03-16T13:40:40</t>
  </si>
  <si>
    <t>BWatts</t>
  </si>
  <si>
    <t>Bobby.Barry@manulifesecurities.ca</t>
  </si>
  <si>
    <t>Robert Barry</t>
  </si>
  <si>
    <t>2017-10-05T14:56:17</t>
  </si>
  <si>
    <t>RBarry</t>
  </si>
  <si>
    <t>Bonnie.Guy@manulifesecurities.ca</t>
  </si>
  <si>
    <t>Bonnie Guy</t>
  </si>
  <si>
    <t>bonnieguy</t>
  </si>
  <si>
    <t>Bonnie.Knoerck@manulifesecurities.ca</t>
  </si>
  <si>
    <t>Bonnie Knoerck</t>
  </si>
  <si>
    <t>bknoerck</t>
  </si>
  <si>
    <t>Bonnie.Kolodzy@manulifesecurities.ca</t>
  </si>
  <si>
    <t>Bonnie Kolodzy</t>
  </si>
  <si>
    <t>bkolodzy</t>
  </si>
  <si>
    <t>Bonnie.Kong@manulifesecurities.ca</t>
  </si>
  <si>
    <t>Bonnie Kong</t>
  </si>
  <si>
    <t>2017-10-08T20:19:26</t>
  </si>
  <si>
    <t>BKong</t>
  </si>
  <si>
    <t>Bonnie.Lapierre@manulifesecurities.ca</t>
  </si>
  <si>
    <t>Bonnie Lapierre</t>
  </si>
  <si>
    <t>BLapierre</t>
  </si>
  <si>
    <t>Bonnie.Martens@manulifesecurities.ca</t>
  </si>
  <si>
    <t>Bonnie Martens</t>
  </si>
  <si>
    <t>2017-10-12T15:48:27</t>
  </si>
  <si>
    <t>bmartens</t>
  </si>
  <si>
    <t>Bonnie.Muscat@manulifesecurities.ca</t>
  </si>
  <si>
    <t>Bonnie Muscat</t>
  </si>
  <si>
    <t>muscat</t>
  </si>
  <si>
    <t>Bonnie.Sagriff@manulifesecurities.ca</t>
  </si>
  <si>
    <t>Bonnie Sagriff</t>
  </si>
  <si>
    <t>2016-07-11T14:26:07</t>
  </si>
  <si>
    <t>mfc.bonnie.sagrif</t>
  </si>
  <si>
    <t>Bonnie.Warren@manulifesecurities.ca</t>
  </si>
  <si>
    <t>Bonnie Warren</t>
  </si>
  <si>
    <t>BWarren</t>
  </si>
  <si>
    <t>Boon.Ang@manulifesecurities.ca</t>
  </si>
  <si>
    <t>Boon Ang</t>
  </si>
  <si>
    <t>2017-10-11T21:09:09</t>
  </si>
  <si>
    <t>angboon</t>
  </si>
  <si>
    <t>Boris.Guzman@manulifesecurities.ca</t>
  </si>
  <si>
    <t>Boris Guzman</t>
  </si>
  <si>
    <t>2017-09-30T20:15:10</t>
  </si>
  <si>
    <t>borisg</t>
  </si>
  <si>
    <t>Boyd.Hume@manulifesecurities.ca</t>
  </si>
  <si>
    <t>Boyd Hume</t>
  </si>
  <si>
    <t>2017-10-11T00:51:33</t>
  </si>
  <si>
    <t>mfc.boyd.hume</t>
  </si>
  <si>
    <t>BozenaPestka@manulifesecurities.ca</t>
  </si>
  <si>
    <t>Bozena Pestka</t>
  </si>
  <si>
    <t>bpestka</t>
  </si>
  <si>
    <t>Brad.Brain@manulifesecurities.ca</t>
  </si>
  <si>
    <t>Brad Brain</t>
  </si>
  <si>
    <t>2015-09-29T18:09:06</t>
  </si>
  <si>
    <t>BBrain</t>
  </si>
  <si>
    <t>Brad.Heuchert@manulifesecurities.ca</t>
  </si>
  <si>
    <t>Brad Heuchert</t>
  </si>
  <si>
    <t>bheuchert</t>
  </si>
  <si>
    <t>Brad.Martz@manulifesecurities.ca</t>
  </si>
  <si>
    <t>Brad Martz</t>
  </si>
  <si>
    <t>2017-10-12T00:55:26</t>
  </si>
  <si>
    <t>BMartz</t>
  </si>
  <si>
    <t>Brad.Nyhus@manulifesecurities.ca</t>
  </si>
  <si>
    <t>Brad Nyhus</t>
  </si>
  <si>
    <t>BNyhus</t>
  </si>
  <si>
    <t>Brad.Rollo@manulifesecurities.ca</t>
  </si>
  <si>
    <t>Brad Rollo</t>
  </si>
  <si>
    <t>2017-10-07T15:18:05</t>
  </si>
  <si>
    <t>BRollo</t>
  </si>
  <si>
    <t>Brad.Sarna@manulifesecurities.ca</t>
  </si>
  <si>
    <t>Brad Sarna</t>
  </si>
  <si>
    <t>2017-10-11T09:07:41</t>
  </si>
  <si>
    <t>BSarna</t>
  </si>
  <si>
    <t>Brad.Stoutenburg@manulifesecurities.ca</t>
  </si>
  <si>
    <t>Brad Stoutenburg</t>
  </si>
  <si>
    <t>bstouten</t>
  </si>
  <si>
    <t>Brad.Vickerson@manulifesecurities.ca</t>
  </si>
  <si>
    <t>Brad Vickerson</t>
  </si>
  <si>
    <t>2017-09-25T12:06:21</t>
  </si>
  <si>
    <t>brvicker</t>
  </si>
  <si>
    <t>Brad.Wallace@manulifesecurities.ca</t>
  </si>
  <si>
    <t>Brad Wallace</t>
  </si>
  <si>
    <t>2017-10-14T15:52:27</t>
  </si>
  <si>
    <t>BWallace</t>
  </si>
  <si>
    <t>Brad.Wendt@manulifesecurities.ca</t>
  </si>
  <si>
    <t>Brad Wendt</t>
  </si>
  <si>
    <t>2017-10-12T11:04:25</t>
  </si>
  <si>
    <t>mfc.brad.wendt</t>
  </si>
  <si>
    <t>Brad.Wise@manulifesecurities.ca</t>
  </si>
  <si>
    <t>Brad Wise</t>
  </si>
  <si>
    <t>2017-10-10T23:32:23</t>
  </si>
  <si>
    <t>BWise</t>
  </si>
  <si>
    <t>Braden.Kinch@manulifesecurities.ca</t>
  </si>
  <si>
    <t>Braden Kinch</t>
  </si>
  <si>
    <t>2017-08-01T15:19:11</t>
  </si>
  <si>
    <t>mfc.braden.kinch</t>
  </si>
  <si>
    <t>Bradley.Amlin@manulifesecurities.ca</t>
  </si>
  <si>
    <t>Bradley Amlin</t>
  </si>
  <si>
    <t>2017-07-18T11:52:08</t>
  </si>
  <si>
    <t>bamlin</t>
  </si>
  <si>
    <t>bradley.bickley@manulifesecurities.ca</t>
  </si>
  <si>
    <t>Bradley Bickley</t>
  </si>
  <si>
    <t>2017-10-12T12:06:22</t>
  </si>
  <si>
    <t>mfc.bradley.bickl</t>
  </si>
  <si>
    <t>Bradley.Davis@manulifesecurities.ca</t>
  </si>
  <si>
    <t>Bradley Davis</t>
  </si>
  <si>
    <t>2017-10-10T10:27:15</t>
  </si>
  <si>
    <t>davisbr</t>
  </si>
  <si>
    <t>Bradley.Dow@manulifesecurities.ca</t>
  </si>
  <si>
    <t>Bradley Dow</t>
  </si>
  <si>
    <t>2017-10-05T12:31:26</t>
  </si>
  <si>
    <t>Bdow</t>
  </si>
  <si>
    <t>Bradley.Hutchings@manulifesecurities.ca</t>
  </si>
  <si>
    <t>Bradley Hutchings</t>
  </si>
  <si>
    <t>hutchbr</t>
  </si>
  <si>
    <t>Bradley.Hyslop@manulifesecurities.ca</t>
  </si>
  <si>
    <t>Brad Hyslop</t>
  </si>
  <si>
    <t>2016-12-25T13:39:51</t>
  </si>
  <si>
    <t>BHyslop</t>
  </si>
  <si>
    <t>Bradley.Prefontaine@manulifesecurities.ca</t>
  </si>
  <si>
    <t>Bradley Prefontaine</t>
  </si>
  <si>
    <t>bradpr</t>
  </si>
  <si>
    <t>Bradley.Schoonbaert@manulifesecurities.ca</t>
  </si>
  <si>
    <t>Bradley Schoonbaert</t>
  </si>
  <si>
    <t>2017-10-10T10:17:59</t>
  </si>
  <si>
    <t>BSchoonbaert</t>
  </si>
  <si>
    <t>Bradly.Baillargeon@manulifesecurities.ca</t>
  </si>
  <si>
    <t>Bradly Baillargeon</t>
  </si>
  <si>
    <t>2017-10-12T06:16:22</t>
  </si>
  <si>
    <t>BBaillargeon</t>
  </si>
  <si>
    <t>Bram.Goldstein@manulifesecurities.ca</t>
  </si>
  <si>
    <t>Bram Goldstein</t>
  </si>
  <si>
    <t>2017-10-13T06:18:58</t>
  </si>
  <si>
    <t>mfc.bram.goldstei</t>
  </si>
  <si>
    <t>BranchAccess@manulifesecurities.ca</t>
  </si>
  <si>
    <t>Branch Access</t>
  </si>
  <si>
    <t>BranchAccess</t>
  </si>
  <si>
    <t>BranchManagerReports@manulifesecurities.ca</t>
  </si>
  <si>
    <t>Branch Manager Reports</t>
  </si>
  <si>
    <t>BranchManagerReports</t>
  </si>
  <si>
    <t>Branden.Larocque@manulifesecurities.ca</t>
  </si>
  <si>
    <t>Branden Larocque</t>
  </si>
  <si>
    <t>2017-09-07T15:08:05</t>
  </si>
  <si>
    <t>mfc.branden.laroc</t>
  </si>
  <si>
    <t>Brandon.Beavis@manulifesecurities.ca</t>
  </si>
  <si>
    <t>Brandon Beavis</t>
  </si>
  <si>
    <t>2017-10-12T14:24:20</t>
  </si>
  <si>
    <t>mfc.brandon.beavi</t>
  </si>
  <si>
    <t>Brandon.Semeniuk@manulifesecurities.ca</t>
  </si>
  <si>
    <t>Brandon Semeniuk</t>
  </si>
  <si>
    <t>2017-10-09T14:06:21</t>
  </si>
  <si>
    <t>BSemeniuk</t>
  </si>
  <si>
    <t>Brandon.Silbermann@manulifesecurities.ca</t>
  </si>
  <si>
    <t>Brandon Silbermann</t>
  </si>
  <si>
    <t>2017-10-16T09:51:15</t>
  </si>
  <si>
    <t>BSilbermann</t>
  </si>
  <si>
    <t>Brandon.Whitby@manulifesecurities.ca</t>
  </si>
  <si>
    <t>Brandon Whitby</t>
  </si>
  <si>
    <t>2017-10-06T08:51:33</t>
  </si>
  <si>
    <t>BWhitby</t>
  </si>
  <si>
    <t>Brandy.Bolinski@manulifesecurities.ca</t>
  </si>
  <si>
    <t>Brandy Bolinski</t>
  </si>
  <si>
    <t>2017-10-15T12:36:31</t>
  </si>
  <si>
    <t>mfc.brandy.bolins</t>
  </si>
  <si>
    <t>brandy.phaneuf@manulifesecurities.ca</t>
  </si>
  <si>
    <t>Brandy Phaneuf</t>
  </si>
  <si>
    <t>2017-10-12T13:03:03</t>
  </si>
  <si>
    <t>BLovenuk</t>
  </si>
  <si>
    <t>Braxton.Lawrence@manulifesecurities.ca</t>
  </si>
  <si>
    <t>Braxton Lawrence</t>
  </si>
  <si>
    <t>2014-09-22T18:36:13</t>
  </si>
  <si>
    <t>BLawrence</t>
  </si>
  <si>
    <t>Breanna.Tyler@manulifesecurities.ca</t>
  </si>
  <si>
    <t>Breanna Tyler</t>
  </si>
  <si>
    <t>BTyler</t>
  </si>
  <si>
    <t>Breanne.Wirth@manulifesecurities.ca</t>
  </si>
  <si>
    <t>Breanne Wirth</t>
  </si>
  <si>
    <t>mfc.breanne.wirth</t>
  </si>
  <si>
    <t>Bree.Wilson@manulifesecurities.ca</t>
  </si>
  <si>
    <t>Bree Wilson</t>
  </si>
  <si>
    <t>breewilson</t>
  </si>
  <si>
    <t>Brenda.Armitage@manulifesecurities.ca</t>
  </si>
  <si>
    <t>Brenda Armitage</t>
  </si>
  <si>
    <t>BArmitage</t>
  </si>
  <si>
    <t>Brenda.Channer@manulifesecurities.ca</t>
  </si>
  <si>
    <t>zz Manulife - Brenda Channer</t>
  </si>
  <si>
    <t>BChanner</t>
  </si>
  <si>
    <t>Brenda.Cochrane@manulifesecurities.ca</t>
  </si>
  <si>
    <t>Brenda Cochrane</t>
  </si>
  <si>
    <t>brcoch</t>
  </si>
  <si>
    <t>Brenda.Fedyk@manulifesecurities.ca</t>
  </si>
  <si>
    <t>Brenda Fedyk</t>
  </si>
  <si>
    <t>2015-02-17T17:18:38</t>
  </si>
  <si>
    <t>bfedyk</t>
  </si>
  <si>
    <t>Brenda.Glover@manulifesecurities.ca</t>
  </si>
  <si>
    <t>Brenda Glover</t>
  </si>
  <si>
    <t>brglover</t>
  </si>
  <si>
    <t>Brenda.Gotte@manulifesecurities.ca</t>
  </si>
  <si>
    <t>Brenda Gotte</t>
  </si>
  <si>
    <t>2016-02-02T14:28:43</t>
  </si>
  <si>
    <t>mfc.brenda.gotte</t>
  </si>
  <si>
    <t>Brenda.King@manulifesecurities.ca</t>
  </si>
  <si>
    <t>Brenda King</t>
  </si>
  <si>
    <t>2017-10-04T14:41:57</t>
  </si>
  <si>
    <t>BKing</t>
  </si>
  <si>
    <t>Brenda.Kuerschner@manulifesecurities.ca</t>
  </si>
  <si>
    <t>Brenda Kuerschner</t>
  </si>
  <si>
    <t>2015-04-27T12:59:18</t>
  </si>
  <si>
    <t>BKuerschner</t>
  </si>
  <si>
    <t>Brenda.Lee@manulifesecurities.ca</t>
  </si>
  <si>
    <t>2016-06-27T13:19:40</t>
  </si>
  <si>
    <t>brendalee</t>
  </si>
  <si>
    <t>Brenda.McLintock@manulifesecurities.ca</t>
  </si>
  <si>
    <t>Brenda McLintock</t>
  </si>
  <si>
    <t>BMcLintock</t>
  </si>
  <si>
    <t>Brenda.Meulendyks@manulifesecurities.ca</t>
  </si>
  <si>
    <t>Brenda Meulendyks</t>
  </si>
  <si>
    <t>mfc.brenda.meulen</t>
  </si>
  <si>
    <t>Brenda.Montieth@manulifesecurities.ca</t>
  </si>
  <si>
    <t>Brenda Montieth</t>
  </si>
  <si>
    <t>2017-10-05T11:13:23</t>
  </si>
  <si>
    <t>BMontieth</t>
  </si>
  <si>
    <t>Brenda.Renteln@manulifesecurities.ca</t>
  </si>
  <si>
    <t>Brenda Renteln</t>
  </si>
  <si>
    <t>2017-01-16T10:10:08</t>
  </si>
  <si>
    <t>BRenteln</t>
  </si>
  <si>
    <t>Brenda.Rutherford@manulifesecurities.ca</t>
  </si>
  <si>
    <t>Brenda Rutherford</t>
  </si>
  <si>
    <t>brendair</t>
  </si>
  <si>
    <t>Brenda.Sawada@manulifesecurities.ca</t>
  </si>
  <si>
    <t>Brenda Sawada</t>
  </si>
  <si>
    <t>2017-10-11T16:27:34</t>
  </si>
  <si>
    <t>BSawada</t>
  </si>
  <si>
    <t>Brenda.Stewart@manulifesecurities.ca</t>
  </si>
  <si>
    <t>Brenda Stewart</t>
  </si>
  <si>
    <t>BStewart</t>
  </si>
  <si>
    <t>Brenda.Stockman@manulifesecurities.ca</t>
  </si>
  <si>
    <t>Brenda Stockman</t>
  </si>
  <si>
    <t>brendastock</t>
  </si>
  <si>
    <t>brenda.vahey@manulifesecurities.ca</t>
  </si>
  <si>
    <t>Brenda Vahey</t>
  </si>
  <si>
    <t>2017-10-16T08:59:08</t>
  </si>
  <si>
    <t>mfc.brenda.vahey</t>
  </si>
  <si>
    <t>Brenda.Vandyk@manulifesecurities.ca</t>
  </si>
  <si>
    <t>Brenda Vandyk</t>
  </si>
  <si>
    <t>2017-10-10T07:47:28</t>
  </si>
  <si>
    <t>bvandyk</t>
  </si>
  <si>
    <t>Brenda.Yakimowski@manulifesecurities.ca</t>
  </si>
  <si>
    <t>Brenda Yakimowski</t>
  </si>
  <si>
    <t>BYakimowski</t>
  </si>
  <si>
    <t>Brendan.Colafranceschi@manulifesecurities.ca</t>
  </si>
  <si>
    <t>Brendan Colafranceschi</t>
  </si>
  <si>
    <t>BColafranceschi</t>
  </si>
  <si>
    <t>Brendan.Donahue@manulifesecurities.ca</t>
  </si>
  <si>
    <t>Brendan Donahue</t>
  </si>
  <si>
    <t>2017-10-09T22:13:14</t>
  </si>
  <si>
    <t>BDonahue</t>
  </si>
  <si>
    <t>brendan.enright@manulifesecurities.ca</t>
  </si>
  <si>
    <t>Brendan Enright</t>
  </si>
  <si>
    <t>2016-05-24T05:36:21</t>
  </si>
  <si>
    <t>mfc.brendan.enrig</t>
  </si>
  <si>
    <t>Brendan.OBrien@manulifesecurities.ca</t>
  </si>
  <si>
    <t>Brendan O'Brien</t>
  </si>
  <si>
    <t>2017-10-06T20:03:36</t>
  </si>
  <si>
    <t>BOBrien</t>
  </si>
  <si>
    <t>Brendan.Timmers@manulifesecurities.ca</t>
  </si>
  <si>
    <t>Brendan Timmers</t>
  </si>
  <si>
    <t>BTimmers</t>
  </si>
  <si>
    <t>brent.baines@manulifesecurities.ca</t>
  </si>
  <si>
    <t>Brent Baines</t>
  </si>
  <si>
    <t>2017-01-09T12:00:20</t>
  </si>
  <si>
    <t>mfc.brent.baines</t>
  </si>
  <si>
    <t>Brent.Hall@manulifesecurities.ca</t>
  </si>
  <si>
    <t>BHall</t>
  </si>
  <si>
    <t>Brent.Hathaway@manulifesecurities.ca</t>
  </si>
  <si>
    <t>Brent Hathaway</t>
  </si>
  <si>
    <t>cymbals</t>
  </si>
  <si>
    <t>Brent.McConnell@manulifesecurities.ca</t>
  </si>
  <si>
    <t>Brent McConnell</t>
  </si>
  <si>
    <t>BMcConnell</t>
  </si>
  <si>
    <t>Brent.Pringle@manulifesecurities.ca</t>
  </si>
  <si>
    <t>Brent Pringle</t>
  </si>
  <si>
    <t>2015-02-27T17:20:38</t>
  </si>
  <si>
    <t>BPringle</t>
  </si>
  <si>
    <t>Brent.Reilly@manulifesecurities.ca</t>
  </si>
  <si>
    <t>Brent Reilly</t>
  </si>
  <si>
    <t>2017-10-10T14:10:56</t>
  </si>
  <si>
    <t>mfc.brent.reilly</t>
  </si>
  <si>
    <t>Brent.Smalley@manulifesecurities.ca</t>
  </si>
  <si>
    <t>T Brent Smalley</t>
  </si>
  <si>
    <t>2017-10-12T15:07:43</t>
  </si>
  <si>
    <t>smallbr</t>
  </si>
  <si>
    <t>Brett.Fox@manulifesecurities.ca</t>
  </si>
  <si>
    <t>Brett Fox</t>
  </si>
  <si>
    <t>2017-10-10T08:39:47</t>
  </si>
  <si>
    <t>BrettFox</t>
  </si>
  <si>
    <t>Brett.Langill@manulifesecurities.ca</t>
  </si>
  <si>
    <t>Brett Langill</t>
  </si>
  <si>
    <t>2017-10-11T23:34:18</t>
  </si>
  <si>
    <t>BLangill</t>
  </si>
  <si>
    <t>Brett.Patchett@manulifesecurities.ca</t>
  </si>
  <si>
    <t>Brett Patchett</t>
  </si>
  <si>
    <t>bpatch</t>
  </si>
  <si>
    <t>Brett.Wackenhut@manulifesecurities.ca</t>
  </si>
  <si>
    <t>Brett Wackenhut</t>
  </si>
  <si>
    <t>bretzky</t>
  </si>
  <si>
    <t>Brian.Banman@manulifesecurities.ca</t>
  </si>
  <si>
    <t>Brian Banman</t>
  </si>
  <si>
    <t>BBanman</t>
  </si>
  <si>
    <t>Brian.Cameron@manulifesecurities.ca</t>
  </si>
  <si>
    <t>Brian Cameron</t>
  </si>
  <si>
    <t>2017-10-06T12:15:42</t>
  </si>
  <si>
    <t>BrCameron</t>
  </si>
  <si>
    <t>Brian.Chorney@manulifesecurities.ca</t>
  </si>
  <si>
    <t>Brian �Chorney</t>
  </si>
  <si>
    <t>BChorney</t>
  </si>
  <si>
    <t>Brian.Coote@manulifesecurities.ca</t>
  </si>
  <si>
    <t>Brian Coote</t>
  </si>
  <si>
    <t>BCoote</t>
  </si>
  <si>
    <t>Brian.DAlves@manulifesecurities.ca</t>
  </si>
  <si>
    <t>Brian D'Alves</t>
  </si>
  <si>
    <t>2017-10-06T09:46:19</t>
  </si>
  <si>
    <t>BDalves</t>
  </si>
  <si>
    <t>Brian.Harris@manulifesecurities.ca</t>
  </si>
  <si>
    <t>Brian Harris</t>
  </si>
  <si>
    <t>baharris</t>
  </si>
  <si>
    <t>Brian.Henderson@manulifesecurities.ca</t>
  </si>
  <si>
    <t>Brian Henderson (Disabled)</t>
  </si>
  <si>
    <t>BHenderson</t>
  </si>
  <si>
    <t>Brian.Himmelman@manulifesecurities.ca</t>
  </si>
  <si>
    <t>Brian Himmelman</t>
  </si>
  <si>
    <t>2017-10-06T12:39:14</t>
  </si>
  <si>
    <t>himmelman</t>
  </si>
  <si>
    <t>Brian.Howe@manulifesecurities.ca</t>
  </si>
  <si>
    <t>Brian Howe</t>
  </si>
  <si>
    <t>2017-10-11T09:01:31</t>
  </si>
  <si>
    <t>BHowe</t>
  </si>
  <si>
    <t>Brian.Kerr@manulifesecurities.ca</t>
  </si>
  <si>
    <t>Brian Kerr</t>
  </si>
  <si>
    <t>2015-05-14T14:24:57</t>
  </si>
  <si>
    <t>briankerr</t>
  </si>
  <si>
    <t>Brian.Kirk@manulifesecurities.ca</t>
  </si>
  <si>
    <t>Brian Kirk</t>
  </si>
  <si>
    <t>2017-01-03T15:11:43</t>
  </si>
  <si>
    <t>bfkins</t>
  </si>
  <si>
    <t>brian.norton@manulifesecurities.ca</t>
  </si>
  <si>
    <t>Brian Norton</t>
  </si>
  <si>
    <t>2016-04-19T11:29:35</t>
  </si>
  <si>
    <t>mfc.brian.norton</t>
  </si>
  <si>
    <t>Brian.Rawn@manulifesecurities.ca</t>
  </si>
  <si>
    <t>Brian Rawn</t>
  </si>
  <si>
    <t>2017-10-07T08:11:48</t>
  </si>
  <si>
    <t>brawn</t>
  </si>
  <si>
    <t>Brian.Shulman@manulifesecurities.ca</t>
  </si>
  <si>
    <t>Brian Shulman</t>
  </si>
  <si>
    <t>2016-11-03T15:03:55</t>
  </si>
  <si>
    <t>shulman</t>
  </si>
  <si>
    <t>Brian.Taylor@manulifesecurities.ca</t>
  </si>
  <si>
    <t>Brian Taylor</t>
  </si>
  <si>
    <t>2017-10-03T10:41:00</t>
  </si>
  <si>
    <t>briantaylor</t>
  </si>
  <si>
    <t>Brian.Test@manulifesecurities.ca</t>
  </si>
  <si>
    <t>Brian Test</t>
  </si>
  <si>
    <t>2017-10-11T06:47:56</t>
  </si>
  <si>
    <t>mfc.brian.test</t>
  </si>
  <si>
    <t>Brian.Undershute@manulifesecurities.ca</t>
  </si>
  <si>
    <t>Brian Undershute</t>
  </si>
  <si>
    <t>2017-08-14T08:42:46</t>
  </si>
  <si>
    <t>bjushute</t>
  </si>
  <si>
    <t>Brian.Ward@manulifesecurities.ca</t>
  </si>
  <si>
    <t>Brian Ward</t>
  </si>
  <si>
    <t>2017-10-12T09:06:23</t>
  </si>
  <si>
    <t>wardbr</t>
  </si>
  <si>
    <t>Brian.Wear@manulifesecurities.ca</t>
  </si>
  <si>
    <t>Brian Wear</t>
  </si>
  <si>
    <t>Brwear</t>
  </si>
  <si>
    <t>Brian.Wildeman@manulifesecurities.ca</t>
  </si>
  <si>
    <t>Brian Wildeman</t>
  </si>
  <si>
    <t>2017-10-11T11:30:00</t>
  </si>
  <si>
    <t>BWildeman</t>
  </si>
  <si>
    <t>Brian.Woolley@manulifesecurities.ca</t>
  </si>
  <si>
    <t>Brian Woolley</t>
  </si>
  <si>
    <t>bwoolley</t>
  </si>
  <si>
    <t>Bridget.Maude@manulifesecurities.ca</t>
  </si>
  <si>
    <t>Bridget Maude</t>
  </si>
  <si>
    <t>2017-10-10T11:45:26</t>
  </si>
  <si>
    <t>BMaude</t>
  </si>
  <si>
    <t>Bridget.Steele@manulifesecurities.ca</t>
  </si>
  <si>
    <t>Bridget Steele</t>
  </si>
  <si>
    <t>brsteele</t>
  </si>
  <si>
    <t>Bridgette.McGregor@manulifesecurities.ca</t>
  </si>
  <si>
    <t>Bridgette McGregor</t>
  </si>
  <si>
    <t>BMcGregor</t>
  </si>
  <si>
    <t>brigitte.bittner@manulifesecurities.ca</t>
  </si>
  <si>
    <t>Brigitte Bittner</t>
  </si>
  <si>
    <t>2017-10-15T08:23:04</t>
  </si>
  <si>
    <t>mfc.brigitte.bitt</t>
  </si>
  <si>
    <t>Brigitte.Bouloy@manulifesecurities.ca</t>
  </si>
  <si>
    <t>Brigitte Bouloy</t>
  </si>
  <si>
    <t>boulobr</t>
  </si>
  <si>
    <t>Brittany.Brooks@manulifesecurities.ca</t>
  </si>
  <si>
    <t>Brittany Brooks</t>
  </si>
  <si>
    <t>BBrooks</t>
  </si>
  <si>
    <t>Brittany.Peddie@manulifesecurities.ca</t>
  </si>
  <si>
    <t>Brittany Peddie</t>
  </si>
  <si>
    <t>bpeddie</t>
  </si>
  <si>
    <t>Brittany.Sharp@manulifesecurities.ca</t>
  </si>
  <si>
    <t>Brittany Sharp</t>
  </si>
  <si>
    <t>2017-10-13T15:35:10</t>
  </si>
  <si>
    <t>mfc.brittany.shar</t>
  </si>
  <si>
    <t>brittney.halldorson@manulifesecurities.ca</t>
  </si>
  <si>
    <t>Brittney Halldorson</t>
  </si>
  <si>
    <t>2017-10-02T14:33:33</t>
  </si>
  <si>
    <t>mfc.brittney.hall</t>
  </si>
  <si>
    <t>Brittney.Potter@manulifesecurities.ca</t>
  </si>
  <si>
    <t>Brittney Potter</t>
  </si>
  <si>
    <t>2016-03-07T12:37:17</t>
  </si>
  <si>
    <t>BPotter</t>
  </si>
  <si>
    <t>Brittney.Pull@manulifesecurities.ca</t>
  </si>
  <si>
    <t>Brittney Pull</t>
  </si>
  <si>
    <t>BPull</t>
  </si>
  <si>
    <t>Bronwyn.Hartley@manulifesecurities.ca</t>
  </si>
  <si>
    <t>Bronwyn Hartley</t>
  </si>
  <si>
    <t>BHartley</t>
  </si>
  <si>
    <t>Brooke.Bambao@manulifesecurities.ca</t>
  </si>
  <si>
    <t>Brooke Bambao</t>
  </si>
  <si>
    <t>2016-09-02T11:20:01</t>
  </si>
  <si>
    <t>mfc.brooke.bambao</t>
  </si>
  <si>
    <t>Brooke.Long@manulifesecurities.ca</t>
  </si>
  <si>
    <t>Brooke Long</t>
  </si>
  <si>
    <t>brooke</t>
  </si>
  <si>
    <t>Brooke.Morrison@manulifesecurities.ca</t>
  </si>
  <si>
    <t>Brooke Morrison</t>
  </si>
  <si>
    <t>2016-04-22T05:46:48</t>
  </si>
  <si>
    <t>mfc.brooke.morris</t>
  </si>
  <si>
    <t>Brooke.Wilton@manulifesecurities.ca</t>
  </si>
  <si>
    <t>Brooke Wilton</t>
  </si>
  <si>
    <t>2015-01-29T16:13:56</t>
  </si>
  <si>
    <t>BWilton</t>
  </si>
  <si>
    <t>Bruce.Beck@manulifesecurities.ca</t>
  </si>
  <si>
    <t>Bruce Beck</t>
  </si>
  <si>
    <t>2017-09-27T13:17:44</t>
  </si>
  <si>
    <t>BBeck</t>
  </si>
  <si>
    <t>Bruce.Caplan@manulifesecurities.ca</t>
  </si>
  <si>
    <t>Bruce Caplan</t>
  </si>
  <si>
    <t>bcaplan</t>
  </si>
  <si>
    <t>Bruce.Cook@manulifesecurities.ca</t>
  </si>
  <si>
    <t>Bruce Cook</t>
  </si>
  <si>
    <t>2017-03-03T08:39:38</t>
  </si>
  <si>
    <t>BCook</t>
  </si>
  <si>
    <t>Bruce.Ewen@manulifesecurities.ca</t>
  </si>
  <si>
    <t>Bruce Ewen</t>
  </si>
  <si>
    <t>2017-10-11T09:45:03</t>
  </si>
  <si>
    <t>brewen</t>
  </si>
  <si>
    <t>Bruce.Henry@manulifesecurities.ca</t>
  </si>
  <si>
    <t>Bruce Henry</t>
  </si>
  <si>
    <t>bwhenry</t>
  </si>
  <si>
    <t>Bruce.Isenberg@manulifesecurities.ca</t>
  </si>
  <si>
    <t>Bruce Isenberg</t>
  </si>
  <si>
    <t>2015-05-26T09:08:17</t>
  </si>
  <si>
    <t>brucei</t>
  </si>
  <si>
    <t>Bruce.Killen@manulifesecurities.ca</t>
  </si>
  <si>
    <t>Bruce Killen</t>
  </si>
  <si>
    <t>2017-08-14T19:58:20</t>
  </si>
  <si>
    <t>BKillen</t>
  </si>
  <si>
    <t>Bruce.Logan@manulifesecurities.ca</t>
  </si>
  <si>
    <t>Bruce Logan</t>
  </si>
  <si>
    <t>2017-03-12T14:36:26</t>
  </si>
  <si>
    <t>BLogan</t>
  </si>
  <si>
    <t>Bruce.MacDuff@manulifesecurities.ca</t>
  </si>
  <si>
    <t>Bruce MacDuff</t>
  </si>
  <si>
    <t>BMacDuff</t>
  </si>
  <si>
    <t>Bruce.McDougall@manulifesecurities.ca</t>
  </si>
  <si>
    <t>Bruce McDougall</t>
  </si>
  <si>
    <t>2017-10-10T09:20:03</t>
  </si>
  <si>
    <t>bmcdouga</t>
  </si>
  <si>
    <t>Bruce.McGuffin@manulifesecurities.ca</t>
  </si>
  <si>
    <t>Bruce McGuffin</t>
  </si>
  <si>
    <t>bmcguffin</t>
  </si>
  <si>
    <t>Bruce.McKerracher@manulifesecurities.ca</t>
  </si>
  <si>
    <t>Bruce McKerracher</t>
  </si>
  <si>
    <t>BMcKerracher</t>
  </si>
  <si>
    <t>Bruce.Nicov@manulifesecurities.ca</t>
  </si>
  <si>
    <t>Bruce Nicov</t>
  </si>
  <si>
    <t>BNicov</t>
  </si>
  <si>
    <t>Bruce.Palansky@manulifesecurities.ca</t>
  </si>
  <si>
    <t>Bruce Palansky</t>
  </si>
  <si>
    <t>2017-10-10T09:35:01</t>
  </si>
  <si>
    <t>palanbr</t>
  </si>
  <si>
    <t>Bruce.Templeton@manulifesecurities.ca</t>
  </si>
  <si>
    <t>Bruce Templeton</t>
  </si>
  <si>
    <t>2017-10-15T06:53:42</t>
  </si>
  <si>
    <t>BTempleton</t>
  </si>
  <si>
    <t>Bruce.Vaillancourt@manulifesecurities.ca</t>
  </si>
  <si>
    <t>Bruce Vaillancourt</t>
  </si>
  <si>
    <t>2017-10-14T14:52:59</t>
  </si>
  <si>
    <t>BVaillancourt</t>
  </si>
  <si>
    <t>Bruce.VanRaalte@manulifesecurities.ca</t>
  </si>
  <si>
    <t>Bruce Van Raalte</t>
  </si>
  <si>
    <t>bvanraalte</t>
  </si>
  <si>
    <t>Bruce.Wild@manulifesecurities.ca</t>
  </si>
  <si>
    <t>Bruce Wild</t>
  </si>
  <si>
    <t>2017-10-14T09:14:03</t>
  </si>
  <si>
    <t>brwild</t>
  </si>
  <si>
    <t>bruno.malta@manulifesecurities.ca</t>
  </si>
  <si>
    <t>Bruno Malta</t>
  </si>
  <si>
    <t>mfc.bruno.malta</t>
  </si>
  <si>
    <t>Bruno.Starnino@manulifesecurities.ca</t>
  </si>
  <si>
    <t>Bruno Starnino</t>
  </si>
  <si>
    <t>2017-10-07T00:11:36</t>
  </si>
  <si>
    <t>starfile</t>
  </si>
  <si>
    <t>Bryan.Bye@manulifesecurities.ca</t>
  </si>
  <si>
    <t>Bryan Bye</t>
  </si>
  <si>
    <t>2017-10-10T18:21:46</t>
  </si>
  <si>
    <t>bryanbye</t>
  </si>
  <si>
    <t>Bryan.Grundmann@manulifesecurities.ca</t>
  </si>
  <si>
    <t>Bryan Grundmann</t>
  </si>
  <si>
    <t>bgrundma</t>
  </si>
  <si>
    <t>Bryan.Jakeman@manulifesecurities.ca</t>
  </si>
  <si>
    <t>Bryan Jakeman</t>
  </si>
  <si>
    <t>BJakeman</t>
  </si>
  <si>
    <t>Bryan.Jamieson@manulifesecurities.ca</t>
  </si>
  <si>
    <t>Bryan Jamieson</t>
  </si>
  <si>
    <t>2017-10-05T13:02:51</t>
  </si>
  <si>
    <t>bryanj</t>
  </si>
  <si>
    <t>Bryan.Koziarski@manulifesecurities.ca</t>
  </si>
  <si>
    <t>Bryan Koziarski</t>
  </si>
  <si>
    <t>2017-09-29T15:45:10</t>
  </si>
  <si>
    <t>BKoziarski</t>
  </si>
  <si>
    <t>Bryan.Paul@manulifesecurities.ca</t>
  </si>
  <si>
    <t>Bryan Paul</t>
  </si>
  <si>
    <t>2017-10-15T13:18:29</t>
  </si>
  <si>
    <t>brpaul</t>
  </si>
  <si>
    <t>Bryan.Rindal@manulifesecurities.ca</t>
  </si>
  <si>
    <t>Bryan Rindal</t>
  </si>
  <si>
    <t>2017-10-03T11:40:50</t>
  </si>
  <si>
    <t>BRindal</t>
  </si>
  <si>
    <t>Bryan.Sommer@manulifesecurities.ca</t>
  </si>
  <si>
    <t>Bryan Sommer</t>
  </si>
  <si>
    <t>2015-09-08T15:57:05</t>
  </si>
  <si>
    <t>BSommer</t>
  </si>
  <si>
    <t>Bryan.Stephenson@manulifesecurities.ca</t>
  </si>
  <si>
    <t>Bryan Stephenson</t>
  </si>
  <si>
    <t>2017-10-10T02:34:29</t>
  </si>
  <si>
    <t>BStephenson</t>
  </si>
  <si>
    <t>Bryanne.Macneil@manulifesecurities.ca</t>
  </si>
  <si>
    <t>Bryanne Macneil</t>
  </si>
  <si>
    <t>bryannem</t>
  </si>
  <si>
    <t>Bryce.McFadden@manulifesecurities.ca</t>
  </si>
  <si>
    <t>Bryce McFadden</t>
  </si>
  <si>
    <t>2017-10-14T23:03:19</t>
  </si>
  <si>
    <t>BMcFadden</t>
  </si>
  <si>
    <t>Bryony.Monsman@manulifesecurities.ca</t>
  </si>
  <si>
    <t>Bryony Monsman</t>
  </si>
  <si>
    <t>2017-08-11T20:25:33</t>
  </si>
  <si>
    <t>mfc.bryony.monsma</t>
  </si>
  <si>
    <t>Buddy.Edge@manulifesecurities.ca</t>
  </si>
  <si>
    <t>Buddy Edge</t>
  </si>
  <si>
    <t>2017-10-07T16:00:37</t>
  </si>
  <si>
    <t>mfc.buddy.edge</t>
  </si>
  <si>
    <t>Burke.Mudge@manulifesecurities.ca</t>
  </si>
  <si>
    <t>Burke Mudge</t>
  </si>
  <si>
    <t>2017-10-08T14:36:32</t>
  </si>
  <si>
    <t>BMudge</t>
  </si>
  <si>
    <t>BusinessSupport@manulifesecurities.ca</t>
  </si>
  <si>
    <t>zzBusiness Application Support</t>
  </si>
  <si>
    <t>BusinessSupport</t>
  </si>
  <si>
    <t>c.colavito@manulifesecurities.ca</t>
  </si>
  <si>
    <t>Christina Colavito</t>
  </si>
  <si>
    <t>2017-10-11T05:35:57</t>
  </si>
  <si>
    <t>mfc.c.colavito</t>
  </si>
  <si>
    <t>C.deAlmeida@manulifesecurities.ca</t>
  </si>
  <si>
    <t>Catherine de Almeida</t>
  </si>
  <si>
    <t>2016-01-12T10:03:09</t>
  </si>
  <si>
    <t>mfc.c.dealmeida</t>
  </si>
  <si>
    <t>c.flores@manulifesecurities.ca</t>
  </si>
  <si>
    <t>Carlos Flores</t>
  </si>
  <si>
    <t>2017-10-13T12:01:42</t>
  </si>
  <si>
    <t>mfc.c.flores</t>
  </si>
  <si>
    <t>C.Garofalo@Manulifesecurities.ca</t>
  </si>
  <si>
    <t>Carlo Garofalo (Disabled)</t>
  </si>
  <si>
    <t>CarloGarofalo</t>
  </si>
  <si>
    <t>c.hage@manulifesecurities.ca</t>
  </si>
  <si>
    <t>Carine Hage</t>
  </si>
  <si>
    <t>2017-10-12T13:34:22</t>
  </si>
  <si>
    <t>mfc.c.hage</t>
  </si>
  <si>
    <t>c.harrison@manulifesecurities.ca</t>
  </si>
  <si>
    <t>Cindy Harrison</t>
  </si>
  <si>
    <t>2016-01-25T12:48:12</t>
  </si>
  <si>
    <t>mfc.c.harrison</t>
  </si>
  <si>
    <t>C.Leung@manulifesecurities.ca</t>
  </si>
  <si>
    <t>Cheryl Leung</t>
  </si>
  <si>
    <t>2017-10-10T11:40:16</t>
  </si>
  <si>
    <t>CherylLeung</t>
  </si>
  <si>
    <t>C.Lorrain@manulifesecurities.ca</t>
  </si>
  <si>
    <t>Clode-Helene Lorrain</t>
  </si>
  <si>
    <t>CLorrain</t>
  </si>
  <si>
    <t>c.malo@manulifesecurities.ca</t>
  </si>
  <si>
    <t>Carol Malo</t>
  </si>
  <si>
    <t>2017-10-12T09:06:27</t>
  </si>
  <si>
    <t>mfc.c.malo</t>
  </si>
  <si>
    <t>c.moncrieffe@manulifesecurities.ca</t>
  </si>
  <si>
    <t>Ceejay Moncrieffe</t>
  </si>
  <si>
    <t>2016-04-18T07:38:46</t>
  </si>
  <si>
    <t>CMoncrieffe</t>
  </si>
  <si>
    <t>c.parish@manulifesecurities.ca</t>
  </si>
  <si>
    <t>Cathy Parish</t>
  </si>
  <si>
    <t>2016-10-24T11:45:59</t>
  </si>
  <si>
    <t>mfc.c.parish</t>
  </si>
  <si>
    <t>C.Sabeski@manulifesecurities.ca</t>
  </si>
  <si>
    <t>Cheryl Sabeski</t>
  </si>
  <si>
    <t>mfc.c.sabeski</t>
  </si>
  <si>
    <t>C.Scheerer@manulifesecurities.ca</t>
  </si>
  <si>
    <t>Car Scheerer</t>
  </si>
  <si>
    <t>2017-08-23T10:31:11</t>
  </si>
  <si>
    <t>CarScheerer</t>
  </si>
  <si>
    <t>C.Shauntz@manulifesecurities.ca</t>
  </si>
  <si>
    <t>Chris Shauntz</t>
  </si>
  <si>
    <t>2017-09-29T12:01:18</t>
  </si>
  <si>
    <t>ChrisShauntz</t>
  </si>
  <si>
    <t>c.simard@manulifesecurities.ca</t>
  </si>
  <si>
    <t>Colleen Simard</t>
  </si>
  <si>
    <t>2017-10-12T15:22:34</t>
  </si>
  <si>
    <t>mfc.c.simard</t>
  </si>
  <si>
    <t>C.Simpson@manulifesecurities.ca</t>
  </si>
  <si>
    <t>Caitlin Simpson</t>
  </si>
  <si>
    <t>2017-10-12T11:01:23</t>
  </si>
  <si>
    <t>mfc.c.simpson</t>
  </si>
  <si>
    <t>C.Stapleton@manulifesecurities.ca</t>
  </si>
  <si>
    <t>Christine Stapleton</t>
  </si>
  <si>
    <t>2014-11-13T09:58:06</t>
  </si>
  <si>
    <t>CStapleton</t>
  </si>
  <si>
    <t>C.Vaillencourt@manulifesecurities.ca</t>
  </si>
  <si>
    <t>Catherine Vaillencourt</t>
  </si>
  <si>
    <t>mfc.c.vaillencour</t>
  </si>
  <si>
    <t>Caesar.Olszewski@manulifesecurities.ca</t>
  </si>
  <si>
    <t>Caesar Olszewski</t>
  </si>
  <si>
    <t>2017-10-16T08:18:41</t>
  </si>
  <si>
    <t>mfc.caesar.olszew</t>
  </si>
  <si>
    <t>Caitlin.Kowall@manulifesecurities.ca</t>
  </si>
  <si>
    <t>Caitlin Kowall</t>
  </si>
  <si>
    <t>2016-03-28T10:32:25</t>
  </si>
  <si>
    <t>CKowall</t>
  </si>
  <si>
    <t>Caitlin.Simpson@manulifesecurities.ca</t>
  </si>
  <si>
    <t>casimpson</t>
  </si>
  <si>
    <t>Caleb.Park@manulifesecurities.ca</t>
  </si>
  <si>
    <t>Caleb Park</t>
  </si>
  <si>
    <t>2017-10-16T09:06:49</t>
  </si>
  <si>
    <t>mfc.caleb.park</t>
  </si>
  <si>
    <t>Cali.Macknak@manulifesecurities.ca</t>
  </si>
  <si>
    <t>Cali Macknak</t>
  </si>
  <si>
    <t>2017-10-10T13:27:06</t>
  </si>
  <si>
    <t>cmacknak</t>
  </si>
  <si>
    <t>Call.CentreSupport@manulifesecurities.ca</t>
  </si>
  <si>
    <t>zzCall Centre Support</t>
  </si>
  <si>
    <t>CCentreSupport</t>
  </si>
  <si>
    <t>Calvin.Hoy@manulifesecurities.ca</t>
  </si>
  <si>
    <t>Calvin Hoy</t>
  </si>
  <si>
    <t>calvinhoy</t>
  </si>
  <si>
    <t>Calvin.Smeding@manulifesecurities.ca</t>
  </si>
  <si>
    <t>Calvin Smeding</t>
  </si>
  <si>
    <t>2017-10-10T09:18:14</t>
  </si>
  <si>
    <t>CSmeding</t>
  </si>
  <si>
    <t>Cam.Leith@manulifesecurities.ca</t>
  </si>
  <si>
    <t>Cam Leith</t>
  </si>
  <si>
    <t>2017-10-15T13:42:14</t>
  </si>
  <si>
    <t>cleith</t>
  </si>
  <si>
    <t>Cam.Wylie@manulifesecurities.ca</t>
  </si>
  <si>
    <t>Cam Wylie</t>
  </si>
  <si>
    <t>camwylie</t>
  </si>
  <si>
    <t>Camay.Enrera@manulifesecurities.ca</t>
  </si>
  <si>
    <t>Camay �Enrera</t>
  </si>
  <si>
    <t>CEnrera</t>
  </si>
  <si>
    <t>Cameron.Burns@manulifesecurities.ca</t>
  </si>
  <si>
    <t>Cameron Burns</t>
  </si>
  <si>
    <t>CBurns</t>
  </si>
  <si>
    <t>Cameron.Duffy@manulifesecurities.ca</t>
  </si>
  <si>
    <t>Cam Duffy</t>
  </si>
  <si>
    <t>cduffy</t>
  </si>
  <si>
    <t>Cameron.Locke@manulifesecurities.ca</t>
  </si>
  <si>
    <t>Cameron Locke</t>
  </si>
  <si>
    <t>2017-10-10T07:25:18</t>
  </si>
  <si>
    <t>mfc.cameron.locke</t>
  </si>
  <si>
    <t>Cameron.Macintyre@manulifesecurities.ca</t>
  </si>
  <si>
    <t>Cameron Macintyre</t>
  </si>
  <si>
    <t>macinca</t>
  </si>
  <si>
    <t>cameron.price@manulifesecurities.ca</t>
  </si>
  <si>
    <t>Cameron Price</t>
  </si>
  <si>
    <t>2017-10-10T14:27:43</t>
  </si>
  <si>
    <t>mfc.cameron.price</t>
  </si>
  <si>
    <t>Camille.Estephan@manulifesecurities.ca</t>
  </si>
  <si>
    <t>Camille Estephan</t>
  </si>
  <si>
    <t>2017-10-11T01:27:26</t>
  </si>
  <si>
    <t>CEstephan</t>
  </si>
  <si>
    <t>Camille.Larbalestier@manulifesecurities.ca</t>
  </si>
  <si>
    <t>Camille Larbalestier</t>
  </si>
  <si>
    <t>2017-07-31T09:44:58</t>
  </si>
  <si>
    <t>mfc.camille.larba</t>
  </si>
  <si>
    <t>Cammie.Ridley@manulifesecurities.ca</t>
  </si>
  <si>
    <t>Cammie Ridley</t>
  </si>
  <si>
    <t>2017-10-12T04:18:39</t>
  </si>
  <si>
    <t>CRidley</t>
  </si>
  <si>
    <t>Candace.Goh@manulifesecurities.ca</t>
  </si>
  <si>
    <t>Candace Goh</t>
  </si>
  <si>
    <t>candgoh</t>
  </si>
  <si>
    <t>Candace.Kwinter@manulifesecurities.ca</t>
  </si>
  <si>
    <t>Candace Kwinter</t>
  </si>
  <si>
    <t>2017-10-14T21:04:13</t>
  </si>
  <si>
    <t>CKwinter</t>
  </si>
  <si>
    <t>Candice.White@manulifesecurities.ca</t>
  </si>
  <si>
    <t>Candice White</t>
  </si>
  <si>
    <t>CWhite</t>
  </si>
  <si>
    <t>Cap.Test@manulifesecurities.ca</t>
  </si>
  <si>
    <t>Cap Test</t>
  </si>
  <si>
    <t>captest</t>
  </si>
  <si>
    <t>Cara.Petri@manulifesecurities.ca</t>
  </si>
  <si>
    <t>Cara Petri</t>
  </si>
  <si>
    <t>2017-03-16T13:57:28</t>
  </si>
  <si>
    <t>cpetri</t>
  </si>
  <si>
    <t>careernight@manulifesecurities.ca</t>
  </si>
  <si>
    <t>Career Night</t>
  </si>
  <si>
    <t>careernight</t>
  </si>
  <si>
    <t>Carey.Tremblay@manulifesecurities.ca</t>
  </si>
  <si>
    <t>Carey Tremblay</t>
  </si>
  <si>
    <t>tremblay</t>
  </si>
  <si>
    <t>Carine.Hage@manulifesecurities.ca</t>
  </si>
  <si>
    <t>2014-09-29T13:10:54</t>
  </si>
  <si>
    <t>mfc.carine.hage</t>
  </si>
  <si>
    <t>Carine.Musuele@manulifesecurities.ca</t>
  </si>
  <si>
    <t>Carine Musuele</t>
  </si>
  <si>
    <t>cmusuele</t>
  </si>
  <si>
    <t>Carl.Achkar@manulifesecurities.ca</t>
  </si>
  <si>
    <t>Carl  El Achkar</t>
  </si>
  <si>
    <t>cachkar</t>
  </si>
  <si>
    <t>Carl.Belisle@manulifesecurities.ca</t>
  </si>
  <si>
    <t>Carl Belisle</t>
  </si>
  <si>
    <t>belisca</t>
  </si>
  <si>
    <t>Carl.Miller@manulifesecurities.ca</t>
  </si>
  <si>
    <t>Carl Miller</t>
  </si>
  <si>
    <t>CMiller</t>
  </si>
  <si>
    <t>Carla.Buffone@manulifesecurities.ca</t>
  </si>
  <si>
    <t>Carla Buffone</t>
  </si>
  <si>
    <t>2016-10-24T08:35:32</t>
  </si>
  <si>
    <t>cbuffone</t>
  </si>
  <si>
    <t>Carla.Cabrera@manulifesecurities.ca</t>
  </si>
  <si>
    <t>Carla Cabrera</t>
  </si>
  <si>
    <t>2017-08-09T09:28:09</t>
  </si>
  <si>
    <t>mfc.carla.cabrera</t>
  </si>
  <si>
    <t>Carla.DosSantos@manulifesecurities.ca</t>
  </si>
  <si>
    <t>Carla DosSantos</t>
  </si>
  <si>
    <t>2017-10-14T06:12:19</t>
  </si>
  <si>
    <t>mfc.carla.dossant</t>
  </si>
  <si>
    <t>Carla.Longstaff@manulifesecurities.ca</t>
  </si>
  <si>
    <t>Carla Longstaff</t>
  </si>
  <si>
    <t>clongstaff</t>
  </si>
  <si>
    <t>Carla.Wojciechowski@manulifesecurities.ca</t>
  </si>
  <si>
    <t>Carla Wojciechowski</t>
  </si>
  <si>
    <t>2014-10-09T09:32:40</t>
  </si>
  <si>
    <t>evilone</t>
  </si>
  <si>
    <t>Carlisle.Scott@manulifesecurities.ca</t>
  </si>
  <si>
    <t>Carlisle Scott</t>
  </si>
  <si>
    <t>2017-10-04T12:04:56</t>
  </si>
  <si>
    <t>carlisle</t>
  </si>
  <si>
    <t>Carlo.DeLuca@manulifesecurities.ca</t>
  </si>
  <si>
    <t>Carlo DeLuca</t>
  </si>
  <si>
    <t>2017-10-14T06:25:58</t>
  </si>
  <si>
    <t>CDeLuca</t>
  </si>
  <si>
    <t>Carlo.DeStefano@manulifesecurities.ca</t>
  </si>
  <si>
    <t>Carlo De Stefano</t>
  </si>
  <si>
    <t>2017-07-17T13:35:24</t>
  </si>
  <si>
    <t>CDeStefano</t>
  </si>
  <si>
    <t>Carlo.Garofalo@manulifesecurities.ca</t>
  </si>
  <si>
    <t>Carlo Garofalo</t>
  </si>
  <si>
    <t>CGarofalo</t>
  </si>
  <si>
    <t>Carlo.Palanca@manulifesecurities.ca</t>
  </si>
  <si>
    <t>Carlo Palanca</t>
  </si>
  <si>
    <t>CPalanca</t>
  </si>
  <si>
    <t>Carlo.Vigna@manulifesecurities.ca</t>
  </si>
  <si>
    <t>Carlo Vigna</t>
  </si>
  <si>
    <t>2017-10-07T03:55:25</t>
  </si>
  <si>
    <t>vignaca</t>
  </si>
  <si>
    <t>Carlos.Flores@manulifesecurities.ca</t>
  </si>
  <si>
    <t>CFlores</t>
  </si>
  <si>
    <t>Carlos.Rosete@manulifesecurities.ca</t>
  </si>
  <si>
    <t>Carlos Rosete</t>
  </si>
  <si>
    <t>CRosete</t>
  </si>
  <si>
    <t>Carmelo.Caruana@manulifesecurities.ca</t>
  </si>
  <si>
    <t>Carmelo Caruana</t>
  </si>
  <si>
    <t>2017-03-21T10:55:53</t>
  </si>
  <si>
    <t>mfc.carmelo.carua</t>
  </si>
  <si>
    <t>Carmen.Meili@manulifesecurities.ca</t>
  </si>
  <si>
    <t>Carmen Meili</t>
  </si>
  <si>
    <t>2017-10-12T10:59:14</t>
  </si>
  <si>
    <t>CMeili</t>
  </si>
  <si>
    <t>Carmie.Pecchia@manulifesecurities.ca</t>
  </si>
  <si>
    <t>Carmie Pecchia</t>
  </si>
  <si>
    <t>2017-10-12T16:33:13</t>
  </si>
  <si>
    <t>CPecchia</t>
  </si>
  <si>
    <t>Carminda.Ferreira@manulifesecurities.ca</t>
  </si>
  <si>
    <t>Carminda Ferreira</t>
  </si>
  <si>
    <t>caferrei</t>
  </si>
  <si>
    <t>Carol.Asfoura@manulifesecurities.ca</t>
  </si>
  <si>
    <t>Carol Asfoura</t>
  </si>
  <si>
    <t>2017-10-16T09:39:01</t>
  </si>
  <si>
    <t>mfc.carol.asfoura</t>
  </si>
  <si>
    <t>Carol.Baete@manulifesecurities.ca</t>
  </si>
  <si>
    <t>Carol Baete</t>
  </si>
  <si>
    <t>2017-10-04T16:58:03</t>
  </si>
  <si>
    <t>CBaete</t>
  </si>
  <si>
    <t>Carol.Black@manulifesecurities.ca</t>
  </si>
  <si>
    <t>Carol Black</t>
  </si>
  <si>
    <t>CBlack</t>
  </si>
  <si>
    <t>Carol.Churchill@manulifesecurities.ca</t>
  </si>
  <si>
    <t>Carol Churchill</t>
  </si>
  <si>
    <t>2017-10-12T09:16:36</t>
  </si>
  <si>
    <t>CChurchill</t>
  </si>
  <si>
    <t>Carol.Hyatt@manulifesecurities.ca</t>
  </si>
  <si>
    <t>Carol Hyatt</t>
  </si>
  <si>
    <t>CHyatt</t>
  </si>
  <si>
    <t>Carol.Jenkins@manulifesecurities.ca</t>
  </si>
  <si>
    <t>Carol Jenkins</t>
  </si>
  <si>
    <t>carol2006</t>
  </si>
  <si>
    <t>Carol.Lewis@manulifesecurities.ca</t>
  </si>
  <si>
    <t>Carol Lewis</t>
  </si>
  <si>
    <t>CLewis</t>
  </si>
  <si>
    <t>Carol.Madden@manulifesecurities.ca</t>
  </si>
  <si>
    <t>Carol Madden</t>
  </si>
  <si>
    <t>2017-10-12T11:17:38</t>
  </si>
  <si>
    <t>mfc.carol.madden</t>
  </si>
  <si>
    <t>Carol.Malo@manulifesecurities.ca</t>
  </si>
  <si>
    <t>2014-09-22T12:58:51</t>
  </si>
  <si>
    <t>malocar</t>
  </si>
  <si>
    <t>Carol.McRae@manulifesecurities.ca</t>
  </si>
  <si>
    <t>Carol McRae</t>
  </si>
  <si>
    <t>cmcrae</t>
  </si>
  <si>
    <t>Carol.Mommersteeg@manulifesecurities.ca</t>
  </si>
  <si>
    <t>Carol Mommersteeg</t>
  </si>
  <si>
    <t>cmommers</t>
  </si>
  <si>
    <t>Carol.Mosier@manulifesecurities.ca</t>
  </si>
  <si>
    <t>Carol Mosier</t>
  </si>
  <si>
    <t>cmosier</t>
  </si>
  <si>
    <t>Carol.Ng@manulifesecurities.ca</t>
  </si>
  <si>
    <t>Carol Ng</t>
  </si>
  <si>
    <t>cng</t>
  </si>
  <si>
    <t>Carol.Stumpf@manulifesecurities.ca</t>
  </si>
  <si>
    <t>Carol Stumpf</t>
  </si>
  <si>
    <t>2017-01-03T08:48:58</t>
  </si>
  <si>
    <t>CStumpf</t>
  </si>
  <si>
    <t>Carol.Wiper@manulifesecurities.ca</t>
  </si>
  <si>
    <t>Carol Wiper</t>
  </si>
  <si>
    <t>2015-01-15T12:25:15</t>
  </si>
  <si>
    <t>CWiper</t>
  </si>
  <si>
    <t>Carol.Wittal@manulifesecurities.ca</t>
  </si>
  <si>
    <t>Carol Wittal</t>
  </si>
  <si>
    <t>2017-01-23T14:42:57</t>
  </si>
  <si>
    <t>CWittal</t>
  </si>
  <si>
    <t>Carol.Wolfovitch@manulifesecurities.ca</t>
  </si>
  <si>
    <t>Carol Wolfovitch</t>
  </si>
  <si>
    <t>cwolfovi</t>
  </si>
  <si>
    <t>Carol.Zinck@manulifesecurities.ca</t>
  </si>
  <si>
    <t>Carol Zinck</t>
  </si>
  <si>
    <t>2014-11-24T04:39:24</t>
  </si>
  <si>
    <t>CZinck</t>
  </si>
  <si>
    <t>CarolAnn.Vien@manulifesecurities.ca</t>
  </si>
  <si>
    <t>Carol Ann Vien</t>
  </si>
  <si>
    <t>2014-10-14T10:52:55</t>
  </si>
  <si>
    <t>CVien</t>
  </si>
  <si>
    <t>Carole.Duke@manulifesecurities.ca</t>
  </si>
  <si>
    <t>Carole Duke</t>
  </si>
  <si>
    <t>CDuke</t>
  </si>
  <si>
    <t>Carole.Hovey-Smith@manulifesecurities.ca</t>
  </si>
  <si>
    <t>Carole Hovey-Smith</t>
  </si>
  <si>
    <t>CHoveySmith</t>
  </si>
  <si>
    <t>Carole.Turco@manulifesecurities.ca</t>
  </si>
  <si>
    <t>CTurco</t>
  </si>
  <si>
    <t>Carolina.Miranda@manulifesecurities.ca</t>
  </si>
  <si>
    <t>Carolina Miranda</t>
  </si>
  <si>
    <t>CMiranda</t>
  </si>
  <si>
    <t>Caroline.Knox@manulifesecurities.ca</t>
  </si>
  <si>
    <t>Caroline Knox</t>
  </si>
  <si>
    <t>2017-03-16T15:59:26</t>
  </si>
  <si>
    <t>mfc.caroline.knox</t>
  </si>
  <si>
    <t>Caroline.Stewart@manulifesecurities.ca</t>
  </si>
  <si>
    <t>Caroline Stewart</t>
  </si>
  <si>
    <t>CStewart</t>
  </si>
  <si>
    <t>Carolyn.Aubie@manulifesecurities.ca</t>
  </si>
  <si>
    <t>Carolyn Aubie</t>
  </si>
  <si>
    <t>2016-06-07T08:15:54</t>
  </si>
  <si>
    <t>weewillie</t>
  </si>
  <si>
    <t>Carolyn.Brown@manulifesecurities.ca</t>
  </si>
  <si>
    <t>Carolyn Brown (Disabled)</t>
  </si>
  <si>
    <t>cbrown</t>
  </si>
  <si>
    <t>Carolyn.Carr@manulifesecurities.ca</t>
  </si>
  <si>
    <t>Carolyn Carr</t>
  </si>
  <si>
    <t>carrca</t>
  </si>
  <si>
    <t>Carolyn.Dagenais@manulifesecurities.ca</t>
  </si>
  <si>
    <t>Carolyn Dagenais</t>
  </si>
  <si>
    <t>CDagenais</t>
  </si>
  <si>
    <t>Carolyn.Gillis@manulifesecurities.ca</t>
  </si>
  <si>
    <t>Carolyn Gillis</t>
  </si>
  <si>
    <t>2017-10-16T08:48:51</t>
  </si>
  <si>
    <t>CGillis</t>
  </si>
  <si>
    <t>Carolyn.Graf@manulifesecurities.ca</t>
  </si>
  <si>
    <t>Carolyn Graf</t>
  </si>
  <si>
    <t>2017-10-05T17:44:59</t>
  </si>
  <si>
    <t>mfc.carolyn.graf</t>
  </si>
  <si>
    <t>Carolyn.Harvie@manulifesecurities.ca</t>
  </si>
  <si>
    <t>Carolyn Harvie</t>
  </si>
  <si>
    <t>2017-10-02T09:07:59</t>
  </si>
  <si>
    <t>CHarvie</t>
  </si>
  <si>
    <t>Carolyn.Jacobsen@manulifesecurities.ca</t>
  </si>
  <si>
    <t>Carolyn Jacobsen</t>
  </si>
  <si>
    <t>2017-10-12T13:00:34</t>
  </si>
  <si>
    <t>mfc.carolyn.jacob</t>
  </si>
  <si>
    <t>carolyn.khoo@manulifesecurities.ca</t>
  </si>
  <si>
    <t>Carolyn Khoo</t>
  </si>
  <si>
    <t>2017-10-13T09:22:33</t>
  </si>
  <si>
    <t>mfc.carolyn.khoo</t>
  </si>
  <si>
    <t>Carolyn.Lewis@manulifesecurities.ca</t>
  </si>
  <si>
    <t>Carolyn Lewis</t>
  </si>
  <si>
    <t>2017-03-27T14:53:57</t>
  </si>
  <si>
    <t>cdlewis</t>
  </si>
  <si>
    <t>Carolyn.McKinney@manulifesecurities.ca</t>
  </si>
  <si>
    <t>Carolyn McKinney</t>
  </si>
  <si>
    <t>CMcKinney</t>
  </si>
  <si>
    <t>Carolyn.Orcutt@manulifesecurities.ca</t>
  </si>
  <si>
    <t>Carolyn Orcutt</t>
  </si>
  <si>
    <t>2016-07-27T10:35:23</t>
  </si>
  <si>
    <t>mfc.carolyn.orcut</t>
  </si>
  <si>
    <t>Carolyn.Scheerer@manulifesecurities.ca</t>
  </si>
  <si>
    <t>Carolyn Scheerer</t>
  </si>
  <si>
    <t>cscheerer</t>
  </si>
  <si>
    <t>Carolyn.Simpson@manulifesecurities.ca</t>
  </si>
  <si>
    <t>Carolyn Simpson</t>
  </si>
  <si>
    <t>2017-10-11T15:42:01</t>
  </si>
  <si>
    <t>csimpson</t>
  </si>
  <si>
    <t>Carolyn.Whelan@manulifesecurities.ca</t>
  </si>
  <si>
    <t>Carolyn Whelan</t>
  </si>
  <si>
    <t>2017-10-09T12:26:12</t>
  </si>
  <si>
    <t>cawhelan</t>
  </si>
  <si>
    <t>CarolynAnn.Brown@manulifesecurities.ca</t>
  </si>
  <si>
    <t>Carolyn Brown</t>
  </si>
  <si>
    <t>2015-03-09T10:07:06</t>
  </si>
  <si>
    <t>CasBrown</t>
  </si>
  <si>
    <t>Carolynn.Rubis@manulifesecurities.ca</t>
  </si>
  <si>
    <t>Carolyn Rubis</t>
  </si>
  <si>
    <t>2015-01-09T12:14:24</t>
  </si>
  <si>
    <t>CRubis</t>
  </si>
  <si>
    <t>Carrie.Andree@manulifesecurities.ca</t>
  </si>
  <si>
    <t>CAndree</t>
  </si>
  <si>
    <t>Carrie.Beckman@manulifesecurities.ca</t>
  </si>
  <si>
    <t>Carrie Beckman</t>
  </si>
  <si>
    <t>2017-10-12T14:23:56</t>
  </si>
  <si>
    <t>mfc.carrie.beckma</t>
  </si>
  <si>
    <t>Carrie.Carriere@manulifesecurities.ca</t>
  </si>
  <si>
    <t>Carrie Carriere</t>
  </si>
  <si>
    <t>2015-05-07T10:20:42</t>
  </si>
  <si>
    <t>ccarriere</t>
  </si>
  <si>
    <t>carrie.clark@manulifesecurities.ca</t>
  </si>
  <si>
    <t>Carrie Clark</t>
  </si>
  <si>
    <t>2017-07-21T08:49:12</t>
  </si>
  <si>
    <t>mfc.carrie.clark</t>
  </si>
  <si>
    <t>Carrie.Eisener@manulifesecurities.ca</t>
  </si>
  <si>
    <t>Carrie Eisener</t>
  </si>
  <si>
    <t>2017-06-05T14:17:45</t>
  </si>
  <si>
    <t>ceisener</t>
  </si>
  <si>
    <t>Carson.Halter@manulifesecurities.ca</t>
  </si>
  <si>
    <t>Carson Halter</t>
  </si>
  <si>
    <t>2017-10-12T13:45:00</t>
  </si>
  <si>
    <t>mfc.carson.halter</t>
  </si>
  <si>
    <t>Carsten.Sorensen@manulifesecurities.ca</t>
  </si>
  <si>
    <t>Carsten Sorensen</t>
  </si>
  <si>
    <t>2017-10-11T11:42:50</t>
  </si>
  <si>
    <t>carsten</t>
  </si>
  <si>
    <t>Caryl.Walker@manulifesecurities.ca</t>
  </si>
  <si>
    <t>Caryl Walker</t>
  </si>
  <si>
    <t>CWalker</t>
  </si>
  <si>
    <t>Casey.McMillan@manulifesecurities.ca</t>
  </si>
  <si>
    <t>Casey McMillan</t>
  </si>
  <si>
    <t>2017-08-30T10:08:02</t>
  </si>
  <si>
    <t>CMcMillan</t>
  </si>
  <si>
    <t>casey.thiessen@manulifesecurities.ca</t>
  </si>
  <si>
    <t>Casey Thiessen</t>
  </si>
  <si>
    <t>2015-06-01T10:15:41</t>
  </si>
  <si>
    <t>CMcCreary</t>
  </si>
  <si>
    <t>CashManagement@manulifesecurities.ca</t>
  </si>
  <si>
    <t>Cash Management</t>
  </si>
  <si>
    <t>CashManagement</t>
  </si>
  <si>
    <t>Casimiro.Rodrigues@manulifesecurities.ca</t>
  </si>
  <si>
    <t>Casimiro Rodrigues</t>
  </si>
  <si>
    <t>2017-10-05T11:42:18</t>
  </si>
  <si>
    <t>CRodrigues</t>
  </si>
  <si>
    <t>Cassandra.Baylis@manulifesecurities.ca</t>
  </si>
  <si>
    <t>Cassandra Baylis</t>
  </si>
  <si>
    <t>2015-09-24T13:19:24</t>
  </si>
  <si>
    <t>mfc.c.baylis</t>
  </si>
  <si>
    <t>cassandra.colella@manulifesecurities.ca</t>
  </si>
  <si>
    <t>Cassandra Colella</t>
  </si>
  <si>
    <t>2017-07-04T16:07:57</t>
  </si>
  <si>
    <t>mfc.cassandra.san</t>
  </si>
  <si>
    <t>Cassandra.Kirkos@manulifesecurities.ca</t>
  </si>
  <si>
    <t>Cassandra Kirkos</t>
  </si>
  <si>
    <t>ckirkos</t>
  </si>
  <si>
    <t>Cassandra.Zielke@manulifesecurities.ca</t>
  </si>
  <si>
    <t>Cassandra Zielke</t>
  </si>
  <si>
    <t>CZielke</t>
  </si>
  <si>
    <t>Catherine.Bell@manulifesecurities.ca</t>
  </si>
  <si>
    <t>Catherine Bell</t>
  </si>
  <si>
    <t>CaBell</t>
  </si>
  <si>
    <t>Catherine.Egli@manulifesecurities.ca</t>
  </si>
  <si>
    <t>Catherine Egli</t>
  </si>
  <si>
    <t>2017-10-11T23:05:00</t>
  </si>
  <si>
    <t>categli</t>
  </si>
  <si>
    <t>Catherine.Field@manulifesecurities.ca</t>
  </si>
  <si>
    <t>Catherine Field</t>
  </si>
  <si>
    <t>cjfield</t>
  </si>
  <si>
    <t>Catherine.Inder@manulifesecurities.ca</t>
  </si>
  <si>
    <t>Catherine Inder</t>
  </si>
  <si>
    <t>cinder</t>
  </si>
  <si>
    <t>Catherine.Kelly@manulifesecurities.ca</t>
  </si>
  <si>
    <t>Catherine Kelly</t>
  </si>
  <si>
    <t>2014-11-05T19:00:42</t>
  </si>
  <si>
    <t>CKelly</t>
  </si>
  <si>
    <t>Catherine.Leyland@manulifesecurities.ca</t>
  </si>
  <si>
    <t>Catherine Leyland</t>
  </si>
  <si>
    <t>2017-10-06T10:21:36</t>
  </si>
  <si>
    <t>CLeyland</t>
  </si>
  <si>
    <t>Catherine.Morris@manulifesecurities.ca</t>
  </si>
  <si>
    <t>Catherine Morris</t>
  </si>
  <si>
    <t>cmorris</t>
  </si>
  <si>
    <t>Catherine.Oja@manulifesecurities.ca</t>
  </si>
  <si>
    <t>Catherine Oja</t>
  </si>
  <si>
    <t>caoja</t>
  </si>
  <si>
    <t>Catherine.Palmer@manulifesecurities.ca</t>
  </si>
  <si>
    <t>Catherine Palmer</t>
  </si>
  <si>
    <t>2017-10-13T14:12:04</t>
  </si>
  <si>
    <t>mfc.catherine.pal</t>
  </si>
  <si>
    <t>Catherine.Pollock@manulifesecurities.ca</t>
  </si>
  <si>
    <t>Catherine Pollock</t>
  </si>
  <si>
    <t>CPollock</t>
  </si>
  <si>
    <t>Catherine.Smit@manulifesecurities.ca</t>
  </si>
  <si>
    <t>Catherine Smit</t>
  </si>
  <si>
    <t>2017-02-02T08:04:55</t>
  </si>
  <si>
    <t>mfc.catherine.smi</t>
  </si>
  <si>
    <t>Catherine.Solski@manulifesecurities.ca</t>
  </si>
  <si>
    <t>Catherine Solski</t>
  </si>
  <si>
    <t>2017-10-11T17:25:25</t>
  </si>
  <si>
    <t>csolski</t>
  </si>
  <si>
    <t>Catherine.Susidko@manulifesecurities.ca</t>
  </si>
  <si>
    <t>Catherine Susidko</t>
  </si>
  <si>
    <t>2016-09-23T10:43:24</t>
  </si>
  <si>
    <t>mfc.catherine.sus</t>
  </si>
  <si>
    <t>Catherine.Sutherland@manulifesecurities.ca</t>
  </si>
  <si>
    <t>Catherine Sutherland</t>
  </si>
  <si>
    <t>2016-06-02T13:38:30</t>
  </si>
  <si>
    <t>sutherca</t>
  </si>
  <si>
    <t>Catherine.Vair@manulifesecurities.ca</t>
  </si>
  <si>
    <t>Catherine Vair</t>
  </si>
  <si>
    <t>CVair</t>
  </si>
  <si>
    <t>Catherine.Wiley@manulifesecurities.ca</t>
  </si>
  <si>
    <t>CWiley</t>
  </si>
  <si>
    <t>Cathie.Bell@manulifesecurities.ca</t>
  </si>
  <si>
    <t>Cathie Bell</t>
  </si>
  <si>
    <t>CBell</t>
  </si>
  <si>
    <t>Cathie.Romphf@manulifesecurities.ca</t>
  </si>
  <si>
    <t>Cathie Romphf</t>
  </si>
  <si>
    <t>2017-10-08T09:43:05</t>
  </si>
  <si>
    <t>CRomphf</t>
  </si>
  <si>
    <t>Cathy.Ballantyne@manulifesecurities.ca</t>
  </si>
  <si>
    <t>Cathy Ballantyne</t>
  </si>
  <si>
    <t>CBallantyne</t>
  </si>
  <si>
    <t>Cathy.Bouchard@manulifesecurities.ca</t>
  </si>
  <si>
    <t>Cathy Bouchard</t>
  </si>
  <si>
    <t>2017-10-12T09:12:15</t>
  </si>
  <si>
    <t>CBouchard</t>
  </si>
  <si>
    <t>Cathy.Britt@manulifesecurities.ca</t>
  </si>
  <si>
    <t>Cathy Britt</t>
  </si>
  <si>
    <t>cjbritt</t>
  </si>
  <si>
    <t>Cathy.Darland@manulifesecurities.ca</t>
  </si>
  <si>
    <t>Cathy Darland</t>
  </si>
  <si>
    <t>cdarland</t>
  </si>
  <si>
    <t>Cathy.DosSantos@manulifesecurities.ca</t>
  </si>
  <si>
    <t>Cathy Dos Santos</t>
  </si>
  <si>
    <t>cdossantos</t>
  </si>
  <si>
    <t>Cathy.Duong@manulifesecurities.ca</t>
  </si>
  <si>
    <t>Cathy Duong</t>
  </si>
  <si>
    <t>2014-10-03T02:36:28</t>
  </si>
  <si>
    <t>CDuong</t>
  </si>
  <si>
    <t>Cathy.Legere@manulifesecurities.ca</t>
  </si>
  <si>
    <t>Cathy Legere</t>
  </si>
  <si>
    <t>2017-10-15T14:49:09</t>
  </si>
  <si>
    <t>CLegere</t>
  </si>
  <si>
    <t>Cathy.Mariani@manulifesecurities.ca</t>
  </si>
  <si>
    <t>Cathy Mariani</t>
  </si>
  <si>
    <t>cathymariani</t>
  </si>
  <si>
    <t>Cathy.Mctaggart@manulifesecurities.ca</t>
  </si>
  <si>
    <t>Cathy Mctaggart</t>
  </si>
  <si>
    <t>cathymctag</t>
  </si>
  <si>
    <t>Cathy.Parish@manulifesecurities.ca</t>
  </si>
  <si>
    <t>CParish</t>
  </si>
  <si>
    <t>Cathy.Parish1@manulifesecurities.ca</t>
  </si>
  <si>
    <t>2017-10-10T09:28:37</t>
  </si>
  <si>
    <t>mfc.cathy.parish1</t>
  </si>
  <si>
    <t>Cathy.Rode@manulifesecurities.ca</t>
  </si>
  <si>
    <t>Cathy Rode</t>
  </si>
  <si>
    <t>2017-10-10T16:05:29</t>
  </si>
  <si>
    <t>crode</t>
  </si>
  <si>
    <t>Cathy.Stanton@manulifesecurities.ca</t>
  </si>
  <si>
    <t>Cathy Stanton</t>
  </si>
  <si>
    <t>2017-10-08T09:43:02</t>
  </si>
  <si>
    <t>cstanton</t>
  </si>
  <si>
    <t>Cathy.Tokic@manulifesecurities.ca</t>
  </si>
  <si>
    <t>Cathy Tokic</t>
  </si>
  <si>
    <t>ctokic</t>
  </si>
  <si>
    <t>Cathy.Vaillancourt@manulifesecurities.ca</t>
  </si>
  <si>
    <t>Cathy Vaillancourt</t>
  </si>
  <si>
    <t>2017-10-14T09:08:05</t>
  </si>
  <si>
    <t>CVaillancourt</t>
  </si>
  <si>
    <t>CathyGautreau@manulifesecurities.ca</t>
  </si>
  <si>
    <t>Cathy Gautreau</t>
  </si>
  <si>
    <t>2017-09-27T10:51:13</t>
  </si>
  <si>
    <t>mfc.cathygautreau</t>
  </si>
  <si>
    <t>Catrina.Jones@manulifesecurities.ca</t>
  </si>
  <si>
    <t>Catrina Jones</t>
  </si>
  <si>
    <t>CJones</t>
  </si>
  <si>
    <t>Catriona.Bedford@manulifesecurities.ca</t>
  </si>
  <si>
    <t>Catriona Bedford</t>
  </si>
  <si>
    <t>CBedford</t>
  </si>
  <si>
    <t>Cecelia.Fortin@manulifesecurities.ca</t>
  </si>
  <si>
    <t>Cecelia Fortin</t>
  </si>
  <si>
    <t>CFortin</t>
  </si>
  <si>
    <t>Cecile.Wyatt@manulifesecurities.ca</t>
  </si>
  <si>
    <t>Cecile Wyatt</t>
  </si>
  <si>
    <t>CWyatt</t>
  </si>
  <si>
    <t>Cecilia.Lancastle@manulifesecurities.ca</t>
  </si>
  <si>
    <t>Cecilia Lancastle</t>
  </si>
  <si>
    <t>clanca</t>
  </si>
  <si>
    <t>Cecille.Bacani@manulifesecurities.ca</t>
  </si>
  <si>
    <t>Cecille Bacani</t>
  </si>
  <si>
    <t>CBacani</t>
  </si>
  <si>
    <t>Cedric.Carriere@manulifesecurities.ca</t>
  </si>
  <si>
    <t>Cedric Carriere</t>
  </si>
  <si>
    <t>ccarrier</t>
  </si>
  <si>
    <t>Celeste.Franco@manulifesecurities.ca</t>
  </si>
  <si>
    <t>Celeste Franco</t>
  </si>
  <si>
    <t>CFranco</t>
  </si>
  <si>
    <t>Celia.Ritchie@manulifesecurities.ca</t>
  </si>
  <si>
    <t>Celia Ritchie</t>
  </si>
  <si>
    <t>CRitchie</t>
  </si>
  <si>
    <t>Celice.Germain@manulifesecurities.ca</t>
  </si>
  <si>
    <t>Celice Germain</t>
  </si>
  <si>
    <t>germainc</t>
  </si>
  <si>
    <t>Cgv.Vincent@manulifesecurities.ca</t>
  </si>
  <si>
    <t>Cgv Vincent</t>
  </si>
  <si>
    <t>vincentcg</t>
  </si>
  <si>
    <t>Chad.Ekren@manulifesecurities.ca</t>
  </si>
  <si>
    <t>Chad Ekren</t>
  </si>
  <si>
    <t>CEkren</t>
  </si>
  <si>
    <t>Chad.Fullerton@manulifesecurities.ca</t>
  </si>
  <si>
    <t>Chad Fullerton</t>
  </si>
  <si>
    <t>CFullerton</t>
  </si>
  <si>
    <t>chad.macleod@manulifesecurities.ca</t>
  </si>
  <si>
    <t>Chad MacLeod</t>
  </si>
  <si>
    <t>2017-06-06T11:54:55</t>
  </si>
  <si>
    <t>mfc.chad.macleod</t>
  </si>
  <si>
    <t>Chad.Reich@manulifesecurities.ca</t>
  </si>
  <si>
    <t>Chad Reich</t>
  </si>
  <si>
    <t>2017-10-12T17:01:36</t>
  </si>
  <si>
    <t>mfc.chad.reich</t>
  </si>
  <si>
    <t>Chad.Taylor@manulifesecurities.ca</t>
  </si>
  <si>
    <t>Chad Taylor</t>
  </si>
  <si>
    <t>2017-10-06T14:39:14</t>
  </si>
  <si>
    <t>ctaylor</t>
  </si>
  <si>
    <t>Chaim.Kohn@manulifesecurities.ca</t>
  </si>
  <si>
    <t>Chaim Kohn</t>
  </si>
  <si>
    <t>kohncha</t>
  </si>
  <si>
    <t>Chandra.Smith@manulifesecurities.ca</t>
  </si>
  <si>
    <t>Chandra Smith</t>
  </si>
  <si>
    <t>2017-10-03T11:02:27</t>
  </si>
  <si>
    <t>mfc.chandra.smith</t>
  </si>
  <si>
    <t>Chandre.Macdougall@manulifesecurities.ca</t>
  </si>
  <si>
    <t>Chandre MacDougall</t>
  </si>
  <si>
    <t>2017-10-16T09:38:04</t>
  </si>
  <si>
    <t>mfc.chandre.macdo</t>
  </si>
  <si>
    <t>Chantal.Coolen@manulifesecurities.ca</t>
  </si>
  <si>
    <t>Chantal Coolen</t>
  </si>
  <si>
    <t>ccoolen</t>
  </si>
  <si>
    <t>Chantal.Godbout@manulifesecurities.ca</t>
  </si>
  <si>
    <t>Chantal Godbout</t>
  </si>
  <si>
    <t>godbout</t>
  </si>
  <si>
    <t>Chantal.Laurin@manulifesecurities.ca</t>
  </si>
  <si>
    <t>Chantal Laurin</t>
  </si>
  <si>
    <t>CLaurin</t>
  </si>
  <si>
    <t>Chantal.Marinier@manulifesecurities.ca</t>
  </si>
  <si>
    <t>Chantal Marinier</t>
  </si>
  <si>
    <t>2017-10-10T07:12:19</t>
  </si>
  <si>
    <t>mfc.chantal.marin</t>
  </si>
  <si>
    <t>Chantal.Mau@manulifesecurities.ca</t>
  </si>
  <si>
    <t>Chantal Mau</t>
  </si>
  <si>
    <t>2017-10-12T09:45:53</t>
  </si>
  <si>
    <t>mfc.chantal.mau</t>
  </si>
  <si>
    <t>Chantale.Boucher@manulifesecurities.ca</t>
  </si>
  <si>
    <t>Chantale Boucher</t>
  </si>
  <si>
    <t>2015-08-30T18:30:32</t>
  </si>
  <si>
    <t>mfc.chantale.bouc</t>
  </si>
  <si>
    <t>Chantale.Circelli@manulifesecurities.ca</t>
  </si>
  <si>
    <t>Chantale Circelli</t>
  </si>
  <si>
    <t>2017-10-12T14:35:23</t>
  </si>
  <si>
    <t>CCircelli</t>
  </si>
  <si>
    <t>Chantel.Rigo@manulifesecurities.ca</t>
  </si>
  <si>
    <t>CRigo</t>
  </si>
  <si>
    <t>Chantelle.Dube@manulifesecurities.ca</t>
  </si>
  <si>
    <t>Chantelle J Dube</t>
  </si>
  <si>
    <t>chadube</t>
  </si>
  <si>
    <t>Chantelle.Dunlop@manulifesecurities.ca</t>
  </si>
  <si>
    <t>Chantelle Dunlop</t>
  </si>
  <si>
    <t>2017-09-06T17:22:25</t>
  </si>
  <si>
    <t>CDunlop</t>
  </si>
  <si>
    <t>Charbel.Kiwan@manulifesecurities.ca</t>
  </si>
  <si>
    <t>Charbel Kiwan</t>
  </si>
  <si>
    <t>2017-10-14T11:15:35</t>
  </si>
  <si>
    <t>mfc.charbel.kiwan</t>
  </si>
  <si>
    <t>Charbel.Youwakim@manulifesecurities.ca</t>
  </si>
  <si>
    <t>Charbel Youwakim</t>
  </si>
  <si>
    <t>2015-04-22T09:53:24</t>
  </si>
  <si>
    <t>CYouwakim</t>
  </si>
  <si>
    <t>Charlayne.Nelson@manulifesecurities.ca</t>
  </si>
  <si>
    <t>Charlayne Nelson</t>
  </si>
  <si>
    <t>CNelson</t>
  </si>
  <si>
    <t>Charlene.Berringer@manulifesecurities.ca</t>
  </si>
  <si>
    <t>Charlene Berringer</t>
  </si>
  <si>
    <t>2016-01-18T08:44:40</t>
  </si>
  <si>
    <t>CBerringer</t>
  </si>
  <si>
    <t>Charlene.Dipchan@manulifesecurities.ca</t>
  </si>
  <si>
    <t>Charlene Dipchan</t>
  </si>
  <si>
    <t>cdipchan</t>
  </si>
  <si>
    <t>Charlene.Dipchan2@manulifesecurities.ca</t>
  </si>
  <si>
    <t>Charlene D. Dipchan</t>
  </si>
  <si>
    <t>chdipch</t>
  </si>
  <si>
    <t>Charlene.Gagne@manulifesecurities.ca</t>
  </si>
  <si>
    <t>Charlene Gagne</t>
  </si>
  <si>
    <t>cdgagne</t>
  </si>
  <si>
    <t>Charlene.Manning@manulifesecurities.ca</t>
  </si>
  <si>
    <t>Charlene Manning</t>
  </si>
  <si>
    <t>charlenem</t>
  </si>
  <si>
    <t>Charlene.Rehn@manulifesecurities.ca</t>
  </si>
  <si>
    <t>Charlene Rehn</t>
  </si>
  <si>
    <t>2017-10-01T12:44:35</t>
  </si>
  <si>
    <t>CRehn</t>
  </si>
  <si>
    <t>Charlene.Zaharia@manulifesecurities.ca</t>
  </si>
  <si>
    <t>Charlene Zaharia</t>
  </si>
  <si>
    <t>charlene</t>
  </si>
  <si>
    <t>Charles.Koester@manulifesecurities.ca</t>
  </si>
  <si>
    <t>Charlie Koester</t>
  </si>
  <si>
    <t>CKoester</t>
  </si>
  <si>
    <t>Charles.Lavigne@manulifesecurities.ca</t>
  </si>
  <si>
    <t>Charles Lavigne</t>
  </si>
  <si>
    <t>2017-10-09T01:09:38</t>
  </si>
  <si>
    <t>mfc.charles.lavig</t>
  </si>
  <si>
    <t>Charles.Lee@manulifesecurities.ca</t>
  </si>
  <si>
    <t>Charles Lee</t>
  </si>
  <si>
    <t>ChLee</t>
  </si>
  <si>
    <t>Charles.Robson@manulifesecurities.ca</t>
  </si>
  <si>
    <t>Charles Robson</t>
  </si>
  <si>
    <t>2017-10-12T12:20:58</t>
  </si>
  <si>
    <t>chuckr</t>
  </si>
  <si>
    <t>Charlie.Read@manulifesecurities.ca</t>
  </si>
  <si>
    <t>Charlie Read</t>
  </si>
  <si>
    <t>2016-06-27T11:09:55</t>
  </si>
  <si>
    <t>chread</t>
  </si>
  <si>
    <t>Charlotte.Adam@manulifesecurities.ca</t>
  </si>
  <si>
    <t>Charlotte Adam</t>
  </si>
  <si>
    <t>2015-02-27T17:56:37</t>
  </si>
  <si>
    <t>ChAdam</t>
  </si>
  <si>
    <t>Charlotte.Prudhomme@manulifesecurities.ca</t>
  </si>
  <si>
    <t>Charlotte Prudhomme</t>
  </si>
  <si>
    <t>campweb</t>
  </si>
  <si>
    <t>charmaine.guerette@manulifesecurities.ca</t>
  </si>
  <si>
    <t>Charmaine Guerette</t>
  </si>
  <si>
    <t>2017-10-10T10:36:47</t>
  </si>
  <si>
    <t>mfc.charmaine.gue</t>
  </si>
  <si>
    <t>Charmaine.Jensen@manulifesecurities.ca</t>
  </si>
  <si>
    <t>Charmaine Jensen</t>
  </si>
  <si>
    <t>CharmaineJensen</t>
  </si>
  <si>
    <t>Cheikh.Diallo@manulifesecurities.ca</t>
  </si>
  <si>
    <t>Cheikh Diallo</t>
  </si>
  <si>
    <t>cdiallo</t>
  </si>
  <si>
    <t>Chelsea.Cardno@manulifesecurities.ca</t>
  </si>
  <si>
    <t>Chelsea Cardno</t>
  </si>
  <si>
    <t>2015-11-06T14:48:49</t>
  </si>
  <si>
    <t>mfc.chelsea.cardn</t>
  </si>
  <si>
    <t>Chelsea.Chevalier@manulifesecurities.ca</t>
  </si>
  <si>
    <t>Chelsea Chevalier</t>
  </si>
  <si>
    <t>CChevalier</t>
  </si>
  <si>
    <t>Chelsea.Fouillard@manulifesecurities.ca</t>
  </si>
  <si>
    <t>Chelsea Fouillard</t>
  </si>
  <si>
    <t>2017-10-10T09:42:51</t>
  </si>
  <si>
    <t>mfc.chelsea.fouil</t>
  </si>
  <si>
    <t>Chelsea.Scott@manulifesecurities.ca</t>
  </si>
  <si>
    <t>Chelsea Scott</t>
  </si>
  <si>
    <t>chescott</t>
  </si>
  <si>
    <t>Chelsey.Belanger@manulifesecurities.ca</t>
  </si>
  <si>
    <t>Chelsey Belanger</t>
  </si>
  <si>
    <t>CBelanger</t>
  </si>
  <si>
    <t>Chelsey.Lamppu@manulifesecurities.ca</t>
  </si>
  <si>
    <t>Chelsey Lamppu</t>
  </si>
  <si>
    <t>2017-10-13T08:57:59</t>
  </si>
  <si>
    <t>mfc.chelsey.lampp</t>
  </si>
  <si>
    <t>Cher.Gleitman@manulifesecurities.ca</t>
  </si>
  <si>
    <t>Cher Gleitman</t>
  </si>
  <si>
    <t>2017-06-30T15:42:25</t>
  </si>
  <si>
    <t>CGleitman</t>
  </si>
  <si>
    <t>Cheri.Brooks@manulifesecurities.ca</t>
  </si>
  <si>
    <t>Cheri Brooks</t>
  </si>
  <si>
    <t>cbrooks</t>
  </si>
  <si>
    <t>Cherie.McCarthy@manulifesecurities.ca</t>
  </si>
  <si>
    <t>Cherie McCarthy</t>
  </si>
  <si>
    <t>ChMcCarthy</t>
  </si>
  <si>
    <t>CherieGil.Santos@manulifesecurities.ca</t>
  </si>
  <si>
    <t>Cherie Gil Santos</t>
  </si>
  <si>
    <t>CSantos</t>
  </si>
  <si>
    <t>Cherryl.Twiss@manulifesecurities.ca</t>
  </si>
  <si>
    <t>Cherryl Twiss</t>
  </si>
  <si>
    <t>2016-01-12T08:37:30</t>
  </si>
  <si>
    <t>CTwiss</t>
  </si>
  <si>
    <t>cheryl.achler@manulifesecurities.ca</t>
  </si>
  <si>
    <t>Cheryl Achler</t>
  </si>
  <si>
    <t>2015-01-07T15:05:58</t>
  </si>
  <si>
    <t>mfc.cheryl.achler000</t>
  </si>
  <si>
    <t>Cheryl.Alsop@manulifesecurities.ca</t>
  </si>
  <si>
    <t>Cheryl Alsop</t>
  </si>
  <si>
    <t>cjmayo</t>
  </si>
  <si>
    <t>Cheryl.Andreiw@manulifesecurities.ca</t>
  </si>
  <si>
    <t>Cheryl Andreiw</t>
  </si>
  <si>
    <t>andreiwch</t>
  </si>
  <si>
    <t>Cheryl.Cryer@manulifesecurities.ca</t>
  </si>
  <si>
    <t>Cheryl Cryer</t>
  </si>
  <si>
    <t>ccryer</t>
  </si>
  <si>
    <t>Cheryl.Leung@manulifesecurities.ca</t>
  </si>
  <si>
    <t>CLeung</t>
  </si>
  <si>
    <t>Cheryl.McIntyre@manulifesecurities.ca</t>
  </si>
  <si>
    <t>Cheryl McIntyre</t>
  </si>
  <si>
    <t>2017-10-09T15:03:17</t>
  </si>
  <si>
    <t>CMcIntyre</t>
  </si>
  <si>
    <t>Cheryl.Mezzatesta@manulifesecurities.ca</t>
  </si>
  <si>
    <t>Cheryl Mezzatesta</t>
  </si>
  <si>
    <t>CMezzatesta</t>
  </si>
  <si>
    <t>Cheryl.Ninno@manulifesecurities.ca</t>
  </si>
  <si>
    <t>Cheryl Ninno</t>
  </si>
  <si>
    <t>chninno</t>
  </si>
  <si>
    <t>Cheryl.ORourke@manulifesecurities.ca</t>
  </si>
  <si>
    <t>Cheryl O'Rourke</t>
  </si>
  <si>
    <t>CORourke</t>
  </si>
  <si>
    <t>Cheryl.Paige@manulifesecurities.ca</t>
  </si>
  <si>
    <t>Cheryl Paige</t>
  </si>
  <si>
    <t>CPaige</t>
  </si>
  <si>
    <t>Cheryl.Sabeski@manulifesecurities.ca</t>
  </si>
  <si>
    <t>2015-08-17T09:02:17</t>
  </si>
  <si>
    <t>CSabeski</t>
  </si>
  <si>
    <t>CherylAnn.Golem@manulifesecurities.ca</t>
  </si>
  <si>
    <t>Cheryl Ann Golem</t>
  </si>
  <si>
    <t>cgolem</t>
  </si>
  <si>
    <t>Cheyenne.Mccracken@manulifesecurities.ca</t>
  </si>
  <si>
    <t>Cheyenne Mccracken</t>
  </si>
  <si>
    <t>2017-07-20T17:37:36</t>
  </si>
  <si>
    <t>mfc.c.mccracken</t>
  </si>
  <si>
    <t>Chim.Lam@manulifesecurities.ca</t>
  </si>
  <si>
    <t>Chim Lam</t>
  </si>
  <si>
    <t>2017-10-07T07:27:33</t>
  </si>
  <si>
    <t>chimlam</t>
  </si>
  <si>
    <t>Chin.Li@manulifesecurities.ca</t>
  </si>
  <si>
    <t>Chin Li</t>
  </si>
  <si>
    <t>chinli</t>
  </si>
  <si>
    <t>Chris.Bailey@manulifesecurities.ca</t>
  </si>
  <si>
    <t>Christopher Bailey</t>
  </si>
  <si>
    <t>2017-10-10T09:43:29</t>
  </si>
  <si>
    <t>mfc.christopher.b</t>
  </si>
  <si>
    <t>Chris.Berlingeri@manulifesecurities.ca</t>
  </si>
  <si>
    <t>Chris Berlingeri</t>
  </si>
  <si>
    <t>2016-12-08T09:38:01</t>
  </si>
  <si>
    <t>CBerlingeri</t>
  </si>
  <si>
    <t>Chris.Black@manulifesecurities.ca</t>
  </si>
  <si>
    <t>Chris Black</t>
  </si>
  <si>
    <t>chblack</t>
  </si>
  <si>
    <t>Chris.Bukovy@manulifesecurities.ca</t>
  </si>
  <si>
    <t>Chris Bukovy</t>
  </si>
  <si>
    <t>2017-10-12T09:17:09</t>
  </si>
  <si>
    <t>CBukovy</t>
  </si>
  <si>
    <t>Chris.Buscarino@manulifesecurities.ca</t>
  </si>
  <si>
    <t>Christopher Buscarino</t>
  </si>
  <si>
    <t>CBuscarino</t>
  </si>
  <si>
    <t>Chris.Chakmakian@manulifesecurities.ca</t>
  </si>
  <si>
    <t>Chris Chakmakian</t>
  </si>
  <si>
    <t>2017-10-12T22:21:08</t>
  </si>
  <si>
    <t>chrisc</t>
  </si>
  <si>
    <t>Chris.Chang@manulifesecurities.ca</t>
  </si>
  <si>
    <t>Chris Chang</t>
  </si>
  <si>
    <t>cchang</t>
  </si>
  <si>
    <t>Chris.Compain@manulifesecurities.ca</t>
  </si>
  <si>
    <t>Chris Compain</t>
  </si>
  <si>
    <t>CCompain</t>
  </si>
  <si>
    <t>Chris.Douglas@manulifesecurities.ca</t>
  </si>
  <si>
    <t>Christopher Douglas</t>
  </si>
  <si>
    <t>2017-10-13T19:01:06</t>
  </si>
  <si>
    <t>douglch</t>
  </si>
  <si>
    <t>Chris.Forman@manulifesecurities.ca</t>
  </si>
  <si>
    <t>Chris Forman</t>
  </si>
  <si>
    <t>2017-10-15T16:06:25</t>
  </si>
  <si>
    <t>CForman</t>
  </si>
  <si>
    <t>Chris.Frook@manulifesecurities.ca</t>
  </si>
  <si>
    <t>Chris Frook</t>
  </si>
  <si>
    <t>CFrook</t>
  </si>
  <si>
    <t>Chris.Giesen@manulifesecurities.ca</t>
  </si>
  <si>
    <t>Chris Giesen</t>
  </si>
  <si>
    <t>giesech</t>
  </si>
  <si>
    <t>Chris.Hart@manulifesecurities.ca</t>
  </si>
  <si>
    <t>Chris Hart</t>
  </si>
  <si>
    <t>CHart</t>
  </si>
  <si>
    <t>Chris.Heaman@manulifesecurities.ca</t>
  </si>
  <si>
    <t>Chris Heaman</t>
  </si>
  <si>
    <t>CHeaman</t>
  </si>
  <si>
    <t>Chris.Jefferson@manulifesecurities.ca</t>
  </si>
  <si>
    <t>Chris Jefferson</t>
  </si>
  <si>
    <t>CJefferson</t>
  </si>
  <si>
    <t>Chris.Judd@manulifesecurities.ca</t>
  </si>
  <si>
    <t>Chris Judd</t>
  </si>
  <si>
    <t>2017-09-27T09:13:56</t>
  </si>
  <si>
    <t>cwjudd</t>
  </si>
  <si>
    <t>Chris.Khalife@manulifesecurities.ca</t>
  </si>
  <si>
    <t>Christopher Khalife</t>
  </si>
  <si>
    <t>CKhalife</t>
  </si>
  <si>
    <t>Chris.Kite@manulifesecurities.ca</t>
  </si>
  <si>
    <t>Chris Kite</t>
  </si>
  <si>
    <t>2017-10-10T00:42:39</t>
  </si>
  <si>
    <t>CKite</t>
  </si>
  <si>
    <t>Chris.Koschman@manulifesecurities.ca</t>
  </si>
  <si>
    <t>Chris Koschman</t>
  </si>
  <si>
    <t>2017-10-12T15:56:45</t>
  </si>
  <si>
    <t>ckosch</t>
  </si>
  <si>
    <t>Chris.MacPherson@manulifesecurities.ca</t>
  </si>
  <si>
    <t>Chris MacPherson</t>
  </si>
  <si>
    <t>2017-10-13T17:16:41</t>
  </si>
  <si>
    <t>mfc.chris.macpher</t>
  </si>
  <si>
    <t>Chris.Major@manulifesecurities.ca</t>
  </si>
  <si>
    <t>Chris Major</t>
  </si>
  <si>
    <t>chris.major</t>
  </si>
  <si>
    <t>Chris.Martens@manulifesecurities.ca</t>
  </si>
  <si>
    <t>Chris Martens</t>
  </si>
  <si>
    <t>CMartens</t>
  </si>
  <si>
    <t>Chris.Mastronardi@manulifesecurities.ca</t>
  </si>
  <si>
    <t>Chris Mastronardi</t>
  </si>
  <si>
    <t>2017-10-16T08:53:01</t>
  </si>
  <si>
    <t>mastroc</t>
  </si>
  <si>
    <t>Chris.Morrison@manulifesecurities.ca</t>
  </si>
  <si>
    <t>Christopher Morrison</t>
  </si>
  <si>
    <t>2017-10-05T12:53:03</t>
  </si>
  <si>
    <t>ChristopherMorrison</t>
  </si>
  <si>
    <t>Chris.Osborne@manulifesecurities.ca</t>
  </si>
  <si>
    <t>Chris Osborne</t>
  </si>
  <si>
    <t>2017-07-23T07:39:20</t>
  </si>
  <si>
    <t>cosborne</t>
  </si>
  <si>
    <t>Chris.Palmer@manulifesecurities.ca</t>
  </si>
  <si>
    <t>Chris Palmer</t>
  </si>
  <si>
    <t>2017-10-10T15:33:24</t>
  </si>
  <si>
    <t>CPalmer</t>
  </si>
  <si>
    <t>Chris.Phillips@manulifesecurities.ca</t>
  </si>
  <si>
    <t>Chris Phillips</t>
  </si>
  <si>
    <t>CPhillips</t>
  </si>
  <si>
    <t>Chris.Proctor@manulifesecurities.ca</t>
  </si>
  <si>
    <t>zz Manulife - Chris Proctor</t>
  </si>
  <si>
    <t>CProctor</t>
  </si>
  <si>
    <t>Chris.Samuel@manulifesecurities.ca</t>
  </si>
  <si>
    <t>Chris Samuel</t>
  </si>
  <si>
    <t>CSamuel</t>
  </si>
  <si>
    <t>Chris.Sanderson@manulifesecurities.ca</t>
  </si>
  <si>
    <t>Chris Sanderson</t>
  </si>
  <si>
    <t>2017-09-25T09:31:19</t>
  </si>
  <si>
    <t>CSanderson</t>
  </si>
  <si>
    <t>Chris.Shauntz@manulifesecurities.ca</t>
  </si>
  <si>
    <t>Christine Shauntz</t>
  </si>
  <si>
    <t>CShauntz</t>
  </si>
  <si>
    <t>Chris.Sklarchuk@manulifesecurities.ca</t>
  </si>
  <si>
    <t>CSklarchuk</t>
  </si>
  <si>
    <t>Chris.Sorokopas@manulifesecurities.ca</t>
  </si>
  <si>
    <t>Chris Sorokopas</t>
  </si>
  <si>
    <t>2017-10-07T08:31:38</t>
  </si>
  <si>
    <t>CSorokopas</t>
  </si>
  <si>
    <t>Chris.Thornton@manulifesecurities.ca</t>
  </si>
  <si>
    <t>Chris Thornton</t>
  </si>
  <si>
    <t>2017-10-13T14:22:05</t>
  </si>
  <si>
    <t>CThornton</t>
  </si>
  <si>
    <t>Chris.Valardo@manulifesecurities.ca</t>
  </si>
  <si>
    <t>Chris Valardo</t>
  </si>
  <si>
    <t>2017-10-14T03:05:14</t>
  </si>
  <si>
    <t>cmvalardo</t>
  </si>
  <si>
    <t>Chris.Vaughan@manulifesecurities.ca</t>
  </si>
  <si>
    <t>Chris Vaughan</t>
  </si>
  <si>
    <t>2017-10-13T21:30:50</t>
  </si>
  <si>
    <t>mfc.chris.vaughan</t>
  </si>
  <si>
    <t>Chris.Weir@manulifesecurities.ca</t>
  </si>
  <si>
    <t>Chris Weir</t>
  </si>
  <si>
    <t>2017-10-09T23:44:59</t>
  </si>
  <si>
    <t>CWeir</t>
  </si>
  <si>
    <t>Chris.Whylie@manulifesecurities.ca</t>
  </si>
  <si>
    <t>Chris Whylie</t>
  </si>
  <si>
    <t>2017-10-11T12:39:57</t>
  </si>
  <si>
    <t>chris4404</t>
  </si>
  <si>
    <t>Chris.Young@manulifesecurities.ca</t>
  </si>
  <si>
    <t>Christopher Young</t>
  </si>
  <si>
    <t>CYoung</t>
  </si>
  <si>
    <t>ChrisG.Simpson@manulifesecurities.ca</t>
  </si>
  <si>
    <t>Chris Simpson</t>
  </si>
  <si>
    <t>2017-10-15T16:44:49</t>
  </si>
  <si>
    <t>mfc.chris.simpson</t>
  </si>
  <si>
    <t>christelle.arouko@manulifesecurities.ca</t>
  </si>
  <si>
    <t>Christelle Arouko</t>
  </si>
  <si>
    <t>2017-10-16T00:07:19</t>
  </si>
  <si>
    <t>mfc.christelle.ar</t>
  </si>
  <si>
    <t>Christena.Somers@manulifesecurities.ca</t>
  </si>
  <si>
    <t>Christena Somers</t>
  </si>
  <si>
    <t>2017-10-10T12:05:19</t>
  </si>
  <si>
    <t>CSomers</t>
  </si>
  <si>
    <t>Christian.deMarino@manulifesecurities.ca</t>
  </si>
  <si>
    <t>Christian de Marino</t>
  </si>
  <si>
    <t>CdeMarino</t>
  </si>
  <si>
    <t>Christian.Verlezza@manulifesecurities.ca</t>
  </si>
  <si>
    <t>Christian Verlezza</t>
  </si>
  <si>
    <t>2017-10-10T10:01:52</t>
  </si>
  <si>
    <t>mfc.christian.ver</t>
  </si>
  <si>
    <t>Christian.Viau@placementsmanuvie.ca</t>
  </si>
  <si>
    <t>Christian Viau</t>
  </si>
  <si>
    <t>2017-10-13T14:30:23</t>
  </si>
  <si>
    <t>viauchr</t>
  </si>
  <si>
    <t>Christiane.StArnault@manulifesecurities.ca</t>
  </si>
  <si>
    <t>zzChristiane St-Arnault</t>
  </si>
  <si>
    <t>Christiane</t>
  </si>
  <si>
    <t>Christianne.Macintyre@manulifesecurities.ca</t>
  </si>
  <si>
    <t>Christianne Macintyre</t>
  </si>
  <si>
    <t>macinch</t>
  </si>
  <si>
    <t>Christie.Coltman@manulifesecurities.ca</t>
  </si>
  <si>
    <t>Christie Coltman</t>
  </si>
  <si>
    <t>2017-10-10T13:43:38</t>
  </si>
  <si>
    <t>coltman</t>
  </si>
  <si>
    <t>Christina.Andrecyk@manulifesecurities.ca</t>
  </si>
  <si>
    <t>Christina Andrecyk</t>
  </si>
  <si>
    <t>2017-09-15T11:58:32</t>
  </si>
  <si>
    <t>CAndrecyk</t>
  </si>
  <si>
    <t>Christina.Boase@manulifesecurities.ca</t>
  </si>
  <si>
    <t>Christina Boase</t>
  </si>
  <si>
    <t>2017-10-15T13:06:45</t>
  </si>
  <si>
    <t>CBoase</t>
  </si>
  <si>
    <t>Christina.Campbell@manulifesecurities.ca</t>
  </si>
  <si>
    <t>Christina Campbell</t>
  </si>
  <si>
    <t>2017-08-07T17:35:43</t>
  </si>
  <si>
    <t>mfc.christina.cam</t>
  </si>
  <si>
    <t>Christina.Colavito@manulifesecurities.ca</t>
  </si>
  <si>
    <t>CColavito</t>
  </si>
  <si>
    <t>Christina.Eddy@manulifesecurities.ca</t>
  </si>
  <si>
    <t>Christina Eddy</t>
  </si>
  <si>
    <t>2017-10-10T11:38:01</t>
  </si>
  <si>
    <t>mfc.christina.edd</t>
  </si>
  <si>
    <t>Christina.Graham@manulifesecurities.ca</t>
  </si>
  <si>
    <t>Christina Graham</t>
  </si>
  <si>
    <t>2014-10-14T16:08:02</t>
  </si>
  <si>
    <t>grahamc</t>
  </si>
  <si>
    <t>Christina.Lai@manulifesecurities.ca</t>
  </si>
  <si>
    <t>Christina Lai</t>
  </si>
  <si>
    <t>2015-10-15T10:06:53</t>
  </si>
  <si>
    <t>chrislai</t>
  </si>
  <si>
    <t>Christina.Lam@manulifesecurities.ca</t>
  </si>
  <si>
    <t>Christina Lam (Assistant)</t>
  </si>
  <si>
    <t>2017-10-12T12:59:48</t>
  </si>
  <si>
    <t>mfc.christina.lam</t>
  </si>
  <si>
    <t>Christina.Ollenberger@manulifesecurities.ca</t>
  </si>
  <si>
    <t>Christina Ollenberger</t>
  </si>
  <si>
    <t>mfc.christina.oll</t>
  </si>
  <si>
    <t>Christina.Tran@manulifesecurities.ca</t>
  </si>
  <si>
    <t>Christina Tran</t>
  </si>
  <si>
    <t>2017-10-12T09:13:47</t>
  </si>
  <si>
    <t>mfc.christina.tra</t>
  </si>
  <si>
    <t>Christina.Yanke@manulifesecurities.ca</t>
  </si>
  <si>
    <t>Christina Yanke</t>
  </si>
  <si>
    <t>CYanke</t>
  </si>
  <si>
    <t>Christine.Abarquez@manulifesecurities.ca</t>
  </si>
  <si>
    <t>Christine Abarquez</t>
  </si>
  <si>
    <t>2017-10-16T08:54:51</t>
  </si>
  <si>
    <t>cabarquez</t>
  </si>
  <si>
    <t>Christine.Bailey@manulifesecurities.ca</t>
  </si>
  <si>
    <t>Christine Bailey</t>
  </si>
  <si>
    <t>2017-05-09T08:42:52</t>
  </si>
  <si>
    <t>mfc.christine.bai</t>
  </si>
  <si>
    <t>Christine.Chappell@manulifesecurities.ca</t>
  </si>
  <si>
    <t>Christine Chappell</t>
  </si>
  <si>
    <t>CChappell</t>
  </si>
  <si>
    <t>Christine.Cole@manulifesecurities.ca</t>
  </si>
  <si>
    <t>Christine Cole</t>
  </si>
  <si>
    <t>dccole</t>
  </si>
  <si>
    <t>Christine.Corsale@manulifesecurities.ca</t>
  </si>
  <si>
    <t>Christine Corsale</t>
  </si>
  <si>
    <t>ccorsale</t>
  </si>
  <si>
    <t>Christine.Donati@manulifesecurities.ca</t>
  </si>
  <si>
    <t>Christine Donati</t>
  </si>
  <si>
    <t>CDonati</t>
  </si>
  <si>
    <t>Christine.Dulbecco@manulifesecurities.ca</t>
  </si>
  <si>
    <t>Christine Dulbecco</t>
  </si>
  <si>
    <t>CDulbecco</t>
  </si>
  <si>
    <t>Christine.Dulude@manulifesecurities.ca</t>
  </si>
  <si>
    <t>Christine Dulude</t>
  </si>
  <si>
    <t>CDulude</t>
  </si>
  <si>
    <t>christine.gauthier@manulifesecurities.ca</t>
  </si>
  <si>
    <t>Christine Gauthier</t>
  </si>
  <si>
    <t>2016-05-09T12:28:43</t>
  </si>
  <si>
    <t>mfc.christine.gau</t>
  </si>
  <si>
    <t>Christine.Grant@manulifesecurities.ca</t>
  </si>
  <si>
    <t>Christine Grant</t>
  </si>
  <si>
    <t>CGrant</t>
  </si>
  <si>
    <t>Christine.Joly@manulifesecurities.ca</t>
  </si>
  <si>
    <t>Christine Joly</t>
  </si>
  <si>
    <t>2017-10-12T10:58:46</t>
  </si>
  <si>
    <t>mfc.christine.jol</t>
  </si>
  <si>
    <t>Christine.LaLiberte@manulifesecurities.ca</t>
  </si>
  <si>
    <t>Christine LaLiberte</t>
  </si>
  <si>
    <t>2017-10-16T01:00:49</t>
  </si>
  <si>
    <t>mfc.christine.lal</t>
  </si>
  <si>
    <t>Christine.Landry@manulifesecurities.ca</t>
  </si>
  <si>
    <t>Christine Landry</t>
  </si>
  <si>
    <t>xtinel</t>
  </si>
  <si>
    <t>Christine.Parton@manulifesecurities.ca</t>
  </si>
  <si>
    <t>Christine Parton</t>
  </si>
  <si>
    <t>2017-10-12T10:21:04</t>
  </si>
  <si>
    <t>ceparton</t>
  </si>
  <si>
    <t>Christine.Pinheiro@manulifesecurities.ca</t>
  </si>
  <si>
    <t>Christine Pinheiro</t>
  </si>
  <si>
    <t>CPinheiro</t>
  </si>
  <si>
    <t>Christine.Reid-Fusato@manulifesecurities.ca</t>
  </si>
  <si>
    <t>zz Manulife - Christine Reid-Fusato</t>
  </si>
  <si>
    <t>CReid-Fusato</t>
  </si>
  <si>
    <t>Christine.Richard@manulifesecurities.ca</t>
  </si>
  <si>
    <t>Christine Richard</t>
  </si>
  <si>
    <t>richardca</t>
  </si>
  <si>
    <t>christine.robillard@placementsmanuvie.ca</t>
  </si>
  <si>
    <t>Christine Robillard</t>
  </si>
  <si>
    <t>2017-10-12T11:00:15</t>
  </si>
  <si>
    <t>christine</t>
  </si>
  <si>
    <t>Christine.Roy@manulifesecurities.ca</t>
  </si>
  <si>
    <t>Christine Roy</t>
  </si>
  <si>
    <t>2016-01-28T08:44:46</t>
  </si>
  <si>
    <t>cjroy1</t>
  </si>
  <si>
    <t>Christine.Shauntz@manulifesecurities.ca</t>
  </si>
  <si>
    <t>Christine Shauntz (Disabled)</t>
  </si>
  <si>
    <t>cshaun</t>
  </si>
  <si>
    <t>Christine.Smith@manulifesecurities.ca</t>
  </si>
  <si>
    <t>Christine Smith</t>
  </si>
  <si>
    <t>2014-11-20T08:53:21</t>
  </si>
  <si>
    <t>CSmith</t>
  </si>
  <si>
    <t>Christine.Szalai@manulifesecurities.ca</t>
  </si>
  <si>
    <t>CSzalai</t>
  </si>
  <si>
    <t>Christine.Tabbert@manulifesecurities.ca</t>
  </si>
  <si>
    <t>CTabbert</t>
  </si>
  <si>
    <t>Christine.Vasseur@manulifesecurities.ca</t>
  </si>
  <si>
    <t>Christine Vasseur</t>
  </si>
  <si>
    <t>vasseurcg</t>
  </si>
  <si>
    <t>Christine.Vieceli@manulifesecurities.ca</t>
  </si>
  <si>
    <t>Christine Vieceli</t>
  </si>
  <si>
    <t>2015-12-31T12:54:49</t>
  </si>
  <si>
    <t>CVieceli</t>
  </si>
  <si>
    <t>Christine.WinloveSmith@manulifesecurities.ca</t>
  </si>
  <si>
    <t>Chrissy Winlove-Smith</t>
  </si>
  <si>
    <t>CWinloveSmith</t>
  </si>
  <si>
    <t>ChristineJoy.Basco@manulifesecurities.ca</t>
  </si>
  <si>
    <t>Christine Joy Basco</t>
  </si>
  <si>
    <t>CBasco</t>
  </si>
  <si>
    <t>ChristineJoy.Tiangco@manulifesecurities.ca</t>
  </si>
  <si>
    <t>Christine Joy Tiangco</t>
  </si>
  <si>
    <t>CTiangco</t>
  </si>
  <si>
    <t>christophe.guendaz@manulifesecurities.ca</t>
  </si>
  <si>
    <t>Christophe Guendaz</t>
  </si>
  <si>
    <t>2017-10-09T08:36:45</t>
  </si>
  <si>
    <t>mfc.christopher.g000</t>
  </si>
  <si>
    <t>Christopher.Annett@manulifesecurities.ca</t>
  </si>
  <si>
    <t>Christopher Annett</t>
  </si>
  <si>
    <t>2017-10-13T09:55:10</t>
  </si>
  <si>
    <t>mfc.christopher.a</t>
  </si>
  <si>
    <t>Christopher.Collinson@manulifesecurities.ca</t>
  </si>
  <si>
    <t>Christopher Collinson</t>
  </si>
  <si>
    <t>CCollinson</t>
  </si>
  <si>
    <t>Christopher.Collyer@manulifesecurities.ca</t>
  </si>
  <si>
    <t>Chris Collyer</t>
  </si>
  <si>
    <t>2017-10-05T19:32:24</t>
  </si>
  <si>
    <t>CCollyer</t>
  </si>
  <si>
    <t>Christopher.Ferguson@manulifesecurities.ca</t>
  </si>
  <si>
    <t>Christopher Ferguson</t>
  </si>
  <si>
    <t>CFerguson</t>
  </si>
  <si>
    <t>Christopher.Goodwin@manulifesecurities.ca</t>
  </si>
  <si>
    <t>Christopher Goodwin</t>
  </si>
  <si>
    <t>cgoodwin</t>
  </si>
  <si>
    <t>christopher.guerrera@manulifesecurities.ca</t>
  </si>
  <si>
    <t>Christopher Guerrera</t>
  </si>
  <si>
    <t>2016-02-28T15:41:37</t>
  </si>
  <si>
    <t>mfc.christopher.g</t>
  </si>
  <si>
    <t>Christopher.Hietalahti@manulifesecurities.ca</t>
  </si>
  <si>
    <t>Christopher Hietalahti</t>
  </si>
  <si>
    <t>mfc.christopher.h</t>
  </si>
  <si>
    <t>Christopher.Jackson@manulifesecurities.ca</t>
  </si>
  <si>
    <t>Christopher Jackson</t>
  </si>
  <si>
    <t>2014-11-17T12:48:23</t>
  </si>
  <si>
    <t>cjackson</t>
  </si>
  <si>
    <t>Christopher.Kafenzakis@manulifesecurities.ca</t>
  </si>
  <si>
    <t>Christopher Kafenzakis</t>
  </si>
  <si>
    <t>CKafenzakis</t>
  </si>
  <si>
    <t>Christopher.Langmaid@manulifesecurities.ca</t>
  </si>
  <si>
    <t>Christopher Langmaid</t>
  </si>
  <si>
    <t>clangmaid</t>
  </si>
  <si>
    <t>Christopher.March@manulifesecurities.ca</t>
  </si>
  <si>
    <t>CMarch</t>
  </si>
  <si>
    <t>Christopher.McKitterick@manulifesecurities.ca</t>
  </si>
  <si>
    <t>Christopher McKitterick</t>
  </si>
  <si>
    <t>2017-10-10T07:07:20</t>
  </si>
  <si>
    <t>cmckitter</t>
  </si>
  <si>
    <t>Christopher.Munro@manulifesecurities.ca</t>
  </si>
  <si>
    <t>Christopher Munro</t>
  </si>
  <si>
    <t>2017-10-14T08:38:13</t>
  </si>
  <si>
    <t>cmunro</t>
  </si>
  <si>
    <t>Christopher.Muzzi@manulifesecurities.ca</t>
  </si>
  <si>
    <t>Christopher Muzzi</t>
  </si>
  <si>
    <t>2016-08-02T09:01:25</t>
  </si>
  <si>
    <t>mfc.christopher.m</t>
  </si>
  <si>
    <t>Christopher.Quan@manulifesecurities.ca</t>
  </si>
  <si>
    <t>Christopher Quan</t>
  </si>
  <si>
    <t>2017-10-13T10:35:21</t>
  </si>
  <si>
    <t>cquan</t>
  </si>
  <si>
    <t>Christopher.Robson@manulifesecurities.ca</t>
  </si>
  <si>
    <t>Christopher Robson</t>
  </si>
  <si>
    <t>CRobson</t>
  </si>
  <si>
    <t>christopher.simpson@manulifesecurities.ca</t>
  </si>
  <si>
    <t>Christopher Simpson</t>
  </si>
  <si>
    <t>2017-10-16T07:20:21</t>
  </si>
  <si>
    <t>mfc.christopher.s</t>
  </si>
  <si>
    <t>Christopher.Sumner@manulifesecurities.ca</t>
  </si>
  <si>
    <t>Christopher Sumner</t>
  </si>
  <si>
    <t>CSumner</t>
  </si>
  <si>
    <t>Christopher.Williams@manulifesecurities.ca</t>
  </si>
  <si>
    <t>Christopher Williams</t>
  </si>
  <si>
    <t>2017-10-10T08:30:02</t>
  </si>
  <si>
    <t>chwillia</t>
  </si>
  <si>
    <t>Christopher.Wylie@manulifesecurities.ca</t>
  </si>
  <si>
    <t>Christopher Wylie</t>
  </si>
  <si>
    <t>2017-10-10T17:51:48</t>
  </si>
  <si>
    <t>wyliech</t>
  </si>
  <si>
    <t>Christyl.Abraham@manulifesecurities.ca</t>
  </si>
  <si>
    <t>CAbraham</t>
  </si>
  <si>
    <t>Chuck.Hall@manulifesecurities.ca</t>
  </si>
  <si>
    <t>Chuck Hall</t>
  </si>
  <si>
    <t>2017-10-11T06:59:34</t>
  </si>
  <si>
    <t>mfc.chuck.hall</t>
  </si>
  <si>
    <t>Chunming.Zhang@manulifesecurities.ca</t>
  </si>
  <si>
    <t>Chunming Zhang</t>
  </si>
  <si>
    <t>2015-09-28T10:06:35</t>
  </si>
  <si>
    <t>chzhang</t>
  </si>
  <si>
    <t>Cilia.McGee@manulifesecurities.ca</t>
  </si>
  <si>
    <t>Cilia McGee</t>
  </si>
  <si>
    <t>2017-10-11T09:02:04</t>
  </si>
  <si>
    <t>CMcGee</t>
  </si>
  <si>
    <t>Cindy.Bauder@manulifesecurities.ca</t>
  </si>
  <si>
    <t>zz Manulife - Cindy Bauder</t>
  </si>
  <si>
    <t>CBauder</t>
  </si>
  <si>
    <t>Cindy.Brannan@manulifesecurities.ca</t>
  </si>
  <si>
    <t>Cindy Brannan</t>
  </si>
  <si>
    <t>cbrannan</t>
  </si>
  <si>
    <t>Cindy.Connor@manulifesecurities.ca</t>
  </si>
  <si>
    <t>Cindy Connor</t>
  </si>
  <si>
    <t>2017-10-12T10:38:46</t>
  </si>
  <si>
    <t>cconnor</t>
  </si>
  <si>
    <t>Cindy.deJong@manulifesecurities.ca</t>
  </si>
  <si>
    <t>Cindy de Jong</t>
  </si>
  <si>
    <t>CdeJong</t>
  </si>
  <si>
    <t>Cindy.Harrison@manulifesecurities.ca</t>
  </si>
  <si>
    <t>CHarrison</t>
  </si>
  <si>
    <t>Cindy.Johal@manulifesecurities.ca</t>
  </si>
  <si>
    <t>Cindy �Johal</t>
  </si>
  <si>
    <t>CJohal</t>
  </si>
  <si>
    <t>Cindy.Leblanc@manulifesecurities.ca</t>
  </si>
  <si>
    <t>Cindy Leblanc</t>
  </si>
  <si>
    <t>2017-10-10T09:02:43</t>
  </si>
  <si>
    <t>cpleblanc</t>
  </si>
  <si>
    <t>Cindy.Lynn@manulifesecurities.ca</t>
  </si>
  <si>
    <t>Cindy Lynn</t>
  </si>
  <si>
    <t>2017-10-09T14:00:14</t>
  </si>
  <si>
    <t>CLynn</t>
  </si>
  <si>
    <t>Cindy.MacLean@manulifesecurities.ca</t>
  </si>
  <si>
    <t>Cindy MacLean</t>
  </si>
  <si>
    <t>2017-10-10T10:24:01</t>
  </si>
  <si>
    <t>CMacLean</t>
  </si>
  <si>
    <t>cindy.miminas@manulifesecurities.ca</t>
  </si>
  <si>
    <t>CMiminas</t>
  </si>
  <si>
    <t>CMartin</t>
  </si>
  <si>
    <t>Cindy.Morrison@manulifesecurities.ca</t>
  </si>
  <si>
    <t>Cindy Morrison</t>
  </si>
  <si>
    <t>CMorrison</t>
  </si>
  <si>
    <t>Cindy.Pringle@manulifesecurities.ca</t>
  </si>
  <si>
    <t>Cindy Pringle (Advisor)</t>
  </si>
  <si>
    <t>2017-10-12T15:21:33</t>
  </si>
  <si>
    <t>CPringle</t>
  </si>
  <si>
    <t>Cindy.Stewart@manulifesecurities.ca</t>
  </si>
  <si>
    <t>Cindy Stewart</t>
  </si>
  <si>
    <t>Cistewart</t>
  </si>
  <si>
    <t>Cindy.Villaflores@manulifesecurities.ca</t>
  </si>
  <si>
    <t>Cindy Villaflores</t>
  </si>
  <si>
    <t>CVillaflores</t>
  </si>
  <si>
    <t>Cindy.Watt@manulifesecurities.ca</t>
  </si>
  <si>
    <t>Cindy Watt</t>
  </si>
  <si>
    <t>cwatt</t>
  </si>
  <si>
    <t>CindyRae.Tanguay@manulifesecurities.ca</t>
  </si>
  <si>
    <t>Cindy Rae Tanguay</t>
  </si>
  <si>
    <t>ctanguay</t>
  </si>
  <si>
    <t>CitrixTest@manulifesecurities.ca</t>
  </si>
  <si>
    <t>Citrixtest</t>
  </si>
  <si>
    <t>citrixtest1@manulifesecurities.ca</t>
  </si>
  <si>
    <t>citrixtest1</t>
  </si>
  <si>
    <t>Citrixtest1</t>
  </si>
  <si>
    <t>Claire.Carbert@manulifesecurities.ca</t>
  </si>
  <si>
    <t>Claire Carbert</t>
  </si>
  <si>
    <t>2017-05-15T15:41:23</t>
  </si>
  <si>
    <t>CCarbert</t>
  </si>
  <si>
    <t>Claire.Gilliland@manulifesecurities.ca</t>
  </si>
  <si>
    <t>Claire Gilliland</t>
  </si>
  <si>
    <t>2017-10-03T14:26:56</t>
  </si>
  <si>
    <t>claireg</t>
  </si>
  <si>
    <t>Claire.Manion@manulifesecurities.ca</t>
  </si>
  <si>
    <t>Claire Manion</t>
  </si>
  <si>
    <t>CManion</t>
  </si>
  <si>
    <t>Clare.Parrott@manulifesecurities.ca</t>
  </si>
  <si>
    <t>Clare Parrott</t>
  </si>
  <si>
    <t>2015-01-30T12:03:26</t>
  </si>
  <si>
    <t>cparro</t>
  </si>
  <si>
    <t>Clare.Weatherby@manulifesecurities.ca</t>
  </si>
  <si>
    <t>Clare Weatherby</t>
  </si>
  <si>
    <t>cweatherby</t>
  </si>
  <si>
    <t>Clarence.Chui@manulifesecurities.ca</t>
  </si>
  <si>
    <t>Clarence Chui</t>
  </si>
  <si>
    <t>2017-10-07T13:29:33</t>
  </si>
  <si>
    <t>cchui</t>
  </si>
  <si>
    <t>Clarence.Whylie@manulifesecurities.ca</t>
  </si>
  <si>
    <t>Clarence Whylie</t>
  </si>
  <si>
    <t>2017-10-10T10:46:44</t>
  </si>
  <si>
    <t>cwhylie</t>
  </si>
  <si>
    <t>Clark.Taylor@manulifesecurities.ca</t>
  </si>
  <si>
    <t>Clark Taylor</t>
  </si>
  <si>
    <t>2017-10-10T20:00:26</t>
  </si>
  <si>
    <t>clarkt</t>
  </si>
  <si>
    <t>Clarke.Paynter@manulifesecurities.ca</t>
  </si>
  <si>
    <t>Clarke Paynter</t>
  </si>
  <si>
    <t>2017-10-14T10:28:15</t>
  </si>
  <si>
    <t>cpaynter</t>
  </si>
  <si>
    <t>Claude.Courval@manulifesecurities.ca</t>
  </si>
  <si>
    <t>Claude Courval</t>
  </si>
  <si>
    <t>claudecourval</t>
  </si>
  <si>
    <t>Claudia.Kazanowski@manulifesecurities.ca</t>
  </si>
  <si>
    <t>Claudia Kazanowski</t>
  </si>
  <si>
    <t>2017-08-28T17:46:13</t>
  </si>
  <si>
    <t>mfc.claudia.kazan</t>
  </si>
  <si>
    <t>claudia.langill@manulifesecurities.ca</t>
  </si>
  <si>
    <t>Claudia Langill</t>
  </si>
  <si>
    <t>2017-10-11T14:57:02</t>
  </si>
  <si>
    <t>mfc.claudia.langi</t>
  </si>
  <si>
    <t>Claudia.Malikian@manulifesecurities.ca</t>
  </si>
  <si>
    <t>Claudia Malikian</t>
  </si>
  <si>
    <t>2017-10-12T11:54:06</t>
  </si>
  <si>
    <t>mfc.claudia.malik</t>
  </si>
  <si>
    <t>Claudia.Rino@manulifesecurities.ca</t>
  </si>
  <si>
    <t>Claudia</t>
  </si>
  <si>
    <t>2016-12-09T09:42:49</t>
  </si>
  <si>
    <t>mfc.claudia.rino</t>
  </si>
  <si>
    <t>Claudia.Rociu@manulifesecurities.ca</t>
  </si>
  <si>
    <t>Claudia Rociu</t>
  </si>
  <si>
    <t>crociu</t>
  </si>
  <si>
    <t>Claudio.Calabrese@manulifesecurities.ca</t>
  </si>
  <si>
    <t>Claudio Calabrese</t>
  </si>
  <si>
    <t>2017-10-11T04:16:02</t>
  </si>
  <si>
    <t>ccalabre</t>
  </si>
  <si>
    <t>Claudio.DiGiambattista@manulifesecurities.ca</t>
  </si>
  <si>
    <t>Claudio Di Giambattista</t>
  </si>
  <si>
    <t>2017-10-08T11:44:02</t>
  </si>
  <si>
    <t>CDiGiambattista</t>
  </si>
  <si>
    <t>Claudio.Raso@manulifesecurities.ca</t>
  </si>
  <si>
    <t>Claudio Raso</t>
  </si>
  <si>
    <t>claraso</t>
  </si>
  <si>
    <t>Claudio.Viola@manulifesecurities.ca</t>
  </si>
  <si>
    <t>Claudio Viola</t>
  </si>
  <si>
    <t>violac</t>
  </si>
  <si>
    <t>Clement.Chung@manulifesecurities.ca</t>
  </si>
  <si>
    <t>Clement Chung</t>
  </si>
  <si>
    <t>2017-10-06T21:27:16</t>
  </si>
  <si>
    <t>CChung</t>
  </si>
  <si>
    <t>Clement.Collins@manulifesecurities.ca</t>
  </si>
  <si>
    <t>Clement Collins</t>
  </si>
  <si>
    <t>collinsc</t>
  </si>
  <si>
    <t>ClientPaymentRequestMailbox@manulifesecurities.ca</t>
  </si>
  <si>
    <t>Client Payment Request Mailbox</t>
  </si>
  <si>
    <t>ClientPaymentRequest</t>
  </si>
  <si>
    <t>ClientRelationshipModel@manulifesecurities.ca</t>
  </si>
  <si>
    <t>ClientRelationship Model</t>
  </si>
  <si>
    <t>ClientRelationshipMo</t>
  </si>
  <si>
    <t>Cliff.Broetz@manulifesecurities.ca</t>
  </si>
  <si>
    <t>Cliff Broetz</t>
  </si>
  <si>
    <t>cbroetz</t>
  </si>
  <si>
    <t>Cliff.Roth@manulifesecurities.ca</t>
  </si>
  <si>
    <t>Cliff Roth</t>
  </si>
  <si>
    <t>CRoth</t>
  </si>
  <si>
    <t>Clifford.Matchim@manulifesecurities.ca</t>
  </si>
  <si>
    <t>Cliff Matchim</t>
  </si>
  <si>
    <t>CMatchim</t>
  </si>
  <si>
    <t>Clifford.Wiegers@manulifesecurities.ca</t>
  </si>
  <si>
    <t>Cliff Wiegers</t>
  </si>
  <si>
    <t>2017-09-06T12:34:35</t>
  </si>
  <si>
    <t>CWiegers</t>
  </si>
  <si>
    <t>Clint.Poettcker@manulifesecurities.ca</t>
  </si>
  <si>
    <t>Clint Poettcker</t>
  </si>
  <si>
    <t>cpoett</t>
  </si>
  <si>
    <t>Cody.McGowan@manulifesecurities.ca</t>
  </si>
  <si>
    <t>Cody McGowan</t>
  </si>
  <si>
    <t>2017-01-10T05:20:54</t>
  </si>
  <si>
    <t>CMcGowan</t>
  </si>
  <si>
    <t>coker@manulifesecurities.ca</t>
  </si>
  <si>
    <t>Coker</t>
  </si>
  <si>
    <t>2015-01-03T18:16:34</t>
  </si>
  <si>
    <t>mfc.coker</t>
  </si>
  <si>
    <t>Colbie.Sierhuis@manulifesecurities.ca</t>
  </si>
  <si>
    <t>Colbie Sierhuis</t>
  </si>
  <si>
    <t>2017-10-11T14:51:21</t>
  </si>
  <si>
    <t>mfc.colbie.sierhu</t>
  </si>
  <si>
    <t>Colby.Prosser@manulifesecurities.ca</t>
  </si>
  <si>
    <t>Colby Prosser</t>
  </si>
  <si>
    <t>2017-03-09T10:20:13</t>
  </si>
  <si>
    <t>mfc.colby.prosser</t>
  </si>
  <si>
    <t>Colette.Gagne@manulifesecurities.ca</t>
  </si>
  <si>
    <t>Colette Gagne</t>
  </si>
  <si>
    <t>2016-06-30T11:55:24</t>
  </si>
  <si>
    <t>mfc.colette.gagne</t>
  </si>
  <si>
    <t>Colette.Leger@manulifesecurities.ca</t>
  </si>
  <si>
    <t>Colette Leger</t>
  </si>
  <si>
    <t>2017-06-05T12:18:36</t>
  </si>
  <si>
    <t>mfc.colette.leger</t>
  </si>
  <si>
    <t>Colette.Martin@manulifesecurities.ca</t>
  </si>
  <si>
    <t>Colette Martin</t>
  </si>
  <si>
    <t>ColetteMartin</t>
  </si>
  <si>
    <t>Colin.Dixon@manulifesecurities.ca</t>
  </si>
  <si>
    <t>Colin Dixon</t>
  </si>
  <si>
    <t>2017-10-13T13:20:25</t>
  </si>
  <si>
    <t>CDixon</t>
  </si>
  <si>
    <t>Colin.Hamilton@manulifesecurities.ca</t>
  </si>
  <si>
    <t>Colin Hamilton</t>
  </si>
  <si>
    <t>2017-10-15T21:12:41</t>
  </si>
  <si>
    <t>cohamil</t>
  </si>
  <si>
    <t>Colin.Macdougall@manulifesecurities.ca</t>
  </si>
  <si>
    <t>Colin Macdougall</t>
  </si>
  <si>
    <t>colinm</t>
  </si>
  <si>
    <t>colin.mccubbin@manulifesecurities.ca</t>
  </si>
  <si>
    <t>Colin McCubbin</t>
  </si>
  <si>
    <t>2017-10-09T11:23:10</t>
  </si>
  <si>
    <t>mfc.colin.mccubbi</t>
  </si>
  <si>
    <t>colin.mcnair@manulifesecurities.ca</t>
  </si>
  <si>
    <t>Collin McNair</t>
  </si>
  <si>
    <t>2015-08-27T13:37:29</t>
  </si>
  <si>
    <t>mfc.colin.mcnair</t>
  </si>
  <si>
    <t>Colin.Tieu@manulifesecurities.ca</t>
  </si>
  <si>
    <t>Colin Tieu</t>
  </si>
  <si>
    <t>2017-10-10T11:56:33</t>
  </si>
  <si>
    <t>mfc.colin.tieu</t>
  </si>
  <si>
    <t>Colleen.Armstrong@manulifesecurities.ca</t>
  </si>
  <si>
    <t>Colleen Armstrong</t>
  </si>
  <si>
    <t>armstrc</t>
  </si>
  <si>
    <t>Colleen.Drexel@manulifesecurities.ca</t>
  </si>
  <si>
    <t>Colleen Drexel</t>
  </si>
  <si>
    <t>2017-06-16T13:27:55</t>
  </si>
  <si>
    <t>mfc.colleen.drexe</t>
  </si>
  <si>
    <t>Colleen.Eisner@manulifesecurities.ca</t>
  </si>
  <si>
    <t>Colleen Eisner</t>
  </si>
  <si>
    <t>2017-10-16T07:58:01</t>
  </si>
  <si>
    <t>ceisner</t>
  </si>
  <si>
    <t>Colleen.Fleet@manulifesecurities.ca</t>
  </si>
  <si>
    <t>Colleen Fleet</t>
  </si>
  <si>
    <t>2017-10-10T08:32:33</t>
  </si>
  <si>
    <t>fleetco</t>
  </si>
  <si>
    <t>Colleen.Florizone@manulifesecurities.ca</t>
  </si>
  <si>
    <t>Colleen Florizone</t>
  </si>
  <si>
    <t>CFlorizone</t>
  </si>
  <si>
    <t>Colleen.French@manulifesecurities.ca</t>
  </si>
  <si>
    <t>Colleen French</t>
  </si>
  <si>
    <t>2017-10-12T12:07:03</t>
  </si>
  <si>
    <t>mfc.colleen.frenc</t>
  </si>
  <si>
    <t>Colleen.Jensen@manulifesecurities.ca</t>
  </si>
  <si>
    <t>Colleen Jensen</t>
  </si>
  <si>
    <t>2017-01-18T14:20:52</t>
  </si>
  <si>
    <t>CJensen</t>
  </si>
  <si>
    <t>Colleen.Lemieux@manulifesecurities.ca</t>
  </si>
  <si>
    <t>Colleen Lemieux</t>
  </si>
  <si>
    <t>2017-10-13T17:28:51</t>
  </si>
  <si>
    <t>mfc.colleen.lemie</t>
  </si>
  <si>
    <t>Colleen.Obrien@manulifesecurities.ca</t>
  </si>
  <si>
    <t>Colleen O'Brien</t>
  </si>
  <si>
    <t>2017-10-05T15:08:15</t>
  </si>
  <si>
    <t>cobrien</t>
  </si>
  <si>
    <t>Colleen.Renaud@manulifesecurities.ca</t>
  </si>
  <si>
    <t>Colleen Renaud</t>
  </si>
  <si>
    <t>2017-06-05T09:46:07</t>
  </si>
  <si>
    <t>CRenaud</t>
  </si>
  <si>
    <t>Colleen.Simard@manulifesecurities.ca</t>
  </si>
  <si>
    <t>CHarvey</t>
  </si>
  <si>
    <t>Colleen.Stowell@manulifesecurities.ca</t>
  </si>
  <si>
    <t>Colleen Stowell</t>
  </si>
  <si>
    <t>2015-03-09T11:13:07</t>
  </si>
  <si>
    <t>CStowell</t>
  </si>
  <si>
    <t>Collin.Willms@manulifesecurities.ca</t>
  </si>
  <si>
    <t>Collin Willms</t>
  </si>
  <si>
    <t>cwillms</t>
  </si>
  <si>
    <t>Compliance@manulifesecurities.ca</t>
  </si>
  <si>
    <t>COMPLIANCE</t>
  </si>
  <si>
    <t>Compliance-1</t>
  </si>
  <si>
    <t>ComplianceTradeDesk@manulifesecurities.ca</t>
  </si>
  <si>
    <t>Compliance Trade Desk</t>
  </si>
  <si>
    <t>ComplianceTradeDesk</t>
  </si>
  <si>
    <t>Confirms@manulifesecurities.ca</t>
  </si>
  <si>
    <t>Confirms</t>
  </si>
  <si>
    <t>Connection@manulifesecurities.ca</t>
  </si>
  <si>
    <t>Connection</t>
  </si>
  <si>
    <t>Connie.Davis@manulifesecurities.ca</t>
  </si>
  <si>
    <t>Connie Davis</t>
  </si>
  <si>
    <t>2017-09-28T17:32:32</t>
  </si>
  <si>
    <t>ConnieDavis</t>
  </si>
  <si>
    <t>Connie.Keefe@manulifesecurities.ca</t>
  </si>
  <si>
    <t>Connie Keefe</t>
  </si>
  <si>
    <t>2017-10-10T09:47:20</t>
  </si>
  <si>
    <t>CKeefe</t>
  </si>
  <si>
    <t>Connie.Messerhuber@manulifesecurities.ca</t>
  </si>
  <si>
    <t>Connie Messerhuber</t>
  </si>
  <si>
    <t>2017-10-10T14:05:09</t>
  </si>
  <si>
    <t>cmesser</t>
  </si>
  <si>
    <t>Connie.Sadler@manulifesecurities.ca</t>
  </si>
  <si>
    <t>Connie Sadler</t>
  </si>
  <si>
    <t>CSadler</t>
  </si>
  <si>
    <t>Connie.Schlamp@manulifesecurities.ca</t>
  </si>
  <si>
    <t>Connie Schlamp</t>
  </si>
  <si>
    <t>2017-10-13T12:44:36</t>
  </si>
  <si>
    <t>CSchlamp</t>
  </si>
  <si>
    <t>Connie.Waites@manulifesecurities.ca</t>
  </si>
  <si>
    <t>Connie Waites</t>
  </si>
  <si>
    <t>2016-08-24T14:08:06</t>
  </si>
  <si>
    <t>mfc.connie.waites</t>
  </si>
  <si>
    <t>Constance.Viglas@manulifesecurities.ca</t>
  </si>
  <si>
    <t>Constance Viglas</t>
  </si>
  <si>
    <t>2017-10-10T13:29:06</t>
  </si>
  <si>
    <t>CViglas</t>
  </si>
  <si>
    <t>corey.mancuso@manulifesecurities.ca</t>
  </si>
  <si>
    <t>Corey Mancuso</t>
  </si>
  <si>
    <t>2017-10-15T16:11:14</t>
  </si>
  <si>
    <t>mfc.corey.mancuso</t>
  </si>
  <si>
    <t>Corey.McHugh@manulifesecurities.ca</t>
  </si>
  <si>
    <t>Corey McHugh</t>
  </si>
  <si>
    <t>2016-11-15T08:07:23</t>
  </si>
  <si>
    <t>mchugco</t>
  </si>
  <si>
    <t>Corey.Murray@manulifesecurities.ca</t>
  </si>
  <si>
    <t>Corey Murray</t>
  </si>
  <si>
    <t>CMurray</t>
  </si>
  <si>
    <t>Corina.Marriott@manulifesecurities.ca</t>
  </si>
  <si>
    <t>Corina Marriott</t>
  </si>
  <si>
    <t>2017-10-10T09:10:35</t>
  </si>
  <si>
    <t>mfc.corina.marrio</t>
  </si>
  <si>
    <t>Corina.Nistor@manulifesecurities.ca</t>
  </si>
  <si>
    <t>Corina Nistor</t>
  </si>
  <si>
    <t>CNistor</t>
  </si>
  <si>
    <t>Corinne.Laflamme@manulifesecurities.ca</t>
  </si>
  <si>
    <t>Corinne Laflamme</t>
  </si>
  <si>
    <t>giggles</t>
  </si>
  <si>
    <t>Corinne.Poulin@manulifesecurities.ca</t>
  </si>
  <si>
    <t>Corinne Poulin</t>
  </si>
  <si>
    <t>CPoulin</t>
  </si>
  <si>
    <t>Corol.Sundberg@manulifesecurities.ca</t>
  </si>
  <si>
    <t>Corol Sundberg</t>
  </si>
  <si>
    <t>2016-03-31T15:28:20</t>
  </si>
  <si>
    <t>csundberg</t>
  </si>
  <si>
    <t>Corporate@manulifesecurities.ca</t>
  </si>
  <si>
    <t>Corporate</t>
  </si>
  <si>
    <t>Corrie.Bauml@manulifesecurities.ca</t>
  </si>
  <si>
    <t>Corrie Bauml</t>
  </si>
  <si>
    <t>2017-09-26T12:20:26</t>
  </si>
  <si>
    <t>baumlco</t>
  </si>
  <si>
    <t>Corrie.Walker@manulifesecurities.ca</t>
  </si>
  <si>
    <t>Corrie Walker</t>
  </si>
  <si>
    <t>2017-10-10T14:05:00</t>
  </si>
  <si>
    <t>mfc.corrie.walker</t>
  </si>
  <si>
    <t>Corrie-Leigh.Gillis@manulifesecurities.ca</t>
  </si>
  <si>
    <t>Corrie-Leigh Gillis</t>
  </si>
  <si>
    <t>clgillis</t>
  </si>
  <si>
    <t>Corrina.Novotny@manulifesecurities.ca</t>
  </si>
  <si>
    <t>Corrina Novotny</t>
  </si>
  <si>
    <t>cnovotny</t>
  </si>
  <si>
    <t>Corrine.Bower@manulifesecurities.ca</t>
  </si>
  <si>
    <t>Corrine Bower</t>
  </si>
  <si>
    <t>bowerl</t>
  </si>
  <si>
    <t>Cory.Choponis@manulifesecurities.ca</t>
  </si>
  <si>
    <t>Cory Choponis</t>
  </si>
  <si>
    <t>2016-12-14T14:25:01</t>
  </si>
  <si>
    <t>CChoponis</t>
  </si>
  <si>
    <t>Cory.McKinnon@manulifesecurities.ca</t>
  </si>
  <si>
    <t>Cory McKinnon</t>
  </si>
  <si>
    <t>2017-10-08T06:31:56</t>
  </si>
  <si>
    <t>cmckinn</t>
  </si>
  <si>
    <t>Courtney.Graham@manulifesecurities.ca</t>
  </si>
  <si>
    <t>Courtney Graham</t>
  </si>
  <si>
    <t>cgraham</t>
  </si>
  <si>
    <t>Courtney.Loberg@manulifesecurities.ca</t>
  </si>
  <si>
    <t>Courtney Loberg</t>
  </si>
  <si>
    <t>2017-07-20T16:48:00</t>
  </si>
  <si>
    <t>mfc.courtney.lobe</t>
  </si>
  <si>
    <t>Courtney.Ramsay@manulifesecurities.ca</t>
  </si>
  <si>
    <t>Courtney Ramsay</t>
  </si>
  <si>
    <t>2017-09-15T15:45:46</t>
  </si>
  <si>
    <t>mfc.courtney.rams</t>
  </si>
  <si>
    <t>Courtney.Rousseaux@manulifesecurities.ca</t>
  </si>
  <si>
    <t>Courtney Rousseaux</t>
  </si>
  <si>
    <t>2017-04-17T10:36:28</t>
  </si>
  <si>
    <t>crousseaux</t>
  </si>
  <si>
    <t>CP.Theriault@manulifesecurities.ca</t>
  </si>
  <si>
    <t>CP Theriault</t>
  </si>
  <si>
    <t>2017-03-11T13:51:22</t>
  </si>
  <si>
    <t>CPTheriault</t>
  </si>
  <si>
    <t>Craig.Coulls@manulifesecurities.ca</t>
  </si>
  <si>
    <t>Craig Coulls</t>
  </si>
  <si>
    <t>2017-10-12T05:29:14</t>
  </si>
  <si>
    <t>CCoulls</t>
  </si>
  <si>
    <t>Craig.Elliott@manulifesecurities.ca</t>
  </si>
  <si>
    <t>Craig Elliott</t>
  </si>
  <si>
    <t>cellio</t>
  </si>
  <si>
    <t>Craig.Galinski@manulifesecurities.ca</t>
  </si>
  <si>
    <t>Craig Galinski</t>
  </si>
  <si>
    <t>2017-10-09T09:27:57</t>
  </si>
  <si>
    <t>crgalin</t>
  </si>
  <si>
    <t>Craig.Gibson@manulifesecurities.ca</t>
  </si>
  <si>
    <t>Craig Gibson</t>
  </si>
  <si>
    <t>2017-10-13T17:11:15</t>
  </si>
  <si>
    <t>cgibson</t>
  </si>
  <si>
    <t>Craig.Heisler@manulifesecurities.ca</t>
  </si>
  <si>
    <t>Craig Heisler</t>
  </si>
  <si>
    <t>CHeisler</t>
  </si>
  <si>
    <t>Craig.Hossack@manulifesecurities.ca</t>
  </si>
  <si>
    <t>Craig Hossack</t>
  </si>
  <si>
    <t>2017-10-16T09:48:08</t>
  </si>
  <si>
    <t>mfc.craig.hossack</t>
  </si>
  <si>
    <t>Craig.Kellmann@manulifesecurities.ca</t>
  </si>
  <si>
    <t>Craig Kellmann</t>
  </si>
  <si>
    <t>2017-10-12T10:00:33</t>
  </si>
  <si>
    <t>mfc.craig.kellman</t>
  </si>
  <si>
    <t>Craig.Mahon@manulifesecurities.ca</t>
  </si>
  <si>
    <t>Craig Mahon</t>
  </si>
  <si>
    <t>2014-10-07T10:03:04</t>
  </si>
  <si>
    <t>cmahon</t>
  </si>
  <si>
    <t>Craig.Matthews@manulifesecurities.ca</t>
  </si>
  <si>
    <t>Craig Matthews</t>
  </si>
  <si>
    <t>CMatthews</t>
  </si>
  <si>
    <t>Craig.Robinson@manulifesecurities.ca</t>
  </si>
  <si>
    <t>Craig Robinson</t>
  </si>
  <si>
    <t>2017-06-06T15:56:07</t>
  </si>
  <si>
    <t>CRobinson</t>
  </si>
  <si>
    <t>Craig.Snow@manulifesecurities.ca</t>
  </si>
  <si>
    <t>Craig Snow</t>
  </si>
  <si>
    <t>2017-03-05T11:39:06</t>
  </si>
  <si>
    <t>crsnow</t>
  </si>
  <si>
    <t>Cramer.Coulthart@manulifesecurities.ca</t>
  </si>
  <si>
    <t>Cramer Coulthart</t>
  </si>
  <si>
    <t>2017-10-13T12:01:13</t>
  </si>
  <si>
    <t>mfc.cramer.coulth</t>
  </si>
  <si>
    <t>CreditDepartment@manulifesecurities.ca</t>
  </si>
  <si>
    <t>Credit Department</t>
  </si>
  <si>
    <t>CreditDepartment</t>
  </si>
  <si>
    <t>Cris.Hesson@manulifesecurities.ca</t>
  </si>
  <si>
    <t>Cris Hesson</t>
  </si>
  <si>
    <t>cristene</t>
  </si>
  <si>
    <t>Cris.Lontabo@manulifesecurities.ca</t>
  </si>
  <si>
    <t>Cris Lontabo</t>
  </si>
  <si>
    <t>CLontabo</t>
  </si>
  <si>
    <t>Cris.Mossman@manulifesecurities.ca</t>
  </si>
  <si>
    <t>Cris Mossman</t>
  </si>
  <si>
    <t>cmossman</t>
  </si>
  <si>
    <t>Cristian.Bogdan@manulifesecurities.ca</t>
  </si>
  <si>
    <t>Cristian Bogdan</t>
  </si>
  <si>
    <t>2017-10-10T10:54:45</t>
  </si>
  <si>
    <t>CBogdan</t>
  </si>
  <si>
    <t>Cristiana.Durac@manulifesecurities.ca</t>
  </si>
  <si>
    <t>Cristiana Durac</t>
  </si>
  <si>
    <t>CDurac</t>
  </si>
  <si>
    <t>crxtest@manulifesecurities.ca</t>
  </si>
  <si>
    <t>crxtestjp</t>
  </si>
  <si>
    <t>2017-08-04T11:47:18</t>
  </si>
  <si>
    <t>mfc.crxtest</t>
  </si>
  <si>
    <t>crxtestjp@manulifesecurities.ca</t>
  </si>
  <si>
    <t>2017-07-14T13:42:55</t>
  </si>
  <si>
    <t>mfc.crxtestjp</t>
  </si>
  <si>
    <t>crxtestjp2@manulifesecurities.ca</t>
  </si>
  <si>
    <t>crxtestjp2</t>
  </si>
  <si>
    <t>mfc.crxtestjp2</t>
  </si>
  <si>
    <t>Crystal.Leonard@manulifesecurities.ca</t>
  </si>
  <si>
    <t>Crystal Leonard</t>
  </si>
  <si>
    <t>2017-10-10T08:33:10</t>
  </si>
  <si>
    <t>mfc.crystal.leona</t>
  </si>
  <si>
    <t>Crystal.McLachlan@manulifesecurities.ca</t>
  </si>
  <si>
    <t>Crystal McLachlan</t>
  </si>
  <si>
    <t>CMcLachlan</t>
  </si>
  <si>
    <t>Crystal.Panasuik@manulifesecurities.ca</t>
  </si>
  <si>
    <t>Crystal Panasuik</t>
  </si>
  <si>
    <t>CPanasuik</t>
  </si>
  <si>
    <t>Crystal.Parkinson@manulifesecurities.ca</t>
  </si>
  <si>
    <t>Crystal Parkinson</t>
  </si>
  <si>
    <t>2017-10-12T09:35:53</t>
  </si>
  <si>
    <t>mfc.crystal.parki</t>
  </si>
  <si>
    <t>Crystal.Plouffe@manulifesecurities.ca</t>
  </si>
  <si>
    <t>Crystal Plouffe</t>
  </si>
  <si>
    <t>2017-08-21T16:51:20</t>
  </si>
  <si>
    <t>CPlouffe</t>
  </si>
  <si>
    <t>Crystal.Taylor@manulifesecurities.ca</t>
  </si>
  <si>
    <t>P. Crystal Taylor</t>
  </si>
  <si>
    <t>2017-10-06T13:53:06</t>
  </si>
  <si>
    <t>crtaylor</t>
  </si>
  <si>
    <t>Crystal.Yunick@manulifesecurities.ca</t>
  </si>
  <si>
    <t>Crystal Yunick</t>
  </si>
  <si>
    <t>2017-02-21T16:49:05</t>
  </si>
  <si>
    <t>mfc.crystal.yunic</t>
  </si>
  <si>
    <t>CSchoonderwoerd@manulifesecurities.ca</t>
  </si>
  <si>
    <t>Chris Schoonderwoerd</t>
  </si>
  <si>
    <t>skoondy</t>
  </si>
  <si>
    <t>ctx.1@manulifesecurities.ca</t>
  </si>
  <si>
    <t>ctx1</t>
  </si>
  <si>
    <t>ctx10@manulifesecurities.ca</t>
  </si>
  <si>
    <t>ctx10</t>
  </si>
  <si>
    <t>ctx2@manulifesecurities.ca</t>
  </si>
  <si>
    <t>ctx2</t>
  </si>
  <si>
    <t>ctx3@manulifesecurities.ca</t>
  </si>
  <si>
    <t>ctx3</t>
  </si>
  <si>
    <t>ctx4@manulifesecurities.ca</t>
  </si>
  <si>
    <t>ctx4</t>
  </si>
  <si>
    <t>ctx5@manulifesecurities.ca</t>
  </si>
  <si>
    <t>ctx5</t>
  </si>
  <si>
    <t>ctx6@manulifesecurities.ca</t>
  </si>
  <si>
    <t>ctx6</t>
  </si>
  <si>
    <t>Curtis.Ficociello@manulifesecurities.ca</t>
  </si>
  <si>
    <t>Curtis Ficociello</t>
  </si>
  <si>
    <t>2017-10-03T10:55:22</t>
  </si>
  <si>
    <t>CFicociello</t>
  </si>
  <si>
    <t>Curtis.Schafer@manulifesecurities.ca</t>
  </si>
  <si>
    <t>Curtis Schafer</t>
  </si>
  <si>
    <t>CSchafer</t>
  </si>
  <si>
    <t>Curtis.Zeghers@manulifesecurities.ca</t>
  </si>
  <si>
    <t>Curtis Zeghers</t>
  </si>
  <si>
    <t>2017-10-12T19:35:00</t>
  </si>
  <si>
    <t>czeghers</t>
  </si>
  <si>
    <t>CWatt@manulifesecurities.ca</t>
  </si>
  <si>
    <t>Cindy Watt  (CindyWatt)</t>
  </si>
  <si>
    <t>CindyWatt</t>
  </si>
  <si>
    <t>Cyndy.Stercho@manulifesecurities.ca</t>
  </si>
  <si>
    <t>Cyndy Stercho</t>
  </si>
  <si>
    <t>2017-10-12T10:07:59</t>
  </si>
  <si>
    <t>CStercho</t>
  </si>
  <si>
    <t>Cynthia.Boschmann@manulifesecurities.ca</t>
  </si>
  <si>
    <t>Cynthia Boschmann</t>
  </si>
  <si>
    <t>cboschmann</t>
  </si>
  <si>
    <t>Cynthia.Butler-duggal@manulifesecurities.ca</t>
  </si>
  <si>
    <t>Cynthia Butler-duggal</t>
  </si>
  <si>
    <t>2016-01-04T12:41:47</t>
  </si>
  <si>
    <t>cduggal</t>
  </si>
  <si>
    <t>Cynthia.Cox@manulifesecurities.ca</t>
  </si>
  <si>
    <t>Cynthia Cox</t>
  </si>
  <si>
    <t>mfc.cynthia.cox</t>
  </si>
  <si>
    <t>cynthia.lombardi@placementsmanuvie.ca</t>
  </si>
  <si>
    <t>Cynthia Lombardi</t>
  </si>
  <si>
    <t>2017-10-10T08:29:23</t>
  </si>
  <si>
    <t>mfc.cynthia.lomba</t>
  </si>
  <si>
    <t>Cynthia.Mariani@manulifesecurities.ca</t>
  </si>
  <si>
    <t>Cynthia Mariani</t>
  </si>
  <si>
    <t>cindymariani</t>
  </si>
  <si>
    <t>Cynthia.McGill@manulifesecurities.ca</t>
  </si>
  <si>
    <t>Cynthia McGill</t>
  </si>
  <si>
    <t>2017-10-16T09:30:18</t>
  </si>
  <si>
    <t>mfc.cynthia.mcgil</t>
  </si>
  <si>
    <t>Cynthia.Titford@manulifesecurities.ca</t>
  </si>
  <si>
    <t>CTitford</t>
  </si>
  <si>
    <t>ctitford</t>
  </si>
  <si>
    <t>Cypress.DeGuzman@manulifesecurities.ca</t>
  </si>
  <si>
    <t>Cypress DeGuzman</t>
  </si>
  <si>
    <t>CypressDeGuzman</t>
  </si>
  <si>
    <t>Czarina.Sanvictores@manulifesecurities.ca</t>
  </si>
  <si>
    <t>Czarina Sanvictores</t>
  </si>
  <si>
    <t>CSanvictores</t>
  </si>
  <si>
    <t>d.d'anjoupelletier@manulifesecurities.ca</t>
  </si>
  <si>
    <t>Dominic D'Anjou-Pelletier</t>
  </si>
  <si>
    <t>mfc.d.danjoupelle</t>
  </si>
  <si>
    <t>D.DePaolis-Bozzo@manulifesecurities.ca</t>
  </si>
  <si>
    <t>Denise De Paolis-Bozzo</t>
  </si>
  <si>
    <t>2017-10-10T09:41:15</t>
  </si>
  <si>
    <t>ddpbozzo</t>
  </si>
  <si>
    <t>D.Garofalo@manulifesecurities.ca</t>
  </si>
  <si>
    <t>Daniela Garofalo</t>
  </si>
  <si>
    <t>DanielaGarofalo</t>
  </si>
  <si>
    <t>D.Gatzke@manulifesecurities.ca</t>
  </si>
  <si>
    <t>Donna Gatzke</t>
  </si>
  <si>
    <t>2017-10-03T12:35:06</t>
  </si>
  <si>
    <t>mfc.d.gatzke</t>
  </si>
  <si>
    <t>D.Gralewicz@manulifesecurities.ca</t>
  </si>
  <si>
    <t>Desiree Gralewicz</t>
  </si>
  <si>
    <t>2015-03-23T09:32:33</t>
  </si>
  <si>
    <t>mfc.d.gralewicz</t>
  </si>
  <si>
    <t>D.Hosker@manulifesecurities.ca</t>
  </si>
  <si>
    <t>Daemond Hosker</t>
  </si>
  <si>
    <t>DHosker</t>
  </si>
  <si>
    <t>d.marchack-lee@manulifesecurities.ca</t>
  </si>
  <si>
    <t>Dorothy Marchack-Lee</t>
  </si>
  <si>
    <t>2015-02-24T11:20:56</t>
  </si>
  <si>
    <t>mfc.dorothy.march</t>
  </si>
  <si>
    <t>d.matte@manulifesecurities.ca</t>
  </si>
  <si>
    <t>Debra Matte</t>
  </si>
  <si>
    <t>2017-10-06T09:26:03</t>
  </si>
  <si>
    <t>mfc.d.matte</t>
  </si>
  <si>
    <t>d.meunier@manulifesecurities.ca</t>
  </si>
  <si>
    <t>Daphne Meunier</t>
  </si>
  <si>
    <t>2017-03-01T12:58:27</t>
  </si>
  <si>
    <t>mfc.d.meunier</t>
  </si>
  <si>
    <t>D.Talliss@manulifesecurities.ca</t>
  </si>
  <si>
    <t>Dawn Talliss</t>
  </si>
  <si>
    <t>2017-10-10T10:28:49</t>
  </si>
  <si>
    <t>DBourgon</t>
  </si>
  <si>
    <t>D.Tonnies-Violette@manulifesecurities.ca</t>
  </si>
  <si>
    <t>Debora Tonnies-violette</t>
  </si>
  <si>
    <t>2016-11-19T15:03:19</t>
  </si>
  <si>
    <t>debbitonnies</t>
  </si>
  <si>
    <t>Daemond.Hosker@manulifesecurities.ca</t>
  </si>
  <si>
    <t>Daemond Hosker (Disabled)</t>
  </si>
  <si>
    <t>dbhosker</t>
  </si>
  <si>
    <t>Dahlia.Clarke@manulifesecurities.ca</t>
  </si>
  <si>
    <t>Dahlia Clarke</t>
  </si>
  <si>
    <t>2017-10-10T09:10:45</t>
  </si>
  <si>
    <t>mfc.dahlia.clarke</t>
  </si>
  <si>
    <t>Dahlia.Holzscherer@manulifesecurities.ca</t>
  </si>
  <si>
    <t>Dahlia Holzscherer</t>
  </si>
  <si>
    <t>2017-10-10T08:59:02</t>
  </si>
  <si>
    <t>DHolzscherer</t>
  </si>
  <si>
    <t>Daisy.Dobson@manulifesecurities.ca</t>
  </si>
  <si>
    <t>Daisy Dobson</t>
  </si>
  <si>
    <t>daisyd</t>
  </si>
  <si>
    <t>daisy.hachem@manulifesecurities.ca</t>
  </si>
  <si>
    <t>Daisy Hachem</t>
  </si>
  <si>
    <t>mfc.daisy.hachem</t>
  </si>
  <si>
    <t>Daisy.Macaraeg@manulifesecurities.ca</t>
  </si>
  <si>
    <t>Daisy Macaraeg</t>
  </si>
  <si>
    <t>2017-10-06T11:14:14</t>
  </si>
  <si>
    <t>mfc.daisy.macarae</t>
  </si>
  <si>
    <t>Daisy.Martinez@manulifesecurities.ca</t>
  </si>
  <si>
    <t>Daisy Martinez</t>
  </si>
  <si>
    <t>dmartinez</t>
  </si>
  <si>
    <t>Dakota.Zaharichuk@manulifesecurities.ca</t>
  </si>
  <si>
    <t>Dakota Zaharichuk</t>
  </si>
  <si>
    <t>2017-10-03T13:28:14</t>
  </si>
  <si>
    <t>mfc.dakota.zahari</t>
  </si>
  <si>
    <t>Dale.Brettle@manulifesecurities.ca</t>
  </si>
  <si>
    <t>Dale Brettle</t>
  </si>
  <si>
    <t>2017-02-01T09:53:09</t>
  </si>
  <si>
    <t>dbrettle</t>
  </si>
  <si>
    <t>Dale.HorniakPollin@manulifesecurities.ca</t>
  </si>
  <si>
    <t>Dale Horniak Pollin</t>
  </si>
  <si>
    <t>dalehorniak</t>
  </si>
  <si>
    <t>Dale.Hrycaiko@manulifesecurities.ca</t>
  </si>
  <si>
    <t>Dale Hrycaiko</t>
  </si>
  <si>
    <t>2016-02-19T15:37:21</t>
  </si>
  <si>
    <t>DHrycaiko</t>
  </si>
  <si>
    <t>Dale.Morgan@manulifesecurities.ca</t>
  </si>
  <si>
    <t>Dale Morgan</t>
  </si>
  <si>
    <t>2017-10-06T12:13:16</t>
  </si>
  <si>
    <t>DMorgan</t>
  </si>
  <si>
    <t>Dale.Pilkey@manulifesecurities.ca</t>
  </si>
  <si>
    <t>Dale Pilkey</t>
  </si>
  <si>
    <t>DPilkey</t>
  </si>
  <si>
    <t>Dale.Quinn@manulifesecurities.ca</t>
  </si>
  <si>
    <t>Dale Quinn</t>
  </si>
  <si>
    <t>2017-10-12T02:47:25</t>
  </si>
  <si>
    <t>DQuinn</t>
  </si>
  <si>
    <t>Dalma.Postigo@manulifesecurities.ca</t>
  </si>
  <si>
    <t>Dalma Postigo</t>
  </si>
  <si>
    <t>mfc.dalma.postigo</t>
  </si>
  <si>
    <t>Damen.MacGillivray@manulifesecurities.ca</t>
  </si>
  <si>
    <t>Damen MacGillvray</t>
  </si>
  <si>
    <t>2016-10-05T19:53:33</t>
  </si>
  <si>
    <t>mfc.damen.macgill</t>
  </si>
  <si>
    <t>Dan.Allen@manulifesecurities.ca</t>
  </si>
  <si>
    <t>Daniel Allen</t>
  </si>
  <si>
    <t>2017-10-06T09:07:02</t>
  </si>
  <si>
    <t>danallen</t>
  </si>
  <si>
    <t>Dan.Burns@manulifesecurities.ca</t>
  </si>
  <si>
    <t>Dan �Burns</t>
  </si>
  <si>
    <t>DBurns</t>
  </si>
  <si>
    <t>Dan.Daigle@manulifesecurities.ca</t>
  </si>
  <si>
    <t>Dan Daigle</t>
  </si>
  <si>
    <t>2016-06-08T10:14:24</t>
  </si>
  <si>
    <t>mfc.dan.daigle</t>
  </si>
  <si>
    <t>Dan.MacLean@manulifesecurities.ca</t>
  </si>
  <si>
    <t>Dan MacLean</t>
  </si>
  <si>
    <t>DMacLean</t>
  </si>
  <si>
    <t>Dan.Maillet@manulifesecurities.ca</t>
  </si>
  <si>
    <t>Dan Maillet</t>
  </si>
  <si>
    <t>Maillet</t>
  </si>
  <si>
    <t>Dan.McKinnon@manulifesecurities.ca</t>
  </si>
  <si>
    <t>Dan McKinnon</t>
  </si>
  <si>
    <t>2017-10-06T19:29:53</t>
  </si>
  <si>
    <t>DMcKinnon</t>
  </si>
  <si>
    <t>Dan.Noel@manulifesecurities.ca</t>
  </si>
  <si>
    <t>Dan Noel</t>
  </si>
  <si>
    <t>DNoel</t>
  </si>
  <si>
    <t>Dan.Seaton@manulifesecurities.ca</t>
  </si>
  <si>
    <t>Dan Seaton</t>
  </si>
  <si>
    <t>2016-03-03T23:01:09</t>
  </si>
  <si>
    <t>dseaton</t>
  </si>
  <si>
    <t>Dan.Simunic@manulifesecurities.ca</t>
  </si>
  <si>
    <t>Dan Simunic</t>
  </si>
  <si>
    <t>DSimunic</t>
  </si>
  <si>
    <t>Dana.Cress@manulifesecurities.ca</t>
  </si>
  <si>
    <t>DCress</t>
  </si>
  <si>
    <t>Dana.Dick@manulifesecurities.ca</t>
  </si>
  <si>
    <t>Dana Dick</t>
  </si>
  <si>
    <t>dpeters</t>
  </si>
  <si>
    <t>Dana.Duke@manulifesecurities.ca</t>
  </si>
  <si>
    <t>Dana Duke</t>
  </si>
  <si>
    <t>2016-12-28T10:49:38</t>
  </si>
  <si>
    <t>mfc.dana.duke</t>
  </si>
  <si>
    <t>Dana.Garden@manulifesecurities.ca</t>
  </si>
  <si>
    <t>Dana  Garden</t>
  </si>
  <si>
    <t>2017-10-16T08:29:20</t>
  </si>
  <si>
    <t>DGarden</t>
  </si>
  <si>
    <t>Dana.Harrison@manulifesecurities.ca</t>
  </si>
  <si>
    <t>Dana Harrison</t>
  </si>
  <si>
    <t>daharris</t>
  </si>
  <si>
    <t>Dana.Russell@manulifesecurities.ca</t>
  </si>
  <si>
    <t>Dana Russell</t>
  </si>
  <si>
    <t>2017-09-25T11:37:18</t>
  </si>
  <si>
    <t>DRussell</t>
  </si>
  <si>
    <t>Dana.Scott@manulifesecurities.ca</t>
  </si>
  <si>
    <t>Dana Scott</t>
  </si>
  <si>
    <t>2016-12-28T10:56:12</t>
  </si>
  <si>
    <t>DMScott</t>
  </si>
  <si>
    <t>Dana.Seymour@manulifesecurities.ca</t>
  </si>
  <si>
    <t>Dana Seymour</t>
  </si>
  <si>
    <t>dseymour</t>
  </si>
  <si>
    <t>Dane.Hatton@manulifesecurities.ca</t>
  </si>
  <si>
    <t>Dane Hatton</t>
  </si>
  <si>
    <t>2017-10-06T09:39:32</t>
  </si>
  <si>
    <t>DHatton</t>
  </si>
  <si>
    <t>Dani.Shiekh@manulifesecurities.ca</t>
  </si>
  <si>
    <t>Dani Shiekh</t>
  </si>
  <si>
    <t>2017-10-12T16:46:35</t>
  </si>
  <si>
    <t>mfc.dani.shiekh</t>
  </si>
  <si>
    <t>Daniel.Anunciacao@manulifesecurities.ca</t>
  </si>
  <si>
    <t>Daniel Anunciacao</t>
  </si>
  <si>
    <t>2017-08-04T15:34:05</t>
  </si>
  <si>
    <t>mfc.daniel.anunci</t>
  </si>
  <si>
    <t>daniel.audette@manulifesecurities.ca</t>
  </si>
  <si>
    <t>Daniel Audette</t>
  </si>
  <si>
    <t>2016-02-17T10:15:26</t>
  </si>
  <si>
    <t>mfc.daniel.audett</t>
  </si>
  <si>
    <t>Daniel.Barz@manulifesecurities.ca</t>
  </si>
  <si>
    <t>Daniel Barz</t>
  </si>
  <si>
    <t>2017-10-12T11:30:44</t>
  </si>
  <si>
    <t>danbarz</t>
  </si>
  <si>
    <t>Daniel.Blais@manulifesecurities.ca</t>
  </si>
  <si>
    <t>Daniel Blais</t>
  </si>
  <si>
    <t>dblais</t>
  </si>
  <si>
    <t>Daniel.Boyd@manulifesecurities.ca</t>
  </si>
  <si>
    <t>Dan Boyd</t>
  </si>
  <si>
    <t>2017-10-07T16:02:56</t>
  </si>
  <si>
    <t>danielboyd</t>
  </si>
  <si>
    <t>daniel.cholette@manulifesecurities.ca</t>
  </si>
  <si>
    <t>Daniel Cholette</t>
  </si>
  <si>
    <t>2016-08-02T09:28:57</t>
  </si>
  <si>
    <t>mfc.daniel.cholet</t>
  </si>
  <si>
    <t>Daniel.Cibula@manulifesecurities.ca</t>
  </si>
  <si>
    <t>Daniel Cibula</t>
  </si>
  <si>
    <t>2017-10-16T02:26:11</t>
  </si>
  <si>
    <t>mfc.daniel.cibula</t>
  </si>
  <si>
    <t>Daniel.Copnick@manulifesecurities.ca</t>
  </si>
  <si>
    <t>Daniel Copnick</t>
  </si>
  <si>
    <t>2017-10-14T21:31:09</t>
  </si>
  <si>
    <t>DCopnick</t>
  </si>
  <si>
    <t>Daniel.Dacosta@manulifesecurities.ca</t>
  </si>
  <si>
    <t>Daniel Dacosta</t>
  </si>
  <si>
    <t>2017-10-12T09:47:49</t>
  </si>
  <si>
    <t>mfc.daniel.dacost</t>
  </si>
  <si>
    <t>Daniel.Gardiner@manulifesecurities.ca</t>
  </si>
  <si>
    <t>Dan Gardiner</t>
  </si>
  <si>
    <t>2017-10-16T09:29:50</t>
  </si>
  <si>
    <t>DGardiner</t>
  </si>
  <si>
    <t>Daniel.Greer@manulifesecurities.ca</t>
  </si>
  <si>
    <t>Daniel Greer</t>
  </si>
  <si>
    <t>2017-10-08T01:28:25</t>
  </si>
  <si>
    <t>DGreer</t>
  </si>
  <si>
    <t>Daniel.Hryniewicz@manulifesecurities.ca</t>
  </si>
  <si>
    <t>Daniel Hryniewicz</t>
  </si>
  <si>
    <t>2017-09-26T10:03:28</t>
  </si>
  <si>
    <t>mfc.daniel.hrynie</t>
  </si>
  <si>
    <t>Daniel.Mahler@manulifesecurities.ca</t>
  </si>
  <si>
    <t>Daniel Mahler</t>
  </si>
  <si>
    <t>2017-10-07T23:05:28</t>
  </si>
  <si>
    <t>DMahler</t>
  </si>
  <si>
    <t>Daniel.Mammone@manulifesecurities.ca</t>
  </si>
  <si>
    <t>Daniel Mammone</t>
  </si>
  <si>
    <t>DMammone</t>
  </si>
  <si>
    <t>Daniel.Matchim@manulifesecurities.ca</t>
  </si>
  <si>
    <t>Dan Matchim</t>
  </si>
  <si>
    <t>DMatchim</t>
  </si>
  <si>
    <t>Daniel.Morton@manulifesecurities.ca</t>
  </si>
  <si>
    <t>DMorton</t>
  </si>
  <si>
    <t>Daniel.Moyaert@manulifesecurities.ca</t>
  </si>
  <si>
    <t>Daniel Moyaert</t>
  </si>
  <si>
    <t>dmoyaert</t>
  </si>
  <si>
    <t>Daniel.Perrier@manulifesecurities.ca</t>
  </si>
  <si>
    <t>Daniel Perrier</t>
  </si>
  <si>
    <t>2016-05-09T14:38:18</t>
  </si>
  <si>
    <t>mfc.daniel.perrie</t>
  </si>
  <si>
    <t>Daniel.Poole@manulifesecurities.ca</t>
  </si>
  <si>
    <t>Daniel Poole</t>
  </si>
  <si>
    <t>mfc.danieloole</t>
  </si>
  <si>
    <t>Daniel.Provost@manulifesecurities.ca</t>
  </si>
  <si>
    <t>Daniel Provost</t>
  </si>
  <si>
    <t>2016-12-28T13:52:44</t>
  </si>
  <si>
    <t>mfc.daniel.provos</t>
  </si>
  <si>
    <t>Daniel.Purdy@manulifesecurities.ca</t>
  </si>
  <si>
    <t>Daniel Purdy</t>
  </si>
  <si>
    <t>2015-01-20T16:17:35</t>
  </si>
  <si>
    <t>danpurdy</t>
  </si>
  <si>
    <t>Daniel.Rehmat@manulifesecurities.ca</t>
  </si>
  <si>
    <t>Daniel Rehmat</t>
  </si>
  <si>
    <t>2017-10-10T15:10:12</t>
  </si>
  <si>
    <t>drehmat</t>
  </si>
  <si>
    <t>Daniel.Rosenberg@manulifesecurities.ca</t>
  </si>
  <si>
    <t>Daniel Rosenberg</t>
  </si>
  <si>
    <t>DRosenberg</t>
  </si>
  <si>
    <t>Daniel.Skinner@manulifesecurities.ca</t>
  </si>
  <si>
    <t>Dan Skinner</t>
  </si>
  <si>
    <t>2017-10-14T06:47:02</t>
  </si>
  <si>
    <t>DSkinner</t>
  </si>
  <si>
    <t>Daniel.Tolmie@manulifesecurities.ca</t>
  </si>
  <si>
    <t>Daniel Tolmie</t>
  </si>
  <si>
    <t>2017-10-02T16:12:50</t>
  </si>
  <si>
    <t>ddtolmie</t>
  </si>
  <si>
    <t>Daniel.Tosello@manulifesecurities.ca</t>
  </si>
  <si>
    <t>Daniel Tosello</t>
  </si>
  <si>
    <t>dtosello</t>
  </si>
  <si>
    <t>Daniel.Tran@manulifesecurities.ca</t>
  </si>
  <si>
    <t>Daniel Tran</t>
  </si>
  <si>
    <t>DTran</t>
  </si>
  <si>
    <t>Daniel.Varanelli@manulifesecurities.ca</t>
  </si>
  <si>
    <t>Daniel Varanelli</t>
  </si>
  <si>
    <t>2017-10-12T16:32:18</t>
  </si>
  <si>
    <t>DVaranelli</t>
  </si>
  <si>
    <t>Daniel.Watkinson@manulifesecurities.ca</t>
  </si>
  <si>
    <t>Daniel Watkinson</t>
  </si>
  <si>
    <t>DWatkinson</t>
  </si>
  <si>
    <t>daniel.zanettin@manulifesecurities.ca</t>
  </si>
  <si>
    <t>Daniel Zanettin</t>
  </si>
  <si>
    <t>2016-06-03T13:45:27</t>
  </si>
  <si>
    <t>mfc.daniel.zanett</t>
  </si>
  <si>
    <t>Daniela.Pleter@manulifesecurities.ca</t>
  </si>
  <si>
    <t>DPleter</t>
  </si>
  <si>
    <t>Daniela.Staley@manulifesecurities.ca</t>
  </si>
  <si>
    <t>Daniela Staley</t>
  </si>
  <si>
    <t>dstaley</t>
  </si>
  <si>
    <t>Daniela.Zivkovic@manulifesecurities.ca</t>
  </si>
  <si>
    <t>DZivkovic</t>
  </si>
  <si>
    <t>Daniella.Rusyn@manulifesecurities.ca</t>
  </si>
  <si>
    <t>Daniella Rusyn</t>
  </si>
  <si>
    <t>2017-06-19T11:30:34</t>
  </si>
  <si>
    <t>DRusyn</t>
  </si>
  <si>
    <t>Danielle.Appelman@manulifesecurities.ca</t>
  </si>
  <si>
    <t>Danielle Appelman</t>
  </si>
  <si>
    <t>DAppelman</t>
  </si>
  <si>
    <t>Danielle.Beaudoin@manulifesecurities.ca</t>
  </si>
  <si>
    <t>Danielle Beaudoin</t>
  </si>
  <si>
    <t>2015-02-17T16:30:41</t>
  </si>
  <si>
    <t>daitken</t>
  </si>
  <si>
    <t>Danielle.Black@manulifesecurities.ca</t>
  </si>
  <si>
    <t>Danielle Black</t>
  </si>
  <si>
    <t>2016-07-21T09:50:48</t>
  </si>
  <si>
    <t>mfc.danielle.blac</t>
  </si>
  <si>
    <t>Danielle.Brandner@manulifesecurities.ca</t>
  </si>
  <si>
    <t>Danielle Brandner</t>
  </si>
  <si>
    <t>brad5661</t>
  </si>
  <si>
    <t>Danielle.Dawes@manulifesecurities.ca</t>
  </si>
  <si>
    <t>Danielle Dawes</t>
  </si>
  <si>
    <t>2017-04-13T15:19:25</t>
  </si>
  <si>
    <t>mfc.danielle.dawe</t>
  </si>
  <si>
    <t>Danielle.dibenedetto@manulifesecurities.ca</t>
  </si>
  <si>
    <t>Danielle Di Benedetto</t>
  </si>
  <si>
    <t>2017-10-12T09:24:55</t>
  </si>
  <si>
    <t>mfc.danielle.dibe</t>
  </si>
  <si>
    <t>danielle.middagh@manulifesecurities.ca</t>
  </si>
  <si>
    <t>Danielle Middagh</t>
  </si>
  <si>
    <t>2017-10-10T10:42:23</t>
  </si>
  <si>
    <t>mfc.danielle.midd</t>
  </si>
  <si>
    <t>Danielle.Roberge@manulifesecurities.ca</t>
  </si>
  <si>
    <t>Danielle Roberge</t>
  </si>
  <si>
    <t>2017-09-12T13:42:30</t>
  </si>
  <si>
    <t>mfc.danielle.robe</t>
  </si>
  <si>
    <t>Danielle.Zills@manulifesecurities.ca</t>
  </si>
  <si>
    <t>Danielle Zills</t>
  </si>
  <si>
    <t>2017-08-28T11:28:53</t>
  </si>
  <si>
    <t>mfc.danielle.zill</t>
  </si>
  <si>
    <t>Danny.Cavanagh@manulifesecurities.ca</t>
  </si>
  <si>
    <t>Danny Cavanagh</t>
  </si>
  <si>
    <t>DCavanagh</t>
  </si>
  <si>
    <t>Danny.Chung@manulifesecurities.ca</t>
  </si>
  <si>
    <t>Danny Chung</t>
  </si>
  <si>
    <t>2017-10-08T22:16:44</t>
  </si>
  <si>
    <t>mfc.danny.chung</t>
  </si>
  <si>
    <t>Danny.Devin@manulifesecurities.ca</t>
  </si>
  <si>
    <t>Danny Devin</t>
  </si>
  <si>
    <t>devinda</t>
  </si>
  <si>
    <t>danny.nasser@manulifesecurities.ca</t>
  </si>
  <si>
    <t>Danny Nasser</t>
  </si>
  <si>
    <t>mfc.danny.nasser</t>
  </si>
  <si>
    <t>Danyka.Jurgens@manulifesecurities.ca</t>
  </si>
  <si>
    <t>Danyka Jurgens</t>
  </si>
  <si>
    <t>2016-09-12T01:36:41</t>
  </si>
  <si>
    <t>mfc.danyka.jurgen</t>
  </si>
  <si>
    <t>Daphne.Arsenault@manulifesecurities.ca</t>
  </si>
  <si>
    <t>Daphne Arsenault</t>
  </si>
  <si>
    <t>DArsenault</t>
  </si>
  <si>
    <t>Daphne.Meunier@manulifesecurities.ca</t>
  </si>
  <si>
    <t>2016-01-11T13:55:18</t>
  </si>
  <si>
    <t>DMeunier</t>
  </si>
  <si>
    <t>darcey.sorrell@manulifesecurities.ca</t>
  </si>
  <si>
    <t>Darcey Sorrell</t>
  </si>
  <si>
    <t>2017-10-05T09:12:27</t>
  </si>
  <si>
    <t>mfc.darcey.sorrel</t>
  </si>
  <si>
    <t>Darcie.Buxton@manulifesecurities.ca</t>
  </si>
  <si>
    <t>Darcie Buxton</t>
  </si>
  <si>
    <t>mfc.darcie.buxton</t>
  </si>
  <si>
    <t>Darcy.Leclaire@manulifesecurities.ca</t>
  </si>
  <si>
    <t>Darcy Leclaire</t>
  </si>
  <si>
    <t>leclaire</t>
  </si>
  <si>
    <t>Darcy.Webb@manulifesecurities.ca</t>
  </si>
  <si>
    <t>Darcy Webb</t>
  </si>
  <si>
    <t>2017-10-04T12:38:50</t>
  </si>
  <si>
    <t>webbdarc</t>
  </si>
  <si>
    <t>Daren.Que@manulifesecurities.ca</t>
  </si>
  <si>
    <t>Daren Que</t>
  </si>
  <si>
    <t>DQue</t>
  </si>
  <si>
    <t>Darius.Muica@manulifesecurities.ca</t>
  </si>
  <si>
    <t>Darius Muica</t>
  </si>
  <si>
    <t>2017-10-12T10:28:54</t>
  </si>
  <si>
    <t>DMuica</t>
  </si>
  <si>
    <t>Darla.Diotte@manulifesecurities.ca</t>
  </si>
  <si>
    <t>Darla Diotte</t>
  </si>
  <si>
    <t>2016-12-22T09:19:26</t>
  </si>
  <si>
    <t>DDiotte</t>
  </si>
  <si>
    <t>Darla.Enns@manulifesecurities.ca</t>
  </si>
  <si>
    <t>Darla Enns</t>
  </si>
  <si>
    <t>2017-07-10T18:08:45</t>
  </si>
  <si>
    <t>mfc.darla.enns</t>
  </si>
  <si>
    <t>Darlene.Brunet@manulifesecurities.ca</t>
  </si>
  <si>
    <t>Darlene Brunet</t>
  </si>
  <si>
    <t>DBrunet</t>
  </si>
  <si>
    <t>Darlene.Collins@manulifesecurities.ca</t>
  </si>
  <si>
    <t>Darlene Collins</t>
  </si>
  <si>
    <t>darlenecollins</t>
  </si>
  <si>
    <t>Darlene.Letun@manulifesecurities.ca</t>
  </si>
  <si>
    <t>Darlene Letun</t>
  </si>
  <si>
    <t>mfc.darlene.letun</t>
  </si>
  <si>
    <t>Darlene.McDonald@manulifesecurities.ca</t>
  </si>
  <si>
    <t>Darlene McDonald</t>
  </si>
  <si>
    <t>2016-02-01T09:54:19</t>
  </si>
  <si>
    <t>DMcdonald</t>
  </si>
  <si>
    <t>Darlene.Piche@manulifesecurities.ca</t>
  </si>
  <si>
    <t>Darlene Piche</t>
  </si>
  <si>
    <t>darlenep</t>
  </si>
  <si>
    <t>Darlene.Rodrigues@manulifesecurities.ca</t>
  </si>
  <si>
    <t>Darlene Rodrigues</t>
  </si>
  <si>
    <t>DRodrigues</t>
  </si>
  <si>
    <t>Darlene.Shelton@manulifesecurities.ca</t>
  </si>
  <si>
    <t>Darlene Shelton</t>
  </si>
  <si>
    <t>dshelton</t>
  </si>
  <si>
    <t>Darlene.Sorensen@manulifesecurities.ca</t>
  </si>
  <si>
    <t>Darlene Sorensen</t>
  </si>
  <si>
    <t>dsorensen</t>
  </si>
  <si>
    <t>Darnell.Howell@manulifesecurities.ca</t>
  </si>
  <si>
    <t>Darnell Howell</t>
  </si>
  <si>
    <t>2015-09-14T16:03:07</t>
  </si>
  <si>
    <t>DHowell</t>
  </si>
  <si>
    <t>Darrel.Sim@manulifesecurities.ca</t>
  </si>
  <si>
    <t>Darrel Sim</t>
  </si>
  <si>
    <t>2017-10-05T14:32:36</t>
  </si>
  <si>
    <t>DSim</t>
  </si>
  <si>
    <t>Darrell.Fenner@manulifesecurities.ca</t>
  </si>
  <si>
    <t>Darrell Fenner</t>
  </si>
  <si>
    <t>2017-10-12T13:19:25</t>
  </si>
  <si>
    <t>DFenner</t>
  </si>
  <si>
    <t>Darrell.Sampson@manulifesecurities.ca</t>
  </si>
  <si>
    <t>Darrell Sampson</t>
  </si>
  <si>
    <t>djjsampson</t>
  </si>
  <si>
    <t>Darren.Alexander@manulifesecurities.ca</t>
  </si>
  <si>
    <t>Darren Alexander</t>
  </si>
  <si>
    <t>2017-10-08T17:20:34</t>
  </si>
  <si>
    <t>mfc.darren.alexan</t>
  </si>
  <si>
    <t>Darren.Bye@manulifesecurities.ca</t>
  </si>
  <si>
    <t>Darren Bye</t>
  </si>
  <si>
    <t>2017-10-15T18:28:26</t>
  </si>
  <si>
    <t>darrenbye</t>
  </si>
  <si>
    <t>Darren.Fraser@manulifesecurities.ca</t>
  </si>
  <si>
    <t>Darren Fraser</t>
  </si>
  <si>
    <t>2017-10-13T14:37:38</t>
  </si>
  <si>
    <t>DFraser</t>
  </si>
  <si>
    <t>Darren.Lorenz@manulifesecurities.ca</t>
  </si>
  <si>
    <t>Darren Lorenz</t>
  </si>
  <si>
    <t>2017-10-07T09:01:54</t>
  </si>
  <si>
    <t>DLorenz</t>
  </si>
  <si>
    <t>Darren.Marsh@manulifesecurities.ca</t>
  </si>
  <si>
    <t>Darren Marsh</t>
  </si>
  <si>
    <t>2017-10-10T09:12:58</t>
  </si>
  <si>
    <t>mfc.darren.marsh</t>
  </si>
  <si>
    <t>Darren.Monteith@manulifesecurities.ca</t>
  </si>
  <si>
    <t>Darren Monteith</t>
  </si>
  <si>
    <t>DMonteith</t>
  </si>
  <si>
    <t>Darren.Weber@manulifesecurities.ca</t>
  </si>
  <si>
    <t>Darren Weber</t>
  </si>
  <si>
    <t>2017-09-22T12:34:38</t>
  </si>
  <si>
    <t>DWeber</t>
  </si>
  <si>
    <t>darren.webster@manulifesecurities.ca</t>
  </si>
  <si>
    <t>Darren J. Webster</t>
  </si>
  <si>
    <t>2017-10-08T00:03:32</t>
  </si>
  <si>
    <t>dwebster</t>
  </si>
  <si>
    <t>Darril.Beninger@manulifesecurities.ca</t>
  </si>
  <si>
    <t>Darril Beninger</t>
  </si>
  <si>
    <t>2017-10-12T11:51:24</t>
  </si>
  <si>
    <t>beninda</t>
  </si>
  <si>
    <t>Darrin.Denomme@manulifesecurities.ca</t>
  </si>
  <si>
    <t>Darrin Denomme</t>
  </si>
  <si>
    <t>ddenomm</t>
  </si>
  <si>
    <t>Darrin.Wathier@manulifesecurities.ca</t>
  </si>
  <si>
    <t>Darrin Wathier</t>
  </si>
  <si>
    <t>DWathier</t>
  </si>
  <si>
    <t>Darryl.Parsons@manulifesecurities.ca</t>
  </si>
  <si>
    <t>Darryl Parsons</t>
  </si>
  <si>
    <t>2017-10-13T16:08:58</t>
  </si>
  <si>
    <t>darrylparsons</t>
  </si>
  <si>
    <t>Darryl.Stephenson@manulifesecurities.ca</t>
  </si>
  <si>
    <t>Darryl Stephenson</t>
  </si>
  <si>
    <t>2017-10-16T09:28:22</t>
  </si>
  <si>
    <t>DStephenson</t>
  </si>
  <si>
    <t>Daryl.Martz@manulifesecurities.ca</t>
  </si>
  <si>
    <t>Daryl Martz</t>
  </si>
  <si>
    <t>2017-10-15T12:27:27</t>
  </si>
  <si>
    <t>DMartz</t>
  </si>
  <si>
    <t>Daryl.Milleker@manulifesecurities.ca</t>
  </si>
  <si>
    <t>Daryl Milleker</t>
  </si>
  <si>
    <t>2017-10-10T11:14:56</t>
  </si>
  <si>
    <t>DMilleker</t>
  </si>
  <si>
    <t>Daryl.Sader@manulifesecurities.ca</t>
  </si>
  <si>
    <t>Daryl Sader</t>
  </si>
  <si>
    <t>2017-10-10T19:25:32</t>
  </si>
  <si>
    <t>saderfin</t>
  </si>
  <si>
    <t>Daryll.Mascarenas@manulifesecurities.ca</t>
  </si>
  <si>
    <t>Daryll Mascarenas</t>
  </si>
  <si>
    <t>DMascarenas</t>
  </si>
  <si>
    <t>Dashonda.Vest@manulifesecurities.ca</t>
  </si>
  <si>
    <t>Dashonda Vest</t>
  </si>
  <si>
    <t>DVest</t>
  </si>
  <si>
    <t>DataIntegrity@manulifesecurities.ca</t>
  </si>
  <si>
    <t>zz-Data Integrity</t>
  </si>
  <si>
    <t>DataIntegrity</t>
  </si>
  <si>
    <t>Dataphile@manulifesecurities.ca</t>
  </si>
  <si>
    <t>Dataphile (Head Office Use Only)</t>
  </si>
  <si>
    <t>Dataphile</t>
  </si>
  <si>
    <t>DataphileInstallationTeam@manulifesecurities.ca</t>
  </si>
  <si>
    <t>Dataphile Installation Team</t>
  </si>
  <si>
    <t>DataphileInstallatio</t>
  </si>
  <si>
    <t>Dave.Anderson@manulifesecurities.ca</t>
  </si>
  <si>
    <t>David Anderson</t>
  </si>
  <si>
    <t>2017-09-05T17:47:00</t>
  </si>
  <si>
    <t>DAnderson</t>
  </si>
  <si>
    <t>Dave.Colter@manulifesecurities.ca</t>
  </si>
  <si>
    <t>Dave Colter</t>
  </si>
  <si>
    <t>2017-10-07T12:14:13</t>
  </si>
  <si>
    <t>DColter</t>
  </si>
  <si>
    <t>Dave.Gradidge@manulifesecurities.ca</t>
  </si>
  <si>
    <t>David Gradidge</t>
  </si>
  <si>
    <t>2017-10-07T20:32:49</t>
  </si>
  <si>
    <t>DGradidge</t>
  </si>
  <si>
    <t>Dave.Hulshof@manulifesecurities.ca</t>
  </si>
  <si>
    <t>Dave Hulshof</t>
  </si>
  <si>
    <t>DHulshof</t>
  </si>
  <si>
    <t>Dave.Kudsia@manulifesecurities.ca</t>
  </si>
  <si>
    <t>Dave Kudsia</t>
  </si>
  <si>
    <t>2017-10-06T10:35:57</t>
  </si>
  <si>
    <t>devkudsia</t>
  </si>
  <si>
    <t>Dave.Wiitala@manulifesecurities.ca</t>
  </si>
  <si>
    <t>Dave Wiitala</t>
  </si>
  <si>
    <t>DWiitala</t>
  </si>
  <si>
    <t>David.Andrews@manulifesecurities.ca</t>
  </si>
  <si>
    <t>David Andrews</t>
  </si>
  <si>
    <t>2017-10-16T09:56:38</t>
  </si>
  <si>
    <t>andrdav</t>
  </si>
  <si>
    <t>David.Archer@manulifesecurities.ca</t>
  </si>
  <si>
    <t>David Archer</t>
  </si>
  <si>
    <t>2017-10-07T19:48:24</t>
  </si>
  <si>
    <t>darcher</t>
  </si>
  <si>
    <t>David.Armstrong@manulifesecurities.ca</t>
  </si>
  <si>
    <t>David Armstrong</t>
  </si>
  <si>
    <t>2017-10-15T16:26:23</t>
  </si>
  <si>
    <t>mfc.david.armstro</t>
  </si>
  <si>
    <t>David.Arthurs@manulifesecurities.ca</t>
  </si>
  <si>
    <t>David Arthurs</t>
  </si>
  <si>
    <t>2017-10-10T12:06:42</t>
  </si>
  <si>
    <t>arthurs</t>
  </si>
  <si>
    <t>David.Auger@manulifesecurities.ca</t>
  </si>
  <si>
    <t>David Auger</t>
  </si>
  <si>
    <t>DAuger</t>
  </si>
  <si>
    <t>David.Banks@manulifesecurities.ca</t>
  </si>
  <si>
    <t>David Banks</t>
  </si>
  <si>
    <t>djbanks</t>
  </si>
  <si>
    <t>David.Boyce@manulifesecurities.ca</t>
  </si>
  <si>
    <t>David Boyce</t>
  </si>
  <si>
    <t>2017-10-05T15:30:28</t>
  </si>
  <si>
    <t>mfc.david.boyce</t>
  </si>
  <si>
    <t>David.Bradshaw@manulifesecurities.ca</t>
  </si>
  <si>
    <t>zz Manulife - David Bradshaw</t>
  </si>
  <si>
    <t>dbradshaw</t>
  </si>
  <si>
    <t>David.Brewer@manulifesecurities.ca</t>
  </si>
  <si>
    <t>David Brewer</t>
  </si>
  <si>
    <t>DBrewer</t>
  </si>
  <si>
    <t>David.Brooks@manulifesecurities.ca</t>
  </si>
  <si>
    <t>David Brooks</t>
  </si>
  <si>
    <t>dbrooks</t>
  </si>
  <si>
    <t>David.Caston@manulifesecurities.ca</t>
  </si>
  <si>
    <t>David Caston</t>
  </si>
  <si>
    <t>2017-10-12T10:14:37</t>
  </si>
  <si>
    <t>dcaston</t>
  </si>
  <si>
    <t>David.Christie@manulifesecurities.ca</t>
  </si>
  <si>
    <t>David Christie</t>
  </si>
  <si>
    <t>chrisda</t>
  </si>
  <si>
    <t>David.DeBartolo@manulifesecurities.ca</t>
  </si>
  <si>
    <t>David DeBartolo</t>
  </si>
  <si>
    <t>2017-10-14T03:55:24</t>
  </si>
  <si>
    <t>mfc.david.debarto</t>
  </si>
  <si>
    <t>David.Deckelbaum@manulifesecurities.ca</t>
  </si>
  <si>
    <t>David Deckelbaum</t>
  </si>
  <si>
    <t>dadeckel</t>
  </si>
  <si>
    <t>David.Denroche@manulifesecurities.ca</t>
  </si>
  <si>
    <t>David (Buzz) Denroche</t>
  </si>
  <si>
    <t>2017-10-10T11:37:56</t>
  </si>
  <si>
    <t>DDenroche</t>
  </si>
  <si>
    <t>David.Duff@manulifesecurities.ca</t>
  </si>
  <si>
    <t>David Duff</t>
  </si>
  <si>
    <t>2017-10-10T08:39:56</t>
  </si>
  <si>
    <t>daduff</t>
  </si>
  <si>
    <t>David.Dutton@manulifesecurities.ca</t>
  </si>
  <si>
    <t>David Dutton</t>
  </si>
  <si>
    <t>2017-09-14T11:11:32</t>
  </si>
  <si>
    <t>DDutton</t>
  </si>
  <si>
    <t>David.Edwards@manulifesecurities.ca</t>
  </si>
  <si>
    <t>David Edwards</t>
  </si>
  <si>
    <t>2014-10-21T13:53:20</t>
  </si>
  <si>
    <t>dfedwards</t>
  </si>
  <si>
    <t>David.Gorveatte@manulifesecurities.ca</t>
  </si>
  <si>
    <t>David Gorveatte</t>
  </si>
  <si>
    <t>DGorveatte</t>
  </si>
  <si>
    <t>David.Grannary@manulifesecurities.ca</t>
  </si>
  <si>
    <t>David Grannary</t>
  </si>
  <si>
    <t>DGrannary</t>
  </si>
  <si>
    <t>David.Groll@manulifesecurities.ca</t>
  </si>
  <si>
    <t>David Groll</t>
  </si>
  <si>
    <t>2017-10-10T08:39:13</t>
  </si>
  <si>
    <t>dgroll</t>
  </si>
  <si>
    <t>David.Harrison@manulifesecurities.ca</t>
  </si>
  <si>
    <t>David Harrison</t>
  </si>
  <si>
    <t>2017-10-13T05:18:49</t>
  </si>
  <si>
    <t>DHarrison</t>
  </si>
  <si>
    <t>David.Hayward@manulifesecurities.ca</t>
  </si>
  <si>
    <t>David Hayward</t>
  </si>
  <si>
    <t>2016-05-02T12:16:04</t>
  </si>
  <si>
    <t>DHayward</t>
  </si>
  <si>
    <t>David.Higdon@manulifesecurities.ca</t>
  </si>
  <si>
    <t>David Higdon</t>
  </si>
  <si>
    <t>DHigdon</t>
  </si>
  <si>
    <t>David.Hilton@manulifesecurities.ca</t>
  </si>
  <si>
    <t>David Hilton</t>
  </si>
  <si>
    <t>2015-08-20T20:05:27</t>
  </si>
  <si>
    <t>DHilton</t>
  </si>
  <si>
    <t>David.Hwang@manulifesecurities.ca</t>
  </si>
  <si>
    <t>David Hwang</t>
  </si>
  <si>
    <t>2016-06-13T22:25:28</t>
  </si>
  <si>
    <t>mfc.david.hwang</t>
  </si>
  <si>
    <t>David.Izlakar@manulifesecurities.ca</t>
  </si>
  <si>
    <t>David Izlakar</t>
  </si>
  <si>
    <t>2017-10-15T16:43:08</t>
  </si>
  <si>
    <t>dizlakar</t>
  </si>
  <si>
    <t>David.Johnson@manulifesecurities.ca</t>
  </si>
  <si>
    <t>David Johnson (Advisor)</t>
  </si>
  <si>
    <t>2017-10-13T12:47:03</t>
  </si>
  <si>
    <t>drjohnson</t>
  </si>
  <si>
    <t>David.Kat@manulifesecurities.ca</t>
  </si>
  <si>
    <t>David Kat</t>
  </si>
  <si>
    <t>2014-12-09T13:41:38</t>
  </si>
  <si>
    <t>davkat</t>
  </si>
  <si>
    <t>David.Kidon@manulifesecurities.ca</t>
  </si>
  <si>
    <t>David Kidon</t>
  </si>
  <si>
    <t>DKidon</t>
  </si>
  <si>
    <t>David.Kirkup@manulifesecurities.ca</t>
  </si>
  <si>
    <t>David Kirkup</t>
  </si>
  <si>
    <t>dkirkup</t>
  </si>
  <si>
    <t>David.Kraemer@manulifesecurities.ca</t>
  </si>
  <si>
    <t>David Kraemer</t>
  </si>
  <si>
    <t>2017-10-10T10:20:55</t>
  </si>
  <si>
    <t>DKraemer</t>
  </si>
  <si>
    <t>David.Lee@manulifesecurities.ca</t>
  </si>
  <si>
    <t>David Lee</t>
  </si>
  <si>
    <t>2017-10-16T03:37:35</t>
  </si>
  <si>
    <t>DLee</t>
  </si>
  <si>
    <t>David.Leman@manulifesecurities.ca</t>
  </si>
  <si>
    <t>David Leman</t>
  </si>
  <si>
    <t>2017-10-02T13:08:14</t>
  </si>
  <si>
    <t>DLeman</t>
  </si>
  <si>
    <t>David.Limoges@manulifesecurities.ca</t>
  </si>
  <si>
    <t>David Limoges</t>
  </si>
  <si>
    <t>2017-06-01T13:19:52</t>
  </si>
  <si>
    <t>mfc.david.limoges</t>
  </si>
  <si>
    <t>David.Loyer@manulifesecurities.ca</t>
  </si>
  <si>
    <t>David Loyer</t>
  </si>
  <si>
    <t>2017-07-10T11:50:33</t>
  </si>
  <si>
    <t>daloyer</t>
  </si>
  <si>
    <t>David.Luke@manulifesecurities.ca</t>
  </si>
  <si>
    <t>David Luke</t>
  </si>
  <si>
    <t>2017-10-13T08:44:27</t>
  </si>
  <si>
    <t>daluke</t>
  </si>
  <si>
    <t>David.Macleod@manulifesecurities.ca</t>
  </si>
  <si>
    <t>David Macleod</t>
  </si>
  <si>
    <t>2014-12-23T14:03:07</t>
  </si>
  <si>
    <t>mfc.david.macleod</t>
  </si>
  <si>
    <t>david.mcleod@manulifesecurities.ca</t>
  </si>
  <si>
    <t>David McLeod</t>
  </si>
  <si>
    <t>mfc.david.mcleod</t>
  </si>
  <si>
    <t>david.miklas@manulifesecurities.ca</t>
  </si>
  <si>
    <t>David Miklas</t>
  </si>
  <si>
    <t>2017-10-16T08:44:43</t>
  </si>
  <si>
    <t>mfc.david.miklas</t>
  </si>
  <si>
    <t>David.Mitchell@manulifesecurities.ca</t>
  </si>
  <si>
    <t>David Mitchell</t>
  </si>
  <si>
    <t>2014-10-27T13:20:41</t>
  </si>
  <si>
    <t>DMitchell</t>
  </si>
  <si>
    <t>David.Morrill@manulifesecurities.ca</t>
  </si>
  <si>
    <t>David Morrill</t>
  </si>
  <si>
    <t>davidill</t>
  </si>
  <si>
    <t>David.Morrison@manulifesecurities.ca</t>
  </si>
  <si>
    <t>David Morrison</t>
  </si>
  <si>
    <t>2017-10-02T11:39:48</t>
  </si>
  <si>
    <t>DMorrison</t>
  </si>
  <si>
    <t>David.Neale@manulifesecurities.ca</t>
  </si>
  <si>
    <t>David Neale</t>
  </si>
  <si>
    <t>2017-10-15T11:16:17</t>
  </si>
  <si>
    <t>dneale</t>
  </si>
  <si>
    <t>David.Nobrega@manulifesecurities.ca</t>
  </si>
  <si>
    <t>David Nobrega</t>
  </si>
  <si>
    <t>2017-09-27T11:04:53</t>
  </si>
  <si>
    <t>DNobrega</t>
  </si>
  <si>
    <t>David.Ogus@manulifesecurities.ca</t>
  </si>
  <si>
    <t>David Ogus</t>
  </si>
  <si>
    <t>2017-10-07T20:12:23</t>
  </si>
  <si>
    <t>DOgus</t>
  </si>
  <si>
    <t>david.oleary@manulifesecurities.ca</t>
  </si>
  <si>
    <t>David O'Leary</t>
  </si>
  <si>
    <t>2017-10-10T04:38:09</t>
  </si>
  <si>
    <t>mfc.david.oleary</t>
  </si>
  <si>
    <t>David.Olsen@manulifesecurities.ca</t>
  </si>
  <si>
    <t>David Olsen</t>
  </si>
  <si>
    <t>2017-07-04T09:45:03</t>
  </si>
  <si>
    <t>DOlsen</t>
  </si>
  <si>
    <t>David.Orchard@manulifesecurities.ca</t>
  </si>
  <si>
    <t>David Orchard</t>
  </si>
  <si>
    <t>2017-10-14T04:59:45</t>
  </si>
  <si>
    <t>DOrchard</t>
  </si>
  <si>
    <t>David.Page@manulifesecurities.ca</t>
  </si>
  <si>
    <t>David Page</t>
  </si>
  <si>
    <t>2017-03-20T19:09:00</t>
  </si>
  <si>
    <t>dapage</t>
  </si>
  <si>
    <t>David.Pass@manulifesecurities.ca</t>
  </si>
  <si>
    <t>David Pass (Disabled)</t>
  </si>
  <si>
    <t>dapass</t>
  </si>
  <si>
    <t>David.Phillips@manulifesecurities.ca</t>
  </si>
  <si>
    <t>David Phillips</t>
  </si>
  <si>
    <t>2017-10-13T16:58:26</t>
  </si>
  <si>
    <t>dphillips</t>
  </si>
  <si>
    <t>David.Pullar@manulifesecurities.ca</t>
  </si>
  <si>
    <t>David �Pullar</t>
  </si>
  <si>
    <t>DPullar</t>
  </si>
  <si>
    <t>David.Rachpaul@manulifesecurities.ca</t>
  </si>
  <si>
    <t>David Rachpaul</t>
  </si>
  <si>
    <t>drachpa</t>
  </si>
  <si>
    <t>David.Rayner@manulifesecurities.ca</t>
  </si>
  <si>
    <t>David Rayner</t>
  </si>
  <si>
    <t>2017-10-16T09:03:14</t>
  </si>
  <si>
    <t>DRayner</t>
  </si>
  <si>
    <t>David.Rose@manulifesecurities.ca</t>
  </si>
  <si>
    <t>David F Rose</t>
  </si>
  <si>
    <t>2016-07-29T21:49:57</t>
  </si>
  <si>
    <t>DFRose</t>
  </si>
  <si>
    <t>David.Rutledge@manulifesecurities.ca</t>
  </si>
  <si>
    <t>David Rutledge</t>
  </si>
  <si>
    <t>drutledg</t>
  </si>
  <si>
    <t>David.Sagan@manulifesecurities.ca</t>
  </si>
  <si>
    <t>David Sagan</t>
  </si>
  <si>
    <t>2017-06-14T12:31:03</t>
  </si>
  <si>
    <t>DSagan</t>
  </si>
  <si>
    <t>David.Senft@manulifesecurities.ca</t>
  </si>
  <si>
    <t>David Senft</t>
  </si>
  <si>
    <t>2017-10-08T20:20:37</t>
  </si>
  <si>
    <t>DSenft</t>
  </si>
  <si>
    <t>David.Sherwin@manulifesecurities.ca</t>
  </si>
  <si>
    <t>David Sherwin</t>
  </si>
  <si>
    <t>dsherwin</t>
  </si>
  <si>
    <t>David.Sklivas@manulifesecurities.ca</t>
  </si>
  <si>
    <t>David Sklivas</t>
  </si>
  <si>
    <t>sklivda</t>
  </si>
  <si>
    <t>David.Sorochuk@manulifesecurities.ca</t>
  </si>
  <si>
    <t>David Sorochuk</t>
  </si>
  <si>
    <t>2015-03-26T21:25:08</t>
  </si>
  <si>
    <t>DSorochuk</t>
  </si>
  <si>
    <t>David.Szwec@manulifesecurities.ca</t>
  </si>
  <si>
    <t>David Szwec</t>
  </si>
  <si>
    <t>dszwec</t>
  </si>
  <si>
    <t>david.thibodeau@manulifesecurities.ca</t>
  </si>
  <si>
    <t>David Thibodeau</t>
  </si>
  <si>
    <t>2016-03-14T08:51:17</t>
  </si>
  <si>
    <t>mfc.david.thibode</t>
  </si>
  <si>
    <t>David.Thomas@manulifesecurities.ca</t>
  </si>
  <si>
    <t>David Thomas - Cambridge</t>
  </si>
  <si>
    <t>2017-10-12T18:50:56</t>
  </si>
  <si>
    <t>DaThomas</t>
  </si>
  <si>
    <t>David.Trusler@manulifesecurities.ca</t>
  </si>
  <si>
    <t>David Trusler</t>
  </si>
  <si>
    <t>2017-10-12T09:24:34</t>
  </si>
  <si>
    <t>mfc.david.trusler</t>
  </si>
  <si>
    <t>David.West@manulifesecurities.ca</t>
  </si>
  <si>
    <t>David West</t>
  </si>
  <si>
    <t>2017-10-08T17:14:50</t>
  </si>
  <si>
    <t>DWest</t>
  </si>
  <si>
    <t>David.Whittemore@manulifesecurities.ca</t>
  </si>
  <si>
    <t>David Whittemore</t>
  </si>
  <si>
    <t>2017-10-15T10:06:59</t>
  </si>
  <si>
    <t>mfc.david.whittem</t>
  </si>
  <si>
    <t>David.Wyatt@manulifesecurities.ca</t>
  </si>
  <si>
    <t>David Wyatt</t>
  </si>
  <si>
    <t>2017-10-15T16:49:07</t>
  </si>
  <si>
    <t>DWyatt</t>
  </si>
  <si>
    <t>Davie.Constantino@manulifesecurities.ca</t>
  </si>
  <si>
    <t>Davie Constantino</t>
  </si>
  <si>
    <t>dconstantino</t>
  </si>
  <si>
    <t>Davor.Polak@manulifesecurities.ca</t>
  </si>
  <si>
    <t>Davor Polak</t>
  </si>
  <si>
    <t>2017-09-02T18:31:53</t>
  </si>
  <si>
    <t>DPolak</t>
  </si>
  <si>
    <t>Dawn.DaviesIsnor@manulifesecurities.ca</t>
  </si>
  <si>
    <t>Dawn Davies Isnor</t>
  </si>
  <si>
    <t>ddisnor</t>
  </si>
  <si>
    <t>Dawn.Davies-Isnor@manulifesecurities.ca</t>
  </si>
  <si>
    <t>Dawn Davies-Isnor</t>
  </si>
  <si>
    <t>2016-02-29T13:54:42</t>
  </si>
  <si>
    <t>ddaisnor</t>
  </si>
  <si>
    <t>Dawn.Gordon@manulifesecurities.ca</t>
  </si>
  <si>
    <t>Dawn Gordon</t>
  </si>
  <si>
    <t>DGordon</t>
  </si>
  <si>
    <t>Dawn.Kadolph@manulifesecurities.ca</t>
  </si>
  <si>
    <t>Dawn Kadolph</t>
  </si>
  <si>
    <t>DKadolph</t>
  </si>
  <si>
    <t>Dawn.Kennedy@manulifesecurities.ca</t>
  </si>
  <si>
    <t>Dawn Kennedy</t>
  </si>
  <si>
    <t>2017-10-10T14:33:06</t>
  </si>
  <si>
    <t>dakenn</t>
  </si>
  <si>
    <t>Dawn.Melody@manulifesecurities.ca</t>
  </si>
  <si>
    <t>Dawn Melody</t>
  </si>
  <si>
    <t>dawnmelody</t>
  </si>
  <si>
    <t>Dawn.Miller@manulifesecurities.ca</t>
  </si>
  <si>
    <t>Dawn Miller</t>
  </si>
  <si>
    <t>2014-12-08T12:25:06</t>
  </si>
  <si>
    <t>DMiller</t>
  </si>
  <si>
    <t>Dawn.Parker@manulifesecurities.ca</t>
  </si>
  <si>
    <t>Dawn Parker</t>
  </si>
  <si>
    <t>DParker</t>
  </si>
  <si>
    <t>Dawn.Rowley@manulifesecurities.ca</t>
  </si>
  <si>
    <t>Dawn Rowley</t>
  </si>
  <si>
    <t>2017-10-10T12:10:34</t>
  </si>
  <si>
    <t>mfc.dawn.rowley</t>
  </si>
  <si>
    <t>Dawn.Solano@manulifesecurities.ca</t>
  </si>
  <si>
    <t>Dawn Solano</t>
  </si>
  <si>
    <t>2017-10-14T22:56:42</t>
  </si>
  <si>
    <t>DSolano</t>
  </si>
  <si>
    <t>Dayne.Perrin@manulifesecurities.ca</t>
  </si>
  <si>
    <t>Dayne Perrin</t>
  </si>
  <si>
    <t>DPerrin</t>
  </si>
  <si>
    <t>Dealer.Integration@manulifesecurities.ca</t>
  </si>
  <si>
    <t>Dealer Integration</t>
  </si>
  <si>
    <t>dealer.integration</t>
  </si>
  <si>
    <t>Dean.Barnard@manulifesecurities.ca</t>
  </si>
  <si>
    <t>Dean Barnard</t>
  </si>
  <si>
    <t>2017-10-14T20:32:36</t>
  </si>
  <si>
    <t>barnard</t>
  </si>
  <si>
    <t>Dean.Demers@manulifesecurities.ca</t>
  </si>
  <si>
    <t>Dean Demers</t>
  </si>
  <si>
    <t>2015-01-18T21:01:03</t>
  </si>
  <si>
    <t>DDemers</t>
  </si>
  <si>
    <t>Dean.Dyer@manulifesecurities.ca</t>
  </si>
  <si>
    <t>Dean Dyer</t>
  </si>
  <si>
    <t>DDyer</t>
  </si>
  <si>
    <t>Dean.Laham@manulifesecurities.ca</t>
  </si>
  <si>
    <t>Dean Laham</t>
  </si>
  <si>
    <t>2017-10-12T23:40:48</t>
  </si>
  <si>
    <t>DLaham</t>
  </si>
  <si>
    <t>Dean.Lepage@manulifesecurities.ca</t>
  </si>
  <si>
    <t>Dean Lepage</t>
  </si>
  <si>
    <t>2017-06-27T16:23:45</t>
  </si>
  <si>
    <t>lepagde</t>
  </si>
  <si>
    <t>Dean.Moro@manulifesecurities.ca</t>
  </si>
  <si>
    <t>Dean Moro</t>
  </si>
  <si>
    <t>DMoro</t>
  </si>
  <si>
    <t>Dean.Phillips@manulifesecurities.ca</t>
  </si>
  <si>
    <t>Dean Phillips</t>
  </si>
  <si>
    <t>mfc.dean.phillips</t>
  </si>
  <si>
    <t>Dean.Rose@manulifesecurities.ca</t>
  </si>
  <si>
    <t>Dean Rose</t>
  </si>
  <si>
    <t>2017-09-11T11:24:12</t>
  </si>
  <si>
    <t>DRose</t>
  </si>
  <si>
    <t>Deanna.Brown@manulifesecurities.ca</t>
  </si>
  <si>
    <t>Deanna Brown</t>
  </si>
  <si>
    <t>debrown</t>
  </si>
  <si>
    <t>deanna.dann@manulifesecurities.ca</t>
  </si>
  <si>
    <t>Deanna Dann</t>
  </si>
  <si>
    <t>mfc.deanna.dann</t>
  </si>
  <si>
    <t>Deanna.Hooper@manulifesecurities.ca</t>
  </si>
  <si>
    <t>Deanna Hooper</t>
  </si>
  <si>
    <t>2017-10-10T11:33:13</t>
  </si>
  <si>
    <t>mfc.deanna.hooper</t>
  </si>
  <si>
    <t>Deanna.Johnston@manulifesecurities.ca</t>
  </si>
  <si>
    <t>DJohnston</t>
  </si>
  <si>
    <t>Deanna.Rindal@manulifesecurities.ca</t>
  </si>
  <si>
    <t>Deanna Rindal</t>
  </si>
  <si>
    <t>2016-11-17T13:53:21</t>
  </si>
  <si>
    <t>DRindal</t>
  </si>
  <si>
    <t>Deanne.Mitchell@manulifesecurities.ca</t>
  </si>
  <si>
    <t>Deanne Mitchell</t>
  </si>
  <si>
    <t>DeMitchell</t>
  </si>
  <si>
    <t>Deb.Dury@manulifesecurities.ca</t>
  </si>
  <si>
    <t>Deb Dury</t>
  </si>
  <si>
    <t>DDury</t>
  </si>
  <si>
    <t>Deb.Maloney@manulifesecurities.ca</t>
  </si>
  <si>
    <t>Deb Maloney</t>
  </si>
  <si>
    <t>dmaloney</t>
  </si>
  <si>
    <t>Deb.Matte@manulifesecurities.ca</t>
  </si>
  <si>
    <t>Deb Matte</t>
  </si>
  <si>
    <t>DMatte</t>
  </si>
  <si>
    <t>Deb.Murgas@manulifesecurities.ca</t>
  </si>
  <si>
    <t>Deb Murgas</t>
  </si>
  <si>
    <t>debmurgas</t>
  </si>
  <si>
    <t>Deb.Shorrock@manulifesecurities.ca</t>
  </si>
  <si>
    <t>DShorrock</t>
  </si>
  <si>
    <t>dshorrock</t>
  </si>
  <si>
    <t>Deb.Wettlaufer@manulifesecurities.ca</t>
  </si>
  <si>
    <t>Deb Wettlaufer</t>
  </si>
  <si>
    <t>2017-09-25T12:38:59</t>
  </si>
  <si>
    <t>DWettlaufer</t>
  </si>
  <si>
    <t>Deb.Willett@manulifesecurities.ca</t>
  </si>
  <si>
    <t>Deb Willett</t>
  </si>
  <si>
    <t>DWillett</t>
  </si>
  <si>
    <t>Debb.Holborn@manulifesecurities.ca</t>
  </si>
  <si>
    <t>Debb Holborn</t>
  </si>
  <si>
    <t>debbhohl</t>
  </si>
  <si>
    <t>Debbi.Tonnies@manulifesecurities.ca</t>
  </si>
  <si>
    <t>Debbi Tonnies-Violette</t>
  </si>
  <si>
    <t>2017-10-13T09:56:59</t>
  </si>
  <si>
    <t>mfc.debbi.tonnies</t>
  </si>
  <si>
    <t>Debbie.Aceto@manulifesecurities.ca</t>
  </si>
  <si>
    <t>Debbie Aceto</t>
  </si>
  <si>
    <t>2017-10-10T09:51:46</t>
  </si>
  <si>
    <t>daceto</t>
  </si>
  <si>
    <t>Debbie.Adjey@manulifesecurities.ca</t>
  </si>
  <si>
    <t>Debbie Adjey</t>
  </si>
  <si>
    <t>2017-10-12T09:24:36</t>
  </si>
  <si>
    <t>mfc.debbie.adjey</t>
  </si>
  <si>
    <t>Debbie.Bagu@manulifesecurities.ca</t>
  </si>
  <si>
    <t>Debbie Bagu</t>
  </si>
  <si>
    <t>mfc.debbie.bagu</t>
  </si>
  <si>
    <t>Debbie.Carrick@manulifesecurities.ca</t>
  </si>
  <si>
    <t>Debbie Carrick</t>
  </si>
  <si>
    <t>dcarrick</t>
  </si>
  <si>
    <t>Debbie.Costa@manulifesecurities.ca</t>
  </si>
  <si>
    <t>Debbie E Costa</t>
  </si>
  <si>
    <t>2017-10-12T09:24:47</t>
  </si>
  <si>
    <t>DCosta</t>
  </si>
  <si>
    <t>Debbie.Ekkel@manulifesecurities.ca</t>
  </si>
  <si>
    <t>Debbie Ekkel</t>
  </si>
  <si>
    <t>2017-10-06T09:38:49</t>
  </si>
  <si>
    <t>DEkkel</t>
  </si>
  <si>
    <t>Debbie.Elyk@manulifesecurities.ca</t>
  </si>
  <si>
    <t>Debbie Elyk</t>
  </si>
  <si>
    <t>2017-08-22T13:10:57</t>
  </si>
  <si>
    <t>DebElyk</t>
  </si>
  <si>
    <t>Debbie.Fraser@manulifesecurities.ca</t>
  </si>
  <si>
    <t>Debbie Fraser</t>
  </si>
  <si>
    <t>2017-10-10T12:42:29</t>
  </si>
  <si>
    <t>mfc.debbie.fraser</t>
  </si>
  <si>
    <t>debbie.holborn@manulifesecurities.ca</t>
  </si>
  <si>
    <t>Debbie Holborn</t>
  </si>
  <si>
    <t>2017-10-15T20:53:57</t>
  </si>
  <si>
    <t>mfc.debbie.holbor</t>
  </si>
  <si>
    <t>Debbie.Manning@manulifesecurities.ca</t>
  </si>
  <si>
    <t>Debbie Manning</t>
  </si>
  <si>
    <t>2016-02-02T10:46:32</t>
  </si>
  <si>
    <t>mfc.debbie.mannin</t>
  </si>
  <si>
    <t>Debbie.Mazzocca@manulifesecurities.ca</t>
  </si>
  <si>
    <t>zz Manulife - Debbie Mazzocca</t>
  </si>
  <si>
    <t>DMazzocca</t>
  </si>
  <si>
    <t>Debbie.Mitchell@manulifesecurities.ca</t>
  </si>
  <si>
    <t>Debbie Mitchell</t>
  </si>
  <si>
    <t>2017-10-16T03:27:17</t>
  </si>
  <si>
    <t>mitchell7050</t>
  </si>
  <si>
    <t>Debbie.Munghen@manulifesecurities.ca</t>
  </si>
  <si>
    <t>Debbie Munghen</t>
  </si>
  <si>
    <t>DebbieMunghen</t>
  </si>
  <si>
    <t>Debbie.OConnor@manulifesecurities.ca</t>
  </si>
  <si>
    <t>Debbie O'Connor</t>
  </si>
  <si>
    <t>DOConnor</t>
  </si>
  <si>
    <t>Debbie.Pelkie@manulifesecurities.ca</t>
  </si>
  <si>
    <t>Debbie Pelkie</t>
  </si>
  <si>
    <t>2017-10-16T08:28:55</t>
  </si>
  <si>
    <t>mfc.debbie.pelkie</t>
  </si>
  <si>
    <t>Debbie.Rioux@manulifesecurities.ca</t>
  </si>
  <si>
    <t>Debbie Rioux</t>
  </si>
  <si>
    <t>2017-10-09T10:02:50</t>
  </si>
  <si>
    <t>mfc.debbie.rioux</t>
  </si>
  <si>
    <t>debbie.ruskin@manulifesecurities.ca</t>
  </si>
  <si>
    <t>Debbie Ruskin</t>
  </si>
  <si>
    <t>mfc.debbie.ruskin</t>
  </si>
  <si>
    <t>Debbie.Stewart@manulifesecurities.ca</t>
  </si>
  <si>
    <t>Debbie Stewart</t>
  </si>
  <si>
    <t>2017-10-12T09:30:17</t>
  </si>
  <si>
    <t>stewdeb</t>
  </si>
  <si>
    <t>Debbie.Vlahovic@manulifesecurities.ca</t>
  </si>
  <si>
    <t>Debbie Vlahovic</t>
  </si>
  <si>
    <t>2017-10-05T15:39:58</t>
  </si>
  <si>
    <t>davlahovic</t>
  </si>
  <si>
    <t>Debbie.Webster@manulifesecurities.ca</t>
  </si>
  <si>
    <t>Debbie Webster</t>
  </si>
  <si>
    <t>dewebste</t>
  </si>
  <si>
    <t>Debbie.White@manulifesecurities.ca</t>
  </si>
  <si>
    <t>Debbie White</t>
  </si>
  <si>
    <t>2017-09-06T10:46:12</t>
  </si>
  <si>
    <t>mfc.debbie.white</t>
  </si>
  <si>
    <t>Deborah.Brady@manulifesecurities.ca</t>
  </si>
  <si>
    <t>Deborah Brady</t>
  </si>
  <si>
    <t>dbrady</t>
  </si>
  <si>
    <t>Deborah.Graham@manulifesecurities.ca</t>
  </si>
  <si>
    <t>Deborah Graham</t>
  </si>
  <si>
    <t>2017-10-11T06:25:04</t>
  </si>
  <si>
    <t>dlgraham</t>
  </si>
  <si>
    <t>Deborah.Guerra@manulifesecurities.ca</t>
  </si>
  <si>
    <t>Deborah Guerra</t>
  </si>
  <si>
    <t>2017-07-24T18:32:48</t>
  </si>
  <si>
    <t>dguerra</t>
  </si>
  <si>
    <t>Deborah.Stoddard@manulifesecurities.ca</t>
  </si>
  <si>
    <t>Deborah Stoddard</t>
  </si>
  <si>
    <t>DStoddard</t>
  </si>
  <si>
    <t>Debra.Greenshields@manulifesecurities.ca</t>
  </si>
  <si>
    <t>Debra Greenshields</t>
  </si>
  <si>
    <t>debrag</t>
  </si>
  <si>
    <t>Debra.LaClare@manulifesecurities.ca</t>
  </si>
  <si>
    <t>Debra LaClare</t>
  </si>
  <si>
    <t>2014-10-15T12:51:09</t>
  </si>
  <si>
    <t>DLaClare</t>
  </si>
  <si>
    <t>Debra.Matte@manulifesecurities.ca</t>
  </si>
  <si>
    <t>debramatte</t>
  </si>
  <si>
    <t>Debra.Olson@manulifesecurities.ca</t>
  </si>
  <si>
    <t>Debra Olson</t>
  </si>
  <si>
    <t>DOlson</t>
  </si>
  <si>
    <t>Debra.Passingham@manulifesecurities.ca</t>
  </si>
  <si>
    <t>Debra Passingham</t>
  </si>
  <si>
    <t>dpassing</t>
  </si>
  <si>
    <t>Debra.Strain@manulifesecurities.ca</t>
  </si>
  <si>
    <t>Debra Strain</t>
  </si>
  <si>
    <t>2017-10-11T17:15:39</t>
  </si>
  <si>
    <t>DStrain</t>
  </si>
  <si>
    <t>DebraL.Matte@manulifesecurities.ca</t>
  </si>
  <si>
    <t>DebraL Matte</t>
  </si>
  <si>
    <t>2015-12-09T12:26:44</t>
  </si>
  <si>
    <t>debmatte</t>
  </si>
  <si>
    <t>DedicatedFinancialSolutions@manulifesecurities.ca</t>
  </si>
  <si>
    <t>Dedicated Financial Solutions</t>
  </si>
  <si>
    <t>dfs</t>
  </si>
  <si>
    <t>Deedee.Koscielny@manulifesecurities.ca</t>
  </si>
  <si>
    <t>Deedee Koscielny</t>
  </si>
  <si>
    <t>dkoscielny</t>
  </si>
  <si>
    <t>deepa.adem@manulifesecurities.ca</t>
  </si>
  <si>
    <t>Deepa Adem</t>
  </si>
  <si>
    <t>2017-10-03T09:30:55</t>
  </si>
  <si>
    <t>mfc.deepa.adem</t>
  </si>
  <si>
    <t>Deepali.Shanbhag@manulifesecurities.ca</t>
  </si>
  <si>
    <t>Deepali Shanbhag</t>
  </si>
  <si>
    <t>DShanbhag</t>
  </si>
  <si>
    <t>Deirdra.Docherty@manulifesecurities.ca</t>
  </si>
  <si>
    <t>Deirdra Docherty</t>
  </si>
  <si>
    <t>2017-10-10T08:22:27</t>
  </si>
  <si>
    <t>mfc.deirdra.doche</t>
  </si>
  <si>
    <t>Dejan.Tegeltija@manulifesecurities.ca</t>
  </si>
  <si>
    <t>Dejan Tegeltija</t>
  </si>
  <si>
    <t>2017-10-10T09:36:56</t>
  </si>
  <si>
    <t>mfc.dejan.tegelti</t>
  </si>
  <si>
    <t>Dejana.Cviticanin@manulifesecurities.ca</t>
  </si>
  <si>
    <t>DeCviticanin</t>
  </si>
  <si>
    <t>DCviticanin</t>
  </si>
  <si>
    <t>Delayne.Staples@manulifesecurities.ca</t>
  </si>
  <si>
    <t>Delayne Staples</t>
  </si>
  <si>
    <t>2017-10-10T12:33:24</t>
  </si>
  <si>
    <t>DStaples</t>
  </si>
  <si>
    <t>Dell.Gui@manulifesecurities.ca</t>
  </si>
  <si>
    <t>D Gui</t>
  </si>
  <si>
    <t>DGui</t>
  </si>
  <si>
    <t>Delta.Producer@manulifesecurities.ca</t>
  </si>
  <si>
    <t>Delta Producer</t>
  </si>
  <si>
    <t>deltapr</t>
  </si>
  <si>
    <t>Delvin.Kaczur@manulifesecurities.ca</t>
  </si>
  <si>
    <t>Delvin Kaczur</t>
  </si>
  <si>
    <t>DKaczur</t>
  </si>
  <si>
    <t>demo.user100@manulifesecurities.ca</t>
  </si>
  <si>
    <t>Demo User 100</t>
  </si>
  <si>
    <t>DEMO ACCOUNTS</t>
  </si>
  <si>
    <t>mfc.demo.user100</t>
  </si>
  <si>
    <t>Denika.Cox@manulifesecurities.ca</t>
  </si>
  <si>
    <t>Denika Cox</t>
  </si>
  <si>
    <t>denicox</t>
  </si>
  <si>
    <t>Denine.Arbour@manulifesecurities.ca</t>
  </si>
  <si>
    <t>Denine Arbour</t>
  </si>
  <si>
    <t>darbour</t>
  </si>
  <si>
    <t>Denis.Rochon@manulifesecurities.ca</t>
  </si>
  <si>
    <t>J.M. Denis Rochon</t>
  </si>
  <si>
    <t>DRochon</t>
  </si>
  <si>
    <t>Denis.Smith@manulifesecurities.ca</t>
  </si>
  <si>
    <t>Denis Smith</t>
  </si>
  <si>
    <t>DSmith</t>
  </si>
  <si>
    <t>Denise.Agouri@manulifesecurities.ca</t>
  </si>
  <si>
    <t>Denise Agouri</t>
  </si>
  <si>
    <t>dagouri</t>
  </si>
  <si>
    <t>denise.allers@manulifesecurities.ca</t>
  </si>
  <si>
    <t>Denise Allers</t>
  </si>
  <si>
    <t>2017-10-12T10:45:55</t>
  </si>
  <si>
    <t>mfc.denise.allers</t>
  </si>
  <si>
    <t>Denise.Barnes@manulifesecurities.ca</t>
  </si>
  <si>
    <t>Denise Barnes</t>
  </si>
  <si>
    <t>DBarnes</t>
  </si>
  <si>
    <t>Denise.Berube@manulifesecurities.ca</t>
  </si>
  <si>
    <t>Denise Berube</t>
  </si>
  <si>
    <t>2017-10-03T13:03:44</t>
  </si>
  <si>
    <t>mfc.denise.berube</t>
  </si>
  <si>
    <t>denise.brady-jones@manulifesecurities.ca</t>
  </si>
  <si>
    <t>Denise Brady-Jones</t>
  </si>
  <si>
    <t>2016-03-01T12:17:58</t>
  </si>
  <si>
    <t>mfc.denise.brady-</t>
  </si>
  <si>
    <t>denise.cairns@manulifesecurities.ca</t>
  </si>
  <si>
    <t>Denise Cairns</t>
  </si>
  <si>
    <t>2017-09-25T09:59:37</t>
  </si>
  <si>
    <t>mfc.denise.cairns</t>
  </si>
  <si>
    <t>Denise.Devenish@manulifesecurities.ca</t>
  </si>
  <si>
    <t>Denise Devenish</t>
  </si>
  <si>
    <t>2015-05-25T14:33:23</t>
  </si>
  <si>
    <t>mfc.denise.deveni</t>
  </si>
  <si>
    <t>Denise.Kelly@manulifesecurities.ca</t>
  </si>
  <si>
    <t>Denise Kelly</t>
  </si>
  <si>
    <t>2017-09-26T14:56:40</t>
  </si>
  <si>
    <t>kellyde</t>
  </si>
  <si>
    <t>Denise.Madden@manulifesecurities.ca</t>
  </si>
  <si>
    <t>Denise Madden</t>
  </si>
  <si>
    <t>2017-10-10T14:30:09</t>
  </si>
  <si>
    <t>mfc.denise.madden</t>
  </si>
  <si>
    <t>Denise.Marshall@manulifesecurities.ca</t>
  </si>
  <si>
    <t>Denise Marshall</t>
  </si>
  <si>
    <t>benefitpartners</t>
  </si>
  <si>
    <t>Denise.Nielson@manulifesecurities.ca</t>
  </si>
  <si>
    <t>Denise Nielson</t>
  </si>
  <si>
    <t>dnielson</t>
  </si>
  <si>
    <t>Denise.Sailer@manulifesecurities.ca</t>
  </si>
  <si>
    <t>Denise Sailer</t>
  </si>
  <si>
    <t>mfc.denise.sailer</t>
  </si>
  <si>
    <t>Denise.Southward@manulifesecurities.ca</t>
  </si>
  <si>
    <t>Denise Southward</t>
  </si>
  <si>
    <t>DSouthward</t>
  </si>
  <si>
    <t>Denise.Thomas@manulifesecurities.ca</t>
  </si>
  <si>
    <t>Denise Thomas</t>
  </si>
  <si>
    <t>2017-10-05T13:04:23</t>
  </si>
  <si>
    <t>DeThomas</t>
  </si>
  <si>
    <t>Dennis.Audette@manulifesecurities.ca</t>
  </si>
  <si>
    <t>Dennis Audette</t>
  </si>
  <si>
    <t>2017-10-13T14:14:38</t>
  </si>
  <si>
    <t>DAudette</t>
  </si>
  <si>
    <t>Dennis.Bodin@manulifesecurities.ca</t>
  </si>
  <si>
    <t>Dennis Bodin</t>
  </si>
  <si>
    <t>DBodin</t>
  </si>
  <si>
    <t>Dennis.Collingwood@manulifesecurities.ca</t>
  </si>
  <si>
    <t>Dennis Collingwood</t>
  </si>
  <si>
    <t>2017-10-09T18:21:19</t>
  </si>
  <si>
    <t>DCollingwood</t>
  </si>
  <si>
    <t>Dennis.Cyca@manulifesecurities.ca</t>
  </si>
  <si>
    <t>Dennis Cyca</t>
  </si>
  <si>
    <t>cycaden</t>
  </si>
  <si>
    <t>Dennis.Laverty@manulifesecurities.ca</t>
  </si>
  <si>
    <t>Dennis Laverty</t>
  </si>
  <si>
    <t>dlaverty</t>
  </si>
  <si>
    <t>Dennis.Oliveira@manulifesecurities.ca</t>
  </si>
  <si>
    <t>Dennis Oliveira</t>
  </si>
  <si>
    <t>doliveir</t>
  </si>
  <si>
    <t>Dennis.Wright@manulifesecurities.ca</t>
  </si>
  <si>
    <t>Dennis Wright</t>
  </si>
  <si>
    <t>2017-10-16T09:24:17</t>
  </si>
  <si>
    <t>DWright</t>
  </si>
  <si>
    <t>Dennis.Yanke@manulifesecurities.ca</t>
  </si>
  <si>
    <t>Dennis Yanke</t>
  </si>
  <si>
    <t>2017-01-25T13:57:11</t>
  </si>
  <si>
    <t>dyanke</t>
  </si>
  <si>
    <t>Denys.Legault@manulifesecurities.ca</t>
  </si>
  <si>
    <t>Denys Legault</t>
  </si>
  <si>
    <t>2017-10-15T10:59:04</t>
  </si>
  <si>
    <t>mfc.denys.legault</t>
  </si>
  <si>
    <t>Deodie.Picson@manulifesecurities.ca</t>
  </si>
  <si>
    <t>Deodie Picson</t>
  </si>
  <si>
    <t>DPicson</t>
  </si>
  <si>
    <t>Dereck.White@manulifesecurities.ca</t>
  </si>
  <si>
    <t>Dereck White</t>
  </si>
  <si>
    <t>DWhite</t>
  </si>
  <si>
    <t>Derek.Filinski@manulifesecurities.ca</t>
  </si>
  <si>
    <t>DFilinski</t>
  </si>
  <si>
    <t>Derek.Fox@manulifesecurities.ca</t>
  </si>
  <si>
    <t>Derek Fox</t>
  </si>
  <si>
    <t>2017-10-08T18:53:33</t>
  </si>
  <si>
    <t>derekfox</t>
  </si>
  <si>
    <t>Derek.Hills@manulifesecurities.ca</t>
  </si>
  <si>
    <t>Derek Hills</t>
  </si>
  <si>
    <t>2017-01-03T09:38:19</t>
  </si>
  <si>
    <t>mfc.derek.hills</t>
  </si>
  <si>
    <t>Derek.Lubertino@manulifesecurities.ca</t>
  </si>
  <si>
    <t>Derek Lubertino</t>
  </si>
  <si>
    <t>2017-10-10T17:38:11</t>
  </si>
  <si>
    <t>mfc.derek.luberti</t>
  </si>
  <si>
    <t>Derek.Smith@manulifesecurities.ca</t>
  </si>
  <si>
    <t>Derek Smith</t>
  </si>
  <si>
    <t>DeSmith</t>
  </si>
  <si>
    <t>Derek.Wolfe@manulifesecurities.ca</t>
  </si>
  <si>
    <t>Derek Wolfe</t>
  </si>
  <si>
    <t>DWolfe</t>
  </si>
  <si>
    <t>Derrick.Tomlinson@manulifesecurities.ca</t>
  </si>
  <si>
    <t>Derrick Tomlinson</t>
  </si>
  <si>
    <t>DTomlinson</t>
  </si>
  <si>
    <t>Des.Coles@manulifesecurities.ca</t>
  </si>
  <si>
    <t>Des Coles</t>
  </si>
  <si>
    <t>desnor</t>
  </si>
  <si>
    <t>Desmond.Layland@manulifesecurities.ca</t>
  </si>
  <si>
    <t>Desmond Layland</t>
  </si>
  <si>
    <t>2017-10-15T01:43:17</t>
  </si>
  <si>
    <t>dlayland</t>
  </si>
  <si>
    <t>Dessa.Kaspardlov@manulifesecurities.ca</t>
  </si>
  <si>
    <t>Dessa Kaspardlov</t>
  </si>
  <si>
    <t>2015-03-23T12:05:06</t>
  </si>
  <si>
    <t>dessak</t>
  </si>
  <si>
    <t>devan.legare@manulifesecurities.ca</t>
  </si>
  <si>
    <t>Devan Legare</t>
  </si>
  <si>
    <t>2017-10-10T15:17:26</t>
  </si>
  <si>
    <t>mfc.devan.legare</t>
  </si>
  <si>
    <t>Devin.Hu@manulifesecurities.ca</t>
  </si>
  <si>
    <t>Devin Hu</t>
  </si>
  <si>
    <t>2015-07-20T18:50:24</t>
  </si>
  <si>
    <t>mfc.devin.hu</t>
  </si>
  <si>
    <t>Diana.Bourke@manulifesecurities.ca</t>
  </si>
  <si>
    <t>Diana Bourke</t>
  </si>
  <si>
    <t>DBourke</t>
  </si>
  <si>
    <t>Diana.Bresch@manulifesecurities.ca</t>
  </si>
  <si>
    <t>Diana Bresch</t>
  </si>
  <si>
    <t>DBresch</t>
  </si>
  <si>
    <t>Diana.Franklin-Harrison@manulifesecurities.ca</t>
  </si>
  <si>
    <t>Diana Franklin-Harrison</t>
  </si>
  <si>
    <t>2017-10-03T12:30:49</t>
  </si>
  <si>
    <t>franklin-harrison</t>
  </si>
  <si>
    <t>Diana.Fullerton@manulifesecurities.ca</t>
  </si>
  <si>
    <t>Diana Fullerton</t>
  </si>
  <si>
    <t>2017-10-16T09:36:06</t>
  </si>
  <si>
    <t>dianafull</t>
  </si>
  <si>
    <t>Diana.Grygiencza@manulifesecurities.ca</t>
  </si>
  <si>
    <t>Diana Grygiencza</t>
  </si>
  <si>
    <t>DGrygiencza</t>
  </si>
  <si>
    <t>Diana.Kancko@manulifesecurities.ca</t>
  </si>
  <si>
    <t>Diana Kancko Disabled by mcarey 2010-09-16</t>
  </si>
  <si>
    <t>dkancko</t>
  </si>
  <si>
    <t>Diana.Lazo@manulifesecurities.ca</t>
  </si>
  <si>
    <t>Diana Lazo</t>
  </si>
  <si>
    <t>DLazo</t>
  </si>
  <si>
    <t>Diana.Oddi@manulifesecurities.ca</t>
  </si>
  <si>
    <t>Diana Oddi</t>
  </si>
  <si>
    <t>DOddi</t>
  </si>
  <si>
    <t>Diana.Petkau@manulifesecurities.ca</t>
  </si>
  <si>
    <t>Diana Petkau</t>
  </si>
  <si>
    <t>2017-10-02T12:18:19</t>
  </si>
  <si>
    <t>DPetkau</t>
  </si>
  <si>
    <t>Diana.Pezzutto@manulifesecurities.ca</t>
  </si>
  <si>
    <t>Diana Pezzutto</t>
  </si>
  <si>
    <t>DPezzutto</t>
  </si>
  <si>
    <t>DianaMay.Mirasol@manulifesecurities.ca</t>
  </si>
  <si>
    <t>Diana May Mirasol</t>
  </si>
  <si>
    <t>DMirasol</t>
  </si>
  <si>
    <t>Diane.Badeau@manulifesecurities.ca</t>
  </si>
  <si>
    <t>Diane Badeau</t>
  </si>
  <si>
    <t>2017-10-13T08:45:22</t>
  </si>
  <si>
    <t>badeau</t>
  </si>
  <si>
    <t>Diane.Bassaw@manulifesecurities.ca</t>
  </si>
  <si>
    <t>Diane Bassaw</t>
  </si>
  <si>
    <t>2017-10-03T13:47:24</t>
  </si>
  <si>
    <t>DBassaw</t>
  </si>
  <si>
    <t>Diane.Beischer@manulifesecurities.ca</t>
  </si>
  <si>
    <t>Diane Beischer</t>
  </si>
  <si>
    <t>2017-10-03T15:13:16</t>
  </si>
  <si>
    <t>dbeischer</t>
  </si>
  <si>
    <t>Diane.Carriere@manulifesecurities.ca</t>
  </si>
  <si>
    <t>Diane Carriere</t>
  </si>
  <si>
    <t>2017-10-09T10:22:47</t>
  </si>
  <si>
    <t>dgcarriere</t>
  </si>
  <si>
    <t>Diane.Dupuis@manulifesecurities.ca</t>
  </si>
  <si>
    <t>Diane Dupuis</t>
  </si>
  <si>
    <t>2017-05-25T14:10:49</t>
  </si>
  <si>
    <t>dupuis</t>
  </si>
  <si>
    <t>Diane.Gagnier@manulifesecurities.ca</t>
  </si>
  <si>
    <t>Diane Gagnier</t>
  </si>
  <si>
    <t>2016-09-06T10:26:02</t>
  </si>
  <si>
    <t>mfc.diane.gagnier</t>
  </si>
  <si>
    <t>Diane.Hunter@manulifesecurities.ca</t>
  </si>
  <si>
    <t>Diane Hunter - Assistant to Herb Goedecke</t>
  </si>
  <si>
    <t>2017-10-10T13:01:28</t>
  </si>
  <si>
    <t>dianeh</t>
  </si>
  <si>
    <t>Diane.Kearns@manulifesecurities.ca</t>
  </si>
  <si>
    <t>Diane Kearns</t>
  </si>
  <si>
    <t>dkearns</t>
  </si>
  <si>
    <t>Diane.Kingswood@manulifesecurities.ca</t>
  </si>
  <si>
    <t>Diane Kingswood</t>
  </si>
  <si>
    <t>gildian</t>
  </si>
  <si>
    <t>Diane.Lazarenko@manulifesecurities.ca</t>
  </si>
  <si>
    <t>Diane Lazarenko</t>
  </si>
  <si>
    <t>DLazarenko</t>
  </si>
  <si>
    <t>Diane.McKenzie@manulifesecurities.ca</t>
  </si>
  <si>
    <t>zz Manulife - Diane McKenzie</t>
  </si>
  <si>
    <t>DMcKenzie</t>
  </si>
  <si>
    <t>Diane.McKenzie2@manulifesecurities.ca</t>
  </si>
  <si>
    <t>Diane McKenzie</t>
  </si>
  <si>
    <t>mckenzd</t>
  </si>
  <si>
    <t>Diane.McLaughlin@manulifesecurities.ca</t>
  </si>
  <si>
    <t>Diane McLaughlin</t>
  </si>
  <si>
    <t>DMcLaughlin</t>
  </si>
  <si>
    <t>Diane.Monahan@manulifesecurities.ca</t>
  </si>
  <si>
    <t>Diane Monahan</t>
  </si>
  <si>
    <t>DMonahan</t>
  </si>
  <si>
    <t>Diane.Simoneau@manulifesecurities.ca</t>
  </si>
  <si>
    <t>Diane Simoneau</t>
  </si>
  <si>
    <t>2017-10-16T01:00:57</t>
  </si>
  <si>
    <t>DSimoneau</t>
  </si>
  <si>
    <t>Diane.Sullivan@manulifesecurities.ca</t>
  </si>
  <si>
    <t>Diane Sullivan</t>
  </si>
  <si>
    <t>sullivan</t>
  </si>
  <si>
    <t>Diane.Tymchyshyn@manulifesecurities.ca</t>
  </si>
  <si>
    <t>Diane Tymchyshyn</t>
  </si>
  <si>
    <t>2017-10-05T13:23:08</t>
  </si>
  <si>
    <t>dtymchys</t>
  </si>
  <si>
    <t>Diane.Vandenborre@manulifesecurities.ca</t>
  </si>
  <si>
    <t>Diane Vandenborre</t>
  </si>
  <si>
    <t>2016-05-02T12:16:21</t>
  </si>
  <si>
    <t>dianevandenborre</t>
  </si>
  <si>
    <t>Diane.Weber@manulifesecurities.ca</t>
  </si>
  <si>
    <t>Diane Weber</t>
  </si>
  <si>
    <t>DiWeber</t>
  </si>
  <si>
    <t>Dianna.Hilts@manulifesecurities.ca</t>
  </si>
  <si>
    <t>Dianna Hilts</t>
  </si>
  <si>
    <t>DHilts</t>
  </si>
  <si>
    <t>Dianna.Yuen@manulifesecurities.ca</t>
  </si>
  <si>
    <t>Dianna Yuen</t>
  </si>
  <si>
    <t>2017-10-11T11:54:21</t>
  </si>
  <si>
    <t>mfc.dianna.yuen</t>
  </si>
  <si>
    <t>Dianne.Alcantara@manulifesecurities.ca</t>
  </si>
  <si>
    <t>Dianne Alcantara</t>
  </si>
  <si>
    <t>DAlcantara</t>
  </si>
  <si>
    <t>Dianne.Coke@manulifesecurities.ca</t>
  </si>
  <si>
    <t>Dianne Coke</t>
  </si>
  <si>
    <t>dicoke</t>
  </si>
  <si>
    <t>Dianne.Eicher@manulifesecurities.ca</t>
  </si>
  <si>
    <t>Dianne Eicher</t>
  </si>
  <si>
    <t>2017-10-10T17:05:10</t>
  </si>
  <si>
    <t>dheicher</t>
  </si>
  <si>
    <t>Dianne.Filewich@manulifesecurities.ca</t>
  </si>
  <si>
    <t>Dianne Filewich</t>
  </si>
  <si>
    <t>2017-10-10T10:42:53</t>
  </si>
  <si>
    <t>DFilewich</t>
  </si>
  <si>
    <t>Dianne.Hagen@manulifesecurities.ca</t>
  </si>
  <si>
    <t>Dianne Hagen</t>
  </si>
  <si>
    <t>dehagen</t>
  </si>
  <si>
    <t>Dianne.Hunter@manulifesecurities.ca</t>
  </si>
  <si>
    <t>Dianne Hunter - Assistant to Keith Graham</t>
  </si>
  <si>
    <t>2017-10-16T08:22:43</t>
  </si>
  <si>
    <t>dhunter</t>
  </si>
  <si>
    <t>Dianne.Murphy@manulifesecurities.ca</t>
  </si>
  <si>
    <t>Dianne Murphy</t>
  </si>
  <si>
    <t>2017-10-05T14:02:50</t>
  </si>
  <si>
    <t>DiMurphy</t>
  </si>
  <si>
    <t>Dianne.Ramroop@manulifesecurities.ca</t>
  </si>
  <si>
    <t>Dianne Ramroop</t>
  </si>
  <si>
    <t>dramroop</t>
  </si>
  <si>
    <t>Didi.Stubbs@manulifesecurities.ca</t>
  </si>
  <si>
    <t>Didi Stubbs</t>
  </si>
  <si>
    <t>DStubbs</t>
  </si>
  <si>
    <t>diego.rodriguez@manulifesecurities.ca</t>
  </si>
  <si>
    <t>Diego Rodriguez</t>
  </si>
  <si>
    <t>2016-06-28T10:28:01</t>
  </si>
  <si>
    <t>mfc.diego.rodrigu</t>
  </si>
  <si>
    <t>DigitalSafe.Journal@manulifesecurities.ca</t>
  </si>
  <si>
    <t>DigitalSafe Journal</t>
  </si>
  <si>
    <t>DigitalSafeJournal</t>
  </si>
  <si>
    <t>Dillon.Sookbir@manulifesecurities.ca</t>
  </si>
  <si>
    <t>Dillon Sookbir</t>
  </si>
  <si>
    <t>2017-10-08T11:45:17</t>
  </si>
  <si>
    <t>DSookbir</t>
  </si>
  <si>
    <t>Dilshad.Verjee@manulifesecurities.ca</t>
  </si>
  <si>
    <t>Dilshad Verjee</t>
  </si>
  <si>
    <t>DVerjee</t>
  </si>
  <si>
    <t>Dimitri.Lappos@manulifesecurities.ca</t>
  </si>
  <si>
    <t>Dimitri Lappos</t>
  </si>
  <si>
    <t>2017-10-15T09:10:03</t>
  </si>
  <si>
    <t>mfc.dimitri.lappo</t>
  </si>
  <si>
    <t>Dina.Dabdoub@manulifesecurities.ca</t>
  </si>
  <si>
    <t>Dina Dabdoub</t>
  </si>
  <si>
    <t>2014-12-16T16:30:27</t>
  </si>
  <si>
    <t>dhamdah</t>
  </si>
  <si>
    <t>Dina.Regencia@manulifesecurities.ca</t>
  </si>
  <si>
    <t>Dina Regencia</t>
  </si>
  <si>
    <t>DRegencia</t>
  </si>
  <si>
    <t>Dina.Simone@manulifesecurities.ca</t>
  </si>
  <si>
    <t>Dina Simone</t>
  </si>
  <si>
    <t>2017-10-11T08:35:11</t>
  </si>
  <si>
    <t>darcieri</t>
  </si>
  <si>
    <t>Dino.Comegna@manulifesecurities.ca</t>
  </si>
  <si>
    <t>Dino Comegna</t>
  </si>
  <si>
    <t>2017-10-14T00:46:46</t>
  </si>
  <si>
    <t>DComegna</t>
  </si>
  <si>
    <t>Dionne.Archer-Smith@manulifesecurities.ca</t>
  </si>
  <si>
    <t>Dionne Archer-Smith</t>
  </si>
  <si>
    <t>DArcherSmith</t>
  </si>
  <si>
    <t>disabletest@manulifesecurities.ca</t>
  </si>
  <si>
    <t>DisableTest</t>
  </si>
  <si>
    <t>mfc.disabletest</t>
  </si>
  <si>
    <t>Dixie.McDonald@manulifesecurities.ca</t>
  </si>
  <si>
    <t>Dixie McDonald</t>
  </si>
  <si>
    <t>2017-05-08T08:20:58</t>
  </si>
  <si>
    <t>DixieMcDonald</t>
  </si>
  <si>
    <t>DKancko@manulifesecurities.ca</t>
  </si>
  <si>
    <t>Diana Kancko</t>
  </si>
  <si>
    <t>2017-10-10T09:51:38</t>
  </si>
  <si>
    <t>dikancko</t>
  </si>
  <si>
    <t>DocumentControl@manulifesecurities.ca</t>
  </si>
  <si>
    <t>Document Control</t>
  </si>
  <si>
    <t>documentcontrol</t>
  </si>
  <si>
    <t>Doina.Niculita@manulifesecurities.ca</t>
  </si>
  <si>
    <t>Doina Niculita</t>
  </si>
  <si>
    <t>DRadu</t>
  </si>
  <si>
    <t>Dolores.Barrett@manulifesecurities.ca</t>
  </si>
  <si>
    <t>Dolores Barrett</t>
  </si>
  <si>
    <t>2017-08-14T17:20:52</t>
  </si>
  <si>
    <t>djbarrett</t>
  </si>
  <si>
    <t>Dolores.Rutland@manulifesecurities.ca</t>
  </si>
  <si>
    <t>Dolores Rutland</t>
  </si>
  <si>
    <t>2015-11-17T10:46:01</t>
  </si>
  <si>
    <t>drutland</t>
  </si>
  <si>
    <t>DoloresG.Rutland@manulifesecurities.ca</t>
  </si>
  <si>
    <t>Dolores G. Rutland</t>
  </si>
  <si>
    <t>2017-10-04T08:48:53</t>
  </si>
  <si>
    <t>mfc.doloresg.rutl</t>
  </si>
  <si>
    <t>Domenic.Falcone@manulifesecurities.ca</t>
  </si>
  <si>
    <t>Domenic Falcone</t>
  </si>
  <si>
    <t>2017-10-13T13:17:33</t>
  </si>
  <si>
    <t>dfalcone</t>
  </si>
  <si>
    <t>Domenic.Scavuzzo@manulifesecurities.ca</t>
  </si>
  <si>
    <t>Domenic Scavuzzo</t>
  </si>
  <si>
    <t>2017-10-11T08:11:35</t>
  </si>
  <si>
    <t>DScavuzzo</t>
  </si>
  <si>
    <t>Domenico.DellaRocca@manulifesecurities.ca</t>
  </si>
  <si>
    <t>Domenico Della Rocca</t>
  </si>
  <si>
    <t>dellado</t>
  </si>
  <si>
    <t>dominic.danjou@manulifesecurities.ca</t>
  </si>
  <si>
    <t>Dominic D'Anjou</t>
  </si>
  <si>
    <t>2016-11-19T10:14:33</t>
  </si>
  <si>
    <t>mfc.dominic.danjo</t>
  </si>
  <si>
    <t>Dominique.Cote@manulifesecurities.ca</t>
  </si>
  <si>
    <t>zzDominique Cote</t>
  </si>
  <si>
    <t>scriptis</t>
  </si>
  <si>
    <t>Don.Grant@manulifesecurities.ca</t>
  </si>
  <si>
    <t>Don Grant</t>
  </si>
  <si>
    <t>2017-10-09T23:25:25</t>
  </si>
  <si>
    <t>dogrant</t>
  </si>
  <si>
    <t>Don.Hayward@manulifesecurities.ca</t>
  </si>
  <si>
    <t>Don Hayward</t>
  </si>
  <si>
    <t>2017-10-13T17:47:34</t>
  </si>
  <si>
    <t>DoHayward</t>
  </si>
  <si>
    <t>Don.Hewitson@manulifesecurities.ca</t>
  </si>
  <si>
    <t>Don Hewitson</t>
  </si>
  <si>
    <t>DHewitson</t>
  </si>
  <si>
    <t>Don.Landry@manulifesecurities.ca</t>
  </si>
  <si>
    <t>Don Landry</t>
  </si>
  <si>
    <t>2017-10-15T19:37:48</t>
  </si>
  <si>
    <t>DLandry</t>
  </si>
  <si>
    <t>Don.Levy@manulifesecurities.ca</t>
  </si>
  <si>
    <t>Don Levy</t>
  </si>
  <si>
    <t>2017-10-14T04:28:55</t>
  </si>
  <si>
    <t>DLevy</t>
  </si>
  <si>
    <t>Don.Montgomery@manulifesecurities.ca</t>
  </si>
  <si>
    <t>Don Montgomery</t>
  </si>
  <si>
    <t>2017-10-11T14:36:37</t>
  </si>
  <si>
    <t>DMontgomery</t>
  </si>
  <si>
    <t>Don.Xavier@manulifesecurities.ca</t>
  </si>
  <si>
    <t>Don Xavier</t>
  </si>
  <si>
    <t>2014-11-17T09:41:23</t>
  </si>
  <si>
    <t>DXavier</t>
  </si>
  <si>
    <t>Donald.Anderson@manulifesecurities.ca</t>
  </si>
  <si>
    <t>Donald Anderson</t>
  </si>
  <si>
    <t>DoAnderson</t>
  </si>
  <si>
    <t>Donald.Aronovitch@manulifesecurities.ca</t>
  </si>
  <si>
    <t>Donald Aronovitch</t>
  </si>
  <si>
    <t>2017-04-19T11:01:39</t>
  </si>
  <si>
    <t>aronodo</t>
  </si>
  <si>
    <t>Donald.Couse@manulifesecurities.ca</t>
  </si>
  <si>
    <t>Donald Couse</t>
  </si>
  <si>
    <t>dbcouse</t>
  </si>
  <si>
    <t>Donald.Hutton@manulifesecurities.ca</t>
  </si>
  <si>
    <t>Donald Hutton</t>
  </si>
  <si>
    <t>hutton</t>
  </si>
  <si>
    <t>Donald.Inch@manulifesecurities.ca</t>
  </si>
  <si>
    <t>Donald Inch</t>
  </si>
  <si>
    <t>inchdj</t>
  </si>
  <si>
    <t>Donald.Murphy@manulifesecurities.ca</t>
  </si>
  <si>
    <t>Don Murphy</t>
  </si>
  <si>
    <t>2017-10-10T08:11:54</t>
  </si>
  <si>
    <t>DMurphy</t>
  </si>
  <si>
    <t>Donald.Peace@manulifesecurities.ca</t>
  </si>
  <si>
    <t>Donald Peace</t>
  </si>
  <si>
    <t>dpeace</t>
  </si>
  <si>
    <t>Donald.Rhee@manulifesecurities.ca</t>
  </si>
  <si>
    <t>Donald Rhee</t>
  </si>
  <si>
    <t>2017-10-04T14:47:17</t>
  </si>
  <si>
    <t>drhee</t>
  </si>
  <si>
    <t>Donald.Stockman@manulifesecurities.ca</t>
  </si>
  <si>
    <t>Donald Stockman</t>
  </si>
  <si>
    <t>stockdo</t>
  </si>
  <si>
    <t>Donald.White@manulifesecurities.ca</t>
  </si>
  <si>
    <t>Donald White</t>
  </si>
  <si>
    <t>2017-06-14T14:43:59</t>
  </si>
  <si>
    <t>dwhite3</t>
  </si>
  <si>
    <t>Donna.Bartolini@manulifesecurities.ca</t>
  </si>
  <si>
    <t>Donna Bartolini</t>
  </si>
  <si>
    <t>2017-10-12T10:41:57</t>
  </si>
  <si>
    <t>DBartolini</t>
  </si>
  <si>
    <t>Donna.Driedger@manulifesecurities.ca</t>
  </si>
  <si>
    <t>Donna Driedger</t>
  </si>
  <si>
    <t>donnadriedger</t>
  </si>
  <si>
    <t>Donna.Gatzke@manulifesecurities.ca</t>
  </si>
  <si>
    <t>2015-08-06T11:27:04</t>
  </si>
  <si>
    <t>DGatzke</t>
  </si>
  <si>
    <t>Donna.Hinds@manulifesecurities.ca</t>
  </si>
  <si>
    <t>Donna Hinds</t>
  </si>
  <si>
    <t>DHinds</t>
  </si>
  <si>
    <t>Donna.Jewell@manulifesecurities.ca</t>
  </si>
  <si>
    <t>Donna Jewell</t>
  </si>
  <si>
    <t>dojewell</t>
  </si>
  <si>
    <t>Donna.Killen@manulifesecurities.ca</t>
  </si>
  <si>
    <t>Donna Killen</t>
  </si>
  <si>
    <t>2017-05-12T14:54:43</t>
  </si>
  <si>
    <t>mfc.donna.killen</t>
  </si>
  <si>
    <t>Donna.Kochuta@manulifesecurities.ca</t>
  </si>
  <si>
    <t>Donna Kochuta</t>
  </si>
  <si>
    <t>2017-06-12T14:11:59</t>
  </si>
  <si>
    <t>dkochuta</t>
  </si>
  <si>
    <t>Donna.Loeppky@manulifesecurities.ca</t>
  </si>
  <si>
    <t>Donna Loeppky</t>
  </si>
  <si>
    <t>loeppdo</t>
  </si>
  <si>
    <t>Donna.Lumsden@manulifesecurities.ca</t>
  </si>
  <si>
    <t>Donna Lumsden</t>
  </si>
  <si>
    <t>dlumsden</t>
  </si>
  <si>
    <t>Donna.MacDougall@manulifesecurities.ca</t>
  </si>
  <si>
    <t>Donna MacDougall</t>
  </si>
  <si>
    <t>2017-10-12T11:59:39</t>
  </si>
  <si>
    <t>mfc.donna.macdoug</t>
  </si>
  <si>
    <t>Donna.McColl@manulifesecurities.ca</t>
  </si>
  <si>
    <t>Donna McColl</t>
  </si>
  <si>
    <t>2017-10-12T09:14:48</t>
  </si>
  <si>
    <t>mfc.donna.mccoll</t>
  </si>
  <si>
    <t>Donna.Mezei@manulifesecurities.ca</t>
  </si>
  <si>
    <t>Donna Mezei</t>
  </si>
  <si>
    <t>2017-10-10T10:30:16</t>
  </si>
  <si>
    <t>dmezei</t>
  </si>
  <si>
    <t>Donna.Mikus@manulifesecurities.ca</t>
  </si>
  <si>
    <t>Donna Mikus</t>
  </si>
  <si>
    <t>2015-08-18T13:51:11</t>
  </si>
  <si>
    <t>dmikus</t>
  </si>
  <si>
    <t>donna.montreuil@manulifesecurities.ca</t>
  </si>
  <si>
    <t>Donna Montreuil</t>
  </si>
  <si>
    <t>2017-10-12T10:13:40</t>
  </si>
  <si>
    <t>dmontreuil</t>
  </si>
  <si>
    <t>Donna.Moore@manulifesecurities.ca</t>
  </si>
  <si>
    <t>Donna Moore</t>
  </si>
  <si>
    <t>djmoore</t>
  </si>
  <si>
    <t>Donna.Page@manulifesecurities.ca</t>
  </si>
  <si>
    <t>Donna Page</t>
  </si>
  <si>
    <t>2016-06-20T12:49:02</t>
  </si>
  <si>
    <t>DPage</t>
  </si>
  <si>
    <t>Donna.Rankin@manulifesecurities.ca</t>
  </si>
  <si>
    <t>Donna Rankin</t>
  </si>
  <si>
    <t>2017-10-05T19:06:06</t>
  </si>
  <si>
    <t>DRankin</t>
  </si>
  <si>
    <t>Donna.Rose@manulifesecurities.ca</t>
  </si>
  <si>
    <t>Donna Rose</t>
  </si>
  <si>
    <t>2017-10-07T19:34:29</t>
  </si>
  <si>
    <t>donrose</t>
  </si>
  <si>
    <t>Donna.Soltes@manulifesecurities.ca</t>
  </si>
  <si>
    <t>Donna Soltes</t>
  </si>
  <si>
    <t>DSoltes</t>
  </si>
  <si>
    <t>Donna.Steeden@manulifesecurities.ca</t>
  </si>
  <si>
    <t>Donna Steeden</t>
  </si>
  <si>
    <t>dlsteeden</t>
  </si>
  <si>
    <t>Donna.Thomas@manulifesecurities.ca</t>
  </si>
  <si>
    <t>Donna Thomas</t>
  </si>
  <si>
    <t>2016-06-15T16:15:14</t>
  </si>
  <si>
    <t>DonnaThomas</t>
  </si>
  <si>
    <t>Donna.Waggoner@manulifesecurities.ca</t>
  </si>
  <si>
    <t>Donna Waggoner</t>
  </si>
  <si>
    <t>DWaggoner</t>
  </si>
  <si>
    <t>Donnalee.Mccarthy@manulifesecurities.ca</t>
  </si>
  <si>
    <t>Donnalee Mccarthy</t>
  </si>
  <si>
    <t>dmccardo</t>
  </si>
  <si>
    <t>DoNotCall@manulifesecurities.ca</t>
  </si>
  <si>
    <t>Do Not Call</t>
  </si>
  <si>
    <t>DoNotCall</t>
  </si>
  <si>
    <t>Dora.Reimer@manulifesecurities.ca</t>
  </si>
  <si>
    <t>Dora Reimer</t>
  </si>
  <si>
    <t>DReimer</t>
  </si>
  <si>
    <t>Doreen.Nicholson@manulifesecurities.ca</t>
  </si>
  <si>
    <t>Doreen Nicholson</t>
  </si>
  <si>
    <t>2017-10-02T17:35:04</t>
  </si>
  <si>
    <t>nichodo</t>
  </si>
  <si>
    <t>Doreen.Smith@manulifesecurities.ca</t>
  </si>
  <si>
    <t>Doreen Smith</t>
  </si>
  <si>
    <t>2015-10-08T12:21:47</t>
  </si>
  <si>
    <t>DorSmith</t>
  </si>
  <si>
    <t>Doreen.Welsh@manulifesecurities.ca</t>
  </si>
  <si>
    <t>Doreen Welsh</t>
  </si>
  <si>
    <t>DWelsh</t>
  </si>
  <si>
    <t>Doris.Amenyo@manulifesecurities.ca</t>
  </si>
  <si>
    <t>Doris Amenyo</t>
  </si>
  <si>
    <t>2014-11-04T12:56:50</t>
  </si>
  <si>
    <t>damenyo</t>
  </si>
  <si>
    <t>Doris.Hood@manulifesecurities.ca</t>
  </si>
  <si>
    <t>Doris Hood</t>
  </si>
  <si>
    <t>2017-10-16T08:44:12</t>
  </si>
  <si>
    <t>DoHood</t>
  </si>
  <si>
    <t>Dorothy.Hannah@manulifesecurities.ca</t>
  </si>
  <si>
    <t>zz-Dorothy Hannah</t>
  </si>
  <si>
    <t>DHannah</t>
  </si>
  <si>
    <t>Dorothy.Montgomery@manulifesecurities.ca</t>
  </si>
  <si>
    <t>Dorothy Montgomery</t>
  </si>
  <si>
    <t>domontgo</t>
  </si>
  <si>
    <t>Dorothy.Mussenden@manulifesecurities.ca</t>
  </si>
  <si>
    <t>Dorothy Mussenden</t>
  </si>
  <si>
    <t>dmusse</t>
  </si>
  <si>
    <t>dorra.abdelmoula@manulifesecurities.ca</t>
  </si>
  <si>
    <t>Dorra Abdelmoula</t>
  </si>
  <si>
    <t>2017-09-29T14:58:49</t>
  </si>
  <si>
    <t>mfc.dorra.abdelmo</t>
  </si>
  <si>
    <t>Dorrie.Corriveau@manulifesecurities.ca</t>
  </si>
  <si>
    <t>Dorrie Corriveau</t>
  </si>
  <si>
    <t>dcorriv</t>
  </si>
  <si>
    <t>dorvalfaxqc@manulifesecurities.ca</t>
  </si>
  <si>
    <t>Dorval Fax</t>
  </si>
  <si>
    <t>DorvalFax</t>
  </si>
  <si>
    <t>Dory.Sarkis@manulifesecurities.ca</t>
  </si>
  <si>
    <t>Dory Sarkis</t>
  </si>
  <si>
    <t>2017-10-13T02:59:08</t>
  </si>
  <si>
    <t>DSarkis</t>
  </si>
  <si>
    <t>Doug.Armitage@manulifesecurities.ca</t>
  </si>
  <si>
    <t>Doug Armitage</t>
  </si>
  <si>
    <t>2016-12-24T08:30:40</t>
  </si>
  <si>
    <t>DArmitage</t>
  </si>
  <si>
    <t>Doug.Gowman@manulifesecurities.ca</t>
  </si>
  <si>
    <t>Doug Gowman</t>
  </si>
  <si>
    <t>2017-10-14T20:40:31</t>
  </si>
  <si>
    <t>DGowman</t>
  </si>
  <si>
    <t>Doug.Laginskie@manulifesecurities.ca</t>
  </si>
  <si>
    <t>Doug Laginskie</t>
  </si>
  <si>
    <t>dlaginsk</t>
  </si>
  <si>
    <t>Doug.Savage@manulifesecurities.ca</t>
  </si>
  <si>
    <t>DSavage</t>
  </si>
  <si>
    <t>Douglas.Chorkawy@manulifesecurities.ca</t>
  </si>
  <si>
    <t>Douglas Chorkawy</t>
  </si>
  <si>
    <t>2017-10-10T15:02:15</t>
  </si>
  <si>
    <t>DChorkawy</t>
  </si>
  <si>
    <t>Douglas.Flanigan@manulifesecurities.ca</t>
  </si>
  <si>
    <t>Douglas Flanigan</t>
  </si>
  <si>
    <t>DFlanigan</t>
  </si>
  <si>
    <t>Douglas.McCormick@manulifesecurities.ca</t>
  </si>
  <si>
    <t>Douglas McCormick</t>
  </si>
  <si>
    <t>2017-10-11T10:37:55</t>
  </si>
  <si>
    <t>mccorm</t>
  </si>
  <si>
    <t>Douglas.McLeod@manulifesecurities.ca</t>
  </si>
  <si>
    <t>Douglas McLeod</t>
  </si>
  <si>
    <t>DMcLeod</t>
  </si>
  <si>
    <t>Douglas.Morris@manulifesecurities.ca</t>
  </si>
  <si>
    <t>Douglas Morris</t>
  </si>
  <si>
    <t>2017-02-02T13:46:14</t>
  </si>
  <si>
    <t>dgmorris</t>
  </si>
  <si>
    <t>Douglas.Thomson@manulifesecurities.ca</t>
  </si>
  <si>
    <t>Douglas Thomson</t>
  </si>
  <si>
    <t>2017-10-10T11:37:37</t>
  </si>
  <si>
    <t>dthomson</t>
  </si>
  <si>
    <t>Douglas.Williamson@manulifesecurities.ca</t>
  </si>
  <si>
    <t>Douglas Williamson</t>
  </si>
  <si>
    <t>2017-10-12T14:16:45</t>
  </si>
  <si>
    <t>DWilliamson</t>
  </si>
  <si>
    <t>Drazen.Vasiljevic@manulifesecurities.ca</t>
  </si>
  <si>
    <t>Drazen Vasiljevic</t>
  </si>
  <si>
    <t>2017-10-15T02:56:16</t>
  </si>
  <si>
    <t>DVasiljevic</t>
  </si>
  <si>
    <t>Drew.Henderson@manulifesecurities.ca</t>
  </si>
  <si>
    <t>Drew Henderson</t>
  </si>
  <si>
    <t>2017-10-06T17:21:33</t>
  </si>
  <si>
    <t>DHenderson</t>
  </si>
  <si>
    <t>Drew.Stewart@manulifesecurities.ca</t>
  </si>
  <si>
    <t>Drew Stewart</t>
  </si>
  <si>
    <t>stewadr</t>
  </si>
  <si>
    <t>DRFTracker@manulifesecurities.ca</t>
  </si>
  <si>
    <t>DRF Tracker</t>
  </si>
  <si>
    <t>DRFTracker</t>
  </si>
  <si>
    <t>Driss.Adrao@manulifesecurities.ca</t>
  </si>
  <si>
    <t>Driss Adrao</t>
  </si>
  <si>
    <t>DAdrao</t>
  </si>
  <si>
    <t>Drummond.Brown@manulifesecurities.ca</t>
  </si>
  <si>
    <t>Drummond Brown</t>
  </si>
  <si>
    <t>2017-10-16T05:58:53</t>
  </si>
  <si>
    <t>DBrown</t>
  </si>
  <si>
    <t>DThomas@manulifesecurities.ca</t>
  </si>
  <si>
    <t>David Thomas - S.S. Marie</t>
  </si>
  <si>
    <t>2016-10-20T12:04:12</t>
  </si>
  <si>
    <t>DThomas</t>
  </si>
  <si>
    <t>DTSCTestCac.ProductionCAC@manulifesecurities.ca</t>
  </si>
  <si>
    <t>DTSC Test Cac Production CAC</t>
  </si>
  <si>
    <t>testcac</t>
  </si>
  <si>
    <t>DTSCTestIac.ProductionIAC@manulifesecurities.ca</t>
  </si>
  <si>
    <t>Dist Test Iac  Production IAC</t>
  </si>
  <si>
    <t>testiac</t>
  </si>
  <si>
    <t>DTSCTestNac.ProductionNAC@manulifesecurities.ca</t>
  </si>
  <si>
    <t>DTSC Test Nac Production NAC</t>
  </si>
  <si>
    <t>testnac</t>
  </si>
  <si>
    <t>Duane.Eby@manulifesecurities.ca</t>
  </si>
  <si>
    <t>Duane Eby</t>
  </si>
  <si>
    <t>2017-10-14T09:47:40</t>
  </si>
  <si>
    <t>duaneby</t>
  </si>
  <si>
    <t>Duane.Francis@manulifesecurities.ca</t>
  </si>
  <si>
    <t>Duane Francis</t>
  </si>
  <si>
    <t>DFrancis</t>
  </si>
  <si>
    <t>Dudley.Balan@manulifesecurities.ca</t>
  </si>
  <si>
    <t>Dudley Balan</t>
  </si>
  <si>
    <t>2016-07-21T10:01:22</t>
  </si>
  <si>
    <t>mfc.dudley.balan</t>
  </si>
  <si>
    <t>Duke.Trifunovic@manulifesecurities.ca</t>
  </si>
  <si>
    <t>Duke Trifunovic</t>
  </si>
  <si>
    <t>2017-10-11T18:00:54</t>
  </si>
  <si>
    <t>mfc.dusko.trifuno</t>
  </si>
  <si>
    <t>Duncan.Stewart@manulifesecurities.ca</t>
  </si>
  <si>
    <t>Duncan Stewart</t>
  </si>
  <si>
    <t>2017-10-13T11:38:31</t>
  </si>
  <si>
    <t>DStewart</t>
  </si>
  <si>
    <t>Dustin.Buenaventura@manulifesecurities.ca</t>
  </si>
  <si>
    <t>Dustin Buenaventura</t>
  </si>
  <si>
    <t>DBuenaventura</t>
  </si>
  <si>
    <t>Dwayne.Romaniuk@manulifesecurities.ca</t>
  </si>
  <si>
    <t>Dwayne Romaniuk</t>
  </si>
  <si>
    <t>2015-04-05T12:55:06</t>
  </si>
  <si>
    <t>DRomaniuk</t>
  </si>
  <si>
    <t>Dwight.Kosior@manulifesecurities.ca</t>
  </si>
  <si>
    <t>Dwight Kosior</t>
  </si>
  <si>
    <t>DKosior</t>
  </si>
  <si>
    <t>dwight.lee@manulifesecurities.ca</t>
  </si>
  <si>
    <t>Dwight Lee</t>
  </si>
  <si>
    <t>2017-10-12T10:22:27</t>
  </si>
  <si>
    <t>mfc.dwight.lee</t>
  </si>
  <si>
    <t>Dwight.Proudfoot@manulifesecurities.ca</t>
  </si>
  <si>
    <t>Dwight Proudfoot</t>
  </si>
  <si>
    <t>2017-10-15T08:28:42</t>
  </si>
  <si>
    <t>DwProudfoot</t>
  </si>
  <si>
    <t>Dwight.Watson@manulifesecurities.ca</t>
  </si>
  <si>
    <t>Dwight Watson</t>
  </si>
  <si>
    <t>2017-10-06T11:02:02</t>
  </si>
  <si>
    <t>DWatson</t>
  </si>
  <si>
    <t>E.Bissell@manulifesecurities.ca</t>
  </si>
  <si>
    <t>Eva Bissell</t>
  </si>
  <si>
    <t>2017-10-16T07:47:53</t>
  </si>
  <si>
    <t>EvaBissell</t>
  </si>
  <si>
    <t>e.choi@manulifesecurities.ca</t>
  </si>
  <si>
    <t>Eddy Choi</t>
  </si>
  <si>
    <t>2017-05-29T19:31:43</t>
  </si>
  <si>
    <t>mfc.e.choi</t>
  </si>
  <si>
    <t>Earl.Siegle@manulifesecurities.ca</t>
  </si>
  <si>
    <t>Earl Siegle</t>
  </si>
  <si>
    <t>2017-10-13T10:38:51</t>
  </si>
  <si>
    <t>siegle</t>
  </si>
  <si>
    <t>Earle.Yasin@manulifesecurities.ca</t>
  </si>
  <si>
    <t>Earle Yasin</t>
  </si>
  <si>
    <t>2017-09-06T17:35:35</t>
  </si>
  <si>
    <t>eyasin</t>
  </si>
  <si>
    <t>EAS@manulifesecurities.ca</t>
  </si>
  <si>
    <t>EAS</t>
  </si>
  <si>
    <t>eas</t>
  </si>
  <si>
    <t>Ed.Ivetac@manulifesecurities.ca</t>
  </si>
  <si>
    <t>EIvetac</t>
  </si>
  <si>
    <t>Ed.Lim@manulifesecurities.ca</t>
  </si>
  <si>
    <t>Ed Lim</t>
  </si>
  <si>
    <t>2017-10-14T04:00:11</t>
  </si>
  <si>
    <t>ELim</t>
  </si>
  <si>
    <t>ed.ounpuu@manulifesecurities.ca</t>
  </si>
  <si>
    <t>Ed Ounpuu</t>
  </si>
  <si>
    <t>mfc.ed.ounpuu</t>
  </si>
  <si>
    <t>Ed.VanKeulen@manulifesecurities.ca</t>
  </si>
  <si>
    <t>Ed Van Keulen</t>
  </si>
  <si>
    <t>2017-10-12T12:08:55</t>
  </si>
  <si>
    <t>evankeulen</t>
  </si>
  <si>
    <t>Eddy.Choi@manulifesecurities.ca</t>
  </si>
  <si>
    <t>2015-06-17T14:39:42</t>
  </si>
  <si>
    <t>eddychoi</t>
  </si>
  <si>
    <t>Edmund.Lam@manulifesecurities.ca</t>
  </si>
  <si>
    <t>Edmund Lam</t>
  </si>
  <si>
    <t>2017-10-13T13:55:05</t>
  </si>
  <si>
    <t>elam</t>
  </si>
  <si>
    <t>Edna.Lipworth@manulifesecurities.ca</t>
  </si>
  <si>
    <t>Edna Lipworth</t>
  </si>
  <si>
    <t>2017-10-11T17:44:41</t>
  </si>
  <si>
    <t>ednalip</t>
  </si>
  <si>
    <t>Edward.Adams@manulifesecurities.ca</t>
  </si>
  <si>
    <t>Edward Adams</t>
  </si>
  <si>
    <t>2017-10-12T18:21:30</t>
  </si>
  <si>
    <t>mfc.edward.adams</t>
  </si>
  <si>
    <t>Edward.Biding@manulifesecurities.ca</t>
  </si>
  <si>
    <t>Edward Biding</t>
  </si>
  <si>
    <t>ebiding</t>
  </si>
  <si>
    <t>Edward.Brown@manulifesecurities.ca</t>
  </si>
  <si>
    <t>Ed Brown</t>
  </si>
  <si>
    <t>EBrown</t>
  </si>
  <si>
    <t>Edward.Ecclestone@manulifesecurities.ca</t>
  </si>
  <si>
    <t>Edward Ecclestone</t>
  </si>
  <si>
    <t>2017-10-06T12:32:07</t>
  </si>
  <si>
    <t>teeccl</t>
  </si>
  <si>
    <t>Edward.Kurtz@manulifesecurities.ca</t>
  </si>
  <si>
    <t>Ed Kurtz</t>
  </si>
  <si>
    <t>2016-04-05T15:07:19</t>
  </si>
  <si>
    <t>EKurtz</t>
  </si>
  <si>
    <t>Edward.Lapointe@manulifesecurities.ca</t>
  </si>
  <si>
    <t>Edward Lapointe</t>
  </si>
  <si>
    <t>lapoied</t>
  </si>
  <si>
    <t>Edward.Sabeski@manulifesecurities.ca</t>
  </si>
  <si>
    <t>Edward Sabeski</t>
  </si>
  <si>
    <t>2015-08-23T05:31:38</t>
  </si>
  <si>
    <t>ESabeski</t>
  </si>
  <si>
    <t>Edward.Synak@manulifesecurities.ca</t>
  </si>
  <si>
    <t>Edward Synak</t>
  </si>
  <si>
    <t>ESynak</t>
  </si>
  <si>
    <t>Edwin.Eouanzoui@manulifesecurities.ca</t>
  </si>
  <si>
    <t>Edwin Eouanzoui</t>
  </si>
  <si>
    <t>EEouanzoui</t>
  </si>
  <si>
    <t>Edwin.Fedun@manulifesecurities.ca</t>
  </si>
  <si>
    <t>Edwin Fedun</t>
  </si>
  <si>
    <t>edfedun</t>
  </si>
  <si>
    <t>Edwin.Jackson@manulifesecurities.ca</t>
  </si>
  <si>
    <t>Edwin Jackson</t>
  </si>
  <si>
    <t>2017-10-06T23:15:28</t>
  </si>
  <si>
    <t>EJackson</t>
  </si>
  <si>
    <t>Eileen.Madder@manulifesecurities.ca</t>
  </si>
  <si>
    <t>Eileen Madder</t>
  </si>
  <si>
    <t>2017-10-09T12:06:58</t>
  </si>
  <si>
    <t>emadder</t>
  </si>
  <si>
    <t>Elaine.Anderson@manulifesecurities.ca</t>
  </si>
  <si>
    <t>Elaine Anderson</t>
  </si>
  <si>
    <t>ElAnderson</t>
  </si>
  <si>
    <t>Elaine.DeVera@manulifesecurities.ca</t>
  </si>
  <si>
    <t>Elaine De Vera</t>
  </si>
  <si>
    <t>edevera</t>
  </si>
  <si>
    <t>Elaine.Jala@manulifesecurities.ca</t>
  </si>
  <si>
    <t>Elaine Jala</t>
  </si>
  <si>
    <t>elainejala</t>
  </si>
  <si>
    <t>Elaine.Kelly@manulifesecurities.ca</t>
  </si>
  <si>
    <t>Elaine Kelly</t>
  </si>
  <si>
    <t>2017-10-08T02:16:29</t>
  </si>
  <si>
    <t>ElaineKelly</t>
  </si>
  <si>
    <t>Elaine.Kwok@manulifesecurities.ca</t>
  </si>
  <si>
    <t>Elaine Kwok</t>
  </si>
  <si>
    <t>mfc.elaine.kwok</t>
  </si>
  <si>
    <t>Elaine.Marr@manulifesecurities.ca</t>
  </si>
  <si>
    <t>Elaine Marr</t>
  </si>
  <si>
    <t>elainemarr</t>
  </si>
  <si>
    <t>Elaine.Patfong@manulifesecurities.ca</t>
  </si>
  <si>
    <t>Elaine Patfong</t>
  </si>
  <si>
    <t>EPatfong</t>
  </si>
  <si>
    <t>Elaine.Royds@manulifesecurities.ca</t>
  </si>
  <si>
    <t>Elaine Royds</t>
  </si>
  <si>
    <t>2017-10-09T08:05:13</t>
  </si>
  <si>
    <t>ERoyds</t>
  </si>
  <si>
    <t>Elaine.Rusnak@manulifesecurities.ca</t>
  </si>
  <si>
    <t>Elaine Rusnak</t>
  </si>
  <si>
    <t>2017-10-12T13:56:48</t>
  </si>
  <si>
    <t>erusnak</t>
  </si>
  <si>
    <t>Elaine.Wetherup@manulifesecurities.ca</t>
  </si>
  <si>
    <t>Elaine Wetherup</t>
  </si>
  <si>
    <t>ewetherup</t>
  </si>
  <si>
    <t>Eleanor.James@manulifesecurities.ca</t>
  </si>
  <si>
    <t>Eleanor James</t>
  </si>
  <si>
    <t>2017-10-11T10:27:58</t>
  </si>
  <si>
    <t>cjames228</t>
  </si>
  <si>
    <t>Elena.Gonsalves@manulifesecurities.ca</t>
  </si>
  <si>
    <t>Elena Gonsalves</t>
  </si>
  <si>
    <t>EGonsalves</t>
  </si>
  <si>
    <t>Elena.Palade@manulifesecurities.ca</t>
  </si>
  <si>
    <t>Elena Palade</t>
  </si>
  <si>
    <t>2017-10-12T10:13:33</t>
  </si>
  <si>
    <t>EPalade</t>
  </si>
  <si>
    <t>Elena.Richards@manulifesecurities.ca</t>
  </si>
  <si>
    <t>Elena Richards</t>
  </si>
  <si>
    <t>ERichards</t>
  </si>
  <si>
    <t>Eleonora.Zakharova@manulifesecurities.ca</t>
  </si>
  <si>
    <t>Eleonora Zakharova</t>
  </si>
  <si>
    <t>2017-10-06T09:04:33</t>
  </si>
  <si>
    <t>EZakharova</t>
  </si>
  <si>
    <t>Eli.Diament@manulifesecurities.ca</t>
  </si>
  <si>
    <t>Eli D Diament</t>
  </si>
  <si>
    <t>2017-10-14T08:21:26</t>
  </si>
  <si>
    <t>EDiament</t>
  </si>
  <si>
    <t>Elias.Barbour@manulifesecurities.ca</t>
  </si>
  <si>
    <t>Elias Barbour</t>
  </si>
  <si>
    <t>ebarbour</t>
  </si>
  <si>
    <t>Elie.Chouweiri@manulifesecurities.ca</t>
  </si>
  <si>
    <t>Elie Chouweiri</t>
  </si>
  <si>
    <t>2017-10-11T13:31:48</t>
  </si>
  <si>
    <t>EChouweiri</t>
  </si>
  <si>
    <t>Elie.Nassif@manulifesecurities.ca</t>
  </si>
  <si>
    <t>Elie Nassif</t>
  </si>
  <si>
    <t>2017-10-08T08:31:48</t>
  </si>
  <si>
    <t>ENassif</t>
  </si>
  <si>
    <t>Elie.Nour@manulifesecurities.ca</t>
  </si>
  <si>
    <t>Elie Nour</t>
  </si>
  <si>
    <t>2017-10-11T00:36:59</t>
  </si>
  <si>
    <t>EAbdelNour</t>
  </si>
  <si>
    <t>elinor.braden@manulifesecurities.ca</t>
  </si>
  <si>
    <t>Elinor Braden</t>
  </si>
  <si>
    <t>2016-03-28T16:59:04</t>
  </si>
  <si>
    <t>mfc.elinor.braden</t>
  </si>
  <si>
    <t>Elio.Ferrara@manulifesecurities.ca</t>
  </si>
  <si>
    <t>Elio Ferrara</t>
  </si>
  <si>
    <t>2017-10-11T16:26:45</t>
  </si>
  <si>
    <t>EFerrara</t>
  </si>
  <si>
    <t>Elisa.Crabtree@manulifesecurities.ca</t>
  </si>
  <si>
    <t>ECrabtree</t>
  </si>
  <si>
    <t>Elisa.Moteeram@manulifesecurities.ca</t>
  </si>
  <si>
    <t>Elisa Moteeram</t>
  </si>
  <si>
    <t>2017-10-10T07:56:00</t>
  </si>
  <si>
    <t>EMoteeram</t>
  </si>
  <si>
    <t>Elisabeth.Schnick@manulifesecurities.ca</t>
  </si>
  <si>
    <t>Elisabeth Schnick</t>
  </si>
  <si>
    <t>ESchnick</t>
  </si>
  <si>
    <t>Elisabeth.Valente@manulifesecurities.ca</t>
  </si>
  <si>
    <t>Elisabeth Valente</t>
  </si>
  <si>
    <t>2017-10-10T09:45:06</t>
  </si>
  <si>
    <t>mfc.elisabeth.val</t>
  </si>
  <si>
    <t>Elise.Paul@manulifesecurities.ca</t>
  </si>
  <si>
    <t>Elise Paul</t>
  </si>
  <si>
    <t>EPaul</t>
  </si>
  <si>
    <t>Elizabeth.Anthony@manulifesecurities.ca</t>
  </si>
  <si>
    <t>EAnthony</t>
  </si>
  <si>
    <t>eanthony</t>
  </si>
  <si>
    <t>Elizabeth.Bondi@manulifesecurities.ca</t>
  </si>
  <si>
    <t>Elizabeth Bondi</t>
  </si>
  <si>
    <t>EBondi</t>
  </si>
  <si>
    <t>Elizabeth.Charko@manulifesecurities.ca</t>
  </si>
  <si>
    <t>Elizabeth Charko</t>
  </si>
  <si>
    <t>lizchark</t>
  </si>
  <si>
    <t>Elizabeth.Desjardins@manulifesecurities.ca</t>
  </si>
  <si>
    <t>Elizabeth Desjardins</t>
  </si>
  <si>
    <t>EDesjardins</t>
  </si>
  <si>
    <t>Elizabeth.Gougeon@manulifesecurities.ca</t>
  </si>
  <si>
    <t>Elizabeth Gougeon</t>
  </si>
  <si>
    <t>2017-10-12T11:37:55</t>
  </si>
  <si>
    <t>EGougeon</t>
  </si>
  <si>
    <t>elizabeth.graham@manulifesecurities.ca</t>
  </si>
  <si>
    <t>Elizabeth Graham</t>
  </si>
  <si>
    <t>mfc.elizabeth.gra</t>
  </si>
  <si>
    <t>Elizabeth.Huntley@manulifesecurities.ca</t>
  </si>
  <si>
    <t>Elizabeth Huntley</t>
  </si>
  <si>
    <t>2017-10-12T11:34:09</t>
  </si>
  <si>
    <t>ahuntley</t>
  </si>
  <si>
    <t>Elizabeth.Jones@manulifesecurities.ca</t>
  </si>
  <si>
    <t>Elizabeth Bloodworth</t>
  </si>
  <si>
    <t>2014-11-24T16:17:30</t>
  </si>
  <si>
    <t>EBloodworth</t>
  </si>
  <si>
    <t>Elizabeth.Munro@manulifesecurities.ca</t>
  </si>
  <si>
    <t>Elizabeth Munro</t>
  </si>
  <si>
    <t>2017-10-10T14:43:03</t>
  </si>
  <si>
    <t>EMunro</t>
  </si>
  <si>
    <t>Elizabeth.Seo@manulifesecurities.ca</t>
  </si>
  <si>
    <t>Elizabeth Seo</t>
  </si>
  <si>
    <t>ESeo</t>
  </si>
  <si>
    <t>Elizabeth.Waghorn@manulifesecurities.ca</t>
  </si>
  <si>
    <t>Elizabeth Waghorn</t>
  </si>
  <si>
    <t>EWaghorn</t>
  </si>
  <si>
    <t>Ella.Medina@manulifesecurities.ca</t>
  </si>
  <si>
    <t>Ella Medina</t>
  </si>
  <si>
    <t>EMedina</t>
  </si>
  <si>
    <t>Ellen.Jenkins@manulifesecurities.ca</t>
  </si>
  <si>
    <t>Ellen Jenkins</t>
  </si>
  <si>
    <t>EJenkins</t>
  </si>
  <si>
    <t>Ellen.Lavallee@manulifesecurities.ca</t>
  </si>
  <si>
    <t>Ellen Lavallee</t>
  </si>
  <si>
    <t>Elavallee</t>
  </si>
  <si>
    <t>Ellen.MacDougall@manulifesecurities.ca</t>
  </si>
  <si>
    <t>Ellen MacDougall</t>
  </si>
  <si>
    <t>2017-10-06T17:29:55</t>
  </si>
  <si>
    <t>macdoe1</t>
  </si>
  <si>
    <t>Ellen.Ruggles@manulifesecurities.ca</t>
  </si>
  <si>
    <t>Ellen Ruggles</t>
  </si>
  <si>
    <t>ruggles</t>
  </si>
  <si>
    <t>Elliot.Baker@manulifesecurities.ca</t>
  </si>
  <si>
    <t>Elliot Baker</t>
  </si>
  <si>
    <t>2017-10-15T08:47:05</t>
  </si>
  <si>
    <t>mfc.elliot.baker</t>
  </si>
  <si>
    <t>Elliott.Muzik@manulifesecurities.ca</t>
  </si>
  <si>
    <t>Elliott Muzik</t>
  </si>
  <si>
    <t>EMuzik</t>
  </si>
  <si>
    <t>Elsie.Fernandes@manulifesecurities.ca</t>
  </si>
  <si>
    <t>Elsie Fernandes</t>
  </si>
  <si>
    <t>efernandes</t>
  </si>
  <si>
    <t>Elsie.Meyer@manulifesecurities.ca</t>
  </si>
  <si>
    <t>Elsie Meyer</t>
  </si>
  <si>
    <t>2015-08-25T13:03:02</t>
  </si>
  <si>
    <t>EMeyer</t>
  </si>
  <si>
    <t>EmailUpgrade@manulifesecurities.ca</t>
  </si>
  <si>
    <t>Email Upgrade</t>
  </si>
  <si>
    <t>EmailUpgrade</t>
  </si>
  <si>
    <t>Emily.Leung@manulifesecurities.ca</t>
  </si>
  <si>
    <t>Emily Leung</t>
  </si>
  <si>
    <t>ELeung</t>
  </si>
  <si>
    <t>Emily.Mcgough@manulifesecurities.ca</t>
  </si>
  <si>
    <t>Emily Mcgough</t>
  </si>
  <si>
    <t>2017-10-11T09:11:30</t>
  </si>
  <si>
    <t>ekmcgough</t>
  </si>
  <si>
    <t>Emily.Murphy@manulifesecurities.ca</t>
  </si>
  <si>
    <t>Emily Murphy</t>
  </si>
  <si>
    <t>murphem</t>
  </si>
  <si>
    <t>Emily.Parker@manulifesecurities.ca</t>
  </si>
  <si>
    <t>Emily Anderson</t>
  </si>
  <si>
    <t>2016-11-03T14:07:37</t>
  </si>
  <si>
    <t>mfc.emily.anderso</t>
  </si>
  <si>
    <t>Emily.Zymerman@manulifesecurities.ca</t>
  </si>
  <si>
    <t>Emily Zymerman</t>
  </si>
  <si>
    <t>EZymerman</t>
  </si>
  <si>
    <t>Emma.Almansoori@manulifesecurities.ca</t>
  </si>
  <si>
    <t>Emma Almansoori</t>
  </si>
  <si>
    <t>EAlmansoori</t>
  </si>
  <si>
    <t>EmmaVinnitsky@mig.manulifesecurities.ca</t>
  </si>
  <si>
    <t>Emma Vinnitsky</t>
  </si>
  <si>
    <t>EVinnitsky</t>
  </si>
  <si>
    <t>Enisa.Trtovac@manulifesecurities.ca</t>
  </si>
  <si>
    <t>zz-Enisa Trtovac</t>
  </si>
  <si>
    <t>Trtovac</t>
  </si>
  <si>
    <t>Enza.Fata@manulifesecurities.ca</t>
  </si>
  <si>
    <t>Enza Fata</t>
  </si>
  <si>
    <t>enzafata</t>
  </si>
  <si>
    <t>Enza.Muredda@manulifesecurities.ca</t>
  </si>
  <si>
    <t>Enza Muredda</t>
  </si>
  <si>
    <t>EMuredda</t>
  </si>
  <si>
    <t>Enzo.Galano@manulifesecurities.ca</t>
  </si>
  <si>
    <t>Enzo Galano</t>
  </si>
  <si>
    <t>2015-04-16T23:40:15</t>
  </si>
  <si>
    <t>EGalano</t>
  </si>
  <si>
    <t>Enzo.Persia@manulifesecurities.ca</t>
  </si>
  <si>
    <t>Enzo Persia</t>
  </si>
  <si>
    <t>2017-10-13T16:31:16</t>
  </si>
  <si>
    <t>mfc.enzo.persia</t>
  </si>
  <si>
    <t>Eric.Adams@manulifesecurities.ca</t>
  </si>
  <si>
    <t>Eric Adams</t>
  </si>
  <si>
    <t>2017-10-12T13:34:03</t>
  </si>
  <si>
    <t>mfc.eric.adams</t>
  </si>
  <si>
    <t>Eric.Chong@manulifesecurities.ca</t>
  </si>
  <si>
    <t>Eric Chong</t>
  </si>
  <si>
    <t>mfc.eric.chong</t>
  </si>
  <si>
    <t>Eric.Delong@manulifesecurities.ca</t>
  </si>
  <si>
    <t>Eric Delong</t>
  </si>
  <si>
    <t>2017-10-06T10:30:33</t>
  </si>
  <si>
    <t>mfc.eric.delong</t>
  </si>
  <si>
    <t>Eric.Haliechuk@manulifesecurities.ca</t>
  </si>
  <si>
    <t>Eric Haliechuk</t>
  </si>
  <si>
    <t>ehalie</t>
  </si>
  <si>
    <t>Eric.Hamamdjian@manulifesecurities.ca</t>
  </si>
  <si>
    <t>Eric Hamamdjian</t>
  </si>
  <si>
    <t>2017-10-11T09:28:44</t>
  </si>
  <si>
    <t>ehamamdjian</t>
  </si>
  <si>
    <t>Eric.Harroch@manulifesecurities.ca</t>
  </si>
  <si>
    <t>Eric Harroch</t>
  </si>
  <si>
    <t>EHarroch</t>
  </si>
  <si>
    <t>Eric.Jones@manulifesecurities.ca</t>
  </si>
  <si>
    <t>Eric Jones</t>
  </si>
  <si>
    <t>debbiefina</t>
  </si>
  <si>
    <t>eric.lacoursiere@placementsmanuvie.ca</t>
  </si>
  <si>
    <t>Eric Lacoursiere</t>
  </si>
  <si>
    <t>2017-10-11T06:34:15</t>
  </si>
  <si>
    <t>mfc.eric.lacousie</t>
  </si>
  <si>
    <t>Eric.Mercier@manulifesecurities.ca</t>
  </si>
  <si>
    <t>Eric Mercier</t>
  </si>
  <si>
    <t>2017-10-16T09:56:33</t>
  </si>
  <si>
    <t>mercier</t>
  </si>
  <si>
    <t>Eric.Nielsen@manulifesecurities.ca</t>
  </si>
  <si>
    <t>Eric Nielsen</t>
  </si>
  <si>
    <t>2017-10-09T16:09:09</t>
  </si>
  <si>
    <t>mfc.e.nielsen</t>
  </si>
  <si>
    <t>Eric.Patos@manulifesecurities.ca</t>
  </si>
  <si>
    <t>Eric Patos</t>
  </si>
  <si>
    <t>EPatos</t>
  </si>
  <si>
    <t>Eric.Pistarelli@manulifesecurities.ca</t>
  </si>
  <si>
    <t>Eric Pistarelli</t>
  </si>
  <si>
    <t>2017-10-11T21:33:31</t>
  </si>
  <si>
    <t>mfc.eric.pistarel</t>
  </si>
  <si>
    <t>Eric.Sawyer@manulifesecurities.ca</t>
  </si>
  <si>
    <t>Eric Sawyer</t>
  </si>
  <si>
    <t>2017-10-04T09:52:02</t>
  </si>
  <si>
    <t>sawyeer</t>
  </si>
  <si>
    <t>Eric.Simpson@manulifesecurities.ca</t>
  </si>
  <si>
    <t>Eric Simpson</t>
  </si>
  <si>
    <t>esimpson</t>
  </si>
  <si>
    <t>Eric.Tipper@manulifesecurities.ca</t>
  </si>
  <si>
    <t>Eric Tipper</t>
  </si>
  <si>
    <t>ETipper</t>
  </si>
  <si>
    <t>Erica.Brewer@manulifesecurities.ca</t>
  </si>
  <si>
    <t>Erica Brewer</t>
  </si>
  <si>
    <t>2016-11-18T10:51:32</t>
  </si>
  <si>
    <t>EBrewer</t>
  </si>
  <si>
    <t>Erica.Busuttil@manulifesecurities.ca</t>
  </si>
  <si>
    <t>Erica Busuttil</t>
  </si>
  <si>
    <t>2016-05-11T13:38:49</t>
  </si>
  <si>
    <t>ebusut</t>
  </si>
  <si>
    <t>Erica.Johnston@manulifesecurities.ca</t>
  </si>
  <si>
    <t>Erica Johnston</t>
  </si>
  <si>
    <t>ejohnst</t>
  </si>
  <si>
    <t>Erica.Marten@manulifesecurities.ca</t>
  </si>
  <si>
    <t>EMarten</t>
  </si>
  <si>
    <t>Erica.VanVulpen@manulifesecurities.ca</t>
  </si>
  <si>
    <t>Erica Van Vulpen</t>
  </si>
  <si>
    <t>2017-06-12T14:10:52</t>
  </si>
  <si>
    <t>ericavv</t>
  </si>
  <si>
    <t>Erico.Malamud@manulifesecurities.ca</t>
  </si>
  <si>
    <t>Erico Malamud</t>
  </si>
  <si>
    <t>emalamud</t>
  </si>
  <si>
    <t>Erik.Leers@manulifesecurities.ca</t>
  </si>
  <si>
    <t>Erik Leers</t>
  </si>
  <si>
    <t>ELeers</t>
  </si>
  <si>
    <t>Erika.Downey@manulifesecurities.ca</t>
  </si>
  <si>
    <t>Erika Downey</t>
  </si>
  <si>
    <t>2017-06-22T14:41:27</t>
  </si>
  <si>
    <t>edowney</t>
  </si>
  <si>
    <t>Erika.Hoess@manulifesecurities.ca</t>
  </si>
  <si>
    <t>Erika Hoess</t>
  </si>
  <si>
    <t>2017-09-22T11:28:37</t>
  </si>
  <si>
    <t>hoesser</t>
  </si>
  <si>
    <t>Erin.Bauldic@manulifesecurities.ca</t>
  </si>
  <si>
    <t>Erin Bauldic</t>
  </si>
  <si>
    <t>2017-10-10T10:10:26</t>
  </si>
  <si>
    <t>mfc.erin.bauldic</t>
  </si>
  <si>
    <t>Erin.Hodgson@manulifesecurities.ca</t>
  </si>
  <si>
    <t>Erin Hodgson (Hamilton Branch)</t>
  </si>
  <si>
    <t>EHodgson</t>
  </si>
  <si>
    <t>Erin.Jean@manulifesecurities.ca</t>
  </si>
  <si>
    <t>Erin Jean</t>
  </si>
  <si>
    <t>2014-12-22T12:27:00</t>
  </si>
  <si>
    <t>erinroy</t>
  </si>
  <si>
    <t>Erin.Kelly@manulifesecurities.ca</t>
  </si>
  <si>
    <t>Erin Kelly (Burlington)</t>
  </si>
  <si>
    <t>EKelly</t>
  </si>
  <si>
    <t>Erin.Miller@manulifesecurities.ca</t>
  </si>
  <si>
    <t>Erin Miller</t>
  </si>
  <si>
    <t>2017-08-29T20:17:03</t>
  </si>
  <si>
    <t>mfc.erin.miller</t>
  </si>
  <si>
    <t>Erin.Stewart@manulifesecurities.ca</t>
  </si>
  <si>
    <t>Erin Stewart</t>
  </si>
  <si>
    <t>eodonnell</t>
  </si>
  <si>
    <t>Erin.Veinotte@manulifesecurities.ca</t>
  </si>
  <si>
    <t>Erin Veinotte</t>
  </si>
  <si>
    <t>eveinott</t>
  </si>
  <si>
    <t>Erin.Wrubleski@manulifesecurities.ca</t>
  </si>
  <si>
    <t>Erin Wrubleski</t>
  </si>
  <si>
    <t>2017-10-12T13:16:55</t>
  </si>
  <si>
    <t>mfc.erin.wrublesk</t>
  </si>
  <si>
    <t>Ernest.Antoniw@manulifesecurities.ca</t>
  </si>
  <si>
    <t>Ernest Antoniw</t>
  </si>
  <si>
    <t>2017-10-05T08:53:40</t>
  </si>
  <si>
    <t>antoner</t>
  </si>
  <si>
    <t>Eron.Foster@manulifesecurities.ca</t>
  </si>
  <si>
    <t>Eron Foster</t>
  </si>
  <si>
    <t>EFoster</t>
  </si>
  <si>
    <t>Errol.SoonShiong@manulifesecurities.ca</t>
  </si>
  <si>
    <t>Errol Soon Shiong</t>
  </si>
  <si>
    <t>2017-10-12T14:09:03</t>
  </si>
  <si>
    <t>eshiong</t>
  </si>
  <si>
    <t>Eseosa_Aghemwenhio@manulifesecurities.ca</t>
  </si>
  <si>
    <t>EAghemwenhio</t>
  </si>
  <si>
    <t>2015-03-31T22:33:05</t>
  </si>
  <si>
    <t>estelle.griffiths@manulifesecurities.ca</t>
  </si>
  <si>
    <t>Estelle Griffiths</t>
  </si>
  <si>
    <t>2017-05-31T11:10:38</t>
  </si>
  <si>
    <t>mfc.estelle.griff</t>
  </si>
  <si>
    <t>Esther.Der@manulifesecurities.ca</t>
  </si>
  <si>
    <t>Esther Der</t>
  </si>
  <si>
    <t>estder</t>
  </si>
  <si>
    <t>Esther.Howatt@manulifesecurities.ca</t>
  </si>
  <si>
    <t>Esther Howatt</t>
  </si>
  <si>
    <t>EHowatt</t>
  </si>
  <si>
    <t>Esther.Squire@manulifesecurities.ca</t>
  </si>
  <si>
    <t>Esther Squire</t>
  </si>
  <si>
    <t>2017-10-15T16:52:41</t>
  </si>
  <si>
    <t>ESquire</t>
  </si>
  <si>
    <t>ethan.kwon@manulifesecurities.ca</t>
  </si>
  <si>
    <t>Ho Min Kwon</t>
  </si>
  <si>
    <t>2017-10-11T07:20:54</t>
  </si>
  <si>
    <t>mfc.ho.min.kwon</t>
  </si>
  <si>
    <t>Ethel.Shackleton@manulifesecurities.ca</t>
  </si>
  <si>
    <t>Ethel Shackleton</t>
  </si>
  <si>
    <t>2015-02-23T11:52:09</t>
  </si>
  <si>
    <t>eshackleton</t>
  </si>
  <si>
    <t>Etienne.LEcuyer@manulifesecurities.ca</t>
  </si>
  <si>
    <t>Etienne L'Ecuyer</t>
  </si>
  <si>
    <t>etienne</t>
  </si>
  <si>
    <t>Eugene.Schmidt@manulifesecurities.ca</t>
  </si>
  <si>
    <t>Eugene Schmidt</t>
  </si>
  <si>
    <t>2017-10-10T00:14:31</t>
  </si>
  <si>
    <t>ESchmidt</t>
  </si>
  <si>
    <t>Eva.Bissell@manulifesecurities.ca</t>
  </si>
  <si>
    <t>Eva Bissell (Disabled)</t>
  </si>
  <si>
    <t>EBissell</t>
  </si>
  <si>
    <t>Eva.Csach@manulifesecurities.ca</t>
  </si>
  <si>
    <t>Eva Csach</t>
  </si>
  <si>
    <t>ECsach</t>
  </si>
  <si>
    <t>Eva.Tang@manulifesecurities.ca</t>
  </si>
  <si>
    <t>Eva Tang</t>
  </si>
  <si>
    <t>EvaTang</t>
  </si>
  <si>
    <t>Eva.Wright@manulifesecurities.ca</t>
  </si>
  <si>
    <t>Eva Wright</t>
  </si>
  <si>
    <t>mfc.eva.wright</t>
  </si>
  <si>
    <t>Evan.Drisner@manulifesecurities.ca</t>
  </si>
  <si>
    <t>Evan Drisner</t>
  </si>
  <si>
    <t>EDrisner</t>
  </si>
  <si>
    <t>Evan.Verbeem@manulifesecurities.ca</t>
  </si>
  <si>
    <t>Evan Verbeem</t>
  </si>
  <si>
    <t>2017-10-12T10:18:55</t>
  </si>
  <si>
    <t>EVerbeem</t>
  </si>
  <si>
    <t>Eve.Makarova@manulifesecurities.ca</t>
  </si>
  <si>
    <t>Eve Makarova</t>
  </si>
  <si>
    <t>evgeniya</t>
  </si>
  <si>
    <t>Eveline.Stidston@manulifesecurities.ca</t>
  </si>
  <si>
    <t>Eveline Stidston</t>
  </si>
  <si>
    <t>2017-10-10T12:30:43</t>
  </si>
  <si>
    <t>EStidston</t>
  </si>
  <si>
    <t>Evelyn.Eytcheson@manulifesecurities.ca</t>
  </si>
  <si>
    <t>Evelyn Eytcheson</t>
  </si>
  <si>
    <t>eytcheson</t>
  </si>
  <si>
    <t>Evelyn.Gray@manulifesecurities.ca</t>
  </si>
  <si>
    <t>Evelyn Gray</t>
  </si>
  <si>
    <t>2017-10-11T19:09:46</t>
  </si>
  <si>
    <t>mfc.evelyn.gray</t>
  </si>
  <si>
    <t>Evelyn.Greenwood@manulifesecurities.ca</t>
  </si>
  <si>
    <t>Evelyn Greenwood</t>
  </si>
  <si>
    <t>greenwood</t>
  </si>
  <si>
    <t>Evelyn.Seto@manulifesecurities.ca</t>
  </si>
  <si>
    <t>Evelyn Seto</t>
  </si>
  <si>
    <t>2017-10-13T17:55:40</t>
  </si>
  <si>
    <t>ESeto</t>
  </si>
  <si>
    <t>Everett.Herring@manulifesecurities.ca</t>
  </si>
  <si>
    <t>Everett Herring</t>
  </si>
  <si>
    <t>2016-01-09T12:36:59</t>
  </si>
  <si>
    <t>jherring</t>
  </si>
  <si>
    <t>ewsaccount@manulifesecurities.ca</t>
  </si>
  <si>
    <t>ews account</t>
  </si>
  <si>
    <t>2016-01-18T10:21:52</t>
  </si>
  <si>
    <t>mfc.ewsaccount</t>
  </si>
  <si>
    <t>Eyal.Amon@manulifesecurities.ca</t>
  </si>
  <si>
    <t>Eyal Amon</t>
  </si>
  <si>
    <t>2017-10-16T03:11:12</t>
  </si>
  <si>
    <t>EAmon</t>
  </si>
  <si>
    <t>Eyyup.Cam@manulifesecurities.ca</t>
  </si>
  <si>
    <t>Eyyup Cam</t>
  </si>
  <si>
    <t>2016-03-17T10:16:32</t>
  </si>
  <si>
    <t>ECam</t>
  </si>
  <si>
    <t>F.Grunfelder@manulifesecurities.ca</t>
  </si>
  <si>
    <t>Florence Grunfelder</t>
  </si>
  <si>
    <t>2015-01-23T10:06:23</t>
  </si>
  <si>
    <t>mfc.f.grunfelder</t>
  </si>
  <si>
    <t>F.Kwok@manulifesecurities.ca</t>
  </si>
  <si>
    <t>Frances Kwok</t>
  </si>
  <si>
    <t>2017-04-10T16:38:25</t>
  </si>
  <si>
    <t>mfc.f.kwok</t>
  </si>
  <si>
    <t>Fabala.Sanogo@manulifesecurities.ca</t>
  </si>
  <si>
    <t>Fabala Sanogo</t>
  </si>
  <si>
    <t>FSanogo</t>
  </si>
  <si>
    <t>FacilitiesMailbox@manulifesecurities.ca</t>
  </si>
  <si>
    <t>Facilities</t>
  </si>
  <si>
    <t>FacilitiesMailbox</t>
  </si>
  <si>
    <t>Fadi.Francis@manulifesecurities.ca</t>
  </si>
  <si>
    <t>Fadi Francis</t>
  </si>
  <si>
    <t>FFrancis</t>
  </si>
  <si>
    <t>Fahmi.Karim@manulifesecurities.ca</t>
  </si>
  <si>
    <t>Fahmi Karim</t>
  </si>
  <si>
    <t>2017-10-13T08:38:04</t>
  </si>
  <si>
    <t>mfc.fahmi.karim</t>
  </si>
  <si>
    <t>Faisal.Ahamed@manulifesecurities.ca</t>
  </si>
  <si>
    <t>Faisal Ahamed</t>
  </si>
  <si>
    <t>fahamed</t>
  </si>
  <si>
    <t>faisal.quraishi@manulifesecurities.ca</t>
  </si>
  <si>
    <t>Faisal Quraishi</t>
  </si>
  <si>
    <t>2016-02-26T15:14:32</t>
  </si>
  <si>
    <t>mfc.faisal.qurais</t>
  </si>
  <si>
    <t>Faith.Krueger@manulifesecurities.ca</t>
  </si>
  <si>
    <t>Faith Krueger</t>
  </si>
  <si>
    <t>2017-10-06T01:47:07</t>
  </si>
  <si>
    <t>FKrueger</t>
  </si>
  <si>
    <t>Faith.Macey@manulifesecurities.ca</t>
  </si>
  <si>
    <t>Faith Macey</t>
  </si>
  <si>
    <t>2017-10-05T11:46:03</t>
  </si>
  <si>
    <t>fmacey</t>
  </si>
  <si>
    <t>Falk.Hampel@manulifesecurities.ca</t>
  </si>
  <si>
    <t>Falk Hampel</t>
  </si>
  <si>
    <t>2017-06-19T12:58:59</t>
  </si>
  <si>
    <t>mfc.falk.hampel</t>
  </si>
  <si>
    <t>Fanny.Shluper@manulifesecurities.ca</t>
  </si>
  <si>
    <t>Fanny Shluper</t>
  </si>
  <si>
    <t>fannyshluper</t>
  </si>
  <si>
    <t>Fanny.Tremblay@manulifesecurities.ca</t>
  </si>
  <si>
    <t>Fanny Tremblay</t>
  </si>
  <si>
    <t>FTremblay</t>
  </si>
  <si>
    <t>farima.namin@manulifesecurities.ca</t>
  </si>
  <si>
    <t>Farima Namin</t>
  </si>
  <si>
    <t>2017-10-10T08:36:49</t>
  </si>
  <si>
    <t>mfc.farima.rameza</t>
  </si>
  <si>
    <t>Farzad.Kanani@manulifesecurities.ca</t>
  </si>
  <si>
    <t>FKanani</t>
  </si>
  <si>
    <t>fkanani</t>
  </si>
  <si>
    <t>Faye.Rolston@manulifesecurities.ca</t>
  </si>
  <si>
    <t>Faye Rolston</t>
  </si>
  <si>
    <t>2017-02-28T14:22:05</t>
  </si>
  <si>
    <t>frolston</t>
  </si>
  <si>
    <t>Faye.Sierhuis@manulifesecurities.ca</t>
  </si>
  <si>
    <t>Faye Sierhuis</t>
  </si>
  <si>
    <t>2017-10-06T09:57:53</t>
  </si>
  <si>
    <t>FSierhuis</t>
  </si>
  <si>
    <t>FCFiles@manulifesecurities.ca</t>
  </si>
  <si>
    <t>zzFundCompany Files</t>
  </si>
  <si>
    <t>fcfiles</t>
  </si>
  <si>
    <t>Feedback@manulifesecurities.ca</t>
  </si>
  <si>
    <t>feedback</t>
  </si>
  <si>
    <t>Felix.Cirelli@manulifesecurities.ca</t>
  </si>
  <si>
    <t>Felix Cirelli</t>
  </si>
  <si>
    <t>mfc.felix.cirelli</t>
  </si>
  <si>
    <t>Ferd.Milan@manulifesecurities.ca</t>
  </si>
  <si>
    <t>Ferd Milan</t>
  </si>
  <si>
    <t>2015-07-10T12:37:03</t>
  </si>
  <si>
    <t>fmilan</t>
  </si>
  <si>
    <t>Fern.Lindal@manulifesecurities.ca</t>
  </si>
  <si>
    <t>Fern Lindal</t>
  </si>
  <si>
    <t>2017-10-06T12:40:45</t>
  </si>
  <si>
    <t>FLindal</t>
  </si>
  <si>
    <t>fernando.dasilva@manulifesecurities.ca</t>
  </si>
  <si>
    <t>Fernando da Silva</t>
  </si>
  <si>
    <t>2017-10-15T09:10:01</t>
  </si>
  <si>
    <t>FDasilva</t>
  </si>
  <si>
    <t>Fernando.Solano@manulifesecurities.ca</t>
  </si>
  <si>
    <t>Fernando Solano</t>
  </si>
  <si>
    <t>2017-10-07T08:45:34</t>
  </si>
  <si>
    <t>FSolano</t>
  </si>
  <si>
    <t>Filing@manulifesecurities.ca</t>
  </si>
  <si>
    <t>Filing</t>
  </si>
  <si>
    <t>Filing-1</t>
  </si>
  <si>
    <t>Fiona.Gayongorsa@manulifesecurities.ca</t>
  </si>
  <si>
    <t>Fiona Gayongorsa</t>
  </si>
  <si>
    <t>fgayon</t>
  </si>
  <si>
    <t>Fiorino.Marcone@manulifesecurities.ca</t>
  </si>
  <si>
    <t>Fiorino Marcone</t>
  </si>
  <si>
    <t>marcori</t>
  </si>
  <si>
    <t>fj.duffaud@manulifesecurities.ca</t>
  </si>
  <si>
    <t>Francois Julien Duffaud</t>
  </si>
  <si>
    <t>2017-10-12T12:16:08</t>
  </si>
  <si>
    <t>mfc.fj.duffaud</t>
  </si>
  <si>
    <t>Flavien.Royer@manulifesecurities.ca</t>
  </si>
  <si>
    <t>Flavien Royer</t>
  </si>
  <si>
    <t>2017-10-14T21:32:59</t>
  </si>
  <si>
    <t>FRoyer</t>
  </si>
  <si>
    <t>Floyd.Collins@manulifesecurities.ca</t>
  </si>
  <si>
    <t>Floyd Collins</t>
  </si>
  <si>
    <t>2016-11-02T19:20:16</t>
  </si>
  <si>
    <t>fcollins</t>
  </si>
  <si>
    <t>Focus.Journal@manulifesecurities.ca</t>
  </si>
  <si>
    <t>Focus Journal</t>
  </si>
  <si>
    <t>FXjournal</t>
  </si>
  <si>
    <t>formtest@manulifesecurities.ca</t>
  </si>
  <si>
    <t>formtest</t>
  </si>
  <si>
    <t>Forrest.Miller@manulifesecurities.ca</t>
  </si>
  <si>
    <t>Forrest Miller</t>
  </si>
  <si>
    <t>2017-10-02T12:49:16</t>
  </si>
  <si>
    <t>FMiller</t>
  </si>
  <si>
    <t>Fran.Dalziel@manulifesecurities.ca</t>
  </si>
  <si>
    <t>FDalziel</t>
  </si>
  <si>
    <t>France.Gros-Louis@manulifesecurities.ca</t>
  </si>
  <si>
    <t>France Gros-Louis</t>
  </si>
  <si>
    <t>2017-05-29T15:11:20</t>
  </si>
  <si>
    <t>mfc.france.gros-l</t>
  </si>
  <si>
    <t>France.Lachaine@placementsmanuvie.ca</t>
  </si>
  <si>
    <t>France Lachaine</t>
  </si>
  <si>
    <t>2017-10-10T06:52:27</t>
  </si>
  <si>
    <t>lachaif</t>
  </si>
  <si>
    <t>Frances.Dadios@manulifesecurities.ca</t>
  </si>
  <si>
    <t>Frances Dadios</t>
  </si>
  <si>
    <t>FDadios</t>
  </si>
  <si>
    <t>Frances.Kwok@manulifesecurities.ca</t>
  </si>
  <si>
    <t>kwokfrances</t>
  </si>
  <si>
    <t>Frances.McSorley@manulifesecurities.ca</t>
  </si>
  <si>
    <t>Fran McSorley</t>
  </si>
  <si>
    <t>2017-10-03T10:18:45</t>
  </si>
  <si>
    <t>FMcSorley</t>
  </si>
  <si>
    <t>Frances.Rinaldi@manulifesecurities.ca</t>
  </si>
  <si>
    <t>Frances Rinaldi</t>
  </si>
  <si>
    <t>2016-08-30T11:43:34</t>
  </si>
  <si>
    <t>FRinaldi</t>
  </si>
  <si>
    <t>Frances.Schroh@manulifesecurities.ca</t>
  </si>
  <si>
    <t>Fran Schroh</t>
  </si>
  <si>
    <t>2017-04-24T11:05:02</t>
  </si>
  <si>
    <t>FSchroh</t>
  </si>
  <si>
    <t>Frances.Sky@manulifesecurities.ca</t>
  </si>
  <si>
    <t>Frances Sky</t>
  </si>
  <si>
    <t>frasky</t>
  </si>
  <si>
    <t>Francine.Dulong@manulifesecurities.ca</t>
  </si>
  <si>
    <t>Francine Dulong</t>
  </si>
  <si>
    <t>fdulon</t>
  </si>
  <si>
    <t>Francine.Govan@manulifesecurities.ca</t>
  </si>
  <si>
    <t>Francine Govan</t>
  </si>
  <si>
    <t>2017-10-12T09:56:03</t>
  </si>
  <si>
    <t>mfc.francine.gova</t>
  </si>
  <si>
    <t>francine.mancini@manulifesecurities.ca</t>
  </si>
  <si>
    <t>Francine Mancini</t>
  </si>
  <si>
    <t>2017-10-11T08:30:00</t>
  </si>
  <si>
    <t>mfc.francine.manc</t>
  </si>
  <si>
    <t>Francine.Melanson@manulifesecurities.ca</t>
  </si>
  <si>
    <t>Francine Melanson</t>
  </si>
  <si>
    <t>2017-10-06T10:29:59</t>
  </si>
  <si>
    <t>mfc.francine.mela</t>
  </si>
  <si>
    <t>Francis.Drolet@manulifesecurities.ca</t>
  </si>
  <si>
    <t>Francis Drolet</t>
  </si>
  <si>
    <t>2017-10-08T15:25:26</t>
  </si>
  <si>
    <t>mfc.francis.drole</t>
  </si>
  <si>
    <t>Francis.HaTamDan@manulifesecurities.ca</t>
  </si>
  <si>
    <t>Francis Ha Tam Dan</t>
  </si>
  <si>
    <t>FHatamdan</t>
  </si>
  <si>
    <t>Francis.Martin@manulifesecurities.ca</t>
  </si>
  <si>
    <t>Francis Martin</t>
  </si>
  <si>
    <t>2017-10-10T09:55:04</t>
  </si>
  <si>
    <t>FMartin</t>
  </si>
  <si>
    <t>francis.roy@manulifesecurities.ca</t>
  </si>
  <si>
    <t>Francis Gingras Roy</t>
  </si>
  <si>
    <t>2017-10-16T07:53:34</t>
  </si>
  <si>
    <t>mfc.francis.gingr</t>
  </si>
  <si>
    <t>Francois.Dery@manulifesecurities.ca</t>
  </si>
  <si>
    <t>Francois Dery</t>
  </si>
  <si>
    <t>FDery</t>
  </si>
  <si>
    <t>Francois.Dufour-Bouchard@manulifesecurities.ca</t>
  </si>
  <si>
    <t>Francois Dufour-Bouchard</t>
  </si>
  <si>
    <t>fbouchar</t>
  </si>
  <si>
    <t>Francois.Langlois@manulifesecurities.ca</t>
  </si>
  <si>
    <t>Francois Langlois</t>
  </si>
  <si>
    <t>2017-10-16T08:00:50</t>
  </si>
  <si>
    <t>FLanglois</t>
  </si>
  <si>
    <t>Francois.Laurin@manulifesecurities.ca</t>
  </si>
  <si>
    <t>Francois Laurin</t>
  </si>
  <si>
    <t>2017-10-06T15:36:03</t>
  </si>
  <si>
    <t>mfc.francois.laur</t>
  </si>
  <si>
    <t>Francois.Lefebvre@manulifesecurities.ca</t>
  </si>
  <si>
    <t>Francois Lefebvre</t>
  </si>
  <si>
    <t>2017-10-14T12:38:38</t>
  </si>
  <si>
    <t>FLefebvre</t>
  </si>
  <si>
    <t>Frank.Allen@manulifesecurities.ca</t>
  </si>
  <si>
    <t>Frank Allen</t>
  </si>
  <si>
    <t>2017-03-07T11:51:31</t>
  </si>
  <si>
    <t>allenfr</t>
  </si>
  <si>
    <t>Frank.Matyskiewicz@manulifesecurities.ca</t>
  </si>
  <si>
    <t>Frank Matyskiewicz</t>
  </si>
  <si>
    <t>FMatyskiewicz</t>
  </si>
  <si>
    <t>Frank.Rood@manulifesecurities.ca</t>
  </si>
  <si>
    <t>Frank Rood</t>
  </si>
  <si>
    <t>2017-10-10T16:22:36</t>
  </si>
  <si>
    <t>frankroo</t>
  </si>
  <si>
    <t>Frank.Ryan@manulifesecurities.ca</t>
  </si>
  <si>
    <t>Frank Ryan</t>
  </si>
  <si>
    <t>fpryan</t>
  </si>
  <si>
    <t>Frank.Sommer@manulifesecurities.ca</t>
  </si>
  <si>
    <t>Frank Sommer</t>
  </si>
  <si>
    <t>2015-08-23T22:16:35</t>
  </si>
  <si>
    <t>FSommer</t>
  </si>
  <si>
    <t>Frank.Valicek@manulifesecurities.ca</t>
  </si>
  <si>
    <t>Frank Valicek</t>
  </si>
  <si>
    <t>2017-10-07T15:39:53</t>
  </si>
  <si>
    <t>FValicek</t>
  </si>
  <si>
    <t>Frank.VanderGriendt@manulifesecurities.ca</t>
  </si>
  <si>
    <t>Frank VanderGriendt</t>
  </si>
  <si>
    <t>2017-09-08T08:23:48</t>
  </si>
  <si>
    <t>FVanderGriendt</t>
  </si>
  <si>
    <t>Fransiska.Witanto@manulifesecurities.ca</t>
  </si>
  <si>
    <t>Fransiska Witanto</t>
  </si>
  <si>
    <t>2015-12-17T10:08:32</t>
  </si>
  <si>
    <t>fwitanto</t>
  </si>
  <si>
    <t>Fred.Chaer@manulifesecurities.ca</t>
  </si>
  <si>
    <t>Fred Chaer</t>
  </si>
  <si>
    <t>2017-07-28T21:17:36</t>
  </si>
  <si>
    <t>mfc.fred.chaer</t>
  </si>
  <si>
    <t>Fred.Dodd@manulifesecurities.ca</t>
  </si>
  <si>
    <t>Fred Dodd</t>
  </si>
  <si>
    <t>2017-10-11T07:36:19</t>
  </si>
  <si>
    <t>Frdodd</t>
  </si>
  <si>
    <t>Fred.Evans@manulifesecurities.ca</t>
  </si>
  <si>
    <t>Fred Evans</t>
  </si>
  <si>
    <t>2017-10-16T07:49:42</t>
  </si>
  <si>
    <t>evansf</t>
  </si>
  <si>
    <t>Fred.Humber@manulifesecurities.ca</t>
  </si>
  <si>
    <t>Fred Humber</t>
  </si>
  <si>
    <t>fhumber</t>
  </si>
  <si>
    <t>Fred.Koocher@manulifesecurities.ca</t>
  </si>
  <si>
    <t>Fred Koocher</t>
  </si>
  <si>
    <t>2014-12-29T20:43:28</t>
  </si>
  <si>
    <t>koochfr</t>
  </si>
  <si>
    <t>Fred.Milsum@manulifesecurities.ca</t>
  </si>
  <si>
    <t>Fred Milsum</t>
  </si>
  <si>
    <t>2017-10-08T21:00:41</t>
  </si>
  <si>
    <t>jmilsum</t>
  </si>
  <si>
    <t>Fred.Winterburn@manulifesecurities.ca</t>
  </si>
  <si>
    <t>Fred Winterburn</t>
  </si>
  <si>
    <t>2017-10-09T21:22:58</t>
  </si>
  <si>
    <t>FWinterburn</t>
  </si>
  <si>
    <t>Frederic.Abaji@manulifesecurities.ca</t>
  </si>
  <si>
    <t>Frederic Abaji</t>
  </si>
  <si>
    <t>2017-10-13T16:03:16</t>
  </si>
  <si>
    <t>FAbaji</t>
  </si>
  <si>
    <t>Frederick.Brady@manulifesecurities.ca</t>
  </si>
  <si>
    <t>Frederick Brady</t>
  </si>
  <si>
    <t>2016-03-30T15:39:24</t>
  </si>
  <si>
    <t>dsbrady</t>
  </si>
  <si>
    <t>Frederick.Habr@manulifesecurities.ca</t>
  </si>
  <si>
    <t>Frederick Habr</t>
  </si>
  <si>
    <t>2017-09-11T21:32:33</t>
  </si>
  <si>
    <t>mfc.frederick.hab</t>
  </si>
  <si>
    <t>Frederick.Sappor@manulifesecurities.ca</t>
  </si>
  <si>
    <t>Frederick Sappor</t>
  </si>
  <si>
    <t>2016-06-06T15:43:58</t>
  </si>
  <si>
    <t>mfc.frederick.sap</t>
  </si>
  <si>
    <t>Fritz.Steigmeier@manulifesecurities.ca</t>
  </si>
  <si>
    <t>Fritz Steigmeier</t>
  </si>
  <si>
    <t>2017-10-13T10:17:40</t>
  </si>
  <si>
    <t>fritzsteigmeier</t>
  </si>
  <si>
    <t>FTS.TEST@manulifesecurities.ca</t>
  </si>
  <si>
    <t>FTS Test</t>
  </si>
  <si>
    <t>2017-10-11T23:31:26</t>
  </si>
  <si>
    <t>mfc.fts.test</t>
  </si>
  <si>
    <t>fts.test2@placementsmanuvie.ca</t>
  </si>
  <si>
    <t>FTS Test2</t>
  </si>
  <si>
    <t>2017-09-25T11:52:51</t>
  </si>
  <si>
    <t>mfc.fts.test2</t>
  </si>
  <si>
    <t>fts.test3@manulifesecurities.ca</t>
  </si>
  <si>
    <t>FTS Test3</t>
  </si>
  <si>
    <t>2017-10-06T09:19:54</t>
  </si>
  <si>
    <t>mfc.fts.test3</t>
  </si>
  <si>
    <t>Fund.Portal@manulifesecurities.ca</t>
  </si>
  <si>
    <t>FundPortal</t>
  </si>
  <si>
    <t>FundComAccess@manulifesecurities.ca</t>
  </si>
  <si>
    <t>FundCom Access</t>
  </si>
  <si>
    <t>FuAccess</t>
  </si>
  <si>
    <t>G.Armour@manulifesecurities.ca</t>
  </si>
  <si>
    <t>Garry Armour</t>
  </si>
  <si>
    <t>2016-12-16T14:01:14</t>
  </si>
  <si>
    <t>mfc.g.armour</t>
  </si>
  <si>
    <t>G.Cassidy@manulifesecurities.ca</t>
  </si>
  <si>
    <t>Gina Cassidy</t>
  </si>
  <si>
    <t>2017-10-10T08:53:49</t>
  </si>
  <si>
    <t>mfc.g.cassidy</t>
  </si>
  <si>
    <t>Gabriel.Agostini@manulifesecurities.ca</t>
  </si>
  <si>
    <t>Gabriel Agostini</t>
  </si>
  <si>
    <t>2017-07-18T10:41:26</t>
  </si>
  <si>
    <t>mfc.gabriel.agost</t>
  </si>
  <si>
    <t>Gabriel.Couture@manulifesecurities.ca</t>
  </si>
  <si>
    <t>Gabriel Couture</t>
  </si>
  <si>
    <t>2017-10-11T14:46:21</t>
  </si>
  <si>
    <t>gabrielcouture</t>
  </si>
  <si>
    <t>Gabriella.Calisto@manulifesecurities.ca</t>
  </si>
  <si>
    <t>Gabriella Calisto</t>
  </si>
  <si>
    <t>2017-10-15T23:59:45</t>
  </si>
  <si>
    <t>mfc.gabriella.cal</t>
  </si>
  <si>
    <t>Gabrielle.Ettin@manulifesecurities.ca</t>
  </si>
  <si>
    <t>Gabrielle Ettin</t>
  </si>
  <si>
    <t>2016-11-14T10:04:52</t>
  </si>
  <si>
    <t>gettin</t>
  </si>
  <si>
    <t>Gaetan.Blouin@manulifesecurities.ca</t>
  </si>
  <si>
    <t>Gaetan Blouin</t>
  </si>
  <si>
    <t>GBlouin</t>
  </si>
  <si>
    <t>Gaetano.DiLoreto@manulifesecurities.ca</t>
  </si>
  <si>
    <t>Gaetano Di Loreto</t>
  </si>
  <si>
    <t>2017-10-02T10:11:27</t>
  </si>
  <si>
    <t>GDiLoreto</t>
  </si>
  <si>
    <t>Gail.Boden@manulifesecurities.ca</t>
  </si>
  <si>
    <t>Gail Boden</t>
  </si>
  <si>
    <t>gaboden</t>
  </si>
  <si>
    <t>Gail.Cameron@manulifesecurities.ca</t>
  </si>
  <si>
    <t>Gail Keeler</t>
  </si>
  <si>
    <t>GKeeler</t>
  </si>
  <si>
    <t>Gail.Espenell@manulifesecurities.ca</t>
  </si>
  <si>
    <t>Gail Bogaert-Espenell</t>
  </si>
  <si>
    <t>2014-10-28T11:24:28</t>
  </si>
  <si>
    <t>GBogaertEspenell</t>
  </si>
  <si>
    <t>Gail.Hinch@manulifesecurities.ca</t>
  </si>
  <si>
    <t>Gail Hinch</t>
  </si>
  <si>
    <t>gailhinch</t>
  </si>
  <si>
    <t>Gail.Kosumovic@manulifesecurities.ca</t>
  </si>
  <si>
    <t>zz Manulife - Gail Kosumovic</t>
  </si>
  <si>
    <t>GKosumovic</t>
  </si>
  <si>
    <t>Gail.Lagac@manulifesecurities.ca</t>
  </si>
  <si>
    <t>Gail Lagac</t>
  </si>
  <si>
    <t>GLagac</t>
  </si>
  <si>
    <t>Gail.Roach@manulifesecurities.ca</t>
  </si>
  <si>
    <t>Gail Roach</t>
  </si>
  <si>
    <t>GRoach</t>
  </si>
  <si>
    <t>Gail.Thorne@manulifesecurities.ca</t>
  </si>
  <si>
    <t>Gail Thorne</t>
  </si>
  <si>
    <t>2017-10-12T10:25:04</t>
  </si>
  <si>
    <t>gthorne</t>
  </si>
  <si>
    <t>GailMaria.Ouditt@manulifesecurities.ca</t>
  </si>
  <si>
    <t>Gail Maria Ouditt</t>
  </si>
  <si>
    <t>2017-10-13T11:50:14</t>
  </si>
  <si>
    <t>gouditt</t>
  </si>
  <si>
    <t>Gale.Brown@manulifesecurities.ca</t>
  </si>
  <si>
    <t>GBrown</t>
  </si>
  <si>
    <t>GPinhorn</t>
  </si>
  <si>
    <t>Gardy.Frost@manulifesecurities.ca</t>
  </si>
  <si>
    <t>Gardy Frost</t>
  </si>
  <si>
    <t>2017-06-29T13:15:12</t>
  </si>
  <si>
    <t>afrost</t>
  </si>
  <si>
    <t>Garlin.Hunter@manulifesecurities.ca</t>
  </si>
  <si>
    <t>Garlin Hunter</t>
  </si>
  <si>
    <t>2017-10-10T11:40:38</t>
  </si>
  <si>
    <t>GHunter</t>
  </si>
  <si>
    <t>Garnet.Webster@manulifesecurities.ca</t>
  </si>
  <si>
    <t>Garnet Webster</t>
  </si>
  <si>
    <t>2017-10-05T09:47:42</t>
  </si>
  <si>
    <t>webstga</t>
  </si>
  <si>
    <t>Garrett.Thiessen@manulifesecurities.ca</t>
  </si>
  <si>
    <t>Garrett Thiessen</t>
  </si>
  <si>
    <t>2017-10-06T14:44:47</t>
  </si>
  <si>
    <t>mfc.garrett.thies</t>
  </si>
  <si>
    <t>Garry.Armour@manulifesecurities.ca</t>
  </si>
  <si>
    <t>gaarmour</t>
  </si>
  <si>
    <t>Garry.Beckman@manulifesecurities.ca</t>
  </si>
  <si>
    <t>Garry Beckman</t>
  </si>
  <si>
    <t>2017-10-14T11:56:45</t>
  </si>
  <si>
    <t>mfc.garry.beckman</t>
  </si>
  <si>
    <t>Garry.Harris@manulifesecurities.ca</t>
  </si>
  <si>
    <t>Garry Harris</t>
  </si>
  <si>
    <t>2016-03-28T16:36:57</t>
  </si>
  <si>
    <t>GaHarris</t>
  </si>
  <si>
    <t>Garry.Lamoureux@manulifesecurities.ca</t>
  </si>
  <si>
    <t>Garry Lamoureux</t>
  </si>
  <si>
    <t>hughes</t>
  </si>
  <si>
    <t>Garry.Rathgeber@manulifesecurities.ca</t>
  </si>
  <si>
    <t>Garry Rathgeber</t>
  </si>
  <si>
    <t>2017-10-16T01:09:47</t>
  </si>
  <si>
    <t>GRathgeber</t>
  </si>
  <si>
    <t>Garth.Little@manulifesecurities.ca</t>
  </si>
  <si>
    <t>Garth Little</t>
  </si>
  <si>
    <t>abaddon</t>
  </si>
  <si>
    <t>Garth.McIntosh@manulifesecurities.ca</t>
  </si>
  <si>
    <t>Garth McIntosh</t>
  </si>
  <si>
    <t>2017-10-15T10:19:56</t>
  </si>
  <si>
    <t>GMcIntosh</t>
  </si>
  <si>
    <t>Garth.Muench@manulifesecurities.ca</t>
  </si>
  <si>
    <t>Garth Muench</t>
  </si>
  <si>
    <t>2017-07-31T19:03:40</t>
  </si>
  <si>
    <t>GMuench</t>
  </si>
  <si>
    <t>Gary.Godard@manulifesecurities.ca</t>
  </si>
  <si>
    <t>Gary Godard</t>
  </si>
  <si>
    <t>GGodard</t>
  </si>
  <si>
    <t>Gary.Journeay@manulifesecurities.ca</t>
  </si>
  <si>
    <t>Gary Journeay</t>
  </si>
  <si>
    <t>2017-03-10T11:33:56</t>
  </si>
  <si>
    <t>GJourneay</t>
  </si>
  <si>
    <t>Gary.Jung@manulifesecurities.ca</t>
  </si>
  <si>
    <t>Gary Jung</t>
  </si>
  <si>
    <t>2017-10-09T10:56:53</t>
  </si>
  <si>
    <t>GJung</t>
  </si>
  <si>
    <t>Gary.Jurgens@manulifesecurities.ca</t>
  </si>
  <si>
    <t>Gary Jurgens</t>
  </si>
  <si>
    <t>2015-01-30T16:42:35</t>
  </si>
  <si>
    <t>GJurgens</t>
  </si>
  <si>
    <t>Gary.King@manulifesecurities.ca</t>
  </si>
  <si>
    <t>Gary King</t>
  </si>
  <si>
    <t>2017-10-16T08:57:29</t>
  </si>
  <si>
    <t>GKing</t>
  </si>
  <si>
    <t>Gary.Korol@manulifesecurities.ca</t>
  </si>
  <si>
    <t>Gary Korol</t>
  </si>
  <si>
    <t>2015-04-13T11:10:24</t>
  </si>
  <si>
    <t>mfc.gary.korol</t>
  </si>
  <si>
    <t>Gary.Koss@manulifesecurities.ca</t>
  </si>
  <si>
    <t>Gary Koss</t>
  </si>
  <si>
    <t>2017-10-15T00:05:07</t>
  </si>
  <si>
    <t>mfc.gary.koss</t>
  </si>
  <si>
    <t>Gary.Lazo@manulifesecurities.ca</t>
  </si>
  <si>
    <t>Gary Lazo</t>
  </si>
  <si>
    <t>GLazo</t>
  </si>
  <si>
    <t>Gary.Robinson@manulifesecurities.ca</t>
  </si>
  <si>
    <t>Gary Robinson</t>
  </si>
  <si>
    <t>GaryRobinson</t>
  </si>
  <si>
    <t>Gary.Scattergood@manulifesecurities.ca</t>
  </si>
  <si>
    <t>Gary Scattergood</t>
  </si>
  <si>
    <t>2015-01-21T11:07:14</t>
  </si>
  <si>
    <t>gscatter</t>
  </si>
  <si>
    <t>Gary.Sirignano@manulifesecurities.ca</t>
  </si>
  <si>
    <t>Gary Sirignano</t>
  </si>
  <si>
    <t>2017-05-29T11:54:42</t>
  </si>
  <si>
    <t>GSirignano</t>
  </si>
  <si>
    <t>Gary.Stefanow@manulifesecurities.ca</t>
  </si>
  <si>
    <t>Gary Stefanow</t>
  </si>
  <si>
    <t>gstefano</t>
  </si>
  <si>
    <t>Gary.Stevens@manulifesecurities.ca</t>
  </si>
  <si>
    <t>Gary Stevens</t>
  </si>
  <si>
    <t>2017-10-11T14:03:58</t>
  </si>
  <si>
    <t>gstevens</t>
  </si>
  <si>
    <t>Gary.Thomas@manulifesecurities.ca</t>
  </si>
  <si>
    <t>Gary Thomas</t>
  </si>
  <si>
    <t>2017-10-05T17:30:33</t>
  </si>
  <si>
    <t>gmtfsi</t>
  </si>
  <si>
    <t>Gary.Weston@manulifesecurities.ca</t>
  </si>
  <si>
    <t>Gary Weston</t>
  </si>
  <si>
    <t>2017-01-17T16:29:17</t>
  </si>
  <si>
    <t>westgard</t>
  </si>
  <si>
    <t>Gayle.Brulotte@manulifesecurities.ca</t>
  </si>
  <si>
    <t>Gayle Brulotte</t>
  </si>
  <si>
    <t>2015-05-26T13:49:46</t>
  </si>
  <si>
    <t>gbrulot</t>
  </si>
  <si>
    <t>Gayle.Minello@manulifesecurities.ca</t>
  </si>
  <si>
    <t>Gayle Minello</t>
  </si>
  <si>
    <t>GMinello</t>
  </si>
  <si>
    <t>Gayle.Tooth@manulifesecurities.ca</t>
  </si>
  <si>
    <t>Gayle Tooth</t>
  </si>
  <si>
    <t>GTooth</t>
  </si>
  <si>
    <t>Gaylene.Perusco@manulifesecurities.ca</t>
  </si>
  <si>
    <t>Gaylene Perusco</t>
  </si>
  <si>
    <t>irgadmingp</t>
  </si>
  <si>
    <t>Gazalla.Khan@manulifesecurities.ca</t>
  </si>
  <si>
    <t>Gazalla Khan</t>
  </si>
  <si>
    <t>2016-02-04T12:02:54</t>
  </si>
  <si>
    <t>mfc.gazalla.khan</t>
  </si>
  <si>
    <t>Gene.Kim@manulifesecurities.ca</t>
  </si>
  <si>
    <t>Gene Kim</t>
  </si>
  <si>
    <t>2015-03-11T14:30:00</t>
  </si>
  <si>
    <t>GKim</t>
  </si>
  <si>
    <t>Genevieve.Bellemare@manulifesecurities.ca</t>
  </si>
  <si>
    <t>Genevieve Bellemare</t>
  </si>
  <si>
    <t>mfc.genevieve.bel</t>
  </si>
  <si>
    <t>Genevieve.Clayton@manulifesecurities.ca</t>
  </si>
  <si>
    <t>Genevieve Clayton</t>
  </si>
  <si>
    <t>2014-10-17T15:16:49</t>
  </si>
  <si>
    <t>GClayton</t>
  </si>
  <si>
    <t>Genny.Hunter-Barr@manulifesecurities.ca</t>
  </si>
  <si>
    <t>Genny Hunter-Barr</t>
  </si>
  <si>
    <t>2017-10-04T15:55:55</t>
  </si>
  <si>
    <t>GHunterBarr</t>
  </si>
  <si>
    <t>Geoff.Charlton@manulifesecurities.ca</t>
  </si>
  <si>
    <t>Geoff Charlton</t>
  </si>
  <si>
    <t>GCharlton</t>
  </si>
  <si>
    <t>Geoff.Perrin@manulifesecurities.ca</t>
  </si>
  <si>
    <t>Geoff Perrin</t>
  </si>
  <si>
    <t>GPerrin</t>
  </si>
  <si>
    <t>Geoffrey.Booth@manulifesecurities.ca</t>
  </si>
  <si>
    <t>Geoffrey Booth</t>
  </si>
  <si>
    <t>gbooth</t>
  </si>
  <si>
    <t>George.Adam@manulifesecurities.ca</t>
  </si>
  <si>
    <t>George Adam</t>
  </si>
  <si>
    <t>2016-10-21T10:19:15</t>
  </si>
  <si>
    <t>GAdam</t>
  </si>
  <si>
    <t>George.Carter@manulifesecurities.ca</t>
  </si>
  <si>
    <t>George Carter</t>
  </si>
  <si>
    <t>2017-10-10T08:23:38</t>
  </si>
  <si>
    <t>GCarter</t>
  </si>
  <si>
    <t>George.Flemming@manulifesecurities.ca</t>
  </si>
  <si>
    <t>George Flemming</t>
  </si>
  <si>
    <t>2017-10-06T13:45:30</t>
  </si>
  <si>
    <t>GFlemming</t>
  </si>
  <si>
    <t>George.Garner@manulifesecurities.ca</t>
  </si>
  <si>
    <t>George Garner</t>
  </si>
  <si>
    <t>GGarner</t>
  </si>
  <si>
    <t>George.Lukjanczuk@manulifesecurities.ca</t>
  </si>
  <si>
    <t>George Lukjanczuk</t>
  </si>
  <si>
    <t>2017-10-10T14:25:25</t>
  </si>
  <si>
    <t>GLukjanczuk</t>
  </si>
  <si>
    <t>George.Martyniuk@manulifesecurities.ca</t>
  </si>
  <si>
    <t>George Martyniuk</t>
  </si>
  <si>
    <t>2017-10-12T11:55:02</t>
  </si>
  <si>
    <t>GMartyniuk</t>
  </si>
  <si>
    <t>George.Pretty@manulifesecurities.ca</t>
  </si>
  <si>
    <t>George Pretty</t>
  </si>
  <si>
    <t>GPretty</t>
  </si>
  <si>
    <t>Georges.Achkar@manulifesecurities.ca</t>
  </si>
  <si>
    <t>Georges Achkar</t>
  </si>
  <si>
    <t>2017-10-12T07:44:05</t>
  </si>
  <si>
    <t>GAchkar</t>
  </si>
  <si>
    <t>Georges.Boudreau@manulifesecurities.ca</t>
  </si>
  <si>
    <t>Georges Boudreau</t>
  </si>
  <si>
    <t>2017-10-11T15:08:35</t>
  </si>
  <si>
    <t>GBoudreau</t>
  </si>
  <si>
    <t>Georges.Cormier@manulifesecurities.ca</t>
  </si>
  <si>
    <t>Georges Cormier</t>
  </si>
  <si>
    <t>2017-10-08T15:21:03</t>
  </si>
  <si>
    <t>GCormier</t>
  </si>
  <si>
    <t>Georges.Moujabber@manulifesecurities.ca</t>
  </si>
  <si>
    <t>Georges Moujabber</t>
  </si>
  <si>
    <t>2017-04-24T13:42:26</t>
  </si>
  <si>
    <t>GMoujabber</t>
  </si>
  <si>
    <t>georges.moukal@manulifesecurities.ca</t>
  </si>
  <si>
    <t>Georges Moukal</t>
  </si>
  <si>
    <t>2017-10-12T11:41:31</t>
  </si>
  <si>
    <t>mfc.georges.mouka</t>
  </si>
  <si>
    <t>Georges.Salameh@manulifesecurities.ca</t>
  </si>
  <si>
    <t>Georges Salameh</t>
  </si>
  <si>
    <t>GSalameh</t>
  </si>
  <si>
    <t>Georgiana.Ciutescu@ManulifeSecurities.ca</t>
  </si>
  <si>
    <t>Georgiana Ciutescu</t>
  </si>
  <si>
    <t>2017-10-12T23:13:03</t>
  </si>
  <si>
    <t>gciut</t>
  </si>
  <si>
    <t>Gerald.Georges@manulifesecurities.ca</t>
  </si>
  <si>
    <t>Gerald Georges</t>
  </si>
  <si>
    <t>2017-10-10T05:26:38</t>
  </si>
  <si>
    <t>mfc.gerald.george</t>
  </si>
  <si>
    <t>Gerald.Kazanowski@manulifesecurities.ca</t>
  </si>
  <si>
    <t>Gerald Kazanowski</t>
  </si>
  <si>
    <t>2017-10-12T19:24:47</t>
  </si>
  <si>
    <t>GKazanowski</t>
  </si>
  <si>
    <t>Gerald.McKay@manulifesecurities.ca</t>
  </si>
  <si>
    <t>Gerald McKay</t>
  </si>
  <si>
    <t>gbmckay</t>
  </si>
  <si>
    <t>Gerald.Scott@manulifesecurities.ca</t>
  </si>
  <si>
    <t>Gerry Scott</t>
  </si>
  <si>
    <t>GScott</t>
  </si>
  <si>
    <t>Gerald.Ward@manulifesecurities.ca</t>
  </si>
  <si>
    <t>Gerald Ward</t>
  </si>
  <si>
    <t>2015-01-12T09:42:59</t>
  </si>
  <si>
    <t>wardger</t>
  </si>
  <si>
    <t>Gerald.Wawryk@manulifesecurities.ca</t>
  </si>
  <si>
    <t>Gerald Wawryk</t>
  </si>
  <si>
    <t>2017-10-12T15:41:31</t>
  </si>
  <si>
    <t>mfc.gerald.wawryk</t>
  </si>
  <si>
    <t>Geraldine.Hainc@manulifesecurities.ca</t>
  </si>
  <si>
    <t>Geraldine Hainc</t>
  </si>
  <si>
    <t>2017-10-10T14:18:52</t>
  </si>
  <si>
    <t>mfc.geraldine.hai</t>
  </si>
  <si>
    <t>geraldine.meskell@manulifesecurities.ca</t>
  </si>
  <si>
    <t>Geraldine Meskell</t>
  </si>
  <si>
    <t>2017-10-10T10:43:04</t>
  </si>
  <si>
    <t>mfc.geraldine.mes</t>
  </si>
  <si>
    <t>Geraldine.Sinclair-Klack@manulifesecurities.ca</t>
  </si>
  <si>
    <t>Geraldine Sinclair-Klack</t>
  </si>
  <si>
    <t>gsinclai</t>
  </si>
  <si>
    <t>Gerard.Arsenault@manulifesecurities.ca</t>
  </si>
  <si>
    <t>Gerard Arsenault</t>
  </si>
  <si>
    <t>2017-10-07T07:01:28</t>
  </si>
  <si>
    <t>GArsenault</t>
  </si>
  <si>
    <t>Gerard.Kosior@manulifesecurities.ca</t>
  </si>
  <si>
    <t>Gerard Kosior</t>
  </si>
  <si>
    <t>2017-09-25T12:51:45</t>
  </si>
  <si>
    <t>kosioge</t>
  </si>
  <si>
    <t>Gerard.VanGysel@placementsmanuvie.ca</t>
  </si>
  <si>
    <t>Gerard Van Gysel</t>
  </si>
  <si>
    <t>GVanGysel</t>
  </si>
  <si>
    <t>Gerry.Bickerton@manulifesecurities.ca</t>
  </si>
  <si>
    <t>Gerry Bickerton</t>
  </si>
  <si>
    <t>2017-09-07T12:56:32</t>
  </si>
  <si>
    <t>gbickerton</t>
  </si>
  <si>
    <t>Gerry.Mudge@manulifesecurities.ca</t>
  </si>
  <si>
    <t>Gerry Mudge</t>
  </si>
  <si>
    <t>2017-10-11T16:47:37</t>
  </si>
  <si>
    <t>GMudge</t>
  </si>
  <si>
    <t>Gervaise.Labrie@manulifesecurities.ca</t>
  </si>
  <si>
    <t>Gervaise Labrie</t>
  </si>
  <si>
    <t>taureau</t>
  </si>
  <si>
    <t>Ghislain.Maduma@manulifesecurities.ca</t>
  </si>
  <si>
    <t>Ghislain Maduma</t>
  </si>
  <si>
    <t>2017-10-11T10:52:22</t>
  </si>
  <si>
    <t>mfc.ghislain.madu</t>
  </si>
  <si>
    <t>Gianluca.Folino@manulifesecurities.ca</t>
  </si>
  <si>
    <t>Gianluca Folino</t>
  </si>
  <si>
    <t>2017-10-12T09:41:19</t>
  </si>
  <si>
    <t>mfc.gianluca.foli</t>
  </si>
  <si>
    <t>Gianna.Borrelli@manulifesecurities.ca</t>
  </si>
  <si>
    <t>Gianna Borrelli</t>
  </si>
  <si>
    <t>2017-04-15T16:56:29</t>
  </si>
  <si>
    <t>mfc.gianna.borrel</t>
  </si>
  <si>
    <t>Gidget.Robinson@manulifesecurities.ca</t>
  </si>
  <si>
    <t>Gidget Robinson</t>
  </si>
  <si>
    <t>GRobinson</t>
  </si>
  <si>
    <t>Gilad.Orenstein@manulifesecurities.ca</t>
  </si>
  <si>
    <t>GOrenstein</t>
  </si>
  <si>
    <t>Gilda.GomesdaCosta@manulifesecurities.ca</t>
  </si>
  <si>
    <t>Gilda Gomes da Costa</t>
  </si>
  <si>
    <t>2017-10-07T14:40:47</t>
  </si>
  <si>
    <t>GGomes</t>
  </si>
  <si>
    <t>gilles.delooz@manulifesecurities.ca</t>
  </si>
  <si>
    <t>Gilles De Looz</t>
  </si>
  <si>
    <t>2017-10-10T08:28:05</t>
  </si>
  <si>
    <t>mfc.giles.delooz</t>
  </si>
  <si>
    <t>Gilles.Lalonde@manulifesecurities.ca</t>
  </si>
  <si>
    <t>Gilles Lalonde</t>
  </si>
  <si>
    <t>2017-09-27T09:55:27</t>
  </si>
  <si>
    <t>GLalonde</t>
  </si>
  <si>
    <t>Gilles.Peloquin@placementsmanuvie.ca</t>
  </si>
  <si>
    <t>Gilles Peloquin</t>
  </si>
  <si>
    <t>2017-06-12T09:09:28</t>
  </si>
  <si>
    <t>GPeloquin</t>
  </si>
  <si>
    <t>Gillian.Barnard@manulifesecurities.ca</t>
  </si>
  <si>
    <t>Gillian Barnard</t>
  </si>
  <si>
    <t>gbarnard</t>
  </si>
  <si>
    <t>Gillian.Lai@manulifesecurities.ca</t>
  </si>
  <si>
    <t>Gillian Lai</t>
  </si>
  <si>
    <t>2015-05-18T20:20:11</t>
  </si>
  <si>
    <t>mfc.gillian.lai</t>
  </si>
  <si>
    <t>Gillian.Petersen@manulifesecurities.ca</t>
  </si>
  <si>
    <t>Gillian Petersen</t>
  </si>
  <si>
    <t>GPetersen</t>
  </si>
  <si>
    <t>Gina.Cassidy@manulifesecurities.ca</t>
  </si>
  <si>
    <t>2016-06-10T21:54:59</t>
  </si>
  <si>
    <t>mfc.gina.cassidy</t>
  </si>
  <si>
    <t>Gina.GinaStebenne@manulifesecurities.ca</t>
  </si>
  <si>
    <t>Gina Stebenne</t>
  </si>
  <si>
    <t>GStebenne</t>
  </si>
  <si>
    <t>Gina.Lewandiwsky@manulifesecurities.ca</t>
  </si>
  <si>
    <t>Gina Lewandiwsky</t>
  </si>
  <si>
    <t>glewand</t>
  </si>
  <si>
    <t>gina.magnaye@manulifesecurities.ca</t>
  </si>
  <si>
    <t>Gina Magnaye</t>
  </si>
  <si>
    <t>2017-10-16T09:44:17</t>
  </si>
  <si>
    <t>mfc.gina.magnaye</t>
  </si>
  <si>
    <t>Gina.Ramberan@manulifesecurities.ca</t>
  </si>
  <si>
    <t>Gina Ramberan</t>
  </si>
  <si>
    <t>GRamberan</t>
  </si>
  <si>
    <t>Gina.Spina@manulifesecurities.ca</t>
  </si>
  <si>
    <t>Gina Spina</t>
  </si>
  <si>
    <t>gispina</t>
  </si>
  <si>
    <t>Ginder.Gill@manulifesecurities.ca</t>
  </si>
  <si>
    <t>Ginder Gill</t>
  </si>
  <si>
    <t>2017-10-10T08:43:42</t>
  </si>
  <si>
    <t>ggill1</t>
  </si>
  <si>
    <t>Ginette.Gallant@manulifesecurities.ca</t>
  </si>
  <si>
    <t>Ginette Gallant</t>
  </si>
  <si>
    <t>GGallant</t>
  </si>
  <si>
    <t>Ginette.Racine@manulifesecurities.ca</t>
  </si>
  <si>
    <t>Ginette Racine</t>
  </si>
  <si>
    <t>gyracine</t>
  </si>
  <si>
    <t>Gino.Gaglia@manulifesecurities.ca</t>
  </si>
  <si>
    <t>Gino Gaglia</t>
  </si>
  <si>
    <t>2017-10-14T09:50:27</t>
  </si>
  <si>
    <t>GGaglia</t>
  </si>
  <si>
    <t>Gino.Nava@manulifesecurities.ca</t>
  </si>
  <si>
    <t>Gino Nava</t>
  </si>
  <si>
    <t>2017-07-06T12:42:20</t>
  </si>
  <si>
    <t>mfc.gino.nava</t>
  </si>
  <si>
    <t>Gisele.Boudreau@manulifesecurities.ca</t>
  </si>
  <si>
    <t>Gisele Boudreau</t>
  </si>
  <si>
    <t>2017-10-06T13:26:17</t>
  </si>
  <si>
    <t>GiBoudreau</t>
  </si>
  <si>
    <t>Gisele.Burns@manulifesecurities.ca</t>
  </si>
  <si>
    <t>Gisele Burns</t>
  </si>
  <si>
    <t>2015-03-20T11:59:42</t>
  </si>
  <si>
    <t>gburns</t>
  </si>
  <si>
    <t>Gisele.Day@manulifesecurities.ca</t>
  </si>
  <si>
    <t>Gisele Day</t>
  </si>
  <si>
    <t>gtcadmin</t>
  </si>
  <si>
    <t>Giselle.Brailean@manulifesecurities.ca</t>
  </si>
  <si>
    <t>Giselle Brailean</t>
  </si>
  <si>
    <t>giselle</t>
  </si>
  <si>
    <t>Giselle.Colosimo@manulifesecurities.ca</t>
  </si>
  <si>
    <t>Giselle Colosimo</t>
  </si>
  <si>
    <t>GColosimo</t>
  </si>
  <si>
    <t>Gita.Singh@manulifesecurities.ca</t>
  </si>
  <si>
    <t>Gita Singh</t>
  </si>
  <si>
    <t>gsingh</t>
  </si>
  <si>
    <t>Giuliana.Lovrencec@manulifesecurities.ca</t>
  </si>
  <si>
    <t>Giuliana Lovrencec</t>
  </si>
  <si>
    <t>GLovrencec</t>
  </si>
  <si>
    <t>Giuseppe.Carbonara@manulifesecurities.ca</t>
  </si>
  <si>
    <t>Giuseppe Carbonara</t>
  </si>
  <si>
    <t>2017-10-07T12:36:23</t>
  </si>
  <si>
    <t>carbonara</t>
  </si>
  <si>
    <t>GL@manulifesecurities.ca</t>
  </si>
  <si>
    <t>Gain Loss Communication</t>
  </si>
  <si>
    <t>GL</t>
  </si>
  <si>
    <t>Glen.Charanduk@manulifesecurities.ca</t>
  </si>
  <si>
    <t>Glen Charanduk</t>
  </si>
  <si>
    <t>2017-10-12T21:44:14</t>
  </si>
  <si>
    <t>GCharanduk</t>
  </si>
  <si>
    <t>Glen.Cryderman@manulifesecurities.ca</t>
  </si>
  <si>
    <t>Glen Cryderman</t>
  </si>
  <si>
    <t>2016-05-10T12:29:17</t>
  </si>
  <si>
    <t>GCryderman</t>
  </si>
  <si>
    <t>Glen.Izzard@manulifesecurities.ca</t>
  </si>
  <si>
    <t>Glen Izzard</t>
  </si>
  <si>
    <t>2017-10-13T22:00:40</t>
  </si>
  <si>
    <t>mfc.glen.izzard</t>
  </si>
  <si>
    <t>Glen.Noonan@manulifesecurities.ca</t>
  </si>
  <si>
    <t>Glen Noonan</t>
  </si>
  <si>
    <t>2017-10-09T17:27:34</t>
  </si>
  <si>
    <t>GNoonan</t>
  </si>
  <si>
    <t>Glen.Pangle@manulifesecurities.ca</t>
  </si>
  <si>
    <t>Glen Pangle</t>
  </si>
  <si>
    <t>2017-10-11T17:53:32</t>
  </si>
  <si>
    <t>panglgl</t>
  </si>
  <si>
    <t>Glenda.Dunster@manulifesecurities.ca</t>
  </si>
  <si>
    <t>Glenda Dunster</t>
  </si>
  <si>
    <t>gdunster</t>
  </si>
  <si>
    <t>Glenda.Kole@manulifesecurities.ca</t>
  </si>
  <si>
    <t>Glenda Kole</t>
  </si>
  <si>
    <t>2017-09-29T08:55:31</t>
  </si>
  <si>
    <t>gkole</t>
  </si>
  <si>
    <t>Glenda.Michalski@manulifesecurities.ca</t>
  </si>
  <si>
    <t>Glenda Michalski</t>
  </si>
  <si>
    <t>2017-10-12T11:11:04</t>
  </si>
  <si>
    <t>GMichalski</t>
  </si>
  <si>
    <t>Glenda.Philips@manulifesecurities.ca</t>
  </si>
  <si>
    <t>Glenda Philips</t>
  </si>
  <si>
    <t>gphilips</t>
  </si>
  <si>
    <t>Glenn.Kelly@manulifesecurities.ca</t>
  </si>
  <si>
    <t>Glenn Kelly</t>
  </si>
  <si>
    <t>2014-10-09T09:43:03</t>
  </si>
  <si>
    <t>gkelly</t>
  </si>
  <si>
    <t>Glenn.McQueen@manulifesecurities.ca</t>
  </si>
  <si>
    <t>Glenn McQueen</t>
  </si>
  <si>
    <t>GMcQueen</t>
  </si>
  <si>
    <t>Glenn.Snyder@manulifesecurities.ca</t>
  </si>
  <si>
    <t>Glenn Snyder</t>
  </si>
  <si>
    <t>GSnyder</t>
  </si>
  <si>
    <t>Globe.Journal@manulifesecurities.ca</t>
  </si>
  <si>
    <t>Globe Journal</t>
  </si>
  <si>
    <t>GXjournal</t>
  </si>
  <si>
    <t>Gloria.Booth@manulifesecurities.ca</t>
  </si>
  <si>
    <t>Gloria Booth</t>
  </si>
  <si>
    <t>2017-10-12T08:58:23</t>
  </si>
  <si>
    <t>mfc.gloria.booth</t>
  </si>
  <si>
    <t>Gloria.Eby@manulifesecurities.ca</t>
  </si>
  <si>
    <t>Gloria Eby</t>
  </si>
  <si>
    <t>2017-10-10T12:01:37</t>
  </si>
  <si>
    <t>gloriaeby</t>
  </si>
  <si>
    <t>Gloria.Fragomeni@manulifesecurities.ca</t>
  </si>
  <si>
    <t>Gloria Fragomeni</t>
  </si>
  <si>
    <t>2017-10-08T10:48:37</t>
  </si>
  <si>
    <t>gfragomeni</t>
  </si>
  <si>
    <t>Gloria.Garand@manulifesecurities.ca</t>
  </si>
  <si>
    <t>Gloria Garand</t>
  </si>
  <si>
    <t>2017-10-11T13:03:48</t>
  </si>
  <si>
    <t>GGarand</t>
  </si>
  <si>
    <t>Gord.Burlison@manulifesecurities.ca</t>
  </si>
  <si>
    <t>SVCGordon - Test</t>
  </si>
  <si>
    <t>gordb</t>
  </si>
  <si>
    <t>Gordon.Arthur@manulifesecurities.ca</t>
  </si>
  <si>
    <t>Gordon Arthur</t>
  </si>
  <si>
    <t>2017-10-14T21:56:37</t>
  </si>
  <si>
    <t>GArthur</t>
  </si>
  <si>
    <t>Gordon.Corbett@manulifesecurities.ca</t>
  </si>
  <si>
    <t>Gordon Corbett</t>
  </si>
  <si>
    <t>2017-10-06T17:43:38</t>
  </si>
  <si>
    <t>mfc.gordon.corbet</t>
  </si>
  <si>
    <t>Gordon.Fairholm@manulifesecurities.ca</t>
  </si>
  <si>
    <t>Gordon Fairholm</t>
  </si>
  <si>
    <t>GFairholm</t>
  </si>
  <si>
    <t>Gordon.Hart@manulifesecurities.ca</t>
  </si>
  <si>
    <t>Gordon Hart</t>
  </si>
  <si>
    <t>gohart</t>
  </si>
  <si>
    <t>Gordon.Johnstone@manulifesecurities.ca</t>
  </si>
  <si>
    <t>Gordon Johnstone</t>
  </si>
  <si>
    <t>2015-07-04T12:43:33</t>
  </si>
  <si>
    <t>GJohnstone</t>
  </si>
  <si>
    <t>Gordon.Moore@manulifesecurities.ca</t>
  </si>
  <si>
    <t>Gordon Moore</t>
  </si>
  <si>
    <t>2017-10-09T18:47:49</t>
  </si>
  <si>
    <t>GMoore</t>
  </si>
  <si>
    <t>Gordon.Organ@manulifesecurities.ca</t>
  </si>
  <si>
    <t>Gordon Organ</t>
  </si>
  <si>
    <t>nancyann</t>
  </si>
  <si>
    <t>Gordon.Reid@manulifesecurities.ca</t>
  </si>
  <si>
    <t>GReid</t>
  </si>
  <si>
    <t>Gordon.Stirrett@manulifesecurities.ca</t>
  </si>
  <si>
    <t>Gordon Stirrett</t>
  </si>
  <si>
    <t>2017-01-12T14:24:44</t>
  </si>
  <si>
    <t>gordon</t>
  </si>
  <si>
    <t>Gordon.Welch@manulifesecurities.ca</t>
  </si>
  <si>
    <t>Gordon Welch</t>
  </si>
  <si>
    <t>GWelch</t>
  </si>
  <si>
    <t>Gordon.Wiebe@manulifesecurities.ca</t>
  </si>
  <si>
    <t>Gordon Wiebe</t>
  </si>
  <si>
    <t>gswiebe</t>
  </si>
  <si>
    <t>Goretti.Pastor@manulifesecurities.ca</t>
  </si>
  <si>
    <t>Goretti Pastor</t>
  </si>
  <si>
    <t>2017-10-10T08:45:04</t>
  </si>
  <si>
    <t>pastor</t>
  </si>
  <si>
    <t>Grace.Chen@manulifesecurities.ca</t>
  </si>
  <si>
    <t>Grace Chen</t>
  </si>
  <si>
    <t>2017-10-13T11:33:07</t>
  </si>
  <si>
    <t>grchen</t>
  </si>
  <si>
    <t>Grace.ChenDjolic@manulifesecurities.ca</t>
  </si>
  <si>
    <t>Grace Chen-Djolic</t>
  </si>
  <si>
    <t>GDjolic</t>
  </si>
  <si>
    <t>Grace.Ebrahim@manulifesecurities.ca</t>
  </si>
  <si>
    <t>GEbrahim</t>
  </si>
  <si>
    <t>grace.jeon@manulifesecurities.ca</t>
  </si>
  <si>
    <t>Grace Jeon</t>
  </si>
  <si>
    <t>2016-04-28T12:31:35</t>
  </si>
  <si>
    <t>grjeon</t>
  </si>
  <si>
    <t>Grace.Sue@manulifesecurities.ca</t>
  </si>
  <si>
    <t>Grace Sue</t>
  </si>
  <si>
    <t>graces</t>
  </si>
  <si>
    <t>Grace.Wilson@manulifesecurities.ca</t>
  </si>
  <si>
    <t>Grace Wilson</t>
  </si>
  <si>
    <t>GWilson</t>
  </si>
  <si>
    <t>Grace.Zhu@manulifesecurities.ca</t>
  </si>
  <si>
    <t>Grace Zhu</t>
  </si>
  <si>
    <t>GZhu</t>
  </si>
  <si>
    <t>Graeme.Williscroft@manulifesecurities.ca</t>
  </si>
  <si>
    <t>Graeme Williscroft</t>
  </si>
  <si>
    <t>2016-06-21T12:34:57</t>
  </si>
  <si>
    <t>mfc.graeme.willis</t>
  </si>
  <si>
    <t>Graham.Keogh@manulifesecurities.ca</t>
  </si>
  <si>
    <t>Graham Keogh</t>
  </si>
  <si>
    <t>gkeogh</t>
  </si>
  <si>
    <t>Grahame.Black@manulifesecurities.ca</t>
  </si>
  <si>
    <t>Grahame Black</t>
  </si>
  <si>
    <t>blackgr</t>
  </si>
  <si>
    <t>Grant.Hicks@manulifesecurities.ca</t>
  </si>
  <si>
    <t>Grant Hicks</t>
  </si>
  <si>
    <t>hicksy</t>
  </si>
  <si>
    <t>Grant.Kosior@manulifesecurities.ca</t>
  </si>
  <si>
    <t>Grant Kosior</t>
  </si>
  <si>
    <t>GKosior</t>
  </si>
  <si>
    <t>Grant.Morton@manulifesecurities.ca</t>
  </si>
  <si>
    <t>GMorton</t>
  </si>
  <si>
    <t>Grant.OConnor@manulifesecurities.ca</t>
  </si>
  <si>
    <t>Grant O'Connor</t>
  </si>
  <si>
    <t>goconnor</t>
  </si>
  <si>
    <t>Grant.Strand@manulifesecurities.ca</t>
  </si>
  <si>
    <t>Grant Strand</t>
  </si>
  <si>
    <t>2017-10-10T13:25:17</t>
  </si>
  <si>
    <t>stragf</t>
  </si>
  <si>
    <t>GrantHicks@manulifesecurities.ca</t>
  </si>
  <si>
    <t>Grant Hicks - Associate VP Business Development</t>
  </si>
  <si>
    <t>GHicks</t>
  </si>
  <si>
    <t>Greg.Armstrong@manulifesecurities.ca</t>
  </si>
  <si>
    <t>Greg Armstrong</t>
  </si>
  <si>
    <t>2017-10-08T00:23:56</t>
  </si>
  <si>
    <t>GArmstrong</t>
  </si>
  <si>
    <t>Greg.Boggs@manulifesecurities.ca</t>
  </si>
  <si>
    <t>Greg Boggs</t>
  </si>
  <si>
    <t>GBoggs</t>
  </si>
  <si>
    <t>Greg.Chin@manulifesecurities.ca</t>
  </si>
  <si>
    <t>Greg Chin</t>
  </si>
  <si>
    <t>gregchin</t>
  </si>
  <si>
    <t>Greg.Glista@manulifesecurities.ca</t>
  </si>
  <si>
    <t>Greg Glista</t>
  </si>
  <si>
    <t>2017-07-14T14:28:48</t>
  </si>
  <si>
    <t>GGlista</t>
  </si>
  <si>
    <t>Greg.Hall@manulifesecurities.ca</t>
  </si>
  <si>
    <t>Greg Hall</t>
  </si>
  <si>
    <t>GHall</t>
  </si>
  <si>
    <t>Greg.Jantzi@manulifesecurities.ca</t>
  </si>
  <si>
    <t>Greg Jantzi</t>
  </si>
  <si>
    <t>gjantzi</t>
  </si>
  <si>
    <t>Greg.Kaposy@manulifesecurities.ca</t>
  </si>
  <si>
    <t>Greg Kaposy</t>
  </si>
  <si>
    <t>GKaposy</t>
  </si>
  <si>
    <t>Greg.MacPherson@manulifesecurities.ca</t>
  </si>
  <si>
    <t>Greg MacPherson</t>
  </si>
  <si>
    <t>2017-10-07T15:24:28</t>
  </si>
  <si>
    <t>GMacPherson</t>
  </si>
  <si>
    <t>Greg.Matthews@manulifesecurities.ca</t>
  </si>
  <si>
    <t>Greg Matthews</t>
  </si>
  <si>
    <t>gmatthews</t>
  </si>
  <si>
    <t>Greg.Pilot@manulifesecurities.ca</t>
  </si>
  <si>
    <t>Greg Pilot</t>
  </si>
  <si>
    <t>2017-10-15T10:36:31</t>
  </si>
  <si>
    <t>GPilot</t>
  </si>
  <si>
    <t>Greg.Rasmussen@manulifesecurities.ca</t>
  </si>
  <si>
    <t>Greg Rasmussen</t>
  </si>
  <si>
    <t>2017-10-15T14:05:46</t>
  </si>
  <si>
    <t>grasmus</t>
  </si>
  <si>
    <t>Greg.Stanley@manulifesecurities.ca</t>
  </si>
  <si>
    <t>Greg Stanley</t>
  </si>
  <si>
    <t>2017-10-13T13:31:38</t>
  </si>
  <si>
    <t>GStanley</t>
  </si>
  <si>
    <t>Greg.Stoddard@manulifesecurities.ca</t>
  </si>
  <si>
    <t>Greg Stoddard</t>
  </si>
  <si>
    <t>2017-10-10T11:54:30</t>
  </si>
  <si>
    <t>GStoddard</t>
  </si>
  <si>
    <t>Greg.Tiessen@manulifesecurities.ca</t>
  </si>
  <si>
    <t>Greg Tiessen</t>
  </si>
  <si>
    <t>2017-10-16T06:04:47</t>
  </si>
  <si>
    <t>tiesseng</t>
  </si>
  <si>
    <t>gregory.bannister@manulifesecurities.ca</t>
  </si>
  <si>
    <t>Gregory Bannister</t>
  </si>
  <si>
    <t>2016-12-12T10:07:12</t>
  </si>
  <si>
    <t>mfc.gregory.banni</t>
  </si>
  <si>
    <t>Gregory.Bowen@manulifesecurities.ca</t>
  </si>
  <si>
    <t>Gregory Bowen</t>
  </si>
  <si>
    <t>bowengr</t>
  </si>
  <si>
    <t>Gregory.Green@manulifesecurities.ca</t>
  </si>
  <si>
    <t>Gregory Green</t>
  </si>
  <si>
    <t>ggreen</t>
  </si>
  <si>
    <t>Gregory.Hengl@manulifesecurities.ca</t>
  </si>
  <si>
    <t>Gregory Hengl</t>
  </si>
  <si>
    <t>2017-08-17T15:14:36</t>
  </si>
  <si>
    <t>gjhengl</t>
  </si>
  <si>
    <t>Gregory.Jantzi@manulifesecurities.ca</t>
  </si>
  <si>
    <t>Gregory Jantzi</t>
  </si>
  <si>
    <t>jantzgr</t>
  </si>
  <si>
    <t>Gregory.Moe@manulifesecurities.ca</t>
  </si>
  <si>
    <t>Gregory Moe</t>
  </si>
  <si>
    <t>2017-10-12T16:48:36</t>
  </si>
  <si>
    <t>GMoe</t>
  </si>
  <si>
    <t>Gregory.Mussenden@manulifesecurities.ca</t>
  </si>
  <si>
    <t>Gregory Mussenden</t>
  </si>
  <si>
    <t>2017-10-10T11:56:11</t>
  </si>
  <si>
    <t>gmussenden</t>
  </si>
  <si>
    <t>Gregory.Reiniger@manulifesecurities.ca</t>
  </si>
  <si>
    <t>Gregory Reiniger</t>
  </si>
  <si>
    <t>gregdr</t>
  </si>
  <si>
    <t>Gregory.Simmonds@manulifesecurities.ca</t>
  </si>
  <si>
    <t>Gregory Simmonds</t>
  </si>
  <si>
    <t>gpsimmonds</t>
  </si>
  <si>
    <t>Gregory.White@manulifesecurities.ca</t>
  </si>
  <si>
    <t>Gregory White</t>
  </si>
  <si>
    <t>2017-01-24T13:16:43</t>
  </si>
  <si>
    <t>GWhite</t>
  </si>
  <si>
    <t>GregS.Jantzi@manulifesecurities.ca</t>
  </si>
  <si>
    <t>Greg S Jantzi</t>
  </si>
  <si>
    <t>2017-10-10T09:26:19</t>
  </si>
  <si>
    <t>GregJantzi</t>
  </si>
  <si>
    <t>Greta.Melville@manulifesecurities.ca</t>
  </si>
  <si>
    <t>Greta Melville</t>
  </si>
  <si>
    <t>2016-12-28T09:59:34</t>
  </si>
  <si>
    <t>leggeg</t>
  </si>
  <si>
    <t>Gustave.Ruano@manulifesecurities.ca</t>
  </si>
  <si>
    <t>Gustave Ruano</t>
  </si>
  <si>
    <t>2017-10-14T07:55:49</t>
  </si>
  <si>
    <t>GRuano</t>
  </si>
  <si>
    <t>Guy.Bentley@manulifesecurities.ca</t>
  </si>
  <si>
    <t>Guy Bentley</t>
  </si>
  <si>
    <t>guybentley</t>
  </si>
  <si>
    <t>Guy.Couture@manulifesecurities.ca</t>
  </si>
  <si>
    <t>Guy Couture</t>
  </si>
  <si>
    <t>gcouture</t>
  </si>
  <si>
    <t>Guy.Riches@manulifesecurities.ca</t>
  </si>
  <si>
    <t>Guy Riches</t>
  </si>
  <si>
    <t>guyriches</t>
  </si>
  <si>
    <t>Guy.Rizzo@manulifesecurities.ca</t>
  </si>
  <si>
    <t>Guy Rizzo</t>
  </si>
  <si>
    <t>grizzo</t>
  </si>
  <si>
    <t>Guylaine.Boulanger@manulifesecurities.ca</t>
  </si>
  <si>
    <t>Guylaine Boulanger</t>
  </si>
  <si>
    <t>gboulanger</t>
  </si>
  <si>
    <t>Gwen.Mackenzie@manulifesecurities.ca</t>
  </si>
  <si>
    <t>Gwen Mackenzie</t>
  </si>
  <si>
    <t>2016-09-30T10:55:22</t>
  </si>
  <si>
    <t>mackegw</t>
  </si>
  <si>
    <t>Gwen.Snowe@manulifesecurities.ca</t>
  </si>
  <si>
    <t>Gwen Snowe</t>
  </si>
  <si>
    <t>2017-10-13T09:58:34</t>
  </si>
  <si>
    <t>mfc.gwen.snowe</t>
  </si>
  <si>
    <t>Gwynne.Mykytchuk@manulifesecurities.ca</t>
  </si>
  <si>
    <t>Gwynne Mykytchuk</t>
  </si>
  <si>
    <t>2016-05-27T11:47:44</t>
  </si>
  <si>
    <t>gmykyt</t>
  </si>
  <si>
    <t>h.charron@manulifesecurities.ca</t>
  </si>
  <si>
    <t>Hugo Charron</t>
  </si>
  <si>
    <t>2017-10-15T07:07:09</t>
  </si>
  <si>
    <t>mfc.h.charron</t>
  </si>
  <si>
    <t>h.grant@manulifesecurities.ca</t>
  </si>
  <si>
    <t>Heather Grant</t>
  </si>
  <si>
    <t>2016-01-29T08:45:25</t>
  </si>
  <si>
    <t>mfc.h.grant</t>
  </si>
  <si>
    <t>H.Stergiopoulos@manulifesecurities.ca</t>
  </si>
  <si>
    <t>Harry Stergiopoulos</t>
  </si>
  <si>
    <t>2017-01-16T19:02:54</t>
  </si>
  <si>
    <t>mfc.h.stergiopoul</t>
  </si>
  <si>
    <t>H.Wozniak@manulifesecurities.ca</t>
  </si>
  <si>
    <t>Holly Wozniak (Assistant)</t>
  </si>
  <si>
    <t>2017-10-10T10:26:29</t>
  </si>
  <si>
    <t>mfc.h.wozniak</t>
  </si>
  <si>
    <t>Hailley.Allen@manulifesecurities.ca</t>
  </si>
  <si>
    <t>Hailley Allen</t>
  </si>
  <si>
    <t>HAllen</t>
  </si>
  <si>
    <t>Haim.Assouline@manulifesecurities.ca</t>
  </si>
  <si>
    <t>Haim Assouline</t>
  </si>
  <si>
    <t>HAssouline</t>
  </si>
  <si>
    <t>Haiyan.Zhu@manulifesecurities.ca</t>
  </si>
  <si>
    <t>Haiyan Zhu</t>
  </si>
  <si>
    <t>maria.zhu</t>
  </si>
  <si>
    <t>Hal.Cormier@manulifesecurities.ca</t>
  </si>
  <si>
    <t>Hal Cormier</t>
  </si>
  <si>
    <t>henac financial</t>
  </si>
  <si>
    <t>Haley.Sikorski@manulifesecurities.ca</t>
  </si>
  <si>
    <t>Haley Sikorski</t>
  </si>
  <si>
    <t>2017-07-20T15:24:26</t>
  </si>
  <si>
    <t>HSikorski</t>
  </si>
  <si>
    <t>Hampar.Degian@manulifesecurities.ca</t>
  </si>
  <si>
    <t>Hampar Degian</t>
  </si>
  <si>
    <t>hdegian</t>
  </si>
  <si>
    <t>Hannah.Domdom@manulifesecurities.ca</t>
  </si>
  <si>
    <t>Hannah Domdom</t>
  </si>
  <si>
    <t>domdoha</t>
  </si>
  <si>
    <t>Hannah.Hagedorn@manulifesecurities.ca</t>
  </si>
  <si>
    <t>Hannah Hagedorn</t>
  </si>
  <si>
    <t>2017-04-19T12:19:08</t>
  </si>
  <si>
    <t>mfc.hannah.hagedo</t>
  </si>
  <si>
    <t>Hannah.Menol@manulifesecurities.ca</t>
  </si>
  <si>
    <t>Hannah Menol</t>
  </si>
  <si>
    <t>hmenol</t>
  </si>
  <si>
    <t>Hany.Ghattas@manulifesecurities.ca</t>
  </si>
  <si>
    <t>Hany Ghattas</t>
  </si>
  <si>
    <t>HGhattas</t>
  </si>
  <si>
    <t>Harbs.Gill@manulifesecurities.ca</t>
  </si>
  <si>
    <t>Harbs Gill</t>
  </si>
  <si>
    <t>2017-10-12T15:07:01</t>
  </si>
  <si>
    <t>Hagill</t>
  </si>
  <si>
    <t>harj.sahota@manulifesecurities.ca</t>
  </si>
  <si>
    <t>Harjinder Sahota</t>
  </si>
  <si>
    <t>2017-10-13T10:57:37</t>
  </si>
  <si>
    <t>mfc.harj.sahota</t>
  </si>
  <si>
    <t>Harold.Dawson@manulifesecurities.ca</t>
  </si>
  <si>
    <t>Harold Dawson</t>
  </si>
  <si>
    <t>2015-05-05T10:34:12</t>
  </si>
  <si>
    <t>hgdawson</t>
  </si>
  <si>
    <t>Harold.Grabowski@manulifesecurities.ca</t>
  </si>
  <si>
    <t>Harold Grabowski</t>
  </si>
  <si>
    <t>HGrabowski</t>
  </si>
  <si>
    <t>Harold.Mertin@manulifesecurities.ca</t>
  </si>
  <si>
    <t>Harold Mertin</t>
  </si>
  <si>
    <t>2017-09-28T10:49:54</t>
  </si>
  <si>
    <t>mertin</t>
  </si>
  <si>
    <t>Harold.Steele@manulifesecurities.ca</t>
  </si>
  <si>
    <t>Harold Steele</t>
  </si>
  <si>
    <t>ksteele</t>
  </si>
  <si>
    <t>Harpreet.Brar@manulifesecurities.ca</t>
  </si>
  <si>
    <t>Harpreet Brar</t>
  </si>
  <si>
    <t>2017-10-12T16:00:32</t>
  </si>
  <si>
    <t>mfc.harpreet.brar</t>
  </si>
  <si>
    <t>Harris.Abro@manulifesecurities.ca</t>
  </si>
  <si>
    <t>Harris Abro</t>
  </si>
  <si>
    <t>habro</t>
  </si>
  <si>
    <t>Harry.Joseph@manulifesecurities.ca</t>
  </si>
  <si>
    <t>Harry Joseph</t>
  </si>
  <si>
    <t>HJoseph</t>
  </si>
  <si>
    <t>Harry.Stergiopoulos@manulifesecurities.ca</t>
  </si>
  <si>
    <t>HStergiopoulos</t>
  </si>
  <si>
    <t>Harvey.Beitchman@manulifesecurities.ca</t>
  </si>
  <si>
    <t>Harvey Beitchman</t>
  </si>
  <si>
    <t>2017-10-15T12:03:46</t>
  </si>
  <si>
    <t>HBeitchman</t>
  </si>
  <si>
    <t>Harvey.Hanec@manulifesecurities.ca</t>
  </si>
  <si>
    <t>Harvey Hanec</t>
  </si>
  <si>
    <t>2017-10-12T10:29:13</t>
  </si>
  <si>
    <t>mfc.harvey.hanec</t>
  </si>
  <si>
    <t>Harvey.Hopper@manulifesecurities.ca</t>
  </si>
  <si>
    <t>Harvey Hopper</t>
  </si>
  <si>
    <t>2017-10-13T14:24:23</t>
  </si>
  <si>
    <t>hchopper</t>
  </si>
  <si>
    <t>Harvey.Morrison@manulifesecurities.ca</t>
  </si>
  <si>
    <t>Harvey Morrison</t>
  </si>
  <si>
    <t>2015-02-23T14:57:32</t>
  </si>
  <si>
    <t>HMorrison</t>
  </si>
  <si>
    <t>Hassan.Kenawi@manulifesecurities.ca</t>
  </si>
  <si>
    <t>Hassan Kenawi</t>
  </si>
  <si>
    <t>HKenawi</t>
  </si>
  <si>
    <t>Hazel.Sprague@manulifesecurities.ca</t>
  </si>
  <si>
    <t>Hazel Sprague</t>
  </si>
  <si>
    <t>HSprague</t>
  </si>
  <si>
    <t>HBalliston@manulifesecurities.ca</t>
  </si>
  <si>
    <t>HeBalliston</t>
  </si>
  <si>
    <t>HeadOffice@manulifesecurities.ca</t>
  </si>
  <si>
    <t>Head Office</t>
  </si>
  <si>
    <t>HeadOffice</t>
  </si>
  <si>
    <t>HeadOffice2@manulifesecurities.ca</t>
  </si>
  <si>
    <t>.Head Office</t>
  </si>
  <si>
    <t>Heather.Adamson@manulifesecurities.ca</t>
  </si>
  <si>
    <t>Heather Adamson</t>
  </si>
  <si>
    <t>2016-04-18T09:54:38</t>
  </si>
  <si>
    <t>HAdamson</t>
  </si>
  <si>
    <t>Heather.Amlin@manulifesecurities.ca</t>
  </si>
  <si>
    <t>Heather Amlin</t>
  </si>
  <si>
    <t>2017-03-08T12:56:21</t>
  </si>
  <si>
    <t>pmarlatt</t>
  </si>
  <si>
    <t>Heather.Balliston@manulifesecurities.ca</t>
  </si>
  <si>
    <t>HeathBalliston</t>
  </si>
  <si>
    <t>Heather.Baltzer@manulifesecurities.ca</t>
  </si>
  <si>
    <t>Heather Baltzer</t>
  </si>
  <si>
    <t>HBaltzer</t>
  </si>
  <si>
    <t>Heather.Bezruki@manulifesecurities.ca</t>
  </si>
  <si>
    <t>Heather Bezruki</t>
  </si>
  <si>
    <t>hbezruki</t>
  </si>
  <si>
    <t>Heather.Borrelli@manulifesecurities.ca</t>
  </si>
  <si>
    <t>Heather Borrelli - Deprovisioned 2015-03-11 21:19:43</t>
  </si>
  <si>
    <t>2015-06-21T12:31:52</t>
  </si>
  <si>
    <t>HBorrelli</t>
  </si>
  <si>
    <t>Heather.Chua@manulifesecurities.ca</t>
  </si>
  <si>
    <t>Heather Chua</t>
  </si>
  <si>
    <t>2017-03-29T16:49:46</t>
  </si>
  <si>
    <t>HeChua</t>
  </si>
  <si>
    <t>Heather.Clayton@manulifesecurities.ca</t>
  </si>
  <si>
    <t>Heather Clayton</t>
  </si>
  <si>
    <t>2017-10-12T08:32:57</t>
  </si>
  <si>
    <t>hclayton</t>
  </si>
  <si>
    <t>Heather.Courneya@manulifesecurities.ca</t>
  </si>
  <si>
    <t>Heather Courneya</t>
  </si>
  <si>
    <t>heather</t>
  </si>
  <si>
    <t>Heather.FeiglMckay@manulifesecurities.ca</t>
  </si>
  <si>
    <t>Heather Feigl-Mckay</t>
  </si>
  <si>
    <t>HeFeiglMckay</t>
  </si>
  <si>
    <t>Heather.Gauthier@manulifesecurities.ca</t>
  </si>
  <si>
    <t>Heather Gauthier</t>
  </si>
  <si>
    <t>2017-10-12T18:11:11</t>
  </si>
  <si>
    <t>HGauthier</t>
  </si>
  <si>
    <t>Heather.Grant@manulifesecurities.ca</t>
  </si>
  <si>
    <t>hgrant</t>
  </si>
  <si>
    <t>Heather.Hawkins@manulifesecurities.ca</t>
  </si>
  <si>
    <t>Heather Hawkins</t>
  </si>
  <si>
    <t>HHawkins</t>
  </si>
  <si>
    <t>Heather.Hills@manulifesecurities.ca</t>
  </si>
  <si>
    <t>Heather Hills</t>
  </si>
  <si>
    <t>2017-10-10T12:49:49</t>
  </si>
  <si>
    <t>HHills</t>
  </si>
  <si>
    <t>Heather.Howard@manulifesecurities.ca</t>
  </si>
  <si>
    <t>Heather Howard</t>
  </si>
  <si>
    <t>2015-05-25T09:23:02</t>
  </si>
  <si>
    <t>HHoward</t>
  </si>
  <si>
    <t>Heather.Ivall@manulifesecurities.ca</t>
  </si>
  <si>
    <t>zz Manulife - Heather Ivall</t>
  </si>
  <si>
    <t>hivall</t>
  </si>
  <si>
    <t>Heather.Jajic@manulifesecurities.ca</t>
  </si>
  <si>
    <t>Heather Jajic</t>
  </si>
  <si>
    <t>2015-03-09T16:38:10</t>
  </si>
  <si>
    <t>hjajic</t>
  </si>
  <si>
    <t>Heather.Kennedy@manulifesecurities.ca</t>
  </si>
  <si>
    <t>Heather Kennedy</t>
  </si>
  <si>
    <t>HKennedy</t>
  </si>
  <si>
    <t>Heather.LeBlanc@manulifesecurities.ca</t>
  </si>
  <si>
    <t>Heather LeBlanc</t>
  </si>
  <si>
    <t>2017-10-10T08:24:55</t>
  </si>
  <si>
    <t>HLeBlanc</t>
  </si>
  <si>
    <t>Heather.MacDonald@manulifesecurities.ca</t>
  </si>
  <si>
    <t>Heather MacDonald</t>
  </si>
  <si>
    <t>2017-10-07T21:56:34</t>
  </si>
  <si>
    <t>HMacDonald</t>
  </si>
  <si>
    <t>Heather.MacIntosh@manulifesecurities.ca</t>
  </si>
  <si>
    <t>Heather MacIntosh</t>
  </si>
  <si>
    <t>2017-10-07T14:22:37</t>
  </si>
  <si>
    <t>hmacin</t>
  </si>
  <si>
    <t>Heather.Mallette@manulifesecurities.ca</t>
  </si>
  <si>
    <t>Heather Mallette</t>
  </si>
  <si>
    <t>HMallette</t>
  </si>
  <si>
    <t>Heather.McLean@manulifesecurities.ca</t>
  </si>
  <si>
    <t>Heather McLean</t>
  </si>
  <si>
    <t>HMcLean</t>
  </si>
  <si>
    <t>Heather.McMaster@manulifesecurities.ca</t>
  </si>
  <si>
    <t>Heather McMaster</t>
  </si>
  <si>
    <t>HMcMaster</t>
  </si>
  <si>
    <t>Heather.Orr@manulifesecurities.ca</t>
  </si>
  <si>
    <t>HOrr</t>
  </si>
  <si>
    <t>Heather.Ramsay@manulifesecurities.ca</t>
  </si>
  <si>
    <t>Heather Ramsay</t>
  </si>
  <si>
    <t>2015-10-27T08:45:02</t>
  </si>
  <si>
    <t>HRamsay</t>
  </si>
  <si>
    <t>Heather.Ryan@manulifesecurities.ca</t>
  </si>
  <si>
    <t>Heather Ryan</t>
  </si>
  <si>
    <t>ryanha</t>
  </si>
  <si>
    <t>Heather.Siegner@manulifesecurities.ca</t>
  </si>
  <si>
    <t>Heather  Siegner</t>
  </si>
  <si>
    <t>2015-07-06T11:22:21</t>
  </si>
  <si>
    <t>HSiegner</t>
  </si>
  <si>
    <t>Heather.Simonson@manulifesecurities.ca</t>
  </si>
  <si>
    <t>Heather Simonson</t>
  </si>
  <si>
    <t>heathers</t>
  </si>
  <si>
    <t>Heather.Talledo@manulifesecurities.ca</t>
  </si>
  <si>
    <t>Heather Talledo</t>
  </si>
  <si>
    <t>2017-03-13T12:17:26</t>
  </si>
  <si>
    <t>mfc.heather.talle</t>
  </si>
  <si>
    <t>Heather.Teasdale@manulifesecurities.ca</t>
  </si>
  <si>
    <t>Heather Teasdale</t>
  </si>
  <si>
    <t>hteasdale</t>
  </si>
  <si>
    <t>Heather.Thomson@manulifesecurities.ca</t>
  </si>
  <si>
    <t>Heather Thomson</t>
  </si>
  <si>
    <t>2017-07-06T14:00:31</t>
  </si>
  <si>
    <t>HThomson</t>
  </si>
  <si>
    <t>Heather.Wieland@manulifesecurities.ca</t>
  </si>
  <si>
    <t>Heather Wieland</t>
  </si>
  <si>
    <t>HWieland</t>
  </si>
  <si>
    <t>Heather.Winch@manulifesecurities.ca</t>
  </si>
  <si>
    <t>Heather Winch</t>
  </si>
  <si>
    <t>2017-09-09T14:57:21</t>
  </si>
  <si>
    <t>heatherw</t>
  </si>
  <si>
    <t>Heidi.VanDelden@manulifesecurities.ca</t>
  </si>
  <si>
    <t>Heidi Van Delden</t>
  </si>
  <si>
    <t>hvandelden</t>
  </si>
  <si>
    <t>Heidy.Grenc@manulifesecurities.ca</t>
  </si>
  <si>
    <t>HGrenc</t>
  </si>
  <si>
    <t>Helen.Donis-Smith@manulifesecurities.ca</t>
  </si>
  <si>
    <t>Helen Donis-Smith</t>
  </si>
  <si>
    <t>2017-09-06T10:48:27</t>
  </si>
  <si>
    <t>donishe</t>
  </si>
  <si>
    <t>Helen.Graham@manulifesecurities.ca</t>
  </si>
  <si>
    <t>Helen Graham</t>
  </si>
  <si>
    <t>HGraham</t>
  </si>
  <si>
    <t>Helen.Mahoney@manulifesecurities.ca</t>
  </si>
  <si>
    <t>HMahoney</t>
  </si>
  <si>
    <t>Helen.McAuslan@manulifesecurities.ca</t>
  </si>
  <si>
    <t>Helen McAuslan</t>
  </si>
  <si>
    <t>2017-10-15T06:10:32</t>
  </si>
  <si>
    <t>mfc.helen.mcausla</t>
  </si>
  <si>
    <t>Helen.N.Graham@manulifesecurities.ca</t>
  </si>
  <si>
    <t>Helen N. Graham</t>
  </si>
  <si>
    <t>hngraham</t>
  </si>
  <si>
    <t>Helen.Parrott@manulifesecurities.ca</t>
  </si>
  <si>
    <t>zz Manulife - Helen Parrott</t>
  </si>
  <si>
    <t>HParrott</t>
  </si>
  <si>
    <t>helena.donaldson@manulifesecurities.ca</t>
  </si>
  <si>
    <t>Helena Donaldson</t>
  </si>
  <si>
    <t>2017-10-07T05:22:16</t>
  </si>
  <si>
    <t>mfc.helena.donald</t>
  </si>
  <si>
    <t>Helena.Zhang@manulifesecurities.ca</t>
  </si>
  <si>
    <t>Helena Zhang</t>
  </si>
  <si>
    <t>HZhang</t>
  </si>
  <si>
    <t>Helene.Kaut@manulifesecurities.ca</t>
  </si>
  <si>
    <t>Helene Kaut</t>
  </si>
  <si>
    <t>HKaut</t>
  </si>
  <si>
    <t>Helenn.Graham@manulifesecurities.ca</t>
  </si>
  <si>
    <t>Helen Graham (Disabled)</t>
  </si>
  <si>
    <t>HelenGraham</t>
  </si>
  <si>
    <t>Hellen.Wilkinson@manulifesecurities.ca</t>
  </si>
  <si>
    <t>Hellen Wilkinson</t>
  </si>
  <si>
    <t>2017-10-10T08:30:14</t>
  </si>
  <si>
    <t>HWilkinson</t>
  </si>
  <si>
    <t>Henna.Rintala@manulifesecurities.ca</t>
  </si>
  <si>
    <t>Henna Rintala</t>
  </si>
  <si>
    <t>2017-10-12T08:31:29</t>
  </si>
  <si>
    <t>mfc.henna.rintala</t>
  </si>
  <si>
    <t>Henrique.Fernandes@manulifesecurities.ca</t>
  </si>
  <si>
    <t>Henrique Fernandes</t>
  </si>
  <si>
    <t>HFernandes</t>
  </si>
  <si>
    <t>Henry.Markey@manulifesecurities.ca</t>
  </si>
  <si>
    <t>Henry Markey</t>
  </si>
  <si>
    <t>markeyh</t>
  </si>
  <si>
    <t>Herb.Braley@manulifesecurities.ca</t>
  </si>
  <si>
    <t>Herb Braley Sr</t>
  </si>
  <si>
    <t>braleyh</t>
  </si>
  <si>
    <t>Herb.Goedecke@manulifesecurities.ca</t>
  </si>
  <si>
    <t>Herb Goedecke</t>
  </si>
  <si>
    <t>2017-10-07T08:33:42</t>
  </si>
  <si>
    <t>herbgo</t>
  </si>
  <si>
    <t>Herb.McFaull@manulifesecurities.ca</t>
  </si>
  <si>
    <t>Herb McFaull</t>
  </si>
  <si>
    <t>2016-10-21T15:36:35</t>
  </si>
  <si>
    <t>HMcFaull</t>
  </si>
  <si>
    <t>Herb.Toeppner@manulifesecurities.ca</t>
  </si>
  <si>
    <t>Herb Toeppner</t>
  </si>
  <si>
    <t>HToeppner</t>
  </si>
  <si>
    <t>Herbert.Braley@manulifesecurities.ca</t>
  </si>
  <si>
    <t>Herbert Braley Jr</t>
  </si>
  <si>
    <t>hbraley</t>
  </si>
  <si>
    <t>Herbert.Samek@manulifesecurities.ca</t>
  </si>
  <si>
    <t>Herbert Samek</t>
  </si>
  <si>
    <t>2017-10-15T13:31:47</t>
  </si>
  <si>
    <t>HSamek</t>
  </si>
  <si>
    <t>Hesham.Bakir@manulifesecurities.ca</t>
  </si>
  <si>
    <t>Hesham Bakir</t>
  </si>
  <si>
    <t>2015-01-04T17:51:55</t>
  </si>
  <si>
    <t>HBakir</t>
  </si>
  <si>
    <t>Hetty.O'Donnell@manulifesecurities.ca</t>
  </si>
  <si>
    <t>Hetty O'Donnell</t>
  </si>
  <si>
    <t>2017-06-12T14:13:13</t>
  </si>
  <si>
    <t>mfc.hetty.odonnel</t>
  </si>
  <si>
    <t>Hilda.Sucre@manulifesecurities.ca</t>
  </si>
  <si>
    <t>Hilda Sucre</t>
  </si>
  <si>
    <t>sucrehi</t>
  </si>
  <si>
    <t>Hilda.Warnock@manulifesecurities.ca</t>
  </si>
  <si>
    <t>Hilda Warnock</t>
  </si>
  <si>
    <t>HWarnock</t>
  </si>
  <si>
    <t>Hira.Bakhtawar@manulifesecurities.ca</t>
  </si>
  <si>
    <t>Hira Bakhtawar</t>
  </si>
  <si>
    <t>HBakhtawar</t>
  </si>
  <si>
    <t>Holly.Billings@manulifesecurities.ca</t>
  </si>
  <si>
    <t>Holly Billings</t>
  </si>
  <si>
    <t>2016-03-01T17:13:24</t>
  </si>
  <si>
    <t>HBillings</t>
  </si>
  <si>
    <t>Holly.Caetano@manulifesecurities.ca</t>
  </si>
  <si>
    <t>Holly Caetano</t>
  </si>
  <si>
    <t>2017-10-10T07:47:43</t>
  </si>
  <si>
    <t>mfc.holly.caetano</t>
  </si>
  <si>
    <t>Holly.Jones@manulifesecurities.ca</t>
  </si>
  <si>
    <t>Holly Jones</t>
  </si>
  <si>
    <t>2017-10-03T23:40:58</t>
  </si>
  <si>
    <t>HJones</t>
  </si>
  <si>
    <t>Holly.Spate@manulifesecurities.ca</t>
  </si>
  <si>
    <t>Holly Spate</t>
  </si>
  <si>
    <t>2015-07-13T10:49:41</t>
  </si>
  <si>
    <t>mfc.holly.spate</t>
  </si>
  <si>
    <t>Holly.Theriault@manulifesecurities.ca</t>
  </si>
  <si>
    <t>Holly Theriault</t>
  </si>
  <si>
    <t>HTheriault</t>
  </si>
  <si>
    <t>Holly.Whitwell@manulifesecurities.ca</t>
  </si>
  <si>
    <t>Holly Whitwell</t>
  </si>
  <si>
    <t>2017-10-12T11:19:28</t>
  </si>
  <si>
    <t>hwwhitwell</t>
  </si>
  <si>
    <t>Holly.Williams@manulifesecurities.ca</t>
  </si>
  <si>
    <t>Holly Williams</t>
  </si>
  <si>
    <t>HWilliams</t>
  </si>
  <si>
    <t>Holly.Wozniak@manulifesecurities.ca</t>
  </si>
  <si>
    <t>Holly Wozniak</t>
  </si>
  <si>
    <t>HWozniak</t>
  </si>
  <si>
    <t>Hope.Smail@manulifesecurities.ca</t>
  </si>
  <si>
    <t>Hope Smail</t>
  </si>
  <si>
    <t>hsmail</t>
  </si>
  <si>
    <t>horaine.carty@manulifesecurities.ca</t>
  </si>
  <si>
    <t>Horaine Carty</t>
  </si>
  <si>
    <t>2016-12-21T17:16:02</t>
  </si>
  <si>
    <t>mfc.horaine.carty</t>
  </si>
  <si>
    <t>Howard.Hart@manulifesecurities.ca</t>
  </si>
  <si>
    <t>Howard Hart</t>
  </si>
  <si>
    <t>2017-10-07T15:01:08</t>
  </si>
  <si>
    <t>HoHart</t>
  </si>
  <si>
    <t>Howard.Lisk@manulifesecurities.ca</t>
  </si>
  <si>
    <t>Howard Lisk</t>
  </si>
  <si>
    <t>2017-05-26T11:56:35</t>
  </si>
  <si>
    <t>mfc.howard.lisk</t>
  </si>
  <si>
    <t>Hugh.Dakin@manulifesecurities.ca</t>
  </si>
  <si>
    <t>Hugh Dakin</t>
  </si>
  <si>
    <t>2017-10-06T11:12:43</t>
  </si>
  <si>
    <t>HDakin</t>
  </si>
  <si>
    <t>Hugh.Dodd@manulifesecurities.ca</t>
  </si>
  <si>
    <t>Hugh Dodd</t>
  </si>
  <si>
    <t>2017-10-14T16:23:11</t>
  </si>
  <si>
    <t>hwdodd</t>
  </si>
  <si>
    <t>Hugh.Macdonald@manulifesecurities.ca</t>
  </si>
  <si>
    <t>Hugh Macdonald</t>
  </si>
  <si>
    <t>macdonaldfin</t>
  </si>
  <si>
    <t>Hugo.Poirier@manulifesecurities.ca</t>
  </si>
  <si>
    <t>Hugo Poirier</t>
  </si>
  <si>
    <t>2017-10-10T09:50:48</t>
  </si>
  <si>
    <t>mfc.hugo.poirier</t>
  </si>
  <si>
    <t>Hugo.Tiessen@manulifesecurities.ca</t>
  </si>
  <si>
    <t>Hugo Tiessen</t>
  </si>
  <si>
    <t>2017-10-13T08:51:18</t>
  </si>
  <si>
    <t>tiessenh</t>
  </si>
  <si>
    <t>Hung.Chu@manulifesecurities.ca</t>
  </si>
  <si>
    <t>Hung Chu</t>
  </si>
  <si>
    <t>HChu</t>
  </si>
  <si>
    <t>Huy.Le@manulifesecurities.ca</t>
  </si>
  <si>
    <t>Huy Le</t>
  </si>
  <si>
    <t>hle</t>
  </si>
  <si>
    <t>Hyim.Bessin@manulifesecurities.ca</t>
  </si>
  <si>
    <t>Hyim Bessin</t>
  </si>
  <si>
    <t>HBessin</t>
  </si>
  <si>
    <t>I.Amiri@manulifesecurities.ca</t>
  </si>
  <si>
    <t>Iqbal Amiri</t>
  </si>
  <si>
    <t>2017-10-05T12:15:47</t>
  </si>
  <si>
    <t>mfc.i.amiri</t>
  </si>
  <si>
    <t>Iain.Thomson@manulifesecurities.ca</t>
  </si>
  <si>
    <t>Iain Thomson</t>
  </si>
  <si>
    <t>2017-10-08T05:40:24</t>
  </si>
  <si>
    <t>iathomson</t>
  </si>
  <si>
    <t>Ian.Campbell@manulifesecurities.ca</t>
  </si>
  <si>
    <t>Ian Campbell</t>
  </si>
  <si>
    <t>2017-10-10T08:58:18</t>
  </si>
  <si>
    <t>icampbel</t>
  </si>
  <si>
    <t>Ian.Collings@manulifesecurities.ca</t>
  </si>
  <si>
    <t>Ian Collings</t>
  </si>
  <si>
    <t>2017-10-12T06:01:55</t>
  </si>
  <si>
    <t>icollings</t>
  </si>
  <si>
    <t>Ian.Jenner@manulifesecurities.ca</t>
  </si>
  <si>
    <t>Ian Jenner</t>
  </si>
  <si>
    <t>IJenner</t>
  </si>
  <si>
    <t>Ian.Muir@manulifesecurities.ca</t>
  </si>
  <si>
    <t>Ian Muir</t>
  </si>
  <si>
    <t>2014-12-17T13:26:16</t>
  </si>
  <si>
    <t>ianmuir</t>
  </si>
  <si>
    <t>Ian.Pippy@manulifesecurities.ca</t>
  </si>
  <si>
    <t>Ian Pippy</t>
  </si>
  <si>
    <t>ianpippy</t>
  </si>
  <si>
    <t>Ian.Suter@manulifesecurities.ca</t>
  </si>
  <si>
    <t>Ian Suter</t>
  </si>
  <si>
    <t>ISuter</t>
  </si>
  <si>
    <t>Ian.Toth@manulifesecurities.ca</t>
  </si>
  <si>
    <t>Ian Toth</t>
  </si>
  <si>
    <t>2017-10-12T10:01:05</t>
  </si>
  <si>
    <t>mfc.ian.toth</t>
  </si>
  <si>
    <t>Ian.Vasquez@manulifesecurities.ca</t>
  </si>
  <si>
    <t>IVasquez</t>
  </si>
  <si>
    <t>IBM.Test@manulifesecurities.ca</t>
  </si>
  <si>
    <t>IBM Test</t>
  </si>
  <si>
    <t>ibmtest</t>
  </si>
  <si>
    <t>ida.advisor@manulifesecurities.ca</t>
  </si>
  <si>
    <t>ida advisor</t>
  </si>
  <si>
    <t>idaadv2</t>
  </si>
  <si>
    <t>Ilka.Hurman@manulifesecurities.ca</t>
  </si>
  <si>
    <t>Ilka Hurman</t>
  </si>
  <si>
    <t>ilkahurman</t>
  </si>
  <si>
    <t>Ilsa.Williams@manulifesecurities.ca</t>
  </si>
  <si>
    <t>IWilliams</t>
  </si>
  <si>
    <t>Iman.Charles@manulifesecurities.ca</t>
  </si>
  <si>
    <t>Iman Charles</t>
  </si>
  <si>
    <t>ischarles</t>
  </si>
  <si>
    <t>IndustryInitiative@manulifesecurities.ca</t>
  </si>
  <si>
    <t>IndustryInitiative</t>
  </si>
  <si>
    <t>Industry Initiative</t>
  </si>
  <si>
    <t>Indy.Balendra@manulifesecurities.ca</t>
  </si>
  <si>
    <t>Indy Balendra</t>
  </si>
  <si>
    <t>IBalendra</t>
  </si>
  <si>
    <t>Ingrid.Kerker-Lutsch@manulifesecurities.ca</t>
  </si>
  <si>
    <t>Ingrid Kerker-Lutsch</t>
  </si>
  <si>
    <t>ingridkl</t>
  </si>
  <si>
    <t>Ingrid.Oostenbrink@manulifesecurities.ca</t>
  </si>
  <si>
    <t>Ingrid Oostenbrink</t>
  </si>
  <si>
    <t>IOostenbrink</t>
  </si>
  <si>
    <t>Ingrid.Rinaldi@manulifesecurities.ca</t>
  </si>
  <si>
    <t>Ingrid Rinaldi</t>
  </si>
  <si>
    <t>2014-10-01T17:22:30</t>
  </si>
  <si>
    <t>IRinaldi</t>
  </si>
  <si>
    <t>Ingrid.Smith@manulifesecurities.ca</t>
  </si>
  <si>
    <t>Ingrid Smith</t>
  </si>
  <si>
    <t>2017-10-10T12:10:13</t>
  </si>
  <si>
    <t>ISmith</t>
  </si>
  <si>
    <t>InsuranceQuotes@manulifesecurities.ca</t>
  </si>
  <si>
    <t>Insurance Quotes</t>
  </si>
  <si>
    <t>InsuranceQuotes</t>
  </si>
  <si>
    <t>Inta.Kearns@manulifesecurities.ca</t>
  </si>
  <si>
    <t>Inta Kearns</t>
  </si>
  <si>
    <t>2017-10-11T08:44:02</t>
  </si>
  <si>
    <t>ikearns</t>
  </si>
  <si>
    <t>Integration@manulifesecurities.ca</t>
  </si>
  <si>
    <t>Integration</t>
  </si>
  <si>
    <t>Iqbal.Tajdeen@manulifesecurities.ca</t>
  </si>
  <si>
    <t>Iqbal Tajdeen</t>
  </si>
  <si>
    <t>ITajdeen</t>
  </si>
  <si>
    <t>IQuarrington@manulifesecurities.ca</t>
  </si>
  <si>
    <t>Iain Quarrington</t>
  </si>
  <si>
    <t>2017-10-16T07:33:50</t>
  </si>
  <si>
    <t>IQuarrington</t>
  </si>
  <si>
    <t>Irene.Allingham@manulifesecurities.ca</t>
  </si>
  <si>
    <t>Irene Allingham</t>
  </si>
  <si>
    <t>allinir</t>
  </si>
  <si>
    <t>Irene.Dunkley@manulifesecurities.ca</t>
  </si>
  <si>
    <t>Irene Dunkley</t>
  </si>
  <si>
    <t>2017-10-12T11:33:47</t>
  </si>
  <si>
    <t>dunklir</t>
  </si>
  <si>
    <t>Irene.Dunn@manulifesecurities.ca</t>
  </si>
  <si>
    <t>Irene Dunn</t>
  </si>
  <si>
    <t>2017-10-05T12:39:32</t>
  </si>
  <si>
    <t>mfc.irene.dunn</t>
  </si>
  <si>
    <t>Irene.Fast@manulifesecurities.ca</t>
  </si>
  <si>
    <t>Irene Fast</t>
  </si>
  <si>
    <t>irenefast</t>
  </si>
  <si>
    <t>Irene.Johnson@manulifesecurities.ca</t>
  </si>
  <si>
    <t>Irene Johnson</t>
  </si>
  <si>
    <t>2017-10-10T12:11:24</t>
  </si>
  <si>
    <t>mfc.irene.johnson</t>
  </si>
  <si>
    <t>IreneMatys@manulifesecurities.ca</t>
  </si>
  <si>
    <t>IMatys</t>
  </si>
  <si>
    <t>IreneMatys</t>
  </si>
  <si>
    <t>Irina.Roudenko@manulifesecurities.ca</t>
  </si>
  <si>
    <t>Irina Roudenko</t>
  </si>
  <si>
    <t>IRoudenko</t>
  </si>
  <si>
    <t>Iris.Chen@manulifesecurities.ca</t>
  </si>
  <si>
    <t>Iris Chen</t>
  </si>
  <si>
    <t>2016-12-15T09:53:38</t>
  </si>
  <si>
    <t>mfc.iris.chen</t>
  </si>
  <si>
    <t>Isa.Rahamat@manulifesecurities.ca</t>
  </si>
  <si>
    <t>Isa M. Rahamat</t>
  </si>
  <si>
    <t>2017-10-13T11:44:02</t>
  </si>
  <si>
    <t>MRahamat</t>
  </si>
  <si>
    <t>Isabel.Middlestead@manulifesecurities.ca</t>
  </si>
  <si>
    <t>Isabel Middlestead</t>
  </si>
  <si>
    <t>imiddl</t>
  </si>
  <si>
    <t>Isabella.Klimpke@manulifesecurities.ca</t>
  </si>
  <si>
    <t>Isabella Klimpke</t>
  </si>
  <si>
    <t>2015-12-16T02:59:04</t>
  </si>
  <si>
    <t>isabellak</t>
  </si>
  <si>
    <t>ISABELLA.POMPILIO-SPADACINI@manulifesecurities.ca</t>
  </si>
  <si>
    <t>ISABELLA POMPILIO-SPADACINI</t>
  </si>
  <si>
    <t>mfc.isabella.pomp</t>
  </si>
  <si>
    <t>isabelle.bernier@manulifesecurities.ca</t>
  </si>
  <si>
    <t>Isabelle Bernier</t>
  </si>
  <si>
    <t>2016-03-14T09:41:50</t>
  </si>
  <si>
    <t>mfc.isabelle.bern</t>
  </si>
  <si>
    <t>Isabelle.Collard@manulifesecurities.ca</t>
  </si>
  <si>
    <t>Isabelle Collard</t>
  </si>
  <si>
    <t>bellisa</t>
  </si>
  <si>
    <t>Isabelle.Gemme@placementsmanuvie.ca</t>
  </si>
  <si>
    <t>Isabelle Gemme</t>
  </si>
  <si>
    <t>2017-10-06T10:54:29</t>
  </si>
  <si>
    <t>IGemme</t>
  </si>
  <si>
    <t>Isadore.Burdeniuk@manulifesecurities.ca</t>
  </si>
  <si>
    <t>Isadore Burdeniuk</t>
  </si>
  <si>
    <t>IBurdeniuk</t>
  </si>
  <si>
    <t>Isidoro.Faraci@manulifesecurities.ca</t>
  </si>
  <si>
    <t>Isidoro Faraci</t>
  </si>
  <si>
    <t>2017-10-15T12:43:54</t>
  </si>
  <si>
    <t>IFaraci</t>
  </si>
  <si>
    <t>Isla.Macfarlane@manulifesecurities.ca</t>
  </si>
  <si>
    <t>Isla Macfarlane</t>
  </si>
  <si>
    <t>IMacfarlane</t>
  </si>
  <si>
    <t>IssueTrak@manulifesecurities.ca</t>
  </si>
  <si>
    <t>Issue Trak</t>
  </si>
  <si>
    <t>IssueTrak</t>
  </si>
  <si>
    <t>Ivan.Burt@manulifesecurities.ca</t>
  </si>
  <si>
    <t>Ivan Burt</t>
  </si>
  <si>
    <t>2017-09-12T13:49:50</t>
  </si>
  <si>
    <t>IBurt</t>
  </si>
  <si>
    <t>Ivan.Gidluck@manulifesecurities.ca</t>
  </si>
  <si>
    <t>Ivan Gidluck</t>
  </si>
  <si>
    <t>2017-10-10T15:34:24</t>
  </si>
  <si>
    <t>gidluck</t>
  </si>
  <si>
    <t>Ivan.Lai@manulifesecurities.ca</t>
  </si>
  <si>
    <t>Ivan Lai</t>
  </si>
  <si>
    <t>ilai</t>
  </si>
  <si>
    <t>Ivan.Vellozo@manulifesecurities.ca</t>
  </si>
  <si>
    <t>Ivan Vellozo</t>
  </si>
  <si>
    <t>2017-10-09T08:25:55</t>
  </si>
  <si>
    <t>mfc.ivan.vellozo</t>
  </si>
  <si>
    <t>Iwona.Nicastri@manulifesecurities.ca</t>
  </si>
  <si>
    <t>Iwona Nicastri</t>
  </si>
  <si>
    <t>2017-07-17T17:00:43</t>
  </si>
  <si>
    <t>iwonan</t>
  </si>
  <si>
    <t>Izhak.Goldhaber@manulifesecurities.ca</t>
  </si>
  <si>
    <t>Izhak Goldhaber</t>
  </si>
  <si>
    <t>IGoldhaber</t>
  </si>
  <si>
    <t>J.Burgess@manulifesecurities.ca</t>
  </si>
  <si>
    <t>Julie Burgess (J.Burgess@manulifesecurities.ca)</t>
  </si>
  <si>
    <t>2017-03-28T14:51:36</t>
  </si>
  <si>
    <t>JBurgess</t>
  </si>
  <si>
    <t>J.Carras@manulifesecurities.ca</t>
  </si>
  <si>
    <t>Julianne Carras</t>
  </si>
  <si>
    <t>2016-09-06T09:57:02</t>
  </si>
  <si>
    <t>JCarras</t>
  </si>
  <si>
    <t>J.Goulet@manulifesecurities.ca</t>
  </si>
  <si>
    <t>Jocelyne Goulet</t>
  </si>
  <si>
    <t>JoGoulet</t>
  </si>
  <si>
    <t>J.Karwacki@manulifesecurities.ca</t>
  </si>
  <si>
    <t>Jenna Karwacki (J.Karwacki)</t>
  </si>
  <si>
    <t>2015-08-04T18:09:32</t>
  </si>
  <si>
    <t>JeKarwacki</t>
  </si>
  <si>
    <t>j.lakas@manulifesecurities.ca</t>
  </si>
  <si>
    <t>Julia Lakas</t>
  </si>
  <si>
    <t>2017-03-06T10:00:44</t>
  </si>
  <si>
    <t>mfc.julia.lakas</t>
  </si>
  <si>
    <t>J.Paulino@manulifesecurities.ca</t>
  </si>
  <si>
    <t>John Paulino (Advisor)</t>
  </si>
  <si>
    <t>mfc.j.paulino</t>
  </si>
  <si>
    <t>j.rankin@manulifesecurities.ca</t>
  </si>
  <si>
    <t>Jennifer Rankin</t>
  </si>
  <si>
    <t>2017-10-12T10:31:51</t>
  </si>
  <si>
    <t>mfc.j.rankin</t>
  </si>
  <si>
    <t>J.Scott-Moncrieff@manulifesecurities.ca</t>
  </si>
  <si>
    <t>James Scott-Moncrieff</t>
  </si>
  <si>
    <t>2016-02-09T17:54:48</t>
  </si>
  <si>
    <t>mfc.j.scott-moncr</t>
  </si>
  <si>
    <t>J.Young@manulifesecurities.ca</t>
  </si>
  <si>
    <t>James Young</t>
  </si>
  <si>
    <t>JYoung</t>
  </si>
  <si>
    <t>Jaci.Shaw@manulifesecurities.ca</t>
  </si>
  <si>
    <t>Jaci Shaw</t>
  </si>
  <si>
    <t>2016-12-12T08:37:53</t>
  </si>
  <si>
    <t>JaShaw</t>
  </si>
  <si>
    <t>Jack.Mizrahi@manulifesecurities.ca</t>
  </si>
  <si>
    <t>Jack Mizrahi</t>
  </si>
  <si>
    <t>2017-09-03T19:11:19</t>
  </si>
  <si>
    <t>mfc.jack.mizrahi</t>
  </si>
  <si>
    <t>jackie.arts@manulifesecurities.ca</t>
  </si>
  <si>
    <t>Jackie Arts</t>
  </si>
  <si>
    <t>2017-10-03T10:15:44</t>
  </si>
  <si>
    <t>mfc.jackie.arts</t>
  </si>
  <si>
    <t>Jackie.Caldwell@manulifesecurities.ca</t>
  </si>
  <si>
    <t>Jackie Caldwell</t>
  </si>
  <si>
    <t>2015-01-22T13:47:47</t>
  </si>
  <si>
    <t>JCaldwell</t>
  </si>
  <si>
    <t>Jackie.Casavant@manulifesecurities.ca</t>
  </si>
  <si>
    <t>Jackie Casavant</t>
  </si>
  <si>
    <t>2017-10-12T17:13:05</t>
  </si>
  <si>
    <t>JHilliard</t>
  </si>
  <si>
    <t>Jackie.CowanCanning@manulifesecurities.ca</t>
  </si>
  <si>
    <t>Jackie Cowan Canning</t>
  </si>
  <si>
    <t>jcowan</t>
  </si>
  <si>
    <t>Jackie.Kennedy@manulifesecurities.ca</t>
  </si>
  <si>
    <t>Jackie Kennedy</t>
  </si>
  <si>
    <t>ronkennedy</t>
  </si>
  <si>
    <t>Jackie.Kirkup@manulifesecurities.ca</t>
  </si>
  <si>
    <t>Jackie Kirkup</t>
  </si>
  <si>
    <t>jkirkup</t>
  </si>
  <si>
    <t>Jackie.Mitten@manulifesecurities.ca</t>
  </si>
  <si>
    <t>Jackie Mitten</t>
  </si>
  <si>
    <t>jmitten</t>
  </si>
  <si>
    <t>Jackie.Murphy@manulifesecurities.ca</t>
  </si>
  <si>
    <t>Jackie Murphy</t>
  </si>
  <si>
    <t>jackiemurphy</t>
  </si>
  <si>
    <t>Jackie.Sheldon@manulifesecurities.ca</t>
  </si>
  <si>
    <t>Jackie Sheldon</t>
  </si>
  <si>
    <t>sheldja</t>
  </si>
  <si>
    <t>Jackie.StGoddard@manulifesecurities.ca</t>
  </si>
  <si>
    <t>Jackie St Goddard</t>
  </si>
  <si>
    <t>jstgoddard</t>
  </si>
  <si>
    <t>Jackie.Walton@manulifesecurities.ca</t>
  </si>
  <si>
    <t>Jackie Walton</t>
  </si>
  <si>
    <t>jwalton</t>
  </si>
  <si>
    <t>Jaclyn.Kim@manulifesecurities.ca</t>
  </si>
  <si>
    <t>Jaclyn Kim</t>
  </si>
  <si>
    <t>JaKim</t>
  </si>
  <si>
    <t>Jaclyn.Monaco@manulifesecurities.ca</t>
  </si>
  <si>
    <t>Jaclyn Monaco</t>
  </si>
  <si>
    <t>jmonaco</t>
  </si>
  <si>
    <t>Jacob.Kaplan@manulifesecurities.ca</t>
  </si>
  <si>
    <t>Jacob Kaplan</t>
  </si>
  <si>
    <t>2016-09-26T21:41:03</t>
  </si>
  <si>
    <t>JKaplan</t>
  </si>
  <si>
    <t>Jacob.Toll@manulifesecurities.ca</t>
  </si>
  <si>
    <t>Jacob Toll</t>
  </si>
  <si>
    <t>2017-10-10T08:18:45</t>
  </si>
  <si>
    <t>mfc.jacob.toll</t>
  </si>
  <si>
    <t>Jacob.Tolmie@manulifesecurities.ca</t>
  </si>
  <si>
    <t>Jacob Tolmie</t>
  </si>
  <si>
    <t>2017-09-07T15:07:17</t>
  </si>
  <si>
    <t>jtolmie</t>
  </si>
  <si>
    <t>Jacqueline.Cerskus@manulifesecurities.ca</t>
  </si>
  <si>
    <t>Jacqueline Cerskus</t>
  </si>
  <si>
    <t>JCerskus</t>
  </si>
  <si>
    <t>Jacqueline.Cheaib@manulifesecurities.ca</t>
  </si>
  <si>
    <t>Jacqueline Cheaib</t>
  </si>
  <si>
    <t>2015-05-11T09:45:19</t>
  </si>
  <si>
    <t>jacheaib</t>
  </si>
  <si>
    <t>Jacqueline.Gaudaur@manulifesecurities.ca</t>
  </si>
  <si>
    <t>Jacqueline Gaudaur</t>
  </si>
  <si>
    <t>JGaudaur</t>
  </si>
  <si>
    <t>Jacqueline.Gowing@manulifesecurities.ca</t>
  </si>
  <si>
    <t>Jackie Gowing</t>
  </si>
  <si>
    <t>JGowing</t>
  </si>
  <si>
    <t>Jacqueline.Gratto@manulifesecurities.ca</t>
  </si>
  <si>
    <t>JacGratto</t>
  </si>
  <si>
    <t>JKoerner</t>
  </si>
  <si>
    <t>Jacqueline.Hatherly@manulifesecurities.ca</t>
  </si>
  <si>
    <t>JHatherly</t>
  </si>
  <si>
    <t>Jacqueline.Pinfold@manulifesecurities.ca</t>
  </si>
  <si>
    <t>Jacqueline Pinfold Disabled May 12, 2009</t>
  </si>
  <si>
    <t>JPinfold</t>
  </si>
  <si>
    <t>Jacqueline.Righetto@manulifesecurities.ca</t>
  </si>
  <si>
    <t>Jacqueline Righetto</t>
  </si>
  <si>
    <t>jrighe</t>
  </si>
  <si>
    <t>Jacqueline.Salembier@placementsmanuvie.ca</t>
  </si>
  <si>
    <t>Jacqueline Salembier</t>
  </si>
  <si>
    <t>2017-10-04T11:15:09</t>
  </si>
  <si>
    <t>JSalembier</t>
  </si>
  <si>
    <t>Jacques.Lussier@manulifesecurities.ca</t>
  </si>
  <si>
    <t>Jacques Lussier</t>
  </si>
  <si>
    <t>lusjac</t>
  </si>
  <si>
    <t>Jacques.Noujaim@manulifesecurities.ca</t>
  </si>
  <si>
    <t>Jacques Noujaim</t>
  </si>
  <si>
    <t>2017-10-12T12:58:46</t>
  </si>
  <si>
    <t>JNoujaim</t>
  </si>
  <si>
    <t>Jacquie.Ewert@manulifesecurities.ca</t>
  </si>
  <si>
    <t>Jacquie Ewert</t>
  </si>
  <si>
    <t>JEwert</t>
  </si>
  <si>
    <t>Jad.Chehlawi@manulifesecurities.ca</t>
  </si>
  <si>
    <t>Jad Chehlawi</t>
  </si>
  <si>
    <t>JChehlawi</t>
  </si>
  <si>
    <t>jad.farah@manulifesecurities.ca</t>
  </si>
  <si>
    <t>Jad Farah</t>
  </si>
  <si>
    <t>mfc.jad.farah</t>
  </si>
  <si>
    <t>Jade.Dexter@manulifesecurities.ca</t>
  </si>
  <si>
    <t>Jade Dexter</t>
  </si>
  <si>
    <t>2015-06-18T04:56:05</t>
  </si>
  <si>
    <t>JDexter</t>
  </si>
  <si>
    <t>Jade.Sheiner@manulifesecurities.ca</t>
  </si>
  <si>
    <t>Jade Sheiner</t>
  </si>
  <si>
    <t>2017-10-08T18:29:22</t>
  </si>
  <si>
    <t>mfc.jade.sheiner</t>
  </si>
  <si>
    <t>Jade.Zeron@manulifesecurities.ca</t>
  </si>
  <si>
    <t>Jade Zeron</t>
  </si>
  <si>
    <t>2017-10-10T08:44:39</t>
  </si>
  <si>
    <t>mfc.jade.zeron</t>
  </si>
  <si>
    <t>Jaecel.Main@manulifesecurities.ca</t>
  </si>
  <si>
    <t>Jaecel Main</t>
  </si>
  <si>
    <t>jmain</t>
  </si>
  <si>
    <t>Jagden.Prokopetz@manulifesecurities.ca</t>
  </si>
  <si>
    <t>Jagden Prokopetz</t>
  </si>
  <si>
    <t>2015-02-09T16:40:29</t>
  </si>
  <si>
    <t>JProkopetz</t>
  </si>
  <si>
    <t>Jagden.Prokopezt@manulifesecurities.ca</t>
  </si>
  <si>
    <t>Jagden Prokopezt</t>
  </si>
  <si>
    <t>JProkopezt</t>
  </si>
  <si>
    <t>Jagman.Ghumaan@manulifesecurities.ca</t>
  </si>
  <si>
    <t>Joseph Ghumaan</t>
  </si>
  <si>
    <t>2017-07-25T16:10:49</t>
  </si>
  <si>
    <t>mfc.jagman.ghumaa</t>
  </si>
  <si>
    <t>Jaidan.Wilcox@manulifesecurities.ca</t>
  </si>
  <si>
    <t>Jaidan Wilcox</t>
  </si>
  <si>
    <t>2017-09-20T16:21:36</t>
  </si>
  <si>
    <t>mfc.jaidan.wilcox</t>
  </si>
  <si>
    <t>Jaime.Benoit@manulifesecurities.ca</t>
  </si>
  <si>
    <t>Jaime Benoit</t>
  </si>
  <si>
    <t>2017-09-21T16:06:13</t>
  </si>
  <si>
    <t>mfc.jaime.benoit</t>
  </si>
  <si>
    <t>Jaime.Biehn@manulifesecurities.ca</t>
  </si>
  <si>
    <t>Jaime Biehn</t>
  </si>
  <si>
    <t>2017-10-10T14:49:17</t>
  </si>
  <si>
    <t>JBiehn</t>
  </si>
  <si>
    <t>Jaime.Inglis@manulifesecurities.ca</t>
  </si>
  <si>
    <t>Jaime Inglis</t>
  </si>
  <si>
    <t>jinglis</t>
  </si>
  <si>
    <t>Jairus.Angeles@manulifesecurities.ca</t>
  </si>
  <si>
    <t>Jairus Angeles</t>
  </si>
  <si>
    <t>JAngeles</t>
  </si>
  <si>
    <t>Jake.Stoneman@manulifesecurities.ca</t>
  </si>
  <si>
    <t>Jake Stoneman</t>
  </si>
  <si>
    <t>2017-10-15T14:27:06</t>
  </si>
  <si>
    <t>jastoneman</t>
  </si>
  <si>
    <t>James.Ansley@manulifesecurities.ca</t>
  </si>
  <si>
    <t>James Ansley</t>
  </si>
  <si>
    <t>2016-12-22T17:45:16</t>
  </si>
  <si>
    <t>jansley</t>
  </si>
  <si>
    <t>James.Arbour@manulifesecurities.ca</t>
  </si>
  <si>
    <t>JArbour</t>
  </si>
  <si>
    <t>James.Baird@manulifesecurities.ca</t>
  </si>
  <si>
    <t>James Baird</t>
  </si>
  <si>
    <t>JBaird</t>
  </si>
  <si>
    <t>James.Capling@manulifesecurities.ca</t>
  </si>
  <si>
    <t>James Capling</t>
  </si>
  <si>
    <t>whistler</t>
  </si>
  <si>
    <t>James.Cochrane@manulifesecurities.ca</t>
  </si>
  <si>
    <t>James Cochrane</t>
  </si>
  <si>
    <t>JCochrane</t>
  </si>
  <si>
    <t>James.Connolly@manulifesecurities.ca</t>
  </si>
  <si>
    <t>James Connolly</t>
  </si>
  <si>
    <t>jconnoll</t>
  </si>
  <si>
    <t>James.Corrigan@manulifesecurities.ca</t>
  </si>
  <si>
    <t>James Corrigan</t>
  </si>
  <si>
    <t>corrija</t>
  </si>
  <si>
    <t>James.Cross@manulifesecurities.ca</t>
  </si>
  <si>
    <t>Jim Cross</t>
  </si>
  <si>
    <t>2015-06-15T12:17:48</t>
  </si>
  <si>
    <t>JCross</t>
  </si>
  <si>
    <t>James.Delaney@manulifesecurities.ca</t>
  </si>
  <si>
    <t>James Delaney</t>
  </si>
  <si>
    <t>pappyy</t>
  </si>
  <si>
    <t>James.Drover@manulifesecurities.ca</t>
  </si>
  <si>
    <t>James Drover</t>
  </si>
  <si>
    <t>2017-08-30T09:26:34</t>
  </si>
  <si>
    <t>jedrover</t>
  </si>
  <si>
    <t>James.Ellis@manulifesecurities.ca</t>
  </si>
  <si>
    <t>James Ellis</t>
  </si>
  <si>
    <t>jellis</t>
  </si>
  <si>
    <t>James.Galpin@manulifesecurities.ca</t>
  </si>
  <si>
    <t>James Galpin</t>
  </si>
  <si>
    <t>galpiji</t>
  </si>
  <si>
    <t>James.Hargan@manulifesecurities.ca</t>
  </si>
  <si>
    <t>James Hargan</t>
  </si>
  <si>
    <t>jjhargan</t>
  </si>
  <si>
    <t>James.Henrich@manulifesecurities.ca</t>
  </si>
  <si>
    <t>James Henrich</t>
  </si>
  <si>
    <t>2017-10-12T12:29:04</t>
  </si>
  <si>
    <t>JHenrich</t>
  </si>
  <si>
    <t>James.Hodder@manulifesecurities.ca</t>
  </si>
  <si>
    <t>James Hodder</t>
  </si>
  <si>
    <t>jhodder</t>
  </si>
  <si>
    <t>James.Jack@manulifesecurities.ca</t>
  </si>
  <si>
    <t>James Jack</t>
  </si>
  <si>
    <t>2017-10-12T11:05:47</t>
  </si>
  <si>
    <t>jajack</t>
  </si>
  <si>
    <t>James.Jack2@manulifesecurities.ca</t>
  </si>
  <si>
    <t>James Robert Jack</t>
  </si>
  <si>
    <t>JamesJack</t>
  </si>
  <si>
    <t>James.Kiley@manulifesecurities.ca</t>
  </si>
  <si>
    <t>James Kiley</t>
  </si>
  <si>
    <t>jkiley</t>
  </si>
  <si>
    <t>James.Kirkwood@manulifesecurities.ca</t>
  </si>
  <si>
    <t>JKirkwood</t>
  </si>
  <si>
    <t>James.Lysak@manulifesecurities.ca</t>
  </si>
  <si>
    <t>James Lysak</t>
  </si>
  <si>
    <t>lysakji</t>
  </si>
  <si>
    <t>James.Maynard@manulifesecurities.ca</t>
  </si>
  <si>
    <t>James Maynard</t>
  </si>
  <si>
    <t>jmaynard</t>
  </si>
  <si>
    <t>James.McAllister@manulifesecurities.ca</t>
  </si>
  <si>
    <t>James McAllister</t>
  </si>
  <si>
    <t>2017-10-02T15:29:22</t>
  </si>
  <si>
    <t>jamcallister</t>
  </si>
  <si>
    <t>James.Mitchell@manulifesecurities.ca</t>
  </si>
  <si>
    <t>James Mitchell</t>
  </si>
  <si>
    <t>2017-10-09T14:27:26</t>
  </si>
  <si>
    <t>mfc.james.mitchel</t>
  </si>
  <si>
    <t>James.Mizen@manulifesecurities.ca</t>
  </si>
  <si>
    <t>Wayne Mizen</t>
  </si>
  <si>
    <t>2017-10-10T08:51:27</t>
  </si>
  <si>
    <t>mgmizen</t>
  </si>
  <si>
    <t>James.Monteith@manulifesecurities.ca</t>
  </si>
  <si>
    <t>James Monteith</t>
  </si>
  <si>
    <t>2016-04-01T09:25:30</t>
  </si>
  <si>
    <t>mfc.james.monteit</t>
  </si>
  <si>
    <t>James.Moore@manulifesecurities.ca</t>
  </si>
  <si>
    <t>James Moore</t>
  </si>
  <si>
    <t>JaMoore</t>
  </si>
  <si>
    <t>James.Rowland@manulifesecurities.ca</t>
  </si>
  <si>
    <t>James Rowland</t>
  </si>
  <si>
    <t>2017-10-12T13:54:42</t>
  </si>
  <si>
    <t>jprowland</t>
  </si>
  <si>
    <t>James.Silvestri@manulifesecurities.ca</t>
  </si>
  <si>
    <t>James Silvestri</t>
  </si>
  <si>
    <t>JSilvestri</t>
  </si>
  <si>
    <t>James.Simon@manulifesecurities.ca</t>
  </si>
  <si>
    <t>James Simon</t>
  </si>
  <si>
    <t>2017-10-10T13:52:15</t>
  </si>
  <si>
    <t>proteus88</t>
  </si>
  <si>
    <t>James.Sproat@manulifesecurities.ca</t>
  </si>
  <si>
    <t>James Sproat</t>
  </si>
  <si>
    <t>2017-10-03T11:01:05</t>
  </si>
  <si>
    <t>jwsproat</t>
  </si>
  <si>
    <t>James.Sutherland@manulifesecurities.ca</t>
  </si>
  <si>
    <t>James Sutherland</t>
  </si>
  <si>
    <t>jsutherland</t>
  </si>
  <si>
    <t>James.Whitman@manulifesecurities.ca</t>
  </si>
  <si>
    <t>James Whitman</t>
  </si>
  <si>
    <t>2017-10-16T00:06:08</t>
  </si>
  <si>
    <t>JWhitman</t>
  </si>
  <si>
    <t>James.Wong@manulifesecurities.ca</t>
  </si>
  <si>
    <t>James Wong</t>
  </si>
  <si>
    <t>JWong</t>
  </si>
  <si>
    <t>James.Young@manulifesecurities.ca</t>
  </si>
  <si>
    <t>James Young - call center agents</t>
  </si>
  <si>
    <t>youngja</t>
  </si>
  <si>
    <t>JamesDouglas.West@manulifesecurities.ca</t>
  </si>
  <si>
    <t>James Douglas West</t>
  </si>
  <si>
    <t>jdwest</t>
  </si>
  <si>
    <t>Jamie.Allk@manulifesecurities.ca</t>
  </si>
  <si>
    <t>Jamie Allk</t>
  </si>
  <si>
    <t>2017-10-05T10:55:13</t>
  </si>
  <si>
    <t>mfc.jamie.allk</t>
  </si>
  <si>
    <t>Jamie.Geisler@manulifesecurities.ca</t>
  </si>
  <si>
    <t>Jamie Geisler</t>
  </si>
  <si>
    <t>JGeisler</t>
  </si>
  <si>
    <t>Jamie.Grayson@manulifesecurities.ca</t>
  </si>
  <si>
    <t>Jamie Grayson</t>
  </si>
  <si>
    <t>2017-02-14T14:01:01</t>
  </si>
  <si>
    <t>mfc.jamie.grayson</t>
  </si>
  <si>
    <t>Jamie.Hodgins@manulifesecurities.ca</t>
  </si>
  <si>
    <t>Jamie Hodgins</t>
  </si>
  <si>
    <t>2016-10-05T20:46:47</t>
  </si>
  <si>
    <t>JHodgins</t>
  </si>
  <si>
    <t>Jamie.Jung@manulifesecurities.ca</t>
  </si>
  <si>
    <t>Jamie Jung</t>
  </si>
  <si>
    <t>Jajung</t>
  </si>
  <si>
    <t>Jamie.Lintzeris@manulifesecurities.ca</t>
  </si>
  <si>
    <t>Jamie Lintzeris</t>
  </si>
  <si>
    <t>jlintzer</t>
  </si>
  <si>
    <t>Jamie.Parker@manulifesecurities.ca</t>
  </si>
  <si>
    <t>Jamie Parker</t>
  </si>
  <si>
    <t>2017-10-10T07:42:58</t>
  </si>
  <si>
    <t>jparker</t>
  </si>
  <si>
    <t>Jamie.Sitar@manulifesecurities.ca</t>
  </si>
  <si>
    <t>Jamie Sitar</t>
  </si>
  <si>
    <t>JSitar</t>
  </si>
  <si>
    <t>JamieN.Bakken@manulifesecurities.ca</t>
  </si>
  <si>
    <t>Jamie N Bakken</t>
  </si>
  <si>
    <t>jnbakken</t>
  </si>
  <si>
    <t>Jamieson.Boulanger@manulifesecurities.ca</t>
  </si>
  <si>
    <t>Jamieson Boulanger</t>
  </si>
  <si>
    <t>2017-10-09T00:10:25</t>
  </si>
  <si>
    <t>JBoulanger</t>
  </si>
  <si>
    <t>jamin.obrien@manulifesecurities.ca</t>
  </si>
  <si>
    <t>Jamin OBrien</t>
  </si>
  <si>
    <t>2017-08-08T11:42:34</t>
  </si>
  <si>
    <t>mfc.jamin.obrien</t>
  </si>
  <si>
    <t>Jan.Acosta@manulifesecurities.ca</t>
  </si>
  <si>
    <t>Jan Acosta</t>
  </si>
  <si>
    <t>JAcosta</t>
  </si>
  <si>
    <t>Jan.Barregar@manulifesecurities.ca</t>
  </si>
  <si>
    <t>Jan Barregar</t>
  </si>
  <si>
    <t>JBarregar</t>
  </si>
  <si>
    <t>Jana.Birnaz@manulifesecurities.ca</t>
  </si>
  <si>
    <t>Jana Birnaz</t>
  </si>
  <si>
    <t>JBirnaz</t>
  </si>
  <si>
    <t>Janae.Hillmer@manulifesecurities.ca</t>
  </si>
  <si>
    <t>Janae Hillmer</t>
  </si>
  <si>
    <t>jhillmer</t>
  </si>
  <si>
    <t>Jane.Attridge@manulifesecurities.ca</t>
  </si>
  <si>
    <t>Jane Attridge</t>
  </si>
  <si>
    <t>attrija</t>
  </si>
  <si>
    <t>Jane.Beaudoin@manulifesecurities.ca</t>
  </si>
  <si>
    <t>zz Manulife - Jane Beaudoin</t>
  </si>
  <si>
    <t>JBeaudoin</t>
  </si>
  <si>
    <t>Jane.Birnie@manulifesecurities.ca</t>
  </si>
  <si>
    <t>zz Manulife - Jane Birnie</t>
  </si>
  <si>
    <t>JBirnie</t>
  </si>
  <si>
    <t>Jane.Lyon@manulifesecurities.ca</t>
  </si>
  <si>
    <t>Jane Lyon</t>
  </si>
  <si>
    <t>janelyon</t>
  </si>
  <si>
    <t>Jane.Robinson@manulifesecurities.ca</t>
  </si>
  <si>
    <t>Jane Robinson</t>
  </si>
  <si>
    <t>2017-10-13T12:01:27</t>
  </si>
  <si>
    <t>JRobinson</t>
  </si>
  <si>
    <t>Jane.Rostic@manulifesecurities.ca</t>
  </si>
  <si>
    <t>Jane Rostic</t>
  </si>
  <si>
    <t>2017-10-12T10:36:51</t>
  </si>
  <si>
    <t>rostija</t>
  </si>
  <si>
    <t>Jane.Salsman@manulifesecurities.ca</t>
  </si>
  <si>
    <t>Jane Salsman</t>
  </si>
  <si>
    <t>2017-05-16T12:46:41</t>
  </si>
  <si>
    <t>salsman</t>
  </si>
  <si>
    <t>Jane.Williams@manulifesecurities.ca</t>
  </si>
  <si>
    <t>Jane Williams</t>
  </si>
  <si>
    <t>jwilliam</t>
  </si>
  <si>
    <t>Janelle.Leschinski@manulifesecurities.ca</t>
  </si>
  <si>
    <t>Janelle Leschinski</t>
  </si>
  <si>
    <t>2016-10-28T12:07:21</t>
  </si>
  <si>
    <t>JLeschinski</t>
  </si>
  <si>
    <t>Janessa.Ljunggren@manulifesecurities.ca</t>
  </si>
  <si>
    <t>Janessa Ljunggren</t>
  </si>
  <si>
    <t>jljung</t>
  </si>
  <si>
    <t>Janet.Baccarani@manulifesecurities.ca</t>
  </si>
  <si>
    <t>Janet Baccarani</t>
  </si>
  <si>
    <t>2016-01-18T05:15:25</t>
  </si>
  <si>
    <t>JBaccarani</t>
  </si>
  <si>
    <t>Janet.Dunlop@manulifesecurities.ca</t>
  </si>
  <si>
    <t>Janet Dunlop</t>
  </si>
  <si>
    <t>jmdunlop</t>
  </si>
  <si>
    <t>Janet.Hale@manulifesecurities.ca</t>
  </si>
  <si>
    <t>Janet Hale</t>
  </si>
  <si>
    <t>2017-06-20T09:02:11</t>
  </si>
  <si>
    <t>Jahale</t>
  </si>
  <si>
    <t>Janet.Kelly@manulifesecurities.ca</t>
  </si>
  <si>
    <t>Janet Kelly</t>
  </si>
  <si>
    <t>JKelly</t>
  </si>
  <si>
    <t>Janet.Lane@manulifesecurities.ca</t>
  </si>
  <si>
    <t>JLane</t>
  </si>
  <si>
    <t>Janet.Lavigne@manulifesecurities.ca</t>
  </si>
  <si>
    <t>Janet Lavigne</t>
  </si>
  <si>
    <t>2017-10-10T17:33:22</t>
  </si>
  <si>
    <t>mfc.janet.lavigne</t>
  </si>
  <si>
    <t>Janet.Nunn@manulifesecurities.ca</t>
  </si>
  <si>
    <t>Janet Nunn</t>
  </si>
  <si>
    <t>JNunn</t>
  </si>
  <si>
    <t>Janet.Reim@manulifesecurities.ca</t>
  </si>
  <si>
    <t>Janet Reim</t>
  </si>
  <si>
    <t>JReim</t>
  </si>
  <si>
    <t>Janet.Smith@manulifesecurities.ca</t>
  </si>
  <si>
    <t>Janet Smith</t>
  </si>
  <si>
    <t>2017-10-05T12:20:02</t>
  </si>
  <si>
    <t>JSmith</t>
  </si>
  <si>
    <t>Janet.Welch@manulifesecurities.ca</t>
  </si>
  <si>
    <t>Janet Welch</t>
  </si>
  <si>
    <t>jawelch</t>
  </si>
  <si>
    <t>Janet.Wilkins@manulifesecurities.ca</t>
  </si>
  <si>
    <t>Janet Wilkins</t>
  </si>
  <si>
    <t>gordonwilkins</t>
  </si>
  <si>
    <t>Janice.Book@manulifesecurities.ca</t>
  </si>
  <si>
    <t>Janice Book</t>
  </si>
  <si>
    <t>2017-10-13T13:14:42</t>
  </si>
  <si>
    <t>jabook</t>
  </si>
  <si>
    <t>Janice.Dobinson@manulifesecurities.ca</t>
  </si>
  <si>
    <t>Janice Dobinson</t>
  </si>
  <si>
    <t>2014-11-03T14:26:18</t>
  </si>
  <si>
    <t>JDobinson</t>
  </si>
  <si>
    <t>Janice.Francoeur@manulifesecurities.ca</t>
  </si>
  <si>
    <t>Janice Francoeur</t>
  </si>
  <si>
    <t>2016-07-18T09:00:40</t>
  </si>
  <si>
    <t>francja</t>
  </si>
  <si>
    <t>Janice.Gowan@manulifesecurities.ca</t>
  </si>
  <si>
    <t>Janice Gowan</t>
  </si>
  <si>
    <t>JGowan</t>
  </si>
  <si>
    <t>Janice.Halls@manulifesecurities.ca</t>
  </si>
  <si>
    <t>Janice Halls</t>
  </si>
  <si>
    <t>2015-02-10T15:53:22</t>
  </si>
  <si>
    <t>hallsja</t>
  </si>
  <si>
    <t>Janice.Hogan@manulifesecurities.ca</t>
  </si>
  <si>
    <t>Janice Hogan</t>
  </si>
  <si>
    <t>JHogan</t>
  </si>
  <si>
    <t>Janice.Hong@manulifesecurities.ca</t>
  </si>
  <si>
    <t>Janice Hong</t>
  </si>
  <si>
    <t>2017-10-10T13:17:12</t>
  </si>
  <si>
    <t>JaHong</t>
  </si>
  <si>
    <t>Janice.Markey-Dery@manulifesecurities.ca</t>
  </si>
  <si>
    <t>Janice Markey - Dery</t>
  </si>
  <si>
    <t>janicedery</t>
  </si>
  <si>
    <t>Janice.Potvin@manulifesecurities.ca</t>
  </si>
  <si>
    <t>Janice Potvin</t>
  </si>
  <si>
    <t>2017-10-10T11:34:12</t>
  </si>
  <si>
    <t>JPotvin</t>
  </si>
  <si>
    <t>Janice.Reider@manulifesecurities.ca</t>
  </si>
  <si>
    <t>Janice Reider</t>
  </si>
  <si>
    <t>2017-10-14T22:46:38</t>
  </si>
  <si>
    <t>JReider</t>
  </si>
  <si>
    <t>Janice.Sowden@manulifesecurities.ca</t>
  </si>
  <si>
    <t>Janice Sowden</t>
  </si>
  <si>
    <t>janicesowden</t>
  </si>
  <si>
    <t>Janice.Vold@manulifesecurities.ca</t>
  </si>
  <si>
    <t>Janice Vold</t>
  </si>
  <si>
    <t>2015-10-13T10:54:06</t>
  </si>
  <si>
    <t>JVold</t>
  </si>
  <si>
    <t>Janine.Campbell@manulifesecurities.ca</t>
  </si>
  <si>
    <t>Janine Campbell</t>
  </si>
  <si>
    <t>2017-10-06T15:37:56</t>
  </si>
  <si>
    <t>JaCampbell</t>
  </si>
  <si>
    <t>Janine.McNalley@manulifesecurities.ca</t>
  </si>
  <si>
    <t>Janine McNalley</t>
  </si>
  <si>
    <t>jmcnalley</t>
  </si>
  <si>
    <t>Janine.Prenger@manulifesecurities.ca</t>
  </si>
  <si>
    <t>Janine Prenger</t>
  </si>
  <si>
    <t>JPrenger</t>
  </si>
  <si>
    <t>Janine.Ravell@manulifesecurities.ca</t>
  </si>
  <si>
    <t>Janine Ravell</t>
  </si>
  <si>
    <t>2017-10-10T11:12:29</t>
  </si>
  <si>
    <t>JRavell</t>
  </si>
  <si>
    <t>Janine.Reid@manulifesecurities.ca</t>
  </si>
  <si>
    <t>Janine Reid</t>
  </si>
  <si>
    <t>JReid</t>
  </si>
  <si>
    <t>Janine.Vickers@manulifesecurities.ca</t>
  </si>
  <si>
    <t>Janine Vickers</t>
  </si>
  <si>
    <t>JVickers</t>
  </si>
  <si>
    <t>janine-vera.goka@manulifesecurities.ca</t>
  </si>
  <si>
    <t>Janine-Vera Goka</t>
  </si>
  <si>
    <t>2017-08-31T10:59:22</t>
  </si>
  <si>
    <t>mfc.janine-vera.g</t>
  </si>
  <si>
    <t>Jaqueline.Back@manulifesecurities.ca</t>
  </si>
  <si>
    <t>Jaqueline Back</t>
  </si>
  <si>
    <t>jaback</t>
  </si>
  <si>
    <t>Jasleen.Minhas@manulifesecurities.ca</t>
  </si>
  <si>
    <t>Jasleen Minhas</t>
  </si>
  <si>
    <t>2015-10-01T12:11:02</t>
  </si>
  <si>
    <t>JMinhas</t>
  </si>
  <si>
    <t>Jasmine.Currie@manulifesecurities.ca</t>
  </si>
  <si>
    <t>Jasmine Currie</t>
  </si>
  <si>
    <t>jcurrie</t>
  </si>
  <si>
    <t>Jasmine.Verma@manulifesecurities.ca</t>
  </si>
  <si>
    <t>Jasmine Verma</t>
  </si>
  <si>
    <t>jverma</t>
  </si>
  <si>
    <t>Jasmine.Zanik@manulifesecurities.ca</t>
  </si>
  <si>
    <t>Jasmine Zanik</t>
  </si>
  <si>
    <t>jzanik</t>
  </si>
  <si>
    <t>Jason.Bakker@manulifesecurities.ca</t>
  </si>
  <si>
    <t>Jason Bakker</t>
  </si>
  <si>
    <t>JBakker</t>
  </si>
  <si>
    <t>Jason.Brownlee@manulifesecurities.ca</t>
  </si>
  <si>
    <t>Jason Brownlee</t>
  </si>
  <si>
    <t>2015-10-07T09:14:08</t>
  </si>
  <si>
    <t>JBrownlee</t>
  </si>
  <si>
    <t>Jason.Claringbold@manulifesecurities.ca</t>
  </si>
  <si>
    <t>Jason Claringbold</t>
  </si>
  <si>
    <t>2017-10-10T15:35:41</t>
  </si>
  <si>
    <t>jdclaringbold</t>
  </si>
  <si>
    <t>Jason.Forrest@manulifesecurities.ca</t>
  </si>
  <si>
    <t>Jason Forrest</t>
  </si>
  <si>
    <t>2017-10-10T06:29:38</t>
  </si>
  <si>
    <t>JForrest</t>
  </si>
  <si>
    <t>Jason.Fry@manulifesecurities.ca</t>
  </si>
  <si>
    <t>Jason Fry</t>
  </si>
  <si>
    <t>2016-08-27T12:31:34</t>
  </si>
  <si>
    <t>jasfry</t>
  </si>
  <si>
    <t>Jason.Genua@manulifesecurities.ca</t>
  </si>
  <si>
    <t>Jason Genua</t>
  </si>
  <si>
    <t>jrgenua</t>
  </si>
  <si>
    <t>Jason.Goss@manulifesecurities.ca</t>
  </si>
  <si>
    <t>Jason Goss</t>
  </si>
  <si>
    <t>2017-09-18T08:07:17</t>
  </si>
  <si>
    <t>jgoss</t>
  </si>
  <si>
    <t>Jason.Horton@manulifesecurities.ca</t>
  </si>
  <si>
    <t>Jason Horton</t>
  </si>
  <si>
    <t>JHorton</t>
  </si>
  <si>
    <t>Jason.Kuan@manulifesecurities.ca</t>
  </si>
  <si>
    <t>Jason Kuan</t>
  </si>
  <si>
    <t>JKuan</t>
  </si>
  <si>
    <t>Jason.Lainchbury@manulifesecurities.ca</t>
  </si>
  <si>
    <t>Jason Lainchbury</t>
  </si>
  <si>
    <t>2016-12-07T12:18:42</t>
  </si>
  <si>
    <t>jasonl</t>
  </si>
  <si>
    <t>Jason.Liu@manulifesecurities.ca</t>
  </si>
  <si>
    <t>Jason (Yu-Chang) Liu</t>
  </si>
  <si>
    <t>2017-10-08T19:10:15</t>
  </si>
  <si>
    <t>mfc.jason.liu</t>
  </si>
  <si>
    <t>Jason.Ma@manulifesecurities.ca</t>
  </si>
  <si>
    <t>Jason Ma</t>
  </si>
  <si>
    <t>jasonma</t>
  </si>
  <si>
    <t>Jason.Maleyko@manulifesecurities.ca</t>
  </si>
  <si>
    <t>Jason Maleyko</t>
  </si>
  <si>
    <t>2014-12-08T07:46:26</t>
  </si>
  <si>
    <t>jmaleyko</t>
  </si>
  <si>
    <t>Jason.Mandseth@manulifesecurities.ca</t>
  </si>
  <si>
    <t>Jason Mandseth</t>
  </si>
  <si>
    <t>mandsethj</t>
  </si>
  <si>
    <t>jason.milne@manulifesecurities.ca</t>
  </si>
  <si>
    <t>JMilne</t>
  </si>
  <si>
    <t>Jason.Nakhoul@manulifesecurities.ca</t>
  </si>
  <si>
    <t>Jason Nakhoul</t>
  </si>
  <si>
    <t>2017-10-16T05:08:18</t>
  </si>
  <si>
    <t>JNakhoul</t>
  </si>
  <si>
    <t>Jason.Reid@manulifesecurities.ca</t>
  </si>
  <si>
    <t>Jason Reid</t>
  </si>
  <si>
    <t>jasreid</t>
  </si>
  <si>
    <t>Jason.Smith@manulifesecurities.ca</t>
  </si>
  <si>
    <t>Jason Smith</t>
  </si>
  <si>
    <t>JaSmith</t>
  </si>
  <si>
    <t>Jason.Woo@manulifesecurities.ca</t>
  </si>
  <si>
    <t>Jason Woo</t>
  </si>
  <si>
    <t>2017-10-01T22:40:57</t>
  </si>
  <si>
    <t>mfc.jason.woo</t>
  </si>
  <si>
    <t>Jasper.Chan@manulifesecurities.ca</t>
  </si>
  <si>
    <t>Jasper Chan</t>
  </si>
  <si>
    <t>2017-10-13T01:25:01</t>
  </si>
  <si>
    <t>JaChan</t>
  </si>
  <si>
    <t>jaspreet.kaur@manulifesecurities.ca</t>
  </si>
  <si>
    <t>Jaspreet Kaur</t>
  </si>
  <si>
    <t>JKaur</t>
  </si>
  <si>
    <t>Jatinder.Rai@manulifesecurities.ca</t>
  </si>
  <si>
    <t>Jatinder Rai</t>
  </si>
  <si>
    <t>jatrai</t>
  </si>
  <si>
    <t>Jatinder.Sachdeva@manulifesecurities.ca</t>
  </si>
  <si>
    <t>Jatinder Sachdeva</t>
  </si>
  <si>
    <t>2017-10-07T21:11:09</t>
  </si>
  <si>
    <t>mfc.jatinder.sach</t>
  </si>
  <si>
    <t>Jay.Stark@manulifesecurities.ca</t>
  </si>
  <si>
    <t>Jay Stark</t>
  </si>
  <si>
    <t>2017-10-15T07:53:05</t>
  </si>
  <si>
    <t>JStark</t>
  </si>
  <si>
    <t>Jayne.DeSeta@manulifesecurities.ca</t>
  </si>
  <si>
    <t>Jayne DeSeta</t>
  </si>
  <si>
    <t>2017-10-10T12:20:56</t>
  </si>
  <si>
    <t>JDeseta</t>
  </si>
  <si>
    <t>Jayne.Osborn@manulifesecurities.ca</t>
  </si>
  <si>
    <t>Jayne Osborn</t>
  </si>
  <si>
    <t>JOsborn</t>
  </si>
  <si>
    <t>Jaynie.White@manulifesecurities.ca</t>
  </si>
  <si>
    <t>Jaynie White</t>
  </si>
  <si>
    <t>jawhite</t>
  </si>
  <si>
    <t>Jazza.Banal@manulifesecurities.ca</t>
  </si>
  <si>
    <t>Jazza Banal</t>
  </si>
  <si>
    <t>JBanal</t>
  </si>
  <si>
    <t>jborges@manulifesecurities.ca</t>
  </si>
  <si>
    <t>Judy Borges</t>
  </si>
  <si>
    <t>2017-09-15T12:16:55</t>
  </si>
  <si>
    <t>jborges</t>
  </si>
  <si>
    <t>JCastanier@manulifesecurities.ca</t>
  </si>
  <si>
    <t>Jill Castanier (Jcastanier)</t>
  </si>
  <si>
    <t>JCastanier</t>
  </si>
  <si>
    <t>Jean.Blyth@manulifesecurities.ca</t>
  </si>
  <si>
    <t>Jean Blyth</t>
  </si>
  <si>
    <t>2017-10-11T15:01:38</t>
  </si>
  <si>
    <t>JBlyth</t>
  </si>
  <si>
    <t>Jean.Chretien@manulifesecurities.ca</t>
  </si>
  <si>
    <t>Jean Chretien</t>
  </si>
  <si>
    <t>2017-10-06T23:30:28</t>
  </si>
  <si>
    <t>jchretien</t>
  </si>
  <si>
    <t>Jean.DeLuca@manulifesecurities.ca</t>
  </si>
  <si>
    <t>Jean DeLuca</t>
  </si>
  <si>
    <t>2017-01-04T14:47:27</t>
  </si>
  <si>
    <t>mfc.jean.deluca</t>
  </si>
  <si>
    <t>Jean.Dick@manulifesecurities.ca</t>
  </si>
  <si>
    <t>Jean Dick</t>
  </si>
  <si>
    <t>2017-10-13T13:23:58</t>
  </si>
  <si>
    <t>JDick</t>
  </si>
  <si>
    <t>Jean.Gacinya@manulifesecurities.ca</t>
  </si>
  <si>
    <t>Jean Gacinya</t>
  </si>
  <si>
    <t>JGacinya</t>
  </si>
  <si>
    <t>Jean.Lauzon@manulifesecurities.ca</t>
  </si>
  <si>
    <t>Jean Lauzon</t>
  </si>
  <si>
    <t>jglauzon</t>
  </si>
  <si>
    <t>jean.tagana@manulifesecurities.ca</t>
  </si>
  <si>
    <t>Jean Tagana</t>
  </si>
  <si>
    <t>2017-05-05T22:52:45</t>
  </si>
  <si>
    <t>mfc.jean.tagana</t>
  </si>
  <si>
    <t>Jean-Claude.Villemaire@manulifesecurities.ca</t>
  </si>
  <si>
    <t>Jean-Claude Villemaire</t>
  </si>
  <si>
    <t>2017-10-07T18:35:41</t>
  </si>
  <si>
    <t>JVillemaire</t>
  </si>
  <si>
    <t>Jeanette.Jackson@manulifesecurities.ca</t>
  </si>
  <si>
    <t>Jeanette Jackson</t>
  </si>
  <si>
    <t>2017-10-10T12:49:12</t>
  </si>
  <si>
    <t>mfc.jeanette.jack</t>
  </si>
  <si>
    <t>Jeanette.Mckibbon@manulifesecurities.ca</t>
  </si>
  <si>
    <t>Jeanette Mckibbon</t>
  </si>
  <si>
    <t>2017-10-16T07:28:27</t>
  </si>
  <si>
    <t>callnet1</t>
  </si>
  <si>
    <t>Jean-Francois.Blais@manulifesecurities.ca</t>
  </si>
  <si>
    <t>Jean-Francois Blais</t>
  </si>
  <si>
    <t>blaisje</t>
  </si>
  <si>
    <t>Jean-Francois.Jolicoeur@manulifesecurities.ca</t>
  </si>
  <si>
    <t>Jean-Francois Jolicoeur</t>
  </si>
  <si>
    <t>2017-10-12T10:52:47</t>
  </si>
  <si>
    <t>mfc.jean-francois</t>
  </si>
  <si>
    <t>JeanFrederick.Rabaraona@manulifesecurities.ca</t>
  </si>
  <si>
    <t>Jean Frederick Rabaraona</t>
  </si>
  <si>
    <t>JRabaraona</t>
  </si>
  <si>
    <t>Jean-gerard.Cauchon@manulifesecurities.ca</t>
  </si>
  <si>
    <t>Jean-Gerard Cauchon</t>
  </si>
  <si>
    <t>jgcauchon</t>
  </si>
  <si>
    <t>Jean-Marc.LAbbe@manulifesecurities.ca</t>
  </si>
  <si>
    <t>Jean-Marc L'Abbe</t>
  </si>
  <si>
    <t>2017-09-06T23:55:17</t>
  </si>
  <si>
    <t>labbeje</t>
  </si>
  <si>
    <t>Jean-Marc.Leger@manulifesecurities.ca</t>
  </si>
  <si>
    <t>Jean-Marc Leger</t>
  </si>
  <si>
    <t>2017-10-08T09:48:23</t>
  </si>
  <si>
    <t>jeanmarcleger</t>
  </si>
  <si>
    <t>Jean-Michel.Bergot@placementsmanuvie.ca</t>
  </si>
  <si>
    <t>Jean-Michel Bergot</t>
  </si>
  <si>
    <t>2017-10-05T15:06:34</t>
  </si>
  <si>
    <t>JMBergot</t>
  </si>
  <si>
    <t>Jean-Michel.Clement@manulifesecurities.ca</t>
  </si>
  <si>
    <t>Jean-Michel Clement</t>
  </si>
  <si>
    <t>2017-10-15T17:51:11</t>
  </si>
  <si>
    <t>JClement</t>
  </si>
  <si>
    <t>Jeanne.Glavac@manulifesecurities.ca</t>
  </si>
  <si>
    <t>Jeanne Glavac</t>
  </si>
  <si>
    <t>2017-10-10T09:52:16</t>
  </si>
  <si>
    <t>jeanneglavac</t>
  </si>
  <si>
    <t>Jeanne.Gursky@manulifesecurities.ca</t>
  </si>
  <si>
    <t>Jeanne Gursky</t>
  </si>
  <si>
    <t>jgursky</t>
  </si>
  <si>
    <t>Jeanne.Muccilli@manulifesecurities.ca</t>
  </si>
  <si>
    <t>Jeanne Muccilli</t>
  </si>
  <si>
    <t>2017-10-14T19:08:46</t>
  </si>
  <si>
    <t>JMuccilli</t>
  </si>
  <si>
    <t>Jean-Philippe.L'abbe@manulifesecurities.ca</t>
  </si>
  <si>
    <t>Jean-Philippe L'abbe</t>
  </si>
  <si>
    <t>2016-12-21T13:25:07</t>
  </si>
  <si>
    <t>jplabbe</t>
  </si>
  <si>
    <t>Jean-Pierre.Letarte@placementsmanuvie.ca</t>
  </si>
  <si>
    <t>Jean-Pierre Letarte</t>
  </si>
  <si>
    <t>2017-09-24T17:42:34</t>
  </si>
  <si>
    <t>JPLetarte</t>
  </si>
  <si>
    <t>Jean-Pierre.Samson@manulifesecurities.ca</t>
  </si>
  <si>
    <t>Jean-Pierre Samson</t>
  </si>
  <si>
    <t>2017-04-06T09:28:50</t>
  </si>
  <si>
    <t>JSamson</t>
  </si>
  <si>
    <t>JeanYves.Torres@manulifesecurities.ca</t>
  </si>
  <si>
    <t>Jean Yves Torres</t>
  </si>
  <si>
    <t>JTorres</t>
  </si>
  <si>
    <t>Jediah.Ziegler@manulifesecurities.ca</t>
  </si>
  <si>
    <t>Jediah Ziegler</t>
  </si>
  <si>
    <t>2017-10-15T21:23:58</t>
  </si>
  <si>
    <t>ziegjed</t>
  </si>
  <si>
    <t>Jeff.Cullen@manulifesecurities.ca</t>
  </si>
  <si>
    <t>Jeff Cullen</t>
  </si>
  <si>
    <t>jefncullen</t>
  </si>
  <si>
    <t>jeff.flacks@manulifesecurities.ca</t>
  </si>
  <si>
    <t>Jeffrey Flacks</t>
  </si>
  <si>
    <t>2017-10-13T12:23:38</t>
  </si>
  <si>
    <t>mfc.jeffrey.flack</t>
  </si>
  <si>
    <t>Jeff.Garnett@manulifesecurities.ca</t>
  </si>
  <si>
    <t>Jeff Garnett</t>
  </si>
  <si>
    <t>2014-11-03T17:38:21</t>
  </si>
  <si>
    <t>JeffGarnett</t>
  </si>
  <si>
    <t>Jeff.Goldstein@manulifesecurities.ca</t>
  </si>
  <si>
    <t>Jeff Goldstein</t>
  </si>
  <si>
    <t>2017-10-09T00:00:53</t>
  </si>
  <si>
    <t>JeGoldstein</t>
  </si>
  <si>
    <t>Jeff.Hull@manulifesecurities.ca</t>
  </si>
  <si>
    <t>Jeff Hull</t>
  </si>
  <si>
    <t>2017-10-08T18:31:38</t>
  </si>
  <si>
    <t>JHull</t>
  </si>
  <si>
    <t>jeff.kartechner@manulifesecurities.ca</t>
  </si>
  <si>
    <t>Jeff Kartechner</t>
  </si>
  <si>
    <t>2015-08-18T11:12:21</t>
  </si>
  <si>
    <t>mfc.jeff.kartechn</t>
  </si>
  <si>
    <t>Jeff.Keller@manulifesecurities.ca</t>
  </si>
  <si>
    <t>Jeff Keller</t>
  </si>
  <si>
    <t>2017-10-16T08:17:00</t>
  </si>
  <si>
    <t>jkeller</t>
  </si>
  <si>
    <t>jeff.lotz@manulifesecurities.ca</t>
  </si>
  <si>
    <t>Jeff Lotz</t>
  </si>
  <si>
    <t>2017-10-02T10:18:25</t>
  </si>
  <si>
    <t>mfc.jeff.lotz</t>
  </si>
  <si>
    <t>Jeff.McKay@manulifesecurities.ca</t>
  </si>
  <si>
    <t>Jeff McKay</t>
  </si>
  <si>
    <t>2017-10-09T20:00:59</t>
  </si>
  <si>
    <t>mfc.jeff.mckay</t>
  </si>
  <si>
    <t>Jeff.Potter@manulifesecurities.ca</t>
  </si>
  <si>
    <t>Jeff Potter</t>
  </si>
  <si>
    <t>JPotter</t>
  </si>
  <si>
    <t>Jeff.Reader@manulifesecurities.ca</t>
  </si>
  <si>
    <t>Jeff Reader</t>
  </si>
  <si>
    <t>2017-05-08T09:05:39</t>
  </si>
  <si>
    <t>mfc.jeff.reader</t>
  </si>
  <si>
    <t>Jeff.Schaus@manulifesecurities.ca</t>
  </si>
  <si>
    <t>Jeff Schaus</t>
  </si>
  <si>
    <t>2017-10-10T08:04:39</t>
  </si>
  <si>
    <t>jschaus</t>
  </si>
  <si>
    <t>Jeff.Scowen@manulifesecurities.ca</t>
  </si>
  <si>
    <t>JScowen</t>
  </si>
  <si>
    <t>2017-09-11T11:15:07</t>
  </si>
  <si>
    <t>Jeff.Squire@manulifesecurities.ca</t>
  </si>
  <si>
    <t>Jeff Squire</t>
  </si>
  <si>
    <t>2017-10-11T14:10:27</t>
  </si>
  <si>
    <t>JSquire</t>
  </si>
  <si>
    <t>Jeffery.Khoury@manulifesecurities.ca</t>
  </si>
  <si>
    <t>Jeffery Khoury</t>
  </si>
  <si>
    <t>2017-10-01T23:13:36</t>
  </si>
  <si>
    <t>mfc.jeffery.khour</t>
  </si>
  <si>
    <t>Jeffrey.Anderson@manulifesecurities.ca</t>
  </si>
  <si>
    <t>Jeffrey Anderson</t>
  </si>
  <si>
    <t>2017-10-03T13:33:53</t>
  </si>
  <si>
    <t>andjeff</t>
  </si>
  <si>
    <t>Jeffrey.Dale@manulifesecurities.ca</t>
  </si>
  <si>
    <t>Jeffrey Dale</t>
  </si>
  <si>
    <t>JDale</t>
  </si>
  <si>
    <t>Jeffrey.Garnett@manulifesecurities.ca</t>
  </si>
  <si>
    <t>Jeffrey Garnett</t>
  </si>
  <si>
    <t>jgarnett</t>
  </si>
  <si>
    <t>Jeffrey.Gebert@manulifesecurities.ca</t>
  </si>
  <si>
    <t>Jeffrey Gebert</t>
  </si>
  <si>
    <t>2016-01-22T19:29:48</t>
  </si>
  <si>
    <t>jgebert</t>
  </si>
  <si>
    <t>Jeffrey.Goddard@manulifesecurities.ca</t>
  </si>
  <si>
    <t>Jeffrey Goddard</t>
  </si>
  <si>
    <t>2015-06-11T10:56:16</t>
  </si>
  <si>
    <t>jlgoddard</t>
  </si>
  <si>
    <t>Jeffrey.Hollins@manulifesecurities.ca</t>
  </si>
  <si>
    <t>Jeffrey Hollins</t>
  </si>
  <si>
    <t>2017-10-10T09:36:19</t>
  </si>
  <si>
    <t>holljef</t>
  </si>
  <si>
    <t>Jeffrey.Illes@manulifesecurities.ca</t>
  </si>
  <si>
    <t>Jeffrey Illes</t>
  </si>
  <si>
    <t>jeilles</t>
  </si>
  <si>
    <t>Jeffrey.Jacob@manulifesecurities.ca</t>
  </si>
  <si>
    <t>Jeffrey Jacob</t>
  </si>
  <si>
    <t>2017-01-10T02:43:55</t>
  </si>
  <si>
    <t>JJacob</t>
  </si>
  <si>
    <t>Jeffrey.Lee@manulifesecurities.ca</t>
  </si>
  <si>
    <t>Jeffrey Lee</t>
  </si>
  <si>
    <t>JLee</t>
  </si>
  <si>
    <t>Jeffrey.Martin@manulifesecurities.ca</t>
  </si>
  <si>
    <t>Jeffrey Martin</t>
  </si>
  <si>
    <t>JeMartin</t>
  </si>
  <si>
    <t>Jeffrey.Plews@manulifesecurities.ca</t>
  </si>
  <si>
    <t>Jeff Plews</t>
  </si>
  <si>
    <t>2017-10-07T13:06:56</t>
  </si>
  <si>
    <t>JPlews</t>
  </si>
  <si>
    <t>Jeffrey.Ramos@manulifesecurities.ca</t>
  </si>
  <si>
    <t>Jeffrey Ramos</t>
  </si>
  <si>
    <t>jeramos</t>
  </si>
  <si>
    <t>Jen.Hosick@manulifesecurities.ca</t>
  </si>
  <si>
    <t>Jen Hosick</t>
  </si>
  <si>
    <t>jhosick</t>
  </si>
  <si>
    <t>Jen.Perry@manulifesecurities.ca</t>
  </si>
  <si>
    <t>Jen Perry</t>
  </si>
  <si>
    <t>jlperry</t>
  </si>
  <si>
    <t>Jena.Hnidy@manulifesecurities.ca</t>
  </si>
  <si>
    <t>Jena Hnidy</t>
  </si>
  <si>
    <t>2017-04-12T16:29:27</t>
  </si>
  <si>
    <t>mfc.jena.hnidy</t>
  </si>
  <si>
    <t>Jenifer.Kelly@manulifesecurities.ca</t>
  </si>
  <si>
    <t>Jenifer Kelly</t>
  </si>
  <si>
    <t>2015-01-20T18:37:13</t>
  </si>
  <si>
    <t>jlitwill</t>
  </si>
  <si>
    <t>Jenine.Tomalty@manulifesecurities.ca</t>
  </si>
  <si>
    <t>Jenine Tomalty</t>
  </si>
  <si>
    <t>JTomalty</t>
  </si>
  <si>
    <t>Jenise.Figueiredo@manulifesecurities.ca</t>
  </si>
  <si>
    <t>Jenise Figueiredo</t>
  </si>
  <si>
    <t>JFigueiredo</t>
  </si>
  <si>
    <t>Jenn.Horne@manulifesecurities.ca</t>
  </si>
  <si>
    <t>Jenn Horne</t>
  </si>
  <si>
    <t>JHorne</t>
  </si>
  <si>
    <t>Jenn.Stoneman@manulifesecurities.ca</t>
  </si>
  <si>
    <t>Jenn Stoneman</t>
  </si>
  <si>
    <t>JStoneman</t>
  </si>
  <si>
    <t>Jenn.Virani@manulifesecurities.ca</t>
  </si>
  <si>
    <t>Jenn Virani</t>
  </si>
  <si>
    <t>jenmoore</t>
  </si>
  <si>
    <t>Jenna.Jones@manulifesecurities.ca</t>
  </si>
  <si>
    <t>Jenna Jones</t>
  </si>
  <si>
    <t>jennaj</t>
  </si>
  <si>
    <t>Jenna.Karwacki@manulifesecurities.ca</t>
  </si>
  <si>
    <t>Jenna Karwacki (Disabled)</t>
  </si>
  <si>
    <t>JKarwacki</t>
  </si>
  <si>
    <t>Jennifer.Benakoun@manulifesecurities.ca</t>
  </si>
  <si>
    <t>Jennifer  Benakoun</t>
  </si>
  <si>
    <t>2017-10-10T09:30:13</t>
  </si>
  <si>
    <t>JBenakoun</t>
  </si>
  <si>
    <t>Jennifer.Black@manulifesecurities.ca</t>
  </si>
  <si>
    <t>Jennifer Black</t>
  </si>
  <si>
    <t>2016-01-15T17:14:11</t>
  </si>
  <si>
    <t>JBlack</t>
  </si>
  <si>
    <t>Jennifer.Bowen@manulifesecurities.ca</t>
  </si>
  <si>
    <t>JBowen</t>
  </si>
  <si>
    <t>Jennifer.Broders@manulifesecurities.ca</t>
  </si>
  <si>
    <t>Jennifer Broders</t>
  </si>
  <si>
    <t>JBroders</t>
  </si>
  <si>
    <t>Jennifer.Cavanagh@manulifesecurities.ca</t>
  </si>
  <si>
    <t>Jennifer Cavanagh</t>
  </si>
  <si>
    <t>jcavanag</t>
  </si>
  <si>
    <t>Jennifer.Cook@manulifesecurities.ca</t>
  </si>
  <si>
    <t>Jennifer Cook (Advisor)</t>
  </si>
  <si>
    <t>2017-09-25T13:53:26</t>
  </si>
  <si>
    <t>jgcook</t>
  </si>
  <si>
    <t>Jennifer.Denchuk@manulifesecurities.ca</t>
  </si>
  <si>
    <t>Jennifer Denchuk</t>
  </si>
  <si>
    <t>denchukje</t>
  </si>
  <si>
    <t>Jennifer.Dermit@manulifesecurities.ca</t>
  </si>
  <si>
    <t>Jennifer Dermit</t>
  </si>
  <si>
    <t>2017-10-09T21:25:08</t>
  </si>
  <si>
    <t>JDermit</t>
  </si>
  <si>
    <t>Jennifer.Fedun@manulifesecurities.ca</t>
  </si>
  <si>
    <t>Jennifer Fedun</t>
  </si>
  <si>
    <t>2017-10-10T10:57:15</t>
  </si>
  <si>
    <t>jenniferfedun</t>
  </si>
  <si>
    <t>Jennifer.Fehr@manulifesecurities.ca</t>
  </si>
  <si>
    <t>Jennifer Fehr</t>
  </si>
  <si>
    <t>2017-10-13T08:40:21</t>
  </si>
  <si>
    <t>mfc.jennifer.fehr</t>
  </si>
  <si>
    <t>jennifer.gallagher@manulifesecurities.ca</t>
  </si>
  <si>
    <t>Jennifer Gallagher</t>
  </si>
  <si>
    <t>2017-10-10T08:32:02</t>
  </si>
  <si>
    <t>mfc.jennifer.gall</t>
  </si>
  <si>
    <t>Jennifer.Glionna@manulifesecurities.ca</t>
  </si>
  <si>
    <t>Jennifer Glionna</t>
  </si>
  <si>
    <t>2016-03-03T12:37:08</t>
  </si>
  <si>
    <t>JGlionna</t>
  </si>
  <si>
    <t>Jennifer.Hall@manulifesecurities.ca</t>
  </si>
  <si>
    <t>Jennifer Hall</t>
  </si>
  <si>
    <t>2017-10-10T10:32:21</t>
  </si>
  <si>
    <t>mfc.jennifer.hall</t>
  </si>
  <si>
    <t>Jennifer.Harris@manulifesecurities.ca</t>
  </si>
  <si>
    <t>Jennifer Harris</t>
  </si>
  <si>
    <t>jenniferc</t>
  </si>
  <si>
    <t>Jennifer.Hosick@manulifesecurities.ca</t>
  </si>
  <si>
    <t>Jennifer Hosick</t>
  </si>
  <si>
    <t>JenniferHosick</t>
  </si>
  <si>
    <t>Jennifer.Iatrou@manulifesecurities.ca</t>
  </si>
  <si>
    <t>Jennifer Iatrou</t>
  </si>
  <si>
    <t>2017-10-12T23:21:06</t>
  </si>
  <si>
    <t>JIatrou</t>
  </si>
  <si>
    <t>Jennifer.Keyes@manulifesecurities.ca</t>
  </si>
  <si>
    <t>Jennifer Keyes</t>
  </si>
  <si>
    <t>JKeyes</t>
  </si>
  <si>
    <t>Jennifer.Kim@manulifesecurities.ca</t>
  </si>
  <si>
    <t>Jennifer Kim</t>
  </si>
  <si>
    <t>2017-10-13T17:13:51</t>
  </si>
  <si>
    <t>JKim</t>
  </si>
  <si>
    <t>Jennifer.Lamarche@manulifesecurities.ca</t>
  </si>
  <si>
    <t>Jennifer Lamarche</t>
  </si>
  <si>
    <t>JLamarche</t>
  </si>
  <si>
    <t>jennifer.lightfoot@manulifesecurities.ca</t>
  </si>
  <si>
    <t>Jennifer Lightfoot</t>
  </si>
  <si>
    <t>mfc.jennifer.ligh</t>
  </si>
  <si>
    <t>Jennifer.Massie@manulifesecurities.ca</t>
  </si>
  <si>
    <t>Jennifer Massie</t>
  </si>
  <si>
    <t>2015-12-07T08:41:10</t>
  </si>
  <si>
    <t>jmassie</t>
  </si>
  <si>
    <t>Jennifer.Menard@manulifesecurities.ca</t>
  </si>
  <si>
    <t>Jennifer Menard</t>
  </si>
  <si>
    <t>menard</t>
  </si>
  <si>
    <t>jennifer.mitchell@manulifesecurities.ca</t>
  </si>
  <si>
    <t>Jennifer Mitchell</t>
  </si>
  <si>
    <t>2017-10-11T19:00:07</t>
  </si>
  <si>
    <t>mfc.jennifer.mitc</t>
  </si>
  <si>
    <t>Jennifer.Moore@manulifesecurities.ca</t>
  </si>
  <si>
    <t>Jennifer Moore (Toronto)</t>
  </si>
  <si>
    <t>2017-10-08T12:18:17</t>
  </si>
  <si>
    <t>jm0920</t>
  </si>
  <si>
    <t>Jennifer.Moulder@manulifesecurities.ca</t>
  </si>
  <si>
    <t>Jennifer Moulder</t>
  </si>
  <si>
    <t>2017-10-05T12:32:06</t>
  </si>
  <si>
    <t>mfc.jennifer.moul</t>
  </si>
  <si>
    <t>Jennifer.Munharvey@manulifesecurities.ca</t>
  </si>
  <si>
    <t>Jennifer Munharvey</t>
  </si>
  <si>
    <t>2017-10-10T10:54:39</t>
  </si>
  <si>
    <t>JMunharvey</t>
  </si>
  <si>
    <t>Jennifer.Nash@manulifesecurities.ca</t>
  </si>
  <si>
    <t>Jennifer Nash</t>
  </si>
  <si>
    <t>janash</t>
  </si>
  <si>
    <t>jennifer.oleary@manulifesecurities.ca</t>
  </si>
  <si>
    <t>Jennifer O'Leary</t>
  </si>
  <si>
    <t>2016-08-22T10:15:57</t>
  </si>
  <si>
    <t>mfc.jennifer.olea</t>
  </si>
  <si>
    <t>Jennifer.Rankin@manulifesecurities.ca</t>
  </si>
  <si>
    <t>2016-06-06T10:48:19</t>
  </si>
  <si>
    <t>JRankin</t>
  </si>
  <si>
    <t>jennifer.rowe@manulifesecurities.ca</t>
  </si>
  <si>
    <t>Jennifer Rowe</t>
  </si>
  <si>
    <t>2017-09-26T08:32:42</t>
  </si>
  <si>
    <t>mfc.jennifer.rowe</t>
  </si>
  <si>
    <t>Jennifer.Rowland@manulifesecurities.ca</t>
  </si>
  <si>
    <t>Jennifer Rowland</t>
  </si>
  <si>
    <t>2017-10-12T10:16:57</t>
  </si>
  <si>
    <t>mfc.jennifer.rowl</t>
  </si>
  <si>
    <t>Jennifer.Savady@manulifesecurities.ca</t>
  </si>
  <si>
    <t>Jennifer Savady</t>
  </si>
  <si>
    <t>2016-02-25T17:06:41</t>
  </si>
  <si>
    <t>jsavady</t>
  </si>
  <si>
    <t>Jennifer.Shuman@manulifesecurities.ca</t>
  </si>
  <si>
    <t>JShuman</t>
  </si>
  <si>
    <t>Jennifer.Tagliabracci@manulifesecurities.ca</t>
  </si>
  <si>
    <t>Jennifer Tagliabracci</t>
  </si>
  <si>
    <t>jentaglia</t>
  </si>
  <si>
    <t>Jennifer.VanPelt@manulifesecurities.ca</t>
  </si>
  <si>
    <t>Jennifer Van Pelt</t>
  </si>
  <si>
    <t>jvanpelt</t>
  </si>
  <si>
    <t>Jennilyn.Dizon@manulifesecurities.ca</t>
  </si>
  <si>
    <t>Jennilyn Dizon</t>
  </si>
  <si>
    <t>JDizon</t>
  </si>
  <si>
    <t>Jenny.Blakey@manulifesecurities.ca</t>
  </si>
  <si>
    <t>Jenny Blakey</t>
  </si>
  <si>
    <t>jblakey</t>
  </si>
  <si>
    <t>Jenny.Bressette@manulifesecurities.ca</t>
  </si>
  <si>
    <t>Jenny Bressette</t>
  </si>
  <si>
    <t>jbresse</t>
  </si>
  <si>
    <t>Jenny.Dorst@manulifesecurities.ca</t>
  </si>
  <si>
    <t>Jenny Dorst</t>
  </si>
  <si>
    <t>JDorst</t>
  </si>
  <si>
    <t>Jenny.Jones@manulifesecurities.ca</t>
  </si>
  <si>
    <t>Jennifer Jones</t>
  </si>
  <si>
    <t>2017-01-22T19:07:49</t>
  </si>
  <si>
    <t>jennyjones</t>
  </si>
  <si>
    <t>Jenny.Lam@manulifesecurities.ca</t>
  </si>
  <si>
    <t>Jenny Lam (Assistant)</t>
  </si>
  <si>
    <t>2017-10-02T10:32:04</t>
  </si>
  <si>
    <t>mfc.jenny.lam</t>
  </si>
  <si>
    <t>Jenny.Liu@manulifesecurities.ca</t>
  </si>
  <si>
    <t>Jenny Liu</t>
  </si>
  <si>
    <t>2015-07-10T04:56:45</t>
  </si>
  <si>
    <t>JennyLiu</t>
  </si>
  <si>
    <t>Jenny.Savvidis@manulifesecurities.ca</t>
  </si>
  <si>
    <t>Jenny Savvidis</t>
  </si>
  <si>
    <t>2017-10-02T15:54:30</t>
  </si>
  <si>
    <t>jenny4</t>
  </si>
  <si>
    <t>Jeremy.Austin@manulifesecurities.ca</t>
  </si>
  <si>
    <t>Jeremy Austin</t>
  </si>
  <si>
    <t>JAustin</t>
  </si>
  <si>
    <t>Jeremy.Duchesne@manulifesecurities.ca</t>
  </si>
  <si>
    <t>Jeremy Duchesne</t>
  </si>
  <si>
    <t>JDuchesne</t>
  </si>
  <si>
    <t>Jeremy.Fountain@manulifesecurities.ca</t>
  </si>
  <si>
    <t>Jeremy Fountain</t>
  </si>
  <si>
    <t>2017-09-13T13:53:57</t>
  </si>
  <si>
    <t>mfc.jeremy.founta</t>
  </si>
  <si>
    <t>Jeremy.Lapin@manulifesecurities.ca</t>
  </si>
  <si>
    <t>JLapin</t>
  </si>
  <si>
    <t>Jeremy.Moore@manulifesecurities.ca</t>
  </si>
  <si>
    <t>Jeremy Moore</t>
  </si>
  <si>
    <t>2017-10-10T10:01:31</t>
  </si>
  <si>
    <t>jdmoore</t>
  </si>
  <si>
    <t>Jeremy.Morgan@manulifesecurities.ca</t>
  </si>
  <si>
    <t>Jeremy Morgan</t>
  </si>
  <si>
    <t>2016-09-08T11:54:40</t>
  </si>
  <si>
    <t>mfc.jeremy.morgan</t>
  </si>
  <si>
    <t>Jeremy.Ward@manulifesecurities.ca</t>
  </si>
  <si>
    <t>Jeremy Ward</t>
  </si>
  <si>
    <t>jeremyward</t>
  </si>
  <si>
    <t>JerickJames.Evangelista@manulifesecurities.ca</t>
  </si>
  <si>
    <t>Evangelista Jerick James</t>
  </si>
  <si>
    <t>EJerick James</t>
  </si>
  <si>
    <t>Jeri-Gay.Macdonald@manulifesecurities.ca</t>
  </si>
  <si>
    <t>Jeri-Gay Macdonald</t>
  </si>
  <si>
    <t>2016-10-25T11:52:32</t>
  </si>
  <si>
    <t>jgmacdonald</t>
  </si>
  <si>
    <t>Jerome.Bedard@manulifesecurities.ca</t>
  </si>
  <si>
    <t>zzJerome Bedard</t>
  </si>
  <si>
    <t>JeromeBedard</t>
  </si>
  <si>
    <t>Jerrid.Gibson@manulifesecurities.ca</t>
  </si>
  <si>
    <t>Jerrid Gibson</t>
  </si>
  <si>
    <t>JGibson</t>
  </si>
  <si>
    <t>Jerry.Collins@manulifesecurities.ca</t>
  </si>
  <si>
    <t>Jerry Collins</t>
  </si>
  <si>
    <t>JCollins</t>
  </si>
  <si>
    <t>Jerry.Pinto@manulifesecurities.ca</t>
  </si>
  <si>
    <t>JPinto</t>
  </si>
  <si>
    <t>Jerry.Santucci@manulifesecurities.ca</t>
  </si>
  <si>
    <t>Jerry Santucci</t>
  </si>
  <si>
    <t>JSantucci</t>
  </si>
  <si>
    <t>Jerry.Story@manulifesecurities.ca</t>
  </si>
  <si>
    <t>Jerry Story</t>
  </si>
  <si>
    <t>2017-10-09T19:04:17</t>
  </si>
  <si>
    <t>JStory</t>
  </si>
  <si>
    <t>Jerry.Tan@manulifesecurities.ca</t>
  </si>
  <si>
    <t>JTan</t>
  </si>
  <si>
    <t>2016-09-09T13:17:32</t>
  </si>
  <si>
    <t>Jerry.Witteveen@manulifesecurities.ca</t>
  </si>
  <si>
    <t>Jerry Witteveen</t>
  </si>
  <si>
    <t>2017-10-11T12:33:49</t>
  </si>
  <si>
    <t>JWitteveen</t>
  </si>
  <si>
    <t>Jerzy.Szemplinski@manulifesecurities.ca</t>
  </si>
  <si>
    <t>Jerzy Szemplinski</t>
  </si>
  <si>
    <t>2016-01-04T11:59:02</t>
  </si>
  <si>
    <t>szempje</t>
  </si>
  <si>
    <t>Jesse.Barth@manulifesecurities.ca</t>
  </si>
  <si>
    <t>Jesse Barth</t>
  </si>
  <si>
    <t>jbarth</t>
  </si>
  <si>
    <t>Jesse.Funk@manulifesecurities.ca</t>
  </si>
  <si>
    <t>Jesse Funk</t>
  </si>
  <si>
    <t>2017-10-10T10:53:22</t>
  </si>
  <si>
    <t>jefunk</t>
  </si>
  <si>
    <t>Jesse.Hamlim@manulifesecurities.ca</t>
  </si>
  <si>
    <t>Jesse Hamlim</t>
  </si>
  <si>
    <t>jhamlin</t>
  </si>
  <si>
    <t>Jessica.Broetz@manulifesecurities.ca</t>
  </si>
  <si>
    <t>Jessica Broetz</t>
  </si>
  <si>
    <t>JBroetz</t>
  </si>
  <si>
    <t>Jessica.Hilts@manulifesecurities.ca</t>
  </si>
  <si>
    <t>Jessica Hilts</t>
  </si>
  <si>
    <t>JHilts</t>
  </si>
  <si>
    <t>Jessica.Maude@manulifesecurities.ca</t>
  </si>
  <si>
    <t>Jessica Maude</t>
  </si>
  <si>
    <t>jqmaude</t>
  </si>
  <si>
    <t>Jessica.Naguit@manulifesecurities.ca</t>
  </si>
  <si>
    <t>Jessica Naguit</t>
  </si>
  <si>
    <t>JNaguit</t>
  </si>
  <si>
    <t>Jessica.Phoenix@manulifesecurities.ca</t>
  </si>
  <si>
    <t>Jessica Phoenix</t>
  </si>
  <si>
    <t>2017-10-10T09:44:44</t>
  </si>
  <si>
    <t>jphoenix</t>
  </si>
  <si>
    <t>jessica.pilon@manulifesecurities.ca</t>
  </si>
  <si>
    <t>Jessica Pilon</t>
  </si>
  <si>
    <t>2017-10-12T09:45:47</t>
  </si>
  <si>
    <t>mfc.jessica.pilon</t>
  </si>
  <si>
    <t>Jessica.Slavin@manulifesecurities.ca</t>
  </si>
  <si>
    <t>Jessica Slavin</t>
  </si>
  <si>
    <t>2016-07-18T12:01:27</t>
  </si>
  <si>
    <t>JSlavin</t>
  </si>
  <si>
    <t>jessica.tapiero@manulifesecurities.ca</t>
  </si>
  <si>
    <t>Jessica Tapiero</t>
  </si>
  <si>
    <t>2017-07-04T10:02:15</t>
  </si>
  <si>
    <t>mfc.jessica.tapie</t>
  </si>
  <si>
    <t>Jessica.Tinkler@manulifesecurities.ca</t>
  </si>
  <si>
    <t>Jessica Tinkler</t>
  </si>
  <si>
    <t>2017-10-14T07:27:06</t>
  </si>
  <si>
    <t>jtinkler</t>
  </si>
  <si>
    <t>Jessica.Ziegler@manulifesecurities.ca</t>
  </si>
  <si>
    <t>Jessica Ziegler</t>
  </si>
  <si>
    <t>2017-10-08T11:26:35</t>
  </si>
  <si>
    <t>jessicaziegler</t>
  </si>
  <si>
    <t>Jesslyn.Bell@manulifesecurities.ca</t>
  </si>
  <si>
    <t>Jesslyn Bell</t>
  </si>
  <si>
    <t>2014-12-11T11:01:44</t>
  </si>
  <si>
    <t>JesBell</t>
  </si>
  <si>
    <t>Jett.Tadayca@manulifesecurities.ca</t>
  </si>
  <si>
    <t>Jett Tadayca</t>
  </si>
  <si>
    <t>JTadayca</t>
  </si>
  <si>
    <t>JF.Monette@manulifesecurities.ca</t>
  </si>
  <si>
    <t>Jean-Francois Monette</t>
  </si>
  <si>
    <t>2017-09-06T09:29:03</t>
  </si>
  <si>
    <t>jfmonet</t>
  </si>
  <si>
    <t>Jhundel.Bayking@manulifesecurities.ca</t>
  </si>
  <si>
    <t>Jhundel Bayking</t>
  </si>
  <si>
    <t>JBayking</t>
  </si>
  <si>
    <t>Jian.Zhang@manulifesecurities.ca</t>
  </si>
  <si>
    <t>Jian Zhang</t>
  </si>
  <si>
    <t>2017-10-05T14:10:18</t>
  </si>
  <si>
    <t>mfc.jian.zhang</t>
  </si>
  <si>
    <t>JiaRong.Li@manulifesecurities.ca</t>
  </si>
  <si>
    <t>Jia Rong Li</t>
  </si>
  <si>
    <t>jiarong</t>
  </si>
  <si>
    <t>Jill.Castanier@manulifesecurities.ca</t>
  </si>
  <si>
    <t>Jill Castanier</t>
  </si>
  <si>
    <t>jcastani</t>
  </si>
  <si>
    <t>jill.dann@manulifesecurities.ca</t>
  </si>
  <si>
    <t>Jill Dann</t>
  </si>
  <si>
    <t>2017-10-16T08:47:25</t>
  </si>
  <si>
    <t>mfc.jill.dann</t>
  </si>
  <si>
    <t>Jill.Dubray@manulifesecurities.ca</t>
  </si>
  <si>
    <t>Jill Dubray</t>
  </si>
  <si>
    <t>2017-10-03T11:35:29</t>
  </si>
  <si>
    <t>jdubray</t>
  </si>
  <si>
    <t>Jill.Finerty@manulifesecurities.ca</t>
  </si>
  <si>
    <t>Jill Finerty</t>
  </si>
  <si>
    <t>JFinerty</t>
  </si>
  <si>
    <t>Jill.Renner@manulifesecurities.ca</t>
  </si>
  <si>
    <t>Jill Renner</t>
  </si>
  <si>
    <t>2017-10-08T13:10:52</t>
  </si>
  <si>
    <t>jrenner</t>
  </si>
  <si>
    <t>Jill.StAmant@manulifesecurities.ca</t>
  </si>
  <si>
    <t>Jill St Amant</t>
  </si>
  <si>
    <t>jstamant</t>
  </si>
  <si>
    <t>Jillian.Hayes@manulifesecurities.ca</t>
  </si>
  <si>
    <t>Jillian Hayes</t>
  </si>
  <si>
    <t>2017-10-16T09:02:01</t>
  </si>
  <si>
    <t>mfc.jillian.hayes</t>
  </si>
  <si>
    <t>Jillian.Walmsley@manulifesecurities.ca</t>
  </si>
  <si>
    <t>Jillian Walmsley</t>
  </si>
  <si>
    <t>jilley</t>
  </si>
  <si>
    <t>Jillian.Wratten@manulifesecurities.ca</t>
  </si>
  <si>
    <t>Jillian Wratten</t>
  </si>
  <si>
    <t>2017-10-10T15:23:45</t>
  </si>
  <si>
    <t>JWratten</t>
  </si>
  <si>
    <t>Jim.Balmer@manulifesecurities.ca</t>
  </si>
  <si>
    <t>Jim Balmer</t>
  </si>
  <si>
    <t>mfc.jim.balmer</t>
  </si>
  <si>
    <t>Jim.Beauchamp@manulifesecurities.ca</t>
  </si>
  <si>
    <t>Jim Beauchamp</t>
  </si>
  <si>
    <t>2017-10-10T13:17:37</t>
  </si>
  <si>
    <t>jimbeauchamp</t>
  </si>
  <si>
    <t>Jim.Cheesman@manulifesecurities.ca</t>
  </si>
  <si>
    <t>Jim Cheesman</t>
  </si>
  <si>
    <t>2017-10-13T13:30:50</t>
  </si>
  <si>
    <t>JCheesman</t>
  </si>
  <si>
    <t>Jim.Coleman@manulifesecurities.ca</t>
  </si>
  <si>
    <t>Jim Coleman</t>
  </si>
  <si>
    <t>jcoleman</t>
  </si>
  <si>
    <t>Jim.Crane@manulifesecurities.ca</t>
  </si>
  <si>
    <t>Jim Crane</t>
  </si>
  <si>
    <t>JCrane</t>
  </si>
  <si>
    <t>Jim.Greenshields@manulifesecurities.ca</t>
  </si>
  <si>
    <t>Jim Greenshields</t>
  </si>
  <si>
    <t>mfc.jim.greenshie</t>
  </si>
  <si>
    <t>Jim.Kimmerly@manulifesecurities.ca</t>
  </si>
  <si>
    <t>Jim Kimmerly</t>
  </si>
  <si>
    <t>JKimmerly</t>
  </si>
  <si>
    <t>Jim.Lawson@manulifesecurities.ca</t>
  </si>
  <si>
    <t>Jim Lawson</t>
  </si>
  <si>
    <t>JLawson</t>
  </si>
  <si>
    <t>Jim.Macarthur@manulifesecurities.ca</t>
  </si>
  <si>
    <t>Jim Macarthur</t>
  </si>
  <si>
    <t>2015-02-09T14:59:29</t>
  </si>
  <si>
    <t>JMacarthur</t>
  </si>
  <si>
    <t>Jim.Steeden@manulifesecurities.ca</t>
  </si>
  <si>
    <t>Jim Steeden</t>
  </si>
  <si>
    <t>2017-10-10T13:09:52</t>
  </si>
  <si>
    <t>jimsteeden</t>
  </si>
  <si>
    <t>Jim.Templeton@manulifesecurities.ca</t>
  </si>
  <si>
    <t>Jim Templeton</t>
  </si>
  <si>
    <t>2017-10-12T00:38:13</t>
  </si>
  <si>
    <t>JTempleton</t>
  </si>
  <si>
    <t>Jim.Wilson@manulifesecurities.ca</t>
  </si>
  <si>
    <t>Jim Wilson</t>
  </si>
  <si>
    <t>2017-10-15T12:15:54</t>
  </si>
  <si>
    <t>JimWilson</t>
  </si>
  <si>
    <t>Jimmy.Jim@manulifesecurities.ca</t>
  </si>
  <si>
    <t>Jimmy Jim</t>
  </si>
  <si>
    <t>2017-09-28T10:46:28</t>
  </si>
  <si>
    <t>wkjjim</t>
  </si>
  <si>
    <t>Jimmy.Kapakos@manulifesecurities.ca</t>
  </si>
  <si>
    <t>Jimmy Kapakos</t>
  </si>
  <si>
    <t>2017-10-16T00:43:28</t>
  </si>
  <si>
    <t>DKapakos</t>
  </si>
  <si>
    <t>Jimmy.Singh@manulifesecurities.ca</t>
  </si>
  <si>
    <t>Jimmy Singh</t>
  </si>
  <si>
    <t>2016-12-07T12:36:02</t>
  </si>
  <si>
    <t>jsingh</t>
  </si>
  <si>
    <t>Jin.She@manulifesecurities.ca</t>
  </si>
  <si>
    <t>Jin She</t>
  </si>
  <si>
    <t>JShe</t>
  </si>
  <si>
    <t>Jinky.Belleza@manulifesecurities.ca</t>
  </si>
  <si>
    <t>Jinky Belleza</t>
  </si>
  <si>
    <t>JBelleza</t>
  </si>
  <si>
    <t>Jiwon.Lee@manulifesecurities.ca</t>
  </si>
  <si>
    <t>Jiwon Lee</t>
  </si>
  <si>
    <t>2015-03-23T15:16:33</t>
  </si>
  <si>
    <t>jiwlee</t>
  </si>
  <si>
    <t>JKountourakis@manulifesecurities.ca</t>
  </si>
  <si>
    <t>John Kountourakis</t>
  </si>
  <si>
    <t>2017-10-13T14:22:52</t>
  </si>
  <si>
    <t>jkountourakis</t>
  </si>
  <si>
    <t>JMoore@manulifesecurities.ca</t>
  </si>
  <si>
    <t>Jennie Moore</t>
  </si>
  <si>
    <t>2017-10-08T12:31:40</t>
  </si>
  <si>
    <t>JMoore</t>
  </si>
  <si>
    <t>Joan.Deacon@manulifesecurities.ca</t>
  </si>
  <si>
    <t>Joan Deacon</t>
  </si>
  <si>
    <t>2017-10-12T12:12:00</t>
  </si>
  <si>
    <t>jpdeacon</t>
  </si>
  <si>
    <t>Joan.Premachuk@manulifesecurities.ca</t>
  </si>
  <si>
    <t>Joan Premachuk</t>
  </si>
  <si>
    <t>joanmarie</t>
  </si>
  <si>
    <t>Joan.Rynard@manulifesecurities.ca</t>
  </si>
  <si>
    <t>Joan Rynard</t>
  </si>
  <si>
    <t>2014-10-24T09:19:38</t>
  </si>
  <si>
    <t>jrynard</t>
  </si>
  <si>
    <t>Joan.White@manulifesecurities.ca</t>
  </si>
  <si>
    <t>Joan White</t>
  </si>
  <si>
    <t>JWhite</t>
  </si>
  <si>
    <t>Joan.Zielke@manulifesecurities.ca</t>
  </si>
  <si>
    <t>Joan Zielke</t>
  </si>
  <si>
    <t>2017-10-12T15:09:34</t>
  </si>
  <si>
    <t>JZielke</t>
  </si>
  <si>
    <t>Joana.GomesDaCosta@manulifesecurities.ca</t>
  </si>
  <si>
    <t>Joana GomesDaCosta</t>
  </si>
  <si>
    <t>2017-09-26T14:43:07</t>
  </si>
  <si>
    <t>JDaCosta</t>
  </si>
  <si>
    <t>JoanMarie.Mendez@manulifesecurities.ca</t>
  </si>
  <si>
    <t>Joan Marie Mendez</t>
  </si>
  <si>
    <t>JMendez</t>
  </si>
  <si>
    <t>Jo-Ann.Clarke@manulifesecurities.ca</t>
  </si>
  <si>
    <t>Jo-Ann Clarke</t>
  </si>
  <si>
    <t>jclarke1</t>
  </si>
  <si>
    <t>Jo-Ann.Page@manulifesecurities.ca</t>
  </si>
  <si>
    <t>Jo-Ann Page</t>
  </si>
  <si>
    <t>joannp</t>
  </si>
  <si>
    <t>Joanna.Konowalczyk@manulifesecurities.ca</t>
  </si>
  <si>
    <t>Joanna Konowalczyk</t>
  </si>
  <si>
    <t>2017-10-16T08:32:59</t>
  </si>
  <si>
    <t>mfc.joanna.konowa</t>
  </si>
  <si>
    <t>Jo-Anne.Beaulieu@manulifesecurities.ca</t>
  </si>
  <si>
    <t>Jo-Anne Beaulieu</t>
  </si>
  <si>
    <t>2017-10-13T19:25:11</t>
  </si>
  <si>
    <t>JBeaulieu</t>
  </si>
  <si>
    <t>Joanne.Bodrug@manulifesecurities.ca</t>
  </si>
  <si>
    <t>Joanne Bodrug</t>
  </si>
  <si>
    <t>2017-10-05T14:30:56</t>
  </si>
  <si>
    <t>JBodrug</t>
  </si>
  <si>
    <t>Joanne.Drake@manulifesecurities.ca</t>
  </si>
  <si>
    <t>Joanne Drake</t>
  </si>
  <si>
    <t>JoDrake</t>
  </si>
  <si>
    <t>Jo-Anne.Dupuis@manulifesecurities.ca</t>
  </si>
  <si>
    <t>Jo-Anne Dupuis</t>
  </si>
  <si>
    <t>2017-10-11T09:49:28</t>
  </si>
  <si>
    <t>benpar96</t>
  </si>
  <si>
    <t>Joanne.Ehgoetz@manulifesecurities.ca</t>
  </si>
  <si>
    <t>Joanne Ehgoetz</t>
  </si>
  <si>
    <t>2017-10-11T12:54:03</t>
  </si>
  <si>
    <t>jehgoetz</t>
  </si>
  <si>
    <t>Joanne.Gabrieau@manulifesecurities.ca</t>
  </si>
  <si>
    <t>Joanne Gabrieau</t>
  </si>
  <si>
    <t>2017-10-10T08:37:33</t>
  </si>
  <si>
    <t>mfc.joanne.gabrie</t>
  </si>
  <si>
    <t>Joanne.Graff@manulifesecurities.ca</t>
  </si>
  <si>
    <t>Joanne Graff</t>
  </si>
  <si>
    <t>2017-10-06T12:28:48</t>
  </si>
  <si>
    <t>mfc.joanne.graff</t>
  </si>
  <si>
    <t>Joanne.Hannigan@manulifesecurities.ca</t>
  </si>
  <si>
    <t>Joanne Hannigan</t>
  </si>
  <si>
    <t>2017-10-16T09:14:53</t>
  </si>
  <si>
    <t>mfc.joanne.hannig</t>
  </si>
  <si>
    <t>Joanne.Kyne@manulifesecurities.ca</t>
  </si>
  <si>
    <t>Joanne Kyne</t>
  </si>
  <si>
    <t>2017-10-14T16:33:27</t>
  </si>
  <si>
    <t>jokyne</t>
  </si>
  <si>
    <t>Joanne.OHara@manulifesecurities.ca</t>
  </si>
  <si>
    <t>Joanne O'Hara</t>
  </si>
  <si>
    <t>JOHara</t>
  </si>
  <si>
    <t>Joanne.Pentsa@manulifesecurities.ca</t>
  </si>
  <si>
    <t>Joanne Pentsa</t>
  </si>
  <si>
    <t>2017-10-10T08:13:05</t>
  </si>
  <si>
    <t>pentjo</t>
  </si>
  <si>
    <t>Joanne.Pretsell@manulifesecurities.ca</t>
  </si>
  <si>
    <t>Joanne Pretsell</t>
  </si>
  <si>
    <t>JPretsell</t>
  </si>
  <si>
    <t>Joanne.Richer@manulifesecurities.ca</t>
  </si>
  <si>
    <t>zz Manulife - Joanne Richer</t>
  </si>
  <si>
    <t>JRicher</t>
  </si>
  <si>
    <t>Joanne.Strub@manulifesecurities.ca</t>
  </si>
  <si>
    <t>Joanne Strub</t>
  </si>
  <si>
    <t>jstrub</t>
  </si>
  <si>
    <t>Joanne.Trickey@manulifesecurities.ca</t>
  </si>
  <si>
    <t>Joanne Trickey</t>
  </si>
  <si>
    <t>jtrickey</t>
  </si>
  <si>
    <t>Joanne_Levy@manulifesecurities.ca</t>
  </si>
  <si>
    <t>Joanne Levy</t>
  </si>
  <si>
    <t>joalevy</t>
  </si>
  <si>
    <t>Jocelyn.Boyd@manulifesecurities.ca</t>
  </si>
  <si>
    <t>Jocelyn Boyd</t>
  </si>
  <si>
    <t>2017-10-12T09:46:52</t>
  </si>
  <si>
    <t>mfc.jocelyn.boyd</t>
  </si>
  <si>
    <t>Jocelyn.Heuchert@manulifesecurities.ca</t>
  </si>
  <si>
    <t>Jocelyn Heuchert</t>
  </si>
  <si>
    <t>jsheuchert</t>
  </si>
  <si>
    <t>Jocelyn.Tracey@manulifesecurities.ca</t>
  </si>
  <si>
    <t>Jocelyn Tracey</t>
  </si>
  <si>
    <t>JTracey</t>
  </si>
  <si>
    <t>Jodi.Bergeron@manulifesecurities.ca</t>
  </si>
  <si>
    <t>Jodi Bergeron</t>
  </si>
  <si>
    <t>jbergeron</t>
  </si>
  <si>
    <t>Jodi.Hall@manulifesecurities.ca</t>
  </si>
  <si>
    <t>Jody Hall</t>
  </si>
  <si>
    <t>mfc.jody.hall</t>
  </si>
  <si>
    <t>Jodi.Jenkins@manulifesecurities.ca</t>
  </si>
  <si>
    <t>Jodi Jenkins</t>
  </si>
  <si>
    <t>2017-10-03T18:16:51</t>
  </si>
  <si>
    <t>jkoenig</t>
  </si>
  <si>
    <t>Jodi.Lee@manulifesecurities.ca</t>
  </si>
  <si>
    <t>Jodi Lee</t>
  </si>
  <si>
    <t>2016-10-20T12:49:19</t>
  </si>
  <si>
    <t>JodiLee</t>
  </si>
  <si>
    <t>Jodi.Leppard@manulifesecurities.ca</t>
  </si>
  <si>
    <t>Jodi Leppard</t>
  </si>
  <si>
    <t>2017-10-10T08:57:08</t>
  </si>
  <si>
    <t>JLeppard</t>
  </si>
  <si>
    <t>Jodi.Morhart@manulifesecurities.ca</t>
  </si>
  <si>
    <t>Jodi Morhart</t>
  </si>
  <si>
    <t>2015-08-01T12:41:16</t>
  </si>
  <si>
    <t>jmorhart</t>
  </si>
  <si>
    <t>Jodie.Isaac@manulifesecurities.ca</t>
  </si>
  <si>
    <t>Jodie Isaac</t>
  </si>
  <si>
    <t>jatbisaac</t>
  </si>
  <si>
    <t>Jodie.Turley@manulifesecurities.ca</t>
  </si>
  <si>
    <t>Jodie Turley</t>
  </si>
  <si>
    <t>2016-01-14T09:15:21</t>
  </si>
  <si>
    <t>JTurley</t>
  </si>
  <si>
    <t>Jody.Batrynchuk@manulifesecurities.ca</t>
  </si>
  <si>
    <t>Jody Batrynchuk</t>
  </si>
  <si>
    <t>2017-10-14T21:22:39</t>
  </si>
  <si>
    <t>patfin2</t>
  </si>
  <si>
    <t>Jody.Markovic@manulifesecurities.ca</t>
  </si>
  <si>
    <t>Jody Markovic</t>
  </si>
  <si>
    <t>2017-10-12T14:31:27</t>
  </si>
  <si>
    <t>JMarkovic</t>
  </si>
  <si>
    <t>Joe.Amoroso@manulifesecurities.ca</t>
  </si>
  <si>
    <t>Joe Amoroso</t>
  </si>
  <si>
    <t>JAmoroso</t>
  </si>
  <si>
    <t>Joe.Balsamo@manulifesecurities.ca</t>
  </si>
  <si>
    <t>Giuseppe (Joe) Balsamo</t>
  </si>
  <si>
    <t>2017-10-13T23:21:33</t>
  </si>
  <si>
    <t>GBalsamo</t>
  </si>
  <si>
    <t>Joe.Bordonali@manulifesecurities.ca</t>
  </si>
  <si>
    <t>Joe Bordonali</t>
  </si>
  <si>
    <t>JBordonali</t>
  </si>
  <si>
    <t>Joe.Brown@manulifesecurities.ca</t>
  </si>
  <si>
    <t>Joseph Brown</t>
  </si>
  <si>
    <t>joebrown</t>
  </si>
  <si>
    <t>Joe.Friedt@manulifesecurities.ca</t>
  </si>
  <si>
    <t>Joe Friedt</t>
  </si>
  <si>
    <t>2017-10-11T19:59:19</t>
  </si>
  <si>
    <t>JFriedt</t>
  </si>
  <si>
    <t>Joe.Goldstein@manulifesecurities.ca</t>
  </si>
  <si>
    <t>Joseph Goldstein</t>
  </si>
  <si>
    <t>2017-10-06T11:10:08</t>
  </si>
  <si>
    <t>JGoldstein</t>
  </si>
  <si>
    <t>Joe.Goncalves@manulifesecurities.ca</t>
  </si>
  <si>
    <t>Joe Goncalves</t>
  </si>
  <si>
    <t>JGoncalves</t>
  </si>
  <si>
    <t>Joe.Iantomasi@manulifesecurities.ca</t>
  </si>
  <si>
    <t>Joseph Iantomasi</t>
  </si>
  <si>
    <t>2017-10-15T01:38:21</t>
  </si>
  <si>
    <t>iantoj</t>
  </si>
  <si>
    <t>Joe.Lubertino@manulifesecurities.ca</t>
  </si>
  <si>
    <t>Joe Lubertino</t>
  </si>
  <si>
    <t>2017-10-10T09:28:52</t>
  </si>
  <si>
    <t>jlubertino</t>
  </si>
  <si>
    <t>Joe.Macek@manulifesecurities.ca</t>
  </si>
  <si>
    <t>Joe Macek</t>
  </si>
  <si>
    <t>JMacek</t>
  </si>
  <si>
    <t>Joe.Misuraca@manulifesecurities.ca</t>
  </si>
  <si>
    <t>Joe Misuraca</t>
  </si>
  <si>
    <t>2015-01-20T04:50:41</t>
  </si>
  <si>
    <t>JMisuraca</t>
  </si>
  <si>
    <t>Joe.Pakthajothi@manulifesecurities.ca</t>
  </si>
  <si>
    <t>Joe Pakthajothi</t>
  </si>
  <si>
    <t>2017-10-16T06:22:25</t>
  </si>
  <si>
    <t>RPakthajothi</t>
  </si>
  <si>
    <t>Joe.Panebianco@manulifesecurities.ca</t>
  </si>
  <si>
    <t>Joe Panebianco</t>
  </si>
  <si>
    <t>2017-08-22T07:38:09</t>
  </si>
  <si>
    <t>mfc.joe.panebianc</t>
  </si>
  <si>
    <t>Joe.Pinto@manulifesecurities.ca</t>
  </si>
  <si>
    <t>Joe Pinto</t>
  </si>
  <si>
    <t>2017-10-13T21:29:39</t>
  </si>
  <si>
    <t>JoePinto</t>
  </si>
  <si>
    <t>Joe.Silva@manulifesecurities.ca</t>
  </si>
  <si>
    <t>Joe Silva</t>
  </si>
  <si>
    <t>2017-10-10T08:43:37</t>
  </si>
  <si>
    <t>JSilva</t>
  </si>
  <si>
    <t>Joel.Borges@manulifesecurities.ca</t>
  </si>
  <si>
    <t>Joel Borges</t>
  </si>
  <si>
    <t>2017-10-11T08:58:19</t>
  </si>
  <si>
    <t>mfc.joel.borges</t>
  </si>
  <si>
    <t>Joel.Boudreau@manulifesecurities.ca</t>
  </si>
  <si>
    <t>Joel Boudreau</t>
  </si>
  <si>
    <t>2017-10-10T21:21:29</t>
  </si>
  <si>
    <t>jboudrea</t>
  </si>
  <si>
    <t>joel.garton@manulifesecurities.ca</t>
  </si>
  <si>
    <t>Joel Garton</t>
  </si>
  <si>
    <t>2016-07-11T11:52:37</t>
  </si>
  <si>
    <t>mfc.joel.garton</t>
  </si>
  <si>
    <t>Joel.Greenberg@manulifesecurities.ca</t>
  </si>
  <si>
    <t>Joel Greenberg</t>
  </si>
  <si>
    <t>2015-04-28T10:02:28</t>
  </si>
  <si>
    <t>jgreenberg</t>
  </si>
  <si>
    <t>Joel.Massicotte@manulifesecurities.ca</t>
  </si>
  <si>
    <t>Joel Massicotte</t>
  </si>
  <si>
    <t>jomassic</t>
  </si>
  <si>
    <t>Joel.Neynens@manulifesecurities.ca</t>
  </si>
  <si>
    <t>Joel Neynens</t>
  </si>
  <si>
    <t>2017-06-14T10:42:51</t>
  </si>
  <si>
    <t>jneynens</t>
  </si>
  <si>
    <t>Johan.Nyamsy@manulifesecurities.ca</t>
  </si>
  <si>
    <t>Johan Nyamsy</t>
  </si>
  <si>
    <t>2016-11-29T13:35:19</t>
  </si>
  <si>
    <t>mfc.johan.nyamsy</t>
  </si>
  <si>
    <t>Johanna.Nastor@manulifesecurities.ca</t>
  </si>
  <si>
    <t>Johanna Nastor</t>
  </si>
  <si>
    <t>johannanastor</t>
  </si>
  <si>
    <t>Johanna.Vanderhorst@manulifesecurities.ca</t>
  </si>
  <si>
    <t>Johanna Vanderhorst</t>
  </si>
  <si>
    <t>JVanderhorst</t>
  </si>
  <si>
    <t>Johanne.brissette@placementsmanuvie.ca</t>
  </si>
  <si>
    <t>Johanne Brissette</t>
  </si>
  <si>
    <t>2017-10-08T02:12:53</t>
  </si>
  <si>
    <t>JBrissette</t>
  </si>
  <si>
    <t>Johanne.Lizee@manulifesecurities.ca</t>
  </si>
  <si>
    <t>Johanne Lizee</t>
  </si>
  <si>
    <t>JLizee</t>
  </si>
  <si>
    <t>Johanne.Patry@manulifesecurities.ca</t>
  </si>
  <si>
    <t>Johanne Patry</t>
  </si>
  <si>
    <t>jpatry</t>
  </si>
  <si>
    <t>Johanne.Peters@manulifesecurities.ca</t>
  </si>
  <si>
    <t>Johanne Peters</t>
  </si>
  <si>
    <t>2017-10-11T13:31:09</t>
  </si>
  <si>
    <t>jpeters</t>
  </si>
  <si>
    <t>Johanne.Raymond@manulifesecurities.ca</t>
  </si>
  <si>
    <t>Johanne Raymond</t>
  </si>
  <si>
    <t>2015-03-12T10:58:20</t>
  </si>
  <si>
    <t>JRaymond</t>
  </si>
  <si>
    <t>John.Brown@manulifesecurities.ca</t>
  </si>
  <si>
    <t>John Brown</t>
  </si>
  <si>
    <t>2017-10-10T11:58:27</t>
  </si>
  <si>
    <t>JBrown</t>
  </si>
  <si>
    <t>John.Cadan@manulifesecurities.ca</t>
  </si>
  <si>
    <t>Jack Cadan</t>
  </si>
  <si>
    <t>2017-04-03T09:26:36</t>
  </si>
  <si>
    <t>JCadan</t>
  </si>
  <si>
    <t>John.Caiella@manulifesecurities.ca</t>
  </si>
  <si>
    <t>John Caiella</t>
  </si>
  <si>
    <t>JCaiella</t>
  </si>
  <si>
    <t>John.Callaghan@manulifesecurities.ca</t>
  </si>
  <si>
    <t>John Callaghan</t>
  </si>
  <si>
    <t>2017-10-08T19:41:11</t>
  </si>
  <si>
    <t>JCallaghan</t>
  </si>
  <si>
    <t>John.Cardillo@manulifesecurities.ca</t>
  </si>
  <si>
    <t>John Cardillo</t>
  </si>
  <si>
    <t>2017-10-15T13:51:26</t>
  </si>
  <si>
    <t>JCardillo</t>
  </si>
  <si>
    <t>John.DiSalvo@manulifesecurities.ca</t>
  </si>
  <si>
    <t>John DiSalvo</t>
  </si>
  <si>
    <t>2017-10-07T14:10:18</t>
  </si>
  <si>
    <t>JDisalvo</t>
  </si>
  <si>
    <t>John.Drake@manulifesecurities.ca</t>
  </si>
  <si>
    <t>John Drake</t>
  </si>
  <si>
    <t>2017-10-13T13:18:41</t>
  </si>
  <si>
    <t>JDrake</t>
  </si>
  <si>
    <t>John.Driedger@manulifesecurities.ca</t>
  </si>
  <si>
    <t>John Driedger</t>
  </si>
  <si>
    <t>driedger</t>
  </si>
  <si>
    <t>John.Duong@manulifesecurities.ca</t>
  </si>
  <si>
    <t>John Duong</t>
  </si>
  <si>
    <t>JDuong</t>
  </si>
  <si>
    <t>John.Feldcher@manulifesecurities.ca</t>
  </si>
  <si>
    <t>John Feldcher</t>
  </si>
  <si>
    <t>JFeldcher</t>
  </si>
  <si>
    <t>John.Flasch@manulifesecurities.ca</t>
  </si>
  <si>
    <t>John Flasch</t>
  </si>
  <si>
    <t>jflasch</t>
  </si>
  <si>
    <t>John.Flynn@manulifesecurities.ca</t>
  </si>
  <si>
    <t>John Flynn</t>
  </si>
  <si>
    <t>JFlynn</t>
  </si>
  <si>
    <t>John.Furey@manulifesecurities.ca</t>
  </si>
  <si>
    <t>John Furey</t>
  </si>
  <si>
    <t>2017-10-07T18:56:33</t>
  </si>
  <si>
    <t>JFurey</t>
  </si>
  <si>
    <t>John.Gives@manulifesecurities.ca</t>
  </si>
  <si>
    <t>John Gives</t>
  </si>
  <si>
    <t>JGives</t>
  </si>
  <si>
    <t>John.Gomes@manulifesecurities.ca</t>
  </si>
  <si>
    <t>John Gomes</t>
  </si>
  <si>
    <t>2017-10-06T14:56:31</t>
  </si>
  <si>
    <t>JGomes</t>
  </si>
  <si>
    <t>John.Gorman@manulifesecurities.ca</t>
  </si>
  <si>
    <t>John Gorman</t>
  </si>
  <si>
    <t>JoGorman</t>
  </si>
  <si>
    <t>John.Gray@manulifesecurities.ca</t>
  </si>
  <si>
    <t>John Gray</t>
  </si>
  <si>
    <t>jwgray</t>
  </si>
  <si>
    <t>John.Hall@manulifesecurities.ca</t>
  </si>
  <si>
    <t>John Hall</t>
  </si>
  <si>
    <t>2014-11-25T10:12:13</t>
  </si>
  <si>
    <t>JoHall</t>
  </si>
  <si>
    <t>John.Hope@manulifesecurities.ca</t>
  </si>
  <si>
    <t>John Hope</t>
  </si>
  <si>
    <t>2017-10-10T07:21:46</t>
  </si>
  <si>
    <t>JHope</t>
  </si>
  <si>
    <t>John.Hughes@manulifesecurities.ca</t>
  </si>
  <si>
    <t>John Hughes</t>
  </si>
  <si>
    <t>2017-10-14T07:05:56</t>
  </si>
  <si>
    <t>JHughes</t>
  </si>
  <si>
    <t>John.Izard@manulifesecurities.ca</t>
  </si>
  <si>
    <t>John Izard</t>
  </si>
  <si>
    <t>2017-10-11T17:21:23</t>
  </si>
  <si>
    <t>JIzard</t>
  </si>
  <si>
    <t>John.Kai@manulifesecurities.ca</t>
  </si>
  <si>
    <t>John Kai</t>
  </si>
  <si>
    <t>2016-12-26T17:30:39</t>
  </si>
  <si>
    <t>JKai</t>
  </si>
  <si>
    <t>John.Keiller@manulifesecurities.ca</t>
  </si>
  <si>
    <t>John Keiller</t>
  </si>
  <si>
    <t>2017-08-16T14:33:34</t>
  </si>
  <si>
    <t>keiller</t>
  </si>
  <si>
    <t>John.Kennedy@manulifesecurities.ca</t>
  </si>
  <si>
    <t>John Kennedy</t>
  </si>
  <si>
    <t>2017-10-09T15:47:13</t>
  </si>
  <si>
    <t>JKennedy</t>
  </si>
  <si>
    <t>John.Klempner@manulifesecurities.ca</t>
  </si>
  <si>
    <t>John Klempner</t>
  </si>
  <si>
    <t>johnklempner</t>
  </si>
  <si>
    <t>John.Knowles@manulifesecurities.ca</t>
  </si>
  <si>
    <t>John Knowles</t>
  </si>
  <si>
    <t>JKnowles</t>
  </si>
  <si>
    <t>John.Kodric@manulifesecurities.ca</t>
  </si>
  <si>
    <t>John Kodric</t>
  </si>
  <si>
    <t>jakodric</t>
  </si>
  <si>
    <t>John.Kok@manulifesecurities.ca</t>
  </si>
  <si>
    <t>John Kok</t>
  </si>
  <si>
    <t>2016-04-22T14:54:02</t>
  </si>
  <si>
    <t>johnkok</t>
  </si>
  <si>
    <t>John.Lunz@manulifesecurities.ca</t>
  </si>
  <si>
    <t>John Lunz</t>
  </si>
  <si>
    <t>2017-06-28T16:51:15</t>
  </si>
  <si>
    <t>johnlunz</t>
  </si>
  <si>
    <t>John.Macialek@manulifesecurities.ca</t>
  </si>
  <si>
    <t>John Macialek</t>
  </si>
  <si>
    <t>2017-10-07T14:21:03</t>
  </si>
  <si>
    <t>JMacialek</t>
  </si>
  <si>
    <t>John.Martin@manulifesecurities.ca</t>
  </si>
  <si>
    <t>John Martin</t>
  </si>
  <si>
    <t>2017-03-05T12:27:50</t>
  </si>
  <si>
    <t>JCMartin</t>
  </si>
  <si>
    <t>John.Mathers@manulifesecurities.ca</t>
  </si>
  <si>
    <t>John Mathers</t>
  </si>
  <si>
    <t>JMathers</t>
  </si>
  <si>
    <t>John.Maude@manulifesecurities.ca</t>
  </si>
  <si>
    <t>John Maude</t>
  </si>
  <si>
    <t>2017-04-18T13:28:40</t>
  </si>
  <si>
    <t>jamaude</t>
  </si>
  <si>
    <t>John.McCulligh@manulifesecurities.ca</t>
  </si>
  <si>
    <t>John McCulligh</t>
  </si>
  <si>
    <t>2017-10-03T09:16:46</t>
  </si>
  <si>
    <t>mcculje</t>
  </si>
  <si>
    <t>John.Moir@manulifesecurities.ca</t>
  </si>
  <si>
    <t>John Moir</t>
  </si>
  <si>
    <t>jmoir</t>
  </si>
  <si>
    <t>John.Moody@manulifesecurities.ca</t>
  </si>
  <si>
    <t>John Moody</t>
  </si>
  <si>
    <t>jdmoody</t>
  </si>
  <si>
    <t>John.Murphy@manulifesecurities.ca</t>
  </si>
  <si>
    <t>John Murphy</t>
  </si>
  <si>
    <t>2017-10-09T02:47:35</t>
  </si>
  <si>
    <t>JMurphy</t>
  </si>
  <si>
    <t>John.Mykytchuk@manulifesecurities.ca</t>
  </si>
  <si>
    <t>John Mykytchuk</t>
  </si>
  <si>
    <t>2016-06-24T06:49:57</t>
  </si>
  <si>
    <t>JMykytchuk</t>
  </si>
  <si>
    <t>John.N.Lombard@manulifesecurities.ca</t>
  </si>
  <si>
    <t>John N. Lombard</t>
  </si>
  <si>
    <t>JohnLombard</t>
  </si>
  <si>
    <t>John.Patterson@manulifesecurities.ca</t>
  </si>
  <si>
    <t>John Patterson</t>
  </si>
  <si>
    <t>patterjo</t>
  </si>
  <si>
    <t>John.Paulino@manulifesecurities.ca</t>
  </si>
  <si>
    <t>John Paulino</t>
  </si>
  <si>
    <t>2017-10-08T02:08:41</t>
  </si>
  <si>
    <t>JPaulino</t>
  </si>
  <si>
    <t>John.Ponto@manulifesecurities.ca</t>
  </si>
  <si>
    <t>John Ponto</t>
  </si>
  <si>
    <t>jponto</t>
  </si>
  <si>
    <t>John.Premachuk@manulifesecurities.ca</t>
  </si>
  <si>
    <t>John Premachuk</t>
  </si>
  <si>
    <t>japrem</t>
  </si>
  <si>
    <t>John.Rahey@manulifesecurities.ca</t>
  </si>
  <si>
    <t>John Rahey</t>
  </si>
  <si>
    <t>2017-10-15T13:27:42</t>
  </si>
  <si>
    <t>JRahey</t>
  </si>
  <si>
    <t>John.Rainford@manulifesecurities.ca</t>
  </si>
  <si>
    <t>John Rainford</t>
  </si>
  <si>
    <t>JRainford</t>
  </si>
  <si>
    <t>John.Sabourin@manulifesecurities.ca</t>
  </si>
  <si>
    <t>John Sabourin</t>
  </si>
  <si>
    <t>2017-01-03T10:52:55</t>
  </si>
  <si>
    <t>jvsabs</t>
  </si>
  <si>
    <t>John.Salamoun@manulifesecurities.ca</t>
  </si>
  <si>
    <t>John Salamoun</t>
  </si>
  <si>
    <t>jsalamo</t>
  </si>
  <si>
    <t>John.Scott@manulifesecurities.ca</t>
  </si>
  <si>
    <t>John Scott</t>
  </si>
  <si>
    <t>2017-10-15T12:04:19</t>
  </si>
  <si>
    <t>mfc.john.scott</t>
  </si>
  <si>
    <t>John.Simpson@manulifesecurities.ca</t>
  </si>
  <si>
    <t>John Simpson</t>
  </si>
  <si>
    <t>2017-10-16T08:52:39</t>
  </si>
  <si>
    <t>JSimpson</t>
  </si>
  <si>
    <t>John.Simpson2@manulifesecurities.ca</t>
  </si>
  <si>
    <t>John Simpson  (JohnSimpson)</t>
  </si>
  <si>
    <t>JohnSimpson</t>
  </si>
  <si>
    <t>John.Stapleton@manulifesecurities.ca</t>
  </si>
  <si>
    <t>John Stapleton</t>
  </si>
  <si>
    <t>stapejo</t>
  </si>
  <si>
    <t>John.Stewart@manulifesecurities.ca</t>
  </si>
  <si>
    <t>John  Stewart</t>
  </si>
  <si>
    <t>2017-05-27T09:23:51</t>
  </si>
  <si>
    <t>JStewart</t>
  </si>
  <si>
    <t>John.Sutherland@manulifesecurities.ca</t>
  </si>
  <si>
    <t>Glenn Sutherland</t>
  </si>
  <si>
    <t>2017-10-12T16:45:28</t>
  </si>
  <si>
    <t>sutherg</t>
  </si>
  <si>
    <t>John.Szczechura@manulifesecurities.ca</t>
  </si>
  <si>
    <t>John Szczechura</t>
  </si>
  <si>
    <t>jszczechura</t>
  </si>
  <si>
    <t>John.Thompson@manulifesecurities.ca</t>
  </si>
  <si>
    <t>John Thompson</t>
  </si>
  <si>
    <t>2017-09-29T10:36:49</t>
  </si>
  <si>
    <t>JThompson</t>
  </si>
  <si>
    <t>John.Trainor@manulifesecurities.ca</t>
  </si>
  <si>
    <t>John Trainor</t>
  </si>
  <si>
    <t>JTrainor</t>
  </si>
  <si>
    <t>John.Unsworth@manulifesecurities.ca</t>
  </si>
  <si>
    <t>John Unsworth</t>
  </si>
  <si>
    <t>jrunomad</t>
  </si>
  <si>
    <t>John.Uren@manulifesecurities.ca</t>
  </si>
  <si>
    <t>John Uren</t>
  </si>
  <si>
    <t>JUren</t>
  </si>
  <si>
    <t>John.Wetherilt@manulifesecurities.ca</t>
  </si>
  <si>
    <t>John Wetherilt</t>
  </si>
  <si>
    <t>2017-10-11T23:33:08</t>
  </si>
  <si>
    <t>jwether</t>
  </si>
  <si>
    <t>John-Paul.Bell@manulifesecurities.ca</t>
  </si>
  <si>
    <t>John-Paul Bell</t>
  </si>
  <si>
    <t>jpbell</t>
  </si>
  <si>
    <t>Jolene.Zeghers@manulifesecurities.ca</t>
  </si>
  <si>
    <t>Jolene Zeghers</t>
  </si>
  <si>
    <t>2017-10-10T15:41:54</t>
  </si>
  <si>
    <t>jzeghers</t>
  </si>
  <si>
    <t>Joline.Pilatzke@manulifesecurities.ca</t>
  </si>
  <si>
    <t>Joline Pilatzke</t>
  </si>
  <si>
    <t>jpilatz</t>
  </si>
  <si>
    <t>jon.batchelor@manulifesecurities.ca</t>
  </si>
  <si>
    <t>Jon Batchelor</t>
  </si>
  <si>
    <t>2017-10-14T20:31:32</t>
  </si>
  <si>
    <t>mfc.jon.batchelor</t>
  </si>
  <si>
    <t>jon.beckman@manulifesecurities.ca</t>
  </si>
  <si>
    <t>Jonathan Beckman</t>
  </si>
  <si>
    <t>2017-10-13T09:22:14</t>
  </si>
  <si>
    <t>mfc.jonathan.beck</t>
  </si>
  <si>
    <t>Jon.Earle@manulifesecurities.ca</t>
  </si>
  <si>
    <t>Jon Earle</t>
  </si>
  <si>
    <t>2017-10-15T06:27:29</t>
  </si>
  <si>
    <t>JEarle</t>
  </si>
  <si>
    <t>Jon.Williams@manulifesecurities.ca</t>
  </si>
  <si>
    <t>Jon Williams</t>
  </si>
  <si>
    <t>2017-10-07T03:45:47</t>
  </si>
  <si>
    <t>JoWilliams</t>
  </si>
  <si>
    <t>jonathan.adams@manulifesecurities.ca</t>
  </si>
  <si>
    <t>Jonathan Adams</t>
  </si>
  <si>
    <t>2017-05-31T20:20:09</t>
  </si>
  <si>
    <t>mfc.jonathan.adam</t>
  </si>
  <si>
    <t>Jonathan.Bryden@manulifesecurities.ca</t>
  </si>
  <si>
    <t>Jonathan Bryden</t>
  </si>
  <si>
    <t>JBryden</t>
  </si>
  <si>
    <t>Jonathan.Corrigan@manulifesecurities.ca</t>
  </si>
  <si>
    <t>Jonathan Corrigan</t>
  </si>
  <si>
    <t>JCorrigan</t>
  </si>
  <si>
    <t>Jonathan.Fournier@manulifesecurities.ca</t>
  </si>
  <si>
    <t>Jonathan Fournier</t>
  </si>
  <si>
    <t>jfourni</t>
  </si>
  <si>
    <t>Jonathan.Hew@manulifesecurities.ca</t>
  </si>
  <si>
    <t>Jonathan Hew</t>
  </si>
  <si>
    <t>2017-10-08T13:49:48</t>
  </si>
  <si>
    <t>JHew</t>
  </si>
  <si>
    <t>jonathan.lee@manulifesecurities.ca</t>
  </si>
  <si>
    <t>Jonathan Lee</t>
  </si>
  <si>
    <t>2017-10-05T11:39:19</t>
  </si>
  <si>
    <t>mfc.jonathan.lee</t>
  </si>
  <si>
    <t>Jonathan.Nesbitt@manulifesecurities.ca</t>
  </si>
  <si>
    <t>Jonathan Nesbitt</t>
  </si>
  <si>
    <t>2017-10-13T08:32:26</t>
  </si>
  <si>
    <t>mfc.jonathan.nesb</t>
  </si>
  <si>
    <t>Jonathan.Noel@manulifesecurities.ca</t>
  </si>
  <si>
    <t>Jonathan Noel</t>
  </si>
  <si>
    <t>JNoel</t>
  </si>
  <si>
    <t>jonathan.petti@manulifesecurities.ca</t>
  </si>
  <si>
    <t>Jonathan Petti</t>
  </si>
  <si>
    <t>2017-10-12T09:52:23</t>
  </si>
  <si>
    <t>mfc.jonathan.pett</t>
  </si>
  <si>
    <t>Jonathan.Rosenberg@manulifesecurities.ca</t>
  </si>
  <si>
    <t>Jonathan Rosenberg</t>
  </si>
  <si>
    <t>2017-10-14T15:52:57</t>
  </si>
  <si>
    <t>JRosenberg</t>
  </si>
  <si>
    <t>Jonathan.Showers@manulifesecurities.ca</t>
  </si>
  <si>
    <t>Jonathan Showers</t>
  </si>
  <si>
    <t>2015-03-11T13:08:24</t>
  </si>
  <si>
    <t>JShowers</t>
  </si>
  <si>
    <t>Jonathon.Barlage@manulifesecurities.ca</t>
  </si>
  <si>
    <t>Jonathon Barlage</t>
  </si>
  <si>
    <t>2017-10-13T08:34:26</t>
  </si>
  <si>
    <t>jbarlage</t>
  </si>
  <si>
    <t>JonDenielle.Miranda@manulifesecurities.ca</t>
  </si>
  <si>
    <t>Jon Denielle Miranda</t>
  </si>
  <si>
    <t>JMiranda</t>
  </si>
  <si>
    <t>Joni.Fast@manulifesecurities.ca</t>
  </si>
  <si>
    <t>Joni Fast</t>
  </si>
  <si>
    <t>2017-10-12T16:28:33</t>
  </si>
  <si>
    <t>mfc.joni.fast</t>
  </si>
  <si>
    <t>Jordan.Biehn@manulifesecurities.ca</t>
  </si>
  <si>
    <t>Jordan Biehn</t>
  </si>
  <si>
    <t>jobiehn</t>
  </si>
  <si>
    <t>Jordan.Campbell@manulifesecurities.ca</t>
  </si>
  <si>
    <t>Jordan Campbell</t>
  </si>
  <si>
    <t>2017-10-14T23:26:56</t>
  </si>
  <si>
    <t>JoCampbell</t>
  </si>
  <si>
    <t>Jordan.Kenna@manulifesecurities.ca</t>
  </si>
  <si>
    <t>Jordan Kenna</t>
  </si>
  <si>
    <t>2017-10-12T04:25:39</t>
  </si>
  <si>
    <t>JKenna</t>
  </si>
  <si>
    <t>Jordan.Notarangelo@manulifesecurities.ca</t>
  </si>
  <si>
    <t>Jordan Notarangelo</t>
  </si>
  <si>
    <t>jnotara</t>
  </si>
  <si>
    <t>Jordan.Royds@manulifesecurities.ca</t>
  </si>
  <si>
    <t>Jordan Royds</t>
  </si>
  <si>
    <t>2017-10-16T09:06:45</t>
  </si>
  <si>
    <t>mfc.jordan.royds</t>
  </si>
  <si>
    <t>Jordan.Sipes@manulifesecurities.ca</t>
  </si>
  <si>
    <t>Jordan Sipes</t>
  </si>
  <si>
    <t>2017-10-16T08:45:58</t>
  </si>
  <si>
    <t>mfc.jordan.sipes</t>
  </si>
  <si>
    <t>Jordy.Douglas@manulifesecurities.ca</t>
  </si>
  <si>
    <t>Jordy Douglas</t>
  </si>
  <si>
    <t>2017-10-12T14:44:59</t>
  </si>
  <si>
    <t>JDouglas</t>
  </si>
  <si>
    <t>Josee.Boudreau@manulifesecurities.ca</t>
  </si>
  <si>
    <t>Josee Boudreau</t>
  </si>
  <si>
    <t>JBoudreau</t>
  </si>
  <si>
    <t>Josee.Gallant@manulifesecurities.ca</t>
  </si>
  <si>
    <t>Josee Gallant</t>
  </si>
  <si>
    <t>2017-07-20T14:34:08</t>
  </si>
  <si>
    <t>mfc.josee.gallant</t>
  </si>
  <si>
    <t>Josee.L'abbe@manulifesecurities.ca</t>
  </si>
  <si>
    <t>Josee L'abbe</t>
  </si>
  <si>
    <t>jolabbe</t>
  </si>
  <si>
    <t>Josee.Labelle@manulifesecurities.ca</t>
  </si>
  <si>
    <t>Josee Labelle</t>
  </si>
  <si>
    <t>jlabelle</t>
  </si>
  <si>
    <t>Josee.Thibault@manulifesecurities.ca</t>
  </si>
  <si>
    <t>Josee Thibault</t>
  </si>
  <si>
    <t>jthibault</t>
  </si>
  <si>
    <t>Joseph.Alfie@manulifesecurities.ca</t>
  </si>
  <si>
    <t>Joseph Alfie</t>
  </si>
  <si>
    <t>jalfie</t>
  </si>
  <si>
    <t>Joseph.Amon@manulifesecurities.ca</t>
  </si>
  <si>
    <t>Joseph Amon</t>
  </si>
  <si>
    <t>joamon</t>
  </si>
  <si>
    <t>Joseph.Carbonaro@manulifesecurities.ca</t>
  </si>
  <si>
    <t>JCarbonaro</t>
  </si>
  <si>
    <t>Joseph.Chahwan@manulifesecurities.ca</t>
  </si>
  <si>
    <t>Joseph Chahwan</t>
  </si>
  <si>
    <t>2016-05-16T03:53:48</t>
  </si>
  <si>
    <t>jchahwan</t>
  </si>
  <si>
    <t>Joseph.Curry@manulifesecurities.ca</t>
  </si>
  <si>
    <t>Joseph Curry</t>
  </si>
  <si>
    <t>2017-10-12T08:46:12</t>
  </si>
  <si>
    <t>mfc.joseph.curry</t>
  </si>
  <si>
    <t>Joseph.Defilippis@manulifesecurities.ca</t>
  </si>
  <si>
    <t>Joseph Defilippis</t>
  </si>
  <si>
    <t>2017-10-12T02:59:27</t>
  </si>
  <si>
    <t>JDefilippis</t>
  </si>
  <si>
    <t>Joseph.Dwyer@manulifesecurities.ca</t>
  </si>
  <si>
    <t>Joseph Dwyer</t>
  </si>
  <si>
    <t>2017-10-07T16:12:27</t>
  </si>
  <si>
    <t>JDwyer</t>
  </si>
  <si>
    <t>joseph.kindargi@manulifesecurities.ca</t>
  </si>
  <si>
    <t>Joseph Kindargi</t>
  </si>
  <si>
    <t>2016-08-28T18:10:47</t>
  </si>
  <si>
    <t>mfc.joseph.kindar</t>
  </si>
  <si>
    <t>Joseph.Lee@manulifesecurities.ca</t>
  </si>
  <si>
    <t>Joseph Lee</t>
  </si>
  <si>
    <t>SukhoonLee</t>
  </si>
  <si>
    <t>Joseph.Lee-Owe@manulifesecurities.ca</t>
  </si>
  <si>
    <t>Joseph Lee-Owe</t>
  </si>
  <si>
    <t>2017-09-25T13:58:00</t>
  </si>
  <si>
    <t>JLee-Owe</t>
  </si>
  <si>
    <t>Joseph.LeeSon@manulifesecurities.ca</t>
  </si>
  <si>
    <t>Joseph Lee Son</t>
  </si>
  <si>
    <t>2017-10-16T09:31:56</t>
  </si>
  <si>
    <t>jleeson</t>
  </si>
  <si>
    <t>Joseph.Martella@manulifesecurities.ca</t>
  </si>
  <si>
    <t>Joseph Martella</t>
  </si>
  <si>
    <t>2016-09-01T11:10:30</t>
  </si>
  <si>
    <t>JMartella</t>
  </si>
  <si>
    <t>Joseph.Passalalpi@manulifesecurities.ca</t>
  </si>
  <si>
    <t>Joseph Passalalpi</t>
  </si>
  <si>
    <t>jpassa</t>
  </si>
  <si>
    <t>Joseph.Petruzzella@manulifesecurities.ca</t>
  </si>
  <si>
    <t>Joseph Petruzzella</t>
  </si>
  <si>
    <t>2017-10-10T09:00:11</t>
  </si>
  <si>
    <t>JPetruzzella</t>
  </si>
  <si>
    <t>Joseph.Sabb@manulifesecurities.ca</t>
  </si>
  <si>
    <t>Joseph Sabb</t>
  </si>
  <si>
    <t>2017-10-08T22:22:38</t>
  </si>
  <si>
    <t>JSabb</t>
  </si>
  <si>
    <t>Joseph.Serapiglia@manulifesecurities.ca</t>
  </si>
  <si>
    <t>Joseph Serapiglia</t>
  </si>
  <si>
    <t>2017-10-16T09:38:48</t>
  </si>
  <si>
    <t>jserapiglia</t>
  </si>
  <si>
    <t>Joseph.Warke@manulifesecurities.ca</t>
  </si>
  <si>
    <t>Joseph Warke</t>
  </si>
  <si>
    <t>2017-10-02T16:18:26</t>
  </si>
  <si>
    <t>lwarke</t>
  </si>
  <si>
    <t>Joseph.Webster@manulifesecurities.ca</t>
  </si>
  <si>
    <t>Joseph Webster</t>
  </si>
  <si>
    <t>2017-10-10T13:21:23</t>
  </si>
  <si>
    <t>webstjo</t>
  </si>
  <si>
    <t>Joseph.Xu@manulifesecurities.ca</t>
  </si>
  <si>
    <t>Joseph Xu</t>
  </si>
  <si>
    <t>2014-11-01T14:52:31</t>
  </si>
  <si>
    <t>josephxu</t>
  </si>
  <si>
    <t>Josephine.Sempewo@manulifesecurities.ca</t>
  </si>
  <si>
    <t>Josephine Sempewo</t>
  </si>
  <si>
    <t>2015-03-02T09:32:54</t>
  </si>
  <si>
    <t>JSempewo</t>
  </si>
  <si>
    <t>JosephS.Lee@manulifesecurities.ca</t>
  </si>
  <si>
    <t>Joseph S Lee</t>
  </si>
  <si>
    <t>josephslee</t>
  </si>
  <si>
    <t>Josh.Lane@manulifesecurities.ca</t>
  </si>
  <si>
    <t>Josh Lane</t>
  </si>
  <si>
    <t>2017-10-14T09:40:35</t>
  </si>
  <si>
    <t>JoshLane</t>
  </si>
  <si>
    <t>josh.walters@manulifesecurities.ca</t>
  </si>
  <si>
    <t>Josh Walters</t>
  </si>
  <si>
    <t>mfc.josh.walters</t>
  </si>
  <si>
    <t>Joshua.Hein@manulifesecurities.ca</t>
  </si>
  <si>
    <t>Joshua Hein</t>
  </si>
  <si>
    <t>joshein</t>
  </si>
  <si>
    <t>Joshua.Santa-Barbara@manulifesecurities.ca</t>
  </si>
  <si>
    <t>Joshua Santa-Barbara</t>
  </si>
  <si>
    <t>2017-10-13T01:39:46</t>
  </si>
  <si>
    <t>jsantab</t>
  </si>
  <si>
    <t>Joshua.Watson@manulifesecurities.ca</t>
  </si>
  <si>
    <t>JWatson</t>
  </si>
  <si>
    <t>Josie.Abruscato@manulifesecurities.ca</t>
  </si>
  <si>
    <t>Josie Abruscato</t>
  </si>
  <si>
    <t>2017-09-08T14:33:48</t>
  </si>
  <si>
    <t>JAbruscato</t>
  </si>
  <si>
    <t>Josie.Wagstaffe@manulifesecurities.ca</t>
  </si>
  <si>
    <t>Josie Wagstaffe</t>
  </si>
  <si>
    <t>jwagstaffe</t>
  </si>
  <si>
    <t>Josue.Cineus@manulifesecurities.ca</t>
  </si>
  <si>
    <t>Josue Cineus</t>
  </si>
  <si>
    <t>2017-10-12T08:57:36</t>
  </si>
  <si>
    <t>mfc.josue.cineus</t>
  </si>
  <si>
    <t>Joy.Huculak@manulifesecurities.ca</t>
  </si>
  <si>
    <t>Joy Huculak</t>
  </si>
  <si>
    <t>2017-09-26T11:16:42</t>
  </si>
  <si>
    <t>huculakj</t>
  </si>
  <si>
    <t>Joyce.Daniel@manulifesecurities.ca</t>
  </si>
  <si>
    <t>Joyce Daniel</t>
  </si>
  <si>
    <t>JDaniel</t>
  </si>
  <si>
    <t>Joyce.Levesque@manulifesecurities.ca</t>
  </si>
  <si>
    <t>Joyce Levesque</t>
  </si>
  <si>
    <t>JLevesque</t>
  </si>
  <si>
    <t>Joyce.Mcalpine@manulifesecurities.ca</t>
  </si>
  <si>
    <t>Joyce Mcalpine</t>
  </si>
  <si>
    <t>joycem</t>
  </si>
  <si>
    <t>Joyce.Nyal@manulifesecurities.ca</t>
  </si>
  <si>
    <t>Joyce Nyal</t>
  </si>
  <si>
    <t>2017-10-10T10:58:45</t>
  </si>
  <si>
    <t>joyyal</t>
  </si>
  <si>
    <t>Joyce.Spadafora@manulifesecurities.ca</t>
  </si>
  <si>
    <t>Joyce Spadafora</t>
  </si>
  <si>
    <t>JSpadafora</t>
  </si>
  <si>
    <t>Joyce.Suero@manulifesecurities.ca</t>
  </si>
  <si>
    <t>JSuero</t>
  </si>
  <si>
    <t>Joylynne.Coulter@manulifesecurities.ca</t>
  </si>
  <si>
    <t>Joylynne Coulter</t>
  </si>
  <si>
    <t>2017-10-10T10:21:37</t>
  </si>
  <si>
    <t>JoCoulter</t>
  </si>
  <si>
    <t>JP.Langlois@manulifesecurities.ca</t>
  </si>
  <si>
    <t>Jean Pierre Langlois</t>
  </si>
  <si>
    <t>2017-10-14T07:32:35</t>
  </si>
  <si>
    <t>JPLanglois</t>
  </si>
  <si>
    <t>JP.SamsonThibault@manulifesecurities.ca</t>
  </si>
  <si>
    <t>JP Samson Thibault</t>
  </si>
  <si>
    <t>2017-10-16T07:31:00</t>
  </si>
  <si>
    <t>jthibaul</t>
  </si>
  <si>
    <t>JP.Vetter@manulifesecurities.ca</t>
  </si>
  <si>
    <t>Jean-Pierre Vetter</t>
  </si>
  <si>
    <t>JVetter</t>
  </si>
  <si>
    <t>jsantana@manulifesecurities.ca</t>
  </si>
  <si>
    <t>Jesus Santana Rodriguez</t>
  </si>
  <si>
    <t>2015-09-28T11:47:26</t>
  </si>
  <si>
    <t>mfc.jsantana</t>
  </si>
  <si>
    <t>Juan.Cabrales@manulifesecurities.ca</t>
  </si>
  <si>
    <t>Juan Cabrales</t>
  </si>
  <si>
    <t>2017-10-10T10:28:47</t>
  </si>
  <si>
    <t>mfc.juan.cabrales</t>
  </si>
  <si>
    <t>Juan-Carlos.Maiguashca@manulifesecurities.ca</t>
  </si>
  <si>
    <t>Juan-Carlos Maiguashca</t>
  </si>
  <si>
    <t>JCMaiguashca</t>
  </si>
  <si>
    <t>Judie.Rice@manulifesecurities.ca</t>
  </si>
  <si>
    <t>Judie Rice</t>
  </si>
  <si>
    <t>2017-10-10T08:38:42</t>
  </si>
  <si>
    <t>jrice</t>
  </si>
  <si>
    <t>Judith.Fisher@manulifesecurities.ca</t>
  </si>
  <si>
    <t>Judith Fisher</t>
  </si>
  <si>
    <t>jpfisher</t>
  </si>
  <si>
    <t>Judson.Bumstead@manulifesecurities.ca</t>
  </si>
  <si>
    <t>Judson Bumstead</t>
  </si>
  <si>
    <t>2017-10-15T21:00:56</t>
  </si>
  <si>
    <t>jbumstead</t>
  </si>
  <si>
    <t>Judy.Alleyne@manulifesecurities.ca</t>
  </si>
  <si>
    <t>Judy Alleyne</t>
  </si>
  <si>
    <t>2017-10-03T11:48:43</t>
  </si>
  <si>
    <t>alleynej</t>
  </si>
  <si>
    <t>Judy.Brathwaite@manulifesecurities.ca</t>
  </si>
  <si>
    <t>Judy Brathwaite</t>
  </si>
  <si>
    <t>JBrathwaite</t>
  </si>
  <si>
    <t>Judy.Chapman@manulifesecurities.ca</t>
  </si>
  <si>
    <t>Judy Chapman</t>
  </si>
  <si>
    <t>2017-10-05T11:49:09</t>
  </si>
  <si>
    <t>JChapman</t>
  </si>
  <si>
    <t>Judy.Collins@manulifesecurities.ca</t>
  </si>
  <si>
    <t>Judy Collins</t>
  </si>
  <si>
    <t>judycollins</t>
  </si>
  <si>
    <t>Judy.Denney@manulifesecurities.ca</t>
  </si>
  <si>
    <t>Judy Denney</t>
  </si>
  <si>
    <t>2017-02-09T13:27:13</t>
  </si>
  <si>
    <t>jdenney</t>
  </si>
  <si>
    <t>Judy.Pike@manulifesecurities.ca</t>
  </si>
  <si>
    <t>Judy Pike</t>
  </si>
  <si>
    <t>2017-10-05T13:17:08</t>
  </si>
  <si>
    <t>JPike</t>
  </si>
  <si>
    <t>Judy.Rivard@manulifesecurities.ca</t>
  </si>
  <si>
    <t>Judy Rivard</t>
  </si>
  <si>
    <t>2014-10-16T10:13:36</t>
  </si>
  <si>
    <t>JRivard</t>
  </si>
  <si>
    <t>Judy.Sauve-Wilkins@manulifesecurities.ca</t>
  </si>
  <si>
    <t>Judy Sauve-Wilkins</t>
  </si>
  <si>
    <t>jwilkins</t>
  </si>
  <si>
    <t>Judy.Scott@manulifesecurities.ca</t>
  </si>
  <si>
    <t>Judy Scott</t>
  </si>
  <si>
    <t>2017-10-04T10:21:29</t>
  </si>
  <si>
    <t>JuScott</t>
  </si>
  <si>
    <t>Judy.Wilcox@manulifesecurities.ca</t>
  </si>
  <si>
    <t>Judy Wilcox</t>
  </si>
  <si>
    <t>2016-12-06T15:29:24</t>
  </si>
  <si>
    <t>wilcoju</t>
  </si>
  <si>
    <t>Julia.Gutscher@manulifesecurities.ca</t>
  </si>
  <si>
    <t>Julia Gutscher</t>
  </si>
  <si>
    <t>2017-10-10T10:54:36</t>
  </si>
  <si>
    <t>mfc.julia.gutsche</t>
  </si>
  <si>
    <t>Julia.Paulino@manulifesecurities.ca</t>
  </si>
  <si>
    <t>Julia Paulino</t>
  </si>
  <si>
    <t>2015-08-25T22:09:09</t>
  </si>
  <si>
    <t>mfc.julia.paulino</t>
  </si>
  <si>
    <t>Juliana.Casey@manulifesecurities.ca</t>
  </si>
  <si>
    <t>Juliana Casey</t>
  </si>
  <si>
    <t>2017-10-16T08:21:44</t>
  </si>
  <si>
    <t>mfc.juliana.casey</t>
  </si>
  <si>
    <t>Julianne.Carras@manulifesecurities.ca</t>
  </si>
  <si>
    <t>Julianne Carras (Disabled)</t>
  </si>
  <si>
    <t>carraju</t>
  </si>
  <si>
    <t>Julie.Anderson@manulifesecurities.ca</t>
  </si>
  <si>
    <t>Julie Anderson</t>
  </si>
  <si>
    <t>julieanderson</t>
  </si>
  <si>
    <t>Julie.Babineau@manulifesecurities.ca</t>
  </si>
  <si>
    <t>Julie Babineau</t>
  </si>
  <si>
    <t>jbabin</t>
  </si>
  <si>
    <t>Julie.Burgess@manulifesecurities.ca</t>
  </si>
  <si>
    <t>Julie Burgess</t>
  </si>
  <si>
    <t>bjulie</t>
  </si>
  <si>
    <t>Julie.Clarke@manulifesecurities.ca</t>
  </si>
  <si>
    <t>Julie Clarke</t>
  </si>
  <si>
    <t>jclarke</t>
  </si>
  <si>
    <t>julie.cote@manulifesecurities.ca</t>
  </si>
  <si>
    <t>Julie Cote</t>
  </si>
  <si>
    <t>2017-06-12T12:00:15</t>
  </si>
  <si>
    <t>mfc.julie.cote</t>
  </si>
  <si>
    <t>Julie.Davlut@manulifesecurities.ca</t>
  </si>
  <si>
    <t>Julie Davlut</t>
  </si>
  <si>
    <t>jdavlut</t>
  </si>
  <si>
    <t>Julie.Hamelin@manulifesecurities.ca</t>
  </si>
  <si>
    <t>Julie Hamelin</t>
  </si>
  <si>
    <t>julieh</t>
  </si>
  <si>
    <t>Julie.Hause@manulifesecurities.ca</t>
  </si>
  <si>
    <t>Julie �Hause</t>
  </si>
  <si>
    <t>JHause</t>
  </si>
  <si>
    <t>Julie.Heide@manulifesecurities.ca</t>
  </si>
  <si>
    <t>Julie Heide</t>
  </si>
  <si>
    <t>JHeide</t>
  </si>
  <si>
    <t>Julie.Kay@manulifesecurities.ca</t>
  </si>
  <si>
    <t>Julie Kay</t>
  </si>
  <si>
    <t>juliekay</t>
  </si>
  <si>
    <t>Julie.McDonell@manulifesecurities.ca</t>
  </si>
  <si>
    <t>Julie  McDonell</t>
  </si>
  <si>
    <t>2017-07-31T09:58:31</t>
  </si>
  <si>
    <t>JMcDonell</t>
  </si>
  <si>
    <t>Julie.McKinnon@manulifesecurities.ca</t>
  </si>
  <si>
    <t>Julie McKinnon</t>
  </si>
  <si>
    <t>2017-10-13T14:27:37</t>
  </si>
  <si>
    <t>JMcKinnon</t>
  </si>
  <si>
    <t>Julie.Murray@manulifesecurities.ca</t>
  </si>
  <si>
    <t>Julie Murray</t>
  </si>
  <si>
    <t>JMurray</t>
  </si>
  <si>
    <t>Julie.Myke@manulifesecurities.ca</t>
  </si>
  <si>
    <t>Julie Myke</t>
  </si>
  <si>
    <t>JMunghen</t>
  </si>
  <si>
    <t>Julie.Panneton@placementsmanuvie.ca</t>
  </si>
  <si>
    <t>Julie Panneton</t>
  </si>
  <si>
    <t>2017-10-14T10:02:30</t>
  </si>
  <si>
    <t>JPanneton</t>
  </si>
  <si>
    <t>Julie.Sainte-Cluque@manulifesecurities.ca</t>
  </si>
  <si>
    <t>Julie Sainte-Cluque</t>
  </si>
  <si>
    <t>2016-02-04T10:16:10</t>
  </si>
  <si>
    <t>jstcluque</t>
  </si>
  <si>
    <t>Julie.St-Cluque@manulifesecurities.ca</t>
  </si>
  <si>
    <t>mfc.julie.st-cluq</t>
  </si>
  <si>
    <t>Julie.Thomas@manulifesecurities.ca</t>
  </si>
  <si>
    <t>Julie Thomas</t>
  </si>
  <si>
    <t>2017-10-10T09:27:58</t>
  </si>
  <si>
    <t>thomasj</t>
  </si>
  <si>
    <t>Julie.Weaver@manulifesecurities.ca</t>
  </si>
  <si>
    <t>Julie Weaver</t>
  </si>
  <si>
    <t>2017-10-12T09:27:27</t>
  </si>
  <si>
    <t>JWeaver</t>
  </si>
  <si>
    <t>julien.jauffret@manulifesecurities.ca</t>
  </si>
  <si>
    <t>Julien Jauffret</t>
  </si>
  <si>
    <t>2016-08-07T11:36:11</t>
  </si>
  <si>
    <t>mfc.julien.jauffr</t>
  </si>
  <si>
    <t>Julius.Chambers@manulifesecurities.ca</t>
  </si>
  <si>
    <t>Julius Chambers</t>
  </si>
  <si>
    <t>juschamb</t>
  </si>
  <si>
    <t>Julius.Evangelista@manulifesecurities.ca</t>
  </si>
  <si>
    <t>Julius Evangelista</t>
  </si>
  <si>
    <t>jevangelista</t>
  </si>
  <si>
    <t>Julyne.Pare@manulifesecurities.ca</t>
  </si>
  <si>
    <t>Julyne Pare</t>
  </si>
  <si>
    <t>pareju</t>
  </si>
  <si>
    <t>June.Hall@manulifesecurities.ca</t>
  </si>
  <si>
    <t>June Hall</t>
  </si>
  <si>
    <t>JHall</t>
  </si>
  <si>
    <t>June.Johnston@manulifesecurities.ca</t>
  </si>
  <si>
    <t>June Johnston</t>
  </si>
  <si>
    <t>2017-10-10T08:59:41</t>
  </si>
  <si>
    <t>johnstonju</t>
  </si>
  <si>
    <t>June.Milloy@manulifesecurities.ca</t>
  </si>
  <si>
    <t>June Milloy</t>
  </si>
  <si>
    <t>JuMilloy</t>
  </si>
  <si>
    <t>June.Trann@manulifesecurities.ca</t>
  </si>
  <si>
    <t>zz - June Trann</t>
  </si>
  <si>
    <t>JTrann</t>
  </si>
  <si>
    <t>Justin.Azaria@manulifesecurities.ca</t>
  </si>
  <si>
    <t>Justin Azaria</t>
  </si>
  <si>
    <t>mfc.justin.azaria</t>
  </si>
  <si>
    <t>justin.blakey@manulifesecurities.ca</t>
  </si>
  <si>
    <t>Justin Blakey</t>
  </si>
  <si>
    <t>2017-01-27T13:08:22</t>
  </si>
  <si>
    <t>mfc.justin.blakey</t>
  </si>
  <si>
    <t>Justin.Breau@manulifesecurities.ca</t>
  </si>
  <si>
    <t>Justin Breau</t>
  </si>
  <si>
    <t>JBreau</t>
  </si>
  <si>
    <t>Justin.Evans@manulifesecurities.ca</t>
  </si>
  <si>
    <t>Justin Evans</t>
  </si>
  <si>
    <t>2017-10-10T09:37:31</t>
  </si>
  <si>
    <t>mfc.justin.evans</t>
  </si>
  <si>
    <t>Justin.Izumi@manulifesecurities.ca</t>
  </si>
  <si>
    <t>Justin Izumi</t>
  </si>
  <si>
    <t>jizumi</t>
  </si>
  <si>
    <t>Justin.McHugh@manulifesecurities.ca</t>
  </si>
  <si>
    <t>Justin McHugh</t>
  </si>
  <si>
    <t>2017-10-09T16:46:49</t>
  </si>
  <si>
    <t>mfc.justin.mchugh</t>
  </si>
  <si>
    <t>Justin.Michaud@manulifesecurities.ca</t>
  </si>
  <si>
    <t>Justin Michaud</t>
  </si>
  <si>
    <t>JMichaud</t>
  </si>
  <si>
    <t>Justin.Rousseaux@manulifesecurities.ca</t>
  </si>
  <si>
    <t>Justin Rousseaux</t>
  </si>
  <si>
    <t>2017-10-11T13:55:38</t>
  </si>
  <si>
    <t>JRousseaux</t>
  </si>
  <si>
    <t>Justin.Stanley@manulifesecurities.ca</t>
  </si>
  <si>
    <t>Justin Stanley</t>
  </si>
  <si>
    <t>2017-10-15T11:27:51</t>
  </si>
  <si>
    <t>mfc.justin.stanle</t>
  </si>
  <si>
    <t>Justina.Bittle@manulifesecurities.ca</t>
  </si>
  <si>
    <t>Justina Bittle</t>
  </si>
  <si>
    <t>2017-10-05T12:41:04</t>
  </si>
  <si>
    <t>mfc.justina.bittl</t>
  </si>
  <si>
    <t>Jyotika.Mehrish@manulifesecurities.ca</t>
  </si>
  <si>
    <t>Jyotika Mehrish</t>
  </si>
  <si>
    <t>2017-10-06T16:41:50</t>
  </si>
  <si>
    <t>mfc.jyotika.mehri</t>
  </si>
  <si>
    <t>K.Houlihan@manulifesecurities.ca</t>
  </si>
  <si>
    <t>Kathleen Houlihan</t>
  </si>
  <si>
    <t>2017-10-10T08:09:42</t>
  </si>
  <si>
    <t>Kahoulihan</t>
  </si>
  <si>
    <t>k.maclennan@manulifesecurities.ca</t>
  </si>
  <si>
    <t>Kelsey MacLennan</t>
  </si>
  <si>
    <t>2016-09-06T08:26:31</t>
  </si>
  <si>
    <t>mfc.k.maclennan</t>
  </si>
  <si>
    <t>K.Mallette@manulifesecurities.ca</t>
  </si>
  <si>
    <t>Kevin Mallette</t>
  </si>
  <si>
    <t>2017-10-12T12:40:53</t>
  </si>
  <si>
    <t>mfc.k.mallette</t>
  </si>
  <si>
    <t>K.St-AmourDenis@manulifesecurities.ca</t>
  </si>
  <si>
    <t>Kristine St-Amour Denis</t>
  </si>
  <si>
    <t>KSt-AmourDenis</t>
  </si>
  <si>
    <t>Kaila.Seguin@manulifesecurities.ca</t>
  </si>
  <si>
    <t>Kaila Seguin</t>
  </si>
  <si>
    <t>2017-10-16T08:38:53</t>
  </si>
  <si>
    <t>KSeguin</t>
  </si>
  <si>
    <t>Kailee.Laing@manulifesecurities.ca</t>
  </si>
  <si>
    <t>Kailee Laing</t>
  </si>
  <si>
    <t>KLaing</t>
  </si>
  <si>
    <t>kailee.lawson@manulifesecurities.ca</t>
  </si>
  <si>
    <t>Kailee Lawson</t>
  </si>
  <si>
    <t>kalawson</t>
  </si>
  <si>
    <t>Kairas.Mehta@manulifesecurities.ca</t>
  </si>
  <si>
    <t>Kairas Mehta</t>
  </si>
  <si>
    <t>2017-10-07T15:49:31</t>
  </si>
  <si>
    <t>mfc.kairas.mehta</t>
  </si>
  <si>
    <t>Kairi.Hess@manulifesecurities.ca</t>
  </si>
  <si>
    <t>Kairi Hess</t>
  </si>
  <si>
    <t>2015-02-27T11:40:27</t>
  </si>
  <si>
    <t>mfc.kairi.hess</t>
  </si>
  <si>
    <t>kaitlyn.douglas@manulifesecurities.ca</t>
  </si>
  <si>
    <t>Kaitlyn Douglas</t>
  </si>
  <si>
    <t>2017-10-09T10:54:36</t>
  </si>
  <si>
    <t>mfc.kaitlyn.dougl</t>
  </si>
  <si>
    <t>Kaleem.Basit@manulifesecurities.ca</t>
  </si>
  <si>
    <t>Kaleem Basit</t>
  </si>
  <si>
    <t>KBasit</t>
  </si>
  <si>
    <t>kally.Pourawal@manulifesecurities.ca</t>
  </si>
  <si>
    <t>kally Pourawal</t>
  </si>
  <si>
    <t>kpourawal</t>
  </si>
  <si>
    <t>Kam.Duggal@manulifesecurities.ca</t>
  </si>
  <si>
    <t>Kam Duggal</t>
  </si>
  <si>
    <t>KDuggal</t>
  </si>
  <si>
    <t>Kam.Keyhan@manulifesecurities.ca</t>
  </si>
  <si>
    <t>Kam Keyhan</t>
  </si>
  <si>
    <t>2017-10-09T22:25:00</t>
  </si>
  <si>
    <t>KKeyhan</t>
  </si>
  <si>
    <t>Kamal.Kimatrai@manulifesecurities.ca</t>
  </si>
  <si>
    <t>Kamal Kimatrai</t>
  </si>
  <si>
    <t>2017-10-07T04:01:19</t>
  </si>
  <si>
    <t>mfc.kamal.kimatra</t>
  </si>
  <si>
    <t>Kane.Kachur@manulifesecurities.ca</t>
  </si>
  <si>
    <t>Kane Kachur</t>
  </si>
  <si>
    <t>2017-08-31T17:00:12</t>
  </si>
  <si>
    <t>kanekachur</t>
  </si>
  <si>
    <t>kanitest@manulifesecurities.ca</t>
  </si>
  <si>
    <t>kani</t>
  </si>
  <si>
    <t>2014-10-02T13:21:52</t>
  </si>
  <si>
    <t>mfc.kanitest</t>
  </si>
  <si>
    <t>Karen.Abbott@manulifesecurities.ca</t>
  </si>
  <si>
    <t>Karen Abbott</t>
  </si>
  <si>
    <t>kaabbott</t>
  </si>
  <si>
    <t>Karen.Aussem@manulifesecurities.ca</t>
  </si>
  <si>
    <t>Karen Aussem</t>
  </si>
  <si>
    <t>2017-08-17T10:47:17</t>
  </si>
  <si>
    <t>mfc.karen.aussem</t>
  </si>
  <si>
    <t>Karen.Barton@manulifesecurities.ca</t>
  </si>
  <si>
    <t>Karen Barton</t>
  </si>
  <si>
    <t>2017-10-10T13:35:04</t>
  </si>
  <si>
    <t>KBarton</t>
  </si>
  <si>
    <t>Karen.Boehmer@manulifesecurities.ca</t>
  </si>
  <si>
    <t>Karen Boehmer</t>
  </si>
  <si>
    <t>kjboehmer</t>
  </si>
  <si>
    <t>Karen.Carandang@manulifesecurities.ca</t>
  </si>
  <si>
    <t>Karen Carandang</t>
  </si>
  <si>
    <t>KCarandang</t>
  </si>
  <si>
    <t>Karen.Cecutti@manulifesecurities.ca</t>
  </si>
  <si>
    <t>Karen Cecutti</t>
  </si>
  <si>
    <t>2017-10-10T15:14:28</t>
  </si>
  <si>
    <t>kcecutti</t>
  </si>
  <si>
    <t>Karen.Cox@manulifesecurities.ca</t>
  </si>
  <si>
    <t>Karen Cox</t>
  </si>
  <si>
    <t>2016-11-01T14:56:03</t>
  </si>
  <si>
    <t>KCox</t>
  </si>
  <si>
    <t>Karen.Cunningham@manulifesecurities.ca</t>
  </si>
  <si>
    <t>Karen Cunningham</t>
  </si>
  <si>
    <t>2017-09-02T23:07:43</t>
  </si>
  <si>
    <t>KCunningham</t>
  </si>
  <si>
    <t>Karen.Delongchamp@manulifesecurities.ca</t>
  </si>
  <si>
    <t>Karen Delongchamp</t>
  </si>
  <si>
    <t>2017-10-10T09:49:18</t>
  </si>
  <si>
    <t>kdelong</t>
  </si>
  <si>
    <t>Karen.Dennis-Perry@manulifesecurities.ca</t>
  </si>
  <si>
    <t>Karen Dennis-Perry</t>
  </si>
  <si>
    <t>kaperry</t>
  </si>
  <si>
    <t>Karen.Emslie@manulifesecurities.ca</t>
  </si>
  <si>
    <t>Karen Emslie</t>
  </si>
  <si>
    <t>2017-06-12T10:19:53</t>
  </si>
  <si>
    <t>kemslie</t>
  </si>
  <si>
    <t>karen.ferguson@manulifesecurities.ca</t>
  </si>
  <si>
    <t>Karen Ferguson</t>
  </si>
  <si>
    <t>2017-10-10T10:06:24</t>
  </si>
  <si>
    <t>mfc.karen.ferguso</t>
  </si>
  <si>
    <t>Karen.Fowler@manulifesecurities.ca</t>
  </si>
  <si>
    <t>Karen Fowler</t>
  </si>
  <si>
    <t>2017-10-04T09:25:38</t>
  </si>
  <si>
    <t>klfowler</t>
  </si>
  <si>
    <t>Karen.Gelder@manulifesecurities.ca</t>
  </si>
  <si>
    <t>Karen Gelder</t>
  </si>
  <si>
    <t>KGelder</t>
  </si>
  <si>
    <t>Karen.Harquail@manulifesecurities.ca</t>
  </si>
  <si>
    <t>Karen Harquail</t>
  </si>
  <si>
    <t>kharquail</t>
  </si>
  <si>
    <t>Karen.Herback@manulifesecurities.ca</t>
  </si>
  <si>
    <t>Karen Herback</t>
  </si>
  <si>
    <t>KHerback</t>
  </si>
  <si>
    <t>Karen.Kaur@manulifesecurities.ca</t>
  </si>
  <si>
    <t>Karen Kaur</t>
  </si>
  <si>
    <t>KKaur</t>
  </si>
  <si>
    <t>Karen.Kelly@manulifesecurities.ca</t>
  </si>
  <si>
    <t>Karen Kelly</t>
  </si>
  <si>
    <t>kellymak</t>
  </si>
  <si>
    <t>Karen.Larson@manulifesecurities.ca</t>
  </si>
  <si>
    <t>Karen Larson</t>
  </si>
  <si>
    <t>karenlarson</t>
  </si>
  <si>
    <t>Karen.Lewis@manulifesecurities.ca</t>
  </si>
  <si>
    <t>Karen Lewis</t>
  </si>
  <si>
    <t>KLewis</t>
  </si>
  <si>
    <t>Karen.MacLean@manulifesecurities.ca</t>
  </si>
  <si>
    <t>Karen MacLean</t>
  </si>
  <si>
    <t>KMacLean</t>
  </si>
  <si>
    <t>Karen.MacPherson@manulifesecurities.ca</t>
  </si>
  <si>
    <t>Karen MacPherson</t>
  </si>
  <si>
    <t>KMacPherson</t>
  </si>
  <si>
    <t>Karen.Masters@manulifesecurities.ca</t>
  </si>
  <si>
    <t>Karen Masters</t>
  </si>
  <si>
    <t>kmasters</t>
  </si>
  <si>
    <t>Karen.Matthews@manulifesecurities.ca</t>
  </si>
  <si>
    <t>Karen Matthews</t>
  </si>
  <si>
    <t>KMatthews</t>
  </si>
  <si>
    <t>Karen.Meisner@manulifesecurities.ca</t>
  </si>
  <si>
    <t>Karen Meisner</t>
  </si>
  <si>
    <t>karenm</t>
  </si>
  <si>
    <t>Karen.Nakhoul@manulifesecurities.ca</t>
  </si>
  <si>
    <t>Karen Nakhoul</t>
  </si>
  <si>
    <t>mfc.karen.nakhoul</t>
  </si>
  <si>
    <t>karen.oddson@manulifesecurities.ca</t>
  </si>
  <si>
    <t>Karen Oddson</t>
  </si>
  <si>
    <t>2016-06-06T08:54:58</t>
  </si>
  <si>
    <t>mfc.karen.oddson</t>
  </si>
  <si>
    <t>Karen.Paul@manulifesecurities.ca</t>
  </si>
  <si>
    <t>Karen Paul</t>
  </si>
  <si>
    <t>karenp</t>
  </si>
  <si>
    <t>Karen.Pettigrew@manulifesecurities.ca</t>
  </si>
  <si>
    <t>Karen Pettigrew</t>
  </si>
  <si>
    <t>KPettigrew</t>
  </si>
  <si>
    <t>Karen.Prima@manulifesecurities.ca</t>
  </si>
  <si>
    <t>Karen Prima</t>
  </si>
  <si>
    <t>2016-09-29T19:22:13</t>
  </si>
  <si>
    <t>KPrima</t>
  </si>
  <si>
    <t>Karen.Rahian@manulifesecurities.ca</t>
  </si>
  <si>
    <t>Karen Rahian</t>
  </si>
  <si>
    <t>KRahian</t>
  </si>
  <si>
    <t>Karen.Reid@manulifesecurities.ca</t>
  </si>
  <si>
    <t>Karen Reid</t>
  </si>
  <si>
    <t>reidkar</t>
  </si>
  <si>
    <t>Karen.Rothe@manulifesecurities.ca</t>
  </si>
  <si>
    <t>Karen Rothe</t>
  </si>
  <si>
    <t>2017-09-29T14:46:17</t>
  </si>
  <si>
    <t>KRothe</t>
  </si>
  <si>
    <t>Karen.Stewart@manulifesecurities.ca</t>
  </si>
  <si>
    <t>Karen Stewart</t>
  </si>
  <si>
    <t>2017-10-13T15:54:20</t>
  </si>
  <si>
    <t>KStewart</t>
  </si>
  <si>
    <t>Karen.Swift@manulifesecurities.ca</t>
  </si>
  <si>
    <t>Karen Swift</t>
  </si>
  <si>
    <t>karens1</t>
  </si>
  <si>
    <t>Karen.Thorstensen@manulifesecurities.ca</t>
  </si>
  <si>
    <t>Karen Thorstensen</t>
  </si>
  <si>
    <t>thorska</t>
  </si>
  <si>
    <t>Karen.Trevail@manulifesecurities.ca</t>
  </si>
  <si>
    <t>Karen Trevail</t>
  </si>
  <si>
    <t>ktrevail</t>
  </si>
  <si>
    <t>Karen.VanToever@manulifesecurities.ca</t>
  </si>
  <si>
    <t>Karen Van Toever</t>
  </si>
  <si>
    <t>KVanToever</t>
  </si>
  <si>
    <t>Karen.Whylie@manulifesecurities.ca</t>
  </si>
  <si>
    <t>Karen Whylie</t>
  </si>
  <si>
    <t>mfc.k.whylie</t>
  </si>
  <si>
    <t>Karen.Wilson@manulifesecurities.ca</t>
  </si>
  <si>
    <t>Karen Wilson</t>
  </si>
  <si>
    <t>wilsoka</t>
  </si>
  <si>
    <t>Karen.Windischmann@manulifesecurities.ca</t>
  </si>
  <si>
    <t>Karen Windischmann</t>
  </si>
  <si>
    <t>2017-10-14T11:48:35</t>
  </si>
  <si>
    <t>KWindischmann</t>
  </si>
  <si>
    <t>Karen.Winmill@manulifesecurities.ca</t>
  </si>
  <si>
    <t>Karen Winmill</t>
  </si>
  <si>
    <t>KWinmill</t>
  </si>
  <si>
    <t>Karen_Matthews@manulifesecurities.ca</t>
  </si>
  <si>
    <t>Karen Matthews (Disabled)</t>
  </si>
  <si>
    <t>kmatthew</t>
  </si>
  <si>
    <t>KarenRead@mig.manulifesecurities.ca</t>
  </si>
  <si>
    <t>Karen Read</t>
  </si>
  <si>
    <t>2015-01-19T13:09:01</t>
  </si>
  <si>
    <t>KaRead</t>
  </si>
  <si>
    <t>Kari.Begg@manulifesecurities.ca</t>
  </si>
  <si>
    <t>Kari Begg</t>
  </si>
  <si>
    <t>kabegg</t>
  </si>
  <si>
    <t>Kari.Tavener@manulifesecurities.ca</t>
  </si>
  <si>
    <t>Kari Tavener</t>
  </si>
  <si>
    <t>KTavener</t>
  </si>
  <si>
    <t>Kari-Lyn.Johnston@manulifesecurities.ca</t>
  </si>
  <si>
    <t>Kari-Lyn Johnston</t>
  </si>
  <si>
    <t>kjohnston</t>
  </si>
  <si>
    <t>Kari-Lynn.Thomas@manulifesecurities.ca</t>
  </si>
  <si>
    <t>Kari-Lynn Thomas</t>
  </si>
  <si>
    <t>2017-08-24T13:21:02</t>
  </si>
  <si>
    <t>mfc.kari-lynn.tho</t>
  </si>
  <si>
    <t>Karin.Laurie@manulifesecurities.ca</t>
  </si>
  <si>
    <t>Karin Laurie</t>
  </si>
  <si>
    <t>klaurie</t>
  </si>
  <si>
    <t>Karin.Lengger@manulifesecurities.ca</t>
  </si>
  <si>
    <t>Karin Lengger</t>
  </si>
  <si>
    <t>KLengger</t>
  </si>
  <si>
    <t>karin.mersereau@manulifesecurities.ca</t>
  </si>
  <si>
    <t>Karin Mersereau</t>
  </si>
  <si>
    <t>2016-04-19T09:41:48</t>
  </si>
  <si>
    <t>mfc.karin.mersere</t>
  </si>
  <si>
    <t>Karin.Overgaard@manulifesecurities.ca</t>
  </si>
  <si>
    <t>Karin Overgaard</t>
  </si>
  <si>
    <t>2017-10-12T12:04:22</t>
  </si>
  <si>
    <t>mfc.karin.overgaa</t>
  </si>
  <si>
    <t>Karina.Armagno@manulifesecurities.ca</t>
  </si>
  <si>
    <t>Karina Armagno</t>
  </si>
  <si>
    <t>2017-10-10T11:41:45</t>
  </si>
  <si>
    <t>mfc.karina.armagn</t>
  </si>
  <si>
    <t>Karina.Toushkina@manulifesecurities.ca</t>
  </si>
  <si>
    <t>Karina Toushkina</t>
  </si>
  <si>
    <t>2017-10-07T04:27:25</t>
  </si>
  <si>
    <t>mfc.karina.toushk</t>
  </si>
  <si>
    <t>Karine.Bornais@manulifesecurities.ca</t>
  </si>
  <si>
    <t>Karine Bornais</t>
  </si>
  <si>
    <t>KBornais</t>
  </si>
  <si>
    <t>Karine.Tsolis@manulifesecurities.ca</t>
  </si>
  <si>
    <t>Karine Tsolis</t>
  </si>
  <si>
    <t>2016-03-31T14:50:13</t>
  </si>
  <si>
    <t>ktsolis</t>
  </si>
  <si>
    <t>Karissa.Wood@manulifesecurities.ca</t>
  </si>
  <si>
    <t>Karissa Wood</t>
  </si>
  <si>
    <t>2017-10-13T09:59:55</t>
  </si>
  <si>
    <t>mfc.karissa.wood</t>
  </si>
  <si>
    <t>Karl.AbdelNour@manulifesecurities.ca</t>
  </si>
  <si>
    <t>Karl Abdel Nour</t>
  </si>
  <si>
    <t>2017-10-15T11:46:31</t>
  </si>
  <si>
    <t>kanour</t>
  </si>
  <si>
    <t>Karl.Hamblin@manulifesecurities.ca</t>
  </si>
  <si>
    <t>KHamblin</t>
  </si>
  <si>
    <t>Karl.Hillyard@manulifesecurities.ca</t>
  </si>
  <si>
    <t>Karl Hillyard</t>
  </si>
  <si>
    <t>2017-10-10T10:54:59</t>
  </si>
  <si>
    <t>KHillyard</t>
  </si>
  <si>
    <t>Karl.Moher@manulifesecurities.ca</t>
  </si>
  <si>
    <t>Karl Moher</t>
  </si>
  <si>
    <t>2016-06-22T15:44:10</t>
  </si>
  <si>
    <t>moherka</t>
  </si>
  <si>
    <t>Karl.Mok@manulifesecurities.ca</t>
  </si>
  <si>
    <t>Karl Mok</t>
  </si>
  <si>
    <t>2015-09-19T19:06:18</t>
  </si>
  <si>
    <t>KarlMok</t>
  </si>
  <si>
    <t>Karl.Reuber@manulifesecurities.ca</t>
  </si>
  <si>
    <t>Karl Reuber</t>
  </si>
  <si>
    <t>2016-12-19T10:56:17</t>
  </si>
  <si>
    <t>KReuber</t>
  </si>
  <si>
    <t>Karli.Anderson@manulifesecurities.ca</t>
  </si>
  <si>
    <t>Karli Anderson</t>
  </si>
  <si>
    <t>2017-10-13T23:40:03</t>
  </si>
  <si>
    <t>KAnderson</t>
  </si>
  <si>
    <t>Karlyn.Mibus@manulifesecurities.ca</t>
  </si>
  <si>
    <t>Karlyn Mibus</t>
  </si>
  <si>
    <t>KMibus</t>
  </si>
  <si>
    <t>Karrie.LeBlanc@manulifesecurities.ca</t>
  </si>
  <si>
    <t>Karrie LeBlanc</t>
  </si>
  <si>
    <t>KLeBlanc</t>
  </si>
  <si>
    <t>karyn.williams@manulifesecurities.ca</t>
  </si>
  <si>
    <t>Karyn Williams</t>
  </si>
  <si>
    <t>2017-10-10T13:22:17</t>
  </si>
  <si>
    <t>mfc.karyn.william</t>
  </si>
  <si>
    <t>Katalin.Shaw@manulifesecurities.ca</t>
  </si>
  <si>
    <t>Katalin Shaw</t>
  </si>
  <si>
    <t>KShaw</t>
  </si>
  <si>
    <t>Kate.Abbott@manulifesecurities.ca</t>
  </si>
  <si>
    <t>Kate Abbott</t>
  </si>
  <si>
    <t>2015-09-09T09:59:04</t>
  </si>
  <si>
    <t>KAbbott</t>
  </si>
  <si>
    <t>Kate.Green@manulifesecurities.ca</t>
  </si>
  <si>
    <t>Kate Green</t>
  </si>
  <si>
    <t>KGreen</t>
  </si>
  <si>
    <t>Katelyn.Bauman@manulifesecurities.ca</t>
  </si>
  <si>
    <t>Katelyn Bauman</t>
  </si>
  <si>
    <t>2017-09-22T12:24:12</t>
  </si>
  <si>
    <t>KBauman</t>
  </si>
  <si>
    <t>Katelyn.Deveau@manulifesecurities.ca</t>
  </si>
  <si>
    <t>Katelyn Deveau</t>
  </si>
  <si>
    <t>KDeveau</t>
  </si>
  <si>
    <t>Katharine.Pilkey@manulifesecurities.ca</t>
  </si>
  <si>
    <t>Katharine Pilkey</t>
  </si>
  <si>
    <t>kpilkey</t>
  </si>
  <si>
    <t>Kathelain.Raqueno@manulifesecurities.ca</t>
  </si>
  <si>
    <t>Kathelain Raqueno</t>
  </si>
  <si>
    <t>KRaqueno</t>
  </si>
  <si>
    <t>Katherine.Bailey@manulifesecurities.ca</t>
  </si>
  <si>
    <t>Katherine Bailey</t>
  </si>
  <si>
    <t>2017-05-12T10:12:02</t>
  </si>
  <si>
    <t>ibailey</t>
  </si>
  <si>
    <t>Katherine.Bartlett@manulifesecurities.ca</t>
  </si>
  <si>
    <t>Katherine Bartlett</t>
  </si>
  <si>
    <t>KBartlett</t>
  </si>
  <si>
    <t>Katherine.Condemi@manulifesecurities.ca</t>
  </si>
  <si>
    <t>Katherine Condemi</t>
  </si>
  <si>
    <t>KCondemi</t>
  </si>
  <si>
    <t>Katherine.Enloe@manulifesecurities.ca</t>
  </si>
  <si>
    <t>Katherine Enloe</t>
  </si>
  <si>
    <t>kenloe</t>
  </si>
  <si>
    <t>Katherine.Kwong@manulifesecurities.ca</t>
  </si>
  <si>
    <t>Katherine Kwong</t>
  </si>
  <si>
    <t>kkwong</t>
  </si>
  <si>
    <t>Katherine.Shearer@manulifesecurities.ca</t>
  </si>
  <si>
    <t>Katherine Shearer</t>
  </si>
  <si>
    <t>kshear</t>
  </si>
  <si>
    <t>Katherine.Williams@manulifesecurities.ca</t>
  </si>
  <si>
    <t>Katherine Williams</t>
  </si>
  <si>
    <t>2017-10-10T09:55:15</t>
  </si>
  <si>
    <t>KWilliams</t>
  </si>
  <si>
    <t>Kathleen.Batson@manulifesecurities.ca</t>
  </si>
  <si>
    <t>Kathleen Batson</t>
  </si>
  <si>
    <t>2017-10-02T14:13:21</t>
  </si>
  <si>
    <t>KBatson</t>
  </si>
  <si>
    <t>Kathleen.Berglund@manulifesecurities.ca</t>
  </si>
  <si>
    <t>Kathleen Berglund</t>
  </si>
  <si>
    <t>2015-12-02T15:36:55</t>
  </si>
  <si>
    <t>kberglun</t>
  </si>
  <si>
    <t>Kathleen.Fischuk@manulifesecurities.ca</t>
  </si>
  <si>
    <t>Kathleen Fischuk</t>
  </si>
  <si>
    <t>2017-10-11T13:08:58</t>
  </si>
  <si>
    <t>KFischuk</t>
  </si>
  <si>
    <t>Kathleen.Goodman@manulifesecurities.ca</t>
  </si>
  <si>
    <t>Kathleen Goodman</t>
  </si>
  <si>
    <t>2017-02-16T06:14:37</t>
  </si>
  <si>
    <t>KGoodman</t>
  </si>
  <si>
    <t>Kathleen.Guy@manulifesecurities.ca</t>
  </si>
  <si>
    <t>Kathleen Guy</t>
  </si>
  <si>
    <t>katguy</t>
  </si>
  <si>
    <t>Kathleen.Houlihan@manulifesecurities.ca</t>
  </si>
  <si>
    <t>Kathleen Houlihan (Disabled)</t>
  </si>
  <si>
    <t>KHoulihan</t>
  </si>
  <si>
    <t>Kathleen.McCarthy@manulifesecurities.ca</t>
  </si>
  <si>
    <t>Kathleen McCarthy</t>
  </si>
  <si>
    <t>KMcCarthy</t>
  </si>
  <si>
    <t>Kathleen.Selkirk@manulifesecurities.ca</t>
  </si>
  <si>
    <t>Kathleen Selkirk</t>
  </si>
  <si>
    <t>2015-04-28T10:32:06</t>
  </si>
  <si>
    <t>KSelkirk</t>
  </si>
  <si>
    <t>Kathleen.Woychesko@manulifesecurities.ca</t>
  </si>
  <si>
    <t>Kathleen Woychesko</t>
  </si>
  <si>
    <t>2017-10-08T17:35:40</t>
  </si>
  <si>
    <t>bunkaka</t>
  </si>
  <si>
    <t>Kathryn.Hipolito@manulifesecurities.ca</t>
  </si>
  <si>
    <t>Kathryn Hipolito</t>
  </si>
  <si>
    <t>KHipolito</t>
  </si>
  <si>
    <t>Kathryn.Rowe@manulifesecurities.ca</t>
  </si>
  <si>
    <t>Kathryn Rowe</t>
  </si>
  <si>
    <t>2017-10-11T00:33:36</t>
  </si>
  <si>
    <t>KRowe</t>
  </si>
  <si>
    <t>Kathryn.Skov@manulifesecurities.ca</t>
  </si>
  <si>
    <t>Kathryn Skov</t>
  </si>
  <si>
    <t>kathskov</t>
  </si>
  <si>
    <t>Kathryn.Sweet@manulifesecurities.ca</t>
  </si>
  <si>
    <t>Kathryn Sweet</t>
  </si>
  <si>
    <t>2017-10-16T07:57:12</t>
  </si>
  <si>
    <t>KSweet</t>
  </si>
  <si>
    <t>Kathy.Adkins@manulifesecurities.ca</t>
  </si>
  <si>
    <t>Kathy Adkins</t>
  </si>
  <si>
    <t>kadkins</t>
  </si>
  <si>
    <t>Kathy.Bellamy@manulifesecurities.ca</t>
  </si>
  <si>
    <t>Kathy Bellamy</t>
  </si>
  <si>
    <t>KBellamy</t>
  </si>
  <si>
    <t>Kathy.Blom@manulifesecurities.ca</t>
  </si>
  <si>
    <t>Kathy Blom</t>
  </si>
  <si>
    <t>2017-10-14T08:28:58</t>
  </si>
  <si>
    <t>KatBlom</t>
  </si>
  <si>
    <t>Kathy.Connaughton@manulifesecurities.ca</t>
  </si>
  <si>
    <t>Kathy Connaughton</t>
  </si>
  <si>
    <t>2017-10-06T22:58:17</t>
  </si>
  <si>
    <t>KConnaughton</t>
  </si>
  <si>
    <t>Kathy.Herbertson@manulifesecurities.ca</t>
  </si>
  <si>
    <t>Kathy Herbertson</t>
  </si>
  <si>
    <t>2017-10-11T13:38:50</t>
  </si>
  <si>
    <t>kathyh</t>
  </si>
  <si>
    <t>Kathy.Jansen@manulifesecurities.ca</t>
  </si>
  <si>
    <t>Kathy Jansen</t>
  </si>
  <si>
    <t>2017-08-31T00:12:09</t>
  </si>
  <si>
    <t>KJansen</t>
  </si>
  <si>
    <t>Kathy.Kobayashi@manulifesecurities.ca</t>
  </si>
  <si>
    <t>Kathy Kobayashi</t>
  </si>
  <si>
    <t>2017-10-12T08:58:33</t>
  </si>
  <si>
    <t>KKobayashi</t>
  </si>
  <si>
    <t>Kathy.Lehoux@manulifesecurities.ca</t>
  </si>
  <si>
    <t>Kathy Lehoux</t>
  </si>
  <si>
    <t>2017-10-10T09:26:13</t>
  </si>
  <si>
    <t>klehoux</t>
  </si>
  <si>
    <t>Kathy.Lo@manulifesecurities.ca</t>
  </si>
  <si>
    <t>Kathy Lo</t>
  </si>
  <si>
    <t>kathylo1</t>
  </si>
  <si>
    <t>Kathy.Price@manulifesecurities.ca</t>
  </si>
  <si>
    <t>Kathy Price</t>
  </si>
  <si>
    <t>kprice</t>
  </si>
  <si>
    <t>Kathy.Schinkel@manulifesecurities.ca</t>
  </si>
  <si>
    <t>Kathy Schinkel</t>
  </si>
  <si>
    <t>kschink</t>
  </si>
  <si>
    <t>Kathy.Shafer@manulifesecurities.ca</t>
  </si>
  <si>
    <t>KShafer</t>
  </si>
  <si>
    <t>Kathy.Tripodi@manulifesecurities.ca</t>
  </si>
  <si>
    <t>Kathy Tripodi</t>
  </si>
  <si>
    <t>2017-08-06T11:07:21</t>
  </si>
  <si>
    <t>KTripodi</t>
  </si>
  <si>
    <t>Kathy.Young@manulifesecurities.ca</t>
  </si>
  <si>
    <t>Kathy Young</t>
  </si>
  <si>
    <t>kathyy</t>
  </si>
  <si>
    <t>KathyLeah.Guillermo@manulifesecurities.ca</t>
  </si>
  <si>
    <t>Kathy Leah Guillermo</t>
  </si>
  <si>
    <t>KGuillermo</t>
  </si>
  <si>
    <t>Katie.Blyth@manulifesecurities.ca</t>
  </si>
  <si>
    <t>Katie Blyth</t>
  </si>
  <si>
    <t>2017-10-10T09:08:11</t>
  </si>
  <si>
    <t>mfc.katie.blyth</t>
  </si>
  <si>
    <t>Katie.Prentice@manulifesecurities.ca</t>
  </si>
  <si>
    <t>Katie Prentice</t>
  </si>
  <si>
    <t>kprent</t>
  </si>
  <si>
    <t>Katlin.Wyatt@manulifesecurities.ca</t>
  </si>
  <si>
    <t>Katlin Wyatt</t>
  </si>
  <si>
    <t>2017-10-03T10:01:39</t>
  </si>
  <si>
    <t>mfc.katlin.wyatt</t>
  </si>
  <si>
    <t>Katrina.Castillo@manulifesecurities.ca</t>
  </si>
  <si>
    <t>Katrina Castillo</t>
  </si>
  <si>
    <t>KCastillo</t>
  </si>
  <si>
    <t>Katrina.Hirtz@manulifesecurities.ca</t>
  </si>
  <si>
    <t>Katrina Hirtz</t>
  </si>
  <si>
    <t>2017-10-12T10:56:06</t>
  </si>
  <si>
    <t>khirtz</t>
  </si>
  <si>
    <t>Katrina.Hoskins@manulifesecurities.ca</t>
  </si>
  <si>
    <t>Katrina Hoskins</t>
  </si>
  <si>
    <t>khoskins</t>
  </si>
  <si>
    <t>Katrina.Musselman@manulifesecurities.ca</t>
  </si>
  <si>
    <t>Katrina Musselman</t>
  </si>
  <si>
    <t>2016-09-19T10:26:31</t>
  </si>
  <si>
    <t>KMusselman</t>
  </si>
  <si>
    <t>Katy.Samuel@manulifesecurities.ca</t>
  </si>
  <si>
    <t>Katy Samuel</t>
  </si>
  <si>
    <t>KSamuel</t>
  </si>
  <si>
    <t>Kavi.Tanna@manulifesecurities.ca</t>
  </si>
  <si>
    <t>Kavi Tanna</t>
  </si>
  <si>
    <t>2017-10-15T16:02:51</t>
  </si>
  <si>
    <t>mfc.kavi.tanna</t>
  </si>
  <si>
    <t>Kavita.Sharma@manulifesecurities.ca</t>
  </si>
  <si>
    <t>Kavita Sharma</t>
  </si>
  <si>
    <t>2017-10-12T13:47:48</t>
  </si>
  <si>
    <t>ksharma</t>
  </si>
  <si>
    <t>Kayla.Foster@manulifesecurities.ca</t>
  </si>
  <si>
    <t>Kayla Foster</t>
  </si>
  <si>
    <t>kfoster</t>
  </si>
  <si>
    <t>kayla.rousseaux@manulifesecurities.ca</t>
  </si>
  <si>
    <t>Kayla Rousseaux</t>
  </si>
  <si>
    <t>2017-10-16T08:21:57</t>
  </si>
  <si>
    <t>mfc.kayla.roussea</t>
  </si>
  <si>
    <t>Kayla.Shebobman-Oshkopekeda@manulifesecurities.ca</t>
  </si>
  <si>
    <t>Kayla Shebobman-Oshkopekeda</t>
  </si>
  <si>
    <t>2017-08-28T09:19:00</t>
  </si>
  <si>
    <t>mfc.kayla.shebobm</t>
  </si>
  <si>
    <t>KDKircos@manulifesecurities.ca</t>
  </si>
  <si>
    <t>KKircos</t>
  </si>
  <si>
    <t>Keith.Brasier@manulifesecurities.ca</t>
  </si>
  <si>
    <t>Keith Brasier</t>
  </si>
  <si>
    <t>2015-12-22T11:24:30</t>
  </si>
  <si>
    <t>kbrasier</t>
  </si>
  <si>
    <t>Keith.Doherty@manulifesecurities.ca</t>
  </si>
  <si>
    <t>Keith Doherty</t>
  </si>
  <si>
    <t>2017-10-14T14:59:33</t>
  </si>
  <si>
    <t>kdoherty</t>
  </si>
  <si>
    <t>Keith.Drybrough@manulifesecurities.ca</t>
  </si>
  <si>
    <t>Keith Drybrough</t>
  </si>
  <si>
    <t>KDrybrough</t>
  </si>
  <si>
    <t>Keith.Fraser@manulifesecurities.ca</t>
  </si>
  <si>
    <t>Keith Fraser</t>
  </si>
  <si>
    <t>fraserk</t>
  </si>
  <si>
    <t>Keith.Graham@manulifesecurities.ca</t>
  </si>
  <si>
    <t>Keith Graham</t>
  </si>
  <si>
    <t>2017-10-10T07:50:30</t>
  </si>
  <si>
    <t>kgraham</t>
  </si>
  <si>
    <t>Keith.Mayall@manulifesecurities.ca</t>
  </si>
  <si>
    <t>Keith Mayall</t>
  </si>
  <si>
    <t>KMayall</t>
  </si>
  <si>
    <t>Keith.Pepper@manulifesecurities.ca</t>
  </si>
  <si>
    <t>Keith Pepper</t>
  </si>
  <si>
    <t>kdpepper</t>
  </si>
  <si>
    <t>Keith.Powls@manulifesecurities.ca</t>
  </si>
  <si>
    <t>Keith Powls</t>
  </si>
  <si>
    <t>2017-10-11T15:24:50</t>
  </si>
  <si>
    <t>KPowls</t>
  </si>
  <si>
    <t>Keith.Secord@manulifesecurities.ca</t>
  </si>
  <si>
    <t>Keith Secord</t>
  </si>
  <si>
    <t>2017-10-14T17:49:13</t>
  </si>
  <si>
    <t>kesecord</t>
  </si>
  <si>
    <t>keith.teelucksingh@manulifesecurities.ca</t>
  </si>
  <si>
    <t>Keith Teelucksingh</t>
  </si>
  <si>
    <t>2015-10-05T08:27:43</t>
  </si>
  <si>
    <t>mfc.keith.teeluck</t>
  </si>
  <si>
    <t>Kelley.Bahrey@manulifesecurities.ca</t>
  </si>
  <si>
    <t>Kelley Bahrey</t>
  </si>
  <si>
    <t>2017-10-12T20:41:16</t>
  </si>
  <si>
    <t>KBahrey</t>
  </si>
  <si>
    <t>Kelley.Hoffer@manulifesecurities.ca</t>
  </si>
  <si>
    <t>KHoffer</t>
  </si>
  <si>
    <t>Kelli.Kitzul@manulifesecurities.ca</t>
  </si>
  <si>
    <t>Kelli Kitzul</t>
  </si>
  <si>
    <t>KKitzul</t>
  </si>
  <si>
    <t>Kellie.Milos@manulifesecurities.ca</t>
  </si>
  <si>
    <t>Kellie Milos</t>
  </si>
  <si>
    <t>2017-10-12T09:04:03</t>
  </si>
  <si>
    <t>KMilos</t>
  </si>
  <si>
    <t>Kelly.Baker@manulifesecurities.ca</t>
  </si>
  <si>
    <t>Kelly Baker</t>
  </si>
  <si>
    <t>2016-01-19T10:50:36</t>
  </si>
  <si>
    <t>KBaker</t>
  </si>
  <si>
    <t>Kelly.Bannister@manulifesecurities.ca</t>
  </si>
  <si>
    <t>Kelly Bannister</t>
  </si>
  <si>
    <t>2016-05-30T13:37:08</t>
  </si>
  <si>
    <t>KBannister</t>
  </si>
  <si>
    <t>Kelly.Billard@manulifesecurities.ca</t>
  </si>
  <si>
    <t>Kelly Billard</t>
  </si>
  <si>
    <t>KBillard</t>
  </si>
  <si>
    <t>Kelly.Darbyson@manulifesecurities.ca</t>
  </si>
  <si>
    <t>Kelly Darbyson</t>
  </si>
  <si>
    <t>KDarbyson</t>
  </si>
  <si>
    <t>Kelly.DaSilva@manulifesecurities.ca</t>
  </si>
  <si>
    <t>Kelly DaSilva</t>
  </si>
  <si>
    <t>kdasilva</t>
  </si>
  <si>
    <t>Kelly.Earle@manulifesecurities.ca</t>
  </si>
  <si>
    <t>Kelly Earle</t>
  </si>
  <si>
    <t>KBarnes</t>
  </si>
  <si>
    <t>Kelly.Fagundes@manulifesecurities.ca</t>
  </si>
  <si>
    <t>Kelly Fagundes</t>
  </si>
  <si>
    <t>2017-10-11T10:34:03</t>
  </si>
  <si>
    <t>KFagundes</t>
  </si>
  <si>
    <t>Kelly.Gray@manulifesecurities.ca</t>
  </si>
  <si>
    <t>Kelly Gray</t>
  </si>
  <si>
    <t>2017-10-10T09:12:14</t>
  </si>
  <si>
    <t>mfc.kelly.gray</t>
  </si>
  <si>
    <t>Kelly.Kennific@manulifesecurities.ca</t>
  </si>
  <si>
    <t>Kelly Kennific</t>
  </si>
  <si>
    <t>KKennificNelson</t>
  </si>
  <si>
    <t>Kelly.Knoll@manulifesecurities.ca</t>
  </si>
  <si>
    <t>Kelly  Knoll</t>
  </si>
  <si>
    <t>KKnoll</t>
  </si>
  <si>
    <t>Kelly.Kohanski@manulifesecurities.ca</t>
  </si>
  <si>
    <t>Kelly Kohanski</t>
  </si>
  <si>
    <t>2017-10-14T08:20:58</t>
  </si>
  <si>
    <t>KKohanski</t>
  </si>
  <si>
    <t>kelly.lindsay@manulifesecurities.ca</t>
  </si>
  <si>
    <t>Kelly Lindsay</t>
  </si>
  <si>
    <t>2017-10-16T08:25:11</t>
  </si>
  <si>
    <t>mfc.kelly.lindsay</t>
  </si>
  <si>
    <t>Kelly.Malott@manulifesecurities.ca</t>
  </si>
  <si>
    <t>Kelly Malott</t>
  </si>
  <si>
    <t>2017-10-12T11:34:41</t>
  </si>
  <si>
    <t>malott</t>
  </si>
  <si>
    <t>Kelly.McDonough@manulifesecurities.ca</t>
  </si>
  <si>
    <t>Kelly McDonough</t>
  </si>
  <si>
    <t>KMcDonough</t>
  </si>
  <si>
    <t>Kelly.O'Hagan@manulifesecurities.ca</t>
  </si>
  <si>
    <t>Kelly O'Hagan</t>
  </si>
  <si>
    <t>2017-10-16T08:00:16</t>
  </si>
  <si>
    <t>mfc.kelly.ohagan</t>
  </si>
  <si>
    <t>Kelly.Rhodes@manulifesecurities.ca</t>
  </si>
  <si>
    <t>Kelly Rhodes</t>
  </si>
  <si>
    <t>2017-10-15T18:53:33</t>
  </si>
  <si>
    <t>KRhodes</t>
  </si>
  <si>
    <t>Kelly.Smith@manulifesecurities.ca</t>
  </si>
  <si>
    <t>Kelly Smith</t>
  </si>
  <si>
    <t>2016-12-07T09:40:12</t>
  </si>
  <si>
    <t>kesmith</t>
  </si>
  <si>
    <t>Kelly.Strome@manulifesecurities.ca</t>
  </si>
  <si>
    <t>Kelly Strome</t>
  </si>
  <si>
    <t>kellys</t>
  </si>
  <si>
    <t>Kelly.Thomas@manulifesecurities.ca</t>
  </si>
  <si>
    <t>Kelly Thomas</t>
  </si>
  <si>
    <t>2017-10-15T23:06:35</t>
  </si>
  <si>
    <t>KeThomas</t>
  </si>
  <si>
    <t>Kelly.Westheuser@manulifesecurities.ca</t>
  </si>
  <si>
    <t>Kelly Westheuser</t>
  </si>
  <si>
    <t>kellywestheuser</t>
  </si>
  <si>
    <t>Kelly.Wolsfeld@manulifesecurities.ca</t>
  </si>
  <si>
    <t>Kelly Wolsfeld</t>
  </si>
  <si>
    <t>2017-05-31T17:18:58</t>
  </si>
  <si>
    <t>kjwolsfeld</t>
  </si>
  <si>
    <t>KellyJ.Smith@manulifesecurities.ca</t>
  </si>
  <si>
    <t>Kelly J. Smith</t>
  </si>
  <si>
    <t>kelsmith</t>
  </si>
  <si>
    <t>Kelsey.MacAulay@manulifesecurities.ca</t>
  </si>
  <si>
    <t>Kelsey MacAulay</t>
  </si>
  <si>
    <t>kmacaula</t>
  </si>
  <si>
    <t>Kelsey.MacLennan@manulifesecurities.ca</t>
  </si>
  <si>
    <t>Kelsey  MacLennan</t>
  </si>
  <si>
    <t>2015-08-31T12:15:36</t>
  </si>
  <si>
    <t>KMacLennan</t>
  </si>
  <si>
    <t>Kelsey.Sjoberg@manulifesecurities.ca</t>
  </si>
  <si>
    <t>Kelsey Sjoberg</t>
  </si>
  <si>
    <t>2017-10-10T11:38:06</t>
  </si>
  <si>
    <t>mfc.kelsey.sjober</t>
  </si>
  <si>
    <t>Keltie.Pappas@manulifesecurities.ca</t>
  </si>
  <si>
    <t>Keltie Pappas</t>
  </si>
  <si>
    <t>2017-08-24T10:42:49</t>
  </si>
  <si>
    <t>KPappas</t>
  </si>
  <si>
    <t>Kelvin.Chan@manulifesecurities.ca</t>
  </si>
  <si>
    <t>Kelvin Chan</t>
  </si>
  <si>
    <t>2017-04-02T11:05:24</t>
  </si>
  <si>
    <t>mfc.kelvin.chan</t>
  </si>
  <si>
    <t>Kelvin.Krips@manulifesecurities.ca</t>
  </si>
  <si>
    <t>Kelvin Krips</t>
  </si>
  <si>
    <t>2017-10-03T17:25:11</t>
  </si>
  <si>
    <t>kkrips</t>
  </si>
  <si>
    <t>Ken.Bates@manulifesecurities.ca</t>
  </si>
  <si>
    <t>Ken Bates</t>
  </si>
  <si>
    <t>2017-10-05T17:42:41</t>
  </si>
  <si>
    <t>KBates</t>
  </si>
  <si>
    <t>Ken.Carstairs@manulifesecurities.ca</t>
  </si>
  <si>
    <t>Kenneth Carstairs</t>
  </si>
  <si>
    <t>2017-10-13T06:09:11</t>
  </si>
  <si>
    <t>KCarstairs</t>
  </si>
  <si>
    <t>Ken.Chisholm@manulifesecurities.ca</t>
  </si>
  <si>
    <t>Ken Chisholm</t>
  </si>
  <si>
    <t>kchisholm</t>
  </si>
  <si>
    <t>Ken.Curren@manulifesecurities.ca</t>
  </si>
  <si>
    <t>Ken Curren</t>
  </si>
  <si>
    <t>2017-10-11T20:20:34</t>
  </si>
  <si>
    <t>mfc.ken.curren</t>
  </si>
  <si>
    <t>Ken.Donkersgoed@manulifesecurities.ca</t>
  </si>
  <si>
    <t>Ken Donkersgoed</t>
  </si>
  <si>
    <t>KDonkersgoed</t>
  </si>
  <si>
    <t>Ken.Johnston@manulifesecurities.ca</t>
  </si>
  <si>
    <t>Ken Johnston</t>
  </si>
  <si>
    <t>2017-10-16T05:47:09</t>
  </si>
  <si>
    <t>KenJohnston</t>
  </si>
  <si>
    <t>Ken.Nesbitt@manulifesecurities.ca</t>
  </si>
  <si>
    <t>Ken Nesbitt</t>
  </si>
  <si>
    <t>2017-10-07T03:35:36</t>
  </si>
  <si>
    <t>KNesbitt</t>
  </si>
  <si>
    <t>Ken.Noonan@manulifesecurities.ca</t>
  </si>
  <si>
    <t>Ken Noonan</t>
  </si>
  <si>
    <t>2017-10-12T14:48:45</t>
  </si>
  <si>
    <t>KNoonan</t>
  </si>
  <si>
    <t>Ken.Norman@manulifesecurities.ca</t>
  </si>
  <si>
    <t>Ken Norman</t>
  </si>
  <si>
    <t>knorman</t>
  </si>
  <si>
    <t>Ken.Robertson@manulifesecurities.ca</t>
  </si>
  <si>
    <t>KRobertson</t>
  </si>
  <si>
    <t>Ken.Shipley@manulifesecurities.ca</t>
  </si>
  <si>
    <t>Ken Shipley</t>
  </si>
  <si>
    <t>2017-10-13T09:13:29</t>
  </si>
  <si>
    <t>kshipley</t>
  </si>
  <si>
    <t>Ken.Taylor@manulifesecurities.ca</t>
  </si>
  <si>
    <t>Ken Taylor</t>
  </si>
  <si>
    <t>2017-10-13T12:50:46</t>
  </si>
  <si>
    <t>ktaylor</t>
  </si>
  <si>
    <t>Ken.Truong@manulifesecurities.ca</t>
  </si>
  <si>
    <t>Ken Truong</t>
  </si>
  <si>
    <t>ktruong</t>
  </si>
  <si>
    <t>ken.wong@manulifesecurities.ca</t>
  </si>
  <si>
    <t>Ken Wong</t>
  </si>
  <si>
    <t>KWong</t>
  </si>
  <si>
    <t>Kendell.Mazer@manulifesecurities.ca</t>
  </si>
  <si>
    <t>Kendell Mazer</t>
  </si>
  <si>
    <t>2016-03-05T17:19:59</t>
  </si>
  <si>
    <t>KButernowski</t>
  </si>
  <si>
    <t>Kendra.Sebastian@manulifesecurities.ca</t>
  </si>
  <si>
    <t>Kendra Sebastian</t>
  </si>
  <si>
    <t>ksebastian</t>
  </si>
  <si>
    <t>Kenneth.Attridge@manulifesecurities.ca</t>
  </si>
  <si>
    <t>Kenneth Attridge</t>
  </si>
  <si>
    <t>attrike</t>
  </si>
  <si>
    <t>Kenneth.Bell@manulifesecurities.ca</t>
  </si>
  <si>
    <t>Ken Bell</t>
  </si>
  <si>
    <t>2017-10-11T16:18:49</t>
  </si>
  <si>
    <t>KBell</t>
  </si>
  <si>
    <t>Kenneth.Campbell@manulifesecurities.ca</t>
  </si>
  <si>
    <t>Kenneth Campbell</t>
  </si>
  <si>
    <t>2015-01-21T15:43:59</t>
  </si>
  <si>
    <t>kcampbel</t>
  </si>
  <si>
    <t>Kenneth.Chin@manulifesecurities.ca</t>
  </si>
  <si>
    <t>Ken Chin</t>
  </si>
  <si>
    <t>2017-10-07T10:50:52</t>
  </si>
  <si>
    <t>KChin</t>
  </si>
  <si>
    <t>Kenneth.Coombs@manulifesecurities.ca</t>
  </si>
  <si>
    <t>Kenneth Coombs</t>
  </si>
  <si>
    <t>2017-10-06T14:57:33</t>
  </si>
  <si>
    <t>kcoombs</t>
  </si>
  <si>
    <t>Kenneth.Ehresman@manulifesecurities.ca</t>
  </si>
  <si>
    <t>Kenneth Ehresman</t>
  </si>
  <si>
    <t>2015-05-11T12:56:38</t>
  </si>
  <si>
    <t>KEhresman</t>
  </si>
  <si>
    <t>Kenneth.Farrow@manulifesecurities.ca</t>
  </si>
  <si>
    <t>Kenneth Farrow</t>
  </si>
  <si>
    <t>2017-10-14T06:18:41</t>
  </si>
  <si>
    <t>kfarrow</t>
  </si>
  <si>
    <t>Kenneth.Fehr@manulifesecurities.ca</t>
  </si>
  <si>
    <t>Kenneth Fehr</t>
  </si>
  <si>
    <t>kefehr</t>
  </si>
  <si>
    <t>Kenneth.Jones@manulifesecurities.ca</t>
  </si>
  <si>
    <t>Kenneth Jones</t>
  </si>
  <si>
    <t>agntkj</t>
  </si>
  <si>
    <t>Kenneth.Kurtz@manulifesecurities.ca</t>
  </si>
  <si>
    <t>Ken Kurtz</t>
  </si>
  <si>
    <t>2017-01-11T14:15:14</t>
  </si>
  <si>
    <t>KKurtz</t>
  </si>
  <si>
    <t>Kenneth.Litkowich@manulifesecurities.ca</t>
  </si>
  <si>
    <t>Kenneth Litkowich</t>
  </si>
  <si>
    <t>2017-10-05T12:13:18</t>
  </si>
  <si>
    <t>kvl019</t>
  </si>
  <si>
    <t>Kenneth.Lo@manulifesecurities.ca</t>
  </si>
  <si>
    <t>Ken Lo</t>
  </si>
  <si>
    <t>KLo</t>
  </si>
  <si>
    <t>Kenneth.Lofranco@manulifesecurities.ca</t>
  </si>
  <si>
    <t>Kenneth Lofranco</t>
  </si>
  <si>
    <t>lofranco</t>
  </si>
  <si>
    <t>Kenneth.Lovelock@manulifesecurities.ca</t>
  </si>
  <si>
    <t>Ken Lovelock</t>
  </si>
  <si>
    <t>2017-10-08T14:32:47</t>
  </si>
  <si>
    <t>KLovelock</t>
  </si>
  <si>
    <t>Kenneth.McKinley@manulifesecurities.ca</t>
  </si>
  <si>
    <t>Kenneth McKinley</t>
  </si>
  <si>
    <t>2017-10-07T11:34:09</t>
  </si>
  <si>
    <t>mckinley</t>
  </si>
  <si>
    <t>Kenneth.Peterson@manulifesecurities.ca</t>
  </si>
  <si>
    <t>Kenneth Peterson</t>
  </si>
  <si>
    <t>kpeterso</t>
  </si>
  <si>
    <t>Kenneth.Simmons@manulifesecurities.ca</t>
  </si>
  <si>
    <t>Kenneth Simmons</t>
  </si>
  <si>
    <t>ASimmons</t>
  </si>
  <si>
    <t>Kenneth.Ward@manulifesecurities.ca</t>
  </si>
  <si>
    <t>Kenneth Ward</t>
  </si>
  <si>
    <t>wardken</t>
  </si>
  <si>
    <t>Kenneth.Wharram@manulifesecurities.ca</t>
  </si>
  <si>
    <t>Kenneth Wharram</t>
  </si>
  <si>
    <t>2017-10-15T15:10:44</t>
  </si>
  <si>
    <t>kwharram</t>
  </si>
  <si>
    <t>Kenneth.Yip-chuck@manulifesecurities.ca</t>
  </si>
  <si>
    <t>Kenneth Yip-chuck</t>
  </si>
  <si>
    <t>2017-10-02T14:55:09</t>
  </si>
  <si>
    <t>kenyipchuck</t>
  </si>
  <si>
    <t>Kent.Bowling@manulifesecurities.ca</t>
  </si>
  <si>
    <t>Kent Bowling</t>
  </si>
  <si>
    <t>2017-10-15T18:46:30</t>
  </si>
  <si>
    <t>KBowling</t>
  </si>
  <si>
    <t>Kent.Magarrell@manulifesecurities.ca</t>
  </si>
  <si>
    <t>Kent Magarrell</t>
  </si>
  <si>
    <t>2017-10-16T06:29:37</t>
  </si>
  <si>
    <t>KMagarrell</t>
  </si>
  <si>
    <t>Kerri.Bennett@manulifesecurities.ca</t>
  </si>
  <si>
    <t>Kerri Bennett</t>
  </si>
  <si>
    <t>kbennett</t>
  </si>
  <si>
    <t>Kerri.Butt@manulifesecurities.ca</t>
  </si>
  <si>
    <t>Kerri Butt</t>
  </si>
  <si>
    <t>kbutt</t>
  </si>
  <si>
    <t>Kerry.Hossack@manulifesecurities.ca</t>
  </si>
  <si>
    <t>Kerry Hossack</t>
  </si>
  <si>
    <t>2017-10-04T08:13:07</t>
  </si>
  <si>
    <t>kerryh</t>
  </si>
  <si>
    <t>Kerry.Leydon@manulifesecurities.ca</t>
  </si>
  <si>
    <t>Kerry  Leydon</t>
  </si>
  <si>
    <t>2017-03-27T06:29:36</t>
  </si>
  <si>
    <t>KLeydon</t>
  </si>
  <si>
    <t>kerry.shoremansawicki@manulifesecurities.ca</t>
  </si>
  <si>
    <t>Kerry Shoreman-Sawicki</t>
  </si>
  <si>
    <t>2017-09-11T16:09:40</t>
  </si>
  <si>
    <t>mfc.kerry.shorema</t>
  </si>
  <si>
    <t>Kesh.Malik@manulifesecurities.ca</t>
  </si>
  <si>
    <t>Kesh Malik</t>
  </si>
  <si>
    <t>2017-10-12T10:21:52</t>
  </si>
  <si>
    <t>keshmalik</t>
  </si>
  <si>
    <t>Keshar.Ahluwalia@manulifesecurities.ca</t>
  </si>
  <si>
    <t>Keshar Ahluwalia</t>
  </si>
  <si>
    <t>ahlukesh</t>
  </si>
  <si>
    <t>Kevan.Bates@manulifesecurities.ca</t>
  </si>
  <si>
    <t>Kevan Bates</t>
  </si>
  <si>
    <t>2017-10-10T12:29:39</t>
  </si>
  <si>
    <t>KevBates</t>
  </si>
  <si>
    <t>Kevan.Herod@manulifesecurities.ca</t>
  </si>
  <si>
    <t>Kevan Herod</t>
  </si>
  <si>
    <t>2017-10-09T13:30:53</t>
  </si>
  <si>
    <t>herodk</t>
  </si>
  <si>
    <t>Kevin.Armand@manulifesecurities.ca</t>
  </si>
  <si>
    <t>KArmand</t>
  </si>
  <si>
    <t>Kevin.Bouchard@manulifesecurities.ca</t>
  </si>
  <si>
    <t>Kevin Bouchard</t>
  </si>
  <si>
    <t>2017-10-10T02:59:36</t>
  </si>
  <si>
    <t>mfc.kevin.bouchar</t>
  </si>
  <si>
    <t>Kevin.Bukovy@manulifesecurities.ca</t>
  </si>
  <si>
    <t>Kevin Bukovy</t>
  </si>
  <si>
    <t>2017-10-02T13:38:15</t>
  </si>
  <si>
    <t>kevinb</t>
  </si>
  <si>
    <t>Kevin.Carkner@manulifesecurities.ca</t>
  </si>
  <si>
    <t>Kevin Carkner</t>
  </si>
  <si>
    <t>2017-08-29T13:29:25</t>
  </si>
  <si>
    <t>KCarkner</t>
  </si>
  <si>
    <t>Kevin.Giffin@manulifesecurities.ca</t>
  </si>
  <si>
    <t>Kevin Giffin</t>
  </si>
  <si>
    <t>2017-10-11T10:33:07</t>
  </si>
  <si>
    <t>kgiffin</t>
  </si>
  <si>
    <t>Kevin.Herder@manulifesecurities.ca</t>
  </si>
  <si>
    <t>Kevin Herder</t>
  </si>
  <si>
    <t>2017-10-12T10:41:43</t>
  </si>
  <si>
    <t>kherder</t>
  </si>
  <si>
    <t>Kevin.Hickey@manulifesecurities.ca</t>
  </si>
  <si>
    <t>Kevin Hickey</t>
  </si>
  <si>
    <t>2015-06-01T20:32:07</t>
  </si>
  <si>
    <t>mfc.kevin.hickey</t>
  </si>
  <si>
    <t>Kevin.Lamour@manulifesecurities.ca</t>
  </si>
  <si>
    <t>Kevin Lamour</t>
  </si>
  <si>
    <t>2016-05-23T15:22:24</t>
  </si>
  <si>
    <t>klamour</t>
  </si>
  <si>
    <t>Kevin.Mallette@manulifesecurities.ca</t>
  </si>
  <si>
    <t>KMallette</t>
  </si>
  <si>
    <t>Kevin.McAdams@manulifesecurities.ca</t>
  </si>
  <si>
    <t>Kevin McAdams</t>
  </si>
  <si>
    <t>2017-10-08T12:22:03</t>
  </si>
  <si>
    <t>kmcadams</t>
  </si>
  <si>
    <t>Kevin.Nakrieko@manulifesecurities.ca</t>
  </si>
  <si>
    <t>Kevin Nakrieko</t>
  </si>
  <si>
    <t>2017-07-10T14:55:59</t>
  </si>
  <si>
    <t>mfc.kevin.nakriek</t>
  </si>
  <si>
    <t>Kevin.Phillips@manulifesecurities.ca</t>
  </si>
  <si>
    <t>Kevin Phillips</t>
  </si>
  <si>
    <t>2017-10-10T13:13:34</t>
  </si>
  <si>
    <t>kkphillips</t>
  </si>
  <si>
    <t>Kevin.Plouffe@manulifesecurities.ca</t>
  </si>
  <si>
    <t>Kevin Plouffe</t>
  </si>
  <si>
    <t>2017-10-10T16:13:35</t>
  </si>
  <si>
    <t>KPlouffe</t>
  </si>
  <si>
    <t>Kevin.Reid@manulifesecurities.ca</t>
  </si>
  <si>
    <t>Kevin Reid</t>
  </si>
  <si>
    <t>2017-10-07T15:14:44</t>
  </si>
  <si>
    <t>kereid</t>
  </si>
  <si>
    <t>Kevin.Rendek@manulifesecurities.ca</t>
  </si>
  <si>
    <t>Kevin Rendek (Calgary)</t>
  </si>
  <si>
    <t>2017-10-12T11:10:15</t>
  </si>
  <si>
    <t>KRendek</t>
  </si>
  <si>
    <t>Kevin.Roberts@manulifesecurities.ca</t>
  </si>
  <si>
    <t>Kevin Roberts</t>
  </si>
  <si>
    <t>mfc.kevin.roberts</t>
  </si>
  <si>
    <t>Kevin.Ryan@manulifesecurities.ca</t>
  </si>
  <si>
    <t>Kevin Ryan</t>
  </si>
  <si>
    <t>ryankev</t>
  </si>
  <si>
    <t>Kevin.Smith@manulifesecurities.ca</t>
  </si>
  <si>
    <t>Kevin Smith (Advisor)</t>
  </si>
  <si>
    <t>2014-10-06T13:23:47</t>
  </si>
  <si>
    <t>kasmith</t>
  </si>
  <si>
    <t>Kevin.Spooner@manulifesecurities.ca</t>
  </si>
  <si>
    <t>Kevin Spooner</t>
  </si>
  <si>
    <t>kspooner</t>
  </si>
  <si>
    <t>Kevin.Zakus@manulifesecurities.ca</t>
  </si>
  <si>
    <t>Kevin Zakus</t>
  </si>
  <si>
    <t>kzakus</t>
  </si>
  <si>
    <t>Khalil.Baho@manulifesecurities.ca</t>
  </si>
  <si>
    <t>Khalil Baho</t>
  </si>
  <si>
    <t>2016-03-09T02:32:47</t>
  </si>
  <si>
    <t>KBaho</t>
  </si>
  <si>
    <t>Khrystal.Milot@manulifesecurities.ca</t>
  </si>
  <si>
    <t>Khrystal Milot</t>
  </si>
  <si>
    <t>KMilot</t>
  </si>
  <si>
    <t>Kiki.Zhou@manulifesecurities.ca</t>
  </si>
  <si>
    <t>Kiki Zhou</t>
  </si>
  <si>
    <t>kzhou</t>
  </si>
  <si>
    <t>kim.Bolognese@manulifesecurities.ca</t>
  </si>
  <si>
    <t>Kimberly Tate-Bolognese</t>
  </si>
  <si>
    <t>2017-10-06T10:14:48</t>
  </si>
  <si>
    <t>mfc.kim.bolognese</t>
  </si>
  <si>
    <t>Kim.Carscadden@manulifesecurities.ca</t>
  </si>
  <si>
    <t>zz Manulife - Kim Carscadden</t>
  </si>
  <si>
    <t>KCarscadden</t>
  </si>
  <si>
    <t>Kim.Cathers@manulifesecurities.ca</t>
  </si>
  <si>
    <t>Kim Cathers</t>
  </si>
  <si>
    <t>kcathers</t>
  </si>
  <si>
    <t>Kim.Chicoine@manulifesecurities.ca</t>
  </si>
  <si>
    <t>Kim Chicoine</t>
  </si>
  <si>
    <t>2017-09-14T12:58:56</t>
  </si>
  <si>
    <t>KiKoop</t>
  </si>
  <si>
    <t>Kim.Chizawsky@manulifesecurities.ca</t>
  </si>
  <si>
    <t>Kim Chizawsky</t>
  </si>
  <si>
    <t>KBruno</t>
  </si>
  <si>
    <t>Kim.Clarke@manulifesecurities.ca</t>
  </si>
  <si>
    <t>Kim Clarke</t>
  </si>
  <si>
    <t>2017-06-19T11:24:22</t>
  </si>
  <si>
    <t>kclarke</t>
  </si>
  <si>
    <t>Kim.Craig@manulifesecurities.ca</t>
  </si>
  <si>
    <t>Kim Craig (Advisor)</t>
  </si>
  <si>
    <t>2017-10-10T10:16:43</t>
  </si>
  <si>
    <t>KCraig</t>
  </si>
  <si>
    <t>Kim.Cripps@manulifesecurities.ca</t>
  </si>
  <si>
    <t>Kim Cripps</t>
  </si>
  <si>
    <t>KCripps</t>
  </si>
  <si>
    <t>Kim.Daeninck@manulifesecurities.ca</t>
  </si>
  <si>
    <t>Kim Daeninck</t>
  </si>
  <si>
    <t>2015-04-22T09:09:05</t>
  </si>
  <si>
    <t>KDaeninck</t>
  </si>
  <si>
    <t>Kim.DAngelis@manulifesecurities.ca</t>
  </si>
  <si>
    <t>Kim DAngelis</t>
  </si>
  <si>
    <t>2016-01-12T07:45:17</t>
  </si>
  <si>
    <t>KDAngelis</t>
  </si>
  <si>
    <t>Kim.Gray@manulifesecurities.ca</t>
  </si>
  <si>
    <t>Kim Gray</t>
  </si>
  <si>
    <t>kimgray</t>
  </si>
  <si>
    <t>Kim.Greenbank@manulifesecurities.ca</t>
  </si>
  <si>
    <t>Kim Greenbank</t>
  </si>
  <si>
    <t>2017-10-12T12:36:59</t>
  </si>
  <si>
    <t>KGreenbank</t>
  </si>
  <si>
    <t>Kim.Hicks@manulifesecurities.ca</t>
  </si>
  <si>
    <t>Kim Hicks</t>
  </si>
  <si>
    <t>KHicks</t>
  </si>
  <si>
    <t>Kim.Johnson@manulifesecurities.ca</t>
  </si>
  <si>
    <t>Kim Johnson</t>
  </si>
  <si>
    <t>KJohnson</t>
  </si>
  <si>
    <t>Kim.Klein@manulifesecurities.ca</t>
  </si>
  <si>
    <t>Kim Klein</t>
  </si>
  <si>
    <t>2017-10-12T09:06:19</t>
  </si>
  <si>
    <t>KKlein</t>
  </si>
  <si>
    <t>Kim.Larocque@manulifesecurities.ca</t>
  </si>
  <si>
    <t>Kim Larocque</t>
  </si>
  <si>
    <t>2017-08-20T15:54:03</t>
  </si>
  <si>
    <t>mfc.kim.larocque</t>
  </si>
  <si>
    <t>Kim.Laws@manulifesecurities.ca</t>
  </si>
  <si>
    <t>Kim Laws</t>
  </si>
  <si>
    <t>kimlaws</t>
  </si>
  <si>
    <t>Kim.Noble@manulifesecurities.ca</t>
  </si>
  <si>
    <t>Kim Noble</t>
  </si>
  <si>
    <t>2017-10-04T20:02:44</t>
  </si>
  <si>
    <t>KNoble</t>
  </si>
  <si>
    <t>Kim.Reid@manulifesecurities.ca</t>
  </si>
  <si>
    <t>Kim Reid</t>
  </si>
  <si>
    <t>kireid</t>
  </si>
  <si>
    <t>Kim.Rochon@manulifesecurities.ca</t>
  </si>
  <si>
    <t>Kim Rochon</t>
  </si>
  <si>
    <t>2016-08-22T09:40:09</t>
  </si>
  <si>
    <t>mfc.kim.rochon</t>
  </si>
  <si>
    <t>Kim.Rogers@manulifesecurities.ca</t>
  </si>
  <si>
    <t>Kim Rogers</t>
  </si>
  <si>
    <t>2017-10-02T11:39:10</t>
  </si>
  <si>
    <t>mfc.kim.rogers</t>
  </si>
  <si>
    <t>Kim.Sytsma-Hill@manulifesecurities.ca</t>
  </si>
  <si>
    <t>Kim Sytsma-Hill</t>
  </si>
  <si>
    <t>ksytsma</t>
  </si>
  <si>
    <t>Kim.Szewczyk@manulifesecurities.ca</t>
  </si>
  <si>
    <t>Kim Szewczyk</t>
  </si>
  <si>
    <t>kimski</t>
  </si>
  <si>
    <t>Kim.Tavares@manulifesecurities.ca</t>
  </si>
  <si>
    <t>Kim Tavares</t>
  </si>
  <si>
    <t>2017-10-10T08:54:27</t>
  </si>
  <si>
    <t>mfc.kim.tavares</t>
  </si>
  <si>
    <t>Kim.Tom@manulifesecurities.ca</t>
  </si>
  <si>
    <t>Kim Tom</t>
  </si>
  <si>
    <t>2017-10-11T13:27:11</t>
  </si>
  <si>
    <t>kimtom</t>
  </si>
  <si>
    <t>Kimberlee.Morgan@manulifesecurities.ca</t>
  </si>
  <si>
    <t>Kimberlee Morgan</t>
  </si>
  <si>
    <t>2017-10-09T09:57:01</t>
  </si>
  <si>
    <t>KMorgan</t>
  </si>
  <si>
    <t>Kimberley.Johnston@manulifesecurities.ca</t>
  </si>
  <si>
    <t>Kimberley Johnston</t>
  </si>
  <si>
    <t>2017-08-25T11:21:25</t>
  </si>
  <si>
    <t>mfc.kimberley.joh</t>
  </si>
  <si>
    <t>Kimberley.Mitchell@manulifesecurities.ca</t>
  </si>
  <si>
    <t>Kimberley Mitchell</t>
  </si>
  <si>
    <t>2017-04-27T12:51:49</t>
  </si>
  <si>
    <t>kimmitchell</t>
  </si>
  <si>
    <t>kimberly.balba@manulifesecurities.ca</t>
  </si>
  <si>
    <t>Kimberly Balba</t>
  </si>
  <si>
    <t>kbalba</t>
  </si>
  <si>
    <t>Kimberly.Child@manulifesecurities.ca</t>
  </si>
  <si>
    <t>Kimberly Child</t>
  </si>
  <si>
    <t>mfc.kimberly.chil</t>
  </si>
  <si>
    <t>Kimberly.Dodds@manulifesecurities.ca</t>
  </si>
  <si>
    <t>Kimberly Dodds</t>
  </si>
  <si>
    <t>2017-10-07T03:52:08</t>
  </si>
  <si>
    <t>KDodds</t>
  </si>
  <si>
    <t>Kimberly.Dufaj@manulifesecurities.ca</t>
  </si>
  <si>
    <t>Kim Dufaj</t>
  </si>
  <si>
    <t>2017-08-22T16:55:02</t>
  </si>
  <si>
    <t>KDufaj</t>
  </si>
  <si>
    <t>Kimberly.Messer@manulifesecurities.ca</t>
  </si>
  <si>
    <t>zz - Kimberly Messer</t>
  </si>
  <si>
    <t>KMesser</t>
  </si>
  <si>
    <t>kimberly.town@manulifesecurities.ca</t>
  </si>
  <si>
    <t>Kimberly Town</t>
  </si>
  <si>
    <t>2017-10-10T09:10:25</t>
  </si>
  <si>
    <t>mfc.kimberly.town</t>
  </si>
  <si>
    <t>King.Henson@manulifesecurities.ca</t>
  </si>
  <si>
    <t>King Henson</t>
  </si>
  <si>
    <t>KHenson</t>
  </si>
  <si>
    <t>Kingsley.Richards@manulifesecurities.ca</t>
  </si>
  <si>
    <t>Kingsley Richards</t>
  </si>
  <si>
    <t>2017-10-16T09:27:05</t>
  </si>
  <si>
    <t>mfc.kingsley.rich</t>
  </si>
  <si>
    <t>Kirat.Bajwa@manulifesecurities.ca</t>
  </si>
  <si>
    <t>Kirat Bajwa</t>
  </si>
  <si>
    <t>KBajwa</t>
  </si>
  <si>
    <t>Kirk.Baines@manulifesecurities.ca</t>
  </si>
  <si>
    <t>Kirk Baines</t>
  </si>
  <si>
    <t>2017-10-15T17:56:15</t>
  </si>
  <si>
    <t>KBaines</t>
  </si>
  <si>
    <t>Kirk.McNamee@manulifesecurities.ca</t>
  </si>
  <si>
    <t>Kirk McNamee</t>
  </si>
  <si>
    <t>2017-10-11T10:33:27</t>
  </si>
  <si>
    <t>mcnameek</t>
  </si>
  <si>
    <t>Kirk.Qayoom@manulifesecurities.ca</t>
  </si>
  <si>
    <t>Kirk Qayoom</t>
  </si>
  <si>
    <t>kiqayo</t>
  </si>
  <si>
    <t>Kirsten.Bahrey@manulifesecurities.ca</t>
  </si>
  <si>
    <t>Kirsten Bahrey</t>
  </si>
  <si>
    <t>Kibahrey</t>
  </si>
  <si>
    <t>Kirsten.Greig@manulifesecurities.ca</t>
  </si>
  <si>
    <t>Kirsten Greig</t>
  </si>
  <si>
    <t>kgrieg</t>
  </si>
  <si>
    <t>Kirsten.Jevons@manulifesecurities.ca</t>
  </si>
  <si>
    <t>Kirsten Jevons</t>
  </si>
  <si>
    <t>KJevons</t>
  </si>
  <si>
    <t>Kirstin.Meadows@manulifesecurities.ca</t>
  </si>
  <si>
    <t>Kirstin Meadows</t>
  </si>
  <si>
    <t>2015-07-27T13:19:31</t>
  </si>
  <si>
    <t>KMeadows</t>
  </si>
  <si>
    <t>KMcGillvray@manulifesecurities.ca</t>
  </si>
  <si>
    <t>Karen  McGillvray</t>
  </si>
  <si>
    <t>kamcgill</t>
  </si>
  <si>
    <t>kolten.fyfe@manulifesecurities.ca</t>
  </si>
  <si>
    <t>Kolten Fyfe</t>
  </si>
  <si>
    <t>2017-06-19T11:36:36</t>
  </si>
  <si>
    <t>mfc.kolten.fyfe</t>
  </si>
  <si>
    <t>Koreen.Ogg@manulifesecurities.ca</t>
  </si>
  <si>
    <t>Koreen Ogg</t>
  </si>
  <si>
    <t>2017-10-11T14:12:09</t>
  </si>
  <si>
    <t>korogg</t>
  </si>
  <si>
    <t>Kornelia.VanDerWerf@manulifesecurities.ca</t>
  </si>
  <si>
    <t>Kornelia VanDerWerf</t>
  </si>
  <si>
    <t>kvdwerf</t>
  </si>
  <si>
    <t>Krikor.Ghanaghounian@manulifesecurities.ca</t>
  </si>
  <si>
    <t>Krikor Ghanaghounian</t>
  </si>
  <si>
    <t>KGhanaghounian</t>
  </si>
  <si>
    <t>Kris.Dembinski@manulifesecurities.ca</t>
  </si>
  <si>
    <t>Kris Dembinski</t>
  </si>
  <si>
    <t>2017-10-04T09:35:44</t>
  </si>
  <si>
    <t>dembikr</t>
  </si>
  <si>
    <t>Kris.Dureau@manulifesecurities.ca</t>
  </si>
  <si>
    <t>Kris Dureau</t>
  </si>
  <si>
    <t>KDureau</t>
  </si>
  <si>
    <t>Kris.Lee@manulifesecurities.ca</t>
  </si>
  <si>
    <t>Kris Lee</t>
  </si>
  <si>
    <t>2016-10-04T20:36:01</t>
  </si>
  <si>
    <t>KLee</t>
  </si>
  <si>
    <t>Kris.Yip@manulifesecurities.ca</t>
  </si>
  <si>
    <t>Kris Yip</t>
  </si>
  <si>
    <t>2017-10-13T11:16:43</t>
  </si>
  <si>
    <t>krisyip</t>
  </si>
  <si>
    <t>Krissi.Pacaud@manulifesecurities.ca</t>
  </si>
  <si>
    <t>Krissi Pacaud</t>
  </si>
  <si>
    <t>2017-10-08T19:54:38</t>
  </si>
  <si>
    <t>KPacaud</t>
  </si>
  <si>
    <t>Krista.Bulych@manulifesecurities.ca</t>
  </si>
  <si>
    <t>Krista Bulych</t>
  </si>
  <si>
    <t>KBulych</t>
  </si>
  <si>
    <t>krista.cardoso@manulifesecurities.ca</t>
  </si>
  <si>
    <t>Krista Cardoso</t>
  </si>
  <si>
    <t>2017-10-12T08:40:46</t>
  </si>
  <si>
    <t>mfc.krista.cardos</t>
  </si>
  <si>
    <t>Krista.Hansen@manulifesecurities.ca</t>
  </si>
  <si>
    <t>Krista Hansen</t>
  </si>
  <si>
    <t>2017-08-08T13:59:57</t>
  </si>
  <si>
    <t>KHansen</t>
  </si>
  <si>
    <t>Krista.Jamieson@manulifesecurities.ca</t>
  </si>
  <si>
    <t>Krista Jamieson</t>
  </si>
  <si>
    <t>2017-10-12T10:32:57</t>
  </si>
  <si>
    <t>KJamieson</t>
  </si>
  <si>
    <t>Krista.Lanigan@manulifesecurities.ca</t>
  </si>
  <si>
    <t>Krista Lanigan</t>
  </si>
  <si>
    <t>klanigan</t>
  </si>
  <si>
    <t>krista.macdonald@manulifesecurities.ca</t>
  </si>
  <si>
    <t>Krista MacDonald</t>
  </si>
  <si>
    <t>2017-10-10T15:01:40</t>
  </si>
  <si>
    <t>mfc.krista.macdon</t>
  </si>
  <si>
    <t>Krista.Parker@manulifesecurities.ca</t>
  </si>
  <si>
    <t>Krista Parker</t>
  </si>
  <si>
    <t>edm111</t>
  </si>
  <si>
    <t>Krista.Shortridge@manulifesecurities.ca</t>
  </si>
  <si>
    <t>Krista Shortridge</t>
  </si>
  <si>
    <t>2015-07-08T12:12:15</t>
  </si>
  <si>
    <t>mfc.krista.shortr</t>
  </si>
  <si>
    <t>Krista.Wark@manulifesecurities.ca</t>
  </si>
  <si>
    <t>Krista Wark</t>
  </si>
  <si>
    <t>KWark</t>
  </si>
  <si>
    <t>kristel.cowley@manulifesecurities.ca</t>
  </si>
  <si>
    <t>Kristel Cowley</t>
  </si>
  <si>
    <t>2016-06-03T11:59:13</t>
  </si>
  <si>
    <t>mfc.kristel.cowle</t>
  </si>
  <si>
    <t>Kristen.Brewer@manulifesecurities.ca</t>
  </si>
  <si>
    <t>Kristen Brewer</t>
  </si>
  <si>
    <t>2015-10-23T15:17:35</t>
  </si>
  <si>
    <t>mfc.kristen.brewe</t>
  </si>
  <si>
    <t>Kristen.Dube@manulifesecurities.ca</t>
  </si>
  <si>
    <t>Kristen Dube</t>
  </si>
  <si>
    <t>2015-03-05T11:35:34</t>
  </si>
  <si>
    <t>KrDube</t>
  </si>
  <si>
    <t>kristi.ames@manulifesecurities.ca</t>
  </si>
  <si>
    <t>Kristi Ames</t>
  </si>
  <si>
    <t>2017-10-14T13:00:07</t>
  </si>
  <si>
    <t>mfc.kristi.ames</t>
  </si>
  <si>
    <t>Kristi.Leschuk@manulifesecurities.ca</t>
  </si>
  <si>
    <t>Kristi Leschuk</t>
  </si>
  <si>
    <t>2017-10-13T14:41:37</t>
  </si>
  <si>
    <t>mfc.kristi.leschu</t>
  </si>
  <si>
    <t>Kristian.Manion@manulifesecurities.ca</t>
  </si>
  <si>
    <t>Kristian Manion</t>
  </si>
  <si>
    <t>KManion</t>
  </si>
  <si>
    <t>Kristin.Galer@manulifesecurities.ca</t>
  </si>
  <si>
    <t>Kristin Galer</t>
  </si>
  <si>
    <t>KGaler</t>
  </si>
  <si>
    <t>Kristin.Peltier@manulifesecurities.ca</t>
  </si>
  <si>
    <t>Kristin Peltier</t>
  </si>
  <si>
    <t>2017-10-05T12:06:31</t>
  </si>
  <si>
    <t>mfc.kristin.pelti</t>
  </si>
  <si>
    <t>Kristin.VanderVeen@manulifesecurities.ca</t>
  </si>
  <si>
    <t>zz Manulife - Kristin VanderVeen</t>
  </si>
  <si>
    <t>kvanderveen</t>
  </si>
  <si>
    <t>Kristin.Ward@manulifesecurities.ca</t>
  </si>
  <si>
    <t>Kristin Ward</t>
  </si>
  <si>
    <t>kward</t>
  </si>
  <si>
    <t>Kristina.Fryklund@manulifesecurities.ca</t>
  </si>
  <si>
    <t>Kristina Fryklund</t>
  </si>
  <si>
    <t>2017-04-20T15:10:22</t>
  </si>
  <si>
    <t>mfc.kristina.fryk</t>
  </si>
  <si>
    <t>Kristina.Honchar@manulifesecurities.ca</t>
  </si>
  <si>
    <t>KHonchar</t>
  </si>
  <si>
    <t>Kristina.Kuklyte@manulifesecurities.ca</t>
  </si>
  <si>
    <t>Kristina Kuklyte</t>
  </si>
  <si>
    <t>2017-10-05T13:09:22</t>
  </si>
  <si>
    <t>mfc.kristina.kukl</t>
  </si>
  <si>
    <t>Kristofer.Hird@manulifesecurities.ca</t>
  </si>
  <si>
    <t>Kristofer Hird</t>
  </si>
  <si>
    <t>KHird</t>
  </si>
  <si>
    <t>Krysta.Perrin@manulifesecurities.ca</t>
  </si>
  <si>
    <t>Krysta Perrin</t>
  </si>
  <si>
    <t>KPerrin</t>
  </si>
  <si>
    <t>Krysta.Witiw@manulifesecurities.ca</t>
  </si>
  <si>
    <t>Krysta Witiw</t>
  </si>
  <si>
    <t>KWitiw</t>
  </si>
  <si>
    <t>Krystel.Reyes@manulifesecurities.ca</t>
  </si>
  <si>
    <t>Krystel Reyes</t>
  </si>
  <si>
    <t>KReyes</t>
  </si>
  <si>
    <t>Krystin.Belanger@manulifesecurities.ca</t>
  </si>
  <si>
    <t>Krystin Belanger</t>
  </si>
  <si>
    <t>belankr</t>
  </si>
  <si>
    <t>krzysztof.kowalski@manulifesecurities.ca</t>
  </si>
  <si>
    <t>Krzysztof Kowalski</t>
  </si>
  <si>
    <t>2016-06-20T13:42:18</t>
  </si>
  <si>
    <t>mfc.krzysztof.kow</t>
  </si>
  <si>
    <t>Kurt.Montgomery@manulifesecurities.ca</t>
  </si>
  <si>
    <t>Kurt Montgomery</t>
  </si>
  <si>
    <t>2017-05-11T05:41:04</t>
  </si>
  <si>
    <t>mfc.kurt.montgome</t>
  </si>
  <si>
    <t>Kurt.Rosentreter@manulifesecurities.ca</t>
  </si>
  <si>
    <t>Kurt Rosentreter</t>
  </si>
  <si>
    <t>2017-10-08T13:44:58</t>
  </si>
  <si>
    <t>KRosentreter</t>
  </si>
  <si>
    <t>kurt.thibault@manulifesecurities.ca</t>
  </si>
  <si>
    <t>Kurt Thibault</t>
  </si>
  <si>
    <t>2017-10-07T08:41:14</t>
  </si>
  <si>
    <t>mfc.kurt.thibault</t>
  </si>
  <si>
    <t>Kurtis.Schultz@manulifesecurities.ca</t>
  </si>
  <si>
    <t>Kurtis Schultz</t>
  </si>
  <si>
    <t>2016-06-09T09:29:31</t>
  </si>
  <si>
    <t>KSchultz</t>
  </si>
  <si>
    <t>kwesi.yeboah@manulifesecurities.ca</t>
  </si>
  <si>
    <t>Emmanuel Yeboah</t>
  </si>
  <si>
    <t>eyeboah</t>
  </si>
  <si>
    <t>Kyle.Barna@manulifesecurities.ca</t>
  </si>
  <si>
    <t>Kyle Barna</t>
  </si>
  <si>
    <t>kbarna</t>
  </si>
  <si>
    <t>Kyle.Bellenie@manulifesecurities.ca</t>
  </si>
  <si>
    <t>Kyle Bellenie</t>
  </si>
  <si>
    <t>KBellenie</t>
  </si>
  <si>
    <t>Kyle.Bellenie2@manulifesecurities.ca</t>
  </si>
  <si>
    <t>Kyle Bellenie (kybellenie)</t>
  </si>
  <si>
    <t>kybellenie</t>
  </si>
  <si>
    <t>Kyle.Chatfield@manulifesecurities.ca</t>
  </si>
  <si>
    <t>Kyle Chatfield</t>
  </si>
  <si>
    <t>2017-10-13T09:44:50</t>
  </si>
  <si>
    <t>kchatfield</t>
  </si>
  <si>
    <t>Kyle.Costa@manulifesecurities.ca</t>
  </si>
  <si>
    <t>Kyle Costa</t>
  </si>
  <si>
    <t>KCosta</t>
  </si>
  <si>
    <t>Kyle.David@manulifesecurities.ca</t>
  </si>
  <si>
    <t>Kyle David</t>
  </si>
  <si>
    <t>KDavid</t>
  </si>
  <si>
    <t>Kyle.Harris@manulifesecurities.ca</t>
  </si>
  <si>
    <t>Kyle Harris</t>
  </si>
  <si>
    <t>2017-10-13T18:47:56</t>
  </si>
  <si>
    <t>KHarris</t>
  </si>
  <si>
    <t>Kyle.Martin@manulifesecurities.ca</t>
  </si>
  <si>
    <t>Kyle Martin</t>
  </si>
  <si>
    <t>2017-10-15T16:55:38</t>
  </si>
  <si>
    <t>mfc.kyle.martin</t>
  </si>
  <si>
    <t>Kyle.Stevenson@manulifesecurities.ca</t>
  </si>
  <si>
    <t>Kyle Stevenson</t>
  </si>
  <si>
    <t>2017-10-07T06:56:01</t>
  </si>
  <si>
    <t>mfc.kyle.stevenso</t>
  </si>
  <si>
    <t>Kyler.Smith@manulifesecurities.ca</t>
  </si>
  <si>
    <t>Kyler Smith</t>
  </si>
  <si>
    <t>2017-10-14T09:13:53</t>
  </si>
  <si>
    <t>kylersmith</t>
  </si>
  <si>
    <t>Kylie.Cross@manulifesecurities.ca</t>
  </si>
  <si>
    <t>Kylie Cross</t>
  </si>
  <si>
    <t>2015-05-25T11:10:19</t>
  </si>
  <si>
    <t>KCross</t>
  </si>
  <si>
    <t>Kylie.Edington@manulifesecurities.ca</t>
  </si>
  <si>
    <t>Kylie Edington</t>
  </si>
  <si>
    <t>2015-07-09T18:11:00</t>
  </si>
  <si>
    <t>KEdington</t>
  </si>
  <si>
    <t>Kym.Beatty@manulifesecurities.ca</t>
  </si>
  <si>
    <t>Kym Beatty</t>
  </si>
  <si>
    <t>kbeatty</t>
  </si>
  <si>
    <t>Kyzie.Levy@manulifesecurities.ca</t>
  </si>
  <si>
    <t>Kyzie Levy</t>
  </si>
  <si>
    <t>KLevy</t>
  </si>
  <si>
    <t>L.Abrams@manulifesecurities.ca</t>
  </si>
  <si>
    <t>Laura Abrams</t>
  </si>
  <si>
    <t>2017-10-10T10:18:54</t>
  </si>
  <si>
    <t>LauraAbrams</t>
  </si>
  <si>
    <t>L.Boisvert@manulifesecurities.ca</t>
  </si>
  <si>
    <t>Lori Boisvert (Disabled)</t>
  </si>
  <si>
    <t>loboisve</t>
  </si>
  <si>
    <t>l.crispin@manulifesecurities.ca</t>
  </si>
  <si>
    <t>Linda Crispin</t>
  </si>
  <si>
    <t>2016-01-13T13:18:40</t>
  </si>
  <si>
    <t>mfc.l.crispin</t>
  </si>
  <si>
    <t>L.DaSilva@manulifesecurities.ca</t>
  </si>
  <si>
    <t>Lilian Da Silva</t>
  </si>
  <si>
    <t>2016-08-02T12:57:45</t>
  </si>
  <si>
    <t>mfc.l.dasilva</t>
  </si>
  <si>
    <t>l.fuduric@manulifesecurities.ca</t>
  </si>
  <si>
    <t>Laura Fuduric</t>
  </si>
  <si>
    <t>mfc.l.fuduric</t>
  </si>
  <si>
    <t>L.Graham@manulifesecurities.ca</t>
  </si>
  <si>
    <t>Lynn Graham</t>
  </si>
  <si>
    <t>2015-06-04T09:46:36</t>
  </si>
  <si>
    <t>mfc.l.graham</t>
  </si>
  <si>
    <t>l.natchev@manulifesecurities.ca</t>
  </si>
  <si>
    <t>Ludmil Natchev</t>
  </si>
  <si>
    <t>2017-10-14T00:34:55</t>
  </si>
  <si>
    <t>mfc.l.natchev</t>
  </si>
  <si>
    <t>l.rotth@manulifesecurities.ca</t>
  </si>
  <si>
    <t>Lori Rotth</t>
  </si>
  <si>
    <t>2017-06-09T14:47:24</t>
  </si>
  <si>
    <t>mfc.l.rotth</t>
  </si>
  <si>
    <t>L.Scott@manulifesecurities.ca</t>
  </si>
  <si>
    <t>Linda S. Scott</t>
  </si>
  <si>
    <t>2014-11-06T08:18:26</t>
  </si>
  <si>
    <t>LinScott</t>
  </si>
  <si>
    <t>L.Tran@manulifesecurities.ca</t>
  </si>
  <si>
    <t>Linh Tran</t>
  </si>
  <si>
    <t>2017-10-06T16:37:06</t>
  </si>
  <si>
    <t>mfc.l.tran</t>
  </si>
  <si>
    <t>L.White-Pierobon@manulifesecurities.ca</t>
  </si>
  <si>
    <t>Lisa White-Pierobon</t>
  </si>
  <si>
    <t>2017-10-06T15:35:18</t>
  </si>
  <si>
    <t>lmwhite</t>
  </si>
  <si>
    <t>l.zambito@manulifesecurities.ca</t>
  </si>
  <si>
    <t>Laura Zambito</t>
  </si>
  <si>
    <t>mfc.l.zambito</t>
  </si>
  <si>
    <t>Lacey.Middagh@manulifesecurities.ca</t>
  </si>
  <si>
    <t>Lacey Prochinsky (L.Prochinsky)</t>
  </si>
  <si>
    <t>2017-09-25T15:05:31</t>
  </si>
  <si>
    <t>LaceyProchinsky</t>
  </si>
  <si>
    <t>Lacey.Prochinsky@manulifesecurities.ca</t>
  </si>
  <si>
    <t>Lacey Prochinsky</t>
  </si>
  <si>
    <t>LProchinsky</t>
  </si>
  <si>
    <t>Lai.Mathewson@manulifesecurities.ca</t>
  </si>
  <si>
    <t>Lai Mathewson</t>
  </si>
  <si>
    <t>2017-10-10T09:02:58</t>
  </si>
  <si>
    <t>mfc.lai.mathewson</t>
  </si>
  <si>
    <t>Lakshmi.Pillai@manulifesecurities.ca</t>
  </si>
  <si>
    <t>Lakshmi Pillai</t>
  </si>
  <si>
    <t>2017-10-08T14:07:54</t>
  </si>
  <si>
    <t>LPillai</t>
  </si>
  <si>
    <t>Lana.Kroeis@manulifesecurities.ca</t>
  </si>
  <si>
    <t>Lana Kroeis</t>
  </si>
  <si>
    <t>lkroeis</t>
  </si>
  <si>
    <t>Lana.Ma@manulifesecurities.ca</t>
  </si>
  <si>
    <t>Lana Ma</t>
  </si>
  <si>
    <t>2017-10-12T12:00:56</t>
  </si>
  <si>
    <t>lanama</t>
  </si>
  <si>
    <t>Lana.Salmon@manulifesecurities.ca</t>
  </si>
  <si>
    <t>Lana Salmon</t>
  </si>
  <si>
    <t>LSalmon</t>
  </si>
  <si>
    <t>Lannie.Chau@manulifesecurities.ca</t>
  </si>
  <si>
    <t>Lannie Chau</t>
  </si>
  <si>
    <t>2015-11-26T10:42:22</t>
  </si>
  <si>
    <t>LChau</t>
  </si>
  <si>
    <t>larissa.kaur@manulifesecurities.ca</t>
  </si>
  <si>
    <t>Larissa Kaur</t>
  </si>
  <si>
    <t>2016-08-29T09:47:44</t>
  </si>
  <si>
    <t>mfc.larissa.kaur</t>
  </si>
  <si>
    <t>Larry.Green@manulifesecurities.ca</t>
  </si>
  <si>
    <t>Larry Green</t>
  </si>
  <si>
    <t>2017-10-16T07:13:59</t>
  </si>
  <si>
    <t>lgreen</t>
  </si>
  <si>
    <t>Larry.Hillmer@manulifesecurities.ca</t>
  </si>
  <si>
    <t>Larry Hillmer</t>
  </si>
  <si>
    <t>2016-11-10T18:39:24</t>
  </si>
  <si>
    <t>LHillmer</t>
  </si>
  <si>
    <t>Larry.Jensen@manulifesecurities.ca</t>
  </si>
  <si>
    <t>Larry Jensen</t>
  </si>
  <si>
    <t>2017-06-13T12:29:52</t>
  </si>
  <si>
    <t>LJensen</t>
  </si>
  <si>
    <t>Larry.Lukenchuk@manulifesecurities.ca</t>
  </si>
  <si>
    <t>Larry Lukenchuk</t>
  </si>
  <si>
    <t>2017-10-10T20:15:56</t>
  </si>
  <si>
    <t>weight</t>
  </si>
  <si>
    <t>Larry.Reid@manulifesecurities.ca</t>
  </si>
  <si>
    <t>Larry Reid</t>
  </si>
  <si>
    <t>2017-10-03T10:33:24</t>
  </si>
  <si>
    <t>LReid</t>
  </si>
  <si>
    <t>Launa.Doucette@manulifesecurities.ca</t>
  </si>
  <si>
    <t>Launa Doucette</t>
  </si>
  <si>
    <t>geminigirl</t>
  </si>
  <si>
    <t>Laura.Abrams@manulifesecurities.ca</t>
  </si>
  <si>
    <t>Laura Abrams (Disabled)</t>
  </si>
  <si>
    <t>labrams</t>
  </si>
  <si>
    <t>Laura.Ackermann@manulifesecurities.ca</t>
  </si>
  <si>
    <t>Laura Ackermann</t>
  </si>
  <si>
    <t>2017-10-15T23:50:58</t>
  </si>
  <si>
    <t>lackerma</t>
  </si>
  <si>
    <t>Laura.Amorim@manulifesecurities.ca</t>
  </si>
  <si>
    <t>Laura Amorim</t>
  </si>
  <si>
    <t>lamorin</t>
  </si>
  <si>
    <t>Laura.Anzik@manulifesecurities.ca</t>
  </si>
  <si>
    <t>Laura Anzik</t>
  </si>
  <si>
    <t>2017-10-05T10:12:06</t>
  </si>
  <si>
    <t>LAnzik</t>
  </si>
  <si>
    <t>Laura.Brindle@manulifesecurities.ca</t>
  </si>
  <si>
    <t>Laura Brindle</t>
  </si>
  <si>
    <t>2017-10-10T12:48:30</t>
  </si>
  <si>
    <t>mfc.laura.brindle</t>
  </si>
  <si>
    <t>Laura.Brown@manulifesecurities.ca</t>
  </si>
  <si>
    <t>Laura Brown</t>
  </si>
  <si>
    <t>laurabrown</t>
  </si>
  <si>
    <t>Laura.Collins@manulifesecurities.ca</t>
  </si>
  <si>
    <t>Laura Collins</t>
  </si>
  <si>
    <t>2017-10-15T12:19:39</t>
  </si>
  <si>
    <t>LCollins</t>
  </si>
  <si>
    <t>Laura.Feldrihan@manulifesecurities.ca</t>
  </si>
  <si>
    <t>Laura Feldrihan</t>
  </si>
  <si>
    <t>LFeldrihan</t>
  </si>
  <si>
    <t>Laura.Gaughan@manulifesecurities.ca</t>
  </si>
  <si>
    <t>Laura Gaughan</t>
  </si>
  <si>
    <t>lgaughan</t>
  </si>
  <si>
    <t>Laura.Grier@manulifesecurities.ca</t>
  </si>
  <si>
    <t>Laura Grier</t>
  </si>
  <si>
    <t>laugrier</t>
  </si>
  <si>
    <t>Laura.Hellard@manulifesecurities.ca</t>
  </si>
  <si>
    <t>Laura Hellard</t>
  </si>
  <si>
    <t>lahella</t>
  </si>
  <si>
    <t>Laura.Keeping@manulifesecurities.ca</t>
  </si>
  <si>
    <t>Laura Keeping</t>
  </si>
  <si>
    <t>LKeeping</t>
  </si>
  <si>
    <t>Laura.Layne@manulifesecurities.ca</t>
  </si>
  <si>
    <t>Laura Layne</t>
  </si>
  <si>
    <t>LLayne</t>
  </si>
  <si>
    <t>Laura.Manning@manulifesecurities.ca</t>
  </si>
  <si>
    <t>LManning</t>
  </si>
  <si>
    <t>Laura.Mantulescu@manulifesecurities.ca</t>
  </si>
  <si>
    <t>Laura Mantulescu</t>
  </si>
  <si>
    <t>mlaura</t>
  </si>
  <si>
    <t>Laura.Paul@manulifesecurities.ca</t>
  </si>
  <si>
    <t>Laura Paul</t>
  </si>
  <si>
    <t>laupaul</t>
  </si>
  <si>
    <t>Laura.Phoenix@manulifesecurities.ca</t>
  </si>
  <si>
    <t>Laura Phoenix</t>
  </si>
  <si>
    <t>2017-10-10T09:21:07</t>
  </si>
  <si>
    <t>ljphoenix</t>
  </si>
  <si>
    <t>Laura.Purser@manulifesecurities.ca</t>
  </si>
  <si>
    <t>Laura Purser</t>
  </si>
  <si>
    <t>laurapurser</t>
  </si>
  <si>
    <t>Laura.Young@manulifesecurities.ca</t>
  </si>
  <si>
    <t>Laura Young</t>
  </si>
  <si>
    <t>2017-10-10T10:23:07</t>
  </si>
  <si>
    <t>lfuduric</t>
  </si>
  <si>
    <t>Laura.Zambito@manulifesecurities.ca</t>
  </si>
  <si>
    <t>mfc.laura.zambito</t>
  </si>
  <si>
    <t>Laura.Zommere@manulifesecurities.ca</t>
  </si>
  <si>
    <t>Linda Zommere</t>
  </si>
  <si>
    <t>lzommere</t>
  </si>
  <si>
    <t>Lauralea.Peters@manulifesecurities.ca</t>
  </si>
  <si>
    <t>Lauralea Peters</t>
  </si>
  <si>
    <t>2017-10-10T10:51:12</t>
  </si>
  <si>
    <t>LPeters</t>
  </si>
  <si>
    <t>Laure.deGouyon@manulifesecurities.ca</t>
  </si>
  <si>
    <t>Lde Gouyon</t>
  </si>
  <si>
    <t>Laureen.Stanczak@manulifesecurities.ca</t>
  </si>
  <si>
    <t>Laureen Stanczak</t>
  </si>
  <si>
    <t>LStanczak</t>
  </si>
  <si>
    <t>Laurel.Baker@manulifesecurities.ca</t>
  </si>
  <si>
    <t>Laurel Baker</t>
  </si>
  <si>
    <t>LBaker</t>
  </si>
  <si>
    <t>Laurel.Nytchay@manulifesecurities.ca</t>
  </si>
  <si>
    <t>Laurel Nytchay</t>
  </si>
  <si>
    <t>2017-10-13T10:31:33</t>
  </si>
  <si>
    <t>nytchla</t>
  </si>
  <si>
    <t>Laurel.Siemens@manulifesecurities.ca</t>
  </si>
  <si>
    <t>Laurel Siemens</t>
  </si>
  <si>
    <t>2016-01-11T15:24:29</t>
  </si>
  <si>
    <t>lsiemens</t>
  </si>
  <si>
    <t>Laurelann.Prociuk@manulifesecurities.ca</t>
  </si>
  <si>
    <t>Laurelann Prociuk</t>
  </si>
  <si>
    <t>LProciuk</t>
  </si>
  <si>
    <t>Lauren.Dai@manulifesecurities.ca</t>
  </si>
  <si>
    <t>Lauren Dai</t>
  </si>
  <si>
    <t>2015-03-29T12:52:55</t>
  </si>
  <si>
    <t>mfc.lauren.dai</t>
  </si>
  <si>
    <t>lauren.garvey@manulifesecurities.ca</t>
  </si>
  <si>
    <t>Lauren Garvey</t>
  </si>
  <si>
    <t>2015-08-04T15:40:13</t>
  </si>
  <si>
    <t>mfc.lauren.garvey</t>
  </si>
  <si>
    <t>Lauren.Hartley@manulifesecurities.ca</t>
  </si>
  <si>
    <t>Lauren Hartley</t>
  </si>
  <si>
    <t>LHartley</t>
  </si>
  <si>
    <t>Lauren.Smith@manulifesecurities.ca</t>
  </si>
  <si>
    <t>Lauren Smith</t>
  </si>
  <si>
    <t>LSmith</t>
  </si>
  <si>
    <t>Laurence.Bertram@manulifesecurities.ca</t>
  </si>
  <si>
    <t>Laurence Bertram</t>
  </si>
  <si>
    <t>2017-04-07T08:53:29</t>
  </si>
  <si>
    <t>LBertram</t>
  </si>
  <si>
    <t>Laurence.Rogerson@manulifesecurities.ca</t>
  </si>
  <si>
    <t>Laurence Rogerson</t>
  </si>
  <si>
    <t>lhrogerson</t>
  </si>
  <si>
    <t>laurent.benezra@manulifesecurities.ca</t>
  </si>
  <si>
    <t>Laurent Benezra</t>
  </si>
  <si>
    <t>2017-10-11T11:34:11</t>
  </si>
  <si>
    <t>mfc.laurent.benez</t>
  </si>
  <si>
    <t>Laurent.Galarneau@manulifesecurities.ca</t>
  </si>
  <si>
    <t>Laurent Galarneau</t>
  </si>
  <si>
    <t>2017-10-07T23:45:05</t>
  </si>
  <si>
    <t>mfc.laurent.galar</t>
  </si>
  <si>
    <t>Laurent.Tittley@manulifesecurities.ca</t>
  </si>
  <si>
    <t>Laurent Tittley</t>
  </si>
  <si>
    <t>ltittley</t>
  </si>
  <si>
    <t>Laurie.Brown@manulifesecurities.ca</t>
  </si>
  <si>
    <t>Laurie Brown</t>
  </si>
  <si>
    <t>2017-10-07T19:52:37</t>
  </si>
  <si>
    <t>LBrown</t>
  </si>
  <si>
    <t>Laurie.Longtin@manulifesecurities.ca</t>
  </si>
  <si>
    <t>Laurie Longtin</t>
  </si>
  <si>
    <t>llongtin</t>
  </si>
  <si>
    <t>Laurie.MacLeod@manulifesecurities.ca</t>
  </si>
  <si>
    <t>Laurie MacLeod</t>
  </si>
  <si>
    <t>LMacLeod</t>
  </si>
  <si>
    <t>Laurie.Mckillop@manulifesecurities.ca</t>
  </si>
  <si>
    <t>Laurie Mckillop</t>
  </si>
  <si>
    <t>2017-09-25T10:25:36</t>
  </si>
  <si>
    <t>mckilll</t>
  </si>
  <si>
    <t>Laurie.Morris@manulifesecurities.ca</t>
  </si>
  <si>
    <t>Laurie Morris</t>
  </si>
  <si>
    <t>2014-10-26T16:02:36</t>
  </si>
  <si>
    <t>lcmorris</t>
  </si>
  <si>
    <t>Laurie.Paklepa@manulifesecurities.ca</t>
  </si>
  <si>
    <t>Laurie Paklepa</t>
  </si>
  <si>
    <t>LPaklepa</t>
  </si>
  <si>
    <t>Laurie.Platts@manulifesecurities.ca</t>
  </si>
  <si>
    <t>Laurie Platts</t>
  </si>
  <si>
    <t>2017-10-13T16:47:25</t>
  </si>
  <si>
    <t>plattsla</t>
  </si>
  <si>
    <t>Laurie.Selway@manulifesecurities.ca</t>
  </si>
  <si>
    <t>Laurie Selway</t>
  </si>
  <si>
    <t>2017-10-10T09:44:18</t>
  </si>
  <si>
    <t>mollila</t>
  </si>
  <si>
    <t>Laurie.Sweet@manulifesecurities.ca</t>
  </si>
  <si>
    <t>Laurie Sweet</t>
  </si>
  <si>
    <t>lsweet</t>
  </si>
  <si>
    <t>Laurie.Symbaluk@manulifesecurities.ca</t>
  </si>
  <si>
    <t>Laurie Symbaluk</t>
  </si>
  <si>
    <t>2017-10-02T14:06:07</t>
  </si>
  <si>
    <t>mfc.laurie.symbal</t>
  </si>
  <si>
    <t>Lavonne.Dynna@manulifesecurities.ca</t>
  </si>
  <si>
    <t>Lavonne Dynna</t>
  </si>
  <si>
    <t>LDynna</t>
  </si>
  <si>
    <t>Lawrence.Bourke@manulifesecurities.ca</t>
  </si>
  <si>
    <t>Lawrence Bourke</t>
  </si>
  <si>
    <t>labourke</t>
  </si>
  <si>
    <t>Lawrence.Dennis@manulifesecurities.ca</t>
  </si>
  <si>
    <t>Lawrence Dennis</t>
  </si>
  <si>
    <t>2017-10-10T14:50:06</t>
  </si>
  <si>
    <t>LDennis</t>
  </si>
  <si>
    <t>Lawrence.Mandseth@manulifesecurities.ca</t>
  </si>
  <si>
    <t>Lawrence Mandseth</t>
  </si>
  <si>
    <t>2017-10-11T12:33:56</t>
  </si>
  <si>
    <t>mandseth</t>
  </si>
  <si>
    <t>Lawrence.Martinko@manulifesecurities.ca</t>
  </si>
  <si>
    <t>Larry Martinko</t>
  </si>
  <si>
    <t>LMartinko</t>
  </si>
  <si>
    <t>Lawrence.Tramer@manulifesecurities.ca</t>
  </si>
  <si>
    <t>Lawrence Tramer</t>
  </si>
  <si>
    <t>LTramer</t>
  </si>
  <si>
    <t>Layla.Callaghan@manulifesecurities.ca</t>
  </si>
  <si>
    <t>Layla Callaghan</t>
  </si>
  <si>
    <t>lcallaghan</t>
  </si>
  <si>
    <t>lea.musselman@manulifesecurities.ca</t>
  </si>
  <si>
    <t>Lea Musselman</t>
  </si>
  <si>
    <t>2016-08-05T15:04:40</t>
  </si>
  <si>
    <t>mfc.lea.musselman</t>
  </si>
  <si>
    <t>Leah.Dublanski@manulifesecurities.ca</t>
  </si>
  <si>
    <t>Leah Dublanski</t>
  </si>
  <si>
    <t>LDublanski</t>
  </si>
  <si>
    <t>Leah.Earle@manulifesecurities.ca</t>
  </si>
  <si>
    <t>Leah Earle</t>
  </si>
  <si>
    <t>2017-10-05T09:31:20</t>
  </si>
  <si>
    <t>mfc.leah.earle</t>
  </si>
  <si>
    <t>Leah.Hennessy@manulifesecurities.ca</t>
  </si>
  <si>
    <t>Leah Hennessy</t>
  </si>
  <si>
    <t>LHennessy</t>
  </si>
  <si>
    <t>Leah.MacPherson@manulifesecurities.ca</t>
  </si>
  <si>
    <t>Leah MacPherson</t>
  </si>
  <si>
    <t>2017-03-15T16:41:57</t>
  </si>
  <si>
    <t>LMacPherson</t>
  </si>
  <si>
    <t>Leane.Buxton@manulifesecurities.ca</t>
  </si>
  <si>
    <t>Leane Buxton</t>
  </si>
  <si>
    <t>lrbuxton</t>
  </si>
  <si>
    <t>Leanne.Allen@manulifesecurities.ca</t>
  </si>
  <si>
    <t>Leanne Allen</t>
  </si>
  <si>
    <t>LAllen</t>
  </si>
  <si>
    <t>Leanne.Corrigan@manulifesecurities.ca</t>
  </si>
  <si>
    <t>Leanne Corrigan</t>
  </si>
  <si>
    <t>2017-09-25T14:55:52</t>
  </si>
  <si>
    <t>lcorrig</t>
  </si>
  <si>
    <t>Leanne.Frechette@manulifesecurities.ca</t>
  </si>
  <si>
    <t>Leanne Frechette</t>
  </si>
  <si>
    <t>2017-10-16T07:38:09</t>
  </si>
  <si>
    <t>lfrechette</t>
  </si>
  <si>
    <t>Leanne.Hall@manulifesecurities.ca</t>
  </si>
  <si>
    <t>Leanne Hall</t>
  </si>
  <si>
    <t>LHall</t>
  </si>
  <si>
    <t>Leanne.Harney@manulifesecurities.ca</t>
  </si>
  <si>
    <t>Leanne Harney</t>
  </si>
  <si>
    <t>lharney</t>
  </si>
  <si>
    <t>Leanne.Jobagy@manulifesecurities.ca</t>
  </si>
  <si>
    <t>Leanne Jobagy</t>
  </si>
  <si>
    <t>2017-10-10T18:26:08</t>
  </si>
  <si>
    <t>jobagy</t>
  </si>
  <si>
    <t>Leanne.King@manulifesecurities.ca</t>
  </si>
  <si>
    <t>Leanne King</t>
  </si>
  <si>
    <t>lmackenzie</t>
  </si>
  <si>
    <t>Leanne.Kohtala@manulifesecurities.ca</t>
  </si>
  <si>
    <t>Leanne Kohtala</t>
  </si>
  <si>
    <t>2017-10-07T07:18:44</t>
  </si>
  <si>
    <t>LKohtala</t>
  </si>
  <si>
    <t>Leanne.OReilly@manulifesecurities.ca</t>
  </si>
  <si>
    <t>Leanne O'Reilly</t>
  </si>
  <si>
    <t>leanne</t>
  </si>
  <si>
    <t>Leat.Ahrony@manulifesecurities.ca</t>
  </si>
  <si>
    <t>Leat Ahrony</t>
  </si>
  <si>
    <t>2015-12-28T19:48:59</t>
  </si>
  <si>
    <t>mfc.leat.ahrony</t>
  </si>
  <si>
    <t>Lee.Brum@manulifesecurities.ca</t>
  </si>
  <si>
    <t>Lee Brum</t>
  </si>
  <si>
    <t>lbrum</t>
  </si>
  <si>
    <t>Lee.Coles@manulifesecurities.ca</t>
  </si>
  <si>
    <t>Lee Coles</t>
  </si>
  <si>
    <t>2017-10-16T08:23:41</t>
  </si>
  <si>
    <t>lcoles</t>
  </si>
  <si>
    <t>Lee.Harris@manulifesecurities.ca</t>
  </si>
  <si>
    <t>Lee Harris</t>
  </si>
  <si>
    <t>LHarris</t>
  </si>
  <si>
    <t>Lee.Miner@manulifesecurities.ca</t>
  </si>
  <si>
    <t>Lee Miner</t>
  </si>
  <si>
    <t>2017-10-10T15:30:43</t>
  </si>
  <si>
    <t>LMiner</t>
  </si>
  <si>
    <t>Leeann.Chesky@manulifesecurities.ca</t>
  </si>
  <si>
    <t>Leeann Chesky</t>
  </si>
  <si>
    <t>2017-10-07T02:13:31</t>
  </si>
  <si>
    <t>LChesky</t>
  </si>
  <si>
    <t>Leeanne.Lemaitre@manulifesecurities.ca</t>
  </si>
  <si>
    <t>Leeanne Lemaitre</t>
  </si>
  <si>
    <t>mfc.leeanne.lemai</t>
  </si>
  <si>
    <t>Leighanne.Hoffman@manulifesecurities.ca</t>
  </si>
  <si>
    <t>Leighanne Hoffman</t>
  </si>
  <si>
    <t>lehoff</t>
  </si>
  <si>
    <t>Len.Coleman@manulifesecurities.ca</t>
  </si>
  <si>
    <t>Len Coleman</t>
  </si>
  <si>
    <t>lcoleman</t>
  </si>
  <si>
    <t>Len.Colman@manulifesecurities.ca</t>
  </si>
  <si>
    <t>Len Colman</t>
  </si>
  <si>
    <t>2017-10-13T15:29:14</t>
  </si>
  <si>
    <t>LColman</t>
  </si>
  <si>
    <t>Lena.Heringer@manulifesecurities.ca</t>
  </si>
  <si>
    <t>Lena Heringer</t>
  </si>
  <si>
    <t>2015-10-01T14:46:28</t>
  </si>
  <si>
    <t>llheringer</t>
  </si>
  <si>
    <t>Lena.Hoang@manulifesecurities.ca</t>
  </si>
  <si>
    <t>Lena Hoang</t>
  </si>
  <si>
    <t>LHoang</t>
  </si>
  <si>
    <t>Lendl.Lobo@manulifesecurities.ca</t>
  </si>
  <si>
    <t>Lendl Lobo</t>
  </si>
  <si>
    <t>LendlLobo</t>
  </si>
  <si>
    <t>Leo.DeSiqueira@manulifesecurities.ca</t>
  </si>
  <si>
    <t>Leo De Siqueira</t>
  </si>
  <si>
    <t>lsiqueira</t>
  </si>
  <si>
    <t>Leo.Konstadulakis@manulifesecurities.ca</t>
  </si>
  <si>
    <t>Leo Konstadulakis</t>
  </si>
  <si>
    <t>lkonsta</t>
  </si>
  <si>
    <t>Leona.Derkson@manulifesecurities.ca</t>
  </si>
  <si>
    <t>Leona Derkson</t>
  </si>
  <si>
    <t>leonad</t>
  </si>
  <si>
    <t>Leonard.Neumeister@manulifesecurities.ca</t>
  </si>
  <si>
    <t>Leonard Neumeister</t>
  </si>
  <si>
    <t>neumeister</t>
  </si>
  <si>
    <t>Leonor.Borges@manulifesecurities.ca</t>
  </si>
  <si>
    <t>Leonor Borges</t>
  </si>
  <si>
    <t>2016-08-16T09:24:29</t>
  </si>
  <si>
    <t>LBorges</t>
  </si>
  <si>
    <t>Leroy.George@manulifesecurities.ca</t>
  </si>
  <si>
    <t>Leroy George</t>
  </si>
  <si>
    <t>leroygeorge</t>
  </si>
  <si>
    <t>LesaMarie.Hodgins@manulifesecurities.ca</t>
  </si>
  <si>
    <t>Lesa Marie Soper</t>
  </si>
  <si>
    <t>2017-10-03T12:27:08</t>
  </si>
  <si>
    <t>LSoper</t>
  </si>
  <si>
    <t>Lesley.Muir@manulifesecurities.ca</t>
  </si>
  <si>
    <t>Lesley Muir</t>
  </si>
  <si>
    <t>2017-03-20T13:43:17</t>
  </si>
  <si>
    <t>muirles</t>
  </si>
  <si>
    <t>Leslie.Abrams@manulifesecurities.ca</t>
  </si>
  <si>
    <t>Leslie Abrams</t>
  </si>
  <si>
    <t>2017-10-10T16:26:47</t>
  </si>
  <si>
    <t>leslieabrams</t>
  </si>
  <si>
    <t>Leslie.Avery@manulifesecurities.ca</t>
  </si>
  <si>
    <t>LAvery</t>
  </si>
  <si>
    <t>Leslie.Crawshaw@manulifesecurities.ca</t>
  </si>
  <si>
    <t>Leslie Crawshaw</t>
  </si>
  <si>
    <t>2017-10-14T08:42:29</t>
  </si>
  <si>
    <t>lcrawshaw</t>
  </si>
  <si>
    <t>Leslie.Gagne@manulifesecurities.ca</t>
  </si>
  <si>
    <t>Leslie Gagne</t>
  </si>
  <si>
    <t>lgagne</t>
  </si>
  <si>
    <t>Leslie.Lapage@manulifesecurities.ca</t>
  </si>
  <si>
    <t>Leslie Lapage</t>
  </si>
  <si>
    <t>llapage</t>
  </si>
  <si>
    <t>Leslie.Lobo@manulifesecurities.ca</t>
  </si>
  <si>
    <t>Leslie Lobo</t>
  </si>
  <si>
    <t>2017-10-12T15:05:11</t>
  </si>
  <si>
    <t>LLobo</t>
  </si>
  <si>
    <t>Leslie.Machan@manulifesecurities.ca</t>
  </si>
  <si>
    <t>Leslie Machan</t>
  </si>
  <si>
    <t>2017-01-11T14:16:52</t>
  </si>
  <si>
    <t>lesliejr</t>
  </si>
  <si>
    <t>Leslie.McCourt@manulifesecurities.ca</t>
  </si>
  <si>
    <t>Leslie McCourt</t>
  </si>
  <si>
    <t>LMccourt</t>
  </si>
  <si>
    <t>Leslie.Preece@manulifesecurities.ca</t>
  </si>
  <si>
    <t>Leslie Preece</t>
  </si>
  <si>
    <t>LPreece</t>
  </si>
  <si>
    <t>leslie.zacharias@manulifesecurities.ca</t>
  </si>
  <si>
    <t>Leslie Zacharias</t>
  </si>
  <si>
    <t>2017-10-06T15:12:04</t>
  </si>
  <si>
    <t>mfc.leslie.zachar</t>
  </si>
  <si>
    <t>Levy.Kenzie@manulifesecurities.ca</t>
  </si>
  <si>
    <t>Levy Kenzie</t>
  </si>
  <si>
    <t>LKenzie</t>
  </si>
  <si>
    <t>Lexus.Journal@manulifesecurities.ca</t>
  </si>
  <si>
    <t>Lexus Journal</t>
  </si>
  <si>
    <t>LXJournal</t>
  </si>
  <si>
    <t>Lexy.Koss@manulifesecurities.ca</t>
  </si>
  <si>
    <t>Lexy Koss</t>
  </si>
  <si>
    <t>2017-10-07T18:19:40</t>
  </si>
  <si>
    <t>lexystroud</t>
  </si>
  <si>
    <t>Leyang.Yu@manulifesecurities.ca</t>
  </si>
  <si>
    <t>Leyang Yu</t>
  </si>
  <si>
    <t>2017-04-05T11:39:36</t>
  </si>
  <si>
    <t>mfc.leyang.yu</t>
  </si>
  <si>
    <t>Lhen.Calalo@manulifesecurities.ca</t>
  </si>
  <si>
    <t>Lhen Calalo</t>
  </si>
  <si>
    <t>lcalalo</t>
  </si>
  <si>
    <t>Lia.Hess@manulifesecurities.ca</t>
  </si>
  <si>
    <t>Lia Hess</t>
  </si>
  <si>
    <t>2017-10-13T22:09:06</t>
  </si>
  <si>
    <t>liahess</t>
  </si>
  <si>
    <t>Lia.Santos@manulifesecurities.ca</t>
  </si>
  <si>
    <t>Lia Santos</t>
  </si>
  <si>
    <t>2016-01-14T09:00:19</t>
  </si>
  <si>
    <t>mfc.lia.santos</t>
  </si>
  <si>
    <t>Liam.Johnston@manulifesecurities.ca</t>
  </si>
  <si>
    <t>Liam Johnston</t>
  </si>
  <si>
    <t>johnliam</t>
  </si>
  <si>
    <t>Lianne.Sweet@manulifesecurities.ca</t>
  </si>
  <si>
    <t>Lianne Sweet</t>
  </si>
  <si>
    <t>2017-09-11T11:07:02</t>
  </si>
  <si>
    <t>LianneSweet</t>
  </si>
  <si>
    <t>Licensing.andContracting@manulifesecurities.ca</t>
  </si>
  <si>
    <t>Licensing and Contracting</t>
  </si>
  <si>
    <t>LicensingandContract</t>
  </si>
  <si>
    <t>Lidia.Genovese@manulifesecurities.ca</t>
  </si>
  <si>
    <t>Lidia Genovese</t>
  </si>
  <si>
    <t>LGenovese</t>
  </si>
  <si>
    <t>Liem.Le@manulifesecurities.ca</t>
  </si>
  <si>
    <t>Liem Le</t>
  </si>
  <si>
    <t>2017-10-07T03:35:03</t>
  </si>
  <si>
    <t>mfc.liem.le</t>
  </si>
  <si>
    <t>Liezl.DelMundo@manulifesecurities.ca</t>
  </si>
  <si>
    <t>Liezl Del Mundo</t>
  </si>
  <si>
    <t>LDelMundo</t>
  </si>
  <si>
    <t>Ligia.Ovas@manulifesecurities.ca</t>
  </si>
  <si>
    <t>Ligia Ovas</t>
  </si>
  <si>
    <t>2017-10-10T08:54:14</t>
  </si>
  <si>
    <t>mfc.ligia.ovas</t>
  </si>
  <si>
    <t>Lilian.DaSilva@manulifesecurities.ca</t>
  </si>
  <si>
    <t>2017-10-11T13:19:35</t>
  </si>
  <si>
    <t>ldasilva</t>
  </si>
  <si>
    <t>Liliane.Slunder@manulifesecurities.ca</t>
  </si>
  <si>
    <t>Liliane Slunder</t>
  </si>
  <si>
    <t>slundli</t>
  </si>
  <si>
    <t>Li-ling.Hu@manulifesecurities.ca</t>
  </si>
  <si>
    <t>Li-ling Hu</t>
  </si>
  <si>
    <t>2017-02-01T12:27:42</t>
  </si>
  <si>
    <t>vanessahu</t>
  </si>
  <si>
    <t>Lillian.MacDonald@manulifesecurities.ca</t>
  </si>
  <si>
    <t>Lillian MacDonald</t>
  </si>
  <si>
    <t>lmacdona</t>
  </si>
  <si>
    <t>Lillian.Tang@manulifesecurities.ca</t>
  </si>
  <si>
    <t>LTang</t>
  </si>
  <si>
    <t>Lilliane.Aljouni@manulifesecurities.ca</t>
  </si>
  <si>
    <t>Lilliane Aljouni</t>
  </si>
  <si>
    <t>LAljoune</t>
  </si>
  <si>
    <t>Lily.Lee@manulifesecurities.ca</t>
  </si>
  <si>
    <t>Lily Lee</t>
  </si>
  <si>
    <t>lilylee</t>
  </si>
  <si>
    <t>Lina.Lee@manulifesecurities.ca</t>
  </si>
  <si>
    <t>Lina Lee</t>
  </si>
  <si>
    <t>linalee</t>
  </si>
  <si>
    <t>Lina-Marie.Mastronardi@manulifesecurities.ca</t>
  </si>
  <si>
    <t>Lina-Marie Mastronardi</t>
  </si>
  <si>
    <t>2014-12-16T11:17:37</t>
  </si>
  <si>
    <t>lmastron</t>
  </si>
  <si>
    <t>Linda.Anderson@manulifesecurities.ca</t>
  </si>
  <si>
    <t>Linda Anderson</t>
  </si>
  <si>
    <t>2017-10-09T07:44:41</t>
  </si>
  <si>
    <t>landerson</t>
  </si>
  <si>
    <t>Linda.Andrews@manulifesecurities.ca</t>
  </si>
  <si>
    <t>Linda Andrews</t>
  </si>
  <si>
    <t>2017-10-10T09:27:29</t>
  </si>
  <si>
    <t>LAndrews</t>
  </si>
  <si>
    <t>Linda.Ardron@manulifesecurities.ca</t>
  </si>
  <si>
    <t>Linda Ardron</t>
  </si>
  <si>
    <t>ardronl</t>
  </si>
  <si>
    <t>Linda.Artuso@manulifesecurities.ca</t>
  </si>
  <si>
    <t>Linda Artuso</t>
  </si>
  <si>
    <t>2017-10-10T11:59:32</t>
  </si>
  <si>
    <t>LArtuso</t>
  </si>
  <si>
    <t>Linda.Boland@manulifesecurities.ca</t>
  </si>
  <si>
    <t>Linda Boland</t>
  </si>
  <si>
    <t>2016-06-08T08:29:30</t>
  </si>
  <si>
    <t>lindachidley</t>
  </si>
  <si>
    <t>Linda.Book@manulifesecurities.ca</t>
  </si>
  <si>
    <t>Linda Book</t>
  </si>
  <si>
    <t>LBook</t>
  </si>
  <si>
    <t>Linda.Bouchard@manulifesecurities.ca</t>
  </si>
  <si>
    <t>Linda Bouchard</t>
  </si>
  <si>
    <t>LBouchard</t>
  </si>
  <si>
    <t>Linda.Brackell@manulifesecurities.ca</t>
  </si>
  <si>
    <t>Linda Brackell</t>
  </si>
  <si>
    <t>2017-10-08T12:58:46</t>
  </si>
  <si>
    <t>LBrackell</t>
  </si>
  <si>
    <t>Linda.Burke@manulifesecurities.ca</t>
  </si>
  <si>
    <t>Linda Burke</t>
  </si>
  <si>
    <t>burkel</t>
  </si>
  <si>
    <t>Linda.Burt@manulifesecurities.ca</t>
  </si>
  <si>
    <t>Linda Burt</t>
  </si>
  <si>
    <t>burtlin</t>
  </si>
  <si>
    <t>Linda.Crispin@manulifesecurities.ca</t>
  </si>
  <si>
    <t>LCrispin</t>
  </si>
  <si>
    <t>Linda.Dueck@manulifesecurities.ca</t>
  </si>
  <si>
    <t>Linda Dueck</t>
  </si>
  <si>
    <t>ldueck</t>
  </si>
  <si>
    <t>Linda.Fletcher@manulifesecurities.ca</t>
  </si>
  <si>
    <t>Linda Fletcher</t>
  </si>
  <si>
    <t>2017-10-11T13:02:08</t>
  </si>
  <si>
    <t>fletcli</t>
  </si>
  <si>
    <t>linda.forrest@manulifesecurities.ca</t>
  </si>
  <si>
    <t>Linda Forrest</t>
  </si>
  <si>
    <t>2016-10-29T23:11:14</t>
  </si>
  <si>
    <t>mfc.linda.forrest</t>
  </si>
  <si>
    <t>Linda.Hannah@manulifesecurities.ca</t>
  </si>
  <si>
    <t>Linda Hannah</t>
  </si>
  <si>
    <t>2017-10-16T09:21:46</t>
  </si>
  <si>
    <t>mfc.linda.hannah</t>
  </si>
  <si>
    <t>Linda.Higginson@manulifesecurities.ca</t>
  </si>
  <si>
    <t>Linda Higginson</t>
  </si>
  <si>
    <t>LHigginson</t>
  </si>
  <si>
    <t>Linda.Israel@manulifesecurities.ca</t>
  </si>
  <si>
    <t>Linda Israel</t>
  </si>
  <si>
    <t>lisrael</t>
  </si>
  <si>
    <t>linda.macdonald@manulifesecurities.ca</t>
  </si>
  <si>
    <t>Linda MacDonald</t>
  </si>
  <si>
    <t>2015-11-16T11:08:32</t>
  </si>
  <si>
    <t>mfc.linda.macdona</t>
  </si>
  <si>
    <t>Linda.Mah@manulifesecurities.ca</t>
  </si>
  <si>
    <t>Linda Mah</t>
  </si>
  <si>
    <t>2017-10-13T17:07:33</t>
  </si>
  <si>
    <t>mahlinda</t>
  </si>
  <si>
    <t>Linda.Oberg@manulifesecurities.ca</t>
  </si>
  <si>
    <t>Linda Oberg</t>
  </si>
  <si>
    <t>lindao</t>
  </si>
  <si>
    <t>linda.ramasamy@manulifesecurities.ca</t>
  </si>
  <si>
    <t>Linda Ramasamy</t>
  </si>
  <si>
    <t>2016-03-10T15:42:39</t>
  </si>
  <si>
    <t>mfc.linda.ramasam</t>
  </si>
  <si>
    <t>Linda.Scott@manulifesecurities.ca</t>
  </si>
  <si>
    <t>Linda Scott</t>
  </si>
  <si>
    <t>2017-10-11T09:53:09</t>
  </si>
  <si>
    <t>scotlin</t>
  </si>
  <si>
    <t>Linda.Staffen@manulifesecurities.ca</t>
  </si>
  <si>
    <t>Linda Staffen</t>
  </si>
  <si>
    <t>staffen</t>
  </si>
  <si>
    <t>Linda.Tipper@manulifesecurities.ca</t>
  </si>
  <si>
    <t>Linda Tipper</t>
  </si>
  <si>
    <t>2017-10-03T12:44:19</t>
  </si>
  <si>
    <t>tippeli</t>
  </si>
  <si>
    <t>Linda.Uden@manulifesecurities.ca</t>
  </si>
  <si>
    <t>Linda Uden</t>
  </si>
  <si>
    <t>2017-10-15T13:51:41</t>
  </si>
  <si>
    <t>mfc.linda.uden</t>
  </si>
  <si>
    <t>Linda.Warman@manulifesecurities.ca</t>
  </si>
  <si>
    <t>Linda Warman</t>
  </si>
  <si>
    <t>2017-10-10T10:28:52</t>
  </si>
  <si>
    <t>LWarman</t>
  </si>
  <si>
    <t>Linda.Willie@manulifesecurities.ca</t>
  </si>
  <si>
    <t>Linda Willie</t>
  </si>
  <si>
    <t>2016-12-13T09:41:02</t>
  </si>
  <si>
    <t>LWillie</t>
  </si>
  <si>
    <t>Linda.Wyngaert@manulifesecurities.ca</t>
  </si>
  <si>
    <t>Linda Wyngaert</t>
  </si>
  <si>
    <t>2017-10-08T10:56:48</t>
  </si>
  <si>
    <t>LWyngaert</t>
  </si>
  <si>
    <t>Linda.Yake@manulifesecurities.ca</t>
  </si>
  <si>
    <t>Linda Yake</t>
  </si>
  <si>
    <t>2017-10-10T08:33:27</t>
  </si>
  <si>
    <t>mfc.linda.yake</t>
  </si>
  <si>
    <t>Lindsay.Aman@manulifesecurities.ca</t>
  </si>
  <si>
    <t>Lindsay Aman</t>
  </si>
  <si>
    <t>2017-10-12T12:46:42</t>
  </si>
  <si>
    <t>liaman</t>
  </si>
  <si>
    <t>Lindsay.Byrka@manulifesecurities.ca</t>
  </si>
  <si>
    <t>Lindsay Byrka</t>
  </si>
  <si>
    <t>lindsaybyrka</t>
  </si>
  <si>
    <t>Lindsay.Carr@manulifesecurities.ca</t>
  </si>
  <si>
    <t>LCarr</t>
  </si>
  <si>
    <t>Lindsay.Clare@manulifesecurities.ca</t>
  </si>
  <si>
    <t>LClare</t>
  </si>
  <si>
    <t>Lindsay.Dickinson@manulifesecurities.ca</t>
  </si>
  <si>
    <t>Lindsay Dickinson</t>
  </si>
  <si>
    <t>LDickinson</t>
  </si>
  <si>
    <t>Lindsay.Eames@manulifesecurities.ca</t>
  </si>
  <si>
    <t>LEames</t>
  </si>
  <si>
    <t>LMcCarthy</t>
  </si>
  <si>
    <t>Lindsay.Fothergill@manulifesecurities.ca</t>
  </si>
  <si>
    <t>Lindsay Fothergill</t>
  </si>
  <si>
    <t>2017-10-08T14:56:14</t>
  </si>
  <si>
    <t>LFothergill</t>
  </si>
  <si>
    <t>Lindsay.Fuchs@manulifesecurities.ca</t>
  </si>
  <si>
    <t>Lindsay Fuchs</t>
  </si>
  <si>
    <t>2017-10-08T04:04:57</t>
  </si>
  <si>
    <t>LFuchs</t>
  </si>
  <si>
    <t>Lindsay.Martin@manulifesecurities.ca</t>
  </si>
  <si>
    <t>Lindsay Martin</t>
  </si>
  <si>
    <t>LMartin</t>
  </si>
  <si>
    <t>lindsay.morton@manulifesecurities.ca</t>
  </si>
  <si>
    <t>Lindsay Morton</t>
  </si>
  <si>
    <t>2017-10-13T14:41:38</t>
  </si>
  <si>
    <t>mfc.lindsay.morto</t>
  </si>
  <si>
    <t>Lindsay.SawyerFay@manulifesecurities.ca</t>
  </si>
  <si>
    <t>Lindsay Sawyer Fay</t>
  </si>
  <si>
    <t>2017-10-04T09:50:46</t>
  </si>
  <si>
    <t>sawyeli</t>
  </si>
  <si>
    <t>Lindsay.Tauber@manulifesecurities.ca</t>
  </si>
  <si>
    <t>Lindsay Tauber</t>
  </si>
  <si>
    <t>LTauber</t>
  </si>
  <si>
    <t>Lindsey.Hammond@manulifesecurities.ca</t>
  </si>
  <si>
    <t>Lindsey Hammond</t>
  </si>
  <si>
    <t>2017-10-12T09:02:41</t>
  </si>
  <si>
    <t>mfc.lindsey.hammo</t>
  </si>
  <si>
    <t>lindsey.martchenko@manulifesecurities.ca</t>
  </si>
  <si>
    <t>Lindsey Martchenko</t>
  </si>
  <si>
    <t>2017-01-24T10:05:27</t>
  </si>
  <si>
    <t>mfc.l.kroetsch</t>
  </si>
  <si>
    <t>Lindsey.Wolfram@manulifesecurities.ca</t>
  </si>
  <si>
    <t>Lindsey Wolfram</t>
  </si>
  <si>
    <t>LWolfram</t>
  </si>
  <si>
    <t>Lindy.Silver@manulifesecurities.ca</t>
  </si>
  <si>
    <t>Lindy Silver</t>
  </si>
  <si>
    <t>mfc.lindy.silver</t>
  </si>
  <si>
    <t>Line.Maheu@manulifesecurities.ca</t>
  </si>
  <si>
    <t>Line Maheu</t>
  </si>
  <si>
    <t>LMaheu</t>
  </si>
  <si>
    <t>Linh.Tran@manulifesecurities.ca</t>
  </si>
  <si>
    <t>linhtran</t>
  </si>
  <si>
    <t>Liorel.Puntil@manulifesecurities.ca</t>
  </si>
  <si>
    <t>Liorel Puntil</t>
  </si>
  <si>
    <t>lpuntil</t>
  </si>
  <si>
    <t>Lisa.Agozzino@manulifesecurities.ca</t>
  </si>
  <si>
    <t>Lisa Agozzino</t>
  </si>
  <si>
    <t>lagozzino</t>
  </si>
  <si>
    <t>Lisa.Aho@manulifesecurities.ca</t>
  </si>
  <si>
    <t>Lisa Aho</t>
  </si>
  <si>
    <t>lisaaho</t>
  </si>
  <si>
    <t>Lisa.Boechler@manulifesecurities.ca</t>
  </si>
  <si>
    <t>Lisa Boechler</t>
  </si>
  <si>
    <t>2015-10-29T11:40:51</t>
  </si>
  <si>
    <t>LBoechler</t>
  </si>
  <si>
    <t>Lisa.Bower@manulifesecurities.ca</t>
  </si>
  <si>
    <t>Lisa Bower</t>
  </si>
  <si>
    <t>2017-10-12T10:06:58</t>
  </si>
  <si>
    <t>LBower</t>
  </si>
  <si>
    <t>Lisa.Braccia@manulifesecurities.ca</t>
  </si>
  <si>
    <t>Lisa Braccia</t>
  </si>
  <si>
    <t>lbraccia</t>
  </si>
  <si>
    <t>Lisa.Broadfoot@manulifesecurities.ca</t>
  </si>
  <si>
    <t>zz Manulife - Lisa Broadfoot</t>
  </si>
  <si>
    <t>LBroadfoot</t>
  </si>
  <si>
    <t>Lisa.Davis@manulifesecurities.ca</t>
  </si>
  <si>
    <t>Lisa Davis</t>
  </si>
  <si>
    <t>LDavis</t>
  </si>
  <si>
    <t>Lisa.Dinchik@manulifesecurities.ca</t>
  </si>
  <si>
    <t>Lisa Dinchik</t>
  </si>
  <si>
    <t>ldinchik</t>
  </si>
  <si>
    <t>Lisa.Gatto@manulifesecurities.ca</t>
  </si>
  <si>
    <t>Lisa Gatto</t>
  </si>
  <si>
    <t>lisagatto</t>
  </si>
  <si>
    <t>Lisa.Gray@manulifesecurities.ca</t>
  </si>
  <si>
    <t>Lisa Gray</t>
  </si>
  <si>
    <t>LGray</t>
  </si>
  <si>
    <t>Lisa.Greenwood@manulifesecurities.ca</t>
  </si>
  <si>
    <t>Lisa Greenwood</t>
  </si>
  <si>
    <t>lgreenwood</t>
  </si>
  <si>
    <t>Lisa.Hennessey@manulifesecurities.ca</t>
  </si>
  <si>
    <t>Lisa Hennessey</t>
  </si>
  <si>
    <t>smilila</t>
  </si>
  <si>
    <t>Lisa.Hwang@manulifesecurities.ca</t>
  </si>
  <si>
    <t>Lisa Hwang</t>
  </si>
  <si>
    <t>LHwang</t>
  </si>
  <si>
    <t>Lisa.Kadatz@manulifesecurities.ca</t>
  </si>
  <si>
    <t>Lisa Kadatz</t>
  </si>
  <si>
    <t>lkadatz</t>
  </si>
  <si>
    <t>Lisa.Kruitwagen@manulifesecurities.ca</t>
  </si>
  <si>
    <t>Lisa Kruitwagen</t>
  </si>
  <si>
    <t>2017-10-10T12:06:37</t>
  </si>
  <si>
    <t>LKruitwagen</t>
  </si>
  <si>
    <t>Lisa.Langley@manulifesecurities.ca</t>
  </si>
  <si>
    <t>LLangley</t>
  </si>
  <si>
    <t>Lisa.Leger@manulifesecurities.ca</t>
  </si>
  <si>
    <t>Lisa Leger</t>
  </si>
  <si>
    <t>LLeger</t>
  </si>
  <si>
    <t>Lisa.Macdonald@manulifesecurities.ca</t>
  </si>
  <si>
    <t>Lisa Macdonald</t>
  </si>
  <si>
    <t>lmacdonald</t>
  </si>
  <si>
    <t>Lisa.Marques@manulifesecurities.ca</t>
  </si>
  <si>
    <t>Lisa Marques</t>
  </si>
  <si>
    <t>lisamarques</t>
  </si>
  <si>
    <t>Lisa.Mathies@manulifesecurities.ca</t>
  </si>
  <si>
    <t>Lisa Mathies</t>
  </si>
  <si>
    <t>LMathiesConley</t>
  </si>
  <si>
    <t>Lisa.Maurice@manulifesecurities.ca</t>
  </si>
  <si>
    <t>Lisa Maurice</t>
  </si>
  <si>
    <t>2017-06-12T14:02:55</t>
  </si>
  <si>
    <t>mfc.lisa.maurice</t>
  </si>
  <si>
    <t>Lisa.Mick@manulifesecurities.ca</t>
  </si>
  <si>
    <t>Lisa Mick</t>
  </si>
  <si>
    <t>LMick</t>
  </si>
  <si>
    <t>Lisa.Milec@manulifesecurities.ca</t>
  </si>
  <si>
    <t>Lisa Milec</t>
  </si>
  <si>
    <t>LMilec</t>
  </si>
  <si>
    <t>Lisa.Peirson@manulifesecurities.ca</t>
  </si>
  <si>
    <t>Lisa Peirson</t>
  </si>
  <si>
    <t>2017-10-09T18:31:04</t>
  </si>
  <si>
    <t>mfc.lisa.peirson</t>
  </si>
  <si>
    <t>Lisa.Pinsler@manulifesecurities.ca</t>
  </si>
  <si>
    <t>Lisa Pinsler</t>
  </si>
  <si>
    <t>2017-10-16T09:21:45</t>
  </si>
  <si>
    <t>LPinsler</t>
  </si>
  <si>
    <t>Lisa.Plater@manulifesecurities.ca</t>
  </si>
  <si>
    <t>Lisa Plater</t>
  </si>
  <si>
    <t>2015-04-29T14:59:00</t>
  </si>
  <si>
    <t>LPlater</t>
  </si>
  <si>
    <t>Lisa.Renfrew@manulifesecurities.ca</t>
  </si>
  <si>
    <t>Lisa Renfrew</t>
  </si>
  <si>
    <t>2015-08-21T08:46:13</t>
  </si>
  <si>
    <t>lrenfrew</t>
  </si>
  <si>
    <t>Lisa.Rhodes@manulifesecurities.ca</t>
  </si>
  <si>
    <t>Lisa Rhodes</t>
  </si>
  <si>
    <t>2017-09-25T15:15:21</t>
  </si>
  <si>
    <t>LRhodes</t>
  </si>
  <si>
    <t>Lisa.Taylor@manulifesecurities.ca</t>
  </si>
  <si>
    <t>zz Manulife - Lisa Taylor</t>
  </si>
  <si>
    <t>LTaylor</t>
  </si>
  <si>
    <t>Lisa.Vanner@manulifesecurities.ca</t>
  </si>
  <si>
    <t>Lisa Vanner</t>
  </si>
  <si>
    <t>2014-11-03T13:30:26</t>
  </si>
  <si>
    <t>mfc.l.vanner</t>
  </si>
  <si>
    <t>Lisa.Vanstone@manulifesecurities.ca</t>
  </si>
  <si>
    <t>Lisa Vanstone</t>
  </si>
  <si>
    <t>2017-10-10T15:12:25</t>
  </si>
  <si>
    <t>LVanstone</t>
  </si>
  <si>
    <t>Lisa.Wong@manulifesecurities.ca</t>
  </si>
  <si>
    <t>Lisa Wong</t>
  </si>
  <si>
    <t>LWong</t>
  </si>
  <si>
    <t>Lisette.Harding@manulifesecurities.ca</t>
  </si>
  <si>
    <t>Lisette Harding</t>
  </si>
  <si>
    <t>lharding</t>
  </si>
  <si>
    <t>Liz.Austin@manulifesecurities.ca</t>
  </si>
  <si>
    <t>Liz Austin</t>
  </si>
  <si>
    <t>elizaustin</t>
  </si>
  <si>
    <t>Liz.Cvetkovski@manulifesecurities.ca</t>
  </si>
  <si>
    <t>Liz Cvetkovski</t>
  </si>
  <si>
    <t>2017-02-21T12:32:53</t>
  </si>
  <si>
    <t>LCvetkovski</t>
  </si>
  <si>
    <t>Liz.Ferguson@manulifesecurities.ca</t>
  </si>
  <si>
    <t>Liz Ferguson</t>
  </si>
  <si>
    <t>2017-10-10T14:54:04</t>
  </si>
  <si>
    <t>mfc.liz.ferguson</t>
  </si>
  <si>
    <t>Liz.Mcdowell@manulifesecurities.ca</t>
  </si>
  <si>
    <t>Liz Mcdowell</t>
  </si>
  <si>
    <t>2017-10-13T18:01:56</t>
  </si>
  <si>
    <t>emcdowell</t>
  </si>
  <si>
    <t>Liz.Rankin@manulifesecurities.ca</t>
  </si>
  <si>
    <t>Liz Rankin</t>
  </si>
  <si>
    <t>lrankin</t>
  </si>
  <si>
    <t>Lloyd.Flanagan@manulifesecurities.ca</t>
  </si>
  <si>
    <t>Lloyd Flanagan</t>
  </si>
  <si>
    <t>2017-08-28T08:03:08</t>
  </si>
  <si>
    <t>mfc.lloyd.flanaga</t>
  </si>
  <si>
    <t>Loic.WaeTion@manulifesecurities.ca</t>
  </si>
  <si>
    <t>Loic WaeTion</t>
  </si>
  <si>
    <t>2015-03-19T10:00:34</t>
  </si>
  <si>
    <t>LWaetion</t>
  </si>
  <si>
    <t>Lois.Strickland@manulifesecurities.ca</t>
  </si>
  <si>
    <t>Lois Strickland</t>
  </si>
  <si>
    <t>2014-09-30T14:55:44</t>
  </si>
  <si>
    <t>LStrickland</t>
  </si>
  <si>
    <t>Lois.Wass@manulifesecurities.ca</t>
  </si>
  <si>
    <t>Lois Wass</t>
  </si>
  <si>
    <t>2017-03-16T15:21:25</t>
  </si>
  <si>
    <t>lowass</t>
  </si>
  <si>
    <t>Lola.Gudmundson@manulifesecurities.ca</t>
  </si>
  <si>
    <t>Lola Gudmundson</t>
  </si>
  <si>
    <t>gudmundl</t>
  </si>
  <si>
    <t>Loni.Chubaty@manulifesecurities.ca</t>
  </si>
  <si>
    <t>Loni Chubaty</t>
  </si>
  <si>
    <t>2016-08-02T15:10:44</t>
  </si>
  <si>
    <t>lonichi</t>
  </si>
  <si>
    <t>Loni.Wojciechowski@manulifesecurities.ca</t>
  </si>
  <si>
    <t>Loni Wojciechowski</t>
  </si>
  <si>
    <t>lwojciec</t>
  </si>
  <si>
    <t>Loredana.Fat@manulifesecurities.ca</t>
  </si>
  <si>
    <t>Loredana Fat</t>
  </si>
  <si>
    <t>2017-09-22T08:43:30</t>
  </si>
  <si>
    <t>loredana</t>
  </si>
  <si>
    <t>lorena.popa@manulifesecurities.ca</t>
  </si>
  <si>
    <t>Lorena Popa</t>
  </si>
  <si>
    <t>2017-10-12T09:01:19</t>
  </si>
  <si>
    <t>mfc.lorena.popa</t>
  </si>
  <si>
    <t>Lorenzo.Valarao@manulifesecurities.ca</t>
  </si>
  <si>
    <t>Lorenzo Valarao</t>
  </si>
  <si>
    <t>mfc.lorenzo.valar</t>
  </si>
  <si>
    <t>Loretta.Bucci@manulifesecurities.ca</t>
  </si>
  <si>
    <t>Loretta Bucci</t>
  </si>
  <si>
    <t>lbucci</t>
  </si>
  <si>
    <t>Loretta.Ford@manulifesecurities.ca</t>
  </si>
  <si>
    <t>Loretta Ford</t>
  </si>
  <si>
    <t>Lorford</t>
  </si>
  <si>
    <t>Lorette.MacPhail@manulifesecurities.ca</t>
  </si>
  <si>
    <t>Lorette MacPhail</t>
  </si>
  <si>
    <t>2017-10-13T16:58:32</t>
  </si>
  <si>
    <t>ldupont</t>
  </si>
  <si>
    <t>Lori.Armstrong@manulifesecurities.ca</t>
  </si>
  <si>
    <t>Lori Armstrong</t>
  </si>
  <si>
    <t>larmstrong</t>
  </si>
  <si>
    <t>Lori.Beninger@manulifesecurities.ca</t>
  </si>
  <si>
    <t>Lori Beninger</t>
  </si>
  <si>
    <t>sunshine</t>
  </si>
  <si>
    <t>Lori.Bertow@manulifesecurities.ca</t>
  </si>
  <si>
    <t>Lori Bertow</t>
  </si>
  <si>
    <t>LBertow</t>
  </si>
  <si>
    <t>Lori.Boisvert@manulifesecurities.ca</t>
  </si>
  <si>
    <t>Lori Boisvert</t>
  </si>
  <si>
    <t>LoriBoisvert</t>
  </si>
  <si>
    <t>lori.bournon@manulifesecurities.ca</t>
  </si>
  <si>
    <t>Lori Bournon</t>
  </si>
  <si>
    <t>2017-10-12T10:38:57</t>
  </si>
  <si>
    <t>mfc.lori.bournon</t>
  </si>
  <si>
    <t>Lori.Field@manulifesecurities.ca</t>
  </si>
  <si>
    <t>Lori Field</t>
  </si>
  <si>
    <t>lfield</t>
  </si>
  <si>
    <t>Lori.Glowa@manulifesecurities.ca</t>
  </si>
  <si>
    <t>Lori Glowa</t>
  </si>
  <si>
    <t>2017-10-03T15:30:42</t>
  </si>
  <si>
    <t>lglowa</t>
  </si>
  <si>
    <t>Lori.Guthro@manulifesecurities.ca</t>
  </si>
  <si>
    <t>Lori Guthro</t>
  </si>
  <si>
    <t>lguthro</t>
  </si>
  <si>
    <t>Lori.Hildebrand@manulifesecurities.ca</t>
  </si>
  <si>
    <t>Lori Hildebrand</t>
  </si>
  <si>
    <t>2017-10-06T11:57:29</t>
  </si>
  <si>
    <t>LHildebrand</t>
  </si>
  <si>
    <t>Lori.Kerr@manulifesecurities.ca</t>
  </si>
  <si>
    <t>Lori Kerr</t>
  </si>
  <si>
    <t>2017-09-27T17:32:25</t>
  </si>
  <si>
    <t>LKerr</t>
  </si>
  <si>
    <t>Lori.Kirby@manulifesecurities.ca</t>
  </si>
  <si>
    <t>Lori Kirby</t>
  </si>
  <si>
    <t>2017-10-16T09:48:29</t>
  </si>
  <si>
    <t>postma</t>
  </si>
  <si>
    <t>Lori.Muller@manulifesecurities.ca</t>
  </si>
  <si>
    <t>Lori Muller</t>
  </si>
  <si>
    <t>2017-10-16T08:47:00</t>
  </si>
  <si>
    <t>LMuller</t>
  </si>
  <si>
    <t>Lori.Shoemaker@manulifesecurities.ca</t>
  </si>
  <si>
    <t>Lori Shoemaker</t>
  </si>
  <si>
    <t>2017-09-28T14:17:14</t>
  </si>
  <si>
    <t>LShoemaker</t>
  </si>
  <si>
    <t>Lori.Shymoniak@manulifesecurities.ca</t>
  </si>
  <si>
    <t>Lori Shymoniak</t>
  </si>
  <si>
    <t>loriann</t>
  </si>
  <si>
    <t>Lori.Vickerson@manulifesecurities.ca</t>
  </si>
  <si>
    <t>Lori Vickerson</t>
  </si>
  <si>
    <t>2017-09-25T12:55:54</t>
  </si>
  <si>
    <t>lvickers</t>
  </si>
  <si>
    <t>Lori-Ann.Rotth@manulifesecurities.ca</t>
  </si>
  <si>
    <t>Lori-Ann Rotth</t>
  </si>
  <si>
    <t>2016-07-11T11:25:15</t>
  </si>
  <si>
    <t>LRotth</t>
  </si>
  <si>
    <t>Lori-Anne.Johnson@manulifesecurities.ca</t>
  </si>
  <si>
    <t>Lori-Anne Johnson</t>
  </si>
  <si>
    <t>2017-08-28T12:55:28</t>
  </si>
  <si>
    <t>mfc.lori-anne.joh</t>
  </si>
  <si>
    <t>LoriE.Field@manulifesecurities.ca</t>
  </si>
  <si>
    <t>Lori E Field</t>
  </si>
  <si>
    <t>lofield</t>
  </si>
  <si>
    <t>Lorna.Agawin@manulifesecurities.ca</t>
  </si>
  <si>
    <t>Lorna Agawin</t>
  </si>
  <si>
    <t>LAgawin</t>
  </si>
  <si>
    <t>Lorna.Stewart@manulifesecurities.ca</t>
  </si>
  <si>
    <t>Lorna Stewart</t>
  </si>
  <si>
    <t>stewalo</t>
  </si>
  <si>
    <t>Lorne.Dell@manulifesecurities.ca</t>
  </si>
  <si>
    <t>Lorne Dell</t>
  </si>
  <si>
    <t>lornedell</t>
  </si>
  <si>
    <t>Lorne.Kotlar@manulifesecurities.ca</t>
  </si>
  <si>
    <t>Lorne Kotlar</t>
  </si>
  <si>
    <t>lbkotlar</t>
  </si>
  <si>
    <t>Lorraine.Fexa@manulifesecurities.ca</t>
  </si>
  <si>
    <t>Lorraine Fexa</t>
  </si>
  <si>
    <t>LFexa</t>
  </si>
  <si>
    <t>Lorraine.Futoransky@manulifesecurities.ca</t>
  </si>
  <si>
    <t>Lorraine Futoransky</t>
  </si>
  <si>
    <t>lorsky</t>
  </si>
  <si>
    <t>Lorraine.Kreuger@manulifesecurities.ca</t>
  </si>
  <si>
    <t>Lorraine Kreuger</t>
  </si>
  <si>
    <t>lkreuger</t>
  </si>
  <si>
    <t>Lorraine.Kruger@manulifesecurities.ca</t>
  </si>
  <si>
    <t>Lorraine Kruger</t>
  </si>
  <si>
    <t>krugelo</t>
  </si>
  <si>
    <t>Lorraine.Simpson@manulifesecurities.ca</t>
  </si>
  <si>
    <t>Lorraine Simpson</t>
  </si>
  <si>
    <t>2017-10-14T14:08:12</t>
  </si>
  <si>
    <t>LSimpson</t>
  </si>
  <si>
    <t>Lorrie.Dodd@manulifesecurities.ca</t>
  </si>
  <si>
    <t>Lorrie Dodd</t>
  </si>
  <si>
    <t>2016-08-29T09:45:35</t>
  </si>
  <si>
    <t>mfc.lorrie.dodd</t>
  </si>
  <si>
    <t>Lorrie.McKay@manulifesecurities.ca</t>
  </si>
  <si>
    <t>Lorrie McKay</t>
  </si>
  <si>
    <t>lmckay</t>
  </si>
  <si>
    <t>Lorrie.Wright@manulifesecurities.ca</t>
  </si>
  <si>
    <t>Lorrie Wright</t>
  </si>
  <si>
    <t>lwright</t>
  </si>
  <si>
    <t>Lou.DErasmo@manulifesecurities.ca</t>
  </si>
  <si>
    <t>Lou D'Erasmo</t>
  </si>
  <si>
    <t>2017-10-14T03:56:27</t>
  </si>
  <si>
    <t>deraslu</t>
  </si>
  <si>
    <t>LouAnn.Anderson@manulifesecurities.ca</t>
  </si>
  <si>
    <t>LouAnn Anderson</t>
  </si>
  <si>
    <t>loanders</t>
  </si>
  <si>
    <t>LouAnne.Turcotte@manulifesecurities.ca</t>
  </si>
  <si>
    <t>Lou Anne Turcotte</t>
  </si>
  <si>
    <t>2017-09-14T12:54:27</t>
  </si>
  <si>
    <t>LTurcotte</t>
  </si>
  <si>
    <t>Louie.DeMarco@manulifesecurities.ca</t>
  </si>
  <si>
    <t>Louie DeMarco</t>
  </si>
  <si>
    <t>2017-10-16T09:16:55</t>
  </si>
  <si>
    <t>LDemarco</t>
  </si>
  <si>
    <t>Louis.Ashkin-Stroud@manulifesecurities.ca</t>
  </si>
  <si>
    <t>Louis Ashkin-Stroud</t>
  </si>
  <si>
    <t>lashkin</t>
  </si>
  <si>
    <t>Louis.Seregely@manulifesecurities.ca</t>
  </si>
  <si>
    <t>Louis Seregely</t>
  </si>
  <si>
    <t>LSeregely</t>
  </si>
  <si>
    <t>Louise.Bean@manulifesecurities.ca</t>
  </si>
  <si>
    <t>Louise Bean</t>
  </si>
  <si>
    <t>lobean</t>
  </si>
  <si>
    <t>Louise.Brasier@manulifesecurities.ca</t>
  </si>
  <si>
    <t>Louise Brasier</t>
  </si>
  <si>
    <t>brasilo</t>
  </si>
  <si>
    <t>Louise.DeStefano@manulifesecurities.ca</t>
  </si>
  <si>
    <t>Louise DeStefano</t>
  </si>
  <si>
    <t>2017-10-14T18:58:29</t>
  </si>
  <si>
    <t>ldestefa</t>
  </si>
  <si>
    <t>Louise.Girard@placementsmanuvie.ca</t>
  </si>
  <si>
    <t>Louise Girard</t>
  </si>
  <si>
    <t>2017-10-10T15:23:52</t>
  </si>
  <si>
    <t>mfc.louise.girard</t>
  </si>
  <si>
    <t>Louise.Kirk@manulifesecurities.ca</t>
  </si>
  <si>
    <t>Louise Kirk</t>
  </si>
  <si>
    <t>LKirk</t>
  </si>
  <si>
    <t>Louise.Palciauskas@manulifesecurities.ca</t>
  </si>
  <si>
    <t>Louise Palciauskas</t>
  </si>
  <si>
    <t>LPalciauskas</t>
  </si>
  <si>
    <t>Louis-Joseph.Moukhtar@manulifesecurities.ca</t>
  </si>
  <si>
    <t>Louis-Joseph Moukhtar</t>
  </si>
  <si>
    <t>mfc.louis-josephm</t>
  </si>
  <si>
    <t>Lourena.Riego@manulifesecurities.ca</t>
  </si>
  <si>
    <t>Lourena Riego</t>
  </si>
  <si>
    <t>2015-07-08T11:18:12</t>
  </si>
  <si>
    <t>LourenaRiego</t>
  </si>
  <si>
    <t>Luc.Bessette@manulifesecurities.ca</t>
  </si>
  <si>
    <t>Luc Bessette</t>
  </si>
  <si>
    <t>lucbest</t>
  </si>
  <si>
    <t>luc.chase@manulifesecurities.ca</t>
  </si>
  <si>
    <t>Luc Chase</t>
  </si>
  <si>
    <t>2017-03-01T19:19:40</t>
  </si>
  <si>
    <t>mfc.luc.chase</t>
  </si>
  <si>
    <t>Luc.Fortin@manulifesecurities.ca</t>
  </si>
  <si>
    <t>Luc Fortin</t>
  </si>
  <si>
    <t>2017-10-09T19:48:13</t>
  </si>
  <si>
    <t>LFortin</t>
  </si>
  <si>
    <t>Luc.Gingras@manulifesecurities.ca</t>
  </si>
  <si>
    <t>Luc Gingras</t>
  </si>
  <si>
    <t>2017-10-13T10:36:02</t>
  </si>
  <si>
    <t>lucasgingras</t>
  </si>
  <si>
    <t>Lucas.Maciesza@manulifesecurities.ca</t>
  </si>
  <si>
    <t>Lucas Maciesza</t>
  </si>
  <si>
    <t>lucmaci</t>
  </si>
  <si>
    <t>Lucas.Paulino@manulifesecurities.ca</t>
  </si>
  <si>
    <t>Lucas Paulino</t>
  </si>
  <si>
    <t>2017-10-13T15:53:04</t>
  </si>
  <si>
    <t>mfc.lucas.paulino</t>
  </si>
  <si>
    <t>Lucas.Todd@manulifesecurities.ca</t>
  </si>
  <si>
    <t>Lucas Todd</t>
  </si>
  <si>
    <t>LTodd</t>
  </si>
  <si>
    <t>lucie.bilodeau@placementsmanuvie.ca</t>
  </si>
  <si>
    <t>Lucie Bilodeau</t>
  </si>
  <si>
    <t>2017-10-16T09:54:57</t>
  </si>
  <si>
    <t>mfc.lucie.bilodea</t>
  </si>
  <si>
    <t>Lucie.Brain@manulifesecurities.ca</t>
  </si>
  <si>
    <t>Lucie Brain</t>
  </si>
  <si>
    <t>LBrain</t>
  </si>
  <si>
    <t>Lucie.Lemay@manulifesecurities.ca</t>
  </si>
  <si>
    <t>Lucie Lemay</t>
  </si>
  <si>
    <t>2015-02-20T08:11:18</t>
  </si>
  <si>
    <t>mfc.lucie.lemay</t>
  </si>
  <si>
    <t>Lucille.Tardif@manulifesecurities.ca</t>
  </si>
  <si>
    <t>Lucille Tardif</t>
  </si>
  <si>
    <t>libellule</t>
  </si>
  <si>
    <t>Lucita.Leger@manulifesecurities.ca</t>
  </si>
  <si>
    <t>Lucita Leger</t>
  </si>
  <si>
    <t>lucitaleger</t>
  </si>
  <si>
    <t>Lucka.Girouard@manulifesecurities.ca</t>
  </si>
  <si>
    <t>Lucka Girouard</t>
  </si>
  <si>
    <t>2017-10-06T20:31:00</t>
  </si>
  <si>
    <t>mfc.lucka.girouar</t>
  </si>
  <si>
    <t>Lucy.Falcone@manulifesecurities.ca</t>
  </si>
  <si>
    <t>Lucy Falcone</t>
  </si>
  <si>
    <t>2017-10-12T10:52:32</t>
  </si>
  <si>
    <t>LFalcone</t>
  </si>
  <si>
    <t>Ludmil.Natchev@manulifesecurities.ca</t>
  </si>
  <si>
    <t>2015-04-20T16:28:54</t>
  </si>
  <si>
    <t>LNatchev</t>
  </si>
  <si>
    <t>Luella.Chiasson@manulifesecurities.ca</t>
  </si>
  <si>
    <t>Luella Chiasson</t>
  </si>
  <si>
    <t>LChiasson</t>
  </si>
  <si>
    <t>Luisa.Ferrari@manulifesecurities.ca</t>
  </si>
  <si>
    <t>Luisa Ferrari</t>
  </si>
  <si>
    <t>lferrari</t>
  </si>
  <si>
    <t>Luisa.Moreira@manulifesecurities.ca</t>
  </si>
  <si>
    <t>zz Manulife - Luisa Moreira</t>
  </si>
  <si>
    <t>LMoreira</t>
  </si>
  <si>
    <t>Lukas.Oddy@manulifesecurities.ca</t>
  </si>
  <si>
    <t>Lukas Oddy</t>
  </si>
  <si>
    <t>LOddy</t>
  </si>
  <si>
    <t>Luke.Frigault@manulifesecurities.ca</t>
  </si>
  <si>
    <t>Luke Frigault</t>
  </si>
  <si>
    <t>LFrigault</t>
  </si>
  <si>
    <t>Lyka.Cruz@manulifesecurities.ca</t>
  </si>
  <si>
    <t>Lyka Cruz</t>
  </si>
  <si>
    <t>LCruz</t>
  </si>
  <si>
    <t>Lynda.Cassel@manulifesecurities.ca</t>
  </si>
  <si>
    <t>Lynda Cassel</t>
  </si>
  <si>
    <t>2017-09-11T11:51:39</t>
  </si>
  <si>
    <t>lycassel</t>
  </si>
  <si>
    <t>Lynda.Castonguay@manulifesecurities.ca</t>
  </si>
  <si>
    <t>Lynda Castonguay</t>
  </si>
  <si>
    <t>lcastonguay</t>
  </si>
  <si>
    <t>Lynda.Clark@manulifesecurities.ca</t>
  </si>
  <si>
    <t>Lynda Clark</t>
  </si>
  <si>
    <t>2017-10-09T20:17:49</t>
  </si>
  <si>
    <t>LyndaClark</t>
  </si>
  <si>
    <t>Lynda.Smith@manulifesecurities.ca</t>
  </si>
  <si>
    <t>Lynda Smith</t>
  </si>
  <si>
    <t>LyndaSmith</t>
  </si>
  <si>
    <t>Lyndsay.Sader@manulifesecurities.ca</t>
  </si>
  <si>
    <t>Lyndsay Sader</t>
  </si>
  <si>
    <t>lysader</t>
  </si>
  <si>
    <t>Lyne.Lapointe@manulifesecurities.ca</t>
  </si>
  <si>
    <t>Lyne Lapointe</t>
  </si>
  <si>
    <t>lapointel</t>
  </si>
  <si>
    <t>Lynell.Vipond@manulifesecurities.ca</t>
  </si>
  <si>
    <t>Lynell Vipond</t>
  </si>
  <si>
    <t>LVipond</t>
  </si>
  <si>
    <t>Lynise.Hunter@manulifesecurities.ca</t>
  </si>
  <si>
    <t>Lynise Hunter</t>
  </si>
  <si>
    <t>2017-10-02T18:31:07</t>
  </si>
  <si>
    <t>mfc.lynise.hunter</t>
  </si>
  <si>
    <t>Lynn.Black@manulifesecurities.ca</t>
  </si>
  <si>
    <t>Lynn Black</t>
  </si>
  <si>
    <t>2017-10-12T09:33:52</t>
  </si>
  <si>
    <t>blacklynn</t>
  </si>
  <si>
    <t>Lynn.Carwell@manulifesecurities.ca</t>
  </si>
  <si>
    <t>Lynn Carwell</t>
  </si>
  <si>
    <t>lmcarwell</t>
  </si>
  <si>
    <t>Lynn.Clark@manulifesecurities.ca</t>
  </si>
  <si>
    <t>Lynn Clark</t>
  </si>
  <si>
    <t>LClark</t>
  </si>
  <si>
    <t>Lynn.CurtinLange@manulifesecurities.ca</t>
  </si>
  <si>
    <t>Lynn Curtin Lange</t>
  </si>
  <si>
    <t>2017-10-16T09:52:40</t>
  </si>
  <si>
    <t>llange</t>
  </si>
  <si>
    <t>Lynn.Graham@manulifesecurities.ca</t>
  </si>
  <si>
    <t>LGraham</t>
  </si>
  <si>
    <t>Lynn.Hayes@manulifesecurities.ca</t>
  </si>
  <si>
    <t>Lynn Hayes</t>
  </si>
  <si>
    <t>2017-10-05T14:56:08</t>
  </si>
  <si>
    <t>lhayes</t>
  </si>
  <si>
    <t>Lynn.Kofman@manulifesecurities.ca</t>
  </si>
  <si>
    <t>Lynn Kofman</t>
  </si>
  <si>
    <t>2017-10-15T19:30:51</t>
  </si>
  <si>
    <t>LKofman</t>
  </si>
  <si>
    <t>Lynn.Kostiuk@manulifesecurities.ca</t>
  </si>
  <si>
    <t>Lynn Kostiuk</t>
  </si>
  <si>
    <t>lboland</t>
  </si>
  <si>
    <t>Lynn.Mayer@manulifesecurities.ca</t>
  </si>
  <si>
    <t>Lynn Mayer</t>
  </si>
  <si>
    <t>2017-10-13T11:03:54</t>
  </si>
  <si>
    <t>LMayer</t>
  </si>
  <si>
    <t>Lynn.Moroz@manulifesecurities.ca</t>
  </si>
  <si>
    <t>Lynn Moroz</t>
  </si>
  <si>
    <t>LMoroz</t>
  </si>
  <si>
    <t>LynnAnn.Wilkins@manulifesecurities.ca</t>
  </si>
  <si>
    <t>Lynn Ann Wilkins</t>
  </si>
  <si>
    <t>wilkily</t>
  </si>
  <si>
    <t>Lynne.Adam@manulifesecurities.ca</t>
  </si>
  <si>
    <t>Lynne Adam</t>
  </si>
  <si>
    <t>2016-02-25T10:51:28</t>
  </si>
  <si>
    <t>LAdam</t>
  </si>
  <si>
    <t>Lynne.Bradley@manulifesecurities.ca</t>
  </si>
  <si>
    <t>LBradley</t>
  </si>
  <si>
    <t>Lynne.Jury@manulifesecurities.ca</t>
  </si>
  <si>
    <t>Lynne Jury</t>
  </si>
  <si>
    <t>LJury</t>
  </si>
  <si>
    <t>Lynne.Watson@manulifesecurities.ca</t>
  </si>
  <si>
    <t>Lynne Watson</t>
  </si>
  <si>
    <t>2017-10-12T09:37:14</t>
  </si>
  <si>
    <t>LWatson</t>
  </si>
  <si>
    <t>M.Audino@manulifesecurities.ca</t>
  </si>
  <si>
    <t>Mavis Audino</t>
  </si>
  <si>
    <t>mfc.m.audino</t>
  </si>
  <si>
    <t>M.Balaneski@manulifesecurities.ca</t>
  </si>
  <si>
    <t>Meagan S. Balaneski</t>
  </si>
  <si>
    <t>2017-10-09T12:22:20</t>
  </si>
  <si>
    <t>samuel</t>
  </si>
  <si>
    <t>M.Chazan@manulifesecurities.ca</t>
  </si>
  <si>
    <t>Melissa Chazan</t>
  </si>
  <si>
    <t>2017-10-15T13:18:21</t>
  </si>
  <si>
    <t>MelissaChazan</t>
  </si>
  <si>
    <t>M.Ganjedanesh@manulifesecurities.ca</t>
  </si>
  <si>
    <t>Mahdokht Ganjedanesh</t>
  </si>
  <si>
    <t>MGanjedanesh</t>
  </si>
  <si>
    <t>M.GirouxCassivi@manulifesecurities.ca</t>
  </si>
  <si>
    <t>Michael Giroux-Cassivi</t>
  </si>
  <si>
    <t>MCassivi</t>
  </si>
  <si>
    <t>M.Jakopcevic@manulifesecurities.ca</t>
  </si>
  <si>
    <t>Melissa Jakopcevic</t>
  </si>
  <si>
    <t>MMcFarlane</t>
  </si>
  <si>
    <t>M.Kucinskaite@manulifesecurities.ca</t>
  </si>
  <si>
    <t>Monika Kucinskaite</t>
  </si>
  <si>
    <t>2017-10-08T12:37:47</t>
  </si>
  <si>
    <t>mfc.m.kucinskaite</t>
  </si>
  <si>
    <t>m.levine@manulifesecurities.ca</t>
  </si>
  <si>
    <t>Michael Levine</t>
  </si>
  <si>
    <t>2017-10-10T04:26:55</t>
  </si>
  <si>
    <t>mfc.michael.levin</t>
  </si>
  <si>
    <t>m.majeau@manulifesecurities.ca</t>
  </si>
  <si>
    <t>Marie Majeau</t>
  </si>
  <si>
    <t>2016-03-29T12:54:57</t>
  </si>
  <si>
    <t>mfc.m.majeau</t>
  </si>
  <si>
    <t>m.mannerow@manulifesecurities.ca</t>
  </si>
  <si>
    <t>Michele Mannerow</t>
  </si>
  <si>
    <t>2017-10-07T19:11:01</t>
  </si>
  <si>
    <t>mfc.m.mannerow</t>
  </si>
  <si>
    <t>M.Nelles@manulifesecurities.ca</t>
  </si>
  <si>
    <t>MNelles</t>
  </si>
  <si>
    <t>MGuerreiro</t>
  </si>
  <si>
    <t>M.Organ@manulifesecurities.ca</t>
  </si>
  <si>
    <t>Marie Organ</t>
  </si>
  <si>
    <t>MOrgan</t>
  </si>
  <si>
    <t>M.Pereira@manulifesecurities.ca</t>
  </si>
  <si>
    <t>Maria Pereira</t>
  </si>
  <si>
    <t>2017-08-25T08:34:38</t>
  </si>
  <si>
    <t>mfc.m.pereira</t>
  </si>
  <si>
    <t>M.Prisco@manulifesecurities.ca</t>
  </si>
  <si>
    <t>Marisa Prisco</t>
  </si>
  <si>
    <t>2016-07-04T12:28:44</t>
  </si>
  <si>
    <t>MarisaPrisco</t>
  </si>
  <si>
    <t>M.Semple-Fernandez@manulifesecurities.ca</t>
  </si>
  <si>
    <t>Mike Semple-Fernandez</t>
  </si>
  <si>
    <t>msemple</t>
  </si>
  <si>
    <t>M.Tzembelicos@manulifesecurities.ca</t>
  </si>
  <si>
    <t>Michael Tzembelicos</t>
  </si>
  <si>
    <t>2017-10-14T03:31:50</t>
  </si>
  <si>
    <t>mfc.m.tzembelicos</t>
  </si>
  <si>
    <t>M.Whalen@manulifesecurities.ca</t>
  </si>
  <si>
    <t>Michelle Whalen</t>
  </si>
  <si>
    <t>MichWhalen</t>
  </si>
  <si>
    <t>ma.bradley@manulifesecurities.ca</t>
  </si>
  <si>
    <t>Mary Ann Whalen-Bradley</t>
  </si>
  <si>
    <t>2017-10-12T02:28:42</t>
  </si>
  <si>
    <t>mfc.maryann.whale</t>
  </si>
  <si>
    <t>Mabel.Tsang@manulifesecurities.ca</t>
  </si>
  <si>
    <t>Mabel Tsang</t>
  </si>
  <si>
    <t>2014-11-25T13:18:57</t>
  </si>
  <si>
    <t>fungsim</t>
  </si>
  <si>
    <t>Macha.Mavrak@manulifesecurities.ca</t>
  </si>
  <si>
    <t>Macha Mavrak</t>
  </si>
  <si>
    <t>2016-09-12T09:39:07</t>
  </si>
  <si>
    <t>mfc.macha.mavrak</t>
  </si>
  <si>
    <t>Madeline.Edwards@manulifesecurities.ca</t>
  </si>
  <si>
    <t>Madeline Edwards</t>
  </si>
  <si>
    <t>medwards</t>
  </si>
  <si>
    <t>Madelyn.Smith@manulifesecurities.ca</t>
  </si>
  <si>
    <t>MSmith</t>
  </si>
  <si>
    <t>MadelynSmith</t>
  </si>
  <si>
    <t>madison.audette@manulifesecurities.ca</t>
  </si>
  <si>
    <t>Madison Audette</t>
  </si>
  <si>
    <t>2017-10-10T11:24:11</t>
  </si>
  <si>
    <t>mfc.madison.audet</t>
  </si>
  <si>
    <t>Madison.Thomson@manulifesecurities.ca</t>
  </si>
  <si>
    <t>Madison Thomson</t>
  </si>
  <si>
    <t>mthomson</t>
  </si>
  <si>
    <t>Mafalda.Hoogerdyk@manulifesecurities.ca</t>
  </si>
  <si>
    <t>Mafalda Hoogerdyk</t>
  </si>
  <si>
    <t>MaHoogerdyk</t>
  </si>
  <si>
    <t>Magda.Jara@manulifesecurities.ca</t>
  </si>
  <si>
    <t>Magda Jara</t>
  </si>
  <si>
    <t>2017-10-16T08:45:45</t>
  </si>
  <si>
    <t>mfc.magda.jara</t>
  </si>
  <si>
    <t>Magda.Lopez@manulifesecurities.ca</t>
  </si>
  <si>
    <t>Magda Lopez</t>
  </si>
  <si>
    <t>MLopez</t>
  </si>
  <si>
    <t>Magdalena.Jara@manulifesecurities.ca</t>
  </si>
  <si>
    <t>MJara</t>
  </si>
  <si>
    <t>Magdalena.Mogilnicki@manulifesecurities.ca</t>
  </si>
  <si>
    <t>Magdalena Mogilnicki</t>
  </si>
  <si>
    <t>MMogilnicki</t>
  </si>
  <si>
    <t>Magella.Boissonneault@manulifesecurities.ca</t>
  </si>
  <si>
    <t>Magella Boissonneault</t>
  </si>
  <si>
    <t>magella</t>
  </si>
  <si>
    <t>Maggie.Blake@manulifesecurities.ca</t>
  </si>
  <si>
    <t>Maggie Blake</t>
  </si>
  <si>
    <t>MBlake</t>
  </si>
  <si>
    <t>Maggie.Hennessey@manulifesecurities.ca</t>
  </si>
  <si>
    <t>Maggie Hennessey</t>
  </si>
  <si>
    <t>MHennessey</t>
  </si>
  <si>
    <t>Maggie.Samarelli@manulifesecurities.ca</t>
  </si>
  <si>
    <t>Maggie Samarelli (Disabled)</t>
  </si>
  <si>
    <t>MSamarelli</t>
  </si>
  <si>
    <t>Maggy.Youssef@manulifesecurities.ca</t>
  </si>
  <si>
    <t>Maggy Youssef</t>
  </si>
  <si>
    <t>myoussef</t>
  </si>
  <si>
    <t>Maha.Fakih@manulifesecurities.ca</t>
  </si>
  <si>
    <t>Maha Fakih</t>
  </si>
  <si>
    <t>MFakih</t>
  </si>
  <si>
    <t>Mahvash.Salehi@manulifesecurities.ca</t>
  </si>
  <si>
    <t>Mahvash Salehi</t>
  </si>
  <si>
    <t>2016-03-21T15:14:46</t>
  </si>
  <si>
    <t>MSalehi</t>
  </si>
  <si>
    <t>Mailroom@manulifesecurities.ca</t>
  </si>
  <si>
    <t>Mailroom</t>
  </si>
  <si>
    <t>Majdi.Deeb@manulifesecurities.ca</t>
  </si>
  <si>
    <t>MDeeb</t>
  </si>
  <si>
    <t>Malcom.Kano@manulifesecurities.ca</t>
  </si>
  <si>
    <t>Malcom Kano</t>
  </si>
  <si>
    <t>2017-10-10T12:54:11</t>
  </si>
  <si>
    <t>MKano</t>
  </si>
  <si>
    <t>malek.nouwayri@manulifesecurities.ca</t>
  </si>
  <si>
    <t>Malek Nouwayri</t>
  </si>
  <si>
    <t>2017-09-22T09:19:41</t>
  </si>
  <si>
    <t>mfc.malek.elnouwa</t>
  </si>
  <si>
    <t>malia.amato@manulifesecurities.ca</t>
  </si>
  <si>
    <t>Malia Amato</t>
  </si>
  <si>
    <t>2017-05-01T09:39:47</t>
  </si>
  <si>
    <t>mfc.malia.amato</t>
  </si>
  <si>
    <t>Mallory.McGrath@manulifesecurities.ca</t>
  </si>
  <si>
    <t>Mallory McGrath</t>
  </si>
  <si>
    <t>2017-09-26T12:31:03</t>
  </si>
  <si>
    <t>mfc.mallory.mcgra</t>
  </si>
  <si>
    <t>Mandi.Brown@manulifesecurities.ca</t>
  </si>
  <si>
    <t>Mandi Brown</t>
  </si>
  <si>
    <t>MandiBrown</t>
  </si>
  <si>
    <t>Mandy.Behrooz@manulifesecurities.ca</t>
  </si>
  <si>
    <t>Mandy Behrooz</t>
  </si>
  <si>
    <t>mandana</t>
  </si>
  <si>
    <t>Manish.Kanani@manulifesecurities.ca</t>
  </si>
  <si>
    <t>Manish Kanani</t>
  </si>
  <si>
    <t>2017-10-06T20:14:09</t>
  </si>
  <si>
    <t>manish</t>
  </si>
  <si>
    <t>Manju.Pande@manulifesecurities.ca</t>
  </si>
  <si>
    <t>Manju Pande</t>
  </si>
  <si>
    <t>manjupande</t>
  </si>
  <si>
    <t>manny.ahluwalia@manulifesecurities.ca</t>
  </si>
  <si>
    <t>Mandip Ahluwalia</t>
  </si>
  <si>
    <t>2017-10-10T13:14:16</t>
  </si>
  <si>
    <t>MAhluwalia</t>
  </si>
  <si>
    <t>Manoj.Kapil@manulifesecurities.ca</t>
  </si>
  <si>
    <t>Manoj Kapil</t>
  </si>
  <si>
    <t>2017-10-11T15:01:39</t>
  </si>
  <si>
    <t>MKapil</t>
  </si>
  <si>
    <t>Manuel.AbulenciaJr@manulifesecurities.ca</t>
  </si>
  <si>
    <t>Manuel Abulencia Jr</t>
  </si>
  <si>
    <t>mabulencia</t>
  </si>
  <si>
    <t>Manuel.AbulenciaJr2@manulifesecurities.ca</t>
  </si>
  <si>
    <t>Manuel Abulencia Jr.</t>
  </si>
  <si>
    <t>MAbulencia Jr</t>
  </si>
  <si>
    <t>Mara.Hotrum@manulifesecurities.ca</t>
  </si>
  <si>
    <t>Mara Hotrum</t>
  </si>
  <si>
    <t>mhotrum</t>
  </si>
  <si>
    <t>Mara.Quarin@manulifesecurities.ca</t>
  </si>
  <si>
    <t>Mara Quarin</t>
  </si>
  <si>
    <t>mquarin</t>
  </si>
  <si>
    <t>Mara.Rinieri-Scavuzzo@manulifesecurities.ca</t>
  </si>
  <si>
    <t>Mara Rinieri-Scavuzzo</t>
  </si>
  <si>
    <t>2014-11-23T14:03:02</t>
  </si>
  <si>
    <t>MRinieriScavuzzo</t>
  </si>
  <si>
    <t>Maralee.Parkhouse@manulifesecurities.ca</t>
  </si>
  <si>
    <t>Maralee Parkhouse</t>
  </si>
  <si>
    <t>2015-08-17T12:14:32</t>
  </si>
  <si>
    <t>mfc.maralee.parkh</t>
  </si>
  <si>
    <t>Marc.Beauchemin@manulifesecurities.ca</t>
  </si>
  <si>
    <t>Marc Beauchemin</t>
  </si>
  <si>
    <t>MBeauchemin</t>
  </si>
  <si>
    <t>Marc.Beavis@manulifesecurities.ca</t>
  </si>
  <si>
    <t>Marc Beavis</t>
  </si>
  <si>
    <t>2017-10-10T15:04:53</t>
  </si>
  <si>
    <t>MBeavis</t>
  </si>
  <si>
    <t>Marc.Bellemare@manulifesecurities.ca</t>
  </si>
  <si>
    <t>Marc-Alexandre Bellemare</t>
  </si>
  <si>
    <t>MBellemare</t>
  </si>
  <si>
    <t>Marc.Brunot@manulifesecurities.ca</t>
  </si>
  <si>
    <t>Marc Brunot</t>
  </si>
  <si>
    <t>2017-10-11T12:19:33</t>
  </si>
  <si>
    <t>mbrunot</t>
  </si>
  <si>
    <t>Marc.Cameron@manulifesecurities.ca</t>
  </si>
  <si>
    <t>Marc Cameron</t>
  </si>
  <si>
    <t>2017-10-12T01:43:58</t>
  </si>
  <si>
    <t>MCameron</t>
  </si>
  <si>
    <t>Marc.Chenard@manulifesecurities.ca</t>
  </si>
  <si>
    <t>Marc Chenard</t>
  </si>
  <si>
    <t>MChenard</t>
  </si>
  <si>
    <t>Marc.Danai@manulifesecurities.ca</t>
  </si>
  <si>
    <t>Marc Danai</t>
  </si>
  <si>
    <t>2017-10-10T14:35:23</t>
  </si>
  <si>
    <t>mfc.marc.danai</t>
  </si>
  <si>
    <t>Marc.Dulude@manulifesecurities.ca</t>
  </si>
  <si>
    <t>Marc Dulude</t>
  </si>
  <si>
    <t>MDulude</t>
  </si>
  <si>
    <t>Marc.Gervais@manulifesecurities.ca</t>
  </si>
  <si>
    <t>Marc Gervais</t>
  </si>
  <si>
    <t>MGervais</t>
  </si>
  <si>
    <t>Marc.Hamel@manulifesecurities.ca</t>
  </si>
  <si>
    <t>Marc Hamel</t>
  </si>
  <si>
    <t>2017-10-08T22:04:50</t>
  </si>
  <si>
    <t>mfc.marc.hamel</t>
  </si>
  <si>
    <t>Marc.McIver@manulifesecurities.ca</t>
  </si>
  <si>
    <t>Marc McIver</t>
  </si>
  <si>
    <t>2017-10-11T16:41:02</t>
  </si>
  <si>
    <t>MMcIver</t>
  </si>
  <si>
    <t>Marc.Sayer@manulifesecurities.ca</t>
  </si>
  <si>
    <t>Marc Sayer</t>
  </si>
  <si>
    <t>msayer</t>
  </si>
  <si>
    <t>Marc.St-Jean@manulifesecurities.ca</t>
  </si>
  <si>
    <t>Marc St-Jean</t>
  </si>
  <si>
    <t>2017-10-12T09:16:45</t>
  </si>
  <si>
    <t>mfc.marc.st-jean</t>
  </si>
  <si>
    <t>Marc.Tcheki@manulifesecurities.ca</t>
  </si>
  <si>
    <t>Marc Tcheki</t>
  </si>
  <si>
    <t>MTcheki</t>
  </si>
  <si>
    <t>MarcAndre.Laviolette@manulifesecurities.ca</t>
  </si>
  <si>
    <t>zzMarc Andre Laviolette</t>
  </si>
  <si>
    <t>MALAVIO</t>
  </si>
  <si>
    <t>Marc-Antoine.Cote@manulifesecurities.ca</t>
  </si>
  <si>
    <t>Marc-Antoine Cote</t>
  </si>
  <si>
    <t>2017-10-11T03:12:50</t>
  </si>
  <si>
    <t>mfc.marc-antoinec</t>
  </si>
  <si>
    <t>MARC-ANTOINE.FILION-SAVARD@manulifesecurities.ca</t>
  </si>
  <si>
    <t>MARC-ANTOINE FILION-SAVARD</t>
  </si>
  <si>
    <t>2017-10-12T11:36:28</t>
  </si>
  <si>
    <t>mfc.marc-antoinef</t>
  </si>
  <si>
    <t>Marcel.Casavant@manulifesecurities.ca</t>
  </si>
  <si>
    <t>Marcel Casavant</t>
  </si>
  <si>
    <t>2017-10-10T19:52:09</t>
  </si>
  <si>
    <t>mfc.marcel.casava</t>
  </si>
  <si>
    <t>Marcel.Laporte@manulifesecurities.ca</t>
  </si>
  <si>
    <t>Marcel Laporte</t>
  </si>
  <si>
    <t>mlaporte</t>
  </si>
  <si>
    <t>Marcello.Naccarato@manulifesecurities.ca</t>
  </si>
  <si>
    <t>Marcello Naccarato</t>
  </si>
  <si>
    <t>mnaccara</t>
  </si>
  <si>
    <t>Marcia.Sweet@manulifesecurities.ca</t>
  </si>
  <si>
    <t>Marcia Sweet</t>
  </si>
  <si>
    <t>MSweet</t>
  </si>
  <si>
    <t>Marcie.deBlois@manulifesecurities.ca</t>
  </si>
  <si>
    <t>zz Manulife - Marcie de Blois</t>
  </si>
  <si>
    <t>Mde Blois</t>
  </si>
  <si>
    <t>Marcine.Hagen@manulifesecurities.ca</t>
  </si>
  <si>
    <t>Marcine Hagen</t>
  </si>
  <si>
    <t>mlhagen</t>
  </si>
  <si>
    <t>Marco.Gil@manulifesecurities.ca</t>
  </si>
  <si>
    <t>Marco Gil</t>
  </si>
  <si>
    <t>2017-10-09T08:30:34</t>
  </si>
  <si>
    <t>marcogil</t>
  </si>
  <si>
    <t>Marco.Masucci@manulifesecurities.ca</t>
  </si>
  <si>
    <t>Marco Masucci</t>
  </si>
  <si>
    <t>2015-07-14T02:05:48</t>
  </si>
  <si>
    <t>MMasucci</t>
  </si>
  <si>
    <t>marcus.bernard@manulifesecurities.ca</t>
  </si>
  <si>
    <t>Marcus Bernard</t>
  </si>
  <si>
    <t>2015-11-02T16:28:08</t>
  </si>
  <si>
    <t>mfc.marcus.bernar</t>
  </si>
  <si>
    <t>Marcus.Truong@manulifesecurities.ca</t>
  </si>
  <si>
    <t>Marcus Truong</t>
  </si>
  <si>
    <t>MTruong</t>
  </si>
  <si>
    <t>Marcy.Feicht@manulifesecurities.ca</t>
  </si>
  <si>
    <t>Marcy Feicht</t>
  </si>
  <si>
    <t>2017-10-02T11:42:10</t>
  </si>
  <si>
    <t>MFeicht</t>
  </si>
  <si>
    <t>Marcy.McDougald@manulifesecurities.ca</t>
  </si>
  <si>
    <t>Marcy McDougald</t>
  </si>
  <si>
    <t>2017-10-13T15:34:58</t>
  </si>
  <si>
    <t>mcdouma</t>
  </si>
  <si>
    <t>Marg.Mizen@manulifesecurities.ca</t>
  </si>
  <si>
    <t>Marg Mizen</t>
  </si>
  <si>
    <t>2017-09-22T11:56:37</t>
  </si>
  <si>
    <t>margmizen</t>
  </si>
  <si>
    <t>Margaret.Cheung@manulifesecurities.ca</t>
  </si>
  <si>
    <t>Margaret Cheung</t>
  </si>
  <si>
    <t>2015-03-20T10:53:24</t>
  </si>
  <si>
    <t>margaret</t>
  </si>
  <si>
    <t>Margaret.Cockriell@manulifesecurities.ca</t>
  </si>
  <si>
    <t>Margaret Cockriell</t>
  </si>
  <si>
    <t>2017-05-04T11:31:56</t>
  </si>
  <si>
    <t>MCockriell</t>
  </si>
  <si>
    <t>Margaret.Drover@manulifesecurities.ca</t>
  </si>
  <si>
    <t>Margaret Drover</t>
  </si>
  <si>
    <t>2017-02-16T11:08:35</t>
  </si>
  <si>
    <t>mdrover</t>
  </si>
  <si>
    <t>Margaret.Fleese@manulifesecurities.ca</t>
  </si>
  <si>
    <t>Margaret Fleese</t>
  </si>
  <si>
    <t>2017-10-06T09:32:43</t>
  </si>
  <si>
    <t>MFleese</t>
  </si>
  <si>
    <t>Margaret.Lucas@manulifesecurities.ca</t>
  </si>
  <si>
    <t>Margaret Lucas</t>
  </si>
  <si>
    <t>MLucas</t>
  </si>
  <si>
    <t>Margaret.Ossa@manulifesecurities.ca</t>
  </si>
  <si>
    <t>Margaret Ossa</t>
  </si>
  <si>
    <t>2017-10-11T12:42:16</t>
  </si>
  <si>
    <t>ossamar</t>
  </si>
  <si>
    <t>Margaret.Synejko@manulifesecurities.ca</t>
  </si>
  <si>
    <t>MSynejko</t>
  </si>
  <si>
    <t>Margery.McCoy@manulifesecurities.ca</t>
  </si>
  <si>
    <t>Margery McCoy</t>
  </si>
  <si>
    <t>MMcCoy</t>
  </si>
  <si>
    <t>Margherita.Samarelli@manulifesecurities.ca</t>
  </si>
  <si>
    <t>Maggie Samarelli</t>
  </si>
  <si>
    <t>2016-03-31T10:29:27</t>
  </si>
  <si>
    <t>masama</t>
  </si>
  <si>
    <t>Margheriti.Vangoch@manulifesecurities.ca</t>
  </si>
  <si>
    <t>RVangoch</t>
  </si>
  <si>
    <t>rvangoch</t>
  </si>
  <si>
    <t>Margo.Buchanan@manulifesecurities.ca</t>
  </si>
  <si>
    <t>Margo Buchanan</t>
  </si>
  <si>
    <t>MBuchanan</t>
  </si>
  <si>
    <t>Margo.Guacci@manulifesecurities.ca</t>
  </si>
  <si>
    <t>Margo Guacci</t>
  </si>
  <si>
    <t>MGuacci</t>
  </si>
  <si>
    <t>Margot.Dixon@manulifesecurities.ca</t>
  </si>
  <si>
    <t>Margot Dixon</t>
  </si>
  <si>
    <t>MarDixon</t>
  </si>
  <si>
    <t>Maria.Ambrosino@manulifesecurities.ca</t>
  </si>
  <si>
    <t>Maria Ambrosino</t>
  </si>
  <si>
    <t>2017-10-10T09:42:33</t>
  </si>
  <si>
    <t>mfc.maria.ambrosi</t>
  </si>
  <si>
    <t>maria.bambara@placementsmanuvie.ca</t>
  </si>
  <si>
    <t>Maria Bambara</t>
  </si>
  <si>
    <t>2017-10-10T18:52:48</t>
  </si>
  <si>
    <t>mfc.maria.bambara</t>
  </si>
  <si>
    <t>Maria.Cesario@manulifesecurities.ca</t>
  </si>
  <si>
    <t>Maria Cesario</t>
  </si>
  <si>
    <t>2017-10-14T18:23:10</t>
  </si>
  <si>
    <t>MCesario</t>
  </si>
  <si>
    <t>Maria.Coppola@manulifesecurities.ca</t>
  </si>
  <si>
    <t>Maria Coppola</t>
  </si>
  <si>
    <t>MCoppola</t>
  </si>
  <si>
    <t>Maria.Gangai@manulifesecurities.ca</t>
  </si>
  <si>
    <t>Maria Gangai</t>
  </si>
  <si>
    <t>MGangai</t>
  </si>
  <si>
    <t>Maria.Holgado@manulifesecurities.ca</t>
  </si>
  <si>
    <t>Maria Holgado</t>
  </si>
  <si>
    <t>mholgado</t>
  </si>
  <si>
    <t>Maria.Ibagon@manulifesecurities.ca</t>
  </si>
  <si>
    <t>Maria Ibagon</t>
  </si>
  <si>
    <t>2016-01-14T09:03:39</t>
  </si>
  <si>
    <t>mfc.maria.ibagon</t>
  </si>
  <si>
    <t>Maria.Knol@manulifesecurities.ca</t>
  </si>
  <si>
    <t>Maria Knol</t>
  </si>
  <si>
    <t>maknol</t>
  </si>
  <si>
    <t>Maria.Llamas@manulifesecurities.ca</t>
  </si>
  <si>
    <t>Maria Llamas</t>
  </si>
  <si>
    <t>MLlamas</t>
  </si>
  <si>
    <t>Maria.Morrison@manulifesecurities.ca</t>
  </si>
  <si>
    <t>Maria Morrison</t>
  </si>
  <si>
    <t>2017-10-16T09:11:01</t>
  </si>
  <si>
    <t>mmorriso</t>
  </si>
  <si>
    <t>Maria.Pereira@manulifesecurities.ca</t>
  </si>
  <si>
    <t>2017-01-05T11:24:08</t>
  </si>
  <si>
    <t>mfc.maria.pereira</t>
  </si>
  <si>
    <t>Maria.Pinto@manulifesecurities.ca</t>
  </si>
  <si>
    <t>Maria Pinto</t>
  </si>
  <si>
    <t>2017-10-13T10:29:15</t>
  </si>
  <si>
    <t>mfc.maria.pinto</t>
  </si>
  <si>
    <t>Maria.Porco@manulifesecurities.ca</t>
  </si>
  <si>
    <t>Maria Porco</t>
  </si>
  <si>
    <t>2017-10-13T10:19:26</t>
  </si>
  <si>
    <t>MPorco</t>
  </si>
  <si>
    <t>Maria.Sperduti@manulifesecurities.ca</t>
  </si>
  <si>
    <t>Maria Sperduti</t>
  </si>
  <si>
    <t>2017-10-04T16:26:10</t>
  </si>
  <si>
    <t>msperduti</t>
  </si>
  <si>
    <t>Maria.Xavier@manulifesecurities.ca</t>
  </si>
  <si>
    <t>Maria  Xavier</t>
  </si>
  <si>
    <t>MXavier</t>
  </si>
  <si>
    <t>Marian.Chan@manulifesecurities.ca</t>
  </si>
  <si>
    <t>Marian Chan</t>
  </si>
  <si>
    <t>2017-10-12T12:56:33</t>
  </si>
  <si>
    <t>chanmar</t>
  </si>
  <si>
    <t>marian.koh@manulifesecurities.ca</t>
  </si>
  <si>
    <t>Marian Koh</t>
  </si>
  <si>
    <t>2017-10-12T15:54:19</t>
  </si>
  <si>
    <t>mfc.marion.koh</t>
  </si>
  <si>
    <t>Marian.Mocanu@manulifesecurities.ca</t>
  </si>
  <si>
    <t>Marian Mocanu</t>
  </si>
  <si>
    <t>2017-09-29T13:00:34</t>
  </si>
  <si>
    <t>mmocanu</t>
  </si>
  <si>
    <t>marianna.glazounova@manulifesecurities.ca</t>
  </si>
  <si>
    <t>Marianna Glazounova</t>
  </si>
  <si>
    <t>2016-04-14T09:57:50</t>
  </si>
  <si>
    <t>mfc.marianna.glaz</t>
  </si>
  <si>
    <t>Marianne.Mitchell@manulifesecurities.ca</t>
  </si>
  <si>
    <t>Marianne Mitchell</t>
  </si>
  <si>
    <t>2017-10-10T08:36:45</t>
  </si>
  <si>
    <t>mfc.marianne.mitc</t>
  </si>
  <si>
    <t>Marianne.Siklosi@manulifesecurities.ca</t>
  </si>
  <si>
    <t>Marianne Siklosi</t>
  </si>
  <si>
    <t>2017-09-12T15:19:51</t>
  </si>
  <si>
    <t>mfc.marianne.sikl</t>
  </si>
  <si>
    <t>Maricris.Yumol@manulifesecurities.ca</t>
  </si>
  <si>
    <t>Maricris Yumol</t>
  </si>
  <si>
    <t>2015-06-29T13:44:53</t>
  </si>
  <si>
    <t>MYumol</t>
  </si>
  <si>
    <t>Marie.Ball@manulifesecurities.ca</t>
  </si>
  <si>
    <t>Marie Ball</t>
  </si>
  <si>
    <t>MBall</t>
  </si>
  <si>
    <t>Marie.Hlass@manulifesecurities.ca</t>
  </si>
  <si>
    <t>Marie-Constance Hlass</t>
  </si>
  <si>
    <t>mhlass</t>
  </si>
  <si>
    <t>Marie.Lashley@manulifesecurities.ca</t>
  </si>
  <si>
    <t>Marie Lashley</t>
  </si>
  <si>
    <t>MLashley</t>
  </si>
  <si>
    <t>Marie.Lowe@manulifesecurities.ca</t>
  </si>
  <si>
    <t>Marie Lowe</t>
  </si>
  <si>
    <t>2017-09-14T10:35:26</t>
  </si>
  <si>
    <t>MLowe</t>
  </si>
  <si>
    <t>Marie.Majeau@manulifesecurities.ca</t>
  </si>
  <si>
    <t>MMajeau</t>
  </si>
  <si>
    <t>Marie.Mercado@manulifesecurities.ca</t>
  </si>
  <si>
    <t>Marie Mercado</t>
  </si>
  <si>
    <t>MMercado</t>
  </si>
  <si>
    <t>Marie.Organ@manulifesecurities.ca</t>
  </si>
  <si>
    <t>Marie Organ (Disabled)</t>
  </si>
  <si>
    <t>marieo</t>
  </si>
  <si>
    <t>Marie.Whiting@manulifesecurities.ca</t>
  </si>
  <si>
    <t>Marie Whiting</t>
  </si>
  <si>
    <t>2017-10-09T17:17:20</t>
  </si>
  <si>
    <t>MWhiting</t>
  </si>
  <si>
    <t>Marie-anne.Joaquin@manulifesecurities.ca</t>
  </si>
  <si>
    <t>Marie-anne Joaquin</t>
  </si>
  <si>
    <t>joaquma</t>
  </si>
  <si>
    <t>Marie-France.Dion@manulifesecurities.ca</t>
  </si>
  <si>
    <t>Marie-France Dion</t>
  </si>
  <si>
    <t>MDion</t>
  </si>
  <si>
    <t>Marie-Josee.Biallas@manulifesecurities.ca</t>
  </si>
  <si>
    <t>Marie-Josee Biallas</t>
  </si>
  <si>
    <t>mfc.marie-josee.b</t>
  </si>
  <si>
    <t>Marie-Josee.Turmel@manulifesecurities.ca</t>
  </si>
  <si>
    <t>Marie-Josee Turmel</t>
  </si>
  <si>
    <t>mjturmel</t>
  </si>
  <si>
    <t>Marietta.Laing@manulifesecurities.ca</t>
  </si>
  <si>
    <t>MLaing</t>
  </si>
  <si>
    <t>Mariette.Foxcroft@manulifesecurities.ca</t>
  </si>
  <si>
    <t>Mariette Foxcroft</t>
  </si>
  <si>
    <t>mfoxcroft</t>
  </si>
  <si>
    <t>MariJoy.Solis@manulifesecurities.ca</t>
  </si>
  <si>
    <t>Mari Joy Solis</t>
  </si>
  <si>
    <t>MJsolis</t>
  </si>
  <si>
    <t>Marika.Georgiadis@manulifesecurities.ca</t>
  </si>
  <si>
    <t>Marika Georgiadis</t>
  </si>
  <si>
    <t>2017-06-02T10:06:01</t>
  </si>
  <si>
    <t>mgeorgiadis</t>
  </si>
  <si>
    <t>Marika.Levesque@manulifesecurities.ca</t>
  </si>
  <si>
    <t>Marika Levesque</t>
  </si>
  <si>
    <t>MLevesque</t>
  </si>
  <si>
    <t>Marilee.Schroeder@manulifesecurities.ca</t>
  </si>
  <si>
    <t>Marilee Schroeder</t>
  </si>
  <si>
    <t>MSchroeder</t>
  </si>
  <si>
    <t>Marilyn.Baraniecki@manulifesecurities.ca</t>
  </si>
  <si>
    <t>Marilyn Baraniecki</t>
  </si>
  <si>
    <t>2017-09-24T10:30:39</t>
  </si>
  <si>
    <t>mfc.marilyn.baran</t>
  </si>
  <si>
    <t>Marilyn.Blythman@manulifesecurities.ca</t>
  </si>
  <si>
    <t>Marilyn Blythman</t>
  </si>
  <si>
    <t>2017-10-04T15:52:38</t>
  </si>
  <si>
    <t>mfblythman</t>
  </si>
  <si>
    <t>Marilyn.Crafton@manulifesecurities.ca</t>
  </si>
  <si>
    <t>Marilyn Crafton</t>
  </si>
  <si>
    <t>MCrafton</t>
  </si>
  <si>
    <t>Marilyn.Hall@manulifesecurities.ca</t>
  </si>
  <si>
    <t>Marilyn Hall</t>
  </si>
  <si>
    <t>MHall</t>
  </si>
  <si>
    <t>Marilyn.Hnatiuk@manulifesecurities.ca</t>
  </si>
  <si>
    <t>Marilyn Hnatiuk</t>
  </si>
  <si>
    <t>2017-08-11T09:28:29</t>
  </si>
  <si>
    <t>MHnatiuk</t>
  </si>
  <si>
    <t>Marilyn.Joyal@manulifesecurities.ca</t>
  </si>
  <si>
    <t>Marilyn Joyal</t>
  </si>
  <si>
    <t>2017-10-13T18:42:26</t>
  </si>
  <si>
    <t>MJoyal</t>
  </si>
  <si>
    <t>Marilyn.Kohuch@manulifesecurities.ca</t>
  </si>
  <si>
    <t>Marilyn Kohuch</t>
  </si>
  <si>
    <t>MKohuch</t>
  </si>
  <si>
    <t>Marilyn.Needham@manulifesecurities.ca</t>
  </si>
  <si>
    <t>Marilyn Needham</t>
  </si>
  <si>
    <t>MNeedham</t>
  </si>
  <si>
    <t>Marilyn.Ramos@manulifesecurities.ca</t>
  </si>
  <si>
    <t>Marilyn Ramos</t>
  </si>
  <si>
    <t>mramos</t>
  </si>
  <si>
    <t>Marilyn.Verdiel@manulifesecurities.ca</t>
  </si>
  <si>
    <t>Marilyn Verdiel</t>
  </si>
  <si>
    <t>mverdiel</t>
  </si>
  <si>
    <t>Marina.Beaulieu@manulifesecurities.ca</t>
  </si>
  <si>
    <t>Marina Beaulieu</t>
  </si>
  <si>
    <t>MRogers</t>
  </si>
  <si>
    <t>Mario.Bartella@manulifesecurities.ca</t>
  </si>
  <si>
    <t>Mario Bartella</t>
  </si>
  <si>
    <t>mbartella</t>
  </si>
  <si>
    <t>Mario.Buttino@manulifesecurities.ca</t>
  </si>
  <si>
    <t>Mario Buttino</t>
  </si>
  <si>
    <t>2016-11-19T10:12:54</t>
  </si>
  <si>
    <t>mfc.mario.buttino</t>
  </si>
  <si>
    <t>Mario.Delisi@manulifesecurities.ca</t>
  </si>
  <si>
    <t>Mario Delisi</t>
  </si>
  <si>
    <t>delisma</t>
  </si>
  <si>
    <t>Mario.Isabella@manulifesecurities.ca</t>
  </si>
  <si>
    <t>Mario Isabella</t>
  </si>
  <si>
    <t>2017-10-11T15:02:56</t>
  </si>
  <si>
    <t>MIsabella</t>
  </si>
  <si>
    <t>Mario.Kralj@manulifesecurities.ca</t>
  </si>
  <si>
    <t>Mario Kralj</t>
  </si>
  <si>
    <t>mkralj</t>
  </si>
  <si>
    <t>Mario.Plamondon@manulifesecurities.ca</t>
  </si>
  <si>
    <t>zzMario Plamondon</t>
  </si>
  <si>
    <t>Marplam</t>
  </si>
  <si>
    <t>Mario.Savoia@manulifesecurities.ca</t>
  </si>
  <si>
    <t>Mario Savoia</t>
  </si>
  <si>
    <t>2017-10-10T23:02:42</t>
  </si>
  <si>
    <t>msavoia</t>
  </si>
  <si>
    <t>Mario.Tavares@manulifesecurities.ca</t>
  </si>
  <si>
    <t>Mario Tavares</t>
  </si>
  <si>
    <t>2017-10-13T07:46:55</t>
  </si>
  <si>
    <t>tavares</t>
  </si>
  <si>
    <t>Marion.Kipling@manulifesecurities.ca</t>
  </si>
  <si>
    <t>Marion Kipling</t>
  </si>
  <si>
    <t>2017-10-16T08:13:11</t>
  </si>
  <si>
    <t>MKipling</t>
  </si>
  <si>
    <t>Marisa.Prisco@manulifesecurities.ca</t>
  </si>
  <si>
    <t>Marisa Prisco (Disabled)</t>
  </si>
  <si>
    <t>MPrisco</t>
  </si>
  <si>
    <t>Maritza.SilvaSanchez@manulifesecurities.ca</t>
  </si>
  <si>
    <t>Maritza Silva Sanchez</t>
  </si>
  <si>
    <t>MOBrien</t>
  </si>
  <si>
    <t>Marj.Mayor@manulifesecurities.ca</t>
  </si>
  <si>
    <t>Marj Mayor</t>
  </si>
  <si>
    <t>MMayor</t>
  </si>
  <si>
    <t>Mark.Allen@manulifesecurities.ca</t>
  </si>
  <si>
    <t>Mark Allen</t>
  </si>
  <si>
    <t>MAllen</t>
  </si>
  <si>
    <t>Mark.Cameron@manulifesecurities.ca</t>
  </si>
  <si>
    <t>Mark Cameron</t>
  </si>
  <si>
    <t>2017-10-14T21:09:44</t>
  </si>
  <si>
    <t>MaCameron</t>
  </si>
  <si>
    <t>Mark.Charanduk@manulifesecurities.ca</t>
  </si>
  <si>
    <t>Mark Charanduk</t>
  </si>
  <si>
    <t>2016-08-12T17:00:20</t>
  </si>
  <si>
    <t>mfc.mark.charandu</t>
  </si>
  <si>
    <t>Mark.Colangelo@manulifesecurities.ca</t>
  </si>
  <si>
    <t>Mark Colangelo</t>
  </si>
  <si>
    <t>2017-10-08T08:31:53</t>
  </si>
  <si>
    <t>MColangelo</t>
  </si>
  <si>
    <t>Mark.Colosimo@manulifesecurities.ca</t>
  </si>
  <si>
    <t>Mark Colosimo</t>
  </si>
  <si>
    <t>2017-10-12T11:22:16</t>
  </si>
  <si>
    <t>MarkColosimo</t>
  </si>
  <si>
    <t>Mark.ColosimoOld@manulifesecurities.ca</t>
  </si>
  <si>
    <t>Mark Colosimo (Disabled)</t>
  </si>
  <si>
    <t>mcolosimo</t>
  </si>
  <si>
    <t>Mark.Denney@manulifesecurities.ca</t>
  </si>
  <si>
    <t>Mark Denney</t>
  </si>
  <si>
    <t>mhjdenney</t>
  </si>
  <si>
    <t>Mark.Evans@manulifesecurities.ca</t>
  </si>
  <si>
    <t>Mark Evans</t>
  </si>
  <si>
    <t>2017-10-07T11:46:34</t>
  </si>
  <si>
    <t>MEvans</t>
  </si>
  <si>
    <t>Mark.Fultz@manulifesecurities.ca</t>
  </si>
  <si>
    <t>Mark Fultz</t>
  </si>
  <si>
    <t>2017-05-10T10:00:34</t>
  </si>
  <si>
    <t>markfultz</t>
  </si>
  <si>
    <t>Mark.Gerber@manulifesecurities.ca</t>
  </si>
  <si>
    <t>Mark Gerber</t>
  </si>
  <si>
    <t>2017-10-12T05:41:25</t>
  </si>
  <si>
    <t>MGerber</t>
  </si>
  <si>
    <t>Mark.Giroux@manulifesecurities.ca</t>
  </si>
  <si>
    <t>Mark Giroux</t>
  </si>
  <si>
    <t>mgiroux</t>
  </si>
  <si>
    <t>Mark.Gouws@manulifesecurities.ca</t>
  </si>
  <si>
    <t>J Mark Gouws</t>
  </si>
  <si>
    <t>2017-10-15T05:47:30</t>
  </si>
  <si>
    <t>JGouws</t>
  </si>
  <si>
    <t>Mark.Haggarty@manulifesecurities.ca</t>
  </si>
  <si>
    <t>Mark Haggarty</t>
  </si>
  <si>
    <t>mhaggarty</t>
  </si>
  <si>
    <t>Mark.Healy@manulifesecurities.ca</t>
  </si>
  <si>
    <t>Mark Healy</t>
  </si>
  <si>
    <t>2017-10-05T10:05:40</t>
  </si>
  <si>
    <t>mhealy</t>
  </si>
  <si>
    <t>mark.hoeger@manulifesecurities.ca</t>
  </si>
  <si>
    <t>Mark Hoeger</t>
  </si>
  <si>
    <t>2016-10-21T11:17:16</t>
  </si>
  <si>
    <t>mark.hoeger</t>
  </si>
  <si>
    <t>mark.jensen@manulifesecurities.ca</t>
  </si>
  <si>
    <t>Mark Jensen</t>
  </si>
  <si>
    <t>2017-10-13T10:34:25</t>
  </si>
  <si>
    <t>mfc.mark.jensen</t>
  </si>
  <si>
    <t>Mark.Konkle@manulifesecurities.ca</t>
  </si>
  <si>
    <t>Mark Konkle</t>
  </si>
  <si>
    <t>2016-06-12T05:11:15</t>
  </si>
  <si>
    <t>MKonkle</t>
  </si>
  <si>
    <t>Mark.Leech@manulifesecurities.ca</t>
  </si>
  <si>
    <t>Mark Leech</t>
  </si>
  <si>
    <t>2017-05-29T11:55:34</t>
  </si>
  <si>
    <t>mleech</t>
  </si>
  <si>
    <t>Mark.McConnell@manulifesecurities.ca</t>
  </si>
  <si>
    <t>Mark McConnell</t>
  </si>
  <si>
    <t>2016-10-13T10:47:33</t>
  </si>
  <si>
    <t>MMcConnell</t>
  </si>
  <si>
    <t>Mark.Milleker@manulifesecurities.ca</t>
  </si>
  <si>
    <t>Mark Milleker</t>
  </si>
  <si>
    <t>2017-08-28T15:36:44</t>
  </si>
  <si>
    <t>mfc.mark.milleker</t>
  </si>
  <si>
    <t>Mark.Mulholland@manulifesecurities.ca</t>
  </si>
  <si>
    <t>Mark Mulholland</t>
  </si>
  <si>
    <t>2017-10-13T13:13:30</t>
  </si>
  <si>
    <t>MMulholland</t>
  </si>
  <si>
    <t>Mark.Perry@manulifesecurities.ca</t>
  </si>
  <si>
    <t>Mark Perry</t>
  </si>
  <si>
    <t>MPerry</t>
  </si>
  <si>
    <t>Mark.Pretorian@manulifesecurities.ca</t>
  </si>
  <si>
    <t>Mark Pretorian</t>
  </si>
  <si>
    <t>2017-10-16T07:48:30</t>
  </si>
  <si>
    <t>MPretorian</t>
  </si>
  <si>
    <t>Mark.Richards@manulifesecurities.ca</t>
  </si>
  <si>
    <t>Mark Richards</t>
  </si>
  <si>
    <t>2017-10-10T02:30:56</t>
  </si>
  <si>
    <t>MRichards</t>
  </si>
  <si>
    <t>Mark.Ridolfi@manulifesecurities.ca</t>
  </si>
  <si>
    <t>Mark Ridolfi</t>
  </si>
  <si>
    <t>2017-10-16T01:47:36</t>
  </si>
  <si>
    <t>MRidolfi</t>
  </si>
  <si>
    <t>Mark.Rowland@manulifesecurities.ca</t>
  </si>
  <si>
    <t>Mark Rowland</t>
  </si>
  <si>
    <t>2017-10-10T14:29:01</t>
  </si>
  <si>
    <t>mkland</t>
  </si>
  <si>
    <t>Mark.Schmidt@manulifesecurities.ca</t>
  </si>
  <si>
    <t>Mark Schmidt</t>
  </si>
  <si>
    <t>2017-10-07T09:04:05</t>
  </si>
  <si>
    <t>schmidt</t>
  </si>
  <si>
    <t>Mark.Schneider@manulifesecurities.ca</t>
  </si>
  <si>
    <t>Mark Schneider</t>
  </si>
  <si>
    <t>mschneider</t>
  </si>
  <si>
    <t>Mark.Sikorski@manulifesecurities.ca</t>
  </si>
  <si>
    <t>Mark Sikorski</t>
  </si>
  <si>
    <t>2017-10-12T08:45:35</t>
  </si>
  <si>
    <t>MSikorski</t>
  </si>
  <si>
    <t>Mark.Smigel@manulifesecurities.ca</t>
  </si>
  <si>
    <t>Mark Smigel</t>
  </si>
  <si>
    <t>MSmigel</t>
  </si>
  <si>
    <t>Mark.Stonefish@manulifesecurities.ca</t>
  </si>
  <si>
    <t>Mark Stonefish</t>
  </si>
  <si>
    <t>2017-10-10T07:23:16</t>
  </si>
  <si>
    <t>stonema</t>
  </si>
  <si>
    <t>Mark.Usher@manulifesecurities.ca</t>
  </si>
  <si>
    <t>Mark Usher</t>
  </si>
  <si>
    <t>usherma</t>
  </si>
  <si>
    <t>Mark.VanAmburg@manulifesecurities.ca</t>
  </si>
  <si>
    <t>Mark Van Amburg</t>
  </si>
  <si>
    <t>2017-09-24T09:47:03</t>
  </si>
  <si>
    <t>markvanamburg</t>
  </si>
  <si>
    <t>Mark.Whitty@manulifesecurities.ca</t>
  </si>
  <si>
    <t>Mark Whitty</t>
  </si>
  <si>
    <t>2017-10-12T14:11:05</t>
  </si>
  <si>
    <t>mwhitty</t>
  </si>
  <si>
    <t>marketing@manulifesecurities.ca</t>
  </si>
  <si>
    <t>Marketing</t>
  </si>
  <si>
    <t>marketing</t>
  </si>
  <si>
    <t>Markus.Boudreau@manulifesecurities.ca</t>
  </si>
  <si>
    <t>Markus Boudreau</t>
  </si>
  <si>
    <t>2017-10-09T19:30:17</t>
  </si>
  <si>
    <t>mfc.markus.boudre</t>
  </si>
  <si>
    <t>Marla.Baverstock@manulifesecurities.ca</t>
  </si>
  <si>
    <t>Marla Baverstock</t>
  </si>
  <si>
    <t>2017-10-10T18:25:06</t>
  </si>
  <si>
    <t>MBaverstock</t>
  </si>
  <si>
    <t>Marla.Gross@manulifesecurities.ca</t>
  </si>
  <si>
    <t>Marla Gross</t>
  </si>
  <si>
    <t>mgross</t>
  </si>
  <si>
    <t>Marla.Kuypers@manulifesecurities.ca</t>
  </si>
  <si>
    <t>Marla Kuypers</t>
  </si>
  <si>
    <t>MKuypers</t>
  </si>
  <si>
    <t>marla.lainchbury@manulifesecurities.ca</t>
  </si>
  <si>
    <t>Marla Lainchbury</t>
  </si>
  <si>
    <t>mfc.marla.lainchb</t>
  </si>
  <si>
    <t>Marla.Vineberg@manulifesecurities.ca</t>
  </si>
  <si>
    <t>Marla Vineberg</t>
  </si>
  <si>
    <t>2017-10-14T14:02:29</t>
  </si>
  <si>
    <t>mfc.marla.vineber</t>
  </si>
  <si>
    <t>Marleine.Salame@manulifesecurities.ca</t>
  </si>
  <si>
    <t>Marleine Salame</t>
  </si>
  <si>
    <t>MSalame</t>
  </si>
  <si>
    <t>Marlene.Breton@manulifesecurities.ca</t>
  </si>
  <si>
    <t>Marlene Breton</t>
  </si>
  <si>
    <t>mbreton</t>
  </si>
  <si>
    <t>Marlene.Francis@manulifesecurities.ca</t>
  </si>
  <si>
    <t>Marlene Francis</t>
  </si>
  <si>
    <t>2017-03-07T18:03:24</t>
  </si>
  <si>
    <t>MFrancis</t>
  </si>
  <si>
    <t>Marlene.King@manulifesecurities.ca</t>
  </si>
  <si>
    <t>Marlene King</t>
  </si>
  <si>
    <t>marlking</t>
  </si>
  <si>
    <t>Marlene.Noel@manulifesecurities.ca</t>
  </si>
  <si>
    <t>Marlene Noel</t>
  </si>
  <si>
    <t>2017-10-04T17:10:39</t>
  </si>
  <si>
    <t>mfc.marlene.noel</t>
  </si>
  <si>
    <t>Marlene.Pichette@manulifesecurities.ca</t>
  </si>
  <si>
    <t>Marlene Pichette</t>
  </si>
  <si>
    <t>2017-10-14T23:02:44</t>
  </si>
  <si>
    <t>MPichette</t>
  </si>
  <si>
    <t>Marlene.Spielman@manulifesecurities.ca</t>
  </si>
  <si>
    <t>Marlene Spielman</t>
  </si>
  <si>
    <t>2017-10-05T12:05:22</t>
  </si>
  <si>
    <t>spielma</t>
  </si>
  <si>
    <t>Marlene.Zimmer@manulifesecurities.ca</t>
  </si>
  <si>
    <t>Marlene Zimmer</t>
  </si>
  <si>
    <t>2017-05-08T08:52:19</t>
  </si>
  <si>
    <t>MZimmer</t>
  </si>
  <si>
    <t>Marlies.Toews@manulifesecurities.ca</t>
  </si>
  <si>
    <t>Marlies Toews</t>
  </si>
  <si>
    <t>2017-05-11T12:52:39</t>
  </si>
  <si>
    <t>mtoews</t>
  </si>
  <si>
    <t>Marlo.Bondy@manulifesecurities.ca</t>
  </si>
  <si>
    <t>Marlo Bondy</t>
  </si>
  <si>
    <t>2017-10-16T08:49:07</t>
  </si>
  <si>
    <t>mbondy</t>
  </si>
  <si>
    <t>Marney.Matoga@manulifesecurities.ca</t>
  </si>
  <si>
    <t>Marney Matoga</t>
  </si>
  <si>
    <t>MMatoga</t>
  </si>
  <si>
    <t>Marnie.Dockeray@manulifesecurities.ca</t>
  </si>
  <si>
    <t>Marnie Dockeray</t>
  </si>
  <si>
    <t>2017-10-02T12:15:21</t>
  </si>
  <si>
    <t>MDockeray</t>
  </si>
  <si>
    <t>Marny.Burnett@manulifesecurities.ca</t>
  </si>
  <si>
    <t>MBurnett</t>
  </si>
  <si>
    <t>Marsha.Godsoe@manulifesecurities.ca</t>
  </si>
  <si>
    <t>Marsha Godsoe</t>
  </si>
  <si>
    <t>mgodsoe</t>
  </si>
  <si>
    <t>Marshall.Dawson@manulifesecurities.ca</t>
  </si>
  <si>
    <t>Marshall Dawson</t>
  </si>
  <si>
    <t>2017-05-01T10:51:42</t>
  </si>
  <si>
    <t>MDawson</t>
  </si>
  <si>
    <t>Marshall.Hett@manulifesecurities.ca</t>
  </si>
  <si>
    <t>Marshall Hett</t>
  </si>
  <si>
    <t>2017-10-02T15:58:14</t>
  </si>
  <si>
    <t>mfc.marshall.hett</t>
  </si>
  <si>
    <t>Marshall.Muldoon@manulifesecurities.ca</t>
  </si>
  <si>
    <t>Marshall Muldoon</t>
  </si>
  <si>
    <t>mmuldoon</t>
  </si>
  <si>
    <t>Marta.Freitas@manulifesecurities.ca</t>
  </si>
  <si>
    <t>Marta Freitas</t>
  </si>
  <si>
    <t>2015-06-21T15:44:23</t>
  </si>
  <si>
    <t>MFreitas</t>
  </si>
  <si>
    <t>Marta.Kolanski@manulifesecurities.ca</t>
  </si>
  <si>
    <t>Marta Kolanski</t>
  </si>
  <si>
    <t>MKolanski</t>
  </si>
  <si>
    <t>Martin.Bailey@manulifesecurities.ca</t>
  </si>
  <si>
    <t>Martin Bailey</t>
  </si>
  <si>
    <t>2017-10-09T16:21:38</t>
  </si>
  <si>
    <t>MBailey</t>
  </si>
  <si>
    <t>martin.carey@manulifesecurities.ca</t>
  </si>
  <si>
    <t>Martin Carey</t>
  </si>
  <si>
    <t>2017-04-17T14:46:34</t>
  </si>
  <si>
    <t>mfc.martin.carey</t>
  </si>
  <si>
    <t>Martin.DesJardine@manulifesecurities.ca</t>
  </si>
  <si>
    <t>Martin DesJardine</t>
  </si>
  <si>
    <t>2017-10-07T10:51:53</t>
  </si>
  <si>
    <t>mdesjardine</t>
  </si>
  <si>
    <t>Martin.Guimond@placementsmanuvie.ca</t>
  </si>
  <si>
    <t>Martin Guimond</t>
  </si>
  <si>
    <t>2017-10-10T08:53:27</t>
  </si>
  <si>
    <t>mfc.martin.guimon</t>
  </si>
  <si>
    <t>Martin.Hoogerdyk@manulifesecurities.ca</t>
  </si>
  <si>
    <t>Martin Hoogerdyk</t>
  </si>
  <si>
    <t>MHoogerdyk</t>
  </si>
  <si>
    <t>Martin.Howe@manulifesecurities.ca</t>
  </si>
  <si>
    <t>Martin Howe</t>
  </si>
  <si>
    <t>2015-02-04T13:51:26</t>
  </si>
  <si>
    <t>MartinHowe</t>
  </si>
  <si>
    <t>Martin.Katz@manulifesecurities.ca</t>
  </si>
  <si>
    <t>Martin Katz</t>
  </si>
  <si>
    <t>2017-01-26T08:53:13</t>
  </si>
  <si>
    <t>MKatz</t>
  </si>
  <si>
    <t>Martin.Lipworth@manulifesecurities.ca</t>
  </si>
  <si>
    <t>Martin Lipworth</t>
  </si>
  <si>
    <t>2017-10-13T11:11:03</t>
  </si>
  <si>
    <t>martinlipworth</t>
  </si>
  <si>
    <t>Martin.Metherell@manulifesecurities.ca</t>
  </si>
  <si>
    <t>Martin Metherell</t>
  </si>
  <si>
    <t>2017-10-10T08:24:52</t>
  </si>
  <si>
    <t>methema</t>
  </si>
  <si>
    <t>martin.pitt@manulifesecurities.ca</t>
  </si>
  <si>
    <t>Martin Pitt</t>
  </si>
  <si>
    <t>mfc.martin.pitt</t>
  </si>
  <si>
    <t>Martin.Weiler@manulifesecurities.ca</t>
  </si>
  <si>
    <t>Martin Weiler</t>
  </si>
  <si>
    <t>2017-10-16T09:27:34</t>
  </si>
  <si>
    <t>MWeiler</t>
  </si>
  <si>
    <t>MartinCharles.Ranallo@manulifesecurities.ca</t>
  </si>
  <si>
    <t>Martin Charles Ranallo</t>
  </si>
  <si>
    <t>mranallo</t>
  </si>
  <si>
    <t>mary.andrews@manulifesecurities.ca</t>
  </si>
  <si>
    <t>MaAndrews</t>
  </si>
  <si>
    <t>maandrews</t>
  </si>
  <si>
    <t>Mary.Benipayo@manulifesecurities.ca</t>
  </si>
  <si>
    <t>Mary Benipayo</t>
  </si>
  <si>
    <t>MBenipayo</t>
  </si>
  <si>
    <t>Mary.Bernardo@manulifesecurities.ca</t>
  </si>
  <si>
    <t>Mary Bernardo</t>
  </si>
  <si>
    <t>2017-10-05T14:19:34</t>
  </si>
  <si>
    <t>bernarm</t>
  </si>
  <si>
    <t>Mary.Bray@manulifesecurities.ca</t>
  </si>
  <si>
    <t>Mary Bray</t>
  </si>
  <si>
    <t>2017-10-16T08:19:27</t>
  </si>
  <si>
    <t>mabray</t>
  </si>
  <si>
    <t>Mary.Chakowski@manulifesecurities.ca</t>
  </si>
  <si>
    <t>Mary Chakowski</t>
  </si>
  <si>
    <t>MChakowski</t>
  </si>
  <si>
    <t>Mary.Chervenka@manulifesecurities.ca</t>
  </si>
  <si>
    <t>Mary Chervenka</t>
  </si>
  <si>
    <t>2017-10-11T10:03:59</t>
  </si>
  <si>
    <t>MChervenka</t>
  </si>
  <si>
    <t>Mary.DiSalvo@manulifesecurities.ca</t>
  </si>
  <si>
    <t>Mary Di Salvo</t>
  </si>
  <si>
    <t>2017-10-13T10:55:24</t>
  </si>
  <si>
    <t>mrdisalvo</t>
  </si>
  <si>
    <t>Mary.Esumadia@manulifesecurities.ca</t>
  </si>
  <si>
    <t>Mary Esumadia</t>
  </si>
  <si>
    <t>mesumadia</t>
  </si>
  <si>
    <t>Mary.Falkenham@manulifesecurities.ca</t>
  </si>
  <si>
    <t>Mary Falkenham</t>
  </si>
  <si>
    <t>2017-10-12T10:07:28</t>
  </si>
  <si>
    <t>mfalkenham1</t>
  </si>
  <si>
    <t>Mary.Giesbrecht@manulifesecurities.ca</t>
  </si>
  <si>
    <t>Mary Giesbrecht</t>
  </si>
  <si>
    <t>marygiesbrecht</t>
  </si>
  <si>
    <t>Mary.Gilman@manulifesecurities.ca</t>
  </si>
  <si>
    <t>Mary Gilman</t>
  </si>
  <si>
    <t>MGilman</t>
  </si>
  <si>
    <t>Mary.Gloster@manulifesecurities.ca</t>
  </si>
  <si>
    <t>Mary Gloster</t>
  </si>
  <si>
    <t>mfc.mary.gloster</t>
  </si>
  <si>
    <t>Mary.Hinchey@manulifesecurities.ca</t>
  </si>
  <si>
    <t>Mary Hinchey</t>
  </si>
  <si>
    <t>2015-08-12T11:31:23</t>
  </si>
  <si>
    <t>juljak</t>
  </si>
  <si>
    <t>Mary.Jucutan@manulifesecurities.ca</t>
  </si>
  <si>
    <t>Mary Jucutan</t>
  </si>
  <si>
    <t>MJucutan</t>
  </si>
  <si>
    <t>Mary.Kalogirou@manulifesecurities.ca</t>
  </si>
  <si>
    <t>Mary Kalogirou</t>
  </si>
  <si>
    <t>2017-10-13T10:15:31</t>
  </si>
  <si>
    <t>mkalogirou</t>
  </si>
  <si>
    <t>Mary.Lawrie@manulifesecurities.ca</t>
  </si>
  <si>
    <t>Mary Lawrie</t>
  </si>
  <si>
    <t>MLawrie</t>
  </si>
  <si>
    <t>Mary.MacDonald@manulifesecurities.ca</t>
  </si>
  <si>
    <t>Mary MacDonald</t>
  </si>
  <si>
    <t>mfc.mary.macdonal</t>
  </si>
  <si>
    <t>Mary.Manson@manulifesecurities.ca</t>
  </si>
  <si>
    <t>Mary Manson</t>
  </si>
  <si>
    <t>mmanson</t>
  </si>
  <si>
    <t>Mary.Miehm@manulifesecurities.ca</t>
  </si>
  <si>
    <t>Mary Miehm</t>
  </si>
  <si>
    <t>2017-10-10T09:21:11</t>
  </si>
  <si>
    <t>mfc.mary.miehm</t>
  </si>
  <si>
    <t>Mary.Milicevic@manulifesecurities.ca</t>
  </si>
  <si>
    <t>Mary Milicevic</t>
  </si>
  <si>
    <t>MaMilicevic</t>
  </si>
  <si>
    <t>Mary.Patterson@manulifesecurities.ca</t>
  </si>
  <si>
    <t>Mary Patterson</t>
  </si>
  <si>
    <t>2016-11-28T01:08:58</t>
  </si>
  <si>
    <t>MPatterson</t>
  </si>
  <si>
    <t>Mary.Reader@manulifesecurities.ca</t>
  </si>
  <si>
    <t>Mary Reader</t>
  </si>
  <si>
    <t>2017-10-12T08:48:20</t>
  </si>
  <si>
    <t>MReader</t>
  </si>
  <si>
    <t>Mary.Scopelliti@manulifesecurities.ca</t>
  </si>
  <si>
    <t>Mary Scopelliti</t>
  </si>
  <si>
    <t>2017-10-10T10:51:36</t>
  </si>
  <si>
    <t>MScopelliti</t>
  </si>
  <si>
    <t>Mary.Sison@manulifesecurities.ca</t>
  </si>
  <si>
    <t>Mary Sison</t>
  </si>
  <si>
    <t>msison</t>
  </si>
  <si>
    <t>Mary.Stephenson@manulifesecurities.ca</t>
  </si>
  <si>
    <t>Mary Stephenson</t>
  </si>
  <si>
    <t>masteph</t>
  </si>
  <si>
    <t>Mary.Wilson@manulifesecurities.ca</t>
  </si>
  <si>
    <t>Mary Wilson</t>
  </si>
  <si>
    <t>2014-11-17T09:51:29</t>
  </si>
  <si>
    <t>mwilson</t>
  </si>
  <si>
    <t>Mary-Ann.Jimeno@manulifesecurities.ca</t>
  </si>
  <si>
    <t>Mary-Ann Jimeno</t>
  </si>
  <si>
    <t>MJimeno</t>
  </si>
  <si>
    <t>Mary-Ann.Leclair@manulifesecurities.ca</t>
  </si>
  <si>
    <t>Mary-Ann Leclair</t>
  </si>
  <si>
    <t>mleclair</t>
  </si>
  <si>
    <t>MaryAnn.Myroon@manulifesecurities.ca</t>
  </si>
  <si>
    <t>Mary Ann Myroon</t>
  </si>
  <si>
    <t>mamyroon</t>
  </si>
  <si>
    <t>Maryanne.Bower@manulifesecurities.ca</t>
  </si>
  <si>
    <t>Maryanne Bower</t>
  </si>
  <si>
    <t>2017-10-10T12:45:08</t>
  </si>
  <si>
    <t>mfc.maryanne.bowe</t>
  </si>
  <si>
    <t>Maryanne.Fowles@manulifesecurities.ca</t>
  </si>
  <si>
    <t>zz Manulife - Maryanne Fowles</t>
  </si>
  <si>
    <t>MFowles</t>
  </si>
  <si>
    <t>MaryAnne.Kolibash@manulifesecurities.ca</t>
  </si>
  <si>
    <t>MKolibash</t>
  </si>
  <si>
    <t>MaryJane.Wratten@manulifesecurities.ca</t>
  </si>
  <si>
    <t>Mary Jane Wratten</t>
  </si>
  <si>
    <t>MWratten</t>
  </si>
  <si>
    <t>MaryJoan.Cameron@manulifesecurities.ca</t>
  </si>
  <si>
    <t>Mary Joan Cameron</t>
  </si>
  <si>
    <t>MJCameron</t>
  </si>
  <si>
    <t>Mary-Kate.Mitchell@manulifesecurities.ca</t>
  </si>
  <si>
    <t>Mary-Kate Mitchell</t>
  </si>
  <si>
    <t>2017-10-02T12:12:45</t>
  </si>
  <si>
    <t>mkmitchell</t>
  </si>
  <si>
    <t>MaryKathryn.Retzman@manulifesecurities.ca</t>
  </si>
  <si>
    <t>Mary Kathryn Retzman</t>
  </si>
  <si>
    <t>2017-10-11T02:18:58</t>
  </si>
  <si>
    <t>mkretzman</t>
  </si>
  <si>
    <t>MaryLynn.Coghlin@manulifesecurities.ca</t>
  </si>
  <si>
    <t>Mary Lynn Coghlin</t>
  </si>
  <si>
    <t>2015-02-23T10:56:14</t>
  </si>
  <si>
    <t>mlcogh</t>
  </si>
  <si>
    <t>Marziale.Lentini@manulifesecurities.ca</t>
  </si>
  <si>
    <t>Marziale Lentini</t>
  </si>
  <si>
    <t>MLentini</t>
  </si>
  <si>
    <t>Massimo.Spano@manulifesecurities.ca</t>
  </si>
  <si>
    <t>Massimo Spano</t>
  </si>
  <si>
    <t>2017-10-08T11:25:05</t>
  </si>
  <si>
    <t>MSpano</t>
  </si>
  <si>
    <t>Mat.Charlton@manulifesecurities.ca</t>
  </si>
  <si>
    <t>Mat Charlton</t>
  </si>
  <si>
    <t>MCharlton</t>
  </si>
  <si>
    <t>Mathew.Cain@manulifesecurities.ca</t>
  </si>
  <si>
    <t>Mathew Cain</t>
  </si>
  <si>
    <t>2017-10-11T15:41:38</t>
  </si>
  <si>
    <t>macain</t>
  </si>
  <si>
    <t>Mathew.Scherer@manulifesecurities.ca</t>
  </si>
  <si>
    <t>Mathew Scherer</t>
  </si>
  <si>
    <t>2017-10-06T10:23:53</t>
  </si>
  <si>
    <t>mfc.m.scherer</t>
  </si>
  <si>
    <t>Mathieu.Boudreau@manulifesecurities.ca</t>
  </si>
  <si>
    <t>Mathieu Boudreau</t>
  </si>
  <si>
    <t>2017-10-06T14:26:47</t>
  </si>
  <si>
    <t>MBoudreau</t>
  </si>
  <si>
    <t>Mathieu.Cote@manulifesecurities.ca</t>
  </si>
  <si>
    <t>Mathieu Cote</t>
  </si>
  <si>
    <t>2017-10-10T15:47:15</t>
  </si>
  <si>
    <t>MaCote</t>
  </si>
  <si>
    <t>Mathieu.Groleau@manulifesecurities.ca</t>
  </si>
  <si>
    <t>Mathieu Groleau</t>
  </si>
  <si>
    <t>2014-12-28T21:32:45</t>
  </si>
  <si>
    <t>mfc.mathieu.grole</t>
  </si>
  <si>
    <t>Mathieu.Laliberte@manulifesecurities.ca</t>
  </si>
  <si>
    <t>Mathieu Laliberte</t>
  </si>
  <si>
    <t>2016-03-22T12:01:21</t>
  </si>
  <si>
    <t>mfc.mathieu.lalib</t>
  </si>
  <si>
    <t>mathieu.lemoyne@manulifesecurities.ca</t>
  </si>
  <si>
    <t>Mathieu Lemoyne</t>
  </si>
  <si>
    <t>2017-10-07T17:42:59</t>
  </si>
  <si>
    <t>mfc.mathieu.lemoy</t>
  </si>
  <si>
    <t>Mathieu.Marciniak@manulifesecurities.ca</t>
  </si>
  <si>
    <t>Mathieu Marciniak</t>
  </si>
  <si>
    <t>2017-10-13T09:48:47</t>
  </si>
  <si>
    <t>mfc.mathieu.marci</t>
  </si>
  <si>
    <t>Matt.Charlton@manulifesecurities.ca</t>
  </si>
  <si>
    <t>Mateo J. Charlton</t>
  </si>
  <si>
    <t>MaCharlton</t>
  </si>
  <si>
    <t>Matt.Fiander@manulifesecurities.ca</t>
  </si>
  <si>
    <t>Matt Fiander</t>
  </si>
  <si>
    <t>2017-10-08T10:54:18</t>
  </si>
  <si>
    <t>mfiander</t>
  </si>
  <si>
    <t>Matt.McGill@manulifesecurities.ca</t>
  </si>
  <si>
    <t>Matt McGill</t>
  </si>
  <si>
    <t>2017-10-14T11:26:48</t>
  </si>
  <si>
    <t>mmcgill</t>
  </si>
  <si>
    <t>Matt.Roach@manulifesecurities.ca</t>
  </si>
  <si>
    <t>Matt Roach</t>
  </si>
  <si>
    <t>2017-03-14T14:09:56</t>
  </si>
  <si>
    <t>mdroach</t>
  </si>
  <si>
    <t>Matt.Vetter@manulifesecurities.ca</t>
  </si>
  <si>
    <t>Matt Vetter</t>
  </si>
  <si>
    <t>2015-06-08T12:09:03</t>
  </si>
  <si>
    <t>mvetter</t>
  </si>
  <si>
    <t>Matthew.Andrews@manulifesecurities.ca</t>
  </si>
  <si>
    <t>MAndrews</t>
  </si>
  <si>
    <t>Matthew.Blom@manulifesecurities.ca</t>
  </si>
  <si>
    <t>Matthew Blom</t>
  </si>
  <si>
    <t>2017-10-05T12:23:51</t>
  </si>
  <si>
    <t>mablom</t>
  </si>
  <si>
    <t>Matthew.Bowyer@manulifesecurities.ca</t>
  </si>
  <si>
    <t>Matthew Bowyer</t>
  </si>
  <si>
    <t>2017-10-09T12:38:22</t>
  </si>
  <si>
    <t>mbowyer</t>
  </si>
  <si>
    <t>Matthew.Devin@manulifesecurities.ca</t>
  </si>
  <si>
    <t>Matthew Devin</t>
  </si>
  <si>
    <t>2014-09-29T13:45:59</t>
  </si>
  <si>
    <t>mdevin</t>
  </si>
  <si>
    <t>Matthew.Guttman@manulifesecurities.ca</t>
  </si>
  <si>
    <t>Matthew Guttman</t>
  </si>
  <si>
    <t>2017-10-14T05:44:00</t>
  </si>
  <si>
    <t>MGuttman</t>
  </si>
  <si>
    <t>Matthew.Hannen@manulifesecurities.ca</t>
  </si>
  <si>
    <t>Matthew Hannen</t>
  </si>
  <si>
    <t>2015-12-03T11:52:32</t>
  </si>
  <si>
    <t>MHannen</t>
  </si>
  <si>
    <t>Matthew.Heller@manulifesecurities.ca</t>
  </si>
  <si>
    <t>Matthew Heller</t>
  </si>
  <si>
    <t>2017-10-16T02:29:08</t>
  </si>
  <si>
    <t>mheller</t>
  </si>
  <si>
    <t>Matthew.Jackson@manulifesecurities.ca</t>
  </si>
  <si>
    <t>Matthew Jackson</t>
  </si>
  <si>
    <t>MJackson</t>
  </si>
  <si>
    <t>Matthew.Jenner@manulifesecurities.ca</t>
  </si>
  <si>
    <t>Matthew Jenner</t>
  </si>
  <si>
    <t>MJenner</t>
  </si>
  <si>
    <t>Matthew.Milleker@manulifesecurities.ca</t>
  </si>
  <si>
    <t>Matthew Milleker</t>
  </si>
  <si>
    <t>2017-09-29T12:14:54</t>
  </si>
  <si>
    <t>mfc.matthew.mille</t>
  </si>
  <si>
    <t>Matthew.Moghaddam@manulifesecurities.ca</t>
  </si>
  <si>
    <t>Matthew Moghaddam</t>
  </si>
  <si>
    <t>MMoghaddam</t>
  </si>
  <si>
    <t>Matthew.Ogus@manulifesecurities.ca</t>
  </si>
  <si>
    <t>Matthew Ogus</t>
  </si>
  <si>
    <t>2017-10-13T08:21:07</t>
  </si>
  <si>
    <t>mfc.matthew.ogus</t>
  </si>
  <si>
    <t>Matthew.Prosser@manulifesecurities.ca</t>
  </si>
  <si>
    <t>Matthew Prosser</t>
  </si>
  <si>
    <t>2017-10-10T13:18:25</t>
  </si>
  <si>
    <t>mattgs</t>
  </si>
  <si>
    <t>Matthew.Rooney@manulifesecurities.ca</t>
  </si>
  <si>
    <t>Matthew Rooney</t>
  </si>
  <si>
    <t>mrooney</t>
  </si>
  <si>
    <t>Matthew.Seguin@manulifesecurities.ca</t>
  </si>
  <si>
    <t>Matthew Seguin</t>
  </si>
  <si>
    <t>2017-10-10T13:54:22</t>
  </si>
  <si>
    <t>mjseguin</t>
  </si>
  <si>
    <t>Matthew.Toth@manulifesecurities.ca</t>
  </si>
  <si>
    <t>Matthew Toth</t>
  </si>
  <si>
    <t>2017-10-14T09:31:46</t>
  </si>
  <si>
    <t>MToth</t>
  </si>
  <si>
    <t>Matthias.Yeung@manulifesecurities.ca</t>
  </si>
  <si>
    <t>Matt Yeung</t>
  </si>
  <si>
    <t>2017-10-02T15:01:55</t>
  </si>
  <si>
    <t>MYeung</t>
  </si>
  <si>
    <t>Matti.Allas@manulifesecurities.ca</t>
  </si>
  <si>
    <t>Matti Allas</t>
  </si>
  <si>
    <t>2017-10-11T13:28:15</t>
  </si>
  <si>
    <t>mjallas</t>
  </si>
  <si>
    <t>Maureen.Broeders@manulifesecurities.ca</t>
  </si>
  <si>
    <t>Maureen Broeders</t>
  </si>
  <si>
    <t>maureenbroeders</t>
  </si>
  <si>
    <t>Maureen.Connolly@manulifesecurities.ca</t>
  </si>
  <si>
    <t>Maureen Connolly</t>
  </si>
  <si>
    <t>MConnolly</t>
  </si>
  <si>
    <t>Maureen.Cook@manulifesecurities.ca</t>
  </si>
  <si>
    <t>Maureen Cook</t>
  </si>
  <si>
    <t>2015-05-19T10:07:46</t>
  </si>
  <si>
    <t>maureencook</t>
  </si>
  <si>
    <t>Maureen.Hunter@manulifesecurities.ca</t>
  </si>
  <si>
    <t>Maureen Hunter</t>
  </si>
  <si>
    <t>moshelagh</t>
  </si>
  <si>
    <t>Maureen.Lee@manulifesecurities.ca</t>
  </si>
  <si>
    <t>Maureen Lee</t>
  </si>
  <si>
    <t>maureenlee</t>
  </si>
  <si>
    <t>Maureen.Wong@manulifesecurities.ca</t>
  </si>
  <si>
    <t>Maureen Wong</t>
  </si>
  <si>
    <t>mawong</t>
  </si>
  <si>
    <t>Maurice.Gaubert@manulifesecurities.ca</t>
  </si>
  <si>
    <t>Maurice Gaubert</t>
  </si>
  <si>
    <t>2017-10-10T07:59:42</t>
  </si>
  <si>
    <t>MGaubert</t>
  </si>
  <si>
    <t>Maurice.Labelle@manulifesecurities.ca</t>
  </si>
  <si>
    <t>Maurice Labelle</t>
  </si>
  <si>
    <t>mlabel</t>
  </si>
  <si>
    <t>Maurice.Matte@manulifesecurities.ca</t>
  </si>
  <si>
    <t>Maurice Matte</t>
  </si>
  <si>
    <t>2017-09-20T13:01:52</t>
  </si>
  <si>
    <t>mmatte</t>
  </si>
  <si>
    <t>Maurice.Roberge@manulifesecurities.ca</t>
  </si>
  <si>
    <t>Maurice Roberge</t>
  </si>
  <si>
    <t>maroberg</t>
  </si>
  <si>
    <t>Mauro.Toscani@manulifesecurities.ca</t>
  </si>
  <si>
    <t>Mauro Toscani</t>
  </si>
  <si>
    <t>2017-10-13T09:00:19</t>
  </si>
  <si>
    <t>MToscani</t>
  </si>
  <si>
    <t>Mavis.Audino@manulifesecurities.ca</t>
  </si>
  <si>
    <t>MAudino</t>
  </si>
  <si>
    <t>MavisL.Audino@manulifesecurities.ca</t>
  </si>
  <si>
    <t>Mavis L Audino (Assistant)</t>
  </si>
  <si>
    <t>2017-07-27T12:15:37</t>
  </si>
  <si>
    <t>mlaudino</t>
  </si>
  <si>
    <t>Max.Nelson@manulifesecurities.ca</t>
  </si>
  <si>
    <t>Maxwell Nelson</t>
  </si>
  <si>
    <t>2017-10-06T14:10:22</t>
  </si>
  <si>
    <t>MNelson</t>
  </si>
  <si>
    <t>Maxim.Benjamin@manulifesecurities.ca</t>
  </si>
  <si>
    <t>Maxim Benjamin</t>
  </si>
  <si>
    <t>2017-10-11T08:59:27</t>
  </si>
  <si>
    <t>mfc.maxim.benjami</t>
  </si>
  <si>
    <t>Maxine.Seymore@manulifesecurities.ca</t>
  </si>
  <si>
    <t>Maxine Seymore</t>
  </si>
  <si>
    <t>MSeymore</t>
  </si>
  <si>
    <t>May.Chan@manulifesecurities.ca</t>
  </si>
  <si>
    <t>May Seuns Chan</t>
  </si>
  <si>
    <t>2017-08-15T16:41:56</t>
  </si>
  <si>
    <t>chanmay</t>
  </si>
  <si>
    <t>Mazen.Slim@manulifesecurities.ca</t>
  </si>
  <si>
    <t>Mazen Slim</t>
  </si>
  <si>
    <t>2015-02-03T10:20:24</t>
  </si>
  <si>
    <t>mfc.mazen.slim</t>
  </si>
  <si>
    <t>MC.Test@manulifesecurities.ca</t>
  </si>
  <si>
    <t>zz Manulife - Kathy Adkins</t>
  </si>
  <si>
    <t>mctest</t>
  </si>
  <si>
    <t>MChan@manulifesecurities.ca</t>
  </si>
  <si>
    <t>May Chan</t>
  </si>
  <si>
    <t>mayjchan</t>
  </si>
  <si>
    <t>Meagan.Mueller@manulifesecurities.ca</t>
  </si>
  <si>
    <t>Meagan Mueller</t>
  </si>
  <si>
    <t>MMueller</t>
  </si>
  <si>
    <t>Meagan.Sheppard@manulifesecurities.ca</t>
  </si>
  <si>
    <t>Meagan Sheppard</t>
  </si>
  <si>
    <t>2017-01-25T09:14:54</t>
  </si>
  <si>
    <t>msheppar</t>
  </si>
  <si>
    <t>Meaghan.Hoffman@manulifesecurities.ca</t>
  </si>
  <si>
    <t>Meaghan Hoffman</t>
  </si>
  <si>
    <t>mhoffman</t>
  </si>
  <si>
    <t>MeetingRoomBookings@manulifesecurities.ca</t>
  </si>
  <si>
    <t>Meeting Room Bookings</t>
  </si>
  <si>
    <t>MRoomBookings</t>
  </si>
  <si>
    <t>Megan.Collins@manulifesecurities.ca</t>
  </si>
  <si>
    <t>Megan Collins</t>
  </si>
  <si>
    <t>MCollins</t>
  </si>
  <si>
    <t>Megan.MacLean@manulifesecurities.ca</t>
  </si>
  <si>
    <t>Megan A.D. MacLean</t>
  </si>
  <si>
    <t>2014-11-10T15:59:02</t>
  </si>
  <si>
    <t>MMacLean</t>
  </si>
  <si>
    <t>Megan.Sopko@manulifesecurities.ca</t>
  </si>
  <si>
    <t>Megan Sopko</t>
  </si>
  <si>
    <t>msopko</t>
  </si>
  <si>
    <t>Meghan.Brazier@manulifesecurities.ca</t>
  </si>
  <si>
    <t>Meghan Brazier</t>
  </si>
  <si>
    <t>2017-08-09T10:54:22</t>
  </si>
  <si>
    <t>mfc.meghan.brazie</t>
  </si>
  <si>
    <t>Meghan.Chomut@manulifesecurities.ca</t>
  </si>
  <si>
    <t>Meghan Chomut</t>
  </si>
  <si>
    <t>2016-05-24T08:52:24</t>
  </si>
  <si>
    <t>MPrice</t>
  </si>
  <si>
    <t>Meghan.Gould@manulifesecurities.ca</t>
  </si>
  <si>
    <t>Meghan Gould</t>
  </si>
  <si>
    <t>2017-10-06T09:50:02</t>
  </si>
  <si>
    <t>mfc.meghan.gould</t>
  </si>
  <si>
    <t>Meghann.Dermott@manulifesecurities.ca</t>
  </si>
  <si>
    <t>Meghann Dermott</t>
  </si>
  <si>
    <t>dermome</t>
  </si>
  <si>
    <t>Mehernosh.Kapadia@manulifesecurities.ca</t>
  </si>
  <si>
    <t>Mehernosh Kapadia</t>
  </si>
  <si>
    <t>2017-07-15T23:47:57</t>
  </si>
  <si>
    <t>MKapadia</t>
  </si>
  <si>
    <t>Mei.Hsiung@manulifesecurities.ca</t>
  </si>
  <si>
    <t>Mei Hsiung</t>
  </si>
  <si>
    <t>2017-10-12T09:13:27</t>
  </si>
  <si>
    <t>mhsiung</t>
  </si>
  <si>
    <t>Melaney.Broderick@manulifesecurities.ca</t>
  </si>
  <si>
    <t>Melaney Broderick</t>
  </si>
  <si>
    <t>mbroderick</t>
  </si>
  <si>
    <t>Melanie.Breton@manulifesecurities.ca</t>
  </si>
  <si>
    <t>Melanie Breton</t>
  </si>
  <si>
    <t>2017-10-15T00:02:25</t>
  </si>
  <si>
    <t>mfc.melanie.breto</t>
  </si>
  <si>
    <t>Melanie.Budd@manulifesecurities.ca</t>
  </si>
  <si>
    <t>Melanie Budd</t>
  </si>
  <si>
    <t>2016-08-08T12:36:42</t>
  </si>
  <si>
    <t>MBudd</t>
  </si>
  <si>
    <t>Melanie.Dufresne@manulifesecurities.ca</t>
  </si>
  <si>
    <t>Melanie Dufresne</t>
  </si>
  <si>
    <t>mdusfres</t>
  </si>
  <si>
    <t>Melanie.Hudon@manulifesecurities.ca</t>
  </si>
  <si>
    <t>Melanie Hudon</t>
  </si>
  <si>
    <t>2017-10-16T09:19:31</t>
  </si>
  <si>
    <t>mhudon</t>
  </si>
  <si>
    <t>Melanie.Laberge@manulifesecurities.ca</t>
  </si>
  <si>
    <t>Melanie Laberge</t>
  </si>
  <si>
    <t>2017-10-15T14:43:00</t>
  </si>
  <si>
    <t>mfc.melanie.laber</t>
  </si>
  <si>
    <t>Melanie.Lambert@manulifesecurities.ca</t>
  </si>
  <si>
    <t>Melanie Lambert</t>
  </si>
  <si>
    <t>melamber</t>
  </si>
  <si>
    <t>Melanie.Locke@manulifesecurities.ca</t>
  </si>
  <si>
    <t>Melanie Locke</t>
  </si>
  <si>
    <t>2017-10-10T11:26:07</t>
  </si>
  <si>
    <t>mnlocke</t>
  </si>
  <si>
    <t>Melanie.McCrea@manulifesecurities.ca</t>
  </si>
  <si>
    <t>Melanie McCrea</t>
  </si>
  <si>
    <t>2017-10-11T10:26:35</t>
  </si>
  <si>
    <t>MMcCrea</t>
  </si>
  <si>
    <t>Melanie.Raczka@manulifesecurities.ca</t>
  </si>
  <si>
    <t>Melanie Raczka</t>
  </si>
  <si>
    <t>MRaczka</t>
  </si>
  <si>
    <t>Melanie.Senft@manulifesecurities.ca</t>
  </si>
  <si>
    <t>Melanie Senft</t>
  </si>
  <si>
    <t>2017-09-26T18:00:30</t>
  </si>
  <si>
    <t>mfc.melanie.senft</t>
  </si>
  <si>
    <t>melanie.stockley@manulifesecurities.ca</t>
  </si>
  <si>
    <t>Melanie Stockley</t>
  </si>
  <si>
    <t>2016-11-22T09:25:59</t>
  </si>
  <si>
    <t>mfc.melanie.stock</t>
  </si>
  <si>
    <t>Melanie.Storme@manulifesecurities.ca</t>
  </si>
  <si>
    <t>Melanie Storme</t>
  </si>
  <si>
    <t>mstorme</t>
  </si>
  <si>
    <t>Melanie.Strid@manulifesecurities.ca</t>
  </si>
  <si>
    <t>Melanie Strid</t>
  </si>
  <si>
    <t>MStrid</t>
  </si>
  <si>
    <t>Melanie.Twietmeyer@manulifesecurities.ca</t>
  </si>
  <si>
    <t>Melanie Twietmeyer</t>
  </si>
  <si>
    <t>MTwietmeyer</t>
  </si>
  <si>
    <t>Melinda.Hinger@manulifesecurities.ca</t>
  </si>
  <si>
    <t>Melinda Hinger</t>
  </si>
  <si>
    <t>2017-09-26T11:04:25</t>
  </si>
  <si>
    <t>MHinger</t>
  </si>
  <si>
    <t>Melisa.Dyksterhuis@manulifesecurities.ca</t>
  </si>
  <si>
    <t>Melisa Dyksterhuis</t>
  </si>
  <si>
    <t>MDyksterhuis</t>
  </si>
  <si>
    <t>Melissa.Birch@manulifesecurities.ca</t>
  </si>
  <si>
    <t>Melissa Birch</t>
  </si>
  <si>
    <t>birmel</t>
  </si>
  <si>
    <t>Melissa.Boudreau@manulifesecurities.ca</t>
  </si>
  <si>
    <t>Melissa Boudreau</t>
  </si>
  <si>
    <t>MeBoudreau</t>
  </si>
  <si>
    <t>Melissa.Cadarette@manulifesecurities.ca</t>
  </si>
  <si>
    <t>Melissa Cadarette</t>
  </si>
  <si>
    <t>mcadaret</t>
  </si>
  <si>
    <t>Melissa.Camilleri@manulifesecurities.ca</t>
  </si>
  <si>
    <t>Melissa Camilleri</t>
  </si>
  <si>
    <t>MDiPietro</t>
  </si>
  <si>
    <t>Melissa.Chazan@manulifesecurities.ca</t>
  </si>
  <si>
    <t>Melissa Chazan (Disabled)</t>
  </si>
  <si>
    <t>MChazan</t>
  </si>
  <si>
    <t>Melissa.Fortin@manulifesecurities.ca</t>
  </si>
  <si>
    <t>Melissa Fortin</t>
  </si>
  <si>
    <t>MFortin</t>
  </si>
  <si>
    <t>melissa.golik@manulifesecurities.ca</t>
  </si>
  <si>
    <t>Melissa Golik</t>
  </si>
  <si>
    <t>2016-03-14T16:08:19</t>
  </si>
  <si>
    <t>mfc.melissa.golik</t>
  </si>
  <si>
    <t>Melissa.Gollan@manulifesecurities.ca</t>
  </si>
  <si>
    <t>Melissa Gollan</t>
  </si>
  <si>
    <t>2017-10-13T14:51:10</t>
  </si>
  <si>
    <t>mfc.melissa.golla</t>
  </si>
  <si>
    <t>Melissa.Head@manulifesecurities.ca</t>
  </si>
  <si>
    <t>Melissa Head</t>
  </si>
  <si>
    <t>mehead</t>
  </si>
  <si>
    <t>Melissa.Leblanc@manulifesecurities.ca</t>
  </si>
  <si>
    <t>Melissa Leblanc</t>
  </si>
  <si>
    <t>mleblanc</t>
  </si>
  <si>
    <t>Melissa.Lucking@manulifesecurities.ca</t>
  </si>
  <si>
    <t>Melissa Lucking</t>
  </si>
  <si>
    <t>MLucking</t>
  </si>
  <si>
    <t>Melissa.MacKenzie@manulifesecurities.ca</t>
  </si>
  <si>
    <t>Melissa MacKenzie</t>
  </si>
  <si>
    <t>2017-10-13T11:44:30</t>
  </si>
  <si>
    <t>mfc.melissa.macke</t>
  </si>
  <si>
    <t>Melissa.McCann@manulifesecurities.ca</t>
  </si>
  <si>
    <t>Melissa McCann</t>
  </si>
  <si>
    <t>2017-10-02T14:32:37</t>
  </si>
  <si>
    <t>mfc.melissa.mccan</t>
  </si>
  <si>
    <t>Melissa.Mcnamara@manulifesecurities.ca</t>
  </si>
  <si>
    <t>Melissa Mcnamara</t>
  </si>
  <si>
    <t>mmcnamara</t>
  </si>
  <si>
    <t>Melissa.McNamara2@manulifesecurities.ca</t>
  </si>
  <si>
    <t>Melissa M. McNamara</t>
  </si>
  <si>
    <t>melmc</t>
  </si>
  <si>
    <t>Melony.Connor@manulifesecurities.ca</t>
  </si>
  <si>
    <t>Melony Connor</t>
  </si>
  <si>
    <t>2017-10-11T09:31:32</t>
  </si>
  <si>
    <t>mfc.melony.connor</t>
  </si>
  <si>
    <t>Melony.Norgard@manulifesecurities.ca</t>
  </si>
  <si>
    <t>Melony Norgard</t>
  </si>
  <si>
    <t>melony</t>
  </si>
  <si>
    <t>Melvin.Short@manulifesecurities.ca</t>
  </si>
  <si>
    <t>Melvin Short</t>
  </si>
  <si>
    <t>2017-02-08T06:38:30</t>
  </si>
  <si>
    <t>MShort</t>
  </si>
  <si>
    <t>Menjit.Dhillon@manulifesecurities.ca</t>
  </si>
  <si>
    <t>MDhillon</t>
  </si>
  <si>
    <t>Meranie.Plews@manulifesecurities.ca</t>
  </si>
  <si>
    <t>Meranie Plews</t>
  </si>
  <si>
    <t>2017-10-07T06:18:19</t>
  </si>
  <si>
    <t>MPlews</t>
  </si>
  <si>
    <t>Mercedes.Lewis@manulifesecurities.ca</t>
  </si>
  <si>
    <t>Mercedes Lewis</t>
  </si>
  <si>
    <t>2015-07-29T13:42:43</t>
  </si>
  <si>
    <t>mlewis</t>
  </si>
  <si>
    <t>meredith.mason@manulifesecurities.ca</t>
  </si>
  <si>
    <t>Meredith Mason</t>
  </si>
  <si>
    <t>2017-10-13T10:26:02</t>
  </si>
  <si>
    <t>mfc.meredith.maso</t>
  </si>
  <si>
    <t>Merl.Bistoyong@manulifesecurities.ca</t>
  </si>
  <si>
    <t>Merl Bistoyong</t>
  </si>
  <si>
    <t>MBistoyong</t>
  </si>
  <si>
    <t>Merlin.Stewart@manulifesecurities.ca</t>
  </si>
  <si>
    <t>Merlin Stewart</t>
  </si>
  <si>
    <t>steme2</t>
  </si>
  <si>
    <t>Merv.Olinik@manulifesecurities.ca</t>
  </si>
  <si>
    <t>Merv Olinik</t>
  </si>
  <si>
    <t>2017-10-09T12:13:53</t>
  </si>
  <si>
    <t>mfc.merv.olinik</t>
  </si>
  <si>
    <t>Mervin.Roche@manulifesecurities.ca</t>
  </si>
  <si>
    <t>Mervin Roche</t>
  </si>
  <si>
    <t>2017-10-12T12:02:47</t>
  </si>
  <si>
    <t>MRoche</t>
  </si>
  <si>
    <t>Meyer.Rypp@manulifesecurities.ca</t>
  </si>
  <si>
    <t>Meyer Rypp</t>
  </si>
  <si>
    <t>meyerrypp</t>
  </si>
  <si>
    <t>MFDALeverage.Review@manulifesecurities.ca</t>
  </si>
  <si>
    <t>MFDA Leverage Review</t>
  </si>
  <si>
    <t>MReview</t>
  </si>
  <si>
    <t>MFDAtoIIROC@manulifesecurities.ca</t>
  </si>
  <si>
    <t>MFDAtoIIROC Manulife Securities (former MFDAtoIDA)</t>
  </si>
  <si>
    <t>MFDAtoIIROC</t>
  </si>
  <si>
    <t>MHunter@manulifesecurities.ca</t>
  </si>
  <si>
    <t>Michelle Hunter(Mississauga)</t>
  </si>
  <si>
    <t>2017-10-03T15:34:23</t>
  </si>
  <si>
    <t>michaelah</t>
  </si>
  <si>
    <t>Micah.Anderson@manulifesecurities.ca</t>
  </si>
  <si>
    <t>Micah Anderson</t>
  </si>
  <si>
    <t>2017-10-14T09:54:37</t>
  </si>
  <si>
    <t>MAnderson</t>
  </si>
  <si>
    <t>Michael.Alford@manulifesecurities.ca</t>
  </si>
  <si>
    <t>Michael Alford</t>
  </si>
  <si>
    <t>2014-11-24T13:19:53</t>
  </si>
  <si>
    <t>malford</t>
  </si>
  <si>
    <t>Michael.Allen@manulifesecurities.ca</t>
  </si>
  <si>
    <t>Michael Allen</t>
  </si>
  <si>
    <t>MiAllen</t>
  </si>
  <si>
    <t>Michael.Arts@manulifesecurities.ca</t>
  </si>
  <si>
    <t>Michael Arts</t>
  </si>
  <si>
    <t>2017-10-08T23:39:28</t>
  </si>
  <si>
    <t>MArts</t>
  </si>
  <si>
    <t>Michael.Barlage@manulifesecurities.ca</t>
  </si>
  <si>
    <t>Michael Barlage</t>
  </si>
  <si>
    <t>2017-10-08T04:46:35</t>
  </si>
  <si>
    <t>MBarlage</t>
  </si>
  <si>
    <t>michael.bettencourt@manulifesecurities.ca</t>
  </si>
  <si>
    <t>Michael Bettencourt</t>
  </si>
  <si>
    <t>2017-10-10T19:28:58</t>
  </si>
  <si>
    <t>mfc.michael.bette</t>
  </si>
  <si>
    <t>Michael.Bohte@manulifesecurities.ca</t>
  </si>
  <si>
    <t>Michael Bohte</t>
  </si>
  <si>
    <t>MBohte</t>
  </si>
  <si>
    <t>Michael.Bucci@manulifesecurities.ca</t>
  </si>
  <si>
    <t>Michael Bucci</t>
  </si>
  <si>
    <t>2017-02-16T16:53:49</t>
  </si>
  <si>
    <t>mfc.michael.bucci</t>
  </si>
  <si>
    <t>michael.carey@manulifesecurities.ca</t>
  </si>
  <si>
    <t>MCarey</t>
  </si>
  <si>
    <t>2017-08-10T14:42:52</t>
  </si>
  <si>
    <t>michael.carstensen@manulifesecurities.ca</t>
  </si>
  <si>
    <t>Michael Carstensen</t>
  </si>
  <si>
    <t>2017-08-14T12:57:51</t>
  </si>
  <si>
    <t>mfc.michael.carst</t>
  </si>
  <si>
    <t>Michael.Cecutti@manulifesecurities.ca</t>
  </si>
  <si>
    <t>Michael Cecutti</t>
  </si>
  <si>
    <t>2017-10-03T11:12:57</t>
  </si>
  <si>
    <t>mcecutti</t>
  </si>
  <si>
    <t>Michael.Chan@manulifesecurities.ca</t>
  </si>
  <si>
    <t>Michael Chan</t>
  </si>
  <si>
    <t>2015-03-09T12:44:38</t>
  </si>
  <si>
    <t>michan</t>
  </si>
  <si>
    <t>Michael.Charanduk@manulifesecurities.ca</t>
  </si>
  <si>
    <t>Michael Charanduk</t>
  </si>
  <si>
    <t>2015-07-24T12:36:34</t>
  </si>
  <si>
    <t>mfc.michael.chara</t>
  </si>
  <si>
    <t>Michael.Dauphinee@manulifesecurities.ca</t>
  </si>
  <si>
    <t>Michael Dauphinee</t>
  </si>
  <si>
    <t>2016-03-10T13:48:39</t>
  </si>
  <si>
    <t>MDauphinee</t>
  </si>
  <si>
    <t>Michael.Davis@manulifesecurities.ca</t>
  </si>
  <si>
    <t>Michael Davis</t>
  </si>
  <si>
    <t>MDavis</t>
  </si>
  <si>
    <t>Michael.DiGenova@manulifesecurities.ca</t>
  </si>
  <si>
    <t>Michael Di Genova</t>
  </si>
  <si>
    <t>mdigenov</t>
  </si>
  <si>
    <t>Michael.Dillen@manulifesecurities.ca</t>
  </si>
  <si>
    <t>Michael Dillen</t>
  </si>
  <si>
    <t>2017-10-08T10:34:55</t>
  </si>
  <si>
    <t>mfc.michael.dille</t>
  </si>
  <si>
    <t>Michael.Dutton@manulifesecurities.ca</t>
  </si>
  <si>
    <t>MDutton</t>
  </si>
  <si>
    <t>Michael.Farrell@manulifesecurities.ca</t>
  </si>
  <si>
    <t>Michael Farrell</t>
  </si>
  <si>
    <t>2017-10-13T09:15:41</t>
  </si>
  <si>
    <t>mfarrell</t>
  </si>
  <si>
    <t>Michael.Finer@manulifesecurities.ca</t>
  </si>
  <si>
    <t>Michael Finer</t>
  </si>
  <si>
    <t>2017-10-12T17:48:04</t>
  </si>
  <si>
    <t>MFiner</t>
  </si>
  <si>
    <t>Michael.Fortunato@manulifesecurities.ca</t>
  </si>
  <si>
    <t>Michael Fortunato</t>
  </si>
  <si>
    <t>2017-10-12T09:35:04</t>
  </si>
  <si>
    <t>mfc.michael.fortu</t>
  </si>
  <si>
    <t>Michael.Fraser@manulifesecurities.ca</t>
  </si>
  <si>
    <t>Mike J. Fraser</t>
  </si>
  <si>
    <t>mifraser</t>
  </si>
  <si>
    <t>Michael.French@manulifesecurities.ca</t>
  </si>
  <si>
    <t>Michael French</t>
  </si>
  <si>
    <t>MFrench</t>
  </si>
  <si>
    <t>Michael.Gargarita@manulifesecurities.ca</t>
  </si>
  <si>
    <t>Michael Gargarita</t>
  </si>
  <si>
    <t>MGargarita</t>
  </si>
  <si>
    <t>Michael.Garraway@manulifesecurities.ca</t>
  </si>
  <si>
    <t>Michael Garraway</t>
  </si>
  <si>
    <t>mgarraway</t>
  </si>
  <si>
    <t>Michael.Gentile@manulifesecurities.ca</t>
  </si>
  <si>
    <t>Michael Gentile</t>
  </si>
  <si>
    <t>2017-10-10T09:00:18</t>
  </si>
  <si>
    <t>michaelgentile</t>
  </si>
  <si>
    <t>Michael.Gill@manulifesecurities.ca</t>
  </si>
  <si>
    <t>Michael Gill</t>
  </si>
  <si>
    <t>2017-10-11T12:28:06</t>
  </si>
  <si>
    <t>ardeng</t>
  </si>
  <si>
    <t>Michael.Harding@manulifesecurities.ca</t>
  </si>
  <si>
    <t>Michael Harding</t>
  </si>
  <si>
    <t>2017-10-10T08:23:28</t>
  </si>
  <si>
    <t>MHarding</t>
  </si>
  <si>
    <t>Michael.Hazen@manulifesecurities.ca</t>
  </si>
  <si>
    <t>Michael Hazen</t>
  </si>
  <si>
    <t>2017-10-12T15:33:39</t>
  </si>
  <si>
    <t>MHazen</t>
  </si>
  <si>
    <t>Michael.Hollingsworth@manulifesecurities.ca</t>
  </si>
  <si>
    <t>Michael Hollingsworth</t>
  </si>
  <si>
    <t>2016-07-18T08:07:18</t>
  </si>
  <si>
    <t>holly37</t>
  </si>
  <si>
    <t>Michael.Hong@manulifesecurities.ca</t>
  </si>
  <si>
    <t>Michael Hong</t>
  </si>
  <si>
    <t>2017-10-16T08:39:00</t>
  </si>
  <si>
    <t>mihong</t>
  </si>
  <si>
    <t>Michael.Hoszko@manulifesecurities.ca</t>
  </si>
  <si>
    <t>Michael Hoszko</t>
  </si>
  <si>
    <t>mhoszko</t>
  </si>
  <si>
    <t>Michael.Jones@manulifesecurities.ca</t>
  </si>
  <si>
    <t>Michael Jones</t>
  </si>
  <si>
    <t>2017-06-15T14:11:14</t>
  </si>
  <si>
    <t>gogogo</t>
  </si>
  <si>
    <t>Michael.Kaine@manulifesecurities.ca</t>
  </si>
  <si>
    <t>Michael Kaine</t>
  </si>
  <si>
    <t>2017-10-06T12:35:17</t>
  </si>
  <si>
    <t>mfc.michael.kaine</t>
  </si>
  <si>
    <t>Michael.Kolbinson@manulifesecurities.ca</t>
  </si>
  <si>
    <t>MKolbinson</t>
  </si>
  <si>
    <t>Michael.Kwiecien@manulifesecurities.ca</t>
  </si>
  <si>
    <t>Michael Kwiecien</t>
  </si>
  <si>
    <t>MKwiecien</t>
  </si>
  <si>
    <t>Michael.L.Saracino@manulifesecurities.ca</t>
  </si>
  <si>
    <t>Michael L. Saracino</t>
  </si>
  <si>
    <t>2017-10-12T11:46:51</t>
  </si>
  <si>
    <t>mfc.michele.sarac</t>
  </si>
  <si>
    <t>Michael.Laman@manulifesecurities.ca</t>
  </si>
  <si>
    <t>MLaman</t>
  </si>
  <si>
    <t>Michael.Links@manulifesecurities.ca</t>
  </si>
  <si>
    <t>Michael Links</t>
  </si>
  <si>
    <t>2017-10-10T09:17:08</t>
  </si>
  <si>
    <t>mjlinks</t>
  </si>
  <si>
    <t>Michael.Luscombe@manulifesecurities.ca</t>
  </si>
  <si>
    <t>Michael Luscombe</t>
  </si>
  <si>
    <t>2015-05-19T07:07:25</t>
  </si>
  <si>
    <t>miluscombe</t>
  </si>
  <si>
    <t>Michael.MacDonald@manulifesecurities.ca</t>
  </si>
  <si>
    <t>Michael MacDonald</t>
  </si>
  <si>
    <t>MMacDonald</t>
  </si>
  <si>
    <t>Michael.Martin@manulifesecurities.ca</t>
  </si>
  <si>
    <t>Michael Martin</t>
  </si>
  <si>
    <t>michaelmartin</t>
  </si>
  <si>
    <t>michael.mawas@manulifesecurities.ca</t>
  </si>
  <si>
    <t>Michael Mawas</t>
  </si>
  <si>
    <t>2017-10-14T11:58:13</t>
  </si>
  <si>
    <t>mfc.michael.mawas</t>
  </si>
  <si>
    <t>Michael.McEathron@manulifesecurities.ca</t>
  </si>
  <si>
    <t>Michael McEathron</t>
  </si>
  <si>
    <t>2016-05-30T00:19:33</t>
  </si>
  <si>
    <t>MMcEathron</t>
  </si>
  <si>
    <t>Michael.McMurray@manulifesecurities.ca</t>
  </si>
  <si>
    <t>Michael McMurray</t>
  </si>
  <si>
    <t>2017-10-10T13:22:28</t>
  </si>
  <si>
    <t>mcmurray</t>
  </si>
  <si>
    <t>Michael.Montgomery@manulifesecurities.ca</t>
  </si>
  <si>
    <t>Michael Montgomery</t>
  </si>
  <si>
    <t>MMontgomery</t>
  </si>
  <si>
    <t>Michael.Moore@manulifesecurities.ca</t>
  </si>
  <si>
    <t>Michael Moore</t>
  </si>
  <si>
    <t>mdmoore</t>
  </si>
  <si>
    <t>Michael.Morrow@manulifesecurities.ca</t>
  </si>
  <si>
    <t>Michael Morrow</t>
  </si>
  <si>
    <t>2017-10-16T09:44:30</t>
  </si>
  <si>
    <t>michaelmorrow</t>
  </si>
  <si>
    <t>Michael.Nitsotolis@manulifesecurities.ca</t>
  </si>
  <si>
    <t>Michael Nitsotolis</t>
  </si>
  <si>
    <t>2017-05-11T09:28:24</t>
  </si>
  <si>
    <t>MNitsotolis</t>
  </si>
  <si>
    <t>Michael.Orchard@manulifesecurities.ca</t>
  </si>
  <si>
    <t>Michael Orchard</t>
  </si>
  <si>
    <t>2017-10-14T06:41:46</t>
  </si>
  <si>
    <t>MOrchard</t>
  </si>
  <si>
    <t>Michael.OShea@manulifesecurities.ca</t>
  </si>
  <si>
    <t>Michael O'Shea</t>
  </si>
  <si>
    <t>2017-10-15T10:51:17</t>
  </si>
  <si>
    <t>MOShea</t>
  </si>
  <si>
    <t>Michael.Parris@manulifesecurities.ca</t>
  </si>
  <si>
    <t>Michael Parris</t>
  </si>
  <si>
    <t>2017-10-15T20:00:57</t>
  </si>
  <si>
    <t>mfc.michael.parri</t>
  </si>
  <si>
    <t>Michael.Paull@manulifesecurities.ca</t>
  </si>
  <si>
    <t>Michael Paull</t>
  </si>
  <si>
    <t>michaelpaull</t>
  </si>
  <si>
    <t>Michael.Polito@manulifesecurities.ca</t>
  </si>
  <si>
    <t>Michael Polito</t>
  </si>
  <si>
    <t>MPolito</t>
  </si>
  <si>
    <t>Michael.Prittie@manulifesecurities.ca</t>
  </si>
  <si>
    <t>Michael Prittie</t>
  </si>
  <si>
    <t>MPrittie</t>
  </si>
  <si>
    <t>Michael.Prodanovic@manulifesecurities.ca</t>
  </si>
  <si>
    <t>Michael Prodanovic</t>
  </si>
  <si>
    <t>2017-10-09T13:32:57</t>
  </si>
  <si>
    <t>MProdanovic</t>
  </si>
  <si>
    <t>Michael.Raimondo@manulifesecurities.ca</t>
  </si>
  <si>
    <t>Michael Raimondo</t>
  </si>
  <si>
    <t>2017-10-14T22:53:29</t>
  </si>
  <si>
    <t>MRaimondo</t>
  </si>
  <si>
    <t>Michael.Rogalski@manulifesecurities.ca</t>
  </si>
  <si>
    <t>Michael Rogalski</t>
  </si>
  <si>
    <t>2017-10-10T11:05:55</t>
  </si>
  <si>
    <t>MRogalski</t>
  </si>
  <si>
    <t>Michael.Rubenovitch@manulifesecurities.ca</t>
  </si>
  <si>
    <t>Michael Rubenovitch</t>
  </si>
  <si>
    <t>2017-06-04T06:52:00</t>
  </si>
  <si>
    <t>mrubenov</t>
  </si>
  <si>
    <t>Michael.Ruse@manulifesecurities.ca</t>
  </si>
  <si>
    <t>Michael Ruse</t>
  </si>
  <si>
    <t>mgruse2</t>
  </si>
  <si>
    <t>michael.sanson@manulifesecurities.ca</t>
  </si>
  <si>
    <t>Michael Sanson</t>
  </si>
  <si>
    <t>2017-10-16T04:31:50</t>
  </si>
  <si>
    <t>MSanson</t>
  </si>
  <si>
    <t>Michael.Saracino@manulifesecurities.ca</t>
  </si>
  <si>
    <t>Michael Saracino</t>
  </si>
  <si>
    <t>2017-10-07T03:32:39</t>
  </si>
  <si>
    <t>MSaracino</t>
  </si>
  <si>
    <t>Michael.Sells@manulifesecurities.ca</t>
  </si>
  <si>
    <t>Michael Sells</t>
  </si>
  <si>
    <t>misells</t>
  </si>
  <si>
    <t>Michael.Short@manulifesecurities.ca</t>
  </si>
  <si>
    <t>Michael Short</t>
  </si>
  <si>
    <t>2017-02-07T19:10:40</t>
  </si>
  <si>
    <t>MichaelShort</t>
  </si>
  <si>
    <t>Michael.Sinclair@manulifesecurities.ca</t>
  </si>
  <si>
    <t>Michael Sinclair</t>
  </si>
  <si>
    <t>2017-01-02T09:43:23</t>
  </si>
  <si>
    <t>michaelsinclair</t>
  </si>
  <si>
    <t>Michael.Skinner@manulifesecurities.ca</t>
  </si>
  <si>
    <t>Michael Skinner - Sault Ste Marie</t>
  </si>
  <si>
    <t>2017-10-12T07:00:54</t>
  </si>
  <si>
    <t>mjskinner</t>
  </si>
  <si>
    <t>Michael.Slota@manulifesecurities.ca</t>
  </si>
  <si>
    <t>Michael Slota</t>
  </si>
  <si>
    <t>mwslota</t>
  </si>
  <si>
    <t>Michael.Solnes@manulifesecurities.ca</t>
  </si>
  <si>
    <t>Michael Solnes</t>
  </si>
  <si>
    <t>2017-10-12T16:11:25</t>
  </si>
  <si>
    <t>MSolnes</t>
  </si>
  <si>
    <t>Michael.Sorochan@manulifesecurities.ca</t>
  </si>
  <si>
    <t>Michael Sorochan</t>
  </si>
  <si>
    <t>MSorochan</t>
  </si>
  <si>
    <t>Michael.Stevens@manulifesecurities.ca</t>
  </si>
  <si>
    <t>Michael Stevens</t>
  </si>
  <si>
    <t>micsteve</t>
  </si>
  <si>
    <t>Michael.Tomlinson@manulifesecurities.ca</t>
  </si>
  <si>
    <t>Michael Tomlinson</t>
  </si>
  <si>
    <t>2015-12-15T12:08:53</t>
  </si>
  <si>
    <t>tomlimi</t>
  </si>
  <si>
    <t>Michael.Topola@manulifesecurities.ca</t>
  </si>
  <si>
    <t>Michael Topola</t>
  </si>
  <si>
    <t>2017-10-02T16:22:28</t>
  </si>
  <si>
    <t>mtarsk</t>
  </si>
  <si>
    <t>Michael.Townshend@manulifesecurities.ca</t>
  </si>
  <si>
    <t>Michael Townshend</t>
  </si>
  <si>
    <t>mtownshend</t>
  </si>
  <si>
    <t>Michael.Vendittelli@manulifesecurities.ca</t>
  </si>
  <si>
    <t>Michael Vendittelli</t>
  </si>
  <si>
    <t>2017-10-10T11:39:10</t>
  </si>
  <si>
    <t>oakmountins</t>
  </si>
  <si>
    <t>Michael.Webster@manulifesecurities.ca</t>
  </si>
  <si>
    <t>Michael Webster</t>
  </si>
  <si>
    <t>MWebster</t>
  </si>
  <si>
    <t>Michel.Antoun@manulifesecurities.ca</t>
  </si>
  <si>
    <t>Michel Antoun</t>
  </si>
  <si>
    <t>mantoun</t>
  </si>
  <si>
    <t>Michel.Arseneau@manulifesecurities.ca</t>
  </si>
  <si>
    <t>Michel Arseneau</t>
  </si>
  <si>
    <t>MArseneau</t>
  </si>
  <si>
    <t>Michel.Bye@manulifesecurities.ca</t>
  </si>
  <si>
    <t>Michel Bye</t>
  </si>
  <si>
    <t>2017-10-10T10:46:50</t>
  </si>
  <si>
    <t>michelbye</t>
  </si>
  <si>
    <t>Michel.Clement@manulifesecurities.ca</t>
  </si>
  <si>
    <t>Michel Clement</t>
  </si>
  <si>
    <t>2015-06-10T16:33:22</t>
  </si>
  <si>
    <t>clement</t>
  </si>
  <si>
    <t>Michel.Cormier@manulifesecurities.ca</t>
  </si>
  <si>
    <t>Michel Cormier</t>
  </si>
  <si>
    <t>2017-10-06T10:07:28</t>
  </si>
  <si>
    <t>cormimi</t>
  </si>
  <si>
    <t>Michel.Deschenes@manulifesecurities.ca</t>
  </si>
  <si>
    <t>MDeschenes</t>
  </si>
  <si>
    <t>Michel.Dupuis@manulifesecurities.ca</t>
  </si>
  <si>
    <t>Michel Dupuis</t>
  </si>
  <si>
    <t>2017-10-12T15:34:23</t>
  </si>
  <si>
    <t>mfc.michel.dupuis</t>
  </si>
  <si>
    <t>Michel.Landry@manulifesecurities.ca</t>
  </si>
  <si>
    <t>Michel Landry</t>
  </si>
  <si>
    <t>2017-10-13T21:28:04</t>
  </si>
  <si>
    <t>landmic</t>
  </si>
  <si>
    <t>Michel.Longtin@manulifesecurities.ca</t>
  </si>
  <si>
    <t>Michel Longtin</t>
  </si>
  <si>
    <t>2017-10-16T09:32:32</t>
  </si>
  <si>
    <t>milong</t>
  </si>
  <si>
    <t>Michel.Peloquin@placementsmanuvie.ca</t>
  </si>
  <si>
    <t>Michel Peloquin</t>
  </si>
  <si>
    <t>2017-10-12T16:03:29</t>
  </si>
  <si>
    <t>MPeloquin</t>
  </si>
  <si>
    <t>Michel.Plante@manulifesecurities.ca</t>
  </si>
  <si>
    <t>Michel Plante</t>
  </si>
  <si>
    <t>mfc.michel.plante</t>
  </si>
  <si>
    <t>Michel.Poulin@manulifesecurities.ca</t>
  </si>
  <si>
    <t>Michel Poulin</t>
  </si>
  <si>
    <t>poulimi</t>
  </si>
  <si>
    <t>Michel.Samaha@manulifesecurities.ca</t>
  </si>
  <si>
    <t>Michel Samaha</t>
  </si>
  <si>
    <t>msamaha</t>
  </si>
  <si>
    <t>Michel.Thai@manulifesecurities.ca</t>
  </si>
  <si>
    <t>Michel Thai</t>
  </si>
  <si>
    <t>2017-10-13T01:53:40</t>
  </si>
  <si>
    <t>mithai</t>
  </si>
  <si>
    <t>Michele.Bracken@manulifesecurities.ca</t>
  </si>
  <si>
    <t>Michele Bracken</t>
  </si>
  <si>
    <t>MBracken</t>
  </si>
  <si>
    <t>michele.davidson@manulifesecurities.ca</t>
  </si>
  <si>
    <t>Michele Davidson</t>
  </si>
  <si>
    <t>2017-10-02T09:32:55</t>
  </si>
  <si>
    <t>mfc.michele.david</t>
  </si>
  <si>
    <t>Michele.Hendriks@manulifesecurities.ca</t>
  </si>
  <si>
    <t>Michele Hendriks</t>
  </si>
  <si>
    <t>2017-10-07T07:25:29</t>
  </si>
  <si>
    <t>MHendriks</t>
  </si>
  <si>
    <t>Michele.Jolley@manulifesecurities.ca</t>
  </si>
  <si>
    <t>Michele Jolley</t>
  </si>
  <si>
    <t>2017-10-10T06:10:11</t>
  </si>
  <si>
    <t>MJolley</t>
  </si>
  <si>
    <t>Michele.Mannerow@manulifesecurities.ca</t>
  </si>
  <si>
    <t>MMannerow</t>
  </si>
  <si>
    <t>Michele.Ristov@manulifesecurities.ca</t>
  </si>
  <si>
    <t>Michele Ristov</t>
  </si>
  <si>
    <t>MRistov</t>
  </si>
  <si>
    <t>Michele.Wells@manulifesecurities.ca</t>
  </si>
  <si>
    <t>Michele Wells</t>
  </si>
  <si>
    <t>2017-10-02T10:39:58</t>
  </si>
  <si>
    <t>wellmic</t>
  </si>
  <si>
    <t>Michele.Wilson@manulifesecurities.ca</t>
  </si>
  <si>
    <t>Michele Wilson</t>
  </si>
  <si>
    <t>2017-05-02T14:46:55</t>
  </si>
  <si>
    <t>cmwilson</t>
  </si>
  <si>
    <t>Micheline.Seguin@manulifesecurities.ca</t>
  </si>
  <si>
    <t>Micheline Seguin</t>
  </si>
  <si>
    <t>2017-10-10T11:23:50</t>
  </si>
  <si>
    <t>MiSeguin</t>
  </si>
  <si>
    <t>Michelle.Antoni@manulifesecurities.ca</t>
  </si>
  <si>
    <t>Michelle Antoni</t>
  </si>
  <si>
    <t>MAntoni</t>
  </si>
  <si>
    <t>Michelle.BenMarzough@manulifesecurities.ca</t>
  </si>
  <si>
    <t>Michelle Ben Marzough</t>
  </si>
  <si>
    <t>mfc.michelle.benm</t>
  </si>
  <si>
    <t>Michelle.Borber@manulifesecurities.ca</t>
  </si>
  <si>
    <t>Michelle Borber</t>
  </si>
  <si>
    <t>MBorber</t>
  </si>
  <si>
    <t>Michelle.Bouvier@manulifesecurities.ca</t>
  </si>
  <si>
    <t>Michelle Bouvier</t>
  </si>
  <si>
    <t>mbouvier</t>
  </si>
  <si>
    <t>Michelle.Brooks@manulifesecurities.ca</t>
  </si>
  <si>
    <t>Michelle Brooks</t>
  </si>
  <si>
    <t>MBrooks</t>
  </si>
  <si>
    <t>Michelle.Cartwright@manulifesecurities.ca</t>
  </si>
  <si>
    <t>Michelle Cartwright</t>
  </si>
  <si>
    <t>2017-10-05T11:45:55</t>
  </si>
  <si>
    <t>htsgroup</t>
  </si>
  <si>
    <t>Michelle.Dedecker@manulifesecurities.ca</t>
  </si>
  <si>
    <t>Michelle Smart</t>
  </si>
  <si>
    <t>2017-10-05T16:44:58</t>
  </si>
  <si>
    <t>MSmart</t>
  </si>
  <si>
    <t>Michelle.German@manulifesecurities.ca</t>
  </si>
  <si>
    <t>Michelle German</t>
  </si>
  <si>
    <t>2017-10-07T09:55:49</t>
  </si>
  <si>
    <t>mfc.michelle.germ</t>
  </si>
  <si>
    <t>Michelle.Giberson@manulifesecurities.ca</t>
  </si>
  <si>
    <t>Michelle Giberson</t>
  </si>
  <si>
    <t>2016-02-12T14:51:16</t>
  </si>
  <si>
    <t>MGiberson</t>
  </si>
  <si>
    <t>Michelle.Gualtieri@manulifesecurities.ca</t>
  </si>
  <si>
    <t>Michelle Gualtieri</t>
  </si>
  <si>
    <t>2017-10-12T09:00:45</t>
  </si>
  <si>
    <t>mfc.michelle.gual</t>
  </si>
  <si>
    <t>Michelle.Hamlin@manulifesecurities.ca</t>
  </si>
  <si>
    <t>Michelle Hamlin</t>
  </si>
  <si>
    <t>hamlinm</t>
  </si>
  <si>
    <t>Michelle.Hedley@manulifesecurities.ca</t>
  </si>
  <si>
    <t>Michelle Hedley</t>
  </si>
  <si>
    <t>2017-10-10T17:19:24</t>
  </si>
  <si>
    <t>MHedley</t>
  </si>
  <si>
    <t>Michelle.Hunter@manulifesecurities.ca</t>
  </si>
  <si>
    <t>Michelle Hunter</t>
  </si>
  <si>
    <t>mhunter</t>
  </si>
  <si>
    <t>Michelle.Lea@manulifesecurities.ca</t>
  </si>
  <si>
    <t>Michelle Lea</t>
  </si>
  <si>
    <t>2017-10-11T10:17:56</t>
  </si>
  <si>
    <t>mfc.michelle.lea</t>
  </si>
  <si>
    <t>Michelle.Libunao@manulifesecurities.ca</t>
  </si>
  <si>
    <t>Michelle Libunao</t>
  </si>
  <si>
    <t>MLibunao</t>
  </si>
  <si>
    <t>Michelle.Mayer@manulifesecurities.ca</t>
  </si>
  <si>
    <t>MMayer</t>
  </si>
  <si>
    <t>MHardy</t>
  </si>
  <si>
    <t>Michelle.Myles@manulifesecurities.ca</t>
  </si>
  <si>
    <t>Michelle Myles</t>
  </si>
  <si>
    <t>2017-10-06T21:00:33</t>
  </si>
  <si>
    <t>MMyles</t>
  </si>
  <si>
    <t>Michelle.Nelles@manulifesecurities.ca</t>
  </si>
  <si>
    <t>Michelle Nelles</t>
  </si>
  <si>
    <t>mnelles</t>
  </si>
  <si>
    <t>Michelle.Randell@manulifesecurities.ca</t>
  </si>
  <si>
    <t>Michelle Randell</t>
  </si>
  <si>
    <t>michellerae</t>
  </si>
  <si>
    <t>Michelle.Reid@manulifesecurities.ca</t>
  </si>
  <si>
    <t>Michelle Reid</t>
  </si>
  <si>
    <t>2017-10-10T09:49:19</t>
  </si>
  <si>
    <t>mfc.michelle.reid</t>
  </si>
  <si>
    <t>Michelle.Ribeiro@manulifesecurities.ca</t>
  </si>
  <si>
    <t>Michelle Ribeiro</t>
  </si>
  <si>
    <t>MRibeiro</t>
  </si>
  <si>
    <t>Michelle.Rogalski@manulifesecurities.ca</t>
  </si>
  <si>
    <t>Michelle Rogalski</t>
  </si>
  <si>
    <t>2017-10-06T11:26:49</t>
  </si>
  <si>
    <t>MiRogalski</t>
  </si>
  <si>
    <t>Michelle.Seale@manulifesecurities.ca</t>
  </si>
  <si>
    <t>Michelle Seale</t>
  </si>
  <si>
    <t>MSeale</t>
  </si>
  <si>
    <t>Michelle.Van-Dijk@manulifesecurities.ca</t>
  </si>
  <si>
    <t>Michelle Van Dijk</t>
  </si>
  <si>
    <t>2017-10-10T08:43:20</t>
  </si>
  <si>
    <t>mfc.michelle.van-</t>
  </si>
  <si>
    <t>Michelle.VanIngen@manulifesecurities.ca</t>
  </si>
  <si>
    <t>Michelle Van Ingen</t>
  </si>
  <si>
    <t>2017-09-08T08:28:33</t>
  </si>
  <si>
    <t>vanmich</t>
  </si>
  <si>
    <t>Michelle.Whalen@manulifesecurities.ca</t>
  </si>
  <si>
    <t>Michelle Whalen  (MWhalen)</t>
  </si>
  <si>
    <t>MWhalen</t>
  </si>
  <si>
    <t>Michelle.Wood@manulifesecurities.ca</t>
  </si>
  <si>
    <t>Michelle Wood</t>
  </si>
  <si>
    <t>woodmij</t>
  </si>
  <si>
    <t>Mickey.Carrozza@manulifesecurities.ca</t>
  </si>
  <si>
    <t>Mickey Carrozza</t>
  </si>
  <si>
    <t>2017-10-14T20:30:08</t>
  </si>
  <si>
    <t>MCarrozza</t>
  </si>
  <si>
    <t>Mickey.Robertson@manulifesecurities.ca</t>
  </si>
  <si>
    <t>Mickey Robertson</t>
  </si>
  <si>
    <t>2017-10-15T16:02:16</t>
  </si>
  <si>
    <t>MRobertson</t>
  </si>
  <si>
    <t>Mikayla.Schraeder@manulifesecurities.ca</t>
  </si>
  <si>
    <t>Mikayla Schraeder</t>
  </si>
  <si>
    <t>2017-01-05T13:48:46</t>
  </si>
  <si>
    <t>mschraeder</t>
  </si>
  <si>
    <t>Mike.Antosik@manulifesecurities.ca</t>
  </si>
  <si>
    <t>Mike Antosik</t>
  </si>
  <si>
    <t>MAntosik</t>
  </si>
  <si>
    <t>Mike.Blythe@manulifesecurities.ca</t>
  </si>
  <si>
    <t>Mike Blythe</t>
  </si>
  <si>
    <t>MBlythe</t>
  </si>
  <si>
    <t>Mike.Chouinard@manulifesecurities.ca</t>
  </si>
  <si>
    <t>Mike Chouinard</t>
  </si>
  <si>
    <t>chouimi</t>
  </si>
  <si>
    <t>Mike.Dobbin@manulifesecurities.ca</t>
  </si>
  <si>
    <t>MD - old</t>
  </si>
  <si>
    <t>miked</t>
  </si>
  <si>
    <t>Mike.Dytnerski@manulifesecurities.ca</t>
  </si>
  <si>
    <t>Mike Dytnerski</t>
  </si>
  <si>
    <t>2017-10-03T08:40:52</t>
  </si>
  <si>
    <t>MDytnerski</t>
  </si>
  <si>
    <t>Mike.Fraser@manulifesecurities.ca</t>
  </si>
  <si>
    <t>Mike Fraser</t>
  </si>
  <si>
    <t>2017-10-13T14:29:08</t>
  </si>
  <si>
    <t>MFraser</t>
  </si>
  <si>
    <t>Mike.Glavacevic@manulifesecurities.ca</t>
  </si>
  <si>
    <t>Mike Glavacevic</t>
  </si>
  <si>
    <t>MGlavacevic</t>
  </si>
  <si>
    <t>Mike.Ibrahim@manulifesecurities.ca</t>
  </si>
  <si>
    <t>Mike Ibrahim</t>
  </si>
  <si>
    <t>2017-10-11T05:30:44</t>
  </si>
  <si>
    <t>MIbrahim</t>
  </si>
  <si>
    <t>Mike.Kelcey@manulifesecurities.ca</t>
  </si>
  <si>
    <t>Mike Kelcey</t>
  </si>
  <si>
    <t>mkelcey</t>
  </si>
  <si>
    <t>Mike.Matich@manulifesecurities.ca</t>
  </si>
  <si>
    <t>MMatich</t>
  </si>
  <si>
    <t>Mike.Petinarelis@manulifesecurities.ca</t>
  </si>
  <si>
    <t>Mike Petinarelis</t>
  </si>
  <si>
    <t>2017-10-12T02:45:01</t>
  </si>
  <si>
    <t>mpetinarelis</t>
  </si>
  <si>
    <t>mike.roberts@manulifesecurities.ca</t>
  </si>
  <si>
    <t>Michael Roberts</t>
  </si>
  <si>
    <t>2017-10-13T15:26:38</t>
  </si>
  <si>
    <t>mfc.michael.rober</t>
  </si>
  <si>
    <t>Mike.Schoenhals@manulifesecurities.ca</t>
  </si>
  <si>
    <t>Mike Schoenhals</t>
  </si>
  <si>
    <t>mschoen</t>
  </si>
  <si>
    <t>Mike.Scott@manulifesecurities.ca</t>
  </si>
  <si>
    <t>Mike Scott</t>
  </si>
  <si>
    <t>2017-10-10T08:23:01</t>
  </si>
  <si>
    <t>mfc.mike.scott</t>
  </si>
  <si>
    <t>Mike.Sears@manulifesecurities.ca</t>
  </si>
  <si>
    <t>Mike Sears</t>
  </si>
  <si>
    <t>2017-09-25T12:20:45</t>
  </si>
  <si>
    <t>msears</t>
  </si>
  <si>
    <t>mike.sukhram@manulifesecurities.ca</t>
  </si>
  <si>
    <t>Mike Sukhram</t>
  </si>
  <si>
    <t>2017-10-12T13:01:42</t>
  </si>
  <si>
    <t>mfc.mike.sukhram</t>
  </si>
  <si>
    <t>Mike.Testing@manulifesecurities.ca</t>
  </si>
  <si>
    <t>Mike Testing</t>
  </si>
  <si>
    <t>2015-06-29T15:44:22</t>
  </si>
  <si>
    <t>mtesting</t>
  </si>
  <si>
    <t>Mike2@manulifesecurities.ca</t>
  </si>
  <si>
    <t>Mike</t>
  </si>
  <si>
    <t>Mikyung.Kim@manulifesecurities.ca</t>
  </si>
  <si>
    <t>Mikyung Kim</t>
  </si>
  <si>
    <t>MKim</t>
  </si>
  <si>
    <t>Milan.Popadich@manulifesecurities.ca</t>
  </si>
  <si>
    <t>Milan Popadich</t>
  </si>
  <si>
    <t>2017-10-07T12:00:58</t>
  </si>
  <si>
    <t>MPopadich</t>
  </si>
  <si>
    <t>Mildred.Davis@manulifesecurities.ca</t>
  </si>
  <si>
    <t>Mildred Davis</t>
  </si>
  <si>
    <t>2017-10-02T10:45:45</t>
  </si>
  <si>
    <t>mildred</t>
  </si>
  <si>
    <t>Milicent.Dunn@manulifesecurities.ca</t>
  </si>
  <si>
    <t>Milicent Dunn</t>
  </si>
  <si>
    <t>mdunn</t>
  </si>
  <si>
    <t>Millie.Lee@manulifesecurities.ca</t>
  </si>
  <si>
    <t>Millie Lee</t>
  </si>
  <si>
    <t>millee</t>
  </si>
  <si>
    <t>Mina.Volpe@manulifesecurities.ca</t>
  </si>
  <si>
    <t>Mina Volpe</t>
  </si>
  <si>
    <t>mfc.mina.volpe</t>
  </si>
  <si>
    <t>Mini.Kurup@manulifesecurities.ca</t>
  </si>
  <si>
    <t>MKurup</t>
  </si>
  <si>
    <t>Mink.Bhullar@manulifesecurities.ca</t>
  </si>
  <si>
    <t>Mink Bhullar</t>
  </si>
  <si>
    <t>2017-10-02T12:19:23</t>
  </si>
  <si>
    <t>MBhullar</t>
  </si>
  <si>
    <t>Minnie.Brown@manulifesecurities.ca</t>
  </si>
  <si>
    <t>Minnie Brown</t>
  </si>
  <si>
    <t>mbrown</t>
  </si>
  <si>
    <t>Mira.Akl@manulifesecurities.ca</t>
  </si>
  <si>
    <t>Mira Akl</t>
  </si>
  <si>
    <t>MAkl</t>
  </si>
  <si>
    <t>Mira.Kapelow@manulifesecurities.ca</t>
  </si>
  <si>
    <t>Mira Kapelow</t>
  </si>
  <si>
    <t>MKapelow</t>
  </si>
  <si>
    <t>miranda.aziri@manulifesecurities.ca</t>
  </si>
  <si>
    <t>Miranda Aziri</t>
  </si>
  <si>
    <t>2016-01-14T15:58:41</t>
  </si>
  <si>
    <t>mfc.miranda.aziri</t>
  </si>
  <si>
    <t>miranda.quinn@manulifesecurities.ca</t>
  </si>
  <si>
    <t>Miranda Quinn</t>
  </si>
  <si>
    <t>2016-11-25T14:54:50</t>
  </si>
  <si>
    <t>mfc.miranda.quinn</t>
  </si>
  <si>
    <t>Miranda.Seidel@manulifesecurities.ca</t>
  </si>
  <si>
    <t>Miranda Seidel</t>
  </si>
  <si>
    <t>mseidel</t>
  </si>
  <si>
    <t>Miranda.Smith@manulifesecurities.ca</t>
  </si>
  <si>
    <t>Msmith (Miranda Smith)</t>
  </si>
  <si>
    <t>MirandaSmith</t>
  </si>
  <si>
    <t>Mirek.Szkutnik@manulifesecurities.ca</t>
  </si>
  <si>
    <t>Mirek Szkutnik</t>
  </si>
  <si>
    <t>mfc.mirek.szkutni</t>
  </si>
  <si>
    <t>Mirela.Bilic@manulifesecurities.ca</t>
  </si>
  <si>
    <t>MBilic</t>
  </si>
  <si>
    <t>MMilicevic</t>
  </si>
  <si>
    <t>mirella.nicita@manulifesecurities.ca</t>
  </si>
  <si>
    <t>Mirella Nicita</t>
  </si>
  <si>
    <t>2017-10-07T10:47:05</t>
  </si>
  <si>
    <t>mfc.mirella.nicit</t>
  </si>
  <si>
    <t>Mirjana.Terzovic@manulifesecurities.ca</t>
  </si>
  <si>
    <t>MTerzovic</t>
  </si>
  <si>
    <t>Mirka.Petro@manulifesecurities.ca</t>
  </si>
  <si>
    <t>Mirka Petro</t>
  </si>
  <si>
    <t>mpetro</t>
  </si>
  <si>
    <t>Mitch.Lacsamana@manulifesecurities.ca</t>
  </si>
  <si>
    <t>Mitch Lacsamana</t>
  </si>
  <si>
    <t>MLacsamana</t>
  </si>
  <si>
    <t>Mitchell.Goodz@manulifesecurities.ca</t>
  </si>
  <si>
    <t>Mitchell Goodz</t>
  </si>
  <si>
    <t>2017-10-11T23:50:58</t>
  </si>
  <si>
    <t>MGoodz</t>
  </si>
  <si>
    <t>Mitchell.Koehler@manulifesecurities.ca</t>
  </si>
  <si>
    <t>Mitchell Koehler</t>
  </si>
  <si>
    <t>2017-04-06T18:19:27</t>
  </si>
  <si>
    <t>mitchkoehler</t>
  </si>
  <si>
    <t>MJ.Cadieux@placementsmanuvie.ca</t>
  </si>
  <si>
    <t>Marie-Josee Cadieux</t>
  </si>
  <si>
    <t>2017-10-12T08:59:24</t>
  </si>
  <si>
    <t>mfc.mj.cadieux</t>
  </si>
  <si>
    <t>Mohamed.Chaviwala@manulifesecurities.ca</t>
  </si>
  <si>
    <t>Mohamed Chaviwala</t>
  </si>
  <si>
    <t>2015-01-13T11:11:11</t>
  </si>
  <si>
    <t>mfc.mohamed.chavi</t>
  </si>
  <si>
    <t>Mohit.Dhingra@manulifesecurities.ca</t>
  </si>
  <si>
    <t>Mohit Dhingra</t>
  </si>
  <si>
    <t>MDhingra</t>
  </si>
  <si>
    <t>Mollie.Montaine@manulifesecurities.ca</t>
  </si>
  <si>
    <t>Mollie Montaine</t>
  </si>
  <si>
    <t>MMontaine</t>
  </si>
  <si>
    <t>Mona.Anthony@manulifesecurities.ca</t>
  </si>
  <si>
    <t>Mona Anthony</t>
  </si>
  <si>
    <t>2017-10-16T08:09:45</t>
  </si>
  <si>
    <t>MAnthony</t>
  </si>
  <si>
    <t>mona.bourassa@manulifesecurities.ca</t>
  </si>
  <si>
    <t>Mona Bourassa</t>
  </si>
  <si>
    <t>2017-05-24T13:22:48</t>
  </si>
  <si>
    <t>mfc.mona.bourassa</t>
  </si>
  <si>
    <t>Mona.Legere@manulifesecurities.ca</t>
  </si>
  <si>
    <t>Mona Legere</t>
  </si>
  <si>
    <t>MLegere</t>
  </si>
  <si>
    <t>Monica.Henriques@manulifesecurities.ca</t>
  </si>
  <si>
    <t>Monica Henriques</t>
  </si>
  <si>
    <t>mhenriques</t>
  </si>
  <si>
    <t>Monica.Jenset@manulifesecurities.ca</t>
  </si>
  <si>
    <t>Monica Jenset</t>
  </si>
  <si>
    <t>mjenset</t>
  </si>
  <si>
    <t>Monica.Lizotte@manulifesecurities.ca</t>
  </si>
  <si>
    <t>Monica Lizotte</t>
  </si>
  <si>
    <t>mlizotte</t>
  </si>
  <si>
    <t>Monica.Weissmann@manulifesecurities.ca</t>
  </si>
  <si>
    <t>Monica Weissmann</t>
  </si>
  <si>
    <t>2017-10-14T10:13:36</t>
  </si>
  <si>
    <t>MWeissmann</t>
  </si>
  <si>
    <t>Monika.Kucinskaite@manulifesecurities.ca</t>
  </si>
  <si>
    <t>2017-06-16T16:50:59</t>
  </si>
  <si>
    <t>MKucinskaite</t>
  </si>
  <si>
    <t>monika.zimalka@manulifesecurities.ca</t>
  </si>
  <si>
    <t>Monika Zimalka</t>
  </si>
  <si>
    <t>2017-10-08T12:46:28</t>
  </si>
  <si>
    <t>mfc.monika.lech</t>
  </si>
  <si>
    <t>Monique.Gauthier@manulifesecurities.ca</t>
  </si>
  <si>
    <t>Monique Gauthier</t>
  </si>
  <si>
    <t>mgauthier</t>
  </si>
  <si>
    <t>Monique.Lam@manulifesecurities.ca</t>
  </si>
  <si>
    <t>Monique Lam</t>
  </si>
  <si>
    <t>2017-10-04T16:01:04</t>
  </si>
  <si>
    <t>monique</t>
  </si>
  <si>
    <t>Monique.Puech@placementsmanuvie.ca</t>
  </si>
  <si>
    <t>Monique Puech</t>
  </si>
  <si>
    <t>2017-10-10T11:18:23</t>
  </si>
  <si>
    <t>MPuech</t>
  </si>
  <si>
    <t>Monique.Sadler@manulifesecurities.ca</t>
  </si>
  <si>
    <t>Monique Sadler</t>
  </si>
  <si>
    <t>msadler</t>
  </si>
  <si>
    <t>Monique.Savoie@manulifesecurities.ca</t>
  </si>
  <si>
    <t>Monique Savoie</t>
  </si>
  <si>
    <t>MSavoie</t>
  </si>
  <si>
    <t>Montreal.CSR@manulifesecurities.ca</t>
  </si>
  <si>
    <t>Montreal CSR</t>
  </si>
  <si>
    <t>MontrealCSR</t>
  </si>
  <si>
    <t>Mossimo.Spano@manulifesecurities.ca</t>
  </si>
  <si>
    <t>Mossimo Spano</t>
  </si>
  <si>
    <t>MossimoSpano</t>
  </si>
  <si>
    <t>Mouvain.Lee@manulifesecurities.ca</t>
  </si>
  <si>
    <t>Mouvain Lee</t>
  </si>
  <si>
    <t>2017-10-05T15:51:00</t>
  </si>
  <si>
    <t>mfc.mouvain.lee</t>
  </si>
  <si>
    <t>MRB-.BuyMeetingRoom@manulifesecurities.ca</t>
  </si>
  <si>
    <t>MRB- Planning Room</t>
  </si>
  <si>
    <t>MRB-Plan</t>
  </si>
  <si>
    <t>MRB-.ITMeetingRoom@manulifesecurities.ca</t>
  </si>
  <si>
    <t>MRB- IT Meeting Room</t>
  </si>
  <si>
    <t>MRB-IT</t>
  </si>
  <si>
    <t>MRB.Laptop@manulifesecurities.ca</t>
  </si>
  <si>
    <t>MRB-Laptop</t>
  </si>
  <si>
    <t>MRB.ManulifeMeetingRoom@manulifesecurities.ca</t>
  </si>
  <si>
    <t>MRB- Manulife Meeting Room</t>
  </si>
  <si>
    <t>MManulifeMeetingRoom</t>
  </si>
  <si>
    <t>MRB-.OperationsMeetingroom@manulifesecurities.ca</t>
  </si>
  <si>
    <t>MRB - Operations Meeting room</t>
  </si>
  <si>
    <t>MRB-OPS</t>
  </si>
  <si>
    <t>MRB.OpsBoardroom@manulifesecurities.ca</t>
  </si>
  <si>
    <t>MRB Ops Boardroom</t>
  </si>
  <si>
    <t>MRB Ops</t>
  </si>
  <si>
    <t>MRB.OpsMeetingRoom@manulifesecurities.ca</t>
  </si>
  <si>
    <t>MRB Ops Meeting Room</t>
  </si>
  <si>
    <t>MRB.OpsMeetingRoom</t>
  </si>
  <si>
    <t>MRB.Projector01@manulifesecurities.ca</t>
  </si>
  <si>
    <t>MRB Projector</t>
  </si>
  <si>
    <t>MRB-Projector</t>
  </si>
  <si>
    <t>MRB-.TrainingRoom@manulifesecurities.ca</t>
  </si>
  <si>
    <t>MRB - Training Room</t>
  </si>
  <si>
    <t>MTraining Room</t>
  </si>
  <si>
    <t>MRB-Boardroom@manulifesecurities.ca</t>
  </si>
  <si>
    <t>MRB- Main Boardroom</t>
  </si>
  <si>
    <t>MBoardroom</t>
  </si>
  <si>
    <t>MRB-ITProjector@manulifesecurities.ca</t>
  </si>
  <si>
    <t>MRB- IT Projector</t>
  </si>
  <si>
    <t>MRB- Projector</t>
  </si>
  <si>
    <t>MSISATLAS.Journal@manulifesecurities.ca</t>
  </si>
  <si>
    <t>MSISATLAS Journal</t>
  </si>
  <si>
    <t>MSISATLASJournal</t>
  </si>
  <si>
    <t>MSISFOCUS.Journal@manulifesecurities.ca</t>
  </si>
  <si>
    <t>MSISFOCUS Journal</t>
  </si>
  <si>
    <t>MSISFOCUSJournal</t>
  </si>
  <si>
    <t>MSISFTP@manulifesecurities.ca</t>
  </si>
  <si>
    <t>MSISFTP</t>
  </si>
  <si>
    <t>MSISVULCAN.Journal@manulifesecurities.ca</t>
  </si>
  <si>
    <t>MSISVULCAN Journal</t>
  </si>
  <si>
    <t>MSISVULCANJournal</t>
  </si>
  <si>
    <t>MSITechSupport@manulifesecurities.ca</t>
  </si>
  <si>
    <t>MSI Tech support</t>
  </si>
  <si>
    <t>microagets</t>
  </si>
  <si>
    <t>MSkinner@manulifesecurities.ca</t>
  </si>
  <si>
    <t>Michael Skinner - Windsor</t>
  </si>
  <si>
    <t>2017-10-10T17:06:49</t>
  </si>
  <si>
    <t>skins36</t>
  </si>
  <si>
    <t>Muratab.Shah@manulifesecurities.ca</t>
  </si>
  <si>
    <t>Muratab Shah</t>
  </si>
  <si>
    <t>2015-06-11T14:08:26</t>
  </si>
  <si>
    <t>mfc.muratab.shah</t>
  </si>
  <si>
    <t>Muriel.Arthurs@manulifesecurities.ca</t>
  </si>
  <si>
    <t>Muriel Arthurs</t>
  </si>
  <si>
    <t>2017-10-11T11:52:29</t>
  </si>
  <si>
    <t>gilmur</t>
  </si>
  <si>
    <t>Murielle.Bourbonnais@manulifesecurities.ca</t>
  </si>
  <si>
    <t>Murielle Bourbonnais</t>
  </si>
  <si>
    <t>mbourbonnais</t>
  </si>
  <si>
    <t>Murray.Child@manulifesecurities.ca</t>
  </si>
  <si>
    <t>Murray Child</t>
  </si>
  <si>
    <t>2017-10-14T11:23:43</t>
  </si>
  <si>
    <t>MChild</t>
  </si>
  <si>
    <t>Mustafa.El-Gabaly@manulifesecurities.ca</t>
  </si>
  <si>
    <t>Mustafa El-Gabaly</t>
  </si>
  <si>
    <t>2016-02-24T16:42:26</t>
  </si>
  <si>
    <t>MEl-Gabaly</t>
  </si>
  <si>
    <t>Myles.Connaughton@manulifesecurities.ca</t>
  </si>
  <si>
    <t>Myles Connaughton</t>
  </si>
  <si>
    <t>2017-10-14T07:58:21</t>
  </si>
  <si>
    <t>MConnaughton</t>
  </si>
  <si>
    <t>Myriam.Black@manulifesecurities.ca</t>
  </si>
  <si>
    <t>Myriam Black</t>
  </si>
  <si>
    <t>2015-10-29T12:45:41</t>
  </si>
  <si>
    <t>mfc.myriam.black</t>
  </si>
  <si>
    <t>Myriam.Coper@manulifesecurities.ca</t>
  </si>
  <si>
    <t>Myriam Coper</t>
  </si>
  <si>
    <t>2017-10-16T08:30:17</t>
  </si>
  <si>
    <t>mfc.myriam.coper</t>
  </si>
  <si>
    <t>Myriam.Levy@manulifesecurities.ca</t>
  </si>
  <si>
    <t>Myriam Levy</t>
  </si>
  <si>
    <t>myrlevy</t>
  </si>
  <si>
    <t>Myriam.Mercier@manulifesecurities.ca</t>
  </si>
  <si>
    <t>Myriam Mercier</t>
  </si>
  <si>
    <t>2017-10-03T08:15:35</t>
  </si>
  <si>
    <t>mmercier</t>
  </si>
  <si>
    <t>Myrna.Kwasnecha@manulifesecurities.ca</t>
  </si>
  <si>
    <t>Myrna Kwasnecha</t>
  </si>
  <si>
    <t>2016-11-29T13:23:21</t>
  </si>
  <si>
    <t>kwasmy</t>
  </si>
  <si>
    <t>Myron.Dietrich@manulifesecurities.ca</t>
  </si>
  <si>
    <t>Myron Dietrich</t>
  </si>
  <si>
    <t>2017-06-20T08:30:10</t>
  </si>
  <si>
    <t>MDietrich</t>
  </si>
  <si>
    <t>N.Boucher@manulifesecurities.ca</t>
  </si>
  <si>
    <t>Natalie Boucher</t>
  </si>
  <si>
    <t>NBoucher</t>
  </si>
  <si>
    <t>N.Burnell@manulifesecurities.ca</t>
  </si>
  <si>
    <t>Natalie Burnell</t>
  </si>
  <si>
    <t>2015-09-14T09:20:26</t>
  </si>
  <si>
    <t>NBurnell</t>
  </si>
  <si>
    <t>N.Cavalieri@manulifesecurities.ca</t>
  </si>
  <si>
    <t>Nina Cavalieri</t>
  </si>
  <si>
    <t>2016-03-22T18:05:33</t>
  </si>
  <si>
    <t>NCavalieri</t>
  </si>
  <si>
    <t>n.deslippe@manulifesecurities.ca</t>
  </si>
  <si>
    <t>Nelson Deslippe</t>
  </si>
  <si>
    <t>2017-06-09T11:41:20</t>
  </si>
  <si>
    <t>mfc.n.deslippe</t>
  </si>
  <si>
    <t>n.fernandez-cruz@manulifesecurities.ca</t>
  </si>
  <si>
    <t>Nathalie Fernandez-Cruz</t>
  </si>
  <si>
    <t>2017-10-02T12:30:10</t>
  </si>
  <si>
    <t>mfc.n.fernandez-c</t>
  </si>
  <si>
    <t>n.gobeille@manulifesecurities.ca</t>
  </si>
  <si>
    <t>Natacha Gobeille</t>
  </si>
  <si>
    <t>2017-10-08T08:08:10</t>
  </si>
  <si>
    <t>mfc.n.gobeille</t>
  </si>
  <si>
    <t>N.Kaewmongkol@manulifesecurities.ca</t>
  </si>
  <si>
    <t>Noppawan Kaewmongkol</t>
  </si>
  <si>
    <t>NKaewmongkol</t>
  </si>
  <si>
    <t>N.MirzaHekmati@manulifesecurities.ca</t>
  </si>
  <si>
    <t>Nazanin Mirza-Hekmati</t>
  </si>
  <si>
    <t>NMirzaHekmati</t>
  </si>
  <si>
    <t>N.Mombourquette@manulifesecurities.ca</t>
  </si>
  <si>
    <t>Nicholas Mombourquette</t>
  </si>
  <si>
    <t>2017-08-08T11:00:18</t>
  </si>
  <si>
    <t>mfc.n.mombourquet</t>
  </si>
  <si>
    <t>n.Munchinsky@manulifesecurities.ca</t>
  </si>
  <si>
    <t>Norma Munchinsky</t>
  </si>
  <si>
    <t>2017-10-05T15:51:38</t>
  </si>
  <si>
    <t>mfc.n.munchinsky</t>
  </si>
  <si>
    <t>Nadia.Boissonneault@manulifesecurities.ca</t>
  </si>
  <si>
    <t>Nadia Boissonneault</t>
  </si>
  <si>
    <t>nadiab</t>
  </si>
  <si>
    <t>Nadia.Dodaro@manulifesecurities.ca</t>
  </si>
  <si>
    <t>Nadia Dodaro</t>
  </si>
  <si>
    <t>2017-10-10T09:38:08</t>
  </si>
  <si>
    <t>dodaro</t>
  </si>
  <si>
    <t>Nadia.Martin@manulifesecurities.ca</t>
  </si>
  <si>
    <t>Nadia Martin</t>
  </si>
  <si>
    <t>2017-03-27T15:24:09</t>
  </si>
  <si>
    <t>mfc.nadia.martin</t>
  </si>
  <si>
    <t>nadia.stoyanov@manulifesecurities.ca</t>
  </si>
  <si>
    <t>Nadia Stoyanov</t>
  </si>
  <si>
    <t>2017-01-26T10:44:00</t>
  </si>
  <si>
    <t>mfc.nadia.stoyano</t>
  </si>
  <si>
    <t>Nadine.Koppeser@manulifesecurities.ca</t>
  </si>
  <si>
    <t>Nadine Koppeser</t>
  </si>
  <si>
    <t>2017-10-07T05:56:18</t>
  </si>
  <si>
    <t>NKoppeser</t>
  </si>
  <si>
    <t>Nadine.Matchim@manulifesecurities.ca</t>
  </si>
  <si>
    <t>Nadine Matchim</t>
  </si>
  <si>
    <t>nmatch</t>
  </si>
  <si>
    <t>Nadine.Penston@manulifesecurities.ca</t>
  </si>
  <si>
    <t>zz - Nadine Penston</t>
  </si>
  <si>
    <t>NPenston</t>
  </si>
  <si>
    <t>Naim.Sahib@manulifesecurities.ca</t>
  </si>
  <si>
    <t>Naim Sahib</t>
  </si>
  <si>
    <t>NSahib</t>
  </si>
  <si>
    <t>Nancy.Araujo@manulifesecurities.ca</t>
  </si>
  <si>
    <t>Nancy Araujo</t>
  </si>
  <si>
    <t>2017-01-27T10:40:38</t>
  </si>
  <si>
    <t>mfc.nancy.araujo</t>
  </si>
  <si>
    <t>Nancy.Bujold@manulifesecurities.ca</t>
  </si>
  <si>
    <t>Nancy Bujold</t>
  </si>
  <si>
    <t>NBujold</t>
  </si>
  <si>
    <t>Nancy.Campbell@manulifesecurities.ca</t>
  </si>
  <si>
    <t>Nancy Campbell</t>
  </si>
  <si>
    <t>2017-09-13T08:10:39</t>
  </si>
  <si>
    <t>ncampb</t>
  </si>
  <si>
    <t>Nancy.Caston@manulifesecurities.ca</t>
  </si>
  <si>
    <t>Nancy Caston</t>
  </si>
  <si>
    <t>ncaston</t>
  </si>
  <si>
    <t>Nancy.Chapman@manulifesecurities.ca</t>
  </si>
  <si>
    <t>Nancy Chapman</t>
  </si>
  <si>
    <t>nchapman</t>
  </si>
  <si>
    <t>Nancy.Fletcher@manulifesecurities.ca</t>
  </si>
  <si>
    <t>Nancy Fletcher</t>
  </si>
  <si>
    <t>nfletch</t>
  </si>
  <si>
    <t>Nancy.Goodyear@manulifesecurities.ca</t>
  </si>
  <si>
    <t>Nancy Goodyear</t>
  </si>
  <si>
    <t>mfc.nancy.goodyea</t>
  </si>
  <si>
    <t>Nancy.Hodgen@manulifesecurities.ca</t>
  </si>
  <si>
    <t>Nancy Hodgen</t>
  </si>
  <si>
    <t>NHodgen</t>
  </si>
  <si>
    <t>Nancy.Leek@manulifesecurities.ca</t>
  </si>
  <si>
    <t>Nancy Leek</t>
  </si>
  <si>
    <t>2017-10-13T21:31:59</t>
  </si>
  <si>
    <t>NLeek</t>
  </si>
  <si>
    <t>nancy.little@manulifesecurities.ca</t>
  </si>
  <si>
    <t>Nancy Little</t>
  </si>
  <si>
    <t>2017-01-20T10:17:15</t>
  </si>
  <si>
    <t>mfc.nancy.little</t>
  </si>
  <si>
    <t>Nancy.Mcrae@manulifesecurities.ca</t>
  </si>
  <si>
    <t>Nancy Mcrae</t>
  </si>
  <si>
    <t>2015-07-08T11:53:20</t>
  </si>
  <si>
    <t>mcraen</t>
  </si>
  <si>
    <t>Nancy.Pike@manulifesecurities.ca</t>
  </si>
  <si>
    <t>Nancy Pike</t>
  </si>
  <si>
    <t>NPike</t>
  </si>
  <si>
    <t>Nancy.Schneider@manulifesecurities.ca</t>
  </si>
  <si>
    <t>Nancy Schneider</t>
  </si>
  <si>
    <t>nschneider</t>
  </si>
  <si>
    <t>Nancy.Silliphant@manulifesecurities.ca</t>
  </si>
  <si>
    <t>Nancy Silliphant</t>
  </si>
  <si>
    <t>nsilliphant</t>
  </si>
  <si>
    <t>Nancy.Smith@manulifesecurities.ca</t>
  </si>
  <si>
    <t>Nancy Smith</t>
  </si>
  <si>
    <t>nasmith</t>
  </si>
  <si>
    <t>nancy.tania@manulifesecurities.ca</t>
  </si>
  <si>
    <t>Nancy Tania</t>
  </si>
  <si>
    <t>2017-10-12T11:58:28</t>
  </si>
  <si>
    <t>mfc.nancy.tania</t>
  </si>
  <si>
    <t>Nancy.Tse@manulifesecurities.ca</t>
  </si>
  <si>
    <t>Nancy Tse</t>
  </si>
  <si>
    <t>2017-10-15T02:50:18</t>
  </si>
  <si>
    <t>NTse</t>
  </si>
  <si>
    <t>Nancy.Tucker@manulifesecurities.ca</t>
  </si>
  <si>
    <t>NTucker</t>
  </si>
  <si>
    <t>Nancy.Wormington@manulifesecurities.ca</t>
  </si>
  <si>
    <t>Nancy Wormington</t>
  </si>
  <si>
    <t>wormin</t>
  </si>
  <si>
    <t>Nanda.Kanani@manulifesecurities.ca</t>
  </si>
  <si>
    <t>Nanda Kanani</t>
  </si>
  <si>
    <t>nkanani</t>
  </si>
  <si>
    <t>NAndrews@manulifesecurities.ca</t>
  </si>
  <si>
    <t>Nancy Andrews</t>
  </si>
  <si>
    <t>nancyandrews</t>
  </si>
  <si>
    <t>nang-bao.nguyen@manulifesecurities.ca</t>
  </si>
  <si>
    <t>Nang-Bao Nguyen</t>
  </si>
  <si>
    <t>2016-07-11T23:40:20</t>
  </si>
  <si>
    <t>mfc.nang-bao.nguy</t>
  </si>
  <si>
    <t>Nansy.Nasralla@manulifesecurities.ca</t>
  </si>
  <si>
    <t>Nansy Nasralla</t>
  </si>
  <si>
    <t>2015-02-19T09:36:29</t>
  </si>
  <si>
    <t>mfc.nansy.nasrall</t>
  </si>
  <si>
    <t>Naomi.Wegleitner@manulifesecurities.ca</t>
  </si>
  <si>
    <t>Naomi Wegleitner</t>
  </si>
  <si>
    <t>2015-06-18T14:47:54</t>
  </si>
  <si>
    <t>mfc.naomi.wegleit</t>
  </si>
  <si>
    <t>Nash.Medrano@manulifesecurities.ca</t>
  </si>
  <si>
    <t>Nash Medrano</t>
  </si>
  <si>
    <t>NMedrano</t>
  </si>
  <si>
    <t>Natacha.Gobeille@manulifesecurities.ca</t>
  </si>
  <si>
    <t>ngobeil</t>
  </si>
  <si>
    <t>Natalia.Ginzburg@manulifesecurities.ca</t>
  </si>
  <si>
    <t>Natalia Ginzburg</t>
  </si>
  <si>
    <t>NGinzburg</t>
  </si>
  <si>
    <t>Natalie.Andrijancic@manulifesecurities.ca</t>
  </si>
  <si>
    <t>Natalie Andrijancic</t>
  </si>
  <si>
    <t>nandrij</t>
  </si>
  <si>
    <t>natalie.barber@manulifesecurities.ca</t>
  </si>
  <si>
    <t>Natalie Barber</t>
  </si>
  <si>
    <t>2016-12-14T15:38:20</t>
  </si>
  <si>
    <t>mfc.natalie.barbe</t>
  </si>
  <si>
    <t>Natalie.Bodin@manulifesecurities.ca</t>
  </si>
  <si>
    <t>Natalie Bodin</t>
  </si>
  <si>
    <t>NBodin</t>
  </si>
  <si>
    <t>Natalie.Burnell@manulifesecurities.ca</t>
  </si>
  <si>
    <t>NChipps</t>
  </si>
  <si>
    <t>Natalie.Finn@manulifesecurities.ca</t>
  </si>
  <si>
    <t>Natalie Finn</t>
  </si>
  <si>
    <t>finnnat</t>
  </si>
  <si>
    <t>Natalie.Haglin@manulifesecurities.ca</t>
  </si>
  <si>
    <t>Natalie Haglin</t>
  </si>
  <si>
    <t>2017-10-12T10:07:45</t>
  </si>
  <si>
    <t>nhaglin</t>
  </si>
  <si>
    <t>Natalie.MacDonald@manulifesecurities.ca</t>
  </si>
  <si>
    <t>Natalie MacDonald</t>
  </si>
  <si>
    <t>nmacdonald</t>
  </si>
  <si>
    <t>Natalie.Ng@manulifesecurities.ca</t>
  </si>
  <si>
    <t>Natalie Ng</t>
  </si>
  <si>
    <t>2017-10-05T13:22:01</t>
  </si>
  <si>
    <t>natang</t>
  </si>
  <si>
    <t>natalie.ossa@manulifesecurities.ca</t>
  </si>
  <si>
    <t>Natalie Ossa</t>
  </si>
  <si>
    <t>2016-08-25T08:53:15</t>
  </si>
  <si>
    <t>mfc.natalie.ossa</t>
  </si>
  <si>
    <t>Natalie.Poisson@manulifesecurities.ca</t>
  </si>
  <si>
    <t>Natalie Poisson</t>
  </si>
  <si>
    <t>2017-10-10T08:04:17</t>
  </si>
  <si>
    <t>mfc.natalie.poiss</t>
  </si>
  <si>
    <t>natalie.rahey@manulifesecurities.ca</t>
  </si>
  <si>
    <t>Natalie Rahey</t>
  </si>
  <si>
    <t>2017-10-15T16:43:50</t>
  </si>
  <si>
    <t>mfc.natalie.rahey</t>
  </si>
  <si>
    <t>Nataly.Lemieux@manulifesecurities.ca</t>
  </si>
  <si>
    <t>Nataly Lemieux</t>
  </si>
  <si>
    <t>tesskal</t>
  </si>
  <si>
    <t>Natalya.Dolph@manulifesecurities.ca</t>
  </si>
  <si>
    <t>Natalya Dolph</t>
  </si>
  <si>
    <t>2017-08-28T09:11:42</t>
  </si>
  <si>
    <t>mfc.natalya.dolph</t>
  </si>
  <si>
    <t>Natasha.Azizi@manulifesecurities.ca</t>
  </si>
  <si>
    <t>Natasha Azizi</t>
  </si>
  <si>
    <t>2015-12-09T10:11:39</t>
  </si>
  <si>
    <t>mfc.natasha.azizi</t>
  </si>
  <si>
    <t>Natasha.Cook@manulifesecurities.ca</t>
  </si>
  <si>
    <t>Natasha Cook</t>
  </si>
  <si>
    <t>mfc.natasha.cook</t>
  </si>
  <si>
    <t>Natasha.Dewald@manulifesecurities.ca</t>
  </si>
  <si>
    <t>Natasha Dewald</t>
  </si>
  <si>
    <t>NDewald</t>
  </si>
  <si>
    <t>Natasha.Hughes@manulifesecurities.ca</t>
  </si>
  <si>
    <t>Natasha Hughes</t>
  </si>
  <si>
    <t>2014-11-05T11:32:35</t>
  </si>
  <si>
    <t>NHughes</t>
  </si>
  <si>
    <t>Natasha.Taylor@manulifesecurities.ca</t>
  </si>
  <si>
    <t>Natasha Taylor</t>
  </si>
  <si>
    <t>2016-10-28T16:42:34</t>
  </si>
  <si>
    <t>mfc.natasha.taylo</t>
  </si>
  <si>
    <t>Natasha.Tresoor@manulifesecurities.ca</t>
  </si>
  <si>
    <t>Natasha Tresoor</t>
  </si>
  <si>
    <t>2014-11-10T15:15:04</t>
  </si>
  <si>
    <t>NatashaTresoor</t>
  </si>
  <si>
    <t>Nathalie.Boucher@manulifesecurities.ca</t>
  </si>
  <si>
    <t>Nathalie Boucher</t>
  </si>
  <si>
    <t>nathalieb</t>
  </si>
  <si>
    <t>Nathalie.Guilbeault@manulifesecurities.ca</t>
  </si>
  <si>
    <t>Nathalie Guilbeault</t>
  </si>
  <si>
    <t>natguilb</t>
  </si>
  <si>
    <t>Nathalie.Richard@manulifesecurities.ca</t>
  </si>
  <si>
    <t>Nathalie Richard</t>
  </si>
  <si>
    <t>NRichard</t>
  </si>
  <si>
    <t>Nathalie.Robins@manulifesecurities.ca</t>
  </si>
  <si>
    <t>Nathalie Robins</t>
  </si>
  <si>
    <t>NRobins</t>
  </si>
  <si>
    <t>Nathan.Gatt@manulifesecurities.ca</t>
  </si>
  <si>
    <t>Nathan Gatt</t>
  </si>
  <si>
    <t>2016-11-30T14:03:19</t>
  </si>
  <si>
    <t>gatter21</t>
  </si>
  <si>
    <t>Nathan.Leibowitz@manulifesecurities.ca</t>
  </si>
  <si>
    <t>Nathan Leibowitz</t>
  </si>
  <si>
    <t>2017-10-10T01:26:52</t>
  </si>
  <si>
    <t>mfc.nathan.leibow</t>
  </si>
  <si>
    <t>Nathan.Noel@manulifesecurities.ca</t>
  </si>
  <si>
    <t>Nathan Noel</t>
  </si>
  <si>
    <t>nnoel</t>
  </si>
  <si>
    <t>Nathan.Sudds@manulifesecurities.ca</t>
  </si>
  <si>
    <t>Nathan Sudds</t>
  </si>
  <si>
    <t>2016-02-19T14:24:37</t>
  </si>
  <si>
    <t>mfc.nathan.sudds</t>
  </si>
  <si>
    <t>Nathan.Whipp@manulifesecurities.ca</t>
  </si>
  <si>
    <t>Nathan Whipp</t>
  </si>
  <si>
    <t>nwhipp</t>
  </si>
  <si>
    <t>Nathen.Shelemey@manulifesecurities.ca</t>
  </si>
  <si>
    <t>Nathen Shelemey</t>
  </si>
  <si>
    <t>2017-10-11T11:27:55</t>
  </si>
  <si>
    <t>NShelemey</t>
  </si>
  <si>
    <t>Navin.Ahluwalia@manulifesecurities.ca</t>
  </si>
  <si>
    <t>Navin Ahluwalia</t>
  </si>
  <si>
    <t>2016-04-19T14:34:35</t>
  </si>
  <si>
    <t>mfc.navin.ahluwal</t>
  </si>
  <si>
    <t>Nayan.Gandhi@manulifesecurities.ca</t>
  </si>
  <si>
    <t>Nayan Gandhi</t>
  </si>
  <si>
    <t>2015-12-16T10:10:50</t>
  </si>
  <si>
    <t>NGandhi</t>
  </si>
  <si>
    <t>Neal.Owen@manulifesecurities.ca</t>
  </si>
  <si>
    <t>Neal Owen</t>
  </si>
  <si>
    <t>2016-12-23T09:07:59</t>
  </si>
  <si>
    <t>nealowen</t>
  </si>
  <si>
    <t>Nebo.Vujnovic@manulifesecurities.ca</t>
  </si>
  <si>
    <t>Nebo Vujnovic</t>
  </si>
  <si>
    <t>NVujnovic</t>
  </si>
  <si>
    <t>Ned.Dimitrov@manulifesecurities.ca</t>
  </si>
  <si>
    <t>Ned Dimitrov</t>
  </si>
  <si>
    <t>NDimitrov</t>
  </si>
  <si>
    <t>Neel.Aggarwal@manulifesecurities.ca</t>
  </si>
  <si>
    <t>Neel Aggarwal</t>
  </si>
  <si>
    <t>aggarne</t>
  </si>
  <si>
    <t>Neil.Bautista@manulifesecurities.ca</t>
  </si>
  <si>
    <t>Neil Bautista</t>
  </si>
  <si>
    <t>NBautista</t>
  </si>
  <si>
    <t>Neil.Bocking@manulifesecurities.ca</t>
  </si>
  <si>
    <t>Neil Bocking</t>
  </si>
  <si>
    <t>2017-10-13T14:16:54</t>
  </si>
  <si>
    <t>nbocking</t>
  </si>
  <si>
    <t>Neil.DenTandt@manulifesecurities.ca</t>
  </si>
  <si>
    <t>Neil Den Tandt</t>
  </si>
  <si>
    <t>2017-10-10T08:44:02</t>
  </si>
  <si>
    <t>ndentand</t>
  </si>
  <si>
    <t>Neil.Fleming@manulifesecurities.ca</t>
  </si>
  <si>
    <t>Neil Fleming</t>
  </si>
  <si>
    <t>NFleming</t>
  </si>
  <si>
    <t>Neil.Grandy@manulifesecurities.ca</t>
  </si>
  <si>
    <t>Neil Grandy</t>
  </si>
  <si>
    <t>NGrandy</t>
  </si>
  <si>
    <t>Neil.Klempner@manulifesecurities.ca</t>
  </si>
  <si>
    <t>NKlempner</t>
  </si>
  <si>
    <t>nklempner</t>
  </si>
  <si>
    <t>Neil.McPherson@manulifesecurities.ca</t>
  </si>
  <si>
    <t>Neil McPherson</t>
  </si>
  <si>
    <t>2017-10-11T18:10:15</t>
  </si>
  <si>
    <t>mfc.neil.mcpherso</t>
  </si>
  <si>
    <t>Neil.Menzies@manulifesecurities.ca</t>
  </si>
  <si>
    <t>Neil Menzies</t>
  </si>
  <si>
    <t>2017-10-08T12:21:20</t>
  </si>
  <si>
    <t>nmenzies</t>
  </si>
  <si>
    <t>Neil.Ouditt@manulifesecurities.ca</t>
  </si>
  <si>
    <t>Neil Ouditt</t>
  </si>
  <si>
    <t>ouditne</t>
  </si>
  <si>
    <t>Neil.Palesh@manulifesecurities.ca</t>
  </si>
  <si>
    <t>Neil Palesh</t>
  </si>
  <si>
    <t>npalesh</t>
  </si>
  <si>
    <t>Neisha.Price@manulifesecurities.ca</t>
  </si>
  <si>
    <t>Neisha Price</t>
  </si>
  <si>
    <t>NPrice</t>
  </si>
  <si>
    <t>Nelly.Epshteyn@manulifesecurities.ca</t>
  </si>
  <si>
    <t>Nelly Epshteyn</t>
  </si>
  <si>
    <t>2016-11-27T14:27:36</t>
  </si>
  <si>
    <t>mfc.nelly.epshtey</t>
  </si>
  <si>
    <t>Nelson.Deslippe@manulifesecurities.ca</t>
  </si>
  <si>
    <t>deslippe</t>
  </si>
  <si>
    <t>nemanja.saric@manulifesecurities.ca</t>
  </si>
  <si>
    <t>Nemanja Saric</t>
  </si>
  <si>
    <t>2016-02-04T10:05:25</t>
  </si>
  <si>
    <t>mfc.nemanja.saric</t>
  </si>
  <si>
    <t>Neno.Ritchie@manulifesecurities.ca</t>
  </si>
  <si>
    <t>Neno Ritchie</t>
  </si>
  <si>
    <t>2017-10-16T09:01:45</t>
  </si>
  <si>
    <t>mfc.neno.ritchie</t>
  </si>
  <si>
    <t>Nesha.Ursulak@manulifesecurities.ca</t>
  </si>
  <si>
    <t>Nesha Ursulak</t>
  </si>
  <si>
    <t>2017-10-11T17:19:47</t>
  </si>
  <si>
    <t>mfc.nesha.ursulak</t>
  </si>
  <si>
    <t>New.Journal@manulifesecurities.ca</t>
  </si>
  <si>
    <t>New Journal</t>
  </si>
  <si>
    <t>NewJournal</t>
  </si>
  <si>
    <t>Niamh.Butler@manulifesecurities.ca</t>
  </si>
  <si>
    <t>Niamh Butler</t>
  </si>
  <si>
    <t>2017-10-12T11:30:30</t>
  </si>
  <si>
    <t>mfc.niamh.butler</t>
  </si>
  <si>
    <t>Niazi.Kumbarji@manulifesecurities.ca</t>
  </si>
  <si>
    <t>Niazi Kumbarji</t>
  </si>
  <si>
    <t>2017-10-08T14:17:46</t>
  </si>
  <si>
    <t>NKumbarji</t>
  </si>
  <si>
    <t>Nicholas.Bugiel@manulifesecurities.ca</t>
  </si>
  <si>
    <t>Nicholas Bugiel</t>
  </si>
  <si>
    <t>2017-10-10T09:57:30</t>
  </si>
  <si>
    <t>NBugiel</t>
  </si>
  <si>
    <t>Nicholas.Yuzwin@manulifesecurities.ca</t>
  </si>
  <si>
    <t>Nicholas Yuzwin</t>
  </si>
  <si>
    <t>2017-10-12T11:14:57</t>
  </si>
  <si>
    <t>mfc.nicholas.yuzw</t>
  </si>
  <si>
    <t>nick.aragona@manulifesecurities.ca</t>
  </si>
  <si>
    <t>Nick Aragona</t>
  </si>
  <si>
    <t>2017-10-09T03:08:54</t>
  </si>
  <si>
    <t>mfc.nick.aragona</t>
  </si>
  <si>
    <t>Nick.Bozanich@manulifesecurities.ca</t>
  </si>
  <si>
    <t>Nick Bozanich</t>
  </si>
  <si>
    <t>2015-03-11T12:26:05</t>
  </si>
  <si>
    <t>bozanni</t>
  </si>
  <si>
    <t>Nick.Carruthers@manulifesecurities.ca</t>
  </si>
  <si>
    <t>Nick Carruthers</t>
  </si>
  <si>
    <t>2017-10-06T19:51:38</t>
  </si>
  <si>
    <t>mfc.nick.carruthe</t>
  </si>
  <si>
    <t>Nick.Earle@manulifesecurities.ca</t>
  </si>
  <si>
    <t>Nick Earle</t>
  </si>
  <si>
    <t>2017-10-06T10:14:55</t>
  </si>
  <si>
    <t>NEarle</t>
  </si>
  <si>
    <t>Nick.Fraser@manulifesecurities.ca</t>
  </si>
  <si>
    <t>Nick Fraser</t>
  </si>
  <si>
    <t>2017-10-06T16:12:35</t>
  </si>
  <si>
    <t>mfc.nick.fraser</t>
  </si>
  <si>
    <t>Nick.Hack@manulifesecurities.ca</t>
  </si>
  <si>
    <t>Nick Hack</t>
  </si>
  <si>
    <t>nbhack</t>
  </si>
  <si>
    <t>Nick.Impellizzeri@manulifesecurities.ca</t>
  </si>
  <si>
    <t>Nick Impellizzeri</t>
  </si>
  <si>
    <t>NImpellizzeri</t>
  </si>
  <si>
    <t>Nick.Keeler@manulifesecurities.ca</t>
  </si>
  <si>
    <t>Nick Keeler</t>
  </si>
  <si>
    <t>2016-09-13T13:55:42</t>
  </si>
  <si>
    <t>NKeeler</t>
  </si>
  <si>
    <t>Nick.Linetski@manulifesecurities.ca</t>
  </si>
  <si>
    <t>Nick Linetski</t>
  </si>
  <si>
    <t>2014-11-10T10:22:02</t>
  </si>
  <si>
    <t>NickLinetski</t>
  </si>
  <si>
    <t>Nick.Mitsopoulos@manulifesecurities.ca</t>
  </si>
  <si>
    <t>Nick Mitsopoulos</t>
  </si>
  <si>
    <t>2017-10-09T11:43:01</t>
  </si>
  <si>
    <t>NMitsopoulos</t>
  </si>
  <si>
    <t>Nickita.Linetski@manulifesecurities.ca</t>
  </si>
  <si>
    <t>Nickita Linetski</t>
  </si>
  <si>
    <t>NLinetski</t>
  </si>
  <si>
    <t>Nickolas.Tresoor@manulifesecurities.ca</t>
  </si>
  <si>
    <t>Nickolas Tresoor</t>
  </si>
  <si>
    <t>2017-10-10T17:39:39</t>
  </si>
  <si>
    <t>NTresoor</t>
  </si>
  <si>
    <t>Nicodemo.Giurleo@manulifesecurities.ca</t>
  </si>
  <si>
    <t>Nick Giurleo</t>
  </si>
  <si>
    <t>2017-10-10T00:49:00</t>
  </si>
  <si>
    <t>NGiurleo</t>
  </si>
  <si>
    <t>Nicol.Devere-bennett@manulifesecurities.ca</t>
  </si>
  <si>
    <t>Nicol Devere-bennett</t>
  </si>
  <si>
    <t>ndevben</t>
  </si>
  <si>
    <t>Nicole.Angus@manulifesecurities.ca</t>
  </si>
  <si>
    <t>Nicole Angus</t>
  </si>
  <si>
    <t>NAngus</t>
  </si>
  <si>
    <t>Nicole.Bruce@manulifesecurities.ca</t>
  </si>
  <si>
    <t>Nicole Bruce</t>
  </si>
  <si>
    <t>NBruce</t>
  </si>
  <si>
    <t>Nicole.Brun@manulifesecurities.ca</t>
  </si>
  <si>
    <t>Nicole Brun</t>
  </si>
  <si>
    <t>NBrun</t>
  </si>
  <si>
    <t>Nicole.Chamberlain@manulifesecurities.ca</t>
  </si>
  <si>
    <t>Nicole Chamberlain</t>
  </si>
  <si>
    <t>2017-10-07T10:57:55</t>
  </si>
  <si>
    <t>mfc.nicole.chambe</t>
  </si>
  <si>
    <t>Nicole.Claringbold@manulifesecurities.ca</t>
  </si>
  <si>
    <t>Nicole Claringbold</t>
  </si>
  <si>
    <t>2017-09-28T12:43:05</t>
  </si>
  <si>
    <t>mfc.nicole.clarin</t>
  </si>
  <si>
    <t>Nicole.Clark@manulifesecurities.ca</t>
  </si>
  <si>
    <t>Nicole Clark</t>
  </si>
  <si>
    <t>NClark</t>
  </si>
  <si>
    <t>Nicole.Dubyk@manulifesecurities.ca</t>
  </si>
  <si>
    <t>Nicole Dubyk</t>
  </si>
  <si>
    <t>NDubyk</t>
  </si>
  <si>
    <t>Nicole.Emond@manulifesecurities.ca</t>
  </si>
  <si>
    <t>Nicole Emond</t>
  </si>
  <si>
    <t>NEmond</t>
  </si>
  <si>
    <t>Nicole.Falardeau@placementsmanuvie.ca</t>
  </si>
  <si>
    <t>Nicole Falardeau</t>
  </si>
  <si>
    <t>2017-10-12T08:24:05</t>
  </si>
  <si>
    <t>nicolef</t>
  </si>
  <si>
    <t>Nicole.Kalinowski@manulifesecurities.ca</t>
  </si>
  <si>
    <t>Nicole Kalinowski</t>
  </si>
  <si>
    <t>NKalinowski</t>
  </si>
  <si>
    <t>Nicole.Kish@manulifesecurities.ca</t>
  </si>
  <si>
    <t>Nicole Kish</t>
  </si>
  <si>
    <t>NKish</t>
  </si>
  <si>
    <t>Nicole.Koenig@manulifesecurities.ca</t>
  </si>
  <si>
    <t>Nicole Koenig</t>
  </si>
  <si>
    <t>2017-10-06T08:43:50</t>
  </si>
  <si>
    <t>nkoenig</t>
  </si>
  <si>
    <t>Nicole.Koszela@manulifesecurities.ca</t>
  </si>
  <si>
    <t>Nicole Koszela</t>
  </si>
  <si>
    <t>2017-07-21T17:40:25</t>
  </si>
  <si>
    <t>mfc.nicole.koszel</t>
  </si>
  <si>
    <t>Nicole.Lauricella@manulifesecurities.ca</t>
  </si>
  <si>
    <t>Nicole Lauricella</t>
  </si>
  <si>
    <t>nlauricella</t>
  </si>
  <si>
    <t>Nicole.Leger@manulifesecurities.ca</t>
  </si>
  <si>
    <t>Nicole Leger</t>
  </si>
  <si>
    <t>2017-10-12T14:30:32</t>
  </si>
  <si>
    <t>NLeger</t>
  </si>
  <si>
    <t>nicole.marques@manulifesecurities.ca</t>
  </si>
  <si>
    <t>Nicole Marques</t>
  </si>
  <si>
    <t>2017-10-02T23:19:37</t>
  </si>
  <si>
    <t>mfc.nicole.marque</t>
  </si>
  <si>
    <t>Nicole.Pilon@manulifesecurities.ca</t>
  </si>
  <si>
    <t>Nicole Pilon</t>
  </si>
  <si>
    <t>2017-07-31T10:02:16</t>
  </si>
  <si>
    <t>mfc.nicole.mckerr</t>
  </si>
  <si>
    <t>Nicole.Talbot@manulifesecurities.ca</t>
  </si>
  <si>
    <t>Nicole Talbot</t>
  </si>
  <si>
    <t>NTalbot</t>
  </si>
  <si>
    <t>Nicole.Vincic@manulifesecurities.ca</t>
  </si>
  <si>
    <t>Nicole Vincic</t>
  </si>
  <si>
    <t>nvincic</t>
  </si>
  <si>
    <t>Nicole.Yeomans@manulifesecurities.ca</t>
  </si>
  <si>
    <t>Nicole Yeomans</t>
  </si>
  <si>
    <t>NYeomans</t>
  </si>
  <si>
    <t>Nidhi.Gandhi@manulifesecurities.ca</t>
  </si>
  <si>
    <t>Nidhi Gandhi</t>
  </si>
  <si>
    <t>NidhiGandhi</t>
  </si>
  <si>
    <t>Nidhi.Ghandi@manulifesecurities.ca</t>
  </si>
  <si>
    <t>Nidhi �Ghandi</t>
  </si>
  <si>
    <t>NGhandi</t>
  </si>
  <si>
    <t>nigel.punton@manulifesecurities.ca</t>
  </si>
  <si>
    <t>NPunton</t>
  </si>
  <si>
    <t>npunton</t>
  </si>
  <si>
    <t>NigelP@manulifesecurities.ca</t>
  </si>
  <si>
    <t>SVCNigel</t>
  </si>
  <si>
    <t>nigelp</t>
  </si>
  <si>
    <t>Nikki.Gorgichuk@manulifesecurities.ca</t>
  </si>
  <si>
    <t>Nikki Gorgichuk</t>
  </si>
  <si>
    <t>2017-10-16T09:30:09</t>
  </si>
  <si>
    <t>NGorgichuk</t>
  </si>
  <si>
    <t>Niko.Engbrecht@manulifesecurities.ca</t>
  </si>
  <si>
    <t>Niko Engbrecht</t>
  </si>
  <si>
    <t>nengbrec</t>
  </si>
  <si>
    <t>Niko.Lin@manulifesecurities.ca</t>
  </si>
  <si>
    <t>Niko Lin</t>
  </si>
  <si>
    <t>nikolin</t>
  </si>
  <si>
    <t>Nikolaos.Savvidis@manulifesecurities.ca</t>
  </si>
  <si>
    <t>Nikolaos Savvidis</t>
  </si>
  <si>
    <t>2017-10-12T10:51:22</t>
  </si>
  <si>
    <t>savvidis</t>
  </si>
  <si>
    <t>Nina.Cavalieri@manulifesecurities.ca</t>
  </si>
  <si>
    <t>Nina Cavalieri (Disabled)</t>
  </si>
  <si>
    <t>ncavalie</t>
  </si>
  <si>
    <t>Nina.Papuca@manulifesecurities.ca</t>
  </si>
  <si>
    <t>Nina Papuca</t>
  </si>
  <si>
    <t>NPapuca</t>
  </si>
  <si>
    <t>Nina.Tangri@manulifesecurities.ca</t>
  </si>
  <si>
    <t>Nina Tangri</t>
  </si>
  <si>
    <t>tangri</t>
  </si>
  <si>
    <t>Niranjana.Banjara@manulifesecurities.ca</t>
  </si>
  <si>
    <t>Niranjana Banjara</t>
  </si>
  <si>
    <t>nbanjara</t>
  </si>
  <si>
    <t>Noella.Appleby@manulifesecurities.ca</t>
  </si>
  <si>
    <t>Noella Appleby</t>
  </si>
  <si>
    <t>2017-01-10T15:12:06</t>
  </si>
  <si>
    <t>NAppleby</t>
  </si>
  <si>
    <t>Noemie.Brignon@manulifesecurities.ca</t>
  </si>
  <si>
    <t>Noemie Brignon</t>
  </si>
  <si>
    <t>2017-10-15T20:17:36</t>
  </si>
  <si>
    <t>mfc.noemie.brigno</t>
  </si>
  <si>
    <t>Nola.Collingwood@manulifesecurities.ca</t>
  </si>
  <si>
    <t>Nola Collingwood</t>
  </si>
  <si>
    <t>2017-10-02T11:04:32</t>
  </si>
  <si>
    <t>NCollingwood</t>
  </si>
  <si>
    <t>NonFinancial@manulifesecurities.ca</t>
  </si>
  <si>
    <t>zzNon Financial</t>
  </si>
  <si>
    <t>NonFinancial</t>
  </si>
  <si>
    <t>Nora.Ho@manulifesecurities.ca</t>
  </si>
  <si>
    <t>Nora Ho</t>
  </si>
  <si>
    <t>2017-10-11T04:14:44</t>
  </si>
  <si>
    <t>honora</t>
  </si>
  <si>
    <t>Norbert.Collette@manulifesecurities.ca</t>
  </si>
  <si>
    <t>Norbert Collette</t>
  </si>
  <si>
    <t>norbert</t>
  </si>
  <si>
    <t>Noreen.Harder@manulifesecurities.ca</t>
  </si>
  <si>
    <t>Noreen Harder</t>
  </si>
  <si>
    <t>hardern</t>
  </si>
  <si>
    <t>Noreen.Lange@manulifesecurities.ca</t>
  </si>
  <si>
    <t>Noreen Lange</t>
  </si>
  <si>
    <t>NoLange</t>
  </si>
  <si>
    <t>Norma.Mackarous@manulifesecurities.ca</t>
  </si>
  <si>
    <t>Norma Mackarous</t>
  </si>
  <si>
    <t>nmackarous</t>
  </si>
  <si>
    <t>Norma.Munchinsky@manulifesecurities.ca</t>
  </si>
  <si>
    <t>2017-08-18T11:24:07</t>
  </si>
  <si>
    <t>NMunchinsky</t>
  </si>
  <si>
    <t>Norma.Torraville@manulifesecurities.ca</t>
  </si>
  <si>
    <t>Norma Torraville</t>
  </si>
  <si>
    <t>NTorraville</t>
  </si>
  <si>
    <t>Norman.Law@manulifesecurities.ca</t>
  </si>
  <si>
    <t>Norman Law</t>
  </si>
  <si>
    <t>2017-01-31T12:11:41</t>
  </si>
  <si>
    <t>normanlaw</t>
  </si>
  <si>
    <t>Norman.Rishworth@manulifesecurities.ca</t>
  </si>
  <si>
    <t>Norman Rishworth</t>
  </si>
  <si>
    <t>nrishworth</t>
  </si>
  <si>
    <t>Norman.Stephenson@manulifesecurities.ca</t>
  </si>
  <si>
    <t>Norman Stephenson</t>
  </si>
  <si>
    <t>nstephen</t>
  </si>
  <si>
    <t>Norman.Tonnies@manulifesecurities.ca</t>
  </si>
  <si>
    <t>Norman Tonnies</t>
  </si>
  <si>
    <t>2017-10-13T10:21:32</t>
  </si>
  <si>
    <t>ntonnies</t>
  </si>
  <si>
    <t>Norman.Wiebe@manulifesecurities.ca</t>
  </si>
  <si>
    <t>Norman Wiebe</t>
  </si>
  <si>
    <t>2017-10-03T11:11:05</t>
  </si>
  <si>
    <t>normanwiebe</t>
  </si>
  <si>
    <t>Norman.Wong@manulifesecurities.ca</t>
  </si>
  <si>
    <t>Norman Wong</t>
  </si>
  <si>
    <t>2017-10-13T13:02:24</t>
  </si>
  <si>
    <t>normwong</t>
  </si>
  <si>
    <t>Notes.Archive@manulifesecurities.ca</t>
  </si>
  <si>
    <t>Notes Archive</t>
  </si>
  <si>
    <t>NotesArchive</t>
  </si>
  <si>
    <t>NPC.Test@manulifesecurities.ca</t>
  </si>
  <si>
    <t>NPC Test</t>
  </si>
  <si>
    <t>NPCTEST</t>
  </si>
  <si>
    <t>Nykol.Pishak@manulifesecurities.ca</t>
  </si>
  <si>
    <t>Nykol Pishak</t>
  </si>
  <si>
    <t>2016-07-26T14:54:37</t>
  </si>
  <si>
    <t>mfc.nykol.pishak</t>
  </si>
  <si>
    <t>Oana.Adam@manulifesecurities.ca</t>
  </si>
  <si>
    <t>Oana Adam</t>
  </si>
  <si>
    <t>2016-09-08T10:01:44</t>
  </si>
  <si>
    <t>mfc.oana.adam</t>
  </si>
  <si>
    <t>OCIR@manulifesecurities.ca</t>
  </si>
  <si>
    <t>Online Client Inquiry Requests</t>
  </si>
  <si>
    <t>OCIR</t>
  </si>
  <si>
    <t>Oded.Orgil@manulifesecurities.ca</t>
  </si>
  <si>
    <t>Oded Orgil</t>
  </si>
  <si>
    <t>OOrgil</t>
  </si>
  <si>
    <t>Odette.Henry@manulifesecurities.ca</t>
  </si>
  <si>
    <t>Odette Henry</t>
  </si>
  <si>
    <t>OHenry</t>
  </si>
  <si>
    <t>Odette.Lang@manulifesecurities.ca</t>
  </si>
  <si>
    <t>Odette Lang</t>
  </si>
  <si>
    <t>odettelang</t>
  </si>
  <si>
    <t>Ole.Sorensen@manulifesecurities.ca</t>
  </si>
  <si>
    <t>Ole Sorensen</t>
  </si>
  <si>
    <t>sorensen</t>
  </si>
  <si>
    <t>Olena.Keshysheva@manulifesecurities.ca</t>
  </si>
  <si>
    <t>Olena Keshysheva</t>
  </si>
  <si>
    <t>2016-03-04T14:06:15</t>
  </si>
  <si>
    <t>mfc.olena.keshysh</t>
  </si>
  <si>
    <t>olga.santos@manulifesecurities.ca</t>
  </si>
  <si>
    <t>Olga Santos</t>
  </si>
  <si>
    <t>2017-10-10T09:03:17</t>
  </si>
  <si>
    <t>mfc.olga.santos</t>
  </si>
  <si>
    <t>Olha.Bilyak@manulifesecurities.ca</t>
  </si>
  <si>
    <t>Olha Bilyak</t>
  </si>
  <si>
    <t>OBilyak</t>
  </si>
  <si>
    <t>Olivia.Amoateng@manulifesecurities.ca</t>
  </si>
  <si>
    <t>Olivia Amoateng</t>
  </si>
  <si>
    <t>OAmoateng</t>
  </si>
  <si>
    <t>Olivia.Witteveen@manulifesecurities.ca</t>
  </si>
  <si>
    <t>Olivia Witteveen</t>
  </si>
  <si>
    <t>2015-08-27T13:13:05</t>
  </si>
  <si>
    <t>mfc.olivia.wittev</t>
  </si>
  <si>
    <t>Olivier.Ayotte@manulifesecurities.ca</t>
  </si>
  <si>
    <t>Olivier Ayotte</t>
  </si>
  <si>
    <t>2017-02-27T07:57:09</t>
  </si>
  <si>
    <t>mfc.olivier.ayott</t>
  </si>
  <si>
    <t>Olivier.Lawlor@manulifesecurities.ca</t>
  </si>
  <si>
    <t>Olivier Lawlor</t>
  </si>
  <si>
    <t>2017-10-12T04:09:36</t>
  </si>
  <si>
    <t>mfc.olivier.lawlo</t>
  </si>
  <si>
    <t>Olutobi.Akinwumi@manulifesecurities.ca</t>
  </si>
  <si>
    <t>OAkinwumi</t>
  </si>
  <si>
    <t>Omar.Baqa@manulifesecurities.ca</t>
  </si>
  <si>
    <t>Omar Baqa</t>
  </si>
  <si>
    <t>2017-10-06T16:43:23</t>
  </si>
  <si>
    <t>mfc.omar.baqa</t>
  </si>
  <si>
    <t>Omar.Daas@manulifesecurities.ca</t>
  </si>
  <si>
    <t>Omar Daas</t>
  </si>
  <si>
    <t>2016-08-25T11:00:14</t>
  </si>
  <si>
    <t>mfc.omar.daas</t>
  </si>
  <si>
    <t>Omer.Houde@manulifesecurities.ca</t>
  </si>
  <si>
    <t>Omer Houde</t>
  </si>
  <si>
    <t>OHoude</t>
  </si>
  <si>
    <t>omri.benavi@manulifesecurities.ca</t>
  </si>
  <si>
    <t>Omri Ben Avi</t>
  </si>
  <si>
    <t>2015-12-07T10:22:38</t>
  </si>
  <si>
    <t>mfc.omri.benavi</t>
  </si>
  <si>
    <t>OpenLetter@manulifesecurities.ca</t>
  </si>
  <si>
    <t>OpenLetter</t>
  </si>
  <si>
    <t>openletter</t>
  </si>
  <si>
    <t>Orissa.Henderson@manulifesecurities.ca</t>
  </si>
  <si>
    <t>Orissa Henderson</t>
  </si>
  <si>
    <t>ohenders</t>
  </si>
  <si>
    <t>Orville.Sukhram@manulifesecurities.ca</t>
  </si>
  <si>
    <t>Orville Sukhram</t>
  </si>
  <si>
    <t>mfc.orville.sukhr</t>
  </si>
  <si>
    <t>owen.evans@manulifesecurities.ca</t>
  </si>
  <si>
    <t>Owen Evans</t>
  </si>
  <si>
    <t>2016-02-11T22:57:29</t>
  </si>
  <si>
    <t>mfc.owen.evens</t>
  </si>
  <si>
    <t>Owen.Rhoden@manulifesecurities.ca</t>
  </si>
  <si>
    <t>Owen Rhoden</t>
  </si>
  <si>
    <t>mfc.owen.rhoden</t>
  </si>
  <si>
    <t>P&amp;P.Admin@manulifesecurities.ca</t>
  </si>
  <si>
    <t>P&amp;P Admin</t>
  </si>
  <si>
    <t>PPadmin</t>
  </si>
  <si>
    <t>P.Leblanc-Potin@manulifesecurities.ca</t>
  </si>
  <si>
    <t>Pascal Leblanc-Potin</t>
  </si>
  <si>
    <t>2017-10-10T13:44:33</t>
  </si>
  <si>
    <t>mfc.leblanc.pasca</t>
  </si>
  <si>
    <t>P.Leung@manulifesecurities.ca</t>
  </si>
  <si>
    <t>Peter Leung</t>
  </si>
  <si>
    <t>mfc.p.leung</t>
  </si>
  <si>
    <t>p.selvig@manulifesecurities.ca</t>
  </si>
  <si>
    <t>Pamela Selvig</t>
  </si>
  <si>
    <t>mfc.p.selvig</t>
  </si>
  <si>
    <t>Paco.Sanchez@manulifesecurities.ca</t>
  </si>
  <si>
    <t>Paco Sanchez</t>
  </si>
  <si>
    <t>2017-10-12T15:59:57</t>
  </si>
  <si>
    <t>psanchez</t>
  </si>
  <si>
    <t>Paco_Sanchez@manulifesecurities.ca</t>
  </si>
  <si>
    <t>Pako_old Sanchez</t>
  </si>
  <si>
    <t>paksanchez_old</t>
  </si>
  <si>
    <t>Paige.Meister@manulifesecurities.ca</t>
  </si>
  <si>
    <t>Paige Meister</t>
  </si>
  <si>
    <t>2017-06-13T13:10:00</t>
  </si>
  <si>
    <t>mfc.paige.meister</t>
  </si>
  <si>
    <t>Pam.Delannoy@manulifesecurities.ca</t>
  </si>
  <si>
    <t>Pam Delannoy</t>
  </si>
  <si>
    <t>PDelannoy</t>
  </si>
  <si>
    <t>Pam.Gallagher@manulifesecurities.ca</t>
  </si>
  <si>
    <t>Pam Gallagher</t>
  </si>
  <si>
    <t>pgallagh</t>
  </si>
  <si>
    <t>Pam.Hardman@manulifesecurities.ca</t>
  </si>
  <si>
    <t>zz-Pam Hardman</t>
  </si>
  <si>
    <t>PHardman</t>
  </si>
  <si>
    <t>Pam.Haslam@manulifesecurities.ca</t>
  </si>
  <si>
    <t>Pam Haslam</t>
  </si>
  <si>
    <t>phaslam</t>
  </si>
  <si>
    <t>Pam.Hirst@manulifesecurities.ca</t>
  </si>
  <si>
    <t>Pam Hirst</t>
  </si>
  <si>
    <t>hirstpa</t>
  </si>
  <si>
    <t>Pam.Koontz@manulifesecurities.ca</t>
  </si>
  <si>
    <t>Pam Koontz</t>
  </si>
  <si>
    <t>PKoontz</t>
  </si>
  <si>
    <t>Pam.McLaren@manulifesecurities.ca</t>
  </si>
  <si>
    <t>Pam McLaren</t>
  </si>
  <si>
    <t>PMcLaren</t>
  </si>
  <si>
    <t>Pam.Mcnichol-Smith@manulifesecurities.ca</t>
  </si>
  <si>
    <t>Pam Mcnichol-Smith</t>
  </si>
  <si>
    <t>pamsmith</t>
  </si>
  <si>
    <t>Pam.Morrison@manulifesecurities.ca</t>
  </si>
  <si>
    <t>Pam Morrison</t>
  </si>
  <si>
    <t>PMorrison</t>
  </si>
  <si>
    <t>Pam.Selvig@manulifesecurities.ca</t>
  </si>
  <si>
    <t>Pam Selvig</t>
  </si>
  <si>
    <t>pselvig</t>
  </si>
  <si>
    <t>Pam.Smith@manulifesecurities.ca</t>
  </si>
  <si>
    <t>Pam Smith</t>
  </si>
  <si>
    <t>PSmith</t>
  </si>
  <si>
    <t>Pamela.Dick@manulifesecurities.ca</t>
  </si>
  <si>
    <t>Pamela Dick</t>
  </si>
  <si>
    <t>2017-10-16T09:51:56</t>
  </si>
  <si>
    <t>padick</t>
  </si>
  <si>
    <t>Pamela.DiFranco@manulifesecurities.ca</t>
  </si>
  <si>
    <t>Pamela Di Franco</t>
  </si>
  <si>
    <t>PDiFranco</t>
  </si>
  <si>
    <t>Pamela.Jardine@manulifesecurities.ca</t>
  </si>
  <si>
    <t>Pamela Jardine</t>
  </si>
  <si>
    <t>2017-10-12T15:46:05</t>
  </si>
  <si>
    <t>cootepam</t>
  </si>
  <si>
    <t>Pamela.Mann@manulifesecurities.ca</t>
  </si>
  <si>
    <t>Pamela Mann</t>
  </si>
  <si>
    <t>2017-10-10T01:10:32</t>
  </si>
  <si>
    <t>PMann</t>
  </si>
  <si>
    <t>Pamela.Mcculligh@manulifesecurities.ca</t>
  </si>
  <si>
    <t>Pamela Mcculligh</t>
  </si>
  <si>
    <t>2017-06-16T11:30:43</t>
  </si>
  <si>
    <t>pmccull</t>
  </si>
  <si>
    <t>Paolo.Gianvito@manulifesecurities.ca</t>
  </si>
  <si>
    <t>Paolo Gianvito</t>
  </si>
  <si>
    <t>PGianvito</t>
  </si>
  <si>
    <t>Pardeep.Sharma@manulifesecurities.ca</t>
  </si>
  <si>
    <t>Pardeep Sharma</t>
  </si>
  <si>
    <t>2017-10-10T15:22:29</t>
  </si>
  <si>
    <t>psharma</t>
  </si>
  <si>
    <t>Paris.Proft@manulifesecurities.ca</t>
  </si>
  <si>
    <t>Paris Proft</t>
  </si>
  <si>
    <t>2017-08-24T17:15:54</t>
  </si>
  <si>
    <t>PProft</t>
  </si>
  <si>
    <t>Pascal.Dubois@placementsmanuvie.ca</t>
  </si>
  <si>
    <t>Pascal Dubois</t>
  </si>
  <si>
    <t>2017-10-12T16:30:53</t>
  </si>
  <si>
    <t>duboisp</t>
  </si>
  <si>
    <t>Pascal.Robichaud@manulifesecurities.ca</t>
  </si>
  <si>
    <t>Pascal Robichaud</t>
  </si>
  <si>
    <t>2017-10-06T23:24:09</t>
  </si>
  <si>
    <t>PRobichaud</t>
  </si>
  <si>
    <t>pascale.mouawad@manulifesecurities.ca</t>
  </si>
  <si>
    <t>Pascale Mouawad</t>
  </si>
  <si>
    <t>mfc.pascale.mouaw</t>
  </si>
  <si>
    <t>Pat.Bartlett@manulifesecurities.ca</t>
  </si>
  <si>
    <t>PBartlett</t>
  </si>
  <si>
    <t>Pat.Falcitelli@manulifesecurities.ca</t>
  </si>
  <si>
    <t>Patrizia Falcitelli</t>
  </si>
  <si>
    <t>2014-10-27T09:05:53</t>
  </si>
  <si>
    <t>PFalcitelli</t>
  </si>
  <si>
    <t>Pat.Gill@manulifesecurities.ca</t>
  </si>
  <si>
    <t>Pat Gill</t>
  </si>
  <si>
    <t>patgill</t>
  </si>
  <si>
    <t>Pat.Goshko@manulifesecurities.ca</t>
  </si>
  <si>
    <t>Pat Goshko</t>
  </si>
  <si>
    <t>goshkpa</t>
  </si>
  <si>
    <t>Pat.Koehler@manulifesecurities.ca</t>
  </si>
  <si>
    <t>Pat Koehler</t>
  </si>
  <si>
    <t>2017-08-31T11:56:21</t>
  </si>
  <si>
    <t>mfc.pat.koehler</t>
  </si>
  <si>
    <t>Pat.Kyle@manulifesecurities.ca</t>
  </si>
  <si>
    <t>Pat Kyle</t>
  </si>
  <si>
    <t>PKyle</t>
  </si>
  <si>
    <t>Pat.Stenlund@manulifesecurities.ca</t>
  </si>
  <si>
    <t>Pat Stenlund</t>
  </si>
  <si>
    <t>2017-10-03T19:06:48</t>
  </si>
  <si>
    <t>patstenlund</t>
  </si>
  <si>
    <t>Pat.Toal@manulifesecurities.ca</t>
  </si>
  <si>
    <t>Pat Toal</t>
  </si>
  <si>
    <t>2015-06-23T13:39:28</t>
  </si>
  <si>
    <t>toalpat</t>
  </si>
  <si>
    <t>Pat.White@manulifesecurities.ca</t>
  </si>
  <si>
    <t>Pat White</t>
  </si>
  <si>
    <t>whitep</t>
  </si>
  <si>
    <t>Pat.Zagar@manulifesecurities.ca</t>
  </si>
  <si>
    <t>Pat Zagar</t>
  </si>
  <si>
    <t>pzagar</t>
  </si>
  <si>
    <t>Patricia.Batrynchuk@manulifesecurities.ca</t>
  </si>
  <si>
    <t>Patricia Batrynchuk</t>
  </si>
  <si>
    <t>patfin</t>
  </si>
  <si>
    <t>Patricia.Bellemare@manulifesecurities.ca</t>
  </si>
  <si>
    <t>Patricia Bellemare</t>
  </si>
  <si>
    <t>pbellema</t>
  </si>
  <si>
    <t>Patricia.Bewley@manulifesecurities.ca</t>
  </si>
  <si>
    <t>Patricia Bewley</t>
  </si>
  <si>
    <t>pbewley</t>
  </si>
  <si>
    <t>Patricia.Freiji@manulifesecurities.ca</t>
  </si>
  <si>
    <t>Patricia Freiji</t>
  </si>
  <si>
    <t>2017-08-01T01:32:01</t>
  </si>
  <si>
    <t>PFreiji</t>
  </si>
  <si>
    <t>Patricia.Giancola@manulifesecurities.ca</t>
  </si>
  <si>
    <t>Patricia Giancola</t>
  </si>
  <si>
    <t>2016-08-31T21:26:11</t>
  </si>
  <si>
    <t>PGiancola</t>
  </si>
  <si>
    <t>Patricia.Giglio@manulifesecurities.ca</t>
  </si>
  <si>
    <t>Patricia Giglio</t>
  </si>
  <si>
    <t>2017-10-10T08:46:42</t>
  </si>
  <si>
    <t>PGiglio</t>
  </si>
  <si>
    <t>Patricia.Nord@manulifesecurities.ca</t>
  </si>
  <si>
    <t>Patricia Nord</t>
  </si>
  <si>
    <t>PNord</t>
  </si>
  <si>
    <t>patricia.robitaille@manulifesecurities.ca</t>
  </si>
  <si>
    <t>Patricia Robitaille</t>
  </si>
  <si>
    <t>2016-02-02T17:23:41</t>
  </si>
  <si>
    <t>mfc.patricia.robi</t>
  </si>
  <si>
    <t>Patricia.Saunders@manulifesecurities.ca</t>
  </si>
  <si>
    <t>Patricia Saunders</t>
  </si>
  <si>
    <t>2017-10-05T10:40:17</t>
  </si>
  <si>
    <t>mfc.patricia.saun</t>
  </si>
  <si>
    <t>Patricia.Semple@manulifesecurities.ca</t>
  </si>
  <si>
    <t>Patricia Semple</t>
  </si>
  <si>
    <t>psemple</t>
  </si>
  <si>
    <t>Patricia.Soulliere@manulifesecurities.ca</t>
  </si>
  <si>
    <t>Patricia Soulliere</t>
  </si>
  <si>
    <t>patsoulliere</t>
  </si>
  <si>
    <t>Patricia.Taylor@manulifesecurities.ca</t>
  </si>
  <si>
    <t>Patricia Taylor</t>
  </si>
  <si>
    <t>PTaylor</t>
  </si>
  <si>
    <t>Patricia.Trombetta@manulifesecurities.ca</t>
  </si>
  <si>
    <t>Patricia Trombetta</t>
  </si>
  <si>
    <t>PTrombetta</t>
  </si>
  <si>
    <t>Patricia.Walsh@manulifesecurities.ca</t>
  </si>
  <si>
    <t>Patricia Walsh</t>
  </si>
  <si>
    <t>2017-10-13T00:02:26</t>
  </si>
  <si>
    <t>mfc.patricia.wals</t>
  </si>
  <si>
    <t>Patricia.Withnell@manulifesecurities.ca</t>
  </si>
  <si>
    <t>Patricia Withnell</t>
  </si>
  <si>
    <t>2017-10-13T12:41:21</t>
  </si>
  <si>
    <t>pwithnel</t>
  </si>
  <si>
    <t>Patrick.Absi@manulifesecurities.ca</t>
  </si>
  <si>
    <t>Patrick Absi</t>
  </si>
  <si>
    <t>patabsi</t>
  </si>
  <si>
    <t>Patrick.Brennan@manulifesecurities.ca</t>
  </si>
  <si>
    <t>Patrick Brennan</t>
  </si>
  <si>
    <t>2017-10-13T18:53:42</t>
  </si>
  <si>
    <t>mfc.patrick.brenn</t>
  </si>
  <si>
    <t>Patrick.Brooks@manulifesecurities.ca</t>
  </si>
  <si>
    <t>Patrick Brooks</t>
  </si>
  <si>
    <t>2017-10-16T08:39:02</t>
  </si>
  <si>
    <t>mfc.patrick.brook</t>
  </si>
  <si>
    <t>Patrick.Crawford@manulifesecurities.ca</t>
  </si>
  <si>
    <t>Patrick Crawford</t>
  </si>
  <si>
    <t>PCrawford</t>
  </si>
  <si>
    <t>Patrick.Dwyre@manulifesecurities.ca</t>
  </si>
  <si>
    <t>Pat Dwyre</t>
  </si>
  <si>
    <t>PDwyre</t>
  </si>
  <si>
    <t>patrick.forgues@placementsmanuvie.ca</t>
  </si>
  <si>
    <t>Patrick Forgues</t>
  </si>
  <si>
    <t>2017-10-10T16:02:36</t>
  </si>
  <si>
    <t>PForgues</t>
  </si>
  <si>
    <t>Patrick.Hanna@manulifesecurities.ca</t>
  </si>
  <si>
    <t>Patrick Hanna</t>
  </si>
  <si>
    <t>2017-01-25T15:41:35</t>
  </si>
  <si>
    <t>phanna</t>
  </si>
  <si>
    <t>Patrick.Harkins@manulifesecurities.ca</t>
  </si>
  <si>
    <t>Patrick Harkins</t>
  </si>
  <si>
    <t>2017-10-10T11:48:01</t>
  </si>
  <si>
    <t>PHarkins</t>
  </si>
  <si>
    <t>Patrick.Jamieson@manulifesecurities.ca</t>
  </si>
  <si>
    <t>Patrick Jamieson</t>
  </si>
  <si>
    <t>mfc.patrick.jamie</t>
  </si>
  <si>
    <t>Patrick.Kinsella@manulifesecurities.ca</t>
  </si>
  <si>
    <t>Patrick Kinsella</t>
  </si>
  <si>
    <t>2017-10-09T18:43:35</t>
  </si>
  <si>
    <t>patrickkinsella</t>
  </si>
  <si>
    <t>Patrick.Kreidi@manulifesecurities.ca</t>
  </si>
  <si>
    <t>Patrick Kreidi</t>
  </si>
  <si>
    <t>2017-07-18T08:48:54</t>
  </si>
  <si>
    <t>PKreidi</t>
  </si>
  <si>
    <t>Patrick.Lychak@manulifesecurities.ca</t>
  </si>
  <si>
    <t>Patrick Lychak</t>
  </si>
  <si>
    <t>PLychak</t>
  </si>
  <si>
    <t>Patrick.McHugh@manulifesecurities.ca</t>
  </si>
  <si>
    <t>Patrick McHugh</t>
  </si>
  <si>
    <t>2017-10-15T11:17:24</t>
  </si>
  <si>
    <t>PMcHugh</t>
  </si>
  <si>
    <t>Patrick.Wu@manulifesecurities.ca</t>
  </si>
  <si>
    <t>Patrick Wu</t>
  </si>
  <si>
    <t>2017-10-16T08:52:11</t>
  </si>
  <si>
    <t>patrickwu</t>
  </si>
  <si>
    <t>Patrizia.Andreis@manulifesecurities.ca</t>
  </si>
  <si>
    <t>Patrizia Andreis</t>
  </si>
  <si>
    <t>2017-10-10T06:17:05</t>
  </si>
  <si>
    <t>PAndreis</t>
  </si>
  <si>
    <t>Patsy.Winger@manulifesecurities.ca</t>
  </si>
  <si>
    <t>Patsy Winger</t>
  </si>
  <si>
    <t>2017-10-10T13:04:09</t>
  </si>
  <si>
    <t>PWinger</t>
  </si>
  <si>
    <t>Patti.Blue@manulifesecurities.ca</t>
  </si>
  <si>
    <t>Patti Blue</t>
  </si>
  <si>
    <t>pblue</t>
  </si>
  <si>
    <t>Patti.Chauvin@manulifesecurities.ca</t>
  </si>
  <si>
    <t>Patti Chauvin</t>
  </si>
  <si>
    <t>2017-10-16T08:33:02</t>
  </si>
  <si>
    <t>pchauvin</t>
  </si>
  <si>
    <t>Patti.Mackenzie@manulifesecurities.ca</t>
  </si>
  <si>
    <t>Patti Mackenzie</t>
  </si>
  <si>
    <t>pattimackenzie</t>
  </si>
  <si>
    <t>Patti.Millar@manulifesecurities.ca</t>
  </si>
  <si>
    <t>Patti Millar</t>
  </si>
  <si>
    <t>PMillar</t>
  </si>
  <si>
    <t>Patti.Wudrick@manulifesecurities.ca</t>
  </si>
  <si>
    <t>Patti Wudrick</t>
  </si>
  <si>
    <t>2017-10-10T15:54:03</t>
  </si>
  <si>
    <t>pattiwudrick</t>
  </si>
  <si>
    <t>Patti-Jo.Stoll@manulifesecurities.ca</t>
  </si>
  <si>
    <t>Patti-Jo Stoll</t>
  </si>
  <si>
    <t>2017-10-11T11:12:01</t>
  </si>
  <si>
    <t>pjstoll</t>
  </si>
  <si>
    <t>Patty.GallingerGiao@manulifesecurities.ca</t>
  </si>
  <si>
    <t>Patty Gallinger Giao</t>
  </si>
  <si>
    <t>PGallingerGiao</t>
  </si>
  <si>
    <t>Patty.Mendola@manulifesecurities.ca</t>
  </si>
  <si>
    <t>Patty Mendola</t>
  </si>
  <si>
    <t>2017-10-13T10:56:24</t>
  </si>
  <si>
    <t>PMendola</t>
  </si>
  <si>
    <t>Paul.Antonacci@manulifesecurities.ca</t>
  </si>
  <si>
    <t>Paul Antonacci</t>
  </si>
  <si>
    <t>2017-10-13T18:58:46</t>
  </si>
  <si>
    <t>paantonacci</t>
  </si>
  <si>
    <t>Paul.Baryla@manulifesecurities.ca</t>
  </si>
  <si>
    <t>Paul Baryla</t>
  </si>
  <si>
    <t>PBaryla</t>
  </si>
  <si>
    <t>paul.church@manulifesecurities.ca</t>
  </si>
  <si>
    <t>Paul Church</t>
  </si>
  <si>
    <t>mfc.paul.church</t>
  </si>
  <si>
    <t>Paul.Clarke@manulifesecurities.ca</t>
  </si>
  <si>
    <t>Paul Clarke</t>
  </si>
  <si>
    <t>2015-05-05T11:42:09</t>
  </si>
  <si>
    <t>PaulClarke</t>
  </si>
  <si>
    <t>paul.craven@manulifesecurities.ca</t>
  </si>
  <si>
    <t>Paul Craven</t>
  </si>
  <si>
    <t>2017-10-16T09:15:41</t>
  </si>
  <si>
    <t>mfc.paul.craven</t>
  </si>
  <si>
    <t>Paul.Donovan@manulifesecurities.ca</t>
  </si>
  <si>
    <t>Paul Donovan</t>
  </si>
  <si>
    <t>PDonovan</t>
  </si>
  <si>
    <t>Paul.Dunmore@manulifesecurities.ca</t>
  </si>
  <si>
    <t>Paul Dunmore</t>
  </si>
  <si>
    <t>2017-10-12T05:48:46</t>
  </si>
  <si>
    <t>PDunmore</t>
  </si>
  <si>
    <t>Paul.DunmoreOld@manulifesecurities.ca</t>
  </si>
  <si>
    <t>Paul Dunmore (Disabled)</t>
  </si>
  <si>
    <t>pauldunmore</t>
  </si>
  <si>
    <t>Paul.Erick@manulifesecurities.ca</t>
  </si>
  <si>
    <t>Paul Erick</t>
  </si>
  <si>
    <t>2017-10-06T19:40:01</t>
  </si>
  <si>
    <t>PErick</t>
  </si>
  <si>
    <t>Paul.Foster@manulifesecurities.ca</t>
  </si>
  <si>
    <t>Paul Foster</t>
  </si>
  <si>
    <t>pfoster</t>
  </si>
  <si>
    <t>Paul.Ghaleb@manulifesecurities.ca</t>
  </si>
  <si>
    <t>Paul Ghaleb</t>
  </si>
  <si>
    <t>PGhaleb</t>
  </si>
  <si>
    <t>Paul.Hudon@manulifesecurities.ca</t>
  </si>
  <si>
    <t>Paul Hudon</t>
  </si>
  <si>
    <t>2017-10-16T09:41:52</t>
  </si>
  <si>
    <t>PHudon</t>
  </si>
  <si>
    <t>Paul.Kane@manulifesecurities.ca</t>
  </si>
  <si>
    <t>Paul Kane (advisor)</t>
  </si>
  <si>
    <t>2017-10-14T18:30:17</t>
  </si>
  <si>
    <t>PaKane</t>
  </si>
  <si>
    <t>Paul.Kelly@manulifesecurities.ca</t>
  </si>
  <si>
    <t>Paul Kelly</t>
  </si>
  <si>
    <t>PKelly</t>
  </si>
  <si>
    <t>Paul.Lachapelle@manulifesecurities.ca</t>
  </si>
  <si>
    <t>Paul Lachapelle</t>
  </si>
  <si>
    <t>splspl</t>
  </si>
  <si>
    <t>Paul.Lauzon@manulifesecurities.ca</t>
  </si>
  <si>
    <t>Paul Lauzon</t>
  </si>
  <si>
    <t>pjlauzon</t>
  </si>
  <si>
    <t>Paul.Lee-Chin@manulifesecurities.ca</t>
  </si>
  <si>
    <t>Paul Lee-Chin</t>
  </si>
  <si>
    <t>PLee-Chin</t>
  </si>
  <si>
    <t>Paul.Mckay@manulifesecurities.ca</t>
  </si>
  <si>
    <t>Paul Mckay</t>
  </si>
  <si>
    <t>PMckay</t>
  </si>
  <si>
    <t>Paul.McSorley@manulifesecurities.ca</t>
  </si>
  <si>
    <t>Paul McSorley</t>
  </si>
  <si>
    <t>2017-10-05T12:14:24</t>
  </si>
  <si>
    <t>PMcSorley</t>
  </si>
  <si>
    <t>Paul.Orrick@manulifesecurities.ca</t>
  </si>
  <si>
    <t>Paul Orrick</t>
  </si>
  <si>
    <t>2017-10-13T08:35:11</t>
  </si>
  <si>
    <t>POrrick</t>
  </si>
  <si>
    <t>Paul.Plishka@manulifesecurities.ca</t>
  </si>
  <si>
    <t>Paul Plishka</t>
  </si>
  <si>
    <t>2017-10-08T12:53:08</t>
  </si>
  <si>
    <t>PPlishka</t>
  </si>
  <si>
    <t>Paul.Polyviou@manulifesecurities.ca</t>
  </si>
  <si>
    <t>Paul Polyviou</t>
  </si>
  <si>
    <t>2017-10-07T17:35:53</t>
  </si>
  <si>
    <t>PPolyviou</t>
  </si>
  <si>
    <t>Paul.Sagoo@manulifesecurities.ca</t>
  </si>
  <si>
    <t>Paul Sagoo</t>
  </si>
  <si>
    <t>2017-10-11T06:52:31</t>
  </si>
  <si>
    <t>PSagoo</t>
  </si>
  <si>
    <t>Paul.Scott@manulifesecurities.ca</t>
  </si>
  <si>
    <t>Paul Scott (Advisor)</t>
  </si>
  <si>
    <t>2017-10-16T09:32:06</t>
  </si>
  <si>
    <t>scottpa</t>
  </si>
  <si>
    <t>Paul.Shaw@manulifesecurities.ca</t>
  </si>
  <si>
    <t>Paul Shaw</t>
  </si>
  <si>
    <t>2016-09-07T11:54:20</t>
  </si>
  <si>
    <t>PShaw</t>
  </si>
  <si>
    <t>Paul.Shelemey@manulifesecurities.ca</t>
  </si>
  <si>
    <t>Paul Shelemey</t>
  </si>
  <si>
    <t>2015-08-12T15:51:28</t>
  </si>
  <si>
    <t>shelepa</t>
  </si>
  <si>
    <t>Paul.Stewart@manulifesecurities.ca</t>
  </si>
  <si>
    <t>Paul Stewart</t>
  </si>
  <si>
    <t>pwstewart</t>
  </si>
  <si>
    <t>Paul.Thomas@manulifesecurities.ca</t>
  </si>
  <si>
    <t>Paul Thomas</t>
  </si>
  <si>
    <t>2017-10-11T20:34:11</t>
  </si>
  <si>
    <t>PThomas</t>
  </si>
  <si>
    <t>Paul.Tidey@manulifesecurities.ca</t>
  </si>
  <si>
    <t>Paul Tidey</t>
  </si>
  <si>
    <t>2015-03-02T11:59:21</t>
  </si>
  <si>
    <t>ptidey</t>
  </si>
  <si>
    <t>Paul.Villeneuve@manulifesecurities.ca</t>
  </si>
  <si>
    <t>Paul Villeneuve</t>
  </si>
  <si>
    <t>PVilleneuve</t>
  </si>
  <si>
    <t>Paul.Walker@manulifesecurities.ca</t>
  </si>
  <si>
    <t>Paul Walker (Advisor)</t>
  </si>
  <si>
    <t>2017-10-10T12:30:44</t>
  </si>
  <si>
    <t>PWalker</t>
  </si>
  <si>
    <t>Paul.Whitwell@manulifesecurities.ca</t>
  </si>
  <si>
    <t>Paul Whitwell</t>
  </si>
  <si>
    <t>2017-10-10T12:42:38</t>
  </si>
  <si>
    <t>pwwhitwell</t>
  </si>
  <si>
    <t>Paul.Wilson@manulifesecurities.ca</t>
  </si>
  <si>
    <t>Paul Wilson</t>
  </si>
  <si>
    <t>PWilson</t>
  </si>
  <si>
    <t>Paula.Gouveia@manulifesecurities.ca</t>
  </si>
  <si>
    <t>Paula Gouveia</t>
  </si>
  <si>
    <t>2017-10-08T09:51:37</t>
  </si>
  <si>
    <t>PGouveia</t>
  </si>
  <si>
    <t>Paula.Hittinger@manulifesecurities.ca</t>
  </si>
  <si>
    <t>Paula Hittinger</t>
  </si>
  <si>
    <t>2017-10-14T22:27:45</t>
  </si>
  <si>
    <t>hittinger</t>
  </si>
  <si>
    <t>Paula.Hume@manulifesecurities.ca</t>
  </si>
  <si>
    <t>Paula Hume</t>
  </si>
  <si>
    <t>2016-05-16T08:44:39</t>
  </si>
  <si>
    <t>pahume</t>
  </si>
  <si>
    <t>Paula.PougetKellam@manulifesecurities.ca</t>
  </si>
  <si>
    <t>Paula Pouget Kellam</t>
  </si>
  <si>
    <t>2017-10-02T07:22:19</t>
  </si>
  <si>
    <t>PPougetKellam</t>
  </si>
  <si>
    <t>Paula.Rocha@manulifesecurities.ca</t>
  </si>
  <si>
    <t>Paula Rocha</t>
  </si>
  <si>
    <t>2015-11-11T10:46:38</t>
  </si>
  <si>
    <t>rochap</t>
  </si>
  <si>
    <t>Paula.Yule@manulifesecurities.ca</t>
  </si>
  <si>
    <t>Paula Yule</t>
  </si>
  <si>
    <t>2017-10-12T09:17:46</t>
  </si>
  <si>
    <t>payule</t>
  </si>
  <si>
    <t>Paulette.Reid@manulifesecurities.ca</t>
  </si>
  <si>
    <t>Paulette Reid</t>
  </si>
  <si>
    <t>2017-10-05T13:21:45</t>
  </si>
  <si>
    <t>PReid</t>
  </si>
  <si>
    <t>Pauline.Back@manulifesecurities.ca</t>
  </si>
  <si>
    <t>Pauline Back �Disabled May 25/10</t>
  </si>
  <si>
    <t>pback</t>
  </si>
  <si>
    <t>Pauline.Beverley@manulifesecurities.ca</t>
  </si>
  <si>
    <t>Pauline Beverley</t>
  </si>
  <si>
    <t>PBeverley</t>
  </si>
  <si>
    <t>Pauline.Pilon@manulifesecurities.ca</t>
  </si>
  <si>
    <t>Pauline Pilon</t>
  </si>
  <si>
    <t>paulineanne</t>
  </si>
  <si>
    <t>Pauline.Voyer@manulifesecurities.ca</t>
  </si>
  <si>
    <t>Pauline Voyer</t>
  </si>
  <si>
    <t>2017-09-25T09:35:55</t>
  </si>
  <si>
    <t>mfc.pauline.voyer</t>
  </si>
  <si>
    <t>Paulo.Moulatlet@manulifesecurities.ca</t>
  </si>
  <si>
    <t>Paulo Moulatlet</t>
  </si>
  <si>
    <t>2017-10-06T19:50:21</t>
  </si>
  <si>
    <t>mfc.paulo.moulatl</t>
  </si>
  <si>
    <t>Paulson.Ong@manulifesecurities.ca</t>
  </si>
  <si>
    <t>Paulson Ong</t>
  </si>
  <si>
    <t>paong</t>
  </si>
  <si>
    <t>Pearl.Roy@manulifesecurities.ca</t>
  </si>
  <si>
    <t>Pearl Roy</t>
  </si>
  <si>
    <t>pearlr</t>
  </si>
  <si>
    <t>peggy.milne@manulifesecurities.ca</t>
  </si>
  <si>
    <t>Peggy Milne</t>
  </si>
  <si>
    <t>2017-09-07T12:52:55</t>
  </si>
  <si>
    <t>mfc.peggy.milne</t>
  </si>
  <si>
    <t>Peggy.OKane@manulifesecurities.ca</t>
  </si>
  <si>
    <t>Peggy O'Kane</t>
  </si>
  <si>
    <t>POKane</t>
  </si>
  <si>
    <t>Peggy.Watson@manulifesecurities.ca</t>
  </si>
  <si>
    <t>Peggy Watson</t>
  </si>
  <si>
    <t>PWatson</t>
  </si>
  <si>
    <t>Peguy.Francois@manulifesecurities.ca</t>
  </si>
  <si>
    <t>Peguy Francois</t>
  </si>
  <si>
    <t>PFrancois</t>
  </si>
  <si>
    <t>Penelope.Jacques@manulifesecurities.ca</t>
  </si>
  <si>
    <t>Penelope Jacques</t>
  </si>
  <si>
    <t>pjacques</t>
  </si>
  <si>
    <t>PengSeng.Kuok@manulifesecurities.ca</t>
  </si>
  <si>
    <t>Peng Seng Kuok</t>
  </si>
  <si>
    <t>pengseng</t>
  </si>
  <si>
    <t>Penny.Gabrieau@manulifesecurities.ca</t>
  </si>
  <si>
    <t>Penny Gabrieau</t>
  </si>
  <si>
    <t>2017-10-12T15:14:17</t>
  </si>
  <si>
    <t>mfc.penny.gabriea</t>
  </si>
  <si>
    <t>Penny.Hepting@manulifesecurities.ca</t>
  </si>
  <si>
    <t>Penny Hepting</t>
  </si>
  <si>
    <t>phepting</t>
  </si>
  <si>
    <t>Perry.Test@manulifesecurities.ca</t>
  </si>
  <si>
    <t>Perry Test</t>
  </si>
  <si>
    <t>2017-10-13T09:16:21</t>
  </si>
  <si>
    <t>mfc.perry.test</t>
  </si>
  <si>
    <t>Perry.Wong@manulifesecurities.ca</t>
  </si>
  <si>
    <t>Perry Wong</t>
  </si>
  <si>
    <t>pwong</t>
  </si>
  <si>
    <t>pete.roch@manulifesecurities.ca</t>
  </si>
  <si>
    <t>Peter Roch</t>
  </si>
  <si>
    <t>2017-10-07T14:21:37</t>
  </si>
  <si>
    <t>mfc.peter.roch</t>
  </si>
  <si>
    <t>Peter.Autore@manulifesecurities.ca</t>
  </si>
  <si>
    <t>Peter Autore</t>
  </si>
  <si>
    <t>2015-09-22T11:50:06</t>
  </si>
  <si>
    <t>PAutore</t>
  </si>
  <si>
    <t>Peter.Bocking@manulifesecurities.ca</t>
  </si>
  <si>
    <t>Peter Bocking</t>
  </si>
  <si>
    <t>pbocking</t>
  </si>
  <si>
    <t>peter.bradley@manulifesecurities.ca</t>
  </si>
  <si>
    <t>Peter Bradley</t>
  </si>
  <si>
    <t>2017-10-12T19:22:43</t>
  </si>
  <si>
    <t>mfc.peter.bradley</t>
  </si>
  <si>
    <t>Peter.Calleja@manulifesecurities.ca</t>
  </si>
  <si>
    <t>Peter Calleja</t>
  </si>
  <si>
    <t>PCalleja</t>
  </si>
  <si>
    <t>Peter.Dipietrantonio@manulifesecurities.ca</t>
  </si>
  <si>
    <t>Peter Dipietrantonio</t>
  </si>
  <si>
    <t>2017-01-05T14:13:39</t>
  </si>
  <si>
    <t>benparinc</t>
  </si>
  <si>
    <t>Peter.Dobrich@manulifesecurities.ca</t>
  </si>
  <si>
    <t>Peter Dobrich</t>
  </si>
  <si>
    <t>2017-10-13T15:42:27</t>
  </si>
  <si>
    <t>dobripe</t>
  </si>
  <si>
    <t>Peter.Fang@manulifesecurities.ca</t>
  </si>
  <si>
    <t>Peter Fang</t>
  </si>
  <si>
    <t>2015-08-24T02:26:43</t>
  </si>
  <si>
    <t>pefang</t>
  </si>
  <si>
    <t>Peter.Flanjak@manulifesecurities.ca</t>
  </si>
  <si>
    <t>Peter Flanjak</t>
  </si>
  <si>
    <t>2017-10-16T08:32:50</t>
  </si>
  <si>
    <t>mfc.peter.flanjak</t>
  </si>
  <si>
    <t>Peter.Graham@manulifesecurities.ca</t>
  </si>
  <si>
    <t>Peter Graham</t>
  </si>
  <si>
    <t>2017-10-10T11:41:50</t>
  </si>
  <si>
    <t>pgraham</t>
  </si>
  <si>
    <t>Peter.Guerra@manulifesecurities.ca</t>
  </si>
  <si>
    <t>Peter Guerra</t>
  </si>
  <si>
    <t>2017-10-05T17:18:27</t>
  </si>
  <si>
    <t>PGuerra</t>
  </si>
  <si>
    <t>Peter.Hammer@manulifesecurities.ca</t>
  </si>
  <si>
    <t>Peter Hammer</t>
  </si>
  <si>
    <t>2017-09-29T14:27:37</t>
  </si>
  <si>
    <t>peterhammer</t>
  </si>
  <si>
    <t>Peter.Hing@manulifesecurities.ca</t>
  </si>
  <si>
    <t>Peter Hing</t>
  </si>
  <si>
    <t>2017-10-11T07:55:52</t>
  </si>
  <si>
    <t>mfc.peter.hing</t>
  </si>
  <si>
    <t>Peter.Horodziejczyk@manulifesecurities.ca</t>
  </si>
  <si>
    <t>Peter Horodziejczyk</t>
  </si>
  <si>
    <t>PHorodziejczyk</t>
  </si>
  <si>
    <t>Peter.Kearns@manulifesecurities.ca</t>
  </si>
  <si>
    <t>Peter Kearns</t>
  </si>
  <si>
    <t>2017-10-16T08:53:34</t>
  </si>
  <si>
    <t>pkearns</t>
  </si>
  <si>
    <t>Peter.Kipling@manulifesecurities.ca</t>
  </si>
  <si>
    <t>Peter Kipling</t>
  </si>
  <si>
    <t>2017-10-06T10:48:39</t>
  </si>
  <si>
    <t>PKipling</t>
  </si>
  <si>
    <t>Peter.Kubisewsky@manulifesecurities.ca</t>
  </si>
  <si>
    <t>Peter Kubisewsky</t>
  </si>
  <si>
    <t>pkubisewsky</t>
  </si>
  <si>
    <t>Peter.Letkeman@manulifesecurities.ca</t>
  </si>
  <si>
    <t>Peter Letkeman</t>
  </si>
  <si>
    <t>2016-10-04T11:17:31</t>
  </si>
  <si>
    <t>PLetkeman</t>
  </si>
  <si>
    <t>Peter.Litster@manulifesecurities.ca</t>
  </si>
  <si>
    <t>Peter Litster</t>
  </si>
  <si>
    <t>plitster</t>
  </si>
  <si>
    <t>Peter.MacIntosh@manulifesecurities.ca</t>
  </si>
  <si>
    <t>Peter MacIntosh</t>
  </si>
  <si>
    <t>2017-10-15T15:59:13</t>
  </si>
  <si>
    <t>pmaci</t>
  </si>
  <si>
    <t>Peter.Marlatt@manulifesecurities.ca</t>
  </si>
  <si>
    <t>Peter Marlatt</t>
  </si>
  <si>
    <t>petermarlatt</t>
  </si>
  <si>
    <t>Peter.Marr@manulifesecurities.ca</t>
  </si>
  <si>
    <t>Peter Marr</t>
  </si>
  <si>
    <t>pgmarr</t>
  </si>
  <si>
    <t>Peter.McLaughlin@manulifesecurities.ca</t>
  </si>
  <si>
    <t>Peter McLaughlin</t>
  </si>
  <si>
    <t>2017-10-15T03:57:01</t>
  </si>
  <si>
    <t>PMcLaughlin</t>
  </si>
  <si>
    <t>Peter.Moore@manulifesecurities.ca</t>
  </si>
  <si>
    <t>Peter Moore</t>
  </si>
  <si>
    <t>PMoore</t>
  </si>
  <si>
    <t>Peter.Moyer@manulifesecurities.ca</t>
  </si>
  <si>
    <t>Peter Moyer</t>
  </si>
  <si>
    <t>2017-10-11T16:26:34</t>
  </si>
  <si>
    <t>PMoyer</t>
  </si>
  <si>
    <t>Peter.Panagopoulos@manulifesecurities.ca</t>
  </si>
  <si>
    <t>Peter Panagopoulos</t>
  </si>
  <si>
    <t>PPanagopoulos</t>
  </si>
  <si>
    <t>Peter.Provencher@manulifesecurities.ca</t>
  </si>
  <si>
    <t>Peter Provencher</t>
  </si>
  <si>
    <t>provenc</t>
  </si>
  <si>
    <t>Peter.Snelgrove@manulifesecurities.ca</t>
  </si>
  <si>
    <t>Peter Snelgrove</t>
  </si>
  <si>
    <t>2015-09-22T09:09:45</t>
  </si>
  <si>
    <t>PSnelgrove</t>
  </si>
  <si>
    <t>Peter.Tasker@manulifesecurities.ca</t>
  </si>
  <si>
    <t>Peter Tasker</t>
  </si>
  <si>
    <t>taskepe</t>
  </si>
  <si>
    <t>Peter.Tozzi@manulifesecurities.ca</t>
  </si>
  <si>
    <t>Peter Tozzi</t>
  </si>
  <si>
    <t>2017-05-26T12:18:14</t>
  </si>
  <si>
    <t>PTozzi</t>
  </si>
  <si>
    <t>Peter.Vetter@manulifesecurities.ca</t>
  </si>
  <si>
    <t>Peter Vetter</t>
  </si>
  <si>
    <t>2015-05-03T16:18:29</t>
  </si>
  <si>
    <t>pvetter</t>
  </si>
  <si>
    <t>Peter.Yawney@manulifesecurities.ca</t>
  </si>
  <si>
    <t>Peter Yawney</t>
  </si>
  <si>
    <t>2017-10-08T20:29:03</t>
  </si>
  <si>
    <t>mfc.peter.yawney</t>
  </si>
  <si>
    <t>Petra.Kovac@manulifesecurities.ca</t>
  </si>
  <si>
    <t>Petra Kovac</t>
  </si>
  <si>
    <t>petkovac</t>
  </si>
  <si>
    <t>Phan.Nguyen@manulifesecurities.ca</t>
  </si>
  <si>
    <t>Phan Nguyen</t>
  </si>
  <si>
    <t>2017-10-08T08:44:09</t>
  </si>
  <si>
    <t>mfc.phan.nguyen</t>
  </si>
  <si>
    <t>Phil.Torre@manulifesecurities.ca</t>
  </si>
  <si>
    <t>Phil Torre</t>
  </si>
  <si>
    <t>ptorre</t>
  </si>
  <si>
    <t>Philip.Cabana@manulifesecurities.ca</t>
  </si>
  <si>
    <t>Philip Cabana</t>
  </si>
  <si>
    <t>pcabana</t>
  </si>
  <si>
    <t>Philip.Cheung@manulifesecurities.ca</t>
  </si>
  <si>
    <t>Philip Cheung</t>
  </si>
  <si>
    <t>PCheung</t>
  </si>
  <si>
    <t>Philip.Fainer@manulifesecurities.ca</t>
  </si>
  <si>
    <t>Philip Fainer</t>
  </si>
  <si>
    <t>2017-10-13T12:19:16</t>
  </si>
  <si>
    <t>PFainer</t>
  </si>
  <si>
    <t>Philippe.Brault@manulifesecurities.ca</t>
  </si>
  <si>
    <t>Philippe Brault</t>
  </si>
  <si>
    <t>2017-10-12T11:05:13</t>
  </si>
  <si>
    <t>mfc.philippe.brau</t>
  </si>
  <si>
    <t>Philippe.Cardi@manulifesecurities.ca</t>
  </si>
  <si>
    <t>Philippe</t>
  </si>
  <si>
    <t>2017-03-24T09:05:34</t>
  </si>
  <si>
    <t>mfc.philippe.card</t>
  </si>
  <si>
    <t>Philippe.Caron@manulifesecurities.ca</t>
  </si>
  <si>
    <t>Philippe A. Caron</t>
  </si>
  <si>
    <t>2017-02-08T14:48:45</t>
  </si>
  <si>
    <t>PCaron</t>
  </si>
  <si>
    <t>Philippe.Dubuc@manulifesecurities.ca</t>
  </si>
  <si>
    <t>Philippe Dubuc</t>
  </si>
  <si>
    <t>2017-10-16T02:53:25</t>
  </si>
  <si>
    <t>phdubuc</t>
  </si>
  <si>
    <t>Philoma.Aloshoious@manulifesecurities.ca</t>
  </si>
  <si>
    <t>zz-Philoma Aloshoious</t>
  </si>
  <si>
    <t>PAloshoious</t>
  </si>
  <si>
    <t>Piera.Adragna@manulifesecurities.ca</t>
  </si>
  <si>
    <t>Piera Adragna</t>
  </si>
  <si>
    <t>2017-10-16T08:16:49</t>
  </si>
  <si>
    <t>padragna</t>
  </si>
  <si>
    <t>Pierre.Achim@manulifesecurities.ca</t>
  </si>
  <si>
    <t>Pierre Achim</t>
  </si>
  <si>
    <t>mfc.pierre.achim</t>
  </si>
  <si>
    <t>Pierre.Agouri@manulifesecurities.ca</t>
  </si>
  <si>
    <t>Pierre Agouri</t>
  </si>
  <si>
    <t>pagouri</t>
  </si>
  <si>
    <t>Pierre.Campeau@manulifesecurities.ca</t>
  </si>
  <si>
    <t>Pierre Campeau</t>
  </si>
  <si>
    <t>2017-10-11T15:53:32</t>
  </si>
  <si>
    <t>PCampeau</t>
  </si>
  <si>
    <t>Pierre.Deschatelets@manulifesecurities.ca</t>
  </si>
  <si>
    <t>Pierre Deschatelets</t>
  </si>
  <si>
    <t>2016-12-13T14:13:44</t>
  </si>
  <si>
    <t>deschpi</t>
  </si>
  <si>
    <t>Pierre.Leduc@manulifesecurities.ca</t>
  </si>
  <si>
    <t>Pierre Leduc</t>
  </si>
  <si>
    <t>PLeduc</t>
  </si>
  <si>
    <t>Pierre.Morin@placementsmanuvie.ca</t>
  </si>
  <si>
    <t>Pierre Morin</t>
  </si>
  <si>
    <t>2017-10-10T17:02:15</t>
  </si>
  <si>
    <t>PMorin</t>
  </si>
  <si>
    <t>pierre.richard@manulifesecurities.ca</t>
  </si>
  <si>
    <t>Pierre Richard</t>
  </si>
  <si>
    <t>mfc.pierre.richar</t>
  </si>
  <si>
    <t>Pierre-Erwan.Pene@manulifesecurities.ca</t>
  </si>
  <si>
    <t>Pierre-Erwan Pene</t>
  </si>
  <si>
    <t>2017-10-14T16:43:40</t>
  </si>
  <si>
    <t>mfc.pierre-erwanp</t>
  </si>
  <si>
    <t>pilot.test1@manulifesecurities.ca</t>
  </si>
  <si>
    <t>Pilot Test 1</t>
  </si>
  <si>
    <t>2014-09-25T21:29:13</t>
  </si>
  <si>
    <t>mfc.pilot.test1</t>
  </si>
  <si>
    <t>Pina.D'acunto@manulifesecurities.ca</t>
  </si>
  <si>
    <t>Pina D'acunto</t>
  </si>
  <si>
    <t>dacunto</t>
  </si>
  <si>
    <t>Pina.Martucci@manulifesecurities.ca</t>
  </si>
  <si>
    <t>Pina Martucci</t>
  </si>
  <si>
    <t>2016-06-23T10:11:06</t>
  </si>
  <si>
    <t>PMartucci</t>
  </si>
  <si>
    <t>Pina.Spagnolo@manulifesecurities.ca</t>
  </si>
  <si>
    <t>Pina Spagnolo</t>
  </si>
  <si>
    <t>2014-10-16T15:01:59</t>
  </si>
  <si>
    <t>spagpina</t>
  </si>
  <si>
    <t>pink.red@manulifesecurities.ca</t>
  </si>
  <si>
    <t>pink red</t>
  </si>
  <si>
    <t>pred</t>
  </si>
  <si>
    <t>Polly.Moauro@manulifesecurities.ca</t>
  </si>
  <si>
    <t>Pauline Moauro</t>
  </si>
  <si>
    <t>2017-09-18T13:43:48</t>
  </si>
  <si>
    <t>pmoauro</t>
  </si>
  <si>
    <t>portfolioaidinquiries@manulifesecurities.ca</t>
  </si>
  <si>
    <t>Portfolio Aid Inquires</t>
  </si>
  <si>
    <t>PInquires</t>
  </si>
  <si>
    <t>PortfolioReconciliation@manulifesecurities.ca</t>
  </si>
  <si>
    <t>Port Rec</t>
  </si>
  <si>
    <t>PortRec</t>
  </si>
  <si>
    <t>PortusInfo@manulifesecurities.ca</t>
  </si>
  <si>
    <t>Portus Info</t>
  </si>
  <si>
    <t>PortusInfo</t>
  </si>
  <si>
    <t>Postmaster@manulifesecurities.ca</t>
  </si>
  <si>
    <t>Postmaster</t>
  </si>
  <si>
    <t>Prabhjit.Kaur@manulifesecurities.ca</t>
  </si>
  <si>
    <t>Prabhjit Kaur</t>
  </si>
  <si>
    <t>prkaur</t>
  </si>
  <si>
    <t>Prem.Srivastava@manulifesecurities.ca</t>
  </si>
  <si>
    <t>Prem Srivastava</t>
  </si>
  <si>
    <t>PSrivastava</t>
  </si>
  <si>
    <t>PrestigeTeamOne@manulifesecurities.ca</t>
  </si>
  <si>
    <t>Prestige Team One</t>
  </si>
  <si>
    <t>PrestigeTeamOne</t>
  </si>
  <si>
    <t>Preston.Tcheng@manulifesecurities.ca</t>
  </si>
  <si>
    <t>Preston Tcheng</t>
  </si>
  <si>
    <t>PTcheng</t>
  </si>
  <si>
    <t>Priscilla.McCarthy@manulifesecurities.ca</t>
  </si>
  <si>
    <t>Priscilla McCarthy</t>
  </si>
  <si>
    <t>2017-10-12T09:42:35</t>
  </si>
  <si>
    <t>PMcCarthy</t>
  </si>
  <si>
    <t>Priscilla.misir@manulifesecurities.ca</t>
  </si>
  <si>
    <t>PMisir</t>
  </si>
  <si>
    <t>2017-10-10T09:28:26</t>
  </si>
  <si>
    <t>Priscilla.Monteith@manulifesecurities.ca</t>
  </si>
  <si>
    <t>Priscilla Monteith</t>
  </si>
  <si>
    <t>2017-10-09T12:13:05</t>
  </si>
  <si>
    <t>pmonteith</t>
  </si>
  <si>
    <t>PrivacyOffice@manulifesecurities.ca</t>
  </si>
  <si>
    <t>Privacy Office</t>
  </si>
  <si>
    <t>PrivacyOffice</t>
  </si>
  <si>
    <t>PrivateWealth@manulifesecurities.ca</t>
  </si>
  <si>
    <t>Private Wealth</t>
  </si>
  <si>
    <t>PrivateWealth</t>
  </si>
  <si>
    <t>Priya.Aucharagram@manulifesecurities.ca</t>
  </si>
  <si>
    <t>Priya Aucharagram</t>
  </si>
  <si>
    <t>2017-09-27T13:27:09</t>
  </si>
  <si>
    <t>mfc.priya.auchara</t>
  </si>
  <si>
    <t>ProcessandProjectManagement@manulifesecurities.ca</t>
  </si>
  <si>
    <t>Process and Project Management</t>
  </si>
  <si>
    <t>PPManagement</t>
  </si>
  <si>
    <t>ProductReview@manulifesecurities.ca</t>
  </si>
  <si>
    <t>Product �Review</t>
  </si>
  <si>
    <t>ProductReview</t>
  </si>
  <si>
    <t>Punam.Singh@manulifesecurities.ca</t>
  </si>
  <si>
    <t>Punam Singh</t>
  </si>
  <si>
    <t>PSingh</t>
  </si>
  <si>
    <t>Quan.Yao@manulifesecurities.ca</t>
  </si>
  <si>
    <t>Quan Yao</t>
  </si>
  <si>
    <t>QuanYao</t>
  </si>
  <si>
    <t>Quinn.Riches@manulifesecurities.ca</t>
  </si>
  <si>
    <t>QRiches</t>
  </si>
  <si>
    <t>2017-10-10T12:24:46</t>
  </si>
  <si>
    <t>R.Anger@manulifesecurities.ca</t>
  </si>
  <si>
    <t>Rob Anger</t>
  </si>
  <si>
    <t>2016-02-29T16:00:54</t>
  </si>
  <si>
    <t>RobAnger</t>
  </si>
  <si>
    <t>r.cawston@manulifesecurities.ca</t>
  </si>
  <si>
    <t>Robert Cawston</t>
  </si>
  <si>
    <t>2017-10-11T08:58:06</t>
  </si>
  <si>
    <t>rcawston</t>
  </si>
  <si>
    <t>r.di-niro@manulifesecurities.ca</t>
  </si>
  <si>
    <t>Raffaele Di Niro (POS)</t>
  </si>
  <si>
    <t>mfc.raffaele.di-n</t>
  </si>
  <si>
    <t>r.florescu@manulifesecurities.ca</t>
  </si>
  <si>
    <t>Radu Florescu</t>
  </si>
  <si>
    <t>2017-09-24T19:00:53</t>
  </si>
  <si>
    <t>mfc.r.florescu</t>
  </si>
  <si>
    <t>R.Tejeda@manulifesecurities.ca</t>
  </si>
  <si>
    <t>Roseline Tejeda</t>
  </si>
  <si>
    <t>RoseTejeda</t>
  </si>
  <si>
    <t>Rachael.Gilmour@manulifesecurities.ca</t>
  </si>
  <si>
    <t>Rachael Gilmour</t>
  </si>
  <si>
    <t>RGilmour</t>
  </si>
  <si>
    <t>Rachael.Seager@manulifesecurities.ca</t>
  </si>
  <si>
    <t>Rachael Seager</t>
  </si>
  <si>
    <t>2017-08-29T14:36:22</t>
  </si>
  <si>
    <t>rseager</t>
  </si>
  <si>
    <t>Rachel.Brazara@manulifesecurities.ca</t>
  </si>
  <si>
    <t>Rachel Brazara</t>
  </si>
  <si>
    <t>rbrazara</t>
  </si>
  <si>
    <t>Rachel.Lloyd@manulifesecurities.ca</t>
  </si>
  <si>
    <t>Rachel Lloyd</t>
  </si>
  <si>
    <t>RLloyd</t>
  </si>
  <si>
    <t>Rachel.Proudfoot@manulifesecurities.ca</t>
  </si>
  <si>
    <t>Rachel Proudfoot</t>
  </si>
  <si>
    <t>2017-10-11T12:40:02</t>
  </si>
  <si>
    <t>mfc.rachel.proudf</t>
  </si>
  <si>
    <t>Rachel.Renwick@manulifesecurities.ca</t>
  </si>
  <si>
    <t>Rachel Renwick</t>
  </si>
  <si>
    <t>2016-02-03T08:28:37</t>
  </si>
  <si>
    <t>rdrenwick</t>
  </si>
  <si>
    <t>Rachel.Wilkins@manulifesecurities.ca</t>
  </si>
  <si>
    <t>Rachel Wilkins</t>
  </si>
  <si>
    <t>RWilkins</t>
  </si>
  <si>
    <t>RachelAnne.Brazal@manulifesecurities.ca</t>
  </si>
  <si>
    <t>Rachel Anne Brazal</t>
  </si>
  <si>
    <t>RBrazal</t>
  </si>
  <si>
    <t>Rachelle.Burnett@manulifesecurities.ca</t>
  </si>
  <si>
    <t>Rachelle Burnett</t>
  </si>
  <si>
    <t>2017-10-15T15:13:35</t>
  </si>
  <si>
    <t>RBurnett</t>
  </si>
  <si>
    <t>Rachelle.Pelletier@manulifesecurities.ca</t>
  </si>
  <si>
    <t>Rachelle Pelletier</t>
  </si>
  <si>
    <t>rachepel</t>
  </si>
  <si>
    <t>Radclyffe.Rochon@manulifesecurities.ca</t>
  </si>
  <si>
    <t>Radclyffe Rochon</t>
  </si>
  <si>
    <t>RRochon</t>
  </si>
  <si>
    <t>Radu.Florescu@manulifesecurities.ca</t>
  </si>
  <si>
    <t>2017-03-20T22:27:47</t>
  </si>
  <si>
    <t>mfc.radu.florescu</t>
  </si>
  <si>
    <t>Raechel.Moreno@manulifesecurities.ca</t>
  </si>
  <si>
    <t>Raechel �Ann. Moreno</t>
  </si>
  <si>
    <t>RMoreno</t>
  </si>
  <si>
    <t>RaechelAnn.Tario@manulifesecurities.ca</t>
  </si>
  <si>
    <t>Raechel Ann Moreno. Tario</t>
  </si>
  <si>
    <t>RTario</t>
  </si>
  <si>
    <t>Raelene.Young@manulifesecurities.ca</t>
  </si>
  <si>
    <t>Raelene Young</t>
  </si>
  <si>
    <t>youngr</t>
  </si>
  <si>
    <t>Raffaela.Isabella@manulifesecurities.ca</t>
  </si>
  <si>
    <t>Raffaella Isabella</t>
  </si>
  <si>
    <t>2017-10-11T14:43:15</t>
  </si>
  <si>
    <t>RIsabella</t>
  </si>
  <si>
    <t>Raghunath.Kamath@manulifesecurities.ca</t>
  </si>
  <si>
    <t>Raghunath Kamath</t>
  </si>
  <si>
    <t>2017-10-07T18:42:11</t>
  </si>
  <si>
    <t>RKamath</t>
  </si>
  <si>
    <t>Rain.Wang@manulifesecurities.ca</t>
  </si>
  <si>
    <t>Rain Wang</t>
  </si>
  <si>
    <t>rainwang</t>
  </si>
  <si>
    <t>Rainer.Berens@manulifesecurities.ca</t>
  </si>
  <si>
    <t>Rainer Berens</t>
  </si>
  <si>
    <t>2015-11-23T11:28:04</t>
  </si>
  <si>
    <t>rberens</t>
  </si>
  <si>
    <t>Raj.Maan@manulifesecurities.ca</t>
  </si>
  <si>
    <t>Raj Maan</t>
  </si>
  <si>
    <t>rsmaan</t>
  </si>
  <si>
    <t>Rajeev.Kudsia@manulifesecurities.ca</t>
  </si>
  <si>
    <t>Rajeev Kudsia</t>
  </si>
  <si>
    <t>2017-10-10T15:06:13</t>
  </si>
  <si>
    <t>rkudsia</t>
  </si>
  <si>
    <t>Rakesh.Singh@manulifesecurities.ca</t>
  </si>
  <si>
    <t>Rakesh Singh</t>
  </si>
  <si>
    <t>2015-06-25T08:19:40</t>
  </si>
  <si>
    <t>RSingh</t>
  </si>
  <si>
    <t>ralph.abdelnour@manulifesecurities.ca</t>
  </si>
  <si>
    <t>2017-10-11T11:44:54</t>
  </si>
  <si>
    <t>mfc.ralph.abdelno</t>
  </si>
  <si>
    <t>Ralph.Awad@manulifesecurities.ca</t>
  </si>
  <si>
    <t>Ralph Awad</t>
  </si>
  <si>
    <t>2015-06-08T05:13:17</t>
  </si>
  <si>
    <t>RAwad</t>
  </si>
  <si>
    <t>Ralph.Friolo@manulifesecurities.ca</t>
  </si>
  <si>
    <t>Ralph Alih. Friolo</t>
  </si>
  <si>
    <t>RFriolo</t>
  </si>
  <si>
    <t>ralph.ingraham@manulifesecurities.ca</t>
  </si>
  <si>
    <t>Ralph Ingraham</t>
  </si>
  <si>
    <t>2017-10-05T13:02:15</t>
  </si>
  <si>
    <t>mfc.ralph.ingraha</t>
  </si>
  <si>
    <t>Ralph.Quiazon@manulifesecurities.ca</t>
  </si>
  <si>
    <t>Ralph Quiazon</t>
  </si>
  <si>
    <t>RQuiazon</t>
  </si>
  <si>
    <t>Ralph.Santoli@manulifesecurities.ca</t>
  </si>
  <si>
    <t>Ralph Santoli</t>
  </si>
  <si>
    <t>RSantoli</t>
  </si>
  <si>
    <t>Ram.Tangri@manulifesecurities.ca</t>
  </si>
  <si>
    <t>Ram Tangri</t>
  </si>
  <si>
    <t>rtangri</t>
  </si>
  <si>
    <t>Raman.Hundal@manulifesecurities.ca</t>
  </si>
  <si>
    <t>Raman Hundal</t>
  </si>
  <si>
    <t>rhundal</t>
  </si>
  <si>
    <t>Ramsey.Diab@manulifesecurities.ca</t>
  </si>
  <si>
    <t>Ramsey Diab</t>
  </si>
  <si>
    <t>2017-10-11T10:11:04</t>
  </si>
  <si>
    <t>RDiab</t>
  </si>
  <si>
    <t>Randa.Wazne@manulifesecurities.ca</t>
  </si>
  <si>
    <t>Randa Wazne</t>
  </si>
  <si>
    <t>2017-09-18T09:52:31</t>
  </si>
  <si>
    <t>RWazne</t>
  </si>
  <si>
    <t>Randall.Lallouet@manulifesecurities.ca</t>
  </si>
  <si>
    <t>Randall Lallouet</t>
  </si>
  <si>
    <t>2017-10-11T22:53:17</t>
  </si>
  <si>
    <t>RLallouet</t>
  </si>
  <si>
    <t>Randall.Mather@manulifesecurities.ca</t>
  </si>
  <si>
    <t>Randall Mather</t>
  </si>
  <si>
    <t>2017-10-16T08:19:28</t>
  </si>
  <si>
    <t>matherr</t>
  </si>
  <si>
    <t>Randall.Urban@manulifesecurities.ca</t>
  </si>
  <si>
    <t>Randy Urban</t>
  </si>
  <si>
    <t>RUrban</t>
  </si>
  <si>
    <t>Randy.Bhatti@manulifesecurities.ca</t>
  </si>
  <si>
    <t>Randy Bhatti</t>
  </si>
  <si>
    <t>mfc.randy.bhatti</t>
  </si>
  <si>
    <t>Randy.Booth@manulifesecurities.ca</t>
  </si>
  <si>
    <t>Randy Booth</t>
  </si>
  <si>
    <t>2017-10-15T00:55:05</t>
  </si>
  <si>
    <t>RBooth</t>
  </si>
  <si>
    <t>Randy.Chevalier@manulifesecurities.ca</t>
  </si>
  <si>
    <t>Randy Chevalier</t>
  </si>
  <si>
    <t>2017-10-02T11:30:39</t>
  </si>
  <si>
    <t>rrchevalier</t>
  </si>
  <si>
    <t>Randy.Chicoine@manulifesecurities.ca</t>
  </si>
  <si>
    <t>Randy Chicoine</t>
  </si>
  <si>
    <t>rchicoin</t>
  </si>
  <si>
    <t>Randy.Labadie@manulifesecurities.ca</t>
  </si>
  <si>
    <t>Randy Labadie</t>
  </si>
  <si>
    <t>2017-09-12T11:38:25</t>
  </si>
  <si>
    <t>labadie</t>
  </si>
  <si>
    <t>Randy.Morano@manulifesecurities.ca</t>
  </si>
  <si>
    <t>Randy Morano</t>
  </si>
  <si>
    <t>2017-10-08T14:10:13</t>
  </si>
  <si>
    <t>rmorano</t>
  </si>
  <si>
    <t>Randy.Perron@manulifesecurities.ca</t>
  </si>
  <si>
    <t>Randy Perron</t>
  </si>
  <si>
    <t>rperron</t>
  </si>
  <si>
    <t>Randy.Reynolds@manulifesecurities.ca</t>
  </si>
  <si>
    <t>Randy Reynolds</t>
  </si>
  <si>
    <t>RReynolds</t>
  </si>
  <si>
    <t>Randy.Sommerfeld@manulifesecurities.ca</t>
  </si>
  <si>
    <t>Randy Sommerfeld</t>
  </si>
  <si>
    <t>2017-10-06T17:58:33</t>
  </si>
  <si>
    <t>RSommerfeld</t>
  </si>
  <si>
    <t>Randy.Wintrip@manulifesecurities.ca</t>
  </si>
  <si>
    <t>Randy Wintrip</t>
  </si>
  <si>
    <t>RWintrip</t>
  </si>
  <si>
    <t>Ranhee.Ju@manulifesecurities.ca</t>
  </si>
  <si>
    <t>Ranhee Ju</t>
  </si>
  <si>
    <t>RJu</t>
  </si>
  <si>
    <t>Raphael.Azar@manulifesecurities.ca</t>
  </si>
  <si>
    <t>Raphael Azar</t>
  </si>
  <si>
    <t>raazar</t>
  </si>
  <si>
    <t>Raphael.Guillemette@manulifesecurities.ca</t>
  </si>
  <si>
    <t>Raphael Guillemette</t>
  </si>
  <si>
    <t>raguille</t>
  </si>
  <si>
    <t>Rashel.Buist@manulifesecurities.ca</t>
  </si>
  <si>
    <t>Rashel Buist</t>
  </si>
  <si>
    <t>2017-05-23T13:07:13</t>
  </si>
  <si>
    <t>rashel</t>
  </si>
  <si>
    <t>Rashidat.Akewusola@manulifesecurities.ca</t>
  </si>
  <si>
    <t>zz-Rashidat Akewusola</t>
  </si>
  <si>
    <t>RAkewusola</t>
  </si>
  <si>
    <t>Ravinder.Sodhi@manulifesecurities.ca</t>
  </si>
  <si>
    <t>Ravinder Sodhi</t>
  </si>
  <si>
    <t>RSodhi</t>
  </si>
  <si>
    <t>Ray.Ekren@manulifesecurities.ca</t>
  </si>
  <si>
    <t>Ray Ekren</t>
  </si>
  <si>
    <t>REkren</t>
  </si>
  <si>
    <t>Ray-an.Reyes@manulifesecurities.ca</t>
  </si>
  <si>
    <t>Ray-an Reyes</t>
  </si>
  <si>
    <t>RReyes</t>
  </si>
  <si>
    <t>raydisabletest20150211@manulifesecurities.ca</t>
  </si>
  <si>
    <t>raydisabletest20150211 - Deprovisioned 2015-02-11 19:54:58</t>
  </si>
  <si>
    <t>mfc.raydisabletes</t>
  </si>
  <si>
    <t>raydisabletest20150211_02@manulifesecurities.ca</t>
  </si>
  <si>
    <t>raydisabletest20150211_02</t>
  </si>
  <si>
    <t>mfc.raydisabletes000</t>
  </si>
  <si>
    <t>raydisabletest20150211b@manulifesecurities.ca</t>
  </si>
  <si>
    <t>raydisabletest20150211b</t>
  </si>
  <si>
    <t>mfc.raydisabletes001</t>
  </si>
  <si>
    <t>Raymon.Hakim@manulifesecurities.ca</t>
  </si>
  <si>
    <t>Raymon Hakim</t>
  </si>
  <si>
    <t>RHakim</t>
  </si>
  <si>
    <t>Raymond.Anders@manulifesecurities.ca</t>
  </si>
  <si>
    <t>Raymond Anders</t>
  </si>
  <si>
    <t>RAnders</t>
  </si>
  <si>
    <t>Raymond.Bisaillon@manulifesecurities.ca</t>
  </si>
  <si>
    <t>Raymond Bisaillon</t>
  </si>
  <si>
    <t>RBisaillon</t>
  </si>
  <si>
    <t>Raymond.Bukovy@manulifesecurities.ca</t>
  </si>
  <si>
    <t>Raymond Bukovy</t>
  </si>
  <si>
    <t>2017-10-13T09:50:58</t>
  </si>
  <si>
    <t>raymond</t>
  </si>
  <si>
    <t>Raymond.Burns@manulifesecurities.ca</t>
  </si>
  <si>
    <t>Raymond Burns</t>
  </si>
  <si>
    <t>2017-10-05T18:25:51</t>
  </si>
  <si>
    <t>raburns</t>
  </si>
  <si>
    <t>Raymond.Fuller@manulifesecurities.ca</t>
  </si>
  <si>
    <t>Raymond Fuller</t>
  </si>
  <si>
    <t>2017-01-27T04:12:09</t>
  </si>
  <si>
    <t>mfc.raymond.fulle</t>
  </si>
  <si>
    <t>Raymond.Jackson@manulifesecurities.ca</t>
  </si>
  <si>
    <t>Raymond Jackson</t>
  </si>
  <si>
    <t>2017-10-12T11:30:25</t>
  </si>
  <si>
    <t>RJackson</t>
  </si>
  <si>
    <t>Raymond.Lagace@manulifesecurities.ca</t>
  </si>
  <si>
    <t>Raymond Lagace</t>
  </si>
  <si>
    <t>RLagace</t>
  </si>
  <si>
    <t>Raymond.Pang@manulifesecurities.ca</t>
  </si>
  <si>
    <t>Raymond Pang</t>
  </si>
  <si>
    <t>2015-12-16T14:18:50</t>
  </si>
  <si>
    <t>pangray</t>
  </si>
  <si>
    <t>Raymond.Reid@manulifesecurities.ca</t>
  </si>
  <si>
    <t>Ray Reid</t>
  </si>
  <si>
    <t>RReid</t>
  </si>
  <si>
    <t>Raymond.Vermette@manulifesecurities.ca</t>
  </si>
  <si>
    <t>Raymond Vermette</t>
  </si>
  <si>
    <t>RVermette</t>
  </si>
  <si>
    <t>Raymonde.Bonin@manulifesecurities.ca</t>
  </si>
  <si>
    <t>Raymonde Bonin</t>
  </si>
  <si>
    <t>2016-05-17T14:06:24</t>
  </si>
  <si>
    <t>boninra</t>
  </si>
  <si>
    <t>Rayna.Wile@manulifesecurities.ca</t>
  </si>
  <si>
    <t>Rayna Wile</t>
  </si>
  <si>
    <t>raynac</t>
  </si>
  <si>
    <t>raytestdeprov20150506@manulifesecurities.ca</t>
  </si>
  <si>
    <t>raytestdeprov20150506</t>
  </si>
  <si>
    <t>mfc.raytestdeprov</t>
  </si>
  <si>
    <t>Rebeca.Micner@manulifesecurities.ca</t>
  </si>
  <si>
    <t>Rebeca Micner</t>
  </si>
  <si>
    <t>2017-10-04T09:55:54</t>
  </si>
  <si>
    <t>mfc.rebeca.micner</t>
  </si>
  <si>
    <t>Rebecca.Altena@manulifesecurities.ca</t>
  </si>
  <si>
    <t>RAltena</t>
  </si>
  <si>
    <t>Rebecca.Boggs@manulifesecurities.ca</t>
  </si>
  <si>
    <t>Rebecca Boggs</t>
  </si>
  <si>
    <t>2016-08-25T14:03:40</t>
  </si>
  <si>
    <t>mfc.rebecca.boggs</t>
  </si>
  <si>
    <t>Rebecca.J.Altena@manulifesecurities.ca</t>
  </si>
  <si>
    <t>Rebecca Altena</t>
  </si>
  <si>
    <t>2014-11-13T09:16:30</t>
  </si>
  <si>
    <t>mfc.r.jean.altena</t>
  </si>
  <si>
    <t>Rebecca.Kwong@manulifesecurities.ca</t>
  </si>
  <si>
    <t>Rebecca Kwong</t>
  </si>
  <si>
    <t>2017-10-02T14:59:24</t>
  </si>
  <si>
    <t>mfc.rebecca.kwong</t>
  </si>
  <si>
    <t>Rebecca.Mattinson@manulifesecurities.ca</t>
  </si>
  <si>
    <t>Rebecca Mattinson</t>
  </si>
  <si>
    <t>rmattin</t>
  </si>
  <si>
    <t>Rebecca.Patterson@manulifesecurities.ca</t>
  </si>
  <si>
    <t>Rebecca Patterson</t>
  </si>
  <si>
    <t>2017-10-10T12:55:03</t>
  </si>
  <si>
    <t>mfc.rebecca.patte</t>
  </si>
  <si>
    <t>Rebecca.Pope@manulifesecurities.ca</t>
  </si>
  <si>
    <t>Rebecca Pope</t>
  </si>
  <si>
    <t>2017-10-12T12:45:41</t>
  </si>
  <si>
    <t>mfc.rebecca.pope</t>
  </si>
  <si>
    <t>rebecca.sears@manulifesecurities.ca</t>
  </si>
  <si>
    <t>Rebecca Sears</t>
  </si>
  <si>
    <t>2017-02-16T11:11:22</t>
  </si>
  <si>
    <t>mfc.rebecca.sears</t>
  </si>
  <si>
    <t>Rebekah.Douglas@manulifesecurities.ca</t>
  </si>
  <si>
    <t>Rebekah Douglas</t>
  </si>
  <si>
    <t>RDouglas</t>
  </si>
  <si>
    <t>Recruiting@manulifesecurities.ca</t>
  </si>
  <si>
    <t>Recruiting</t>
  </si>
  <si>
    <t>Reda.Farag@manulifesecurities.ca</t>
  </si>
  <si>
    <t>Reda Farag</t>
  </si>
  <si>
    <t>RFarag</t>
  </si>
  <si>
    <t>Reed.Dotto@manulifesecurities.ca</t>
  </si>
  <si>
    <t>RDotto</t>
  </si>
  <si>
    <t>Reg.Braun@manulifesecurities.ca</t>
  </si>
  <si>
    <t>Reg Braun</t>
  </si>
  <si>
    <t>2017-10-07T14:19:18</t>
  </si>
  <si>
    <t>RBraun</t>
  </si>
  <si>
    <t>Reg.Hildebrand@manulifesecurities.ca</t>
  </si>
  <si>
    <t>Reg Hildebrand</t>
  </si>
  <si>
    <t>2017-10-13T08:47:53</t>
  </si>
  <si>
    <t>RHildebrand</t>
  </si>
  <si>
    <t>Regena.Player@manulifesecurities.ca</t>
  </si>
  <si>
    <t>Regena Player</t>
  </si>
  <si>
    <t>2017-10-11T08:41:06</t>
  </si>
  <si>
    <t>RPlayer</t>
  </si>
  <si>
    <t>RegisteredProducts@manulifesecurities.ca</t>
  </si>
  <si>
    <t>Registered Products</t>
  </si>
  <si>
    <t>RegisteredProducts</t>
  </si>
  <si>
    <t>Registrations@manulifesecurities.ca</t>
  </si>
  <si>
    <t>zzRegistrations</t>
  </si>
  <si>
    <t>Registrations-1</t>
  </si>
  <si>
    <t>Reid.Peirson@manulifesecurities.ca</t>
  </si>
  <si>
    <t>Reid Peirson</t>
  </si>
  <si>
    <t>2017-10-12T10:50:40</t>
  </si>
  <si>
    <t>mfc.reid.peirson</t>
  </si>
  <si>
    <t>Reimbursements@manulifesecurities.ca</t>
  </si>
  <si>
    <t>zzReimbursements</t>
  </si>
  <si>
    <t>Reimbursements</t>
  </si>
  <si>
    <t>Rejean.Laverdiere@manulifesecurities.ca</t>
  </si>
  <si>
    <t>Rejean Laverdiere</t>
  </si>
  <si>
    <t>2017-10-02T15:34:59</t>
  </si>
  <si>
    <t>rlaverdiere</t>
  </si>
  <si>
    <t>Remedy@manulifesecurities.ca</t>
  </si>
  <si>
    <t>Remedy</t>
  </si>
  <si>
    <t>Remi.Dulong@manulifesecurities.ca</t>
  </si>
  <si>
    <t>Remi Dulong</t>
  </si>
  <si>
    <t>RDulong</t>
  </si>
  <si>
    <t>Remo.Cigagna@manulifesecurities.ca</t>
  </si>
  <si>
    <t>Remo Cigagna</t>
  </si>
  <si>
    <t>2015-08-28T15:31:58</t>
  </si>
  <si>
    <t>remocigagna</t>
  </si>
  <si>
    <t>Remo.Iacurti@manulifesecurities.ca</t>
  </si>
  <si>
    <t>Remo Iacurti</t>
  </si>
  <si>
    <t>RIacurti</t>
  </si>
  <si>
    <t>Ren.Germino@manulifesecurities.ca</t>
  </si>
  <si>
    <t>Ren Germino</t>
  </si>
  <si>
    <t>RGermino</t>
  </si>
  <si>
    <t>Ren.Salonga@manulifesecurities.ca</t>
  </si>
  <si>
    <t>Ren Alvaro. Salonga</t>
  </si>
  <si>
    <t>RSalonga</t>
  </si>
  <si>
    <t>Rena.Edwards@manulifesecurities.ca</t>
  </si>
  <si>
    <t>Rena Edwards</t>
  </si>
  <si>
    <t>reedwards</t>
  </si>
  <si>
    <t>Renalda.Opala@manulifesecurities.ca</t>
  </si>
  <si>
    <t>Renalda Opala</t>
  </si>
  <si>
    <t>ROpala</t>
  </si>
  <si>
    <t>Rene.Andraos@manulifesecurities.ca</t>
  </si>
  <si>
    <t>Rene Andraos</t>
  </si>
  <si>
    <t>2016-03-04T07:10:22</t>
  </si>
  <si>
    <t>RAndraos</t>
  </si>
  <si>
    <t>Rene.Boucher@manulifesecurities.ca</t>
  </si>
  <si>
    <t>Rene Boucher</t>
  </si>
  <si>
    <t>2015-02-01T19:39:44</t>
  </si>
  <si>
    <t>RBoucher</t>
  </si>
  <si>
    <t>Renee.Chyz-Viau@manulifesecurities.ca</t>
  </si>
  <si>
    <t>Renee Chyz-Viau</t>
  </si>
  <si>
    <t>2017-09-05T16:22:21</t>
  </si>
  <si>
    <t>RChyzViau</t>
  </si>
  <si>
    <t>Renee.DesRochers@manulifesecurities.ca</t>
  </si>
  <si>
    <t>Renee DesRochers</t>
  </si>
  <si>
    <t>2017-10-12T12:26:42</t>
  </si>
  <si>
    <t>RDesRochers</t>
  </si>
  <si>
    <t>Renee.Kapelus@manulifesecurities.ca</t>
  </si>
  <si>
    <t>Renee Kapelus</t>
  </si>
  <si>
    <t>RKapelus</t>
  </si>
  <si>
    <t>Renee.Ledwinka@manulifesecurities.ca</t>
  </si>
  <si>
    <t>Renee Ledwinka</t>
  </si>
  <si>
    <t>2017-10-10T08:21:31</t>
  </si>
  <si>
    <t>mfc.renee.ledwink</t>
  </si>
  <si>
    <t>Renee.Moody@manulifesecurities.ca</t>
  </si>
  <si>
    <t>Renee Moody</t>
  </si>
  <si>
    <t>rmoody29</t>
  </si>
  <si>
    <t>Renee.Paquette@manulifesecurities.ca</t>
  </si>
  <si>
    <t>Renee Paquette</t>
  </si>
  <si>
    <t>rpaque</t>
  </si>
  <si>
    <t>Renelito.Collado@manulifesecurities.ca</t>
  </si>
  <si>
    <t>Renelito Collado</t>
  </si>
  <si>
    <t>rcollado</t>
  </si>
  <si>
    <t>rep.adv001@manulifesecurities.ca</t>
  </si>
  <si>
    <t>rep adv001</t>
  </si>
  <si>
    <t>2015-04-14T10:53:00</t>
  </si>
  <si>
    <t>repadv001</t>
  </si>
  <si>
    <t>rep.adv002@manulifesecurities.ca</t>
  </si>
  <si>
    <t>rep adv002</t>
  </si>
  <si>
    <t>2014-08-19T12:27:17</t>
  </si>
  <si>
    <t>repadv002</t>
  </si>
  <si>
    <t>rep.adv003@manulifesecurities.ca</t>
  </si>
  <si>
    <t>rep adv003</t>
  </si>
  <si>
    <t>repadv003</t>
  </si>
  <si>
    <t>rep.adv004@manulifesecurities.ca</t>
  </si>
  <si>
    <t>RepAD004</t>
  </si>
  <si>
    <t>2016-04-12T13:41:04</t>
  </si>
  <si>
    <t>repadv004</t>
  </si>
  <si>
    <t>RESP@manulifesecurities.ca</t>
  </si>
  <si>
    <t>RESP</t>
  </si>
  <si>
    <t>Restricted.EmailMaster@manulifesecurities.ca</t>
  </si>
  <si>
    <t>Restricted EmailMaster</t>
  </si>
  <si>
    <t>Remailmaster</t>
  </si>
  <si>
    <t>Review@manulifesecurities.ca</t>
  </si>
  <si>
    <t>zzHR Review</t>
  </si>
  <si>
    <t>Review</t>
  </si>
  <si>
    <t>Reyeah.Medenilla@manulifesecurities.ca</t>
  </si>
  <si>
    <t>Reyeah Medenilla</t>
  </si>
  <si>
    <t>RMedenilla</t>
  </si>
  <si>
    <t>Reynold.Bert@manulifesecurities.ca</t>
  </si>
  <si>
    <t>Reynold Bert</t>
  </si>
  <si>
    <t>2017-10-06T10:35:11</t>
  </si>
  <si>
    <t>RBert</t>
  </si>
  <si>
    <t>rg.clark@manulifesecurities.ca</t>
  </si>
  <si>
    <t>R G. Clark</t>
  </si>
  <si>
    <t>rgclark</t>
  </si>
  <si>
    <t>Rhea.Sjoberg@manulifesecurities.ca</t>
  </si>
  <si>
    <t>Rhea Sjoberg</t>
  </si>
  <si>
    <t>2017-05-18T13:59:38</t>
  </si>
  <si>
    <t>mfc.rhea.sjoberg</t>
  </si>
  <si>
    <t>Rhonda.Chandler@manulifesecurities.ca</t>
  </si>
  <si>
    <t>Rhonda Chandler</t>
  </si>
  <si>
    <t>2017-10-05T11:02:16</t>
  </si>
  <si>
    <t>RChandler</t>
  </si>
  <si>
    <t>Rhonda.Keeso@manulifesecurities.ca</t>
  </si>
  <si>
    <t>Rhonda Keeso</t>
  </si>
  <si>
    <t>RKeeso</t>
  </si>
  <si>
    <t>Rhonda.Mastel@manulifesecurities.ca</t>
  </si>
  <si>
    <t>Rhonda Mastel</t>
  </si>
  <si>
    <t>2017-10-02T10:16:38</t>
  </si>
  <si>
    <t>RMastel</t>
  </si>
  <si>
    <t>Rhys.Hill@manulifesecurities.ca</t>
  </si>
  <si>
    <t>Rhys Hill</t>
  </si>
  <si>
    <t>rhhill</t>
  </si>
  <si>
    <t>Richard.Arel@manulifesecurities.ca</t>
  </si>
  <si>
    <t>Richard Arel</t>
  </si>
  <si>
    <t>richardarel</t>
  </si>
  <si>
    <t>Richard.Audette@placementsmanuvie.ca</t>
  </si>
  <si>
    <t>Richard Audette</t>
  </si>
  <si>
    <t>2017-10-08T14:51:42</t>
  </si>
  <si>
    <t>RAudette</t>
  </si>
  <si>
    <t>Richard.Baker@manulifesecurities.ca</t>
  </si>
  <si>
    <t>Richard Baker (Advisor)</t>
  </si>
  <si>
    <t>2016-02-27T17:18:56</t>
  </si>
  <si>
    <t>RBaker</t>
  </si>
  <si>
    <t>Richard.Bartley@manulifesecurities.ca</t>
  </si>
  <si>
    <t>Richard Bartley</t>
  </si>
  <si>
    <t>2017-10-14T16:35:40</t>
  </si>
  <si>
    <t>mfc.richard.bartl</t>
  </si>
  <si>
    <t>Richard.Bolduc@manulifesecurities.ca</t>
  </si>
  <si>
    <t>RBolduc</t>
  </si>
  <si>
    <t>rbolduc</t>
  </si>
  <si>
    <t>Richard.Burke@manulifesecurities.ca</t>
  </si>
  <si>
    <t>Richard Burke</t>
  </si>
  <si>
    <t>RBurke</t>
  </si>
  <si>
    <t>Richard.Campeau@manulifesecurities.ca</t>
  </si>
  <si>
    <t>Richard Campeau</t>
  </si>
  <si>
    <t>2017-10-08T17:06:55</t>
  </si>
  <si>
    <t>RCampeau</t>
  </si>
  <si>
    <t>Richard.Carberry@manulifesecurities.ca</t>
  </si>
  <si>
    <t>zz Manulife - �Forms Tester</t>
  </si>
  <si>
    <t>rcarberry</t>
  </si>
  <si>
    <t>Richard.Esposito@manulifesecurities.ca</t>
  </si>
  <si>
    <t>Richard Esposito</t>
  </si>
  <si>
    <t>resposito</t>
  </si>
  <si>
    <t>Richard.Giammattolla@manulifesecurities.ca</t>
  </si>
  <si>
    <t>Richard Giammattolla</t>
  </si>
  <si>
    <t>2015-02-02T08:10:06</t>
  </si>
  <si>
    <t>rgiammattolla</t>
  </si>
  <si>
    <t>Richard.Green@manulifesecurities.ca</t>
  </si>
  <si>
    <t>Richard Green</t>
  </si>
  <si>
    <t>rigreen</t>
  </si>
  <si>
    <t>Richard.Harvey@manulifesecurities.ca</t>
  </si>
  <si>
    <t>Richard Harvey</t>
  </si>
  <si>
    <t>rharvey</t>
  </si>
  <si>
    <t>Richard.Higginson@manulifesecurities.ca</t>
  </si>
  <si>
    <t>Richard Higginson</t>
  </si>
  <si>
    <t>2016-03-06T19:04:46</t>
  </si>
  <si>
    <t>RHigginson</t>
  </si>
  <si>
    <t>Richard.Ing@manulifesecurities.ca</t>
  </si>
  <si>
    <t>Richard  Ing</t>
  </si>
  <si>
    <t>RichIng</t>
  </si>
  <si>
    <t>Richard.Laurencelle@manulifesecurities.ca</t>
  </si>
  <si>
    <t>Richard Laurencelle</t>
  </si>
  <si>
    <t>2017-10-10T03:22:12</t>
  </si>
  <si>
    <t>RLaurencelle</t>
  </si>
  <si>
    <t>Richard.Lee@manulifesecurities.ca</t>
  </si>
  <si>
    <t>Richard Lee</t>
  </si>
  <si>
    <t>richylee</t>
  </si>
  <si>
    <t>Richard.Maciesza@manulifesecurities.ca</t>
  </si>
  <si>
    <t>Richard Maciesza</t>
  </si>
  <si>
    <t>2017-01-27T13:45:40</t>
  </si>
  <si>
    <t>rickmaciesza</t>
  </si>
  <si>
    <t>Richard.Marion@manulifesecurities.ca</t>
  </si>
  <si>
    <t>Richard Marion</t>
  </si>
  <si>
    <t>2017-10-10T11:40:40</t>
  </si>
  <si>
    <t>mfc.richard.mario</t>
  </si>
  <si>
    <t>Richard.Marques@manulifesecurities.ca</t>
  </si>
  <si>
    <t>Richard Marques</t>
  </si>
  <si>
    <t>2017-10-16T05:26:54</t>
  </si>
  <si>
    <t>mfc.richard.marqu</t>
  </si>
  <si>
    <t>Richard.McIntyre@manulifesecurities.ca</t>
  </si>
  <si>
    <t>Richard McIntyre</t>
  </si>
  <si>
    <t>richard</t>
  </si>
  <si>
    <t>Richard.McKenster@manulifesecurities.ca</t>
  </si>
  <si>
    <t>Richard McKenster</t>
  </si>
  <si>
    <t>mckenster</t>
  </si>
  <si>
    <t>Richard.Mudge@manulifesecurities.ca</t>
  </si>
  <si>
    <t>Richard Mudge</t>
  </si>
  <si>
    <t>mudgere</t>
  </si>
  <si>
    <t>Richard.Myles@manulifesecurities.ca</t>
  </si>
  <si>
    <t>Richard Myles</t>
  </si>
  <si>
    <t>RMyles</t>
  </si>
  <si>
    <t>Richard.Needham@manulifesecurities.ca</t>
  </si>
  <si>
    <t>Richard Needham</t>
  </si>
  <si>
    <t>2017-01-30T11:00:09</t>
  </si>
  <si>
    <t>franklin</t>
  </si>
  <si>
    <t>richard.oviatt@manulifesecurities.ca</t>
  </si>
  <si>
    <t>Richard Oviatt</t>
  </si>
  <si>
    <t>2016-03-09T06:17:00</t>
  </si>
  <si>
    <t>mfc.richard.oviat</t>
  </si>
  <si>
    <t>Richard.Paliani@manulifesecurities.ca</t>
  </si>
  <si>
    <t>Richard Paliani</t>
  </si>
  <si>
    <t>2014-11-24T11:13:04</t>
  </si>
  <si>
    <t>rpaliani</t>
  </si>
  <si>
    <t>Richard.Pieprzak@manulifesecurities.ca</t>
  </si>
  <si>
    <t>Richard A Pieprzak</t>
  </si>
  <si>
    <t>2017-10-14T14:04:45</t>
  </si>
  <si>
    <t>pieprri</t>
  </si>
  <si>
    <t>richard.racioppoli@manulifesecurities.ca</t>
  </si>
  <si>
    <t>Richard Racioppoli</t>
  </si>
  <si>
    <t>2016-03-18T13:04:55</t>
  </si>
  <si>
    <t>mfc.richard.racio</t>
  </si>
  <si>
    <t>Richard.Rampersad@manulifesecurities.ca</t>
  </si>
  <si>
    <t>Richard Rampersad</t>
  </si>
  <si>
    <t>2017-10-13T06:44:35</t>
  </si>
  <si>
    <t>riramper</t>
  </si>
  <si>
    <t>Richard.Skehan@manulifesecurities.ca</t>
  </si>
  <si>
    <t>Richard Skehan</t>
  </si>
  <si>
    <t>2015-01-14T10:41:07</t>
  </si>
  <si>
    <t>rskehan</t>
  </si>
  <si>
    <t>Richard.Taylor@manulifesecurities.ca</t>
  </si>
  <si>
    <t>Richard Taylor</t>
  </si>
  <si>
    <t>raftaylor</t>
  </si>
  <si>
    <t>Richard.VanOort@manulifesecurities.ca</t>
  </si>
  <si>
    <t>Richard Van Oort</t>
  </si>
  <si>
    <t>2015-02-09T14:59:21</t>
  </si>
  <si>
    <t>vanoort</t>
  </si>
  <si>
    <t>Richard.Williams@manulifesecurities.ca</t>
  </si>
  <si>
    <t>Richard Williams</t>
  </si>
  <si>
    <t>2017-10-11T15:43:28</t>
  </si>
  <si>
    <t>RWilliams</t>
  </si>
  <si>
    <t>Richard.Wintermute@manulifesecurities.ca</t>
  </si>
  <si>
    <t>Richard Wintermute</t>
  </si>
  <si>
    <t>dickwintermute</t>
  </si>
  <si>
    <t>Rick.Audet@manulifesecurities.ca</t>
  </si>
  <si>
    <t>Rick Audet</t>
  </si>
  <si>
    <t>RAudet</t>
  </si>
  <si>
    <t>Rick.Bashista@manulifesecurities.ca</t>
  </si>
  <si>
    <t>Rick Bashista</t>
  </si>
  <si>
    <t>rbashist</t>
  </si>
  <si>
    <t>Rick.Berard@manulifesecurities.ca</t>
  </si>
  <si>
    <t>Rick Berard</t>
  </si>
  <si>
    <t>2017-10-13T22:59:07</t>
  </si>
  <si>
    <t>RBerard</t>
  </si>
  <si>
    <t>Rick.Gallant@manulifesecurities.ca</t>
  </si>
  <si>
    <t>Rick Gallant</t>
  </si>
  <si>
    <t>2016-03-01T11:01:18</t>
  </si>
  <si>
    <t>mfc.rick.gallant</t>
  </si>
  <si>
    <t>Rick.Iannucci@manulifesecurities.ca</t>
  </si>
  <si>
    <t>Rick Iannucci</t>
  </si>
  <si>
    <t>2017-10-11T10:28:57</t>
  </si>
  <si>
    <t>riannu</t>
  </si>
  <si>
    <t>Rick.Irwin@manulifesecurities.ca</t>
  </si>
  <si>
    <t>Rick Irwin</t>
  </si>
  <si>
    <t>rickirwin</t>
  </si>
  <si>
    <t>Rick.Kellen@manulifesecurities.ca</t>
  </si>
  <si>
    <t>Rick Kellen</t>
  </si>
  <si>
    <t>2017-10-13T10:43:53</t>
  </si>
  <si>
    <t>mfc.rick.kellen</t>
  </si>
  <si>
    <t>Rick.Koswin@manulifesecurities.ca</t>
  </si>
  <si>
    <t>Rick Koswin</t>
  </si>
  <si>
    <t>RKoswin</t>
  </si>
  <si>
    <t>rick.kyte@manulifesecurities.ca</t>
  </si>
  <si>
    <t>Richard Kyte</t>
  </si>
  <si>
    <t>2017-10-10T18:39:55</t>
  </si>
  <si>
    <t>RKyte</t>
  </si>
  <si>
    <t>Rick.Reitenbach@manulifesecurities.ca</t>
  </si>
  <si>
    <t>Rick Reitenbach</t>
  </si>
  <si>
    <t>RReitenbach</t>
  </si>
  <si>
    <t>Rick.Wheeldon@manulifesecurities.ca</t>
  </si>
  <si>
    <t>Rick Wheeldon</t>
  </si>
  <si>
    <t>DWheeldon</t>
  </si>
  <si>
    <t>Rick.Williamson@manulifesecurities.ca</t>
  </si>
  <si>
    <t>Rick Williamson</t>
  </si>
  <si>
    <t>2017-10-10T13:35:45</t>
  </si>
  <si>
    <t>RWilliamson</t>
  </si>
  <si>
    <t>Rico.Anis@manulifesecurities.ca</t>
  </si>
  <si>
    <t>Rico Anis</t>
  </si>
  <si>
    <t>anisef</t>
  </si>
  <si>
    <t>Rita.Fong@manulifesecurities.ca</t>
  </si>
  <si>
    <t>Rita Fong</t>
  </si>
  <si>
    <t>2017-10-12T11:15:20</t>
  </si>
  <si>
    <t>RFong</t>
  </si>
  <si>
    <t>Rita.Lee@manulifesecurities.ca</t>
  </si>
  <si>
    <t>Rita Lee</t>
  </si>
  <si>
    <t>rita13</t>
  </si>
  <si>
    <t>Rita.Schaefer@manulifesecurities.ca</t>
  </si>
  <si>
    <t>Rita Schaefer</t>
  </si>
  <si>
    <t>RSchaefer</t>
  </si>
  <si>
    <t>Rita.Youwakim@manulifesecurities.ca</t>
  </si>
  <si>
    <t>Rita Youwakim</t>
  </si>
  <si>
    <t>2017-10-10T09:46:18</t>
  </si>
  <si>
    <t>RYouwakim</t>
  </si>
  <si>
    <t>Riya.Chatterjee@manulifesecurities.ca</t>
  </si>
  <si>
    <t>Riya Chatterjee</t>
  </si>
  <si>
    <t>2014-09-29T11:36:09</t>
  </si>
  <si>
    <t>RChatterjee</t>
  </si>
  <si>
    <t>RL.Baker@manulifesecurities.ca</t>
  </si>
  <si>
    <t>Richard L. Baker (HeadOffice)</t>
  </si>
  <si>
    <t>RichardBaker</t>
  </si>
  <si>
    <t>roaming1@manulifesecurities.ca</t>
  </si>
  <si>
    <t>roaming1</t>
  </si>
  <si>
    <t>roaming2@manulifesecurities.ca</t>
  </si>
  <si>
    <t>roaming2</t>
  </si>
  <si>
    <t>roaming3@manulifesecurities.ca</t>
  </si>
  <si>
    <t>changed roaming3</t>
  </si>
  <si>
    <t>changedroaming3</t>
  </si>
  <si>
    <t>Rob.Anger@manulifesecurities.ca</t>
  </si>
  <si>
    <t>zz Manulife - Rob Anger</t>
  </si>
  <si>
    <t>RAnger</t>
  </si>
  <si>
    <t>Rob.Cornwall@manulifesecurities.ca</t>
  </si>
  <si>
    <t>Rob Cornwall</t>
  </si>
  <si>
    <t>RCornwall</t>
  </si>
  <si>
    <t>Rob.Jacobi@manulifesecurities.ca</t>
  </si>
  <si>
    <t>Rob Jacobi</t>
  </si>
  <si>
    <t>2017-10-06T15:59:16</t>
  </si>
  <si>
    <t>RJacobi</t>
  </si>
  <si>
    <t>Rob.Parris@manulifesecurities.ca</t>
  </si>
  <si>
    <t>Rob Parris</t>
  </si>
  <si>
    <t>2017-10-12T13:53:14</t>
  </si>
  <si>
    <t>RParris</t>
  </si>
  <si>
    <t>Rob.White@manulifesecurities.ca</t>
  </si>
  <si>
    <t>Robert (Rob) White (Winnipeg)</t>
  </si>
  <si>
    <t>2016-02-01T07:10:27</t>
  </si>
  <si>
    <t>RWhite</t>
  </si>
  <si>
    <t>Rob.Widdup@manulifesecurities.ca</t>
  </si>
  <si>
    <t>Rob Widdup</t>
  </si>
  <si>
    <t>RWiddup</t>
  </si>
  <si>
    <t>Robert.Adams@manulifesecurities.ca</t>
  </si>
  <si>
    <t>Robert Adams</t>
  </si>
  <si>
    <t>2017-10-07T18:43:38</t>
  </si>
  <si>
    <t>RAdams</t>
  </si>
  <si>
    <t>Robert.Agouri@manulifesecurities.ca</t>
  </si>
  <si>
    <t>Robert Agouri</t>
  </si>
  <si>
    <t>2017-10-13T13:21:37</t>
  </si>
  <si>
    <t>ragouri</t>
  </si>
  <si>
    <t>Robert.Anger@manulifesecurities.ca</t>
  </si>
  <si>
    <t>2016-10-27T09:57:00</t>
  </si>
  <si>
    <t>mfc.rob.w.anger</t>
  </si>
  <si>
    <t>Robert.Arndt@manulifesecurities.ca</t>
  </si>
  <si>
    <t>Robert Arndt</t>
  </si>
  <si>
    <t>2017-10-09T17:26:04</t>
  </si>
  <si>
    <t>mfc.robert.arndt</t>
  </si>
  <si>
    <t>Robert.Assaf@manulifesecurities.ca</t>
  </si>
  <si>
    <t>Robert Assaf</t>
  </si>
  <si>
    <t>2015-07-06T14:36:51</t>
  </si>
  <si>
    <t>RAssaf</t>
  </si>
  <si>
    <t>Robert.Baculi@manulifesecurities.ca</t>
  </si>
  <si>
    <t>Robert Baculi</t>
  </si>
  <si>
    <t>RBaculi</t>
  </si>
  <si>
    <t>Robert.Bauml@manulifesecurities.ca</t>
  </si>
  <si>
    <t>Robert Bauml</t>
  </si>
  <si>
    <t>2016-07-08T12:04:51</t>
  </si>
  <si>
    <t>baumlro</t>
  </si>
  <si>
    <t>Robert.Beckford@manulifesecurities.ca</t>
  </si>
  <si>
    <t>Robert Becksted</t>
  </si>
  <si>
    <t>mfc.robert.beckfo</t>
  </si>
  <si>
    <t>Robert.Becksted@manulifesecurities.ca</t>
  </si>
  <si>
    <t>mfc.robert.beckst</t>
  </si>
  <si>
    <t>Robert.Bothwell@manulifesecurities.ca</t>
  </si>
  <si>
    <t>Robert Bothwell</t>
  </si>
  <si>
    <t>2015-04-28T09:50:21</t>
  </si>
  <si>
    <t>b1rfuk06</t>
  </si>
  <si>
    <t>Robert.Carter@manulifesecurities.ca</t>
  </si>
  <si>
    <t>Robert Carter</t>
  </si>
  <si>
    <t>2017-10-15T06:08:51</t>
  </si>
  <si>
    <t>mfc.robert.carter</t>
  </si>
  <si>
    <t>Robert.Chin@manulifesecurities.ca</t>
  </si>
  <si>
    <t>Robert Chin</t>
  </si>
  <si>
    <t>mfc.robert.chin</t>
  </si>
  <si>
    <t>Robert.Corrigan@manulifesecurities.ca</t>
  </si>
  <si>
    <t>Robert Corrigan</t>
  </si>
  <si>
    <t>2017-10-02T18:34:49</t>
  </si>
  <si>
    <t>corribo</t>
  </si>
  <si>
    <t>Robert.DAngelo@manulifesecurities.ca</t>
  </si>
  <si>
    <t>Robert D'Angelo</t>
  </si>
  <si>
    <t>2017-10-09T07:36:16</t>
  </si>
  <si>
    <t>rdangelo</t>
  </si>
  <si>
    <t>Robert.Davies@manulifesecurities.ca</t>
  </si>
  <si>
    <t>Robert Davies</t>
  </si>
  <si>
    <t>2017-10-11T04:34:02</t>
  </si>
  <si>
    <t>RDavies</t>
  </si>
  <si>
    <t>Robert.Dunlop@manulifesecurities.ca</t>
  </si>
  <si>
    <t>Robert Dunlop</t>
  </si>
  <si>
    <t>2017-09-27T17:13:59</t>
  </si>
  <si>
    <t>rdunlop</t>
  </si>
  <si>
    <t>Robert.Eaton@manulifesecurities.ca</t>
  </si>
  <si>
    <t>Bob Eaton</t>
  </si>
  <si>
    <t>REaton</t>
  </si>
  <si>
    <t>Robert.Fainer@manulifesecurities.ca</t>
  </si>
  <si>
    <t>Robert Fainer</t>
  </si>
  <si>
    <t>2017-10-12T18:22:46</t>
  </si>
  <si>
    <t>RFainer</t>
  </si>
  <si>
    <t>Robert.Favretto@manulifesecurities.ca</t>
  </si>
  <si>
    <t>Robert Favretto</t>
  </si>
  <si>
    <t>rfavretto</t>
  </si>
  <si>
    <t>Robert.Gilmour@manulifesecurities.ca</t>
  </si>
  <si>
    <t>Robert Gilmour</t>
  </si>
  <si>
    <t>rjgilmour</t>
  </si>
  <si>
    <t>Robert.Glover@manulifesecurities.ca</t>
  </si>
  <si>
    <t>Robert Glover</t>
  </si>
  <si>
    <t>RGlover</t>
  </si>
  <si>
    <t>Robert.Gustafson@manulifesecurities.ca</t>
  </si>
  <si>
    <t>Robert Gustafson</t>
  </si>
  <si>
    <t>RGustafson</t>
  </si>
  <si>
    <t>Robert.Hanna@manulifesecurities.ca</t>
  </si>
  <si>
    <t>Robert Hanna</t>
  </si>
  <si>
    <t>2017-08-02T13:04:17</t>
  </si>
  <si>
    <t>rehanna</t>
  </si>
  <si>
    <t>Robert.Hanson@manulifesecurities.ca</t>
  </si>
  <si>
    <t>Robert Hanson</t>
  </si>
  <si>
    <t>2017-10-12T21:24:10</t>
  </si>
  <si>
    <t>chanson</t>
  </si>
  <si>
    <t>Robert.Hawken@manulifesecurities.ca</t>
  </si>
  <si>
    <t>Robert Hawken</t>
  </si>
  <si>
    <t>rrhawken</t>
  </si>
  <si>
    <t>Robert.Higgerty@manulifesecurities.ca</t>
  </si>
  <si>
    <t>Robert Higgerty</t>
  </si>
  <si>
    <t>2017-10-13T08:37:04</t>
  </si>
  <si>
    <t>RHiggerty</t>
  </si>
  <si>
    <t>Robert.Hooper@manulifesecurities.ca</t>
  </si>
  <si>
    <t>Robert Hooper</t>
  </si>
  <si>
    <t>2017-04-24T14:45:00</t>
  </si>
  <si>
    <t>rhooper</t>
  </si>
  <si>
    <t>Robert.Hunt@manulifesecurities.ca</t>
  </si>
  <si>
    <t>Robert Hunt</t>
  </si>
  <si>
    <t>huntrob</t>
  </si>
  <si>
    <t>Robert.Hyde@manulifesecurities.ca</t>
  </si>
  <si>
    <t>Robert Hyde</t>
  </si>
  <si>
    <t>2017-10-04T10:21:27</t>
  </si>
  <si>
    <t>bohyde</t>
  </si>
  <si>
    <t>Robert.Irving@manulifesecurities.ca</t>
  </si>
  <si>
    <t>Robert Irving</t>
  </si>
  <si>
    <t>rairving</t>
  </si>
  <si>
    <t>Robert.Jack@manulifesecurities.ca</t>
  </si>
  <si>
    <t>Robert Jack</t>
  </si>
  <si>
    <t>robjack</t>
  </si>
  <si>
    <t>Robert.Jaggers@manulifesecurities.ca</t>
  </si>
  <si>
    <t>Robert Jaggers</t>
  </si>
  <si>
    <t>2017-10-10T15:35:28</t>
  </si>
  <si>
    <t>RJaggers</t>
  </si>
  <si>
    <t>Robert.Javornich@manulifesecurities.ca</t>
  </si>
  <si>
    <t>Robert Javornich</t>
  </si>
  <si>
    <t>RJavornich</t>
  </si>
  <si>
    <t>Robert.Johnson@manulifesecurities.ca</t>
  </si>
  <si>
    <t>Bob Johnson CFP</t>
  </si>
  <si>
    <t>2017-09-12T15:34:11</t>
  </si>
  <si>
    <t>rpjohnson</t>
  </si>
  <si>
    <t>Robert.Jones@manulifesecurities.ca</t>
  </si>
  <si>
    <t>Robert Jones</t>
  </si>
  <si>
    <t>RJones</t>
  </si>
  <si>
    <t>Robert.Kelley@manulifesecurities.ca</t>
  </si>
  <si>
    <t>Robert Kelley</t>
  </si>
  <si>
    <t>koseyfin</t>
  </si>
  <si>
    <t>Robert.Kimball@manulifesecurities.ca</t>
  </si>
  <si>
    <t>Robert Kimball</t>
  </si>
  <si>
    <t>2016-06-29T15:20:32</t>
  </si>
  <si>
    <t>kimball1</t>
  </si>
  <si>
    <t>Robert.Lafave@manulifesecurities.ca</t>
  </si>
  <si>
    <t>Robert Lafave</t>
  </si>
  <si>
    <t>rlafave</t>
  </si>
  <si>
    <t>Robert.Lamb@manulifesecurities.ca</t>
  </si>
  <si>
    <t>Robert Lamb</t>
  </si>
  <si>
    <t>2017-09-20T16:30:47</t>
  </si>
  <si>
    <t>lambrob</t>
  </si>
  <si>
    <t>Robert.Lando@manulifesecurities.ca</t>
  </si>
  <si>
    <t>Robert Lando</t>
  </si>
  <si>
    <t>2017-10-02T12:26:15</t>
  </si>
  <si>
    <t>landorob</t>
  </si>
  <si>
    <t>Robert.Lariviere@manulifesecurities.ca</t>
  </si>
  <si>
    <t>Robert Lariviere</t>
  </si>
  <si>
    <t>larivro</t>
  </si>
  <si>
    <t>Robert.Lee@manulifesecurities.ca</t>
  </si>
  <si>
    <t>Robert Lee</t>
  </si>
  <si>
    <t>2017-10-16T09:38:45</t>
  </si>
  <si>
    <t>boblee</t>
  </si>
  <si>
    <t>Robert.Leombruno@manulifesecurities.ca</t>
  </si>
  <si>
    <t>Robert Leombruno</t>
  </si>
  <si>
    <t>2017-10-15T15:24:23</t>
  </si>
  <si>
    <t>mfc.robert.leombr</t>
  </si>
  <si>
    <t>Robert.Lewis@manulifesecurities.ca</t>
  </si>
  <si>
    <t>Robert Lewis</t>
  </si>
  <si>
    <t>BLewis</t>
  </si>
  <si>
    <t>Robert.Longtin@manulifesecurities.ca</t>
  </si>
  <si>
    <t>Robert Longtin</t>
  </si>
  <si>
    <t>RLongtin</t>
  </si>
  <si>
    <t>Robert.MacDonell@manulifesecurities.ca</t>
  </si>
  <si>
    <t>Robert MacDonell</t>
  </si>
  <si>
    <t>2016-10-24T11:51:31</t>
  </si>
  <si>
    <t>rmacdone</t>
  </si>
  <si>
    <t>Robert.Macisaac@manulifesecurities.ca</t>
  </si>
  <si>
    <t>Robert Macisaac</t>
  </si>
  <si>
    <t>RMacisaac</t>
  </si>
  <si>
    <t>Robert.McCullagh@manulifesecurities.ca</t>
  </si>
  <si>
    <t>Robert McCullagh</t>
  </si>
  <si>
    <t>2017-10-12T14:32:14</t>
  </si>
  <si>
    <t>mfc.robert.mccull</t>
  </si>
  <si>
    <t>Robert.McIntosh@manulifesecurities.ca</t>
  </si>
  <si>
    <t>Robert McIntosh (Calgary)</t>
  </si>
  <si>
    <t>2017-10-08T08:33:56</t>
  </si>
  <si>
    <t>RMcIntosh</t>
  </si>
  <si>
    <t>Robert.McMurray@manulifesecurities.ca</t>
  </si>
  <si>
    <t>Robert McMurray</t>
  </si>
  <si>
    <t>2017-10-02T14:31:39</t>
  </si>
  <si>
    <t>mfc.robert.mcmurr</t>
  </si>
  <si>
    <t>Robert.Montague@manulifesecurities.ca</t>
  </si>
  <si>
    <t>Robert Montague</t>
  </si>
  <si>
    <t>2016-11-09T00:22:17</t>
  </si>
  <si>
    <t>RMontague</t>
  </si>
  <si>
    <t>Robert.Morton@manulifesecurities.ca</t>
  </si>
  <si>
    <t>Robert Morton</t>
  </si>
  <si>
    <t>2017-10-10T18:04:31</t>
  </si>
  <si>
    <t>rmorton</t>
  </si>
  <si>
    <t>Robert.Niksic@manulifesecurities.ca</t>
  </si>
  <si>
    <t>Robert Niksic</t>
  </si>
  <si>
    <t>RNiksic</t>
  </si>
  <si>
    <t>Robert.Paulett@manulifesecurities.ca</t>
  </si>
  <si>
    <t>Robert Paulett</t>
  </si>
  <si>
    <t>2014-12-22T16:58:36</t>
  </si>
  <si>
    <t>rpaulett</t>
  </si>
  <si>
    <t>Robert.Peters@manulifesecurities.ca</t>
  </si>
  <si>
    <t>Robert Peters</t>
  </si>
  <si>
    <t>2015-02-19T13:32:22</t>
  </si>
  <si>
    <t>RPeters</t>
  </si>
  <si>
    <t>Robert.Pethes@manulifesecurities.ca</t>
  </si>
  <si>
    <t>Robert Pethes</t>
  </si>
  <si>
    <t>2017-10-10T17:14:29</t>
  </si>
  <si>
    <t>rpethes</t>
  </si>
  <si>
    <t>Robert.Piva@manulifesecurities.ca</t>
  </si>
  <si>
    <t>Robert Piva</t>
  </si>
  <si>
    <t>2017-10-13T17:23:46</t>
  </si>
  <si>
    <t>rbpiva</t>
  </si>
  <si>
    <t>Robert.Poce@manulifesecurities.ca</t>
  </si>
  <si>
    <t>Robert Poce</t>
  </si>
  <si>
    <t>ropoce</t>
  </si>
  <si>
    <t>Robert.Pollock@manulifesecurities.ca</t>
  </si>
  <si>
    <t>Robert Pollock</t>
  </si>
  <si>
    <t>2017-10-12T15:17:06</t>
  </si>
  <si>
    <t>RPollock</t>
  </si>
  <si>
    <t>Robert.Quigg@manulifesecurities.ca</t>
  </si>
  <si>
    <t>Robert Quigg</t>
  </si>
  <si>
    <t>2017-10-13T15:07:11</t>
  </si>
  <si>
    <t>RQuigg</t>
  </si>
  <si>
    <t>Robert.Reid@manulifesecurities.ca</t>
  </si>
  <si>
    <t>Robert Reid</t>
  </si>
  <si>
    <t>2016-07-19T14:34:44</t>
  </si>
  <si>
    <t>robreid</t>
  </si>
  <si>
    <t>Robert.Reurink@manulifesecurities.ca</t>
  </si>
  <si>
    <t>Robert Reurink</t>
  </si>
  <si>
    <t>RReurink</t>
  </si>
  <si>
    <t>Robert.Ritter@manulifesecurities.ca</t>
  </si>
  <si>
    <t>Robert Ritter</t>
  </si>
  <si>
    <t>RRitter</t>
  </si>
  <si>
    <t>Robert.Robinet@manulifesecurities.ca</t>
  </si>
  <si>
    <t>Robert Robinet</t>
  </si>
  <si>
    <t>rlrobinet</t>
  </si>
  <si>
    <t>Robert.Roby@manulifesecurities.ca</t>
  </si>
  <si>
    <t>Robert Roby</t>
  </si>
  <si>
    <t>RRoby</t>
  </si>
  <si>
    <t>Robert.Rodgers@manulifesecurities.ca</t>
  </si>
  <si>
    <t>Robert Rodgers</t>
  </si>
  <si>
    <t>RRodgers</t>
  </si>
  <si>
    <t>Robert.Rowe@manulifesecurities.ca</t>
  </si>
  <si>
    <t>Robert Rowe</t>
  </si>
  <si>
    <t>2017-10-05T09:02:05</t>
  </si>
  <si>
    <t>rowebob</t>
  </si>
  <si>
    <t>Robert.Sells@manulifesecurities.ca</t>
  </si>
  <si>
    <t>Robert Sells</t>
  </si>
  <si>
    <t>rosells</t>
  </si>
  <si>
    <t>Robert.Selvig@manulifesecurities.ca</t>
  </si>
  <si>
    <t>Robert Selvig</t>
  </si>
  <si>
    <t>2017-10-07T05:16:28</t>
  </si>
  <si>
    <t>rselvig</t>
  </si>
  <si>
    <t>Robert.Sidney@manulifesecurities.ca</t>
  </si>
  <si>
    <t>Robert Sidney</t>
  </si>
  <si>
    <t>2017-10-12T21:38:26</t>
  </si>
  <si>
    <t>RSidney</t>
  </si>
  <si>
    <t>Robert.Simoes@manulifesecurities.ca</t>
  </si>
  <si>
    <t>Robert Simoes</t>
  </si>
  <si>
    <t>2017-10-05T16:47:02</t>
  </si>
  <si>
    <t>RKSimoes</t>
  </si>
  <si>
    <t>Robert.Tetrault@manulifesecurities.ca</t>
  </si>
  <si>
    <t>Robert Tetrault</t>
  </si>
  <si>
    <t>RTetrault</t>
  </si>
  <si>
    <t>Robert.Tooke@manulifesecurities.ca</t>
  </si>
  <si>
    <t>Robert Tooke</t>
  </si>
  <si>
    <t>2017-07-19T12:26:24</t>
  </si>
  <si>
    <t>RTooke</t>
  </si>
  <si>
    <t>Robert.Vear@manulifesecurities.ca</t>
  </si>
  <si>
    <t>Robert Vear</t>
  </si>
  <si>
    <t>RVear</t>
  </si>
  <si>
    <t>Robert.Weir@manulifesecurities.ca</t>
  </si>
  <si>
    <t>Bob Weir</t>
  </si>
  <si>
    <t>2017-10-09T22:52:26</t>
  </si>
  <si>
    <t>RWeir</t>
  </si>
  <si>
    <t>Robert.White@manulifesecurities.ca</t>
  </si>
  <si>
    <t>Robert (Bob) White (Kelowna, BC)</t>
  </si>
  <si>
    <t>2017-04-12T16:50:29</t>
  </si>
  <si>
    <t>whitbob</t>
  </si>
  <si>
    <t>Roberta.Herod@manulifesecurities.ca</t>
  </si>
  <si>
    <t>Roberta Herod</t>
  </si>
  <si>
    <t>2016-03-10T10:25:04</t>
  </si>
  <si>
    <t>herodro</t>
  </si>
  <si>
    <t>Roberta.Li@manulifesecurities.ca</t>
  </si>
  <si>
    <t>Roberta Li</t>
  </si>
  <si>
    <t>liroberta</t>
  </si>
  <si>
    <t>Robin.Fournel@placementsmanuvie.ca</t>
  </si>
  <si>
    <t>Robin Fournel</t>
  </si>
  <si>
    <t>2017-10-13T19:56:48</t>
  </si>
  <si>
    <t>mfc.robin.fournel</t>
  </si>
  <si>
    <t>Robin.Jamieson@manulifesecurities.ca</t>
  </si>
  <si>
    <t>Robin Jamieson</t>
  </si>
  <si>
    <t>2017-10-15T19:03:35</t>
  </si>
  <si>
    <t>RJamieson</t>
  </si>
  <si>
    <t>Robin.Morton@manulifesecurities.ca</t>
  </si>
  <si>
    <t>Robin Morton</t>
  </si>
  <si>
    <t>rcmorton</t>
  </si>
  <si>
    <t>Robin.Tingley@manulifesecurities.ca</t>
  </si>
  <si>
    <t>Robin Tingley</t>
  </si>
  <si>
    <t>RTingley</t>
  </si>
  <si>
    <t>Robyn.Eidinger@manulifesecurities.ca</t>
  </si>
  <si>
    <t>Robyn Eidinger</t>
  </si>
  <si>
    <t>2015-11-02T10:01:02</t>
  </si>
  <si>
    <t>mfc.robyn.eidinge</t>
  </si>
  <si>
    <t>Robyn.McNamara@manulifesecurities.ca</t>
  </si>
  <si>
    <t>Robyn McNamara</t>
  </si>
  <si>
    <t>rmcnam</t>
  </si>
  <si>
    <t>Robyn.Smith@manulifesecurities.ca</t>
  </si>
  <si>
    <t>Robyn Smith</t>
  </si>
  <si>
    <t>2015-06-29T12:52:28</t>
  </si>
  <si>
    <t>RSmith</t>
  </si>
  <si>
    <t>Rocco.Colangelo@manulifesecurities.ca</t>
  </si>
  <si>
    <t>Rocco Colangelo</t>
  </si>
  <si>
    <t>2017-10-12T11:27:13</t>
  </si>
  <si>
    <t>RColangelo</t>
  </si>
  <si>
    <t>Rocco.Sgambetterra@manulifesecurities.ca</t>
  </si>
  <si>
    <t>Rocco Sgambetterra</t>
  </si>
  <si>
    <t>2017-10-05T13:33:21</t>
  </si>
  <si>
    <t>RSgambetterra</t>
  </si>
  <si>
    <t>Rochelle.Sandy@manulifesecurities.ca</t>
  </si>
  <si>
    <t>Rochelle Sandy</t>
  </si>
  <si>
    <t>2017-10-13T12:35:38</t>
  </si>
  <si>
    <t>RSandy</t>
  </si>
  <si>
    <t>Rocky.Kinahan@manulifesecurities.ca</t>
  </si>
  <si>
    <t>Rocky Kinahan</t>
  </si>
  <si>
    <t>RKinahan</t>
  </si>
  <si>
    <t>Rod.Baker@manulifesecurities.ca</t>
  </si>
  <si>
    <t>Rod Baker</t>
  </si>
  <si>
    <t>2017-10-06T12:35:12</t>
  </si>
  <si>
    <t>RodBaker</t>
  </si>
  <si>
    <t>Rod.Bell@manulifesecurities.ca</t>
  </si>
  <si>
    <t>Rod Bell</t>
  </si>
  <si>
    <t>2017-01-25T15:18:07</t>
  </si>
  <si>
    <t>RBell</t>
  </si>
  <si>
    <t>Rod.Gettel@manulifesecurities.ca</t>
  </si>
  <si>
    <t>Rod Gettel</t>
  </si>
  <si>
    <t>2017-10-10T13:24:32</t>
  </si>
  <si>
    <t>RGettel</t>
  </si>
  <si>
    <t>Rod.MacDonald@manulifesecurities.ca</t>
  </si>
  <si>
    <t>Rod MacDonald</t>
  </si>
  <si>
    <t>2014-09-24T19:27:51</t>
  </si>
  <si>
    <t>RMacDonald</t>
  </si>
  <si>
    <t>Rod.Thiessen@manulifesecurities.ca</t>
  </si>
  <si>
    <t>Rod Thiessen</t>
  </si>
  <si>
    <t>2017-10-13T16:00:53</t>
  </si>
  <si>
    <t>RThiessen</t>
  </si>
  <si>
    <t>Roderick.Hawkins@manulifesecurities.ca</t>
  </si>
  <si>
    <t>Roderick Hawkins</t>
  </si>
  <si>
    <t>2015-11-30T12:57:41</t>
  </si>
  <si>
    <t>hawkins</t>
  </si>
  <si>
    <t>Rodger.Cleland@manulifesecurities.ca</t>
  </si>
  <si>
    <t>Rodger Cleland</t>
  </si>
  <si>
    <t>RCleland</t>
  </si>
  <si>
    <t>Rodney.Cousineau@manulifesecurities.ca</t>
  </si>
  <si>
    <t>Rodney Cousineau</t>
  </si>
  <si>
    <t>2017-02-16T10:50:39</t>
  </si>
  <si>
    <t>cousiro</t>
  </si>
  <si>
    <t>Roger.Aoun@manulifesecurities.ca</t>
  </si>
  <si>
    <t>Roger Aoun</t>
  </si>
  <si>
    <t>2017-10-11T14:51:35</t>
  </si>
  <si>
    <t>RAoun</t>
  </si>
  <si>
    <t>Roger.Carriere@manulifesecurities.ca</t>
  </si>
  <si>
    <t>Roger Carriere</t>
  </si>
  <si>
    <t>2017-04-17T17:13:53</t>
  </si>
  <si>
    <t>rogercarriere</t>
  </si>
  <si>
    <t>Roger.Quirion@manulifesecurities.ca</t>
  </si>
  <si>
    <t>Roger Quirion</t>
  </si>
  <si>
    <t>2017-10-16T03:50:58</t>
  </si>
  <si>
    <t>RQuirion</t>
  </si>
  <si>
    <t>Roger.Samuel@manulifesecurities.ca</t>
  </si>
  <si>
    <t>Roger Samuel</t>
  </si>
  <si>
    <t>RSamuel</t>
  </si>
  <si>
    <t>Roger.Touw@manulifesecurities.ca</t>
  </si>
  <si>
    <t>Roger Touw</t>
  </si>
  <si>
    <t>RTouw</t>
  </si>
  <si>
    <t>Rohita.Keeping@manulifesecurities.ca</t>
  </si>
  <si>
    <t>Rohita Keeping</t>
  </si>
  <si>
    <t>2017-10-06T12:17:26</t>
  </si>
  <si>
    <t>RKeeping</t>
  </si>
  <si>
    <t>Roland.Giguere@manulifesecurities.ca</t>
  </si>
  <si>
    <t>Roland Giguere</t>
  </si>
  <si>
    <t>2017-10-11T07:03:50</t>
  </si>
  <si>
    <t>rgiguere</t>
  </si>
  <si>
    <t>Roland.Krueger@manulifesecurities.ca</t>
  </si>
  <si>
    <t>Roland Krueger</t>
  </si>
  <si>
    <t>2017-10-07T13:42:45</t>
  </si>
  <si>
    <t>RKrueger</t>
  </si>
  <si>
    <t>Ron.Areshenkoff@manulifesecurities.ca</t>
  </si>
  <si>
    <t>Ron Areshenkoff</t>
  </si>
  <si>
    <t>2017-10-05T12:36:32</t>
  </si>
  <si>
    <t>RAreshenkoff</t>
  </si>
  <si>
    <t>Ron.Clement@manulifesecurities.ca</t>
  </si>
  <si>
    <t>Ron Clement</t>
  </si>
  <si>
    <t>RClement</t>
  </si>
  <si>
    <t>Ron.Deichert@manulifesecurities.ca</t>
  </si>
  <si>
    <t>Ron Deichert</t>
  </si>
  <si>
    <t>2016-03-02T12:37:09</t>
  </si>
  <si>
    <t>RDeichert</t>
  </si>
  <si>
    <t>ron.guillet@manulifesecurities.ca</t>
  </si>
  <si>
    <t>Ron Guillet</t>
  </si>
  <si>
    <t>2017-09-11T08:31:30</t>
  </si>
  <si>
    <t>mfc.ron.guillet</t>
  </si>
  <si>
    <t>Ron.Henriksen@manulifesecurities.ca</t>
  </si>
  <si>
    <t>Ron Henriksen</t>
  </si>
  <si>
    <t>RHenriksen</t>
  </si>
  <si>
    <t>Ron.Hogue@manulifesecurities.ca</t>
  </si>
  <si>
    <t>Ron Hogue</t>
  </si>
  <si>
    <t>RHogue</t>
  </si>
  <si>
    <t>Ron.Lawrence@manulifesecurities.ca</t>
  </si>
  <si>
    <t>Ron Lawrence</t>
  </si>
  <si>
    <t>lawrencr</t>
  </si>
  <si>
    <t>Ron.Lizee@manulifesecurities.ca</t>
  </si>
  <si>
    <t>Ron Lizee</t>
  </si>
  <si>
    <t>RLizee</t>
  </si>
  <si>
    <t>Ron.OGrady@manulifesecurities.ca</t>
  </si>
  <si>
    <t>Ron O'Grady</t>
  </si>
  <si>
    <t>2017-10-12T13:05:12</t>
  </si>
  <si>
    <t>RO'Grady</t>
  </si>
  <si>
    <t>Ron.Rau@manulifesecurities.ca</t>
  </si>
  <si>
    <t>Ron Rau</t>
  </si>
  <si>
    <t>2017-10-11T17:17:40</t>
  </si>
  <si>
    <t>mfc.ron.rau</t>
  </si>
  <si>
    <t>Ron.Snow@manulifesecurities.ca</t>
  </si>
  <si>
    <t>Ron Snow</t>
  </si>
  <si>
    <t>2017-10-14T06:21:52</t>
  </si>
  <si>
    <t>rosnow</t>
  </si>
  <si>
    <t>Ron.Tillotson@manulifesecurities.ca</t>
  </si>
  <si>
    <t>Ron Tillotson</t>
  </si>
  <si>
    <t>tillotson</t>
  </si>
  <si>
    <t>Ronald.Antido@manulifesecurities.ca</t>
  </si>
  <si>
    <t>Ronald Antido</t>
  </si>
  <si>
    <t>RAntido</t>
  </si>
  <si>
    <t>Ronald.Berube@manulifesecurities.ca</t>
  </si>
  <si>
    <t>Ronald Berube</t>
  </si>
  <si>
    <t>berubro</t>
  </si>
  <si>
    <t>Ronald.Cooley@manulifesecurities.ca</t>
  </si>
  <si>
    <t>Ronald Cooley</t>
  </si>
  <si>
    <t>2017-10-06T19:03:54</t>
  </si>
  <si>
    <t>RCooley</t>
  </si>
  <si>
    <t>Ronald.Foster@manulifesecurities.ca</t>
  </si>
  <si>
    <t>Ron Foster</t>
  </si>
  <si>
    <t>RFoster</t>
  </si>
  <si>
    <t>Ronald.Fung@manulifesecurities.ca</t>
  </si>
  <si>
    <t>Ronald Fung</t>
  </si>
  <si>
    <t>2015-03-14T12:54:09</t>
  </si>
  <si>
    <t>rfung</t>
  </si>
  <si>
    <t>Ronald.Moles@manulifesecurities.ca</t>
  </si>
  <si>
    <t>Ron Moles</t>
  </si>
  <si>
    <t>RMoles</t>
  </si>
  <si>
    <t>Ronald.Rau@manulifesecurities.ca</t>
  </si>
  <si>
    <t>mfc.ronald.rau</t>
  </si>
  <si>
    <t>Ronald.Rousseaux@manulifesecurities.ca</t>
  </si>
  <si>
    <t>Ronald Rousseaux</t>
  </si>
  <si>
    <t>2017-05-03T09:58:26</t>
  </si>
  <si>
    <t>rousseaux</t>
  </si>
  <si>
    <t>Ronald.Rusnak@manulifesecurities.ca</t>
  </si>
  <si>
    <t>Ronald Rusnak</t>
  </si>
  <si>
    <t>2017-10-15T02:37:23</t>
  </si>
  <si>
    <t>rusnak</t>
  </si>
  <si>
    <t>Ronald.Serafini@manulifesecurities.ca</t>
  </si>
  <si>
    <t>Ronald Serafini</t>
  </si>
  <si>
    <t>2017-10-06T21:46:28</t>
  </si>
  <si>
    <t>RSerafini</t>
  </si>
  <si>
    <t>Rosa.Costa@manulifesecurities.ca</t>
  </si>
  <si>
    <t>Rosa Costa</t>
  </si>
  <si>
    <t>2017-10-11T13:11:35</t>
  </si>
  <si>
    <t>RCosta</t>
  </si>
  <si>
    <t>Rosalee.Jacobson@manulifesecurities.ca</t>
  </si>
  <si>
    <t>Rosalee Jacobson</t>
  </si>
  <si>
    <t>RJacobson</t>
  </si>
  <si>
    <t>Rosalie.Pollock@manulifesecurities.ca</t>
  </si>
  <si>
    <t>Rosalie Pollock</t>
  </si>
  <si>
    <t>2017-10-10T12:34:39</t>
  </si>
  <si>
    <t>mfc.rosalie.pollo</t>
  </si>
  <si>
    <t>Rosanna.Camarda@manulifesecurities.ca</t>
  </si>
  <si>
    <t>Rosanna Camarda</t>
  </si>
  <si>
    <t>2015-11-23T10:19:47</t>
  </si>
  <si>
    <t>RCamarda</t>
  </si>
  <si>
    <t>Rosanna.Rau@manulifesecurities.ca</t>
  </si>
  <si>
    <t>Rosanna Rau</t>
  </si>
  <si>
    <t>rrau</t>
  </si>
  <si>
    <t>Rosanne.Currie@manulifesecurities.ca</t>
  </si>
  <si>
    <t>Rosanne Currie</t>
  </si>
  <si>
    <t>2017-09-26T07:09:00</t>
  </si>
  <si>
    <t>rosanne</t>
  </si>
  <si>
    <t>Rose.Greene@manulifesecurities.ca</t>
  </si>
  <si>
    <t>Rose Greene</t>
  </si>
  <si>
    <t>rosegreene</t>
  </si>
  <si>
    <t>Rose.Manigat@manulifesecurities.ca</t>
  </si>
  <si>
    <t>Rose Manigat</t>
  </si>
  <si>
    <t>2015-11-16T18:47:08</t>
  </si>
  <si>
    <t>mfc.rose.manigat</t>
  </si>
  <si>
    <t>Rose.Thomson@manulifesecurities.ca</t>
  </si>
  <si>
    <t>Rose Thomson</t>
  </si>
  <si>
    <t>thomsro</t>
  </si>
  <si>
    <t>Roseline.Tejeda@manulifesecurities.ca</t>
  </si>
  <si>
    <t>Tejeda</t>
  </si>
  <si>
    <t>rtejeda</t>
  </si>
  <si>
    <t>Rosemary.DiSalvo@manulifesecurities.ca</t>
  </si>
  <si>
    <t>Rosemary DiSalvo</t>
  </si>
  <si>
    <t>2017-09-23T18:10:46</t>
  </si>
  <si>
    <t>RDisalvo</t>
  </si>
  <si>
    <t>Rosi.Vrucina@manulifesecurities.ca</t>
  </si>
  <si>
    <t>Rosi Vrucina</t>
  </si>
  <si>
    <t>2015-10-15T16:02:22</t>
  </si>
  <si>
    <t>vruciro</t>
  </si>
  <si>
    <t>rosie.a.smith@manulifesecurities.ca</t>
  </si>
  <si>
    <t>Rosie Abigail Smith</t>
  </si>
  <si>
    <t>2016-01-25T08:44:22</t>
  </si>
  <si>
    <t>mfc.rosie.a.smith</t>
  </si>
  <si>
    <t>Rosina.Scerbo@manulifesecurities.ca</t>
  </si>
  <si>
    <t>Rosina Scerbo</t>
  </si>
  <si>
    <t>2017-10-10T06:32:32</t>
  </si>
  <si>
    <t>scerboro</t>
  </si>
  <si>
    <t>Ross.Ariss@manulifesecurities.ca</t>
  </si>
  <si>
    <t>Ross Ariss</t>
  </si>
  <si>
    <t>2017-10-13T13:47:05</t>
  </si>
  <si>
    <t>ggfinancial</t>
  </si>
  <si>
    <t>Ross.Cloran@manulifesecurities.ca</t>
  </si>
  <si>
    <t>Ross Cloran</t>
  </si>
  <si>
    <t>2017-09-14T10:58:35</t>
  </si>
  <si>
    <t>cloraro</t>
  </si>
  <si>
    <t>Ross.Durant@manulifesecurities.ca</t>
  </si>
  <si>
    <t>Ross Durant</t>
  </si>
  <si>
    <t>rdurant</t>
  </si>
  <si>
    <t>Ross.Young@manulifesecurities.ca</t>
  </si>
  <si>
    <t>Ross Young</t>
  </si>
  <si>
    <t>rossyoung</t>
  </si>
  <si>
    <t>Rossana.Tasker@manulifesecurities.ca</t>
  </si>
  <si>
    <t>RTasker</t>
  </si>
  <si>
    <t>Rowland.Tipper@manulifesecurities.ca</t>
  </si>
  <si>
    <t>Rowland Tipper</t>
  </si>
  <si>
    <t>tippero</t>
  </si>
  <si>
    <t>Roxanne.Archibald@manulifesecurities.ca</t>
  </si>
  <si>
    <t>Roxanne Archibald</t>
  </si>
  <si>
    <t>rarchiba</t>
  </si>
  <si>
    <t>Roxanne.Arnal@manulifesecurities.ca</t>
  </si>
  <si>
    <t>Roxanne Arnal</t>
  </si>
  <si>
    <t>2015-03-04T16:56:31</t>
  </si>
  <si>
    <t>RArnal</t>
  </si>
  <si>
    <t>Roxanne.Cluett@manulifesecurities.ca</t>
  </si>
  <si>
    <t>Roxanne Cluett</t>
  </si>
  <si>
    <t>mfc.roxanne.cluet</t>
  </si>
  <si>
    <t>Roxanne.Hermann@manulifesecurities.ca</t>
  </si>
  <si>
    <t>Roxanne Hermann</t>
  </si>
  <si>
    <t>RHermann</t>
  </si>
  <si>
    <t>Roxanne.Maisonneuve@manulifesecurities.ca</t>
  </si>
  <si>
    <t>Roxanne Maisonneuve</t>
  </si>
  <si>
    <t>rmaisonn</t>
  </si>
  <si>
    <t>Roy.Khawam@manulifesecurities.ca</t>
  </si>
  <si>
    <t>Roy Khawam</t>
  </si>
  <si>
    <t>2017-10-15T01:08:08</t>
  </si>
  <si>
    <t>RKhawam</t>
  </si>
  <si>
    <t>Roy.Wu@manulifesecurities.ca</t>
  </si>
  <si>
    <t>Roy Wu</t>
  </si>
  <si>
    <t>2017-10-11T12:03:33</t>
  </si>
  <si>
    <t>mfc.roy.wu</t>
  </si>
  <si>
    <t>Roz.Cohen@manulifesecurities.ca</t>
  </si>
  <si>
    <t>Roz Cohen</t>
  </si>
  <si>
    <t>rozcohen</t>
  </si>
  <si>
    <t>Roz.Stewart@manulifesecurities.ca</t>
  </si>
  <si>
    <t>Roz Stewart</t>
  </si>
  <si>
    <t>RStewart</t>
  </si>
  <si>
    <t>RS.Basaraba@manulifesecurities.ca</t>
  </si>
  <si>
    <t>Richard Basaraba</t>
  </si>
  <si>
    <t>2017-09-18T15:03:22</t>
  </si>
  <si>
    <t>RBasaraba</t>
  </si>
  <si>
    <t>RSVP@manulifesecurities.ca</t>
  </si>
  <si>
    <t>RSVP</t>
  </si>
  <si>
    <t>Ruby.Lougheed@manulifesecurities.ca</t>
  </si>
  <si>
    <t>Ruby Lougheed Yawney</t>
  </si>
  <si>
    <t>2017-10-11T19:54:09</t>
  </si>
  <si>
    <t>RLougheed</t>
  </si>
  <si>
    <t>ruby.rana@manulifesecurities.ca</t>
  </si>
  <si>
    <t>Ruby Rana</t>
  </si>
  <si>
    <t>2017-10-07T00:36:24</t>
  </si>
  <si>
    <t>mfc.ruby.rana</t>
  </si>
  <si>
    <t>Ruby.Sharpe@manulifesecurities.ca</t>
  </si>
  <si>
    <t>Ruby Sharpe</t>
  </si>
  <si>
    <t>2017-10-05T12:31:04</t>
  </si>
  <si>
    <t>mfc.ruby.sharpe</t>
  </si>
  <si>
    <t>Rueben.Aigbokhaode@manulifesecurities.ca</t>
  </si>
  <si>
    <t>RAigbokhaode</t>
  </si>
  <si>
    <t>Russ.Bonner@manulifesecurities.ca</t>
  </si>
  <si>
    <t>Russ Bonner</t>
  </si>
  <si>
    <t>RBonner</t>
  </si>
  <si>
    <t>Russell.Amero@manulifesecurities.ca</t>
  </si>
  <si>
    <t>Russell Amero</t>
  </si>
  <si>
    <t>2017-10-11T09:07:04</t>
  </si>
  <si>
    <t>mfc.russell.amero</t>
  </si>
  <si>
    <t>Russell.Hope@manulifesecurities.ca</t>
  </si>
  <si>
    <t>Russell Hope</t>
  </si>
  <si>
    <t>2017-10-07T09:32:02</t>
  </si>
  <si>
    <t>RHope</t>
  </si>
  <si>
    <t>Russell.McEdwards@manulifesecurities.ca</t>
  </si>
  <si>
    <t>Russell McEdwards</t>
  </si>
  <si>
    <t>2017-10-16T06:46:50</t>
  </si>
  <si>
    <t>mcedwards</t>
  </si>
  <si>
    <t>Ruth.Burdick@manulifesecurities.ca</t>
  </si>
  <si>
    <t>Ruth Burdick</t>
  </si>
  <si>
    <t>2017-10-12T11:14:07</t>
  </si>
  <si>
    <t>rburdick</t>
  </si>
  <si>
    <t>Ruth.Hein@manulifesecurities.ca</t>
  </si>
  <si>
    <t>Ruth Hein</t>
  </si>
  <si>
    <t>RHein</t>
  </si>
  <si>
    <t>Ruth.King@manulifesecurities.ca</t>
  </si>
  <si>
    <t>Ruth King</t>
  </si>
  <si>
    <t>2016-04-04T10:55:14</t>
  </si>
  <si>
    <t>ruthking</t>
  </si>
  <si>
    <t>rvetter@manulifesecurities.ca</t>
  </si>
  <si>
    <t>Richard Vetter</t>
  </si>
  <si>
    <t>2015-07-13T23:20:09</t>
  </si>
  <si>
    <t>RVetter</t>
  </si>
  <si>
    <t>Ryan.Ardron@manulifesecurities.ca</t>
  </si>
  <si>
    <t>Ryan Ardron</t>
  </si>
  <si>
    <t>2017-10-11T09:31:11</t>
  </si>
  <si>
    <t>ardronr</t>
  </si>
  <si>
    <t>Ryan.Buchholz@manulifesecurities.ca</t>
  </si>
  <si>
    <t>Ryan Buchholz</t>
  </si>
  <si>
    <t>2017-10-02T16:28:03</t>
  </si>
  <si>
    <t>rybuchho</t>
  </si>
  <si>
    <t>Ryan.Card@manulifesecurities.ca</t>
  </si>
  <si>
    <t>Ryan Card</t>
  </si>
  <si>
    <t>2016-03-08T14:18:55</t>
  </si>
  <si>
    <t>mfc.ryan.card</t>
  </si>
  <si>
    <t>Ryan.Cartwright@manulifesecurities.ca</t>
  </si>
  <si>
    <t>Ryan Cartwright</t>
  </si>
  <si>
    <t>rcartwri</t>
  </si>
  <si>
    <t>Ryan.Grosz@manulifesecurities.ca</t>
  </si>
  <si>
    <t>RGrosz</t>
  </si>
  <si>
    <t>Ryan.King@manulifesecurities.ca</t>
  </si>
  <si>
    <t>Ryan King</t>
  </si>
  <si>
    <t>RKing</t>
  </si>
  <si>
    <t>ryan.krzmarcik@manulifesecurities.ca</t>
  </si>
  <si>
    <t>Ryan Krzmarcik</t>
  </si>
  <si>
    <t>2016-03-08T13:06:42</t>
  </si>
  <si>
    <t>mfc.ryan.krzmarci</t>
  </si>
  <si>
    <t>Ryan.Kurtz@manulifesecurities.ca</t>
  </si>
  <si>
    <t>Ryan Kurtz</t>
  </si>
  <si>
    <t>2016-12-26T15:23:44</t>
  </si>
  <si>
    <t>RKurtz</t>
  </si>
  <si>
    <t>Ryan.Lightfoot@manulifesecurities.ca</t>
  </si>
  <si>
    <t>Ryan Lightfoot</t>
  </si>
  <si>
    <t>2017-10-06T13:28:14</t>
  </si>
  <si>
    <t>rlightfo</t>
  </si>
  <si>
    <t>Ryan.McCullough@manulifesecurities.ca</t>
  </si>
  <si>
    <t>Ryan McCullough</t>
  </si>
  <si>
    <t>RMcCullough</t>
  </si>
  <si>
    <t>Ryan.Murphy@manulifesecurities.ca</t>
  </si>
  <si>
    <t>Ryan Murphy</t>
  </si>
  <si>
    <t>RMurphy</t>
  </si>
  <si>
    <t>Ryan.Nevitt@manulifesecurities.ca</t>
  </si>
  <si>
    <t>Ryan Nevitt</t>
  </si>
  <si>
    <t>rnevitt</t>
  </si>
  <si>
    <t>Ryan.Norman@manulifesecurities.ca</t>
  </si>
  <si>
    <t>Ryan Norman</t>
  </si>
  <si>
    <t>RNorman</t>
  </si>
  <si>
    <t>Ryan.Pinkney@manulifesecurities.ca</t>
  </si>
  <si>
    <t>Ryan Pinkney</t>
  </si>
  <si>
    <t>2017-10-08T16:52:16</t>
  </si>
  <si>
    <t>RPinkney</t>
  </si>
  <si>
    <t>Ryan.Priest@manulifesecurities.ca</t>
  </si>
  <si>
    <t>Ryan Priest</t>
  </si>
  <si>
    <t>RPriest</t>
  </si>
  <si>
    <t>Ryan.Puri@manulifesecurities.ca</t>
  </si>
  <si>
    <t>Ryan Puri</t>
  </si>
  <si>
    <t>2017-03-16T13:10:53</t>
  </si>
  <si>
    <t>mfc.ryan.puri</t>
  </si>
  <si>
    <t>Ryan.Secord@manulifesecurities.ca</t>
  </si>
  <si>
    <t>Ryan Secord</t>
  </si>
  <si>
    <t>2017-10-10T11:00:38</t>
  </si>
  <si>
    <t>RSecord</t>
  </si>
  <si>
    <t>Ryan.Stanley@manulifesecurities.ca</t>
  </si>
  <si>
    <t>Ryan Stanley</t>
  </si>
  <si>
    <t>rstanley</t>
  </si>
  <si>
    <t>Ryan.Stephenson@manulifesecurities.ca</t>
  </si>
  <si>
    <t>Ryan Stephenson</t>
  </si>
  <si>
    <t>2017-10-07T06:34:17</t>
  </si>
  <si>
    <t>RStephenson</t>
  </si>
  <si>
    <t>Ryan.Stover@manulifesecurities.ca</t>
  </si>
  <si>
    <t>Ryan Stover</t>
  </si>
  <si>
    <t>2017-04-26T15:28:20</t>
  </si>
  <si>
    <t>RStover</t>
  </si>
  <si>
    <t>ryan.tempelman@manulifesecurities.ca</t>
  </si>
  <si>
    <t>Ryan Tempelman</t>
  </si>
  <si>
    <t>mfc.ryan.tempelma</t>
  </si>
  <si>
    <t>Ryan.Todd@manulifesecurities.ca</t>
  </si>
  <si>
    <t>Ryan Todd</t>
  </si>
  <si>
    <t>2017-10-12T09:14:00</t>
  </si>
  <si>
    <t>mfc.ryan.todd</t>
  </si>
  <si>
    <t>Ryan.West@manulifesecurities.ca</t>
  </si>
  <si>
    <t>Ryan West</t>
  </si>
  <si>
    <t>2017-10-13T14:44:20</t>
  </si>
  <si>
    <t>ryanwest</t>
  </si>
  <si>
    <t>Rylan.Adam@manulifesecurities.ca</t>
  </si>
  <si>
    <t>Rylan Adam</t>
  </si>
  <si>
    <t>2017-10-09T11:04:37</t>
  </si>
  <si>
    <t>mfc.rylan.adam</t>
  </si>
  <si>
    <t>s.allen@manulifesecurities.ca</t>
  </si>
  <si>
    <t>Steven Allen</t>
  </si>
  <si>
    <t>2017-10-12T16:34:41</t>
  </si>
  <si>
    <t>mfc.s.allen</t>
  </si>
  <si>
    <t>S.Kavanagh@manulifesecurities.ca</t>
  </si>
  <si>
    <t>Susan Kavanagh</t>
  </si>
  <si>
    <t>2017-10-05T14:46:31</t>
  </si>
  <si>
    <t>SuAdams</t>
  </si>
  <si>
    <t>S.Kennedy@manulifesecurities.ca</t>
  </si>
  <si>
    <t>Sharon Kennedy</t>
  </si>
  <si>
    <t>2017-02-08T10:17:48</t>
  </si>
  <si>
    <t>SKennedy</t>
  </si>
  <si>
    <t>S.Moutafian@manulifesecurities.ca</t>
  </si>
  <si>
    <t>Stephanie Moutafian</t>
  </si>
  <si>
    <t>2016-02-06T16:36:38</t>
  </si>
  <si>
    <t>mfc.s.moutafian</t>
  </si>
  <si>
    <t>S.Parnell-Shaw@manulifesecurities.ca</t>
  </si>
  <si>
    <t>Shawnda Parnell-Shaw</t>
  </si>
  <si>
    <t>2017-10-09T12:24:42</t>
  </si>
  <si>
    <t>mfc.s.parnell-sha</t>
  </si>
  <si>
    <t>s.petrin@manulifesecurities.ca</t>
  </si>
  <si>
    <t>Sandra Petrin</t>
  </si>
  <si>
    <t>2017-10-15T15:45:25</t>
  </si>
  <si>
    <t>mfc.s.petrin</t>
  </si>
  <si>
    <t>s.robertson@manulifesecurities.ca</t>
  </si>
  <si>
    <t>Sheila Robertson</t>
  </si>
  <si>
    <t>2017-10-13T14:07:02</t>
  </si>
  <si>
    <t>mfc.s.robertson</t>
  </si>
  <si>
    <t>s.vonheyking@manulifesecurities.ca</t>
  </si>
  <si>
    <t>Susanne Von Heyking (Disabled)</t>
  </si>
  <si>
    <t>svonheyking</t>
  </si>
  <si>
    <t>S.White@manulifesecurities.ca</t>
  </si>
  <si>
    <t>Shannon White --ON</t>
  </si>
  <si>
    <t>2015-05-26T12:30:17</t>
  </si>
  <si>
    <t>shwhite</t>
  </si>
  <si>
    <t>sa@manulifesecurities.ca</t>
  </si>
  <si>
    <t>SA (IT Use ONLY)</t>
  </si>
  <si>
    <t>2017-04-19T09:37:54</t>
  </si>
  <si>
    <t>sa</t>
  </si>
  <si>
    <t>SaAli@manulifesecurities.ca</t>
  </si>
  <si>
    <t>Sandra Ali</t>
  </si>
  <si>
    <t>SaAli</t>
  </si>
  <si>
    <t>Sabina.Friesen@manulifesecurities.ca</t>
  </si>
  <si>
    <t>Sabina Friesen</t>
  </si>
  <si>
    <t>2017-09-05T11:40:38</t>
  </si>
  <si>
    <t>mfc.sabina.friese</t>
  </si>
  <si>
    <t>sabina.proctor@manulifesecurities.ca</t>
  </si>
  <si>
    <t>Sabina Proctor</t>
  </si>
  <si>
    <t>2016-12-19T09:47:33</t>
  </si>
  <si>
    <t>mfc.sabina.procto</t>
  </si>
  <si>
    <t>Sabrina.Cavezza@manulifesecurities.ca</t>
  </si>
  <si>
    <t>Sabrina Cavezza</t>
  </si>
  <si>
    <t>2015-09-11T21:42:39</t>
  </si>
  <si>
    <t>SCavezza</t>
  </si>
  <si>
    <t>Sabrina.Kerbel@manulifesecurities.ca</t>
  </si>
  <si>
    <t>Sabrina Kerbel</t>
  </si>
  <si>
    <t>SKerbel</t>
  </si>
  <si>
    <t>Saeed.Ally@manulifesecurities.ca</t>
  </si>
  <si>
    <t>Saeed Ally</t>
  </si>
  <si>
    <t>2017-04-16T13:33:52</t>
  </si>
  <si>
    <t>SAlly</t>
  </si>
  <si>
    <t>Safeena.Silverman@manulifesecurities.ca</t>
  </si>
  <si>
    <t>Safeena Silverman</t>
  </si>
  <si>
    <t>SSilverman</t>
  </si>
  <si>
    <t>Sagal.Abdulle@manulifesecurities.ca</t>
  </si>
  <si>
    <t>Sagal Abdulle</t>
  </si>
  <si>
    <t>SAbdulle</t>
  </si>
  <si>
    <t>Sahan.Warnak@manulifesecurities.ca</t>
  </si>
  <si>
    <t>Sahan Warnak</t>
  </si>
  <si>
    <t>SWarnak</t>
  </si>
  <si>
    <t>Saida.Mosna@manulifesecurities.ca</t>
  </si>
  <si>
    <t>Saida Mosna</t>
  </si>
  <si>
    <t>SMosna</t>
  </si>
  <si>
    <t>Salena.White@manulifesecurities.ca</t>
  </si>
  <si>
    <t>Salena White</t>
  </si>
  <si>
    <t>sjwhite</t>
  </si>
  <si>
    <t>Sales.Communications@manulifesecurities.ca</t>
  </si>
  <si>
    <t>Sales Communications</t>
  </si>
  <si>
    <t>SCommunications</t>
  </si>
  <si>
    <t>Sally.Mcdougall@manulifesecurities.ca</t>
  </si>
  <si>
    <t>Sally McDougall</t>
  </si>
  <si>
    <t>sallym</t>
  </si>
  <si>
    <t>Sally.Tai@manulifesecurities.ca</t>
  </si>
  <si>
    <t>Sally Tai</t>
  </si>
  <si>
    <t>2017-06-13T21:30:01</t>
  </si>
  <si>
    <t>SalTai</t>
  </si>
  <si>
    <t>Salma.Shaarawy@manulifesecurities.ca</t>
  </si>
  <si>
    <t>Salma Shaarawy</t>
  </si>
  <si>
    <t>2017-04-24T11:22:27</t>
  </si>
  <si>
    <t>mfc.salma.shaaraw</t>
  </si>
  <si>
    <t>Sam.Babiuk@manulifesecurities.ca</t>
  </si>
  <si>
    <t>Sam Babiuk</t>
  </si>
  <si>
    <t>SBabiuk</t>
  </si>
  <si>
    <t>Sam.Barri@manulifesecurities.ca</t>
  </si>
  <si>
    <t>Sam Barri</t>
  </si>
  <si>
    <t>SBarri</t>
  </si>
  <si>
    <t>Sam.Solomon@manulifesecurities.ca</t>
  </si>
  <si>
    <t>Sam Solomon</t>
  </si>
  <si>
    <t>2017-09-04T09:17:39</t>
  </si>
  <si>
    <t>mfc.sam.solomon</t>
  </si>
  <si>
    <t>Sam.Stephenson@manulifesecurities.ca</t>
  </si>
  <si>
    <t>Sam Stephenson</t>
  </si>
  <si>
    <t>SStephenson</t>
  </si>
  <si>
    <t>Sam.Terzian@manulifesecurities.ca</t>
  </si>
  <si>
    <t>Sam Terzian</t>
  </si>
  <si>
    <t>2017-04-05T19:10:23</t>
  </si>
  <si>
    <t>mfc.sam.terzian</t>
  </si>
  <si>
    <t>Samantha.Cochrane@manulifesecurities.ca</t>
  </si>
  <si>
    <t>Samantha Cochrane</t>
  </si>
  <si>
    <t>2017-07-10T11:09:08</t>
  </si>
  <si>
    <t>mfc.samantha.coch</t>
  </si>
  <si>
    <t>Samantha.Hevey@manulifesecurities.ca</t>
  </si>
  <si>
    <t>Samantha Hevey</t>
  </si>
  <si>
    <t>samanthahevey</t>
  </si>
  <si>
    <t>Samantha.Patrickson@manulifesecurities.ca</t>
  </si>
  <si>
    <t>Samantha Patrickson</t>
  </si>
  <si>
    <t>2017-10-10T06:50:10</t>
  </si>
  <si>
    <t>SPatrickson</t>
  </si>
  <si>
    <t>Samantha.Pollock@manulifesecurities.ca</t>
  </si>
  <si>
    <t>Samantha Pollock</t>
  </si>
  <si>
    <t>2017-08-01T14:19:34</t>
  </si>
  <si>
    <t>spollock</t>
  </si>
  <si>
    <t>Samantha.Rocha@manulifesecurities.ca</t>
  </si>
  <si>
    <t>Samantha Rocha</t>
  </si>
  <si>
    <t>SRocha</t>
  </si>
  <si>
    <t>Samuel.Briere@manulifesecurities.ca</t>
  </si>
  <si>
    <t>Samuel Briere</t>
  </si>
  <si>
    <t>2017-10-06T13:01:48</t>
  </si>
  <si>
    <t>SBriere</t>
  </si>
  <si>
    <t>Samuel.Mahler@manulifesecurities.ca</t>
  </si>
  <si>
    <t>Samuel Mahler</t>
  </si>
  <si>
    <t>2017-10-12T18:01:57</t>
  </si>
  <si>
    <t>SMahler</t>
  </si>
  <si>
    <t>Sandi.Granstrom@manulifesecurities.ca</t>
  </si>
  <si>
    <t>Sandi Granstrom</t>
  </si>
  <si>
    <t>granstrom</t>
  </si>
  <si>
    <t>Sandi.Rodger@manulifesecurities.ca</t>
  </si>
  <si>
    <t>Sandi Rodger</t>
  </si>
  <si>
    <t>SRodger</t>
  </si>
  <si>
    <t>Sandra.Azrak@manulifesecurities.ca</t>
  </si>
  <si>
    <t>Sandra Azrak</t>
  </si>
  <si>
    <t>2017-10-10T09:38:54</t>
  </si>
  <si>
    <t>mfc.sandra.azrak</t>
  </si>
  <si>
    <t>Sandra.Collins@manulifesecurities.ca</t>
  </si>
  <si>
    <t>Sandra Collins</t>
  </si>
  <si>
    <t>mfc.sandra.collin</t>
  </si>
  <si>
    <t>Sandra.Compton@manulifesecurities.ca</t>
  </si>
  <si>
    <t>Sandra Compton</t>
  </si>
  <si>
    <t>scompton</t>
  </si>
  <si>
    <t>Sandra.Dockman@manulifesecurities.ca</t>
  </si>
  <si>
    <t>Sandra Dockman</t>
  </si>
  <si>
    <t>2017-10-12T12:09:13</t>
  </si>
  <si>
    <t>SDockman</t>
  </si>
  <si>
    <t>Sandra.Gallagher@manulifesecurities.ca</t>
  </si>
  <si>
    <t>Sandra Gallagher</t>
  </si>
  <si>
    <t>gallasa</t>
  </si>
  <si>
    <t>Sandra.Guerin@manulifesecurities.ca</t>
  </si>
  <si>
    <t>Sandra Guerin</t>
  </si>
  <si>
    <t>2016-08-23T16:17:04</t>
  </si>
  <si>
    <t>SGuerin</t>
  </si>
  <si>
    <t>Sandra.Harris@manulifesecurities.ca</t>
  </si>
  <si>
    <t>Sandra Harris</t>
  </si>
  <si>
    <t>2017-10-12T15:22:23</t>
  </si>
  <si>
    <t>saharris</t>
  </si>
  <si>
    <t>Sandra.Koocher@manulifesecurities.ca</t>
  </si>
  <si>
    <t>Sandra Koocher</t>
  </si>
  <si>
    <t>skooch</t>
  </si>
  <si>
    <t>Sandra.Landry@manulifesecurities.ca</t>
  </si>
  <si>
    <t>Sandra Landry</t>
  </si>
  <si>
    <t>2017-10-13T08:43:50</t>
  </si>
  <si>
    <t>SLandry</t>
  </si>
  <si>
    <t>Sandra.Lyn@manulifesecurities.ca</t>
  </si>
  <si>
    <t>Sandra Lyn</t>
  </si>
  <si>
    <t>sandralyn</t>
  </si>
  <si>
    <t>Sandra.McNally@manulifesecurities.ca</t>
  </si>
  <si>
    <t>Sandra McNally</t>
  </si>
  <si>
    <t>2017-10-11T02:59:40</t>
  </si>
  <si>
    <t>smcnal</t>
  </si>
  <si>
    <t>Sandra.Misa@manulifesecurities.ca</t>
  </si>
  <si>
    <t>Sandra Misa</t>
  </si>
  <si>
    <t>2017-08-21T08:11:28</t>
  </si>
  <si>
    <t>mfc.sandra.misa</t>
  </si>
  <si>
    <t>Sandra.Mondor@manulifesecurities.ca</t>
  </si>
  <si>
    <t>Sandra Mondor</t>
  </si>
  <si>
    <t>smondor</t>
  </si>
  <si>
    <t>Sandra.Petrin@manulifesecurities.ca</t>
  </si>
  <si>
    <t>SPetrin</t>
  </si>
  <si>
    <t>Sandra.Riley@manulifesecurities.ca</t>
  </si>
  <si>
    <t>Sandra Riley</t>
  </si>
  <si>
    <t>2015-09-11T10:53:58</t>
  </si>
  <si>
    <t>Sanriley</t>
  </si>
  <si>
    <t>Sandra.Roberts@manulifesecurities.ca</t>
  </si>
  <si>
    <t>Sandra Roberts</t>
  </si>
  <si>
    <t>SRoberts</t>
  </si>
  <si>
    <t>Sandra.Shelemey@manulifesecurities.ca</t>
  </si>
  <si>
    <t>Sandra Shelemey</t>
  </si>
  <si>
    <t>sshelemey</t>
  </si>
  <si>
    <t>Sandra.Silzer@manulifesecurities.ca</t>
  </si>
  <si>
    <t>Sandi Silzer</t>
  </si>
  <si>
    <t>2017-10-02T15:02:49</t>
  </si>
  <si>
    <t>SSilzer</t>
  </si>
  <si>
    <t>Sandra.Smart@manulifesecurities.ca</t>
  </si>
  <si>
    <t>Sandra Smart</t>
  </si>
  <si>
    <t>SSmart</t>
  </si>
  <si>
    <t>Sandra.Thomson@manulifesecurities.ca</t>
  </si>
  <si>
    <t>Sandra Thomson</t>
  </si>
  <si>
    <t>sthoms</t>
  </si>
  <si>
    <t>Sandra.Tibble@manulifesecurities.ca</t>
  </si>
  <si>
    <t>Sandra Tibble</t>
  </si>
  <si>
    <t>2017-10-06T17:55:12</t>
  </si>
  <si>
    <t>STibble</t>
  </si>
  <si>
    <t>Sandra.Watson@manulifesecurities.ca</t>
  </si>
  <si>
    <t>Sandra Watson</t>
  </si>
  <si>
    <t>2017-10-16T09:08:06</t>
  </si>
  <si>
    <t>SWatson</t>
  </si>
  <si>
    <t>Sandy.Andrews@manulifesecurities.ca</t>
  </si>
  <si>
    <t>Sandy Andrews</t>
  </si>
  <si>
    <t>2016-07-04T14:05:40</t>
  </si>
  <si>
    <t>SAndrews</t>
  </si>
  <si>
    <t>Sandy.Bielas@manulifesecurities.ca</t>
  </si>
  <si>
    <t>Sandy Bielas</t>
  </si>
  <si>
    <t>2017-10-03T10:47:56</t>
  </si>
  <si>
    <t>sbielas</t>
  </si>
  <si>
    <t>Sandy.Kobarda@manulifesecurities.ca</t>
  </si>
  <si>
    <t>Sandy Kobarda</t>
  </si>
  <si>
    <t>2017-10-16T09:25:24</t>
  </si>
  <si>
    <t>SKobarda</t>
  </si>
  <si>
    <t>Sandy.Matesic@manulifesecurities.ca</t>
  </si>
  <si>
    <t>SMatesic</t>
  </si>
  <si>
    <t>Sandy.Mclaughlin@manulifesecurities.ca</t>
  </si>
  <si>
    <t>Sandy Mclaughlin</t>
  </si>
  <si>
    <t>smclaughlin</t>
  </si>
  <si>
    <t>Sandy.Proulx@manulifesecurities.ca</t>
  </si>
  <si>
    <t>Sandy Proulx</t>
  </si>
  <si>
    <t>2017-10-13T14:00:18</t>
  </si>
  <si>
    <t>sproulx</t>
  </si>
  <si>
    <t>Sandy.Shoebridge@manulifesecurities.ca</t>
  </si>
  <si>
    <t>Sandy Shoebridge</t>
  </si>
  <si>
    <t>2017-01-17T10:54:35</t>
  </si>
  <si>
    <t>shoesan</t>
  </si>
  <si>
    <t>Sandy.Spagnolo@manulifesecurities.ca</t>
  </si>
  <si>
    <t>Sandy Spagnolo</t>
  </si>
  <si>
    <t>2017-10-03T14:27:34</t>
  </si>
  <si>
    <t>spagsandy</t>
  </si>
  <si>
    <t>Sanya.Binkley@manulifesecurities.ca</t>
  </si>
  <si>
    <t>Sanya Binkley</t>
  </si>
  <si>
    <t>2017-08-21T10:19:18</t>
  </si>
  <si>
    <t>mfc.sanya.binkley</t>
  </si>
  <si>
    <t>Sara.Adib@manulifesecurities.ca</t>
  </si>
  <si>
    <t>Sara Adib</t>
  </si>
  <si>
    <t>SAdib</t>
  </si>
  <si>
    <t>Sara.Nowak@manulifesecurities.ca</t>
  </si>
  <si>
    <t>Sara Nowak</t>
  </si>
  <si>
    <t>SNowak</t>
  </si>
  <si>
    <t>Sara.Sajnovits@manulifesecurities.ca</t>
  </si>
  <si>
    <t>Sara Sajnovits</t>
  </si>
  <si>
    <t>SSajnovits</t>
  </si>
  <si>
    <t>Sara.Santos@manulifesecurities.ca</t>
  </si>
  <si>
    <t>Sara Santos</t>
  </si>
  <si>
    <t>2017-10-10T09:04:31</t>
  </si>
  <si>
    <t>mfc.sara.santos</t>
  </si>
  <si>
    <t>Sara.Worley@manulifesecurities.ca</t>
  </si>
  <si>
    <t>Sara Worley</t>
  </si>
  <si>
    <t>2017-10-14T15:37:13</t>
  </si>
  <si>
    <t>SWorley</t>
  </si>
  <si>
    <t>Sarah.Dennis@manulifesecurities.ca</t>
  </si>
  <si>
    <t>Sarah Dennis</t>
  </si>
  <si>
    <t>SaDennis</t>
  </si>
  <si>
    <t>Sarah.Eichinger@manulifesecurities.ca</t>
  </si>
  <si>
    <t>SEichinger</t>
  </si>
  <si>
    <t>Sarah.Fakhoury@manulifesecurities.ca</t>
  </si>
  <si>
    <t>Sarah Fakhoury</t>
  </si>
  <si>
    <t>2017-10-16T06:39:38</t>
  </si>
  <si>
    <t>SFakhoury</t>
  </si>
  <si>
    <t>Sarah.Graham@manulifesecurities.ca</t>
  </si>
  <si>
    <t>Sarah Graham</t>
  </si>
  <si>
    <t>sgraham</t>
  </si>
  <si>
    <t>Sarah.Holland@manulifesecurities.ca</t>
  </si>
  <si>
    <t>Sarah Holland</t>
  </si>
  <si>
    <t>sahollan</t>
  </si>
  <si>
    <t>Sarah.Jaber@manulifesecurities.ca</t>
  </si>
  <si>
    <t>Sarah Jaber</t>
  </si>
  <si>
    <t>sjaber</t>
  </si>
  <si>
    <t>Sarah.Kaiser@manulifesecurities.ca</t>
  </si>
  <si>
    <t>Sarah Kaiser</t>
  </si>
  <si>
    <t>2017-10-10T11:36:13</t>
  </si>
  <si>
    <t>mfc.sarah.kaiser</t>
  </si>
  <si>
    <t>Sarah.Kuypers@manulifesecurities.ca</t>
  </si>
  <si>
    <t>Sarah Kuypers</t>
  </si>
  <si>
    <t>skuypers</t>
  </si>
  <si>
    <t>Sarah.Kuypers2@manulifesecurities.ca</t>
  </si>
  <si>
    <t>Sarah Kuypers  (SarahKuypers)</t>
  </si>
  <si>
    <t>SarahKuypers</t>
  </si>
  <si>
    <t>Sarah.Larsh@manulifesecurities.ca</t>
  </si>
  <si>
    <t>Sarah Larsh</t>
  </si>
  <si>
    <t>slarsh</t>
  </si>
  <si>
    <t>Sarah.Lifford@manulifesecurities.ca</t>
  </si>
  <si>
    <t>Sarah Lifford</t>
  </si>
  <si>
    <t>2017-10-03T14:16:10</t>
  </si>
  <si>
    <t>SLifford</t>
  </si>
  <si>
    <t>Sarah.Lockwood@manulifesecurities.ca</t>
  </si>
  <si>
    <t>Sarah Lockwood</t>
  </si>
  <si>
    <t>SLockwood</t>
  </si>
  <si>
    <t>Sarah.Macgregor@manulifesecurities.ca</t>
  </si>
  <si>
    <t>Sarah Macgregor</t>
  </si>
  <si>
    <t>smacgregor</t>
  </si>
  <si>
    <t>Sarah.Pollock@manulifesecurities.ca</t>
  </si>
  <si>
    <t>Sarah Pollock</t>
  </si>
  <si>
    <t>sarpoll</t>
  </si>
  <si>
    <t>Sarah.Robson@manulifesecurities.ca</t>
  </si>
  <si>
    <t>Sarah Robson (Burlington)</t>
  </si>
  <si>
    <t>SRobson</t>
  </si>
  <si>
    <t>Sarah.Rycroft@manulifesecurities.ca</t>
  </si>
  <si>
    <t>Sarah Rycroft</t>
  </si>
  <si>
    <t>srycroft</t>
  </si>
  <si>
    <t>Sarah.Vartanian@manulifesecurities.ca</t>
  </si>
  <si>
    <t>Sarah Vartanian</t>
  </si>
  <si>
    <t>2017-10-11T09:37:02</t>
  </si>
  <si>
    <t>mfc.sarah.vartani</t>
  </si>
  <si>
    <t>Sarah.Zhu@manulifesecurities.ca</t>
  </si>
  <si>
    <t>Sarah Zhu</t>
  </si>
  <si>
    <t>2015-01-07T20:18:49</t>
  </si>
  <si>
    <t>mfc.sarah.zhu</t>
  </si>
  <si>
    <t>Saroth.Min@manulifesecurities.ca</t>
  </si>
  <si>
    <t>Saroth Min</t>
  </si>
  <si>
    <t>smin</t>
  </si>
  <si>
    <t>Sasha.Clarke@manulifesecurities.ca</t>
  </si>
  <si>
    <t>Sasha Clarke</t>
  </si>
  <si>
    <t>2017-10-10T09:49:07</t>
  </si>
  <si>
    <t>sclarke</t>
  </si>
  <si>
    <t>Satin.Rai@manulifesecurities.ca</t>
  </si>
  <si>
    <t>Satin Rai</t>
  </si>
  <si>
    <t>SRai</t>
  </si>
  <si>
    <t>Satwik.Dutt@manulifesecurities.ca</t>
  </si>
  <si>
    <t>Satwik Dutt</t>
  </si>
  <si>
    <t>2017-10-13T15:02:03</t>
  </si>
  <si>
    <t>mfc.satwik.dutt</t>
  </si>
  <si>
    <t>Saverio.DiMondo@manulifesecurities.ca</t>
  </si>
  <si>
    <t>Saverio DiMondo</t>
  </si>
  <si>
    <t>SDiMondo</t>
  </si>
  <si>
    <t>Savtanter.Wadera@manulifesecurities.ca</t>
  </si>
  <si>
    <t>Savtanter Wadera</t>
  </si>
  <si>
    <t>savtanter</t>
  </si>
  <si>
    <t>Scott.Becksted@manulifesecurities.ca</t>
  </si>
  <si>
    <t>Scott Becksted</t>
  </si>
  <si>
    <t>2017-10-13T18:17:12</t>
  </si>
  <si>
    <t>SBecksted</t>
  </si>
  <si>
    <t>Scott.Blair@manulifesecurities.ca</t>
  </si>
  <si>
    <t>Scott Blair</t>
  </si>
  <si>
    <t>2017-10-09T13:18:58</t>
  </si>
  <si>
    <t>SBlair</t>
  </si>
  <si>
    <t>Scott.Bowman@manulifesecurities.ca</t>
  </si>
  <si>
    <t>Scott Bowman</t>
  </si>
  <si>
    <t>SBowman</t>
  </si>
  <si>
    <t>Scott.Cockerill@manulifesecurities.ca</t>
  </si>
  <si>
    <t>Gregory S. Cockerill</t>
  </si>
  <si>
    <t>scockeri</t>
  </si>
  <si>
    <t>Scott.Coolman@manulifesecurities.ca</t>
  </si>
  <si>
    <t>Scott Coolman</t>
  </si>
  <si>
    <t>2017-10-11T14:17:55</t>
  </si>
  <si>
    <t>SCoolman</t>
  </si>
  <si>
    <t>Scott.Goldston@manulifesecurities.ca</t>
  </si>
  <si>
    <t>Scott Goldston</t>
  </si>
  <si>
    <t>2017-04-21T14:57:14</t>
  </si>
  <si>
    <t>scottgoldston</t>
  </si>
  <si>
    <t>Scott.Gravesande@manulifesecurities.ca</t>
  </si>
  <si>
    <t>Scott Gravesande</t>
  </si>
  <si>
    <t>2017-10-15T11:55:38</t>
  </si>
  <si>
    <t>SGravesande</t>
  </si>
  <si>
    <t>Scott.Gravesande2@manulifesecurities.ca</t>
  </si>
  <si>
    <t>Scott R. Gravesande</t>
  </si>
  <si>
    <t>sgraves</t>
  </si>
  <si>
    <t>Scott.Keir@manulifesecurities.ca</t>
  </si>
  <si>
    <t>Scott Keir</t>
  </si>
  <si>
    <t>2017-10-12T11:09:34</t>
  </si>
  <si>
    <t>sckeir</t>
  </si>
  <si>
    <t>Scott.Kwasnecha@manulifesecurities.ca</t>
  </si>
  <si>
    <t>Scott Kwasnecha</t>
  </si>
  <si>
    <t>2017-10-06T11:18:10</t>
  </si>
  <si>
    <t>mfc.scott.kwasnec</t>
  </si>
  <si>
    <t>Scott.LandGraff@manulifesecurities.ca</t>
  </si>
  <si>
    <t>Scott Landgraff</t>
  </si>
  <si>
    <t>2017-10-09T15:55:52</t>
  </si>
  <si>
    <t>mfc.scott.landgra</t>
  </si>
  <si>
    <t>Scott.Mallender@manulifesecurities.ca</t>
  </si>
  <si>
    <t>Scott Mallender</t>
  </si>
  <si>
    <t>2017-06-19T19:51:37</t>
  </si>
  <si>
    <t>mfc.scott.mallend</t>
  </si>
  <si>
    <t>Scott.McMahon@manulifesecurities.ca</t>
  </si>
  <si>
    <t>Scott McMahon</t>
  </si>
  <si>
    <t>2017-05-17T10:45:13</t>
  </si>
  <si>
    <t>mfc.scott.mcmahon</t>
  </si>
  <si>
    <t>Scott.Moore@manulifesecurities.ca</t>
  </si>
  <si>
    <t>Scott Moore</t>
  </si>
  <si>
    <t>scmoore</t>
  </si>
  <si>
    <t>Scott.Murray@manulifesecurities.ca</t>
  </si>
  <si>
    <t>Scott Murray</t>
  </si>
  <si>
    <t>2017-10-12T09:07:28</t>
  </si>
  <si>
    <t>samurray</t>
  </si>
  <si>
    <t>Scott.ODonnell@manulifesecurities.ca</t>
  </si>
  <si>
    <t>Scott O'Donnell</t>
  </si>
  <si>
    <t>2017-10-10T09:52:32</t>
  </si>
  <si>
    <t>scotto</t>
  </si>
  <si>
    <t>Scott.Rutgers@manulifesecurities.ca</t>
  </si>
  <si>
    <t>Scott Rutgers</t>
  </si>
  <si>
    <t>srutgers</t>
  </si>
  <si>
    <t>Scott.Swallow@manulifesecurities.ca</t>
  </si>
  <si>
    <t>Scott Swallow</t>
  </si>
  <si>
    <t>2017-10-08T11:02:48</t>
  </si>
  <si>
    <t>SSwallow</t>
  </si>
  <si>
    <t>sean.collington@manulifesecurities.ca</t>
  </si>
  <si>
    <t>Sean Collington</t>
  </si>
  <si>
    <t>2017-08-25T11:40:29</t>
  </si>
  <si>
    <t>mfc.sean.collingt</t>
  </si>
  <si>
    <t>Sean.Connolly@manulifesecurities.ca</t>
  </si>
  <si>
    <t>Sean Connolly</t>
  </si>
  <si>
    <t>SConnolly</t>
  </si>
  <si>
    <t>Sean.Dwyer@manulifesecurities.ca</t>
  </si>
  <si>
    <t>Sean Dwyer</t>
  </si>
  <si>
    <t>2017-10-14T16:36:28</t>
  </si>
  <si>
    <t>sdwyer</t>
  </si>
  <si>
    <t>Sean.Folstad@manulifesecurities.ca</t>
  </si>
  <si>
    <t>Sean Folstad</t>
  </si>
  <si>
    <t>2017-10-16T09:25:45</t>
  </si>
  <si>
    <t>mfc.sean.folstad</t>
  </si>
  <si>
    <t>Sean.Hart@manulifesecurities.ca</t>
  </si>
  <si>
    <t>Sean Hart</t>
  </si>
  <si>
    <t>sehart</t>
  </si>
  <si>
    <t>Sean.Keleher@manulifesecurities.ca</t>
  </si>
  <si>
    <t>Sean Keleher</t>
  </si>
  <si>
    <t>2017-03-30T03:20:42</t>
  </si>
  <si>
    <t>skeleher</t>
  </si>
  <si>
    <t>sean.middaugh@manulifesecurities.ca</t>
  </si>
  <si>
    <t>Sean Middaugh</t>
  </si>
  <si>
    <t>2017-10-10T05:26:56</t>
  </si>
  <si>
    <t>mfc.sean.middaugh</t>
  </si>
  <si>
    <t>Sean.Moir@manulifesecurities.ca</t>
  </si>
  <si>
    <t>Sean Moir</t>
  </si>
  <si>
    <t>smoir</t>
  </si>
  <si>
    <t>Sean.O'Hara@manulifesecurities.ca</t>
  </si>
  <si>
    <t>Sean O'Hara</t>
  </si>
  <si>
    <t>2017-10-08T11:49:29</t>
  </si>
  <si>
    <t>mfc.sean.ohara</t>
  </si>
  <si>
    <t>Sean.Park@manulifesecurities.ca</t>
  </si>
  <si>
    <t>Sean Park</t>
  </si>
  <si>
    <t>SPark</t>
  </si>
  <si>
    <t>Sean.Reid@manulifesecurities.ca</t>
  </si>
  <si>
    <t>Sean Reid</t>
  </si>
  <si>
    <t>sereid</t>
  </si>
  <si>
    <t>Sean.Stevens@manulifesecurities.ca</t>
  </si>
  <si>
    <t>Sean Stevens</t>
  </si>
  <si>
    <t>2017-10-13T08:31:47</t>
  </si>
  <si>
    <t>mfc.sean.stevens</t>
  </si>
  <si>
    <t>sean.szaloczi@manulifesecurities.ca</t>
  </si>
  <si>
    <t>Sean Szaloczi</t>
  </si>
  <si>
    <t>2016-09-12T11:42:02</t>
  </si>
  <si>
    <t>mfc.sean.szaloczi</t>
  </si>
  <si>
    <t>Sean.Urquhart@manulifesecurities.ca</t>
  </si>
  <si>
    <t>Sean Urquhart</t>
  </si>
  <si>
    <t>surquhart</t>
  </si>
  <si>
    <t>Sebastien.Martin@manulifesecurities.ca</t>
  </si>
  <si>
    <t>Sebastien Martin</t>
  </si>
  <si>
    <t>SMartin</t>
  </si>
  <si>
    <t>Sebastien.Messier@manulifesecurities.ca</t>
  </si>
  <si>
    <t>Sebastien</t>
  </si>
  <si>
    <t>2017-10-11T16:51:28</t>
  </si>
  <si>
    <t>mfc.sebastien.mes</t>
  </si>
  <si>
    <t>Sebastien.Stark@manulifesecurities.ca</t>
  </si>
  <si>
    <t>Sebastien Stark</t>
  </si>
  <si>
    <t>sstark</t>
  </si>
  <si>
    <t>SecurityOperations@manulifesecurities.ca</t>
  </si>
  <si>
    <t>Security Operations</t>
  </si>
  <si>
    <t>securityoperations</t>
  </si>
  <si>
    <t>Seema.Dhamu@manulifesecurities.ca</t>
  </si>
  <si>
    <t>Seema Dhamu</t>
  </si>
  <si>
    <t>seemadhamu</t>
  </si>
  <si>
    <t>SegFundProcessing@manulifesecurities.ca</t>
  </si>
  <si>
    <t>Seg Fund Processing</t>
  </si>
  <si>
    <t>SProcessing</t>
  </si>
  <si>
    <t>Seija.Bokalo@manulifesecurities.ca</t>
  </si>
  <si>
    <t>Seija Bokalo</t>
  </si>
  <si>
    <t>2017-05-29T09:17:34</t>
  </si>
  <si>
    <t>sbokalo</t>
  </si>
  <si>
    <t>Selwyn.Assing@manulifesecurities.ca</t>
  </si>
  <si>
    <t>Selwyn Assing</t>
  </si>
  <si>
    <t>selwynassing</t>
  </si>
  <si>
    <t>Serdar.Acan@manulifesecurities.ca</t>
  </si>
  <si>
    <t>Serdar Acan</t>
  </si>
  <si>
    <t>SerAcan</t>
  </si>
  <si>
    <t>Serena.Pallot@manulifesecurities.ca</t>
  </si>
  <si>
    <t>Serena Pallot</t>
  </si>
  <si>
    <t>SPallot</t>
  </si>
  <si>
    <t>Serge.Chamoun@manulifesecurities.ca</t>
  </si>
  <si>
    <t>Serge Chamoun</t>
  </si>
  <si>
    <t>2017-10-14T22:59:25</t>
  </si>
  <si>
    <t>SChamoun</t>
  </si>
  <si>
    <t>Serge.Khoury@manulifesecurities.ca</t>
  </si>
  <si>
    <t>Serge Khoury</t>
  </si>
  <si>
    <t>2016-12-03T16:59:12</t>
  </si>
  <si>
    <t>mfc.serge.khoury</t>
  </si>
  <si>
    <t>Serge.Noel@manulifesecurities.ca</t>
  </si>
  <si>
    <t>Serge Noel</t>
  </si>
  <si>
    <t>SNoel</t>
  </si>
  <si>
    <t>Sergielyne.Rivera@manulifesecurities.ca</t>
  </si>
  <si>
    <t>Sergielyne Rivera</t>
  </si>
  <si>
    <t>SRivera</t>
  </si>
  <si>
    <t>Shamim.Amiri@manulifesecurities.ca</t>
  </si>
  <si>
    <t>Shamim Amiri</t>
  </si>
  <si>
    <t>2014-11-27T14:28:48</t>
  </si>
  <si>
    <t>shamim</t>
  </si>
  <si>
    <t>Shane.Biehn@manulifesecurities.ca</t>
  </si>
  <si>
    <t>Shane Biehn</t>
  </si>
  <si>
    <t>2017-10-06T09:17:18</t>
  </si>
  <si>
    <t>SBiehn</t>
  </si>
  <si>
    <t>Shane.Bowring@manulifesecurities.ca</t>
  </si>
  <si>
    <t>Shane Bowring</t>
  </si>
  <si>
    <t>2017-10-12T10:50:02</t>
  </si>
  <si>
    <t>mfc.shane.bowring</t>
  </si>
  <si>
    <t>Shane.Lafrenais@manulifesecurities.ca</t>
  </si>
  <si>
    <t>Shane Lafrenais</t>
  </si>
  <si>
    <t>slafrenais</t>
  </si>
  <si>
    <t>Shanley.Weir@manulifesecurities.ca</t>
  </si>
  <si>
    <t>Shanley Weir</t>
  </si>
  <si>
    <t>2016-06-02T11:02:44</t>
  </si>
  <si>
    <t>mfc.shanley.weir</t>
  </si>
  <si>
    <t>Shannon.Clark@manulifesecurities.ca</t>
  </si>
  <si>
    <t>Shannon Clark</t>
  </si>
  <si>
    <t>2017-10-12T16:15:10</t>
  </si>
  <si>
    <t>mfc.shannon.clark</t>
  </si>
  <si>
    <t>Shannon.Culver@manulifesecurities.ca</t>
  </si>
  <si>
    <t>Shannon Culver</t>
  </si>
  <si>
    <t>sculver</t>
  </si>
  <si>
    <t>Shannon.Deveau@manulifesecurities.ca</t>
  </si>
  <si>
    <t>Shannon Deveau</t>
  </si>
  <si>
    <t>SDeveau</t>
  </si>
  <si>
    <t>Shannon.Evans@manulifesecurities.ca</t>
  </si>
  <si>
    <t>Shannon Evans</t>
  </si>
  <si>
    <t>2017-10-10T07:32:35</t>
  </si>
  <si>
    <t>SEvans</t>
  </si>
  <si>
    <t>Shannon.Foster@manulifesecurities.ca</t>
  </si>
  <si>
    <t>Shannon Foster</t>
  </si>
  <si>
    <t>2017-10-10T09:08:44</t>
  </si>
  <si>
    <t>SFoster</t>
  </si>
  <si>
    <t>Shannon.Griffin@manulifesecurities.ca</t>
  </si>
  <si>
    <t>SGriffin</t>
  </si>
  <si>
    <t>Shannon.Heaman@manulifesecurities.ca</t>
  </si>
  <si>
    <t>Shannon Heaman</t>
  </si>
  <si>
    <t>SHeaman</t>
  </si>
  <si>
    <t>Shannon.Higgins@manulifesecurities.ca</t>
  </si>
  <si>
    <t>Shannon Higgins</t>
  </si>
  <si>
    <t>2017-10-13T09:37:14</t>
  </si>
  <si>
    <t>shiggins</t>
  </si>
  <si>
    <t>Shannon.Kinchen@manulifesecurities.ca</t>
  </si>
  <si>
    <t>Shannon Kinchen</t>
  </si>
  <si>
    <t>kinches</t>
  </si>
  <si>
    <t>Shannon.Magee@manulifesecurities.ca</t>
  </si>
  <si>
    <t>Shannon Magee</t>
  </si>
  <si>
    <t>smagee</t>
  </si>
  <si>
    <t>shannon.olson@manulifesecurities.ca</t>
  </si>
  <si>
    <t>Shannon Olson</t>
  </si>
  <si>
    <t>2016-08-26T12:07:17</t>
  </si>
  <si>
    <t>mfc.shannon.olson</t>
  </si>
  <si>
    <t>Shannon.Rickwood@manulifesecurities.ca</t>
  </si>
  <si>
    <t>Shannon Rickwood</t>
  </si>
  <si>
    <t>2017-10-16T09:45:42</t>
  </si>
  <si>
    <t>srickwood</t>
  </si>
  <si>
    <t>Shannon.Stewart@manulifesecurities.ca</t>
  </si>
  <si>
    <t>Shannon Stewart</t>
  </si>
  <si>
    <t>2017-10-05T14:01:13</t>
  </si>
  <si>
    <t>mfc.shannon.stewa</t>
  </si>
  <si>
    <t>Shannon.White@manulifesecurities.ca</t>
  </si>
  <si>
    <t>Shannon White--BC</t>
  </si>
  <si>
    <t>2016-06-06T13:08:52</t>
  </si>
  <si>
    <t>snwhite</t>
  </si>
  <si>
    <t>Shantelle.Lamouche@manulifesecurities.ca</t>
  </si>
  <si>
    <t>Shantelle Lamouche</t>
  </si>
  <si>
    <t>2015-08-27T12:58:38</t>
  </si>
  <si>
    <t>mfc.shantelle.lam</t>
  </si>
  <si>
    <t>Shari.Howes@manulifesecurities.ca</t>
  </si>
  <si>
    <t>Shari Howes</t>
  </si>
  <si>
    <t>2017-10-15T22:19:25</t>
  </si>
  <si>
    <t>showes</t>
  </si>
  <si>
    <t>Shari.Richard@manulifesecurities.ca</t>
  </si>
  <si>
    <t>Shari Richard</t>
  </si>
  <si>
    <t>2017-10-12T08:32:47</t>
  </si>
  <si>
    <t>SRichard</t>
  </si>
  <si>
    <t>Shari.Veltman@manulifesecurities.ca</t>
  </si>
  <si>
    <t>Shari Veltman</t>
  </si>
  <si>
    <t>SVeltman</t>
  </si>
  <si>
    <t>sharon.anderson@manulifesecurities.ca</t>
  </si>
  <si>
    <t>Sharon Anderson</t>
  </si>
  <si>
    <t>2017-07-19T10:26:36</t>
  </si>
  <si>
    <t>mfc.sharon.anders</t>
  </si>
  <si>
    <t>Sharon.Barraclough@manulifesecurities.ca</t>
  </si>
  <si>
    <t>Sharon Barraclough</t>
  </si>
  <si>
    <t>SBarraclough</t>
  </si>
  <si>
    <t>Sharon.Bruce@manulifesecurities.ca</t>
  </si>
  <si>
    <t>Sharon Bruce</t>
  </si>
  <si>
    <t>2017-09-05T12:56:28</t>
  </si>
  <si>
    <t>SBruce</t>
  </si>
  <si>
    <t>Sharon.Cross@manulifesecurities.ca</t>
  </si>
  <si>
    <t>Sharon Cross</t>
  </si>
  <si>
    <t>2017-10-12T07:55:21</t>
  </si>
  <si>
    <t>mfc.sharon.cross</t>
  </si>
  <si>
    <t>Sharon.Dietrich@manulifesecurities.ca</t>
  </si>
  <si>
    <t>Sharon Dietrich</t>
  </si>
  <si>
    <t>sdietric</t>
  </si>
  <si>
    <t>Sharon.Grandy@manulifesecurities.ca</t>
  </si>
  <si>
    <t>Sharon Grandy</t>
  </si>
  <si>
    <t>sgrandy</t>
  </si>
  <si>
    <t>Sharon.Kennedy@manulifesecurities.ca</t>
  </si>
  <si>
    <t>Sharon Kennedy (Disabled)</t>
  </si>
  <si>
    <t>kenneds</t>
  </si>
  <si>
    <t>Sharon.Parent@manulifesecurities.ca</t>
  </si>
  <si>
    <t>Sharon Parent</t>
  </si>
  <si>
    <t>parents2</t>
  </si>
  <si>
    <t>Sharon.Pchajek@manulifesecurities.ca</t>
  </si>
  <si>
    <t>Sharon Pchajek</t>
  </si>
  <si>
    <t>2017-10-15T13:29:26</t>
  </si>
  <si>
    <t>spchajek</t>
  </si>
  <si>
    <t>Sharon.Peretto@manulifesecurities.ca</t>
  </si>
  <si>
    <t>Sharon Peretto</t>
  </si>
  <si>
    <t>sharonperetto</t>
  </si>
  <si>
    <t>Sharon.Schon@manulifesecurities.ca</t>
  </si>
  <si>
    <t>Sharon Schon</t>
  </si>
  <si>
    <t>2016-12-22T18:36:02</t>
  </si>
  <si>
    <t>sschon</t>
  </si>
  <si>
    <t>Sharon.Shelswell@manulifesecurities.ca</t>
  </si>
  <si>
    <t>Sharon Shelswell</t>
  </si>
  <si>
    <t>2017-10-09T16:26:53</t>
  </si>
  <si>
    <t>SShelswell</t>
  </si>
  <si>
    <t>Sharon.Walker@manulifesecurities.ca</t>
  </si>
  <si>
    <t>Sharon Walker</t>
  </si>
  <si>
    <t>2017-10-05T09:22:14</t>
  </si>
  <si>
    <t>SWalker</t>
  </si>
  <si>
    <t>Sharon.Wigle-Clayton@manulifesecurities.ca</t>
  </si>
  <si>
    <t>Sharon Wigle-Clayton</t>
  </si>
  <si>
    <t>2016-03-20T08:40:12</t>
  </si>
  <si>
    <t>SWigleclayton</t>
  </si>
  <si>
    <t>Sharon.Young@manulifesecurities.ca</t>
  </si>
  <si>
    <t>Sharon Young</t>
  </si>
  <si>
    <t>2017-09-21T14:32:38</t>
  </si>
  <si>
    <t>syoung</t>
  </si>
  <si>
    <t>SharonN.Nyhus@manulifesecurities.ca</t>
  </si>
  <si>
    <t>Sharon N Nyhus</t>
  </si>
  <si>
    <t>nyhahron</t>
  </si>
  <si>
    <t>Shaun.Neynens@manulifesecurities.ca</t>
  </si>
  <si>
    <t>Shaun Neynens</t>
  </si>
  <si>
    <t>2015-05-28T15:48:28</t>
  </si>
  <si>
    <t>SNeynens</t>
  </si>
  <si>
    <t>Shauna.Baillie@manulifesecurities.ca</t>
  </si>
  <si>
    <t>Shauna Baillie</t>
  </si>
  <si>
    <t>SBaillie</t>
  </si>
  <si>
    <t>Shauna.Duncan@manulifesecurities.ca</t>
  </si>
  <si>
    <t>Shauna Duncan</t>
  </si>
  <si>
    <t>SDuncan</t>
  </si>
  <si>
    <t>Shauna.Pengelly@manulifesecurities.ca</t>
  </si>
  <si>
    <t>Shauna Pengelly</t>
  </si>
  <si>
    <t>2017-10-05T17:11:50</t>
  </si>
  <si>
    <t>SPengelly</t>
  </si>
  <si>
    <t>Shawn.Basaraba@manulifesecurities.ca</t>
  </si>
  <si>
    <t>Shawn Basaraba</t>
  </si>
  <si>
    <t>2017-10-10T08:09:36</t>
  </si>
  <si>
    <t>SBasaraba</t>
  </si>
  <si>
    <t>Shawn.Bjornsson@manulifesecurities.ca</t>
  </si>
  <si>
    <t>Shawn Bjornsson</t>
  </si>
  <si>
    <t>2017-10-03T12:01:44</t>
  </si>
  <si>
    <t>srbjornsson</t>
  </si>
  <si>
    <t>Shawn.Flanningan@manulifesecurities.ca</t>
  </si>
  <si>
    <t>Shawn Flanningan</t>
  </si>
  <si>
    <t>SFlanningan</t>
  </si>
  <si>
    <t>shawn.malvern@manulifesecurities.ca</t>
  </si>
  <si>
    <t>Shawn Malvern</t>
  </si>
  <si>
    <t>2017-10-12T09:28:30</t>
  </si>
  <si>
    <t>mfc.shawn.malvern</t>
  </si>
  <si>
    <t>Shawn.Mercer@manulifesecurities.ca</t>
  </si>
  <si>
    <t>Shawn Mercer</t>
  </si>
  <si>
    <t>SMercer</t>
  </si>
  <si>
    <t>Shawn.Tempelman@manulifesecurities.ca</t>
  </si>
  <si>
    <t>Shawn Tempelman</t>
  </si>
  <si>
    <t>2017-10-08T11:00:56</t>
  </si>
  <si>
    <t>mfc.shawn.tempelm</t>
  </si>
  <si>
    <t>Shawn.Wakim@manulifesecurities.ca</t>
  </si>
  <si>
    <t>Shawn Wakim</t>
  </si>
  <si>
    <t>2017-07-29T08:14:17</t>
  </si>
  <si>
    <t>mfc.s.wakim</t>
  </si>
  <si>
    <t>Shawna.Dohms@manulifesecurities.ca</t>
  </si>
  <si>
    <t>zz Manulife - Shawna Dohms</t>
  </si>
  <si>
    <t>SDohms</t>
  </si>
  <si>
    <t>Shayan.Hamdani@manulifesecurities.ca</t>
  </si>
  <si>
    <t>Shayan Hamdani</t>
  </si>
  <si>
    <t>2017-10-15T16:54:57</t>
  </si>
  <si>
    <t>mfc.shayan.hamdan</t>
  </si>
  <si>
    <t>Shealeen.Braeuer@manulifesecurities.ca</t>
  </si>
  <si>
    <t>Shealeen Braeuer</t>
  </si>
  <si>
    <t>2017-10-02T15:34:05</t>
  </si>
  <si>
    <t>SBraeuer</t>
  </si>
  <si>
    <t>Sheana.Barry@manulifesecurities.ca</t>
  </si>
  <si>
    <t>Sheana Barry</t>
  </si>
  <si>
    <t>2017-10-11T12:33:17</t>
  </si>
  <si>
    <t>skeating</t>
  </si>
  <si>
    <t>Sheba.Nalli@manulifesecurities.ca</t>
  </si>
  <si>
    <t>Sheba Nalli</t>
  </si>
  <si>
    <t>shenalli</t>
  </si>
  <si>
    <t>Sheena.Ong@manulifesecurities.ca</t>
  </si>
  <si>
    <t>Sheena Ong</t>
  </si>
  <si>
    <t>2016-12-12T13:32:36</t>
  </si>
  <si>
    <t>sheenaong</t>
  </si>
  <si>
    <t>Sheila.Araullo@manulifesecurities.ca</t>
  </si>
  <si>
    <t>Sheila Araullo</t>
  </si>
  <si>
    <t>araullo</t>
  </si>
  <si>
    <t>Sheila.Flint@manulifesecurities.ca</t>
  </si>
  <si>
    <t>Sheila Flint</t>
  </si>
  <si>
    <t>2017-10-10T09:14:46</t>
  </si>
  <si>
    <t>SFlint</t>
  </si>
  <si>
    <t>Sheila.Gregory@manulifesecurities.ca</t>
  </si>
  <si>
    <t>Sheila Gregory</t>
  </si>
  <si>
    <t>2017-10-12T09:11:15</t>
  </si>
  <si>
    <t>SGregory</t>
  </si>
  <si>
    <t>Sheila.McCann@manulifesecurities.ca</t>
  </si>
  <si>
    <t>Sheila McCann</t>
  </si>
  <si>
    <t>SMcCann</t>
  </si>
  <si>
    <t>Sheila.Riley@manulifesecurities.ca</t>
  </si>
  <si>
    <t>Sheila Riley</t>
  </si>
  <si>
    <t>2017-10-12T12:46:06</t>
  </si>
  <si>
    <t>SRiley</t>
  </si>
  <si>
    <t>Sheila.Robertson@manulifesecurities.ca</t>
  </si>
  <si>
    <t>2017-08-01T11:54:03</t>
  </si>
  <si>
    <t>ShRobertson</t>
  </si>
  <si>
    <t>SheilaMarie.Flores@manulifesecurities.ca</t>
  </si>
  <si>
    <t>Sheila Marie �Flores</t>
  </si>
  <si>
    <t>SFlores</t>
  </si>
  <si>
    <t>Sheldon.Horton@manulifesecurities.ca</t>
  </si>
  <si>
    <t>Sheldon Horton</t>
  </si>
  <si>
    <t>2017-01-30T09:09:40</t>
  </si>
  <si>
    <t>mfc.sheldon.horto</t>
  </si>
  <si>
    <t>Shelley.Conroy@manulifesecurities.ca</t>
  </si>
  <si>
    <t>Shelley Conroy</t>
  </si>
  <si>
    <t>sconroy</t>
  </si>
  <si>
    <t>Shelley.Emmond@manulifesecurities.ca</t>
  </si>
  <si>
    <t>Shelley Emmond</t>
  </si>
  <si>
    <t>SEmmond</t>
  </si>
  <si>
    <t>Shelley.Flemming@manulifesecurities.ca</t>
  </si>
  <si>
    <t>Shelley Flemming</t>
  </si>
  <si>
    <t>2017-10-02T14:38:24</t>
  </si>
  <si>
    <t>SFlemming</t>
  </si>
  <si>
    <t>Shelley.Guillet@manulifesecurities.ca</t>
  </si>
  <si>
    <t>Shelley Guillet</t>
  </si>
  <si>
    <t>SGuillet</t>
  </si>
  <si>
    <t>Shelley.Jia@manulifesecurities.ca</t>
  </si>
  <si>
    <t>Shelley Jia</t>
  </si>
  <si>
    <t>2017-10-09T16:32:18</t>
  </si>
  <si>
    <t>mfc.shelley.jia</t>
  </si>
  <si>
    <t>Shelley.Kelln-Trudelle@manulifesecurities.ca</t>
  </si>
  <si>
    <t>Shelley Kelln-Trudelle</t>
  </si>
  <si>
    <t>2017-10-12T08:43:58</t>
  </si>
  <si>
    <t>skelln-trudelle</t>
  </si>
  <si>
    <t>Shelley.ORegan@manulifesecurities.ca</t>
  </si>
  <si>
    <t>Shelley O'Regan</t>
  </si>
  <si>
    <t>SORegan</t>
  </si>
  <si>
    <t>Shelley.Stieler@manulifesecurities.ca</t>
  </si>
  <si>
    <t>Shelley Stieler</t>
  </si>
  <si>
    <t>SStieler</t>
  </si>
  <si>
    <t>Shelley.Streit@manulifesecurities.ca</t>
  </si>
  <si>
    <t>Shelley Streit</t>
  </si>
  <si>
    <t>sstreit</t>
  </si>
  <si>
    <t>Shelley.Warrener@manulifesecurities.ca</t>
  </si>
  <si>
    <t>Shelley Warrener</t>
  </si>
  <si>
    <t>SWarrener</t>
  </si>
  <si>
    <t>Shellie.Glombick@manulifesecurities.ca</t>
  </si>
  <si>
    <t>Shellie Glombick</t>
  </si>
  <si>
    <t>2015-06-25T19:06:16</t>
  </si>
  <si>
    <t>glombsh</t>
  </si>
  <si>
    <t>Shelly.Chornomud@manulifesecurities.ca</t>
  </si>
  <si>
    <t>Shelly Chornomud</t>
  </si>
  <si>
    <t>2016-04-04T15:53:46</t>
  </si>
  <si>
    <t>schornom</t>
  </si>
  <si>
    <t>Shelly.Iverson@manulifesecurities.ca</t>
  </si>
  <si>
    <t>Shelly Iverson</t>
  </si>
  <si>
    <t>2017-10-10T13:55:28</t>
  </si>
  <si>
    <t>mfc.shelly.iverso</t>
  </si>
  <si>
    <t>Shelly.Krueger@manulifesecurities.ca</t>
  </si>
  <si>
    <t>Shelly Krueger</t>
  </si>
  <si>
    <t>SKrueger</t>
  </si>
  <si>
    <t>Shena.Walsh@manulifesecurities.ca</t>
  </si>
  <si>
    <t>Shena Walsh</t>
  </si>
  <si>
    <t>SWalsh</t>
  </si>
  <si>
    <t>Sheri.Bridge@manulifesecurities.ca</t>
  </si>
  <si>
    <t>Sheri Bridge</t>
  </si>
  <si>
    <t>2017-10-09T14:20:21</t>
  </si>
  <si>
    <t>SBridge</t>
  </si>
  <si>
    <t>Sheri.Eby@manulifesecurities.ca</t>
  </si>
  <si>
    <t>Sheri Eby</t>
  </si>
  <si>
    <t>2017-10-13T10:09:04</t>
  </si>
  <si>
    <t>semeby</t>
  </si>
  <si>
    <t>Sheri.McInnis@manulifesecurities.ca</t>
  </si>
  <si>
    <t>Sheri McInnis</t>
  </si>
  <si>
    <t>smcinnis</t>
  </si>
  <si>
    <t>Sherie.Feng@manulifesecurities.ca</t>
  </si>
  <si>
    <t>Sherie Feng</t>
  </si>
  <si>
    <t>2016-03-31T09:30:55</t>
  </si>
  <si>
    <t>mfc.sherie.feng</t>
  </si>
  <si>
    <t>Sherif.Garis@manulifesecurities.ca</t>
  </si>
  <si>
    <t>Sherif Garis</t>
  </si>
  <si>
    <t>2017-06-07T11:13:32</t>
  </si>
  <si>
    <t>mfc.sherif.garis</t>
  </si>
  <si>
    <t>Sherri.Candia@manulifesecurities.ca</t>
  </si>
  <si>
    <t>Sherri Candia</t>
  </si>
  <si>
    <t>scandia</t>
  </si>
  <si>
    <t>Sherri.Hodder@manulifesecurities.ca</t>
  </si>
  <si>
    <t>Sherri Hodder</t>
  </si>
  <si>
    <t>2017-09-27T13:47:21</t>
  </si>
  <si>
    <t>mfc.sherri.hodder</t>
  </si>
  <si>
    <t>Sherri.Lafrentz@manulifesecurities.ca</t>
  </si>
  <si>
    <t>Sherri Lafrentz</t>
  </si>
  <si>
    <t>2017-10-12T13:10:33</t>
  </si>
  <si>
    <t>SLafrentz</t>
  </si>
  <si>
    <t>Sherri.Willie@manulifesecurities.ca</t>
  </si>
  <si>
    <t>Sherri Willie</t>
  </si>
  <si>
    <t>swillie</t>
  </si>
  <si>
    <t>SherriA.Candia@manulifesecurities.ca</t>
  </si>
  <si>
    <t>Sherri A Candia</t>
  </si>
  <si>
    <t>2017-10-11T12:46:11</t>
  </si>
  <si>
    <t>sacandia</t>
  </si>
  <si>
    <t>Sherri-Lynn.Jensen@manulifesecurities.ca</t>
  </si>
  <si>
    <t>Sherri-Lynn Jensen</t>
  </si>
  <si>
    <t>2017-10-16T08:55:16</t>
  </si>
  <si>
    <t>SLJensen</t>
  </si>
  <si>
    <t>Sherry.Brand@manulifesecurities.ca</t>
  </si>
  <si>
    <t>Sherry Brand</t>
  </si>
  <si>
    <t>2017-10-09T08:38:27</t>
  </si>
  <si>
    <t>brand1</t>
  </si>
  <si>
    <t>sherry.granger@manulifesecurities.ca</t>
  </si>
  <si>
    <t>Sherry Granger</t>
  </si>
  <si>
    <t>mfc.sherry.grange</t>
  </si>
  <si>
    <t>Sherry.Henderson@manulifesecurities.ca</t>
  </si>
  <si>
    <t>Sherry Henderson</t>
  </si>
  <si>
    <t>2017-10-03T17:52:38</t>
  </si>
  <si>
    <t>SherryHenderson</t>
  </si>
  <si>
    <t>Sherry.Kwan-Hopper@manulifesecurities.ca</t>
  </si>
  <si>
    <t>Sherry Kwan-Hopper</t>
  </si>
  <si>
    <t>2017-10-11T10:56:24</t>
  </si>
  <si>
    <t>mfc.sherry.kwan-h</t>
  </si>
  <si>
    <t>Sherry.Martell@manulifesecurities.ca</t>
  </si>
  <si>
    <t>Sherry Martell</t>
  </si>
  <si>
    <t>SMartell</t>
  </si>
  <si>
    <t>Sherry.McDougall@manulifesecurities.ca</t>
  </si>
  <si>
    <t>Sherry McDougall</t>
  </si>
  <si>
    <t>2017-10-10T07:58:47</t>
  </si>
  <si>
    <t>smcdoug</t>
  </si>
  <si>
    <t>sherry.parish@manulifesecurities.ca</t>
  </si>
  <si>
    <t>Sherry Parish</t>
  </si>
  <si>
    <t>2017-10-16T09:47:44</t>
  </si>
  <si>
    <t>mfc.sherry.parish</t>
  </si>
  <si>
    <t>Sherry.Truman@manulifesecurities.ca</t>
  </si>
  <si>
    <t>Sherry Truman</t>
  </si>
  <si>
    <t>STruman</t>
  </si>
  <si>
    <t>Sherry.Wicks@manulifesecurities.ca</t>
  </si>
  <si>
    <t>Sherry Wicks</t>
  </si>
  <si>
    <t>SWicks</t>
  </si>
  <si>
    <t>Sherry.Wicks2@manulifesecurities.ca</t>
  </si>
  <si>
    <t>Sherry Wicks  (SherryWicks)</t>
  </si>
  <si>
    <t>SherryWicks</t>
  </si>
  <si>
    <t>Sheryl.Wilcox@manulifesecurities.ca</t>
  </si>
  <si>
    <t>Sheryl Wilcox</t>
  </si>
  <si>
    <t>2017-05-11T14:20:54</t>
  </si>
  <si>
    <t>mfc.sheryl.wilcox</t>
  </si>
  <si>
    <t>Shilpa.Ganguli@manulifesecurities.ca</t>
  </si>
  <si>
    <t>Shilpa Ganguli</t>
  </si>
  <si>
    <t>2017-10-12T16:20:55</t>
  </si>
  <si>
    <t>mfc.shilpa.gangul</t>
  </si>
  <si>
    <t>Shin.Marquez@manulifesecurities.ca</t>
  </si>
  <si>
    <t>Shin Marquez</t>
  </si>
  <si>
    <t>SMarquez</t>
  </si>
  <si>
    <t>Shiny.Mathews@manulifesecurities.ca</t>
  </si>
  <si>
    <t>Shiny Mathews</t>
  </si>
  <si>
    <t>2017-10-12T10:28:05</t>
  </si>
  <si>
    <t>mfc.shiny.mathews</t>
  </si>
  <si>
    <t>Shirley.Dong@manulifesecurities.ca</t>
  </si>
  <si>
    <t>Shirley Dong</t>
  </si>
  <si>
    <t>2016-01-11T10:10:51</t>
  </si>
  <si>
    <t>SDong</t>
  </si>
  <si>
    <t>Shirley.Featherstone@manulifesecurities.ca</t>
  </si>
  <si>
    <t>Shirley Featherstone</t>
  </si>
  <si>
    <t>2017-10-10T12:10:54</t>
  </si>
  <si>
    <t>shirley1</t>
  </si>
  <si>
    <t>Shirley.Hunter@manulifesecurities.ca</t>
  </si>
  <si>
    <t>Shirley Hunter</t>
  </si>
  <si>
    <t>shunter</t>
  </si>
  <si>
    <t>Shirley.Li@manulifesecurities.ca</t>
  </si>
  <si>
    <t>Shirley Li</t>
  </si>
  <si>
    <t>shirleyli</t>
  </si>
  <si>
    <t>Shirley.Maier@manulifesecurities.ca</t>
  </si>
  <si>
    <t>Shirley Maier</t>
  </si>
  <si>
    <t>SMaier</t>
  </si>
  <si>
    <t>Shirley.Malley@manulifesecurities.ca</t>
  </si>
  <si>
    <t>Shirley Malley</t>
  </si>
  <si>
    <t>2017-10-12T10:15:04</t>
  </si>
  <si>
    <t>smalley</t>
  </si>
  <si>
    <t>Shirley.Noel@manulifesecurities.ca</t>
  </si>
  <si>
    <t>Shirley Noel</t>
  </si>
  <si>
    <t>2014-10-16T15:06:25</t>
  </si>
  <si>
    <t>shirley</t>
  </si>
  <si>
    <t>Shirley.Urban@manulifesecurities.ca</t>
  </si>
  <si>
    <t>Shirley Urban</t>
  </si>
  <si>
    <t>2017-09-11T14:38:32</t>
  </si>
  <si>
    <t>SUrban</t>
  </si>
  <si>
    <t>Shirley.Wollf@manulifesecurities.ca</t>
  </si>
  <si>
    <t>Shirley Wollf</t>
  </si>
  <si>
    <t>2015-08-04T11:52:15</t>
  </si>
  <si>
    <t>SWollf</t>
  </si>
  <si>
    <t>Shirley.Zhang@manulifesecurities.ca</t>
  </si>
  <si>
    <t>Shirley Zhang</t>
  </si>
  <si>
    <t>SZhang</t>
  </si>
  <si>
    <t>Shirleyann.Swaby@manulifesecurities.ca</t>
  </si>
  <si>
    <t>Shirleyann Swaby</t>
  </si>
  <si>
    <t>saswaby</t>
  </si>
  <si>
    <t>Shivanna.Deosaran@manulifesecurities.ca</t>
  </si>
  <si>
    <t>Shivanna Deosaran</t>
  </si>
  <si>
    <t>SDeosaran</t>
  </si>
  <si>
    <t>Shona.Karas@manulifesecurities.ca</t>
  </si>
  <si>
    <t>Shona Karas</t>
  </si>
  <si>
    <t>smkaras</t>
  </si>
  <si>
    <t>Siavash.Shaygi-Nik@manulifesecurities.ca</t>
  </si>
  <si>
    <t>Siavash Shaygi-Nik</t>
  </si>
  <si>
    <t>2017-10-10T14:58:09</t>
  </si>
  <si>
    <t>SShayginik</t>
  </si>
  <si>
    <t>Sibel.Ustun@manulifesecurities.ca</t>
  </si>
  <si>
    <t>Sibel Ustun</t>
  </si>
  <si>
    <t>SUstun</t>
  </si>
  <si>
    <t>Siddarth.Patel@manulifesecurities.ca</t>
  </si>
  <si>
    <t>Siddarth Patel</t>
  </si>
  <si>
    <t>mfc.siddarth.pate</t>
  </si>
  <si>
    <t>Siddarth.Patil@manulifesecurities.ca</t>
  </si>
  <si>
    <t>Siddarth Patil</t>
  </si>
  <si>
    <t>2017-03-22T20:19:43</t>
  </si>
  <si>
    <t>mfc.siddarth.pati</t>
  </si>
  <si>
    <t>signage@manulifesecurities.ca</t>
  </si>
  <si>
    <t>Signage</t>
  </si>
  <si>
    <t>signage</t>
  </si>
  <si>
    <t>Signey.Dzydz@manulifesecurities.ca</t>
  </si>
  <si>
    <t>Signey Dzydz</t>
  </si>
  <si>
    <t>2015-05-21T18:33:06</t>
  </si>
  <si>
    <t>SDzydz</t>
  </si>
  <si>
    <t>Signey.Gamble@manulifesecurities.ca</t>
  </si>
  <si>
    <t>Signey Gamble</t>
  </si>
  <si>
    <t>sigbell</t>
  </si>
  <si>
    <t>Silva.Vascotto@manulifesecurities.ca</t>
  </si>
  <si>
    <t>Silva Vascotto</t>
  </si>
  <si>
    <t>2017-10-13T09:34:02</t>
  </si>
  <si>
    <t>SVascotto</t>
  </si>
  <si>
    <t>Silvia.Scollard@manulifesecurities.ca</t>
  </si>
  <si>
    <t>Silvia Scollard</t>
  </si>
  <si>
    <t>SScollard</t>
  </si>
  <si>
    <t>Silvie.Cadieux@manulifesecurities.ca</t>
  </si>
  <si>
    <t>Silvie Cadieux</t>
  </si>
  <si>
    <t>2017-10-11T09:56:34</t>
  </si>
  <si>
    <t>SCadieux</t>
  </si>
  <si>
    <t>Simon.Hecks@manulifesecurities.ca</t>
  </si>
  <si>
    <t>Simon Hecks</t>
  </si>
  <si>
    <t>2017-08-11T10:23:26</t>
  </si>
  <si>
    <t>sghecks</t>
  </si>
  <si>
    <t>Simon.Jackson@manulifesecurities.ca</t>
  </si>
  <si>
    <t>Simon Jackson</t>
  </si>
  <si>
    <t>2017-10-15T21:29:04</t>
  </si>
  <si>
    <t>SJackson</t>
  </si>
  <si>
    <t>Simon.Kelly@manulifesecurities.ca</t>
  </si>
  <si>
    <t>Simon Kelly</t>
  </si>
  <si>
    <t>skelly</t>
  </si>
  <si>
    <t>Simon.Peng@manulifesecurities.ca</t>
  </si>
  <si>
    <t>Simon Peng</t>
  </si>
  <si>
    <t>2017-10-10T21:26:07</t>
  </si>
  <si>
    <t>mfc.simon.peng</t>
  </si>
  <si>
    <t>Simone.Painter@manulifesecurities.ca</t>
  </si>
  <si>
    <t>Simone Painter</t>
  </si>
  <si>
    <t>sclaudepierre</t>
  </si>
  <si>
    <t>Simran.Dhillon@manulifesecurities.ca</t>
  </si>
  <si>
    <t>Simran Dhillon</t>
  </si>
  <si>
    <t>SDhillon</t>
  </si>
  <si>
    <t>Sinan.Adlim@manulifesecurities.ca</t>
  </si>
  <si>
    <t>Sinan Adlim</t>
  </si>
  <si>
    <t>mfc.sinan.adlim</t>
  </si>
  <si>
    <t>Sinan.Shao@manulifesecurities.ca</t>
  </si>
  <si>
    <t>Sinan Shao</t>
  </si>
  <si>
    <t>2017-08-16T19:57:53</t>
  </si>
  <si>
    <t>mfc.sinan.shao</t>
  </si>
  <si>
    <t>Sindy.Ouellet@manulifesecurities.ca</t>
  </si>
  <si>
    <t>SOuellet</t>
  </si>
  <si>
    <t>Siobhain.Fray@manulifesecurities.ca</t>
  </si>
  <si>
    <t>Siobhain Fray</t>
  </si>
  <si>
    <t>sifray</t>
  </si>
  <si>
    <t>Siobhan.O'Connor@manulifesecurities.ca</t>
  </si>
  <si>
    <t>Siobhan O'Connor</t>
  </si>
  <si>
    <t>2015-06-09T12:57:53</t>
  </si>
  <si>
    <t>mfc.siobhan.oconn</t>
  </si>
  <si>
    <t>Sleiman.Mansour@manulifesecurities.ca</t>
  </si>
  <si>
    <t>Sleiman Mansour</t>
  </si>
  <si>
    <t>2017-10-08T18:06:36</t>
  </si>
  <si>
    <t>mfc.sleiman.manso</t>
  </si>
  <si>
    <t>Slimane.Izouine@manulifesecurities.ca</t>
  </si>
  <si>
    <t>Slimane Izouine</t>
  </si>
  <si>
    <t>SIzouine</t>
  </si>
  <si>
    <t>Sokratia.Lambrinos@manulifesecurities.ca</t>
  </si>
  <si>
    <t>Sokratia Lambrinos</t>
  </si>
  <si>
    <t>2017-10-10T08:47:58</t>
  </si>
  <si>
    <t>SLambrinos</t>
  </si>
  <si>
    <t>Sola.Alzaher@manulifesecurities.ca</t>
  </si>
  <si>
    <t>Sola Alzaher</t>
  </si>
  <si>
    <t>SAlzaher</t>
  </si>
  <si>
    <t>Sola.Al-Zaher@manulifesecurities.ca</t>
  </si>
  <si>
    <t>Sola Al-Zaher</t>
  </si>
  <si>
    <t>soalzaher</t>
  </si>
  <si>
    <t>Solange.Humphrey@manulifesecurities.ca</t>
  </si>
  <si>
    <t>Solange Humphrey</t>
  </si>
  <si>
    <t>2017-10-16T08:54:26</t>
  </si>
  <si>
    <t>mfc.solange.humph</t>
  </si>
  <si>
    <t>Sonia.Campoli@manulifesecurities.ca</t>
  </si>
  <si>
    <t>Sonia Campoli</t>
  </si>
  <si>
    <t>2014-10-06T09:35:10</t>
  </si>
  <si>
    <t>SCampoli</t>
  </si>
  <si>
    <t>Sonia.Colhoun@manulifesecurities.ca</t>
  </si>
  <si>
    <t>Sonia Colhoun</t>
  </si>
  <si>
    <t>2017-10-13T08:10:39</t>
  </si>
  <si>
    <t>soniacolhoun</t>
  </si>
  <si>
    <t>Sonia.DSouza@manulifesecurities.ca</t>
  </si>
  <si>
    <t>Sonia D'Souza</t>
  </si>
  <si>
    <t>sdsouza</t>
  </si>
  <si>
    <t>Sonia.Schweigert@manulifesecurities.ca</t>
  </si>
  <si>
    <t>Sonia Schweigert</t>
  </si>
  <si>
    <t>2017-06-30T17:37:05</t>
  </si>
  <si>
    <t>SSchweigert</t>
  </si>
  <si>
    <t>Sonjia.VandenBrink@manulifesecurities.ca</t>
  </si>
  <si>
    <t>Sonjia VandenBrink</t>
  </si>
  <si>
    <t>SVandenBrink</t>
  </si>
  <si>
    <t>Sonya.Pobeha@manulifesecurities.ca</t>
  </si>
  <si>
    <t>Sonya Pobeha</t>
  </si>
  <si>
    <t>2017-10-02T14:22:26</t>
  </si>
  <si>
    <t>SPobeha</t>
  </si>
  <si>
    <t>Sonya.Pobela@manulifesecurities.ca</t>
  </si>
  <si>
    <t>Sonya Pobela</t>
  </si>
  <si>
    <t>SPobela</t>
  </si>
  <si>
    <t>Soonnu.Khursigara@manulifesecurities.ca</t>
  </si>
  <si>
    <t>Soonnu Khursigara</t>
  </si>
  <si>
    <t>SKhursigara</t>
  </si>
  <si>
    <t>Sophia.Nie@manulifesecurities.ca</t>
  </si>
  <si>
    <t>Sophia Nie</t>
  </si>
  <si>
    <t>2015-01-06T21:16:04</t>
  </si>
  <si>
    <t>SophiaNie</t>
  </si>
  <si>
    <t>Sophia.Pirani@manulifesecurities.ca</t>
  </si>
  <si>
    <t>Sophia Pirani</t>
  </si>
  <si>
    <t>SPirani</t>
  </si>
  <si>
    <t>Sophie.Warmuz@manulifesecurities.ca</t>
  </si>
  <si>
    <t>Sophie Warmuz</t>
  </si>
  <si>
    <t>SWarmuz</t>
  </si>
  <si>
    <t>Souksai.Phiensinh@manulifesecurities.ca</t>
  </si>
  <si>
    <t>Souksai Phiensinh</t>
  </si>
  <si>
    <t>souksai</t>
  </si>
  <si>
    <t>spammailbox@manulifesecurities.ca</t>
  </si>
  <si>
    <t>spammailbox</t>
  </si>
  <si>
    <t>mfc.spammailbox</t>
  </si>
  <si>
    <t>specialty.programs@manulifesecurities.ca</t>
  </si>
  <si>
    <t>Specialty Programs</t>
  </si>
  <si>
    <t>SpecialProducts</t>
  </si>
  <si>
    <t>spiroli@manulifesecurities.ca</t>
  </si>
  <si>
    <t>Stephanie Piroli</t>
  </si>
  <si>
    <t>2017-10-14T14:33:00</t>
  </si>
  <si>
    <t>spiroli</t>
  </si>
  <si>
    <t>Spiros.Papachristos@manulifesecurities.ca</t>
  </si>
  <si>
    <t>Spiros Papachristos</t>
  </si>
  <si>
    <t>2017-10-07T18:15:30</t>
  </si>
  <si>
    <t>mfc.spiros.papach</t>
  </si>
  <si>
    <t>Spyros.Xenoulis@manulifesecurities.ca</t>
  </si>
  <si>
    <t>Spyros Xenoulis</t>
  </si>
  <si>
    <t>SXenoulis</t>
  </si>
  <si>
    <t>SRankin@manulifesecurities.ca</t>
  </si>
  <si>
    <t>Sarah Rankin</t>
  </si>
  <si>
    <t>2017-10-12T08:38:52</t>
  </si>
  <si>
    <t>SRankin</t>
  </si>
  <si>
    <t>Srivatsan.Ramani@manulifesecurities.ca</t>
  </si>
  <si>
    <t>Srivatsan Ramani</t>
  </si>
  <si>
    <t>SRamani</t>
  </si>
  <si>
    <t>ssotest@mfc.sps.local</t>
  </si>
  <si>
    <t>SSOtest</t>
  </si>
  <si>
    <t>2017-10-12T13:17:33</t>
  </si>
  <si>
    <t>mfc.ssotest</t>
  </si>
  <si>
    <t>St_Catharines_25_Church_St_Office@manulifesecurities.ca</t>
  </si>
  <si>
    <t>25 Church St. Office St. Catharines</t>
  </si>
  <si>
    <t>2017-10-12T08:54:00</t>
  </si>
  <si>
    <t>25church</t>
  </si>
  <si>
    <t>Stacey.Dustin@manulifesecurities.ca</t>
  </si>
  <si>
    <t>Stacey Dustin</t>
  </si>
  <si>
    <t>2017-10-02T15:26:46</t>
  </si>
  <si>
    <t>mfc.stacey.dustin</t>
  </si>
  <si>
    <t>Stacey.Hann@manulifesecurities.ca</t>
  </si>
  <si>
    <t>Stacey Hann</t>
  </si>
  <si>
    <t>SHann</t>
  </si>
  <si>
    <t>Stacey.Kelly@manulifesecurities.ca</t>
  </si>
  <si>
    <t>Stacey Kelly</t>
  </si>
  <si>
    <t>kellysak</t>
  </si>
  <si>
    <t>Stacey.Marshall@manulifesecurities.ca</t>
  </si>
  <si>
    <t>Stacey Marshall</t>
  </si>
  <si>
    <t>SMarshall</t>
  </si>
  <si>
    <t>Stacey.O'Sullivan@manulifesecurities.ca</t>
  </si>
  <si>
    <t>Stacey O'Sullivan</t>
  </si>
  <si>
    <t>2017-10-16T09:31:59</t>
  </si>
  <si>
    <t>mfc.stacey.osulli</t>
  </si>
  <si>
    <t>Stacey.Parks@manulifesecurities.ca</t>
  </si>
  <si>
    <t>Stacey Parks</t>
  </si>
  <si>
    <t>SParks</t>
  </si>
  <si>
    <t>Stacey.Robinson@manulifesecurities.ca</t>
  </si>
  <si>
    <t>Stacey Robinson</t>
  </si>
  <si>
    <t>mfc.stacey.robins</t>
  </si>
  <si>
    <t>Stacey.White@manulifesecurities.ca</t>
  </si>
  <si>
    <t>Stacey White</t>
  </si>
  <si>
    <t>2017-10-12T10:45:04</t>
  </si>
  <si>
    <t>SWhite</t>
  </si>
  <si>
    <t>Staci.Heinbigner@manulifesecurities.ca</t>
  </si>
  <si>
    <t>Staci Heinbigner</t>
  </si>
  <si>
    <t>2017-10-11T14:32:41</t>
  </si>
  <si>
    <t>SHeinbigner</t>
  </si>
  <si>
    <t>Stacie.Celinscak@manulifesecurities.ca</t>
  </si>
  <si>
    <t>Stacie Celinscak</t>
  </si>
  <si>
    <t>SCelinscak</t>
  </si>
  <si>
    <t>Stacie.VanLiere@manulifesecurities.ca</t>
  </si>
  <si>
    <t>Stacie Van Liere</t>
  </si>
  <si>
    <t>2017-10-10T10:34:15</t>
  </si>
  <si>
    <t>SVanLiere</t>
  </si>
  <si>
    <t>Stacy.Barnes@manulifesecurities.ca</t>
  </si>
  <si>
    <t>Stacy Barnes</t>
  </si>
  <si>
    <t>stbarnes</t>
  </si>
  <si>
    <t>Stacy.McMillan@manulifesecurities.ca</t>
  </si>
  <si>
    <t>Stacy McMillan</t>
  </si>
  <si>
    <t>SMcMillan</t>
  </si>
  <si>
    <t>stacy.reid@manulifesecurities.ca</t>
  </si>
  <si>
    <t>Stacy Hadden</t>
  </si>
  <si>
    <t>2017-07-04T13:50:47</t>
  </si>
  <si>
    <t>SHadden</t>
  </si>
  <si>
    <t>Stanislav.Sevastyanov@manulifesecurities.ca</t>
  </si>
  <si>
    <t>Stanislav Sevastyanov</t>
  </si>
  <si>
    <t>SSevastyanov</t>
  </si>
  <si>
    <t>Stanka.Pizzacalla@manulifesecurities.ca</t>
  </si>
  <si>
    <t>Stanka Pizzacalla</t>
  </si>
  <si>
    <t>spizza</t>
  </si>
  <si>
    <t>Stanley.Chen@manulifesecurities.ca</t>
  </si>
  <si>
    <t>Stanley Chen</t>
  </si>
  <si>
    <t>SChen</t>
  </si>
  <si>
    <t>Stanley.Nieckar@manulifesecurities.ca</t>
  </si>
  <si>
    <t>Stanley Nieckar</t>
  </si>
  <si>
    <t>SNieckar</t>
  </si>
  <si>
    <t>Stanley.Peirson@manulifesecurities.ca</t>
  </si>
  <si>
    <t>Stanley Peirson</t>
  </si>
  <si>
    <t>2017-10-12T17:28:09</t>
  </si>
  <si>
    <t>stanley</t>
  </si>
  <si>
    <t>Stanley.Tsoi@manulifesecurities.ca</t>
  </si>
  <si>
    <t>Stanley Tsoi</t>
  </si>
  <si>
    <t>2016-10-28T09:29:34</t>
  </si>
  <si>
    <t>tsoista</t>
  </si>
  <si>
    <t>StatementFeedback@manulifesecurities.ca</t>
  </si>
  <si>
    <t>Statement Feedback</t>
  </si>
  <si>
    <t>StatementFeedback</t>
  </si>
  <si>
    <t>Stationery.Requests@manulifesecurities.ca</t>
  </si>
  <si>
    <t>Stationery Requests</t>
  </si>
  <si>
    <t>StationeryRequests</t>
  </si>
  <si>
    <t>Stefanie.Philips@manulifesecurities.ca</t>
  </si>
  <si>
    <t>Stefanie Philips</t>
  </si>
  <si>
    <t>2017-10-09T00:49:24</t>
  </si>
  <si>
    <t>StefanieTurner</t>
  </si>
  <si>
    <t>Stefanie.Warnock@manulifesecurities.ca</t>
  </si>
  <si>
    <t>Stefanie Warnock</t>
  </si>
  <si>
    <t>StefanieWarnock</t>
  </si>
  <si>
    <t>Stefanos.Lebrasseur@manulifesecurities.ca</t>
  </si>
  <si>
    <t>Stefanos Lebrasseur</t>
  </si>
  <si>
    <t>slebrass</t>
  </si>
  <si>
    <t>Stella.Chafchino@manulifesecurities.ca</t>
  </si>
  <si>
    <t>Stella Chafchino</t>
  </si>
  <si>
    <t>SChafchino</t>
  </si>
  <si>
    <t>stella.ha@manulifesecurities.ca</t>
  </si>
  <si>
    <t>Stella Ha</t>
  </si>
  <si>
    <t>2017-10-02T10:54:21</t>
  </si>
  <si>
    <t>mfc.stella.ha</t>
  </si>
  <si>
    <t>Stella.Morrison@manulifesecurities.ca</t>
  </si>
  <si>
    <t>Stella Morrison</t>
  </si>
  <si>
    <t>SMorrison</t>
  </si>
  <si>
    <t>Stephan.Longpre@manulifesecurities.ca</t>
  </si>
  <si>
    <t>Stephan Longpre</t>
  </si>
  <si>
    <t>slongpre</t>
  </si>
  <si>
    <t>Stephan.Phelan@manulifesecurities.ca</t>
  </si>
  <si>
    <t>Stephan Phelan</t>
  </si>
  <si>
    <t>2017-09-12T19:21:43</t>
  </si>
  <si>
    <t>SPhelan</t>
  </si>
  <si>
    <t>Stephane.Dupuis@manulifesecurities.ca</t>
  </si>
  <si>
    <t>Stephane Dupuis</t>
  </si>
  <si>
    <t>SDupuis</t>
  </si>
  <si>
    <t>Stephane.Pitre@manulifesecurities.ca</t>
  </si>
  <si>
    <t>Stephane Pitre</t>
  </si>
  <si>
    <t>mfc.stephane.pitr</t>
  </si>
  <si>
    <t>Stephanie.Bell@manulifesecurities.ca</t>
  </si>
  <si>
    <t>Stephanie Bell</t>
  </si>
  <si>
    <t>2016-05-26T09:23:52</t>
  </si>
  <si>
    <t>stebell</t>
  </si>
  <si>
    <t>Stephanie.Brunelle@manulifesecurities.ca</t>
  </si>
  <si>
    <t>Stephanie Brunelle</t>
  </si>
  <si>
    <t>2015-01-06T20:17:59</t>
  </si>
  <si>
    <t>SBrunelle</t>
  </si>
  <si>
    <t>Stephanie.Dyck@manulifesecurities.ca</t>
  </si>
  <si>
    <t>Stephanie Dyck</t>
  </si>
  <si>
    <t>2015-10-10T03:21:45</t>
  </si>
  <si>
    <t>mfc.stephanie.dyc</t>
  </si>
  <si>
    <t>Stephanie.Farrow@manulifesecurities.ca</t>
  </si>
  <si>
    <t>Stephanie Farrow</t>
  </si>
  <si>
    <t>2017-10-10T07:45:59</t>
  </si>
  <si>
    <t>sfarrow</t>
  </si>
  <si>
    <t>stephanie.gervais@manulifesecurities.ca</t>
  </si>
  <si>
    <t>Stephanie Gervais</t>
  </si>
  <si>
    <t>2017-10-03T10:58:34</t>
  </si>
  <si>
    <t>mfc.stephanie.ger</t>
  </si>
  <si>
    <t>Stephanie.Harmon@manulifesecurities.ca</t>
  </si>
  <si>
    <t>Stephanie Harmon</t>
  </si>
  <si>
    <t>sjiharmon</t>
  </si>
  <si>
    <t>Stephanie.Henderson@manulifesecurities.ca</t>
  </si>
  <si>
    <t>SHenderson</t>
  </si>
  <si>
    <t>Stephanie.Ketchin@manulifesecurities.ca</t>
  </si>
  <si>
    <t>Stephanie Ketchin</t>
  </si>
  <si>
    <t>2017-10-13T10:26:01</t>
  </si>
  <si>
    <t>slketchin</t>
  </si>
  <si>
    <t>Stephanie.La@manulifesecurities.ca</t>
  </si>
  <si>
    <t>Stephanie La</t>
  </si>
  <si>
    <t>stephla</t>
  </si>
  <si>
    <t>Stephanie.Letarte@manulifesecurities.ca</t>
  </si>
  <si>
    <t>Stephanie Letarte</t>
  </si>
  <si>
    <t>sletarte</t>
  </si>
  <si>
    <t>Stephanie.Meneses@manulifesecurities.ca</t>
  </si>
  <si>
    <t>Stephanie Meneses</t>
  </si>
  <si>
    <t>2014-11-26T14:16:41</t>
  </si>
  <si>
    <t>SMeneses</t>
  </si>
  <si>
    <t>Stephanie.Nesci@manulifesecurities.ca</t>
  </si>
  <si>
    <t>Stephanie Nesci</t>
  </si>
  <si>
    <t>SNesci</t>
  </si>
  <si>
    <t>Stephanie.Ng@manulifesecurities.ca</t>
  </si>
  <si>
    <t>Stephanie Ng</t>
  </si>
  <si>
    <t>stng</t>
  </si>
  <si>
    <t>Stephanie.Pimentel@manulifesecurities.ca</t>
  </si>
  <si>
    <t>Stephanie Pimentel</t>
  </si>
  <si>
    <t>2014-10-27T09:31:25</t>
  </si>
  <si>
    <t>SPimentel</t>
  </si>
  <si>
    <t>Stephanie.Schaefer@manulifesecurities.ca</t>
  </si>
  <si>
    <t>Stephanie Schaefer</t>
  </si>
  <si>
    <t>sschaefer</t>
  </si>
  <si>
    <t>Stephanie.Schmidt@manulifesecurities.ca</t>
  </si>
  <si>
    <t>Stephanie Schmidt</t>
  </si>
  <si>
    <t>stephschmidt</t>
  </si>
  <si>
    <t>stephanie.sciacca@manulifesecurities.ca</t>
  </si>
  <si>
    <t>Stephanie Sciacca</t>
  </si>
  <si>
    <t>2017-10-10T08:09:33</t>
  </si>
  <si>
    <t>mfc.stephanie.sci</t>
  </si>
  <si>
    <t>stephanie.sohan@manulifesecurities.ca</t>
  </si>
  <si>
    <t>Stephanie Sohan</t>
  </si>
  <si>
    <t>mfc.stephanie.soh</t>
  </si>
  <si>
    <t>Stephanie.Turner@manulifesecurities.ca</t>
  </si>
  <si>
    <t>Stephanie Turner</t>
  </si>
  <si>
    <t>sturner</t>
  </si>
  <si>
    <t>Stephanie.Valera@manulifesecurities.ca</t>
  </si>
  <si>
    <t>Stephanie Valera</t>
  </si>
  <si>
    <t>SValera</t>
  </si>
  <si>
    <t>Stephanie.Warnock@manulifesecurities.ca</t>
  </si>
  <si>
    <t>Stephanie Warnock</t>
  </si>
  <si>
    <t>SWarnock</t>
  </si>
  <si>
    <t>Stephanie.Watt@manulifesecurities.ca</t>
  </si>
  <si>
    <t>Stephanie Watt</t>
  </si>
  <si>
    <t>StepWatt</t>
  </si>
  <si>
    <t>Stephanie.Wood@manulifesecurities.ca</t>
  </si>
  <si>
    <t>Stephanie Wood</t>
  </si>
  <si>
    <t>2017-10-11T09:42:53</t>
  </si>
  <si>
    <t>mfc.stephanie.woo</t>
  </si>
  <si>
    <t>Stephen.Adams@manulifesecurities.ca</t>
  </si>
  <si>
    <t>Stephen Adams</t>
  </si>
  <si>
    <t>2014-12-14T21:21:33</t>
  </si>
  <si>
    <t>SAdams</t>
  </si>
  <si>
    <t>Stephen.Beech@manulifesecurities.ca</t>
  </si>
  <si>
    <t>Stephen Beech</t>
  </si>
  <si>
    <t>2015-06-01T09:48:24</t>
  </si>
  <si>
    <t>mfc.stephen.beech</t>
  </si>
  <si>
    <t>Stephen.Bronn@manulifesecurities.ca</t>
  </si>
  <si>
    <t>Stephen Bronn</t>
  </si>
  <si>
    <t>sbronn</t>
  </si>
  <si>
    <t>Stephen.Chu@manulifesecurities.ca</t>
  </si>
  <si>
    <t>Stephen Chu</t>
  </si>
  <si>
    <t>Schu</t>
  </si>
  <si>
    <t>Stephen.Cowell@manulifesecurities.ca</t>
  </si>
  <si>
    <t>Stephen Cowell</t>
  </si>
  <si>
    <t>2017-10-12T12:08:15</t>
  </si>
  <si>
    <t>scowell</t>
  </si>
  <si>
    <t>Stephen.Derzaj@manulifesecurities.ca</t>
  </si>
  <si>
    <t>Stephen Derzaj</t>
  </si>
  <si>
    <t>2017-10-14T18:45:03</t>
  </si>
  <si>
    <t>SDerzaj</t>
  </si>
  <si>
    <t>Stephen.Doane@manulifesecurities.ca</t>
  </si>
  <si>
    <t>SDoane</t>
  </si>
  <si>
    <t>Stephen.Duquette@manulifesecurities.ca</t>
  </si>
  <si>
    <t>Stephen Duquette</t>
  </si>
  <si>
    <t>2016-05-15T23:22:09</t>
  </si>
  <si>
    <t>SDuquette</t>
  </si>
  <si>
    <t>Stephen.Forsey@manulifesecurities.ca</t>
  </si>
  <si>
    <t>Stephen Forsey</t>
  </si>
  <si>
    <t>2017-10-16T08:05:44</t>
  </si>
  <si>
    <t>mfc.stephen.forse</t>
  </si>
  <si>
    <t>Stephen.Gooding@manulifesecurities.ca</t>
  </si>
  <si>
    <t>Stephen Gooding</t>
  </si>
  <si>
    <t>2015-03-30T10:01:56</t>
  </si>
  <si>
    <t>SGooding</t>
  </si>
  <si>
    <t>Stephen.Greene@manulifesecurities.ca</t>
  </si>
  <si>
    <t>Stephen Greene</t>
  </si>
  <si>
    <t>sgreene</t>
  </si>
  <si>
    <t>Stephen.Itel@manulifesecurities.ca</t>
  </si>
  <si>
    <t>SItel</t>
  </si>
  <si>
    <t>Stephen.Kraft@manulifesecurities.ca</t>
  </si>
  <si>
    <t>SKraft</t>
  </si>
  <si>
    <t>Stephen.Lapage@manulifesecurities.ca</t>
  </si>
  <si>
    <t>Stephen Lapage</t>
  </si>
  <si>
    <t>stephen</t>
  </si>
  <si>
    <t>Stephen.Lee@manulifesecurities.ca</t>
  </si>
  <si>
    <t>Seyoung (Stephen) Lee</t>
  </si>
  <si>
    <t>SLee</t>
  </si>
  <si>
    <t>Stephen.Lockley@manulifesecurities.ca</t>
  </si>
  <si>
    <t>SLockley</t>
  </si>
  <si>
    <t>Stephen.MacDonald@manulifesecurities.ca</t>
  </si>
  <si>
    <t>Stephen MacDonald</t>
  </si>
  <si>
    <t>SMacDonald</t>
  </si>
  <si>
    <t>Stephen.Malone@manulifesecurities.ca</t>
  </si>
  <si>
    <t>Stephen Malone</t>
  </si>
  <si>
    <t>2017-10-11T11:18:00</t>
  </si>
  <si>
    <t>SMalone</t>
  </si>
  <si>
    <t>Stephen.Nitsotolis@manulifesecurities.ca</t>
  </si>
  <si>
    <t>Stephen Nitsotolis</t>
  </si>
  <si>
    <t>2017-10-13T12:28:32</t>
  </si>
  <si>
    <t>SNitsotolis</t>
  </si>
  <si>
    <t>Stephen.Ross@manulifesecurities.ca</t>
  </si>
  <si>
    <t>Stephen Ross</t>
  </si>
  <si>
    <t>2015-11-16T11:00:45</t>
  </si>
  <si>
    <t>slross</t>
  </si>
  <si>
    <t>Stephen.Snoddon@manulifesecurities.ca</t>
  </si>
  <si>
    <t>Stephen Snoddon</t>
  </si>
  <si>
    <t>2017-10-15T12:20:44</t>
  </si>
  <si>
    <t>SSnoddon</t>
  </si>
  <si>
    <t>Stephen.Wahl@manulifesecurities.ca</t>
  </si>
  <si>
    <t>Stephen Wahl</t>
  </si>
  <si>
    <t>2017-02-20T08:25:11</t>
  </si>
  <si>
    <t>mfc.stephen.wahl</t>
  </si>
  <si>
    <t>Stephen.Whipp@manulifesecurities.ca</t>
  </si>
  <si>
    <t>Stephen Whipp</t>
  </si>
  <si>
    <t>SWhipp</t>
  </si>
  <si>
    <t>Sterling.Ross@manulifesecurities.ca</t>
  </si>
  <si>
    <t>Sterling James Ross</t>
  </si>
  <si>
    <t>2015-11-11T11:11:09</t>
  </si>
  <si>
    <t>SJRoss</t>
  </si>
  <si>
    <t>Steve.Barban@manulifesecurities.ca</t>
  </si>
  <si>
    <t>Steve Barban</t>
  </si>
  <si>
    <t>2017-10-13T16:07:25</t>
  </si>
  <si>
    <t>SBarban</t>
  </si>
  <si>
    <t>Steve.Hwang@manulifesecurities.ca</t>
  </si>
  <si>
    <t>Steve Hwang</t>
  </si>
  <si>
    <t>SHwang</t>
  </si>
  <si>
    <t>Steve.Maciesza@manulifesecurities.ca</t>
  </si>
  <si>
    <t>Steven Maciesza</t>
  </si>
  <si>
    <t>2017-01-20T23:09:13</t>
  </si>
  <si>
    <t>SMaciesza</t>
  </si>
  <si>
    <t>Steve.Marando@manulifesecurities.ca</t>
  </si>
  <si>
    <t>Steve Marando</t>
  </si>
  <si>
    <t>stephen marando</t>
  </si>
  <si>
    <t>Steve.Nedialkov@manulifesecurities.ca</t>
  </si>
  <si>
    <t>Steve Nedialkov</t>
  </si>
  <si>
    <t>snedia</t>
  </si>
  <si>
    <t>Steve.Pascua@manulifesecurities.ca</t>
  </si>
  <si>
    <t>Steve Pascua</t>
  </si>
  <si>
    <t>SPascua</t>
  </si>
  <si>
    <t>Steve.Shewchuk@manulifesecurities.ca</t>
  </si>
  <si>
    <t>Steve Shewchuk</t>
  </si>
  <si>
    <t>2017-10-05T13:50:00</t>
  </si>
  <si>
    <t>mfc.steve.shewchu</t>
  </si>
  <si>
    <t>Steve.Trellert@manulifesecurities.ca</t>
  </si>
  <si>
    <t>Steve Trellert</t>
  </si>
  <si>
    <t>STrellert</t>
  </si>
  <si>
    <t>Steve.Wilson@manulifesecurities.ca</t>
  </si>
  <si>
    <t>Steve Wilson</t>
  </si>
  <si>
    <t>StWilson</t>
  </si>
  <si>
    <t>Steven.Allen@manulifesecurities.ca</t>
  </si>
  <si>
    <t>stallen</t>
  </si>
  <si>
    <t>Steven.Barnes@manulifesecurities.ca</t>
  </si>
  <si>
    <t>Steven Barnes</t>
  </si>
  <si>
    <t>2017-10-09T00:38:40</t>
  </si>
  <si>
    <t>SBarnes</t>
  </si>
  <si>
    <t>steven.cerone@manulifesecurities.ca</t>
  </si>
  <si>
    <t>Steven Cerone</t>
  </si>
  <si>
    <t>2017-10-16T05:01:39</t>
  </si>
  <si>
    <t>mfc.steven.cerone</t>
  </si>
  <si>
    <t>Steven.Chacalos@manulifesecurities.ca</t>
  </si>
  <si>
    <t>Steven Chacalos</t>
  </si>
  <si>
    <t>SChacalos</t>
  </si>
  <si>
    <t>Steven.Clark@manulifesecurities.ca</t>
  </si>
  <si>
    <t>Steven Clark</t>
  </si>
  <si>
    <t>SClark</t>
  </si>
  <si>
    <t>Steven.Cohen@manulifesecurities.ca</t>
  </si>
  <si>
    <t>Steven Cohen</t>
  </si>
  <si>
    <t>srcohen</t>
  </si>
  <si>
    <t>Steven.Corsi@manulifesecurities.ca</t>
  </si>
  <si>
    <t>Steven Corsi</t>
  </si>
  <si>
    <t>2017-10-15T00:32:34</t>
  </si>
  <si>
    <t>stcorsi</t>
  </si>
  <si>
    <t>Steven.Joyce@manulifesecurities.ca</t>
  </si>
  <si>
    <t>Steve Joyce</t>
  </si>
  <si>
    <t>joycest</t>
  </si>
  <si>
    <t>Steven.Knowles@manulifesecurities.ca</t>
  </si>
  <si>
    <t>Steven Knowles</t>
  </si>
  <si>
    <t>2017-10-10T10:31:45</t>
  </si>
  <si>
    <t>SKnowles</t>
  </si>
  <si>
    <t>Steven.MacNeil@manulifesecurities.ca</t>
  </si>
  <si>
    <t>Steven MacNeil</t>
  </si>
  <si>
    <t>SMacNeil</t>
  </si>
  <si>
    <t>Steven.McMackon@manulifesecurities.ca</t>
  </si>
  <si>
    <t>Steven McMackon</t>
  </si>
  <si>
    <t>2017-07-31T13:49:05</t>
  </si>
  <si>
    <t>SMcMackon</t>
  </si>
  <si>
    <t>Steven.Santia@manulifesecurities.ca</t>
  </si>
  <si>
    <t>Steven Santia</t>
  </si>
  <si>
    <t>2017-03-03T10:42:28</t>
  </si>
  <si>
    <t>mfc.steve.santia</t>
  </si>
  <si>
    <t>Steven.Taylor@manulifesecurities.ca</t>
  </si>
  <si>
    <t>Steven Taylor</t>
  </si>
  <si>
    <t>sttaylor</t>
  </si>
  <si>
    <t>Steven.Yu@manulifesecurities.ca</t>
  </si>
  <si>
    <t>Steven Yu</t>
  </si>
  <si>
    <t>2017-10-09T08:46:50</t>
  </si>
  <si>
    <t>syu</t>
  </si>
  <si>
    <t>StevenD.Johnson@manulifesecurities.ca</t>
  </si>
  <si>
    <t>Steven D Johnson</t>
  </si>
  <si>
    <t>2017-10-08T07:18:48</t>
  </si>
  <si>
    <t>sjohnson</t>
  </si>
  <si>
    <t>Stewart.Anderson@manulifesecurities.ca</t>
  </si>
  <si>
    <t>Stewart Anderson</t>
  </si>
  <si>
    <t>SAnderson</t>
  </si>
  <si>
    <t>Stewart.MacDonald@manulifesecurities.ca</t>
  </si>
  <si>
    <t>Stewart MacDonald</t>
  </si>
  <si>
    <t>2017-10-06T07:03:08</t>
  </si>
  <si>
    <t>mfc.stewart.macdo</t>
  </si>
  <si>
    <t>Stu.Field@manulifesecurities.ca</t>
  </si>
  <si>
    <t>Stu Field</t>
  </si>
  <si>
    <t>fieldst</t>
  </si>
  <si>
    <t>Stuart.Campbell@manulifesecurities.ca</t>
  </si>
  <si>
    <t>Stuart Campbell</t>
  </si>
  <si>
    <t>campbst</t>
  </si>
  <si>
    <t>Stuart.Hoffman@manulifesecurities.ca</t>
  </si>
  <si>
    <t>Stuart Hoffman</t>
  </si>
  <si>
    <t>2017-10-15T09:26:59</t>
  </si>
  <si>
    <t>SHoffman</t>
  </si>
  <si>
    <t>stuart.kirk@manulifesecurities.ca</t>
  </si>
  <si>
    <t>Stuart Kirk</t>
  </si>
  <si>
    <t>stukirk</t>
  </si>
  <si>
    <t>Stuart.Sutton@manulifesecurities.ca</t>
  </si>
  <si>
    <t>Stuart Sutton</t>
  </si>
  <si>
    <t>2017-10-11T15:58:49</t>
  </si>
  <si>
    <t>SSutton</t>
  </si>
  <si>
    <t>Suchi.Beri@manulifesecurities.ca</t>
  </si>
  <si>
    <t>SBeri</t>
  </si>
  <si>
    <t>Sue.Arthurs@manulifesecurities.ca</t>
  </si>
  <si>
    <t>Sue Arthurs</t>
  </si>
  <si>
    <t>2017-10-13T16:11:59</t>
  </si>
  <si>
    <t>suearthurs</t>
  </si>
  <si>
    <t>Sue.Block@manulifesecurities.ca</t>
  </si>
  <si>
    <t>Sue Block</t>
  </si>
  <si>
    <t>2015-10-06T14:18:43</t>
  </si>
  <si>
    <t>SBlock</t>
  </si>
  <si>
    <t>Sue.Chhan@manulifesecurities.ca</t>
  </si>
  <si>
    <t>Sue Chhan</t>
  </si>
  <si>
    <t>SChhan</t>
  </si>
  <si>
    <t>Sue.Grant@manulifesecurities.ca</t>
  </si>
  <si>
    <t>Sue Grant</t>
  </si>
  <si>
    <t>SGrant</t>
  </si>
  <si>
    <t>Sue.Hanson@manulifesecurities.ca</t>
  </si>
  <si>
    <t>Sue Hanson</t>
  </si>
  <si>
    <t>2017-10-10T10:46:05</t>
  </si>
  <si>
    <t>suehanson</t>
  </si>
  <si>
    <t>Sue.Johnson@manulifesecurities.ca</t>
  </si>
  <si>
    <t>Sue Johnson</t>
  </si>
  <si>
    <t>johnsuh</t>
  </si>
  <si>
    <t>Sue.Joyce@manulifesecurities.ca</t>
  </si>
  <si>
    <t>Sue Joyce</t>
  </si>
  <si>
    <t>2017-10-02T13:00:21</t>
  </si>
  <si>
    <t>SCochrane</t>
  </si>
  <si>
    <t>Sue.Rodgers@manulifesecurities.ca</t>
  </si>
  <si>
    <t>Sue Rodgers</t>
  </si>
  <si>
    <t>srodgers26</t>
  </si>
  <si>
    <t>Sue.Roknic@manulifesecurities.ca</t>
  </si>
  <si>
    <t>Sue Roknic</t>
  </si>
  <si>
    <t>SRoknic</t>
  </si>
  <si>
    <t>Sue.Rowe@manulifesecurities.ca</t>
  </si>
  <si>
    <t>Sue Rowe</t>
  </si>
  <si>
    <t>rowesue</t>
  </si>
  <si>
    <t>Sue.Troke@manulifesecurities.ca</t>
  </si>
  <si>
    <t>Susan Troke</t>
  </si>
  <si>
    <t>2017-10-06T18:59:23</t>
  </si>
  <si>
    <t>mfc.sue.troke</t>
  </si>
  <si>
    <t>sue.turgeon@manulifesecurities.ca</t>
  </si>
  <si>
    <t>Sue Turgeon</t>
  </si>
  <si>
    <t>2016-07-28T09:20:00</t>
  </si>
  <si>
    <t>mfc.sue.turgeon</t>
  </si>
  <si>
    <t>Sue.Whyte@manulifesecurities.ca</t>
  </si>
  <si>
    <t>Sue Whyte</t>
  </si>
  <si>
    <t>2016-07-04T00:24:14</t>
  </si>
  <si>
    <t>SWhyte</t>
  </si>
  <si>
    <t>Sue.Wong@manulifesecurities.ca</t>
  </si>
  <si>
    <t>Sue Wong</t>
  </si>
  <si>
    <t>2015-04-02T10:18:02</t>
  </si>
  <si>
    <t>SueWong</t>
  </si>
  <si>
    <t>sue-jin.yang@manulifesecurities.ca</t>
  </si>
  <si>
    <t>Sue-Jin Yang</t>
  </si>
  <si>
    <t>2015-12-03T08:51:18</t>
  </si>
  <si>
    <t>mfc.sue-jin.yang</t>
  </si>
  <si>
    <t>SueTing.Wong@manulifesecurities.ca</t>
  </si>
  <si>
    <t>Sue Ting Wong</t>
  </si>
  <si>
    <t>SWong</t>
  </si>
  <si>
    <t>sukhdeep.hunjan@manulifesecurities.ca</t>
  </si>
  <si>
    <t>Sukhdeep Hunjan</t>
  </si>
  <si>
    <t>2016-01-20T08:39:53</t>
  </si>
  <si>
    <t>mfc.sukhdeep.hunj</t>
  </si>
  <si>
    <t>Summer.Braunig@manulifesecurities.ca</t>
  </si>
  <si>
    <t>Summer Braunig</t>
  </si>
  <si>
    <t>sbraunig</t>
  </si>
  <si>
    <t>Summer.Stickley@manulifesecurities.ca</t>
  </si>
  <si>
    <t>Summer �Stickley</t>
  </si>
  <si>
    <t>SStickley</t>
  </si>
  <si>
    <t>sunil.heda@manulifesecurities.ca</t>
  </si>
  <si>
    <t>Sunil Heda</t>
  </si>
  <si>
    <t>2017-10-08T05:56:37</t>
  </si>
  <si>
    <t>mfc.sunil.heda</t>
  </si>
  <si>
    <t>Sunita.Sooknanan@manulifesecurities.ca</t>
  </si>
  <si>
    <t>Sunita Sooknanan</t>
  </si>
  <si>
    <t>ssooknan</t>
  </si>
  <si>
    <t>Support@manulifesecurities.ca</t>
  </si>
  <si>
    <t>Support</t>
  </si>
  <si>
    <t>BerkSupport</t>
  </si>
  <si>
    <t>Suraj.Patel@manulifesecurities.ca</t>
  </si>
  <si>
    <t>Suraj Patel</t>
  </si>
  <si>
    <t>2017-10-14T00:01:44</t>
  </si>
  <si>
    <t>Supatel</t>
  </si>
  <si>
    <t>Susan.Adamson@manulifesecurities.ca</t>
  </si>
  <si>
    <t>Susan Adamson</t>
  </si>
  <si>
    <t>SAdamson</t>
  </si>
  <si>
    <t>Susan.Atchison@manulifesecurities.ca</t>
  </si>
  <si>
    <t>Susan Atchison</t>
  </si>
  <si>
    <t>satchison</t>
  </si>
  <si>
    <t>Susan.Bates@manulifesecurities.ca</t>
  </si>
  <si>
    <t>Susan Bates</t>
  </si>
  <si>
    <t>2017-10-10T08:34:39</t>
  </si>
  <si>
    <t>mfc.susan.bates</t>
  </si>
  <si>
    <t>Susan.Bodnarchuk@manulifesecurities.ca</t>
  </si>
  <si>
    <t>Susan Bodnarchuk</t>
  </si>
  <si>
    <t>2017-10-10T12:28:53</t>
  </si>
  <si>
    <t>SBodnarchuk</t>
  </si>
  <si>
    <t>Susan.Brown@manulifesecurities.ca</t>
  </si>
  <si>
    <t>Susan Brown</t>
  </si>
  <si>
    <t>SBrown</t>
  </si>
  <si>
    <t>Susan.Chan@manulifesecurities.ca</t>
  </si>
  <si>
    <t>Susan Chan</t>
  </si>
  <si>
    <t>schan</t>
  </si>
  <si>
    <t>Susan.Fletcher@manulifesecurities.ca</t>
  </si>
  <si>
    <t>Susan Fletcher</t>
  </si>
  <si>
    <t>2016-10-11T09:07:40</t>
  </si>
  <si>
    <t>SFletcher</t>
  </si>
  <si>
    <t>Susan.Fowler@manulifesecurities.ca</t>
  </si>
  <si>
    <t>Susan Fowler</t>
  </si>
  <si>
    <t>sfowler</t>
  </si>
  <si>
    <t>Susan.Jones@manulifesecurities.ca</t>
  </si>
  <si>
    <t>Susan Jones</t>
  </si>
  <si>
    <t>jonessu</t>
  </si>
  <si>
    <t>Susan.Langdon@manulifesecurities.ca</t>
  </si>
  <si>
    <t>Susan Langdon</t>
  </si>
  <si>
    <t>2017-06-08T15:12:26</t>
  </si>
  <si>
    <t>slangdon</t>
  </si>
  <si>
    <t>Susan.Maynard@manulifesecurities.ca</t>
  </si>
  <si>
    <t>Susan Maynard</t>
  </si>
  <si>
    <t>susanmaynard</t>
  </si>
  <si>
    <t>Susan.McEachern@manulifesecurities.ca</t>
  </si>
  <si>
    <t>Susan McEachern</t>
  </si>
  <si>
    <t>2017-10-13T16:34:16</t>
  </si>
  <si>
    <t>mfc.susan.mceache</t>
  </si>
  <si>
    <t>Susan.Mertens@manulifesecurities.ca</t>
  </si>
  <si>
    <t>Susan Mertens</t>
  </si>
  <si>
    <t>2015-12-01T12:12:08</t>
  </si>
  <si>
    <t>SMertens</t>
  </si>
  <si>
    <t>Susan.Quigg@manulifesecurities.ca</t>
  </si>
  <si>
    <t>Susan Quigg</t>
  </si>
  <si>
    <t>2017-10-10T09:09:49</t>
  </si>
  <si>
    <t>SQuigg</t>
  </si>
  <si>
    <t>Susan.Radwan@manulifesecurities.ca</t>
  </si>
  <si>
    <t>Susan Radwan</t>
  </si>
  <si>
    <t>2016-11-16T10:06:44</t>
  </si>
  <si>
    <t>mfc.susan.radwan</t>
  </si>
  <si>
    <t>Susan.Rees@manulifesecurities.ca</t>
  </si>
  <si>
    <t>Susan Rees</t>
  </si>
  <si>
    <t>SLiberty</t>
  </si>
  <si>
    <t>Susan.Riman@manulifesecurities.ca</t>
  </si>
  <si>
    <t>Susan Riman</t>
  </si>
  <si>
    <t>2017-10-16T08:20:20</t>
  </si>
  <si>
    <t>mfc.susan.riman</t>
  </si>
  <si>
    <t>Susan.Sarzynska@manulifesecurities.ca</t>
  </si>
  <si>
    <t>Susan Sarzynska</t>
  </si>
  <si>
    <t>2017-10-09T20:20:34</t>
  </si>
  <si>
    <t>SSarzynska</t>
  </si>
  <si>
    <t>susan.serapiglia@manulifesecurities.ca</t>
  </si>
  <si>
    <t>Susan Serapiglia</t>
  </si>
  <si>
    <t>2017-10-16T09:36:52</t>
  </si>
  <si>
    <t>mfc.susan.serapig</t>
  </si>
  <si>
    <t>Susan.Slater@manulifesecurities.ca</t>
  </si>
  <si>
    <t>Susan Slater</t>
  </si>
  <si>
    <t>2017-10-12T14:06:48</t>
  </si>
  <si>
    <t>sslater</t>
  </si>
  <si>
    <t>Susan.Somers@manulifesecurities.ca</t>
  </si>
  <si>
    <t>Susan Somers</t>
  </si>
  <si>
    <t>ssomers</t>
  </si>
  <si>
    <t>Susan.Stellings@manulifesecurities.ca</t>
  </si>
  <si>
    <t>Susan Stellings</t>
  </si>
  <si>
    <t>2017-10-12T15:45:47</t>
  </si>
  <si>
    <t>mfc.susan.stellin</t>
  </si>
  <si>
    <t>Susan.Troke@manulifesecurities.ca</t>
  </si>
  <si>
    <t>stroke</t>
  </si>
  <si>
    <t>Susan.Turgeon@manulifesecurities.ca</t>
  </si>
  <si>
    <t>Susan Turgeon</t>
  </si>
  <si>
    <t>STurgeon</t>
  </si>
  <si>
    <t>Susan.Wells@manulifesecurities.ca</t>
  </si>
  <si>
    <t>Susan Wells</t>
  </si>
  <si>
    <t>2017-09-18T16:43:51</t>
  </si>
  <si>
    <t>SWells</t>
  </si>
  <si>
    <t>Susan.Wilson@manulifesecurities.ca</t>
  </si>
  <si>
    <t>Susan Wilson</t>
  </si>
  <si>
    <t>suwilson</t>
  </si>
  <si>
    <t>Susana.Allison@manulifesecurities.ca</t>
  </si>
  <si>
    <t>Susana Allison</t>
  </si>
  <si>
    <t>sallison</t>
  </si>
  <si>
    <t>susanne.hopfner@manulifesecurities.ca</t>
  </si>
  <si>
    <t>Susanne Hopfner</t>
  </si>
  <si>
    <t>2017-10-10T12:21:24</t>
  </si>
  <si>
    <t>mfc.susanne.hopfn</t>
  </si>
  <si>
    <t>Susanne.VonHeyking@manulifesecurities.ca</t>
  </si>
  <si>
    <t>Susanne Von Heyking</t>
  </si>
  <si>
    <t>svonheyk</t>
  </si>
  <si>
    <t>SusanT.Brown@manulifesecurities.ca</t>
  </si>
  <si>
    <t>Susan T Brown</t>
  </si>
  <si>
    <t>stbrown</t>
  </si>
  <si>
    <t>Susen.Oulton@manulifesecurities.ca</t>
  </si>
  <si>
    <t>Susen Oulton</t>
  </si>
  <si>
    <t>SOulton</t>
  </si>
  <si>
    <t>Susie.Laratta@manulifesecurities.ca</t>
  </si>
  <si>
    <t>Susie Laratta</t>
  </si>
  <si>
    <t>SLaratta</t>
  </si>
  <si>
    <t>Susie.Romanyk@manulifesecurities.ca</t>
  </si>
  <si>
    <t>Susie Romanyk</t>
  </si>
  <si>
    <t>2017-10-11T09:45:17</t>
  </si>
  <si>
    <t>mfc.susie.romanyk</t>
  </si>
  <si>
    <t>Susie.Su@manulifesecurities.ca</t>
  </si>
  <si>
    <t>Susie Su</t>
  </si>
  <si>
    <t>2017-03-09T12:38:42</t>
  </si>
  <si>
    <t>SusieSu</t>
  </si>
  <si>
    <t>Suzan.Doricic@manulifesecurities.ca</t>
  </si>
  <si>
    <t>Suzan Doricic</t>
  </si>
  <si>
    <t>SDoricic</t>
  </si>
  <si>
    <t>Suzanne.Alepin-cote@manulifesecurities.ca</t>
  </si>
  <si>
    <t>Suzanne Alepin-cote</t>
  </si>
  <si>
    <t>alepisu</t>
  </si>
  <si>
    <t>Suzanne.Derry@manulifesecurities.ca</t>
  </si>
  <si>
    <t>Suzanne Derry</t>
  </si>
  <si>
    <t>sderry</t>
  </si>
  <si>
    <t>Suzanne.Glaw@manulifesecurities.ca</t>
  </si>
  <si>
    <t>SGlaw</t>
  </si>
  <si>
    <t>Suzanne.Imbrogno@manulifesecurities.ca</t>
  </si>
  <si>
    <t>Suzanne Imbrogno</t>
  </si>
  <si>
    <t>SImbrogno</t>
  </si>
  <si>
    <t>Suzanne.Lafreniere@manulifesecurities.ca</t>
  </si>
  <si>
    <t>Suzanne Lafreniere</t>
  </si>
  <si>
    <t>2017-10-02T17:22:42</t>
  </si>
  <si>
    <t>slafren</t>
  </si>
  <si>
    <t>Suzanne.Lawrence@manulifesecurities.ca</t>
  </si>
  <si>
    <t>Suzanne Lawrence</t>
  </si>
  <si>
    <t>SLawrence</t>
  </si>
  <si>
    <t>Suzanne.Martins@manulifesecurities.ca</t>
  </si>
  <si>
    <t>Suzanne Martins</t>
  </si>
  <si>
    <t>2017-10-12T12:22:40</t>
  </si>
  <si>
    <t>SMartins</t>
  </si>
  <si>
    <t>Suzanne.Murray@manulifesecurities.ca</t>
  </si>
  <si>
    <t>Suzanne Murray</t>
  </si>
  <si>
    <t>SMurray</t>
  </si>
  <si>
    <t>Suzanne.Pruss@manulifesecurities.ca</t>
  </si>
  <si>
    <t>Suzanne Pruss</t>
  </si>
  <si>
    <t>SPruss</t>
  </si>
  <si>
    <t>Suzanne.Taylor@manulifesecurities.ca</t>
  </si>
  <si>
    <t>Suzanne M Taylor</t>
  </si>
  <si>
    <t>2017-10-07T21:16:56</t>
  </si>
  <si>
    <t>SuTaylor</t>
  </si>
  <si>
    <t>suzanne.weber@manulifesecurities.ca</t>
  </si>
  <si>
    <t>Suzanne Weber</t>
  </si>
  <si>
    <t>2017-09-19T11:56:39</t>
  </si>
  <si>
    <t>mfc.suzanne.weber</t>
  </si>
  <si>
    <t>Suzanne.Wilhelmy@manulifesecurities.ca</t>
  </si>
  <si>
    <t>Suzanne Wilhelmy</t>
  </si>
  <si>
    <t>swilhelmy</t>
  </si>
  <si>
    <t>Suzette.Henricus@manulifesecurities.ca</t>
  </si>
  <si>
    <t>Suzette Henricus</t>
  </si>
  <si>
    <t>2016-07-14T13:38:04</t>
  </si>
  <si>
    <t>mfc.suzette.henri</t>
  </si>
  <si>
    <t>Suzette.Low@manulifesecurities.ca</t>
  </si>
  <si>
    <t>Suzette Low</t>
  </si>
  <si>
    <t>SLow</t>
  </si>
  <si>
    <t>Suzie.Longland@manulifesecurities.ca</t>
  </si>
  <si>
    <t>Suzie Longland</t>
  </si>
  <si>
    <t>slongland</t>
  </si>
  <si>
    <t>Suzy.Anderson@manulifesecurities.ca</t>
  </si>
  <si>
    <t>Suzy Anderson</t>
  </si>
  <si>
    <t>anderss</t>
  </si>
  <si>
    <t>Suzy.Jones@manulifesecurities.ca</t>
  </si>
  <si>
    <t>Suzy Jones</t>
  </si>
  <si>
    <t>SJones</t>
  </si>
  <si>
    <t>SVC.Arcserve@manulifesecurities.ca</t>
  </si>
  <si>
    <t>SVCArcserve</t>
  </si>
  <si>
    <t>svcxtender@manulifesecurities.ca</t>
  </si>
  <si>
    <t>svcxtender</t>
  </si>
  <si>
    <t>Sydney.Harmon@manulifesecurities.ca</t>
  </si>
  <si>
    <t>Sydney Harmon</t>
  </si>
  <si>
    <t>sjharmon</t>
  </si>
  <si>
    <t>Syed.Hasnain@manulifesecurities.ca</t>
  </si>
  <si>
    <t>Syed Hasnain</t>
  </si>
  <si>
    <t>2017-10-15T17:31:47</t>
  </si>
  <si>
    <t>SHasnain</t>
  </si>
  <si>
    <t>Sylvain.Arel@manulifesecurities.ca</t>
  </si>
  <si>
    <t>Sylvain Arel</t>
  </si>
  <si>
    <t>sylvaina</t>
  </si>
  <si>
    <t>Sylvain.Boutot@manulifesecurities.ca</t>
  </si>
  <si>
    <t>Sylvain Boutot</t>
  </si>
  <si>
    <t>SBoutot</t>
  </si>
  <si>
    <t>Sylvia.Giannetti@manulifesecurities.ca</t>
  </si>
  <si>
    <t>Sylvia Giannetti</t>
  </si>
  <si>
    <t>2017-10-12T09:18:01</t>
  </si>
  <si>
    <t>SGiannetti</t>
  </si>
  <si>
    <t>Sylvia.Koch@manulifesecurities.ca</t>
  </si>
  <si>
    <t>Sylvia Koch</t>
  </si>
  <si>
    <t>skoch</t>
  </si>
  <si>
    <t>Sylvia.Lesic@manulifesecurities.ca</t>
  </si>
  <si>
    <t>Sylvia Lesic</t>
  </si>
  <si>
    <t>2017-10-16T08:56:01</t>
  </si>
  <si>
    <t>mfc.sylvia.lesic</t>
  </si>
  <si>
    <t>Sylvia.Perry@manulifesecurities.ca</t>
  </si>
  <si>
    <t>Sylvia Perry</t>
  </si>
  <si>
    <t>sylviaperry</t>
  </si>
  <si>
    <t>Sylvia.Samek@manulifesecurities.ca</t>
  </si>
  <si>
    <t>Sylvia Samek</t>
  </si>
  <si>
    <t>2017-09-25T16:14:02</t>
  </si>
  <si>
    <t>ssamek</t>
  </si>
  <si>
    <t>Sylvie.Bourgeois@manulifesecurities.ca</t>
  </si>
  <si>
    <t>Sylvie Bourgeois</t>
  </si>
  <si>
    <t>bourgsy</t>
  </si>
  <si>
    <t>Sylvie.Roy@placementsmanuvie.ca</t>
  </si>
  <si>
    <t>Sylvie Roy</t>
  </si>
  <si>
    <t>SRoy</t>
  </si>
  <si>
    <t>Sylvie.Roy001@manulifesecurities.ca</t>
  </si>
  <si>
    <t>Sylvie Roy (manulifesecurities.ca)</t>
  </si>
  <si>
    <t>sylroy</t>
  </si>
  <si>
    <t>Synergy@manulifesecurities.ca</t>
  </si>
  <si>
    <t>Synergy</t>
  </si>
  <si>
    <t>SystematicEvents@manulifesecurities.ca</t>
  </si>
  <si>
    <t>zzSystematic Events</t>
  </si>
  <si>
    <t>SystematicEvents</t>
  </si>
  <si>
    <t>T.Knopp@manulifesecurities.ca</t>
  </si>
  <si>
    <t>Tamara Knopp</t>
  </si>
  <si>
    <t>2017-04-17T15:33:34</t>
  </si>
  <si>
    <t>mfc.t.knopp</t>
  </si>
  <si>
    <t>T.Lamouche@manulifesecurities.ca</t>
  </si>
  <si>
    <t>Tina Lamouche</t>
  </si>
  <si>
    <t>2017-10-08T04:37:53</t>
  </si>
  <si>
    <t>tlamouch</t>
  </si>
  <si>
    <t>t.mucin@manulifesecurities.ca</t>
  </si>
  <si>
    <t>Tina Mucin</t>
  </si>
  <si>
    <t>2017-09-29T09:01:59</t>
  </si>
  <si>
    <t>mfc.t.mucin</t>
  </si>
  <si>
    <t>t.viegasmonchamp@manulifesecurities.ca</t>
  </si>
  <si>
    <t>Tania Viegas-Monchamp</t>
  </si>
  <si>
    <t>2017-10-05T12:27:21</t>
  </si>
  <si>
    <t>TMonchamp</t>
  </si>
  <si>
    <t>Talia.Zacerkowny@manulifesecurities.ca</t>
  </si>
  <si>
    <t>Talia Zacerkowny</t>
  </si>
  <si>
    <t>2016-10-28T13:07:32</t>
  </si>
  <si>
    <t>tzacer</t>
  </si>
  <si>
    <t>Tally.Levine@manulifesecurities.ca</t>
  </si>
  <si>
    <t>Tally Levine</t>
  </si>
  <si>
    <t>TLevine</t>
  </si>
  <si>
    <t>Tamara.Blaney@manulifesecurities.ca</t>
  </si>
  <si>
    <t>Tamara Blaney</t>
  </si>
  <si>
    <t>tamarablaney</t>
  </si>
  <si>
    <t>Tamara.Dundas@manulifesecurities.ca</t>
  </si>
  <si>
    <t>Tamara Dundas</t>
  </si>
  <si>
    <t>tdundas</t>
  </si>
  <si>
    <t>Tamara.Kiengersky@manulifesecurities.ca</t>
  </si>
  <si>
    <t>Tamara Kiengersky</t>
  </si>
  <si>
    <t>TKiengersky</t>
  </si>
  <si>
    <t>Tamara.McPherson@manulifesecurities.ca</t>
  </si>
  <si>
    <t>Tamara McPherson</t>
  </si>
  <si>
    <t>2014-10-09T17:13:35</t>
  </si>
  <si>
    <t>TMcPherson</t>
  </si>
  <si>
    <t>tamara.veason@manulifesecurities.ca</t>
  </si>
  <si>
    <t>Tamara Veason</t>
  </si>
  <si>
    <t>2017-05-04T12:14:03</t>
  </si>
  <si>
    <t>mfc.tamara.veason</t>
  </si>
  <si>
    <t>Tammy.Armstrong@manulifesecurities.ca</t>
  </si>
  <si>
    <t>Tammy Armstrong</t>
  </si>
  <si>
    <t>2017-10-11T11:19:48</t>
  </si>
  <si>
    <t>TammyArmstrong</t>
  </si>
  <si>
    <t>Tammy.Badari@manulifesecurities.ca</t>
  </si>
  <si>
    <t>Tammy Badari</t>
  </si>
  <si>
    <t>tbadari</t>
  </si>
  <si>
    <t>Tammy.Laframboise@manulifesecurities.ca</t>
  </si>
  <si>
    <t>Tammy Laframboise</t>
  </si>
  <si>
    <t>2016-11-14T12:19:30</t>
  </si>
  <si>
    <t>TLaframboise</t>
  </si>
  <si>
    <t>tammy.price@manulifesecurities.ca</t>
  </si>
  <si>
    <t>Tammy Price</t>
  </si>
  <si>
    <t>2015-08-17T19:46:41</t>
  </si>
  <si>
    <t>mfc.tammy.price</t>
  </si>
  <si>
    <t>Tammy.Roberts@manulifesecurities.ca</t>
  </si>
  <si>
    <t>Tammy Roberts</t>
  </si>
  <si>
    <t>tammylynn</t>
  </si>
  <si>
    <t>Tania.Archer@manulifesecurities.ca</t>
  </si>
  <si>
    <t>Tania Archer</t>
  </si>
  <si>
    <t>tarcher</t>
  </si>
  <si>
    <t>Tania.Carvalho@manulifesecurities.ca</t>
  </si>
  <si>
    <t>Tania Carvalho</t>
  </si>
  <si>
    <t>2017-10-10T12:12:37</t>
  </si>
  <si>
    <t>mfc.tania.carvalh</t>
  </si>
  <si>
    <t>Tania.Gomes@manulifesecurities.ca</t>
  </si>
  <si>
    <t>Tania Gomes</t>
  </si>
  <si>
    <t>2017-10-10T07:17:27</t>
  </si>
  <si>
    <t>mfc.tania.gomes</t>
  </si>
  <si>
    <t>Tania.Lotimer@manulifesecurities.ca</t>
  </si>
  <si>
    <t>Tania Lotimer</t>
  </si>
  <si>
    <t>TLotimer</t>
  </si>
  <si>
    <t>Tania.Patel@manulifesecurities.ca</t>
  </si>
  <si>
    <t>Tania Patel</t>
  </si>
  <si>
    <t>TPatel</t>
  </si>
  <si>
    <t>Tania.Sabourin@manulifesecurities.ca</t>
  </si>
  <si>
    <t>Tania Sabourin</t>
  </si>
  <si>
    <t>2017-10-12T08:59:22</t>
  </si>
  <si>
    <t>TSabourin</t>
  </si>
  <si>
    <t>Tanis.Forsythe@manulifesecurities.ca</t>
  </si>
  <si>
    <t>Tanis Forsythe</t>
  </si>
  <si>
    <t>2017-10-10T10:18:02</t>
  </si>
  <si>
    <t>TForsythe</t>
  </si>
  <si>
    <t>Tanis.Hohne@manulifesecurities.ca</t>
  </si>
  <si>
    <t>Tanis Hohne</t>
  </si>
  <si>
    <t>THohne</t>
  </si>
  <si>
    <t>Tanis.Klassen@manulifesecurities.ca</t>
  </si>
  <si>
    <t>Tanis Klassen</t>
  </si>
  <si>
    <t>TKlassen</t>
  </si>
  <si>
    <t>Tanuja.Gupta@manulifesecurities.ca</t>
  </si>
  <si>
    <t>Tanuja Gupta</t>
  </si>
  <si>
    <t>TGupta</t>
  </si>
  <si>
    <t>Tanya.Cahill@manulifesecurities.ca</t>
  </si>
  <si>
    <t>Tanya Cahill</t>
  </si>
  <si>
    <t>2017-10-10T08:16:36</t>
  </si>
  <si>
    <t>tlcahill</t>
  </si>
  <si>
    <t>Tanya.Furlano@manulifesecurities.ca</t>
  </si>
  <si>
    <t>Tanya Furlano</t>
  </si>
  <si>
    <t>2017-06-15T09:47:21</t>
  </si>
  <si>
    <t>TFurlano</t>
  </si>
  <si>
    <t>Tanya.Godina@manulifesecurities.ca</t>
  </si>
  <si>
    <t>Tanya Godina</t>
  </si>
  <si>
    <t>2016-02-01T15:08:35</t>
  </si>
  <si>
    <t>TGodina</t>
  </si>
  <si>
    <t>Tanya.Guenther@manulifesecurities.ca</t>
  </si>
  <si>
    <t>Tanya Guenther</t>
  </si>
  <si>
    <t>tguenther</t>
  </si>
  <si>
    <t>Tanya.Hickey@manulifesecurities.ca</t>
  </si>
  <si>
    <t>Tanya Hickey</t>
  </si>
  <si>
    <t>2017-10-08T22:31:07</t>
  </si>
  <si>
    <t>TaDodd</t>
  </si>
  <si>
    <t>tanya.krainova@manulifesecurities.ca</t>
  </si>
  <si>
    <t>Tanya Krainova</t>
  </si>
  <si>
    <t>2015-07-24T09:33:46</t>
  </si>
  <si>
    <t>mfc.tanya.krainov</t>
  </si>
  <si>
    <t>Tanya.Martin@manulifesecurities.ca</t>
  </si>
  <si>
    <t>Tanya Martin</t>
  </si>
  <si>
    <t>2016-09-26T09:55:05</t>
  </si>
  <si>
    <t>mfc.tanya.martin</t>
  </si>
  <si>
    <t>Tanya.Matsalla@manulifesecurities.ca</t>
  </si>
  <si>
    <t>Tanya Matsalla</t>
  </si>
  <si>
    <t>2017-09-22T14:49:09</t>
  </si>
  <si>
    <t>TMatsalla</t>
  </si>
  <si>
    <t>Tanya.Meyer@manulifesecurities.ca</t>
  </si>
  <si>
    <t>Tanya Meyer</t>
  </si>
  <si>
    <t>tmeyer</t>
  </si>
  <si>
    <t>Tanya.Mota@manulifesecurities.ca</t>
  </si>
  <si>
    <t>Tanya Mota</t>
  </si>
  <si>
    <t>2015-09-03T09:02:03</t>
  </si>
  <si>
    <t>mfc.tanya.mota</t>
  </si>
  <si>
    <t>Tanya.O'neill@manulifesecurities.ca</t>
  </si>
  <si>
    <t>Tanya O'neill</t>
  </si>
  <si>
    <t>2017-10-10T11:38:11</t>
  </si>
  <si>
    <t>tanyaoneill</t>
  </si>
  <si>
    <t>Tanya.Sedgwick@manulifesecurities.ca</t>
  </si>
  <si>
    <t>Tanya Sedgwick</t>
  </si>
  <si>
    <t>2015-04-18T12:08:38</t>
  </si>
  <si>
    <t>TSedgwick</t>
  </si>
  <si>
    <t>Tao.Jiang@manulifesecurities.ca</t>
  </si>
  <si>
    <t>Tao Jiang</t>
  </si>
  <si>
    <t>2015-03-10T13:28:17</t>
  </si>
  <si>
    <t>TJiang</t>
  </si>
  <si>
    <t>Tara.Fisher@manulifesecurities.ca</t>
  </si>
  <si>
    <t>Tara Fisher</t>
  </si>
  <si>
    <t>TFisher</t>
  </si>
  <si>
    <t>Tara.Zajac@manulifesecurities.ca</t>
  </si>
  <si>
    <t>Tara Zajac</t>
  </si>
  <si>
    <t>tzajac</t>
  </si>
  <si>
    <t>Tarek.AbouZeid@manulifesecurities.ca</t>
  </si>
  <si>
    <t>Tarek Abou Zeid</t>
  </si>
  <si>
    <t>TAbouZeid</t>
  </si>
  <si>
    <t>Tarek.Elrefaie@manulifesecurities.ca</t>
  </si>
  <si>
    <t>Tarek El Refaie</t>
  </si>
  <si>
    <t>2017-10-14T08:37:46</t>
  </si>
  <si>
    <t>mfc.tarek.elrefai</t>
  </si>
  <si>
    <t>Tarif.AlHinnawi@manulifesecurities.ca</t>
  </si>
  <si>
    <t>Tarif AlHinnawi</t>
  </si>
  <si>
    <t>thinnawi</t>
  </si>
  <si>
    <t>Tarrah.Scott@manulifesecurities.ca</t>
  </si>
  <si>
    <t>TScott</t>
  </si>
  <si>
    <t>Tarun.Reddy@manulifesecurities.ca</t>
  </si>
  <si>
    <t>Tarun Reddy</t>
  </si>
  <si>
    <t>2017-09-08T12:15:00</t>
  </si>
  <si>
    <t>mfc.tarun.reddy</t>
  </si>
  <si>
    <t>Tasha.Larade@manulifesecurities.ca</t>
  </si>
  <si>
    <t>Tasha Larade</t>
  </si>
  <si>
    <t>tlarade</t>
  </si>
  <si>
    <t>Tashana.Phoenix-Smith@manulifesecurities.ca</t>
  </si>
  <si>
    <t>Tashana �Phoenix-Smith</t>
  </si>
  <si>
    <t>TPhoenix-Smith</t>
  </si>
  <si>
    <t>Taxation@manulifesecurities.ca</t>
  </si>
  <si>
    <t>Taxation Department</t>
  </si>
  <si>
    <t>Taylor.Burns@manulifesecurities.ca</t>
  </si>
  <si>
    <t>Taylor Burns</t>
  </si>
  <si>
    <t>2017-10-10T12:21:05</t>
  </si>
  <si>
    <t>TBurns</t>
  </si>
  <si>
    <t>Taylor.Dutton@manulifesecurities.ca</t>
  </si>
  <si>
    <t>Taylor Dutton</t>
  </si>
  <si>
    <t>TDutton</t>
  </si>
  <si>
    <t>Taylor.Fydirchuk@manulifesecurities.ca</t>
  </si>
  <si>
    <t>Taylor Fydirchuk</t>
  </si>
  <si>
    <t>tfydirc</t>
  </si>
  <si>
    <t>Taylor.Szeto@manulifesecurities.ca</t>
  </si>
  <si>
    <t>Taylor Szeto</t>
  </si>
  <si>
    <t>2017-10-13T09:47:11</t>
  </si>
  <si>
    <t>TSzeto</t>
  </si>
  <si>
    <t>TaylorFydirchuk@manulifesecurities.ca</t>
  </si>
  <si>
    <t>Taylor S Fydirchuk</t>
  </si>
  <si>
    <t>2015-09-18T10:00:38</t>
  </si>
  <si>
    <t>tsfydi</t>
  </si>
  <si>
    <t>Taylre.Duarte@manulifesecurities.ca</t>
  </si>
  <si>
    <t>Taylre Duarte</t>
  </si>
  <si>
    <t>TDuarte</t>
  </si>
  <si>
    <t>TeamCharlton@manulifesecurities.ca</t>
  </si>
  <si>
    <t>Team Charlton</t>
  </si>
  <si>
    <t>TeamCharlton-1</t>
  </si>
  <si>
    <t>TeamCharltonSecondary@manulifesecurities.ca</t>
  </si>
  <si>
    <t>Team Charlton Secondary</t>
  </si>
  <si>
    <t>TeamCharltonSecondar</t>
  </si>
  <si>
    <t>TechnicalServices@placementsmanuvie.ca</t>
  </si>
  <si>
    <t>AS TS</t>
  </si>
  <si>
    <t>2017-10-11T16:42:13</t>
  </si>
  <si>
    <t>TechnicalServices</t>
  </si>
  <si>
    <t>Ted.Fraser@manulifesecurities.ca</t>
  </si>
  <si>
    <t>Ted Fraser</t>
  </si>
  <si>
    <t>2017-10-11T12:32:48</t>
  </si>
  <si>
    <t>mfc.ted.fraser</t>
  </si>
  <si>
    <t>Ted.Irvine@manulifesecurities.ca</t>
  </si>
  <si>
    <t>Ted Irvine</t>
  </si>
  <si>
    <t>2017-10-06T16:47:40</t>
  </si>
  <si>
    <t>TIrvine</t>
  </si>
  <si>
    <t>Ted.Langer@manulifesecurities.ca</t>
  </si>
  <si>
    <t>TLanger</t>
  </si>
  <si>
    <t>Ted.Piekarz@manulifesecurities.ca</t>
  </si>
  <si>
    <t>Ted Piekarz</t>
  </si>
  <si>
    <t>2017-10-15T22:58:43</t>
  </si>
  <si>
    <t>TPiekarz</t>
  </si>
  <si>
    <t>ted.Roy@manulifesecurities.ca</t>
  </si>
  <si>
    <t>ted Roy</t>
  </si>
  <si>
    <t>royjeanp</t>
  </si>
  <si>
    <t>Ted.Wall@manulifesecurities.ca</t>
  </si>
  <si>
    <t>Ted Wall</t>
  </si>
  <si>
    <t>TWall</t>
  </si>
  <si>
    <t>Teena.Cameron@manulifesecurities.ca</t>
  </si>
  <si>
    <t>Teena Cameron</t>
  </si>
  <si>
    <t>TCameron</t>
  </si>
  <si>
    <t>Teena.Jarvis@manulifesecurities.ca</t>
  </si>
  <si>
    <t>Teena Jarvis</t>
  </si>
  <si>
    <t>TJarvis</t>
  </si>
  <si>
    <t>Teena.Simpson@manulifesecurities.ca</t>
  </si>
  <si>
    <t>Teena Simpson</t>
  </si>
  <si>
    <t>2017-10-13T11:05:23</t>
  </si>
  <si>
    <t>TSimpson</t>
  </si>
  <si>
    <t>Tejinder.Sodhi@manulifesecurities.ca</t>
  </si>
  <si>
    <t>Tejinder Sodhi</t>
  </si>
  <si>
    <t>TSodhi</t>
  </si>
  <si>
    <t>Tekla.Nelson@manulifesecurities.ca</t>
  </si>
  <si>
    <t>Tekla Nelson</t>
  </si>
  <si>
    <t>2017-10-10T10:15:31</t>
  </si>
  <si>
    <t>TDupuis</t>
  </si>
  <si>
    <t>Tennille.Katelnikoff@manulifesecurities.ca</t>
  </si>
  <si>
    <t>Tennille Katelnikoff</t>
  </si>
  <si>
    <t>TKatelnikoff</t>
  </si>
  <si>
    <t>Teraca.Moffatt@manulifesecurities.ca</t>
  </si>
  <si>
    <t>Teraca Moffatt</t>
  </si>
  <si>
    <t>2017-10-07T09:58:00</t>
  </si>
  <si>
    <t>TMoffatt</t>
  </si>
  <si>
    <t>Terence.Chu@manulifesecurities.ca</t>
  </si>
  <si>
    <t>Terence Chu</t>
  </si>
  <si>
    <t>2017-10-08T04:50:48</t>
  </si>
  <si>
    <t>mfc.terence.chu</t>
  </si>
  <si>
    <t>Terence.Dunn@manulifesecurities.ca</t>
  </si>
  <si>
    <t>Terry Dunn</t>
  </si>
  <si>
    <t>2017-10-11T17:15:02</t>
  </si>
  <si>
    <t>TDunn</t>
  </si>
  <si>
    <t>Terence.Hawes@manulifesecurities.ca</t>
  </si>
  <si>
    <t>Terence Hawes</t>
  </si>
  <si>
    <t>THawes</t>
  </si>
  <si>
    <t>Teresa.Baker@manulifesecurities.ca</t>
  </si>
  <si>
    <t>Teresa Baker</t>
  </si>
  <si>
    <t>2017-10-16T09:31:28</t>
  </si>
  <si>
    <t>TBaker</t>
  </si>
  <si>
    <t>Teresa.Cameron@manulifesecurities.ca</t>
  </si>
  <si>
    <t>Teresa Cameron</t>
  </si>
  <si>
    <t>TeresaCameron</t>
  </si>
  <si>
    <t>Teresa.DiFonzo@manulifesecurities.ca</t>
  </si>
  <si>
    <t>Teresa Di Fonzo</t>
  </si>
  <si>
    <t>tdifonzo</t>
  </si>
  <si>
    <t>Teresa.King@manulifesecurities.ca</t>
  </si>
  <si>
    <t>Teresa King</t>
  </si>
  <si>
    <t>2014-11-25T12:19:24</t>
  </si>
  <si>
    <t>TKing</t>
  </si>
  <si>
    <t>Teresa.Turner@manulifesecurities.ca</t>
  </si>
  <si>
    <t>Teresa Turner</t>
  </si>
  <si>
    <t>TTurner</t>
  </si>
  <si>
    <t>Teresa.Ventresca@manulifesecurities.ca</t>
  </si>
  <si>
    <t>Teresa Ventresca</t>
  </si>
  <si>
    <t>TVentresca</t>
  </si>
  <si>
    <t>Teresa.Wong@manulifesecurities.ca</t>
  </si>
  <si>
    <t>Teresa Wong</t>
  </si>
  <si>
    <t>2017-10-14T10:55:58</t>
  </si>
  <si>
    <t>teresaw</t>
  </si>
  <si>
    <t>Teresa.Zurza@manulifesecurities.ca</t>
  </si>
  <si>
    <t>Teresa Zurza</t>
  </si>
  <si>
    <t>TZurza</t>
  </si>
  <si>
    <t>TeresaA.Turner@manulifesecurities.ca</t>
  </si>
  <si>
    <t>Teresa A. Turner</t>
  </si>
  <si>
    <t>teturner</t>
  </si>
  <si>
    <t>Teri.Genge@manulifesecurities.ca</t>
  </si>
  <si>
    <t>Teri Genge</t>
  </si>
  <si>
    <t>TGenge</t>
  </si>
  <si>
    <t>Teri.Ponzo@manulifesecurities.ca</t>
  </si>
  <si>
    <t>Teri Ponzo</t>
  </si>
  <si>
    <t>2017-10-11T09:58:31</t>
  </si>
  <si>
    <t>mfc.teri.ponzo</t>
  </si>
  <si>
    <t>Terina.Lefebvre@manulifesecurities.ca</t>
  </si>
  <si>
    <t>Terina Lefebvre</t>
  </si>
  <si>
    <t>2014-10-28T07:47:05</t>
  </si>
  <si>
    <t>TLefebvre</t>
  </si>
  <si>
    <t>Terrance.Michels@manulifesecurities.ca</t>
  </si>
  <si>
    <t>Terrance Michels</t>
  </si>
  <si>
    <t>tmichels</t>
  </si>
  <si>
    <t>Terrance.Tymchuk@manulifesecurities.ca</t>
  </si>
  <si>
    <t>Terrance Tymchuk</t>
  </si>
  <si>
    <t>2017-10-02T19:47:44</t>
  </si>
  <si>
    <t>ttymchuk</t>
  </si>
  <si>
    <t>Terrence.Campbell@manulifesecurities.ca</t>
  </si>
  <si>
    <t>Terrence Campbell</t>
  </si>
  <si>
    <t>terrysc</t>
  </si>
  <si>
    <t>Terrence.Tresoor@manulifesecurities.ca</t>
  </si>
  <si>
    <t>Terrence Tresoor</t>
  </si>
  <si>
    <t>2017-10-09T10:18:04</t>
  </si>
  <si>
    <t>tresoor</t>
  </si>
  <si>
    <t>Terri.Bedard@manulifesecurities.ca</t>
  </si>
  <si>
    <t>Terri Bedard</t>
  </si>
  <si>
    <t>TBedard</t>
  </si>
  <si>
    <t>Terri.Bedminster@manulifesecurities.ca</t>
  </si>
  <si>
    <t>Terri Bedminster</t>
  </si>
  <si>
    <t>tbedmins</t>
  </si>
  <si>
    <t>Terri.Godard@manulifesecurities.ca</t>
  </si>
  <si>
    <t>Terri Godard</t>
  </si>
  <si>
    <t>2017-10-10T08:24:44</t>
  </si>
  <si>
    <t>mfc.terri.godard</t>
  </si>
  <si>
    <t>Terri.Love@manulifesecurities.ca</t>
  </si>
  <si>
    <t>Terri Love</t>
  </si>
  <si>
    <t>2015-04-14T13:30:52</t>
  </si>
  <si>
    <t>terriml</t>
  </si>
  <si>
    <t>Terri.Weintraub@manulifesecurities.ca</t>
  </si>
  <si>
    <t>Terri Weintraub</t>
  </si>
  <si>
    <t>2017-10-10T11:51:52</t>
  </si>
  <si>
    <t>TWeintraub</t>
  </si>
  <si>
    <t>Terri.Williams@manulifesecurities.ca</t>
  </si>
  <si>
    <t>Terri Williams</t>
  </si>
  <si>
    <t>TWilliams</t>
  </si>
  <si>
    <t>Terry.Bennett@manulifesecurities.ca</t>
  </si>
  <si>
    <t>Terry Bennett</t>
  </si>
  <si>
    <t>2017-10-06T11:57:35</t>
  </si>
  <si>
    <t>TBennett</t>
  </si>
  <si>
    <t>Terry.Chunick@manulifesecurities.ca</t>
  </si>
  <si>
    <t>Terry Chunick</t>
  </si>
  <si>
    <t>2017-10-10T17:45:52</t>
  </si>
  <si>
    <t>TChunick</t>
  </si>
  <si>
    <t>Terry.Clark@manulifesecurities.ca</t>
  </si>
  <si>
    <t>Terry Clark</t>
  </si>
  <si>
    <t>2017-10-11T15:43:45</t>
  </si>
  <si>
    <t>TClark</t>
  </si>
  <si>
    <t>Terry.Cripotos@manulifesecurities.ca</t>
  </si>
  <si>
    <t>Terry Cripotos</t>
  </si>
  <si>
    <t>mfc.terry.cripoto</t>
  </si>
  <si>
    <t>Terry.Lawson@manulifesecurities.ca</t>
  </si>
  <si>
    <t>Terry Lawson</t>
  </si>
  <si>
    <t>TLawson</t>
  </si>
  <si>
    <t>Terry.Mah@manulifesecurities.ca</t>
  </si>
  <si>
    <t>Terry Mah</t>
  </si>
  <si>
    <t>2017-10-10T10:42:50</t>
  </si>
  <si>
    <t>TMah</t>
  </si>
  <si>
    <t>Terry.Mancinelli@manulifesecurities.ca</t>
  </si>
  <si>
    <t>Terry Mancinelli</t>
  </si>
  <si>
    <t>2017-10-10T08:38:40</t>
  </si>
  <si>
    <t>TMancinelli</t>
  </si>
  <si>
    <t>Terry.McIntyre@manulifesecurities.ca</t>
  </si>
  <si>
    <t>Terry McIntyre</t>
  </si>
  <si>
    <t>2017-10-07T00:16:07</t>
  </si>
  <si>
    <t>TMcIntyre</t>
  </si>
  <si>
    <t>Terry.Micks@manulifesecurities.ca</t>
  </si>
  <si>
    <t>Terry Micks</t>
  </si>
  <si>
    <t>mickste</t>
  </si>
  <si>
    <t>Terry.Miley@manulifesecurities.ca</t>
  </si>
  <si>
    <t>Terry Miley</t>
  </si>
  <si>
    <t>2017-06-21T12:32:45</t>
  </si>
  <si>
    <t>tmiley</t>
  </si>
  <si>
    <t>Terry.Querin@manulifesecurities.ca</t>
  </si>
  <si>
    <t>Terry Querin</t>
  </si>
  <si>
    <t>tlquerin</t>
  </si>
  <si>
    <t>Terry.Schmauder@manulifesecurities.ca</t>
  </si>
  <si>
    <t>Terry Schmauder</t>
  </si>
  <si>
    <t>2017-10-10T12:05:06</t>
  </si>
  <si>
    <t>TSchmauder</t>
  </si>
  <si>
    <t>Terry.Turcotte@manulifesecurities.ca</t>
  </si>
  <si>
    <t>Terry Turcotte</t>
  </si>
  <si>
    <t>2017-10-09T07:32:39</t>
  </si>
  <si>
    <t>TTurcotte</t>
  </si>
  <si>
    <t>Terry.Wyatt@manulifesecurities.ca</t>
  </si>
  <si>
    <t>Terry Wyatt</t>
  </si>
  <si>
    <t>2017-10-16T09:53:16</t>
  </si>
  <si>
    <t>TWyatt</t>
  </si>
  <si>
    <t>Tessa.Dupuis@manulifesecurities.ca</t>
  </si>
  <si>
    <t>Tessa Dupuis</t>
  </si>
  <si>
    <t>TeDupuis</t>
  </si>
  <si>
    <t>Test.Notes1@manulifesecurities.ca</t>
  </si>
  <si>
    <t>Test Notes11</t>
  </si>
  <si>
    <t>TNotes1</t>
  </si>
  <si>
    <t>Test.Notes2@manulifesecurities.ca</t>
  </si>
  <si>
    <t>Test Notes2</t>
  </si>
  <si>
    <t>TNotes2</t>
  </si>
  <si>
    <t>Test.Notes33@manulifesecurities.ca</t>
  </si>
  <si>
    <t>Test Notes3</t>
  </si>
  <si>
    <t>TNotes3</t>
  </si>
  <si>
    <t>Test.Users@manulifesecurities.ca</t>
  </si>
  <si>
    <t>Test Users</t>
  </si>
  <si>
    <t>TUsers</t>
  </si>
  <si>
    <t>Test1.Migration@manulifesecurities.ca</t>
  </si>
  <si>
    <t>Test1 Migration</t>
  </si>
  <si>
    <t>2016-04-21T16:33:45</t>
  </si>
  <si>
    <t>MigrationTest1</t>
  </si>
  <si>
    <t>Test11.Migration@manulifesecurities.ca</t>
  </si>
  <si>
    <t>Test11 Migration</t>
  </si>
  <si>
    <t>2017-04-18T16:55:11</t>
  </si>
  <si>
    <t>mfc.test11.migrat</t>
  </si>
  <si>
    <t>test12.migration@manulifesecurities.ca</t>
  </si>
  <si>
    <t>Test12 Migration</t>
  </si>
  <si>
    <t>2015-12-21T16:15:16</t>
  </si>
  <si>
    <t>mfc.test12.migrat</t>
  </si>
  <si>
    <t>test13.migration@manulifesecurities.ca</t>
  </si>
  <si>
    <t>Test13 Migration</t>
  </si>
  <si>
    <t>2015-10-08T23:58:03</t>
  </si>
  <si>
    <t>mfc.test13.migrat</t>
  </si>
  <si>
    <t>test14.migration@manulifesecurities.ca</t>
  </si>
  <si>
    <t>Test14 Migration</t>
  </si>
  <si>
    <t>2015-01-15T15:53:55</t>
  </si>
  <si>
    <t>mfc.test14.migrat</t>
  </si>
  <si>
    <t>test15.migration@manulifesecurities.ca</t>
  </si>
  <si>
    <t>Test15 Migration</t>
  </si>
  <si>
    <t>2016-04-21T16:33:48</t>
  </si>
  <si>
    <t>mfc.test15.migrat</t>
  </si>
  <si>
    <t>test16.migration@manulifesecurities.ca</t>
  </si>
  <si>
    <t>Test16 Migration</t>
  </si>
  <si>
    <t>2014-09-24T16:29:23</t>
  </si>
  <si>
    <t>mfc.test16.migrat</t>
  </si>
  <si>
    <t>test17.migration@manulifesecurities.ca</t>
  </si>
  <si>
    <t>Test17 Migration</t>
  </si>
  <si>
    <t>2014-10-14T02:36:34</t>
  </si>
  <si>
    <t>mfc.test17.migrat</t>
  </si>
  <si>
    <t>test18.migration@manulifesecurities.ca</t>
  </si>
  <si>
    <t>Test18 Migration</t>
  </si>
  <si>
    <t>mfc.test18.migrat</t>
  </si>
  <si>
    <t>test19.migration@manulifesecurities.ca</t>
  </si>
  <si>
    <t>Test19 Migration</t>
  </si>
  <si>
    <t>2014-10-25T16:57:50</t>
  </si>
  <si>
    <t>mfc.test19.migrat</t>
  </si>
  <si>
    <t>Test2.Migration@manulifesecurities.ca</t>
  </si>
  <si>
    <t>Test2 Migration</t>
  </si>
  <si>
    <t>2014-10-18T20:41:06</t>
  </si>
  <si>
    <t>MigrationTest2</t>
  </si>
  <si>
    <t>test20.migration@manulifesecurities.ca</t>
  </si>
  <si>
    <t>Test20 Migration</t>
  </si>
  <si>
    <t>2014-09-26T18:35:40</t>
  </si>
  <si>
    <t>mfc.test20.migrat</t>
  </si>
  <si>
    <t>Test3.Migration@manulifesecurities.ca</t>
  </si>
  <si>
    <t>Test3 Migration</t>
  </si>
  <si>
    <t>MigrationTest3</t>
  </si>
  <si>
    <t>Test4.Migration@manulifesecurities.ca</t>
  </si>
  <si>
    <t>Test4 Migration</t>
  </si>
  <si>
    <t>2017-03-24T18:28:15</t>
  </si>
  <si>
    <t>MigrationTest4</t>
  </si>
  <si>
    <t>TestAndre.NotesAndre@manulifesecurities.ca</t>
  </si>
  <si>
    <t>Test Notes4</t>
  </si>
  <si>
    <t>TNotes4</t>
  </si>
  <si>
    <t>tester.adv@manulifesecurities.ca</t>
  </si>
  <si>
    <t>tester adv</t>
  </si>
  <si>
    <t>testeradv</t>
  </si>
  <si>
    <t>testterry@manulifesecurities.ca</t>
  </si>
  <si>
    <t>testterry</t>
  </si>
  <si>
    <t>2016-02-12T22:05:22</t>
  </si>
  <si>
    <t>mfc.testterry</t>
  </si>
  <si>
    <t>Theresa.Camaya@manulifesecurities.ca</t>
  </si>
  <si>
    <t>Theresa Camaya</t>
  </si>
  <si>
    <t>TCamaya</t>
  </si>
  <si>
    <t>Theresa.Deveau@manulifesecurities.ca</t>
  </si>
  <si>
    <t>Theresa Deveau</t>
  </si>
  <si>
    <t>TDeveau</t>
  </si>
  <si>
    <t>Theresa.Hamlin@manulifesecurities.ca</t>
  </si>
  <si>
    <t>Theresa Hamlin</t>
  </si>
  <si>
    <t>thamlin</t>
  </si>
  <si>
    <t>Theresa.Hayward@manulifesecurities.ca</t>
  </si>
  <si>
    <t>Theresa Hayward</t>
  </si>
  <si>
    <t>THayward</t>
  </si>
  <si>
    <t>Theresa.Hoddinott@manulifesecurities.ca</t>
  </si>
  <si>
    <t>Theresa Hoddinott</t>
  </si>
  <si>
    <t>thodd246</t>
  </si>
  <si>
    <t>Theresa.Lowe@manulifesecurities.ca</t>
  </si>
  <si>
    <t>Theresa Lowe</t>
  </si>
  <si>
    <t>tllowe</t>
  </si>
  <si>
    <t>Theresa.Marks@manulifesecurities.ca</t>
  </si>
  <si>
    <t>Theresa Marks</t>
  </si>
  <si>
    <t>2017-10-10T08:36:02</t>
  </si>
  <si>
    <t>ThMarks</t>
  </si>
  <si>
    <t>Theresa.Townson@manulifesecurities.ca</t>
  </si>
  <si>
    <t>Theresa Townson</t>
  </si>
  <si>
    <t>2017-01-23T11:41:52</t>
  </si>
  <si>
    <t>townson</t>
  </si>
  <si>
    <t>Therese.Cormier@manulifesecurities.ca</t>
  </si>
  <si>
    <t>Therese Cormier</t>
  </si>
  <si>
    <t>2017-10-03T13:45:22</t>
  </si>
  <si>
    <t>TCormier</t>
  </si>
  <si>
    <t>Thierry.Jabbour@manulifesecurities.ca</t>
  </si>
  <si>
    <t>Thierry Jabbour</t>
  </si>
  <si>
    <t>2017-10-12T15:27:40</t>
  </si>
  <si>
    <t>TJabbour</t>
  </si>
  <si>
    <t>Thomas.Adams@manulifesecurities.ca</t>
  </si>
  <si>
    <t>Thomas Adams</t>
  </si>
  <si>
    <t>Thadams</t>
  </si>
  <si>
    <t>Thomas.Collison@manulifesecurities.ca</t>
  </si>
  <si>
    <t>Thomas Collison</t>
  </si>
  <si>
    <t>tcollison</t>
  </si>
  <si>
    <t>Thomas.Gicquel@manulifesecurities.ca</t>
  </si>
  <si>
    <t>Thomas Gicquel</t>
  </si>
  <si>
    <t>2017-10-09T23:59:09</t>
  </si>
  <si>
    <t>TGicquel</t>
  </si>
  <si>
    <t>Thomas.Golberg@manulifesecurities.ca</t>
  </si>
  <si>
    <t>Thomas Golberg</t>
  </si>
  <si>
    <t>TGolberg</t>
  </si>
  <si>
    <t>Thomas.Henninger@manulifesecurities.ca</t>
  </si>
  <si>
    <t>Thomas Henninger</t>
  </si>
  <si>
    <t>2017-10-06T13:28:02</t>
  </si>
  <si>
    <t>henntoh</t>
  </si>
  <si>
    <t>Thomas.Kofin@manulifesecurities.ca</t>
  </si>
  <si>
    <t>Thomas Kofin</t>
  </si>
  <si>
    <t>2016-08-23T18:37:53</t>
  </si>
  <si>
    <t>tkofin</t>
  </si>
  <si>
    <t>Thomas.Luccioni@manulifesecurities.ca</t>
  </si>
  <si>
    <t>Thomas Luccioni</t>
  </si>
  <si>
    <t>2017-10-06T09:20:23</t>
  </si>
  <si>
    <t>thluccio</t>
  </si>
  <si>
    <t>Thomas.Manion@manulifesecurities.ca</t>
  </si>
  <si>
    <t>Tom Manion</t>
  </si>
  <si>
    <t>TManion</t>
  </si>
  <si>
    <t>Thomas.ONeill@manulifesecurities.ca</t>
  </si>
  <si>
    <t>Thomas O'Neill</t>
  </si>
  <si>
    <t>thomaso</t>
  </si>
  <si>
    <t>Thomas.Russell@manulifesecurities.ca</t>
  </si>
  <si>
    <t>Thomas Russell</t>
  </si>
  <si>
    <t>2017-10-10T17:22:46</t>
  </si>
  <si>
    <t>russeto</t>
  </si>
  <si>
    <t>Tiffany.Reinhardt@manulifesecurities.ca</t>
  </si>
  <si>
    <t>Tiffany Reinhardt</t>
  </si>
  <si>
    <t>reinhardtt</t>
  </si>
  <si>
    <t>Tiffany.Sparks@manulifesecurities.ca</t>
  </si>
  <si>
    <t>Tiffany Sparks</t>
  </si>
  <si>
    <t>tiffany</t>
  </si>
  <si>
    <t>Tihomir.Lilyanov@manulifesecurities.ca</t>
  </si>
  <si>
    <t>Tihomir Lilyanov</t>
  </si>
  <si>
    <t>mfc.tihomir.lilya</t>
  </si>
  <si>
    <t>Tim.Coles@manulifesecurities.ca</t>
  </si>
  <si>
    <t>Tim Coles</t>
  </si>
  <si>
    <t>2017-10-10T09:58:44</t>
  </si>
  <si>
    <t>mfc.tim.coles</t>
  </si>
  <si>
    <t>Tim.Graham@manulifesecurities.ca</t>
  </si>
  <si>
    <t>Tim Graham</t>
  </si>
  <si>
    <t>2017-10-03T14:24:15</t>
  </si>
  <si>
    <t>tggraham</t>
  </si>
  <si>
    <t>Tim.Hansen@manulifesecurities.ca</t>
  </si>
  <si>
    <t>Tim Hansen</t>
  </si>
  <si>
    <t>2017-10-10T05:13:38</t>
  </si>
  <si>
    <t>THansen</t>
  </si>
  <si>
    <t>Tim.Hazlett@manulifesecurities.ca</t>
  </si>
  <si>
    <t>Tim Hazlett</t>
  </si>
  <si>
    <t>2017-10-16T08:07:50</t>
  </si>
  <si>
    <t>mfc.tim.hazlett</t>
  </si>
  <si>
    <t>Tim.Martins@manulifesecurities.ca</t>
  </si>
  <si>
    <t>Tim Martins</t>
  </si>
  <si>
    <t>2017-10-06T17:34:25</t>
  </si>
  <si>
    <t>tmartins</t>
  </si>
  <si>
    <t>Tim.Robb@manulifesecurities.ca</t>
  </si>
  <si>
    <t>Tim Robb</t>
  </si>
  <si>
    <t>2017-10-15T16:58:57</t>
  </si>
  <si>
    <t>TRobb</t>
  </si>
  <si>
    <t>Tim.Sweet@manulifesecurities.ca</t>
  </si>
  <si>
    <t>Tim Sweet</t>
  </si>
  <si>
    <t>2014-12-18T20:45:33</t>
  </si>
  <si>
    <t>TSweet</t>
  </si>
  <si>
    <t>Tim.Vant@manulifesecurities.ca</t>
  </si>
  <si>
    <t>Tim Vant</t>
  </si>
  <si>
    <t>Trvant</t>
  </si>
  <si>
    <t>Tim.Wilson@manulifesecurities.ca</t>
  </si>
  <si>
    <t>Tim Wilson</t>
  </si>
  <si>
    <t>2017-10-06T13:27:50</t>
  </si>
  <si>
    <t>tiwilson</t>
  </si>
  <si>
    <t>Tim.Winter@manulifesecurities.ca</t>
  </si>
  <si>
    <t>TWinter</t>
  </si>
  <si>
    <t>Timothy.Bauman@manulifesecurities.ca</t>
  </si>
  <si>
    <t>Timothy Bauman</t>
  </si>
  <si>
    <t>2017-10-04T10:25:29</t>
  </si>
  <si>
    <t>tbbauman</t>
  </si>
  <si>
    <t>Timothy.Boggs@manulifesecurities.ca</t>
  </si>
  <si>
    <t>Timothy Boggs</t>
  </si>
  <si>
    <t>2017-10-12T12:17:45</t>
  </si>
  <si>
    <t>boggsti</t>
  </si>
  <si>
    <t>Timothy.Corkery@manulifesecurities.ca</t>
  </si>
  <si>
    <t>Timothy Corkery</t>
  </si>
  <si>
    <t>2017-10-02T17:50:07</t>
  </si>
  <si>
    <t>tcorkery</t>
  </si>
  <si>
    <t>Timothy.Greves@manulifesecurities.ca</t>
  </si>
  <si>
    <t>Tim Greves</t>
  </si>
  <si>
    <t>2015-12-27T13:35:33</t>
  </si>
  <si>
    <t>TGreves</t>
  </si>
  <si>
    <t>Timothy.Jenkins@manulifesecurities.ca</t>
  </si>
  <si>
    <t>Timothy Jenkins</t>
  </si>
  <si>
    <t>tjenkins</t>
  </si>
  <si>
    <t>Timothy.Keeler@manulifesecurities.ca</t>
  </si>
  <si>
    <t>Timothy Keeler</t>
  </si>
  <si>
    <t>2017-10-16T03:08:26</t>
  </si>
  <si>
    <t>TKeeler</t>
  </si>
  <si>
    <t>Timothy.Leach@manulifesecurities.ca</t>
  </si>
  <si>
    <t>Timothy Leach</t>
  </si>
  <si>
    <t>timleach</t>
  </si>
  <si>
    <t>Timothy.Vant@manulifesecurities.ca</t>
  </si>
  <si>
    <t>Timothy Vant</t>
  </si>
  <si>
    <t>tvant</t>
  </si>
  <si>
    <t>Timothy.Warkentin@manulifesecurities.ca</t>
  </si>
  <si>
    <t>Timothy Warkentin</t>
  </si>
  <si>
    <t>TWarkentin</t>
  </si>
  <si>
    <t>Timothy.Warr@manulifesecurities.ca</t>
  </si>
  <si>
    <t>Timothy Warr</t>
  </si>
  <si>
    <t>2017-07-24T06:29:35</t>
  </si>
  <si>
    <t>timwarr</t>
  </si>
  <si>
    <t>Tina.Abarquez@manulifesecurities.ca</t>
  </si>
  <si>
    <t>Tina Abarquez</t>
  </si>
  <si>
    <t>gallach</t>
  </si>
  <si>
    <t>Tina.Baker@manulifesecurities.ca</t>
  </si>
  <si>
    <t>Tina Baker</t>
  </si>
  <si>
    <t>bakert</t>
  </si>
  <si>
    <t>Tina.Ferrandini@manulifesecurities.ca</t>
  </si>
  <si>
    <t>Tina Ferrandini</t>
  </si>
  <si>
    <t>2017-10-11T10:19:51</t>
  </si>
  <si>
    <t>tferrandini</t>
  </si>
  <si>
    <t>Tina.Lamouche@manulifesecurities.ca</t>
  </si>
  <si>
    <t>Tina Lamouche (Disabled)</t>
  </si>
  <si>
    <t>tlamouche</t>
  </si>
  <si>
    <t>tina.matheson@manulifesecurities.ca</t>
  </si>
  <si>
    <t>Tina Matheson</t>
  </si>
  <si>
    <t>mfc.tina.matheson</t>
  </si>
  <si>
    <t>Tina.Mucin@manulifesecurities.ca</t>
  </si>
  <si>
    <t>2016-08-19T09:10:02</t>
  </si>
  <si>
    <t>mfc.tina.mucin</t>
  </si>
  <si>
    <t>Tina.Oshaway@manulifesecurities.ca</t>
  </si>
  <si>
    <t>Tina Oshaway</t>
  </si>
  <si>
    <t>TOshaway</t>
  </si>
  <si>
    <t>Tina.Radoja@manulifesecurities.ca</t>
  </si>
  <si>
    <t>Tina Radoja</t>
  </si>
  <si>
    <t>TRadoja</t>
  </si>
  <si>
    <t>Ting.Xue@manulifesecurities.ca</t>
  </si>
  <si>
    <t>TXue</t>
  </si>
  <si>
    <t>Tino.Todaro@manulifesecurities.ca</t>
  </si>
  <si>
    <t>Tino Todaro</t>
  </si>
  <si>
    <t>2017-10-10T10:22:14</t>
  </si>
  <si>
    <t>TTodaro</t>
  </si>
  <si>
    <t>Todd.Adams@manulifesecurities.ca</t>
  </si>
  <si>
    <t>Todd Adams</t>
  </si>
  <si>
    <t>toadams</t>
  </si>
  <si>
    <t>Todd.Boyd@manulifesecurities.ca</t>
  </si>
  <si>
    <t>Todd Boyd</t>
  </si>
  <si>
    <t>2017-10-08T10:36:29</t>
  </si>
  <si>
    <t>toddboyd</t>
  </si>
  <si>
    <t>Todd.Hawkins@manulifesecurities.ca</t>
  </si>
  <si>
    <t>Todd Hawkins</t>
  </si>
  <si>
    <t>2017-02-06T13:16:20</t>
  </si>
  <si>
    <t>THawkins</t>
  </si>
  <si>
    <t>Todd.Hopper@manulifesecurities.ca</t>
  </si>
  <si>
    <t>Todd Hopper</t>
  </si>
  <si>
    <t>2017-10-13T16:08:00</t>
  </si>
  <si>
    <t>hopper</t>
  </si>
  <si>
    <t>Todd.Hounsome@manulifesecurities.ca</t>
  </si>
  <si>
    <t>Todd Hounsome</t>
  </si>
  <si>
    <t>2017-06-16T10:59:50</t>
  </si>
  <si>
    <t>tohouns</t>
  </si>
  <si>
    <t>Todd.Jeanneault@manulifesecurities.ca</t>
  </si>
  <si>
    <t>TJeanneault</t>
  </si>
  <si>
    <t>Todd.Robinson@manulifesecurities.ca</t>
  </si>
  <si>
    <t>Todd Robinson</t>
  </si>
  <si>
    <t>2017-10-15T12:07:19</t>
  </si>
  <si>
    <t>mfc.todd.robinson</t>
  </si>
  <si>
    <t>Todd.Sudds@manulifesecurities.ca</t>
  </si>
  <si>
    <t>Todd Sudds</t>
  </si>
  <si>
    <t>2017-10-07T15:25:59</t>
  </si>
  <si>
    <t>TSudds</t>
  </si>
  <si>
    <t>Tom.Cheesman@manulifesecurities.ca</t>
  </si>
  <si>
    <t>Tom Cheesman</t>
  </si>
  <si>
    <t>tcheesman</t>
  </si>
  <si>
    <t>Tom.Chipman@manulifesecurities.ca</t>
  </si>
  <si>
    <t>Tom Chipman</t>
  </si>
  <si>
    <t>2017-10-09T13:05:54</t>
  </si>
  <si>
    <t>tchipman</t>
  </si>
  <si>
    <t>Tom.Drake@manulifesecurities.ca</t>
  </si>
  <si>
    <t>Tom Drake</t>
  </si>
  <si>
    <t>2015-05-19T09:18:40</t>
  </si>
  <si>
    <t>TDrake</t>
  </si>
  <si>
    <t>Tom.Foerster@manulifesecurities.ca</t>
  </si>
  <si>
    <t>Tom Foerster</t>
  </si>
  <si>
    <t>2017-10-12T11:06:00</t>
  </si>
  <si>
    <t>mfc.tom.foerster</t>
  </si>
  <si>
    <t>Tom.Kelly@manulifesecurities.ca</t>
  </si>
  <si>
    <t>Tom Kelly</t>
  </si>
  <si>
    <t>2017-10-12T14:10:36</t>
  </si>
  <si>
    <t>TKelly</t>
  </si>
  <si>
    <t>Tom.Kirdeikis@manulifesecurities.ca</t>
  </si>
  <si>
    <t>Tom Kirdeikis</t>
  </si>
  <si>
    <t>tkirdeikis</t>
  </si>
  <si>
    <t>Tom.McSorley@manulifesecurities.ca</t>
  </si>
  <si>
    <t>Tom McSorley</t>
  </si>
  <si>
    <t>mfc.tom.mcsorley</t>
  </si>
  <si>
    <t>Tomas.Ivanovich@manulifesecurities.ca</t>
  </si>
  <si>
    <t>Tomas Ivanovich</t>
  </si>
  <si>
    <t>tivanov</t>
  </si>
  <si>
    <t>Tommy.Croisetiere@manulifesecurities.ca</t>
  </si>
  <si>
    <t>Tommy Croisetiere</t>
  </si>
  <si>
    <t>2017-05-16T09:55:32</t>
  </si>
  <si>
    <t>mfc.tommy.croiset</t>
  </si>
  <si>
    <t>Toni.Klink@manulifesecurities.ca</t>
  </si>
  <si>
    <t>Toni Klink</t>
  </si>
  <si>
    <t>2017-10-05T17:08:04</t>
  </si>
  <si>
    <t>mfc.toni.klink</t>
  </si>
  <si>
    <t>Tony.AlSalim@manulifesecurities.ca</t>
  </si>
  <si>
    <t>Tony Al Salim</t>
  </si>
  <si>
    <t>talsalim</t>
  </si>
  <si>
    <t>Tony.Caputo@manulifesecurities.ca</t>
  </si>
  <si>
    <t>Tony Caputo</t>
  </si>
  <si>
    <t>2017-10-15T10:47:21</t>
  </si>
  <si>
    <t>mfc.tony.caputo</t>
  </si>
  <si>
    <t>Tony.Duong@manulifesecurities.ca</t>
  </si>
  <si>
    <t>Tony Duong</t>
  </si>
  <si>
    <t>TDuong</t>
  </si>
  <si>
    <t>Tony.Ficociello@manulifesecurities.ca</t>
  </si>
  <si>
    <t>Tony Ficociello</t>
  </si>
  <si>
    <t>2017-10-11T19:34:06</t>
  </si>
  <si>
    <t>TFicociello</t>
  </si>
  <si>
    <t>Tony.Gilbert@manulifesecurities.ca</t>
  </si>
  <si>
    <t>Tony Gilbert</t>
  </si>
  <si>
    <t>2017-10-13T00:17:57</t>
  </si>
  <si>
    <t>mfc.tony.gilbert</t>
  </si>
  <si>
    <t>Tony.Linardatos@manulifesecurities.ca</t>
  </si>
  <si>
    <t>Tony Linardatos</t>
  </si>
  <si>
    <t>2017-10-10T13:38:14</t>
  </si>
  <si>
    <t>TLinardatos</t>
  </si>
  <si>
    <t>Tony.Marques@manulifesecurities.ca</t>
  </si>
  <si>
    <t>Tony Marques</t>
  </si>
  <si>
    <t>2017-10-08T02:49:53</t>
  </si>
  <si>
    <t>TMarques</t>
  </si>
  <si>
    <t>Tony.Masi@manulifesecurities.ca</t>
  </si>
  <si>
    <t>Tony Masi</t>
  </si>
  <si>
    <t>2017-10-03T09:55:00</t>
  </si>
  <si>
    <t>TMasi</t>
  </si>
  <si>
    <t>Tony.Pereira@manulifesecurities.ca</t>
  </si>
  <si>
    <t>Tony Pereira</t>
  </si>
  <si>
    <t>2017-10-09T11:51:25</t>
  </si>
  <si>
    <t>TPereira</t>
  </si>
  <si>
    <t>Tony.Sa.Im@manulifesecurities.ca</t>
  </si>
  <si>
    <t>Tony Sa Im</t>
  </si>
  <si>
    <t>2016-10-20T23:06:48</t>
  </si>
  <si>
    <t>mfc.tony.sa.im</t>
  </si>
  <si>
    <t>Torie.Beuker@manulifesecurities.ca</t>
  </si>
  <si>
    <t>Torie Beuker</t>
  </si>
  <si>
    <t>2015-06-17T11:25:09</t>
  </si>
  <si>
    <t>TBeuker</t>
  </si>
  <si>
    <t>Toronto.Corporate@manulifesecurities.ca</t>
  </si>
  <si>
    <t>Toronto Corporate</t>
  </si>
  <si>
    <t>2016-05-25T09:47:27</t>
  </si>
  <si>
    <t>mfc.toronto.corpo</t>
  </si>
  <si>
    <t>Toufik.Kamal@manulifesecurities.ca</t>
  </si>
  <si>
    <t>Toufik Kamal</t>
  </si>
  <si>
    <t>TKamal</t>
  </si>
  <si>
    <t>TPA@manulifesecurities.ca</t>
  </si>
  <si>
    <t>TPA</t>
  </si>
  <si>
    <t>TPawlowsky.Pawlowsky@manulifesecurities.ca</t>
  </si>
  <si>
    <t>Taras Pawlowsky</t>
  </si>
  <si>
    <t>TPawlowsky</t>
  </si>
  <si>
    <t>Tracey.Ciulini@manulifesecurities.ca</t>
  </si>
  <si>
    <t>Tracey Ciulini</t>
  </si>
  <si>
    <t>2017-10-16T09:01:58</t>
  </si>
  <si>
    <t>TCiulini</t>
  </si>
  <si>
    <t>Tracey.Cottrell@manulifesecurities.ca</t>
  </si>
  <si>
    <t>Tracey Cottrell</t>
  </si>
  <si>
    <t>2016-10-20T07:38:56</t>
  </si>
  <si>
    <t>trcott</t>
  </si>
  <si>
    <t>Tracey.Hartl-Chapman@manulifesecurities.ca</t>
  </si>
  <si>
    <t>Tracey Hartl-Chapman</t>
  </si>
  <si>
    <t>2017-10-12T10:01:41</t>
  </si>
  <si>
    <t>mfc.tracey.hartl-</t>
  </si>
  <si>
    <t>Tracey.Hill@manulifesecurities.ca</t>
  </si>
  <si>
    <t>Tracey Hill</t>
  </si>
  <si>
    <t>THill</t>
  </si>
  <si>
    <t>Tracey.Law@manulifesecurities.ca</t>
  </si>
  <si>
    <t>Tracey Law</t>
  </si>
  <si>
    <t>TraceyLaw</t>
  </si>
  <si>
    <t>Tracey.Morrow@manulifesecurities.ca</t>
  </si>
  <si>
    <t>TMorrow</t>
  </si>
  <si>
    <t>Tracey.Mouawad@manulifesecurities.ca</t>
  </si>
  <si>
    <t>Tracey Mouawad</t>
  </si>
  <si>
    <t>tracey</t>
  </si>
  <si>
    <t>Tracey.Seniuk@manulifesecurities.ca</t>
  </si>
  <si>
    <t>Tracey Seniuk</t>
  </si>
  <si>
    <t>2016-08-18T11:03:34</t>
  </si>
  <si>
    <t>mfc.tracey.seniuk</t>
  </si>
  <si>
    <t>Tracey.Wetherilt@manulifesecurities.ca</t>
  </si>
  <si>
    <t>Tracey Wetherilt</t>
  </si>
  <si>
    <t>2017-10-15T07:43:07</t>
  </si>
  <si>
    <t>mfc.tracey.wether</t>
  </si>
  <si>
    <t>Tracy.Boire@manulifesecurities.ca</t>
  </si>
  <si>
    <t>Tracy Boire</t>
  </si>
  <si>
    <t>2017-09-07T18:11:32</t>
  </si>
  <si>
    <t>TBoire</t>
  </si>
  <si>
    <t>Tracy.Duff@manulifesecurities.ca</t>
  </si>
  <si>
    <t>Tracy Duff</t>
  </si>
  <si>
    <t>2016-09-02T15:25:13</t>
  </si>
  <si>
    <t>TDuff</t>
  </si>
  <si>
    <t>Tracy.Fischer@manulifesecurities.ca</t>
  </si>
  <si>
    <t>Tracy Fischer</t>
  </si>
  <si>
    <t>tracyfischer</t>
  </si>
  <si>
    <t>Tracy.Girling@manulifesecurities.ca</t>
  </si>
  <si>
    <t>Tracy Girling</t>
  </si>
  <si>
    <t>tgirling</t>
  </si>
  <si>
    <t>Tracy.Hammell@manulifesecurities.ca</t>
  </si>
  <si>
    <t>Tracy Hammell</t>
  </si>
  <si>
    <t>2017-10-10T09:09:36</t>
  </si>
  <si>
    <t>mfc.tracy.hammell</t>
  </si>
  <si>
    <t>Tracy.Law@manulifesecurities.ca</t>
  </si>
  <si>
    <t>Tracy Law</t>
  </si>
  <si>
    <t>T</t>
  </si>
  <si>
    <t>Tracy.Levirs@manulifesecurities.ca</t>
  </si>
  <si>
    <t>Tracy Levirs</t>
  </si>
  <si>
    <t>levirs</t>
  </si>
  <si>
    <t>Tracy.Mckay@manulifesecurities.ca</t>
  </si>
  <si>
    <t>Tracy McKay</t>
  </si>
  <si>
    <t>TSmith</t>
  </si>
  <si>
    <t>Tracy.Reitzel@manulifesecurities.ca</t>
  </si>
  <si>
    <t>zz Manulife - Tracy Reitzel</t>
  </si>
  <si>
    <t>TReitzel</t>
  </si>
  <si>
    <t>Tracy.Ross@manulifesecurities.ca</t>
  </si>
  <si>
    <t>Tracy �Ross</t>
  </si>
  <si>
    <t>TRoss</t>
  </si>
  <si>
    <t>Training.User1@manulifesecurities.ca</t>
  </si>
  <si>
    <t>Training User1</t>
  </si>
  <si>
    <t>TUser1</t>
  </si>
  <si>
    <t>Training.User10@manulifesecurities.ca</t>
  </si>
  <si>
    <t>Training User10</t>
  </si>
  <si>
    <t>Tuser10</t>
  </si>
  <si>
    <t>Training.User11@manulifesecurities.ca</t>
  </si>
  <si>
    <t>Training User11</t>
  </si>
  <si>
    <t>Tuser11</t>
  </si>
  <si>
    <t>Training.User12@manulifesecurities.ca</t>
  </si>
  <si>
    <t>Training User12</t>
  </si>
  <si>
    <t>Tuser12</t>
  </si>
  <si>
    <t>Training.User13@manulifesecurities.ca</t>
  </si>
  <si>
    <t>Training User13</t>
  </si>
  <si>
    <t>Tuser13</t>
  </si>
  <si>
    <t>Training.User14@manulifesecurities.ca</t>
  </si>
  <si>
    <t>Training User14</t>
  </si>
  <si>
    <t>Tuser14</t>
  </si>
  <si>
    <t>Training.User15@manulifesecurities.ca</t>
  </si>
  <si>
    <t>Training User15</t>
  </si>
  <si>
    <t>Tuser15</t>
  </si>
  <si>
    <t>Training.User16@manulifesecurities.ca</t>
  </si>
  <si>
    <t>Training User16</t>
  </si>
  <si>
    <t>Tuser16</t>
  </si>
  <si>
    <t>Training.User17@manulifesecurities.ca</t>
  </si>
  <si>
    <t>Training User17</t>
  </si>
  <si>
    <t>Tuser17</t>
  </si>
  <si>
    <t>Training.User18@manulifesecurities.ca</t>
  </si>
  <si>
    <t>Training User18</t>
  </si>
  <si>
    <t>TUser18</t>
  </si>
  <si>
    <t>Training.User19@manulifesecurities.ca</t>
  </si>
  <si>
    <t>Training User19</t>
  </si>
  <si>
    <t>TUser19</t>
  </si>
  <si>
    <t>Training.User2@manulifesecurities.ca</t>
  </si>
  <si>
    <t>Training User2</t>
  </si>
  <si>
    <t>TUser2</t>
  </si>
  <si>
    <t>Training.User20@manulifesecurities.ca</t>
  </si>
  <si>
    <t>Training User20</t>
  </si>
  <si>
    <t>TUser20</t>
  </si>
  <si>
    <t>Training.User21@manulifesecurities.ca</t>
  </si>
  <si>
    <t>Training User21</t>
  </si>
  <si>
    <t>Tuser21</t>
  </si>
  <si>
    <t>Training.User22@manulifesecurities.ca</t>
  </si>
  <si>
    <t>Training User22</t>
  </si>
  <si>
    <t>TUser22</t>
  </si>
  <si>
    <t>Training.User23@manulifesecurities.ca</t>
  </si>
  <si>
    <t>Training User23</t>
  </si>
  <si>
    <t>TUser23</t>
  </si>
  <si>
    <t>Training.User24@manulifesecurities.ca</t>
  </si>
  <si>
    <t>Training User24</t>
  </si>
  <si>
    <t>TUser24</t>
  </si>
  <si>
    <t>Training.User25@manulifesecurities.ca</t>
  </si>
  <si>
    <t>Training User25</t>
  </si>
  <si>
    <t>TUser25</t>
  </si>
  <si>
    <t>Training.User26@manulifesecurities.ca</t>
  </si>
  <si>
    <t>Training User26</t>
  </si>
  <si>
    <t>TUser26</t>
  </si>
  <si>
    <t>Training.User27@manulifesecurities.ca</t>
  </si>
  <si>
    <t>Training User27</t>
  </si>
  <si>
    <t>TUser27</t>
  </si>
  <si>
    <t>Training.User28@manulifesecurities.ca</t>
  </si>
  <si>
    <t>Training User28</t>
  </si>
  <si>
    <t>TUser28</t>
  </si>
  <si>
    <t>Training.User29@manulifesecurities.ca</t>
  </si>
  <si>
    <t>Training User29</t>
  </si>
  <si>
    <t>TUser29</t>
  </si>
  <si>
    <t>Training.User3@manulifesecurities.ca</t>
  </si>
  <si>
    <t>Training User3</t>
  </si>
  <si>
    <t>TUser3</t>
  </si>
  <si>
    <t>Training.User30@manulifesecurities.ca</t>
  </si>
  <si>
    <t>Training User30</t>
  </si>
  <si>
    <t>TUser30</t>
  </si>
  <si>
    <t>Training.User4@manulifesecurities.ca</t>
  </si>
  <si>
    <t>Training User4</t>
  </si>
  <si>
    <t>TUser4</t>
  </si>
  <si>
    <t>Training.User5@manulifesecurities.ca</t>
  </si>
  <si>
    <t>Training User5</t>
  </si>
  <si>
    <t>TUser5</t>
  </si>
  <si>
    <t>Training.User6@manulifesecurities.ca</t>
  </si>
  <si>
    <t>Training User6</t>
  </si>
  <si>
    <t>TUser6</t>
  </si>
  <si>
    <t>Training.User7@manulifesecurities.ca</t>
  </si>
  <si>
    <t>Training User7</t>
  </si>
  <si>
    <t>TUser7</t>
  </si>
  <si>
    <t>Training.User8@manulifesecurities.ca</t>
  </si>
  <si>
    <t>Training User8</t>
  </si>
  <si>
    <t>TUser8</t>
  </si>
  <si>
    <t>Training.User9@manulifesecurities.ca</t>
  </si>
  <si>
    <t>Training User9</t>
  </si>
  <si>
    <t>TUser9</t>
  </si>
  <si>
    <t>Training@manulifesecurities.ca</t>
  </si>
  <si>
    <t>Training</t>
  </si>
  <si>
    <t>Training-1</t>
  </si>
  <si>
    <t>Transfer.Templates@manulifesecurities.ca</t>
  </si>
  <si>
    <t>zzTransfer Templates</t>
  </si>
  <si>
    <t>TransferTemplates</t>
  </si>
  <si>
    <t>TransfersDepartment@manulifesecurities.ca</t>
  </si>
  <si>
    <t>zzTransfers Department</t>
  </si>
  <si>
    <t>TransfersDepartment</t>
  </si>
  <si>
    <t>TransfersOut@manulifesecurities.ca</t>
  </si>
  <si>
    <t>zzTransfers Out</t>
  </si>
  <si>
    <t>TransfersOut</t>
  </si>
  <si>
    <t>Trasie.Petek@manulifesecurities.ca</t>
  </si>
  <si>
    <t>TPetek</t>
  </si>
  <si>
    <t>Travis.Bagnall@manulifesecurities.ca</t>
  </si>
  <si>
    <t>Travis Bagnall</t>
  </si>
  <si>
    <t>TBagnall</t>
  </si>
  <si>
    <t>Travis.Cuthbert@manulifesecurities.ca</t>
  </si>
  <si>
    <t>Travis Cuthbert</t>
  </si>
  <si>
    <t>2017-06-13T12:32:04</t>
  </si>
  <si>
    <t>tcuthbert</t>
  </si>
  <si>
    <t>Travis.Dickinson@manulifesecurities.ca</t>
  </si>
  <si>
    <t>Travis Dickinson</t>
  </si>
  <si>
    <t>2016-09-08T08:00:13</t>
  </si>
  <si>
    <t>TDickinson</t>
  </si>
  <si>
    <t>Travis.Low@manulifesecurities.ca</t>
  </si>
  <si>
    <t>Travis Low</t>
  </si>
  <si>
    <t>trlow</t>
  </si>
  <si>
    <t>Travis.ODonnell@manulifesecurities.ca</t>
  </si>
  <si>
    <t>Travis O'Donnell</t>
  </si>
  <si>
    <t>2017-10-06T07:47:03</t>
  </si>
  <si>
    <t>travisodonnell</t>
  </si>
  <si>
    <t>Trent.Matchim@manulifesecurities.ca</t>
  </si>
  <si>
    <t>Trent Matchim</t>
  </si>
  <si>
    <t>TMatchim</t>
  </si>
  <si>
    <t>Treva.Anderson@manulifesecurities.ca</t>
  </si>
  <si>
    <t>Treva Anderson</t>
  </si>
  <si>
    <t>2017-10-15T06:30:28</t>
  </si>
  <si>
    <t>TAnderson</t>
  </si>
  <si>
    <t>Trevor.Armstrong@manulifesecurities.ca</t>
  </si>
  <si>
    <t>Trevor Armstrong</t>
  </si>
  <si>
    <t>2017-10-12T02:22:34</t>
  </si>
  <si>
    <t>TArmstrong</t>
  </si>
  <si>
    <t>trevor.merrick@manulifesecurities.ca</t>
  </si>
  <si>
    <t>Trevor Merrick</t>
  </si>
  <si>
    <t>2017-10-06T10:30:16</t>
  </si>
  <si>
    <t>mfc.trevor.merric</t>
  </si>
  <si>
    <t>Trevor.Ollen@manulifesecurities.ca</t>
  </si>
  <si>
    <t>Trevor Ollen</t>
  </si>
  <si>
    <t>ollencap</t>
  </si>
  <si>
    <t>trevor.polay@manulifesecurities.ca</t>
  </si>
  <si>
    <t>Trevor Polay</t>
  </si>
  <si>
    <t>2017-10-10T11:39:56</t>
  </si>
  <si>
    <t>mfc.trevor.polay</t>
  </si>
  <si>
    <t>Trevor.Wells@manulifesecurities.ca</t>
  </si>
  <si>
    <t>Trevor Wells</t>
  </si>
  <si>
    <t>2017-10-09T02:04:01</t>
  </si>
  <si>
    <t>TWells</t>
  </si>
  <si>
    <t>Tricia.Ottley@manulifesecurities.ca</t>
  </si>
  <si>
    <t>Tricia Ottley</t>
  </si>
  <si>
    <t>TOttley</t>
  </si>
  <si>
    <t>Tricia.Thompson@manulifesecurities.ca</t>
  </si>
  <si>
    <t>Tricia Thompson</t>
  </si>
  <si>
    <t>tricia</t>
  </si>
  <si>
    <t>Trina.Odd@manulifesecurities.ca</t>
  </si>
  <si>
    <t>Trina Odd</t>
  </si>
  <si>
    <t>triodd</t>
  </si>
  <si>
    <t>Trina.Wills@manulifesecurities.ca</t>
  </si>
  <si>
    <t>TWills</t>
  </si>
  <si>
    <t>Tripat.Singh@manulifesecurities.ca</t>
  </si>
  <si>
    <t>Tripat Singh</t>
  </si>
  <si>
    <t>mohinder</t>
  </si>
  <si>
    <t>Trish.Fortin@manulifesecurities.ca</t>
  </si>
  <si>
    <t>Trish Fortin</t>
  </si>
  <si>
    <t>2017-10-05T12:17:11</t>
  </si>
  <si>
    <t>tfortin</t>
  </si>
  <si>
    <t>Trish.Matheson@manulifesecurities.ca</t>
  </si>
  <si>
    <t>Trish Matheson</t>
  </si>
  <si>
    <t>TMatheson</t>
  </si>
  <si>
    <t>Trish.Rozendal@manulifesecurities.ca</t>
  </si>
  <si>
    <t>Trish Rozendal</t>
  </si>
  <si>
    <t>2017-10-12T11:26:21</t>
  </si>
  <si>
    <t>TRozendal</t>
  </si>
  <si>
    <t>Trish.West@manulifesecurities.ca</t>
  </si>
  <si>
    <t>Trish West</t>
  </si>
  <si>
    <t>2017-10-12T09:16:20</t>
  </si>
  <si>
    <t>mfc.trish.west</t>
  </si>
  <si>
    <t>Trisha.Harrison@manulifesecurities.ca</t>
  </si>
  <si>
    <t>Trisha Harrison</t>
  </si>
  <si>
    <t>tnharrison</t>
  </si>
  <si>
    <t>Trisha.Payne@manulifesecurities.ca</t>
  </si>
  <si>
    <t>Trisha Payne</t>
  </si>
  <si>
    <t>2016-10-11T09:17:41</t>
  </si>
  <si>
    <t>mfc.trisha.payne</t>
  </si>
  <si>
    <t>Trista.Armstrong@manulifesecurities.ca</t>
  </si>
  <si>
    <t>Trista Armstrong</t>
  </si>
  <si>
    <t>2017-02-21T11:06:20</t>
  </si>
  <si>
    <t>mfc.trista.armstr</t>
  </si>
  <si>
    <t>Trista.Forman@manulifesecurities.ca</t>
  </si>
  <si>
    <t>Trista Forman</t>
  </si>
  <si>
    <t>tforman</t>
  </si>
  <si>
    <t>Troy.Shelemey@manulifesecurities.ca</t>
  </si>
  <si>
    <t>Troy Shelemey</t>
  </si>
  <si>
    <t>2017-10-11T19:42:11</t>
  </si>
  <si>
    <t>sheletr</t>
  </si>
  <si>
    <t>Trudy.Calvert@manulifesecurities.ca</t>
  </si>
  <si>
    <t>Trudy Calvert</t>
  </si>
  <si>
    <t>2017-09-25T14:01:16</t>
  </si>
  <si>
    <t>tlcalvert</t>
  </si>
  <si>
    <t>Trudy.Vince@manulifesecurities.ca</t>
  </si>
  <si>
    <t>Trudy Vince</t>
  </si>
  <si>
    <t>2016-09-30T10:04:26</t>
  </si>
  <si>
    <t>mfc.trudy.vince</t>
  </si>
  <si>
    <t>tu.yan.lin@manulifesecurities.ca</t>
  </si>
  <si>
    <t>Tu Yan Lin</t>
  </si>
  <si>
    <t>2017-04-05T19:29:14</t>
  </si>
  <si>
    <t>mfc.tu.yan.lin</t>
  </si>
  <si>
    <t>Tucker.Wright@manulifesecurities.ca</t>
  </si>
  <si>
    <t>Tucker Wright</t>
  </si>
  <si>
    <t>twright</t>
  </si>
  <si>
    <t>Tullio.Andreis@manulifesecurities.ca</t>
  </si>
  <si>
    <t>Tullio Andreis</t>
  </si>
  <si>
    <t>2017-10-05T15:53:27</t>
  </si>
  <si>
    <t>tmandreis</t>
  </si>
  <si>
    <t>Twyla.Hanson@manulifesecurities.ca</t>
  </si>
  <si>
    <t>Twyla Hanson</t>
  </si>
  <si>
    <t>2017-10-11T12:57:37</t>
  </si>
  <si>
    <t>THanson</t>
  </si>
  <si>
    <t>Twylla.Kinch@manulifesecurities.ca</t>
  </si>
  <si>
    <t>Twylla Kinch</t>
  </si>
  <si>
    <t>2014-12-03T09:24:03</t>
  </si>
  <si>
    <t>TKinch</t>
  </si>
  <si>
    <t>Twylla.Sutton@manulifesecurities.ca</t>
  </si>
  <si>
    <t>Twylla Sutton</t>
  </si>
  <si>
    <t>2017-10-12T17:31:32</t>
  </si>
  <si>
    <t>TSutton</t>
  </si>
  <si>
    <t>tyler.clemens@manulifesecurities.ca</t>
  </si>
  <si>
    <t>Tyler Clemens</t>
  </si>
  <si>
    <t>2017-10-07T10:04:52</t>
  </si>
  <si>
    <t>mfc.tyler.clemens</t>
  </si>
  <si>
    <t>Tyler.Fehr@manulifesecurities.ca</t>
  </si>
  <si>
    <t>Tyler Fehr</t>
  </si>
  <si>
    <t>2017-10-16T04:07:49</t>
  </si>
  <si>
    <t>tyfehr</t>
  </si>
  <si>
    <t>Tyler.McKay@manulifesecurities.ca</t>
  </si>
  <si>
    <t>Tyler McKay</t>
  </si>
  <si>
    <t>2017-10-05T11:55:04</t>
  </si>
  <si>
    <t>mfc.tyler.mckay</t>
  </si>
  <si>
    <t>tyren.bennett@manulifesecurities.ca</t>
  </si>
  <si>
    <t>Tyren Bennett</t>
  </si>
  <si>
    <t>2017-10-10T10:56:15</t>
  </si>
  <si>
    <t>mfc.tyren.bennett</t>
  </si>
  <si>
    <t>Udo.Renner@manulifesecurities.ca</t>
  </si>
  <si>
    <t>Udo Renner</t>
  </si>
  <si>
    <t>2017-10-08T10:34:52</t>
  </si>
  <si>
    <t>urenner</t>
  </si>
  <si>
    <t>Una.Jones@manulifesecurities.ca</t>
  </si>
  <si>
    <t>Una Jones</t>
  </si>
  <si>
    <t>2017-10-03T13:53:04</t>
  </si>
  <si>
    <t>UJones</t>
  </si>
  <si>
    <t>Undram.Bataa@manulifesecurities.ca</t>
  </si>
  <si>
    <t>Undram Bataa</t>
  </si>
  <si>
    <t>ubataa</t>
  </si>
  <si>
    <t>Ursula.MacKenzie@manulifesecurities.ca</t>
  </si>
  <si>
    <t>Ursula MacKenzie</t>
  </si>
  <si>
    <t>UMacKenzie</t>
  </si>
  <si>
    <t>Ute.Potticary@manulifesecurities.ca</t>
  </si>
  <si>
    <t>Ute Potticary</t>
  </si>
  <si>
    <t>2017-10-10T09:06:15</t>
  </si>
  <si>
    <t>pottic</t>
  </si>
  <si>
    <t>V.Bonnet@manulifesecurities.ca</t>
  </si>
  <si>
    <t>Vincent Bonnet</t>
  </si>
  <si>
    <t>2017-05-29T14:48:47</t>
  </si>
  <si>
    <t>mfc.v.bonnet</t>
  </si>
  <si>
    <t>Val.Moen@manulifesecurities.ca</t>
  </si>
  <si>
    <t>Val Moen</t>
  </si>
  <si>
    <t>VMoen</t>
  </si>
  <si>
    <t>Val.Novac@manulifesecurities.ca</t>
  </si>
  <si>
    <t>Val Sorin Novac</t>
  </si>
  <si>
    <t>2016-05-16T07:39:49</t>
  </si>
  <si>
    <t>VNovac</t>
  </si>
  <si>
    <t>Valerie.Biggs@manulifesecurities.ca</t>
  </si>
  <si>
    <t>Valerie Biggs</t>
  </si>
  <si>
    <t>VBiggs</t>
  </si>
  <si>
    <t>Valerie.Celino@manulifesecurities.ca</t>
  </si>
  <si>
    <t>zz - Valerie Celino</t>
  </si>
  <si>
    <t>VCelino</t>
  </si>
  <si>
    <t>Valerie.Dippel@manulifesecurities.ca</t>
  </si>
  <si>
    <t>Valerie Dippel</t>
  </si>
  <si>
    <t>2017-10-10T16:03:08</t>
  </si>
  <si>
    <t>VDippel</t>
  </si>
  <si>
    <t>Valerie.Hunt@manulifesecurities.ca</t>
  </si>
  <si>
    <t>Valerie Hunt</t>
  </si>
  <si>
    <t>2016-03-28T12:38:57</t>
  </si>
  <si>
    <t>vahunt</t>
  </si>
  <si>
    <t>Valerie.Sayer@manulifesecurities.ca</t>
  </si>
  <si>
    <t>Valerie Sayer</t>
  </si>
  <si>
    <t>vsayer</t>
  </si>
  <si>
    <t>Valerie.Steinke@manulifesecurities.ca</t>
  </si>
  <si>
    <t>Valerie Steinke</t>
  </si>
  <si>
    <t>2015-08-31T15:26:39</t>
  </si>
  <si>
    <t>valeriesteinke</t>
  </si>
  <si>
    <t>Valerie.Stephenson@manulifesecurities.ca</t>
  </si>
  <si>
    <t>Valerie Stephenson</t>
  </si>
  <si>
    <t>VStephenson</t>
  </si>
  <si>
    <t>Valerie.St-Laurent@manulifesecurities.ca</t>
  </si>
  <si>
    <t>Valerie St-Laurent</t>
  </si>
  <si>
    <t>2017-10-05T13:55:37</t>
  </si>
  <si>
    <t>vstlaurent</t>
  </si>
  <si>
    <t>Valerie.Tetrault@manulifesecurities.ca</t>
  </si>
  <si>
    <t>Valerie Tetrault</t>
  </si>
  <si>
    <t>2017-03-27T09:20:54</t>
  </si>
  <si>
    <t>mfc.valerie.tetra</t>
  </si>
  <si>
    <t>Valerie.Thornhill@manulifesecurities.ca</t>
  </si>
  <si>
    <t>Valerie Thornhill</t>
  </si>
  <si>
    <t>2017-10-11T09:18:18</t>
  </si>
  <si>
    <t>VThornhill</t>
  </si>
  <si>
    <t>Valerie.White@manulifesecurities.ca</t>
  </si>
  <si>
    <t>Valerie White</t>
  </si>
  <si>
    <t>VWhite</t>
  </si>
  <si>
    <t>Valerie.Wilson@manulifesecurities.ca</t>
  </si>
  <si>
    <t>Valerie Wilson</t>
  </si>
  <si>
    <t>VWilson</t>
  </si>
  <si>
    <t>Van.Chen@manulifesecurities.ca</t>
  </si>
  <si>
    <t>Van Chen</t>
  </si>
  <si>
    <t>vachen</t>
  </si>
  <si>
    <t>Vancouver.Reception@manulifesecurities.ca</t>
  </si>
  <si>
    <t>Vancouver Reception</t>
  </si>
  <si>
    <t>VanRecept</t>
  </si>
  <si>
    <t>Vanessa.Burma@manulifesecurities.ca</t>
  </si>
  <si>
    <t>Vanessa Burma</t>
  </si>
  <si>
    <t>2016-10-31T14:13:59</t>
  </si>
  <si>
    <t>mfc.vanessa.burma</t>
  </si>
  <si>
    <t>Vanessa.DeRooy@manulifesecurities.ca</t>
  </si>
  <si>
    <t>Vanessa De Rooy</t>
  </si>
  <si>
    <t>vderooy</t>
  </si>
  <si>
    <t>Vanessa.Johnson@manulifesecurities.ca</t>
  </si>
  <si>
    <t>Vanessa Johnson</t>
  </si>
  <si>
    <t>vjohnson</t>
  </si>
  <si>
    <t>Vanessa.Menendez-Rivera@manulifesecurities.ca</t>
  </si>
  <si>
    <t>Vanessa Menendez-Rivera</t>
  </si>
  <si>
    <t>mfc.vanessa.menen</t>
  </si>
  <si>
    <t>Vanessa.Nguyen@manulifesecurities.ca</t>
  </si>
  <si>
    <t>Vanessa Nguyen</t>
  </si>
  <si>
    <t>vnguyen</t>
  </si>
  <si>
    <t>Vangie.Sader@manulifesecurities.ca</t>
  </si>
  <si>
    <t>Vangie Sader</t>
  </si>
  <si>
    <t>saderev</t>
  </si>
  <si>
    <t>Vanita.Batra@manulifesecurities.ca</t>
  </si>
  <si>
    <t>Vanita Batra</t>
  </si>
  <si>
    <t>VBatra</t>
  </si>
  <si>
    <t>Vanson.Field@manulifesecurities.ca</t>
  </si>
  <si>
    <t>Vanson Field</t>
  </si>
  <si>
    <t>2017-10-08T14:28:09</t>
  </si>
  <si>
    <t>vfield</t>
  </si>
  <si>
    <t>Vaughn.Stroud@manulifesecurities.ca</t>
  </si>
  <si>
    <t>Vaughn Stroud</t>
  </si>
  <si>
    <t>2017-10-03T12:31:52</t>
  </si>
  <si>
    <t>vstroud</t>
  </si>
  <si>
    <t>Velma.Schmauder@manulifesecurities.ca</t>
  </si>
  <si>
    <t>Velma Schmauder</t>
  </si>
  <si>
    <t>2017-10-13T11:55:12</t>
  </si>
  <si>
    <t>VSchmauder</t>
  </si>
  <si>
    <t>Venus.Barola@manulifesecurities.ca</t>
  </si>
  <si>
    <t>Venus Barola</t>
  </si>
  <si>
    <t>VBarola</t>
  </si>
  <si>
    <t>Venus.Chen@manulifesecurities.ca</t>
  </si>
  <si>
    <t>Hong Chen</t>
  </si>
  <si>
    <t>HChen</t>
  </si>
  <si>
    <t>VerlieAnne.Gatchalian@manulifesecurities.ca</t>
  </si>
  <si>
    <t>Verlie Anne Gatchalian</t>
  </si>
  <si>
    <t>VGatchalian</t>
  </si>
  <si>
    <t>Vern.Brown@manulifesecurities.ca</t>
  </si>
  <si>
    <t>Vern Brown</t>
  </si>
  <si>
    <t>2017-10-12T15:08:00</t>
  </si>
  <si>
    <t>VBrown</t>
  </si>
  <si>
    <t>Vern.Lunz@manulifesecurities.ca</t>
  </si>
  <si>
    <t>VLunz</t>
  </si>
  <si>
    <t>vlunz</t>
  </si>
  <si>
    <t>Vernon.Wells@manulifesecurities.ca</t>
  </si>
  <si>
    <t>Vernon Wells</t>
  </si>
  <si>
    <t>VWells</t>
  </si>
  <si>
    <t>Veronica.Jardine@manulifesecurities.ca</t>
  </si>
  <si>
    <t>Veronica Jardine</t>
  </si>
  <si>
    <t>VJardine</t>
  </si>
  <si>
    <t>Veronica.Loat@manulifesecurities.ca</t>
  </si>
  <si>
    <t>Veronica Loat</t>
  </si>
  <si>
    <t>2016-09-29T17:03:13</t>
  </si>
  <si>
    <t>VLoat</t>
  </si>
  <si>
    <t>Veronika.Garbacz@manulifesecurities.ca</t>
  </si>
  <si>
    <t>Veronika Garbacz</t>
  </si>
  <si>
    <t>VGarbacz</t>
  </si>
  <si>
    <t>Veronika.Kopylova@manulifesecurities.ca</t>
  </si>
  <si>
    <t>Veronika Kopylova</t>
  </si>
  <si>
    <t>2017-10-08T19:28:45</t>
  </si>
  <si>
    <t>mfc.veronika.kopy</t>
  </si>
  <si>
    <t>veronika.saracino@manulifesecurities.ca</t>
  </si>
  <si>
    <t>Veronika Saracino</t>
  </si>
  <si>
    <t>2017-10-02T13:50:01</t>
  </si>
  <si>
    <t>mfc.veronika.sara</t>
  </si>
  <si>
    <t>Vic.Sarju@manulifesecurities.ca</t>
  </si>
  <si>
    <t>Vic Sarju</t>
  </si>
  <si>
    <t>2017-10-10T16:12:15</t>
  </si>
  <si>
    <t>VSarju</t>
  </si>
  <si>
    <t>Vic.Skot@manulifesecurities.ca</t>
  </si>
  <si>
    <t>Vic Skot</t>
  </si>
  <si>
    <t>victorskot</t>
  </si>
  <si>
    <t>Vicken.Garabedian@manulifesecurities.ca</t>
  </si>
  <si>
    <t>Vicken Garabedian</t>
  </si>
  <si>
    <t>2014-11-20T15:54:34</t>
  </si>
  <si>
    <t>dillon14</t>
  </si>
  <si>
    <t>Vickey.Rowe@manulifesecurities.ca</t>
  </si>
  <si>
    <t>Vickey Rowe</t>
  </si>
  <si>
    <t>2017-10-16T07:01:15</t>
  </si>
  <si>
    <t>VicRowe</t>
  </si>
  <si>
    <t>Vicki.Anderson@manulifesecurities.ca</t>
  </si>
  <si>
    <t>Vicki Anderson</t>
  </si>
  <si>
    <t>gilvic</t>
  </si>
  <si>
    <t>Vicki.Baird@manulifesecurities.ca</t>
  </si>
  <si>
    <t>VBaird</t>
  </si>
  <si>
    <t>Vicki.Bell@manulifesecurities.ca</t>
  </si>
  <si>
    <t>Vicki Bell</t>
  </si>
  <si>
    <t>devons</t>
  </si>
  <si>
    <t>Vicki.Corfield@manulifesecurities.ca</t>
  </si>
  <si>
    <t>Vicki Corfield</t>
  </si>
  <si>
    <t>2017-10-06T16:44:03</t>
  </si>
  <si>
    <t>VCorfield</t>
  </si>
  <si>
    <t>Vicki.Macfarlane@manulifesecurities.ca</t>
  </si>
  <si>
    <t>Vicki Macfarlane</t>
  </si>
  <si>
    <t>VMacfarlane</t>
  </si>
  <si>
    <t>Vickie.Campbell@manulifesecurities.ca</t>
  </si>
  <si>
    <t>Vickie Campbell</t>
  </si>
  <si>
    <t>vcampb</t>
  </si>
  <si>
    <t>Vicky.Boucher@manulifesecurities.ca</t>
  </si>
  <si>
    <t>Vicky Boucher</t>
  </si>
  <si>
    <t>vboucher</t>
  </si>
  <si>
    <t>Vicky.Fehrenbach@manulifesecurities.ca</t>
  </si>
  <si>
    <t>Vicky Fehrenbach</t>
  </si>
  <si>
    <t>2017-04-27T08:34:01</t>
  </si>
  <si>
    <t>mfc.vicky.fehrenb</t>
  </si>
  <si>
    <t>Vicky.Oliverio@manulifesecurities.ca</t>
  </si>
  <si>
    <t>Vicky Oliverio</t>
  </si>
  <si>
    <t>2016-03-08T12:37:37</t>
  </si>
  <si>
    <t>VOliverio</t>
  </si>
  <si>
    <t>Vicky.Pisarek@manulifesecurities.ca</t>
  </si>
  <si>
    <t>Vicky Pisarek</t>
  </si>
  <si>
    <t>vpisarek</t>
  </si>
  <si>
    <t>Victor.Alfa@manulifesecurities.ca</t>
  </si>
  <si>
    <t>Victor Alfa</t>
  </si>
  <si>
    <t>2017-10-13T06:22:10</t>
  </si>
  <si>
    <t>VAlfa</t>
  </si>
  <si>
    <t>Victor.Danyliuk@manulifesecurities.ca</t>
  </si>
  <si>
    <t>Victor Danyliuk</t>
  </si>
  <si>
    <t>VDanyliuk</t>
  </si>
  <si>
    <t>Victor.Lough@manulifesecurities.ca</t>
  </si>
  <si>
    <t>Victor Lough</t>
  </si>
  <si>
    <t>2017-10-10T12:44:50</t>
  </si>
  <si>
    <t>loughv</t>
  </si>
  <si>
    <t>Victor.Salas@manulifesecurities.ca</t>
  </si>
  <si>
    <t>Victor Salas</t>
  </si>
  <si>
    <t>2017-05-21T17:34:17</t>
  </si>
  <si>
    <t>VSalas</t>
  </si>
  <si>
    <t>Victoria.Inkster@manulifesecurities.ca</t>
  </si>
  <si>
    <t>Victoria Inkster</t>
  </si>
  <si>
    <t>vjinkster</t>
  </si>
  <si>
    <t>Victoria.Jackson@manulifesecurities.ca</t>
  </si>
  <si>
    <t>Victoria Jackson</t>
  </si>
  <si>
    <t>2015-05-21T09:07:00</t>
  </si>
  <si>
    <t>mfc.victoria.jack</t>
  </si>
  <si>
    <t>Victoria.MacDonald@manulifesecurities.ca</t>
  </si>
  <si>
    <t>Victoria MacDonald</t>
  </si>
  <si>
    <t>vmacdonald</t>
  </si>
  <si>
    <t>Victoria.Rowe@manulifesecurities.ca</t>
  </si>
  <si>
    <t>Victoria Rowe</t>
  </si>
  <si>
    <t>virowe</t>
  </si>
  <si>
    <t>Victoria.Webb@manulifesecurities.ca</t>
  </si>
  <si>
    <t>Victoria Webb</t>
  </si>
  <si>
    <t>2017-06-08T16:39:18</t>
  </si>
  <si>
    <t>viwebb</t>
  </si>
  <si>
    <t>Vijay.Kumar@manulifesecurities.ca</t>
  </si>
  <si>
    <t>Vijay Kumar</t>
  </si>
  <si>
    <t>2017-10-10T09:09:25</t>
  </si>
  <si>
    <t>VKumar</t>
  </si>
  <si>
    <t>Vik.Sukhija@manulifesecurities.ca</t>
  </si>
  <si>
    <t>Vik Sukhija</t>
  </si>
  <si>
    <t>2017-10-09T22:06:57</t>
  </si>
  <si>
    <t>mfc.vik.sukhija</t>
  </si>
  <si>
    <t>vikas.sukhija@manulifesecurities.ca</t>
  </si>
  <si>
    <t>Vikas Sukhija</t>
  </si>
  <si>
    <t>mfc.vikas.sukhija</t>
  </si>
  <si>
    <t>vince.wiegers@manulifesecurities.ca</t>
  </si>
  <si>
    <t>Vince Wiegers</t>
  </si>
  <si>
    <t>2017-10-13T11:51:06</t>
  </si>
  <si>
    <t>VWiegers</t>
  </si>
  <si>
    <t>Vincent.Bonnet@manulifesecurities.ca</t>
  </si>
  <si>
    <t>2015-02-20T12:00:13</t>
  </si>
  <si>
    <t>VBonnet</t>
  </si>
  <si>
    <t>Vincent.Chan@manulifesecurities.ca</t>
  </si>
  <si>
    <t>Vincent Chan</t>
  </si>
  <si>
    <t>vinchan</t>
  </si>
  <si>
    <t>Vincent.Duveau@manulifesecurities.ca</t>
  </si>
  <si>
    <t>Vincent Duveau</t>
  </si>
  <si>
    <t>2017-10-14T12:28:17</t>
  </si>
  <si>
    <t>VDuveau</t>
  </si>
  <si>
    <t>Vincent.Lubertino@manulifesecurities.ca</t>
  </si>
  <si>
    <t>Vincent Lubertino</t>
  </si>
  <si>
    <t>2017-10-15T13:44:49</t>
  </si>
  <si>
    <t>vlubertino</t>
  </si>
  <si>
    <t>Vincent.Salvatori@manulifesecurities.ca</t>
  </si>
  <si>
    <t>Vincent Salvatori</t>
  </si>
  <si>
    <t>VSalvatori</t>
  </si>
  <si>
    <t>Viola.Reddekopp@manulifesecurities.ca</t>
  </si>
  <si>
    <t>Viola Reddekopp</t>
  </si>
  <si>
    <t>VReddekopp</t>
  </si>
  <si>
    <t>Violet.Chase@manulifesecurities.ca</t>
  </si>
  <si>
    <t>Violet Chase</t>
  </si>
  <si>
    <t>vchase</t>
  </si>
  <si>
    <t>Violet.Valente@manulifesecurities.ca</t>
  </si>
  <si>
    <t>Violet Valente</t>
  </si>
  <si>
    <t>2015-09-30T00:55:44</t>
  </si>
  <si>
    <t>VValente</t>
  </si>
  <si>
    <t>Violetta.Baran@manulifesecurities.ca</t>
  </si>
  <si>
    <t>Violetta Baran</t>
  </si>
  <si>
    <t>VBaran</t>
  </si>
  <si>
    <t>Virag.Kawakami@manulifesecurities.ca</t>
  </si>
  <si>
    <t>Virag Kawakami</t>
  </si>
  <si>
    <t>2017-10-12T12:13:39</t>
  </si>
  <si>
    <t>VKawakami</t>
  </si>
  <si>
    <t>Virginia.Maloney@manulifesecurities.ca</t>
  </si>
  <si>
    <t>Virginia Maloney</t>
  </si>
  <si>
    <t>vmaloney</t>
  </si>
  <si>
    <t>Virginia.Melgar@manulifesecurities.ca</t>
  </si>
  <si>
    <t>VMelgar</t>
  </si>
  <si>
    <t>Vishal.Mehta@manulifesecurities.ca</t>
  </si>
  <si>
    <t>Vishal Mehta</t>
  </si>
  <si>
    <t>2017-10-15T06:57:36</t>
  </si>
  <si>
    <t>mfc.vishal.mehta</t>
  </si>
  <si>
    <t>Vito.Puglisi@manulifesecurities.ca</t>
  </si>
  <si>
    <t>Vito  Puglisi</t>
  </si>
  <si>
    <t>VPuglisi</t>
  </si>
  <si>
    <t>Vivian.Chan@manulifesecurities.ca</t>
  </si>
  <si>
    <t>Vivian Chan</t>
  </si>
  <si>
    <t>2017-10-13T10:33:28</t>
  </si>
  <si>
    <t>vivianchan</t>
  </si>
  <si>
    <t>Vivian.Chang@manulifesecurities.ca</t>
  </si>
  <si>
    <t>Vivian Chang</t>
  </si>
  <si>
    <t>2017-10-16T09:27:04</t>
  </si>
  <si>
    <t>VChang</t>
  </si>
  <si>
    <t>Vivian.Chin@manulifesecurities.ca</t>
  </si>
  <si>
    <t>Vivian Chin</t>
  </si>
  <si>
    <t>2017-09-26T10:50:25</t>
  </si>
  <si>
    <t>mfc.vivian.chin</t>
  </si>
  <si>
    <t>Vivian.St.Louis@manulifesecurities.ca</t>
  </si>
  <si>
    <t>Vivian St.Louis</t>
  </si>
  <si>
    <t>2017-10-10T12:37:26</t>
  </si>
  <si>
    <t>mfc.vivian.st.lou</t>
  </si>
  <si>
    <t>Vivien.Beale@manulifesecurities.ca</t>
  </si>
  <si>
    <t>Vivien Beale</t>
  </si>
  <si>
    <t>VBeale</t>
  </si>
  <si>
    <t>Vlad.Kobelev@manulifesecurities.ca</t>
  </si>
  <si>
    <t>Vlad Kobelev</t>
  </si>
  <si>
    <t>vkobelev</t>
  </si>
  <si>
    <t>Vladimir.Krupnikov@manulifesecurities.ca</t>
  </si>
  <si>
    <t>VKrupnikov</t>
  </si>
  <si>
    <t>Volunteerism@manulifesecurities.ca</t>
  </si>
  <si>
    <t>Volunteerism</t>
  </si>
  <si>
    <t>W.Fernandez@manulifesecurities.ca</t>
  </si>
  <si>
    <t>Weng Fernandez</t>
  </si>
  <si>
    <t>2017-10-12T08:35:06</t>
  </si>
  <si>
    <t>mfc.w.fernandez</t>
  </si>
  <si>
    <t>w.frenn@manulifesecurities.ca</t>
  </si>
  <si>
    <t>William Frenn</t>
  </si>
  <si>
    <t>2017-10-09T15:56:27</t>
  </si>
  <si>
    <t>WFrenn</t>
  </si>
  <si>
    <t>w.hawkins@manulifesecurities.ca</t>
  </si>
  <si>
    <t>Wendy Hawkins</t>
  </si>
  <si>
    <t>2015-07-22T08:12:58</t>
  </si>
  <si>
    <t>mfc.w.hawkins</t>
  </si>
  <si>
    <t>Wade.Lawrence@manulifesecurities.ca</t>
  </si>
  <si>
    <t>Wade Lawrence</t>
  </si>
  <si>
    <t>2015-08-20T21:36:12</t>
  </si>
  <si>
    <t>WLawrence</t>
  </si>
  <si>
    <t>Wade.Perkins@manulifesecurities.ca</t>
  </si>
  <si>
    <t>Wade Perkins</t>
  </si>
  <si>
    <t>WPerkins</t>
  </si>
  <si>
    <t>Waleed.Aslam@manulifesecurities.ca</t>
  </si>
  <si>
    <t>Waleed Aslam</t>
  </si>
  <si>
    <t>2015-07-06T04:56:20</t>
  </si>
  <si>
    <t>mfc.waleed.aslam</t>
  </si>
  <si>
    <t>Wally.Armstrong@manulifesecurities.ca</t>
  </si>
  <si>
    <t>Walter Armstrong</t>
  </si>
  <si>
    <t>2017-10-15T07:02:46</t>
  </si>
  <si>
    <t>WArmstrong</t>
  </si>
  <si>
    <t>Walter.Artuso@manulifesecurities.ca</t>
  </si>
  <si>
    <t>Walter Artuso</t>
  </si>
  <si>
    <t>2017-10-06T12:25:44</t>
  </si>
  <si>
    <t>artuso</t>
  </si>
  <si>
    <t>Walter.Bobko@manulifesecurities.ca</t>
  </si>
  <si>
    <t>Walter Bobko</t>
  </si>
  <si>
    <t>2017-10-08T15:43:24</t>
  </si>
  <si>
    <t>mfc.walter.bobko</t>
  </si>
  <si>
    <t>Walter.Moretto@manulifesecurities.ca</t>
  </si>
  <si>
    <t>Walter Moretto</t>
  </si>
  <si>
    <t>2017-10-09T10:00:23</t>
  </si>
  <si>
    <t>WMoretto</t>
  </si>
  <si>
    <t>Walter.Turner@manulifesecurities.ca</t>
  </si>
  <si>
    <t>Wally Turner</t>
  </si>
  <si>
    <t>WTurner</t>
  </si>
  <si>
    <t>Walter.Wirch@manulifesecurities.ca</t>
  </si>
  <si>
    <t>Walter Wirch</t>
  </si>
  <si>
    <t>wwirch</t>
  </si>
  <si>
    <t>Wanda.Ladyman@manulifesecurities.ca</t>
  </si>
  <si>
    <t>Wanda Ladyman</t>
  </si>
  <si>
    <t>wandal</t>
  </si>
  <si>
    <t>Wanda.Petras@manulifesecurities.ca</t>
  </si>
  <si>
    <t>Wanda Petras</t>
  </si>
  <si>
    <t>wandap</t>
  </si>
  <si>
    <t>Wanda.Walsh-Richard@manulifesecurities.ca</t>
  </si>
  <si>
    <t>Wanda Walsh - Richard</t>
  </si>
  <si>
    <t>2017-10-11T12:32:26</t>
  </si>
  <si>
    <t>richardwa</t>
  </si>
  <si>
    <t>Wanda.Walters@manulifesecurities.ca</t>
  </si>
  <si>
    <t>Wanda Walters</t>
  </si>
  <si>
    <t>2017-10-11T20:14:29</t>
  </si>
  <si>
    <t>WWalters</t>
  </si>
  <si>
    <t>Warde.Fraser@manulifesecurities.ca</t>
  </si>
  <si>
    <t>Warde Fraser</t>
  </si>
  <si>
    <t>2017-10-12T15:13:46</t>
  </si>
  <si>
    <t>WFraser</t>
  </si>
  <si>
    <t>Warren.Bauman@manulifesecurities.ca</t>
  </si>
  <si>
    <t>Warren Bauman</t>
  </si>
  <si>
    <t>2016-11-03T14:47:02</t>
  </si>
  <si>
    <t>wabauman</t>
  </si>
  <si>
    <t>Warren.May@manulifesecurities.ca</t>
  </si>
  <si>
    <t>Warren May</t>
  </si>
  <si>
    <t>wamay</t>
  </si>
  <si>
    <t>Warren.Neal@manulifesecurities.ca</t>
  </si>
  <si>
    <t>Warren Neal</t>
  </si>
  <si>
    <t>WNeal</t>
  </si>
  <si>
    <t>Waterloo.CSR@manulifesecurities.ca</t>
  </si>
  <si>
    <t>Waterloo CSR</t>
  </si>
  <si>
    <t>WaterlooCSR</t>
  </si>
  <si>
    <t>Wayne.Gray@manulifesecurities.ca</t>
  </si>
  <si>
    <t>Wayne Gray</t>
  </si>
  <si>
    <t>2017-10-08T08:19:17</t>
  </si>
  <si>
    <t>WGray</t>
  </si>
  <si>
    <t>Wayne.Leckie@manulifesecurities.ca</t>
  </si>
  <si>
    <t>Wayne Leckie</t>
  </si>
  <si>
    <t>wleckie</t>
  </si>
  <si>
    <t>Wayne.Malcolm@manulifesecurities.ca</t>
  </si>
  <si>
    <t>Wayne Malcolm</t>
  </si>
  <si>
    <t>WMalcolm</t>
  </si>
  <si>
    <t>Wayne.Mills@manulifesecurities.ca</t>
  </si>
  <si>
    <t>Wayne Mills</t>
  </si>
  <si>
    <t>2017-09-18T16:42:51</t>
  </si>
  <si>
    <t>mfc.wayne.mills</t>
  </si>
  <si>
    <t>Wayne.Neville@manulifesecurities.ca</t>
  </si>
  <si>
    <t>Wayne Neville</t>
  </si>
  <si>
    <t>2017-10-12T08:09:54</t>
  </si>
  <si>
    <t>WNeville</t>
  </si>
  <si>
    <t>Wayne.Owens@manulifesecurities.ca</t>
  </si>
  <si>
    <t>Wayne Owens</t>
  </si>
  <si>
    <t>2015-01-29T12:34:44</t>
  </si>
  <si>
    <t>WOwens</t>
  </si>
  <si>
    <t>Wayne.Peterson@manulifesecurities.ca</t>
  </si>
  <si>
    <t>Wayne Peterson</t>
  </si>
  <si>
    <t>wpeterso</t>
  </si>
  <si>
    <t>Wayne.Pinkney@manulifesecurities.ca</t>
  </si>
  <si>
    <t>Wayne Pinkney</t>
  </si>
  <si>
    <t>2017-10-10T22:23:48</t>
  </si>
  <si>
    <t>WPinkney</t>
  </si>
  <si>
    <t>Wayne.Porteous@manulifesecurities.ca</t>
  </si>
  <si>
    <t>Wayne Porteous</t>
  </si>
  <si>
    <t>WPorteous</t>
  </si>
  <si>
    <t>Wayne.Rothe@manulifesecurities.ca</t>
  </si>
  <si>
    <t>Wayne Rothe</t>
  </si>
  <si>
    <t>2017-10-06T14:44:39</t>
  </si>
  <si>
    <t>WRothe</t>
  </si>
  <si>
    <t>Wayne.Snow@manulifesecurities.ca</t>
  </si>
  <si>
    <t>Wayne Snow</t>
  </si>
  <si>
    <t>2017-01-02T23:58:10</t>
  </si>
  <si>
    <t>wasnow</t>
  </si>
  <si>
    <t>Wayne.Stephenson@manulifesecurities.ca</t>
  </si>
  <si>
    <t>Wayne Stephenson</t>
  </si>
  <si>
    <t>2017-10-13T18:05:04</t>
  </si>
  <si>
    <t>WStephenson</t>
  </si>
  <si>
    <t>WebTeam@manulifesecurities.ca</t>
  </si>
  <si>
    <t>WebTeam</t>
  </si>
  <si>
    <t>Wendie.Holbrook@manulifesecurities.ca</t>
  </si>
  <si>
    <t>Wendie Holbrook</t>
  </si>
  <si>
    <t>mfc.wendie.holbro</t>
  </si>
  <si>
    <t>Wendy.Adcock@manulifesecurities.ca</t>
  </si>
  <si>
    <t>Wendy Adcock</t>
  </si>
  <si>
    <t>2017-10-11T10:41:46</t>
  </si>
  <si>
    <t>adcock</t>
  </si>
  <si>
    <t>Wendy.Barnes@manulifesecurities.ca</t>
  </si>
  <si>
    <t>Wendy Barnes</t>
  </si>
  <si>
    <t>2015-03-12T14:09:12</t>
  </si>
  <si>
    <t>mfc.wendy.barnes</t>
  </si>
  <si>
    <t>Wendy.Blondeau@manulifesecurities.ca</t>
  </si>
  <si>
    <t>Wendy Blondeau</t>
  </si>
  <si>
    <t>wblondeau</t>
  </si>
  <si>
    <t>Wendy.Brookhouse@manulifesecurities.ca</t>
  </si>
  <si>
    <t>Wendy Brookhouse</t>
  </si>
  <si>
    <t>wbrookho</t>
  </si>
  <si>
    <t>Wendy.Brown@manulifesecurities.ca</t>
  </si>
  <si>
    <t>Wendy Brown</t>
  </si>
  <si>
    <t>webrown</t>
  </si>
  <si>
    <t>Wendy.Calder@manulifesecurities.ca</t>
  </si>
  <si>
    <t>Wendy Calder</t>
  </si>
  <si>
    <t>WCalder</t>
  </si>
  <si>
    <t>Wendy.Fleming@manulifesecurities.ca</t>
  </si>
  <si>
    <t>zz Manulife - Wendy Fleming</t>
  </si>
  <si>
    <t>WFleming</t>
  </si>
  <si>
    <t>Wendy.Halcro@manulifesecurities.ca</t>
  </si>
  <si>
    <t>WenHalcro</t>
  </si>
  <si>
    <t>WHalcro</t>
  </si>
  <si>
    <t>Wendy.Hallro@manulifesecurities.ca</t>
  </si>
  <si>
    <t>Wendy Hallro</t>
  </si>
  <si>
    <t>WHallro</t>
  </si>
  <si>
    <t>Wendy.Hawkins@manulifesecurities.ca</t>
  </si>
  <si>
    <t>wendyhawkins</t>
  </si>
  <si>
    <t>Wendy.Man@manulifesecurities.ca</t>
  </si>
  <si>
    <t>Wendy Man</t>
  </si>
  <si>
    <t>2017-10-13T07:50:01</t>
  </si>
  <si>
    <t>wendyman</t>
  </si>
  <si>
    <t>Wendy.Papaleo@manulifesecurities.ca</t>
  </si>
  <si>
    <t>Wendy Papaleo</t>
  </si>
  <si>
    <t>WPapaleo</t>
  </si>
  <si>
    <t>Wendy.Poirier@manulifesecurities.ca</t>
  </si>
  <si>
    <t>Wendy Poirier</t>
  </si>
  <si>
    <t>2016-05-03T09:01:39</t>
  </si>
  <si>
    <t>wpoirier</t>
  </si>
  <si>
    <t>Wendy.Racine@manulifesecurities.ca</t>
  </si>
  <si>
    <t>Wendy Racine</t>
  </si>
  <si>
    <t>WRacine</t>
  </si>
  <si>
    <t>Wendy.Ross@manulifesecurities.ca</t>
  </si>
  <si>
    <t>Wendy Ross</t>
  </si>
  <si>
    <t>2017-10-10T08:21:54</t>
  </si>
  <si>
    <t>wendyross</t>
  </si>
  <si>
    <t>Wendy.Roulston@manulifesecurities.ca</t>
  </si>
  <si>
    <t>Wendy Roulston</t>
  </si>
  <si>
    <t>wroulston</t>
  </si>
  <si>
    <t>Wendy.Walker@manulifesecurities.ca</t>
  </si>
  <si>
    <t>Wendy Walker</t>
  </si>
  <si>
    <t>wendyw</t>
  </si>
  <si>
    <t>Wendy.Zanidean@manulifesecurities.ca</t>
  </si>
  <si>
    <t>Wendy Zanidean</t>
  </si>
  <si>
    <t>2017-10-16T09:41:26</t>
  </si>
  <si>
    <t>wzanide</t>
  </si>
  <si>
    <t>wendy_halcro@Manulifesecurities.ca</t>
  </si>
  <si>
    <t>Wendy Halcro</t>
  </si>
  <si>
    <t>2017-10-10T11:47:18</t>
  </si>
  <si>
    <t>wehalcro</t>
  </si>
  <si>
    <t>Weng.Fernandez@manulifesecurities.ca</t>
  </si>
  <si>
    <t>WFernandez</t>
  </si>
  <si>
    <t>Wesley.Oulton@manulifesecurities.ca</t>
  </si>
  <si>
    <t>Wesley Oulton</t>
  </si>
  <si>
    <t>WOulton</t>
  </si>
  <si>
    <t>Wilfried.Houvion@manulifesecurities.ca</t>
  </si>
  <si>
    <t>Wilfried Houvion</t>
  </si>
  <si>
    <t>2017-10-07T05:53:07</t>
  </si>
  <si>
    <t>mfc.wilfried.houv</t>
  </si>
  <si>
    <t>Will.Pozzo@manulifesecurities.ca</t>
  </si>
  <si>
    <t>Will Pozzo</t>
  </si>
  <si>
    <t>wpozzo</t>
  </si>
  <si>
    <t>Will.Yang@manulifesecurities.ca</t>
  </si>
  <si>
    <t>Will A Yang</t>
  </si>
  <si>
    <t>yangwia</t>
  </si>
  <si>
    <t>William.Allan@manulifesecurities.ca</t>
  </si>
  <si>
    <t>William Allan</t>
  </si>
  <si>
    <t>2017-10-04T08:50:00</t>
  </si>
  <si>
    <t>wallan</t>
  </si>
  <si>
    <t>William.Bell@manulifesecurities.ca</t>
  </si>
  <si>
    <t>William Bell</t>
  </si>
  <si>
    <t>2017-10-11T20:05:14</t>
  </si>
  <si>
    <t>billbell</t>
  </si>
  <si>
    <t>William.Boggs@manulifesecurities.ca</t>
  </si>
  <si>
    <t>William Boggs</t>
  </si>
  <si>
    <t>2016-04-11T09:19:20</t>
  </si>
  <si>
    <t>wgboggs</t>
  </si>
  <si>
    <t>William.Cheasley@manulifesecurities.ca</t>
  </si>
  <si>
    <t>Bill Cheasley</t>
  </si>
  <si>
    <t>2017-10-04T12:15:00</t>
  </si>
  <si>
    <t>WCheasley</t>
  </si>
  <si>
    <t>William.Coles@manulifesecurities.ca</t>
  </si>
  <si>
    <t>William Coles</t>
  </si>
  <si>
    <t>bradcoles</t>
  </si>
  <si>
    <t>William.Harris@manulifesecurities.ca</t>
  </si>
  <si>
    <t>William Harris</t>
  </si>
  <si>
    <t>WHarris</t>
  </si>
  <si>
    <t>William.Kemski@manulifesecurities.ca</t>
  </si>
  <si>
    <t>William Kemski</t>
  </si>
  <si>
    <t>2015-12-17T17:05:54</t>
  </si>
  <si>
    <t>mfc.w.kemski</t>
  </si>
  <si>
    <t>William.Kirkup@manulifesecurities.ca</t>
  </si>
  <si>
    <t>William Kirkup</t>
  </si>
  <si>
    <t>kirkup</t>
  </si>
  <si>
    <t>William.Lyttle@manulifesecurities.ca</t>
  </si>
  <si>
    <t>William Lyttle</t>
  </si>
  <si>
    <t>2017-10-11T10:28:01</t>
  </si>
  <si>
    <t>lyttlda</t>
  </si>
  <si>
    <t>William.MacDonald@manulifesecurities.ca</t>
  </si>
  <si>
    <t>William MacDonald</t>
  </si>
  <si>
    <t>2017-10-09T06:47:48</t>
  </si>
  <si>
    <t>WMacDonald</t>
  </si>
  <si>
    <t>William.McElroy@manulifesecurities.ca</t>
  </si>
  <si>
    <t>William McElroy</t>
  </si>
  <si>
    <t>2017-10-11T23:46:38</t>
  </si>
  <si>
    <t>billmc</t>
  </si>
  <si>
    <t>William.McTaggart@manulifesecurities.ca</t>
  </si>
  <si>
    <t>William McTaggart</t>
  </si>
  <si>
    <t>2017-10-02T12:04:46</t>
  </si>
  <si>
    <t>wgmctaggart</t>
  </si>
  <si>
    <t>William.Schuster@manulifesecurities.ca</t>
  </si>
  <si>
    <t>William Schuster</t>
  </si>
  <si>
    <t>2015-01-28T13:21:30</t>
  </si>
  <si>
    <t>schuster</t>
  </si>
  <si>
    <t>William.Sommer@manulifesecurities.ca</t>
  </si>
  <si>
    <t>William Sommer</t>
  </si>
  <si>
    <t>2017-10-14T22:53:35</t>
  </si>
  <si>
    <t>wsommer</t>
  </si>
  <si>
    <t>William.Steenbergen@manulifesecurities.ca</t>
  </si>
  <si>
    <t>William Steenbergen</t>
  </si>
  <si>
    <t>mfc.william.steen</t>
  </si>
  <si>
    <t>William.Weese@manulifesecurities.ca</t>
  </si>
  <si>
    <t>William Weese</t>
  </si>
  <si>
    <t>mfc.william.weese</t>
  </si>
  <si>
    <t>William.Woodcock@manulifesecurities.ca</t>
  </si>
  <si>
    <t>William Woodcock</t>
  </si>
  <si>
    <t>2017-10-04T10:01:26</t>
  </si>
  <si>
    <t>WWoodcock</t>
  </si>
  <si>
    <t>Willy.McGuinness@manulifesecurities.ca</t>
  </si>
  <si>
    <t>Willy McGuinness</t>
  </si>
  <si>
    <t>2017-10-12T08:46:35</t>
  </si>
  <si>
    <t>mfc.grada.mcguinn</t>
  </si>
  <si>
    <t>Wilma.Halstrom@manulifesecurities.ca</t>
  </si>
  <si>
    <t>Wilma Halstrom</t>
  </si>
  <si>
    <t>2017-10-10T10:45:01</t>
  </si>
  <si>
    <t>WHalstrom</t>
  </si>
  <si>
    <t>Wilma.Wuersch@manulifesecurities.ca</t>
  </si>
  <si>
    <t>Wilma Wuersch</t>
  </si>
  <si>
    <t>wwuersch</t>
  </si>
  <si>
    <t>Wilmer.Cheslock@manulifesecurities.ca</t>
  </si>
  <si>
    <t>Wilmer Cheslock</t>
  </si>
  <si>
    <t>WCheslock</t>
  </si>
  <si>
    <t>Winnie.Chien@manulifesecurities.ca</t>
  </si>
  <si>
    <t>Winnie Chien</t>
  </si>
  <si>
    <t>winniechien</t>
  </si>
  <si>
    <t>Winnie.Siu@manulifesecurities.ca</t>
  </si>
  <si>
    <t>Winnie Siu</t>
  </si>
  <si>
    <t>WSiu</t>
  </si>
  <si>
    <t>Winston.Man@manulifesecurities.ca</t>
  </si>
  <si>
    <t>Winston Man</t>
  </si>
  <si>
    <t>2017-10-16T08:32:55</t>
  </si>
  <si>
    <t>manwins</t>
  </si>
  <si>
    <t>Wolsey.Gray@manulifesecurities.ca</t>
  </si>
  <si>
    <t>Wolsey Gray</t>
  </si>
  <si>
    <t>WoGray</t>
  </si>
  <si>
    <t>Woodrow.St.John@manulifesecurities.ca</t>
  </si>
  <si>
    <t>Woodrow St. John</t>
  </si>
  <si>
    <t>stjohgl</t>
  </si>
  <si>
    <t>Xavier.Shaver@manulifesecurities.ca</t>
  </si>
  <si>
    <t>Xavier Shaver</t>
  </si>
  <si>
    <t>2017-07-25T14:18:47</t>
  </si>
  <si>
    <t>mfc.xavier.shaver</t>
  </si>
  <si>
    <t>Xiaoyan.Martindale@manulifesecurities.ca</t>
  </si>
  <si>
    <t>Xiaoyan Martindale</t>
  </si>
  <si>
    <t>2017-06-28T10:25:18</t>
  </si>
  <si>
    <t>mfc.xiaoyan.marti</t>
  </si>
  <si>
    <t>Xin.Qi@manulifesecurities.ca</t>
  </si>
  <si>
    <t>Xin Qi</t>
  </si>
  <si>
    <t>2017-03-16T04:38:13</t>
  </si>
  <si>
    <t>mfc.xin.qi</t>
  </si>
  <si>
    <t>xinhan.zhang@manulifesecurities.ca</t>
  </si>
  <si>
    <t>Xinhan Zhang</t>
  </si>
  <si>
    <t>mfc.xinhan.zhang</t>
  </si>
  <si>
    <t>Xinlin.Hu@manulifesecurities.ca</t>
  </si>
  <si>
    <t>Xinlin Hu</t>
  </si>
  <si>
    <t>xinlin</t>
  </si>
  <si>
    <t>xtest@manulifesecurities.ca</t>
  </si>
  <si>
    <t>xtest</t>
  </si>
  <si>
    <t>Y.Nader@manulifesecurities.ca</t>
  </si>
  <si>
    <t>Yasmine Nader</t>
  </si>
  <si>
    <t>YasmineNader</t>
  </si>
  <si>
    <t>YanMin.Xu@manulifesecurities.ca</t>
  </si>
  <si>
    <t>Yan-Min Xu</t>
  </si>
  <si>
    <t>2017-10-14T23:46:12</t>
  </si>
  <si>
    <t>YanmXu</t>
  </si>
  <si>
    <t>Yaroslav.Zemlyak@manulifesecurities.ca</t>
  </si>
  <si>
    <t>Yaroslav Zemlyak</t>
  </si>
  <si>
    <t>YZemlyak</t>
  </si>
  <si>
    <t>Yasmine.Nader@manulifesecurities.ca</t>
  </si>
  <si>
    <t>Yasmine Nader (Disabled)</t>
  </si>
  <si>
    <t>ynader</t>
  </si>
  <si>
    <t>Yen.Dinh@manulifesecurities.ca</t>
  </si>
  <si>
    <t>Yen Dinh</t>
  </si>
  <si>
    <t>2016-07-18T17:23:49</t>
  </si>
  <si>
    <t>yendinh</t>
  </si>
  <si>
    <t>YiEve.Zheng@manulifesecurities.ca</t>
  </si>
  <si>
    <t>Yi (Eve) Zheng</t>
  </si>
  <si>
    <t>yizheng</t>
  </si>
  <si>
    <t>Yihan.Zhang@manulifesecurities.ca</t>
  </si>
  <si>
    <t>Yihan Zhang</t>
  </si>
  <si>
    <t>2017-04-18T14:55:49</t>
  </si>
  <si>
    <t>mfc.yihan.zhang</t>
  </si>
  <si>
    <t>Yogesh.Wadera@manulifesecurities.ca</t>
  </si>
  <si>
    <t>Yogesh Wadera</t>
  </si>
  <si>
    <t>2017-10-10T08:45:11</t>
  </si>
  <si>
    <t>swadera</t>
  </si>
  <si>
    <t>Yong.Dai@manulifesecurities.ca</t>
  </si>
  <si>
    <t>Yong Dai</t>
  </si>
  <si>
    <t>2017-10-12T15:44:08</t>
  </si>
  <si>
    <t>terrydai68</t>
  </si>
  <si>
    <t>Young.Sohn@manulifesecurities.ca</t>
  </si>
  <si>
    <t>Young Sohn</t>
  </si>
  <si>
    <t>2017-09-23T12:55:45</t>
  </si>
  <si>
    <t>YSohn</t>
  </si>
  <si>
    <t>Young-hee.Kim@manulifesecurities.ca</t>
  </si>
  <si>
    <t>Young-hee Kim</t>
  </si>
  <si>
    <t>marvin2kim</t>
  </si>
  <si>
    <t>yue.l@manulifesecurities.ca</t>
  </si>
  <si>
    <t>Yue Lu</t>
  </si>
  <si>
    <t>2017-09-25T12:06:19</t>
  </si>
  <si>
    <t>mfc.yue.lu</t>
  </si>
  <si>
    <t>Yuen-Ling.Wong@manulifesecurities.ca</t>
  </si>
  <si>
    <t>Yuen-Ling Wong</t>
  </si>
  <si>
    <t>2017-10-12T10:21:20</t>
  </si>
  <si>
    <t>yuenlingwong</t>
  </si>
  <si>
    <t>Yulian.Ihnatyuk@manulifesecurities.ca</t>
  </si>
  <si>
    <t>Yulian Ihnatyuk</t>
  </si>
  <si>
    <t>2015-11-02T14:01:16</t>
  </si>
  <si>
    <t>mfc.yulian.ihnaty</t>
  </si>
  <si>
    <t>Yuvraj.Goswami@manulifesecurities.ca</t>
  </si>
  <si>
    <t>Yuvraj Goswami</t>
  </si>
  <si>
    <t>2017-10-05T18:45:38</t>
  </si>
  <si>
    <t>mfc.yuvraj.goswam</t>
  </si>
  <si>
    <t>Yves.Beaudet@manulifesecurities.ca</t>
  </si>
  <si>
    <t>Yves Beaudet</t>
  </si>
  <si>
    <t>YBeaudet</t>
  </si>
  <si>
    <t>Yves.Roy@manulifesecurities.ca</t>
  </si>
  <si>
    <t>Yves Roy</t>
  </si>
  <si>
    <t>2017-10-11T15:29:21</t>
  </si>
  <si>
    <t>yjcroy</t>
  </si>
  <si>
    <t>Yves.Saint-jean@manulifesecurities.ca</t>
  </si>
  <si>
    <t>Yves Saint-jean</t>
  </si>
  <si>
    <t>ystjean</t>
  </si>
  <si>
    <t>Yvette.Corkill@manulifesecurities.ca</t>
  </si>
  <si>
    <t>Yvette Corkill</t>
  </si>
  <si>
    <t>YCorkill</t>
  </si>
  <si>
    <t>Yvonne.Hincks@manulifesecurities.ca</t>
  </si>
  <si>
    <t>Yvonne Hincks</t>
  </si>
  <si>
    <t>yvonnehincks</t>
  </si>
  <si>
    <t>Yvonne.Yaciw@manulifesecurities.ca</t>
  </si>
  <si>
    <t>Yvonne Yaciw</t>
  </si>
  <si>
    <t>2017-10-12T12:01:54</t>
  </si>
  <si>
    <t>YYaciw</t>
  </si>
  <si>
    <t>Zachary.Leman@manulifesecurities.ca</t>
  </si>
  <si>
    <t>Zachary Leman</t>
  </si>
  <si>
    <t>2017-10-10T11:39:21</t>
  </si>
  <si>
    <t>mfc.zachary.leman</t>
  </si>
  <si>
    <t>Zachary.Townend@manulifesecurities.ca</t>
  </si>
  <si>
    <t>Zachary Townend</t>
  </si>
  <si>
    <t>ZTownend</t>
  </si>
  <si>
    <t>Zana.Kyle@manulifesecurities.ca</t>
  </si>
  <si>
    <t>Zana Kyle</t>
  </si>
  <si>
    <t>2015-06-18T15:49:04</t>
  </si>
  <si>
    <t>mfc.zana.kyle</t>
  </si>
  <si>
    <t>Zeiad.Shahin@manulifesecurities.ca</t>
  </si>
  <si>
    <t>Zeiad Shahin</t>
  </si>
  <si>
    <t>ZShahin</t>
  </si>
  <si>
    <t>Ziad.Musharbash@manulifesecurities.ca</t>
  </si>
  <si>
    <t>Ziad Musharbash</t>
  </si>
  <si>
    <t>2017-10-15T03:43:17</t>
  </si>
  <si>
    <t>ZMusharbash</t>
  </si>
  <si>
    <t>Zigfrids.Forstmanis@manulifesecurities.ca</t>
  </si>
  <si>
    <t>Zigfrids Forstmanis</t>
  </si>
  <si>
    <t>ZForstmanis</t>
  </si>
  <si>
    <t>Zinha.Vetter@manulifesecurities.ca</t>
  </si>
  <si>
    <t>Zinha Vetter</t>
  </si>
  <si>
    <t>2015-07-21T18:48:23</t>
  </si>
  <si>
    <t>ZVetter</t>
  </si>
  <si>
    <t>zobi.kons@manulifesecurities.ca</t>
  </si>
  <si>
    <t>Zobi Kons</t>
  </si>
  <si>
    <t>2017-10-05T09:51:27</t>
  </si>
  <si>
    <t>mfc.zobi.kons</t>
  </si>
  <si>
    <t>Zoe.Adrian@manulifesecurities.ca</t>
  </si>
  <si>
    <t>Zoe Adrian</t>
  </si>
  <si>
    <t>2017-10-07T23:25:13</t>
  </si>
  <si>
    <t>ZAdrian</t>
  </si>
  <si>
    <t>Zoe.Weller@manulifesecurities.ca</t>
  </si>
  <si>
    <t>Zoe Weller</t>
  </si>
  <si>
    <t>zoeweller</t>
  </si>
  <si>
    <t>Zora.Milovanov@manulifesecurities.ca</t>
  </si>
  <si>
    <t>Zora Milovanov</t>
  </si>
  <si>
    <t>zmilova</t>
  </si>
  <si>
    <t>Zorica.Stojanovic@manulifesecurities.ca</t>
  </si>
  <si>
    <t>Zorica Stojanovic</t>
  </si>
  <si>
    <t>zstojano</t>
  </si>
  <si>
    <t>zzctx1@manulifesecurities.ca</t>
  </si>
  <si>
    <t>zzctx1</t>
  </si>
  <si>
    <t>zzzraytestautodeprov@placementsmanuvie.ca</t>
  </si>
  <si>
    <t>zzzraytestautodeprov</t>
  </si>
  <si>
    <t>mfc.zzzraytestaut</t>
  </si>
  <si>
    <t>zzzraytestsupport@manulifesecurities.ca</t>
  </si>
  <si>
    <t>zzzraytestsupport</t>
  </si>
  <si>
    <t>2015-11-12T10:58:12</t>
  </si>
  <si>
    <t>mfc.zzzraytestsup</t>
  </si>
  <si>
    <t>zzzzraydeprovetest@aic.com</t>
  </si>
  <si>
    <t>zzzzraydeprovetest</t>
  </si>
  <si>
    <t>mfc.zzzzraydeprov</t>
  </si>
  <si>
    <t>September</t>
  </si>
  <si>
    <t>190.1GB</t>
  </si>
  <si>
    <t>480.3KB</t>
  </si>
  <si>
    <t>4.5GB</t>
  </si>
  <si>
    <t xml:space="preserve"> Performed by</t>
  </si>
  <si>
    <t xml:space="preserve"> Operator CID</t>
  </si>
  <si>
    <t xml:space="preserve"> Operator RID</t>
  </si>
  <si>
    <t xml:space="preserve"> Operator ID</t>
  </si>
  <si>
    <t xml:space="preserve"> Operator sensitivity</t>
  </si>
  <si>
    <t xml:space="preserve"> Time of operation</t>
  </si>
  <si>
    <t xml:space="preserve"> Type of operation</t>
  </si>
  <si>
    <t xml:space="preserve"> Operation name</t>
  </si>
  <si>
    <t xml:space="preserve"> Applied to</t>
  </si>
  <si>
    <t xml:space="preserve"> AppliedTo ID</t>
  </si>
  <si>
    <t xml:space="preserve"> Applied to type</t>
  </si>
  <si>
    <t xml:space="preserve"> AppliedTo sensitivity</t>
  </si>
  <si>
    <t xml:space="preserve"> Operator control</t>
  </si>
  <si>
    <t xml:space="preserve"> Operator agent</t>
  </si>
  <si>
    <t xml:space="preserve"> Data</t>
  </si>
  <si>
    <t xml:space="preserve"> AppliedTo CID</t>
  </si>
  <si>
    <t xml:space="preserve"> AppliedTo RID</t>
  </si>
  <si>
    <t xml:space="preserve"> AppliedTo org group</t>
  </si>
  <si>
    <t xml:space="preserve"> Sent notification</t>
  </si>
  <si>
    <t xml:space="preserve"> Hidden </t>
  </si>
  <si>
    <t>IBMCA</t>
  </si>
  <si>
    <t>Modify</t>
  </si>
  <si>
    <t>Account Password</t>
  </si>
  <si>
    <t>User Account</t>
  </si>
  <si>
    <t>AtBelow</t>
  </si>
  <si>
    <t>CC_Portal</t>
  </si>
  <si>
    <t>CC</t>
  </si>
  <si>
    <t>CC_WebService</t>
  </si>
  <si>
    <t>headoffice@manulifesecurities.ca</t>
  </si>
  <si>
    <t>crystal.parkinson@manulifesecurities.ca</t>
  </si>
  <si>
    <t>Request</t>
  </si>
  <si>
    <t>Digest On-demand</t>
  </si>
  <si>
    <t>Deny</t>
  </si>
  <si>
    <t>marshall.hett@manulifesecurities.ca</t>
  </si>
  <si>
    <t>chantel.rigo@manulifesecurities.ca</t>
  </si>
  <si>
    <t>silvie.cadieux@manulifesecurities.ca</t>
  </si>
  <si>
    <t>Unlock</t>
  </si>
  <si>
    <t>AD account lockout</t>
  </si>
  <si>
    <t>Account ActiveSync</t>
  </si>
  <si>
    <t>Account Aliases</t>
  </si>
  <si>
    <t>danielle.zills@manulifesecurities.ca</t>
  </si>
  <si>
    <t>SelfBelow</t>
  </si>
  <si>
    <t>Account Disable Status</t>
  </si>
  <si>
    <t>Disable</t>
  </si>
  <si>
    <t>Account Org Group</t>
  </si>
  <si>
    <t>oldOrgGroup=ACTIVE ADVISORS AND ASSISTANTS;newOrgGroup=DISABLED USERS</t>
  </si>
  <si>
    <t>Manage Accounts DL Membership</t>
  </si>
  <si>
    <t>Delete</t>
  </si>
  <si>
    <t>Modify Members</t>
  </si>
  <si>
    <t>MSI_autoEmailArchive@manulifesecurities.ca</t>
  </si>
  <si>
    <t>Distribution List</t>
  </si>
  <si>
    <t>Any</t>
  </si>
  <si>
    <t>e50819a176414c4ca77ceebddf469f88</t>
  </si>
  <si>
    <t>ALL GROUPS</t>
  </si>
  <si>
    <t>MSISRepresentatives@manulifesecurities.ca</t>
  </si>
  <si>
    <t>FormerBerkAdvisors@manulifesecurities.ca</t>
  </si>
  <si>
    <t>BusinessOwners@manulifesecurities.ca</t>
  </si>
  <si>
    <t>BORB@manulifesecurities.ca</t>
  </si>
  <si>
    <t>AllAdvisors@manulifesecurities.ca</t>
  </si>
  <si>
    <t>Advisors@manulifesecurities.ca</t>
  </si>
  <si>
    <t>tania.gomes@manulifesecurities.ca</t>
  </si>
  <si>
    <t>fahmi.karim@manulifesecurities.ca</t>
  </si>
  <si>
    <t>2fd9a10b4dba497d936a2c94a8403da8</t>
  </si>
  <si>
    <t>AllAssistants@manulifesecurities.ca</t>
  </si>
  <si>
    <t>eric.lacoursiere@manulifesecurities.ca</t>
  </si>
  <si>
    <t>michel.deschenes@manulifesecurities.ca</t>
  </si>
  <si>
    <t>b4015b1abb5a4e9eb32d34efd7a3bbb7</t>
  </si>
  <si>
    <t>jody.markovic@manulifesecurities.ca</t>
  </si>
  <si>
    <t>priscilla.misir@manulifesecurities.ca</t>
  </si>
  <si>
    <t>0879a73c75a445f0bb4c03044eaf0285</t>
  </si>
  <si>
    <t>michel.cormier@manulifesecurities.ca</t>
  </si>
  <si>
    <t>donna.macdougall@manulifesecurities.ca</t>
  </si>
  <si>
    <t>patrick.harkins@manulifesecurities.ca</t>
  </si>
  <si>
    <t>Account Forwarding</t>
  </si>
  <si>
    <t>c2f81abb41df4148a9d5ea2773e2f393</t>
  </si>
  <si>
    <t>FormerMSILAdvisors@manulifesecurities.ca</t>
  </si>
  <si>
    <t>alison.miller@manulifesecurities.ca</t>
  </si>
  <si>
    <t>Enable</t>
  </si>
  <si>
    <t>francine.melanson@manulifesecurities.ca</t>
  </si>
  <si>
    <t>Account Attributes</t>
  </si>
  <si>
    <t>Add</t>
  </si>
  <si>
    <t>7740945ac5634c16967b6b27390fd2bb</t>
  </si>
  <si>
    <t>Account</t>
  </si>
  <si>
    <t>PrimaryEmail=charmaine.guerette@manulifesecurities.ca</t>
  </si>
  <si>
    <t>jeffery.khoury@manulifesecurities.ca</t>
  </si>
  <si>
    <t>MSI_autoSupervision@manulifesecurities.ca</t>
  </si>
  <si>
    <t>45ce535eb4334ee38af7effd080cba85</t>
  </si>
  <si>
    <t>DorvalQuebec@manulifesecurities.ca</t>
  </si>
  <si>
    <t>dani.shiekh@manulifesecurities.ca</t>
  </si>
  <si>
    <t>caleb.park@manulifesecurities.ca</t>
  </si>
  <si>
    <t>cynthia.cox@manulifesecurities.ca</t>
  </si>
  <si>
    <t>cristian.bogdan@manulifesecurities.ca</t>
  </si>
  <si>
    <t>tracey.hartl-chapman@manulifesecurities.ca</t>
  </si>
  <si>
    <t>479b3d14c4874fbc9d9c3fa9b1750c1a</t>
  </si>
  <si>
    <t>PrimaryEmail=jeffery.khoury@manulifesecurities.ca</t>
  </si>
  <si>
    <t>stephen.forsey@manulifesecurities.ca</t>
  </si>
  <si>
    <t>f39984ced32f41b0968f10bdc8d87f83</t>
  </si>
  <si>
    <t>PrimaryEmail=dorra.abdelmoula@manulifesecurities.ca</t>
  </si>
  <si>
    <t>AddedAliases=gilles.delooz@placementsmanuvie.ca</t>
  </si>
  <si>
    <t>debbie.fraser@manulifesecurities.ca</t>
  </si>
  <si>
    <t>kim.rogers@manulifesecurities.ca</t>
  </si>
  <si>
    <t>justin.evans@manulifesecurities.ca</t>
  </si>
  <si>
    <t>michelle.reid@manulifesecurities.ca</t>
  </si>
  <si>
    <t>marla.kuypers@manulifesecurities.ca</t>
  </si>
  <si>
    <t>94551a5154bc48d685cb50bf8343e8f8</t>
  </si>
  <si>
    <t>PrimaryEmail=debbie.ruskin@manulifesecurities.ca</t>
  </si>
  <si>
    <t>melanie.laberge@manulifesecurities.ca</t>
  </si>
  <si>
    <t>81b7ca515b564d91abaed24e948735a6</t>
  </si>
  <si>
    <t>jade.zeron@manulifesecurities.ca</t>
  </si>
  <si>
    <t>alex.murphy@manulifesecurities.ca</t>
  </si>
  <si>
    <t>4ea0e2352f62427196f4b6bbca652a6f</t>
  </si>
  <si>
    <t>PrimaryEmail=alex.murphy@manulifesecurities.ca</t>
  </si>
  <si>
    <t>courtney.ramsay@manulifesecurities.ca</t>
  </si>
  <si>
    <t>b6dca660ece24026a6cbeccd32d83f60</t>
  </si>
  <si>
    <t>marianne.siklosi@manulifesecurities.ca</t>
  </si>
  <si>
    <t>sebastien.messier@manulifesecurities.ca</t>
  </si>
  <si>
    <t>glen.izzard@manulifesecurities.ca</t>
  </si>
  <si>
    <t>d.burns@manulifesecurities.ca</t>
  </si>
  <si>
    <t>andrew.lansbury@manulifesecurities.ca</t>
  </si>
  <si>
    <t>lucas.paulino@manulifesecurities.ca</t>
  </si>
  <si>
    <t>0ac9e43c030f4d1aa3fa3a4211483b60</t>
  </si>
  <si>
    <t>tom.mcsorley@manulifesecurities.ca</t>
  </si>
  <si>
    <t>4d6b6ca72eb94831867c470c366d49f6</t>
  </si>
  <si>
    <t>PrimaryEmail=debbie.fraser@manulifesecurities.ca</t>
  </si>
  <si>
    <t>524948d40bf749c89f3ea9ea3ac00e6e</t>
  </si>
  <si>
    <t>PrimaryEmail=tom.mcsorley@manulifesecurities.ca</t>
  </si>
  <si>
    <t>Sutton@manulifesecurities.ca</t>
  </si>
  <si>
    <t>f7dbaf33ec6c4a3c9cb9ba2c112ec423</t>
  </si>
  <si>
    <t>d.gatzke@manulifesecurities.ca</t>
  </si>
  <si>
    <t>michael.parris@manulifesecurities.ca</t>
  </si>
  <si>
    <t>samantha.cochrane@manulifesecurities.ca</t>
  </si>
  <si>
    <t>charles.lavigne@manulifesecurities.ca</t>
  </si>
  <si>
    <t>wilfried.houvion@manulifesecurities.ca</t>
  </si>
  <si>
    <t>marc.st-jean@manulifesecurities.ca</t>
  </si>
  <si>
    <t>b0d766a1c0564a25b5671864fbc68029</t>
  </si>
  <si>
    <t>juliana.casey@manulifesecurities.ca</t>
  </si>
  <si>
    <t>daniel.anunciacao@manulifesecurities.ca</t>
  </si>
  <si>
    <t>elisabeth.valente@manulifesecurities.ca</t>
  </si>
  <si>
    <t>anthony.khoury@manulifesecurities.ca</t>
  </si>
  <si>
    <t>3b19afc0da7f4f95971a6542922232bb</t>
  </si>
  <si>
    <t>sandra.misa@manulifesecurities.ca</t>
  </si>
  <si>
    <t>Action=Disable</t>
  </si>
  <si>
    <t>f503ddd0f18147eda803aa595a622872</t>
  </si>
  <si>
    <t>5d5c31fc28db49779540590f9e620b37</t>
  </si>
  <si>
    <t>sinan.adlim@manulifesecurities.ca</t>
  </si>
  <si>
    <t>96037471f012487e84b4fbd07a0ab4fb</t>
  </si>
  <si>
    <t>jason.liu@manulifesecurities.ca</t>
  </si>
  <si>
    <t>Account Primary Email</t>
  </si>
  <si>
    <t>oldEmail=juliette.lu@manulifesecurities.ca;newEmail=yue.l@manulifesecurities.ca</t>
  </si>
  <si>
    <t>juliette.lu@manulifesecurities.ca</t>
  </si>
  <si>
    <t>AddedAliases=yue.l@manulifesecurities.ca</t>
  </si>
  <si>
    <t>lindsay.clare@manulifesecurities.ca</t>
  </si>
  <si>
    <t>tarek.elrefaie@manulifesecurities.ca</t>
  </si>
  <si>
    <t>terence.chu@manulifesecurities.ca</t>
  </si>
  <si>
    <t>a1cf0be00ee6494aa9dd236133a6ddd4</t>
  </si>
  <si>
    <t>PrimaryEmail=sean.middaugh@manulifesecurities.ca</t>
  </si>
  <si>
    <t>andy.pauksens@manulifesecurities.ca</t>
  </si>
  <si>
    <t>wayne.mills@manulifesecurities.ca</t>
  </si>
  <si>
    <t>7d3c4c16ba664553926c0b515540f54a</t>
  </si>
  <si>
    <t>nicole.koszela@manulifesecurities.ca</t>
  </si>
  <si>
    <t>b52c4c588d3242eaa3209582f5825d16</t>
  </si>
  <si>
    <t>elliot.baker@manulifesecurities.ca</t>
  </si>
  <si>
    <t>gabriella.calisto@manulifesecurities.ca</t>
  </si>
  <si>
    <t>rebeca.micner@manulifesecurities.ca</t>
  </si>
  <si>
    <t>6cf0de2ef5f54b90b358878dd717d7ee</t>
  </si>
  <si>
    <t>PrimaryEmail=c.simard@manulifesecurities.ca</t>
  </si>
  <si>
    <t>jeff.scowen@manulifesecurities.ca</t>
  </si>
  <si>
    <t>carson.halter@manulifesecurities.ca</t>
  </si>
  <si>
    <t>7bb2093c280745678014b6ed48c3011e</t>
  </si>
  <si>
    <t>scott.mallender@manulifesecurities.ca</t>
  </si>
  <si>
    <t>f2e119a73fc04376a568b480b9e1c9ec</t>
  </si>
  <si>
    <t>PrimaryEmail=carson.halter@manulifesecurities.ca</t>
  </si>
  <si>
    <t>carson.halter@aic.com</t>
  </si>
  <si>
    <t>PrimaryEmail=carson.halter@aic.com</t>
  </si>
  <si>
    <t>chantal.marinier@manulifesecurities.ca</t>
  </si>
  <si>
    <t>tarrah.scott@manulifesecurities.ca</t>
  </si>
  <si>
    <t>jenine.tomalty@manulifesecurities.ca</t>
  </si>
  <si>
    <t>50180d9b7d4949f8a195eccb9d7fb1e6</t>
  </si>
  <si>
    <t>laurie.symbaluk@manulifesecurities.ca</t>
  </si>
  <si>
    <t>jason.woo@manulifesecurities.ca</t>
  </si>
  <si>
    <t>kristi.leschuk@manulifesecurities.ca</t>
  </si>
  <si>
    <t>darlene.letun@manulifesecurities.ca</t>
  </si>
  <si>
    <t>b24a6ed087ac4e008e7547c4d862b0eb</t>
  </si>
  <si>
    <t>4b1e548ec554490b9e46d552c86a066a</t>
  </si>
  <si>
    <t>d8853f1192d94f56a6f408ff632e8ed6</t>
  </si>
  <si>
    <t>PrimaryEmail=jason.woo@manulifesecurities.ca</t>
  </si>
  <si>
    <t>oldEmail=yue.lu@manulifesecurities.ca;newEmail=juliette.lu@manulifesecurities.ca</t>
  </si>
  <si>
    <t>yue.lu@manulifesecurities.ca</t>
  </si>
  <si>
    <t>AddedAliases=juliette.lu@manulifesecurities.ca</t>
  </si>
  <si>
    <t>rosalie.pollock@manulifesecurities.ca</t>
  </si>
  <si>
    <t>antonia.laginha@manulifesecurities.ca</t>
  </si>
  <si>
    <t>kristina.kuklyte@manulifesecurities.ca</t>
  </si>
  <si>
    <t>olivier.lawlor@manulifesecurities.ca</t>
  </si>
  <si>
    <t>onauffer@cc</t>
  </si>
  <si>
    <t>b.parhar@manulifesecurities.ca</t>
  </si>
  <si>
    <t>3e4bc9fb2c7945e9aa86e317baec237b</t>
  </si>
  <si>
    <t>jennifer.fehr@manulifesecurities.ca</t>
  </si>
  <si>
    <t>frederick.habr@manulifesecurities.ca</t>
  </si>
  <si>
    <t>Action=Enable;ForwardTo=Abraham.Tachjian@manulifesecurities.ca;LeaveCopy=FalseTrue</t>
  </si>
  <si>
    <t>PMM@manulifesecurities.ca</t>
  </si>
  <si>
    <t>c8ce8278d5594522992ab5b59ff4dd3d</t>
  </si>
  <si>
    <t>MSIRepresentatives@manulifesecurities.ca</t>
  </si>
  <si>
    <t>BSIXaminer@manulifesecurities.ca</t>
  </si>
  <si>
    <t>Bedford-Burt@manulifesecurities.ca</t>
  </si>
  <si>
    <t>danielle.dibenedetto@manulifesecurities.ca</t>
  </si>
  <si>
    <t>laura.brindle@manulifesecurities.ca</t>
  </si>
  <si>
    <t>bill.davidson@manulifesecurities.ca</t>
  </si>
  <si>
    <t>19718db968724b668b87cc4b571889ff</t>
  </si>
  <si>
    <t>mls_new_issues@manulifesecurities.ca</t>
  </si>
  <si>
    <t>noemie.brignon@manulifesecurities.ca</t>
  </si>
  <si>
    <t>b826fe19cf164e539056c867d3e4f3a4</t>
  </si>
  <si>
    <t>c911f2ef56044f14a3e104ec8b6f52a0</t>
  </si>
  <si>
    <t>christina.eddy@manulifesecurities.ca</t>
  </si>
  <si>
    <t>m.kucinskaite@manulifesecurities.ca</t>
  </si>
  <si>
    <t>holly.caetano@manulifesecurities.ca</t>
  </si>
  <si>
    <t>justin.stanley@manulifesecurities.ca</t>
  </si>
  <si>
    <t>e6abbf24001d48ebaf9e36cc6f7e50e4</t>
  </si>
  <si>
    <t>rachel.proudfoot@manulifesecurities.ca</t>
  </si>
  <si>
    <t>94c1acc3a35e419981e8e3d852a3dd7a</t>
  </si>
  <si>
    <t>antoine.lesaux@manulifesecurities.ca</t>
  </si>
  <si>
    <t>crystal.yunick@manulifesecurities.ca</t>
  </si>
  <si>
    <t>marcel.casavant@manulifesecurities.ca</t>
  </si>
  <si>
    <t>genevieve.bellemare@manulifesecurities.ca</t>
  </si>
  <si>
    <t>010da86d00cb454e9b3f510adbb89c2a</t>
  </si>
  <si>
    <t>shannon.kinchen@manulifesecurities.ca</t>
  </si>
  <si>
    <t>iris.chen@manulifesecurities.ca</t>
  </si>
  <si>
    <t>51ff5365b8be4cd49730fbb8336cc438</t>
  </si>
  <si>
    <t>ada848ddcfe54342897ef072283890d4</t>
  </si>
  <si>
    <t>brandon.beavis@manulifesecurities.ca</t>
  </si>
  <si>
    <t>PrimaryEmail=laurie.symbaluk@manulifesecurities.ca</t>
  </si>
  <si>
    <t>KurtRosentretersTeam@manulifesecurities.ca</t>
  </si>
  <si>
    <t>98790977d2cf4b729e92615475a029de</t>
  </si>
  <si>
    <t>stephanie.wood@manulifesecurities.ca</t>
  </si>
  <si>
    <t>h.wozniak@manulifesecurities.ca</t>
  </si>
  <si>
    <t>suzette.low@manulifesecurities.ca</t>
  </si>
  <si>
    <t>c96176bcb916485cb9c9442a95c67b07</t>
  </si>
  <si>
    <t>df692dc5dbbf4e7ca535f9f69b2c8a0f</t>
  </si>
  <si>
    <t>dean.rose@manulifesecurities.ca</t>
  </si>
  <si>
    <t>Action=Enable;ForwardTo=Donna.Rose@manulifesecurities.ca;LeaveCopy=FalseTrue</t>
  </si>
  <si>
    <t>6df1ef83b3264d86aadab5b569dc7f30</t>
  </si>
  <si>
    <t>PrimaryEmail=danielle.dibenedetto@manulifesecurities.ca</t>
  </si>
  <si>
    <t>DeletedAliases=chris.simpson@manulifesecurities.ca</t>
  </si>
  <si>
    <t>Adopt</t>
  </si>
  <si>
    <t>Account Adoption</t>
  </si>
  <si>
    <t>Primary=dean.rose@manulifesecurities.ca</t>
  </si>
  <si>
    <t>Unadopt</t>
  </si>
  <si>
    <t>Account Unadoption</t>
  </si>
  <si>
    <t>PrimaryEmail=Dean.Rose@manulifesecurities.ca</t>
  </si>
  <si>
    <t>821f472f9f8d4e85bd705cbce9326504</t>
  </si>
  <si>
    <t>f0dfe3ce21f64fdcb54814f49a9023d0</t>
  </si>
  <si>
    <t>shiny.mathews@manulifesecurities.ca</t>
  </si>
  <si>
    <t>vivian.chin@manulifesecurities.ca</t>
  </si>
  <si>
    <t>sjesuthasan@cc</t>
  </si>
  <si>
    <t>ivan.lai@manulifesecurities.ca</t>
  </si>
  <si>
    <t>d2fc07eff6914d8e8a6b9c47b589d867</t>
  </si>
  <si>
    <t>bf4657e17af14065961c4e7cd9ec544f</t>
  </si>
  <si>
    <t>beth.ruff@manulifesecurities.ca</t>
  </si>
  <si>
    <t>nadia.martin@manulifesecurities.ca</t>
  </si>
  <si>
    <t>brad.wendt@manulifesecurities.ca</t>
  </si>
  <si>
    <t>joyce.spadafora@manulifesecurities.ca</t>
  </si>
  <si>
    <t>kelly.gray@manulifesecurities.ca</t>
  </si>
  <si>
    <t>DeletedAliases=giles.delooz@manulifesecurities.ca</t>
  </si>
  <si>
    <t>oldEmail=giles.delooz@manulifesecurities.ca;newEmail=gilles.delooz@manulifesecurities.ca</t>
  </si>
  <si>
    <t>giles.delooz@manulifesecurities.ca</t>
  </si>
  <si>
    <t>AddedAliases=gilles.delooz@manulifesecurities.ca</t>
  </si>
  <si>
    <t>PrimaryEmail=m.kucinskaite@manulifesecurities.ca</t>
  </si>
  <si>
    <t>evelyn.gray@manulifesecurities.ca</t>
  </si>
  <si>
    <t>627c0aa3348f49dfa9b5f6fd0f79013d</t>
  </si>
  <si>
    <t>a3daea96cd464e56891ef1a57cf435c4</t>
  </si>
  <si>
    <t>PrimaryEmail=yue.lu@manulifesecurities.ca</t>
  </si>
  <si>
    <t>PrimaryEmail=giles.delooz@manulifesecurities.ca</t>
  </si>
  <si>
    <t>sam.solomon@manulifesecurities.ca</t>
  </si>
  <si>
    <t>b46b9d44d3004834922c3a1dca23b48c</t>
  </si>
  <si>
    <t>78c8aab65c954fe582b9ef8f2863f74d</t>
  </si>
  <si>
    <t>Kitchener@manulifesecurities.ca</t>
  </si>
  <si>
    <t>susan.stellings@manulifesecurities.ca</t>
  </si>
  <si>
    <t>kavi.tanna@manulifesecurities.ca</t>
  </si>
  <si>
    <t>80a9a90cf9fa463e9fc9bac04c02cad9</t>
  </si>
  <si>
    <t>PrimaryEmail=karen.ferguson@manulifesecurities.ca</t>
  </si>
  <si>
    <t>6444195753d2443d999bd73ac48b2408</t>
  </si>
  <si>
    <t>debbie.white@manulifesecurities.ca</t>
  </si>
  <si>
    <t>priya.aucharagram@manulifesecurities.ca</t>
  </si>
  <si>
    <t>yves.saint-jean@manulifesecurities.ca</t>
  </si>
  <si>
    <t>Action=Enable;ForwardTo=Natalie.Ng@manulifesecurities.ca;LeaveCopy=FalseTrue</t>
  </si>
  <si>
    <t>oldOrgGroup=DISABLED USERS;newOrgGroup=ACTIVE ADVISORS AND ASSISTANTS</t>
  </si>
  <si>
    <t>philippe.brault@manulifesecurities.ca</t>
  </si>
  <si>
    <t>debbi.tonnies@manulifesecurities.ca</t>
  </si>
  <si>
    <t>8dd561df15bc49bb928607371407eeb2</t>
  </si>
  <si>
    <t>PrimaryEmail=danielle.middagh@manulifesecurities.ca</t>
  </si>
  <si>
    <t>e30ff0c77ba44d578f96803dc16d81ca</t>
  </si>
  <si>
    <t>PrimaryEmail=christelle.arouko@manulifesecurities.ca</t>
  </si>
  <si>
    <t>patrick.jamieson@manulifesecurities.ca</t>
  </si>
  <si>
    <t>97ce2d9c78ee490ab0da088edc374aa1</t>
  </si>
  <si>
    <t>lindsay.eames@manulifesecurities.ca</t>
  </si>
  <si>
    <t>chris.vaughan@manulifesecurities.ca</t>
  </si>
  <si>
    <t>catherine.smit@manulifesecurities.ca</t>
  </si>
  <si>
    <t>beverly.bond@manulifesecurities.ca</t>
  </si>
  <si>
    <t>adam.clay@manulifesecurities.ca</t>
  </si>
  <si>
    <t>chelsey.lamppu@manulifesecurities.ca</t>
  </si>
  <si>
    <t>nswm@manulifesecurities.ca</t>
  </si>
  <si>
    <t>031eef7b49c84fa2b4acfd2bfdad5bdd,aa39dd8318b44ef59fb07be1ff65fedf,764559b885a9423984492bad814d8f3e,8d658175c10e49c08a7d7d0d9e223fc7,bf71b8491f254c2d9ec934a5045aba90,e8878d2493f14ba58df68894769a6255,248f8ff1218f4f80999f35eb7a9d3ba3,5132d7b86aff4fc0bec213eae97b6a23,6c7d005b0d73494b8777c140351c52e7,73f01189d104419a854be3e7cb5a3b14,f0621f4c843946ce99bdab48e0e1234a,2fc221c19cae4b2f8c87b50b9712cbc5,99bdd29e3fc348ab9a684fad02567843</t>
  </si>
  <si>
    <t>PrimaryEmail=nswm@manulifesecurities.ca</t>
  </si>
  <si>
    <t>Winnipeg@manulifesecurities.ca</t>
  </si>
  <si>
    <t>donald.stockman@manulifesecurities.ca</t>
  </si>
  <si>
    <t>sharon.cross@manulifesecurities.ca</t>
  </si>
  <si>
    <t>andrew.richardson@manulifesecurities.ca</t>
  </si>
  <si>
    <t>30844fb2c5f04404ae0b9ac950cadb77</t>
  </si>
  <si>
    <t>PrimaryEmail=debbi.tonnies@manulifesecurities.ca</t>
  </si>
  <si>
    <t>edac748773e741cfa6340e551e09f0a9</t>
  </si>
  <si>
    <t>ana.culig@manulifesecurities.ca</t>
  </si>
  <si>
    <t>Action=Enable;ForwardTo=Lakshmi.Pillai@manulifesecurities.ca;LeaveCopy=FalseTrue</t>
  </si>
  <si>
    <t>Primary=ana.culig@manulifesecurities.ca</t>
  </si>
  <si>
    <t>PrimaryEmail=ana.culig@manulifesecurities.ca</t>
  </si>
  <si>
    <t>sinan.shao@manulifesecurities.ca</t>
  </si>
  <si>
    <t>7ef1be224bb6437b94cb5807a8ba605d</t>
  </si>
  <si>
    <t>caesar.olszewski@manulifesecurities.ca</t>
  </si>
  <si>
    <t>6e866e0c029541678db6354627e68483</t>
  </si>
  <si>
    <t>82b99168844942d48e54771e2dda4b00</t>
  </si>
  <si>
    <t>PrimaryEmail=brigitte.bittner@manulifesecurities.ca</t>
  </si>
  <si>
    <t>PrimaryEmail=brenda.vahey@manulifesecurities.ca</t>
  </si>
  <si>
    <t>natalya.dolph@manulifesecurities.ca</t>
  </si>
  <si>
    <t>linda.uden@manulifesecurities.ca</t>
  </si>
  <si>
    <t>michelle.lea@manulifesecurities.ca</t>
  </si>
  <si>
    <t>dahlia.clarke@manulifesecurities.ca</t>
  </si>
  <si>
    <t>kathy.shafer@manulifesecurities.ca</t>
  </si>
  <si>
    <t>benjamin.bandosz@manulifesecurities.ca</t>
  </si>
  <si>
    <t>47c398f95f724889a713a4358f73622a</t>
  </si>
  <si>
    <t>PrimaryEmail=l.fuduric@manulifesecurities.ca</t>
  </si>
  <si>
    <t>corrie.walker@manulifesecurities.ca</t>
  </si>
  <si>
    <t>cameron.locke@manulifesecurities.ca</t>
  </si>
  <si>
    <t>n.munchinsky@manulifesecurities.ca</t>
  </si>
  <si>
    <t>Account Full Mailbox Access Permission</t>
  </si>
  <si>
    <t>shared.office@manulifesecurities.ca</t>
  </si>
  <si>
    <t>Resource</t>
  </si>
  <si>
    <t>AddedAccounts=lynn.curtinlange@manulifesecurities.ca,lindsey.hammond@manulifesecurities.ca,paula.yule@manulifesecurities.ca,elisa.moteeram@manulifesecurities.ca,helena.donaldson@manulifesecurities.ca</t>
  </si>
  <si>
    <t>DeletedAccounts=</t>
  </si>
  <si>
    <t>boardroom.office@manulifesecurities.ca</t>
  </si>
  <si>
    <t>AddedAccounts=lynn.curtinlange@manulifesecurities.ca,lindsey.hammond@manulifesecurities.ca,sheri.bridge@manulifesecurities.ca,paula.yule@manulifesecurities.ca</t>
  </si>
  <si>
    <t>Accept Message From Authenticated Accounts Only</t>
  </si>
  <si>
    <t>Accounts to Accept Message From</t>
  </si>
  <si>
    <t>Lynn.CurtinLange@manulifesecurities.ca;Sheri.Bridge@manulifesecurities.ca;Paula.Yule@manulifesecurities.ca;Elisa.Moteeram@manulifesecurities.ca;helena.donaldson@manulifesecurities.ca</t>
  </si>
  <si>
    <t>Lynn.CurtinLange@manulifesecurities.ca;lindsey.hammond@manulifesecurities.ca;Sheri.Bridge@manulifesecurities.ca;Paula.Yule@manulifesecurities.ca</t>
  </si>
  <si>
    <t>Mailbox Folder Permissions</t>
  </si>
  <si>
    <t>PrimaryEmail=boardroom.office@manulifesecurities.ca</t>
  </si>
  <si>
    <t>PrimaryEmail=shared.office@manulifesecurities.ca</t>
  </si>
  <si>
    <t>Meeting Properties of Resource</t>
  </si>
  <si>
    <t>Action=Enable;ForwardTo=Lucy.Falcone@manulifesecurities.ca;LeaveCopy=FalseTrue</t>
  </si>
  <si>
    <t>60e324c26dac400f91c4f265ec4439f9</t>
  </si>
  <si>
    <t>PrimaryEmail=kerry.shoremansawicki@manulifesecurities.ca</t>
  </si>
  <si>
    <t>ashley.mcvicar@manulifesecurities.ca</t>
  </si>
  <si>
    <t>cc727f65cc7c4dd5bc95a705d03dc9d1</t>
  </si>
  <si>
    <t>07e0a41482d44bbf8fcd50c485ee7251</t>
  </si>
  <si>
    <t>c72542213eb8415b8709ed6751c9ff70</t>
  </si>
  <si>
    <t>vern.lunz@manulifesecurities.ca</t>
  </si>
  <si>
    <t>dawn.rowley@manulifesecurities.ca</t>
  </si>
  <si>
    <t>b28ebbd27225477bb50ea50096d691e2</t>
  </si>
  <si>
    <t>kyle.martin@manulifesecurities.ca</t>
  </si>
  <si>
    <t>marc.danai@manulifesecurities.ca</t>
  </si>
  <si>
    <t>joanna.konowalczyk@manulifesecurities.ca</t>
  </si>
  <si>
    <t>carla.dossantos@manulifesecurities.ca</t>
  </si>
  <si>
    <t>Reps@manulifesecurities.ca</t>
  </si>
  <si>
    <t>cb6da0b67a7a401fa19a98678ebd0f27</t>
  </si>
  <si>
    <t>mj.cadieux@placementsmanuvie.ca</t>
  </si>
  <si>
    <t>mazen.slim@manulifesecurities.ca</t>
  </si>
  <si>
    <t>amanda.melenkabeckett@manulifesecurities.ca</t>
  </si>
  <si>
    <t>233688d233294b0d9e8f83253fb36c8e</t>
  </si>
  <si>
    <t>rose.manigat@manulifesecurities.ca</t>
  </si>
  <si>
    <t>9af601c399aa44fbb3b294b8140421ee</t>
  </si>
  <si>
    <t>88b6b4c82a904feb844b5d3ee70fb2e5</t>
  </si>
  <si>
    <t>ashley.mcclosky@manulifesecurities.ca</t>
  </si>
  <si>
    <t>janine.vickers@manulifesecurities.ca</t>
  </si>
  <si>
    <t>robert.leombruno@manulifesecurities.ca</t>
  </si>
  <si>
    <t>nicole.kish@manulifesecurities.ca</t>
  </si>
  <si>
    <t>p.leung@manulifesecurities.ca</t>
  </si>
  <si>
    <t>ecd94940626a498389c9af5577cce868</t>
  </si>
  <si>
    <t>PrimaryEmail=evelyn.gray@manulifesecurities.ca</t>
  </si>
  <si>
    <t>billy.vuong@manulifesecurities.ca</t>
  </si>
  <si>
    <t>77dbd9fdc3864d97a3e29a3bb190f012</t>
  </si>
  <si>
    <t>PrimaryEmail=philippe.brault@manulifesecurities.ca</t>
  </si>
  <si>
    <t>9491a470063c45c08c51ff147736cede</t>
  </si>
  <si>
    <t>denise.madden@manulifesecurities.ca</t>
  </si>
  <si>
    <t>mary.gloster@manulifesecurities.ca</t>
  </si>
  <si>
    <t>ligia.ovas@manulifesecurities.ca</t>
  </si>
  <si>
    <t>PrimaryEmail=genevieve.bellemare@manulifesecurities.ca</t>
  </si>
  <si>
    <t>57deedd3668d43ecbff5a48355ebbfe4</t>
  </si>
  <si>
    <t>PrimaryEmail=mary.gloster@manulifesecurities.ca</t>
  </si>
  <si>
    <t>Column Labels</t>
  </si>
  <si>
    <t>Grand Total</t>
  </si>
  <si>
    <t>Row Labels</t>
  </si>
  <si>
    <t>Count of Operations</t>
  </si>
  <si>
    <t>Ceryx</t>
  </si>
  <si>
    <t>Rqst</t>
  </si>
  <si>
    <t>Resp</t>
  </si>
  <si>
    <t>Udpt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</si>
</sst>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6" formatCode="&quot;$&quot;#,##0;[Red]\-&quot;$&quot;#,##0"/>
    <numFmt numFmtId="164" formatCode="&quot;$&quot;#,##0.00"/>
    <numFmt numFmtId="165" formatCode="0.0"/>
    <numFmt numFmtId="166" formatCode="0.000%"/>
  </numFmts>
  <fonts count="44" x14ac:knownFonts="1">
    <font>
      <sz val="11"/>
      <color theme="1"/>
      <name val="Calibri"/>
      <family val="2"/>
      <scheme val="minor"/>
    </font>
    <font>
      <u/>
      <sz val="11"/>
      <color theme="10"/>
      <name val="Calibri"/>
      <family val="2"/>
      <scheme val="minor"/>
    </font>
    <font>
      <sz val="11"/>
      <color rgb="FF000000"/>
      <name val="Calibri"/>
      <family val="2"/>
    </font>
    <font>
      <b/>
      <sz val="11"/>
      <color theme="1"/>
      <name val="Calibri"/>
      <family val="2"/>
      <scheme val="minor"/>
    </font>
    <font>
      <b/>
      <sz val="11"/>
      <color rgb="FF000000"/>
      <name val="Calibri"/>
      <family val="2"/>
    </font>
    <font>
      <sz val="11"/>
      <name val="Calibri"/>
      <family val="2"/>
      <scheme val="minor"/>
    </font>
    <font>
      <sz val="11"/>
      <color rgb="FF000000"/>
      <name val="Calibri"/>
      <family val="2"/>
      <scheme val="minor"/>
    </font>
    <font>
      <b/>
      <sz val="11"/>
      <color theme="0"/>
      <name val="Calibri"/>
      <family val="2"/>
      <scheme val="minor"/>
    </font>
    <font>
      <sz val="14"/>
      <color rgb="FF000000"/>
      <name val="Calibri"/>
      <family val="2"/>
      <scheme val="minor"/>
    </font>
    <font>
      <sz val="12"/>
      <color rgb="FF000000"/>
      <name val="Calibri"/>
      <family val="2"/>
      <scheme val="minor"/>
    </font>
    <font>
      <sz val="11"/>
      <color theme="4" tint="0.59999389629810485"/>
      <name val="Calibri"/>
      <family val="2"/>
      <scheme val="minor"/>
    </font>
    <font>
      <sz val="10"/>
      <color theme="1"/>
      <name val="Calibri"/>
      <family val="2"/>
      <scheme val="minor"/>
    </font>
    <font>
      <b/>
      <sz val="11"/>
      <color rgb="FFFF0000"/>
      <name val="Calibri"/>
      <family val="2"/>
      <scheme val="minor"/>
    </font>
    <font>
      <sz val="11"/>
      <color rgb="FFFF0000"/>
      <name val="Calibri"/>
      <family val="2"/>
      <scheme val="minor"/>
    </font>
    <font>
      <b/>
      <sz val="11"/>
      <name val="Calibri"/>
      <family val="2"/>
      <scheme val="minor"/>
    </font>
    <font>
      <sz val="11"/>
      <color theme="0"/>
      <name val="Calibri"/>
      <family val="2"/>
      <scheme val="minor"/>
    </font>
    <font>
      <sz val="10"/>
      <color theme="0"/>
      <name val="Segoe UI"/>
      <family val="2"/>
    </font>
    <font>
      <sz val="11"/>
      <name val="Calibri"/>
      <family val="2"/>
      <scheme val="minor"/>
    </font>
    <font>
      <sz val="11"/>
      <color theme="4" tint="0.59999389629810485"/>
      <name val="Calibri"/>
      <family val="2"/>
      <scheme val="minor"/>
    </font>
    <font>
      <b/>
      <sz val="11"/>
      <color theme="4" tint="0.59999389629810485"/>
      <name val="Calibri"/>
      <family val="2"/>
      <scheme val="minor"/>
    </font>
    <font>
      <sz val="9"/>
      <color indexed="81"/>
      <name val="Tahoma"/>
      <family val="2"/>
    </font>
    <font>
      <b/>
      <sz val="9"/>
      <color indexed="81"/>
      <name val="Tahoma"/>
      <family val="2"/>
    </font>
    <font>
      <sz val="10"/>
      <color theme="1"/>
      <name val="Segoe UI"/>
      <family val="2"/>
    </font>
    <font>
      <b/>
      <sz val="7"/>
      <color rgb="FF000002"/>
      <name val="Arial"/>
      <family val="2"/>
    </font>
    <font>
      <sz val="7"/>
      <color rgb="FF000001"/>
      <name val="Arial"/>
      <family val="2"/>
    </font>
    <font>
      <b/>
      <sz val="14"/>
      <color theme="1"/>
      <name val="Calibri"/>
      <family val="2"/>
      <scheme val="minor"/>
    </font>
    <font>
      <sz val="12"/>
      <color theme="1"/>
      <name val="Calibri"/>
      <family val="2"/>
      <scheme val="minor"/>
    </font>
    <font>
      <b/>
      <sz val="12"/>
      <color theme="1"/>
      <name val="Calibri"/>
      <family val="2"/>
      <scheme val="minor"/>
    </font>
    <font>
      <b/>
      <sz val="16"/>
      <color theme="0"/>
      <name val="Calibri"/>
      <family val="2"/>
      <scheme val="minor"/>
    </font>
    <font>
      <b/>
      <sz val="18"/>
      <color theme="0"/>
      <name val="Calibri"/>
      <family val="2"/>
      <scheme val="minor"/>
    </font>
    <font>
      <sz val="14"/>
      <color rgb="FF000000"/>
      <name val="Arial"/>
      <family val="2"/>
    </font>
    <font>
      <b/>
      <sz val="14"/>
      <color rgb="FF000000"/>
      <name val="Arial"/>
      <family val="2"/>
    </font>
    <font>
      <sz val="12"/>
      <color rgb="FF000000"/>
      <name val="Arial"/>
      <family val="2"/>
    </font>
    <font>
      <b/>
      <sz val="12"/>
      <color rgb="FF000000"/>
      <name val="Arial"/>
      <family val="2"/>
    </font>
    <font>
      <b/>
      <sz val="14"/>
      <color rgb="FF000000"/>
      <name val="Times New Roman"/>
      <family val="1"/>
    </font>
    <font>
      <b/>
      <sz val="9"/>
      <color rgb="FF666666"/>
      <name val="Arial"/>
      <family val="2"/>
    </font>
    <font>
      <sz val="7.5"/>
      <color rgb="FF666666"/>
      <name val="Arial"/>
      <family val="2"/>
    </font>
    <font>
      <sz val="11"/>
      <color theme="1"/>
      <name val="Arial"/>
      <family val="2"/>
    </font>
    <font>
      <sz val="12"/>
      <name val="Arial"/>
      <family val="2"/>
    </font>
    <font>
      <sz val="11"/>
      <color rgb="FF000000"/>
      <name val="Arial"/>
      <family val="2"/>
    </font>
    <font>
      <sz val="18"/>
      <name val="Arial"/>
      <family val="2"/>
    </font>
    <font>
      <b/>
      <sz val="10"/>
      <color rgb="FF000000"/>
      <name val="Arial"/>
      <family val="2"/>
    </font>
    <font>
      <b/>
      <sz val="12"/>
      <name val="Arial"/>
      <family val="2"/>
    </font>
    <font>
      <sz val="14"/>
      <color theme="1"/>
      <name val="Calibri"/>
      <family val="2"/>
      <scheme val="minor"/>
    </font>
  </fonts>
  <fills count="30">
    <fill>
      <patternFill patternType="none"/>
    </fill>
    <fill>
      <patternFill patternType="gray125"/>
    </fill>
    <fill>
      <patternFill patternType="solid">
        <fgColor theme="8" tint="0.79998168889431442"/>
        <bgColor indexed="64"/>
      </patternFill>
    </fill>
    <fill>
      <patternFill patternType="solid">
        <fgColor rgb="FF92D05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4" tint="-0.499984740745262"/>
        <bgColor indexed="64"/>
      </patternFill>
    </fill>
    <fill>
      <patternFill patternType="solid">
        <fgColor theme="3" tint="0.79998168889431442"/>
        <bgColor indexed="64"/>
      </patternFill>
    </fill>
    <fill>
      <patternFill patternType="solid">
        <fgColor rgb="FFFF0000"/>
        <bgColor indexed="64"/>
      </patternFill>
    </fill>
    <fill>
      <patternFill patternType="solid">
        <fgColor theme="3"/>
        <bgColor indexed="64"/>
      </patternFill>
    </fill>
    <fill>
      <patternFill patternType="solid">
        <fgColor rgb="FF00B050"/>
        <bgColor indexed="64"/>
      </patternFill>
    </fill>
    <fill>
      <patternFill patternType="solid">
        <fgColor rgb="FFFED6D6"/>
        <bgColor indexed="64"/>
      </patternFill>
    </fill>
    <fill>
      <patternFill patternType="solid">
        <fgColor theme="1"/>
        <bgColor indexed="64"/>
      </patternFill>
    </fill>
    <fill>
      <patternFill patternType="solid">
        <fgColor theme="3" tint="0.39997558519241921"/>
        <bgColor indexed="64"/>
      </patternFill>
    </fill>
    <fill>
      <patternFill patternType="solid">
        <fgColor rgb="FFECE9DB"/>
        <bgColor indexed="64"/>
      </patternFill>
    </fill>
    <fill>
      <patternFill patternType="solid">
        <fgColor rgb="FFFFFFFF"/>
        <bgColor indexed="64"/>
      </patternFill>
    </fill>
    <fill>
      <patternFill patternType="solid">
        <fgColor theme="0" tint="-0.14999847407452621"/>
        <bgColor indexed="64"/>
      </patternFill>
    </fill>
    <fill>
      <patternFill patternType="solid">
        <fgColor rgb="FFFFC000"/>
        <bgColor indexed="64"/>
      </patternFill>
    </fill>
    <fill>
      <patternFill patternType="solid">
        <fgColor theme="0"/>
        <bgColor indexed="64"/>
      </patternFill>
    </fill>
    <fill>
      <patternFill patternType="solid">
        <fgColor theme="4" tint="0.39997558519241921"/>
        <bgColor indexed="64"/>
      </patternFill>
    </fill>
    <fill>
      <patternFill patternType="solid">
        <fgColor rgb="FF00B0F0"/>
        <bgColor indexed="64"/>
      </patternFill>
    </fill>
    <fill>
      <patternFill patternType="solid">
        <fgColor theme="0" tint="-0.249977111117893"/>
        <bgColor indexed="64"/>
      </patternFill>
    </fill>
    <fill>
      <patternFill patternType="solid">
        <fgColor rgb="FF999999"/>
        <bgColor indexed="64"/>
      </patternFill>
    </fill>
    <fill>
      <patternFill patternType="solid">
        <fgColor rgb="FFD6DAFD"/>
        <bgColor indexed="64"/>
      </patternFill>
    </fill>
    <fill>
      <patternFill patternType="solid">
        <fgColor rgb="FFECEDFE"/>
        <bgColor indexed="64"/>
      </patternFill>
    </fill>
    <fill>
      <patternFill patternType="solid">
        <fgColor rgb="FFCCCCFF"/>
        <bgColor indexed="64"/>
      </patternFill>
    </fill>
    <fill>
      <patternFill patternType="solid">
        <fgColor rgb="FFE5E5E5"/>
        <bgColor indexed="64"/>
      </patternFill>
    </fill>
    <fill>
      <patternFill patternType="solid">
        <fgColor rgb="FFF0EFEE"/>
        <bgColor indexed="64"/>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top style="medium">
        <color indexed="64"/>
      </top>
      <bottom/>
      <diagonal/>
    </border>
    <border>
      <left style="medium">
        <color indexed="64"/>
      </left>
      <right/>
      <top/>
      <bottom/>
      <diagonal/>
    </border>
    <border>
      <left/>
      <right/>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right style="medium">
        <color indexed="64"/>
      </right>
      <top style="medium">
        <color indexed="64"/>
      </top>
      <bottom style="double">
        <color indexed="64"/>
      </bottom>
      <diagonal/>
    </border>
    <border>
      <left/>
      <right/>
      <top/>
      <bottom style="double">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right/>
      <top/>
      <bottom style="thin">
        <color indexed="64"/>
      </bottom>
      <diagonal/>
    </border>
    <border>
      <left/>
      <right/>
      <top style="thin">
        <color indexed="64"/>
      </top>
      <bottom style="thin">
        <color indexed="64"/>
      </bottom>
      <diagonal/>
    </border>
    <border>
      <left style="medium">
        <color rgb="FFFFFFFF"/>
      </left>
      <right style="medium">
        <color rgb="FFFFFFFF"/>
      </right>
      <top style="medium">
        <color rgb="FFFFFFFF"/>
      </top>
      <bottom style="thick">
        <color rgb="FFFFFFFF"/>
      </bottom>
      <diagonal/>
    </border>
    <border>
      <left style="medium">
        <color rgb="FFFFFFFF"/>
      </left>
      <right style="medium">
        <color rgb="FFFFFFFF"/>
      </right>
      <top style="thick">
        <color rgb="FFFFFFFF"/>
      </top>
      <bottom style="medium">
        <color rgb="FFFFFFFF"/>
      </bottom>
      <diagonal/>
    </border>
    <border>
      <left style="medium">
        <color rgb="FFFFFFFF"/>
      </left>
      <right style="medium">
        <color rgb="FFFFFFFF"/>
      </right>
      <top style="medium">
        <color rgb="FFFFFFFF"/>
      </top>
      <bottom style="medium">
        <color rgb="FFFFFFFF"/>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bottom style="medium">
        <color rgb="FF000000"/>
      </bottom>
      <diagonal/>
    </border>
    <border>
      <left/>
      <right style="medium">
        <color rgb="FF000000"/>
      </right>
      <top style="medium">
        <color rgb="FF000000"/>
      </top>
      <bottom/>
      <diagonal/>
    </border>
    <border>
      <left/>
      <right style="medium">
        <color rgb="FF000000"/>
      </right>
      <top/>
      <bottom style="medium">
        <color rgb="FF000000"/>
      </bottom>
      <diagonal/>
    </border>
    <border>
      <left/>
      <right style="medium">
        <color rgb="FF000000"/>
      </right>
      <top style="medium">
        <color rgb="FF000000"/>
      </top>
      <bottom style="medium">
        <color rgb="FF000000"/>
      </bottom>
      <diagonal/>
    </border>
    <border>
      <left/>
      <right style="medium">
        <color rgb="FFFFFFFF"/>
      </right>
      <top/>
      <bottom/>
      <diagonal/>
    </border>
    <border>
      <left style="thin">
        <color rgb="FF000000"/>
      </left>
      <right style="thin">
        <color rgb="FF000000"/>
      </right>
      <top style="thin">
        <color rgb="FF000000"/>
      </top>
      <bottom style="thin">
        <color rgb="FF000000"/>
      </bottom>
      <diagonal/>
    </border>
    <border>
      <left style="medium">
        <color rgb="FF000000"/>
      </left>
      <right/>
      <top style="medium">
        <color rgb="FF000000"/>
      </top>
      <bottom style="medium">
        <color rgb="FF000000"/>
      </bottom>
      <diagonal/>
    </border>
    <border>
      <left style="medium">
        <color rgb="FFFFFFFF"/>
      </left>
      <right style="medium">
        <color rgb="FFFFFFFF"/>
      </right>
      <top style="medium">
        <color rgb="FFFFFFFF"/>
      </top>
      <bottom style="medium">
        <color rgb="FF000000"/>
      </bottom>
      <diagonal/>
    </border>
    <border>
      <left style="medium">
        <color rgb="FFFFFFFF"/>
      </left>
      <right style="medium">
        <color rgb="FFFFFFFF"/>
      </right>
      <top style="medium">
        <color rgb="FF000000"/>
      </top>
      <bottom style="medium">
        <color rgb="FFFFFFFF"/>
      </bottom>
      <diagonal/>
    </border>
  </borders>
  <cellStyleXfs count="2">
    <xf numFmtId="0" fontId="0" fillId="0" borderId="0"/>
    <xf numFmtId="0" fontId="1" fillId="0" borderId="0" applyNumberFormat="0" applyFill="0" applyBorder="0" applyAlignment="0" applyProtection="0"/>
  </cellStyleXfs>
  <cellXfs count="404">
    <xf numFmtId="0" fontId="0" fillId="0" borderId="0" xfId="0"/>
    <xf numFmtId="0" fontId="3" fillId="0" borderId="0" xfId="0" applyFont="1"/>
    <xf numFmtId="0" fontId="0" fillId="0" borderId="0" xfId="0" applyFont="1"/>
    <xf numFmtId="0" fontId="0" fillId="0" borderId="0" xfId="0" applyBorder="1"/>
    <xf numFmtId="0" fontId="3" fillId="0" borderId="0" xfId="0" applyFont="1" applyAlignment="1">
      <alignment horizontal="left"/>
    </xf>
    <xf numFmtId="0" fontId="3" fillId="0" borderId="0" xfId="0" applyFont="1" applyAlignment="1">
      <alignment horizontal="center"/>
    </xf>
    <xf numFmtId="0" fontId="6" fillId="0" borderId="0" xfId="0" applyFont="1"/>
    <xf numFmtId="0" fontId="3" fillId="0" borderId="0" xfId="0" applyFont="1" applyBorder="1"/>
    <xf numFmtId="0" fontId="0" fillId="0" borderId="0" xfId="0" applyFill="1"/>
    <xf numFmtId="0" fontId="0" fillId="0" borderId="0" xfId="0" applyFill="1" applyBorder="1"/>
    <xf numFmtId="0" fontId="0" fillId="2" borderId="0" xfId="0" applyFill="1"/>
    <xf numFmtId="0" fontId="3" fillId="2" borderId="0" xfId="0" applyFont="1" applyFill="1" applyAlignment="1">
      <alignment horizontal="center"/>
    </xf>
    <xf numFmtId="0" fontId="0" fillId="0" borderId="0" xfId="0" applyFont="1" applyBorder="1"/>
    <xf numFmtId="49" fontId="0" fillId="0" borderId="0" xfId="0" applyNumberFormat="1"/>
    <xf numFmtId="0" fontId="0" fillId="0" borderId="1" xfId="0" applyBorder="1"/>
    <xf numFmtId="0" fontId="5" fillId="0" borderId="0" xfId="0" applyFont="1"/>
    <xf numFmtId="0" fontId="0" fillId="0" borderId="1" xfId="0" applyBorder="1" applyAlignment="1">
      <alignment horizontal="center"/>
    </xf>
    <xf numFmtId="10" fontId="0" fillId="0" borderId="1" xfId="0" applyNumberFormat="1" applyBorder="1" applyAlignment="1">
      <alignment horizontal="center"/>
    </xf>
    <xf numFmtId="0" fontId="0" fillId="0" borderId="0" xfId="0" applyAlignment="1">
      <alignment horizontal="center"/>
    </xf>
    <xf numFmtId="0" fontId="0" fillId="4" borderId="5" xfId="0" applyFill="1" applyBorder="1"/>
    <xf numFmtId="0" fontId="0" fillId="4" borderId="8" xfId="0" applyFill="1" applyBorder="1"/>
    <xf numFmtId="0" fontId="0" fillId="5" borderId="0" xfId="0" applyFill="1"/>
    <xf numFmtId="0" fontId="0" fillId="4" borderId="0" xfId="0" applyFill="1" applyBorder="1"/>
    <xf numFmtId="0" fontId="3" fillId="4" borderId="4" xfId="0" applyFont="1" applyFill="1" applyBorder="1" applyAlignment="1">
      <alignment horizontal="center"/>
    </xf>
    <xf numFmtId="0" fontId="0" fillId="0" borderId="12" xfId="0" applyBorder="1" applyAlignment="1">
      <alignment horizontal="right"/>
    </xf>
    <xf numFmtId="10" fontId="3" fillId="6" borderId="11" xfId="0" applyNumberFormat="1" applyFont="1" applyFill="1" applyBorder="1"/>
    <xf numFmtId="10" fontId="3" fillId="6" borderId="5" xfId="0" applyNumberFormat="1" applyFont="1" applyFill="1" applyBorder="1"/>
    <xf numFmtId="0" fontId="3" fillId="6" borderId="5" xfId="0" applyNumberFormat="1" applyFont="1" applyFill="1" applyBorder="1"/>
    <xf numFmtId="0" fontId="3" fillId="7" borderId="12" xfId="0" applyNumberFormat="1" applyFont="1" applyFill="1" applyBorder="1"/>
    <xf numFmtId="0" fontId="0" fillId="0" borderId="12" xfId="0" applyNumberFormat="1" applyBorder="1" applyAlignment="1">
      <alignment horizontal="right"/>
    </xf>
    <xf numFmtId="0" fontId="3" fillId="6" borderId="11" xfId="0" applyNumberFormat="1" applyFont="1" applyFill="1" applyBorder="1" applyAlignment="1">
      <alignment horizontal="center"/>
    </xf>
    <xf numFmtId="0" fontId="3" fillId="7" borderId="0" xfId="0" applyNumberFormat="1" applyFont="1" applyFill="1" applyBorder="1" applyAlignment="1">
      <alignment horizontal="center"/>
    </xf>
    <xf numFmtId="0" fontId="0" fillId="0" borderId="0" xfId="0" applyNumberFormat="1" applyBorder="1" applyAlignment="1">
      <alignment horizontal="center"/>
    </xf>
    <xf numFmtId="0" fontId="0" fillId="0" borderId="0" xfId="0" applyNumberFormat="1" applyFill="1" applyBorder="1" applyAlignment="1">
      <alignment horizontal="right"/>
    </xf>
    <xf numFmtId="0" fontId="0" fillId="0" borderId="0" xfId="0" applyNumberFormat="1" applyBorder="1" applyAlignment="1">
      <alignment horizontal="right"/>
    </xf>
    <xf numFmtId="0" fontId="4" fillId="0" borderId="0" xfId="0" applyFont="1" applyBorder="1" applyAlignment="1">
      <alignment vertical="center" wrapText="1"/>
    </xf>
    <xf numFmtId="0" fontId="5" fillId="5" borderId="3" xfId="0" applyFont="1" applyFill="1" applyBorder="1"/>
    <xf numFmtId="17" fontId="5" fillId="0" borderId="3" xfId="0" applyNumberFormat="1" applyFont="1" applyBorder="1"/>
    <xf numFmtId="17" fontId="5" fillId="0" borderId="3" xfId="0" applyNumberFormat="1" applyFont="1" applyFill="1" applyBorder="1"/>
    <xf numFmtId="0" fontId="5" fillId="0" borderId="3" xfId="0" applyFont="1" applyBorder="1"/>
    <xf numFmtId="0" fontId="5" fillId="5" borderId="1" xfId="0" applyFont="1" applyFill="1" applyBorder="1" applyAlignment="1">
      <alignment horizontal="center"/>
    </xf>
    <xf numFmtId="1" fontId="5" fillId="0" borderId="1" xfId="0" applyNumberFormat="1" applyFont="1" applyBorder="1" applyAlignment="1">
      <alignment horizontal="center"/>
    </xf>
    <xf numFmtId="1" fontId="5" fillId="5" borderId="1" xfId="0" applyNumberFormat="1" applyFont="1" applyFill="1" applyBorder="1" applyAlignment="1">
      <alignment horizontal="center"/>
    </xf>
    <xf numFmtId="0" fontId="5" fillId="0" borderId="1" xfId="0" applyFont="1" applyBorder="1" applyAlignment="1">
      <alignment horizontal="center"/>
    </xf>
    <xf numFmtId="0" fontId="5" fillId="0" borderId="2" xfId="0" applyFont="1" applyBorder="1" applyAlignment="1">
      <alignment horizontal="center"/>
    </xf>
    <xf numFmtId="1" fontId="5" fillId="0" borderId="1" xfId="0" applyNumberFormat="1" applyFont="1" applyFill="1" applyBorder="1" applyAlignment="1">
      <alignment horizontal="center"/>
    </xf>
    <xf numFmtId="0" fontId="5" fillId="0" borderId="1" xfId="0" applyFont="1" applyFill="1" applyBorder="1" applyAlignment="1">
      <alignment horizontal="center"/>
    </xf>
    <xf numFmtId="0" fontId="5" fillId="0" borderId="2" xfId="0" applyFont="1" applyFill="1" applyBorder="1" applyAlignment="1">
      <alignment horizontal="center"/>
    </xf>
    <xf numFmtId="17" fontId="5" fillId="5" borderId="3" xfId="0" applyNumberFormat="1" applyFont="1" applyFill="1" applyBorder="1"/>
    <xf numFmtId="0" fontId="0" fillId="5" borderId="11" xfId="0" applyFill="1" applyBorder="1" applyAlignment="1">
      <alignment horizontal="center"/>
    </xf>
    <xf numFmtId="0" fontId="0" fillId="5" borderId="17" xfId="0" applyFill="1" applyBorder="1" applyAlignment="1">
      <alignment horizontal="center"/>
    </xf>
    <xf numFmtId="0" fontId="0" fillId="5" borderId="12" xfId="0" applyFill="1" applyBorder="1"/>
    <xf numFmtId="0" fontId="0" fillId="5" borderId="8" xfId="0" applyFill="1" applyBorder="1"/>
    <xf numFmtId="0" fontId="0" fillId="5" borderId="13" xfId="0" applyFill="1" applyBorder="1" applyAlignment="1">
      <alignment horizontal="center" wrapText="1"/>
    </xf>
    <xf numFmtId="0" fontId="0" fillId="5" borderId="19" xfId="0" applyFill="1" applyBorder="1" applyAlignment="1">
      <alignment horizontal="center" wrapText="1"/>
    </xf>
    <xf numFmtId="0" fontId="7" fillId="8" borderId="5" xfId="0" applyFont="1" applyFill="1" applyBorder="1" applyAlignment="1">
      <alignment horizontal="center"/>
    </xf>
    <xf numFmtId="0" fontId="11" fillId="5" borderId="11" xfId="0" applyFont="1" applyFill="1" applyBorder="1" applyAlignment="1">
      <alignment horizontal="center"/>
    </xf>
    <xf numFmtId="0" fontId="11" fillId="5" borderId="17" xfId="0" applyFont="1" applyFill="1" applyBorder="1" applyAlignment="1">
      <alignment horizontal="center"/>
    </xf>
    <xf numFmtId="9" fontId="12" fillId="5" borderId="0" xfId="0" applyNumberFormat="1" applyFont="1" applyFill="1" applyBorder="1" applyAlignment="1">
      <alignment horizontal="center"/>
    </xf>
    <xf numFmtId="9" fontId="12" fillId="5" borderId="18" xfId="0" applyNumberFormat="1" applyFont="1" applyFill="1" applyBorder="1" applyAlignment="1">
      <alignment horizontal="center"/>
    </xf>
    <xf numFmtId="9" fontId="12" fillId="5" borderId="13" xfId="0" applyNumberFormat="1" applyFont="1" applyFill="1" applyBorder="1" applyAlignment="1">
      <alignment horizontal="center"/>
    </xf>
    <xf numFmtId="10" fontId="12" fillId="5" borderId="19" xfId="0" applyNumberFormat="1" applyFont="1" applyFill="1" applyBorder="1" applyAlignment="1">
      <alignment horizontal="center"/>
    </xf>
    <xf numFmtId="0" fontId="0" fillId="0" borderId="0" xfId="0" applyBorder="1" applyAlignment="1">
      <alignment horizontal="center"/>
    </xf>
    <xf numFmtId="0" fontId="0" fillId="5" borderId="20" xfId="0" applyFill="1" applyBorder="1"/>
    <xf numFmtId="0" fontId="3" fillId="6" borderId="20" xfId="0" applyNumberFormat="1" applyFont="1" applyFill="1" applyBorder="1" applyAlignment="1">
      <alignment horizontal="center"/>
    </xf>
    <xf numFmtId="0" fontId="3" fillId="7" borderId="21" xfId="0" applyNumberFormat="1" applyFont="1" applyFill="1" applyBorder="1" applyAlignment="1">
      <alignment horizontal="center"/>
    </xf>
    <xf numFmtId="0" fontId="0" fillId="0" borderId="21" xfId="0" applyNumberFormat="1" applyBorder="1" applyAlignment="1">
      <alignment horizontal="center"/>
    </xf>
    <xf numFmtId="0" fontId="0" fillId="0" borderId="22" xfId="0" applyNumberFormat="1" applyBorder="1" applyAlignment="1">
      <alignment horizontal="center"/>
    </xf>
    <xf numFmtId="164" fontId="0" fillId="0" borderId="0" xfId="0" applyNumberFormat="1" applyAlignment="1">
      <alignment horizontal="center"/>
    </xf>
    <xf numFmtId="9" fontId="5" fillId="0" borderId="1" xfId="0" applyNumberFormat="1" applyFont="1" applyBorder="1" applyAlignment="1">
      <alignment horizontal="center"/>
    </xf>
    <xf numFmtId="9" fontId="5" fillId="0" borderId="1" xfId="0" applyNumberFormat="1" applyFont="1" applyFill="1" applyBorder="1" applyAlignment="1">
      <alignment horizontal="center"/>
    </xf>
    <xf numFmtId="0" fontId="0" fillId="0" borderId="0" xfId="0"/>
    <xf numFmtId="0" fontId="0" fillId="0" borderId="0" xfId="0" applyProtection="1">
      <protection locked="0"/>
    </xf>
    <xf numFmtId="0" fontId="0" fillId="0" borderId="0" xfId="0" applyFont="1" applyProtection="1">
      <protection locked="0"/>
    </xf>
    <xf numFmtId="0" fontId="0" fillId="0" borderId="0" xfId="0"/>
    <xf numFmtId="0" fontId="0" fillId="0" borderId="0" xfId="0" applyProtection="1">
      <protection locked="0"/>
    </xf>
    <xf numFmtId="0" fontId="0" fillId="0" borderId="0" xfId="0" applyFont="1" applyProtection="1">
      <protection locked="0"/>
    </xf>
    <xf numFmtId="0" fontId="3" fillId="9" borderId="12" xfId="0" applyFont="1" applyFill="1" applyBorder="1" applyAlignment="1" applyProtection="1">
      <alignment horizontal="center"/>
      <protection locked="0"/>
    </xf>
    <xf numFmtId="0" fontId="0" fillId="12" borderId="0" xfId="0" applyFont="1" applyFill="1" applyProtection="1">
      <protection locked="0"/>
    </xf>
    <xf numFmtId="0" fontId="3" fillId="9" borderId="8" xfId="0" applyFont="1" applyFill="1" applyBorder="1" applyAlignment="1" applyProtection="1">
      <alignment horizontal="center"/>
      <protection locked="0"/>
    </xf>
    <xf numFmtId="0" fontId="0" fillId="10" borderId="0" xfId="0" applyFont="1" applyFill="1" applyProtection="1">
      <protection locked="0"/>
    </xf>
    <xf numFmtId="0" fontId="0" fillId="0" borderId="0" xfId="0" applyBorder="1" applyProtection="1">
      <protection locked="0"/>
    </xf>
    <xf numFmtId="0" fontId="0" fillId="0" borderId="11" xfId="0" applyBorder="1" applyProtection="1">
      <protection locked="0"/>
    </xf>
    <xf numFmtId="0" fontId="0" fillId="0" borderId="17" xfId="0" applyBorder="1" applyProtection="1">
      <protection locked="0"/>
    </xf>
    <xf numFmtId="0" fontId="0" fillId="0" borderId="12" xfId="0" applyBorder="1" applyProtection="1">
      <protection locked="0"/>
    </xf>
    <xf numFmtId="2" fontId="0" fillId="0" borderId="0" xfId="0" applyNumberFormat="1" applyBorder="1" applyProtection="1">
      <protection locked="0"/>
    </xf>
    <xf numFmtId="0" fontId="0" fillId="0" borderId="0" xfId="0" applyFont="1" applyBorder="1" applyProtection="1">
      <protection locked="0"/>
    </xf>
    <xf numFmtId="0" fontId="0" fillId="0" borderId="18" xfId="0" applyBorder="1" applyProtection="1">
      <protection locked="0"/>
    </xf>
    <xf numFmtId="0" fontId="3" fillId="0" borderId="0" xfId="0" applyFont="1" applyAlignment="1" applyProtection="1">
      <alignment wrapText="1"/>
      <protection locked="0"/>
    </xf>
    <xf numFmtId="0" fontId="3" fillId="0" borderId="12" xfId="0" applyFont="1" applyBorder="1" applyAlignment="1" applyProtection="1">
      <alignment wrapText="1"/>
      <protection locked="0"/>
    </xf>
    <xf numFmtId="0" fontId="3" fillId="0" borderId="0" xfId="0" applyFont="1" applyBorder="1" applyAlignment="1" applyProtection="1">
      <alignment wrapText="1"/>
      <protection locked="0"/>
    </xf>
    <xf numFmtId="0" fontId="3" fillId="0" borderId="18" xfId="0" applyFont="1" applyBorder="1" applyAlignment="1" applyProtection="1">
      <alignment wrapText="1"/>
      <protection locked="0"/>
    </xf>
    <xf numFmtId="0" fontId="12" fillId="14" borderId="5" xfId="0" applyFont="1" applyFill="1" applyBorder="1" applyAlignment="1" applyProtection="1">
      <alignment horizontal="center"/>
      <protection locked="0"/>
    </xf>
    <xf numFmtId="2" fontId="0" fillId="0" borderId="0" xfId="0" applyNumberFormat="1" applyFont="1" applyBorder="1" applyProtection="1">
      <protection locked="0"/>
    </xf>
    <xf numFmtId="0" fontId="7" fillId="12" borderId="0" xfId="0" applyFont="1" applyFill="1" applyAlignment="1">
      <alignment horizontal="center"/>
    </xf>
    <xf numFmtId="0" fontId="0" fillId="15" borderId="15" xfId="0" applyFill="1" applyBorder="1"/>
    <xf numFmtId="0" fontId="0" fillId="15" borderId="15" xfId="0" applyFill="1" applyBorder="1" applyAlignment="1">
      <alignment horizontal="center"/>
    </xf>
    <xf numFmtId="0" fontId="15" fillId="14" borderId="0" xfId="0" applyFont="1" applyFill="1" applyBorder="1"/>
    <xf numFmtId="0" fontId="15" fillId="14" borderId="0" xfId="0" applyFont="1" applyFill="1" applyBorder="1" applyAlignment="1">
      <alignment horizontal="center"/>
    </xf>
    <xf numFmtId="0" fontId="15" fillId="14" borderId="0" xfId="0" applyFont="1" applyFill="1"/>
    <xf numFmtId="0" fontId="0" fillId="0" borderId="12" xfId="0" applyBorder="1"/>
    <xf numFmtId="0" fontId="0" fillId="0" borderId="18" xfId="0" applyBorder="1"/>
    <xf numFmtId="0" fontId="16" fillId="14" borderId="0" xfId="0" applyFont="1" applyFill="1" applyAlignment="1">
      <alignment vertical="center"/>
    </xf>
    <xf numFmtId="2" fontId="3" fillId="13" borderId="19" xfId="0" applyNumberFormat="1" applyFont="1" applyFill="1" applyBorder="1" applyAlignment="1" applyProtection="1">
      <alignment horizontal="center"/>
    </xf>
    <xf numFmtId="0" fontId="0" fillId="0" borderId="12" xfId="0" applyFill="1" applyBorder="1" applyProtection="1">
      <protection locked="0"/>
    </xf>
    <xf numFmtId="0" fontId="0" fillId="0" borderId="18" xfId="0" applyFill="1" applyBorder="1" applyProtection="1">
      <protection locked="0"/>
    </xf>
    <xf numFmtId="0" fontId="10" fillId="5" borderId="14" xfId="0" applyFont="1" applyFill="1" applyBorder="1" applyAlignment="1">
      <alignment wrapText="1"/>
    </xf>
    <xf numFmtId="0" fontId="5" fillId="5" borderId="15" xfId="0" applyFont="1" applyFill="1" applyBorder="1" applyAlignment="1">
      <alignment horizontal="center" wrapText="1"/>
    </xf>
    <xf numFmtId="0" fontId="10" fillId="5" borderId="15" xfId="0" applyFont="1" applyFill="1" applyBorder="1" applyAlignment="1">
      <alignment horizontal="center" wrapText="1"/>
    </xf>
    <xf numFmtId="0" fontId="10" fillId="5" borderId="16" xfId="0" applyFont="1" applyFill="1" applyBorder="1" applyAlignment="1">
      <alignment horizontal="center" wrapText="1"/>
    </xf>
    <xf numFmtId="9" fontId="14" fillId="5" borderId="15" xfId="0" applyNumberFormat="1" applyFont="1" applyFill="1" applyBorder="1" applyAlignment="1">
      <alignment horizontal="center" wrapText="1"/>
    </xf>
    <xf numFmtId="9" fontId="10" fillId="5" borderId="15" xfId="0" applyNumberFormat="1" applyFont="1" applyFill="1" applyBorder="1" applyAlignment="1">
      <alignment horizontal="center" wrapText="1"/>
    </xf>
    <xf numFmtId="0" fontId="10" fillId="5" borderId="0" xfId="0" applyFont="1" applyFill="1" applyAlignment="1">
      <alignment wrapText="1"/>
    </xf>
    <xf numFmtId="0" fontId="5" fillId="5" borderId="3" xfId="0" applyFont="1" applyFill="1" applyBorder="1" applyAlignment="1">
      <alignment wrapText="1"/>
    </xf>
    <xf numFmtId="0" fontId="5" fillId="5" borderId="1" xfId="0" applyFont="1" applyFill="1" applyBorder="1" applyAlignment="1">
      <alignment horizontal="center" wrapText="1"/>
    </xf>
    <xf numFmtId="0" fontId="5" fillId="5" borderId="2" xfId="0" applyFont="1" applyFill="1" applyBorder="1" applyAlignment="1">
      <alignment horizontal="center" wrapText="1"/>
    </xf>
    <xf numFmtId="9" fontId="5" fillId="5" borderId="15" xfId="0" applyNumberFormat="1" applyFont="1" applyFill="1" applyBorder="1" applyAlignment="1">
      <alignment horizontal="center" wrapText="1"/>
    </xf>
    <xf numFmtId="0" fontId="5" fillId="5" borderId="0" xfId="0" applyFont="1" applyFill="1" applyAlignment="1">
      <alignment wrapText="1"/>
    </xf>
    <xf numFmtId="9" fontId="17" fillId="5" borderId="1" xfId="0" applyNumberFormat="1" applyFont="1" applyFill="1" applyBorder="1" applyAlignment="1">
      <alignment horizontal="center"/>
    </xf>
    <xf numFmtId="9" fontId="17" fillId="0" borderId="1" xfId="0" applyNumberFormat="1" applyFont="1" applyBorder="1" applyAlignment="1">
      <alignment horizontal="center"/>
    </xf>
    <xf numFmtId="9" fontId="17" fillId="0" borderId="1" xfId="0" applyNumberFormat="1" applyFont="1" applyFill="1" applyBorder="1" applyAlignment="1">
      <alignment horizontal="center"/>
    </xf>
    <xf numFmtId="9" fontId="17" fillId="5" borderId="15" xfId="0" applyNumberFormat="1" applyFont="1" applyFill="1" applyBorder="1" applyAlignment="1">
      <alignment horizontal="center"/>
    </xf>
    <xf numFmtId="0" fontId="18" fillId="5" borderId="15" xfId="0" applyFont="1" applyFill="1" applyBorder="1" applyAlignment="1">
      <alignment horizontal="center" wrapText="1"/>
    </xf>
    <xf numFmtId="9" fontId="19" fillId="5" borderId="15" xfId="0" applyNumberFormat="1" applyFont="1" applyFill="1" applyBorder="1" applyAlignment="1">
      <alignment horizontal="center" wrapText="1"/>
    </xf>
    <xf numFmtId="9" fontId="18" fillId="5" borderId="15" xfId="0" applyNumberFormat="1" applyFont="1" applyFill="1" applyBorder="1" applyAlignment="1">
      <alignment horizontal="center" wrapText="1"/>
    </xf>
    <xf numFmtId="0" fontId="17" fillId="0" borderId="1" xfId="0" applyNumberFormat="1" applyFont="1" applyBorder="1" applyAlignment="1">
      <alignment horizontal="center"/>
    </xf>
    <xf numFmtId="2" fontId="3" fillId="7" borderId="18" xfId="0" applyNumberFormat="1" applyFont="1" applyFill="1" applyBorder="1" applyAlignment="1" applyProtection="1">
      <alignment horizontal="center"/>
      <protection locked="0"/>
    </xf>
    <xf numFmtId="0" fontId="0" fillId="0" borderId="21" xfId="0" applyNumberFormat="1" applyBorder="1" applyAlignment="1">
      <alignment horizontal="center" wrapText="1"/>
    </xf>
    <xf numFmtId="0" fontId="0" fillId="4" borderId="11" xfId="0" applyFill="1" applyBorder="1"/>
    <xf numFmtId="0" fontId="0" fillId="4" borderId="13" xfId="0" applyFill="1" applyBorder="1"/>
    <xf numFmtId="0" fontId="0" fillId="0" borderId="0" xfId="0" applyBorder="1" applyAlignment="1">
      <alignment horizontal="right"/>
    </xf>
    <xf numFmtId="0" fontId="0" fillId="4" borderId="0" xfId="0" applyFill="1" applyBorder="1" applyAlignment="1">
      <alignment horizontal="center"/>
    </xf>
    <xf numFmtId="0" fontId="0" fillId="0" borderId="0" xfId="0" applyAlignment="1">
      <alignment horizontal="left"/>
    </xf>
    <xf numFmtId="0" fontId="0" fillId="0" borderId="0" xfId="0" applyNumberFormat="1"/>
    <xf numFmtId="0" fontId="0" fillId="4" borderId="0" xfId="0" applyFill="1"/>
    <xf numFmtId="22" fontId="0" fillId="0" borderId="0" xfId="0" applyNumberFormat="1"/>
    <xf numFmtId="0" fontId="0" fillId="0" borderId="0" xfId="0" applyAlignment="1">
      <alignment horizontal="left" indent="1"/>
    </xf>
    <xf numFmtId="0" fontId="22" fillId="0" borderId="0" xfId="0" applyFont="1" applyAlignment="1">
      <alignment vertical="center"/>
    </xf>
    <xf numFmtId="10" fontId="0" fillId="0" borderId="0" xfId="0" applyNumberFormat="1"/>
    <xf numFmtId="9" fontId="0" fillId="0" borderId="0" xfId="0" applyNumberFormat="1"/>
    <xf numFmtId="49" fontId="2" fillId="0" borderId="1" xfId="0" applyNumberFormat="1" applyFont="1" applyBorder="1" applyAlignment="1">
      <alignment horizontal="center" vertical="center" wrapText="1"/>
    </xf>
    <xf numFmtId="3" fontId="0" fillId="0" borderId="1" xfId="0" applyNumberFormat="1" applyBorder="1" applyAlignment="1">
      <alignment horizontal="center"/>
    </xf>
    <xf numFmtId="49" fontId="4" fillId="9" borderId="1" xfId="0" applyNumberFormat="1" applyFont="1" applyFill="1" applyBorder="1" applyAlignment="1">
      <alignment horizontal="center" vertical="center" wrapText="1"/>
    </xf>
    <xf numFmtId="0" fontId="4" fillId="9" borderId="1" xfId="0" applyFont="1" applyFill="1" applyBorder="1" applyAlignment="1">
      <alignment horizontal="center" vertical="center" wrapText="1"/>
    </xf>
    <xf numFmtId="0" fontId="0" fillId="0" borderId="1" xfId="0" applyBorder="1" applyAlignment="1">
      <alignment horizontal="center" vertical="center"/>
    </xf>
    <xf numFmtId="10" fontId="0" fillId="0" borderId="1" xfId="0" applyNumberFormat="1" applyBorder="1" applyAlignment="1">
      <alignment horizontal="center" vertical="center"/>
    </xf>
    <xf numFmtId="9" fontId="0" fillId="0" borderId="1" xfId="0" applyNumberFormat="1" applyBorder="1" applyAlignment="1">
      <alignment horizontal="center" vertical="center"/>
    </xf>
    <xf numFmtId="0" fontId="0" fillId="0" borderId="1" xfId="0" applyBorder="1" applyAlignment="1">
      <alignment horizontal="left" vertical="center"/>
    </xf>
    <xf numFmtId="165" fontId="0" fillId="0" borderId="0" xfId="0" applyNumberFormat="1"/>
    <xf numFmtId="166" fontId="0" fillId="0" borderId="1" xfId="0" applyNumberFormat="1" applyBorder="1" applyAlignment="1">
      <alignment horizontal="center" vertical="center"/>
    </xf>
    <xf numFmtId="0" fontId="0" fillId="0" borderId="0" xfId="0" applyFill="1" applyBorder="1" applyProtection="1">
      <protection locked="0"/>
    </xf>
    <xf numFmtId="0" fontId="13" fillId="5" borderId="20" xfId="0" applyFont="1" applyFill="1" applyBorder="1"/>
    <xf numFmtId="164" fontId="12" fillId="0" borderId="0" xfId="0" applyNumberFormat="1" applyFont="1" applyAlignment="1">
      <alignment horizontal="center"/>
    </xf>
    <xf numFmtId="0" fontId="0" fillId="0" borderId="0" xfId="0" applyNumberFormat="1" applyBorder="1"/>
    <xf numFmtId="0" fontId="1" fillId="14" borderId="0" xfId="1" applyFill="1" applyAlignment="1">
      <alignment vertical="center"/>
    </xf>
    <xf numFmtId="0" fontId="23" fillId="16" borderId="0" xfId="0" applyFont="1" applyFill="1" applyAlignment="1">
      <alignment horizontal="left" vertical="center" wrapText="1"/>
    </xf>
    <xf numFmtId="0" fontId="24" fillId="17" borderId="0" xfId="0" applyFont="1" applyFill="1" applyAlignment="1">
      <alignment horizontal="right" vertical="center" wrapText="1"/>
    </xf>
    <xf numFmtId="9" fontId="24" fillId="17" borderId="0" xfId="0" applyNumberFormat="1" applyFont="1" applyFill="1" applyAlignment="1">
      <alignment horizontal="right" vertical="center" wrapText="1"/>
    </xf>
    <xf numFmtId="0" fontId="0" fillId="20" borderId="0" xfId="0" applyFill="1"/>
    <xf numFmtId="0" fontId="3" fillId="12" borderId="5" xfId="0" applyFont="1" applyFill="1" applyBorder="1"/>
    <xf numFmtId="0" fontId="3" fillId="12" borderId="17" xfId="0" applyFont="1" applyFill="1" applyBorder="1"/>
    <xf numFmtId="0" fontId="0" fillId="20" borderId="5" xfId="0" applyFill="1" applyBorder="1"/>
    <xf numFmtId="0" fontId="0" fillId="20" borderId="11" xfId="0" applyFill="1" applyBorder="1"/>
    <xf numFmtId="0" fontId="0" fillId="20" borderId="17" xfId="0" applyFill="1" applyBorder="1"/>
    <xf numFmtId="0" fontId="0" fillId="20" borderId="12" xfId="0" applyFill="1" applyBorder="1"/>
    <xf numFmtId="0" fontId="0" fillId="20" borderId="0" xfId="0" applyFill="1" applyBorder="1"/>
    <xf numFmtId="0" fontId="0" fillId="20" borderId="18" xfId="0" applyFill="1" applyBorder="1"/>
    <xf numFmtId="4" fontId="0" fillId="20" borderId="0" xfId="0" applyNumberFormat="1" applyFill="1" applyBorder="1"/>
    <xf numFmtId="0" fontId="0" fillId="20" borderId="8" xfId="0" applyFill="1" applyBorder="1"/>
    <xf numFmtId="0" fontId="0" fillId="20" borderId="13" xfId="0" applyFill="1" applyBorder="1"/>
    <xf numFmtId="0" fontId="0" fillId="20" borderId="19" xfId="0" applyFill="1" applyBorder="1"/>
    <xf numFmtId="0" fontId="0" fillId="20" borderId="12" xfId="0" applyFill="1" applyBorder="1" applyAlignment="1">
      <alignment horizontal="center"/>
    </xf>
    <xf numFmtId="0" fontId="0" fillId="20" borderId="0" xfId="0" applyFill="1" applyBorder="1" applyAlignment="1">
      <alignment horizontal="center"/>
    </xf>
    <xf numFmtId="3" fontId="0" fillId="20" borderId="0" xfId="0" applyNumberFormat="1" applyFill="1"/>
    <xf numFmtId="3" fontId="0" fillId="20" borderId="0" xfId="0" applyNumberFormat="1" applyFill="1" applyBorder="1"/>
    <xf numFmtId="0" fontId="0" fillId="20" borderId="29" xfId="0" applyFill="1" applyBorder="1"/>
    <xf numFmtId="0" fontId="0" fillId="20" borderId="15" xfId="0" applyFill="1" applyBorder="1"/>
    <xf numFmtId="3" fontId="0" fillId="20" borderId="29" xfId="0" applyNumberFormat="1" applyFill="1" applyBorder="1"/>
    <xf numFmtId="0" fontId="0" fillId="20" borderId="29" xfId="0" applyFill="1" applyBorder="1" applyAlignment="1">
      <alignment horizontal="center"/>
    </xf>
    <xf numFmtId="3" fontId="0" fillId="20" borderId="29" xfId="0" applyNumberFormat="1" applyFill="1" applyBorder="1" applyAlignment="1">
      <alignment horizontal="center"/>
    </xf>
    <xf numFmtId="3" fontId="0" fillId="20" borderId="15" xfId="0" applyNumberFormat="1" applyFill="1" applyBorder="1" applyAlignment="1">
      <alignment horizontal="center"/>
    </xf>
    <xf numFmtId="0" fontId="0" fillId="20" borderId="30" xfId="0" applyFill="1" applyBorder="1"/>
    <xf numFmtId="0" fontId="0" fillId="20" borderId="31" xfId="0" applyFill="1" applyBorder="1"/>
    <xf numFmtId="0" fontId="0" fillId="20" borderId="16" xfId="0" applyFill="1" applyBorder="1"/>
    <xf numFmtId="0" fontId="0" fillId="20" borderId="32" xfId="0" applyFill="1" applyBorder="1"/>
    <xf numFmtId="3" fontId="0" fillId="20" borderId="32" xfId="0" applyNumberFormat="1" applyFill="1" applyBorder="1"/>
    <xf numFmtId="0" fontId="0" fillId="20" borderId="14" xfId="0" applyFill="1" applyBorder="1"/>
    <xf numFmtId="0" fontId="3" fillId="18" borderId="0" xfId="0" applyFont="1" applyFill="1"/>
    <xf numFmtId="0" fontId="0" fillId="3" borderId="12" xfId="0" applyFill="1" applyBorder="1" applyAlignment="1">
      <alignment horizontal="left" indent="1"/>
    </xf>
    <xf numFmtId="0" fontId="0" fillId="3" borderId="18" xfId="0" applyFill="1" applyBorder="1"/>
    <xf numFmtId="0" fontId="0" fillId="3" borderId="12" xfId="0" applyFill="1" applyBorder="1"/>
    <xf numFmtId="0" fontId="0" fillId="3" borderId="19" xfId="0" applyFill="1" applyBorder="1"/>
    <xf numFmtId="0" fontId="3" fillId="3" borderId="0" xfId="0" applyFont="1" applyFill="1" applyAlignment="1">
      <alignment horizontal="center"/>
    </xf>
    <xf numFmtId="17" fontId="3" fillId="3" borderId="0" xfId="0" applyNumberFormat="1" applyFont="1" applyFill="1" applyAlignment="1">
      <alignment horizontal="center"/>
    </xf>
    <xf numFmtId="9" fontId="0" fillId="0" borderId="0" xfId="0" applyNumberFormat="1" applyBorder="1"/>
    <xf numFmtId="9" fontId="0" fillId="0" borderId="18" xfId="0" applyNumberFormat="1" applyBorder="1"/>
    <xf numFmtId="0" fontId="0" fillId="0" borderId="13" xfId="0" applyBorder="1"/>
    <xf numFmtId="9" fontId="0" fillId="0" borderId="13" xfId="0" applyNumberFormat="1" applyBorder="1"/>
    <xf numFmtId="9" fontId="0" fillId="0" borderId="19" xfId="0" applyNumberFormat="1" applyBorder="1"/>
    <xf numFmtId="0" fontId="3" fillId="0" borderId="27" xfId="0" applyFont="1" applyBorder="1"/>
    <xf numFmtId="0" fontId="3" fillId="0" borderId="28" xfId="0" applyFont="1" applyBorder="1"/>
    <xf numFmtId="0" fontId="0" fillId="0" borderId="11" xfId="0" applyBorder="1" applyAlignment="1">
      <alignment horizontal="center"/>
    </xf>
    <xf numFmtId="0" fontId="0" fillId="0" borderId="11" xfId="0" applyBorder="1" applyAlignment="1">
      <alignment horizontal="center" vertical="center"/>
    </xf>
    <xf numFmtId="0" fontId="0" fillId="0" borderId="17" xfId="0" applyBorder="1" applyAlignment="1">
      <alignment horizontal="center"/>
    </xf>
    <xf numFmtId="0" fontId="0" fillId="0" borderId="0" xfId="0" applyBorder="1" applyAlignment="1">
      <alignment horizontal="center" vertical="center"/>
    </xf>
    <xf numFmtId="9" fontId="0" fillId="0" borderId="0" xfId="0" applyNumberFormat="1" applyBorder="1" applyAlignment="1">
      <alignment vertical="center"/>
    </xf>
    <xf numFmtId="0" fontId="0" fillId="21" borderId="12" xfId="0" applyFill="1" applyBorder="1"/>
    <xf numFmtId="0" fontId="0" fillId="21" borderId="0" xfId="0" applyFill="1" applyBorder="1" applyAlignment="1">
      <alignment horizontal="center" vertical="center"/>
    </xf>
    <xf numFmtId="9" fontId="0" fillId="21" borderId="0" xfId="0" applyNumberFormat="1" applyFill="1" applyBorder="1" applyAlignment="1">
      <alignment vertical="center"/>
    </xf>
    <xf numFmtId="0" fontId="0" fillId="21" borderId="8" xfId="0" applyFill="1" applyBorder="1"/>
    <xf numFmtId="0" fontId="0" fillId="21" borderId="13" xfId="0" applyFill="1" applyBorder="1" applyAlignment="1">
      <alignment horizontal="center" vertical="center"/>
    </xf>
    <xf numFmtId="0" fontId="0" fillId="0" borderId="13" xfId="0" applyBorder="1" applyAlignment="1">
      <alignment horizontal="center"/>
    </xf>
    <xf numFmtId="9" fontId="0" fillId="21" borderId="13" xfId="0" applyNumberFormat="1" applyFill="1" applyBorder="1" applyAlignment="1">
      <alignment vertical="center"/>
    </xf>
    <xf numFmtId="0" fontId="29" fillId="22" borderId="4" xfId="0" applyFont="1" applyFill="1" applyBorder="1" applyAlignment="1">
      <alignment horizontal="center" vertical="center"/>
    </xf>
    <xf numFmtId="0" fontId="0" fillId="18" borderId="26" xfId="0" applyFill="1" applyBorder="1"/>
    <xf numFmtId="0" fontId="0" fillId="18" borderId="27" xfId="0" applyFill="1" applyBorder="1"/>
    <xf numFmtId="0" fontId="0" fillId="18" borderId="28" xfId="0" applyFill="1" applyBorder="1"/>
    <xf numFmtId="0" fontId="0" fillId="18" borderId="8" xfId="0" applyFill="1" applyBorder="1"/>
    <xf numFmtId="0" fontId="0" fillId="18" borderId="13" xfId="0" applyFill="1" applyBorder="1"/>
    <xf numFmtId="0" fontId="0" fillId="18" borderId="19" xfId="0" applyFill="1" applyBorder="1"/>
    <xf numFmtId="0" fontId="0" fillId="23" borderId="0" xfId="0" applyFill="1"/>
    <xf numFmtId="0" fontId="30" fillId="24" borderId="34" xfId="0" applyFont="1" applyFill="1" applyBorder="1" applyAlignment="1">
      <alignment horizontal="center" vertical="center" wrapText="1" readingOrder="1"/>
    </xf>
    <xf numFmtId="0" fontId="30" fillId="25" borderId="35" xfId="0" applyFont="1" applyFill="1" applyBorder="1" applyAlignment="1">
      <alignment horizontal="left" vertical="center" wrapText="1" readingOrder="1"/>
    </xf>
    <xf numFmtId="0" fontId="31" fillId="25" borderId="35" xfId="0" applyFont="1" applyFill="1" applyBorder="1" applyAlignment="1">
      <alignment horizontal="center" vertical="center" wrapText="1" readingOrder="1"/>
    </xf>
    <xf numFmtId="0" fontId="30" fillId="26" borderId="36" xfId="0" applyFont="1" applyFill="1" applyBorder="1" applyAlignment="1">
      <alignment horizontal="left" vertical="center" wrapText="1" readingOrder="1"/>
    </xf>
    <xf numFmtId="0" fontId="31" fillId="26" borderId="36" xfId="0" applyFont="1" applyFill="1" applyBorder="1" applyAlignment="1">
      <alignment horizontal="center" vertical="center" wrapText="1" readingOrder="1"/>
    </xf>
    <xf numFmtId="0" fontId="30" fillId="25" borderId="36" xfId="0" applyFont="1" applyFill="1" applyBorder="1" applyAlignment="1">
      <alignment horizontal="left" vertical="center" wrapText="1" readingOrder="1"/>
    </xf>
    <xf numFmtId="0" fontId="32" fillId="27" borderId="38" xfId="0" applyFont="1" applyFill="1" applyBorder="1" applyAlignment="1">
      <alignment horizontal="center" vertical="top" wrapText="1" readingOrder="1"/>
    </xf>
    <xf numFmtId="0" fontId="32" fillId="27" borderId="39" xfId="0" applyFont="1" applyFill="1" applyBorder="1" applyAlignment="1">
      <alignment horizontal="center" vertical="top" wrapText="1" readingOrder="1"/>
    </xf>
    <xf numFmtId="0" fontId="32" fillId="0" borderId="37" xfId="0" applyFont="1" applyBorder="1" applyAlignment="1">
      <alignment horizontal="center" vertical="top" wrapText="1" readingOrder="1"/>
    </xf>
    <xf numFmtId="9" fontId="32" fillId="0" borderId="37" xfId="0" applyNumberFormat="1" applyFont="1" applyBorder="1" applyAlignment="1">
      <alignment horizontal="center" vertical="top" wrapText="1" readingOrder="1"/>
    </xf>
    <xf numFmtId="6" fontId="32" fillId="0" borderId="37" xfId="0" applyNumberFormat="1" applyFont="1" applyBorder="1" applyAlignment="1">
      <alignment horizontal="center" vertical="top" wrapText="1" readingOrder="1"/>
    </xf>
    <xf numFmtId="0" fontId="33" fillId="0" borderId="42" xfId="0" applyFont="1" applyBorder="1" applyAlignment="1">
      <alignment horizontal="left" vertical="top" wrapText="1" readingOrder="1"/>
    </xf>
    <xf numFmtId="0" fontId="3" fillId="18" borderId="0" xfId="0" applyFont="1" applyFill="1" applyAlignment="1">
      <alignment horizontal="left"/>
    </xf>
    <xf numFmtId="0" fontId="3" fillId="0" borderId="0" xfId="0" applyFont="1" applyBorder="1" applyAlignment="1">
      <alignment vertical="top"/>
    </xf>
    <xf numFmtId="0" fontId="0" fillId="0" borderId="0" xfId="0" applyAlignment="1">
      <alignment vertical="top" wrapText="1"/>
    </xf>
    <xf numFmtId="0" fontId="4" fillId="0" borderId="0" xfId="0" applyFont="1" applyBorder="1" applyAlignment="1">
      <alignment vertical="top" wrapText="1"/>
    </xf>
    <xf numFmtId="0" fontId="5" fillId="0" borderId="14" xfId="0" applyFont="1" applyBorder="1"/>
    <xf numFmtId="0" fontId="5" fillId="5" borderId="14" xfId="0" applyFont="1" applyFill="1" applyBorder="1"/>
    <xf numFmtId="0" fontId="5" fillId="0" borderId="15" xfId="0" applyFont="1" applyBorder="1" applyAlignment="1">
      <alignment horizontal="center"/>
    </xf>
    <xf numFmtId="0" fontId="5" fillId="5" borderId="15" xfId="0" applyFont="1" applyFill="1" applyBorder="1" applyAlignment="1">
      <alignment horizontal="center"/>
    </xf>
    <xf numFmtId="0" fontId="5" fillId="0" borderId="16" xfId="0" applyFont="1" applyBorder="1" applyAlignment="1">
      <alignment horizontal="center"/>
    </xf>
    <xf numFmtId="9" fontId="5" fillId="0" borderId="15" xfId="0" applyNumberFormat="1" applyFont="1" applyBorder="1" applyAlignment="1">
      <alignment horizontal="center"/>
    </xf>
    <xf numFmtId="0" fontId="17" fillId="0" borderId="15" xfId="0" applyNumberFormat="1" applyFont="1" applyBorder="1" applyAlignment="1">
      <alignment horizontal="center"/>
    </xf>
    <xf numFmtId="9" fontId="17" fillId="0" borderId="15" xfId="0" applyNumberFormat="1" applyFont="1" applyBorder="1" applyAlignment="1">
      <alignment horizontal="center"/>
    </xf>
    <xf numFmtId="0" fontId="0" fillId="19" borderId="0" xfId="0" applyFill="1" applyAlignment="1">
      <alignment wrapText="1"/>
    </xf>
    <xf numFmtId="3" fontId="31" fillId="25" borderId="36" xfId="0" applyNumberFormat="1" applyFont="1" applyFill="1" applyBorder="1" applyAlignment="1">
      <alignment horizontal="center" vertical="center" wrapText="1" readingOrder="1"/>
    </xf>
    <xf numFmtId="0" fontId="3" fillId="0" borderId="11" xfId="0" applyFont="1" applyBorder="1"/>
    <xf numFmtId="3" fontId="0" fillId="0" borderId="0" xfId="0" applyNumberFormat="1" applyBorder="1"/>
    <xf numFmtId="0" fontId="3" fillId="18" borderId="26" xfId="0" applyFont="1" applyFill="1" applyBorder="1"/>
    <xf numFmtId="0" fontId="27" fillId="19" borderId="12" xfId="0" applyFont="1" applyFill="1" applyBorder="1"/>
    <xf numFmtId="0" fontId="0" fillId="0" borderId="8" xfId="0" applyBorder="1"/>
    <xf numFmtId="0" fontId="3" fillId="18" borderId="28" xfId="0" applyFont="1" applyFill="1" applyBorder="1"/>
    <xf numFmtId="0" fontId="27" fillId="19" borderId="18" xfId="0" applyFont="1" applyFill="1" applyBorder="1"/>
    <xf numFmtId="0" fontId="0" fillId="0" borderId="19" xfId="0" applyBorder="1"/>
    <xf numFmtId="0" fontId="27" fillId="3" borderId="26" xfId="0" applyFont="1" applyFill="1" applyBorder="1" applyAlignment="1">
      <alignment horizontal="center"/>
    </xf>
    <xf numFmtId="0" fontId="0" fillId="3" borderId="8" xfId="0" applyFill="1" applyBorder="1"/>
    <xf numFmtId="0" fontId="0" fillId="0" borderId="12" xfId="0" applyFill="1" applyBorder="1" applyAlignment="1">
      <alignment horizontal="center"/>
    </xf>
    <xf numFmtId="0" fontId="30" fillId="24" borderId="43" xfId="0" applyFont="1" applyFill="1" applyBorder="1" applyAlignment="1">
      <alignment horizontal="center" vertical="center" wrapText="1" readingOrder="1"/>
    </xf>
    <xf numFmtId="0" fontId="0" fillId="19" borderId="0" xfId="0" applyFill="1"/>
    <xf numFmtId="2" fontId="0" fillId="0" borderId="0" xfId="0" applyNumberFormat="1"/>
    <xf numFmtId="0" fontId="34" fillId="0" borderId="44" xfId="0" applyFont="1" applyBorder="1" applyAlignment="1">
      <alignment horizontal="center" vertical="center" wrapText="1"/>
    </xf>
    <xf numFmtId="0" fontId="35" fillId="28" borderId="0" xfId="0" applyFont="1" applyFill="1" applyAlignment="1">
      <alignment horizontal="left" vertical="center" wrapText="1"/>
    </xf>
    <xf numFmtId="3" fontId="34" fillId="0" borderId="44" xfId="0" applyNumberFormat="1" applyFont="1" applyBorder="1" applyAlignment="1">
      <alignment horizontal="center" vertical="center" wrapText="1"/>
    </xf>
    <xf numFmtId="0" fontId="0" fillId="0" borderId="0" xfId="0" applyFill="1" applyBorder="1" applyAlignment="1">
      <alignment horizontal="center" vertical="center"/>
    </xf>
    <xf numFmtId="2" fontId="0" fillId="0" borderId="0" xfId="0" applyNumberFormat="1" applyProtection="1">
      <protection locked="0"/>
    </xf>
    <xf numFmtId="0" fontId="36" fillId="28" borderId="0" xfId="0" applyFont="1" applyFill="1" applyAlignment="1">
      <alignment horizontal="left" vertical="center" wrapText="1"/>
    </xf>
    <xf numFmtId="0" fontId="23" fillId="29" borderId="0" xfId="0" applyFont="1" applyFill="1" applyAlignment="1">
      <alignment horizontal="left" vertical="center" wrapText="1"/>
    </xf>
    <xf numFmtId="10" fontId="24" fillId="17" borderId="0" xfId="0" applyNumberFormat="1" applyFont="1" applyFill="1" applyAlignment="1">
      <alignment horizontal="right" vertical="center" wrapText="1"/>
    </xf>
    <xf numFmtId="0" fontId="34" fillId="18" borderId="44" xfId="0" applyFont="1" applyFill="1" applyBorder="1" applyAlignment="1">
      <alignment horizontal="center" vertical="center" wrapText="1"/>
    </xf>
    <xf numFmtId="3" fontId="34" fillId="18" borderId="44" xfId="0" applyNumberFormat="1" applyFont="1" applyFill="1" applyBorder="1" applyAlignment="1">
      <alignment horizontal="center" vertical="center" wrapText="1"/>
    </xf>
    <xf numFmtId="0" fontId="3" fillId="27" borderId="1" xfId="0" applyFont="1" applyFill="1" applyBorder="1" applyAlignment="1">
      <alignment horizontal="center" vertical="center"/>
    </xf>
    <xf numFmtId="0" fontId="3" fillId="27" borderId="1" xfId="0" applyFont="1" applyFill="1" applyBorder="1" applyAlignment="1">
      <alignment horizontal="center" vertical="center" wrapText="1"/>
    </xf>
    <xf numFmtId="0" fontId="0" fillId="28" borderId="0" xfId="0" applyFill="1"/>
    <xf numFmtId="166" fontId="0" fillId="0" borderId="0" xfId="0" applyNumberFormat="1"/>
    <xf numFmtId="0" fontId="3" fillId="20" borderId="0" xfId="0" applyFont="1" applyFill="1" applyBorder="1"/>
    <xf numFmtId="0" fontId="38" fillId="0" borderId="37" xfId="0" applyFont="1" applyBorder="1" applyAlignment="1">
      <alignment wrapText="1"/>
    </xf>
    <xf numFmtId="0" fontId="32" fillId="27" borderId="37" xfId="0" applyFont="1" applyFill="1" applyBorder="1" applyAlignment="1">
      <alignment horizontal="left" wrapText="1" indent="2" readingOrder="1"/>
    </xf>
    <xf numFmtId="0" fontId="32" fillId="0" borderId="37" xfId="0" applyFont="1" applyBorder="1" applyAlignment="1">
      <alignment horizontal="center" wrapText="1" readingOrder="1"/>
    </xf>
    <xf numFmtId="0" fontId="3" fillId="20" borderId="20" xfId="0" applyFont="1" applyFill="1" applyBorder="1"/>
    <xf numFmtId="2" fontId="3" fillId="20" borderId="22" xfId="0" applyNumberFormat="1" applyFont="1" applyFill="1" applyBorder="1" applyAlignment="1">
      <alignment horizontal="center"/>
    </xf>
    <xf numFmtId="0" fontId="39" fillId="0" borderId="37" xfId="0" applyFont="1" applyBorder="1" applyAlignment="1">
      <alignment horizontal="center" wrapText="1" readingOrder="1"/>
    </xf>
    <xf numFmtId="0" fontId="32" fillId="27" borderId="37" xfId="0" applyFont="1" applyFill="1" applyBorder="1" applyAlignment="1">
      <alignment horizontal="center" vertical="center" wrapText="1" readingOrder="1"/>
    </xf>
    <xf numFmtId="3" fontId="31" fillId="26" borderId="36" xfId="0" applyNumberFormat="1" applyFont="1" applyFill="1" applyBorder="1" applyAlignment="1">
      <alignment horizontal="center" vertical="center" wrapText="1" readingOrder="1"/>
    </xf>
    <xf numFmtId="16" fontId="5" fillId="0" borderId="3" xfId="0" applyNumberFormat="1" applyFont="1" applyBorder="1"/>
    <xf numFmtId="0" fontId="38" fillId="0" borderId="37" xfId="0" applyFont="1" applyBorder="1" applyAlignment="1">
      <alignment horizontal="center" wrapText="1"/>
    </xf>
    <xf numFmtId="2" fontId="32" fillId="0" borderId="37" xfId="0" applyNumberFormat="1" applyFont="1" applyBorder="1" applyAlignment="1">
      <alignment horizontal="center" wrapText="1" readingOrder="1"/>
    </xf>
    <xf numFmtId="0" fontId="3" fillId="20" borderId="0" xfId="0" applyFont="1" applyFill="1"/>
    <xf numFmtId="0" fontId="33" fillId="24" borderId="34" xfId="0" applyFont="1" applyFill="1" applyBorder="1" applyAlignment="1">
      <alignment horizontal="center" vertical="center" wrapText="1" readingOrder="1"/>
    </xf>
    <xf numFmtId="0" fontId="32" fillId="25" borderId="35" xfId="0" applyFont="1" applyFill="1" applyBorder="1" applyAlignment="1">
      <alignment horizontal="left" vertical="center" wrapText="1" readingOrder="1"/>
    </xf>
    <xf numFmtId="0" fontId="33" fillId="25" borderId="35" xfId="0" applyFont="1" applyFill="1" applyBorder="1" applyAlignment="1">
      <alignment horizontal="center" vertical="center" wrapText="1" readingOrder="1"/>
    </xf>
    <xf numFmtId="0" fontId="32" fillId="26" borderId="36" xfId="0" applyFont="1" applyFill="1" applyBorder="1" applyAlignment="1">
      <alignment horizontal="left" vertical="center" wrapText="1" readingOrder="1"/>
    </xf>
    <xf numFmtId="0" fontId="33" fillId="26" borderId="36" xfId="0" applyFont="1" applyFill="1" applyBorder="1" applyAlignment="1">
      <alignment horizontal="center" vertical="center" wrapText="1" readingOrder="1"/>
    </xf>
    <xf numFmtId="0" fontId="32" fillId="25" borderId="36" xfId="0" applyFont="1" applyFill="1" applyBorder="1" applyAlignment="1">
      <alignment horizontal="left" vertical="center" wrapText="1" readingOrder="1"/>
    </xf>
    <xf numFmtId="3" fontId="33" fillId="25" borderId="36" xfId="0" applyNumberFormat="1" applyFont="1" applyFill="1" applyBorder="1" applyAlignment="1">
      <alignment horizontal="center" vertical="center" wrapText="1" readingOrder="1"/>
    </xf>
    <xf numFmtId="3" fontId="33" fillId="26" borderId="36" xfId="0" applyNumberFormat="1" applyFont="1" applyFill="1" applyBorder="1" applyAlignment="1">
      <alignment horizontal="center" vertical="center" wrapText="1" readingOrder="1"/>
    </xf>
    <xf numFmtId="0" fontId="40" fillId="25" borderId="35" xfId="0" applyFont="1" applyFill="1" applyBorder="1" applyAlignment="1">
      <alignment horizontal="center" vertical="top" wrapText="1"/>
    </xf>
    <xf numFmtId="9" fontId="33" fillId="25" borderId="35" xfId="0" applyNumberFormat="1" applyFont="1" applyFill="1" applyBorder="1" applyAlignment="1">
      <alignment horizontal="center" wrapText="1" readingOrder="1"/>
    </xf>
    <xf numFmtId="0" fontId="40" fillId="26" borderId="36" xfId="0" applyFont="1" applyFill="1" applyBorder="1" applyAlignment="1">
      <alignment horizontal="center" vertical="top" wrapText="1"/>
    </xf>
    <xf numFmtId="9" fontId="33" fillId="26" borderId="36" xfId="0" applyNumberFormat="1" applyFont="1" applyFill="1" applyBorder="1" applyAlignment="1">
      <alignment horizontal="center" wrapText="1" readingOrder="1"/>
    </xf>
    <xf numFmtId="0" fontId="40" fillId="25" borderId="36" xfId="0" applyFont="1" applyFill="1" applyBorder="1" applyAlignment="1">
      <alignment horizontal="center" vertical="top" wrapText="1"/>
    </xf>
    <xf numFmtId="9" fontId="33" fillId="25" borderId="36" xfId="0" applyNumberFormat="1" applyFont="1" applyFill="1" applyBorder="1" applyAlignment="1">
      <alignment horizontal="center" wrapText="1" readingOrder="1"/>
    </xf>
    <xf numFmtId="0" fontId="32" fillId="26" borderId="46" xfId="0" applyFont="1" applyFill="1" applyBorder="1" applyAlignment="1">
      <alignment horizontal="left" vertical="center" wrapText="1" readingOrder="1"/>
    </xf>
    <xf numFmtId="9" fontId="33" fillId="26" borderId="46" xfId="0" applyNumberFormat="1" applyFont="1" applyFill="1" applyBorder="1" applyAlignment="1">
      <alignment horizontal="center" wrapText="1" readingOrder="1"/>
    </xf>
    <xf numFmtId="0" fontId="32" fillId="25" borderId="47" xfId="0" applyFont="1" applyFill="1" applyBorder="1" applyAlignment="1">
      <alignment horizontal="left" vertical="center" wrapText="1" readingOrder="1"/>
    </xf>
    <xf numFmtId="9" fontId="33" fillId="25" borderId="47" xfId="0" applyNumberFormat="1" applyFont="1" applyFill="1" applyBorder="1" applyAlignment="1">
      <alignment horizontal="center" wrapText="1" readingOrder="1"/>
    </xf>
    <xf numFmtId="9" fontId="33" fillId="25" borderId="35" xfId="0" applyNumberFormat="1" applyFont="1" applyFill="1" applyBorder="1" applyAlignment="1">
      <alignment horizontal="center" vertical="center" wrapText="1" readingOrder="1"/>
    </xf>
    <xf numFmtId="6" fontId="33" fillId="25" borderId="35" xfId="0" applyNumberFormat="1" applyFont="1" applyFill="1" applyBorder="1" applyAlignment="1">
      <alignment horizontal="center" vertical="center" wrapText="1" readingOrder="1"/>
    </xf>
    <xf numFmtId="9" fontId="33" fillId="26" borderId="36" xfId="0" applyNumberFormat="1" applyFont="1" applyFill="1" applyBorder="1" applyAlignment="1">
      <alignment horizontal="center" vertical="center" wrapText="1" readingOrder="1"/>
    </xf>
    <xf numFmtId="6" fontId="33" fillId="26" borderId="36" xfId="0" applyNumberFormat="1" applyFont="1" applyFill="1" applyBorder="1" applyAlignment="1">
      <alignment horizontal="center" vertical="center" wrapText="1" readingOrder="1"/>
    </xf>
    <xf numFmtId="9" fontId="33" fillId="25" borderId="36" xfId="0" applyNumberFormat="1" applyFont="1" applyFill="1" applyBorder="1" applyAlignment="1">
      <alignment horizontal="center" vertical="center" wrapText="1" readingOrder="1"/>
    </xf>
    <xf numFmtId="6" fontId="33" fillId="25" borderId="36" xfId="0" applyNumberFormat="1" applyFont="1" applyFill="1" applyBorder="1" applyAlignment="1">
      <alignment horizontal="center" vertical="center" wrapText="1" readingOrder="1"/>
    </xf>
    <xf numFmtId="0" fontId="41" fillId="24" borderId="34" xfId="0" applyFont="1" applyFill="1" applyBorder="1" applyAlignment="1">
      <alignment horizontal="center" vertical="center" wrapText="1" readingOrder="1"/>
    </xf>
    <xf numFmtId="0" fontId="42" fillId="25" borderId="35" xfId="0" applyFont="1" applyFill="1" applyBorder="1" applyAlignment="1">
      <alignment horizontal="center" vertical="top" wrapText="1"/>
    </xf>
    <xf numFmtId="0" fontId="42" fillId="26" borderId="36" xfId="0" applyFont="1" applyFill="1" applyBorder="1" applyAlignment="1">
      <alignment horizontal="center" vertical="top" wrapText="1"/>
    </xf>
    <xf numFmtId="0" fontId="42" fillId="25" borderId="36" xfId="0" applyFont="1" applyFill="1" applyBorder="1" applyAlignment="1">
      <alignment horizontal="center" vertical="top" wrapText="1"/>
    </xf>
    <xf numFmtId="0" fontId="42" fillId="26" borderId="46" xfId="0" applyFont="1" applyFill="1" applyBorder="1" applyAlignment="1">
      <alignment horizontal="center" vertical="top" wrapText="1"/>
    </xf>
    <xf numFmtId="0" fontId="42" fillId="25" borderId="47" xfId="0" applyFont="1" applyFill="1" applyBorder="1" applyAlignment="1">
      <alignment horizontal="center" vertical="center" wrapText="1"/>
    </xf>
    <xf numFmtId="16" fontId="27" fillId="3" borderId="28" xfId="0" applyNumberFormat="1" applyFont="1" applyFill="1" applyBorder="1" applyAlignment="1">
      <alignment horizontal="center"/>
    </xf>
    <xf numFmtId="0" fontId="25" fillId="19" borderId="0" xfId="0" applyFont="1" applyFill="1" applyAlignment="1">
      <alignment horizontal="center"/>
    </xf>
    <xf numFmtId="0" fontId="36" fillId="28" borderId="0" xfId="0" applyFont="1" applyFill="1" applyAlignment="1">
      <alignment horizontal="left" vertical="center" wrapText="1"/>
    </xf>
    <xf numFmtId="0" fontId="43" fillId="3" borderId="12" xfId="0" applyFont="1" applyFill="1" applyBorder="1" applyAlignment="1">
      <alignment wrapText="1"/>
    </xf>
    <xf numFmtId="0" fontId="43" fillId="3" borderId="18" xfId="0" applyFont="1" applyFill="1" applyBorder="1" applyAlignment="1">
      <alignment wrapText="1"/>
    </xf>
    <xf numFmtId="0" fontId="43" fillId="3" borderId="12" xfId="0" applyFont="1" applyFill="1" applyBorder="1" applyAlignment="1">
      <alignment vertical="top"/>
    </xf>
    <xf numFmtId="0" fontId="43" fillId="3" borderId="12" xfId="0" applyFont="1" applyFill="1" applyBorder="1" applyAlignment="1"/>
    <xf numFmtId="11" fontId="0" fillId="0" borderId="0" xfId="0" applyNumberFormat="1"/>
    <xf numFmtId="0" fontId="0" fillId="0" borderId="0" xfId="0" pivotButton="1"/>
    <xf numFmtId="0" fontId="26" fillId="20" borderId="33" xfId="0" applyFont="1" applyFill="1" applyBorder="1" applyAlignment="1">
      <alignment horizontal="left" vertical="top" wrapText="1"/>
    </xf>
    <xf numFmtId="0" fontId="28" fillId="22" borderId="26" xfId="0" applyFont="1" applyFill="1" applyBorder="1" applyAlignment="1">
      <alignment horizontal="center"/>
    </xf>
    <xf numFmtId="0" fontId="28" fillId="22" borderId="27" xfId="0" applyFont="1" applyFill="1" applyBorder="1" applyAlignment="1">
      <alignment horizontal="center"/>
    </xf>
    <xf numFmtId="0" fontId="28" fillId="22" borderId="28" xfId="0" applyFont="1" applyFill="1" applyBorder="1" applyAlignment="1">
      <alignment horizontal="center"/>
    </xf>
    <xf numFmtId="0" fontId="26" fillId="20" borderId="12" xfId="0" applyFont="1" applyFill="1" applyBorder="1" applyAlignment="1">
      <alignment horizontal="left"/>
    </xf>
    <xf numFmtId="0" fontId="26" fillId="20" borderId="0" xfId="0" applyFont="1" applyFill="1" applyBorder="1" applyAlignment="1">
      <alignment horizontal="left"/>
    </xf>
    <xf numFmtId="0" fontId="26" fillId="20" borderId="18" xfId="0" applyFont="1" applyFill="1" applyBorder="1" applyAlignment="1">
      <alignment horizontal="left"/>
    </xf>
    <xf numFmtId="0" fontId="26" fillId="20" borderId="8" xfId="0" applyFont="1" applyFill="1" applyBorder="1" applyAlignment="1">
      <alignment horizontal="left"/>
    </xf>
    <xf numFmtId="0" fontId="26" fillId="20" borderId="13" xfId="0" applyFont="1" applyFill="1" applyBorder="1" applyAlignment="1">
      <alignment horizontal="left"/>
    </xf>
    <xf numFmtId="0" fontId="26" fillId="20" borderId="19" xfId="0" applyFont="1" applyFill="1" applyBorder="1" applyAlignment="1">
      <alignment horizontal="left"/>
    </xf>
    <xf numFmtId="0" fontId="26" fillId="20" borderId="5" xfId="0" applyFont="1" applyFill="1" applyBorder="1" applyAlignment="1">
      <alignment horizontal="left"/>
    </xf>
    <xf numFmtId="0" fontId="26" fillId="20" borderId="11" xfId="0" applyFont="1" applyFill="1" applyBorder="1" applyAlignment="1">
      <alignment horizontal="left"/>
    </xf>
    <xf numFmtId="0" fontId="26" fillId="20" borderId="17" xfId="0" applyFont="1" applyFill="1" applyBorder="1" applyAlignment="1">
      <alignment horizontal="left"/>
    </xf>
    <xf numFmtId="0" fontId="25" fillId="18" borderId="26" xfId="0" applyFont="1" applyFill="1" applyBorder="1" applyAlignment="1">
      <alignment horizontal="center"/>
    </xf>
    <xf numFmtId="0" fontId="25" fillId="18" borderId="27" xfId="0" applyFont="1" applyFill="1" applyBorder="1" applyAlignment="1">
      <alignment horizontal="center"/>
    </xf>
    <xf numFmtId="0" fontId="25" fillId="18" borderId="28" xfId="0" applyFont="1" applyFill="1" applyBorder="1" applyAlignment="1">
      <alignment horizontal="center"/>
    </xf>
    <xf numFmtId="0" fontId="26" fillId="19" borderId="5" xfId="0" applyFont="1" applyFill="1" applyBorder="1" applyAlignment="1">
      <alignment horizontal="center" vertical="top" wrapText="1"/>
    </xf>
    <xf numFmtId="0" fontId="26" fillId="19" borderId="11" xfId="0" applyFont="1" applyFill="1" applyBorder="1" applyAlignment="1">
      <alignment horizontal="center" vertical="top" wrapText="1"/>
    </xf>
    <xf numFmtId="0" fontId="26" fillId="19" borderId="17" xfId="0" applyFont="1" applyFill="1" applyBorder="1" applyAlignment="1">
      <alignment horizontal="center" vertical="top" wrapText="1"/>
    </xf>
    <xf numFmtId="0" fontId="26" fillId="19" borderId="8" xfId="0" applyFont="1" applyFill="1" applyBorder="1" applyAlignment="1">
      <alignment horizontal="center" vertical="top" wrapText="1"/>
    </xf>
    <xf numFmtId="0" fontId="26" fillId="19" borderId="13" xfId="0" applyFont="1" applyFill="1" applyBorder="1" applyAlignment="1">
      <alignment horizontal="center" vertical="top" wrapText="1"/>
    </xf>
    <xf numFmtId="0" fontId="26" fillId="19" borderId="19" xfId="0" applyFont="1" applyFill="1" applyBorder="1" applyAlignment="1">
      <alignment horizontal="center" vertical="top" wrapText="1"/>
    </xf>
    <xf numFmtId="0" fontId="0" fillId="19" borderId="5" xfId="0" applyFill="1" applyBorder="1" applyAlignment="1">
      <alignment horizontal="left" vertical="top" wrapText="1"/>
    </xf>
    <xf numFmtId="0" fontId="0" fillId="19" borderId="11" xfId="0" applyFill="1" applyBorder="1" applyAlignment="1">
      <alignment horizontal="left" vertical="top" wrapText="1"/>
    </xf>
    <xf numFmtId="0" fontId="0" fillId="19" borderId="17" xfId="0" applyFill="1" applyBorder="1" applyAlignment="1">
      <alignment horizontal="left" vertical="top" wrapText="1"/>
    </xf>
    <xf numFmtId="0" fontId="0" fillId="19" borderId="12" xfId="0" applyFill="1" applyBorder="1" applyAlignment="1">
      <alignment horizontal="left" vertical="top" wrapText="1"/>
    </xf>
    <xf numFmtId="0" fontId="0" fillId="19" borderId="0" xfId="0" applyFill="1" applyBorder="1" applyAlignment="1">
      <alignment horizontal="left" vertical="top" wrapText="1"/>
    </xf>
    <xf numFmtId="0" fontId="0" fillId="19" borderId="18" xfId="0" applyFill="1" applyBorder="1" applyAlignment="1">
      <alignment horizontal="left" vertical="top" wrapText="1"/>
    </xf>
    <xf numFmtId="0" fontId="0" fillId="19" borderId="8" xfId="0" applyFill="1" applyBorder="1" applyAlignment="1">
      <alignment horizontal="left" vertical="top" wrapText="1"/>
    </xf>
    <xf numFmtId="0" fontId="0" fillId="19" borderId="13" xfId="0" applyFill="1" applyBorder="1" applyAlignment="1">
      <alignment horizontal="left" vertical="top" wrapText="1"/>
    </xf>
    <xf numFmtId="0" fontId="0" fillId="19" borderId="19" xfId="0" applyFill="1" applyBorder="1" applyAlignment="1">
      <alignment horizontal="left" vertical="top" wrapText="1"/>
    </xf>
    <xf numFmtId="0" fontId="3" fillId="19" borderId="0" xfId="0" applyFont="1" applyFill="1" applyAlignment="1">
      <alignment horizontal="center"/>
    </xf>
    <xf numFmtId="0" fontId="25" fillId="19" borderId="0" xfId="0" applyFont="1" applyFill="1" applyAlignment="1">
      <alignment horizontal="center"/>
    </xf>
    <xf numFmtId="0" fontId="8" fillId="4" borderId="6" xfId="0" applyFont="1" applyFill="1" applyBorder="1" applyAlignment="1">
      <alignment horizontal="center"/>
    </xf>
    <xf numFmtId="0" fontId="8" fillId="4" borderId="7" xfId="0" applyFont="1" applyFill="1" applyBorder="1" applyAlignment="1">
      <alignment horizontal="center"/>
    </xf>
    <xf numFmtId="0" fontId="0" fillId="4" borderId="9" xfId="0" applyFill="1" applyBorder="1" applyAlignment="1">
      <alignment horizontal="center"/>
    </xf>
    <xf numFmtId="0" fontId="0" fillId="4" borderId="10" xfId="0" applyFill="1" applyBorder="1" applyAlignment="1">
      <alignment horizontal="center"/>
    </xf>
    <xf numFmtId="0" fontId="0" fillId="4" borderId="12" xfId="0" applyFill="1" applyBorder="1" applyAlignment="1">
      <alignment horizontal="center"/>
    </xf>
    <xf numFmtId="0" fontId="0" fillId="4" borderId="0" xfId="0" applyFill="1" applyBorder="1" applyAlignment="1">
      <alignment horizontal="center"/>
    </xf>
    <xf numFmtId="0" fontId="27" fillId="18" borderId="5" xfId="0" applyFont="1" applyFill="1" applyBorder="1" applyAlignment="1">
      <alignment horizontal="left" vertical="top"/>
    </xf>
    <xf numFmtId="0" fontId="27" fillId="18" borderId="11" xfId="0" applyFont="1" applyFill="1" applyBorder="1" applyAlignment="1">
      <alignment horizontal="left" vertical="top"/>
    </xf>
    <xf numFmtId="0" fontId="27" fillId="18" borderId="17" xfId="0" applyFont="1" applyFill="1" applyBorder="1" applyAlignment="1">
      <alignment horizontal="left" vertical="top"/>
    </xf>
    <xf numFmtId="0" fontId="0" fillId="20" borderId="5" xfId="0" applyFill="1" applyBorder="1" applyAlignment="1">
      <alignment horizontal="left" vertical="top" wrapText="1"/>
    </xf>
    <xf numFmtId="0" fontId="0" fillId="20" borderId="11" xfId="0" applyFill="1" applyBorder="1" applyAlignment="1">
      <alignment horizontal="left" vertical="top" wrapText="1"/>
    </xf>
    <xf numFmtId="0" fontId="0" fillId="20" borderId="17" xfId="0" applyFill="1" applyBorder="1" applyAlignment="1">
      <alignment horizontal="left" vertical="top" wrapText="1"/>
    </xf>
    <xf numFmtId="0" fontId="0" fillId="20" borderId="12" xfId="0" applyFill="1" applyBorder="1" applyAlignment="1">
      <alignment horizontal="left" vertical="top" wrapText="1"/>
    </xf>
    <xf numFmtId="0" fontId="0" fillId="20" borderId="0" xfId="0" applyFill="1" applyBorder="1" applyAlignment="1">
      <alignment horizontal="left" vertical="top" wrapText="1"/>
    </xf>
    <xf numFmtId="0" fontId="0" fillId="20" borderId="18" xfId="0" applyFill="1" applyBorder="1" applyAlignment="1">
      <alignment horizontal="left" vertical="top" wrapText="1"/>
    </xf>
    <xf numFmtId="0" fontId="3" fillId="19" borderId="8" xfId="0" applyFont="1" applyFill="1" applyBorder="1" applyAlignment="1">
      <alignment horizontal="left" vertical="top" wrapText="1"/>
    </xf>
    <xf numFmtId="0" fontId="3" fillId="19" borderId="13" xfId="0" applyFont="1" applyFill="1" applyBorder="1" applyAlignment="1">
      <alignment horizontal="left" vertical="top" wrapText="1"/>
    </xf>
    <xf numFmtId="0" fontId="3" fillId="19" borderId="19" xfId="0" applyFont="1" applyFill="1" applyBorder="1" applyAlignment="1">
      <alignment horizontal="left" vertical="top" wrapText="1"/>
    </xf>
    <xf numFmtId="0" fontId="0" fillId="20" borderId="8" xfId="0" applyFill="1" applyBorder="1" applyAlignment="1">
      <alignment horizontal="left" vertical="top" wrapText="1"/>
    </xf>
    <xf numFmtId="0" fontId="0" fillId="20" borderId="13" xfId="0" applyFill="1" applyBorder="1" applyAlignment="1">
      <alignment horizontal="left" vertical="top" wrapText="1"/>
    </xf>
    <xf numFmtId="0" fontId="0" fillId="20" borderId="19" xfId="0" applyFill="1" applyBorder="1" applyAlignment="1">
      <alignment horizontal="left" vertical="top" wrapText="1"/>
    </xf>
    <xf numFmtId="0" fontId="25" fillId="0" borderId="20" xfId="0" applyFont="1" applyBorder="1" applyAlignment="1">
      <alignment horizontal="center" vertical="center" textRotation="90"/>
    </xf>
    <xf numFmtId="0" fontId="25" fillId="0" borderId="21" xfId="0" applyFont="1" applyBorder="1" applyAlignment="1">
      <alignment horizontal="center" vertical="center" textRotation="90"/>
    </xf>
    <xf numFmtId="0" fontId="25" fillId="0" borderId="22" xfId="0" applyFont="1" applyBorder="1" applyAlignment="1">
      <alignment horizontal="center" vertical="center" textRotation="90"/>
    </xf>
    <xf numFmtId="0" fontId="32" fillId="27" borderId="40" xfId="0" applyFont="1" applyFill="1" applyBorder="1" applyAlignment="1">
      <alignment horizontal="left" vertical="top" wrapText="1" readingOrder="1"/>
    </xf>
    <xf numFmtId="0" fontId="32" fillId="27" borderId="41" xfId="0" applyFont="1" applyFill="1" applyBorder="1" applyAlignment="1">
      <alignment horizontal="left" vertical="top" wrapText="1" readingOrder="1"/>
    </xf>
    <xf numFmtId="0" fontId="32" fillId="27" borderId="38" xfId="0" applyFont="1" applyFill="1" applyBorder="1" applyAlignment="1">
      <alignment horizontal="center" vertical="top" wrapText="1" readingOrder="1"/>
    </xf>
    <xf numFmtId="0" fontId="32" fillId="27" borderId="39" xfId="0" applyFont="1" applyFill="1" applyBorder="1" applyAlignment="1">
      <alignment horizontal="center" vertical="top" wrapText="1" readingOrder="1"/>
    </xf>
    <xf numFmtId="0" fontId="7" fillId="11" borderId="23" xfId="0" applyFont="1" applyFill="1" applyBorder="1" applyAlignment="1" applyProtection="1">
      <alignment horizontal="center"/>
      <protection locked="0"/>
    </xf>
    <xf numFmtId="0" fontId="7" fillId="11" borderId="24" xfId="0" applyFont="1" applyFill="1" applyBorder="1" applyAlignment="1" applyProtection="1">
      <alignment horizontal="center"/>
      <protection locked="0"/>
    </xf>
    <xf numFmtId="0" fontId="7" fillId="11" borderId="0" xfId="0" applyFont="1" applyFill="1" applyAlignment="1" applyProtection="1">
      <alignment horizontal="right"/>
      <protection locked="0"/>
    </xf>
    <xf numFmtId="0" fontId="0" fillId="0" borderId="0" xfId="0" applyAlignment="1" applyProtection="1">
      <alignment horizontal="left"/>
      <protection locked="0"/>
    </xf>
    <xf numFmtId="0" fontId="7" fillId="11" borderId="25" xfId="0" applyFont="1" applyFill="1" applyBorder="1" applyAlignment="1" applyProtection="1">
      <alignment horizontal="right"/>
      <protection locked="0"/>
    </xf>
    <xf numFmtId="0" fontId="7" fillId="11" borderId="0" xfId="0" applyFont="1" applyFill="1" applyBorder="1" applyAlignment="1" applyProtection="1">
      <alignment horizontal="right"/>
      <protection locked="0"/>
    </xf>
    <xf numFmtId="0" fontId="0" fillId="0" borderId="0" xfId="0" applyBorder="1" applyAlignment="1" applyProtection="1">
      <alignment horizontal="left"/>
      <protection locked="0"/>
    </xf>
    <xf numFmtId="0" fontId="33" fillId="27" borderId="45" xfId="0" applyFont="1" applyFill="1" applyBorder="1" applyAlignment="1">
      <alignment horizontal="center" wrapText="1" readingOrder="1"/>
    </xf>
    <xf numFmtId="0" fontId="33" fillId="27" borderId="42" xfId="0" applyFont="1" applyFill="1" applyBorder="1" applyAlignment="1">
      <alignment horizontal="center" wrapText="1" readingOrder="1"/>
    </xf>
    <xf numFmtId="0" fontId="25" fillId="19" borderId="0" xfId="0" applyFont="1" applyFill="1" applyAlignment="1">
      <alignment horizontal="center" vertical="top"/>
    </xf>
    <xf numFmtId="0" fontId="0" fillId="19" borderId="0" xfId="0" applyFill="1" applyAlignment="1">
      <alignment horizontal="center"/>
    </xf>
    <xf numFmtId="0" fontId="37" fillId="28" borderId="0" xfId="0" applyFont="1" applyFill="1" applyAlignment="1">
      <alignment vertical="center" wrapText="1"/>
    </xf>
    <xf numFmtId="17" fontId="3" fillId="27" borderId="2" xfId="0" applyNumberFormat="1" applyFont="1" applyFill="1" applyBorder="1" applyAlignment="1">
      <alignment horizontal="center" vertical="center"/>
    </xf>
    <xf numFmtId="17" fontId="3" fillId="27" borderId="3" xfId="0" applyNumberFormat="1" applyFont="1" applyFill="1" applyBorder="1" applyAlignment="1">
      <alignment horizontal="center" vertical="center"/>
    </xf>
    <xf numFmtId="0" fontId="27" fillId="28" borderId="0" xfId="0" applyFont="1" applyFill="1" applyAlignment="1">
      <alignment vertical="center" wrapText="1"/>
    </xf>
    <xf numFmtId="0" fontId="36" fillId="28" borderId="0" xfId="0" applyFont="1" applyFill="1" applyAlignment="1">
      <alignment horizontal="left" vertical="center" wrapText="1"/>
    </xf>
  </cellXfs>
  <cellStyles count="2">
    <cellStyle name="Hyperlink" xfId="1" builtinId="8"/>
    <cellStyle name="Normal" xfId="0" builtinId="0"/>
  </cellStyles>
  <dxfs count="52">
    <dxf>
      <numFmt numFmtId="27" formatCode="yyyy/mm/dd\ h:mm"/>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ont>
        <strike val="0"/>
        <outline val="0"/>
        <shadow val="0"/>
        <u val="none"/>
        <vertAlign val="baseline"/>
        <sz val="11"/>
        <color auto="1"/>
        <name val="Calibri"/>
        <scheme val="minor"/>
      </font>
      <numFmt numFmtId="13"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numFmt numFmtId="13"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numFmt numFmtId="13"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numFmt numFmtId="13"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numFmt numFmtId="13"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numFmt numFmtId="13"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numFmt numFmtId="13"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numFmt numFmtId="13"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numFmt numFmtId="13"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numFmt numFmtId="13" formatCode="0%"/>
      <fill>
        <patternFill patternType="solid">
          <fgColor indexed="64"/>
          <bgColor theme="4" tint="0.5999938962981048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scheme val="minor"/>
      </font>
      <numFmt numFmtId="13"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numFmt numFmtId="13"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numFmt numFmtId="13"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numFmt numFmtId="13" formatCode="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11"/>
        <color auto="1"/>
        <name val="Calibri"/>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fill>
        <patternFill>
          <fgColor indexed="64"/>
          <bgColor theme="4" tint="0.59999389629810485"/>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fgColor indexed="64"/>
          <bgColor theme="4" tint="0.59999389629810485"/>
        </patternFill>
      </fill>
      <border diagonalUp="0" diagonalDown="0" outline="0">
        <left/>
        <right style="thin">
          <color indexed="64"/>
        </right>
        <top style="thin">
          <color indexed="64"/>
        </top>
        <bottom style="thin">
          <color indexed="64"/>
        </bottom>
      </border>
    </dxf>
    <dxf>
      <font>
        <strike val="0"/>
        <outline val="0"/>
        <shadow val="0"/>
        <u val="none"/>
        <vertAlign val="baseline"/>
        <sz val="11"/>
        <color auto="1"/>
        <name val="Calibri"/>
        <scheme val="minor"/>
      </font>
      <border diagonalUp="0" diagonalDown="0" outline="0">
        <left/>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dxf>
    <dxf>
      <border outline="0">
        <bottom style="thin">
          <color indexed="64"/>
        </bottom>
      </border>
    </dxf>
    <dxf>
      <font>
        <strike val="0"/>
        <outline val="0"/>
        <shadow val="0"/>
        <u val="none"/>
        <vertAlign val="baseline"/>
        <sz val="11"/>
        <color theme="4" tint="0.59999389629810485"/>
        <name val="Calibri"/>
        <scheme val="minor"/>
      </font>
      <fill>
        <patternFill patternType="solid">
          <fgColor indexed="64"/>
          <bgColor theme="4" tint="0.59999389629810485"/>
        </patternFill>
      </fill>
      <border diagonalUp="0" diagonalDown="0" outline="0">
        <left style="thin">
          <color indexed="64"/>
        </left>
        <right style="thin">
          <color indexed="64"/>
        </right>
        <top/>
        <bottom/>
      </border>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51"/>
      <tableStyleElement type="headerRow" dxfId="50"/>
    </tableStyle>
  </tableStyles>
  <colors>
    <mruColors>
      <color rgb="FFCCCCFF"/>
      <color rgb="FFA5A5C6"/>
      <color rgb="FF0000FF"/>
      <color rgb="FFFF0000"/>
      <color rgb="FF4F81BD"/>
      <color rgb="FFC0504D"/>
      <color rgb="FF000000"/>
      <color rgb="FF00B0F0"/>
      <color rgb="FFFFC000"/>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5466039573866169"/>
          <c:y val="0.27023679417122043"/>
          <c:w val="0.8044188991363691"/>
          <c:h val="0.47775345509197242"/>
        </c:manualLayout>
      </c:layout>
      <c:lineChart>
        <c:grouping val="standard"/>
        <c:varyColors val="0"/>
        <c:ser>
          <c:idx val="0"/>
          <c:order val="0"/>
          <c:tx>
            <c:strRef>
              <c:f>Availability!$B$10</c:f>
              <c:strCache>
                <c:ptCount val="1"/>
                <c:pt idx="0">
                  <c:v>Exchange Availability %</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dispRSqr val="0"/>
            <c:dispEq val="0"/>
          </c:trendline>
          <c:cat>
            <c:strRef>
              <c:f>Availability!$AC$9:$AN$9</c:f>
              <c:strCache>
                <c:ptCount val="12"/>
                <c:pt idx="0">
                  <c:v>Oct'16</c:v>
                </c:pt>
                <c:pt idx="1">
                  <c:v>Nov'16</c:v>
                </c:pt>
                <c:pt idx="2">
                  <c:v>Dec'16</c:v>
                </c:pt>
                <c:pt idx="3">
                  <c:v>Jan'17</c:v>
                </c:pt>
                <c:pt idx="4">
                  <c:v>Feb'17</c:v>
                </c:pt>
                <c:pt idx="5">
                  <c:v>Mar'17</c:v>
                </c:pt>
                <c:pt idx="6">
                  <c:v>Apr'17</c:v>
                </c:pt>
                <c:pt idx="7">
                  <c:v>May'17</c:v>
                </c:pt>
                <c:pt idx="8">
                  <c:v>Jun'17</c:v>
                </c:pt>
                <c:pt idx="9">
                  <c:v>Jul'17</c:v>
                </c:pt>
                <c:pt idx="10">
                  <c:v>Aug'17</c:v>
                </c:pt>
                <c:pt idx="11">
                  <c:v>Sep'17</c:v>
                </c:pt>
              </c:strCache>
            </c:strRef>
          </c:cat>
          <c:val>
            <c:numRef>
              <c:f>Availability!$AC$10:$AN$10</c:f>
              <c:numCache>
                <c:formatCode>0.00%</c:formatCode>
                <c:ptCount val="12"/>
                <c:pt idx="0">
                  <c:v>1</c:v>
                </c:pt>
                <c:pt idx="1">
                  <c:v>1</c:v>
                </c:pt>
                <c:pt idx="2">
                  <c:v>1</c:v>
                </c:pt>
                <c:pt idx="3">
                  <c:v>1</c:v>
                </c:pt>
                <c:pt idx="4">
                  <c:v>1</c:v>
                </c:pt>
                <c:pt idx="5">
                  <c:v>1</c:v>
                </c:pt>
                <c:pt idx="6">
                  <c:v>1</c:v>
                </c:pt>
                <c:pt idx="7">
                  <c:v>1</c:v>
                </c:pt>
                <c:pt idx="8">
                  <c:v>1</c:v>
                </c:pt>
                <c:pt idx="9">
                  <c:v>1</c:v>
                </c:pt>
                <c:pt idx="10">
                  <c:v>1</c:v>
                </c:pt>
                <c:pt idx="11">
                  <c:v>1</c:v>
                </c:pt>
              </c:numCache>
            </c:numRef>
          </c:val>
          <c:smooth val="0"/>
          <c:extLst>
            <c:ext xmlns:c16="http://schemas.microsoft.com/office/drawing/2014/chart" uri="{C3380CC4-5D6E-409C-BE32-E72D297353CC}">
              <c16:uniqueId val="{00000000-8349-4F48-B39B-347E7012432A}"/>
            </c:ext>
          </c:extLst>
        </c:ser>
        <c:dLbls>
          <c:showLegendKey val="0"/>
          <c:showVal val="0"/>
          <c:showCatName val="0"/>
          <c:showSerName val="0"/>
          <c:showPercent val="0"/>
          <c:showBubbleSize val="0"/>
        </c:dLbls>
        <c:smooth val="0"/>
        <c:axId val="-189356048"/>
        <c:axId val="-189354960"/>
      </c:lineChart>
      <c:catAx>
        <c:axId val="-18935604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89354960"/>
        <c:crosses val="autoZero"/>
        <c:auto val="1"/>
        <c:lblAlgn val="ctr"/>
        <c:lblOffset val="100"/>
        <c:tickLblSkip val="1"/>
        <c:noMultiLvlLbl val="0"/>
      </c:catAx>
      <c:valAx>
        <c:axId val="-189354960"/>
        <c:scaling>
          <c:orientation val="minMax"/>
          <c:max val="1"/>
          <c:min val="0.95000000000000007"/>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89356048"/>
        <c:crosses val="autoZero"/>
        <c:crossBetween val="between"/>
        <c:majorUnit val="1.0000000000000002E-2"/>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0"/>
          <c:order val="0"/>
          <c:tx>
            <c:strRef>
              <c:f>Availability!$B$14</c:f>
              <c:strCache>
                <c:ptCount val="1"/>
                <c:pt idx="0">
                  <c:v>BES Availability %</c:v>
                </c:pt>
              </c:strCache>
            </c:strRef>
          </c:tx>
          <c:spPr>
            <a:ln w="28575" cap="rnd">
              <a:solidFill>
                <a:schemeClr val="accent1"/>
              </a:solidFill>
              <a:round/>
            </a:ln>
            <a:effectLst/>
          </c:spPr>
          <c:marker>
            <c:symbol val="none"/>
          </c:marker>
          <c:cat>
            <c:strRef>
              <c:f>Availability!$AB$9:$AN$9</c:f>
              <c:strCache>
                <c:ptCount val="13"/>
                <c:pt idx="0">
                  <c:v>Sep'16</c:v>
                </c:pt>
                <c:pt idx="1">
                  <c:v>Oct'16</c:v>
                </c:pt>
                <c:pt idx="2">
                  <c:v>Nov'16</c:v>
                </c:pt>
                <c:pt idx="3">
                  <c:v>Dec'16</c:v>
                </c:pt>
                <c:pt idx="4">
                  <c:v>Jan'17</c:v>
                </c:pt>
                <c:pt idx="5">
                  <c:v>Feb'17</c:v>
                </c:pt>
                <c:pt idx="6">
                  <c:v>Mar'17</c:v>
                </c:pt>
                <c:pt idx="7">
                  <c:v>Apr'17</c:v>
                </c:pt>
                <c:pt idx="8">
                  <c:v>May'17</c:v>
                </c:pt>
                <c:pt idx="9">
                  <c:v>Jun'17</c:v>
                </c:pt>
                <c:pt idx="10">
                  <c:v>Jul'17</c:v>
                </c:pt>
                <c:pt idx="11">
                  <c:v>Aug'17</c:v>
                </c:pt>
                <c:pt idx="12">
                  <c:v>Sep'17</c:v>
                </c:pt>
              </c:strCache>
            </c:strRef>
          </c:cat>
          <c:val>
            <c:numRef>
              <c:f>Availability!$AC$14:$AN$14</c:f>
              <c:numCache>
                <c:formatCode>0.00%</c:formatCode>
                <c:ptCount val="12"/>
                <c:pt idx="0">
                  <c:v>1</c:v>
                </c:pt>
                <c:pt idx="1">
                  <c:v>1</c:v>
                </c:pt>
                <c:pt idx="2">
                  <c:v>1</c:v>
                </c:pt>
                <c:pt idx="3">
                  <c:v>1</c:v>
                </c:pt>
                <c:pt idx="4">
                  <c:v>1</c:v>
                </c:pt>
                <c:pt idx="5">
                  <c:v>1</c:v>
                </c:pt>
                <c:pt idx="6">
                  <c:v>1</c:v>
                </c:pt>
                <c:pt idx="7">
                  <c:v>1</c:v>
                </c:pt>
                <c:pt idx="8">
                  <c:v>1</c:v>
                </c:pt>
                <c:pt idx="9">
                  <c:v>1</c:v>
                </c:pt>
                <c:pt idx="10">
                  <c:v>1</c:v>
                </c:pt>
                <c:pt idx="11">
                  <c:v>0</c:v>
                </c:pt>
              </c:numCache>
            </c:numRef>
          </c:val>
          <c:smooth val="0"/>
          <c:extLst>
            <c:ext xmlns:c16="http://schemas.microsoft.com/office/drawing/2014/chart" uri="{C3380CC4-5D6E-409C-BE32-E72D297353CC}">
              <c16:uniqueId val="{00000000-F863-473E-96C9-85CE0C467A4D}"/>
            </c:ext>
          </c:extLst>
        </c:ser>
        <c:dLbls>
          <c:showLegendKey val="0"/>
          <c:showVal val="0"/>
          <c:showCatName val="0"/>
          <c:showSerName val="0"/>
          <c:showPercent val="0"/>
          <c:showBubbleSize val="0"/>
        </c:dLbls>
        <c:smooth val="0"/>
        <c:axId val="-189340816"/>
        <c:axId val="-189346800"/>
      </c:lineChart>
      <c:catAx>
        <c:axId val="-189340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89346800"/>
        <c:crosses val="autoZero"/>
        <c:auto val="1"/>
        <c:lblAlgn val="ctr"/>
        <c:lblOffset val="100"/>
        <c:tickLblSkip val="1"/>
        <c:noMultiLvlLbl val="0"/>
      </c:catAx>
      <c:valAx>
        <c:axId val="-189346800"/>
        <c:scaling>
          <c:orientation val="minMax"/>
          <c:max val="1"/>
          <c:min val="0.95000000000000007"/>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89340816"/>
        <c:crosses val="autoZero"/>
        <c:crossBetween val="between"/>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solidFill>
            <a:sysClr val="windowText" lastClr="000000"/>
          </a:solidFill>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0"/>
          <c:order val="0"/>
          <c:tx>
            <c:strRef>
              <c:f>Availability!$B$18</c:f>
              <c:strCache>
                <c:ptCount val="1"/>
                <c:pt idx="0">
                  <c:v>ProofPoint Availability %</c:v>
                </c:pt>
              </c:strCache>
            </c:strRef>
          </c:tx>
          <c:spPr>
            <a:ln w="28575" cap="rnd">
              <a:solidFill>
                <a:schemeClr val="accent1"/>
              </a:solidFill>
              <a:round/>
            </a:ln>
            <a:effectLst/>
          </c:spPr>
          <c:marker>
            <c:symbol val="none"/>
          </c:marker>
          <c:cat>
            <c:strRef>
              <c:f>Availability!$AC$9:$AN$9</c:f>
              <c:strCache>
                <c:ptCount val="12"/>
                <c:pt idx="0">
                  <c:v>Oct'16</c:v>
                </c:pt>
                <c:pt idx="1">
                  <c:v>Nov'16</c:v>
                </c:pt>
                <c:pt idx="2">
                  <c:v>Dec'16</c:v>
                </c:pt>
                <c:pt idx="3">
                  <c:v>Jan'17</c:v>
                </c:pt>
                <c:pt idx="4">
                  <c:v>Feb'17</c:v>
                </c:pt>
                <c:pt idx="5">
                  <c:v>Mar'17</c:v>
                </c:pt>
                <c:pt idx="6">
                  <c:v>Apr'17</c:v>
                </c:pt>
                <c:pt idx="7">
                  <c:v>May'17</c:v>
                </c:pt>
                <c:pt idx="8">
                  <c:v>Jun'17</c:v>
                </c:pt>
                <c:pt idx="9">
                  <c:v>Jul'17</c:v>
                </c:pt>
                <c:pt idx="10">
                  <c:v>Aug'17</c:v>
                </c:pt>
                <c:pt idx="11">
                  <c:v>Sep'17</c:v>
                </c:pt>
              </c:strCache>
            </c:strRef>
          </c:cat>
          <c:val>
            <c:numRef>
              <c:f>Availability!$AC$18:$AN$18</c:f>
              <c:numCache>
                <c:formatCode>0.00%</c:formatCode>
                <c:ptCount val="12"/>
                <c:pt idx="0">
                  <c:v>1</c:v>
                </c:pt>
                <c:pt idx="1">
                  <c:v>1</c:v>
                </c:pt>
                <c:pt idx="2">
                  <c:v>1</c:v>
                </c:pt>
                <c:pt idx="3">
                  <c:v>1</c:v>
                </c:pt>
                <c:pt idx="4">
                  <c:v>1</c:v>
                </c:pt>
                <c:pt idx="5">
                  <c:v>1</c:v>
                </c:pt>
                <c:pt idx="6">
                  <c:v>1</c:v>
                </c:pt>
                <c:pt idx="7">
                  <c:v>1</c:v>
                </c:pt>
                <c:pt idx="8">
                  <c:v>1</c:v>
                </c:pt>
                <c:pt idx="9">
                  <c:v>1</c:v>
                </c:pt>
                <c:pt idx="10">
                  <c:v>1</c:v>
                </c:pt>
                <c:pt idx="11">
                  <c:v>1</c:v>
                </c:pt>
              </c:numCache>
            </c:numRef>
          </c:val>
          <c:smooth val="0"/>
          <c:extLst>
            <c:ext xmlns:c16="http://schemas.microsoft.com/office/drawing/2014/chart" uri="{C3380CC4-5D6E-409C-BE32-E72D297353CC}">
              <c16:uniqueId val="{00000000-9A71-44AD-81DF-06C3C9ACD552}"/>
            </c:ext>
          </c:extLst>
        </c:ser>
        <c:dLbls>
          <c:showLegendKey val="0"/>
          <c:showVal val="0"/>
          <c:showCatName val="0"/>
          <c:showSerName val="0"/>
          <c:showPercent val="0"/>
          <c:showBubbleSize val="0"/>
        </c:dLbls>
        <c:smooth val="0"/>
        <c:axId val="-189344624"/>
        <c:axId val="-189335920"/>
      </c:lineChart>
      <c:catAx>
        <c:axId val="-189344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89335920"/>
        <c:crosses val="autoZero"/>
        <c:auto val="1"/>
        <c:lblAlgn val="ctr"/>
        <c:lblOffset val="100"/>
        <c:tickLblSkip val="1"/>
        <c:noMultiLvlLbl val="0"/>
      </c:catAx>
      <c:valAx>
        <c:axId val="-189335920"/>
        <c:scaling>
          <c:orientation val="minMax"/>
          <c:max val="1"/>
          <c:min val="0.95000000000000007"/>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89344624"/>
        <c:crosses val="autoZero"/>
        <c:crossBetween val="between"/>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a:t>ActiveSync Availability%</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0846619908166863"/>
          <c:y val="0.28252444950711181"/>
          <c:w val="0.8495680439021297"/>
          <c:h val="0.47187602865508221"/>
        </c:manualLayout>
      </c:layout>
      <c:lineChart>
        <c:grouping val="standard"/>
        <c:varyColors val="0"/>
        <c:ser>
          <c:idx val="0"/>
          <c:order val="0"/>
          <c:tx>
            <c:strRef>
              <c:f>Availability!$B$22</c:f>
              <c:strCache>
                <c:ptCount val="1"/>
                <c:pt idx="0">
                  <c:v>ActiveSync %</c:v>
                </c:pt>
              </c:strCache>
            </c:strRef>
          </c:tx>
          <c:spPr>
            <a:ln w="28575" cap="rnd">
              <a:solidFill>
                <a:schemeClr val="accent1"/>
              </a:solidFill>
              <a:round/>
            </a:ln>
            <a:effectLst/>
          </c:spPr>
          <c:marker>
            <c:symbol val="none"/>
          </c:marker>
          <c:cat>
            <c:strRef>
              <c:f>Availability!$AC$9:$AN$9</c:f>
              <c:strCache>
                <c:ptCount val="12"/>
                <c:pt idx="0">
                  <c:v>Oct'16</c:v>
                </c:pt>
                <c:pt idx="1">
                  <c:v>Nov'16</c:v>
                </c:pt>
                <c:pt idx="2">
                  <c:v>Dec'16</c:v>
                </c:pt>
                <c:pt idx="3">
                  <c:v>Jan'17</c:v>
                </c:pt>
                <c:pt idx="4">
                  <c:v>Feb'17</c:v>
                </c:pt>
                <c:pt idx="5">
                  <c:v>Mar'17</c:v>
                </c:pt>
                <c:pt idx="6">
                  <c:v>Apr'17</c:v>
                </c:pt>
                <c:pt idx="7">
                  <c:v>May'17</c:v>
                </c:pt>
                <c:pt idx="8">
                  <c:v>Jun'17</c:v>
                </c:pt>
                <c:pt idx="9">
                  <c:v>Jul'17</c:v>
                </c:pt>
                <c:pt idx="10">
                  <c:v>Aug'17</c:v>
                </c:pt>
                <c:pt idx="11">
                  <c:v>Sep'17</c:v>
                </c:pt>
              </c:strCache>
            </c:strRef>
          </c:cat>
          <c:val>
            <c:numRef>
              <c:f>Availability!$AC$22:$AN$22</c:f>
              <c:numCache>
                <c:formatCode>0.00%</c:formatCode>
                <c:ptCount val="12"/>
                <c:pt idx="0">
                  <c:v>1</c:v>
                </c:pt>
                <c:pt idx="1">
                  <c:v>1</c:v>
                </c:pt>
                <c:pt idx="2">
                  <c:v>1</c:v>
                </c:pt>
                <c:pt idx="3">
                  <c:v>1</c:v>
                </c:pt>
                <c:pt idx="4">
                  <c:v>1</c:v>
                </c:pt>
                <c:pt idx="5">
                  <c:v>1</c:v>
                </c:pt>
                <c:pt idx="6">
                  <c:v>1</c:v>
                </c:pt>
                <c:pt idx="7">
                  <c:v>1</c:v>
                </c:pt>
                <c:pt idx="8">
                  <c:v>1</c:v>
                </c:pt>
                <c:pt idx="9">
                  <c:v>1</c:v>
                </c:pt>
                <c:pt idx="10">
                  <c:v>1</c:v>
                </c:pt>
                <c:pt idx="11">
                  <c:v>1</c:v>
                </c:pt>
              </c:numCache>
            </c:numRef>
          </c:val>
          <c:smooth val="0"/>
          <c:extLst>
            <c:ext xmlns:c16="http://schemas.microsoft.com/office/drawing/2014/chart" uri="{C3380CC4-5D6E-409C-BE32-E72D297353CC}">
              <c16:uniqueId val="{00000000-F863-473E-96C9-85CE0C467A4D}"/>
            </c:ext>
          </c:extLst>
        </c:ser>
        <c:dLbls>
          <c:showLegendKey val="0"/>
          <c:showVal val="0"/>
          <c:showCatName val="0"/>
          <c:showSerName val="0"/>
          <c:showPercent val="0"/>
          <c:showBubbleSize val="0"/>
        </c:dLbls>
        <c:smooth val="0"/>
        <c:axId val="-189337552"/>
        <c:axId val="-189336464"/>
      </c:lineChart>
      <c:catAx>
        <c:axId val="-189337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89336464"/>
        <c:crosses val="autoZero"/>
        <c:auto val="1"/>
        <c:lblAlgn val="ctr"/>
        <c:lblOffset val="100"/>
        <c:tickLblSkip val="1"/>
        <c:noMultiLvlLbl val="0"/>
      </c:catAx>
      <c:valAx>
        <c:axId val="-189336464"/>
        <c:scaling>
          <c:orientation val="minMax"/>
          <c:max val="1"/>
          <c:min val="0.95000000000000007"/>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89337552"/>
        <c:crosses val="autoZero"/>
        <c:crossBetween val="between"/>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solidFill>
            <a:sysClr val="windowText" lastClr="000000"/>
          </a:solidFill>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b="1"/>
              <a:t>Ticket Class</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969-4ECC-9280-B53DD4CB434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969-4ECC-9280-B53DD4CB434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969-4ECC-9280-B53DD4CB434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969-4ECC-9280-B53DD4CB434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969-4ECC-9280-B53DD4CB434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969-4ECC-9280-B53DD4CB4347}"/>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969-4ECC-9280-B53DD4CB4347}"/>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969-4ECC-9280-B53DD4CB4347}"/>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969-4ECC-9280-B53DD4CB4347}"/>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969-4ECC-9280-B53DD4CB4347}"/>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969-4ECC-9280-B53DD4CB4347}"/>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969-4ECC-9280-B53DD4CB4347}"/>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969-4ECC-9280-B53DD4CB4347}"/>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969-4ECC-9280-B53DD4CB4347}"/>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969-4ECC-9280-B53DD4CB4347}"/>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A969-4ECC-9280-B53DD4CB4347}"/>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A969-4ECC-9280-B53DD4CB4347}"/>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A969-4ECC-9280-B53DD4CB4347}"/>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A969-4ECC-9280-B53DD4CB4347}"/>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A969-4ECC-9280-B53DD4CB4347}"/>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A969-4ECC-9280-B53DD4CB4347}"/>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A969-4ECC-9280-B53DD4CB4347}"/>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A969-4ECC-9280-B53DD4CB4347}"/>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A969-4ECC-9280-B53DD4CB4347}"/>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A969-4ECC-9280-B53DD4CB4347}"/>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3-A969-4ECC-9280-B53DD4CB4347}"/>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5-A969-4ECC-9280-B53DD4CB4347}"/>
              </c:ext>
            </c:extLst>
          </c:dPt>
          <c:dPt>
            <c:idx val="27"/>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37-A969-4ECC-9280-B53DD4CB4347}"/>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39-A969-4ECC-9280-B53DD4CB4347}"/>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3B-A969-4ECC-9280-B53DD4CB4347}"/>
              </c:ext>
            </c:extLst>
          </c:dPt>
          <c:dPt>
            <c:idx val="30"/>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3D-A969-4ECC-9280-B53DD4CB4347}"/>
              </c:ext>
            </c:extLst>
          </c:dPt>
          <c:dPt>
            <c:idx val="31"/>
            <c:bubble3D val="0"/>
            <c:spPr>
              <a:solidFill>
                <a:schemeClr val="accent2">
                  <a:lumMod val="50000"/>
                </a:schemeClr>
              </a:solidFill>
              <a:ln w="19050">
                <a:solidFill>
                  <a:schemeClr val="lt1"/>
                </a:solidFill>
              </a:ln>
              <a:effectLst/>
            </c:spPr>
            <c:extLst>
              <c:ext xmlns:c16="http://schemas.microsoft.com/office/drawing/2014/chart" uri="{C3380CC4-5D6E-409C-BE32-E72D297353CC}">
                <c16:uniqueId val="{0000003F-A969-4ECC-9280-B53DD4CB4347}"/>
              </c:ext>
            </c:extLst>
          </c:dPt>
          <c:dPt>
            <c:idx val="32"/>
            <c:bubble3D val="0"/>
            <c:spPr>
              <a:solidFill>
                <a:schemeClr val="accent3">
                  <a:lumMod val="50000"/>
                </a:schemeClr>
              </a:solidFill>
              <a:ln w="19050">
                <a:solidFill>
                  <a:schemeClr val="lt1"/>
                </a:solidFill>
              </a:ln>
              <a:effectLst/>
            </c:spPr>
            <c:extLst>
              <c:ext xmlns:c16="http://schemas.microsoft.com/office/drawing/2014/chart" uri="{C3380CC4-5D6E-409C-BE32-E72D297353CC}">
                <c16:uniqueId val="{00000041-A969-4ECC-9280-B53DD4CB4347}"/>
              </c:ext>
            </c:extLst>
          </c:dPt>
          <c:dPt>
            <c:idx val="33"/>
            <c:bubble3D val="0"/>
            <c:spPr>
              <a:solidFill>
                <a:schemeClr val="accent4">
                  <a:lumMod val="50000"/>
                </a:schemeClr>
              </a:solidFill>
              <a:ln w="19050">
                <a:solidFill>
                  <a:schemeClr val="lt1"/>
                </a:solidFill>
              </a:ln>
              <a:effectLst/>
            </c:spPr>
            <c:extLst>
              <c:ext xmlns:c16="http://schemas.microsoft.com/office/drawing/2014/chart" uri="{C3380CC4-5D6E-409C-BE32-E72D297353CC}">
                <c16:uniqueId val="{00000043-A969-4ECC-9280-B53DD4CB4347}"/>
              </c:ext>
            </c:extLst>
          </c:dPt>
          <c:dPt>
            <c:idx val="34"/>
            <c:bubble3D val="0"/>
            <c:spPr>
              <a:solidFill>
                <a:schemeClr val="accent5">
                  <a:lumMod val="50000"/>
                </a:schemeClr>
              </a:solidFill>
              <a:ln w="19050">
                <a:solidFill>
                  <a:schemeClr val="lt1"/>
                </a:solidFill>
              </a:ln>
              <a:effectLst/>
            </c:spPr>
            <c:extLst>
              <c:ext xmlns:c16="http://schemas.microsoft.com/office/drawing/2014/chart" uri="{C3380CC4-5D6E-409C-BE32-E72D297353CC}">
                <c16:uniqueId val="{00000045-A969-4ECC-9280-B53DD4CB4347}"/>
              </c:ext>
            </c:extLst>
          </c:dPt>
          <c:dPt>
            <c:idx val="35"/>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47-A969-4ECC-9280-B53DD4CB4347}"/>
              </c:ext>
            </c:extLst>
          </c:dPt>
          <c:dPt>
            <c:idx val="36"/>
            <c:bubble3D val="0"/>
            <c:spPr>
              <a:solidFill>
                <a:schemeClr val="accent1">
                  <a:lumMod val="70000"/>
                  <a:lumOff val="30000"/>
                </a:schemeClr>
              </a:solidFill>
              <a:ln w="19050">
                <a:solidFill>
                  <a:schemeClr val="lt1"/>
                </a:solidFill>
              </a:ln>
              <a:effectLst/>
            </c:spPr>
            <c:extLst>
              <c:ext xmlns:c16="http://schemas.microsoft.com/office/drawing/2014/chart" uri="{C3380CC4-5D6E-409C-BE32-E72D297353CC}">
                <c16:uniqueId val="{00000049-A969-4ECC-9280-B53DD4CB4347}"/>
              </c:ext>
            </c:extLst>
          </c:dPt>
          <c:dPt>
            <c:idx val="37"/>
            <c:bubble3D val="0"/>
            <c:spPr>
              <a:solidFill>
                <a:schemeClr val="accent2">
                  <a:lumMod val="70000"/>
                  <a:lumOff val="30000"/>
                </a:schemeClr>
              </a:solidFill>
              <a:ln w="19050">
                <a:solidFill>
                  <a:schemeClr val="lt1"/>
                </a:solidFill>
              </a:ln>
              <a:effectLst/>
            </c:spPr>
            <c:extLst>
              <c:ext xmlns:c16="http://schemas.microsoft.com/office/drawing/2014/chart" uri="{C3380CC4-5D6E-409C-BE32-E72D297353CC}">
                <c16:uniqueId val="{0000004B-A969-4ECC-9280-B53DD4CB4347}"/>
              </c:ext>
            </c:extLst>
          </c:dPt>
          <c:dPt>
            <c:idx val="38"/>
            <c:bubble3D val="0"/>
            <c:spPr>
              <a:solidFill>
                <a:schemeClr val="accent3">
                  <a:lumMod val="70000"/>
                  <a:lumOff val="30000"/>
                </a:schemeClr>
              </a:solidFill>
              <a:ln w="19050">
                <a:solidFill>
                  <a:schemeClr val="lt1"/>
                </a:solidFill>
              </a:ln>
              <a:effectLst/>
            </c:spPr>
            <c:extLst>
              <c:ext xmlns:c16="http://schemas.microsoft.com/office/drawing/2014/chart" uri="{C3380CC4-5D6E-409C-BE32-E72D297353CC}">
                <c16:uniqueId val="{0000004D-A969-4ECC-9280-B53DD4CB4347}"/>
              </c:ext>
            </c:extLst>
          </c:dPt>
          <c:dPt>
            <c:idx val="39"/>
            <c:bubble3D val="0"/>
            <c:spPr>
              <a:solidFill>
                <a:schemeClr val="accent4">
                  <a:lumMod val="70000"/>
                  <a:lumOff val="30000"/>
                </a:schemeClr>
              </a:solidFill>
              <a:ln w="19050">
                <a:solidFill>
                  <a:schemeClr val="lt1"/>
                </a:solidFill>
              </a:ln>
              <a:effectLst/>
            </c:spPr>
            <c:extLst>
              <c:ext xmlns:c16="http://schemas.microsoft.com/office/drawing/2014/chart" uri="{C3380CC4-5D6E-409C-BE32-E72D297353CC}">
                <c16:uniqueId val="{0000004F-A969-4ECC-9280-B53DD4CB4347}"/>
              </c:ext>
            </c:extLst>
          </c:dPt>
          <c:dPt>
            <c:idx val="40"/>
            <c:bubble3D val="0"/>
            <c:spPr>
              <a:solidFill>
                <a:schemeClr val="accent5">
                  <a:lumMod val="70000"/>
                  <a:lumOff val="30000"/>
                </a:schemeClr>
              </a:solidFill>
              <a:ln w="19050">
                <a:solidFill>
                  <a:schemeClr val="lt1"/>
                </a:solidFill>
              </a:ln>
              <a:effectLst/>
            </c:spPr>
            <c:extLst>
              <c:ext xmlns:c16="http://schemas.microsoft.com/office/drawing/2014/chart" uri="{C3380CC4-5D6E-409C-BE32-E72D297353CC}">
                <c16:uniqueId val="{00000051-A969-4ECC-9280-B53DD4CB4347}"/>
              </c:ext>
            </c:extLst>
          </c:dPt>
          <c:dPt>
            <c:idx val="41"/>
            <c:bubble3D val="0"/>
            <c:spPr>
              <a:solidFill>
                <a:schemeClr val="accent6">
                  <a:lumMod val="70000"/>
                  <a:lumOff val="30000"/>
                </a:schemeClr>
              </a:solidFill>
              <a:ln w="19050">
                <a:solidFill>
                  <a:schemeClr val="lt1"/>
                </a:solidFill>
              </a:ln>
              <a:effectLst/>
            </c:spPr>
            <c:extLst>
              <c:ext xmlns:c16="http://schemas.microsoft.com/office/drawing/2014/chart" uri="{C3380CC4-5D6E-409C-BE32-E72D297353CC}">
                <c16:uniqueId val="{00000053-A969-4ECC-9280-B53DD4CB4347}"/>
              </c:ext>
            </c:extLst>
          </c:dPt>
          <c:dPt>
            <c:idx val="42"/>
            <c:bubble3D val="0"/>
            <c:spPr>
              <a:solidFill>
                <a:schemeClr val="accent1">
                  <a:lumMod val="70000"/>
                </a:schemeClr>
              </a:solidFill>
              <a:ln w="19050">
                <a:solidFill>
                  <a:schemeClr val="lt1"/>
                </a:solidFill>
              </a:ln>
              <a:effectLst/>
            </c:spPr>
            <c:extLst>
              <c:ext xmlns:c16="http://schemas.microsoft.com/office/drawing/2014/chart" uri="{C3380CC4-5D6E-409C-BE32-E72D297353CC}">
                <c16:uniqueId val="{00000055-A969-4ECC-9280-B53DD4CB4347}"/>
              </c:ext>
            </c:extLst>
          </c:dPt>
          <c:dPt>
            <c:idx val="43"/>
            <c:bubble3D val="0"/>
            <c:spPr>
              <a:solidFill>
                <a:schemeClr val="accent2">
                  <a:lumMod val="70000"/>
                </a:schemeClr>
              </a:solidFill>
              <a:ln w="19050">
                <a:solidFill>
                  <a:schemeClr val="lt1"/>
                </a:solidFill>
              </a:ln>
              <a:effectLst/>
            </c:spPr>
            <c:extLst>
              <c:ext xmlns:c16="http://schemas.microsoft.com/office/drawing/2014/chart" uri="{C3380CC4-5D6E-409C-BE32-E72D297353CC}">
                <c16:uniqueId val="{00000057-A969-4ECC-9280-B53DD4CB4347}"/>
              </c:ext>
            </c:extLst>
          </c:dPt>
          <c:dPt>
            <c:idx val="44"/>
            <c:bubble3D val="0"/>
            <c:spPr>
              <a:solidFill>
                <a:schemeClr val="accent3">
                  <a:lumMod val="70000"/>
                </a:schemeClr>
              </a:solidFill>
              <a:ln w="19050">
                <a:solidFill>
                  <a:schemeClr val="lt1"/>
                </a:solidFill>
              </a:ln>
              <a:effectLst/>
            </c:spPr>
            <c:extLst>
              <c:ext xmlns:c16="http://schemas.microsoft.com/office/drawing/2014/chart" uri="{C3380CC4-5D6E-409C-BE32-E72D297353CC}">
                <c16:uniqueId val="{00000059-A969-4ECC-9280-B53DD4CB4347}"/>
              </c:ext>
            </c:extLst>
          </c:dPt>
          <c:dPt>
            <c:idx val="45"/>
            <c:bubble3D val="0"/>
            <c:spPr>
              <a:solidFill>
                <a:schemeClr val="accent4">
                  <a:lumMod val="70000"/>
                </a:schemeClr>
              </a:solidFill>
              <a:ln w="19050">
                <a:solidFill>
                  <a:schemeClr val="lt1"/>
                </a:solidFill>
              </a:ln>
              <a:effectLst/>
            </c:spPr>
            <c:extLst>
              <c:ext xmlns:c16="http://schemas.microsoft.com/office/drawing/2014/chart" uri="{C3380CC4-5D6E-409C-BE32-E72D297353CC}">
                <c16:uniqueId val="{0000005B-A969-4ECC-9280-B53DD4CB4347}"/>
              </c:ext>
            </c:extLst>
          </c:dPt>
          <c:dPt>
            <c:idx val="46"/>
            <c:bubble3D val="0"/>
            <c:spPr>
              <a:solidFill>
                <a:schemeClr val="accent5">
                  <a:lumMod val="70000"/>
                </a:schemeClr>
              </a:solidFill>
              <a:ln w="19050">
                <a:solidFill>
                  <a:schemeClr val="lt1"/>
                </a:solidFill>
              </a:ln>
              <a:effectLst/>
            </c:spPr>
            <c:extLst>
              <c:ext xmlns:c16="http://schemas.microsoft.com/office/drawing/2014/chart" uri="{C3380CC4-5D6E-409C-BE32-E72D297353CC}">
                <c16:uniqueId val="{0000005D-A969-4ECC-9280-B53DD4CB434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outEnd"/>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'Top 10 Tickets'!$B$6:$B$52</c:f>
              <c:strCache>
                <c:ptCount val="6"/>
                <c:pt idx="0">
                  <c:v>Exchange</c:v>
                </c:pt>
                <c:pt idx="1">
                  <c:v>Mail Routing</c:v>
                </c:pt>
                <c:pt idx="2">
                  <c:v>Troubleshooting</c:v>
                </c:pt>
                <c:pt idx="3">
                  <c:v>Connectivity</c:v>
                </c:pt>
                <c:pt idx="4">
                  <c:v>CC Permissions</c:v>
                </c:pt>
                <c:pt idx="5">
                  <c:v>Adopt/Associate Account</c:v>
                </c:pt>
              </c:strCache>
            </c:strRef>
          </c:cat>
          <c:val>
            <c:numRef>
              <c:f>'Top 10 Tickets'!$C$6:$C$52</c:f>
              <c:numCache>
                <c:formatCode>General</c:formatCode>
                <c:ptCount val="47"/>
                <c:pt idx="0">
                  <c:v>3</c:v>
                </c:pt>
                <c:pt idx="1">
                  <c:v>2</c:v>
                </c:pt>
                <c:pt idx="2">
                  <c:v>1</c:v>
                </c:pt>
                <c:pt idx="3">
                  <c:v>1</c:v>
                </c:pt>
                <c:pt idx="4">
                  <c:v>1</c:v>
                </c:pt>
                <c:pt idx="5">
                  <c:v>1</c:v>
                </c:pt>
              </c:numCache>
            </c:numRef>
          </c:val>
          <c:extLst>
            <c:ext xmlns:c16="http://schemas.microsoft.com/office/drawing/2014/chart" uri="{C3380CC4-5D6E-409C-BE32-E72D297353CC}">
              <c16:uniqueId val="{0000005E-A969-4ECC-9280-B53DD4CB4347}"/>
            </c:ext>
          </c:extLst>
        </c:ser>
        <c:ser>
          <c:idx val="1"/>
          <c:order val="1"/>
          <c:dPt>
            <c:idx val="0"/>
            <c:bubble3D val="0"/>
            <c:spPr>
              <a:solidFill>
                <a:schemeClr val="accent1"/>
              </a:solidFill>
              <a:ln w="19050">
                <a:solidFill>
                  <a:schemeClr val="lt1"/>
                </a:solidFill>
              </a:ln>
              <a:effectLst/>
            </c:spPr>
            <c:extLst>
              <c:ext xmlns:c16="http://schemas.microsoft.com/office/drawing/2014/chart" uri="{C3380CC4-5D6E-409C-BE32-E72D297353CC}">
                <c16:uniqueId val="{00000060-A969-4ECC-9280-B53DD4CB434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62-A969-4ECC-9280-B53DD4CB434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64-A969-4ECC-9280-B53DD4CB434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66-A969-4ECC-9280-B53DD4CB434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68-A969-4ECC-9280-B53DD4CB4347}"/>
              </c:ext>
            </c:extLst>
          </c:dPt>
          <c:cat>
            <c:strRef>
              <c:f>'Top 10 Tickets'!$B$6:$B$52</c:f>
              <c:strCache>
                <c:ptCount val="6"/>
                <c:pt idx="0">
                  <c:v>Exchange</c:v>
                </c:pt>
                <c:pt idx="1">
                  <c:v>Mail Routing</c:v>
                </c:pt>
                <c:pt idx="2">
                  <c:v>Troubleshooting</c:v>
                </c:pt>
                <c:pt idx="3">
                  <c:v>Connectivity</c:v>
                </c:pt>
                <c:pt idx="4">
                  <c:v>CC Permissions</c:v>
                </c:pt>
                <c:pt idx="5">
                  <c:v>Adopt/Associate Account</c:v>
                </c:pt>
              </c:strCache>
            </c:strRef>
          </c:cat>
          <c:val>
            <c:numRef>
              <c:f>[2]MFC!$B$4:$B$8</c:f>
              <c:numCache>
                <c:formatCode>General</c:formatCode>
                <c:ptCount val="5"/>
                <c:pt idx="0">
                  <c:v>1</c:v>
                </c:pt>
                <c:pt idx="1">
                  <c:v>1</c:v>
                </c:pt>
                <c:pt idx="2">
                  <c:v>1</c:v>
                </c:pt>
                <c:pt idx="3">
                  <c:v>1</c:v>
                </c:pt>
                <c:pt idx="4">
                  <c:v>2</c:v>
                </c:pt>
              </c:numCache>
            </c:numRef>
          </c:val>
          <c:extLst>
            <c:ext xmlns:c16="http://schemas.microsoft.com/office/drawing/2014/chart" uri="{C3380CC4-5D6E-409C-BE32-E72D297353CC}">
              <c16:uniqueId val="{00000069-A969-4ECC-9280-B53DD4CB434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sz="1400" b="1" i="0" baseline="0">
                <a:effectLst/>
              </a:rPr>
              <a:t>Top 10 Ticket Types - 6 Month View</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barChart>
        <c:barDir val="col"/>
        <c:grouping val="stacked"/>
        <c:varyColors val="0"/>
        <c:ser>
          <c:idx val="0"/>
          <c:order val="0"/>
          <c:tx>
            <c:strRef>
              <c:f>'Top 10 Tickets'!$AK$3</c:f>
              <c:strCache>
                <c:ptCount val="1"/>
                <c:pt idx="0">
                  <c:v>Apr'17</c:v>
                </c:pt>
              </c:strCache>
            </c:strRef>
          </c:tx>
          <c:spPr>
            <a:solidFill>
              <a:schemeClr val="accent1"/>
            </a:solidFill>
            <a:ln>
              <a:noFill/>
            </a:ln>
            <a:effectLst/>
          </c:spPr>
          <c:invertIfNegative val="0"/>
          <c:cat>
            <c:strRef>
              <c:f>'Top 10 Tickets'!$D$4:$D$13</c:f>
              <c:strCache>
                <c:ptCount val="10"/>
                <c:pt idx="0">
                  <c:v>Exchange</c:v>
                </c:pt>
                <c:pt idx="1">
                  <c:v>Connectivity</c:v>
                </c:pt>
                <c:pt idx="2">
                  <c:v>Edit Account</c:v>
                </c:pt>
                <c:pt idx="3">
                  <c:v>Mail Tracking</c:v>
                </c:pt>
                <c:pt idx="4">
                  <c:v>Permissions</c:v>
                </c:pt>
                <c:pt idx="5">
                  <c:v>CC Permissions</c:v>
                </c:pt>
                <c:pt idx="6">
                  <c:v>Mail Routing</c:v>
                </c:pt>
                <c:pt idx="7">
                  <c:v>Whitelist Creation</c:v>
                </c:pt>
                <c:pt idx="8">
                  <c:v>Add Account</c:v>
                </c:pt>
                <c:pt idx="9">
                  <c:v>Quarantine Digest</c:v>
                </c:pt>
              </c:strCache>
            </c:strRef>
          </c:cat>
          <c:val>
            <c:numRef>
              <c:f>'Top 10 Tickets'!$AK$4:$AK$13</c:f>
              <c:numCache>
                <c:formatCode>General</c:formatCode>
                <c:ptCount val="10"/>
                <c:pt idx="0">
                  <c:v>0</c:v>
                </c:pt>
                <c:pt idx="1">
                  <c:v>2</c:v>
                </c:pt>
                <c:pt idx="2">
                  <c:v>0</c:v>
                </c:pt>
                <c:pt idx="3">
                  <c:v>1</c:v>
                </c:pt>
                <c:pt idx="4">
                  <c:v>1</c:v>
                </c:pt>
                <c:pt idx="5">
                  <c:v>0</c:v>
                </c:pt>
                <c:pt idx="6">
                  <c:v>0</c:v>
                </c:pt>
                <c:pt idx="7">
                  <c:v>0</c:v>
                </c:pt>
                <c:pt idx="8">
                  <c:v>0</c:v>
                </c:pt>
              </c:numCache>
            </c:numRef>
          </c:val>
          <c:extLst>
            <c:ext xmlns:c16="http://schemas.microsoft.com/office/drawing/2014/chart" uri="{C3380CC4-5D6E-409C-BE32-E72D297353CC}">
              <c16:uniqueId val="{00000000-9FD5-4F46-9098-B035F1FA9969}"/>
            </c:ext>
          </c:extLst>
        </c:ser>
        <c:ser>
          <c:idx val="1"/>
          <c:order val="1"/>
          <c:tx>
            <c:strRef>
              <c:f>'Top 10 Tickets'!$AL$3</c:f>
              <c:strCache>
                <c:ptCount val="1"/>
                <c:pt idx="0">
                  <c:v>May'17</c:v>
                </c:pt>
              </c:strCache>
            </c:strRef>
          </c:tx>
          <c:spPr>
            <a:solidFill>
              <a:schemeClr val="accent2"/>
            </a:solidFill>
            <a:ln>
              <a:noFill/>
            </a:ln>
            <a:effectLst/>
          </c:spPr>
          <c:invertIfNegative val="0"/>
          <c:cat>
            <c:strRef>
              <c:f>'Top 10 Tickets'!$D$4:$D$13</c:f>
              <c:strCache>
                <c:ptCount val="10"/>
                <c:pt idx="0">
                  <c:v>Exchange</c:v>
                </c:pt>
                <c:pt idx="1">
                  <c:v>Connectivity</c:v>
                </c:pt>
                <c:pt idx="2">
                  <c:v>Edit Account</c:v>
                </c:pt>
                <c:pt idx="3">
                  <c:v>Mail Tracking</c:v>
                </c:pt>
                <c:pt idx="4">
                  <c:v>Permissions</c:v>
                </c:pt>
                <c:pt idx="5">
                  <c:v>CC Permissions</c:v>
                </c:pt>
                <c:pt idx="6">
                  <c:v>Mail Routing</c:v>
                </c:pt>
                <c:pt idx="7">
                  <c:v>Whitelist Creation</c:v>
                </c:pt>
                <c:pt idx="8">
                  <c:v>Add Account</c:v>
                </c:pt>
                <c:pt idx="9">
                  <c:v>Quarantine Digest</c:v>
                </c:pt>
              </c:strCache>
            </c:strRef>
          </c:cat>
          <c:val>
            <c:numRef>
              <c:f>'Top 10 Tickets'!$AL$4:$AL$13</c:f>
              <c:numCache>
                <c:formatCode>General</c:formatCode>
                <c:ptCount val="10"/>
                <c:pt idx="0">
                  <c:v>0</c:v>
                </c:pt>
                <c:pt idx="1">
                  <c:v>0</c:v>
                </c:pt>
                <c:pt idx="2">
                  <c:v>0</c:v>
                </c:pt>
                <c:pt idx="3">
                  <c:v>1</c:v>
                </c:pt>
                <c:pt idx="4">
                  <c:v>1</c:v>
                </c:pt>
                <c:pt idx="5">
                  <c:v>0</c:v>
                </c:pt>
                <c:pt idx="6">
                  <c:v>0</c:v>
                </c:pt>
                <c:pt idx="7">
                  <c:v>0</c:v>
                </c:pt>
                <c:pt idx="8">
                  <c:v>1</c:v>
                </c:pt>
                <c:pt idx="9">
                  <c:v>1</c:v>
                </c:pt>
              </c:numCache>
            </c:numRef>
          </c:val>
          <c:extLst>
            <c:ext xmlns:c16="http://schemas.microsoft.com/office/drawing/2014/chart" uri="{C3380CC4-5D6E-409C-BE32-E72D297353CC}">
              <c16:uniqueId val="{00000001-9FD5-4F46-9098-B035F1FA9969}"/>
            </c:ext>
          </c:extLst>
        </c:ser>
        <c:ser>
          <c:idx val="2"/>
          <c:order val="2"/>
          <c:tx>
            <c:strRef>
              <c:f>'Top 10 Tickets'!$AM$3</c:f>
              <c:strCache>
                <c:ptCount val="1"/>
                <c:pt idx="0">
                  <c:v>Jun'17</c:v>
                </c:pt>
              </c:strCache>
            </c:strRef>
          </c:tx>
          <c:spPr>
            <a:solidFill>
              <a:schemeClr val="accent3"/>
            </a:solidFill>
            <a:ln>
              <a:noFill/>
            </a:ln>
            <a:effectLst/>
          </c:spPr>
          <c:invertIfNegative val="0"/>
          <c:cat>
            <c:strRef>
              <c:f>'Top 10 Tickets'!$D$4:$D$13</c:f>
              <c:strCache>
                <c:ptCount val="10"/>
                <c:pt idx="0">
                  <c:v>Exchange</c:v>
                </c:pt>
                <c:pt idx="1">
                  <c:v>Connectivity</c:v>
                </c:pt>
                <c:pt idx="2">
                  <c:v>Edit Account</c:v>
                </c:pt>
                <c:pt idx="3">
                  <c:v>Mail Tracking</c:v>
                </c:pt>
                <c:pt idx="4">
                  <c:v>Permissions</c:v>
                </c:pt>
                <c:pt idx="5">
                  <c:v>CC Permissions</c:v>
                </c:pt>
                <c:pt idx="6">
                  <c:v>Mail Routing</c:v>
                </c:pt>
                <c:pt idx="7">
                  <c:v>Whitelist Creation</c:v>
                </c:pt>
                <c:pt idx="8">
                  <c:v>Add Account</c:v>
                </c:pt>
                <c:pt idx="9">
                  <c:v>Quarantine Digest</c:v>
                </c:pt>
              </c:strCache>
            </c:strRef>
          </c:cat>
          <c:val>
            <c:numRef>
              <c:f>'Top 10 Tickets'!$AM$4:$AM$13</c:f>
              <c:numCache>
                <c:formatCode>General</c:formatCode>
                <c:ptCount val="10"/>
                <c:pt idx="0">
                  <c:v>0</c:v>
                </c:pt>
                <c:pt idx="1">
                  <c:v>1</c:v>
                </c:pt>
                <c:pt idx="2">
                  <c:v>3</c:v>
                </c:pt>
                <c:pt idx="3">
                  <c:v>0</c:v>
                </c:pt>
                <c:pt idx="4">
                  <c:v>0</c:v>
                </c:pt>
                <c:pt idx="5">
                  <c:v>1</c:v>
                </c:pt>
                <c:pt idx="6">
                  <c:v>0</c:v>
                </c:pt>
                <c:pt idx="7">
                  <c:v>1</c:v>
                </c:pt>
                <c:pt idx="8">
                  <c:v>0</c:v>
                </c:pt>
                <c:pt idx="9">
                  <c:v>0</c:v>
                </c:pt>
              </c:numCache>
            </c:numRef>
          </c:val>
          <c:extLst>
            <c:ext xmlns:c16="http://schemas.microsoft.com/office/drawing/2014/chart" uri="{C3380CC4-5D6E-409C-BE32-E72D297353CC}">
              <c16:uniqueId val="{00000002-9FD5-4F46-9098-B035F1FA9969}"/>
            </c:ext>
          </c:extLst>
        </c:ser>
        <c:ser>
          <c:idx val="3"/>
          <c:order val="3"/>
          <c:tx>
            <c:strRef>
              <c:f>'Top 10 Tickets'!$AN$3</c:f>
              <c:strCache>
                <c:ptCount val="1"/>
                <c:pt idx="0">
                  <c:v>Jul'17</c:v>
                </c:pt>
              </c:strCache>
            </c:strRef>
          </c:tx>
          <c:spPr>
            <a:solidFill>
              <a:schemeClr val="accent4"/>
            </a:solidFill>
            <a:ln>
              <a:noFill/>
            </a:ln>
            <a:effectLst/>
          </c:spPr>
          <c:invertIfNegative val="0"/>
          <c:cat>
            <c:strRef>
              <c:f>'Top 10 Tickets'!$D$4:$D$13</c:f>
              <c:strCache>
                <c:ptCount val="10"/>
                <c:pt idx="0">
                  <c:v>Exchange</c:v>
                </c:pt>
                <c:pt idx="1">
                  <c:v>Connectivity</c:v>
                </c:pt>
                <c:pt idx="2">
                  <c:v>Edit Account</c:v>
                </c:pt>
                <c:pt idx="3">
                  <c:v>Mail Tracking</c:v>
                </c:pt>
                <c:pt idx="4">
                  <c:v>Permissions</c:v>
                </c:pt>
                <c:pt idx="5">
                  <c:v>CC Permissions</c:v>
                </c:pt>
                <c:pt idx="6">
                  <c:v>Mail Routing</c:v>
                </c:pt>
                <c:pt idx="7">
                  <c:v>Whitelist Creation</c:v>
                </c:pt>
                <c:pt idx="8">
                  <c:v>Add Account</c:v>
                </c:pt>
                <c:pt idx="9">
                  <c:v>Quarantine Digest</c:v>
                </c:pt>
              </c:strCache>
            </c:strRef>
          </c:cat>
          <c:val>
            <c:numRef>
              <c:f>'Top 10 Tickets'!$AN$4:$AN$13</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3-9FD5-4F46-9098-B035F1FA9969}"/>
            </c:ext>
          </c:extLst>
        </c:ser>
        <c:ser>
          <c:idx val="4"/>
          <c:order val="4"/>
          <c:tx>
            <c:strRef>
              <c:f>'Top 10 Tickets'!$AO$3</c:f>
              <c:strCache>
                <c:ptCount val="1"/>
                <c:pt idx="0">
                  <c:v>Aug'17</c:v>
                </c:pt>
              </c:strCache>
            </c:strRef>
          </c:tx>
          <c:spPr>
            <a:solidFill>
              <a:schemeClr val="accent5"/>
            </a:solidFill>
            <a:ln>
              <a:noFill/>
            </a:ln>
            <a:effectLst/>
          </c:spPr>
          <c:invertIfNegative val="0"/>
          <c:cat>
            <c:strRef>
              <c:f>'Top 10 Tickets'!$D$4:$D$13</c:f>
              <c:strCache>
                <c:ptCount val="10"/>
                <c:pt idx="0">
                  <c:v>Exchange</c:v>
                </c:pt>
                <c:pt idx="1">
                  <c:v>Connectivity</c:v>
                </c:pt>
                <c:pt idx="2">
                  <c:v>Edit Account</c:v>
                </c:pt>
                <c:pt idx="3">
                  <c:v>Mail Tracking</c:v>
                </c:pt>
                <c:pt idx="4">
                  <c:v>Permissions</c:v>
                </c:pt>
                <c:pt idx="5">
                  <c:v>CC Permissions</c:v>
                </c:pt>
                <c:pt idx="6">
                  <c:v>Mail Routing</c:v>
                </c:pt>
                <c:pt idx="7">
                  <c:v>Whitelist Creation</c:v>
                </c:pt>
                <c:pt idx="8">
                  <c:v>Add Account</c:v>
                </c:pt>
                <c:pt idx="9">
                  <c:v>Quarantine Digest</c:v>
                </c:pt>
              </c:strCache>
            </c:strRef>
          </c:cat>
          <c:val>
            <c:numRef>
              <c:f>'Top 10 Tickets'!$AO$4:$AO$13</c:f>
              <c:numCache>
                <c:formatCode>General</c:formatCode>
                <c:ptCount val="10"/>
                <c:pt idx="0">
                  <c:v>3</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4-9FD5-4F46-9098-B035F1FA9969}"/>
            </c:ext>
          </c:extLst>
        </c:ser>
        <c:ser>
          <c:idx val="5"/>
          <c:order val="5"/>
          <c:tx>
            <c:strRef>
              <c:f>'Top 10 Tickets'!$AP$3</c:f>
              <c:strCache>
                <c:ptCount val="1"/>
                <c:pt idx="0">
                  <c:v>Sep'17</c:v>
                </c:pt>
              </c:strCache>
            </c:strRef>
          </c:tx>
          <c:spPr>
            <a:solidFill>
              <a:schemeClr val="accent6"/>
            </a:solidFill>
            <a:ln>
              <a:noFill/>
            </a:ln>
            <a:effectLst/>
          </c:spPr>
          <c:invertIfNegative val="0"/>
          <c:cat>
            <c:strRef>
              <c:f>'Top 10 Tickets'!$D$4:$D$13</c:f>
              <c:strCache>
                <c:ptCount val="10"/>
                <c:pt idx="0">
                  <c:v>Exchange</c:v>
                </c:pt>
                <c:pt idx="1">
                  <c:v>Connectivity</c:v>
                </c:pt>
                <c:pt idx="2">
                  <c:v>Edit Account</c:v>
                </c:pt>
                <c:pt idx="3">
                  <c:v>Mail Tracking</c:v>
                </c:pt>
                <c:pt idx="4">
                  <c:v>Permissions</c:v>
                </c:pt>
                <c:pt idx="5">
                  <c:v>CC Permissions</c:v>
                </c:pt>
                <c:pt idx="6">
                  <c:v>Mail Routing</c:v>
                </c:pt>
                <c:pt idx="7">
                  <c:v>Whitelist Creation</c:v>
                </c:pt>
                <c:pt idx="8">
                  <c:v>Add Account</c:v>
                </c:pt>
                <c:pt idx="9">
                  <c:v>Quarantine Digest</c:v>
                </c:pt>
              </c:strCache>
            </c:strRef>
          </c:cat>
          <c:val>
            <c:numRef>
              <c:f>'Top 10 Tickets'!$AP$4:$AP$13</c:f>
              <c:numCache>
                <c:formatCode>General</c:formatCode>
                <c:ptCount val="10"/>
                <c:pt idx="0">
                  <c:v>3</c:v>
                </c:pt>
                <c:pt idx="1">
                  <c:v>1</c:v>
                </c:pt>
                <c:pt idx="2">
                  <c:v>0</c:v>
                </c:pt>
                <c:pt idx="3">
                  <c:v>0</c:v>
                </c:pt>
                <c:pt idx="4">
                  <c:v>0</c:v>
                </c:pt>
                <c:pt idx="5">
                  <c:v>1</c:v>
                </c:pt>
                <c:pt idx="6">
                  <c:v>2</c:v>
                </c:pt>
                <c:pt idx="7">
                  <c:v>0</c:v>
                </c:pt>
                <c:pt idx="8">
                  <c:v>0</c:v>
                </c:pt>
                <c:pt idx="9">
                  <c:v>0</c:v>
                </c:pt>
              </c:numCache>
            </c:numRef>
          </c:val>
          <c:extLst>
            <c:ext xmlns:c16="http://schemas.microsoft.com/office/drawing/2014/chart" uri="{C3380CC4-5D6E-409C-BE32-E72D297353CC}">
              <c16:uniqueId val="{00000000-3D1C-48A2-A4DF-823FFE458E2A}"/>
            </c:ext>
          </c:extLst>
        </c:ser>
        <c:dLbls>
          <c:showLegendKey val="0"/>
          <c:showVal val="0"/>
          <c:showCatName val="0"/>
          <c:showSerName val="0"/>
          <c:showPercent val="0"/>
          <c:showBubbleSize val="0"/>
        </c:dLbls>
        <c:gapWidth val="150"/>
        <c:overlap val="100"/>
        <c:axId val="-363796720"/>
        <c:axId val="-363739680"/>
      </c:barChart>
      <c:catAx>
        <c:axId val="-363796720"/>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b="1"/>
                  <a:t>Class</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363739680"/>
        <c:crosses val="autoZero"/>
        <c:auto val="1"/>
        <c:lblAlgn val="ctr"/>
        <c:lblOffset val="100"/>
        <c:noMultiLvlLbl val="0"/>
      </c:catAx>
      <c:valAx>
        <c:axId val="-3637396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b="1"/>
                  <a:t>Number of Tickets</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3637967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Ticket Counts - 6 Month View </a:t>
            </a:r>
          </a:p>
        </c:rich>
      </c:tx>
      <c:overlay val="1"/>
    </c:title>
    <c:autoTitleDeleted val="0"/>
    <c:plotArea>
      <c:layout>
        <c:manualLayout>
          <c:layoutTarget val="inner"/>
          <c:xMode val="edge"/>
          <c:yMode val="edge"/>
          <c:x val="3.951390222563643E-2"/>
          <c:y val="0.11026089757839809"/>
          <c:w val="0.81519676433888388"/>
          <c:h val="0.73036387829225113"/>
        </c:manualLayout>
      </c:layout>
      <c:barChart>
        <c:barDir val="col"/>
        <c:grouping val="stacked"/>
        <c:varyColors val="0"/>
        <c:ser>
          <c:idx val="1"/>
          <c:order val="0"/>
          <c:tx>
            <c:strRef>
              <c:f>'Ticket Stats'!$E$5</c:f>
              <c:strCache>
                <c:ptCount val="1"/>
                <c:pt idx="0">
                  <c:v>Sev 4</c:v>
                </c:pt>
              </c:strCache>
            </c:strRef>
          </c:tx>
          <c:spPr>
            <a:solidFill>
              <a:srgbClr val="BFBFBF">
                <a:alpha val="74902"/>
              </a:srgbClr>
            </a:solidFill>
            <a:ln>
              <a:solidFill>
                <a:schemeClr val="bg1">
                  <a:lumMod val="75000"/>
                </a:schemeClr>
              </a:solidFill>
            </a:ln>
          </c:spPr>
          <c:invertIfNegative val="0"/>
          <c:cat>
            <c:strRef>
              <c:f>'Ticket Stats'!$B$39:$B$44</c:f>
              <c:strCache>
                <c:ptCount val="6"/>
                <c:pt idx="0">
                  <c:v>Apr'17</c:v>
                </c:pt>
                <c:pt idx="1">
                  <c:v>May'17</c:v>
                </c:pt>
                <c:pt idx="2">
                  <c:v>Jun'17</c:v>
                </c:pt>
                <c:pt idx="3">
                  <c:v>Jul'17</c:v>
                </c:pt>
                <c:pt idx="4">
                  <c:v>Aug'17</c:v>
                </c:pt>
                <c:pt idx="5">
                  <c:v>Sep'17</c:v>
                </c:pt>
              </c:strCache>
            </c:strRef>
          </c:cat>
          <c:val>
            <c:numRef>
              <c:f>'Ticket Stats'!$E$39:$E$44</c:f>
              <c:numCache>
                <c:formatCode>General</c:formatCode>
                <c:ptCount val="6"/>
                <c:pt idx="0">
                  <c:v>2</c:v>
                </c:pt>
                <c:pt idx="1">
                  <c:v>2</c:v>
                </c:pt>
                <c:pt idx="2">
                  <c:v>5</c:v>
                </c:pt>
                <c:pt idx="3">
                  <c:v>0</c:v>
                </c:pt>
                <c:pt idx="4">
                  <c:v>3</c:v>
                </c:pt>
                <c:pt idx="5">
                  <c:v>7</c:v>
                </c:pt>
              </c:numCache>
            </c:numRef>
          </c:val>
          <c:extLst>
            <c:ext xmlns:c16="http://schemas.microsoft.com/office/drawing/2014/chart" uri="{C3380CC4-5D6E-409C-BE32-E72D297353CC}">
              <c16:uniqueId val="{00000000-ABD3-4613-8F0F-D8A191C93A61}"/>
            </c:ext>
          </c:extLst>
        </c:ser>
        <c:ser>
          <c:idx val="2"/>
          <c:order val="1"/>
          <c:tx>
            <c:strRef>
              <c:f>'Ticket Stats'!$F$5</c:f>
              <c:strCache>
                <c:ptCount val="1"/>
                <c:pt idx="0">
                  <c:v>Sev 3</c:v>
                </c:pt>
              </c:strCache>
            </c:strRef>
          </c:tx>
          <c:spPr>
            <a:solidFill>
              <a:srgbClr val="00B0F0">
                <a:alpha val="74902"/>
              </a:srgbClr>
            </a:solidFill>
            <a:ln>
              <a:solidFill>
                <a:srgbClr val="00B0F0"/>
              </a:solidFill>
            </a:ln>
          </c:spPr>
          <c:invertIfNegative val="0"/>
          <c:cat>
            <c:strRef>
              <c:f>'Ticket Stats'!$B$39:$B$44</c:f>
              <c:strCache>
                <c:ptCount val="6"/>
                <c:pt idx="0">
                  <c:v>Apr'17</c:v>
                </c:pt>
                <c:pt idx="1">
                  <c:v>May'17</c:v>
                </c:pt>
                <c:pt idx="2">
                  <c:v>Jun'17</c:v>
                </c:pt>
                <c:pt idx="3">
                  <c:v>Jul'17</c:v>
                </c:pt>
                <c:pt idx="4">
                  <c:v>Aug'17</c:v>
                </c:pt>
                <c:pt idx="5">
                  <c:v>Sep'17</c:v>
                </c:pt>
              </c:strCache>
            </c:strRef>
          </c:cat>
          <c:val>
            <c:numRef>
              <c:f>'Ticket Stats'!$F$39:$F$44</c:f>
              <c:numCache>
                <c:formatCode>General</c:formatCode>
                <c:ptCount val="6"/>
                <c:pt idx="0">
                  <c:v>2</c:v>
                </c:pt>
                <c:pt idx="1">
                  <c:v>3</c:v>
                </c:pt>
                <c:pt idx="2">
                  <c:v>3</c:v>
                </c:pt>
                <c:pt idx="3">
                  <c:v>0</c:v>
                </c:pt>
                <c:pt idx="4">
                  <c:v>0</c:v>
                </c:pt>
                <c:pt idx="5">
                  <c:v>2</c:v>
                </c:pt>
              </c:numCache>
            </c:numRef>
          </c:val>
          <c:extLst>
            <c:ext xmlns:c16="http://schemas.microsoft.com/office/drawing/2014/chart" uri="{C3380CC4-5D6E-409C-BE32-E72D297353CC}">
              <c16:uniqueId val="{00000001-ABD3-4613-8F0F-D8A191C93A61}"/>
            </c:ext>
          </c:extLst>
        </c:ser>
        <c:ser>
          <c:idx val="3"/>
          <c:order val="2"/>
          <c:tx>
            <c:strRef>
              <c:f>'Ticket Stats'!$G$5</c:f>
              <c:strCache>
                <c:ptCount val="1"/>
                <c:pt idx="0">
                  <c:v>Sev 2</c:v>
                </c:pt>
              </c:strCache>
            </c:strRef>
          </c:tx>
          <c:spPr>
            <a:solidFill>
              <a:srgbClr val="00B050">
                <a:alpha val="74902"/>
              </a:srgbClr>
            </a:solidFill>
            <a:ln>
              <a:solidFill>
                <a:srgbClr val="00B050"/>
              </a:solidFill>
            </a:ln>
          </c:spPr>
          <c:invertIfNegative val="0"/>
          <c:cat>
            <c:strRef>
              <c:f>'Ticket Stats'!$B$39:$B$44</c:f>
              <c:strCache>
                <c:ptCount val="6"/>
                <c:pt idx="0">
                  <c:v>Apr'17</c:v>
                </c:pt>
                <c:pt idx="1">
                  <c:v>May'17</c:v>
                </c:pt>
                <c:pt idx="2">
                  <c:v>Jun'17</c:v>
                </c:pt>
                <c:pt idx="3">
                  <c:v>Jul'17</c:v>
                </c:pt>
                <c:pt idx="4">
                  <c:v>Aug'17</c:v>
                </c:pt>
                <c:pt idx="5">
                  <c:v>Sep'17</c:v>
                </c:pt>
              </c:strCache>
            </c:strRef>
          </c:cat>
          <c:val>
            <c:numRef>
              <c:f>'Ticket Stats'!$G$39:$G$44</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2-ABD3-4613-8F0F-D8A191C93A61}"/>
            </c:ext>
          </c:extLst>
        </c:ser>
        <c:ser>
          <c:idx val="0"/>
          <c:order val="3"/>
          <c:tx>
            <c:strRef>
              <c:f>'Ticket Stats'!$H$5</c:f>
              <c:strCache>
                <c:ptCount val="1"/>
                <c:pt idx="0">
                  <c:v>Sev 1</c:v>
                </c:pt>
              </c:strCache>
            </c:strRef>
          </c:tx>
          <c:spPr>
            <a:solidFill>
              <a:srgbClr val="FFC000">
                <a:alpha val="74902"/>
              </a:srgbClr>
            </a:solidFill>
            <a:ln>
              <a:solidFill>
                <a:srgbClr val="FFC000"/>
              </a:solidFill>
            </a:ln>
          </c:spPr>
          <c:invertIfNegative val="0"/>
          <c:cat>
            <c:strRef>
              <c:f>'Ticket Stats'!$B$39:$B$44</c:f>
              <c:strCache>
                <c:ptCount val="6"/>
                <c:pt idx="0">
                  <c:v>Apr'17</c:v>
                </c:pt>
                <c:pt idx="1">
                  <c:v>May'17</c:v>
                </c:pt>
                <c:pt idx="2">
                  <c:v>Jun'17</c:v>
                </c:pt>
                <c:pt idx="3">
                  <c:v>Jul'17</c:v>
                </c:pt>
                <c:pt idx="4">
                  <c:v>Aug'17</c:v>
                </c:pt>
                <c:pt idx="5">
                  <c:v>Sep'17</c:v>
                </c:pt>
              </c:strCache>
            </c:strRef>
          </c:cat>
          <c:val>
            <c:numRef>
              <c:f>'Ticket Stats'!$H$39:$H$44</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3-ABD3-4613-8F0F-D8A191C93A61}"/>
            </c:ext>
          </c:extLst>
        </c:ser>
        <c:dLbls>
          <c:showLegendKey val="0"/>
          <c:showVal val="0"/>
          <c:showCatName val="0"/>
          <c:showSerName val="0"/>
          <c:showPercent val="0"/>
          <c:showBubbleSize val="0"/>
        </c:dLbls>
        <c:gapWidth val="150"/>
        <c:overlap val="100"/>
        <c:axId val="-73191856"/>
        <c:axId val="-73188592"/>
      </c:barChart>
      <c:catAx>
        <c:axId val="-73191856"/>
        <c:scaling>
          <c:orientation val="minMax"/>
        </c:scaling>
        <c:delete val="0"/>
        <c:axPos val="b"/>
        <c:numFmt formatCode="General" sourceLinked="1"/>
        <c:majorTickMark val="out"/>
        <c:minorTickMark val="none"/>
        <c:tickLblPos val="nextTo"/>
        <c:crossAx val="-73188592"/>
        <c:crosses val="autoZero"/>
        <c:auto val="1"/>
        <c:lblAlgn val="ctr"/>
        <c:lblOffset val="100"/>
        <c:noMultiLvlLbl val="1"/>
      </c:catAx>
      <c:valAx>
        <c:axId val="-73188592"/>
        <c:scaling>
          <c:orientation val="minMax"/>
        </c:scaling>
        <c:delete val="0"/>
        <c:axPos val="l"/>
        <c:majorGridlines/>
        <c:numFmt formatCode="General" sourceLinked="1"/>
        <c:majorTickMark val="out"/>
        <c:minorTickMark val="none"/>
        <c:tickLblPos val="nextTo"/>
        <c:crossAx val="-73191856"/>
        <c:crosses val="autoZero"/>
        <c:crossBetween val="between"/>
        <c:majorUnit val="2"/>
      </c:valAx>
    </c:plotArea>
    <c:legend>
      <c:legendPos val="r"/>
      <c:layout>
        <c:manualLayout>
          <c:xMode val="edge"/>
          <c:yMode val="edge"/>
          <c:x val="0.85974149090725516"/>
          <c:y val="8.750321742735491E-2"/>
          <c:w val="8.2267479691089954E-2"/>
          <c:h val="0.51652284029574791"/>
        </c:manualLayout>
      </c:layout>
      <c:overlay val="0"/>
    </c:legend>
    <c:plotVisOnly val="1"/>
    <c:dispBlanksAs val="gap"/>
    <c:showDLblsOverMax val="0"/>
  </c:chart>
  <c:spPr>
    <a:ln>
      <a:solidFill>
        <a:sysClr val="windowText" lastClr="000000"/>
      </a:solidFill>
    </a:ln>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b="1"/>
              <a:t>Storage History - 12 Month View</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8.9937366289271889E-2"/>
          <c:y val="0.13417608733239847"/>
          <c:w val="0.85600243483730354"/>
          <c:h val="0.64126839803534008"/>
        </c:manualLayout>
      </c:layout>
      <c:lineChart>
        <c:grouping val="standard"/>
        <c:varyColors val="0"/>
        <c:ser>
          <c:idx val="0"/>
          <c:order val="0"/>
          <c:tx>
            <c:strRef>
              <c:f>Storage!$G$13</c:f>
              <c:strCache>
                <c:ptCount val="1"/>
                <c:pt idx="0">
                  <c:v>Total Utilized Storage</c:v>
                </c:pt>
              </c:strCache>
            </c:strRef>
          </c:tx>
          <c:spPr>
            <a:ln w="28575" cap="rnd">
              <a:solidFill>
                <a:schemeClr val="accent1"/>
              </a:solidFill>
              <a:round/>
            </a:ln>
            <a:effectLst/>
          </c:spPr>
          <c:marker>
            <c:symbol val="none"/>
          </c:marker>
          <c:cat>
            <c:strRef>
              <c:f>Storage!$B$39:$B$50</c:f>
              <c:strCache>
                <c:ptCount val="12"/>
                <c:pt idx="0">
                  <c:v>Oct'16</c:v>
                </c:pt>
                <c:pt idx="1">
                  <c:v>Nov'16</c:v>
                </c:pt>
                <c:pt idx="2">
                  <c:v>Dec'16</c:v>
                </c:pt>
                <c:pt idx="3">
                  <c:v>Jan'17</c:v>
                </c:pt>
                <c:pt idx="4">
                  <c:v>Feb'17</c:v>
                </c:pt>
                <c:pt idx="5">
                  <c:v>Mar'17</c:v>
                </c:pt>
                <c:pt idx="6">
                  <c:v>Apr'17</c:v>
                </c:pt>
                <c:pt idx="7">
                  <c:v>May'17</c:v>
                </c:pt>
                <c:pt idx="8">
                  <c:v>Jun'17</c:v>
                </c:pt>
                <c:pt idx="9">
                  <c:v>Jul'17</c:v>
                </c:pt>
                <c:pt idx="10">
                  <c:v>Aug'17</c:v>
                </c:pt>
                <c:pt idx="11">
                  <c:v>Sep'17</c:v>
                </c:pt>
              </c:strCache>
            </c:strRef>
          </c:cat>
          <c:val>
            <c:numRef>
              <c:f>Storage!$G$39:$G$50</c:f>
              <c:numCache>
                <c:formatCode>General</c:formatCode>
                <c:ptCount val="12"/>
                <c:pt idx="0">
                  <c:v>5.58</c:v>
                </c:pt>
                <c:pt idx="1">
                  <c:v>5.9</c:v>
                </c:pt>
                <c:pt idx="2" formatCode="0.00">
                  <c:v>6</c:v>
                </c:pt>
                <c:pt idx="3" formatCode="0.00">
                  <c:v>6.32</c:v>
                </c:pt>
                <c:pt idx="4" formatCode="0.00">
                  <c:v>6.5</c:v>
                </c:pt>
                <c:pt idx="5" formatCode="0.00">
                  <c:v>6.47</c:v>
                </c:pt>
                <c:pt idx="6" formatCode="0.00">
                  <c:v>6.48</c:v>
                </c:pt>
                <c:pt idx="7" formatCode="0.00">
                  <c:v>6.49</c:v>
                </c:pt>
                <c:pt idx="8" formatCode="0.00">
                  <c:v>6.5510000000000002</c:v>
                </c:pt>
                <c:pt idx="9" formatCode="0.00">
                  <c:v>6.64</c:v>
                </c:pt>
                <c:pt idx="10" formatCode="0.00">
                  <c:v>6.69</c:v>
                </c:pt>
                <c:pt idx="11" formatCode="0.00">
                  <c:v>6.83</c:v>
                </c:pt>
              </c:numCache>
            </c:numRef>
          </c:val>
          <c:smooth val="0"/>
          <c:extLst>
            <c:ext xmlns:c16="http://schemas.microsoft.com/office/drawing/2014/chart" uri="{C3380CC4-5D6E-409C-BE32-E72D297353CC}">
              <c16:uniqueId val="{00000000-4C68-4398-9C90-E2C5427622CC}"/>
            </c:ext>
          </c:extLst>
        </c:ser>
        <c:ser>
          <c:idx val="1"/>
          <c:order val="1"/>
          <c:tx>
            <c:strRef>
              <c:f>Storage!$H$13</c:f>
              <c:strCache>
                <c:ptCount val="1"/>
                <c:pt idx="0">
                  <c:v>Total Available Storage</c:v>
                </c:pt>
              </c:strCache>
            </c:strRef>
          </c:tx>
          <c:spPr>
            <a:ln w="28575" cap="rnd">
              <a:solidFill>
                <a:schemeClr val="accent2"/>
              </a:solidFill>
              <a:round/>
            </a:ln>
            <a:effectLst/>
          </c:spPr>
          <c:marker>
            <c:symbol val="none"/>
          </c:marker>
          <c:cat>
            <c:strRef>
              <c:f>Storage!$B$39:$B$50</c:f>
              <c:strCache>
                <c:ptCount val="12"/>
                <c:pt idx="0">
                  <c:v>Oct'16</c:v>
                </c:pt>
                <c:pt idx="1">
                  <c:v>Nov'16</c:v>
                </c:pt>
                <c:pt idx="2">
                  <c:v>Dec'16</c:v>
                </c:pt>
                <c:pt idx="3">
                  <c:v>Jan'17</c:v>
                </c:pt>
                <c:pt idx="4">
                  <c:v>Feb'17</c:v>
                </c:pt>
                <c:pt idx="5">
                  <c:v>Mar'17</c:v>
                </c:pt>
                <c:pt idx="6">
                  <c:v>Apr'17</c:v>
                </c:pt>
                <c:pt idx="7">
                  <c:v>May'17</c:v>
                </c:pt>
                <c:pt idx="8">
                  <c:v>Jun'17</c:v>
                </c:pt>
                <c:pt idx="9">
                  <c:v>Jul'17</c:v>
                </c:pt>
                <c:pt idx="10">
                  <c:v>Aug'17</c:v>
                </c:pt>
                <c:pt idx="11">
                  <c:v>Sep'17</c:v>
                </c:pt>
              </c:strCache>
            </c:strRef>
          </c:cat>
          <c:val>
            <c:numRef>
              <c:f>Storage!$H$39:$H$50</c:f>
              <c:numCache>
                <c:formatCode>General</c:formatCode>
                <c:ptCount val="12"/>
                <c:pt idx="0">
                  <c:v>15</c:v>
                </c:pt>
                <c:pt idx="1">
                  <c:v>15</c:v>
                </c:pt>
                <c:pt idx="2">
                  <c:v>15</c:v>
                </c:pt>
                <c:pt idx="3">
                  <c:v>15</c:v>
                </c:pt>
                <c:pt idx="4">
                  <c:v>15</c:v>
                </c:pt>
                <c:pt idx="5">
                  <c:v>15</c:v>
                </c:pt>
                <c:pt idx="6">
                  <c:v>15</c:v>
                </c:pt>
                <c:pt idx="7">
                  <c:v>15</c:v>
                </c:pt>
                <c:pt idx="8">
                  <c:v>15</c:v>
                </c:pt>
                <c:pt idx="9">
                  <c:v>15</c:v>
                </c:pt>
                <c:pt idx="10">
                  <c:v>15</c:v>
                </c:pt>
                <c:pt idx="11">
                  <c:v>15</c:v>
                </c:pt>
              </c:numCache>
            </c:numRef>
          </c:val>
          <c:smooth val="0"/>
          <c:extLst>
            <c:ext xmlns:c16="http://schemas.microsoft.com/office/drawing/2014/chart" uri="{C3380CC4-5D6E-409C-BE32-E72D297353CC}">
              <c16:uniqueId val="{00000001-4C68-4398-9C90-E2C5427622CC}"/>
            </c:ext>
          </c:extLst>
        </c:ser>
        <c:dLbls>
          <c:showLegendKey val="0"/>
          <c:showVal val="0"/>
          <c:showCatName val="0"/>
          <c:showSerName val="0"/>
          <c:showPercent val="0"/>
          <c:showBubbleSize val="0"/>
        </c:dLbls>
        <c:smooth val="0"/>
        <c:axId val="-73174992"/>
        <c:axId val="-73178256"/>
      </c:lineChart>
      <c:catAx>
        <c:axId val="-73174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73178256"/>
        <c:crosses val="autoZero"/>
        <c:auto val="1"/>
        <c:lblAlgn val="ctr"/>
        <c:lblOffset val="100"/>
        <c:noMultiLvlLbl val="0"/>
      </c:catAx>
      <c:valAx>
        <c:axId val="-7317825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n-US" b="1"/>
                  <a:t>Size (in</a:t>
                </a:r>
                <a:r>
                  <a:rPr lang="en-US" b="1" baseline="0"/>
                  <a:t> TB)</a:t>
                </a:r>
                <a:endParaRPr lang="en-US" b="1"/>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73174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CA" b="1"/>
              <a:t>Quarantine Email Trends - 12 Month</a:t>
            </a:r>
            <a:r>
              <a:rPr lang="en-CA" b="1" baseline="0"/>
              <a:t> View</a:t>
            </a:r>
            <a:endParaRPr lang="en-CA" b="1"/>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lotArea>
      <c:layout/>
      <c:lineChart>
        <c:grouping val="standard"/>
        <c:varyColors val="0"/>
        <c:ser>
          <c:idx val="3"/>
          <c:order val="3"/>
          <c:tx>
            <c:strRef>
              <c:f>Quarantine!$F$24</c:f>
              <c:strCache>
                <c:ptCount val="1"/>
                <c:pt idx="0">
                  <c:v>% of all messages flagged as SPAM</c:v>
                </c:pt>
              </c:strCache>
            </c:strRef>
          </c:tx>
          <c:spPr>
            <a:ln w="28575" cap="rnd">
              <a:solidFill>
                <a:srgbClr val="0070C0"/>
              </a:solidFill>
              <a:round/>
            </a:ln>
            <a:effectLst/>
          </c:spPr>
          <c:marker>
            <c:symbol val="circle"/>
            <c:size val="5"/>
            <c:spPr>
              <a:solidFill>
                <a:srgbClr val="0070C0"/>
              </a:solidFill>
              <a:ln w="9525">
                <a:solidFill>
                  <a:srgbClr val="0070C0"/>
                </a:solidFill>
              </a:ln>
              <a:effectLst/>
            </c:spPr>
          </c:marker>
          <c:cat>
            <c:strRef>
              <c:f>Quarantine!$B$50:$B$61</c:f>
              <c:strCache>
                <c:ptCount val="12"/>
                <c:pt idx="0">
                  <c:v>Oct'16</c:v>
                </c:pt>
                <c:pt idx="1">
                  <c:v>Nov'16</c:v>
                </c:pt>
                <c:pt idx="2">
                  <c:v>Dec'16</c:v>
                </c:pt>
                <c:pt idx="3">
                  <c:v>Jan'17</c:v>
                </c:pt>
                <c:pt idx="4">
                  <c:v>Feb'17</c:v>
                </c:pt>
                <c:pt idx="5">
                  <c:v>Mar'17</c:v>
                </c:pt>
                <c:pt idx="6">
                  <c:v>Apr'17</c:v>
                </c:pt>
                <c:pt idx="7">
                  <c:v>May'17</c:v>
                </c:pt>
                <c:pt idx="8">
                  <c:v>Jun'17</c:v>
                </c:pt>
                <c:pt idx="9">
                  <c:v>Jul'17</c:v>
                </c:pt>
                <c:pt idx="10">
                  <c:v>Aug'17</c:v>
                </c:pt>
                <c:pt idx="11">
                  <c:v>Sep'17</c:v>
                </c:pt>
              </c:strCache>
            </c:strRef>
          </c:cat>
          <c:val>
            <c:numRef>
              <c:f>Quarantine!$F$50:$F$61</c:f>
              <c:numCache>
                <c:formatCode>0.00%</c:formatCode>
                <c:ptCount val="12"/>
                <c:pt idx="0">
                  <c:v>7.7830209251005256E-2</c:v>
                </c:pt>
                <c:pt idx="1">
                  <c:v>8.0791769425710341E-2</c:v>
                </c:pt>
                <c:pt idx="2">
                  <c:v>7.8895822823440015E-2</c:v>
                </c:pt>
                <c:pt idx="3">
                  <c:v>7.5586452100097679E-2</c:v>
                </c:pt>
                <c:pt idx="4">
                  <c:v>6.9071953254557839E-2</c:v>
                </c:pt>
                <c:pt idx="5">
                  <c:v>6.5067703501174204E-2</c:v>
                </c:pt>
                <c:pt idx="6">
                  <c:v>0.10106399234375879</c:v>
                </c:pt>
                <c:pt idx="7">
                  <c:v>8.3316070402985012E-2</c:v>
                </c:pt>
                <c:pt idx="8">
                  <c:v>8.4262254292112468E-2</c:v>
                </c:pt>
                <c:pt idx="9">
                  <c:v>8.3057237020079638E-2</c:v>
                </c:pt>
                <c:pt idx="10">
                  <c:v>8.0373172398146731E-2</c:v>
                </c:pt>
                <c:pt idx="11">
                  <c:v>8.4491451986524815E-2</c:v>
                </c:pt>
              </c:numCache>
            </c:numRef>
          </c:val>
          <c:smooth val="0"/>
          <c:extLst>
            <c:ext xmlns:c16="http://schemas.microsoft.com/office/drawing/2014/chart" uri="{C3380CC4-5D6E-409C-BE32-E72D297353CC}">
              <c16:uniqueId val="{00000000-BC1F-4AFE-8665-F975676DA6AC}"/>
            </c:ext>
          </c:extLst>
        </c:ser>
        <c:ser>
          <c:idx val="4"/>
          <c:order val="4"/>
          <c:tx>
            <c:strRef>
              <c:f>Quarantine!$G$24</c:f>
              <c:strCache>
                <c:ptCount val="1"/>
                <c:pt idx="0">
                  <c:v>% of quarantined messages released as legitimate</c:v>
                </c:pt>
              </c:strCache>
            </c:strRef>
          </c:tx>
          <c:spPr>
            <a:ln w="28575" cap="rnd">
              <a:solidFill>
                <a:srgbClr val="FF0000"/>
              </a:solidFill>
              <a:round/>
            </a:ln>
            <a:effectLst/>
          </c:spPr>
          <c:marker>
            <c:symbol val="circle"/>
            <c:size val="5"/>
            <c:spPr>
              <a:solidFill>
                <a:srgbClr val="FF0000"/>
              </a:solidFill>
              <a:ln w="9525">
                <a:solidFill>
                  <a:srgbClr val="FF0000"/>
                </a:solidFill>
              </a:ln>
              <a:effectLst/>
            </c:spPr>
          </c:marker>
          <c:cat>
            <c:strRef>
              <c:f>Quarantine!$B$50:$B$61</c:f>
              <c:strCache>
                <c:ptCount val="12"/>
                <c:pt idx="0">
                  <c:v>Oct'16</c:v>
                </c:pt>
                <c:pt idx="1">
                  <c:v>Nov'16</c:v>
                </c:pt>
                <c:pt idx="2">
                  <c:v>Dec'16</c:v>
                </c:pt>
                <c:pt idx="3">
                  <c:v>Jan'17</c:v>
                </c:pt>
                <c:pt idx="4">
                  <c:v>Feb'17</c:v>
                </c:pt>
                <c:pt idx="5">
                  <c:v>Mar'17</c:v>
                </c:pt>
                <c:pt idx="6">
                  <c:v>Apr'17</c:v>
                </c:pt>
                <c:pt idx="7">
                  <c:v>May'17</c:v>
                </c:pt>
                <c:pt idx="8">
                  <c:v>Jun'17</c:v>
                </c:pt>
                <c:pt idx="9">
                  <c:v>Jul'17</c:v>
                </c:pt>
                <c:pt idx="10">
                  <c:v>Aug'17</c:v>
                </c:pt>
                <c:pt idx="11">
                  <c:v>Sep'17</c:v>
                </c:pt>
              </c:strCache>
            </c:strRef>
          </c:cat>
          <c:val>
            <c:numRef>
              <c:f>Quarantine!$G$50:$G$61</c:f>
              <c:numCache>
                <c:formatCode>0.00%</c:formatCode>
                <c:ptCount val="12"/>
                <c:pt idx="0">
                  <c:v>1.9131938329517619E-2</c:v>
                </c:pt>
                <c:pt idx="1">
                  <c:v>3.4444718621630642E-2</c:v>
                </c:pt>
                <c:pt idx="2">
                  <c:v>3.2740620867952083E-2</c:v>
                </c:pt>
                <c:pt idx="3">
                  <c:v>3.7671002089089564E-2</c:v>
                </c:pt>
                <c:pt idx="4">
                  <c:v>3.644608350424295E-2</c:v>
                </c:pt>
                <c:pt idx="5">
                  <c:v>3.1305107233427942E-2</c:v>
                </c:pt>
                <c:pt idx="6">
                  <c:v>2.9856922317890281E-2</c:v>
                </c:pt>
                <c:pt idx="7">
                  <c:v>3.3156656641753268E-2</c:v>
                </c:pt>
                <c:pt idx="8">
                  <c:v>3.0267237560903586E-2</c:v>
                </c:pt>
                <c:pt idx="9">
                  <c:v>3.2272751151347472E-2</c:v>
                </c:pt>
                <c:pt idx="10">
                  <c:v>3.1490667014750034E-2</c:v>
                </c:pt>
                <c:pt idx="11">
                  <c:v>2.8877202693975458E-2</c:v>
                </c:pt>
              </c:numCache>
            </c:numRef>
          </c:val>
          <c:smooth val="0"/>
          <c:extLst>
            <c:ext xmlns:c16="http://schemas.microsoft.com/office/drawing/2014/chart" uri="{C3380CC4-5D6E-409C-BE32-E72D297353CC}">
              <c16:uniqueId val="{00000001-BC1F-4AFE-8665-F975676DA6AC}"/>
            </c:ext>
          </c:extLst>
        </c:ser>
        <c:dLbls>
          <c:showLegendKey val="0"/>
          <c:showVal val="0"/>
          <c:showCatName val="0"/>
          <c:showSerName val="0"/>
          <c:showPercent val="0"/>
          <c:showBubbleSize val="0"/>
        </c:dLbls>
        <c:marker val="1"/>
        <c:smooth val="0"/>
        <c:axId val="-73165744"/>
        <c:axId val="-73184784"/>
        <c:extLst>
          <c:ext xmlns:c15="http://schemas.microsoft.com/office/drawing/2012/chart" uri="{02D57815-91ED-43cb-92C2-25804820EDAC}">
            <c15:filteredLineSeries>
              <c15:ser>
                <c:idx val="0"/>
                <c:order val="0"/>
                <c:tx>
                  <c:strRef>
                    <c:extLst>
                      <c:ext uri="{02D57815-91ED-43cb-92C2-25804820EDAC}">
                        <c15:formulaRef>
                          <c15:sqref>Quarantine!$C$24</c15:sqref>
                        </c15:formulaRef>
                      </c:ext>
                    </c:extLst>
                    <c:strCache>
                      <c:ptCount val="1"/>
                      <c:pt idx="0">
                        <c:v>Message Received</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extLst>
                      <c:ext uri="{02D57815-91ED-43cb-92C2-25804820EDAC}">
                        <c15:formulaRef>
                          <c15:sqref>Quarantine!$B$50:$B$61</c15:sqref>
                        </c15:formulaRef>
                      </c:ext>
                    </c:extLst>
                    <c:strCache>
                      <c:ptCount val="12"/>
                      <c:pt idx="0">
                        <c:v>Oct'16</c:v>
                      </c:pt>
                      <c:pt idx="1">
                        <c:v>Nov'16</c:v>
                      </c:pt>
                      <c:pt idx="2">
                        <c:v>Dec'16</c:v>
                      </c:pt>
                      <c:pt idx="3">
                        <c:v>Jan'17</c:v>
                      </c:pt>
                      <c:pt idx="4">
                        <c:v>Feb'17</c:v>
                      </c:pt>
                      <c:pt idx="5">
                        <c:v>Mar'17</c:v>
                      </c:pt>
                      <c:pt idx="6">
                        <c:v>Apr'17</c:v>
                      </c:pt>
                      <c:pt idx="7">
                        <c:v>May'17</c:v>
                      </c:pt>
                      <c:pt idx="8">
                        <c:v>Jun'17</c:v>
                      </c:pt>
                      <c:pt idx="9">
                        <c:v>Jul'17</c:v>
                      </c:pt>
                      <c:pt idx="10">
                        <c:v>Aug'17</c:v>
                      </c:pt>
                      <c:pt idx="11">
                        <c:v>Sep'17</c:v>
                      </c:pt>
                    </c:strCache>
                  </c:strRef>
                </c:cat>
                <c:val>
                  <c:numRef>
                    <c:extLst>
                      <c:ext uri="{02D57815-91ED-43cb-92C2-25804820EDAC}">
                        <c15:formulaRef>
                          <c15:sqref>Quarantine!$C$34:$C$45</c15:sqref>
                        </c15:formulaRef>
                      </c:ext>
                    </c:extLst>
                    <c:numCache>
                      <c:formatCode>#,##0</c:formatCode>
                      <c:ptCount val="1"/>
                      <c:pt idx="0">
                        <c:v>671795</c:v>
                      </c:pt>
                    </c:numCache>
                  </c:numRef>
                </c:val>
                <c:smooth val="0"/>
                <c:extLst>
                  <c:ext xmlns:c16="http://schemas.microsoft.com/office/drawing/2014/chart" uri="{C3380CC4-5D6E-409C-BE32-E72D297353CC}">
                    <c16:uniqueId val="{00000002-BC1F-4AFE-8665-F975676DA6AC}"/>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Quarantine!$D$24</c15:sqref>
                        </c15:formulaRef>
                      </c:ext>
                    </c:extLst>
                    <c:strCache>
                      <c:ptCount val="1"/>
                      <c:pt idx="0">
                        <c:v>Identified as SPAM</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extLst xmlns:c15="http://schemas.microsoft.com/office/drawing/2012/chart">
                      <c:ext xmlns:c15="http://schemas.microsoft.com/office/drawing/2012/chart" uri="{02D57815-91ED-43cb-92C2-25804820EDAC}">
                        <c15:formulaRef>
                          <c15:sqref>Quarantine!$B$50:$B$61</c15:sqref>
                        </c15:formulaRef>
                      </c:ext>
                    </c:extLst>
                    <c:strCache>
                      <c:ptCount val="12"/>
                      <c:pt idx="0">
                        <c:v>Oct'16</c:v>
                      </c:pt>
                      <c:pt idx="1">
                        <c:v>Nov'16</c:v>
                      </c:pt>
                      <c:pt idx="2">
                        <c:v>Dec'16</c:v>
                      </c:pt>
                      <c:pt idx="3">
                        <c:v>Jan'17</c:v>
                      </c:pt>
                      <c:pt idx="4">
                        <c:v>Feb'17</c:v>
                      </c:pt>
                      <c:pt idx="5">
                        <c:v>Mar'17</c:v>
                      </c:pt>
                      <c:pt idx="6">
                        <c:v>Apr'17</c:v>
                      </c:pt>
                      <c:pt idx="7">
                        <c:v>May'17</c:v>
                      </c:pt>
                      <c:pt idx="8">
                        <c:v>Jun'17</c:v>
                      </c:pt>
                      <c:pt idx="9">
                        <c:v>Jul'17</c:v>
                      </c:pt>
                      <c:pt idx="10">
                        <c:v>Aug'17</c:v>
                      </c:pt>
                      <c:pt idx="11">
                        <c:v>Sep'17</c:v>
                      </c:pt>
                    </c:strCache>
                  </c:strRef>
                </c:cat>
                <c:val>
                  <c:numRef>
                    <c:extLst xmlns:c15="http://schemas.microsoft.com/office/drawing/2012/chart">
                      <c:ext xmlns:c15="http://schemas.microsoft.com/office/drawing/2012/chart" uri="{02D57815-91ED-43cb-92C2-25804820EDAC}">
                        <c15:formulaRef>
                          <c15:sqref>Quarantine!$D$34:$D$45</c15:sqref>
                        </c15:formulaRef>
                      </c:ext>
                    </c:extLst>
                    <c:numCache>
                      <c:formatCode>General</c:formatCode>
                      <c:ptCount val="1"/>
                      <c:pt idx="0">
                        <c:v>80484</c:v>
                      </c:pt>
                    </c:numCache>
                  </c:numRef>
                </c:val>
                <c:smooth val="0"/>
                <c:extLst xmlns:c15="http://schemas.microsoft.com/office/drawing/2012/chart">
                  <c:ext xmlns:c16="http://schemas.microsoft.com/office/drawing/2014/chart" uri="{C3380CC4-5D6E-409C-BE32-E72D297353CC}">
                    <c16:uniqueId val="{00000003-BC1F-4AFE-8665-F975676DA6AC}"/>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Quarantine!$E$24</c15:sqref>
                        </c15:formulaRef>
                      </c:ext>
                    </c:extLst>
                    <c:strCache>
                      <c:ptCount val="1"/>
                      <c:pt idx="0">
                        <c:v>Released by users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extLst xmlns:c15="http://schemas.microsoft.com/office/drawing/2012/chart">
                      <c:ext xmlns:c15="http://schemas.microsoft.com/office/drawing/2012/chart" uri="{02D57815-91ED-43cb-92C2-25804820EDAC}">
                        <c15:formulaRef>
                          <c15:sqref>Quarantine!$B$50:$B$61</c15:sqref>
                        </c15:formulaRef>
                      </c:ext>
                    </c:extLst>
                    <c:strCache>
                      <c:ptCount val="12"/>
                      <c:pt idx="0">
                        <c:v>Oct'16</c:v>
                      </c:pt>
                      <c:pt idx="1">
                        <c:v>Nov'16</c:v>
                      </c:pt>
                      <c:pt idx="2">
                        <c:v>Dec'16</c:v>
                      </c:pt>
                      <c:pt idx="3">
                        <c:v>Jan'17</c:v>
                      </c:pt>
                      <c:pt idx="4">
                        <c:v>Feb'17</c:v>
                      </c:pt>
                      <c:pt idx="5">
                        <c:v>Mar'17</c:v>
                      </c:pt>
                      <c:pt idx="6">
                        <c:v>Apr'17</c:v>
                      </c:pt>
                      <c:pt idx="7">
                        <c:v>May'17</c:v>
                      </c:pt>
                      <c:pt idx="8">
                        <c:v>Jun'17</c:v>
                      </c:pt>
                      <c:pt idx="9">
                        <c:v>Jul'17</c:v>
                      </c:pt>
                      <c:pt idx="10">
                        <c:v>Aug'17</c:v>
                      </c:pt>
                      <c:pt idx="11">
                        <c:v>Sep'17</c:v>
                      </c:pt>
                    </c:strCache>
                  </c:strRef>
                </c:cat>
                <c:val>
                  <c:numRef>
                    <c:extLst xmlns:c15="http://schemas.microsoft.com/office/drawing/2012/chart">
                      <c:ext xmlns:c15="http://schemas.microsoft.com/office/drawing/2012/chart" uri="{02D57815-91ED-43cb-92C2-25804820EDAC}">
                        <c15:formulaRef>
                          <c15:sqref>Quarantine!$E$34:$E$45</c15:sqref>
                        </c15:formulaRef>
                      </c:ext>
                    </c:extLst>
                    <c:numCache>
                      <c:formatCode>General</c:formatCode>
                      <c:ptCount val="1"/>
                      <c:pt idx="0">
                        <c:v>1810</c:v>
                      </c:pt>
                    </c:numCache>
                  </c:numRef>
                </c:val>
                <c:smooth val="0"/>
                <c:extLst xmlns:c15="http://schemas.microsoft.com/office/drawing/2012/chart">
                  <c:ext xmlns:c16="http://schemas.microsoft.com/office/drawing/2014/chart" uri="{C3380CC4-5D6E-409C-BE32-E72D297353CC}">
                    <c16:uniqueId val="{00000004-BC1F-4AFE-8665-F975676DA6AC}"/>
                  </c:ext>
                </c:extLst>
              </c15:ser>
            </c15:filteredLineSeries>
          </c:ext>
        </c:extLst>
      </c:lineChart>
      <c:catAx>
        <c:axId val="-73165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73184784"/>
        <c:crosses val="autoZero"/>
        <c:auto val="1"/>
        <c:lblAlgn val="ctr"/>
        <c:lblOffset val="100"/>
        <c:noMultiLvlLbl val="0"/>
      </c:catAx>
      <c:valAx>
        <c:axId val="-73184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73165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[MFC MOR.xlsm]CCOps Summary!PivotTable5</c:name>
    <c:fmtId val="0"/>
  </c:pivotSource>
  <c:chart>
    <c:autoTitleDeleted val="1"/>
    <c:pivotFmts>
      <c:pivotFmt>
        <c:idx val="0"/>
        <c:spPr>
          <a:solidFill>
            <a:srgbClr val="5B9BD5">
              <a:alpha val="50196"/>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ED7D31">
              <a:alpha val="50196"/>
            </a:srgb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percentStacked"/>
        <c:varyColors val="0"/>
        <c:ser>
          <c:idx val="0"/>
          <c:order val="0"/>
          <c:tx>
            <c:strRef>
              <c:f>'CCOps Summary'!$D$3:$D$4</c:f>
              <c:strCache>
                <c:ptCount val="1"/>
                <c:pt idx="0">
                  <c:v>Ceryx</c:v>
                </c:pt>
              </c:strCache>
            </c:strRef>
          </c:tx>
          <c:spPr>
            <a:solidFill>
              <a:srgbClr val="5B9BD5">
                <a:alpha val="50196"/>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'CCOps Summary'!$C$5:$C$38</c:f>
              <c:multiLvlStrCache>
                <c:ptCount val="25"/>
                <c:lvl>
                  <c:pt idx="0">
                    <c:v>Account</c:v>
                  </c:pt>
                  <c:pt idx="1">
                    <c:v>Account Aliases</c:v>
                  </c:pt>
                  <c:pt idx="2">
                    <c:v>Account Full Mailbox Access Permission</c:v>
                  </c:pt>
                  <c:pt idx="3">
                    <c:v>Accounts to Accept Message From</c:v>
                  </c:pt>
                  <c:pt idx="4">
                    <c:v>Mailbox Folder Permissions</c:v>
                  </c:pt>
                  <c:pt idx="5">
                    <c:v>Modify Members</c:v>
                  </c:pt>
                  <c:pt idx="6">
                    <c:v>Account Adoption</c:v>
                  </c:pt>
                  <c:pt idx="7">
                    <c:v>Account</c:v>
                  </c:pt>
                  <c:pt idx="8">
                    <c:v>Account Aliases</c:v>
                  </c:pt>
                  <c:pt idx="9">
                    <c:v>Account Full Mailbox Access Permission</c:v>
                  </c:pt>
                  <c:pt idx="10">
                    <c:v>Modify Members</c:v>
                  </c:pt>
                  <c:pt idx="11">
                    <c:v>Accept Message From Authenticated Accounts Only</c:v>
                  </c:pt>
                  <c:pt idx="12">
                    <c:v>Account ActiveSync</c:v>
                  </c:pt>
                  <c:pt idx="13">
                    <c:v>Account Attributes</c:v>
                  </c:pt>
                  <c:pt idx="14">
                    <c:v>Account Disable Status</c:v>
                  </c:pt>
                  <c:pt idx="15">
                    <c:v>Account Forwarding</c:v>
                  </c:pt>
                  <c:pt idx="16">
                    <c:v>Account Org Group</c:v>
                  </c:pt>
                  <c:pt idx="17">
                    <c:v>Account Password</c:v>
                  </c:pt>
                  <c:pt idx="18">
                    <c:v>Account Primary Email</c:v>
                  </c:pt>
                  <c:pt idx="19">
                    <c:v>Manage Accounts DL Membership</c:v>
                  </c:pt>
                  <c:pt idx="20">
                    <c:v>Meeting Properties of Resource</c:v>
                  </c:pt>
                  <c:pt idx="21">
                    <c:v>Digest On-demand</c:v>
                  </c:pt>
                  <c:pt idx="22">
                    <c:v>Digest On-demand</c:v>
                  </c:pt>
                  <c:pt idx="23">
                    <c:v>Account Unadoption</c:v>
                  </c:pt>
                  <c:pt idx="24">
                    <c:v>AD account lockout</c:v>
                  </c:pt>
                </c:lvl>
                <c:lvl>
                  <c:pt idx="0">
                    <c:v>Add</c:v>
                  </c:pt>
                  <c:pt idx="6">
                    <c:v>Adopt</c:v>
                  </c:pt>
                  <c:pt idx="7">
                    <c:v>Delete</c:v>
                  </c:pt>
                  <c:pt idx="11">
                    <c:v>Modify</c:v>
                  </c:pt>
                  <c:pt idx="21">
                    <c:v>Rqst</c:v>
                  </c:pt>
                  <c:pt idx="22">
                    <c:v>Resp</c:v>
                  </c:pt>
                  <c:pt idx="23">
                    <c:v>Udpt</c:v>
                  </c:pt>
                  <c:pt idx="24">
                    <c:v>Unlock</c:v>
                  </c:pt>
                </c:lvl>
              </c:multiLvlStrCache>
            </c:multiLvlStrRef>
          </c:cat>
          <c:val>
            <c:numRef>
              <c:f>'CCOps Summary'!$D$5:$D$38</c:f>
              <c:numCache>
                <c:formatCode>General</c:formatCode>
                <c:ptCount val="25"/>
                <c:pt idx="0">
                  <c:v>2</c:v>
                </c:pt>
                <c:pt idx="2">
                  <c:v>2</c:v>
                </c:pt>
                <c:pt idx="3">
                  <c:v>2</c:v>
                </c:pt>
                <c:pt idx="4">
                  <c:v>2</c:v>
                </c:pt>
                <c:pt idx="6">
                  <c:v>2</c:v>
                </c:pt>
                <c:pt idx="9">
                  <c:v>2</c:v>
                </c:pt>
                <c:pt idx="11">
                  <c:v>2</c:v>
                </c:pt>
                <c:pt idx="14">
                  <c:v>5</c:v>
                </c:pt>
                <c:pt idx="15">
                  <c:v>2</c:v>
                </c:pt>
                <c:pt idx="20">
                  <c:v>2</c:v>
                </c:pt>
                <c:pt idx="23">
                  <c:v>2</c:v>
                </c:pt>
              </c:numCache>
            </c:numRef>
          </c:val>
          <c:extLst>
            <c:ext xmlns:c16="http://schemas.microsoft.com/office/drawing/2014/chart" uri="{C3380CC4-5D6E-409C-BE32-E72D297353CC}">
              <c16:uniqueId val="{00000000-9B93-40F3-9D56-E6FDF22FEE01}"/>
            </c:ext>
          </c:extLst>
        </c:ser>
        <c:ser>
          <c:idx val="1"/>
          <c:order val="1"/>
          <c:tx>
            <c:strRef>
              <c:f>'CCOps Summary'!$E$3:$E$4</c:f>
              <c:strCache>
                <c:ptCount val="1"/>
                <c:pt idx="0">
                  <c:v>MFC</c:v>
                </c:pt>
              </c:strCache>
            </c:strRef>
          </c:tx>
          <c:spPr>
            <a:solidFill>
              <a:srgbClr val="ED7D31">
                <a:alpha val="50196"/>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'CCOps Summary'!$C$5:$C$38</c:f>
              <c:multiLvlStrCache>
                <c:ptCount val="25"/>
                <c:lvl>
                  <c:pt idx="0">
                    <c:v>Account</c:v>
                  </c:pt>
                  <c:pt idx="1">
                    <c:v>Account Aliases</c:v>
                  </c:pt>
                  <c:pt idx="2">
                    <c:v>Account Full Mailbox Access Permission</c:v>
                  </c:pt>
                  <c:pt idx="3">
                    <c:v>Accounts to Accept Message From</c:v>
                  </c:pt>
                  <c:pt idx="4">
                    <c:v>Mailbox Folder Permissions</c:v>
                  </c:pt>
                  <c:pt idx="5">
                    <c:v>Modify Members</c:v>
                  </c:pt>
                  <c:pt idx="6">
                    <c:v>Account Adoption</c:v>
                  </c:pt>
                  <c:pt idx="7">
                    <c:v>Account</c:v>
                  </c:pt>
                  <c:pt idx="8">
                    <c:v>Account Aliases</c:v>
                  </c:pt>
                  <c:pt idx="9">
                    <c:v>Account Full Mailbox Access Permission</c:v>
                  </c:pt>
                  <c:pt idx="10">
                    <c:v>Modify Members</c:v>
                  </c:pt>
                  <c:pt idx="11">
                    <c:v>Accept Message From Authenticated Accounts Only</c:v>
                  </c:pt>
                  <c:pt idx="12">
                    <c:v>Account ActiveSync</c:v>
                  </c:pt>
                  <c:pt idx="13">
                    <c:v>Account Attributes</c:v>
                  </c:pt>
                  <c:pt idx="14">
                    <c:v>Account Disable Status</c:v>
                  </c:pt>
                  <c:pt idx="15">
                    <c:v>Account Forwarding</c:v>
                  </c:pt>
                  <c:pt idx="16">
                    <c:v>Account Org Group</c:v>
                  </c:pt>
                  <c:pt idx="17">
                    <c:v>Account Password</c:v>
                  </c:pt>
                  <c:pt idx="18">
                    <c:v>Account Primary Email</c:v>
                  </c:pt>
                  <c:pt idx="19">
                    <c:v>Manage Accounts DL Membership</c:v>
                  </c:pt>
                  <c:pt idx="20">
                    <c:v>Meeting Properties of Resource</c:v>
                  </c:pt>
                  <c:pt idx="21">
                    <c:v>Digest On-demand</c:v>
                  </c:pt>
                  <c:pt idx="22">
                    <c:v>Digest On-demand</c:v>
                  </c:pt>
                  <c:pt idx="23">
                    <c:v>Account Unadoption</c:v>
                  </c:pt>
                  <c:pt idx="24">
                    <c:v>AD account lockout</c:v>
                  </c:pt>
                </c:lvl>
                <c:lvl>
                  <c:pt idx="0">
                    <c:v>Add</c:v>
                  </c:pt>
                  <c:pt idx="6">
                    <c:v>Adopt</c:v>
                  </c:pt>
                  <c:pt idx="7">
                    <c:v>Delete</c:v>
                  </c:pt>
                  <c:pt idx="11">
                    <c:v>Modify</c:v>
                  </c:pt>
                  <c:pt idx="21">
                    <c:v>Rqst</c:v>
                  </c:pt>
                  <c:pt idx="22">
                    <c:v>Resp</c:v>
                  </c:pt>
                  <c:pt idx="23">
                    <c:v>Udpt</c:v>
                  </c:pt>
                  <c:pt idx="24">
                    <c:v>Unlock</c:v>
                  </c:pt>
                </c:lvl>
              </c:multiLvlStrCache>
            </c:multiLvlStrRef>
          </c:cat>
          <c:val>
            <c:numRef>
              <c:f>'CCOps Summary'!$E$5:$E$38</c:f>
              <c:numCache>
                <c:formatCode>General</c:formatCode>
                <c:ptCount val="25"/>
                <c:pt idx="0">
                  <c:v>30</c:v>
                </c:pt>
                <c:pt idx="1">
                  <c:v>4</c:v>
                </c:pt>
                <c:pt idx="5">
                  <c:v>68</c:v>
                </c:pt>
                <c:pt idx="7">
                  <c:v>1</c:v>
                </c:pt>
                <c:pt idx="8">
                  <c:v>2</c:v>
                </c:pt>
                <c:pt idx="10">
                  <c:v>188</c:v>
                </c:pt>
                <c:pt idx="12">
                  <c:v>9</c:v>
                </c:pt>
                <c:pt idx="13">
                  <c:v>6</c:v>
                </c:pt>
                <c:pt idx="14">
                  <c:v>104</c:v>
                </c:pt>
                <c:pt idx="15">
                  <c:v>16</c:v>
                </c:pt>
                <c:pt idx="16">
                  <c:v>52</c:v>
                </c:pt>
                <c:pt idx="17">
                  <c:v>655</c:v>
                </c:pt>
                <c:pt idx="18">
                  <c:v>3</c:v>
                </c:pt>
                <c:pt idx="19">
                  <c:v>262</c:v>
                </c:pt>
                <c:pt idx="21">
                  <c:v>44</c:v>
                </c:pt>
                <c:pt idx="22">
                  <c:v>44</c:v>
                </c:pt>
                <c:pt idx="24">
                  <c:v>172</c:v>
                </c:pt>
              </c:numCache>
            </c:numRef>
          </c:val>
          <c:extLst>
            <c:ext xmlns:c16="http://schemas.microsoft.com/office/drawing/2014/chart" uri="{C3380CC4-5D6E-409C-BE32-E72D297353CC}">
              <c16:uniqueId val="{00000001-9B93-40F3-9D56-E6FDF22FEE01}"/>
            </c:ext>
          </c:extLst>
        </c:ser>
        <c:dLbls>
          <c:showLegendKey val="0"/>
          <c:showVal val="0"/>
          <c:showCatName val="0"/>
          <c:showSerName val="0"/>
          <c:showPercent val="0"/>
          <c:showBubbleSize val="0"/>
        </c:dLbls>
        <c:gapWidth val="150"/>
        <c:overlap val="100"/>
        <c:axId val="-73163024"/>
        <c:axId val="-73180432"/>
      </c:barChart>
      <c:catAx>
        <c:axId val="-731630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Type of Operation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80432"/>
        <c:crosses val="autoZero"/>
        <c:auto val="1"/>
        <c:lblAlgn val="ctr"/>
        <c:lblOffset val="100"/>
        <c:noMultiLvlLbl val="0"/>
      </c:catAx>
      <c:valAx>
        <c:axId val="-7318043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CA"/>
                  <a:t>Performed by: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1630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1" Type="http://schemas.openxmlformats.org/officeDocument/2006/relationships/image" Target="../media/image21.gif"/></Relationships>
</file>

<file path=xl/drawings/_rels/drawing12.xml.rels><?xml version="1.0" encoding="UTF-8" standalone="yes"?>
<Relationships xmlns="http://schemas.openxmlformats.org/package/2006/relationships"><Relationship Id="rId1"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1.emf"/><Relationship Id="rId1" Type="http://schemas.openxmlformats.org/officeDocument/2006/relationships/image" Target="../media/image2.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24.emf"/><Relationship Id="rId2" Type="http://schemas.openxmlformats.org/officeDocument/2006/relationships/image" Target="../media/image23.emf"/><Relationship Id="rId1" Type="http://schemas.openxmlformats.org/officeDocument/2006/relationships/image" Target="../media/image22.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25.emf"/></Relationships>
</file>

<file path=xl/drawings/drawing1.xml><?xml version="1.0" encoding="utf-8"?>
<xdr:wsDr xmlns:xdr="http://schemas.openxmlformats.org/drawingml/2006/spreadsheetDrawing" xmlns:a="http://schemas.openxmlformats.org/drawingml/2006/main">
  <xdr:twoCellAnchor>
    <xdr:from>
      <xdr:col>13</xdr:col>
      <xdr:colOff>116541</xdr:colOff>
      <xdr:row>13</xdr:row>
      <xdr:rowOff>157331</xdr:rowOff>
    </xdr:from>
    <xdr:to>
      <xdr:col>14</xdr:col>
      <xdr:colOff>0</xdr:colOff>
      <xdr:row>13</xdr:row>
      <xdr:rowOff>596601</xdr:rowOff>
    </xdr:to>
    <xdr:sp macro="" textlink="">
      <xdr:nvSpPr>
        <xdr:cNvPr id="2" name="Right Arrow 1">
          <a:extLst>
            <a:ext uri="{FF2B5EF4-FFF2-40B4-BE49-F238E27FC236}">
              <a16:creationId xmlns:a16="http://schemas.microsoft.com/office/drawing/2014/main" id="{00000000-0008-0000-0000-000002000000}"/>
            </a:ext>
          </a:extLst>
        </xdr:cNvPr>
        <xdr:cNvSpPr/>
      </xdr:nvSpPr>
      <xdr:spPr>
        <a:xfrm>
          <a:off x="10334961" y="7160111"/>
          <a:ext cx="493059" cy="439270"/>
        </a:xfrm>
        <a:prstGeom prst="right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mc:AlternateContent xmlns:mc="http://schemas.openxmlformats.org/markup-compatibility/2006">
    <mc:Choice xmlns:a14="http://schemas.microsoft.com/office/drawing/2010/main" Requires="a14">
      <xdr:twoCellAnchor editAs="oneCell">
        <xdr:from>
          <xdr:col>14</xdr:col>
          <xdr:colOff>152400</xdr:colOff>
          <xdr:row>13</xdr:row>
          <xdr:rowOff>57150</xdr:rowOff>
        </xdr:from>
        <xdr:to>
          <xdr:col>16</xdr:col>
          <xdr:colOff>323850</xdr:colOff>
          <xdr:row>13</xdr:row>
          <xdr:rowOff>666750</xdr:rowOff>
        </xdr:to>
        <xdr:sp macro="" textlink="">
          <xdr:nvSpPr>
            <xdr:cNvPr id="10241" name="bCCOpsChart"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13</xdr:row>
          <xdr:rowOff>104775</xdr:rowOff>
        </xdr:from>
        <xdr:to>
          <xdr:col>12</xdr:col>
          <xdr:colOff>438150</xdr:colOff>
          <xdr:row>13</xdr:row>
          <xdr:rowOff>638175</xdr:rowOff>
        </xdr:to>
        <xdr:sp macro="" textlink="">
          <xdr:nvSpPr>
            <xdr:cNvPr id="10242" name="bCCOps"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152400</xdr:colOff>
          <xdr:row>4</xdr:row>
          <xdr:rowOff>85725</xdr:rowOff>
        </xdr:from>
        <xdr:to>
          <xdr:col>12</xdr:col>
          <xdr:colOff>438150</xdr:colOff>
          <xdr:row>4</xdr:row>
          <xdr:rowOff>619125</xdr:rowOff>
        </xdr:to>
        <xdr:sp macro="" textlink="">
          <xdr:nvSpPr>
            <xdr:cNvPr id="10243" name="bNAv1" hidden="1">
              <a:extLst>
                <a:ext uri="{63B3BB69-23CF-44E3-9099-C40C66FF867C}">
                  <a14:compatExt spid="_x0000_s10243"/>
                </a:ext>
                <a:ext uri="{FF2B5EF4-FFF2-40B4-BE49-F238E27FC236}">
                  <a16:creationId xmlns:a16="http://schemas.microsoft.com/office/drawing/2014/main" id="{00000000-0008-0000-00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171450</xdr:colOff>
          <xdr:row>5</xdr:row>
          <xdr:rowOff>76200</xdr:rowOff>
        </xdr:from>
        <xdr:to>
          <xdr:col>12</xdr:col>
          <xdr:colOff>457200</xdr:colOff>
          <xdr:row>5</xdr:row>
          <xdr:rowOff>609600</xdr:rowOff>
        </xdr:to>
        <xdr:sp macro="" textlink="">
          <xdr:nvSpPr>
            <xdr:cNvPr id="10244" name="bNav2" hidden="1">
              <a:extLst>
                <a:ext uri="{63B3BB69-23CF-44E3-9099-C40C66FF867C}">
                  <a14:compatExt spid="_x0000_s10244"/>
                </a:ext>
                <a:ext uri="{FF2B5EF4-FFF2-40B4-BE49-F238E27FC236}">
                  <a16:creationId xmlns:a16="http://schemas.microsoft.com/office/drawing/2014/main" id="{00000000-0008-0000-00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6</xdr:row>
          <xdr:rowOff>47625</xdr:rowOff>
        </xdr:from>
        <xdr:to>
          <xdr:col>12</xdr:col>
          <xdr:colOff>438150</xdr:colOff>
          <xdr:row>6</xdr:row>
          <xdr:rowOff>581025</xdr:rowOff>
        </xdr:to>
        <xdr:sp macro="" textlink="">
          <xdr:nvSpPr>
            <xdr:cNvPr id="10245" name="bNav3" hidden="1">
              <a:extLst>
                <a:ext uri="{63B3BB69-23CF-44E3-9099-C40C66FF867C}">
                  <a14:compatExt spid="_x0000_s10245"/>
                </a:ext>
                <a:ext uri="{FF2B5EF4-FFF2-40B4-BE49-F238E27FC236}">
                  <a16:creationId xmlns:a16="http://schemas.microsoft.com/office/drawing/2014/main" id="{00000000-0008-0000-00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7</xdr:row>
          <xdr:rowOff>47625</xdr:rowOff>
        </xdr:from>
        <xdr:to>
          <xdr:col>12</xdr:col>
          <xdr:colOff>438150</xdr:colOff>
          <xdr:row>7</xdr:row>
          <xdr:rowOff>581025</xdr:rowOff>
        </xdr:to>
        <xdr:sp macro="" textlink="">
          <xdr:nvSpPr>
            <xdr:cNvPr id="10246" name="bNav4" hidden="1">
              <a:extLst>
                <a:ext uri="{63B3BB69-23CF-44E3-9099-C40C66FF867C}">
                  <a14:compatExt spid="_x0000_s10246"/>
                </a:ext>
                <a:ext uri="{FF2B5EF4-FFF2-40B4-BE49-F238E27FC236}">
                  <a16:creationId xmlns:a16="http://schemas.microsoft.com/office/drawing/2014/main" id="{00000000-0008-0000-00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8</xdr:row>
          <xdr:rowOff>85725</xdr:rowOff>
        </xdr:from>
        <xdr:to>
          <xdr:col>12</xdr:col>
          <xdr:colOff>438150</xdr:colOff>
          <xdr:row>8</xdr:row>
          <xdr:rowOff>619125</xdr:rowOff>
        </xdr:to>
        <xdr:sp macro="" textlink="">
          <xdr:nvSpPr>
            <xdr:cNvPr id="10247" name="bNav5" hidden="1">
              <a:extLst>
                <a:ext uri="{63B3BB69-23CF-44E3-9099-C40C66FF867C}">
                  <a14:compatExt spid="_x0000_s10247"/>
                </a:ext>
                <a:ext uri="{FF2B5EF4-FFF2-40B4-BE49-F238E27FC236}">
                  <a16:creationId xmlns:a16="http://schemas.microsoft.com/office/drawing/2014/main" id="{00000000-0008-0000-0000-00000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133350</xdr:colOff>
          <xdr:row>9</xdr:row>
          <xdr:rowOff>57150</xdr:rowOff>
        </xdr:from>
        <xdr:to>
          <xdr:col>12</xdr:col>
          <xdr:colOff>419100</xdr:colOff>
          <xdr:row>9</xdr:row>
          <xdr:rowOff>590550</xdr:rowOff>
        </xdr:to>
        <xdr:sp macro="" textlink="">
          <xdr:nvSpPr>
            <xdr:cNvPr id="10248" name="bNav6"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152400</xdr:colOff>
          <xdr:row>10</xdr:row>
          <xdr:rowOff>95250</xdr:rowOff>
        </xdr:from>
        <xdr:to>
          <xdr:col>12</xdr:col>
          <xdr:colOff>438150</xdr:colOff>
          <xdr:row>10</xdr:row>
          <xdr:rowOff>628650</xdr:rowOff>
        </xdr:to>
        <xdr:sp macro="" textlink="">
          <xdr:nvSpPr>
            <xdr:cNvPr id="10249" name="bNav7"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133350</xdr:colOff>
          <xdr:row>11</xdr:row>
          <xdr:rowOff>47625</xdr:rowOff>
        </xdr:from>
        <xdr:to>
          <xdr:col>12</xdr:col>
          <xdr:colOff>419100</xdr:colOff>
          <xdr:row>11</xdr:row>
          <xdr:rowOff>581025</xdr:rowOff>
        </xdr:to>
        <xdr:sp macro="" textlink="">
          <xdr:nvSpPr>
            <xdr:cNvPr id="10250" name="bNav8" hidden="1">
              <a:extLst>
                <a:ext uri="{63B3BB69-23CF-44E3-9099-C40C66FF867C}">
                  <a14:compatExt spid="_x0000_s10250"/>
                </a:ext>
                <a:ext uri="{FF2B5EF4-FFF2-40B4-BE49-F238E27FC236}">
                  <a16:creationId xmlns:a16="http://schemas.microsoft.com/office/drawing/2014/main" id="{00000000-0008-0000-0000-00000A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171450</xdr:colOff>
          <xdr:row>12</xdr:row>
          <xdr:rowOff>152400</xdr:rowOff>
        </xdr:from>
        <xdr:to>
          <xdr:col>12</xdr:col>
          <xdr:colOff>457200</xdr:colOff>
          <xdr:row>12</xdr:row>
          <xdr:rowOff>685800</xdr:rowOff>
        </xdr:to>
        <xdr:sp macro="" textlink="">
          <xdr:nvSpPr>
            <xdr:cNvPr id="10251" name="bNav9" hidden="1">
              <a:extLst>
                <a:ext uri="{63B3BB69-23CF-44E3-9099-C40C66FF867C}">
                  <a14:compatExt spid="_x0000_s10251"/>
                </a:ext>
                <a:ext uri="{FF2B5EF4-FFF2-40B4-BE49-F238E27FC236}">
                  <a16:creationId xmlns:a16="http://schemas.microsoft.com/office/drawing/2014/main" id="{00000000-0008-0000-0000-00000B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95250</xdr:colOff>
          <xdr:row>0</xdr:row>
          <xdr:rowOff>104775</xdr:rowOff>
        </xdr:from>
        <xdr:to>
          <xdr:col>0</xdr:col>
          <xdr:colOff>1190625</xdr:colOff>
          <xdr:row>2</xdr:row>
          <xdr:rowOff>295275</xdr:rowOff>
        </xdr:to>
        <xdr:sp macro="" textlink="">
          <xdr:nvSpPr>
            <xdr:cNvPr id="20481" name="bStartHere_back1" hidden="1">
              <a:extLst>
                <a:ext uri="{63B3BB69-23CF-44E3-9099-C40C66FF867C}">
                  <a14:compatExt spid="_x0000_s20481"/>
                </a:ext>
                <a:ext uri="{FF2B5EF4-FFF2-40B4-BE49-F238E27FC236}">
                  <a16:creationId xmlns:a16="http://schemas.microsoft.com/office/drawing/2014/main" id="{00000000-0008-0000-0100-0000015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0</xdr:row>
          <xdr:rowOff>76200</xdr:rowOff>
        </xdr:from>
        <xdr:to>
          <xdr:col>0</xdr:col>
          <xdr:colOff>1200150</xdr:colOff>
          <xdr:row>2</xdr:row>
          <xdr:rowOff>219075</xdr:rowOff>
        </xdr:to>
        <xdr:sp macro="" textlink="">
          <xdr:nvSpPr>
            <xdr:cNvPr id="21505" name="bStartHere_back2" hidden="1">
              <a:extLst>
                <a:ext uri="{63B3BB69-23CF-44E3-9099-C40C66FF867C}">
                  <a14:compatExt spid="_x0000_s21505"/>
                </a:ext>
                <a:ext uri="{FF2B5EF4-FFF2-40B4-BE49-F238E27FC236}">
                  <a16:creationId xmlns:a16="http://schemas.microsoft.com/office/drawing/2014/main" id="{00000000-0008-0000-0200-0000015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23</xdr:col>
      <xdr:colOff>395034</xdr:colOff>
      <xdr:row>25</xdr:row>
      <xdr:rowOff>66713</xdr:rowOff>
    </xdr:from>
    <xdr:to>
      <xdr:col>29</xdr:col>
      <xdr:colOff>441727</xdr:colOff>
      <xdr:row>35</xdr:row>
      <xdr:rowOff>74333</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30</xdr:col>
      <xdr:colOff>189605</xdr:colOff>
      <xdr:row>25</xdr:row>
      <xdr:rowOff>98904</xdr:rowOff>
    </xdr:from>
    <xdr:to>
      <xdr:col>38</xdr:col>
      <xdr:colOff>128295</xdr:colOff>
      <xdr:row>35</xdr:row>
      <xdr:rowOff>79853</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340760</xdr:colOff>
      <xdr:row>37</xdr:row>
      <xdr:rowOff>176659</xdr:rowOff>
    </xdr:from>
    <xdr:to>
      <xdr:col>29</xdr:col>
      <xdr:colOff>387452</xdr:colOff>
      <xdr:row>48</xdr:row>
      <xdr:rowOff>81410</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114300</xdr:colOff>
          <xdr:row>0</xdr:row>
          <xdr:rowOff>95250</xdr:rowOff>
        </xdr:from>
        <xdr:to>
          <xdr:col>0</xdr:col>
          <xdr:colOff>1200150</xdr:colOff>
          <xdr:row>3</xdr:row>
          <xdr:rowOff>152400</xdr:rowOff>
        </xdr:to>
        <xdr:sp macro="" textlink="">
          <xdr:nvSpPr>
            <xdr:cNvPr id="11265" name="bStartHere_back3"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30</xdr:col>
      <xdr:colOff>138170</xdr:colOff>
      <xdr:row>37</xdr:row>
      <xdr:rowOff>159359</xdr:rowOff>
    </xdr:from>
    <xdr:to>
      <xdr:col>38</xdr:col>
      <xdr:colOff>128295</xdr:colOff>
      <xdr:row>47</xdr:row>
      <xdr:rowOff>140309</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44</xdr:col>
      <xdr:colOff>778328</xdr:colOff>
      <xdr:row>5</xdr:row>
      <xdr:rowOff>87995</xdr:rowOff>
    </xdr:from>
    <xdr:to>
      <xdr:col>51</xdr:col>
      <xdr:colOff>495300</xdr:colOff>
      <xdr:row>20</xdr:row>
      <xdr:rowOff>137890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44</xdr:col>
      <xdr:colOff>700313</xdr:colOff>
      <xdr:row>22</xdr:row>
      <xdr:rowOff>112030</xdr:rowOff>
    </xdr:from>
    <xdr:to>
      <xdr:col>51</xdr:col>
      <xdr:colOff>499533</xdr:colOff>
      <xdr:row>38</xdr:row>
      <xdr:rowOff>13604</xdr:rowOff>
    </xdr:to>
    <xdr:graphicFrame macro="">
      <xdr:nvGraphicFramePr>
        <xdr:cNvPr id="3" name="Chart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104775</xdr:colOff>
          <xdr:row>4</xdr:row>
          <xdr:rowOff>57150</xdr:rowOff>
        </xdr:from>
        <xdr:to>
          <xdr:col>0</xdr:col>
          <xdr:colOff>1200150</xdr:colOff>
          <xdr:row>7</xdr:row>
          <xdr:rowOff>9525</xdr:rowOff>
        </xdr:to>
        <xdr:sp macro="" textlink="">
          <xdr:nvSpPr>
            <xdr:cNvPr id="12289" name="bStartHere_back4" hidden="1">
              <a:extLst>
                <a:ext uri="{63B3BB69-23CF-44E3-9099-C40C66FF867C}">
                  <a14:compatExt spid="_x0000_s12289"/>
                </a:ext>
                <a:ext uri="{FF2B5EF4-FFF2-40B4-BE49-F238E27FC236}">
                  <a16:creationId xmlns:a16="http://schemas.microsoft.com/office/drawing/2014/main" id="{00000000-0008-0000-0500-0000013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9</xdr:col>
      <xdr:colOff>586740</xdr:colOff>
      <xdr:row>10</xdr:row>
      <xdr:rowOff>137160</xdr:rowOff>
    </xdr:from>
    <xdr:to>
      <xdr:col>10</xdr:col>
      <xdr:colOff>388620</xdr:colOff>
      <xdr:row>13</xdr:row>
      <xdr:rowOff>30480</xdr:rowOff>
    </xdr:to>
    <xdr:sp macro="" textlink="">
      <xdr:nvSpPr>
        <xdr:cNvPr id="2" name="Right Arrow 1">
          <a:extLst>
            <a:ext uri="{FF2B5EF4-FFF2-40B4-BE49-F238E27FC236}">
              <a16:creationId xmlns:a16="http://schemas.microsoft.com/office/drawing/2014/main" id="{00000000-0008-0000-0600-000002000000}"/>
            </a:ext>
          </a:extLst>
        </xdr:cNvPr>
        <xdr:cNvSpPr/>
      </xdr:nvSpPr>
      <xdr:spPr>
        <a:xfrm rot="3638328">
          <a:off x="7277100" y="2255520"/>
          <a:ext cx="441960" cy="411480"/>
        </a:xfrm>
        <a:prstGeom prst="right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mc:AlternateContent xmlns:mc="http://schemas.openxmlformats.org/markup-compatibility/2006">
    <mc:Choice xmlns:a14="http://schemas.microsoft.com/office/drawing/2010/main" Requires="a14">
      <xdr:twoCellAnchor editAs="oneCell">
        <xdr:from>
          <xdr:col>0</xdr:col>
          <xdr:colOff>171450</xdr:colOff>
          <xdr:row>0</xdr:row>
          <xdr:rowOff>57150</xdr:rowOff>
        </xdr:from>
        <xdr:to>
          <xdr:col>0</xdr:col>
          <xdr:colOff>1266825</xdr:colOff>
          <xdr:row>3</xdr:row>
          <xdr:rowOff>95250</xdr:rowOff>
        </xdr:to>
        <xdr:sp macro="" textlink="">
          <xdr:nvSpPr>
            <xdr:cNvPr id="13313" name="bStartHere_back5" hidden="1">
              <a:extLst>
                <a:ext uri="{63B3BB69-23CF-44E3-9099-C40C66FF867C}">
                  <a14:compatExt spid="_x0000_s13313"/>
                </a:ext>
                <a:ext uri="{FF2B5EF4-FFF2-40B4-BE49-F238E27FC236}">
                  <a16:creationId xmlns:a16="http://schemas.microsoft.com/office/drawing/2014/main" id="{00000000-0008-0000-0600-0000013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2</xdr:col>
      <xdr:colOff>54268</xdr:colOff>
      <xdr:row>45</xdr:row>
      <xdr:rowOff>48028</xdr:rowOff>
    </xdr:from>
    <xdr:to>
      <xdr:col>13</xdr:col>
      <xdr:colOff>344501</xdr:colOff>
      <xdr:row>67</xdr:row>
      <xdr:rowOff>48348</xdr:rowOff>
    </xdr:to>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171450</xdr:rowOff>
        </xdr:from>
        <xdr:to>
          <xdr:col>0</xdr:col>
          <xdr:colOff>1209675</xdr:colOff>
          <xdr:row>3</xdr:row>
          <xdr:rowOff>247650</xdr:rowOff>
        </xdr:to>
        <xdr:sp macro="" textlink="">
          <xdr:nvSpPr>
            <xdr:cNvPr id="2050" name="bStartHere_back6" hidden="1">
              <a:extLst>
                <a:ext uri="{63B3BB69-23CF-44E3-9099-C40C66FF867C}">
                  <a14:compatExt spid="_x0000_s2050"/>
                </a:ext>
                <a:ext uri="{FF2B5EF4-FFF2-40B4-BE49-F238E27FC236}">
                  <a16:creationId xmlns:a16="http://schemas.microsoft.com/office/drawing/2014/main" id="{00000000-0008-0000-0700-000002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752664</xdr:colOff>
      <xdr:row>52</xdr:row>
      <xdr:rowOff>157509</xdr:rowOff>
    </xdr:from>
    <xdr:to>
      <xdr:col>7</xdr:col>
      <xdr:colOff>711842</xdr:colOff>
      <xdr:row>71</xdr:row>
      <xdr:rowOff>52522</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95250</xdr:colOff>
          <xdr:row>0</xdr:row>
          <xdr:rowOff>57150</xdr:rowOff>
        </xdr:from>
        <xdr:to>
          <xdr:col>0</xdr:col>
          <xdr:colOff>1190625</xdr:colOff>
          <xdr:row>3</xdr:row>
          <xdr:rowOff>133350</xdr:rowOff>
        </xdr:to>
        <xdr:sp macro="" textlink="">
          <xdr:nvSpPr>
            <xdr:cNvPr id="15361" name="bStartHere_back7" hidden="1">
              <a:extLst>
                <a:ext uri="{63B3BB69-23CF-44E3-9099-C40C66FF867C}">
                  <a14:compatExt spid="_x0000_s15361"/>
                </a:ext>
                <a:ext uri="{FF2B5EF4-FFF2-40B4-BE49-F238E27FC236}">
                  <a16:creationId xmlns:a16="http://schemas.microsoft.com/office/drawing/2014/main" id="{00000000-0008-0000-0800-00000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7</xdr:col>
      <xdr:colOff>192949</xdr:colOff>
      <xdr:row>6</xdr:row>
      <xdr:rowOff>0</xdr:rowOff>
    </xdr:from>
    <xdr:to>
      <xdr:col>10</xdr:col>
      <xdr:colOff>213360</xdr:colOff>
      <xdr:row>21</xdr:row>
      <xdr:rowOff>7620</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66675</xdr:colOff>
          <xdr:row>0</xdr:row>
          <xdr:rowOff>95250</xdr:rowOff>
        </xdr:from>
        <xdr:to>
          <xdr:col>0</xdr:col>
          <xdr:colOff>1162050</xdr:colOff>
          <xdr:row>3</xdr:row>
          <xdr:rowOff>171450</xdr:rowOff>
        </xdr:to>
        <xdr:sp macro="" textlink="">
          <xdr:nvSpPr>
            <xdr:cNvPr id="18433" name="bStartHere_back8" hidden="1">
              <a:extLst>
                <a:ext uri="{63B3BB69-23CF-44E3-9099-C40C66FF867C}">
                  <a14:compatExt spid="_x0000_s18433"/>
                </a:ext>
                <a:ext uri="{FF2B5EF4-FFF2-40B4-BE49-F238E27FC236}">
                  <a16:creationId xmlns:a16="http://schemas.microsoft.com/office/drawing/2014/main" id="{00000000-0008-0000-0A00-0000014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xdr:colOff>
          <xdr:row>0</xdr:row>
          <xdr:rowOff>85725</xdr:rowOff>
        </xdr:from>
        <xdr:to>
          <xdr:col>0</xdr:col>
          <xdr:colOff>1162050</xdr:colOff>
          <xdr:row>3</xdr:row>
          <xdr:rowOff>161925</xdr:rowOff>
        </xdr:to>
        <xdr:sp macro="" textlink="">
          <xdr:nvSpPr>
            <xdr:cNvPr id="22529" name="bStartHere_back9" hidden="1">
              <a:extLst>
                <a:ext uri="{63B3BB69-23CF-44E3-9099-C40C66FF867C}">
                  <a14:compatExt spid="_x0000_s22529"/>
                </a:ext>
                <a:ext uri="{FF2B5EF4-FFF2-40B4-BE49-F238E27FC236}">
                  <a16:creationId xmlns:a16="http://schemas.microsoft.com/office/drawing/2014/main" id="{00000000-0008-0000-0B00-0000015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50</xdr:col>
      <xdr:colOff>0</xdr:colOff>
      <xdr:row>18</xdr:row>
      <xdr:rowOff>0</xdr:rowOff>
    </xdr:from>
    <xdr:to>
      <xdr:col>50</xdr:col>
      <xdr:colOff>144780</xdr:colOff>
      <xdr:row>18</xdr:row>
      <xdr:rowOff>7620</xdr:rowOff>
    </xdr:to>
    <xdr:pic>
      <xdr:nvPicPr>
        <xdr:cNvPr id="4" name="Picture 3" descr="https://00199c02.pphosted.com:10000/images/spacer.gif">
          <a:extLst>
            <a:ext uri="{FF2B5EF4-FFF2-40B4-BE49-F238E27FC236}">
              <a16:creationId xmlns:a16="http://schemas.microsoft.com/office/drawing/2014/main" id="{00000000-0008-0000-0B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93720" y="3482340"/>
          <a:ext cx="144780" cy="7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54</xdr:col>
      <xdr:colOff>0</xdr:colOff>
      <xdr:row>20</xdr:row>
      <xdr:rowOff>0</xdr:rowOff>
    </xdr:from>
    <xdr:to>
      <xdr:col>54</xdr:col>
      <xdr:colOff>144780</xdr:colOff>
      <xdr:row>20</xdr:row>
      <xdr:rowOff>7620</xdr:rowOff>
    </xdr:to>
    <xdr:pic>
      <xdr:nvPicPr>
        <xdr:cNvPr id="5" name="Picture 4" descr="https://00199c02.pphosted.com:10000/images/spacer.gif">
          <a:extLst>
            <a:ext uri="{FF2B5EF4-FFF2-40B4-BE49-F238E27FC236}">
              <a16:creationId xmlns:a16="http://schemas.microsoft.com/office/drawing/2014/main" id="{00000000-0008-0000-0B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46420" y="3863340"/>
          <a:ext cx="144780" cy="7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27</xdr:row>
      <xdr:rowOff>0</xdr:rowOff>
    </xdr:from>
    <xdr:to>
      <xdr:col>51</xdr:col>
      <xdr:colOff>7620</xdr:colOff>
      <xdr:row>27</xdr:row>
      <xdr:rowOff>121920</xdr:rowOff>
    </xdr:to>
    <xdr:pic>
      <xdr:nvPicPr>
        <xdr:cNvPr id="6" name="Picture 5" descr="https://00199c02.pphosted.com:10000/images/spacer.gif">
          <a:extLst>
            <a:ext uri="{FF2B5EF4-FFF2-40B4-BE49-F238E27FC236}">
              <a16:creationId xmlns:a16="http://schemas.microsoft.com/office/drawing/2014/main" id="{00000000-0008-0000-0B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3320" y="5234940"/>
          <a:ext cx="7620" cy="121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114300</xdr:colOff>
          <xdr:row>0</xdr:row>
          <xdr:rowOff>76200</xdr:rowOff>
        </xdr:from>
        <xdr:to>
          <xdr:col>1</xdr:col>
          <xdr:colOff>276225</xdr:colOff>
          <xdr:row>0</xdr:row>
          <xdr:rowOff>704850</xdr:rowOff>
        </xdr:to>
        <xdr:sp macro="" textlink="">
          <xdr:nvSpPr>
            <xdr:cNvPr id="24577" name="bStartHere_back1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552450</xdr:colOff>
          <xdr:row>0</xdr:row>
          <xdr:rowOff>66675</xdr:rowOff>
        </xdr:from>
        <xdr:to>
          <xdr:col>2</xdr:col>
          <xdr:colOff>933450</xdr:colOff>
          <xdr:row>0</xdr:row>
          <xdr:rowOff>695325</xdr:rowOff>
        </xdr:to>
        <xdr:sp macro="" textlink="">
          <xdr:nvSpPr>
            <xdr:cNvPr id="24578" name="bRemoveOps" hidden="1">
              <a:extLst>
                <a:ext uri="{63B3BB69-23CF-44E3-9099-C40C66FF867C}">
                  <a14:compatExt spid="_x0000_s24578"/>
                </a:ext>
                <a:ext uri="{FF2B5EF4-FFF2-40B4-BE49-F238E27FC236}">
                  <a16:creationId xmlns:a16="http://schemas.microsoft.com/office/drawing/2014/main" id="{00000000-0008-0000-0C00-0000026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0</xdr:row>
          <xdr:rowOff>76200</xdr:rowOff>
        </xdr:from>
        <xdr:to>
          <xdr:col>4</xdr:col>
          <xdr:colOff>247650</xdr:colOff>
          <xdr:row>0</xdr:row>
          <xdr:rowOff>704850</xdr:rowOff>
        </xdr:to>
        <xdr:sp macro="" textlink="">
          <xdr:nvSpPr>
            <xdr:cNvPr id="24579" name="bRmJob" hidden="1">
              <a:extLst>
                <a:ext uri="{63B3BB69-23CF-44E3-9099-C40C66FF867C}">
                  <a14:compatExt spid="_x0000_s24579"/>
                </a:ext>
                <a:ext uri="{FF2B5EF4-FFF2-40B4-BE49-F238E27FC236}">
                  <a16:creationId xmlns:a16="http://schemas.microsoft.com/office/drawing/2014/main" id="{00000000-0008-0000-0C00-0000036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6</xdr:col>
      <xdr:colOff>190500</xdr:colOff>
      <xdr:row>0</xdr:row>
      <xdr:rowOff>0</xdr:rowOff>
    </xdr:from>
    <xdr:to>
      <xdr:col>19</xdr:col>
      <xdr:colOff>228600</xdr:colOff>
      <xdr:row>26</xdr:row>
      <xdr:rowOff>156210</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104775</xdr:colOff>
          <xdr:row>0</xdr:row>
          <xdr:rowOff>95250</xdr:rowOff>
        </xdr:from>
        <xdr:to>
          <xdr:col>0</xdr:col>
          <xdr:colOff>1200150</xdr:colOff>
          <xdr:row>3</xdr:row>
          <xdr:rowOff>161925</xdr:rowOff>
        </xdr:to>
        <xdr:sp macro="" textlink="">
          <xdr:nvSpPr>
            <xdr:cNvPr id="34817" name="bStartHere_back10" hidden="1">
              <a:extLst>
                <a:ext uri="{63B3BB69-23CF-44E3-9099-C40C66FF867C}">
                  <a14:compatExt spid="_x0000_s34817"/>
                </a:ext>
                <a:ext uri="{FF2B5EF4-FFF2-40B4-BE49-F238E27FC236}">
                  <a16:creationId xmlns:a16="http://schemas.microsoft.com/office/drawing/2014/main" id="{00000000-0008-0000-0F00-0000018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ceryx.sp-access.com/Users/mhoeger/Downloads/JGI%20SLA%20Calculator%20-%20Oct.%206%20(4).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Ethienni/Ceryx%20-%20Sales%20Analysis/Ceryx%20Monthly%20Reports%20Documents/2016/05%20-%20May/Input%20Files%20-%20May%202016/Ticket_class_RPT_APR2016_v3%20-%20(09MAY20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pril"/>
      <sheetName val="May"/>
      <sheetName val="Sheet2"/>
      <sheetName val="June"/>
      <sheetName val="July"/>
      <sheetName val="August"/>
      <sheetName val="September"/>
      <sheetName val="October"/>
      <sheetName val="November"/>
      <sheetName val="December"/>
      <sheetName val="Jan '13"/>
      <sheetName val="Feb '13"/>
      <sheetName val="Mar '13"/>
      <sheetName val="Apr '13"/>
      <sheetName val="User Counts-MRC"/>
      <sheetName val="May '13"/>
      <sheetName val="June '13"/>
      <sheetName val="July '13"/>
      <sheetName val="Aug '13"/>
      <sheetName val="Sept '13"/>
      <sheetName val="Oct '13"/>
      <sheetName val="Nov '13"/>
      <sheetName val="Dec '13"/>
      <sheetName val="Jan '14"/>
      <sheetName val="Feb '14"/>
      <sheetName val="Mar '14"/>
      <sheetName val="Apr '14"/>
      <sheetName val="May '14"/>
      <sheetName val="June '14"/>
      <sheetName val="July '14"/>
      <sheetName val="August '14"/>
      <sheetName val="September '14"/>
      <sheetName val="Penalties Paid Out"/>
    </sheetNames>
    <sheetDataSet>
      <sheetData sheetId="0"/>
      <sheetData sheetId="1"/>
      <sheetData sheetId="2">
        <row r="3">
          <cell r="C3" t="b">
            <v>1</v>
          </cell>
        </row>
        <row r="4">
          <cell r="C4" t="b">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RPS"/>
      <sheetName val="JGI"/>
      <sheetName val="MFC"/>
      <sheetName val="Agnico"/>
      <sheetName val="Encana"/>
      <sheetName val="DHUA"/>
      <sheetName val="Basic Energy"/>
      <sheetName val="COME"/>
      <sheetName val="BLC"/>
      <sheetName val="Zoetis"/>
      <sheetName val="Sheet1"/>
      <sheetName val="Ticket_class_RPT_APR2016_v3"/>
    </sheetNames>
    <sheetDataSet>
      <sheetData sheetId="0"/>
      <sheetData sheetId="1"/>
      <sheetData sheetId="2">
        <row r="4">
          <cell r="B4">
            <v>1</v>
          </cell>
        </row>
        <row r="5">
          <cell r="B5">
            <v>1</v>
          </cell>
        </row>
        <row r="6">
          <cell r="B6">
            <v>1</v>
          </cell>
        </row>
        <row r="7">
          <cell r="B7">
            <v>1</v>
          </cell>
        </row>
        <row r="8">
          <cell r="B8">
            <v>2</v>
          </cell>
        </row>
      </sheetData>
      <sheetData sheetId="3"/>
      <sheetData sheetId="4"/>
      <sheetData sheetId="5"/>
      <sheetData sheetId="6"/>
      <sheetData sheetId="7"/>
      <sheetData sheetId="8"/>
      <sheetData sheetId="9"/>
      <sheetData sheetId="10"/>
      <sheetData sheetId="1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thienni Martins" refreshedDate="43025.496030208335" createdVersion="3" refreshedVersion="5" minRefreshableVersion="3" recordCount="1685" xr:uid="{00000000-000A-0000-FFFF-FFFF00000000}">
  <cacheSource type="worksheet">
    <worksheetSource name="Table4"/>
  </cacheSource>
  <cacheFields count="20">
    <cacheField name=" Performed by" numFmtId="0">
      <sharedItems/>
    </cacheField>
    <cacheField name=" Operator CID" numFmtId="0">
      <sharedItems containsMixedTypes="1" containsNumber="1" containsInteger="1" minValue="0" maxValue="0"/>
    </cacheField>
    <cacheField name=" Operator RID" numFmtId="0">
      <sharedItems count="2">
        <s v="IBMCA"/>
        <s v="CC"/>
      </sharedItems>
    </cacheField>
    <cacheField name=" Operator ID" numFmtId="0">
      <sharedItems containsSemiMixedTypes="0" containsString="0" containsNumber="1" containsInteger="1" minValue="551367" maxValue="809833"/>
    </cacheField>
    <cacheField name=" Operator sensitivity" numFmtId="0">
      <sharedItems containsSemiMixedTypes="0" containsString="0" containsNumber="1" containsInteger="1" minValue="1" maxValue="1000"/>
    </cacheField>
    <cacheField name=" Time of operation" numFmtId="22">
      <sharedItems containsSemiMixedTypes="0" containsNonDate="0" containsDate="1" containsString="0" minDate="2017-09-01T09:03:57" maxDate="2017-09-30T16:05:03"/>
    </cacheField>
    <cacheField name=" Type of operation" numFmtId="0">
      <sharedItems count="8">
        <s v="Modify"/>
        <s v="Request"/>
        <s v="Response"/>
        <s v="Unlock"/>
        <s v="Delete"/>
        <s v="Add"/>
        <s v="Adopt"/>
        <s v="Unadopt"/>
      </sharedItems>
    </cacheField>
    <cacheField name=" Operation name" numFmtId="0">
      <sharedItems count="20">
        <s v="Account Password"/>
        <s v="Digest On-demand"/>
        <s v="AD account lockout"/>
        <s v="Account Disable Status"/>
        <s v="Account Org Group"/>
        <s v="Manage Accounts DL Membership"/>
        <s v="Modify Members"/>
        <s v="Account"/>
        <s v="Account Aliases"/>
        <s v="Account ActiveSync"/>
        <s v="Account Forwarding"/>
        <s v="Account Primary Email"/>
        <s v="Account Attributes"/>
        <s v="Account Adoption"/>
        <s v="Account Unadoption"/>
        <s v="Account Full Mailbox Access Permission"/>
        <s v="Accounts to Accept Message From"/>
        <s v="Accept Message From Authenticated Accounts Only"/>
        <s v="Mailbox Folder Permissions"/>
        <s v="Meeting Properties of Resource"/>
      </sharedItems>
    </cacheField>
    <cacheField name=" Applied to" numFmtId="0">
      <sharedItems/>
    </cacheField>
    <cacheField name=" AppliedTo ID" numFmtId="0">
      <sharedItems containsSemiMixedTypes="0" containsString="0" containsNumber="1" containsInteger="1" minValue="551370" maxValue="910662"/>
    </cacheField>
    <cacheField name=" Applied to type" numFmtId="0">
      <sharedItems/>
    </cacheField>
    <cacheField name=" AppliedTo sensitivity" numFmtId="0">
      <sharedItems containsSemiMixedTypes="0" containsString="0" containsNumber="1" containsInteger="1" minValue="0" maxValue="1000"/>
    </cacheField>
    <cacheField name=" Operator control" numFmtId="0">
      <sharedItems/>
    </cacheField>
    <cacheField name=" Operator agent" numFmtId="0">
      <sharedItems/>
    </cacheField>
    <cacheField name=" Data" numFmtId="0">
      <sharedItems containsBlank="1" containsMixedTypes="1" containsNumber="1" containsInteger="1" minValue="0" maxValue="0" longText="1"/>
    </cacheField>
    <cacheField name=" AppliedTo CID" numFmtId="0">
      <sharedItems/>
    </cacheField>
    <cacheField name=" AppliedTo RID" numFmtId="0">
      <sharedItems/>
    </cacheField>
    <cacheField name=" AppliedTo org group" numFmtId="0">
      <sharedItems/>
    </cacheField>
    <cacheField name=" Sent notification" numFmtId="0">
      <sharedItems containsSemiMixedTypes="0" containsString="0" containsNumber="1" containsInteger="1" minValue="0" maxValue="0"/>
    </cacheField>
    <cacheField name=" Hidden "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685">
  <r>
    <s v="ssotest@mfc.sps.local"/>
    <s v="MFC"/>
    <x v="0"/>
    <n v="551367"/>
    <n v="1000"/>
    <d v="2017-09-30T16:05:03"/>
    <x v="0"/>
    <x v="0"/>
    <s v="Andrew.Meister@manulifesecurities.ca"/>
    <n v="551806"/>
    <s v="User Account"/>
    <n v="1"/>
    <s v="AtBelow"/>
    <s v="CC_Portal"/>
    <n v="0"/>
    <s v="MFC"/>
    <s v="IBMCA"/>
    <s v="ACTIVE ADVISORS AND ASSISTANTS"/>
    <n v="0"/>
    <n v="0"/>
  </r>
  <r>
    <s v="ssotest@mfc.sps.local"/>
    <s v="MFC"/>
    <x v="0"/>
    <n v="551367"/>
    <n v="1000"/>
    <d v="2017-09-30T14:39:04"/>
    <x v="0"/>
    <x v="0"/>
    <s v="Harvey.Hopper@manulifesecurities.ca"/>
    <n v="552646"/>
    <s v="User Account"/>
    <n v="1"/>
    <s v="AtBelow"/>
    <s v="CC_Portal"/>
    <n v="0"/>
    <s v="MFC"/>
    <s v="IBMCA"/>
    <s v="ACTIVE ADVISORS AND ASSISTANTS"/>
    <n v="0"/>
    <n v="0"/>
  </r>
  <r>
    <s v="ssotest@mfc.sps.local"/>
    <s v="MFC"/>
    <x v="0"/>
    <n v="551367"/>
    <n v="1000"/>
    <d v="2017-09-30T01:56:35"/>
    <x v="0"/>
    <x v="0"/>
    <s v="rep.adv004@manulifesecurities.ca"/>
    <n v="551370"/>
    <s v="User Account"/>
    <n v="1"/>
    <s v="AtBelow"/>
    <s v="CC_Portal"/>
    <n v="0"/>
    <s v="MFC"/>
    <s v="IBMCA"/>
    <s v="ACTIVE ADVISORS AND ASSISTANTS"/>
    <n v="0"/>
    <n v="0"/>
  </r>
  <r>
    <s v="crystal.parkinson@manulifesecurities.ca"/>
    <s v="MFC"/>
    <x v="0"/>
    <n v="637976"/>
    <n v="1"/>
    <d v="2017-09-29T18:29:58"/>
    <x v="1"/>
    <x v="1"/>
    <s v="crystal.parkinson@manulifesecurities.ca"/>
    <n v="637976"/>
    <s v="User Account"/>
    <n v="0"/>
    <s v="Deny"/>
    <s v="CC_Portal"/>
    <n v="0"/>
    <s v="MFC"/>
    <s v="IBMCA"/>
    <s v="ACTIVE ADVISORS AND ASSISTANTS"/>
    <n v="0"/>
    <n v="0"/>
  </r>
  <r>
    <s v="crystal.parkinson@manulifesecurities.ca"/>
    <s v="MFC"/>
    <x v="0"/>
    <n v="637976"/>
    <n v="1"/>
    <d v="2017-09-29T18:29:58"/>
    <x v="2"/>
    <x v="1"/>
    <s v="crystal.parkinson@manulifesecurities.ca"/>
    <n v="637976"/>
    <s v="User Account"/>
    <n v="0"/>
    <s v="Deny"/>
    <s v="CC_Portal"/>
    <n v="0"/>
    <s v="MFC"/>
    <s v="IBMCA"/>
    <s v="ACTIVE ADVISORS AND ASSISTANTS"/>
    <n v="0"/>
    <n v="0"/>
  </r>
  <r>
    <s v="ssotest@mfc.sps.local"/>
    <s v="MFC"/>
    <x v="0"/>
    <n v="551367"/>
    <n v="1000"/>
    <d v="2017-09-29T17:44:20"/>
    <x v="0"/>
    <x v="0"/>
    <s v="David.Arthurs@manulifesecurities.ca"/>
    <n v="552278"/>
    <s v="User Account"/>
    <n v="1"/>
    <s v="AtBelow"/>
    <s v="CC_Portal"/>
    <n v="0"/>
    <s v="MFC"/>
    <s v="IBMCA"/>
    <s v="ACTIVE ADVISORS AND ASSISTANTS"/>
    <n v="0"/>
    <n v="0"/>
  </r>
  <r>
    <s v="ssotest@mfc.sps.local"/>
    <s v="MFC"/>
    <x v="0"/>
    <n v="551367"/>
    <n v="1000"/>
    <d v="2017-09-29T16:20:24"/>
    <x v="0"/>
    <x v="0"/>
    <s v="Brandon.Whitby@manulifesecurities.ca"/>
    <n v="551970"/>
    <s v="User Account"/>
    <n v="1"/>
    <s v="AtBelow"/>
    <s v="CC_Portal"/>
    <n v="0"/>
    <s v="MFC"/>
    <s v="IBMCA"/>
    <s v="ACTIVE ADVISORS AND ASSISTANTS"/>
    <n v="0"/>
    <n v="0"/>
  </r>
  <r>
    <s v="ssotest@mfc.sps.local"/>
    <s v="MFC"/>
    <x v="0"/>
    <n v="551367"/>
    <n v="1000"/>
    <d v="2017-09-29T16:20:12"/>
    <x v="0"/>
    <x v="0"/>
    <s v="Shannon.Higgins@manulifesecurities.ca"/>
    <n v="553971"/>
    <s v="User Account"/>
    <n v="1"/>
    <s v="AtBelow"/>
    <s v="CC_Portal"/>
    <n v="0"/>
    <s v="MFC"/>
    <s v="IBMCA"/>
    <s v="ACTIVE ADVISORS AND ASSISTANTS"/>
    <n v="0"/>
    <n v="0"/>
  </r>
  <r>
    <s v="ssotest@mfc.sps.local"/>
    <s v="MFC"/>
    <x v="0"/>
    <n v="551367"/>
    <n v="1000"/>
    <d v="2017-09-29T15:12:34"/>
    <x v="0"/>
    <x v="0"/>
    <s v="chantel.rigo@manulifesecurities.ca"/>
    <n v="560373"/>
    <s v="User Account"/>
    <n v="1"/>
    <s v="AtBelow"/>
    <s v="CC_Portal"/>
    <n v="0"/>
    <s v="MFC"/>
    <s v="IBMCA"/>
    <s v="DISABLED USERS"/>
    <n v="0"/>
    <n v="0"/>
  </r>
  <r>
    <s v="ssotest@mfc.sps.local"/>
    <s v="MFC"/>
    <x v="0"/>
    <n v="551367"/>
    <n v="1000"/>
    <d v="2017-09-29T14:37:51"/>
    <x v="0"/>
    <x v="0"/>
    <s v="dorra.abdelmoula@manulifesecurities.ca"/>
    <n v="910536"/>
    <s v="User Account"/>
    <n v="1"/>
    <s v="AtBelow"/>
    <s v="CC_Portal"/>
    <n v="0"/>
    <s v="MFC"/>
    <s v="IBMCA"/>
    <s v="ACTIVE ADVISORS AND ASSISTANTS"/>
    <n v="0"/>
    <n v="0"/>
  </r>
  <r>
    <s v="ssotest@mfc.sps.local"/>
    <s v="MFC"/>
    <x v="0"/>
    <n v="551367"/>
    <n v="1000"/>
    <d v="2017-09-29T14:16:24"/>
    <x v="0"/>
    <x v="0"/>
    <s v="l.zambito@manulifesecurities.ca"/>
    <n v="842848"/>
    <s v="User Account"/>
    <n v="1"/>
    <s v="AtBelow"/>
    <s v="CC_Portal"/>
    <n v="0"/>
    <s v="MFC"/>
    <s v="IBMCA"/>
    <s v="ACTIVE ADVISORS AND ASSISTANTS"/>
    <n v="0"/>
    <n v="0"/>
  </r>
  <r>
    <s v="adiano.kitenge@manulifesecurities.ca"/>
    <s v="MFC"/>
    <x v="0"/>
    <n v="627566"/>
    <n v="3"/>
    <d v="2017-09-29T14:01:52"/>
    <x v="3"/>
    <x v="2"/>
    <s v="Jackie.Casavant@manulifesecurities.ca"/>
    <n v="552714"/>
    <s v="User Account"/>
    <n v="1"/>
    <s v="AtBelow"/>
    <s v="CC_WebService"/>
    <m/>
    <s v="MFC"/>
    <s v="IBMCA"/>
    <s v="ACTIVE ADVISORS AND ASSISTANTS"/>
    <n v="0"/>
    <n v="0"/>
  </r>
  <r>
    <s v="adiano.kitenge@manulifesecurities.ca"/>
    <s v="MFC"/>
    <x v="0"/>
    <n v="627566"/>
    <n v="3"/>
    <d v="2017-09-29T14:00:45"/>
    <x v="3"/>
    <x v="2"/>
    <s v="Jackie.Casavant@manulifesecurities.ca"/>
    <n v="552714"/>
    <s v="User Account"/>
    <n v="1"/>
    <s v="AtBelow"/>
    <s v="CC_WebService"/>
    <m/>
    <s v="MFC"/>
    <s v="IBMCA"/>
    <s v="ACTIVE ADVISORS AND ASSISTANTS"/>
    <n v="0"/>
    <n v="0"/>
  </r>
  <r>
    <s v="ssotest@mfc.sps.local"/>
    <s v="MFC"/>
    <x v="0"/>
    <n v="551367"/>
    <n v="1000"/>
    <d v="2017-09-29T13:30:28"/>
    <x v="0"/>
    <x v="0"/>
    <s v="Cheryl.McIntyre@manulifesecurities.ca"/>
    <n v="552116"/>
    <s v="User Account"/>
    <n v="1"/>
    <s v="AtBelow"/>
    <s v="CC_Portal"/>
    <n v="0"/>
    <s v="MFC"/>
    <s v="IBMCA"/>
    <s v="ACTIVE ADVISORS AND ASSISTANTS"/>
    <n v="0"/>
    <n v="0"/>
  </r>
  <r>
    <s v="ssotest@mfc.sps.local"/>
    <s v="MFC"/>
    <x v="0"/>
    <n v="551367"/>
    <n v="1000"/>
    <d v="2017-09-29T13:28:24"/>
    <x v="0"/>
    <x v="0"/>
    <s v="charmaine.guerette@manulifesecurities.ca"/>
    <n v="910662"/>
    <s v="User Account"/>
    <n v="1"/>
    <s v="AtBelow"/>
    <s v="CC_Portal"/>
    <n v="0"/>
    <s v="MFC"/>
    <s v="IBMCA"/>
    <s v="ACTIVE ADVISORS AND ASSISTANTS"/>
    <n v="0"/>
    <n v="0"/>
  </r>
  <r>
    <s v="silvie.cadieux@manulifesecurities.ca"/>
    <s v="MFC"/>
    <x v="0"/>
    <n v="560946"/>
    <n v="3"/>
    <d v="2017-09-29T13:20:52"/>
    <x v="3"/>
    <x v="2"/>
    <s v="Marian.Mocanu@manulifesecurities.ca"/>
    <n v="553332"/>
    <s v="User Account"/>
    <n v="1"/>
    <s v="AtBelow"/>
    <s v="CC_WebService"/>
    <m/>
    <s v="MFC"/>
    <s v="IBMCA"/>
    <s v="ACTIVE ADVISORS AND ASSISTANTS"/>
    <n v="0"/>
    <n v="0"/>
  </r>
  <r>
    <s v="ssotest@mfc.sps.local"/>
    <s v="MFC"/>
    <x v="0"/>
    <n v="551367"/>
    <n v="1000"/>
    <d v="2017-09-29T13:16:20"/>
    <x v="0"/>
    <x v="0"/>
    <s v="Cheryl.McIntyre@manulifesecurities.ca"/>
    <n v="552116"/>
    <s v="User Account"/>
    <n v="1"/>
    <s v="AtBelow"/>
    <s v="CC_Portal"/>
    <n v="0"/>
    <s v="MFC"/>
    <s v="IBMCA"/>
    <s v="ACTIVE ADVISORS AND ASSISTANTS"/>
    <n v="0"/>
    <n v="0"/>
  </r>
  <r>
    <s v="ssotest@mfc.sps.local"/>
    <s v="MFC"/>
    <x v="0"/>
    <n v="551367"/>
    <n v="1000"/>
    <d v="2017-09-29T12:49:09"/>
    <x v="0"/>
    <x v="0"/>
    <s v="Cheryl.McIntyre@manulifesecurities.ca"/>
    <n v="552116"/>
    <s v="User Account"/>
    <n v="1"/>
    <s v="AtBelow"/>
    <s v="CC_Portal"/>
    <n v="0"/>
    <s v="MFC"/>
    <s v="IBMCA"/>
    <s v="ACTIVE ADVISORS AND ASSISTANTS"/>
    <n v="0"/>
    <n v="0"/>
  </r>
  <r>
    <s v="ssotest@mfc.sps.local"/>
    <s v="MFC"/>
    <x v="0"/>
    <n v="551367"/>
    <n v="1000"/>
    <d v="2017-09-29T12:27:33"/>
    <x v="0"/>
    <x v="0"/>
    <s v="Ingrid.Smith@manulifesecurities.ca"/>
    <n v="552696"/>
    <s v="User Account"/>
    <n v="1"/>
    <s v="AtBelow"/>
    <s v="CC_Portal"/>
    <n v="0"/>
    <s v="MFC"/>
    <s v="IBMCA"/>
    <s v="ACTIVE ADVISORS AND ASSISTANTS"/>
    <n v="0"/>
    <n v="0"/>
  </r>
  <r>
    <s v="crystal.parkinson@manulifesecurities.ca"/>
    <s v="MFC"/>
    <x v="0"/>
    <n v="637976"/>
    <n v="1"/>
    <d v="2017-09-29T12:13:03"/>
    <x v="1"/>
    <x v="1"/>
    <s v="crystal.parkinson@manulifesecurities.ca"/>
    <n v="637976"/>
    <s v="User Account"/>
    <n v="0"/>
    <s v="Deny"/>
    <s v="CC_Portal"/>
    <n v="0"/>
    <s v="MFC"/>
    <s v="IBMCA"/>
    <s v="ACTIVE ADVISORS AND ASSISTANTS"/>
    <n v="0"/>
    <n v="0"/>
  </r>
  <r>
    <s v="crystal.parkinson@manulifesecurities.ca"/>
    <s v="MFC"/>
    <x v="0"/>
    <n v="637976"/>
    <n v="1"/>
    <d v="2017-09-29T12:13:03"/>
    <x v="2"/>
    <x v="1"/>
    <s v="crystal.parkinson@manulifesecurities.ca"/>
    <n v="637976"/>
    <s v="User Account"/>
    <n v="0"/>
    <s v="Deny"/>
    <s v="CC_Portal"/>
    <n v="0"/>
    <s v="MFC"/>
    <s v="IBMCA"/>
    <s v="ACTIVE ADVISORS AND ASSISTANTS"/>
    <n v="0"/>
    <n v="0"/>
  </r>
  <r>
    <s v="alex_buena@manulifesecurities.ca"/>
    <s v="MFC"/>
    <x v="0"/>
    <n v="570025"/>
    <n v="3"/>
    <d v="2017-09-29T12:08:13"/>
    <x v="0"/>
    <x v="3"/>
    <s v="Jean-Pierre.Letarte@placementsmanuvie.ca"/>
    <n v="551653"/>
    <s v="User Account"/>
    <n v="1"/>
    <s v="AtBelow"/>
    <s v="CC_Portal"/>
    <s v="Disable"/>
    <s v="MFC"/>
    <s v="IBMCA"/>
    <s v="DISABLED USERS"/>
    <n v="0"/>
    <n v="0"/>
  </r>
  <r>
    <s v="alex_buena@manulifesecurities.ca"/>
    <s v="MFC"/>
    <x v="0"/>
    <n v="570025"/>
    <n v="3"/>
    <d v="2017-09-29T12:05:43"/>
    <x v="0"/>
    <x v="4"/>
    <s v="Jean-Pierre.Letarte@placementsmanuvie.ca"/>
    <n v="551653"/>
    <s v="User Account"/>
    <n v="1"/>
    <s v="AtBelow"/>
    <s v="CC_Portal"/>
    <s v="oldOrgGroup=ACTIVE ADVISORS AND ASSISTANTS;newOrgGroup=DISABLED USERS"/>
    <s v="MFC"/>
    <s v="IBMCA"/>
    <s v="DISABLED USERS"/>
    <n v="0"/>
    <n v="0"/>
  </r>
  <r>
    <s v="alex_buena@manulifesecurities.ca"/>
    <s v="MFC"/>
    <x v="0"/>
    <n v="570025"/>
    <n v="3"/>
    <d v="2017-09-29T12:04:46"/>
    <x v="0"/>
    <x v="5"/>
    <s v="Jean-Pierre.Letarte@placementsmanuvie.ca"/>
    <n v="551653"/>
    <s v="User Account"/>
    <n v="1"/>
    <s v="AtBelow"/>
    <s v="CC_Portal"/>
    <n v="0"/>
    <s v="MFC"/>
    <s v="IBMCA"/>
    <s v="ACTIVE ADVISORS AND ASSISTANTS"/>
    <n v="0"/>
    <n v="0"/>
  </r>
  <r>
    <s v="alex_buena@manulifesecurities.ca"/>
    <s v="MFC"/>
    <x v="0"/>
    <n v="570025"/>
    <n v="3"/>
    <d v="2017-09-29T12:04:45"/>
    <x v="4"/>
    <x v="6"/>
    <s v="MSI_autoEmailArchive@manulifesecurities.ca"/>
    <n v="561482"/>
    <s v="Distribution List"/>
    <n v="1"/>
    <s v="Any"/>
    <s v="CC_Portal"/>
    <s v="e50819a176414c4ca77ceebddf469f88"/>
    <s v="MFC"/>
    <s v="IBMCA"/>
    <s v="ALL GROUPS"/>
    <n v="0"/>
    <n v="0"/>
  </r>
  <r>
    <s v="alex_buena@manulifesecurities.ca"/>
    <s v="MFC"/>
    <x v="0"/>
    <n v="570025"/>
    <n v="3"/>
    <d v="2017-09-29T12:04:42"/>
    <x v="4"/>
    <x v="6"/>
    <s v="MSISRepresentatives@manulifesecurities.ca"/>
    <n v="555674"/>
    <s v="Distribution List"/>
    <n v="1"/>
    <s v="Any"/>
    <s v="CC_Portal"/>
    <s v="e50819a176414c4ca77ceebddf469f88"/>
    <s v="MFC"/>
    <s v="IBMCA"/>
    <s v="ALL GROUPS"/>
    <n v="0"/>
    <n v="0"/>
  </r>
  <r>
    <s v="alex_buena@manulifesecurities.ca"/>
    <s v="MFC"/>
    <x v="0"/>
    <n v="570025"/>
    <n v="3"/>
    <d v="2017-09-29T12:04:41"/>
    <x v="4"/>
    <x v="6"/>
    <s v="FormerBerkAdvisors@manulifesecurities.ca"/>
    <n v="555662"/>
    <s v="Distribution List"/>
    <n v="1"/>
    <s v="Any"/>
    <s v="CC_Portal"/>
    <s v="e50819a176414c4ca77ceebddf469f88"/>
    <s v="MFC"/>
    <s v="IBMCA"/>
    <s v="ALL GROUPS"/>
    <n v="0"/>
    <n v="0"/>
  </r>
  <r>
    <s v="alex_buena@manulifesecurities.ca"/>
    <s v="MFC"/>
    <x v="0"/>
    <n v="570025"/>
    <n v="3"/>
    <d v="2017-09-29T12:04:40"/>
    <x v="4"/>
    <x v="6"/>
    <s v="BusinessOwners@manulifesecurities.ca"/>
    <n v="555669"/>
    <s v="Distribution List"/>
    <n v="1"/>
    <s v="Any"/>
    <s v="CC_Portal"/>
    <s v="e50819a176414c4ca77ceebddf469f88"/>
    <s v="MFC"/>
    <s v="IBMCA"/>
    <s v="ALL GROUPS"/>
    <n v="0"/>
    <n v="0"/>
  </r>
  <r>
    <s v="alex_buena@manulifesecurities.ca"/>
    <s v="MFC"/>
    <x v="0"/>
    <n v="570025"/>
    <n v="3"/>
    <d v="2017-09-29T12:04:39"/>
    <x v="4"/>
    <x v="6"/>
    <s v="BORB@manulifesecurities.ca"/>
    <n v="561082"/>
    <s v="Distribution List"/>
    <n v="1"/>
    <s v="Any"/>
    <s v="CC_Portal"/>
    <s v="e50819a176414c4ca77ceebddf469f88"/>
    <s v="MFC"/>
    <s v="IBMCA"/>
    <s v="ALL GROUPS"/>
    <n v="0"/>
    <n v="0"/>
  </r>
  <r>
    <s v="alex_buena@manulifesecurities.ca"/>
    <s v="MFC"/>
    <x v="0"/>
    <n v="570025"/>
    <n v="3"/>
    <d v="2017-09-29T12:04:37"/>
    <x v="4"/>
    <x v="6"/>
    <s v="AllAdvisors@manulifesecurities.ca"/>
    <n v="555659"/>
    <s v="Distribution List"/>
    <n v="1"/>
    <s v="Any"/>
    <s v="CC_Portal"/>
    <s v="e50819a176414c4ca77ceebddf469f88"/>
    <s v="MFC"/>
    <s v="IBMCA"/>
    <s v="ALL GROUPS"/>
    <n v="0"/>
    <n v="0"/>
  </r>
  <r>
    <s v="alex_buena@manulifesecurities.ca"/>
    <s v="MFC"/>
    <x v="0"/>
    <n v="570025"/>
    <n v="3"/>
    <d v="2017-09-29T12:04:36"/>
    <x v="4"/>
    <x v="6"/>
    <s v="Advisors@manulifesecurities.ca"/>
    <n v="555668"/>
    <s v="Distribution List"/>
    <n v="1"/>
    <s v="Any"/>
    <s v="CC_Portal"/>
    <s v="e50819a176414c4ca77ceebddf469f88"/>
    <s v="MFC"/>
    <s v="IBMCA"/>
    <s v="ALL GROUPS"/>
    <n v="0"/>
    <n v="0"/>
  </r>
  <r>
    <s v="alex_buena@manulifesecurities.ca"/>
    <s v="MFC"/>
    <x v="0"/>
    <n v="570025"/>
    <n v="3"/>
    <d v="2017-09-29T12:04:29"/>
    <x v="0"/>
    <x v="5"/>
    <s v="Jean-Pierre.Letarte@placementsmanuvie.ca"/>
    <n v="551653"/>
    <s v="User Account"/>
    <n v="1"/>
    <s v="AtBelow"/>
    <s v="CC_Portal"/>
    <n v="0"/>
    <s v="MFC"/>
    <s v="IBMCA"/>
    <s v="ACTIVE ADVISORS AND ASSISTANTS"/>
    <n v="0"/>
    <n v="0"/>
  </r>
  <r>
    <s v="alex_buena@manulifesecurities.ca"/>
    <s v="MFC"/>
    <x v="0"/>
    <n v="570025"/>
    <n v="3"/>
    <d v="2017-09-29T12:04:19"/>
    <x v="0"/>
    <x v="5"/>
    <s v="Jean-Pierre.Letarte@placementsmanuvie.ca"/>
    <n v="551653"/>
    <s v="User Account"/>
    <n v="1"/>
    <s v="AtBelow"/>
    <s v="CC_Portal"/>
    <n v="0"/>
    <s v="MFC"/>
    <s v="IBMCA"/>
    <s v="ACTIVE ADVISORS AND ASSISTANTS"/>
    <n v="0"/>
    <n v="0"/>
  </r>
  <r>
    <s v="ssotest@mfc.sps.local"/>
    <s v="MFC"/>
    <x v="0"/>
    <n v="551367"/>
    <n v="1000"/>
    <d v="2017-09-29T11:58:57"/>
    <x v="0"/>
    <x v="0"/>
    <s v="Daryl.Milleker@manulifesecurities.ca"/>
    <n v="552270"/>
    <s v="User Account"/>
    <n v="1"/>
    <s v="AtBelow"/>
    <s v="CC_Portal"/>
    <n v="0"/>
    <s v="MFC"/>
    <s v="IBMCA"/>
    <s v="ACTIVE ADVISORS AND ASSISTANTS"/>
    <n v="0"/>
    <n v="0"/>
  </r>
  <r>
    <s v="ssotest@mfc.sps.local"/>
    <s v="MFC"/>
    <x v="0"/>
    <n v="551367"/>
    <n v="1000"/>
    <d v="2017-09-29T11:54:20"/>
    <x v="0"/>
    <x v="0"/>
    <s v="William.McTaggart@manulifesecurities.ca"/>
    <n v="554315"/>
    <s v="User Account"/>
    <n v="1"/>
    <s v="AtBelow"/>
    <s v="CC_Portal"/>
    <n v="0"/>
    <s v="MFC"/>
    <s v="IBMCA"/>
    <s v="ACTIVE ADVISORS AND ASSISTANTS"/>
    <n v="0"/>
    <n v="0"/>
  </r>
  <r>
    <s v="ssotest@mfc.sps.local"/>
    <s v="MFC"/>
    <x v="0"/>
    <n v="551367"/>
    <n v="1000"/>
    <d v="2017-09-29T11:52:46"/>
    <x v="0"/>
    <x v="0"/>
    <s v="Ashley.Bowman@manulifesecurities.ca"/>
    <n v="551865"/>
    <s v="User Account"/>
    <n v="1"/>
    <s v="AtBelow"/>
    <s v="CC_Portal"/>
    <n v="0"/>
    <s v="MFC"/>
    <s v="IBMCA"/>
    <s v="ACTIVE ADVISORS AND ASSISTANTS"/>
    <n v="0"/>
    <n v="0"/>
  </r>
  <r>
    <s v="ssotest@mfc.sps.local"/>
    <s v="MFC"/>
    <x v="0"/>
    <n v="551367"/>
    <n v="1000"/>
    <d v="2017-09-29T11:30:19"/>
    <x v="0"/>
    <x v="0"/>
    <s v="tania.gomes@manulifesecurities.ca"/>
    <n v="643298"/>
    <s v="User Account"/>
    <n v="1"/>
    <s v="AtBelow"/>
    <s v="CC_Portal"/>
    <n v="0"/>
    <s v="MFC"/>
    <s v="IBMCA"/>
    <s v="ACTIVE ADVISORS AND ASSISTANTS"/>
    <n v="0"/>
    <n v="0"/>
  </r>
  <r>
    <s v="ssotest@mfc.sps.local"/>
    <s v="MFC"/>
    <x v="0"/>
    <n v="551367"/>
    <n v="1000"/>
    <d v="2017-09-29T11:13:58"/>
    <x v="0"/>
    <x v="0"/>
    <s v="Terry.Clark@manulifesecurities.ca"/>
    <n v="554149"/>
    <s v="User Account"/>
    <n v="1"/>
    <s v="AtBelow"/>
    <s v="CC_Portal"/>
    <n v="0"/>
    <s v="MFC"/>
    <s v="IBMCA"/>
    <s v="ACTIVE ADVISORS AND ASSISTANTS"/>
    <n v="0"/>
    <n v="0"/>
  </r>
  <r>
    <s v="ssotest@mfc.sps.local"/>
    <s v="MFC"/>
    <x v="0"/>
    <n v="551367"/>
    <n v="1000"/>
    <d v="2017-09-29T10:55:44"/>
    <x v="0"/>
    <x v="0"/>
    <s v="Wayne.Pinkney@manulifesecurities.ca"/>
    <n v="554293"/>
    <s v="User Account"/>
    <n v="1"/>
    <s v="AtBelow"/>
    <s v="CC_Portal"/>
    <n v="0"/>
    <s v="MFC"/>
    <s v="IBMCA"/>
    <s v="ACTIVE ADVISORS AND ASSISTANTS"/>
    <n v="0"/>
    <n v="0"/>
  </r>
  <r>
    <s v="ssotest@mfc.sps.local"/>
    <s v="MFC"/>
    <x v="0"/>
    <n v="551367"/>
    <n v="1000"/>
    <d v="2017-09-29T10:11:58"/>
    <x v="0"/>
    <x v="0"/>
    <s v="tania.gomes@manulifesecurities.ca"/>
    <n v="643298"/>
    <s v="User Account"/>
    <n v="1"/>
    <s v="AtBelow"/>
    <s v="CC_Portal"/>
    <n v="0"/>
    <s v="MFC"/>
    <s v="IBMCA"/>
    <s v="ACTIVE ADVISORS AND ASSISTANTS"/>
    <n v="0"/>
    <n v="0"/>
  </r>
  <r>
    <s v="alex_buena@manulifesecurities.ca"/>
    <s v="MFC"/>
    <x v="0"/>
    <n v="570025"/>
    <n v="3"/>
    <d v="2017-09-29T10:02:20"/>
    <x v="0"/>
    <x v="3"/>
    <s v="Chris.Sanderson@manulifesecurities.ca"/>
    <n v="552132"/>
    <s v="User Account"/>
    <n v="1"/>
    <s v="AtBelow"/>
    <s v="CC_Portal"/>
    <s v="Disable"/>
    <s v="MFC"/>
    <s v="IBMCA"/>
    <s v="DISABLED USERS"/>
    <n v="0"/>
    <n v="0"/>
  </r>
  <r>
    <s v="alex_buena@manulifesecurities.ca"/>
    <s v="MFC"/>
    <x v="0"/>
    <n v="570025"/>
    <n v="3"/>
    <d v="2017-09-29T10:00:21"/>
    <x v="0"/>
    <x v="5"/>
    <s v="Chris.Sanderson@manulifesecurities.ca"/>
    <n v="552132"/>
    <s v="User Account"/>
    <n v="1"/>
    <s v="AtBelow"/>
    <s v="CC_Portal"/>
    <n v="0"/>
    <s v="MFC"/>
    <s v="IBMCA"/>
    <s v="DISABLED USERS"/>
    <n v="0"/>
    <n v="0"/>
  </r>
  <r>
    <s v="alex_buena@manulifesecurities.ca"/>
    <s v="MFC"/>
    <x v="0"/>
    <n v="570025"/>
    <n v="3"/>
    <d v="2017-09-29T10:00:04"/>
    <x v="0"/>
    <x v="5"/>
    <s v="Chris.Sanderson@manulifesecurities.ca"/>
    <n v="552132"/>
    <s v="User Account"/>
    <n v="1"/>
    <s v="AtBelow"/>
    <s v="CC_Portal"/>
    <n v="0"/>
    <s v="MFC"/>
    <s v="IBMCA"/>
    <s v="DISABLED USERS"/>
    <n v="0"/>
    <n v="0"/>
  </r>
  <r>
    <s v="alex_buena@manulifesecurities.ca"/>
    <s v="MFC"/>
    <x v="0"/>
    <n v="570025"/>
    <n v="3"/>
    <d v="2017-09-29T10:00:03"/>
    <x v="4"/>
    <x v="6"/>
    <s v="MSI_autoEmailArchive@manulifesecurities.ca"/>
    <n v="561482"/>
    <s v="Distribution List"/>
    <n v="1"/>
    <s v="Any"/>
    <s v="CC_Portal"/>
    <s v="2fd9a10b4dba497d936a2c94a8403da8"/>
    <s v="MFC"/>
    <s v="IBMCA"/>
    <s v="ALL GROUPS"/>
    <n v="0"/>
    <n v="0"/>
  </r>
  <r>
    <s v="alex_buena@manulifesecurities.ca"/>
    <s v="MFC"/>
    <x v="0"/>
    <n v="570025"/>
    <n v="3"/>
    <d v="2017-09-29T10:00:00"/>
    <x v="4"/>
    <x v="6"/>
    <s v="AllAssistants@manulifesecurities.ca"/>
    <n v="555660"/>
    <s v="Distribution List"/>
    <n v="1"/>
    <s v="Any"/>
    <s v="CC_Portal"/>
    <s v="2fd9a10b4dba497d936a2c94a8403da8"/>
    <s v="MFC"/>
    <s v="IBMCA"/>
    <s v="ALL GROUPS"/>
    <n v="0"/>
    <n v="0"/>
  </r>
  <r>
    <s v="alex_buena@manulifesecurities.ca"/>
    <s v="MFC"/>
    <x v="0"/>
    <n v="570025"/>
    <n v="3"/>
    <d v="2017-09-29T09:59:59"/>
    <x v="4"/>
    <x v="6"/>
    <s v="Advisors@manulifesecurities.ca"/>
    <n v="555668"/>
    <s v="Distribution List"/>
    <n v="1"/>
    <s v="Any"/>
    <s v="CC_Portal"/>
    <s v="2fd9a10b4dba497d936a2c94a8403da8"/>
    <s v="MFC"/>
    <s v="IBMCA"/>
    <s v="ALL GROUPS"/>
    <n v="0"/>
    <n v="0"/>
  </r>
  <r>
    <s v="alex_buena@manulifesecurities.ca"/>
    <s v="MFC"/>
    <x v="0"/>
    <n v="570025"/>
    <n v="3"/>
    <d v="2017-09-29T09:59:57"/>
    <x v="0"/>
    <x v="5"/>
    <s v="Chris.Sanderson@manulifesecurities.ca"/>
    <n v="552132"/>
    <s v="User Account"/>
    <n v="1"/>
    <s v="AtBelow"/>
    <s v="CC_Portal"/>
    <n v="0"/>
    <s v="MFC"/>
    <s v="IBMCA"/>
    <s v="DISABLED USERS"/>
    <n v="0"/>
    <n v="0"/>
  </r>
  <r>
    <s v="alex_buena@manulifesecurities.ca"/>
    <s v="MFC"/>
    <x v="0"/>
    <n v="570025"/>
    <n v="3"/>
    <d v="2017-09-29T09:59:51"/>
    <x v="0"/>
    <x v="5"/>
    <s v="Chris.Sanderson@manulifesecurities.ca"/>
    <n v="552132"/>
    <s v="User Account"/>
    <n v="1"/>
    <s v="AtBelow"/>
    <s v="CC_Portal"/>
    <n v="0"/>
    <s v="MFC"/>
    <s v="IBMCA"/>
    <s v="DISABLED USERS"/>
    <n v="0"/>
    <n v="0"/>
  </r>
  <r>
    <s v="alex_buena@manulifesecurities.ca"/>
    <s v="MFC"/>
    <x v="0"/>
    <n v="570025"/>
    <n v="3"/>
    <d v="2017-09-29T09:59:08"/>
    <x v="0"/>
    <x v="4"/>
    <s v="Chris.Sanderson@manulifesecurities.ca"/>
    <n v="552132"/>
    <s v="User Account"/>
    <n v="1"/>
    <s v="AtBelow"/>
    <s v="CC_Portal"/>
    <s v="oldOrgGroup=ACTIVE ADVISORS AND ASSISTANTS;newOrgGroup=DISABLED USERS"/>
    <s v="MFC"/>
    <s v="IBMCA"/>
    <s v="DISABLED USERS"/>
    <n v="0"/>
    <n v="0"/>
  </r>
  <r>
    <s v="ssotest@mfc.sps.local"/>
    <s v="MFC"/>
    <x v="0"/>
    <n v="551367"/>
    <n v="1000"/>
    <d v="2017-09-29T09:47:59"/>
    <x v="0"/>
    <x v="0"/>
    <s v="Shannon.Higgins@manulifesecurities.ca"/>
    <n v="553971"/>
    <s v="User Account"/>
    <n v="1"/>
    <s v="AtBelow"/>
    <s v="CC_Portal"/>
    <n v="0"/>
    <s v="MFC"/>
    <s v="IBMCA"/>
    <s v="ACTIVE ADVISORS AND ASSISTANTS"/>
    <n v="0"/>
    <n v="0"/>
  </r>
  <r>
    <s v="ssotest@mfc.sps.local"/>
    <s v="MFC"/>
    <x v="0"/>
    <n v="551367"/>
    <n v="1000"/>
    <d v="2017-09-29T09:45:07"/>
    <x v="0"/>
    <x v="0"/>
    <s v="eric.lacoursiere@manulifesecurities.ca"/>
    <n v="864038"/>
    <s v="User Account"/>
    <n v="1"/>
    <s v="AtBelow"/>
    <s v="CC_Portal"/>
    <n v="0"/>
    <s v="MFC"/>
    <s v="IBMCA"/>
    <s v="ACTIVE ADVISORS AND ASSISTANTS"/>
    <n v="0"/>
    <n v="0"/>
  </r>
  <r>
    <s v="ssotest@mfc.sps.local"/>
    <s v="MFC"/>
    <x v="0"/>
    <n v="551367"/>
    <n v="1000"/>
    <d v="2017-09-29T09:43:22"/>
    <x v="0"/>
    <x v="0"/>
    <s v="michel.deschenes@manulifesecurities.ca"/>
    <n v="560735"/>
    <s v="User Account"/>
    <n v="1"/>
    <s v="AtBelow"/>
    <s v="CC_Portal"/>
    <n v="0"/>
    <s v="MFC"/>
    <s v="IBMCA"/>
    <s v="DISABLED USERS"/>
    <n v="0"/>
    <n v="0"/>
  </r>
  <r>
    <s v="ssotest@mfc.sps.local"/>
    <s v="MFC"/>
    <x v="0"/>
    <n v="551367"/>
    <n v="1000"/>
    <d v="2017-09-29T09:14:45"/>
    <x v="0"/>
    <x v="0"/>
    <s v="Gary.Stevens@manulifesecurities.ca"/>
    <n v="552566"/>
    <s v="User Account"/>
    <n v="1"/>
    <s v="AtBelow"/>
    <s v="CC_Portal"/>
    <n v="0"/>
    <s v="MFC"/>
    <s v="IBMCA"/>
    <s v="ACTIVE ADVISORS AND ASSISTANTS"/>
    <n v="0"/>
    <n v="0"/>
  </r>
  <r>
    <s v="ssotest@mfc.sps.local"/>
    <s v="MFC"/>
    <x v="0"/>
    <n v="551367"/>
    <n v="1000"/>
    <d v="2017-09-29T09:01:58"/>
    <x v="0"/>
    <x v="0"/>
    <s v="Gary.Stevens@manulifesecurities.ca"/>
    <n v="552566"/>
    <s v="User Account"/>
    <n v="1"/>
    <s v="AtBelow"/>
    <s v="CC_Portal"/>
    <n v="0"/>
    <s v="MFC"/>
    <s v="IBMCA"/>
    <s v="ACTIVE ADVISORS AND ASSISTANTS"/>
    <n v="0"/>
    <n v="0"/>
  </r>
  <r>
    <s v="ssotest@mfc.sps.local"/>
    <s v="MFC"/>
    <x v="0"/>
    <n v="551367"/>
    <n v="1000"/>
    <d v="2017-09-29T08:52:29"/>
    <x v="0"/>
    <x v="0"/>
    <s v="Chantal.Laurin@manulifesecurities.ca"/>
    <n v="552098"/>
    <s v="User Account"/>
    <n v="1"/>
    <s v="AtBelow"/>
    <s v="CC_Portal"/>
    <n v="0"/>
    <s v="MFC"/>
    <s v="IBMCA"/>
    <s v="ACTIVE ADVISORS AND ASSISTANTS"/>
    <n v="0"/>
    <n v="0"/>
  </r>
  <r>
    <s v="ssotest@mfc.sps.local"/>
    <s v="MFC"/>
    <x v="0"/>
    <n v="551367"/>
    <n v="1000"/>
    <d v="2017-09-29T08:43:28"/>
    <x v="0"/>
    <x v="0"/>
    <s v="Christian.Viau@placementsmanuvie.ca"/>
    <n v="552140"/>
    <s v="User Account"/>
    <n v="1"/>
    <s v="AtBelow"/>
    <s v="CC_Portal"/>
    <n v="0"/>
    <s v="MFC"/>
    <s v="IBMCA"/>
    <s v="ACTIVE ADVISORS AND ASSISTANTS"/>
    <n v="0"/>
    <n v="0"/>
  </r>
  <r>
    <s v="alex_buena@manulifesecurities.ca"/>
    <s v="MFC"/>
    <x v="0"/>
    <n v="570025"/>
    <n v="3"/>
    <d v="2017-09-28T23:45:01"/>
    <x v="0"/>
    <x v="3"/>
    <s v="jennifer.rowe@manulifesecurities.ca"/>
    <n v="901580"/>
    <s v="User Account"/>
    <n v="1"/>
    <s v="AtBelow"/>
    <s v="CC_Portal"/>
    <s v="Disable"/>
    <s v="MFC"/>
    <s v="IBMCA"/>
    <s v="DISABLED USERS"/>
    <n v="0"/>
    <n v="0"/>
  </r>
  <r>
    <s v="alex_buena@manulifesecurities.ca"/>
    <s v="MFC"/>
    <x v="0"/>
    <n v="570025"/>
    <n v="3"/>
    <d v="2017-09-28T23:40:48"/>
    <x v="4"/>
    <x v="6"/>
    <s v="MSI_autoEmailArchive@manulifesecurities.ca"/>
    <n v="561482"/>
    <s v="Distribution List"/>
    <n v="1"/>
    <s v="Any"/>
    <s v="CC_Portal"/>
    <s v="b4015b1abb5a4e9eb32d34efd7a3bbb7"/>
    <s v="MFC"/>
    <s v="IBMCA"/>
    <s v="ALL GROUPS"/>
    <n v="0"/>
    <n v="0"/>
  </r>
  <r>
    <s v="alex_buena@manulifesecurities.ca"/>
    <s v="MFC"/>
    <x v="0"/>
    <n v="570025"/>
    <n v="3"/>
    <d v="2017-09-28T23:40:48"/>
    <x v="0"/>
    <x v="5"/>
    <s v="jennifer.rowe@manulifesecurities.ca"/>
    <n v="901580"/>
    <s v="User Account"/>
    <n v="1"/>
    <s v="AtBelow"/>
    <s v="CC_Portal"/>
    <n v="0"/>
    <s v="MFC"/>
    <s v="IBMCA"/>
    <s v="DISABLED USERS"/>
    <n v="0"/>
    <n v="0"/>
  </r>
  <r>
    <s v="alex_buena@manulifesecurities.ca"/>
    <s v="MFC"/>
    <x v="0"/>
    <n v="570025"/>
    <n v="3"/>
    <d v="2017-09-28T23:40:46"/>
    <x v="4"/>
    <x v="6"/>
    <s v="AllAssistants@manulifesecurities.ca"/>
    <n v="555660"/>
    <s v="Distribution List"/>
    <n v="1"/>
    <s v="Any"/>
    <s v="CC_Portal"/>
    <s v="b4015b1abb5a4e9eb32d34efd7a3bbb7"/>
    <s v="MFC"/>
    <s v="IBMCA"/>
    <s v="ALL GROUPS"/>
    <n v="0"/>
    <n v="0"/>
  </r>
  <r>
    <s v="alex_buena@manulifesecurities.ca"/>
    <s v="MFC"/>
    <x v="0"/>
    <n v="570025"/>
    <n v="3"/>
    <d v="2017-09-28T23:40:40"/>
    <x v="0"/>
    <x v="5"/>
    <s v="jennifer.rowe@manulifesecurities.ca"/>
    <n v="901580"/>
    <s v="User Account"/>
    <n v="1"/>
    <s v="AtBelow"/>
    <s v="CC_Portal"/>
    <n v="0"/>
    <s v="MFC"/>
    <s v="IBMCA"/>
    <s v="DISABLED USERS"/>
    <n v="0"/>
    <n v="0"/>
  </r>
  <r>
    <s v="alex_buena@manulifesecurities.ca"/>
    <s v="MFC"/>
    <x v="0"/>
    <n v="570025"/>
    <n v="3"/>
    <d v="2017-09-28T23:40:35"/>
    <x v="0"/>
    <x v="5"/>
    <s v="jennifer.rowe@manulifesecurities.ca"/>
    <n v="901580"/>
    <s v="User Account"/>
    <n v="1"/>
    <s v="AtBelow"/>
    <s v="CC_Portal"/>
    <n v="0"/>
    <s v="MFC"/>
    <s v="IBMCA"/>
    <s v="DISABLED USERS"/>
    <n v="0"/>
    <n v="0"/>
  </r>
  <r>
    <s v="alex_buena@manulifesecurities.ca"/>
    <s v="MFC"/>
    <x v="0"/>
    <n v="570025"/>
    <n v="3"/>
    <d v="2017-09-28T23:39:03"/>
    <x v="0"/>
    <x v="4"/>
    <s v="jennifer.rowe@manulifesecurities.ca"/>
    <n v="901580"/>
    <s v="User Account"/>
    <n v="1"/>
    <s v="AtBelow"/>
    <s v="CC_Portal"/>
    <s v="oldOrgGroup=ACTIVE ADVISORS AND ASSISTANTS;newOrgGroup=DISABLED USERS"/>
    <s v="MFC"/>
    <s v="IBMCA"/>
    <s v="DISABLED USERS"/>
    <n v="0"/>
    <n v="0"/>
  </r>
  <r>
    <s v="jody.markovic@manulifesecurities.ca"/>
    <s v="MFC"/>
    <x v="0"/>
    <n v="560579"/>
    <n v="3"/>
    <d v="2017-09-28T17:11:39"/>
    <x v="3"/>
    <x v="2"/>
    <s v="Jason.Nakhoul@manulifesecurities.ca"/>
    <n v="552780"/>
    <s v="User Account"/>
    <n v="1"/>
    <s v="AtBelow"/>
    <s v="CC_WebService"/>
    <m/>
    <s v="MFC"/>
    <s v="IBMCA"/>
    <s v="ACTIVE ADVISORS AND ASSISTANTS"/>
    <n v="0"/>
    <n v="0"/>
  </r>
  <r>
    <s v="jody.markovic@manulifesecurities.ca"/>
    <s v="MFC"/>
    <x v="0"/>
    <n v="560579"/>
    <n v="3"/>
    <d v="2017-09-28T17:11:18"/>
    <x v="3"/>
    <x v="2"/>
    <s v="Jason.Nakhoul@manulifesecurities.ca"/>
    <n v="552780"/>
    <s v="User Account"/>
    <n v="1"/>
    <s v="AtBelow"/>
    <s v="CC_WebService"/>
    <m/>
    <s v="MFC"/>
    <s v="IBMCA"/>
    <s v="ACTIVE ADVISORS AND ASSISTANTS"/>
    <n v="0"/>
    <n v="0"/>
  </r>
  <r>
    <s v="ssotest@mfc.sps.local"/>
    <s v="MFC"/>
    <x v="0"/>
    <n v="551367"/>
    <n v="1000"/>
    <d v="2017-09-28T17:03:19"/>
    <x v="0"/>
    <x v="0"/>
    <s v="Theresa.Marks@manulifesecurities.ca"/>
    <n v="554170"/>
    <s v="User Account"/>
    <n v="1"/>
    <s v="AtBelow"/>
    <s v="CC_Portal"/>
    <n v="0"/>
    <s v="MFC"/>
    <s v="IBMCA"/>
    <s v="ACTIVE ADVISORS AND ASSISTANTS"/>
    <n v="0"/>
    <n v="0"/>
  </r>
  <r>
    <s v="silvie.cadieux@manulifesecurities.ca"/>
    <s v="MFC"/>
    <x v="0"/>
    <n v="560946"/>
    <n v="3"/>
    <d v="2017-09-28T15:37:21"/>
    <x v="3"/>
    <x v="2"/>
    <s v="Darius.Muica@manulifesecurities.ca"/>
    <n v="552252"/>
    <s v="User Account"/>
    <n v="1"/>
    <s v="AtBelow"/>
    <s v="CC_WebService"/>
    <m/>
    <s v="MFC"/>
    <s v="IBMCA"/>
    <s v="ACTIVE ADVISORS AND ASSISTANTS"/>
    <n v="0"/>
    <n v="0"/>
  </r>
  <r>
    <s v="ssotest@mfc.sps.local"/>
    <s v="MFC"/>
    <x v="0"/>
    <n v="551367"/>
    <n v="1000"/>
    <d v="2017-09-28T15:06:03"/>
    <x v="0"/>
    <x v="0"/>
    <s v="Adam.Tipper@manulifesecurities.ca"/>
    <n v="551730"/>
    <s v="User Account"/>
    <n v="1"/>
    <s v="AtBelow"/>
    <s v="CC_Portal"/>
    <n v="0"/>
    <s v="MFC"/>
    <s v="IBMCA"/>
    <s v="ACTIVE ADVISORS AND ASSISTANTS"/>
    <n v="0"/>
    <n v="0"/>
  </r>
  <r>
    <s v="priscilla.misir@manulifesecurities.ca"/>
    <s v="MFC"/>
    <x v="0"/>
    <n v="674396"/>
    <n v="3"/>
    <d v="2017-09-28T14:04:48"/>
    <x v="0"/>
    <x v="4"/>
    <s v="RS.Basaraba@manulifesecurities.ca"/>
    <n v="553775"/>
    <s v="User Account"/>
    <n v="1"/>
    <s v="AtBelow"/>
    <s v="CC_Portal"/>
    <s v="oldOrgGroup=ACTIVE ADVISORS AND ASSISTANTS;newOrgGroup=DISABLED USERS"/>
    <s v="MFC"/>
    <s v="IBMCA"/>
    <s v="DISABLED USERS"/>
    <n v="0"/>
    <n v="0"/>
  </r>
  <r>
    <s v="priscilla.misir@manulifesecurities.ca"/>
    <s v="MFC"/>
    <x v="0"/>
    <n v="674396"/>
    <n v="3"/>
    <d v="2017-09-28T14:04:26"/>
    <x v="0"/>
    <x v="5"/>
    <s v="RS.Basaraba@manulifesecurities.ca"/>
    <n v="553775"/>
    <s v="User Account"/>
    <n v="1"/>
    <s v="AtBelow"/>
    <s v="CC_Portal"/>
    <n v="0"/>
    <s v="MFC"/>
    <s v="IBMCA"/>
    <s v="ACTIVE ADVISORS AND ASSISTANTS"/>
    <n v="0"/>
    <n v="0"/>
  </r>
  <r>
    <s v="priscilla.misir@manulifesecurities.ca"/>
    <s v="MFC"/>
    <x v="0"/>
    <n v="674396"/>
    <n v="3"/>
    <d v="2017-09-28T14:04:25"/>
    <x v="4"/>
    <x v="6"/>
    <s v="MSI_autoEmailArchive@manulifesecurities.ca"/>
    <n v="561482"/>
    <s v="Distribution List"/>
    <n v="1"/>
    <s v="Any"/>
    <s v="CC_Portal"/>
    <s v="0879a73c75a445f0bb4c03044eaf0285"/>
    <s v="MFC"/>
    <s v="IBMCA"/>
    <s v="ALL GROUPS"/>
    <n v="0"/>
    <n v="0"/>
  </r>
  <r>
    <s v="priscilla.misir@manulifesecurities.ca"/>
    <s v="MFC"/>
    <x v="0"/>
    <n v="674396"/>
    <n v="3"/>
    <d v="2017-09-28T14:04:23"/>
    <x v="4"/>
    <x v="6"/>
    <s v="FormerBerkAdvisors@manulifesecurities.ca"/>
    <n v="555662"/>
    <s v="Distribution List"/>
    <n v="1"/>
    <s v="Any"/>
    <s v="CC_Portal"/>
    <s v="0879a73c75a445f0bb4c03044eaf0285"/>
    <s v="MFC"/>
    <s v="IBMCA"/>
    <s v="ALL GROUPS"/>
    <n v="0"/>
    <n v="0"/>
  </r>
  <r>
    <s v="priscilla.misir@manulifesecurities.ca"/>
    <s v="MFC"/>
    <x v="0"/>
    <n v="674396"/>
    <n v="3"/>
    <d v="2017-09-28T14:04:23"/>
    <x v="4"/>
    <x v="6"/>
    <s v="MSISRepresentatives@manulifesecurities.ca"/>
    <n v="555674"/>
    <s v="Distribution List"/>
    <n v="1"/>
    <s v="Any"/>
    <s v="CC_Portal"/>
    <s v="0879a73c75a445f0bb4c03044eaf0285"/>
    <s v="MFC"/>
    <s v="IBMCA"/>
    <s v="ALL GROUPS"/>
    <n v="0"/>
    <n v="0"/>
  </r>
  <r>
    <s v="priscilla.misir@manulifesecurities.ca"/>
    <s v="MFC"/>
    <x v="0"/>
    <n v="674396"/>
    <n v="3"/>
    <d v="2017-09-28T14:04:22"/>
    <x v="4"/>
    <x v="6"/>
    <s v="BORB@manulifesecurities.ca"/>
    <n v="561082"/>
    <s v="Distribution List"/>
    <n v="1"/>
    <s v="Any"/>
    <s v="CC_Portal"/>
    <s v="0879a73c75a445f0bb4c03044eaf0285"/>
    <s v="MFC"/>
    <s v="IBMCA"/>
    <s v="ALL GROUPS"/>
    <n v="0"/>
    <n v="0"/>
  </r>
  <r>
    <s v="priscilla.misir@manulifesecurities.ca"/>
    <s v="MFC"/>
    <x v="0"/>
    <n v="674396"/>
    <n v="3"/>
    <d v="2017-09-28T14:04:22"/>
    <x v="4"/>
    <x v="6"/>
    <s v="BusinessOwners@manulifesecurities.ca"/>
    <n v="555669"/>
    <s v="Distribution List"/>
    <n v="1"/>
    <s v="Any"/>
    <s v="CC_Portal"/>
    <s v="0879a73c75a445f0bb4c03044eaf0285"/>
    <s v="MFC"/>
    <s v="IBMCA"/>
    <s v="ALL GROUPS"/>
    <n v="0"/>
    <n v="0"/>
  </r>
  <r>
    <s v="priscilla.misir@manulifesecurities.ca"/>
    <s v="MFC"/>
    <x v="0"/>
    <n v="674396"/>
    <n v="3"/>
    <d v="2017-09-28T14:04:21"/>
    <x v="4"/>
    <x v="6"/>
    <s v="AllAdvisors@manulifesecurities.ca"/>
    <n v="555659"/>
    <s v="Distribution List"/>
    <n v="1"/>
    <s v="Any"/>
    <s v="CC_Portal"/>
    <s v="0879a73c75a445f0bb4c03044eaf0285"/>
    <s v="MFC"/>
    <s v="IBMCA"/>
    <s v="ALL GROUPS"/>
    <n v="0"/>
    <n v="0"/>
  </r>
  <r>
    <s v="priscilla.misir@manulifesecurities.ca"/>
    <s v="MFC"/>
    <x v="0"/>
    <n v="674396"/>
    <n v="3"/>
    <d v="2017-09-28T14:04:20"/>
    <x v="4"/>
    <x v="6"/>
    <s v="Advisors@manulifesecurities.ca"/>
    <n v="555668"/>
    <s v="Distribution List"/>
    <n v="1"/>
    <s v="Any"/>
    <s v="CC_Portal"/>
    <s v="0879a73c75a445f0bb4c03044eaf0285"/>
    <s v="MFC"/>
    <s v="IBMCA"/>
    <s v="ALL GROUPS"/>
    <n v="0"/>
    <n v="0"/>
  </r>
  <r>
    <s v="priscilla.misir@manulifesecurities.ca"/>
    <s v="MFC"/>
    <x v="0"/>
    <n v="674396"/>
    <n v="3"/>
    <d v="2017-09-28T14:04:18"/>
    <x v="0"/>
    <x v="5"/>
    <s v="RS.Basaraba@manulifesecurities.ca"/>
    <n v="553775"/>
    <s v="User Account"/>
    <n v="1"/>
    <s v="AtBelow"/>
    <s v="CC_Portal"/>
    <n v="0"/>
    <s v="MFC"/>
    <s v="IBMCA"/>
    <s v="ACTIVE ADVISORS AND ASSISTANTS"/>
    <n v="0"/>
    <n v="0"/>
  </r>
  <r>
    <s v="priscilla.misir@manulifesecurities.ca"/>
    <s v="MFC"/>
    <x v="0"/>
    <n v="674396"/>
    <n v="3"/>
    <d v="2017-09-28T14:04:14"/>
    <x v="0"/>
    <x v="5"/>
    <s v="RS.Basaraba@manulifesecurities.ca"/>
    <n v="553775"/>
    <s v="User Account"/>
    <n v="1"/>
    <s v="AtBelow"/>
    <s v="CC_Portal"/>
    <n v="0"/>
    <s v="MFC"/>
    <s v="IBMCA"/>
    <s v="ACTIVE ADVISORS AND ASSISTANTS"/>
    <n v="0"/>
    <n v="0"/>
  </r>
  <r>
    <s v="priscilla.misir@manulifesecurities.ca"/>
    <s v="MFC"/>
    <x v="0"/>
    <n v="674396"/>
    <n v="3"/>
    <d v="2017-09-28T14:03:27"/>
    <x v="0"/>
    <x v="3"/>
    <s v="RS.Basaraba@manulifesecurities.ca"/>
    <n v="553775"/>
    <s v="User Account"/>
    <n v="1"/>
    <s v="AtBelow"/>
    <s v="CC_Portal"/>
    <s v="Disable"/>
    <s v="MFC"/>
    <s v="IBMCA"/>
    <s v="ACTIVE ADVISORS AND ASSISTANTS"/>
    <n v="0"/>
    <n v="0"/>
  </r>
  <r>
    <s v="michel.cormier@manulifesecurities.ca"/>
    <s v="MFC"/>
    <x v="0"/>
    <n v="560366"/>
    <n v="3"/>
    <d v="2017-09-28T13:41:36"/>
    <x v="3"/>
    <x v="2"/>
    <s v="donna.macdougall@manulifesecurities.ca"/>
    <n v="864176"/>
    <s v="User Account"/>
    <n v="1"/>
    <s v="AtBelow"/>
    <s v="CC_WebService"/>
    <m/>
    <s v="MFC"/>
    <s v="IBMCA"/>
    <s v="ACTIVE ADVISORS AND ASSISTANTS"/>
    <n v="0"/>
    <n v="0"/>
  </r>
  <r>
    <s v="michel.cormier@manulifesecurities.ca"/>
    <s v="MFC"/>
    <x v="0"/>
    <n v="560366"/>
    <n v="3"/>
    <d v="2017-09-28T13:35:46"/>
    <x v="3"/>
    <x v="2"/>
    <s v="donna.macdougall@manulifesecurities.ca"/>
    <n v="864176"/>
    <s v="User Account"/>
    <n v="1"/>
    <s v="AtBelow"/>
    <s v="CC_WebService"/>
    <m/>
    <s v="MFC"/>
    <s v="IBMCA"/>
    <s v="ACTIVE ADVISORS AND ASSISTANTS"/>
    <n v="0"/>
    <n v="0"/>
  </r>
  <r>
    <s v="michel.cormier@manulifesecurities.ca"/>
    <s v="MFC"/>
    <x v="0"/>
    <n v="560366"/>
    <n v="3"/>
    <d v="2017-09-28T13:34:34"/>
    <x v="3"/>
    <x v="2"/>
    <s v="donna.macdougall@manulifesecurities.ca"/>
    <n v="864176"/>
    <s v="User Account"/>
    <n v="1"/>
    <s v="AtBelow"/>
    <s v="CC_WebService"/>
    <m/>
    <s v="MFC"/>
    <s v="IBMCA"/>
    <s v="ACTIVE ADVISORS AND ASSISTANTS"/>
    <n v="0"/>
    <n v="0"/>
  </r>
  <r>
    <s v="ssotest@mfc.sps.local"/>
    <s v="MFC"/>
    <x v="0"/>
    <n v="551367"/>
    <n v="1000"/>
    <d v="2017-09-28T13:12:41"/>
    <x v="0"/>
    <x v="0"/>
    <s v="Diana.Franklin-Harrison@manulifesecurities.ca"/>
    <n v="552365"/>
    <s v="User Account"/>
    <n v="1"/>
    <s v="AtBelow"/>
    <s v="CC_Portal"/>
    <n v="0"/>
    <s v="MFC"/>
    <s v="IBMCA"/>
    <s v="ACTIVE ADVISORS AND ASSISTANTS"/>
    <n v="0"/>
    <n v="0"/>
  </r>
  <r>
    <s v="patrick.harkins@manulifesecurities.ca"/>
    <s v="MFC"/>
    <x v="0"/>
    <n v="560864"/>
    <n v="3"/>
    <d v="2017-09-28T13:12:23"/>
    <x v="3"/>
    <x v="2"/>
    <s v="stephanie.sciacca@manulifesecurities.ca"/>
    <n v="863244"/>
    <s v="User Account"/>
    <n v="1"/>
    <s v="AtBelow"/>
    <s v="CC_WebService"/>
    <m/>
    <s v="MFC"/>
    <s v="IBMCA"/>
    <s v="ACTIVE ADVISORS AND ASSISTANTS"/>
    <n v="0"/>
    <n v="0"/>
  </r>
  <r>
    <s v="ssotest@mfc.sps.local"/>
    <s v="MFC"/>
    <x v="0"/>
    <n v="551367"/>
    <n v="1000"/>
    <d v="2017-09-28T13:10:46"/>
    <x v="0"/>
    <x v="0"/>
    <s v="Souksai.Phiensinh@manulifesecurities.ca"/>
    <n v="554033"/>
    <s v="User Account"/>
    <n v="1"/>
    <s v="AtBelow"/>
    <s v="CC_Portal"/>
    <n v="0"/>
    <s v="MFC"/>
    <s v="IBMCA"/>
    <s v="DISABLED USERS"/>
    <n v="0"/>
    <n v="0"/>
  </r>
  <r>
    <s v="ssotest@mfc.sps.local"/>
    <s v="MFC"/>
    <x v="0"/>
    <n v="551367"/>
    <n v="1000"/>
    <d v="2017-09-28T13:05:05"/>
    <x v="0"/>
    <x v="0"/>
    <s v="Ryan.Buchholz@manulifesecurities.ca"/>
    <n v="553900"/>
    <s v="User Account"/>
    <n v="1"/>
    <s v="AtBelow"/>
    <s v="CC_Portal"/>
    <n v="0"/>
    <s v="MFC"/>
    <s v="IBMCA"/>
    <s v="ACTIVE ADVISORS AND ASSISTANTS"/>
    <n v="0"/>
    <n v="0"/>
  </r>
  <r>
    <s v="ssotest@mfc.sps.local"/>
    <s v="MFC"/>
    <x v="0"/>
    <n v="551367"/>
    <n v="1000"/>
    <d v="2017-09-28T12:59:46"/>
    <x v="0"/>
    <x v="0"/>
    <s v="Jason.Nakhoul@manulifesecurities.ca"/>
    <n v="552780"/>
    <s v="User Account"/>
    <n v="1"/>
    <s v="AtBelow"/>
    <s v="CC_Portal"/>
    <n v="0"/>
    <s v="MFC"/>
    <s v="IBMCA"/>
    <s v="ACTIVE ADVISORS AND ASSISTANTS"/>
    <n v="0"/>
    <n v="0"/>
  </r>
  <r>
    <s v="alex_buena@manulifesecurities.ca"/>
    <s v="MFC"/>
    <x v="0"/>
    <n v="570025"/>
    <n v="3"/>
    <d v="2017-09-28T12:48:34"/>
    <x v="0"/>
    <x v="5"/>
    <s v="danielle.zills@manulifesecurities.ca"/>
    <n v="658878"/>
    <s v="User Account"/>
    <n v="1"/>
    <s v="AtBelow"/>
    <s v="CC_Portal"/>
    <n v="0"/>
    <s v="MFC"/>
    <s v="IBMCA"/>
    <s v="DISABLED USERS"/>
    <n v="0"/>
    <n v="0"/>
  </r>
  <r>
    <s v="alex_buena@manulifesecurities.ca"/>
    <s v="MFC"/>
    <x v="0"/>
    <n v="570025"/>
    <n v="3"/>
    <d v="2017-09-28T12:34:53"/>
    <x v="0"/>
    <x v="3"/>
    <s v="Mark.VanAmburg@manulifesecurities.ca"/>
    <n v="553371"/>
    <s v="User Account"/>
    <n v="1"/>
    <s v="AtBelow"/>
    <s v="CC_Portal"/>
    <s v="Disable"/>
    <s v="MFC"/>
    <s v="IBMCA"/>
    <s v="DISABLED USERS"/>
    <n v="0"/>
    <n v="0"/>
  </r>
  <r>
    <s v="alex_buena@manulifesecurities.ca"/>
    <s v="MFC"/>
    <x v="0"/>
    <n v="570025"/>
    <n v="3"/>
    <d v="2017-09-28T12:32:09"/>
    <x v="4"/>
    <x v="6"/>
    <s v="MSI_autoEmailArchive@manulifesecurities.ca"/>
    <n v="561482"/>
    <s v="Distribution List"/>
    <n v="1"/>
    <s v="Any"/>
    <s v="CC_Portal"/>
    <s v="c2f81abb41df4148a9d5ea2773e2f393"/>
    <s v="MFC"/>
    <s v="IBMCA"/>
    <s v="ALL GROUPS"/>
    <n v="0"/>
    <n v="0"/>
  </r>
  <r>
    <s v="alex_buena@manulifesecurities.ca"/>
    <s v="MFC"/>
    <x v="0"/>
    <n v="570025"/>
    <n v="3"/>
    <d v="2017-09-28T12:32:09"/>
    <x v="0"/>
    <x v="5"/>
    <s v="Mark.VanAmburg@manulifesecurities.ca"/>
    <n v="553371"/>
    <s v="User Account"/>
    <n v="1"/>
    <s v="AtBelow"/>
    <s v="CC_Portal"/>
    <n v="0"/>
    <s v="MFC"/>
    <s v="IBMCA"/>
    <s v="DISABLED USERS"/>
    <n v="0"/>
    <n v="0"/>
  </r>
  <r>
    <s v="alex_buena@manulifesecurities.ca"/>
    <s v="MFC"/>
    <x v="0"/>
    <n v="570025"/>
    <n v="3"/>
    <d v="2017-09-28T12:32:07"/>
    <x v="4"/>
    <x v="6"/>
    <s v="FormerMSILAdvisors@manulifesecurities.ca"/>
    <n v="555664"/>
    <s v="Distribution List"/>
    <n v="1"/>
    <s v="Any"/>
    <s v="CC_Portal"/>
    <s v="c2f81abb41df4148a9d5ea2773e2f393"/>
    <s v="MFC"/>
    <s v="IBMCA"/>
    <s v="ALL GROUPS"/>
    <n v="0"/>
    <n v="0"/>
  </r>
  <r>
    <s v="alex_buena@manulifesecurities.ca"/>
    <s v="MFC"/>
    <x v="0"/>
    <n v="570025"/>
    <n v="3"/>
    <d v="2017-09-28T12:32:06"/>
    <x v="4"/>
    <x v="6"/>
    <s v="AllAdvisors@manulifesecurities.ca"/>
    <n v="555659"/>
    <s v="Distribution List"/>
    <n v="1"/>
    <s v="Any"/>
    <s v="CC_Portal"/>
    <s v="c2f81abb41df4148a9d5ea2773e2f393"/>
    <s v="MFC"/>
    <s v="IBMCA"/>
    <s v="ALL GROUPS"/>
    <n v="0"/>
    <n v="0"/>
  </r>
  <r>
    <s v="alex_buena@manulifesecurities.ca"/>
    <s v="MFC"/>
    <x v="0"/>
    <n v="570025"/>
    <n v="3"/>
    <d v="2017-09-28T12:32:04"/>
    <x v="4"/>
    <x v="6"/>
    <s v="Advisors@manulifesecurities.ca"/>
    <n v="555668"/>
    <s v="Distribution List"/>
    <n v="1"/>
    <s v="Any"/>
    <s v="CC_Portal"/>
    <s v="c2f81abb41df4148a9d5ea2773e2f393"/>
    <s v="MFC"/>
    <s v="IBMCA"/>
    <s v="ALL GROUPS"/>
    <n v="0"/>
    <n v="0"/>
  </r>
  <r>
    <s v="alex_buena@manulifesecurities.ca"/>
    <s v="MFC"/>
    <x v="0"/>
    <n v="570025"/>
    <n v="3"/>
    <d v="2017-09-28T12:32:02"/>
    <x v="0"/>
    <x v="5"/>
    <s v="Mark.VanAmburg@manulifesecurities.ca"/>
    <n v="553371"/>
    <s v="User Account"/>
    <n v="1"/>
    <s v="AtBelow"/>
    <s v="CC_Portal"/>
    <n v="0"/>
    <s v="MFC"/>
    <s v="IBMCA"/>
    <s v="DISABLED USERS"/>
    <n v="0"/>
    <n v="0"/>
  </r>
  <r>
    <s v="alex_buena@manulifesecurities.ca"/>
    <s v="MFC"/>
    <x v="0"/>
    <n v="570025"/>
    <n v="3"/>
    <d v="2017-09-28T12:31:57"/>
    <x v="0"/>
    <x v="5"/>
    <s v="Mark.VanAmburg@manulifesecurities.ca"/>
    <n v="553371"/>
    <s v="User Account"/>
    <n v="1"/>
    <s v="AtBelow"/>
    <s v="CC_Portal"/>
    <n v="0"/>
    <s v="MFC"/>
    <s v="IBMCA"/>
    <s v="DISABLED USERS"/>
    <n v="0"/>
    <n v="0"/>
  </r>
  <r>
    <s v="alex_buena@manulifesecurities.ca"/>
    <s v="MFC"/>
    <x v="0"/>
    <n v="570025"/>
    <n v="3"/>
    <d v="2017-09-28T12:31:09"/>
    <x v="0"/>
    <x v="4"/>
    <s v="Mark.VanAmburg@manulifesecurities.ca"/>
    <n v="553371"/>
    <s v="User Account"/>
    <n v="1"/>
    <s v="AtBelow"/>
    <s v="CC_Portal"/>
    <s v="oldOrgGroup=ACTIVE ADVISORS AND ASSISTANTS;newOrgGroup=DISABLED USERS"/>
    <s v="MFC"/>
    <s v="IBMCA"/>
    <s v="DISABLED USERS"/>
    <n v="0"/>
    <n v="0"/>
  </r>
  <r>
    <s v="patrick.harkins@manulifesecurities.ca"/>
    <s v="MFC"/>
    <x v="0"/>
    <n v="560864"/>
    <n v="3"/>
    <d v="2017-09-28T12:14:09"/>
    <x v="3"/>
    <x v="2"/>
    <s v="Andy.Miller@manulifesecurities.ca"/>
    <n v="551811"/>
    <s v="User Account"/>
    <n v="1"/>
    <s v="AtBelow"/>
    <s v="CC_WebService"/>
    <m/>
    <s v="MFC"/>
    <s v="IBMCA"/>
    <s v="ACTIVE ADVISORS AND ASSISTANTS"/>
    <n v="0"/>
    <n v="0"/>
  </r>
  <r>
    <s v="ssotest@mfc.sps.local"/>
    <s v="MFC"/>
    <x v="0"/>
    <n v="551367"/>
    <n v="1000"/>
    <d v="2017-09-28T12:05:51"/>
    <x v="0"/>
    <x v="0"/>
    <s v="Scott.Keir@manulifesecurities.ca"/>
    <n v="553954"/>
    <s v="User Account"/>
    <n v="1"/>
    <s v="AtBelow"/>
    <s v="CC_Portal"/>
    <n v="0"/>
    <s v="MFC"/>
    <s v="IBMCA"/>
    <s v="ACTIVE ADVISORS AND ASSISTANTS"/>
    <n v="0"/>
    <n v="0"/>
  </r>
  <r>
    <s v="ssotest@mfc.sps.local"/>
    <s v="MFC"/>
    <x v="0"/>
    <n v="551367"/>
    <n v="1000"/>
    <d v="2017-09-28T11:51:17"/>
    <x v="0"/>
    <x v="0"/>
    <s v="Tania.Sabourin@manulifesecurities.ca"/>
    <n v="554114"/>
    <s v="User Account"/>
    <n v="1"/>
    <s v="AtBelow"/>
    <s v="CC_Portal"/>
    <n v="0"/>
    <s v="MFC"/>
    <s v="IBMCA"/>
    <s v="ACTIVE ADVISORS AND ASSISTANTS"/>
    <n v="0"/>
    <n v="0"/>
  </r>
  <r>
    <s v="adiano.kitenge@manulifesecurities.ca"/>
    <s v="MFC"/>
    <x v="0"/>
    <n v="627566"/>
    <n v="3"/>
    <d v="2017-09-28T11:46:50"/>
    <x v="3"/>
    <x v="2"/>
    <s v="alison.miller@manulifesecurities.ca"/>
    <n v="560259"/>
    <s v="User Account"/>
    <n v="1"/>
    <s v="AtBelow"/>
    <s v="CC_WebService"/>
    <m/>
    <s v="MFC"/>
    <s v="IBMCA"/>
    <s v="ACTIVE ADVISORS AND ASSISTANTS"/>
    <n v="0"/>
    <n v="0"/>
  </r>
  <r>
    <s v="adiano.kitenge@manulifesecurities.ca"/>
    <s v="MFC"/>
    <x v="0"/>
    <n v="627566"/>
    <n v="3"/>
    <d v="2017-09-28T11:46:03"/>
    <x v="0"/>
    <x v="3"/>
    <s v="alison.miller@manulifesecurities.ca"/>
    <n v="560259"/>
    <s v="User Account"/>
    <n v="1"/>
    <s v="SelfBelow"/>
    <s v="CC_Portal"/>
    <s v="Enable"/>
    <s v="MFC"/>
    <s v="IBMCA"/>
    <s v="ACTIVE ADVISORS AND ASSISTANTS"/>
    <n v="0"/>
    <n v="0"/>
  </r>
  <r>
    <s v="ssotest@mfc.sps.local"/>
    <s v="MFC"/>
    <x v="0"/>
    <n v="551367"/>
    <n v="1000"/>
    <d v="2017-09-28T11:33:51"/>
    <x v="0"/>
    <x v="0"/>
    <s v="Andy.Miller@manulifesecurities.ca"/>
    <n v="551811"/>
    <s v="User Account"/>
    <n v="1"/>
    <s v="AtBelow"/>
    <s v="CC_Portal"/>
    <n v="0"/>
    <s v="MFC"/>
    <s v="IBMCA"/>
    <s v="ACTIVE ADVISORS AND ASSISTANTS"/>
    <n v="0"/>
    <n v="0"/>
  </r>
  <r>
    <s v="ssotest@mfc.sps.local"/>
    <s v="MFC"/>
    <x v="0"/>
    <n v="551367"/>
    <n v="1000"/>
    <d v="2017-09-28T11:30:35"/>
    <x v="0"/>
    <x v="0"/>
    <s v="francine.melanson@manulifesecurities.ca"/>
    <n v="729013"/>
    <s v="User Account"/>
    <n v="1"/>
    <s v="AtBelow"/>
    <s v="CC_Portal"/>
    <n v="0"/>
    <s v="MFC"/>
    <s v="IBMCA"/>
    <s v="ACTIVE ADVISORS AND ASSISTANTS"/>
    <n v="0"/>
    <n v="0"/>
  </r>
  <r>
    <s v="ssotest@mfc.sps.local"/>
    <s v="MFC"/>
    <x v="0"/>
    <n v="551367"/>
    <n v="1000"/>
    <d v="2017-09-28T11:29:40"/>
    <x v="0"/>
    <x v="0"/>
    <s v="Bonnie.Martens@manulifesecurities.ca"/>
    <n v="551954"/>
    <s v="User Account"/>
    <n v="1"/>
    <s v="AtBelow"/>
    <s v="CC_Portal"/>
    <n v="0"/>
    <s v="MFC"/>
    <s v="IBMCA"/>
    <s v="ACTIVE ADVISORS AND ASSISTANTS"/>
    <n v="0"/>
    <n v="0"/>
  </r>
  <r>
    <s v="alex_buena@manulifesecurities.ca"/>
    <s v="MFC"/>
    <x v="0"/>
    <n v="570025"/>
    <n v="3"/>
    <d v="2017-09-28T10:57:35"/>
    <x v="0"/>
    <x v="5"/>
    <s v="charmaine.guerette@manulifesecurities.ca"/>
    <n v="910662"/>
    <s v="User Account"/>
    <n v="1"/>
    <s v="AtBelow"/>
    <s v="CC_Portal"/>
    <n v="0"/>
    <s v="MFC"/>
    <s v="IBMCA"/>
    <s v="ACTIVE ADVISORS AND ASSISTANTS"/>
    <n v="0"/>
    <n v="0"/>
  </r>
  <r>
    <s v="alex_buena@manulifesecurities.ca"/>
    <s v="MFC"/>
    <x v="0"/>
    <n v="570025"/>
    <n v="3"/>
    <d v="2017-09-28T10:57:33"/>
    <x v="5"/>
    <x v="6"/>
    <s v="MSI_autoEmailArchive@manulifesecurities.ca"/>
    <n v="561482"/>
    <s v="Distribution List"/>
    <n v="1"/>
    <s v="Any"/>
    <s v="CC_Portal"/>
    <s v="7740945ac5634c16967b6b27390fd2bb"/>
    <s v="MFC"/>
    <s v="IBMCA"/>
    <s v="ALL GROUPS"/>
    <n v="0"/>
    <n v="0"/>
  </r>
  <r>
    <s v="alex_buena@manulifesecurities.ca"/>
    <s v="MFC"/>
    <x v="0"/>
    <n v="570025"/>
    <n v="3"/>
    <d v="2017-09-28T10:57:32"/>
    <x v="5"/>
    <x v="6"/>
    <s v="AllAssistants@manulifesecurities.ca"/>
    <n v="555660"/>
    <s v="Distribution List"/>
    <n v="1"/>
    <s v="Any"/>
    <s v="CC_Portal"/>
    <s v="7740945ac5634c16967b6b27390fd2bb"/>
    <s v="MFC"/>
    <s v="IBMCA"/>
    <s v="ALL GROUPS"/>
    <n v="0"/>
    <n v="0"/>
  </r>
  <r>
    <s v="alex_buena@manulifesecurities.ca"/>
    <s v="MFC"/>
    <x v="0"/>
    <n v="570025"/>
    <n v="3"/>
    <d v="2017-09-28T10:57:30"/>
    <x v="0"/>
    <x v="5"/>
    <s v="charmaine.guerette@manulifesecurities.ca"/>
    <n v="910662"/>
    <s v="User Account"/>
    <n v="1"/>
    <s v="AtBelow"/>
    <s v="CC_Portal"/>
    <n v="0"/>
    <s v="MFC"/>
    <s v="IBMCA"/>
    <s v="ACTIVE ADVISORS AND ASSISTANTS"/>
    <n v="0"/>
    <n v="0"/>
  </r>
  <r>
    <s v="alex_buena@manulifesecurities.ca"/>
    <s v="MFC"/>
    <x v="0"/>
    <n v="570025"/>
    <n v="3"/>
    <d v="2017-09-28T10:57:18"/>
    <x v="0"/>
    <x v="5"/>
    <s v="charmaine.guerette@manulifesecurities.ca"/>
    <n v="910662"/>
    <s v="User Account"/>
    <n v="1"/>
    <s v="AtBelow"/>
    <s v="CC_Portal"/>
    <n v="0"/>
    <s v="MFC"/>
    <s v="IBMCA"/>
    <s v="ACTIVE ADVISORS AND ASSISTANTS"/>
    <n v="0"/>
    <n v="0"/>
  </r>
  <r>
    <s v="alex_buena@manulifesecurities.ca"/>
    <s v="MFC"/>
    <x v="0"/>
    <n v="570025"/>
    <n v="3"/>
    <d v="2017-09-28T10:57:01"/>
    <x v="5"/>
    <x v="7"/>
    <s v="charmaine.guerette@manulifesecurities.ca"/>
    <n v="910662"/>
    <s v="User Account"/>
    <n v="1"/>
    <s v="AtBelow"/>
    <s v="CC_Portal"/>
    <s v="PrimaryEmail=charmaine.guerette@manulifesecurities.ca"/>
    <s v="MFC"/>
    <s v="IBMCA"/>
    <s v="ACTIVE ADVISORS AND ASSISTANTS"/>
    <n v="0"/>
    <n v="0"/>
  </r>
  <r>
    <s v="alex_buena@manulifesecurities.ca"/>
    <s v="MFC"/>
    <x v="0"/>
    <n v="570025"/>
    <n v="3"/>
    <d v="2017-09-28T10:46:31"/>
    <x v="0"/>
    <x v="5"/>
    <s v="malek.nouwayri@manulifesecurities.ca"/>
    <n v="864631"/>
    <s v="User Account"/>
    <n v="1"/>
    <s v="AtBelow"/>
    <s v="CC_Portal"/>
    <n v="0"/>
    <s v="MFC"/>
    <s v="IBMCA"/>
    <s v="DISABLED USERS"/>
    <n v="0"/>
    <n v="0"/>
  </r>
  <r>
    <s v="ssotest@mfc.sps.local"/>
    <s v="MFC"/>
    <x v="0"/>
    <n v="551367"/>
    <n v="1000"/>
    <d v="2017-09-28T10:44:35"/>
    <x v="0"/>
    <x v="0"/>
    <s v="jeffery.khoury@manulifesecurities.ca"/>
    <n v="910546"/>
    <s v="User Account"/>
    <n v="1"/>
    <s v="AtBelow"/>
    <s v="CC_Portal"/>
    <n v="0"/>
    <s v="MFC"/>
    <s v="IBMCA"/>
    <s v="ACTIVE ADVISORS AND ASSISTANTS"/>
    <n v="0"/>
    <n v="0"/>
  </r>
  <r>
    <s v="alex_buena@manulifesecurities.ca"/>
    <s v="MFC"/>
    <x v="0"/>
    <n v="570025"/>
    <n v="3"/>
    <d v="2017-09-28T10:33:29"/>
    <x v="0"/>
    <x v="3"/>
    <s v="malek.nouwayri@manulifesecurities.ca"/>
    <n v="864631"/>
    <s v="User Account"/>
    <n v="1"/>
    <s v="AtBelow"/>
    <s v="CC_Portal"/>
    <s v="Disable"/>
    <s v="MFC"/>
    <s v="IBMCA"/>
    <s v="DISABLED USERS"/>
    <n v="0"/>
    <n v="0"/>
  </r>
  <r>
    <s v="alex_buena@manulifesecurities.ca"/>
    <s v="MFC"/>
    <x v="0"/>
    <n v="570025"/>
    <n v="3"/>
    <d v="2017-09-28T10:29:33"/>
    <x v="0"/>
    <x v="4"/>
    <s v="malek.nouwayri@manulifesecurities.ca"/>
    <n v="864631"/>
    <s v="User Account"/>
    <n v="1"/>
    <s v="AtBelow"/>
    <s v="CC_Portal"/>
    <s v="oldOrgGroup=ACTIVE ADVISORS AND ASSISTANTS;newOrgGroup=DISABLED USERS"/>
    <s v="MFC"/>
    <s v="IBMCA"/>
    <s v="DISABLED USERS"/>
    <n v="0"/>
    <n v="0"/>
  </r>
  <r>
    <s v="alex_buena@manulifesecurities.ca"/>
    <s v="MFC"/>
    <x v="0"/>
    <n v="570025"/>
    <n v="3"/>
    <d v="2017-09-28T10:28:18"/>
    <x v="0"/>
    <x v="5"/>
    <s v="malek.nouwayri@manulifesecurities.ca"/>
    <n v="864631"/>
    <s v="User Account"/>
    <n v="1"/>
    <s v="AtBelow"/>
    <s v="CC_Portal"/>
    <n v="0"/>
    <s v="MFC"/>
    <s v="IBMCA"/>
    <s v="ACTIVE ADVISORS AND ASSISTANTS"/>
    <n v="0"/>
    <n v="0"/>
  </r>
  <r>
    <s v="alex_buena@manulifesecurities.ca"/>
    <s v="MFC"/>
    <x v="0"/>
    <n v="570025"/>
    <n v="3"/>
    <d v="2017-09-28T10:28:17"/>
    <x v="4"/>
    <x v="6"/>
    <s v="MSI_autoSupervision@manulifesecurities.ca"/>
    <n v="561483"/>
    <s v="Distribution List"/>
    <n v="1"/>
    <s v="Any"/>
    <s v="CC_Portal"/>
    <s v="45ce535eb4334ee38af7effd080cba85"/>
    <s v="MFC"/>
    <s v="IBMCA"/>
    <s v="ALL GROUPS"/>
    <n v="0"/>
    <n v="0"/>
  </r>
  <r>
    <s v="alex_buena@manulifesecurities.ca"/>
    <s v="MFC"/>
    <x v="0"/>
    <n v="570025"/>
    <n v="3"/>
    <d v="2017-09-28T10:28:16"/>
    <x v="4"/>
    <x v="6"/>
    <s v="MSI_autoEmailArchive@manulifesecurities.ca"/>
    <n v="561482"/>
    <s v="Distribution List"/>
    <n v="1"/>
    <s v="Any"/>
    <s v="CC_Portal"/>
    <s v="45ce535eb4334ee38af7effd080cba85"/>
    <s v="MFC"/>
    <s v="IBMCA"/>
    <s v="ALL GROUPS"/>
    <n v="0"/>
    <n v="0"/>
  </r>
  <r>
    <s v="alex_buena@manulifesecurities.ca"/>
    <s v="MFC"/>
    <x v="0"/>
    <n v="570025"/>
    <n v="3"/>
    <d v="2017-09-28T10:28:13"/>
    <x v="4"/>
    <x v="6"/>
    <s v="DorvalQuebec@manulifesecurities.ca"/>
    <n v="561085"/>
    <s v="Distribution List"/>
    <n v="1"/>
    <s v="Any"/>
    <s v="CC_Portal"/>
    <s v="45ce535eb4334ee38af7effd080cba85"/>
    <s v="MFC"/>
    <s v="IBMCA"/>
    <s v="ALL GROUPS"/>
    <n v="0"/>
    <n v="0"/>
  </r>
  <r>
    <s v="alex_buena@manulifesecurities.ca"/>
    <s v="MFC"/>
    <x v="0"/>
    <n v="570025"/>
    <n v="3"/>
    <d v="2017-09-28T10:28:12"/>
    <x v="4"/>
    <x v="6"/>
    <s v="AllAssistants@manulifesecurities.ca"/>
    <n v="555660"/>
    <s v="Distribution List"/>
    <n v="1"/>
    <s v="Any"/>
    <s v="CC_Portal"/>
    <s v="45ce535eb4334ee38af7effd080cba85"/>
    <s v="MFC"/>
    <s v="IBMCA"/>
    <s v="ALL GROUPS"/>
    <n v="0"/>
    <n v="0"/>
  </r>
  <r>
    <s v="alex_buena@manulifesecurities.ca"/>
    <s v="MFC"/>
    <x v="0"/>
    <n v="570025"/>
    <n v="3"/>
    <d v="2017-09-28T10:25:16"/>
    <x v="0"/>
    <x v="5"/>
    <s v="malek.nouwayri@manulifesecurities.ca"/>
    <n v="864631"/>
    <s v="User Account"/>
    <n v="1"/>
    <s v="AtBelow"/>
    <s v="CC_Portal"/>
    <n v="0"/>
    <s v="MFC"/>
    <s v="IBMCA"/>
    <s v="ACTIVE ADVISORS AND ASSISTANTS"/>
    <n v="0"/>
    <n v="0"/>
  </r>
  <r>
    <s v="alex_buena@manulifesecurities.ca"/>
    <s v="MFC"/>
    <x v="0"/>
    <n v="570025"/>
    <n v="3"/>
    <d v="2017-09-28T10:25:06"/>
    <x v="0"/>
    <x v="5"/>
    <s v="malek.nouwayri@manulifesecurities.ca"/>
    <n v="864631"/>
    <s v="User Account"/>
    <n v="1"/>
    <s v="AtBelow"/>
    <s v="CC_Portal"/>
    <n v="0"/>
    <s v="MFC"/>
    <s v="IBMCA"/>
    <s v="ACTIVE ADVISORS AND ASSISTANTS"/>
    <n v="0"/>
    <n v="0"/>
  </r>
  <r>
    <s v="jeff.lotz@manulifesecurities.ca"/>
    <s v="MFC"/>
    <x v="0"/>
    <n v="722441"/>
    <n v="3"/>
    <d v="2017-09-28T10:05:32"/>
    <x v="3"/>
    <x v="2"/>
    <s v="dani.shiekh@manulifesecurities.ca"/>
    <n v="646715"/>
    <s v="User Account"/>
    <n v="1"/>
    <s v="AtBelow"/>
    <s v="CC_WebService"/>
    <m/>
    <s v="MFC"/>
    <s v="IBMCA"/>
    <s v="ACTIVE ADVISORS AND ASSISTANTS"/>
    <n v="0"/>
    <n v="0"/>
  </r>
  <r>
    <s v="ssotest@mfc.sps.local"/>
    <s v="MFC"/>
    <x v="0"/>
    <n v="551367"/>
    <n v="1000"/>
    <d v="2017-09-28T09:43:26"/>
    <x v="0"/>
    <x v="0"/>
    <s v="Paul.Whitwell@manulifesecurities.ca"/>
    <n v="553682"/>
    <s v="User Account"/>
    <n v="1"/>
    <s v="AtBelow"/>
    <s v="CC_Portal"/>
    <n v="0"/>
    <s v="MFC"/>
    <s v="IBMCA"/>
    <s v="ACTIVE ADVISORS AND ASSISTANTS"/>
    <n v="0"/>
    <n v="0"/>
  </r>
  <r>
    <s v="ssotest@mfc.sps.local"/>
    <s v="MFC"/>
    <x v="0"/>
    <n v="551367"/>
    <n v="1000"/>
    <d v="2017-09-28T09:16:55"/>
    <x v="0"/>
    <x v="0"/>
    <s v="SRankin@manulifesecurities.ca"/>
    <n v="553945"/>
    <s v="User Account"/>
    <n v="1"/>
    <s v="AtBelow"/>
    <s v="CC_Portal"/>
    <n v="0"/>
    <s v="MFC"/>
    <s v="IBMCA"/>
    <s v="ACTIVE ADVISORS AND ASSISTANTS"/>
    <n v="0"/>
    <n v="0"/>
  </r>
  <r>
    <s v="patrick.harkins@manulifesecurities.ca"/>
    <s v="MFC"/>
    <x v="0"/>
    <n v="560864"/>
    <n v="3"/>
    <d v="2017-09-28T09:01:53"/>
    <x v="3"/>
    <x v="2"/>
    <s v="Herbert.Samek@manulifesecurities.ca"/>
    <n v="552671"/>
    <s v="User Account"/>
    <n v="1"/>
    <s v="AtBelow"/>
    <s v="CC_WebService"/>
    <m/>
    <s v="MFC"/>
    <s v="IBMCA"/>
    <s v="ACTIVE ADVISORS AND ASSISTANTS"/>
    <n v="0"/>
    <n v="0"/>
  </r>
  <r>
    <s v="ssotest@mfc.sps.local"/>
    <s v="MFC"/>
    <x v="0"/>
    <n v="551367"/>
    <n v="1000"/>
    <d v="2017-09-28T08:40:59"/>
    <x v="0"/>
    <x v="0"/>
    <s v="Patricia.Withnell@manulifesecurities.ca"/>
    <n v="553651"/>
    <s v="User Account"/>
    <n v="1"/>
    <s v="AtBelow"/>
    <s v="CC_Portal"/>
    <n v="0"/>
    <s v="MFC"/>
    <s v="IBMCA"/>
    <s v="ACTIVE ADVISORS AND ASSISTANTS"/>
    <n v="0"/>
    <n v="0"/>
  </r>
  <r>
    <s v="ssotest@mfc.sps.local"/>
    <s v="MFC"/>
    <x v="0"/>
    <n v="551367"/>
    <n v="1000"/>
    <d v="2017-09-28T08:03:45"/>
    <x v="0"/>
    <x v="0"/>
    <s v="Herbert.Samek@manulifesecurities.ca"/>
    <n v="552671"/>
    <s v="User Account"/>
    <n v="1"/>
    <s v="AtBelow"/>
    <s v="CC_Portal"/>
    <n v="0"/>
    <s v="MFC"/>
    <s v="IBMCA"/>
    <s v="ACTIVE ADVISORS AND ASSISTANTS"/>
    <n v="0"/>
    <n v="0"/>
  </r>
  <r>
    <s v="crystal.parkinson@manulifesecurities.ca"/>
    <s v="MFC"/>
    <x v="0"/>
    <n v="637976"/>
    <n v="1"/>
    <d v="2017-09-27T22:43:16"/>
    <x v="1"/>
    <x v="1"/>
    <s v="crystal.parkinson@manulifesecurities.ca"/>
    <n v="637976"/>
    <s v="User Account"/>
    <n v="0"/>
    <s v="Deny"/>
    <s v="CC_Portal"/>
    <n v="0"/>
    <s v="MFC"/>
    <s v="IBMCA"/>
    <s v="ACTIVE ADVISORS AND ASSISTANTS"/>
    <n v="0"/>
    <n v="0"/>
  </r>
  <r>
    <s v="crystal.parkinson@manulifesecurities.ca"/>
    <s v="MFC"/>
    <x v="0"/>
    <n v="637976"/>
    <n v="1"/>
    <d v="2017-09-27T22:43:16"/>
    <x v="2"/>
    <x v="1"/>
    <s v="crystal.parkinson@manulifesecurities.ca"/>
    <n v="637976"/>
    <s v="User Account"/>
    <n v="0"/>
    <s v="Deny"/>
    <s v="CC_Portal"/>
    <n v="0"/>
    <s v="MFC"/>
    <s v="IBMCA"/>
    <s v="ACTIVE ADVISORS AND ASSISTANTS"/>
    <n v="0"/>
    <n v="0"/>
  </r>
  <r>
    <s v="ssotest@mfc.sps.local"/>
    <s v="MFC"/>
    <x v="0"/>
    <n v="551367"/>
    <n v="1000"/>
    <d v="2017-09-27T17:25:37"/>
    <x v="0"/>
    <x v="0"/>
    <s v="dani.shiekh@manulifesecurities.ca"/>
    <n v="646715"/>
    <s v="User Account"/>
    <n v="1"/>
    <s v="AtBelow"/>
    <s v="CC_Portal"/>
    <n v="0"/>
    <s v="MFC"/>
    <s v="IBMCA"/>
    <s v="ACTIVE ADVISORS AND ASSISTANTS"/>
    <n v="0"/>
    <n v="0"/>
  </r>
  <r>
    <s v="crystal.parkinson@manulifesecurities.ca"/>
    <s v="MFC"/>
    <x v="0"/>
    <n v="637976"/>
    <n v="1"/>
    <d v="2017-09-27T16:58:52"/>
    <x v="1"/>
    <x v="1"/>
    <s v="crystal.parkinson@manulifesecurities.ca"/>
    <n v="637976"/>
    <s v="User Account"/>
    <n v="0"/>
    <s v="Deny"/>
    <s v="CC_Portal"/>
    <n v="0"/>
    <s v="MFC"/>
    <s v="IBMCA"/>
    <s v="ACTIVE ADVISORS AND ASSISTANTS"/>
    <n v="0"/>
    <n v="0"/>
  </r>
  <r>
    <s v="crystal.parkinson@manulifesecurities.ca"/>
    <s v="MFC"/>
    <x v="0"/>
    <n v="637976"/>
    <n v="1"/>
    <d v="2017-09-27T16:58:52"/>
    <x v="2"/>
    <x v="1"/>
    <s v="crystal.parkinson@manulifesecurities.ca"/>
    <n v="637976"/>
    <s v="User Account"/>
    <n v="0"/>
    <s v="Deny"/>
    <s v="CC_Portal"/>
    <n v="0"/>
    <s v="MFC"/>
    <s v="IBMCA"/>
    <s v="ACTIVE ADVISORS AND ASSISTANTS"/>
    <n v="0"/>
    <n v="0"/>
  </r>
  <r>
    <s v="ssotest@mfc.sps.local"/>
    <s v="MFC"/>
    <x v="0"/>
    <n v="551367"/>
    <n v="1000"/>
    <d v="2017-09-27T16:55:38"/>
    <x v="0"/>
    <x v="0"/>
    <s v="Zoe.Adrian@manulifesecurities.ca"/>
    <n v="554342"/>
    <s v="User Account"/>
    <n v="1"/>
    <s v="AtBelow"/>
    <s v="CC_Portal"/>
    <n v="0"/>
    <s v="MFC"/>
    <s v="IBMCA"/>
    <s v="ACTIVE ADVISORS AND ASSISTANTS"/>
    <n v="0"/>
    <n v="0"/>
  </r>
  <r>
    <s v="fahmi.karim@manulifesecurities.ca"/>
    <s v="MFC"/>
    <x v="0"/>
    <n v="809833"/>
    <n v="3"/>
    <d v="2017-09-27T16:16:26"/>
    <x v="3"/>
    <x v="2"/>
    <s v="Darius.Muica@manulifesecurities.ca"/>
    <n v="552252"/>
    <s v="User Account"/>
    <n v="1"/>
    <s v="AtBelow"/>
    <s v="CC_WebService"/>
    <m/>
    <s v="MFC"/>
    <s v="IBMCA"/>
    <s v="ACTIVE ADVISORS AND ASSISTANTS"/>
    <n v="0"/>
    <n v="0"/>
  </r>
  <r>
    <s v="adiano.kitenge@manulifesecurities.ca"/>
    <s v="MFC"/>
    <x v="0"/>
    <n v="627566"/>
    <n v="3"/>
    <d v="2017-09-27T15:36:54"/>
    <x v="3"/>
    <x v="2"/>
    <s v="Jackie.Casavant@manulifesecurities.ca"/>
    <n v="552714"/>
    <s v="User Account"/>
    <n v="1"/>
    <s v="AtBelow"/>
    <s v="CC_WebService"/>
    <m/>
    <s v="MFC"/>
    <s v="IBMCA"/>
    <s v="ACTIVE ADVISORS AND ASSISTANTS"/>
    <n v="0"/>
    <n v="0"/>
  </r>
  <r>
    <s v="adiano.kitenge@manulifesecurities.ca"/>
    <s v="MFC"/>
    <x v="0"/>
    <n v="627566"/>
    <n v="3"/>
    <d v="2017-09-27T15:36:37"/>
    <x v="0"/>
    <x v="3"/>
    <s v="Jackie.Casavant@manulifesecurities.ca"/>
    <n v="552714"/>
    <s v="User Account"/>
    <n v="1"/>
    <s v="SelfBelow"/>
    <s v="CC_Portal"/>
    <s v="Enable"/>
    <s v="MFC"/>
    <s v="IBMCA"/>
    <s v="ACTIVE ADVISORS AND ASSISTANTS"/>
    <n v="0"/>
    <n v="0"/>
  </r>
  <r>
    <s v="adiano.kitenge@manulifesecurities.ca"/>
    <s v="MFC"/>
    <x v="0"/>
    <n v="627566"/>
    <n v="3"/>
    <d v="2017-09-27T15:33:42"/>
    <x v="3"/>
    <x v="2"/>
    <s v="Jackie.Casavant@manulifesecurities.ca"/>
    <n v="552714"/>
    <s v="User Account"/>
    <n v="1"/>
    <s v="AtBelow"/>
    <s v="CC_WebService"/>
    <m/>
    <s v="MFC"/>
    <s v="IBMCA"/>
    <s v="ACTIVE ADVISORS AND ASSISTANTS"/>
    <n v="0"/>
    <n v="0"/>
  </r>
  <r>
    <s v="adiano.kitenge@manulifesecurities.ca"/>
    <s v="MFC"/>
    <x v="0"/>
    <n v="627566"/>
    <n v="3"/>
    <d v="2017-09-27T15:28:46"/>
    <x v="3"/>
    <x v="2"/>
    <s v="Jackie.Casavant@manulifesecurities.ca"/>
    <n v="552714"/>
    <s v="User Account"/>
    <n v="1"/>
    <s v="AtBelow"/>
    <s v="CC_WebService"/>
    <m/>
    <s v="MFC"/>
    <s v="IBMCA"/>
    <s v="ACTIVE ADVISORS AND ASSISTANTS"/>
    <n v="0"/>
    <n v="0"/>
  </r>
  <r>
    <s v="adiano.kitenge@manulifesecurities.ca"/>
    <s v="MFC"/>
    <x v="0"/>
    <n v="627566"/>
    <n v="3"/>
    <d v="2017-09-27T15:28:28"/>
    <x v="0"/>
    <x v="3"/>
    <s v="Jackie.Casavant@manulifesecurities.ca"/>
    <n v="552714"/>
    <s v="User Account"/>
    <n v="1"/>
    <s v="SelfBelow"/>
    <s v="CC_Portal"/>
    <s v="Enable"/>
    <s v="MFC"/>
    <s v="IBMCA"/>
    <s v="ACTIVE ADVISORS AND ASSISTANTS"/>
    <n v="0"/>
    <n v="0"/>
  </r>
  <r>
    <s v="ssotest@mfc.sps.local"/>
    <s v="MFC"/>
    <x v="0"/>
    <n v="551367"/>
    <n v="1000"/>
    <d v="2017-09-27T15:06:02"/>
    <x v="0"/>
    <x v="0"/>
    <s v="cynthia.cox@manulifesecurities.ca"/>
    <n v="893102"/>
    <s v="User Account"/>
    <n v="1"/>
    <s v="AtBelow"/>
    <s v="CC_Portal"/>
    <n v="0"/>
    <s v="MFC"/>
    <s v="IBMCA"/>
    <s v="ACTIVE ADVISORS AND ASSISTANTS"/>
    <n v="0"/>
    <n v="0"/>
  </r>
  <r>
    <s v="cristian.bogdan@manulifesecurities.ca"/>
    <s v="MFC"/>
    <x v="0"/>
    <n v="560330"/>
    <n v="3"/>
    <d v="2017-09-27T15:02:36"/>
    <x v="3"/>
    <x v="2"/>
    <s v="tracey.hartl-chapman@manulifesecurities.ca"/>
    <n v="837620"/>
    <s v="User Account"/>
    <n v="1"/>
    <s v="AtBelow"/>
    <s v="CC_WebService"/>
    <m/>
    <s v="MFC"/>
    <s v="IBMCA"/>
    <s v="ACTIVE ADVISORS AND ASSISTANTS"/>
    <n v="0"/>
    <n v="0"/>
  </r>
  <r>
    <s v="ssotest@mfc.sps.local"/>
    <s v="MFC"/>
    <x v="0"/>
    <n v="551367"/>
    <n v="1000"/>
    <d v="2017-09-27T14:58:36"/>
    <x v="0"/>
    <x v="0"/>
    <s v="Jackie.Casavant@manulifesecurities.ca"/>
    <n v="552714"/>
    <s v="User Account"/>
    <n v="1"/>
    <s v="AtBelow"/>
    <s v="CC_Portal"/>
    <n v="0"/>
    <s v="MFC"/>
    <s v="IBMCA"/>
    <s v="ACTIVE ADVISORS AND ASSISTANTS"/>
    <n v="0"/>
    <n v="0"/>
  </r>
  <r>
    <s v="ssotest@mfc.sps.local"/>
    <s v="MFC"/>
    <x v="0"/>
    <n v="551367"/>
    <n v="1000"/>
    <d v="2017-09-27T14:36:15"/>
    <x v="0"/>
    <x v="0"/>
    <s v="rep.adv001@manulifesecurities.ca"/>
    <n v="553768"/>
    <s v="User Account"/>
    <n v="1"/>
    <s v="AtBelow"/>
    <s v="CC_Portal"/>
    <n v="0"/>
    <s v="MFC"/>
    <s v="IBMCA"/>
    <s v="ACTIVE ADVISORS AND ASSISTANTS"/>
    <n v="0"/>
    <n v="0"/>
  </r>
  <r>
    <s v="ssotest@mfc.sps.local"/>
    <s v="MFC"/>
    <x v="0"/>
    <n v="551367"/>
    <n v="1000"/>
    <d v="2017-09-27T14:31:33"/>
    <x v="0"/>
    <x v="0"/>
    <s v="Tyler.Fehr@manulifesecurities.ca"/>
    <n v="554236"/>
    <s v="User Account"/>
    <n v="1"/>
    <s v="AtBelow"/>
    <s v="CC_Portal"/>
    <n v="0"/>
    <s v="MFC"/>
    <s v="IBMCA"/>
    <s v="ACTIVE ADVISORS AND ASSISTANTS"/>
    <n v="0"/>
    <n v="0"/>
  </r>
  <r>
    <s v="patrick.harkins@manulifesecurities.ca"/>
    <s v="MFC"/>
    <x v="0"/>
    <n v="560864"/>
    <n v="3"/>
    <d v="2017-09-27T14:16:38"/>
    <x v="3"/>
    <x v="2"/>
    <s v="gilles.delooz@manulifesecurities.ca"/>
    <n v="908517"/>
    <s v="User Account"/>
    <n v="1"/>
    <s v="AtBelow"/>
    <s v="CC_WebService"/>
    <m/>
    <s v="MFC"/>
    <s v="IBMCA"/>
    <s v="ACTIVE ADVISORS AND ASSISTANTS"/>
    <n v="0"/>
    <n v="0"/>
  </r>
  <r>
    <s v="ssotest@mfc.sps.local"/>
    <s v="MFC"/>
    <x v="0"/>
    <n v="551367"/>
    <n v="1000"/>
    <d v="2017-09-27T14:13:38"/>
    <x v="0"/>
    <x v="0"/>
    <s v="Frances.McSorley@manulifesecurities.ca"/>
    <n v="552527"/>
    <s v="User Account"/>
    <n v="1"/>
    <s v="AtBelow"/>
    <s v="CC_Portal"/>
    <n v="0"/>
    <s v="MFC"/>
    <s v="IBMCA"/>
    <s v="ACTIVE ADVISORS AND ASSISTANTS"/>
    <n v="0"/>
    <n v="0"/>
  </r>
  <r>
    <s v="ssotest@mfc.sps.local"/>
    <s v="MFC"/>
    <x v="0"/>
    <n v="551367"/>
    <n v="1000"/>
    <d v="2017-09-27T14:06:22"/>
    <x v="0"/>
    <x v="0"/>
    <s v="Justin.Rousseaux@manulifesecurities.ca"/>
    <n v="552986"/>
    <s v="User Account"/>
    <n v="1"/>
    <s v="AtBelow"/>
    <s v="CC_Portal"/>
    <n v="0"/>
    <s v="MFC"/>
    <s v="IBMCA"/>
    <s v="ACTIVE ADVISORS AND ASSISTANTS"/>
    <n v="0"/>
    <n v="0"/>
  </r>
  <r>
    <s v="adiano.kitenge@manulifesecurities.ca"/>
    <s v="MFC"/>
    <x v="0"/>
    <n v="627566"/>
    <n v="3"/>
    <d v="2017-09-27T14:01:18"/>
    <x v="3"/>
    <x v="2"/>
    <s v="Anna.Valarao@manulifesecurities.ca"/>
    <n v="551839"/>
    <s v="User Account"/>
    <n v="1"/>
    <s v="AtBelow"/>
    <s v="CC_WebService"/>
    <m/>
    <s v="MFC"/>
    <s v="IBMCA"/>
    <s v="ACTIVE ADVISORS AND ASSISTANTS"/>
    <n v="0"/>
    <n v="0"/>
  </r>
  <r>
    <s v="patrick.harkins@manulifesecurities.ca"/>
    <s v="MFC"/>
    <x v="0"/>
    <n v="560864"/>
    <n v="3"/>
    <d v="2017-09-27T13:29:49"/>
    <x v="3"/>
    <x v="2"/>
    <s v="Ellen.MacDougall@manulifesecurities.ca"/>
    <n v="552478"/>
    <s v="User Account"/>
    <n v="1"/>
    <s v="AtBelow"/>
    <s v="CC_WebService"/>
    <m/>
    <s v="MFC"/>
    <s v="IBMCA"/>
    <s v="ACTIVE ADVISORS AND ASSISTANTS"/>
    <n v="0"/>
    <n v="0"/>
  </r>
  <r>
    <s v="ssotest@mfc.sps.local"/>
    <s v="MFC"/>
    <x v="0"/>
    <n v="551367"/>
    <n v="1000"/>
    <d v="2017-09-27T13:29:18"/>
    <x v="0"/>
    <x v="0"/>
    <s v="Michael.L.Saracino@manulifesecurities.ca"/>
    <n v="677117"/>
    <s v="User Account"/>
    <n v="1"/>
    <s v="AtBelow"/>
    <s v="CC_Portal"/>
    <n v="0"/>
    <s v="MFC"/>
    <s v="IBMCA"/>
    <s v="ACTIVE ADVISORS AND ASSISTANTS"/>
    <n v="0"/>
    <n v="0"/>
  </r>
  <r>
    <s v="ssotest@mfc.sps.local"/>
    <s v="MFC"/>
    <x v="0"/>
    <n v="551367"/>
    <n v="1000"/>
    <d v="2017-09-27T13:25:16"/>
    <x v="0"/>
    <x v="0"/>
    <s v="Darren.Bye@manulifesecurities.ca"/>
    <n v="552259"/>
    <s v="User Account"/>
    <n v="1"/>
    <s v="AtBelow"/>
    <s v="CC_Portal"/>
    <n v="0"/>
    <s v="MFC"/>
    <s v="IBMCA"/>
    <s v="ACTIVE ADVISORS AND ASSISTANTS"/>
    <n v="0"/>
    <n v="0"/>
  </r>
  <r>
    <s v="adiano.kitenge@manulifesecurities.ca"/>
    <s v="MFC"/>
    <x v="0"/>
    <n v="627566"/>
    <n v="3"/>
    <d v="2017-09-27T13:25:01"/>
    <x v="3"/>
    <x v="2"/>
    <s v="Anna.Valarao@manulifesecurities.ca"/>
    <n v="551839"/>
    <s v="User Account"/>
    <n v="1"/>
    <s v="AtBelow"/>
    <s v="CC_WebService"/>
    <m/>
    <s v="MFC"/>
    <s v="IBMCA"/>
    <s v="ACTIVE ADVISORS AND ASSISTANTS"/>
    <n v="0"/>
    <n v="0"/>
  </r>
  <r>
    <s v="adiano.kitenge@manulifesecurities.ca"/>
    <s v="MFC"/>
    <x v="0"/>
    <n v="627566"/>
    <n v="3"/>
    <d v="2017-09-27T13:24:26"/>
    <x v="0"/>
    <x v="3"/>
    <s v="Anna.Valarao@manulifesecurities.ca"/>
    <n v="551839"/>
    <s v="User Account"/>
    <n v="1"/>
    <s v="SelfBelow"/>
    <s v="CC_Portal"/>
    <s v="Enable"/>
    <s v="MFC"/>
    <s v="IBMCA"/>
    <s v="ACTIVE ADVISORS AND ASSISTANTS"/>
    <n v="0"/>
    <n v="0"/>
  </r>
  <r>
    <s v="adiano.kitenge@manulifesecurities.ca"/>
    <s v="MFC"/>
    <x v="0"/>
    <n v="627566"/>
    <n v="3"/>
    <d v="2017-09-27T13:19:09"/>
    <x v="3"/>
    <x v="2"/>
    <s v="Anna.Valarao@manulifesecurities.ca"/>
    <n v="551839"/>
    <s v="User Account"/>
    <n v="1"/>
    <s v="AtBelow"/>
    <s v="CC_WebService"/>
    <m/>
    <s v="MFC"/>
    <s v="IBMCA"/>
    <s v="ACTIVE ADVISORS AND ASSISTANTS"/>
    <n v="0"/>
    <n v="0"/>
  </r>
  <r>
    <s v="adiano.kitenge@manulifesecurities.ca"/>
    <s v="MFC"/>
    <x v="0"/>
    <n v="627566"/>
    <n v="3"/>
    <d v="2017-09-27T13:18:39"/>
    <x v="0"/>
    <x v="3"/>
    <s v="Anna.Valarao@manulifesecurities.ca"/>
    <n v="551839"/>
    <s v="User Account"/>
    <n v="1"/>
    <s v="SelfBelow"/>
    <s v="CC_Portal"/>
    <s v="Enable"/>
    <s v="MFC"/>
    <s v="IBMCA"/>
    <s v="ACTIVE ADVISORS AND ASSISTANTS"/>
    <n v="0"/>
    <n v="0"/>
  </r>
  <r>
    <s v="adiano.kitenge@manulifesecurities.ca"/>
    <s v="MFC"/>
    <x v="0"/>
    <n v="627566"/>
    <n v="3"/>
    <d v="2017-09-27T13:09:35"/>
    <x v="0"/>
    <x v="3"/>
    <s v="Anna.Valarao@manulifesecurities.ca"/>
    <n v="551839"/>
    <s v="User Account"/>
    <n v="1"/>
    <s v="SelfBelow"/>
    <s v="CC_Portal"/>
    <s v="Enable"/>
    <s v="MFC"/>
    <s v="IBMCA"/>
    <s v="ACTIVE ADVISORS AND ASSISTANTS"/>
    <n v="0"/>
    <n v="0"/>
  </r>
  <r>
    <s v="adiano.kitenge@manulifesecurities.ca"/>
    <s v="MFC"/>
    <x v="0"/>
    <n v="627566"/>
    <n v="3"/>
    <d v="2017-09-27T13:08:59"/>
    <x v="3"/>
    <x v="2"/>
    <s v="Anna.Valarao@manulifesecurities.ca"/>
    <n v="551839"/>
    <s v="User Account"/>
    <n v="1"/>
    <s v="AtBelow"/>
    <s v="CC_WebService"/>
    <m/>
    <s v="MFC"/>
    <s v="IBMCA"/>
    <s v="ACTIVE ADVISORS AND ASSISTANTS"/>
    <n v="0"/>
    <n v="0"/>
  </r>
  <r>
    <s v="adiano.kitenge@manulifesecurities.ca"/>
    <s v="MFC"/>
    <x v="0"/>
    <n v="627566"/>
    <n v="3"/>
    <d v="2017-09-27T12:50:09"/>
    <x v="3"/>
    <x v="2"/>
    <s v="Anna.Valarao@manulifesecurities.ca"/>
    <n v="551839"/>
    <s v="User Account"/>
    <n v="1"/>
    <s v="AtBelow"/>
    <s v="CC_WebService"/>
    <m/>
    <s v="MFC"/>
    <s v="IBMCA"/>
    <s v="ACTIVE ADVISORS AND ASSISTANTS"/>
    <n v="0"/>
    <n v="0"/>
  </r>
  <r>
    <s v="ssotest@mfc.sps.local"/>
    <s v="MFC"/>
    <x v="0"/>
    <n v="551367"/>
    <n v="1000"/>
    <d v="2017-09-27T12:49:09"/>
    <x v="0"/>
    <x v="0"/>
    <s v="Audrey.Thorhauer@manulifesecurities.ca"/>
    <n v="551870"/>
    <s v="User Account"/>
    <n v="1"/>
    <s v="AtBelow"/>
    <s v="CC_Portal"/>
    <n v="0"/>
    <s v="MFC"/>
    <s v="IBMCA"/>
    <s v="ACTIVE ADVISORS AND ASSISTANTS"/>
    <n v="0"/>
    <n v="0"/>
  </r>
  <r>
    <s v="ssotest@mfc.sps.local"/>
    <s v="MFC"/>
    <x v="0"/>
    <n v="551367"/>
    <n v="1000"/>
    <d v="2017-09-27T12:48:17"/>
    <x v="0"/>
    <x v="0"/>
    <s v="Amie.Torres@manulifesecurities.ca"/>
    <n v="551779"/>
    <s v="User Account"/>
    <n v="1"/>
    <s v="AtBelow"/>
    <s v="CC_Portal"/>
    <n v="0"/>
    <s v="MFC"/>
    <s v="IBMCA"/>
    <s v="ACTIVE ADVISORS AND ASSISTANTS"/>
    <n v="0"/>
    <n v="0"/>
  </r>
  <r>
    <s v="adiano.kitenge@manulifesecurities.ca"/>
    <s v="MFC"/>
    <x v="0"/>
    <n v="627566"/>
    <n v="3"/>
    <d v="2017-09-27T12:38:06"/>
    <x v="3"/>
    <x v="2"/>
    <s v="Anna.Valarao@manulifesecurities.ca"/>
    <n v="551839"/>
    <s v="User Account"/>
    <n v="1"/>
    <s v="AtBelow"/>
    <s v="CC_WebService"/>
    <m/>
    <s v="MFC"/>
    <s v="IBMCA"/>
    <s v="ACTIVE ADVISORS AND ASSISTANTS"/>
    <n v="0"/>
    <n v="0"/>
  </r>
  <r>
    <s v="adiano.kitenge@manulifesecurities.ca"/>
    <s v="MFC"/>
    <x v="0"/>
    <n v="627566"/>
    <n v="3"/>
    <d v="2017-09-27T12:37:24"/>
    <x v="0"/>
    <x v="3"/>
    <s v="Anna.Valarao@manulifesecurities.ca"/>
    <n v="551839"/>
    <s v="User Account"/>
    <n v="1"/>
    <s v="SelfBelow"/>
    <s v="CC_Portal"/>
    <s v="Enable"/>
    <s v="MFC"/>
    <s v="IBMCA"/>
    <s v="ACTIVE ADVISORS AND ASSISTANTS"/>
    <n v="0"/>
    <n v="0"/>
  </r>
  <r>
    <s v="fahmi.karim@manulifesecurities.ca"/>
    <s v="MFC"/>
    <x v="0"/>
    <n v="809833"/>
    <n v="3"/>
    <d v="2017-09-27T12:32:09"/>
    <x v="3"/>
    <x v="2"/>
    <s v="Darius.Muica@manulifesecurities.ca"/>
    <n v="552252"/>
    <s v="User Account"/>
    <n v="1"/>
    <s v="AtBelow"/>
    <s v="CC_WebService"/>
    <m/>
    <s v="MFC"/>
    <s v="IBMCA"/>
    <s v="ACTIVE ADVISORS AND ASSISTANTS"/>
    <n v="0"/>
    <n v="0"/>
  </r>
  <r>
    <s v="crystal.parkinson@manulifesecurities.ca"/>
    <s v="MFC"/>
    <x v="0"/>
    <n v="637976"/>
    <n v="1"/>
    <d v="2017-09-27T12:23:27"/>
    <x v="1"/>
    <x v="1"/>
    <s v="crystal.parkinson@manulifesecurities.ca"/>
    <n v="637976"/>
    <s v="User Account"/>
    <n v="0"/>
    <s v="Deny"/>
    <s v="CC_Portal"/>
    <n v="0"/>
    <s v="MFC"/>
    <s v="IBMCA"/>
    <s v="ACTIVE ADVISORS AND ASSISTANTS"/>
    <n v="0"/>
    <n v="0"/>
  </r>
  <r>
    <s v="crystal.parkinson@manulifesecurities.ca"/>
    <s v="MFC"/>
    <x v="0"/>
    <n v="637976"/>
    <n v="1"/>
    <d v="2017-09-27T12:23:27"/>
    <x v="2"/>
    <x v="1"/>
    <s v="crystal.parkinson@manulifesecurities.ca"/>
    <n v="637976"/>
    <s v="User Account"/>
    <n v="0"/>
    <s v="Deny"/>
    <s v="CC_Portal"/>
    <n v="0"/>
    <s v="MFC"/>
    <s v="IBMCA"/>
    <s v="ACTIVE ADVISORS AND ASSISTANTS"/>
    <n v="0"/>
    <n v="0"/>
  </r>
  <r>
    <s v="ssotest@mfc.sps.local"/>
    <s v="MFC"/>
    <x v="0"/>
    <n v="551367"/>
    <n v="1000"/>
    <d v="2017-09-27T12:12:56"/>
    <x v="0"/>
    <x v="0"/>
    <s v="Anna.Valarao@manulifesecurities.ca"/>
    <n v="551839"/>
    <s v="User Account"/>
    <n v="1"/>
    <s v="AtBelow"/>
    <s v="CC_Portal"/>
    <n v="0"/>
    <s v="MFC"/>
    <s v="IBMCA"/>
    <s v="ACTIVE ADVISORS AND ASSISTANTS"/>
    <n v="0"/>
    <n v="0"/>
  </r>
  <r>
    <s v="priscilla.misir@manulifesecurities.ca"/>
    <s v="MFC"/>
    <x v="0"/>
    <n v="674396"/>
    <n v="3"/>
    <d v="2017-09-27T11:49:23"/>
    <x v="0"/>
    <x v="5"/>
    <s v="jeffery.khoury@manulifesecurities.ca"/>
    <n v="910546"/>
    <s v="User Account"/>
    <n v="1"/>
    <s v="AtBelow"/>
    <s v="CC_Portal"/>
    <n v="0"/>
    <s v="MFC"/>
    <s v="IBMCA"/>
    <s v="ACTIVE ADVISORS AND ASSISTANTS"/>
    <n v="0"/>
    <n v="0"/>
  </r>
  <r>
    <s v="priscilla.misir@manulifesecurities.ca"/>
    <s v="MFC"/>
    <x v="0"/>
    <n v="674396"/>
    <n v="3"/>
    <d v="2017-09-27T11:49:22"/>
    <x v="5"/>
    <x v="6"/>
    <s v="MSI_autoEmailArchive@manulifesecurities.ca"/>
    <n v="561482"/>
    <s v="Distribution List"/>
    <n v="1"/>
    <s v="Any"/>
    <s v="CC_Portal"/>
    <s v="479b3d14c4874fbc9d9c3fa9b1750c1a"/>
    <s v="MFC"/>
    <s v="IBMCA"/>
    <s v="ALL GROUPS"/>
    <n v="0"/>
    <n v="0"/>
  </r>
  <r>
    <s v="priscilla.misir@manulifesecurities.ca"/>
    <s v="MFC"/>
    <x v="0"/>
    <n v="674396"/>
    <n v="3"/>
    <d v="2017-09-27T11:49:21"/>
    <x v="5"/>
    <x v="6"/>
    <s v="AllAssistants@manulifesecurities.ca"/>
    <n v="555660"/>
    <s v="Distribution List"/>
    <n v="1"/>
    <s v="Any"/>
    <s v="CC_Portal"/>
    <s v="479b3d14c4874fbc9d9c3fa9b1750c1a"/>
    <s v="MFC"/>
    <s v="IBMCA"/>
    <s v="ALL GROUPS"/>
    <n v="0"/>
    <n v="0"/>
  </r>
  <r>
    <s v="priscilla.misir@manulifesecurities.ca"/>
    <s v="MFC"/>
    <x v="0"/>
    <n v="674396"/>
    <n v="3"/>
    <d v="2017-09-27T11:49:19"/>
    <x v="0"/>
    <x v="5"/>
    <s v="jeffery.khoury@manulifesecurities.ca"/>
    <n v="910546"/>
    <s v="User Account"/>
    <n v="1"/>
    <s v="AtBelow"/>
    <s v="CC_Portal"/>
    <n v="0"/>
    <s v="MFC"/>
    <s v="IBMCA"/>
    <s v="ACTIVE ADVISORS AND ASSISTANTS"/>
    <n v="0"/>
    <n v="0"/>
  </r>
  <r>
    <s v="priscilla.misir@manulifesecurities.ca"/>
    <s v="MFC"/>
    <x v="0"/>
    <n v="674396"/>
    <n v="3"/>
    <d v="2017-09-27T11:49:03"/>
    <x v="0"/>
    <x v="5"/>
    <s v="jeffery.khoury@manulifesecurities.ca"/>
    <n v="910546"/>
    <s v="User Account"/>
    <n v="1"/>
    <s v="AtBelow"/>
    <s v="CC_Portal"/>
    <n v="0"/>
    <s v="MFC"/>
    <s v="IBMCA"/>
    <s v="ACTIVE ADVISORS AND ASSISTANTS"/>
    <n v="0"/>
    <n v="0"/>
  </r>
  <r>
    <s v="priscilla.misir@manulifesecurities.ca"/>
    <s v="MFC"/>
    <x v="0"/>
    <n v="674396"/>
    <n v="3"/>
    <d v="2017-09-27T11:47:56"/>
    <x v="5"/>
    <x v="7"/>
    <s v="jeffery.khoury@manulifesecurities.ca"/>
    <n v="910546"/>
    <s v="User Account"/>
    <n v="1"/>
    <s v="AtBelow"/>
    <s v="CC_Portal"/>
    <s v="PrimaryEmail=jeffery.khoury@manulifesecurities.ca"/>
    <s v="MFC"/>
    <s v="IBMCA"/>
    <s v="ACTIVE ADVISORS AND ASSISTANTS"/>
    <n v="0"/>
    <n v="0"/>
  </r>
  <r>
    <s v="marshall.hett@manulifesecurities.ca"/>
    <s v="MFC"/>
    <x v="0"/>
    <n v="707864"/>
    <n v="3"/>
    <d v="2017-09-27T11:39:27"/>
    <x v="3"/>
    <x v="2"/>
    <s v="stephen.forsey@manulifesecurities.ca"/>
    <n v="812709"/>
    <s v="User Account"/>
    <n v="1"/>
    <s v="AtBelow"/>
    <s v="CC_WebService"/>
    <m/>
    <s v="MFC"/>
    <s v="IBMCA"/>
    <s v="ACTIVE ADVISORS AND ASSISTANTS"/>
    <n v="0"/>
    <n v="0"/>
  </r>
  <r>
    <s v="ssotest@mfc.sps.local"/>
    <s v="MFC"/>
    <x v="0"/>
    <n v="551367"/>
    <n v="1000"/>
    <d v="2017-09-27T11:35:50"/>
    <x v="0"/>
    <x v="0"/>
    <s v="Matthew.Seguin@manulifesecurities.ca"/>
    <n v="553429"/>
    <s v="User Account"/>
    <n v="1"/>
    <s v="AtBelow"/>
    <s v="CC_Portal"/>
    <n v="0"/>
    <s v="MFC"/>
    <s v="IBMCA"/>
    <s v="ACTIVE ADVISORS AND ASSISTANTS"/>
    <n v="0"/>
    <n v="0"/>
  </r>
  <r>
    <s v="alex_buena@manulifesecurities.ca"/>
    <s v="MFC"/>
    <x v="0"/>
    <n v="570025"/>
    <n v="3"/>
    <d v="2017-09-27T11:30:23"/>
    <x v="0"/>
    <x v="5"/>
    <s v="dorra.abdelmoula@manulifesecurities.ca"/>
    <n v="910536"/>
    <s v="User Account"/>
    <n v="1"/>
    <s v="AtBelow"/>
    <s v="CC_Portal"/>
    <n v="0"/>
    <s v="MFC"/>
    <s v="IBMCA"/>
    <s v="ACTIVE ADVISORS AND ASSISTANTS"/>
    <n v="0"/>
    <n v="0"/>
  </r>
  <r>
    <s v="alex_buena@manulifesecurities.ca"/>
    <s v="MFC"/>
    <x v="0"/>
    <n v="570025"/>
    <n v="3"/>
    <d v="2017-09-27T11:30:22"/>
    <x v="5"/>
    <x v="6"/>
    <s v="MSI_autoEmailArchive@manulifesecurities.ca"/>
    <n v="561482"/>
    <s v="Distribution List"/>
    <n v="1"/>
    <s v="Any"/>
    <s v="CC_Portal"/>
    <s v="f39984ced32f41b0968f10bdc8d87f83"/>
    <s v="MFC"/>
    <s v="IBMCA"/>
    <s v="ALL GROUPS"/>
    <n v="0"/>
    <n v="0"/>
  </r>
  <r>
    <s v="alex_buena@manulifesecurities.ca"/>
    <s v="MFC"/>
    <x v="0"/>
    <n v="570025"/>
    <n v="3"/>
    <d v="2017-09-27T11:30:20"/>
    <x v="5"/>
    <x v="6"/>
    <s v="AllAssistants@manulifesecurities.ca"/>
    <n v="555660"/>
    <s v="Distribution List"/>
    <n v="1"/>
    <s v="Any"/>
    <s v="CC_Portal"/>
    <s v="f39984ced32f41b0968f10bdc8d87f83"/>
    <s v="MFC"/>
    <s v="IBMCA"/>
    <s v="ALL GROUPS"/>
    <n v="0"/>
    <n v="0"/>
  </r>
  <r>
    <s v="alex_buena@manulifesecurities.ca"/>
    <s v="MFC"/>
    <x v="0"/>
    <n v="570025"/>
    <n v="3"/>
    <d v="2017-09-27T11:30:19"/>
    <x v="0"/>
    <x v="5"/>
    <s v="dorra.abdelmoula@manulifesecurities.ca"/>
    <n v="910536"/>
    <s v="User Account"/>
    <n v="1"/>
    <s v="AtBelow"/>
    <s v="CC_Portal"/>
    <n v="0"/>
    <s v="MFC"/>
    <s v="IBMCA"/>
    <s v="ACTIVE ADVISORS AND ASSISTANTS"/>
    <n v="0"/>
    <n v="0"/>
  </r>
  <r>
    <s v="alex_buena@manulifesecurities.ca"/>
    <s v="MFC"/>
    <x v="0"/>
    <n v="570025"/>
    <n v="3"/>
    <d v="2017-09-27T11:29:57"/>
    <x v="0"/>
    <x v="5"/>
    <s v="dorra.abdelmoula@manulifesecurities.ca"/>
    <n v="910536"/>
    <s v="User Account"/>
    <n v="1"/>
    <s v="AtBelow"/>
    <s v="CC_Portal"/>
    <n v="0"/>
    <s v="MFC"/>
    <s v="IBMCA"/>
    <s v="ACTIVE ADVISORS AND ASSISTANTS"/>
    <n v="0"/>
    <n v="0"/>
  </r>
  <r>
    <s v="alex_buena@manulifesecurities.ca"/>
    <s v="MFC"/>
    <x v="0"/>
    <n v="570025"/>
    <n v="3"/>
    <d v="2017-09-27T11:28:39"/>
    <x v="5"/>
    <x v="7"/>
    <s v="dorra.abdelmoula@manulifesecurities.ca"/>
    <n v="910536"/>
    <s v="User Account"/>
    <n v="1"/>
    <s v="AtBelow"/>
    <s v="CC_Portal"/>
    <s v="PrimaryEmail=dorra.abdelmoula@manulifesecurities.ca"/>
    <s v="MFC"/>
    <s v="IBMCA"/>
    <s v="ACTIVE ADVISORS AND ASSISTANTS"/>
    <n v="0"/>
    <n v="0"/>
  </r>
  <r>
    <s v="alex_buena@manulifesecurities.ca"/>
    <s v="MFC"/>
    <x v="0"/>
    <n v="570025"/>
    <n v="3"/>
    <d v="2017-09-27T11:23:20"/>
    <x v="5"/>
    <x v="8"/>
    <s v="gilles.delooz@manulifesecurities.ca"/>
    <n v="908517"/>
    <s v="User Account"/>
    <n v="1"/>
    <s v="SelfBelow"/>
    <s v="CC_Portal"/>
    <s v="AddedAliases=gilles.delooz@placementsmanuvie.ca"/>
    <s v="MFC"/>
    <s v="IBMCA"/>
    <s v="ACTIVE ADVISORS AND ASSISTANTS"/>
    <n v="0"/>
    <n v="0"/>
  </r>
  <r>
    <s v="ssotest@mfc.sps.local"/>
    <s v="MFC"/>
    <x v="0"/>
    <n v="551367"/>
    <n v="1000"/>
    <d v="2017-09-27T11:10:51"/>
    <x v="0"/>
    <x v="0"/>
    <s v="Kathy.Tripodi@manulifesecurities.ca"/>
    <n v="553037"/>
    <s v="User Account"/>
    <n v="1"/>
    <s v="AtBelow"/>
    <s v="CC_Portal"/>
    <n v="0"/>
    <s v="MFC"/>
    <s v="IBMCA"/>
    <s v="ACTIVE ADVISORS AND ASSISTANTS"/>
    <n v="0"/>
    <n v="0"/>
  </r>
  <r>
    <s v="michel.cormier@manulifesecurities.ca"/>
    <s v="MFC"/>
    <x v="0"/>
    <n v="560366"/>
    <n v="3"/>
    <d v="2017-09-27T11:03:12"/>
    <x v="3"/>
    <x v="2"/>
    <s v="stephen.forsey@manulifesecurities.ca"/>
    <n v="812709"/>
    <s v="User Account"/>
    <n v="1"/>
    <s v="AtBelow"/>
    <s v="CC_WebService"/>
    <m/>
    <s v="MFC"/>
    <s v="IBMCA"/>
    <s v="ACTIVE ADVISORS AND ASSISTANTS"/>
    <n v="0"/>
    <n v="0"/>
  </r>
  <r>
    <s v="priscilla.misir@manulifesecurities.ca"/>
    <s v="MFC"/>
    <x v="0"/>
    <n v="674396"/>
    <n v="3"/>
    <d v="2017-09-27T10:56:43"/>
    <x v="0"/>
    <x v="3"/>
    <s v="Young.Sohn@manulifesecurities.ca"/>
    <n v="554335"/>
    <s v="User Account"/>
    <n v="1"/>
    <s v="AtBelow"/>
    <s v="CC_Portal"/>
    <s v="Disable"/>
    <s v="MFC"/>
    <s v="IBMCA"/>
    <s v="ACTIVE ADVISORS AND ASSISTANTS"/>
    <n v="0"/>
    <n v="0"/>
  </r>
  <r>
    <s v="ssotest@mfc.sps.local"/>
    <s v="MFC"/>
    <x v="0"/>
    <n v="551367"/>
    <n v="1000"/>
    <d v="2017-09-27T10:54:17"/>
    <x v="0"/>
    <x v="0"/>
    <s v="debbie.fraser@manulifesecurities.ca"/>
    <n v="910276"/>
    <s v="User Account"/>
    <n v="1"/>
    <s v="AtBelow"/>
    <s v="CC_Portal"/>
    <n v="0"/>
    <s v="MFC"/>
    <s v="IBMCA"/>
    <s v="ACTIVE ADVISORS AND ASSISTANTS"/>
    <n v="0"/>
    <n v="0"/>
  </r>
  <r>
    <s v="cameron.price@manulifesecurities.ca"/>
    <s v="MFC"/>
    <x v="0"/>
    <n v="627564"/>
    <n v="3"/>
    <d v="2017-09-27T10:22:15"/>
    <x v="0"/>
    <x v="0"/>
    <s v="kim.rogers@manulifesecurities.ca"/>
    <n v="814375"/>
    <s v="User Account"/>
    <n v="1"/>
    <s v="AtBelow"/>
    <s v="CC_Portal"/>
    <n v="0"/>
    <s v="MFC"/>
    <s v="IBMCA"/>
    <s v="ACTIVE ADVISORS AND ASSISTANTS"/>
    <n v="0"/>
    <n v="0"/>
  </r>
  <r>
    <s v="fahmi.karim@manulifesecurities.ca"/>
    <s v="MFC"/>
    <x v="0"/>
    <n v="809833"/>
    <n v="3"/>
    <d v="2017-09-27T10:17:15"/>
    <x v="3"/>
    <x v="2"/>
    <s v="stephen.forsey@manulifesecurities.ca"/>
    <n v="812709"/>
    <s v="User Account"/>
    <n v="1"/>
    <s v="AtBelow"/>
    <s v="CC_WebService"/>
    <m/>
    <s v="MFC"/>
    <s v="IBMCA"/>
    <s v="ACTIVE ADVISORS AND ASSISTANTS"/>
    <n v="0"/>
    <n v="0"/>
  </r>
  <r>
    <s v="ssotest@mfc.sps.local"/>
    <s v="MFC"/>
    <x v="0"/>
    <n v="551367"/>
    <n v="1000"/>
    <d v="2017-09-27T10:08:34"/>
    <x v="0"/>
    <x v="0"/>
    <s v="kim.rogers@manulifesecurities.ca"/>
    <n v="814375"/>
    <s v="User Account"/>
    <n v="1"/>
    <s v="AtBelow"/>
    <s v="CC_Portal"/>
    <n v="0"/>
    <s v="MFC"/>
    <s v="IBMCA"/>
    <s v="ACTIVE ADVISORS AND ASSISTANTS"/>
    <n v="0"/>
    <n v="0"/>
  </r>
  <r>
    <s v="ssotest@mfc.sps.local"/>
    <s v="MFC"/>
    <x v="0"/>
    <n v="551367"/>
    <n v="1000"/>
    <d v="2017-09-27T09:59:05"/>
    <x v="0"/>
    <x v="0"/>
    <s v="gilles.delooz@manulifesecurities.ca"/>
    <n v="908517"/>
    <s v="User Account"/>
    <n v="1"/>
    <s v="AtBelow"/>
    <s v="CC_Portal"/>
    <n v="0"/>
    <s v="MFC"/>
    <s v="IBMCA"/>
    <s v="ACTIVE ADVISORS AND ASSISTANTS"/>
    <n v="0"/>
    <n v="0"/>
  </r>
  <r>
    <s v="patrick.harkins@manulifesecurities.ca"/>
    <s v="MFC"/>
    <x v="0"/>
    <n v="560864"/>
    <n v="3"/>
    <d v="2017-09-27T09:50:55"/>
    <x v="3"/>
    <x v="2"/>
    <s v="justin.evans@manulifesecurities.ca"/>
    <n v="687894"/>
    <s v="User Account"/>
    <n v="1"/>
    <s v="AtBelow"/>
    <s v="CC_WebService"/>
    <m/>
    <s v="MFC"/>
    <s v="IBMCA"/>
    <s v="ACTIVE ADVISORS AND ASSISTANTS"/>
    <n v="0"/>
    <n v="0"/>
  </r>
  <r>
    <s v="ssotest@mfc.sps.local"/>
    <s v="MFC"/>
    <x v="0"/>
    <n v="551367"/>
    <n v="1000"/>
    <d v="2017-09-27T09:44:18"/>
    <x v="0"/>
    <x v="0"/>
    <s v="Melanie.Locke@manulifesecurities.ca"/>
    <n v="553453"/>
    <s v="User Account"/>
    <n v="1"/>
    <s v="AtBelow"/>
    <s v="CC_Portal"/>
    <n v="0"/>
    <s v="MFC"/>
    <s v="IBMCA"/>
    <s v="ACTIVE ADVISORS AND ASSISTANTS"/>
    <n v="0"/>
    <n v="0"/>
  </r>
  <r>
    <s v="jeff.lotz@manulifesecurities.ca"/>
    <s v="MFC"/>
    <x v="0"/>
    <n v="722441"/>
    <n v="3"/>
    <d v="2017-09-27T09:42:28"/>
    <x v="3"/>
    <x v="2"/>
    <s v="Ellen.MacDougall@manulifesecurities.ca"/>
    <n v="552478"/>
    <s v="User Account"/>
    <n v="1"/>
    <s v="AtBelow"/>
    <s v="CC_WebService"/>
    <m/>
    <s v="MFC"/>
    <s v="IBMCA"/>
    <s v="ACTIVE ADVISORS AND ASSISTANTS"/>
    <n v="0"/>
    <n v="0"/>
  </r>
  <r>
    <s v="ssotest@mfc.sps.local"/>
    <s v="MFC"/>
    <x v="0"/>
    <n v="551367"/>
    <n v="1000"/>
    <d v="2017-09-27T09:09:36"/>
    <x v="0"/>
    <x v="0"/>
    <s v="Ellen.MacDougall@manulifesecurities.ca"/>
    <n v="552478"/>
    <s v="User Account"/>
    <n v="1"/>
    <s v="AtBelow"/>
    <s v="CC_Portal"/>
    <n v="0"/>
    <s v="MFC"/>
    <s v="IBMCA"/>
    <s v="ACTIVE ADVISORS AND ASSISTANTS"/>
    <n v="0"/>
    <n v="0"/>
  </r>
  <r>
    <s v="ssotest@mfc.sps.local"/>
    <s v="MFC"/>
    <x v="0"/>
    <n v="551367"/>
    <n v="1000"/>
    <d v="2017-09-27T09:07:28"/>
    <x v="0"/>
    <x v="0"/>
    <s v="michelle.reid@manulifesecurities.ca"/>
    <n v="785028"/>
    <s v="User Account"/>
    <n v="1"/>
    <s v="AtBelow"/>
    <s v="CC_Portal"/>
    <n v="0"/>
    <s v="MFC"/>
    <s v="IBMCA"/>
    <s v="ACTIVE ADVISORS AND ASSISTANTS"/>
    <n v="0"/>
    <n v="0"/>
  </r>
  <r>
    <s v="ssotest@mfc.sps.local"/>
    <s v="MFC"/>
    <x v="0"/>
    <n v="551367"/>
    <n v="1000"/>
    <d v="2017-09-27T09:07:19"/>
    <x v="0"/>
    <x v="0"/>
    <s v="michelle.reid@manulifesecurities.ca"/>
    <n v="785028"/>
    <s v="User Account"/>
    <n v="1"/>
    <s v="AtBelow"/>
    <s v="CC_Portal"/>
    <n v="0"/>
    <s v="MFC"/>
    <s v="IBMCA"/>
    <s v="ACTIVE ADVISORS AND ASSISTANTS"/>
    <n v="0"/>
    <n v="0"/>
  </r>
  <r>
    <s v="ssotest@mfc.sps.local"/>
    <s v="MFC"/>
    <x v="0"/>
    <n v="551367"/>
    <n v="1000"/>
    <d v="2017-09-27T09:01:56"/>
    <x v="0"/>
    <x v="0"/>
    <s v="marla.kuypers@manulifesecurities.ca"/>
    <n v="560770"/>
    <s v="User Account"/>
    <n v="1"/>
    <s v="AtBelow"/>
    <s v="CC_Portal"/>
    <n v="0"/>
    <s v="MFC"/>
    <s v="IBMCA"/>
    <s v="DISABLED USERS"/>
    <n v="0"/>
    <n v="0"/>
  </r>
  <r>
    <s v="ssotest@mfc.sps.local"/>
    <s v="MFC"/>
    <x v="0"/>
    <n v="551367"/>
    <n v="1000"/>
    <d v="2017-09-27T08:57:14"/>
    <x v="0"/>
    <x v="0"/>
    <s v="Darius.Muica@manulifesecurities.ca"/>
    <n v="552252"/>
    <s v="User Account"/>
    <n v="1"/>
    <s v="AtBelow"/>
    <s v="CC_Portal"/>
    <n v="0"/>
    <s v="MFC"/>
    <s v="IBMCA"/>
    <s v="ACTIVE ADVISORS AND ASSISTANTS"/>
    <n v="0"/>
    <n v="0"/>
  </r>
  <r>
    <s v="alex_buena@manulifesecurities.ca"/>
    <s v="MFC"/>
    <x v="0"/>
    <n v="570025"/>
    <n v="3"/>
    <d v="2017-09-27T08:56:30"/>
    <x v="0"/>
    <x v="5"/>
    <s v="debbie.ruskin@manulifesecurities.ca"/>
    <n v="910507"/>
    <s v="User Account"/>
    <n v="1"/>
    <s v="AtBelow"/>
    <s v="CC_Portal"/>
    <n v="0"/>
    <s v="MFC"/>
    <s v="IBMCA"/>
    <s v="ACTIVE ADVISORS AND ASSISTANTS"/>
    <n v="0"/>
    <n v="0"/>
  </r>
  <r>
    <s v="alex_buena@manulifesecurities.ca"/>
    <s v="MFC"/>
    <x v="0"/>
    <n v="570025"/>
    <n v="3"/>
    <d v="2017-09-27T08:56:29"/>
    <x v="5"/>
    <x v="6"/>
    <s v="MSI_autoEmailArchive@manulifesecurities.ca"/>
    <n v="561482"/>
    <s v="Distribution List"/>
    <n v="1"/>
    <s v="Any"/>
    <s v="CC_Portal"/>
    <s v="94551a5154bc48d685cb50bf8343e8f8"/>
    <s v="MFC"/>
    <s v="IBMCA"/>
    <s v="ALL GROUPS"/>
    <n v="0"/>
    <n v="0"/>
  </r>
  <r>
    <s v="alex_buena@manulifesecurities.ca"/>
    <s v="MFC"/>
    <x v="0"/>
    <n v="570025"/>
    <n v="3"/>
    <d v="2017-09-27T08:56:27"/>
    <x v="5"/>
    <x v="6"/>
    <s v="AllAssistants@manulifesecurities.ca"/>
    <n v="555660"/>
    <s v="Distribution List"/>
    <n v="1"/>
    <s v="Any"/>
    <s v="CC_Portal"/>
    <s v="94551a5154bc48d685cb50bf8343e8f8"/>
    <s v="MFC"/>
    <s v="IBMCA"/>
    <s v="ALL GROUPS"/>
    <n v="0"/>
    <n v="0"/>
  </r>
  <r>
    <s v="alex_buena@manulifesecurities.ca"/>
    <s v="MFC"/>
    <x v="0"/>
    <n v="570025"/>
    <n v="3"/>
    <d v="2017-09-27T08:56:26"/>
    <x v="0"/>
    <x v="5"/>
    <s v="debbie.ruskin@manulifesecurities.ca"/>
    <n v="910507"/>
    <s v="User Account"/>
    <n v="1"/>
    <s v="AtBelow"/>
    <s v="CC_Portal"/>
    <n v="0"/>
    <s v="MFC"/>
    <s v="IBMCA"/>
    <s v="ACTIVE ADVISORS AND ASSISTANTS"/>
    <n v="0"/>
    <n v="0"/>
  </r>
  <r>
    <s v="alex_buena@manulifesecurities.ca"/>
    <s v="MFC"/>
    <x v="0"/>
    <n v="570025"/>
    <n v="3"/>
    <d v="2017-09-27T08:56:05"/>
    <x v="0"/>
    <x v="5"/>
    <s v="debbie.ruskin@manulifesecurities.ca"/>
    <n v="910507"/>
    <s v="User Account"/>
    <n v="1"/>
    <s v="AtBelow"/>
    <s v="CC_Portal"/>
    <n v="0"/>
    <s v="MFC"/>
    <s v="IBMCA"/>
    <s v="ACTIVE ADVISORS AND ASSISTANTS"/>
    <n v="0"/>
    <n v="0"/>
  </r>
  <r>
    <s v="alex_buena@manulifesecurities.ca"/>
    <s v="MFC"/>
    <x v="0"/>
    <n v="570025"/>
    <n v="3"/>
    <d v="2017-09-27T08:55:36"/>
    <x v="5"/>
    <x v="7"/>
    <s v="debbie.ruskin@manulifesecurities.ca"/>
    <n v="910507"/>
    <s v="User Account"/>
    <n v="1"/>
    <s v="AtBelow"/>
    <s v="CC_Portal"/>
    <s v="PrimaryEmail=debbie.ruskin@manulifesecurities.ca"/>
    <s v="MFC"/>
    <s v="IBMCA"/>
    <s v="ACTIVE ADVISORS AND ASSISTANTS"/>
    <n v="0"/>
    <n v="0"/>
  </r>
  <r>
    <s v="ssotest@mfc.sps.local"/>
    <s v="MFC"/>
    <x v="0"/>
    <n v="551367"/>
    <n v="1000"/>
    <d v="2017-09-27T08:23:04"/>
    <x v="0"/>
    <x v="0"/>
    <s v="Mike.Sears@manulifesecurities.ca"/>
    <n v="553543"/>
    <s v="User Account"/>
    <n v="1"/>
    <s v="AtBelow"/>
    <s v="CC_Portal"/>
    <n v="0"/>
    <s v="MFC"/>
    <s v="IBMCA"/>
    <s v="ACTIVE ADVISORS AND ASSISTANTS"/>
    <n v="0"/>
    <n v="0"/>
  </r>
  <r>
    <s v="priscilla.misir@manulifesecurities.ca"/>
    <s v="MFC"/>
    <x v="0"/>
    <n v="674396"/>
    <n v="3"/>
    <d v="2017-09-27T08:01:30"/>
    <x v="0"/>
    <x v="5"/>
    <s v="melanie.laberge@manulifesecurities.ca"/>
    <n v="901684"/>
    <s v="User Account"/>
    <n v="1"/>
    <s v="AtBelow"/>
    <s v="CC_Portal"/>
    <n v="0"/>
    <s v="MFC"/>
    <s v="IBMCA"/>
    <s v="ACTIVE ADVISORS AND ASSISTANTS"/>
    <n v="0"/>
    <n v="0"/>
  </r>
  <r>
    <s v="priscilla.misir@manulifesecurities.ca"/>
    <s v="MFC"/>
    <x v="0"/>
    <n v="674396"/>
    <n v="3"/>
    <d v="2017-09-27T08:01:29"/>
    <x v="5"/>
    <x v="6"/>
    <s v="MSI_autoSupervision@manulifesecurities.ca"/>
    <n v="561483"/>
    <s v="Distribution List"/>
    <n v="1"/>
    <s v="Any"/>
    <s v="CC_Portal"/>
    <s v="81b7ca515b564d91abaed24e948735a6"/>
    <s v="MFC"/>
    <s v="IBMCA"/>
    <s v="ALL GROUPS"/>
    <n v="0"/>
    <n v="0"/>
  </r>
  <r>
    <s v="priscilla.misir@manulifesecurities.ca"/>
    <s v="MFC"/>
    <x v="0"/>
    <n v="674396"/>
    <n v="3"/>
    <d v="2017-09-27T08:01:04"/>
    <x v="0"/>
    <x v="5"/>
    <s v="melanie.laberge@manulifesecurities.ca"/>
    <n v="901684"/>
    <s v="User Account"/>
    <n v="1"/>
    <s v="AtBelow"/>
    <s v="CC_Portal"/>
    <n v="0"/>
    <s v="MFC"/>
    <s v="IBMCA"/>
    <s v="ACTIVE ADVISORS AND ASSISTANTS"/>
    <n v="0"/>
    <n v="0"/>
  </r>
  <r>
    <s v="priscilla.misir@manulifesecurities.ca"/>
    <s v="MFC"/>
    <x v="0"/>
    <n v="674396"/>
    <n v="3"/>
    <d v="2017-09-27T08:00:50"/>
    <x v="0"/>
    <x v="5"/>
    <s v="melanie.laberge@manulifesecurities.ca"/>
    <n v="901684"/>
    <s v="User Account"/>
    <n v="1"/>
    <s v="AtBelow"/>
    <s v="CC_Portal"/>
    <n v="0"/>
    <s v="MFC"/>
    <s v="IBMCA"/>
    <s v="ACTIVE ADVISORS AND ASSISTANTS"/>
    <n v="0"/>
    <n v="0"/>
  </r>
  <r>
    <s v="priscilla.misir@manulifesecurities.ca"/>
    <s v="MFC"/>
    <x v="0"/>
    <n v="674396"/>
    <n v="3"/>
    <d v="2017-09-27T07:57:38"/>
    <x v="0"/>
    <x v="5"/>
    <s v="melanie.laberge@manulifesecurities.ca"/>
    <n v="901684"/>
    <s v="User Account"/>
    <n v="1"/>
    <s v="AtBelow"/>
    <s v="CC_Portal"/>
    <n v="0"/>
    <s v="MFC"/>
    <s v="IBMCA"/>
    <s v="ACTIVE ADVISORS AND ASSISTANTS"/>
    <n v="0"/>
    <n v="0"/>
  </r>
  <r>
    <s v="ssotest@mfc.sps.local"/>
    <s v="MFC"/>
    <x v="0"/>
    <n v="551367"/>
    <n v="1000"/>
    <d v="2017-09-27T00:53:11"/>
    <x v="0"/>
    <x v="0"/>
    <s v="Trish.Fortin@manulifesecurities.ca"/>
    <n v="554227"/>
    <s v="User Account"/>
    <n v="1"/>
    <s v="AtBelow"/>
    <s v="CC_Portal"/>
    <n v="0"/>
    <s v="MFC"/>
    <s v="IBMCA"/>
    <s v="ACTIVE ADVISORS AND ASSISTANTS"/>
    <n v="0"/>
    <n v="0"/>
  </r>
  <r>
    <s v="crystal.parkinson@manulifesecurities.ca"/>
    <s v="MFC"/>
    <x v="0"/>
    <n v="637976"/>
    <n v="1"/>
    <d v="2017-09-26T18:59:02"/>
    <x v="2"/>
    <x v="1"/>
    <s v="crystal.parkinson@manulifesecurities.ca"/>
    <n v="637976"/>
    <s v="User Account"/>
    <n v="0"/>
    <s v="Deny"/>
    <s v="CC_Portal"/>
    <n v="0"/>
    <s v="MFC"/>
    <s v="IBMCA"/>
    <s v="ACTIVE ADVISORS AND ASSISTANTS"/>
    <n v="0"/>
    <n v="0"/>
  </r>
  <r>
    <s v="crystal.parkinson@manulifesecurities.ca"/>
    <s v="MFC"/>
    <x v="0"/>
    <n v="637976"/>
    <n v="1"/>
    <d v="2017-09-26T18:59:01"/>
    <x v="1"/>
    <x v="1"/>
    <s v="crystal.parkinson@manulifesecurities.ca"/>
    <n v="637976"/>
    <s v="User Account"/>
    <n v="0"/>
    <s v="Deny"/>
    <s v="CC_Portal"/>
    <n v="0"/>
    <s v="MFC"/>
    <s v="IBMCA"/>
    <s v="ACTIVE ADVISORS AND ASSISTANTS"/>
    <n v="0"/>
    <n v="0"/>
  </r>
  <r>
    <s v="ssotest@mfc.sps.local"/>
    <s v="MFC"/>
    <x v="0"/>
    <n v="551367"/>
    <n v="1000"/>
    <d v="2017-09-26T16:37:31"/>
    <x v="0"/>
    <x v="0"/>
    <s v="jade.zeron@manulifesecurities.ca"/>
    <n v="863731"/>
    <s v="User Account"/>
    <n v="1"/>
    <s v="AtBelow"/>
    <s v="CC_Portal"/>
    <n v="0"/>
    <s v="MFC"/>
    <s v="IBMCA"/>
    <s v="ACTIVE ADVISORS AND ASSISTANTS"/>
    <n v="0"/>
    <n v="0"/>
  </r>
  <r>
    <s v="ssotest@mfc.sps.local"/>
    <s v="MFC"/>
    <x v="0"/>
    <n v="551367"/>
    <n v="1000"/>
    <d v="2017-09-26T15:44:50"/>
    <x v="0"/>
    <x v="0"/>
    <s v="Michael.Cecutti@manulifesecurities.ca"/>
    <n v="553474"/>
    <s v="User Account"/>
    <n v="1"/>
    <s v="AtBelow"/>
    <s v="CC_Portal"/>
    <n v="0"/>
    <s v="MFC"/>
    <s v="IBMCA"/>
    <s v="ACTIVE ADVISORS AND ASSISTANTS"/>
    <n v="0"/>
    <n v="0"/>
  </r>
  <r>
    <s v="priscilla.misir@manulifesecurities.ca"/>
    <s v="MFC"/>
    <x v="0"/>
    <n v="674396"/>
    <n v="3"/>
    <d v="2017-09-26T14:34:21"/>
    <x v="0"/>
    <x v="5"/>
    <s v="alex.murphy@manulifesecurities.ca"/>
    <n v="910419"/>
    <s v="User Account"/>
    <n v="1"/>
    <s v="AtBelow"/>
    <s v="CC_Portal"/>
    <n v="0"/>
    <s v="MFC"/>
    <s v="IBMCA"/>
    <s v="ACTIVE ADVISORS AND ASSISTANTS"/>
    <n v="0"/>
    <n v="0"/>
  </r>
  <r>
    <s v="priscilla.misir@manulifesecurities.ca"/>
    <s v="MFC"/>
    <x v="0"/>
    <n v="674396"/>
    <n v="3"/>
    <d v="2017-09-26T14:34:20"/>
    <x v="5"/>
    <x v="6"/>
    <s v="MSI_autoEmailArchive@manulifesecurities.ca"/>
    <n v="561482"/>
    <s v="Distribution List"/>
    <n v="1"/>
    <s v="Any"/>
    <s v="CC_Portal"/>
    <s v="4ea0e2352f62427196f4b6bbca652a6f"/>
    <s v="MFC"/>
    <s v="IBMCA"/>
    <s v="ALL GROUPS"/>
    <n v="0"/>
    <n v="0"/>
  </r>
  <r>
    <s v="priscilla.misir@manulifesecurities.ca"/>
    <s v="MFC"/>
    <x v="0"/>
    <n v="674396"/>
    <n v="3"/>
    <d v="2017-09-26T14:34:20"/>
    <x v="5"/>
    <x v="6"/>
    <s v="MSI_autoSupervision@manulifesecurities.ca"/>
    <n v="561483"/>
    <s v="Distribution List"/>
    <n v="1"/>
    <s v="Any"/>
    <s v="CC_Portal"/>
    <s v="4ea0e2352f62427196f4b6bbca652a6f"/>
    <s v="MFC"/>
    <s v="IBMCA"/>
    <s v="ALL GROUPS"/>
    <n v="0"/>
    <n v="0"/>
  </r>
  <r>
    <s v="priscilla.misir@manulifesecurities.ca"/>
    <s v="MFC"/>
    <x v="0"/>
    <n v="674396"/>
    <n v="3"/>
    <d v="2017-09-26T14:34:19"/>
    <x v="5"/>
    <x v="6"/>
    <s v="AllAdvisors@manulifesecurities.ca"/>
    <n v="555659"/>
    <s v="Distribution List"/>
    <n v="1"/>
    <s v="Any"/>
    <s v="CC_Portal"/>
    <s v="4ea0e2352f62427196f4b6bbca652a6f"/>
    <s v="MFC"/>
    <s v="IBMCA"/>
    <s v="ALL GROUPS"/>
    <n v="0"/>
    <n v="0"/>
  </r>
  <r>
    <s v="priscilla.misir@manulifesecurities.ca"/>
    <s v="MFC"/>
    <x v="0"/>
    <n v="674396"/>
    <n v="3"/>
    <d v="2017-09-26T14:34:17"/>
    <x v="0"/>
    <x v="5"/>
    <s v="alex.murphy@manulifesecurities.ca"/>
    <n v="910419"/>
    <s v="User Account"/>
    <n v="1"/>
    <s v="AtBelow"/>
    <s v="CC_Portal"/>
    <n v="0"/>
    <s v="MFC"/>
    <s v="IBMCA"/>
    <s v="ACTIVE ADVISORS AND ASSISTANTS"/>
    <n v="0"/>
    <n v="0"/>
  </r>
  <r>
    <s v="priscilla.misir@manulifesecurities.ca"/>
    <s v="MFC"/>
    <x v="0"/>
    <n v="674396"/>
    <n v="3"/>
    <d v="2017-09-26T14:33:55"/>
    <x v="0"/>
    <x v="5"/>
    <s v="alex.murphy@manulifesecurities.ca"/>
    <n v="910419"/>
    <s v="User Account"/>
    <n v="1"/>
    <s v="AtBelow"/>
    <s v="CC_Portal"/>
    <n v="0"/>
    <s v="MFC"/>
    <s v="IBMCA"/>
    <s v="ACTIVE ADVISORS AND ASSISTANTS"/>
    <n v="0"/>
    <n v="0"/>
  </r>
  <r>
    <s v="priscilla.misir@manulifesecurities.ca"/>
    <s v="MFC"/>
    <x v="0"/>
    <n v="674396"/>
    <n v="3"/>
    <d v="2017-09-26T14:33:14"/>
    <x v="5"/>
    <x v="7"/>
    <s v="alex.murphy@manulifesecurities.ca"/>
    <n v="910419"/>
    <s v="User Account"/>
    <n v="1"/>
    <s v="AtBelow"/>
    <s v="CC_Portal"/>
    <s v="PrimaryEmail=alex.murphy@manulifesecurities.ca"/>
    <s v="MFC"/>
    <s v="IBMCA"/>
    <s v="ACTIVE ADVISORS AND ASSISTANTS"/>
    <n v="0"/>
    <n v="0"/>
  </r>
  <r>
    <s v="cristian.bogdan@manulifesecurities.ca"/>
    <s v="MFC"/>
    <x v="0"/>
    <n v="560330"/>
    <n v="3"/>
    <d v="2017-09-26T14:27:40"/>
    <x v="0"/>
    <x v="9"/>
    <s v="sean.middaugh@manulifesecurities.ca"/>
    <n v="909910"/>
    <s v="User Account"/>
    <n v="1"/>
    <s v="AtBelow"/>
    <s v="CC_Portal"/>
    <s v="Enable"/>
    <s v="MFC"/>
    <s v="IBMCA"/>
    <s v="ACTIVE ADVISORS AND ASSISTANTS"/>
    <n v="0"/>
    <n v="0"/>
  </r>
  <r>
    <s v="cristian.bogdan@manulifesecurities.ca"/>
    <s v="MFC"/>
    <x v="0"/>
    <n v="560330"/>
    <n v="3"/>
    <d v="2017-09-26T14:26:20"/>
    <x v="3"/>
    <x v="2"/>
    <s v="sean.middaugh@manulifesecurities.ca"/>
    <n v="909910"/>
    <s v="User Account"/>
    <n v="1"/>
    <s v="AtBelow"/>
    <s v="CC_WebService"/>
    <m/>
    <s v="MFC"/>
    <s v="IBMCA"/>
    <s v="ACTIVE ADVISORS AND ASSISTANTS"/>
    <n v="0"/>
    <n v="0"/>
  </r>
  <r>
    <s v="ssotest@mfc.sps.local"/>
    <s v="MFC"/>
    <x v="0"/>
    <n v="551367"/>
    <n v="1000"/>
    <d v="2017-09-26T14:25:12"/>
    <x v="0"/>
    <x v="0"/>
    <s v="sean.middaugh@manulifesecurities.ca"/>
    <n v="909910"/>
    <s v="User Account"/>
    <n v="1"/>
    <s v="AtBelow"/>
    <s v="CC_Portal"/>
    <n v="0"/>
    <s v="MFC"/>
    <s v="IBMCA"/>
    <s v="ACTIVE ADVISORS AND ASSISTANTS"/>
    <n v="0"/>
    <n v="0"/>
  </r>
  <r>
    <s v="jeff.lotz@manulifesecurities.ca"/>
    <s v="MFC"/>
    <x v="0"/>
    <n v="722441"/>
    <n v="3"/>
    <d v="2017-09-26T14:14:57"/>
    <x v="3"/>
    <x v="2"/>
    <s v="Arlene.Rheaume@manulifesecurities.ca"/>
    <n v="551858"/>
    <s v="User Account"/>
    <n v="1"/>
    <s v="AtBelow"/>
    <s v="CC_WebService"/>
    <m/>
    <s v="MFC"/>
    <s v="IBMCA"/>
    <s v="ACTIVE ADVISORS AND ASSISTANTS"/>
    <n v="0"/>
    <n v="0"/>
  </r>
  <r>
    <s v="priscilla.misir@manulifesecurities.ca"/>
    <s v="MFC"/>
    <x v="0"/>
    <n v="674396"/>
    <n v="3"/>
    <d v="2017-09-26T13:53:01"/>
    <x v="0"/>
    <x v="4"/>
    <s v="courtney.ramsay@manulifesecurities.ca"/>
    <n v="832005"/>
    <s v="User Account"/>
    <n v="1"/>
    <s v="AtBelow"/>
    <s v="CC_Portal"/>
    <s v="oldOrgGroup=ACTIVE ADVISORS AND ASSISTANTS;newOrgGroup=DISABLED USERS"/>
    <s v="MFC"/>
    <s v="IBMCA"/>
    <s v="DISABLED USERS"/>
    <n v="0"/>
    <n v="0"/>
  </r>
  <r>
    <s v="priscilla.misir@manulifesecurities.ca"/>
    <s v="MFC"/>
    <x v="0"/>
    <n v="674396"/>
    <n v="3"/>
    <d v="2017-09-26T13:52:04"/>
    <x v="0"/>
    <x v="5"/>
    <s v="courtney.ramsay@manulifesecurities.ca"/>
    <n v="832005"/>
    <s v="User Account"/>
    <n v="1"/>
    <s v="AtBelow"/>
    <s v="CC_Portal"/>
    <n v="0"/>
    <s v="MFC"/>
    <s v="IBMCA"/>
    <s v="ACTIVE ADVISORS AND ASSISTANTS"/>
    <n v="0"/>
    <n v="0"/>
  </r>
  <r>
    <s v="priscilla.misir@manulifesecurities.ca"/>
    <s v="MFC"/>
    <x v="0"/>
    <n v="674396"/>
    <n v="3"/>
    <d v="2017-09-26T13:52:03"/>
    <x v="4"/>
    <x v="6"/>
    <s v="MSI_autoSupervision@manulifesecurities.ca"/>
    <n v="561483"/>
    <s v="Distribution List"/>
    <n v="1"/>
    <s v="Any"/>
    <s v="CC_Portal"/>
    <s v="b6dca660ece24026a6cbeccd32d83f60"/>
    <s v="MFC"/>
    <s v="IBMCA"/>
    <s v="ALL GROUPS"/>
    <n v="0"/>
    <n v="0"/>
  </r>
  <r>
    <s v="priscilla.misir@manulifesecurities.ca"/>
    <s v="MFC"/>
    <x v="0"/>
    <n v="674396"/>
    <n v="3"/>
    <d v="2017-09-26T13:52:02"/>
    <x v="4"/>
    <x v="6"/>
    <s v="MSI_autoEmailArchive@manulifesecurities.ca"/>
    <n v="561482"/>
    <s v="Distribution List"/>
    <n v="1"/>
    <s v="Any"/>
    <s v="CC_Portal"/>
    <s v="b6dca660ece24026a6cbeccd32d83f60"/>
    <s v="MFC"/>
    <s v="IBMCA"/>
    <s v="ALL GROUPS"/>
    <n v="0"/>
    <n v="0"/>
  </r>
  <r>
    <s v="priscilla.misir@manulifesecurities.ca"/>
    <s v="MFC"/>
    <x v="0"/>
    <n v="674396"/>
    <n v="3"/>
    <d v="2017-09-26T13:52:01"/>
    <x v="4"/>
    <x v="6"/>
    <s v="AllAssistants@manulifesecurities.ca"/>
    <n v="555660"/>
    <s v="Distribution List"/>
    <n v="1"/>
    <s v="Any"/>
    <s v="CC_Portal"/>
    <s v="b6dca660ece24026a6cbeccd32d83f60"/>
    <s v="MFC"/>
    <s v="IBMCA"/>
    <s v="ALL GROUPS"/>
    <n v="0"/>
    <n v="0"/>
  </r>
  <r>
    <s v="priscilla.misir@manulifesecurities.ca"/>
    <s v="MFC"/>
    <x v="0"/>
    <n v="674396"/>
    <n v="3"/>
    <d v="2017-09-26T13:52:00"/>
    <x v="4"/>
    <x v="6"/>
    <s v="AllAdvisors@manulifesecurities.ca"/>
    <n v="555659"/>
    <s v="Distribution List"/>
    <n v="1"/>
    <s v="Any"/>
    <s v="CC_Portal"/>
    <s v="b6dca660ece24026a6cbeccd32d83f60"/>
    <s v="MFC"/>
    <s v="IBMCA"/>
    <s v="ALL GROUPS"/>
    <n v="0"/>
    <n v="0"/>
  </r>
  <r>
    <s v="priscilla.misir@manulifesecurities.ca"/>
    <s v="MFC"/>
    <x v="0"/>
    <n v="674396"/>
    <n v="3"/>
    <d v="2017-09-26T13:51:58"/>
    <x v="0"/>
    <x v="5"/>
    <s v="courtney.ramsay@manulifesecurities.ca"/>
    <n v="832005"/>
    <s v="User Account"/>
    <n v="1"/>
    <s v="AtBelow"/>
    <s v="CC_Portal"/>
    <n v="0"/>
    <s v="MFC"/>
    <s v="IBMCA"/>
    <s v="ACTIVE ADVISORS AND ASSISTANTS"/>
    <n v="0"/>
    <n v="0"/>
  </r>
  <r>
    <s v="priscilla.misir@manulifesecurities.ca"/>
    <s v="MFC"/>
    <x v="0"/>
    <n v="674396"/>
    <n v="3"/>
    <d v="2017-09-26T13:51:51"/>
    <x v="0"/>
    <x v="5"/>
    <s v="courtney.ramsay@manulifesecurities.ca"/>
    <n v="832005"/>
    <s v="User Account"/>
    <n v="1"/>
    <s v="AtBelow"/>
    <s v="CC_Portal"/>
    <n v="0"/>
    <s v="MFC"/>
    <s v="IBMCA"/>
    <s v="ACTIVE ADVISORS AND ASSISTANTS"/>
    <n v="0"/>
    <n v="0"/>
  </r>
  <r>
    <s v="priscilla.misir@manulifesecurities.ca"/>
    <s v="MFC"/>
    <x v="0"/>
    <n v="674396"/>
    <n v="3"/>
    <d v="2017-09-26T13:49:14"/>
    <x v="0"/>
    <x v="3"/>
    <s v="courtney.ramsay@manulifesecurities.ca"/>
    <n v="832005"/>
    <s v="User Account"/>
    <n v="1"/>
    <s v="AtBelow"/>
    <s v="CC_Portal"/>
    <s v="Disable"/>
    <s v="MFC"/>
    <s v="IBMCA"/>
    <s v="ACTIVE ADVISORS AND ASSISTANTS"/>
    <n v="0"/>
    <n v="0"/>
  </r>
  <r>
    <s v="ssotest@mfc.sps.local"/>
    <s v="MFC"/>
    <x v="0"/>
    <n v="551367"/>
    <n v="1000"/>
    <d v="2017-09-26T13:32:43"/>
    <x v="0"/>
    <x v="0"/>
    <s v="Anna.Valarao@manulifesecurities.ca"/>
    <n v="551839"/>
    <s v="User Account"/>
    <n v="1"/>
    <s v="AtBelow"/>
    <s v="CC_Portal"/>
    <n v="0"/>
    <s v="MFC"/>
    <s v="IBMCA"/>
    <s v="ACTIVE ADVISORS AND ASSISTANTS"/>
    <n v="0"/>
    <n v="0"/>
  </r>
  <r>
    <s v="ssotest@mfc.sps.local"/>
    <s v="MFC"/>
    <x v="0"/>
    <n v="551367"/>
    <n v="1000"/>
    <d v="2017-09-26T13:12:59"/>
    <x v="0"/>
    <x v="0"/>
    <s v="marianne.siklosi@manulifesecurities.ca"/>
    <n v="823488"/>
    <s v="User Account"/>
    <n v="1"/>
    <s v="AtBelow"/>
    <s v="CC_Portal"/>
    <n v="0"/>
    <s v="MFC"/>
    <s v="IBMCA"/>
    <s v="ACTIVE ADVISORS AND ASSISTANTS"/>
    <n v="0"/>
    <n v="0"/>
  </r>
  <r>
    <s v="ssotest@mfc.sps.local"/>
    <s v="MFC"/>
    <x v="0"/>
    <n v="551367"/>
    <n v="1000"/>
    <d v="2017-09-26T13:11:38"/>
    <x v="0"/>
    <x v="0"/>
    <s v="Chris.Thornton@manulifesecurities.ca"/>
    <n v="560178"/>
    <s v="User Account"/>
    <n v="1"/>
    <s v="AtBelow"/>
    <s v="CC_Portal"/>
    <n v="0"/>
    <s v="MFC"/>
    <s v="IBMCA"/>
    <s v="ACTIVE ADVISORS AND ASSISTANTS"/>
    <n v="0"/>
    <n v="0"/>
  </r>
  <r>
    <s v="cameron.price@manulifesecurities.ca"/>
    <s v="MFC"/>
    <x v="0"/>
    <n v="627564"/>
    <n v="3"/>
    <d v="2017-09-26T13:09:45"/>
    <x v="0"/>
    <x v="9"/>
    <s v="sebastien.messier@manulifesecurities.ca"/>
    <n v="906187"/>
    <s v="User Account"/>
    <n v="1"/>
    <s v="AtBelow"/>
    <s v="CC_Portal"/>
    <s v="Enable"/>
    <s v="MFC"/>
    <s v="IBMCA"/>
    <s v="ACTIVE ADVISORS AND ASSISTANTS"/>
    <n v="0"/>
    <n v="0"/>
  </r>
  <r>
    <s v="ssotest@mfc.sps.local"/>
    <s v="MFC"/>
    <x v="0"/>
    <n v="551367"/>
    <n v="1000"/>
    <d v="2017-09-26T13:00:24"/>
    <x v="0"/>
    <x v="0"/>
    <s v="glen.izzard@manulifesecurities.ca"/>
    <n v="824929"/>
    <s v="User Account"/>
    <n v="1"/>
    <s v="AtBelow"/>
    <s v="CC_Portal"/>
    <n v="0"/>
    <s v="MFC"/>
    <s v="IBMCA"/>
    <s v="ACTIVE ADVISORS AND ASSISTANTS"/>
    <n v="0"/>
    <n v="0"/>
  </r>
  <r>
    <s v="alex_buena@manulifesecurities.ca"/>
    <s v="MFC"/>
    <x v="0"/>
    <n v="570025"/>
    <n v="3"/>
    <d v="2017-09-26T12:57:07"/>
    <x v="0"/>
    <x v="5"/>
    <s v="d.burns@manulifesecurities.ca"/>
    <n v="729549"/>
    <s v="Distribution List"/>
    <n v="1"/>
    <s v="AtBelow"/>
    <s v="CC_Portal"/>
    <n v="0"/>
    <s v="MFC"/>
    <s v="IBMCA"/>
    <s v="ALL GROUPS"/>
    <n v="0"/>
    <n v="0"/>
  </r>
  <r>
    <s v="ssotest@mfc.sps.local"/>
    <s v="MFC"/>
    <x v="0"/>
    <n v="551367"/>
    <n v="1000"/>
    <d v="2017-09-26T12:38:28"/>
    <x v="0"/>
    <x v="0"/>
    <s v="Anna.Valarao@manulifesecurities.ca"/>
    <n v="551839"/>
    <s v="User Account"/>
    <n v="1"/>
    <s v="AtBelow"/>
    <s v="CC_Portal"/>
    <n v="0"/>
    <s v="MFC"/>
    <s v="IBMCA"/>
    <s v="ACTIVE ADVISORS AND ASSISTANTS"/>
    <n v="0"/>
    <n v="0"/>
  </r>
  <r>
    <s v="ssotest@mfc.sps.local"/>
    <s v="MFC"/>
    <x v="0"/>
    <n v="551367"/>
    <n v="1000"/>
    <d v="2017-09-26T12:38:15"/>
    <x v="0"/>
    <x v="0"/>
    <s v="Matthew.Blom@manulifesecurities.ca"/>
    <n v="553421"/>
    <s v="User Account"/>
    <n v="1"/>
    <s v="AtBelow"/>
    <s v="CC_Portal"/>
    <n v="0"/>
    <s v="MFC"/>
    <s v="IBMCA"/>
    <s v="ACTIVE ADVISORS AND ASSISTANTS"/>
    <n v="0"/>
    <n v="0"/>
  </r>
  <r>
    <s v="adiano.kitenge@manulifesecurities.ca"/>
    <s v="MFC"/>
    <x v="0"/>
    <n v="627566"/>
    <n v="3"/>
    <d v="2017-09-26T12:30:33"/>
    <x v="3"/>
    <x v="2"/>
    <s v="Priscilla.McCarthy@manulifesecurities.ca"/>
    <n v="553724"/>
    <s v="User Account"/>
    <n v="1"/>
    <s v="AtBelow"/>
    <s v="CC_WebService"/>
    <m/>
    <s v="MFC"/>
    <s v="IBMCA"/>
    <s v="ACTIVE ADVISORS AND ASSISTANTS"/>
    <n v="0"/>
    <n v="0"/>
  </r>
  <r>
    <s v="adiano.kitenge@manulifesecurities.ca"/>
    <s v="MFC"/>
    <x v="0"/>
    <n v="627566"/>
    <n v="3"/>
    <d v="2017-09-26T12:29:55"/>
    <x v="0"/>
    <x v="3"/>
    <s v="Priscilla.McCarthy@manulifesecurities.ca"/>
    <n v="553724"/>
    <s v="User Account"/>
    <n v="1"/>
    <s v="SelfBelow"/>
    <s v="CC_Portal"/>
    <s v="Enable"/>
    <s v="MFC"/>
    <s v="IBMCA"/>
    <s v="ACTIVE ADVISORS AND ASSISTANTS"/>
    <n v="0"/>
    <n v="0"/>
  </r>
  <r>
    <s v="adiano.kitenge@manulifesecurities.ca"/>
    <s v="MFC"/>
    <x v="0"/>
    <n v="627566"/>
    <n v="3"/>
    <d v="2017-09-26T12:29:55"/>
    <x v="0"/>
    <x v="3"/>
    <s v="Priscilla.McCarthy@manulifesecurities.ca"/>
    <n v="553724"/>
    <s v="User Account"/>
    <n v="1"/>
    <s v="SelfBelow"/>
    <s v="CC_Portal"/>
    <s v="Enable"/>
    <s v="MFC"/>
    <s v="IBMCA"/>
    <s v="ACTIVE ADVISORS AND ASSISTANTS"/>
    <n v="0"/>
    <n v="0"/>
  </r>
  <r>
    <s v="ssotest@mfc.sps.local"/>
    <s v="MFC"/>
    <x v="0"/>
    <n v="551367"/>
    <n v="1000"/>
    <d v="2017-09-26T12:22:36"/>
    <x v="0"/>
    <x v="0"/>
    <s v="andrew.lansbury@manulifesecurities.ca"/>
    <n v="560257"/>
    <s v="User Account"/>
    <n v="1"/>
    <s v="AtBelow"/>
    <s v="CC_Portal"/>
    <n v="0"/>
    <s v="MFC"/>
    <s v="IBMCA"/>
    <s v="ACTIVE ADVISORS AND ASSISTANTS"/>
    <n v="0"/>
    <n v="0"/>
  </r>
  <r>
    <s v="ssotest@mfc.sps.local"/>
    <s v="MFC"/>
    <x v="0"/>
    <n v="551367"/>
    <n v="1000"/>
    <d v="2017-09-26T12:22:36"/>
    <x v="0"/>
    <x v="0"/>
    <s v="andrew.lansbury@manulifesecurities.ca"/>
    <n v="560257"/>
    <s v="User Account"/>
    <n v="1"/>
    <s v="AtBelow"/>
    <s v="CC_Portal"/>
    <n v="0"/>
    <s v="MFC"/>
    <s v="IBMCA"/>
    <s v="ACTIVE ADVISORS AND ASSISTANTS"/>
    <n v="0"/>
    <n v="0"/>
  </r>
  <r>
    <s v="crystal.parkinson@manulifesecurities.ca"/>
    <s v="MFC"/>
    <x v="0"/>
    <n v="637976"/>
    <n v="1"/>
    <d v="2017-09-26T12:02:53"/>
    <x v="1"/>
    <x v="1"/>
    <s v="crystal.parkinson@manulifesecurities.ca"/>
    <n v="637976"/>
    <s v="User Account"/>
    <n v="0"/>
    <s v="Deny"/>
    <s v="CC_Portal"/>
    <n v="0"/>
    <s v="MFC"/>
    <s v="IBMCA"/>
    <s v="ACTIVE ADVISORS AND ASSISTANTS"/>
    <n v="0"/>
    <n v="0"/>
  </r>
  <r>
    <s v="crystal.parkinson@manulifesecurities.ca"/>
    <s v="MFC"/>
    <x v="0"/>
    <n v="637976"/>
    <n v="1"/>
    <d v="2017-09-26T12:02:53"/>
    <x v="2"/>
    <x v="1"/>
    <s v="crystal.parkinson@manulifesecurities.ca"/>
    <n v="637976"/>
    <s v="User Account"/>
    <n v="0"/>
    <s v="Deny"/>
    <s v="CC_Portal"/>
    <n v="0"/>
    <s v="MFC"/>
    <s v="IBMCA"/>
    <s v="ACTIVE ADVISORS AND ASSISTANTS"/>
    <n v="0"/>
    <n v="0"/>
  </r>
  <r>
    <s v="ssotest@mfc.sps.local"/>
    <s v="MFC"/>
    <x v="0"/>
    <n v="551367"/>
    <n v="1000"/>
    <d v="2017-09-26T10:54:14"/>
    <x v="0"/>
    <x v="0"/>
    <s v="Trevor.Armstrong@manulifesecurities.ca"/>
    <n v="554222"/>
    <s v="User Account"/>
    <n v="1"/>
    <s v="AtBelow"/>
    <s v="CC_Portal"/>
    <n v="0"/>
    <s v="MFC"/>
    <s v="IBMCA"/>
    <s v="ACTIVE ADVISORS AND ASSISTANTS"/>
    <n v="0"/>
    <n v="0"/>
  </r>
  <r>
    <s v="ssotest@mfc.sps.local"/>
    <s v="MFC"/>
    <x v="0"/>
    <n v="551367"/>
    <n v="1000"/>
    <d v="2017-09-26T10:52:34"/>
    <x v="0"/>
    <x v="0"/>
    <s v="Trevor.Armstrong@manulifesecurities.ca"/>
    <n v="554222"/>
    <s v="User Account"/>
    <n v="1"/>
    <s v="AtBelow"/>
    <s v="CC_Portal"/>
    <n v="0"/>
    <s v="MFC"/>
    <s v="IBMCA"/>
    <s v="ACTIVE ADVISORS AND ASSISTANTS"/>
    <n v="0"/>
    <n v="0"/>
  </r>
  <r>
    <s v="ssotest@mfc.sps.local"/>
    <s v="MFC"/>
    <x v="0"/>
    <n v="551367"/>
    <n v="1000"/>
    <d v="2017-09-26T10:52:03"/>
    <x v="0"/>
    <x v="0"/>
    <s v="David.Kat@manulifesecurities.ca"/>
    <n v="552291"/>
    <s v="User Account"/>
    <n v="1"/>
    <s v="AtBelow"/>
    <s v="CC_Portal"/>
    <n v="0"/>
    <s v="MFC"/>
    <s v="IBMCA"/>
    <s v="DISABLED USERS"/>
    <n v="0"/>
    <n v="0"/>
  </r>
  <r>
    <s v="ssotest@mfc.sps.local"/>
    <s v="MFC"/>
    <x v="0"/>
    <n v="551367"/>
    <n v="1000"/>
    <d v="2017-09-26T10:33:39"/>
    <x v="0"/>
    <x v="0"/>
    <s v="Ginder.Gill@manulifesecurities.ca"/>
    <n v="552589"/>
    <s v="User Account"/>
    <n v="1"/>
    <s v="AtBelow"/>
    <s v="CC_Portal"/>
    <n v="0"/>
    <s v="MFC"/>
    <s v="IBMCA"/>
    <s v="ACTIVE ADVISORS AND ASSISTANTS"/>
    <n v="0"/>
    <n v="0"/>
  </r>
  <r>
    <s v="ssotest@mfc.sps.local"/>
    <s v="MFC"/>
    <x v="0"/>
    <n v="551367"/>
    <n v="1000"/>
    <d v="2017-09-26T10:33:27"/>
    <x v="0"/>
    <x v="0"/>
    <s v="Kent.Magarrell@manulifesecurities.ca"/>
    <n v="551712"/>
    <s v="User Account"/>
    <n v="1"/>
    <s v="AtBelow"/>
    <s v="CC_Portal"/>
    <n v="0"/>
    <s v="MFC"/>
    <s v="IBMCA"/>
    <s v="ACTIVE ADVISORS AND ASSISTANTS"/>
    <n v="0"/>
    <n v="0"/>
  </r>
  <r>
    <s v="fahmi.karim@manulifesecurities.ca"/>
    <s v="MFC"/>
    <x v="0"/>
    <n v="809833"/>
    <n v="3"/>
    <d v="2017-09-26T10:32:18"/>
    <x v="3"/>
    <x v="2"/>
    <s v="stephen.forsey@manulifesecurities.ca"/>
    <n v="812709"/>
    <s v="User Account"/>
    <n v="1"/>
    <s v="AtBelow"/>
    <s v="CC_WebService"/>
    <m/>
    <s v="MFC"/>
    <s v="IBMCA"/>
    <s v="ACTIVE ADVISORS AND ASSISTANTS"/>
    <n v="0"/>
    <n v="0"/>
  </r>
  <r>
    <s v="ssotest@mfc.sps.local"/>
    <s v="MFC"/>
    <x v="0"/>
    <n v="551367"/>
    <n v="1000"/>
    <d v="2017-09-26T09:50:13"/>
    <x v="0"/>
    <x v="0"/>
    <s v="Mildred.Davis@manulifesecurities.ca"/>
    <n v="553547"/>
    <s v="User Account"/>
    <n v="1"/>
    <s v="AtBelow"/>
    <s v="CC_Portal"/>
    <n v="0"/>
    <s v="MFC"/>
    <s v="IBMCA"/>
    <s v="ACTIVE ADVISORS AND ASSISTANTS"/>
    <n v="0"/>
    <n v="0"/>
  </r>
  <r>
    <s v="ssotest@mfc.sps.local"/>
    <s v="MFC"/>
    <x v="0"/>
    <n v="551367"/>
    <n v="1000"/>
    <d v="2017-09-26T09:15:37"/>
    <x v="0"/>
    <x v="0"/>
    <s v="Dahlia.Holzscherer@manulifesecurities.ca"/>
    <n v="552222"/>
    <s v="User Account"/>
    <n v="1"/>
    <s v="AtBelow"/>
    <s v="CC_Portal"/>
    <n v="0"/>
    <s v="MFC"/>
    <s v="IBMCA"/>
    <s v="ACTIVE ADVISORS AND ASSISTANTS"/>
    <n v="0"/>
    <n v="0"/>
  </r>
  <r>
    <s v="patrick.harkins@manulifesecurities.ca"/>
    <s v="MFC"/>
    <x v="0"/>
    <n v="560864"/>
    <n v="3"/>
    <d v="2017-09-26T09:15:32"/>
    <x v="3"/>
    <x v="2"/>
    <s v="lucas.paulino@manulifesecurities.ca"/>
    <n v="825883"/>
    <s v="User Account"/>
    <n v="1"/>
    <s v="AtBelow"/>
    <s v="CC_WebService"/>
    <m/>
    <s v="MFC"/>
    <s v="IBMCA"/>
    <s v="ACTIVE ADVISORS AND ASSISTANTS"/>
    <n v="0"/>
    <n v="0"/>
  </r>
  <r>
    <s v="ssotest@mfc.sps.local"/>
    <s v="MFC"/>
    <x v="0"/>
    <n v="551367"/>
    <n v="1000"/>
    <d v="2017-09-26T09:11:52"/>
    <x v="0"/>
    <x v="0"/>
    <s v="Calvin.Smeding@manulifesecurities.ca"/>
    <n v="552035"/>
    <s v="User Account"/>
    <n v="1"/>
    <s v="AtBelow"/>
    <s v="CC_Portal"/>
    <n v="0"/>
    <s v="MFC"/>
    <s v="IBMCA"/>
    <s v="ACTIVE ADVISORS AND ASSISTANTS"/>
    <n v="0"/>
    <n v="0"/>
  </r>
  <r>
    <s v="ssotest@mfc.sps.local"/>
    <s v="MFC"/>
    <x v="0"/>
    <n v="551367"/>
    <n v="1000"/>
    <d v="2017-09-26T09:01:33"/>
    <x v="0"/>
    <x v="0"/>
    <s v="Patsy.Winger@manulifesecurities.ca"/>
    <n v="569493"/>
    <s v="User Account"/>
    <n v="1"/>
    <s v="AtBelow"/>
    <s v="CC_Portal"/>
    <n v="0"/>
    <s v="MFC"/>
    <s v="IBMCA"/>
    <s v="ACTIVE ADVISORS AND ASSISTANTS"/>
    <n v="0"/>
    <n v="0"/>
  </r>
  <r>
    <s v="ssotest@mfc.sps.local"/>
    <s v="MFC"/>
    <x v="0"/>
    <n v="551367"/>
    <n v="1000"/>
    <d v="2017-09-26T09:00:16"/>
    <x v="0"/>
    <x v="0"/>
    <s v="Patsy.Winger@manulifesecurities.ca"/>
    <n v="569493"/>
    <s v="User Account"/>
    <n v="1"/>
    <s v="AtBelow"/>
    <s v="CC_Portal"/>
    <n v="0"/>
    <s v="MFC"/>
    <s v="IBMCA"/>
    <s v="ACTIVE ADVISORS AND ASSISTANTS"/>
    <n v="0"/>
    <n v="0"/>
  </r>
  <r>
    <s v="ssotest@mfc.sps.local"/>
    <s v="MFC"/>
    <x v="0"/>
    <n v="551367"/>
    <n v="1000"/>
    <d v="2017-09-26T08:35:56"/>
    <x v="0"/>
    <x v="0"/>
    <s v="Chris.Mastronardi@manulifesecurities.ca"/>
    <n v="552128"/>
    <s v="User Account"/>
    <n v="1"/>
    <s v="AtBelow"/>
    <s v="CC_Portal"/>
    <n v="0"/>
    <s v="MFC"/>
    <s v="IBMCA"/>
    <s v="ACTIVE ADVISORS AND ASSISTANTS"/>
    <n v="0"/>
    <n v="0"/>
  </r>
  <r>
    <s v="ssotest@mfc.sps.local"/>
    <s v="MFC"/>
    <x v="0"/>
    <n v="551367"/>
    <n v="1000"/>
    <d v="2017-09-26T08:26:29"/>
    <x v="0"/>
    <x v="0"/>
    <s v="Wendy.Ross@manulifesecurities.ca"/>
    <n v="554303"/>
    <s v="User Account"/>
    <n v="1"/>
    <s v="AtBelow"/>
    <s v="CC_Portal"/>
    <n v="0"/>
    <s v="MFC"/>
    <s v="IBMCA"/>
    <s v="ACTIVE ADVISORS AND ASSISTANTS"/>
    <n v="0"/>
    <n v="0"/>
  </r>
  <r>
    <s v="priscilla.misir@manulifesecurities.ca"/>
    <s v="MFC"/>
    <x v="0"/>
    <n v="674396"/>
    <n v="3"/>
    <d v="2017-09-26T08:20:32"/>
    <x v="0"/>
    <x v="4"/>
    <s v="b.rowell@manulifesecurities.ca"/>
    <n v="829171"/>
    <s v="User Account"/>
    <n v="1"/>
    <s v="AtBelow"/>
    <s v="CC_Portal"/>
    <s v="oldOrgGroup=ACTIVE ADVISORS AND ASSISTANTS;newOrgGroup=DISABLED USERS"/>
    <s v="MFC"/>
    <s v="IBMCA"/>
    <s v="DISABLED USERS"/>
    <n v="0"/>
    <n v="0"/>
  </r>
  <r>
    <s v="priscilla.misir@manulifesecurities.ca"/>
    <s v="MFC"/>
    <x v="0"/>
    <n v="674396"/>
    <n v="3"/>
    <d v="2017-09-26T08:16:12"/>
    <x v="0"/>
    <x v="5"/>
    <s v="b.rowell@manulifesecurities.ca"/>
    <n v="829171"/>
    <s v="User Account"/>
    <n v="1"/>
    <s v="AtBelow"/>
    <s v="CC_Portal"/>
    <n v="0"/>
    <s v="MFC"/>
    <s v="IBMCA"/>
    <s v="ACTIVE ADVISORS AND ASSISTANTS"/>
    <n v="0"/>
    <n v="0"/>
  </r>
  <r>
    <s v="priscilla.misir@manulifesecurities.ca"/>
    <s v="MFC"/>
    <x v="0"/>
    <n v="674396"/>
    <n v="3"/>
    <d v="2017-09-26T08:16:10"/>
    <x v="4"/>
    <x v="6"/>
    <s v="MSI_autoSupervision@manulifesecurities.ca"/>
    <n v="561483"/>
    <s v="Distribution List"/>
    <n v="1"/>
    <s v="Any"/>
    <s v="CC_Portal"/>
    <s v="0ac9e43c030f4d1aa3fa3a4211483b60"/>
    <s v="MFC"/>
    <s v="IBMCA"/>
    <s v="ALL GROUPS"/>
    <n v="0"/>
    <n v="0"/>
  </r>
  <r>
    <s v="priscilla.misir@manulifesecurities.ca"/>
    <s v="MFC"/>
    <x v="0"/>
    <n v="674396"/>
    <n v="3"/>
    <d v="2017-09-26T08:16:09"/>
    <x v="4"/>
    <x v="6"/>
    <s v="MSI_autoEmailArchive@manulifesecurities.ca"/>
    <n v="561482"/>
    <s v="Distribution List"/>
    <n v="1"/>
    <s v="Any"/>
    <s v="CC_Portal"/>
    <s v="0ac9e43c030f4d1aa3fa3a4211483b60"/>
    <s v="MFC"/>
    <s v="IBMCA"/>
    <s v="ALL GROUPS"/>
    <n v="0"/>
    <n v="0"/>
  </r>
  <r>
    <s v="priscilla.misir@manulifesecurities.ca"/>
    <s v="MFC"/>
    <x v="0"/>
    <n v="674396"/>
    <n v="3"/>
    <d v="2017-09-26T08:16:03"/>
    <x v="4"/>
    <x v="6"/>
    <s v="AllAssistants@manulifesecurities.ca"/>
    <n v="555660"/>
    <s v="Distribution List"/>
    <n v="1"/>
    <s v="Any"/>
    <s v="CC_Portal"/>
    <s v="0ac9e43c030f4d1aa3fa3a4211483b60"/>
    <s v="MFC"/>
    <s v="IBMCA"/>
    <s v="ALL GROUPS"/>
    <n v="0"/>
    <n v="0"/>
  </r>
  <r>
    <s v="priscilla.misir@manulifesecurities.ca"/>
    <s v="MFC"/>
    <x v="0"/>
    <n v="674396"/>
    <n v="3"/>
    <d v="2017-09-26T08:15:51"/>
    <x v="0"/>
    <x v="5"/>
    <s v="b.rowell@manulifesecurities.ca"/>
    <n v="829171"/>
    <s v="User Account"/>
    <n v="1"/>
    <s v="AtBelow"/>
    <s v="CC_Portal"/>
    <n v="0"/>
    <s v="MFC"/>
    <s v="IBMCA"/>
    <s v="ACTIVE ADVISORS AND ASSISTANTS"/>
    <n v="0"/>
    <n v="0"/>
  </r>
  <r>
    <s v="priscilla.misir@manulifesecurities.ca"/>
    <s v="MFC"/>
    <x v="0"/>
    <n v="674396"/>
    <n v="3"/>
    <d v="2017-09-26T08:15:47"/>
    <x v="0"/>
    <x v="5"/>
    <s v="b.rowell@manulifesecurities.ca"/>
    <n v="829171"/>
    <s v="User Account"/>
    <n v="1"/>
    <s v="AtBelow"/>
    <s v="CC_Portal"/>
    <n v="0"/>
    <s v="MFC"/>
    <s v="IBMCA"/>
    <s v="ACTIVE ADVISORS AND ASSISTANTS"/>
    <n v="0"/>
    <n v="0"/>
  </r>
  <r>
    <s v="priscilla.misir@manulifesecurities.ca"/>
    <s v="MFC"/>
    <x v="0"/>
    <n v="674396"/>
    <n v="3"/>
    <d v="2017-09-26T08:11:34"/>
    <x v="0"/>
    <x v="3"/>
    <s v="b.rowell@manulifesecurities.ca"/>
    <n v="829171"/>
    <s v="User Account"/>
    <n v="1"/>
    <s v="AtBelow"/>
    <s v="CC_Portal"/>
    <s v="Disable"/>
    <s v="MFC"/>
    <s v="IBMCA"/>
    <s v="ACTIVE ADVISORS AND ASSISTANTS"/>
    <n v="0"/>
    <n v="0"/>
  </r>
  <r>
    <s v="priscilla.misir@manulifesecurities.ca"/>
    <s v="MFC"/>
    <x v="0"/>
    <n v="674396"/>
    <n v="3"/>
    <d v="2017-09-26T08:10:11"/>
    <x v="0"/>
    <x v="3"/>
    <s v="b.rowell@manulifesecurities.ca"/>
    <n v="829171"/>
    <s v="User Account"/>
    <n v="1"/>
    <s v="AtBelow"/>
    <s v="CC_Portal"/>
    <s v="Disable"/>
    <s v="MFC"/>
    <s v="IBMCA"/>
    <s v="ACTIVE ADVISORS AND ASSISTANTS"/>
    <n v="0"/>
    <n v="0"/>
  </r>
  <r>
    <s v="ssotest@mfc.sps.local"/>
    <s v="MFC"/>
    <x v="0"/>
    <n v="551367"/>
    <n v="1000"/>
    <d v="2017-09-26T01:13:08"/>
    <x v="0"/>
    <x v="0"/>
    <s v="Glen.Pangle@manulifesecurities.ca"/>
    <n v="552599"/>
    <s v="User Account"/>
    <n v="1"/>
    <s v="AtBelow"/>
    <s v="CC_Portal"/>
    <n v="0"/>
    <s v="MFC"/>
    <s v="IBMCA"/>
    <s v="ACTIVE ADVISORS AND ASSISTANTS"/>
    <n v="0"/>
    <n v="0"/>
  </r>
  <r>
    <s v="ssotest@mfc.sps.local"/>
    <s v="MFC"/>
    <x v="0"/>
    <n v="551367"/>
    <n v="1000"/>
    <d v="2017-09-25T23:03:37"/>
    <x v="0"/>
    <x v="0"/>
    <s v="Brad.Wise@manulifesecurities.ca"/>
    <n v="551962"/>
    <s v="User Account"/>
    <n v="1"/>
    <s v="AtBelow"/>
    <s v="CC_Portal"/>
    <n v="0"/>
    <s v="MFC"/>
    <s v="IBMCA"/>
    <s v="ACTIVE ADVISORS AND ASSISTANTS"/>
    <n v="0"/>
    <n v="0"/>
  </r>
  <r>
    <s v="ssotest@mfc.sps.local"/>
    <s v="MFC"/>
    <x v="0"/>
    <n v="551367"/>
    <n v="1000"/>
    <d v="2017-09-25T18:00:20"/>
    <x v="0"/>
    <x v="0"/>
    <s v="Bill.Wenman@manulifesecurities.ca"/>
    <n v="551938"/>
    <s v="User Account"/>
    <n v="1"/>
    <s v="AtBelow"/>
    <s v="CC_Portal"/>
    <n v="0"/>
    <s v="MFC"/>
    <s v="IBMCA"/>
    <s v="ACTIVE ADVISORS AND ASSISTANTS"/>
    <n v="0"/>
    <n v="0"/>
  </r>
  <r>
    <s v="ssotest@mfc.sps.local"/>
    <s v="MFC"/>
    <x v="0"/>
    <n v="551367"/>
    <n v="1000"/>
    <d v="2017-09-25T17:57:49"/>
    <x v="0"/>
    <x v="0"/>
    <s v="John.Thompson@manulifesecurities.ca"/>
    <n v="552921"/>
    <s v="User Account"/>
    <n v="1"/>
    <s v="AtBelow"/>
    <s v="CC_Portal"/>
    <n v="0"/>
    <s v="MFC"/>
    <s v="IBMCA"/>
    <s v="ACTIVE ADVISORS AND ASSISTANTS"/>
    <n v="0"/>
    <n v="0"/>
  </r>
  <r>
    <s v="ssotest@mfc.sps.local"/>
    <s v="MFC"/>
    <x v="0"/>
    <n v="551367"/>
    <n v="1000"/>
    <d v="2017-09-25T17:13:13"/>
    <x v="0"/>
    <x v="0"/>
    <s v="Sheila.Riley@manulifesecurities.ca"/>
    <n v="554000"/>
    <s v="User Account"/>
    <n v="1"/>
    <s v="AtBelow"/>
    <s v="CC_Portal"/>
    <n v="0"/>
    <s v="MFC"/>
    <s v="IBMCA"/>
    <s v="ACTIVE ADVISORS AND ASSISTANTS"/>
    <n v="0"/>
    <n v="0"/>
  </r>
  <r>
    <s v="ssotest@mfc.sps.local"/>
    <s v="MFC"/>
    <x v="0"/>
    <n v="551367"/>
    <n v="1000"/>
    <d v="2017-09-25T16:57:36"/>
    <x v="0"/>
    <x v="0"/>
    <s v="Liz.Mcdowell@manulifesecurities.ca"/>
    <n v="553240"/>
    <s v="User Account"/>
    <n v="1"/>
    <s v="AtBelow"/>
    <s v="CC_Portal"/>
    <n v="0"/>
    <s v="MFC"/>
    <s v="IBMCA"/>
    <s v="ACTIVE ADVISORS AND ASSISTANTS"/>
    <n v="0"/>
    <n v="0"/>
  </r>
  <r>
    <s v="priscilla.misir@manulifesecurities.ca"/>
    <s v="MFC"/>
    <x v="0"/>
    <n v="674396"/>
    <n v="3"/>
    <d v="2017-09-25T16:29:12"/>
    <x v="0"/>
    <x v="5"/>
    <s v="debbie.fraser@manulifesecurities.ca"/>
    <n v="910276"/>
    <s v="User Account"/>
    <n v="1"/>
    <s v="AtBelow"/>
    <s v="CC_Portal"/>
    <n v="0"/>
    <s v="MFC"/>
    <s v="IBMCA"/>
    <s v="ACTIVE ADVISORS AND ASSISTANTS"/>
    <n v="0"/>
    <n v="0"/>
  </r>
  <r>
    <s v="priscilla.misir@manulifesecurities.ca"/>
    <s v="MFC"/>
    <x v="0"/>
    <n v="674396"/>
    <n v="3"/>
    <d v="2017-09-25T16:29:11"/>
    <x v="5"/>
    <x v="6"/>
    <s v="MSI_autoEmailArchive@manulifesecurities.ca"/>
    <n v="561482"/>
    <s v="Distribution List"/>
    <n v="1"/>
    <s v="Any"/>
    <s v="CC_Portal"/>
    <s v="4d6b6ca72eb94831867c470c366d49f6"/>
    <s v="MFC"/>
    <s v="IBMCA"/>
    <s v="ALL GROUPS"/>
    <n v="0"/>
    <n v="0"/>
  </r>
  <r>
    <s v="priscilla.misir@manulifesecurities.ca"/>
    <s v="MFC"/>
    <x v="0"/>
    <n v="674396"/>
    <n v="3"/>
    <d v="2017-09-25T16:29:11"/>
    <x v="5"/>
    <x v="6"/>
    <s v="MSI_autoSupervision@manulifesecurities.ca"/>
    <n v="561483"/>
    <s v="Distribution List"/>
    <n v="1"/>
    <s v="Any"/>
    <s v="CC_Portal"/>
    <s v="4d6b6ca72eb94831867c470c366d49f6"/>
    <s v="MFC"/>
    <s v="IBMCA"/>
    <s v="ALL GROUPS"/>
    <n v="0"/>
    <n v="0"/>
  </r>
  <r>
    <s v="priscilla.misir@manulifesecurities.ca"/>
    <s v="MFC"/>
    <x v="0"/>
    <n v="674396"/>
    <n v="3"/>
    <d v="2017-09-25T16:29:09"/>
    <x v="5"/>
    <x v="6"/>
    <s v="AllAssistants@manulifesecurities.ca"/>
    <n v="555660"/>
    <s v="Distribution List"/>
    <n v="1"/>
    <s v="Any"/>
    <s v="CC_Portal"/>
    <s v="4d6b6ca72eb94831867c470c366d49f6"/>
    <s v="MFC"/>
    <s v="IBMCA"/>
    <s v="ALL GROUPS"/>
    <n v="0"/>
    <n v="0"/>
  </r>
  <r>
    <s v="priscilla.misir@manulifesecurities.ca"/>
    <s v="MFC"/>
    <x v="0"/>
    <n v="674396"/>
    <n v="3"/>
    <d v="2017-09-25T16:29:06"/>
    <x v="0"/>
    <x v="5"/>
    <s v="debbie.fraser@manulifesecurities.ca"/>
    <n v="910276"/>
    <s v="User Account"/>
    <n v="1"/>
    <s v="AtBelow"/>
    <s v="CC_Portal"/>
    <n v="0"/>
    <s v="MFC"/>
    <s v="IBMCA"/>
    <s v="ACTIVE ADVISORS AND ASSISTANTS"/>
    <n v="0"/>
    <n v="0"/>
  </r>
  <r>
    <s v="priscilla.misir@manulifesecurities.ca"/>
    <s v="MFC"/>
    <x v="0"/>
    <n v="674396"/>
    <n v="3"/>
    <d v="2017-09-25T16:15:35"/>
    <x v="0"/>
    <x v="5"/>
    <s v="debbie.fraser@manulifesecurities.ca"/>
    <n v="910276"/>
    <s v="User Account"/>
    <n v="1"/>
    <s v="AtBelow"/>
    <s v="CC_Portal"/>
    <n v="0"/>
    <s v="MFC"/>
    <s v="IBMCA"/>
    <s v="ACTIVE ADVISORS AND ASSISTANTS"/>
    <n v="0"/>
    <n v="0"/>
  </r>
  <r>
    <s v="priscilla.misir@manulifesecurities.ca"/>
    <s v="MFC"/>
    <x v="0"/>
    <n v="674396"/>
    <n v="3"/>
    <d v="2017-09-25T16:11:54"/>
    <x v="5"/>
    <x v="7"/>
    <s v="debbie.fraser@manulifesecurities.ca"/>
    <n v="910276"/>
    <s v="User Account"/>
    <n v="1"/>
    <s v="AtBelow"/>
    <s v="CC_Portal"/>
    <s v="PrimaryEmail=debbie.fraser@manulifesecurities.ca"/>
    <s v="MFC"/>
    <s v="IBMCA"/>
    <s v="ACTIVE ADVISORS AND ASSISTANTS"/>
    <n v="0"/>
    <n v="0"/>
  </r>
  <r>
    <s v="priscilla.misir@manulifesecurities.ca"/>
    <s v="MFC"/>
    <x v="0"/>
    <n v="674396"/>
    <n v="3"/>
    <d v="2017-09-25T15:56:16"/>
    <x v="5"/>
    <x v="6"/>
    <s v="MSI_autoSupervision@manulifesecurities.ca"/>
    <n v="561483"/>
    <s v="Distribution List"/>
    <n v="1"/>
    <s v="Any"/>
    <s v="CC_Portal"/>
    <s v="524948d40bf749c89f3ea9ea3ac00e6e"/>
    <s v="MFC"/>
    <s v="IBMCA"/>
    <s v="ALL GROUPS"/>
    <n v="0"/>
    <n v="0"/>
  </r>
  <r>
    <s v="priscilla.misir@manulifesecurities.ca"/>
    <s v="MFC"/>
    <x v="0"/>
    <n v="674396"/>
    <n v="3"/>
    <d v="2017-09-25T15:56:16"/>
    <x v="0"/>
    <x v="5"/>
    <s v="tom.mcsorley@manulifesecurities.ca"/>
    <n v="910271"/>
    <s v="User Account"/>
    <n v="1"/>
    <s v="AtBelow"/>
    <s v="CC_Portal"/>
    <n v="0"/>
    <s v="MFC"/>
    <s v="IBMCA"/>
    <s v="ACTIVE ADVISORS AND ASSISTANTS"/>
    <n v="0"/>
    <n v="0"/>
  </r>
  <r>
    <s v="priscilla.misir@manulifesecurities.ca"/>
    <s v="MFC"/>
    <x v="0"/>
    <n v="674396"/>
    <n v="3"/>
    <d v="2017-09-25T15:56:15"/>
    <x v="5"/>
    <x v="6"/>
    <s v="MSI_autoEmailArchive@manulifesecurities.ca"/>
    <n v="561482"/>
    <s v="Distribution List"/>
    <n v="1"/>
    <s v="Any"/>
    <s v="CC_Portal"/>
    <s v="524948d40bf749c89f3ea9ea3ac00e6e"/>
    <s v="MFC"/>
    <s v="IBMCA"/>
    <s v="ALL GROUPS"/>
    <n v="0"/>
    <n v="0"/>
  </r>
  <r>
    <s v="priscilla.misir@manulifesecurities.ca"/>
    <s v="MFC"/>
    <x v="0"/>
    <n v="674396"/>
    <n v="3"/>
    <d v="2017-09-25T15:56:13"/>
    <x v="5"/>
    <x v="6"/>
    <s v="AllAdvisors@manulifesecurities.ca"/>
    <n v="555659"/>
    <s v="Distribution List"/>
    <n v="1"/>
    <s v="Any"/>
    <s v="CC_Portal"/>
    <s v="524948d40bf749c89f3ea9ea3ac00e6e"/>
    <s v="MFC"/>
    <s v="IBMCA"/>
    <s v="ALL GROUPS"/>
    <n v="0"/>
    <n v="0"/>
  </r>
  <r>
    <s v="priscilla.misir@manulifesecurities.ca"/>
    <s v="MFC"/>
    <x v="0"/>
    <n v="674396"/>
    <n v="3"/>
    <d v="2017-09-25T15:56:11"/>
    <x v="0"/>
    <x v="5"/>
    <s v="tom.mcsorley@manulifesecurities.ca"/>
    <n v="910271"/>
    <s v="User Account"/>
    <n v="1"/>
    <s v="AtBelow"/>
    <s v="CC_Portal"/>
    <n v="0"/>
    <s v="MFC"/>
    <s v="IBMCA"/>
    <s v="ACTIVE ADVISORS AND ASSISTANTS"/>
    <n v="0"/>
    <n v="0"/>
  </r>
  <r>
    <s v="priscilla.misir@manulifesecurities.ca"/>
    <s v="MFC"/>
    <x v="0"/>
    <n v="674396"/>
    <n v="3"/>
    <d v="2017-09-25T15:55:56"/>
    <x v="0"/>
    <x v="5"/>
    <s v="tom.mcsorley@manulifesecurities.ca"/>
    <n v="910271"/>
    <s v="User Account"/>
    <n v="1"/>
    <s v="AtBelow"/>
    <s v="CC_Portal"/>
    <n v="0"/>
    <s v="MFC"/>
    <s v="IBMCA"/>
    <s v="ACTIVE ADVISORS AND ASSISTANTS"/>
    <n v="0"/>
    <n v="0"/>
  </r>
  <r>
    <s v="priscilla.misir@manulifesecurities.ca"/>
    <s v="MFC"/>
    <x v="0"/>
    <n v="674396"/>
    <n v="3"/>
    <d v="2017-09-25T15:55:29"/>
    <x v="5"/>
    <x v="7"/>
    <s v="tom.mcsorley@manulifesecurities.ca"/>
    <n v="910271"/>
    <s v="User Account"/>
    <n v="1"/>
    <s v="AtBelow"/>
    <s v="CC_Portal"/>
    <s v="PrimaryEmail=tom.mcsorley@manulifesecurities.ca"/>
    <s v="MFC"/>
    <s v="IBMCA"/>
    <s v="ACTIVE ADVISORS AND ASSISTANTS"/>
    <n v="0"/>
    <n v="0"/>
  </r>
  <r>
    <s v="ssotest@mfc.sps.local"/>
    <s v="MFC"/>
    <x v="0"/>
    <n v="551367"/>
    <n v="1000"/>
    <d v="2017-09-25T15:38:00"/>
    <x v="0"/>
    <x v="0"/>
    <s v="Richard.Rampersad@manulifesecurities.ca"/>
    <n v="553787"/>
    <s v="User Account"/>
    <n v="1"/>
    <s v="AtBelow"/>
    <s v="CC_Portal"/>
    <n v="0"/>
    <s v="MFC"/>
    <s v="IBMCA"/>
    <s v="ACTIVE ADVISORS AND ASSISTANTS"/>
    <n v="0"/>
    <n v="0"/>
  </r>
  <r>
    <s v="ssotest@mfc.sps.local"/>
    <s v="MFC"/>
    <x v="0"/>
    <n v="551367"/>
    <n v="1000"/>
    <d v="2017-09-25T15:29:52"/>
    <x v="0"/>
    <x v="0"/>
    <s v="Christopher.McKitterick@manulifesecurities.ca"/>
    <n v="552158"/>
    <s v="User Account"/>
    <n v="1"/>
    <s v="AtBelow"/>
    <s v="CC_Portal"/>
    <n v="0"/>
    <s v="MFC"/>
    <s v="IBMCA"/>
    <s v="ACTIVE ADVISORS AND ASSISTANTS"/>
    <n v="0"/>
    <n v="0"/>
  </r>
  <r>
    <s v="alex_buena@manulifesecurities.ca"/>
    <s v="MFC"/>
    <x v="0"/>
    <n v="570025"/>
    <n v="3"/>
    <d v="2017-09-25T15:28:11"/>
    <x v="0"/>
    <x v="3"/>
    <s v="shannon.olson@manulifesecurities.ca"/>
    <n v="659367"/>
    <s v="User Account"/>
    <n v="1"/>
    <s v="AtBelow"/>
    <s v="CC_Portal"/>
    <s v="Disable"/>
    <s v="MFC"/>
    <s v="IBMCA"/>
    <s v="DISABLED USERS"/>
    <n v="0"/>
    <n v="0"/>
  </r>
  <r>
    <s v="alex_buena@manulifesecurities.ca"/>
    <s v="MFC"/>
    <x v="0"/>
    <n v="570025"/>
    <n v="3"/>
    <d v="2017-09-25T15:26:13"/>
    <x v="0"/>
    <x v="5"/>
    <s v="shannon.olson@manulifesecurities.ca"/>
    <n v="659367"/>
    <s v="User Account"/>
    <n v="1"/>
    <s v="AtBelow"/>
    <s v="CC_Portal"/>
    <n v="0"/>
    <s v="MFC"/>
    <s v="IBMCA"/>
    <s v="DISABLED USERS"/>
    <n v="0"/>
    <n v="0"/>
  </r>
  <r>
    <s v="alex_buena@manulifesecurities.ca"/>
    <s v="MFC"/>
    <x v="0"/>
    <n v="570025"/>
    <n v="3"/>
    <d v="2017-09-25T15:26:12"/>
    <x v="4"/>
    <x v="6"/>
    <s v="Sutton@manulifesecurities.ca"/>
    <n v="561103"/>
    <s v="Distribution List"/>
    <n v="1"/>
    <s v="Any"/>
    <s v="CC_Portal"/>
    <s v="f7dbaf33ec6c4a3c9cb9ba2c112ec423"/>
    <s v="MFC"/>
    <s v="IBMCA"/>
    <s v="ALL GROUPS"/>
    <n v="0"/>
    <n v="0"/>
  </r>
  <r>
    <s v="alex_buena@manulifesecurities.ca"/>
    <s v="MFC"/>
    <x v="0"/>
    <n v="570025"/>
    <n v="3"/>
    <d v="2017-09-25T15:26:11"/>
    <x v="4"/>
    <x v="6"/>
    <s v="MSI_autoEmailArchive@manulifesecurities.ca"/>
    <n v="561482"/>
    <s v="Distribution List"/>
    <n v="1"/>
    <s v="Any"/>
    <s v="CC_Portal"/>
    <s v="f7dbaf33ec6c4a3c9cb9ba2c112ec423"/>
    <s v="MFC"/>
    <s v="IBMCA"/>
    <s v="ALL GROUPS"/>
    <n v="0"/>
    <n v="0"/>
  </r>
  <r>
    <s v="alex_buena@manulifesecurities.ca"/>
    <s v="MFC"/>
    <x v="0"/>
    <n v="570025"/>
    <n v="3"/>
    <d v="2017-09-25T15:26:09"/>
    <x v="4"/>
    <x v="6"/>
    <s v="AllAdvisors@manulifesecurities.ca"/>
    <n v="555659"/>
    <s v="Distribution List"/>
    <n v="1"/>
    <s v="Any"/>
    <s v="CC_Portal"/>
    <s v="f7dbaf33ec6c4a3c9cb9ba2c112ec423"/>
    <s v="MFC"/>
    <s v="IBMCA"/>
    <s v="ALL GROUPS"/>
    <n v="0"/>
    <n v="0"/>
  </r>
  <r>
    <s v="alex_buena@manulifesecurities.ca"/>
    <s v="MFC"/>
    <x v="0"/>
    <n v="570025"/>
    <n v="3"/>
    <d v="2017-09-25T15:26:07"/>
    <x v="0"/>
    <x v="5"/>
    <s v="shannon.olson@manulifesecurities.ca"/>
    <n v="659367"/>
    <s v="User Account"/>
    <n v="1"/>
    <s v="AtBelow"/>
    <s v="CC_Portal"/>
    <n v="0"/>
    <s v="MFC"/>
    <s v="IBMCA"/>
    <s v="DISABLED USERS"/>
    <n v="0"/>
    <n v="0"/>
  </r>
  <r>
    <s v="alex_buena@manulifesecurities.ca"/>
    <s v="MFC"/>
    <x v="0"/>
    <n v="570025"/>
    <n v="3"/>
    <d v="2017-09-25T15:26:01"/>
    <x v="0"/>
    <x v="5"/>
    <s v="shannon.olson@manulifesecurities.ca"/>
    <n v="659367"/>
    <s v="User Account"/>
    <n v="1"/>
    <s v="AtBelow"/>
    <s v="CC_Portal"/>
    <n v="0"/>
    <s v="MFC"/>
    <s v="IBMCA"/>
    <s v="DISABLED USERS"/>
    <n v="0"/>
    <n v="0"/>
  </r>
  <r>
    <s v="alex_buena@manulifesecurities.ca"/>
    <s v="MFC"/>
    <x v="0"/>
    <n v="570025"/>
    <n v="3"/>
    <d v="2017-09-25T15:25:32"/>
    <x v="0"/>
    <x v="4"/>
    <s v="shannon.olson@manulifesecurities.ca"/>
    <n v="659367"/>
    <s v="User Account"/>
    <n v="1"/>
    <s v="AtBelow"/>
    <s v="CC_Portal"/>
    <s v="oldOrgGroup=ACTIVE ADVISORS AND ASSISTANTS;newOrgGroup=DISABLED USERS"/>
    <s v="MFC"/>
    <s v="IBMCA"/>
    <s v="DISABLED USERS"/>
    <n v="0"/>
    <n v="0"/>
  </r>
  <r>
    <s v="ssotest@mfc.sps.local"/>
    <s v="MFC"/>
    <x v="0"/>
    <n v="551367"/>
    <n v="1000"/>
    <d v="2017-09-25T15:24:52"/>
    <x v="0"/>
    <x v="0"/>
    <s v="Wayne.Rothe@manulifesecurities.ca"/>
    <n v="554294"/>
    <s v="User Account"/>
    <n v="1"/>
    <s v="AtBelow"/>
    <s v="CC_Portal"/>
    <n v="0"/>
    <s v="MFC"/>
    <s v="IBMCA"/>
    <s v="ACTIVE ADVISORS AND ASSISTANTS"/>
    <n v="0"/>
    <n v="0"/>
  </r>
  <r>
    <s v="ssotest@mfc.sps.local"/>
    <s v="MFC"/>
    <x v="0"/>
    <n v="551367"/>
    <n v="1000"/>
    <d v="2017-09-25T15:03:38"/>
    <x v="0"/>
    <x v="0"/>
    <s v="Richard.Rampersad@manulifesecurities.ca"/>
    <n v="553787"/>
    <s v="User Account"/>
    <n v="1"/>
    <s v="AtBelow"/>
    <s v="CC_Portal"/>
    <n v="0"/>
    <s v="MFC"/>
    <s v="IBMCA"/>
    <s v="ACTIVE ADVISORS AND ASSISTANTS"/>
    <n v="0"/>
    <n v="0"/>
  </r>
  <r>
    <s v="ssotest@mfc.sps.local"/>
    <s v="MFC"/>
    <x v="0"/>
    <n v="551367"/>
    <n v="1000"/>
    <d v="2017-09-25T15:03:33"/>
    <x v="0"/>
    <x v="0"/>
    <s v="Richard.Rampersad@manulifesecurities.ca"/>
    <n v="553787"/>
    <s v="User Account"/>
    <n v="1"/>
    <s v="AtBelow"/>
    <s v="CC_Portal"/>
    <n v="0"/>
    <s v="MFC"/>
    <s v="IBMCA"/>
    <s v="ACTIVE ADVISORS AND ASSISTANTS"/>
    <n v="0"/>
    <n v="0"/>
  </r>
  <r>
    <s v="ssotest@mfc.sps.local"/>
    <s v="MFC"/>
    <x v="0"/>
    <n v="551367"/>
    <n v="1000"/>
    <d v="2017-09-25T14:57:55"/>
    <x v="0"/>
    <x v="0"/>
    <s v="Heather.Winch@manulifesecurities.ca"/>
    <n v="552666"/>
    <s v="User Account"/>
    <n v="1"/>
    <s v="AtBelow"/>
    <s v="CC_Portal"/>
    <n v="0"/>
    <s v="MFC"/>
    <s v="IBMCA"/>
    <s v="ACTIVE ADVISORS AND ASSISTANTS"/>
    <n v="0"/>
    <n v="0"/>
  </r>
  <r>
    <s v="ssotest@mfc.sps.local"/>
    <s v="MFC"/>
    <x v="0"/>
    <n v="551367"/>
    <n v="1000"/>
    <d v="2017-09-25T14:42:41"/>
    <x v="0"/>
    <x v="0"/>
    <s v="Suzanne.Taylor@manulifesecurities.ca"/>
    <n v="566459"/>
    <s v="User Account"/>
    <n v="1"/>
    <s v="AtBelow"/>
    <s v="CC_Portal"/>
    <n v="0"/>
    <s v="MFC"/>
    <s v="IBMCA"/>
    <s v="ACTIVE ADVISORS AND ASSISTANTS"/>
    <n v="0"/>
    <n v="0"/>
  </r>
  <r>
    <s v="ssotest@mfc.sps.local"/>
    <s v="MFC"/>
    <x v="0"/>
    <n v="551367"/>
    <n v="1000"/>
    <d v="2017-09-25T14:21:33"/>
    <x v="0"/>
    <x v="0"/>
    <s v="Joseph.Dwyer@manulifesecurities.ca"/>
    <n v="551709"/>
    <s v="User Account"/>
    <n v="1"/>
    <s v="AtBelow"/>
    <s v="CC_Portal"/>
    <n v="0"/>
    <s v="MFC"/>
    <s v="IBMCA"/>
    <s v="ACTIVE ADVISORS AND ASSISTANTS"/>
    <n v="0"/>
    <n v="0"/>
  </r>
  <r>
    <s v="ssotest@mfc.sps.local"/>
    <s v="MFC"/>
    <x v="0"/>
    <n v="551367"/>
    <n v="1000"/>
    <d v="2017-09-25T14:17:26"/>
    <x v="0"/>
    <x v="0"/>
    <s v="lucas.paulino@manulifesecurities.ca"/>
    <n v="825883"/>
    <s v="User Account"/>
    <n v="1"/>
    <s v="AtBelow"/>
    <s v="CC_Portal"/>
    <n v="0"/>
    <s v="MFC"/>
    <s v="IBMCA"/>
    <s v="ACTIVE ADVISORS AND ASSISTANTS"/>
    <n v="0"/>
    <n v="0"/>
  </r>
  <r>
    <s v="ssotest@mfc.sps.local"/>
    <s v="MFC"/>
    <x v="0"/>
    <n v="551367"/>
    <n v="1000"/>
    <d v="2017-09-25T14:04:23"/>
    <x v="0"/>
    <x v="0"/>
    <s v="headoffice@manulifesecurities.ca"/>
    <n v="560511"/>
    <s v="User Account"/>
    <n v="1"/>
    <s v="AtBelow"/>
    <s v="CC_Portal"/>
    <n v="0"/>
    <s v="MFC"/>
    <s v="IBMCA"/>
    <s v="DISABLED USERS"/>
    <n v="0"/>
    <n v="0"/>
  </r>
  <r>
    <s v="ssotest@mfc.sps.local"/>
    <s v="MFC"/>
    <x v="0"/>
    <n v="551367"/>
    <n v="1000"/>
    <d v="2017-09-25T14:01:53"/>
    <x v="0"/>
    <x v="0"/>
    <s v="stephen.forsey@manulifesecurities.ca"/>
    <n v="812709"/>
    <s v="User Account"/>
    <n v="1"/>
    <s v="AtBelow"/>
    <s v="CC_Portal"/>
    <n v="0"/>
    <s v="MFC"/>
    <s v="IBMCA"/>
    <s v="ACTIVE ADVISORS AND ASSISTANTS"/>
    <n v="0"/>
    <n v="0"/>
  </r>
  <r>
    <s v="michel.cormier@manulifesecurities.ca"/>
    <s v="MFC"/>
    <x v="0"/>
    <n v="560366"/>
    <n v="3"/>
    <d v="2017-09-25T14:00:43"/>
    <x v="3"/>
    <x v="2"/>
    <s v="stephen.forsey@manulifesecurities.ca"/>
    <n v="812709"/>
    <s v="User Account"/>
    <n v="1"/>
    <s v="AtBelow"/>
    <s v="CC_WebService"/>
    <m/>
    <s v="MFC"/>
    <s v="IBMCA"/>
    <s v="ACTIVE ADVISORS AND ASSISTANTS"/>
    <n v="0"/>
    <n v="0"/>
  </r>
  <r>
    <s v="ssotest@mfc.sps.local"/>
    <s v="MFC"/>
    <x v="0"/>
    <n v="551367"/>
    <n v="1000"/>
    <d v="2017-09-25T13:36:10"/>
    <x v="0"/>
    <x v="0"/>
    <s v="Anna.Valarao@manulifesecurities.ca"/>
    <n v="551839"/>
    <s v="User Account"/>
    <n v="1"/>
    <s v="AtBelow"/>
    <s v="CC_Portal"/>
    <n v="0"/>
    <s v="MFC"/>
    <s v="IBMCA"/>
    <s v="ACTIVE ADVISORS AND ASSISTANTS"/>
    <n v="0"/>
    <n v="0"/>
  </r>
  <r>
    <s v="ssotest@mfc.sps.local"/>
    <s v="MFC"/>
    <x v="0"/>
    <n v="551367"/>
    <n v="1000"/>
    <d v="2017-09-25T13:14:15"/>
    <x v="0"/>
    <x v="0"/>
    <s v="Jesse.Funk@manulifesecurities.ca"/>
    <n v="552837"/>
    <s v="User Account"/>
    <n v="1"/>
    <s v="AtBelow"/>
    <s v="CC_Portal"/>
    <n v="0"/>
    <s v="MFC"/>
    <s v="IBMCA"/>
    <s v="ACTIVE ADVISORS AND ASSISTANTS"/>
    <n v="0"/>
    <n v="0"/>
  </r>
  <r>
    <s v="fahmi.karim@manulifesecurities.ca"/>
    <s v="MFC"/>
    <x v="0"/>
    <n v="809833"/>
    <n v="3"/>
    <d v="2017-09-25T13:00:58"/>
    <x v="3"/>
    <x v="2"/>
    <s v="Matti.Allas@manulifesecurities.ca"/>
    <n v="553431"/>
    <s v="User Account"/>
    <n v="1"/>
    <s v="AtBelow"/>
    <s v="CC_WebService"/>
    <m/>
    <s v="MFC"/>
    <s v="IBMCA"/>
    <s v="ACTIVE ADVISORS AND ASSISTANTS"/>
    <n v="0"/>
    <n v="0"/>
  </r>
  <r>
    <s v="silvie.cadieux@manulifesecurities.ca"/>
    <s v="MFC"/>
    <x v="0"/>
    <n v="560946"/>
    <n v="3"/>
    <d v="2017-09-25T12:57:31"/>
    <x v="3"/>
    <x v="2"/>
    <s v="Michele.Hendriks@manulifesecurities.ca"/>
    <n v="553516"/>
    <s v="User Account"/>
    <n v="1"/>
    <s v="AtBelow"/>
    <s v="CC_WebService"/>
    <m/>
    <s v="MFC"/>
    <s v="IBMCA"/>
    <s v="ACTIVE ADVISORS AND ASSISTANTS"/>
    <n v="0"/>
    <n v="0"/>
  </r>
  <r>
    <s v="ssotest@mfc.sps.local"/>
    <s v="MFC"/>
    <x v="0"/>
    <n v="551367"/>
    <n v="1000"/>
    <d v="2017-09-25T12:54:39"/>
    <x v="0"/>
    <x v="0"/>
    <s v="d.gatzke@manulifesecurities.ca"/>
    <n v="864787"/>
    <s v="User Account"/>
    <n v="1"/>
    <s v="AtBelow"/>
    <s v="CC_Portal"/>
    <n v="0"/>
    <s v="MFC"/>
    <s v="IBMCA"/>
    <s v="ACTIVE ADVISORS AND ASSISTANTS"/>
    <n v="0"/>
    <n v="0"/>
  </r>
  <r>
    <s v="crystal.parkinson@manulifesecurities.ca"/>
    <s v="MFC"/>
    <x v="0"/>
    <n v="637976"/>
    <n v="1"/>
    <d v="2017-09-25T12:51:44"/>
    <x v="1"/>
    <x v="1"/>
    <s v="crystal.parkinson@manulifesecurities.ca"/>
    <n v="637976"/>
    <s v="User Account"/>
    <n v="0"/>
    <s v="Deny"/>
    <s v="CC_Portal"/>
    <n v="0"/>
    <s v="MFC"/>
    <s v="IBMCA"/>
    <s v="ACTIVE ADVISORS AND ASSISTANTS"/>
    <n v="0"/>
    <n v="0"/>
  </r>
  <r>
    <s v="crystal.parkinson@manulifesecurities.ca"/>
    <s v="MFC"/>
    <x v="0"/>
    <n v="637976"/>
    <n v="1"/>
    <d v="2017-09-25T12:51:44"/>
    <x v="2"/>
    <x v="1"/>
    <s v="crystal.parkinson@manulifesecurities.ca"/>
    <n v="637976"/>
    <s v="User Account"/>
    <n v="0"/>
    <s v="Deny"/>
    <s v="CC_Portal"/>
    <n v="0"/>
    <s v="MFC"/>
    <s v="IBMCA"/>
    <s v="ACTIVE ADVISORS AND ASSISTANTS"/>
    <n v="0"/>
    <n v="0"/>
  </r>
  <r>
    <s v="ssotest@mfc.sps.local"/>
    <s v="MFC"/>
    <x v="0"/>
    <n v="551367"/>
    <n v="1000"/>
    <d v="2017-09-25T12:34:29"/>
    <x v="0"/>
    <x v="0"/>
    <s v="michael.parris@manulifesecurities.ca"/>
    <n v="609300"/>
    <s v="User Account"/>
    <n v="1"/>
    <s v="AtBelow"/>
    <s v="CC_Portal"/>
    <n v="0"/>
    <s v="MFC"/>
    <s v="IBMCA"/>
    <s v="ACTIVE ADVISORS AND ASSISTANTS"/>
    <n v="0"/>
    <n v="0"/>
  </r>
  <r>
    <s v="ssotest@mfc.sps.local"/>
    <s v="MFC"/>
    <x v="0"/>
    <n v="551367"/>
    <n v="1000"/>
    <d v="2017-09-25T12:27:35"/>
    <x v="0"/>
    <x v="0"/>
    <s v="Josee.L'abbe@manulifesecurities.ca"/>
    <n v="552937"/>
    <s v="User Account"/>
    <n v="1"/>
    <s v="AtBelow"/>
    <s v="CC_Portal"/>
    <n v="0"/>
    <s v="MFC"/>
    <s v="IBMCA"/>
    <s v="DISABLED USERS"/>
    <n v="0"/>
    <n v="0"/>
  </r>
  <r>
    <s v="ssotest@mfc.sps.local"/>
    <s v="MFC"/>
    <x v="0"/>
    <n v="551367"/>
    <n v="1000"/>
    <d v="2017-09-25T12:10:53"/>
    <x v="0"/>
    <x v="0"/>
    <s v="samantha.cochrane@manulifesecurities.ca"/>
    <n v="603940"/>
    <s v="User Account"/>
    <n v="1"/>
    <s v="AtBelow"/>
    <s v="CC_Portal"/>
    <n v="0"/>
    <s v="MFC"/>
    <s v="IBMCA"/>
    <s v="ACTIVE ADVISORS AND ASSISTANTS"/>
    <n v="0"/>
    <n v="0"/>
  </r>
  <r>
    <s v="ssotest@mfc.sps.local"/>
    <s v="MFC"/>
    <x v="0"/>
    <n v="551367"/>
    <n v="1000"/>
    <d v="2017-09-25T12:04:55"/>
    <x v="0"/>
    <x v="0"/>
    <s v="Vicki.Corfield@manulifesecurities.ca"/>
    <n v="554257"/>
    <s v="User Account"/>
    <n v="1"/>
    <s v="AtBelow"/>
    <s v="CC_Portal"/>
    <n v="0"/>
    <s v="MFC"/>
    <s v="IBMCA"/>
    <s v="ACTIVE ADVISORS AND ASSISTANTS"/>
    <n v="0"/>
    <n v="0"/>
  </r>
  <r>
    <s v="ssotest@mfc.sps.local"/>
    <s v="MFC"/>
    <x v="0"/>
    <n v="551367"/>
    <n v="1000"/>
    <d v="2017-09-25T12:02:15"/>
    <x v="0"/>
    <x v="0"/>
    <s v="donna.macdougall@manulifesecurities.ca"/>
    <n v="864176"/>
    <s v="User Account"/>
    <n v="1"/>
    <s v="AtBelow"/>
    <s v="CC_Portal"/>
    <n v="0"/>
    <s v="MFC"/>
    <s v="IBMCA"/>
    <s v="ACTIVE ADVISORS AND ASSISTANTS"/>
    <n v="0"/>
    <n v="0"/>
  </r>
  <r>
    <s v="ssotest@mfc.sps.local"/>
    <s v="MFC"/>
    <x v="0"/>
    <n v="551367"/>
    <n v="1000"/>
    <d v="2017-09-25T11:50:42"/>
    <x v="0"/>
    <x v="0"/>
    <s v="Tamara.Kiengersky@manulifesecurities.ca"/>
    <n v="554109"/>
    <s v="User Account"/>
    <n v="1"/>
    <s v="AtBelow"/>
    <s v="CC_Portal"/>
    <n v="0"/>
    <s v="MFC"/>
    <s v="IBMCA"/>
    <s v="DISABLED USERS"/>
    <n v="0"/>
    <n v="0"/>
  </r>
  <r>
    <s v="ssotest@mfc.sps.local"/>
    <s v="MFC"/>
    <x v="0"/>
    <n v="551367"/>
    <n v="1000"/>
    <d v="2017-09-25T11:47:53"/>
    <x v="0"/>
    <x v="0"/>
    <s v="Matti.Allas@manulifesecurities.ca"/>
    <n v="553431"/>
    <s v="User Account"/>
    <n v="1"/>
    <s v="AtBelow"/>
    <s v="CC_Portal"/>
    <n v="0"/>
    <s v="MFC"/>
    <s v="IBMCA"/>
    <s v="ACTIVE ADVISORS AND ASSISTANTS"/>
    <n v="0"/>
    <n v="0"/>
  </r>
  <r>
    <s v="ssotest@mfc.sps.local"/>
    <s v="MFC"/>
    <x v="0"/>
    <n v="551367"/>
    <n v="1000"/>
    <d v="2017-09-25T11:41:21"/>
    <x v="0"/>
    <x v="0"/>
    <s v="Bridget.Maude@manulifesecurities.ca"/>
    <n v="552007"/>
    <s v="User Account"/>
    <n v="1"/>
    <s v="AtBelow"/>
    <s v="CC_Portal"/>
    <n v="0"/>
    <s v="MFC"/>
    <s v="IBMCA"/>
    <s v="ACTIVE ADVISORS AND ASSISTANTS"/>
    <n v="0"/>
    <n v="0"/>
  </r>
  <r>
    <s v="ssotest@mfc.sps.local"/>
    <s v="MFC"/>
    <x v="0"/>
    <n v="551367"/>
    <n v="1000"/>
    <d v="2017-09-25T11:32:02"/>
    <x v="0"/>
    <x v="0"/>
    <s v="Patrizia.Andreis@manulifesecurities.ca"/>
    <n v="553658"/>
    <s v="User Account"/>
    <n v="1"/>
    <s v="AtBelow"/>
    <s v="CC_Portal"/>
    <n v="0"/>
    <s v="MFC"/>
    <s v="IBMCA"/>
    <s v="ACTIVE ADVISORS AND ASSISTANTS"/>
    <n v="0"/>
    <n v="0"/>
  </r>
  <r>
    <s v="ssotest@mfc.sps.local"/>
    <s v="MFC"/>
    <x v="0"/>
    <n v="551367"/>
    <n v="1000"/>
    <d v="2017-09-25T11:24:28"/>
    <x v="0"/>
    <x v="0"/>
    <s v="Faye.Sierhuis@manulifesecurities.ca"/>
    <n v="552519"/>
    <s v="User Account"/>
    <n v="1"/>
    <s v="AtBelow"/>
    <s v="CC_Portal"/>
    <n v="0"/>
    <s v="MFC"/>
    <s v="IBMCA"/>
    <s v="ACTIVE ADVISORS AND ASSISTANTS"/>
    <n v="0"/>
    <n v="0"/>
  </r>
  <r>
    <s v="ssotest@mfc.sps.local"/>
    <s v="MFC"/>
    <x v="0"/>
    <n v="551367"/>
    <n v="1000"/>
    <d v="2017-09-25T11:22:26"/>
    <x v="0"/>
    <x v="0"/>
    <s v="charles.lavigne@manulifesecurities.ca"/>
    <n v="864793"/>
    <s v="User Account"/>
    <n v="1"/>
    <s v="AtBelow"/>
    <s v="CC_Portal"/>
    <n v="0"/>
    <s v="MFC"/>
    <s v="IBMCA"/>
    <s v="ACTIVE ADVISORS AND ASSISTANTS"/>
    <n v="0"/>
    <n v="0"/>
  </r>
  <r>
    <s v="ssotest@mfc.sps.local"/>
    <s v="MFC"/>
    <x v="0"/>
    <n v="551367"/>
    <n v="1000"/>
    <d v="2017-09-25T11:16:16"/>
    <x v="0"/>
    <x v="0"/>
    <s v="Eric.Nielsen@manulifesecurities.ca"/>
    <n v="576216"/>
    <s v="User Account"/>
    <n v="1"/>
    <s v="AtBelow"/>
    <s v="CC_Portal"/>
    <n v="0"/>
    <s v="MFC"/>
    <s v="IBMCA"/>
    <s v="ACTIVE ADVISORS AND ASSISTANTS"/>
    <n v="0"/>
    <n v="0"/>
  </r>
  <r>
    <s v="ssotest@mfc.sps.local"/>
    <s v="MFC"/>
    <x v="0"/>
    <n v="551367"/>
    <n v="1000"/>
    <d v="2017-09-25T11:15:38"/>
    <x v="0"/>
    <x v="0"/>
    <s v="Sandra.McNally@manulifesecurities.ca"/>
    <n v="553925"/>
    <s v="User Account"/>
    <n v="1"/>
    <s v="AtBelow"/>
    <s v="CC_Portal"/>
    <n v="0"/>
    <s v="MFC"/>
    <s v="IBMCA"/>
    <s v="ACTIVE ADVISORS AND ASSISTANTS"/>
    <n v="0"/>
    <n v="0"/>
  </r>
  <r>
    <s v="ssotest@mfc.sps.local"/>
    <s v="MFC"/>
    <x v="0"/>
    <n v="551367"/>
    <n v="1000"/>
    <d v="2017-09-25T11:10:40"/>
    <x v="0"/>
    <x v="0"/>
    <s v="Robert.Hyde@manulifesecurities.ca"/>
    <n v="553820"/>
    <s v="User Account"/>
    <n v="1"/>
    <s v="AtBelow"/>
    <s v="CC_Portal"/>
    <n v="0"/>
    <s v="MFC"/>
    <s v="IBMCA"/>
    <s v="ACTIVE ADVISORS AND ASSISTANTS"/>
    <n v="0"/>
    <n v="0"/>
  </r>
  <r>
    <s v="ssotest@mfc.sps.local"/>
    <s v="MFC"/>
    <x v="0"/>
    <n v="551367"/>
    <n v="1000"/>
    <d v="2017-09-25T11:09:56"/>
    <x v="0"/>
    <x v="0"/>
    <s v="wilfried.houvion@manulifesecurities.ca"/>
    <n v="576200"/>
    <s v="User Account"/>
    <n v="1"/>
    <s v="AtBelow"/>
    <s v="CC_Portal"/>
    <n v="0"/>
    <s v="MFC"/>
    <s v="IBMCA"/>
    <s v="ACTIVE ADVISORS AND ASSISTANTS"/>
    <n v="0"/>
    <n v="0"/>
  </r>
  <r>
    <s v="ssotest@mfc.sps.local"/>
    <s v="MFC"/>
    <x v="0"/>
    <n v="551367"/>
    <n v="1000"/>
    <d v="2017-09-25T11:06:12"/>
    <x v="0"/>
    <x v="0"/>
    <s v="Twyla.Hanson@manulifesecurities.ca"/>
    <n v="554233"/>
    <s v="User Account"/>
    <n v="1"/>
    <s v="AtBelow"/>
    <s v="CC_Portal"/>
    <n v="0"/>
    <s v="MFC"/>
    <s v="IBMCA"/>
    <s v="ACTIVE ADVISORS AND ASSISTANTS"/>
    <n v="0"/>
    <n v="0"/>
  </r>
  <r>
    <s v="ssotest@mfc.sps.local"/>
    <s v="MFC"/>
    <x v="0"/>
    <n v="551367"/>
    <n v="1000"/>
    <d v="2017-09-25T10:59:48"/>
    <x v="0"/>
    <x v="0"/>
    <s v="Michael.Links@manulifesecurities.ca"/>
    <n v="553490"/>
    <s v="User Account"/>
    <n v="1"/>
    <s v="AtBelow"/>
    <s v="CC_Portal"/>
    <n v="0"/>
    <s v="MFC"/>
    <s v="IBMCA"/>
    <s v="ACTIVE ADVISORS AND ASSISTANTS"/>
    <n v="0"/>
    <n v="0"/>
  </r>
  <r>
    <s v="fahmi.karim@manulifesecurities.ca"/>
    <s v="MFC"/>
    <x v="0"/>
    <n v="809833"/>
    <n v="3"/>
    <d v="2017-09-25T10:59:29"/>
    <x v="3"/>
    <x v="2"/>
    <s v="Michele.Hendriks@manulifesecurities.ca"/>
    <n v="553516"/>
    <s v="User Account"/>
    <n v="1"/>
    <s v="AtBelow"/>
    <s v="CC_WebService"/>
    <m/>
    <s v="MFC"/>
    <s v="IBMCA"/>
    <s v="ACTIVE ADVISORS AND ASSISTANTS"/>
    <n v="0"/>
    <n v="0"/>
  </r>
  <r>
    <s v="cristian.bogdan@manulifesecurities.ca"/>
    <s v="MFC"/>
    <x v="0"/>
    <n v="560330"/>
    <n v="3"/>
    <d v="2017-09-25T10:54:10"/>
    <x v="3"/>
    <x v="2"/>
    <s v="Sandra.McNally@manulifesecurities.ca"/>
    <n v="553925"/>
    <s v="User Account"/>
    <n v="1"/>
    <s v="AtBelow"/>
    <s v="CC_WebService"/>
    <m/>
    <s v="MFC"/>
    <s v="IBMCA"/>
    <s v="ACTIVE ADVISORS AND ASSISTANTS"/>
    <n v="0"/>
    <n v="0"/>
  </r>
  <r>
    <s v="ssotest@mfc.sps.local"/>
    <s v="MFC"/>
    <x v="0"/>
    <n v="551367"/>
    <n v="1000"/>
    <d v="2017-09-25T10:52:43"/>
    <x v="0"/>
    <x v="0"/>
    <s v="Sandra.McNally@manulifesecurities.ca"/>
    <n v="553925"/>
    <s v="User Account"/>
    <n v="1"/>
    <s v="AtBelow"/>
    <s v="CC_Portal"/>
    <n v="0"/>
    <s v="MFC"/>
    <s v="IBMCA"/>
    <s v="ACTIVE ADVISORS AND ASSISTANTS"/>
    <n v="0"/>
    <n v="0"/>
  </r>
  <r>
    <s v="ssotest@mfc.sps.local"/>
    <s v="MFC"/>
    <x v="0"/>
    <n v="551367"/>
    <n v="1000"/>
    <d v="2017-09-25T10:49:52"/>
    <x v="0"/>
    <x v="0"/>
    <s v="Angie.Murdock@manulifesecurities.ca"/>
    <n v="551822"/>
    <s v="User Account"/>
    <n v="1"/>
    <s v="AtBelow"/>
    <s v="CC_Portal"/>
    <n v="0"/>
    <s v="MFC"/>
    <s v="IBMCA"/>
    <s v="ACTIVE ADVISORS AND ASSISTANTS"/>
    <n v="0"/>
    <n v="0"/>
  </r>
  <r>
    <s v="cristian.bogdan@manulifesecurities.ca"/>
    <s v="MFC"/>
    <x v="0"/>
    <n v="560330"/>
    <n v="3"/>
    <d v="2017-09-25T10:44:07"/>
    <x v="0"/>
    <x v="9"/>
    <s v="Sandra.McNally@manulifesecurities.ca"/>
    <n v="553925"/>
    <s v="User Account"/>
    <n v="1"/>
    <s v="AtBelow"/>
    <s v="CC_Portal"/>
    <s v="Enable"/>
    <s v="MFC"/>
    <s v="IBMCA"/>
    <s v="ACTIVE ADVISORS AND ASSISTANTS"/>
    <n v="0"/>
    <n v="0"/>
  </r>
  <r>
    <s v="ssotest@mfc.sps.local"/>
    <s v="MFC"/>
    <x v="0"/>
    <n v="551367"/>
    <n v="1000"/>
    <d v="2017-09-25T10:41:37"/>
    <x v="0"/>
    <x v="0"/>
    <s v="Lynn.CurtinLange@manulifesecurities.ca"/>
    <n v="553285"/>
    <s v="User Account"/>
    <n v="1"/>
    <s v="AtBelow"/>
    <s v="CC_Portal"/>
    <n v="0"/>
    <s v="MFC"/>
    <s v="IBMCA"/>
    <s v="ACTIVE ADVISORS AND ASSISTANTS"/>
    <n v="0"/>
    <n v="0"/>
  </r>
  <r>
    <s v="cristian.bogdan@manulifesecurities.ca"/>
    <s v="MFC"/>
    <x v="0"/>
    <n v="560330"/>
    <n v="3"/>
    <d v="2017-09-25T10:30:02"/>
    <x v="0"/>
    <x v="9"/>
    <s v="Sandra.McNally@manulifesecurities.ca"/>
    <n v="553925"/>
    <s v="User Account"/>
    <n v="1"/>
    <s v="AtBelow"/>
    <s v="CC_Portal"/>
    <s v="Disable"/>
    <s v="MFC"/>
    <s v="IBMCA"/>
    <s v="ACTIVE ADVISORS AND ASSISTANTS"/>
    <n v="0"/>
    <n v="0"/>
  </r>
  <r>
    <s v="jeff.lotz@manulifesecurities.ca"/>
    <s v="MFC"/>
    <x v="0"/>
    <n v="722441"/>
    <n v="3"/>
    <d v="2017-09-25T10:27:59"/>
    <x v="3"/>
    <x v="2"/>
    <s v="Michael.Links@manulifesecurities.ca"/>
    <n v="553490"/>
    <s v="User Account"/>
    <n v="1"/>
    <s v="AtBelow"/>
    <s v="CC_WebService"/>
    <m/>
    <s v="MFC"/>
    <s v="IBMCA"/>
    <s v="ACTIVE ADVISORS AND ASSISTANTS"/>
    <n v="0"/>
    <n v="0"/>
  </r>
  <r>
    <s v="ssotest@mfc.sps.local"/>
    <s v="MFC"/>
    <x v="0"/>
    <n v="551367"/>
    <n v="1000"/>
    <d v="2017-09-25T10:27:58"/>
    <x v="0"/>
    <x v="0"/>
    <s v="Michael.Links@manulifesecurities.ca"/>
    <n v="553490"/>
    <s v="User Account"/>
    <n v="1"/>
    <s v="AtBelow"/>
    <s v="CC_Portal"/>
    <n v="0"/>
    <s v="MFC"/>
    <s v="IBMCA"/>
    <s v="ACTIVE ADVISORS AND ASSISTANTS"/>
    <n v="0"/>
    <n v="0"/>
  </r>
  <r>
    <s v="ssotest@mfc.sps.local"/>
    <s v="MFC"/>
    <x v="0"/>
    <n v="551367"/>
    <n v="1000"/>
    <d v="2017-09-25T10:18:16"/>
    <x v="0"/>
    <x v="0"/>
    <s v="Michael.Links@manulifesecurities.ca"/>
    <n v="553490"/>
    <s v="User Account"/>
    <n v="1"/>
    <s v="AtBelow"/>
    <s v="CC_Portal"/>
    <n v="0"/>
    <s v="MFC"/>
    <s v="IBMCA"/>
    <s v="ACTIVE ADVISORS AND ASSISTANTS"/>
    <n v="0"/>
    <n v="0"/>
  </r>
  <r>
    <s v="alex_buena@manulifesecurities.ca"/>
    <s v="MFC"/>
    <x v="0"/>
    <n v="570025"/>
    <n v="3"/>
    <d v="2017-09-25T10:17:45"/>
    <x v="0"/>
    <x v="3"/>
    <s v="Patti.Millar@manulifesecurities.ca"/>
    <n v="553661"/>
    <s v="User Account"/>
    <n v="1"/>
    <s v="AtBelow"/>
    <s v="CC_Portal"/>
    <s v="Disable"/>
    <s v="MFC"/>
    <s v="IBMCA"/>
    <s v="DISABLED USERS"/>
    <n v="0"/>
    <n v="0"/>
  </r>
  <r>
    <s v="ssotest@mfc.sps.local"/>
    <s v="MFC"/>
    <x v="0"/>
    <n v="551367"/>
    <n v="1000"/>
    <d v="2017-09-25T10:16:25"/>
    <x v="0"/>
    <x v="0"/>
    <s v="Kesh.Malik@manulifesecurities.ca"/>
    <n v="553089"/>
    <s v="User Account"/>
    <n v="1"/>
    <s v="AtBelow"/>
    <s v="CC_Portal"/>
    <n v="0"/>
    <s v="MFC"/>
    <s v="IBMCA"/>
    <s v="ACTIVE ADVISORS AND ASSISTANTS"/>
    <n v="0"/>
    <n v="0"/>
  </r>
  <r>
    <s v="ssotest@mfc.sps.local"/>
    <s v="MFC"/>
    <x v="0"/>
    <n v="551367"/>
    <n v="1000"/>
    <d v="2017-09-25T10:16:12"/>
    <x v="0"/>
    <x v="0"/>
    <s v="Kesh.Malik@manulifesecurities.ca"/>
    <n v="553089"/>
    <s v="User Account"/>
    <n v="1"/>
    <s v="AtBelow"/>
    <s v="CC_Portal"/>
    <n v="0"/>
    <s v="MFC"/>
    <s v="IBMCA"/>
    <s v="ACTIVE ADVISORS AND ASSISTANTS"/>
    <n v="0"/>
    <n v="0"/>
  </r>
  <r>
    <s v="alex_buena@manulifesecurities.ca"/>
    <s v="MFC"/>
    <x v="0"/>
    <n v="570025"/>
    <n v="3"/>
    <d v="2017-09-25T10:15:46"/>
    <x v="0"/>
    <x v="4"/>
    <s v="Patti.Millar@manulifesecurities.ca"/>
    <n v="553661"/>
    <s v="User Account"/>
    <n v="1"/>
    <s v="AtBelow"/>
    <s v="CC_Portal"/>
    <s v="oldOrgGroup=ACTIVE ADVISORS AND ASSISTANTS;newOrgGroup=DISABLED USERS"/>
    <s v="MFC"/>
    <s v="IBMCA"/>
    <s v="DISABLED USERS"/>
    <n v="0"/>
    <n v="0"/>
  </r>
  <r>
    <s v="ssotest@mfc.sps.local"/>
    <s v="MFC"/>
    <x v="0"/>
    <n v="551367"/>
    <n v="1000"/>
    <d v="2017-09-25T10:15:41"/>
    <x v="0"/>
    <x v="0"/>
    <s v="marc.st-jean@manulifesecurities.ca"/>
    <n v="778190"/>
    <s v="User Account"/>
    <n v="1"/>
    <s v="AtBelow"/>
    <s v="CC_Portal"/>
    <n v="0"/>
    <s v="MFC"/>
    <s v="IBMCA"/>
    <s v="ACTIVE ADVISORS AND ASSISTANTS"/>
    <n v="0"/>
    <n v="0"/>
  </r>
  <r>
    <s v="alex_buena@manulifesecurities.ca"/>
    <s v="MFC"/>
    <x v="0"/>
    <n v="570025"/>
    <n v="3"/>
    <d v="2017-09-25T10:15:17"/>
    <x v="0"/>
    <x v="5"/>
    <s v="Patti.Millar@manulifesecurities.ca"/>
    <n v="553661"/>
    <s v="User Account"/>
    <n v="1"/>
    <s v="AtBelow"/>
    <s v="CC_Portal"/>
    <n v="0"/>
    <s v="MFC"/>
    <s v="IBMCA"/>
    <s v="ACTIVE ADVISORS AND ASSISTANTS"/>
    <n v="0"/>
    <n v="0"/>
  </r>
  <r>
    <s v="alex_buena@manulifesecurities.ca"/>
    <s v="MFC"/>
    <x v="0"/>
    <n v="570025"/>
    <n v="3"/>
    <d v="2017-09-25T10:15:16"/>
    <x v="4"/>
    <x v="6"/>
    <s v="MSI_autoEmailArchive@manulifesecurities.ca"/>
    <n v="561482"/>
    <s v="Distribution List"/>
    <n v="1"/>
    <s v="Any"/>
    <s v="CC_Portal"/>
    <s v="b0d766a1c0564a25b5671864fbc68029"/>
    <s v="MFC"/>
    <s v="IBMCA"/>
    <s v="ALL GROUPS"/>
    <n v="0"/>
    <n v="0"/>
  </r>
  <r>
    <s v="alex_buena@manulifesecurities.ca"/>
    <s v="MFC"/>
    <x v="0"/>
    <n v="570025"/>
    <n v="3"/>
    <d v="2017-09-25T10:15:14"/>
    <x v="4"/>
    <x v="6"/>
    <s v="AllAssistants@manulifesecurities.ca"/>
    <n v="555660"/>
    <s v="Distribution List"/>
    <n v="1"/>
    <s v="Any"/>
    <s v="CC_Portal"/>
    <s v="b0d766a1c0564a25b5671864fbc68029"/>
    <s v="MFC"/>
    <s v="IBMCA"/>
    <s v="ALL GROUPS"/>
    <n v="0"/>
    <n v="0"/>
  </r>
  <r>
    <s v="alex_buena@manulifesecurities.ca"/>
    <s v="MFC"/>
    <x v="0"/>
    <n v="570025"/>
    <n v="3"/>
    <d v="2017-09-25T10:15:13"/>
    <x v="4"/>
    <x v="6"/>
    <s v="Advisors@manulifesecurities.ca"/>
    <n v="555668"/>
    <s v="Distribution List"/>
    <n v="1"/>
    <s v="Any"/>
    <s v="CC_Portal"/>
    <s v="b0d766a1c0564a25b5671864fbc68029"/>
    <s v="MFC"/>
    <s v="IBMCA"/>
    <s v="ALL GROUPS"/>
    <n v="0"/>
    <n v="0"/>
  </r>
  <r>
    <s v="alex_buena@manulifesecurities.ca"/>
    <s v="MFC"/>
    <x v="0"/>
    <n v="570025"/>
    <n v="3"/>
    <d v="2017-09-25T10:15:11"/>
    <x v="0"/>
    <x v="5"/>
    <s v="Patti.Millar@manulifesecurities.ca"/>
    <n v="553661"/>
    <s v="User Account"/>
    <n v="1"/>
    <s v="AtBelow"/>
    <s v="CC_Portal"/>
    <n v="0"/>
    <s v="MFC"/>
    <s v="IBMCA"/>
    <s v="ACTIVE ADVISORS AND ASSISTANTS"/>
    <n v="0"/>
    <n v="0"/>
  </r>
  <r>
    <s v="alex_buena@manulifesecurities.ca"/>
    <s v="MFC"/>
    <x v="0"/>
    <n v="570025"/>
    <n v="3"/>
    <d v="2017-09-25T10:15:05"/>
    <x v="0"/>
    <x v="5"/>
    <s v="Patti.Millar@manulifesecurities.ca"/>
    <n v="553661"/>
    <s v="User Account"/>
    <n v="1"/>
    <s v="AtBelow"/>
    <s v="CC_Portal"/>
    <n v="0"/>
    <s v="MFC"/>
    <s v="IBMCA"/>
    <s v="ACTIVE ADVISORS AND ASSISTANTS"/>
    <n v="0"/>
    <n v="0"/>
  </r>
  <r>
    <s v="ssotest@mfc.sps.local"/>
    <s v="MFC"/>
    <x v="0"/>
    <n v="551367"/>
    <n v="1000"/>
    <d v="2017-09-25T10:10:58"/>
    <x v="0"/>
    <x v="0"/>
    <s v="lori.bournon@manulifesecurities.ca"/>
    <n v="690983"/>
    <s v="User Account"/>
    <n v="1"/>
    <s v="AtBelow"/>
    <s v="CC_Portal"/>
    <n v="0"/>
    <s v="MFC"/>
    <s v="IBMCA"/>
    <s v="ACTIVE ADVISORS AND ASSISTANTS"/>
    <n v="0"/>
    <n v="0"/>
  </r>
  <r>
    <s v="ssotest@mfc.sps.local"/>
    <s v="MFC"/>
    <x v="0"/>
    <n v="551367"/>
    <n v="1000"/>
    <d v="2017-09-25T10:10:54"/>
    <x v="0"/>
    <x v="0"/>
    <s v="juliana.casey@manulifesecurities.ca"/>
    <n v="639359"/>
    <s v="User Account"/>
    <n v="1"/>
    <s v="AtBelow"/>
    <s v="CC_Portal"/>
    <n v="0"/>
    <s v="MFC"/>
    <s v="IBMCA"/>
    <s v="ACTIVE ADVISORS AND ASSISTANTS"/>
    <n v="0"/>
    <n v="0"/>
  </r>
  <r>
    <s v="ssotest@mfc.sps.local"/>
    <s v="MFC"/>
    <x v="0"/>
    <n v="551367"/>
    <n v="1000"/>
    <d v="2017-09-25T10:07:20"/>
    <x v="0"/>
    <x v="0"/>
    <s v="juliana.casey@manulifesecurities.ca"/>
    <n v="639359"/>
    <s v="User Account"/>
    <n v="1"/>
    <s v="AtBelow"/>
    <s v="CC_Portal"/>
    <n v="0"/>
    <s v="MFC"/>
    <s v="IBMCA"/>
    <s v="ACTIVE ADVISORS AND ASSISTANTS"/>
    <n v="0"/>
    <n v="0"/>
  </r>
  <r>
    <s v="ssotest@mfc.sps.local"/>
    <s v="MFC"/>
    <x v="0"/>
    <n v="551367"/>
    <n v="1000"/>
    <d v="2017-09-25T10:05:57"/>
    <x v="0"/>
    <x v="0"/>
    <s v="Jim.Steeden@manulifesecurities.ca"/>
    <n v="552853"/>
    <s v="User Account"/>
    <n v="1"/>
    <s v="AtBelow"/>
    <s v="CC_Portal"/>
    <n v="0"/>
    <s v="MFC"/>
    <s v="IBMCA"/>
    <s v="ACTIVE ADVISORS AND ASSISTANTS"/>
    <n v="0"/>
    <n v="0"/>
  </r>
  <r>
    <s v="ssotest@mfc.sps.local"/>
    <s v="MFC"/>
    <x v="0"/>
    <n v="551367"/>
    <n v="1000"/>
    <d v="2017-09-25T10:04:07"/>
    <x v="0"/>
    <x v="0"/>
    <s v="Stephen.Nitsotolis@manulifesecurities.ca"/>
    <n v="554064"/>
    <s v="User Account"/>
    <n v="1"/>
    <s v="AtBelow"/>
    <s v="CC_Portal"/>
    <n v="0"/>
    <s v="MFC"/>
    <s v="IBMCA"/>
    <s v="ACTIVE ADVISORS AND ASSISTANTS"/>
    <n v="0"/>
    <n v="0"/>
  </r>
  <r>
    <s v="ssotest@mfc.sps.local"/>
    <s v="MFC"/>
    <x v="0"/>
    <n v="551367"/>
    <n v="1000"/>
    <d v="2017-09-25T09:59:58"/>
    <x v="0"/>
    <x v="0"/>
    <s v="justin.evans@manulifesecurities.ca"/>
    <n v="687894"/>
    <s v="User Account"/>
    <n v="1"/>
    <s v="AtBelow"/>
    <s v="CC_Portal"/>
    <n v="0"/>
    <s v="MFC"/>
    <s v="IBMCA"/>
    <s v="ACTIVE ADVISORS AND ASSISTANTS"/>
    <n v="0"/>
    <n v="0"/>
  </r>
  <r>
    <s v="ssotest@mfc.sps.local"/>
    <s v="MFC"/>
    <x v="0"/>
    <n v="551367"/>
    <n v="1000"/>
    <d v="2017-09-25T09:59:39"/>
    <x v="0"/>
    <x v="0"/>
    <s v="Heather.Gauthier@manulifesecurities.ca"/>
    <n v="552653"/>
    <s v="User Account"/>
    <n v="1"/>
    <s v="AtBelow"/>
    <s v="CC_Portal"/>
    <n v="0"/>
    <s v="MFC"/>
    <s v="IBMCA"/>
    <s v="ACTIVE ADVISORS AND ASSISTANTS"/>
    <n v="0"/>
    <n v="0"/>
  </r>
  <r>
    <s v="ssotest@mfc.sps.local"/>
    <s v="MFC"/>
    <x v="0"/>
    <n v="551367"/>
    <n v="1000"/>
    <d v="2017-09-25T09:46:01"/>
    <x v="0"/>
    <x v="0"/>
    <s v="juliana.casey@manulifesecurities.ca"/>
    <n v="639359"/>
    <s v="User Account"/>
    <n v="1"/>
    <s v="AtBelow"/>
    <s v="CC_Portal"/>
    <n v="0"/>
    <s v="MFC"/>
    <s v="IBMCA"/>
    <s v="ACTIVE ADVISORS AND ASSISTANTS"/>
    <n v="0"/>
    <n v="0"/>
  </r>
  <r>
    <s v="ssotest@mfc.sps.local"/>
    <s v="MFC"/>
    <x v="0"/>
    <n v="551367"/>
    <n v="1000"/>
    <d v="2017-09-25T09:42:43"/>
    <x v="0"/>
    <x v="0"/>
    <s v="lindsay.morton@manulifesecurities.ca"/>
    <n v="674340"/>
    <s v="User Account"/>
    <n v="1"/>
    <s v="AtBelow"/>
    <s v="CC_Portal"/>
    <n v="0"/>
    <s v="MFC"/>
    <s v="IBMCA"/>
    <s v="ACTIVE ADVISORS AND ASSISTANTS"/>
    <n v="0"/>
    <n v="0"/>
  </r>
  <r>
    <s v="ssotest@mfc.sps.local"/>
    <s v="MFC"/>
    <x v="0"/>
    <n v="551367"/>
    <n v="1000"/>
    <d v="2017-09-25T09:42:28"/>
    <x v="0"/>
    <x v="0"/>
    <s v="StevenD.Johnson@manulifesecurities.ca"/>
    <n v="554073"/>
    <s v="User Account"/>
    <n v="1"/>
    <s v="AtBelow"/>
    <s v="CC_Portal"/>
    <n v="0"/>
    <s v="MFC"/>
    <s v="IBMCA"/>
    <s v="ACTIVE ADVISORS AND ASSISTANTS"/>
    <n v="0"/>
    <n v="0"/>
  </r>
  <r>
    <s v="ssotest@mfc.sps.local"/>
    <s v="MFC"/>
    <x v="0"/>
    <n v="551367"/>
    <n v="1000"/>
    <d v="2017-09-25T09:42:26"/>
    <x v="0"/>
    <x v="0"/>
    <s v="daniel.anunciacao@manulifesecurities.ca"/>
    <n v="827740"/>
    <s v="User Account"/>
    <n v="1"/>
    <s v="AtBelow"/>
    <s v="CC_Portal"/>
    <n v="0"/>
    <s v="MFC"/>
    <s v="IBMCA"/>
    <s v="ACTIVE ADVISORS AND ASSISTANTS"/>
    <n v="0"/>
    <n v="0"/>
  </r>
  <r>
    <s v="patrick.harkins@manulifesecurities.ca"/>
    <s v="MFC"/>
    <x v="0"/>
    <n v="560864"/>
    <n v="3"/>
    <d v="2017-09-25T09:13:23"/>
    <x v="3"/>
    <x v="2"/>
    <s v="michael.parris@manulifesecurities.ca"/>
    <n v="609300"/>
    <s v="User Account"/>
    <n v="1"/>
    <s v="AtBelow"/>
    <s v="CC_WebService"/>
    <m/>
    <s v="MFC"/>
    <s v="IBMCA"/>
    <s v="ACTIVE ADVISORS AND ASSISTANTS"/>
    <n v="0"/>
    <n v="0"/>
  </r>
  <r>
    <s v="ssotest@mfc.sps.local"/>
    <s v="MFC"/>
    <x v="0"/>
    <n v="551367"/>
    <n v="1000"/>
    <d v="2017-09-25T09:13:05"/>
    <x v="0"/>
    <x v="0"/>
    <s v="Gordon.Reid@manulifesecurities.ca"/>
    <n v="552632"/>
    <s v="User Account"/>
    <n v="1"/>
    <s v="AtBelow"/>
    <s v="CC_Portal"/>
    <n v="0"/>
    <s v="MFC"/>
    <s v="IBMCA"/>
    <s v="DISABLED USERS"/>
    <n v="0"/>
    <n v="0"/>
  </r>
  <r>
    <s v="ssotest@mfc.sps.local"/>
    <s v="MFC"/>
    <x v="0"/>
    <n v="551367"/>
    <n v="1000"/>
    <d v="2017-09-25T09:12:46"/>
    <x v="0"/>
    <x v="0"/>
    <s v="Mark.Sikorski@manulifesecurities.ca"/>
    <n v="553369"/>
    <s v="User Account"/>
    <n v="1"/>
    <s v="AtBelow"/>
    <s v="CC_Portal"/>
    <n v="0"/>
    <s v="MFC"/>
    <s v="IBMCA"/>
    <s v="ACTIVE ADVISORS AND ASSISTANTS"/>
    <n v="0"/>
    <n v="0"/>
  </r>
  <r>
    <s v="marshall.hett@manulifesecurities.ca"/>
    <s v="MFC"/>
    <x v="0"/>
    <n v="707864"/>
    <n v="3"/>
    <d v="2017-09-25T09:12:06"/>
    <x v="3"/>
    <x v="2"/>
    <s v="lori.bournon@manulifesecurities.ca"/>
    <n v="690983"/>
    <s v="User Account"/>
    <n v="1"/>
    <s v="AtBelow"/>
    <s v="CC_WebService"/>
    <m/>
    <s v="MFC"/>
    <s v="IBMCA"/>
    <s v="ACTIVE ADVISORS AND ASSISTANTS"/>
    <n v="0"/>
    <n v="0"/>
  </r>
  <r>
    <s v="ssotest@mfc.sps.local"/>
    <s v="MFC"/>
    <x v="0"/>
    <n v="551367"/>
    <n v="1000"/>
    <d v="2017-09-25T09:06:50"/>
    <x v="0"/>
    <x v="0"/>
    <s v="elisabeth.valente@manulifesecurities.ca"/>
    <n v="725347"/>
    <s v="User Account"/>
    <n v="1"/>
    <s v="AtBelow"/>
    <s v="CC_Portal"/>
    <n v="0"/>
    <s v="MFC"/>
    <s v="IBMCA"/>
    <s v="ACTIVE ADVISORS AND ASSISTANTS"/>
    <n v="0"/>
    <n v="0"/>
  </r>
  <r>
    <s v="alex_buena@manulifesecurities.ca"/>
    <s v="MFC"/>
    <x v="0"/>
    <n v="570025"/>
    <n v="3"/>
    <d v="2017-09-25T09:05:49"/>
    <x v="0"/>
    <x v="3"/>
    <s v="anthony.khoury@manulifesecurities.ca"/>
    <n v="891779"/>
    <s v="User Account"/>
    <n v="1"/>
    <s v="AtBelow"/>
    <s v="CC_Portal"/>
    <s v="Disable"/>
    <s v="MFC"/>
    <s v="IBMCA"/>
    <s v="DISABLED USERS"/>
    <n v="0"/>
    <n v="0"/>
  </r>
  <r>
    <s v="priscilla.misir@manulifesecurities.ca"/>
    <s v="MFC"/>
    <x v="0"/>
    <n v="674396"/>
    <n v="3"/>
    <d v="2017-09-25T09:05:10"/>
    <x v="4"/>
    <x v="6"/>
    <s v="MSI_autoEmailArchive@manulifesecurities.ca"/>
    <n v="561482"/>
    <s v="Distribution List"/>
    <n v="1"/>
    <s v="Any"/>
    <s v="CC_Portal"/>
    <s v="3b19afc0da7f4f95971a6542922232bb"/>
    <s v="MFC"/>
    <s v="IBMCA"/>
    <s v="ALL GROUPS"/>
    <n v="0"/>
    <n v="0"/>
  </r>
  <r>
    <s v="priscilla.misir@manulifesecurities.ca"/>
    <s v="MFC"/>
    <x v="0"/>
    <n v="674396"/>
    <n v="3"/>
    <d v="2017-09-25T09:05:10"/>
    <x v="0"/>
    <x v="5"/>
    <s v="sandra.misa@manulifesecurities.ca"/>
    <n v="829787"/>
    <s v="User Account"/>
    <n v="1"/>
    <s v="AtBelow"/>
    <s v="CC_Portal"/>
    <n v="0"/>
    <s v="MFC"/>
    <s v="IBMCA"/>
    <s v="DISABLED USERS"/>
    <n v="0"/>
    <n v="0"/>
  </r>
  <r>
    <s v="priscilla.misir@manulifesecurities.ca"/>
    <s v="MFC"/>
    <x v="0"/>
    <n v="674396"/>
    <n v="3"/>
    <d v="2017-09-25T09:05:09"/>
    <x v="4"/>
    <x v="6"/>
    <s v="AllAssistants@manulifesecurities.ca"/>
    <n v="555660"/>
    <s v="Distribution List"/>
    <n v="1"/>
    <s v="Any"/>
    <s v="CC_Portal"/>
    <s v="3b19afc0da7f4f95971a6542922232bb"/>
    <s v="MFC"/>
    <s v="IBMCA"/>
    <s v="ALL GROUPS"/>
    <n v="0"/>
    <n v="0"/>
  </r>
  <r>
    <s v="priscilla.misir@manulifesecurities.ca"/>
    <s v="MFC"/>
    <x v="0"/>
    <n v="674396"/>
    <n v="3"/>
    <d v="2017-09-25T09:05:08"/>
    <x v="0"/>
    <x v="5"/>
    <s v="sandra.misa@manulifesecurities.ca"/>
    <n v="829787"/>
    <s v="User Account"/>
    <n v="1"/>
    <s v="AtBelow"/>
    <s v="CC_Portal"/>
    <n v="0"/>
    <s v="MFC"/>
    <s v="IBMCA"/>
    <s v="DISABLED USERS"/>
    <n v="0"/>
    <n v="0"/>
  </r>
  <r>
    <s v="priscilla.misir@manulifesecurities.ca"/>
    <s v="MFC"/>
    <x v="0"/>
    <n v="674396"/>
    <n v="3"/>
    <d v="2017-09-25T09:05:02"/>
    <x v="0"/>
    <x v="5"/>
    <s v="sandra.misa@manulifesecurities.ca"/>
    <n v="829787"/>
    <s v="User Account"/>
    <n v="1"/>
    <s v="AtBelow"/>
    <s v="CC_Portal"/>
    <n v="0"/>
    <s v="MFC"/>
    <s v="IBMCA"/>
    <s v="DISABLED USERS"/>
    <n v="0"/>
    <n v="0"/>
  </r>
  <r>
    <s v="priscilla.misir@manulifesecurities.ca"/>
    <s v="MFC"/>
    <x v="0"/>
    <n v="674396"/>
    <n v="3"/>
    <d v="2017-09-25T09:04:44"/>
    <x v="0"/>
    <x v="4"/>
    <s v="sandra.misa@manulifesecurities.ca"/>
    <n v="829787"/>
    <s v="User Account"/>
    <n v="1"/>
    <s v="AtBelow"/>
    <s v="CC_Portal"/>
    <s v="oldOrgGroup=ACTIVE ADVISORS AND ASSISTANTS;newOrgGroup=DISABLED USERS"/>
    <s v="MFC"/>
    <s v="IBMCA"/>
    <s v="DISABLED USERS"/>
    <n v="0"/>
    <n v="0"/>
  </r>
  <r>
    <s v="ssotest@mfc.sps.local"/>
    <s v="MFC"/>
    <x v="0"/>
    <n v="551367"/>
    <n v="1000"/>
    <d v="2017-09-25T09:04:38"/>
    <x v="0"/>
    <x v="0"/>
    <s v="elisabeth.valente@manulifesecurities.ca"/>
    <n v="725347"/>
    <s v="User Account"/>
    <n v="1"/>
    <s v="AtBelow"/>
    <s v="CC_Portal"/>
    <n v="0"/>
    <s v="MFC"/>
    <s v="IBMCA"/>
    <s v="ACTIVE ADVISORS AND ASSISTANTS"/>
    <n v="0"/>
    <n v="0"/>
  </r>
  <r>
    <s v="priscilla.misir@manulifesecurities.ca"/>
    <s v="MFC"/>
    <x v="0"/>
    <n v="674396"/>
    <n v="3"/>
    <d v="2017-09-25T09:04:18"/>
    <x v="0"/>
    <x v="10"/>
    <s v="sandra.misa@manulifesecurities.ca"/>
    <n v="829787"/>
    <s v="User Account"/>
    <n v="1"/>
    <s v="AtBelow"/>
    <s v="CC_Portal"/>
    <s v="Action=Disable"/>
    <s v="MFC"/>
    <s v="IBMCA"/>
    <s v="ACTIVE ADVISORS AND ASSISTANTS"/>
    <n v="0"/>
    <n v="0"/>
  </r>
  <r>
    <s v="priscilla.misir@manulifesecurities.ca"/>
    <s v="MFC"/>
    <x v="0"/>
    <n v="674396"/>
    <n v="3"/>
    <d v="2017-09-25T09:04:18"/>
    <x v="0"/>
    <x v="10"/>
    <s v="sandra.misa@manulifesecurities.ca"/>
    <n v="829787"/>
    <s v="User Account"/>
    <n v="1"/>
    <s v="AtBelow"/>
    <s v="CC_Portal"/>
    <s v="Action=Disable"/>
    <s v="MFC"/>
    <s v="IBMCA"/>
    <s v="ACTIVE ADVISORS AND ASSISTANTS"/>
    <n v="0"/>
    <n v="0"/>
  </r>
  <r>
    <s v="ssotest@mfc.sps.local"/>
    <s v="MFC"/>
    <x v="0"/>
    <n v="551367"/>
    <n v="1000"/>
    <d v="2017-09-25T08:55:36"/>
    <x v="0"/>
    <x v="0"/>
    <s v="lori.bournon@manulifesecurities.ca"/>
    <n v="690983"/>
    <s v="User Account"/>
    <n v="1"/>
    <s v="AtBelow"/>
    <s v="CC_Portal"/>
    <n v="0"/>
    <s v="MFC"/>
    <s v="IBMCA"/>
    <s v="ACTIVE ADVISORS AND ASSISTANTS"/>
    <n v="0"/>
    <n v="0"/>
  </r>
  <r>
    <s v="ssotest@mfc.sps.local"/>
    <s v="MFC"/>
    <x v="0"/>
    <n v="551367"/>
    <n v="1000"/>
    <d v="2017-09-25T08:48:02"/>
    <x v="0"/>
    <x v="0"/>
    <s v="kelly.lindsay@manulifesecurities.ca"/>
    <n v="693721"/>
    <s v="User Account"/>
    <n v="1"/>
    <s v="AtBelow"/>
    <s v="CC_Portal"/>
    <n v="0"/>
    <s v="MFC"/>
    <s v="IBMCA"/>
    <s v="ACTIVE ADVISORS AND ASSISTANTS"/>
    <n v="0"/>
    <n v="0"/>
  </r>
  <r>
    <s v="alex_buena@manulifesecurities.ca"/>
    <s v="MFC"/>
    <x v="0"/>
    <n v="570025"/>
    <n v="3"/>
    <d v="2017-09-25T08:42:25"/>
    <x v="0"/>
    <x v="4"/>
    <s v="anthony.khoury@manulifesecurities.ca"/>
    <n v="891779"/>
    <s v="User Account"/>
    <n v="1"/>
    <s v="AtBelow"/>
    <s v="CC_Portal"/>
    <s v="oldOrgGroup=ACTIVE ADVISORS AND ASSISTANTS;newOrgGroup=DISABLED USERS"/>
    <s v="MFC"/>
    <s v="IBMCA"/>
    <s v="DISABLED USERS"/>
    <n v="0"/>
    <n v="0"/>
  </r>
  <r>
    <s v="alex_buena@manulifesecurities.ca"/>
    <s v="MFC"/>
    <x v="0"/>
    <n v="570025"/>
    <n v="3"/>
    <d v="2017-09-25T08:40:36"/>
    <x v="0"/>
    <x v="5"/>
    <s v="anthony.khoury@manulifesecurities.ca"/>
    <n v="891779"/>
    <s v="User Account"/>
    <n v="1"/>
    <s v="AtBelow"/>
    <s v="CC_Portal"/>
    <n v="0"/>
    <s v="MFC"/>
    <s v="IBMCA"/>
    <s v="ACTIVE ADVISORS AND ASSISTANTS"/>
    <n v="0"/>
    <n v="0"/>
  </r>
  <r>
    <s v="alex_buena@manulifesecurities.ca"/>
    <s v="MFC"/>
    <x v="0"/>
    <n v="570025"/>
    <n v="3"/>
    <d v="2017-09-25T08:40:35"/>
    <x v="4"/>
    <x v="6"/>
    <s v="MSI_autoEmailArchive@manulifesecurities.ca"/>
    <n v="561482"/>
    <s v="Distribution List"/>
    <n v="1"/>
    <s v="Any"/>
    <s v="CC_Portal"/>
    <s v="f503ddd0f18147eda803aa595a622872"/>
    <s v="MFC"/>
    <s v="IBMCA"/>
    <s v="ALL GROUPS"/>
    <n v="0"/>
    <n v="0"/>
  </r>
  <r>
    <s v="alex_buena@manulifesecurities.ca"/>
    <s v="MFC"/>
    <x v="0"/>
    <n v="570025"/>
    <n v="3"/>
    <d v="2017-09-25T08:40:35"/>
    <x v="4"/>
    <x v="6"/>
    <s v="MSI_autoSupervision@manulifesecurities.ca"/>
    <n v="561483"/>
    <s v="Distribution List"/>
    <n v="1"/>
    <s v="Any"/>
    <s v="CC_Portal"/>
    <s v="f503ddd0f18147eda803aa595a622872"/>
    <s v="MFC"/>
    <s v="IBMCA"/>
    <s v="ALL GROUPS"/>
    <n v="0"/>
    <n v="0"/>
  </r>
  <r>
    <s v="alex_buena@manulifesecurities.ca"/>
    <s v="MFC"/>
    <x v="0"/>
    <n v="570025"/>
    <n v="3"/>
    <d v="2017-09-25T08:40:34"/>
    <x v="4"/>
    <x v="6"/>
    <s v="DorvalQuebec@manulifesecurities.ca"/>
    <n v="561085"/>
    <s v="Distribution List"/>
    <n v="1"/>
    <s v="Any"/>
    <s v="CC_Portal"/>
    <s v="f503ddd0f18147eda803aa595a622872"/>
    <s v="MFC"/>
    <s v="IBMCA"/>
    <s v="ALL GROUPS"/>
    <n v="0"/>
    <n v="0"/>
  </r>
  <r>
    <s v="alex_buena@manulifesecurities.ca"/>
    <s v="MFC"/>
    <x v="0"/>
    <n v="570025"/>
    <n v="3"/>
    <d v="2017-09-25T08:40:33"/>
    <x v="4"/>
    <x v="6"/>
    <s v="AllAssistants@manulifesecurities.ca"/>
    <n v="555660"/>
    <s v="Distribution List"/>
    <n v="1"/>
    <s v="Any"/>
    <s v="CC_Portal"/>
    <s v="f503ddd0f18147eda803aa595a622872"/>
    <s v="MFC"/>
    <s v="IBMCA"/>
    <s v="ALL GROUPS"/>
    <n v="0"/>
    <n v="0"/>
  </r>
  <r>
    <s v="alex_buena@manulifesecurities.ca"/>
    <s v="MFC"/>
    <x v="0"/>
    <n v="570025"/>
    <n v="3"/>
    <d v="2017-09-25T08:40:31"/>
    <x v="0"/>
    <x v="5"/>
    <s v="anthony.khoury@manulifesecurities.ca"/>
    <n v="891779"/>
    <s v="User Account"/>
    <n v="1"/>
    <s v="AtBelow"/>
    <s v="CC_Portal"/>
    <n v="0"/>
    <s v="MFC"/>
    <s v="IBMCA"/>
    <s v="ACTIVE ADVISORS AND ASSISTANTS"/>
    <n v="0"/>
    <n v="0"/>
  </r>
  <r>
    <s v="alex_buena@manulifesecurities.ca"/>
    <s v="MFC"/>
    <x v="0"/>
    <n v="570025"/>
    <n v="3"/>
    <d v="2017-09-25T08:39:39"/>
    <x v="0"/>
    <x v="5"/>
    <s v="anthony.khoury@manulifesecurities.ca"/>
    <n v="891779"/>
    <s v="User Account"/>
    <n v="1"/>
    <s v="AtBelow"/>
    <s v="CC_Portal"/>
    <n v="0"/>
    <s v="MFC"/>
    <s v="IBMCA"/>
    <s v="ACTIVE ADVISORS AND ASSISTANTS"/>
    <n v="0"/>
    <n v="0"/>
  </r>
  <r>
    <s v="alex_buena@manulifesecurities.ca"/>
    <s v="MFC"/>
    <x v="0"/>
    <n v="570025"/>
    <n v="3"/>
    <d v="2017-09-25T08:37:53"/>
    <x v="0"/>
    <x v="3"/>
    <s v="r.florescu@manulifesecurities.ca"/>
    <n v="901062"/>
    <s v="User Account"/>
    <n v="1"/>
    <s v="AtBelow"/>
    <s v="CC_Portal"/>
    <s v="Disable"/>
    <s v="MFC"/>
    <s v="IBMCA"/>
    <s v="DISABLED USERS"/>
    <n v="0"/>
    <n v="0"/>
  </r>
  <r>
    <s v="alex_buena@manulifesecurities.ca"/>
    <s v="MFC"/>
    <x v="0"/>
    <n v="570025"/>
    <n v="3"/>
    <d v="2017-09-25T08:35:53"/>
    <x v="0"/>
    <x v="4"/>
    <s v="r.florescu@manulifesecurities.ca"/>
    <n v="901062"/>
    <s v="User Account"/>
    <n v="1"/>
    <s v="AtBelow"/>
    <s v="CC_Portal"/>
    <s v="oldOrgGroup=ACTIVE ADVISORS AND ASSISTANTS;newOrgGroup=DISABLED USERS"/>
    <s v="MFC"/>
    <s v="IBMCA"/>
    <s v="DISABLED USERS"/>
    <n v="0"/>
    <n v="0"/>
  </r>
  <r>
    <s v="alex_buena@manulifesecurities.ca"/>
    <s v="MFC"/>
    <x v="0"/>
    <n v="570025"/>
    <n v="3"/>
    <d v="2017-09-25T08:35:33"/>
    <x v="4"/>
    <x v="6"/>
    <s v="MSI_autoSupervision@manulifesecurities.ca"/>
    <n v="561483"/>
    <s v="Distribution List"/>
    <n v="1"/>
    <s v="Any"/>
    <s v="CC_Portal"/>
    <s v="5d5c31fc28db49779540590f9e620b37"/>
    <s v="MFC"/>
    <s v="IBMCA"/>
    <s v="ALL GROUPS"/>
    <n v="0"/>
    <n v="0"/>
  </r>
  <r>
    <s v="alex_buena@manulifesecurities.ca"/>
    <s v="MFC"/>
    <x v="0"/>
    <n v="570025"/>
    <n v="3"/>
    <d v="2017-09-25T08:35:33"/>
    <x v="0"/>
    <x v="5"/>
    <s v="r.florescu@manulifesecurities.ca"/>
    <n v="901062"/>
    <s v="User Account"/>
    <n v="1"/>
    <s v="AtBelow"/>
    <s v="CC_Portal"/>
    <n v="0"/>
    <s v="MFC"/>
    <s v="IBMCA"/>
    <s v="ACTIVE ADVISORS AND ASSISTANTS"/>
    <n v="0"/>
    <n v="0"/>
  </r>
  <r>
    <s v="alex_buena@manulifesecurities.ca"/>
    <s v="MFC"/>
    <x v="0"/>
    <n v="570025"/>
    <n v="3"/>
    <d v="2017-09-25T08:35:32"/>
    <x v="4"/>
    <x v="6"/>
    <s v="MSI_autoEmailArchive@manulifesecurities.ca"/>
    <n v="561482"/>
    <s v="Distribution List"/>
    <n v="1"/>
    <s v="Any"/>
    <s v="CC_Portal"/>
    <s v="5d5c31fc28db49779540590f9e620b37"/>
    <s v="MFC"/>
    <s v="IBMCA"/>
    <s v="ALL GROUPS"/>
    <n v="0"/>
    <n v="0"/>
  </r>
  <r>
    <s v="alex_buena@manulifesecurities.ca"/>
    <s v="MFC"/>
    <x v="0"/>
    <n v="570025"/>
    <n v="3"/>
    <d v="2017-09-25T08:35:31"/>
    <x v="4"/>
    <x v="6"/>
    <s v="AllAdvisors@manulifesecurities.ca"/>
    <n v="555659"/>
    <s v="Distribution List"/>
    <n v="1"/>
    <s v="Any"/>
    <s v="CC_Portal"/>
    <s v="5d5c31fc28db49779540590f9e620b37"/>
    <s v="MFC"/>
    <s v="IBMCA"/>
    <s v="ALL GROUPS"/>
    <n v="0"/>
    <n v="0"/>
  </r>
  <r>
    <s v="alex_buena@manulifesecurities.ca"/>
    <s v="MFC"/>
    <x v="0"/>
    <n v="570025"/>
    <n v="3"/>
    <d v="2017-09-25T08:35:31"/>
    <x v="4"/>
    <x v="6"/>
    <s v="AllAssistants@manulifesecurities.ca"/>
    <n v="555660"/>
    <s v="Distribution List"/>
    <n v="1"/>
    <s v="Any"/>
    <s v="CC_Portal"/>
    <s v="5d5c31fc28db49779540590f9e620b37"/>
    <s v="MFC"/>
    <s v="IBMCA"/>
    <s v="ALL GROUPS"/>
    <n v="0"/>
    <n v="0"/>
  </r>
  <r>
    <s v="alex_buena@manulifesecurities.ca"/>
    <s v="MFC"/>
    <x v="0"/>
    <n v="570025"/>
    <n v="3"/>
    <d v="2017-09-25T08:35:28"/>
    <x v="0"/>
    <x v="5"/>
    <s v="r.florescu@manulifesecurities.ca"/>
    <n v="901062"/>
    <s v="User Account"/>
    <n v="1"/>
    <s v="AtBelow"/>
    <s v="CC_Portal"/>
    <n v="0"/>
    <s v="MFC"/>
    <s v="IBMCA"/>
    <s v="ACTIVE ADVISORS AND ASSISTANTS"/>
    <n v="0"/>
    <n v="0"/>
  </r>
  <r>
    <s v="alex_buena@manulifesecurities.ca"/>
    <s v="MFC"/>
    <x v="0"/>
    <n v="570025"/>
    <n v="3"/>
    <d v="2017-09-25T08:34:56"/>
    <x v="0"/>
    <x v="5"/>
    <s v="r.florescu@manulifesecurities.ca"/>
    <n v="901062"/>
    <s v="User Account"/>
    <n v="1"/>
    <s v="AtBelow"/>
    <s v="CC_Portal"/>
    <n v="0"/>
    <s v="MFC"/>
    <s v="IBMCA"/>
    <s v="ACTIVE ADVISORS AND ASSISTANTS"/>
    <n v="0"/>
    <n v="0"/>
  </r>
  <r>
    <s v="alex_buena@manulifesecurities.ca"/>
    <s v="MFC"/>
    <x v="0"/>
    <n v="570025"/>
    <n v="3"/>
    <d v="2017-09-25T08:34:03"/>
    <x v="0"/>
    <x v="3"/>
    <s v="sinan.adlim@manulifesecurities.ca"/>
    <n v="897863"/>
    <s v="User Account"/>
    <n v="1"/>
    <s v="AtBelow"/>
    <s v="CC_Portal"/>
    <s v="Disable"/>
    <s v="MFC"/>
    <s v="IBMCA"/>
    <s v="DISABLED USERS"/>
    <n v="0"/>
    <n v="0"/>
  </r>
  <r>
    <s v="alex_buena@manulifesecurities.ca"/>
    <s v="MFC"/>
    <x v="0"/>
    <n v="570025"/>
    <n v="3"/>
    <d v="2017-09-25T08:31:24"/>
    <x v="0"/>
    <x v="4"/>
    <s v="sinan.adlim@manulifesecurities.ca"/>
    <n v="897863"/>
    <s v="User Account"/>
    <n v="1"/>
    <s v="AtBelow"/>
    <s v="CC_Portal"/>
    <s v="oldOrgGroup=ACTIVE ADVISORS AND ASSISTANTS;newOrgGroup=DISABLED USERS"/>
    <s v="MFC"/>
    <s v="IBMCA"/>
    <s v="DISABLED USERS"/>
    <n v="0"/>
    <n v="0"/>
  </r>
  <r>
    <s v="alex_buena@manulifesecurities.ca"/>
    <s v="MFC"/>
    <x v="0"/>
    <n v="570025"/>
    <n v="3"/>
    <d v="2017-09-25T08:30:10"/>
    <x v="0"/>
    <x v="5"/>
    <s v="sinan.adlim@manulifesecurities.ca"/>
    <n v="897863"/>
    <s v="User Account"/>
    <n v="1"/>
    <s v="AtBelow"/>
    <s v="CC_Portal"/>
    <n v="0"/>
    <s v="MFC"/>
    <s v="IBMCA"/>
    <s v="ACTIVE ADVISORS AND ASSISTANTS"/>
    <n v="0"/>
    <n v="0"/>
  </r>
  <r>
    <s v="alex_buena@manulifesecurities.ca"/>
    <s v="MFC"/>
    <x v="0"/>
    <n v="570025"/>
    <n v="3"/>
    <d v="2017-09-25T08:30:09"/>
    <x v="4"/>
    <x v="6"/>
    <s v="MSI_autoEmailArchive@manulifesecurities.ca"/>
    <n v="561482"/>
    <s v="Distribution List"/>
    <n v="1"/>
    <s v="Any"/>
    <s v="CC_Portal"/>
    <s v="96037471f012487e84b4fbd07a0ab4fb"/>
    <s v="MFC"/>
    <s v="IBMCA"/>
    <s v="ALL GROUPS"/>
    <n v="0"/>
    <n v="0"/>
  </r>
  <r>
    <s v="alex_buena@manulifesecurities.ca"/>
    <s v="MFC"/>
    <x v="0"/>
    <n v="570025"/>
    <n v="3"/>
    <d v="2017-09-25T08:30:07"/>
    <x v="4"/>
    <x v="6"/>
    <s v="AllAssistants@manulifesecurities.ca"/>
    <n v="555660"/>
    <s v="Distribution List"/>
    <n v="1"/>
    <s v="Any"/>
    <s v="CC_Portal"/>
    <s v="96037471f012487e84b4fbd07a0ab4fb"/>
    <s v="MFC"/>
    <s v="IBMCA"/>
    <s v="ALL GROUPS"/>
    <n v="0"/>
    <n v="0"/>
  </r>
  <r>
    <s v="alex_buena@manulifesecurities.ca"/>
    <s v="MFC"/>
    <x v="0"/>
    <n v="570025"/>
    <n v="3"/>
    <d v="2017-09-25T08:29:40"/>
    <x v="0"/>
    <x v="5"/>
    <s v="sinan.adlim@manulifesecurities.ca"/>
    <n v="897863"/>
    <s v="User Account"/>
    <n v="1"/>
    <s v="AtBelow"/>
    <s v="CC_Portal"/>
    <n v="0"/>
    <s v="MFC"/>
    <s v="IBMCA"/>
    <s v="ACTIVE ADVISORS AND ASSISTANTS"/>
    <n v="0"/>
    <n v="0"/>
  </r>
  <r>
    <s v="alex_buena@manulifesecurities.ca"/>
    <s v="MFC"/>
    <x v="0"/>
    <n v="570025"/>
    <n v="3"/>
    <d v="2017-09-25T08:29:35"/>
    <x v="0"/>
    <x v="5"/>
    <s v="sinan.adlim@manulifesecurities.ca"/>
    <n v="897863"/>
    <s v="User Account"/>
    <n v="1"/>
    <s v="AtBelow"/>
    <s v="CC_Portal"/>
    <n v="0"/>
    <s v="MFC"/>
    <s v="IBMCA"/>
    <s v="ACTIVE ADVISORS AND ASSISTANTS"/>
    <n v="0"/>
    <n v="0"/>
  </r>
  <r>
    <s v="ssotest@mfc.sps.local"/>
    <s v="MFC"/>
    <x v="0"/>
    <n v="551367"/>
    <n v="1000"/>
    <d v="2017-09-25T08:25:45"/>
    <x v="0"/>
    <x v="0"/>
    <s v="juliana.casey@manulifesecurities.ca"/>
    <n v="639359"/>
    <s v="User Account"/>
    <n v="1"/>
    <s v="AtBelow"/>
    <s v="CC_Portal"/>
    <n v="0"/>
    <s v="MFC"/>
    <s v="IBMCA"/>
    <s v="ACTIVE ADVISORS AND ASSISTANTS"/>
    <n v="0"/>
    <n v="0"/>
  </r>
  <r>
    <s v="ssotest@mfc.sps.local"/>
    <s v="MFC"/>
    <x v="0"/>
    <n v="551367"/>
    <n v="1000"/>
    <d v="2017-09-24T13:24:41"/>
    <x v="0"/>
    <x v="0"/>
    <s v="Catherine.Solski@manulifesecurities.ca"/>
    <n v="552082"/>
    <s v="User Account"/>
    <n v="1"/>
    <s v="AtBelow"/>
    <s v="CC_Portal"/>
    <n v="0"/>
    <s v="MFC"/>
    <s v="IBMCA"/>
    <s v="ACTIVE ADVISORS AND ASSISTANTS"/>
    <n v="0"/>
    <n v="0"/>
  </r>
  <r>
    <s v="ssotest@mfc.sps.local"/>
    <s v="MFC"/>
    <x v="0"/>
    <n v="551367"/>
    <n v="1000"/>
    <d v="2017-09-24T12:47:25"/>
    <x v="0"/>
    <x v="0"/>
    <s v="Anthony.Henry@manulifesecurities.ca"/>
    <n v="551850"/>
    <s v="User Account"/>
    <n v="1"/>
    <s v="AtBelow"/>
    <s v="CC_Portal"/>
    <n v="0"/>
    <s v="MFC"/>
    <s v="IBMCA"/>
    <s v="ACTIVE ADVISORS AND ASSISTANTS"/>
    <n v="0"/>
    <n v="0"/>
  </r>
  <r>
    <s v="ssotest@mfc.sps.local"/>
    <s v="MFC"/>
    <x v="0"/>
    <n v="551367"/>
    <n v="1000"/>
    <d v="2017-09-23T12:47:14"/>
    <x v="0"/>
    <x v="0"/>
    <s v="Bruce.Ewen@manulifesecurities.ca"/>
    <n v="552014"/>
    <s v="User Account"/>
    <n v="1"/>
    <s v="AtBelow"/>
    <s v="CC_Portal"/>
    <n v="0"/>
    <s v="MFC"/>
    <s v="IBMCA"/>
    <s v="ACTIVE ADVISORS AND ASSISTANTS"/>
    <n v="0"/>
    <n v="0"/>
  </r>
  <r>
    <s v="ssotest@mfc.sps.local"/>
    <s v="MFC"/>
    <x v="0"/>
    <n v="551367"/>
    <n v="1000"/>
    <d v="2017-09-23T10:36:10"/>
    <x v="0"/>
    <x v="0"/>
    <s v="Serge.Chamoun@manulifesecurities.ca"/>
    <n v="553965"/>
    <s v="User Account"/>
    <n v="1"/>
    <s v="AtBelow"/>
    <s v="CC_Portal"/>
    <n v="0"/>
    <s v="MFC"/>
    <s v="IBMCA"/>
    <s v="ACTIVE ADVISORS AND ASSISTANTS"/>
    <n v="0"/>
    <n v="0"/>
  </r>
  <r>
    <s v="ssotest@mfc.sps.local"/>
    <s v="MFC"/>
    <x v="0"/>
    <n v="551367"/>
    <n v="1000"/>
    <d v="2017-09-23T09:24:18"/>
    <x v="0"/>
    <x v="0"/>
    <s v="jason.liu@manulifesecurities.ca"/>
    <n v="680671"/>
    <s v="User Account"/>
    <n v="1"/>
    <s v="AtBelow"/>
    <s v="CC_Portal"/>
    <n v="0"/>
    <s v="MFC"/>
    <s v="IBMCA"/>
    <s v="ACTIVE ADVISORS AND ASSISTANTS"/>
    <n v="0"/>
    <n v="0"/>
  </r>
  <r>
    <s v="ssotest@mfc.sps.local"/>
    <s v="MFC"/>
    <x v="0"/>
    <n v="551367"/>
    <n v="1000"/>
    <d v="2017-09-23T09:10:22"/>
    <x v="0"/>
    <x v="0"/>
    <s v="Chris.Valardo@manulifesecurities.ca"/>
    <n v="552135"/>
    <s v="User Account"/>
    <n v="1"/>
    <s v="AtBelow"/>
    <s v="CC_Portal"/>
    <n v="0"/>
    <s v="MFC"/>
    <s v="IBMCA"/>
    <s v="ACTIVE ADVISORS AND ASSISTANTS"/>
    <n v="0"/>
    <n v="0"/>
  </r>
  <r>
    <s v="crystal.parkinson@manulifesecurities.ca"/>
    <s v="MFC"/>
    <x v="0"/>
    <n v="637976"/>
    <n v="1"/>
    <d v="2017-09-22T19:35:43"/>
    <x v="2"/>
    <x v="1"/>
    <s v="crystal.parkinson@manulifesecurities.ca"/>
    <n v="637976"/>
    <s v="User Account"/>
    <n v="0"/>
    <s v="Deny"/>
    <s v="CC_Portal"/>
    <n v="0"/>
    <s v="MFC"/>
    <s v="IBMCA"/>
    <s v="ACTIVE ADVISORS AND ASSISTANTS"/>
    <n v="0"/>
    <n v="0"/>
  </r>
  <r>
    <s v="crystal.parkinson@manulifesecurities.ca"/>
    <s v="MFC"/>
    <x v="0"/>
    <n v="637976"/>
    <n v="1"/>
    <d v="2017-09-22T19:35:42"/>
    <x v="1"/>
    <x v="1"/>
    <s v="crystal.parkinson@manulifesecurities.ca"/>
    <n v="637976"/>
    <s v="User Account"/>
    <n v="0"/>
    <s v="Deny"/>
    <s v="CC_Portal"/>
    <n v="0"/>
    <s v="MFC"/>
    <s v="IBMCA"/>
    <s v="ACTIVE ADVISORS AND ASSISTANTS"/>
    <n v="0"/>
    <n v="0"/>
  </r>
  <r>
    <s v="crystal.parkinson@manulifesecurities.ca"/>
    <s v="MFC"/>
    <x v="0"/>
    <n v="637976"/>
    <n v="1"/>
    <d v="2017-09-22T18:09:36"/>
    <x v="1"/>
    <x v="1"/>
    <s v="crystal.parkinson@manulifesecurities.ca"/>
    <n v="637976"/>
    <s v="User Account"/>
    <n v="0"/>
    <s v="Deny"/>
    <s v="CC_Portal"/>
    <n v="0"/>
    <s v="MFC"/>
    <s v="IBMCA"/>
    <s v="ACTIVE ADVISORS AND ASSISTANTS"/>
    <n v="0"/>
    <n v="0"/>
  </r>
  <r>
    <s v="crystal.parkinson@manulifesecurities.ca"/>
    <s v="MFC"/>
    <x v="0"/>
    <n v="637976"/>
    <n v="1"/>
    <d v="2017-09-22T18:09:36"/>
    <x v="2"/>
    <x v="1"/>
    <s v="crystal.parkinson@manulifesecurities.ca"/>
    <n v="637976"/>
    <s v="User Account"/>
    <n v="0"/>
    <s v="Deny"/>
    <s v="CC_Portal"/>
    <n v="0"/>
    <s v="MFC"/>
    <s v="IBMCA"/>
    <s v="ACTIVE ADVISORS AND ASSISTANTS"/>
    <n v="0"/>
    <n v="0"/>
  </r>
  <r>
    <s v="ssotest@mfc.sps.local"/>
    <s v="MFC"/>
    <x v="0"/>
    <n v="551367"/>
    <n v="1000"/>
    <d v="2017-09-22T17:42:46"/>
    <x v="0"/>
    <x v="0"/>
    <s v="Debbie.Vlahovic@manulifesecurities.ca"/>
    <n v="552340"/>
    <s v="User Account"/>
    <n v="1"/>
    <s v="AtBelow"/>
    <s v="CC_Portal"/>
    <n v="0"/>
    <s v="MFC"/>
    <s v="IBMCA"/>
    <s v="ACTIVE ADVISORS AND ASSISTANTS"/>
    <n v="0"/>
    <n v="0"/>
  </r>
  <r>
    <s v="ssotest@mfc.sps.local"/>
    <s v="MFC"/>
    <x v="0"/>
    <n v="551367"/>
    <n v="1000"/>
    <d v="2017-09-22T17:05:34"/>
    <x v="0"/>
    <x v="0"/>
    <s v="Kyler.Smith@manulifesecurities.ca"/>
    <n v="553138"/>
    <s v="User Account"/>
    <n v="1"/>
    <s v="AtBelow"/>
    <s v="CC_Portal"/>
    <n v="0"/>
    <s v="MFC"/>
    <s v="IBMCA"/>
    <s v="ACTIVE ADVISORS AND ASSISTANTS"/>
    <n v="0"/>
    <n v="0"/>
  </r>
  <r>
    <s v="ssotest@mfc.sps.local"/>
    <s v="MFC"/>
    <x v="0"/>
    <n v="551367"/>
    <n v="1000"/>
    <d v="2017-09-22T16:30:30"/>
    <x v="0"/>
    <x v="0"/>
    <s v="Michele.Hendriks@manulifesecurities.ca"/>
    <n v="553516"/>
    <s v="User Account"/>
    <n v="1"/>
    <s v="AtBelow"/>
    <s v="CC_Portal"/>
    <n v="0"/>
    <s v="MFC"/>
    <s v="IBMCA"/>
    <s v="ACTIVE ADVISORS AND ASSISTANTS"/>
    <n v="0"/>
    <n v="0"/>
  </r>
  <r>
    <s v="jody.markovic@manulifesecurities.ca"/>
    <s v="MFC"/>
    <x v="0"/>
    <n v="560579"/>
    <n v="3"/>
    <d v="2017-09-22T16:25:56"/>
    <x v="3"/>
    <x v="2"/>
    <s v="stephen.forsey@manulifesecurities.ca"/>
    <n v="812709"/>
    <s v="User Account"/>
    <n v="1"/>
    <s v="AtBelow"/>
    <s v="CC_WebService"/>
    <m/>
    <s v="MFC"/>
    <s v="IBMCA"/>
    <s v="ACTIVE ADVISORS AND ASSISTANTS"/>
    <n v="0"/>
    <n v="0"/>
  </r>
  <r>
    <s v="jody.markovic@manulifesecurities.ca"/>
    <s v="MFC"/>
    <x v="0"/>
    <n v="560579"/>
    <n v="3"/>
    <d v="2017-09-22T16:23:57"/>
    <x v="3"/>
    <x v="2"/>
    <s v="stephen.forsey@manulifesecurities.ca"/>
    <n v="812709"/>
    <s v="User Account"/>
    <n v="1"/>
    <s v="AtBelow"/>
    <s v="CC_WebService"/>
    <m/>
    <s v="MFC"/>
    <s v="IBMCA"/>
    <s v="ACTIVE ADVISORS AND ASSISTANTS"/>
    <n v="0"/>
    <n v="0"/>
  </r>
  <r>
    <s v="jody.markovic@manulifesecurities.ca"/>
    <s v="MFC"/>
    <x v="0"/>
    <n v="560579"/>
    <n v="3"/>
    <d v="2017-09-22T16:22:20"/>
    <x v="3"/>
    <x v="2"/>
    <s v="stephen.forsey@manulifesecurities.ca"/>
    <n v="812709"/>
    <s v="User Account"/>
    <n v="1"/>
    <s v="AtBelow"/>
    <s v="CC_WebService"/>
    <m/>
    <s v="MFC"/>
    <s v="IBMCA"/>
    <s v="ACTIVE ADVISORS AND ASSISTANTS"/>
    <n v="0"/>
    <n v="0"/>
  </r>
  <r>
    <s v="ssotest@mfc.sps.local"/>
    <s v="MFC"/>
    <x v="0"/>
    <n v="551367"/>
    <n v="1000"/>
    <d v="2017-09-22T16:10:37"/>
    <x v="0"/>
    <x v="0"/>
    <s v="David.Luke@manulifesecurities.ca"/>
    <n v="552297"/>
    <s v="User Account"/>
    <n v="1"/>
    <s v="AtBelow"/>
    <s v="CC_Portal"/>
    <n v="0"/>
    <s v="MFC"/>
    <s v="IBMCA"/>
    <s v="ACTIVE ADVISORS AND ASSISTANTS"/>
    <n v="0"/>
    <n v="0"/>
  </r>
  <r>
    <s v="ssotest@mfc.sps.local"/>
    <s v="MFC"/>
    <x v="0"/>
    <n v="551367"/>
    <n v="1000"/>
    <d v="2017-09-22T16:06:11"/>
    <x v="0"/>
    <x v="0"/>
    <s v="courtney.ramsay@manulifesecurities.ca"/>
    <n v="832005"/>
    <s v="User Account"/>
    <n v="1"/>
    <s v="AtBelow"/>
    <s v="CC_Portal"/>
    <n v="0"/>
    <s v="MFC"/>
    <s v="IBMCA"/>
    <s v="ACTIVE ADVISORS AND ASSISTANTS"/>
    <n v="0"/>
    <n v="0"/>
  </r>
  <r>
    <s v="ssotest@mfc.sps.local"/>
    <s v="MFC"/>
    <x v="0"/>
    <n v="551367"/>
    <n v="1000"/>
    <d v="2017-09-22T14:51:37"/>
    <x v="0"/>
    <x v="0"/>
    <s v="stephen.forsey@manulifesecurities.ca"/>
    <n v="812709"/>
    <s v="User Account"/>
    <n v="1"/>
    <s v="AtBelow"/>
    <s v="CC_Portal"/>
    <n v="0"/>
    <s v="MFC"/>
    <s v="IBMCA"/>
    <s v="ACTIVE ADVISORS AND ASSISTANTS"/>
    <n v="0"/>
    <n v="0"/>
  </r>
  <r>
    <s v="crystal.parkinson@manulifesecurities.ca"/>
    <s v="MFC"/>
    <x v="0"/>
    <n v="637976"/>
    <n v="1"/>
    <d v="2017-09-22T14:39:44"/>
    <x v="1"/>
    <x v="1"/>
    <s v="crystal.parkinson@manulifesecurities.ca"/>
    <n v="637976"/>
    <s v="User Account"/>
    <n v="0"/>
    <s v="Deny"/>
    <s v="CC_Portal"/>
    <n v="0"/>
    <s v="MFC"/>
    <s v="IBMCA"/>
    <s v="ACTIVE ADVISORS AND ASSISTANTS"/>
    <n v="0"/>
    <n v="0"/>
  </r>
  <r>
    <s v="crystal.parkinson@manulifesecurities.ca"/>
    <s v="MFC"/>
    <x v="0"/>
    <n v="637976"/>
    <n v="1"/>
    <d v="2017-09-22T14:39:44"/>
    <x v="2"/>
    <x v="1"/>
    <s v="crystal.parkinson@manulifesecurities.ca"/>
    <n v="637976"/>
    <s v="User Account"/>
    <n v="0"/>
    <s v="Deny"/>
    <s v="CC_Portal"/>
    <n v="0"/>
    <s v="MFC"/>
    <s v="IBMCA"/>
    <s v="ACTIVE ADVISORS AND ASSISTANTS"/>
    <n v="0"/>
    <n v="0"/>
  </r>
  <r>
    <s v="ssotest@mfc.sps.local"/>
    <s v="MFC"/>
    <x v="0"/>
    <n v="551367"/>
    <n v="1000"/>
    <d v="2017-09-22T14:31:33"/>
    <x v="0"/>
    <x v="0"/>
    <s v="Wanda.Walters@manulifesecurities.ca"/>
    <n v="554284"/>
    <s v="User Account"/>
    <n v="1"/>
    <s v="AtBelow"/>
    <s v="CC_Portal"/>
    <n v="0"/>
    <s v="MFC"/>
    <s v="IBMCA"/>
    <s v="ACTIVE ADVISORS AND ASSISTANTS"/>
    <n v="0"/>
    <n v="0"/>
  </r>
  <r>
    <s v="ssotest@mfc.sps.local"/>
    <s v="MFC"/>
    <x v="0"/>
    <n v="551367"/>
    <n v="1000"/>
    <d v="2017-09-22T14:30:48"/>
    <x v="0"/>
    <x v="0"/>
    <s v="Bruce.Templeton@manulifesecurities.ca"/>
    <n v="551693"/>
    <s v="User Account"/>
    <n v="1"/>
    <s v="AtBelow"/>
    <s v="CC_Portal"/>
    <n v="0"/>
    <s v="MFC"/>
    <s v="IBMCA"/>
    <s v="ACTIVE ADVISORS AND ASSISTANTS"/>
    <n v="0"/>
    <n v="0"/>
  </r>
  <r>
    <s v="michel.cormier@manulifesecurities.ca"/>
    <s v="MFC"/>
    <x v="0"/>
    <n v="560366"/>
    <n v="3"/>
    <d v="2017-09-22T14:25:53"/>
    <x v="3"/>
    <x v="2"/>
    <s v="c.simard@manulifesecurities.ca"/>
    <n v="909858"/>
    <s v="User Account"/>
    <n v="1"/>
    <s v="AtBelow"/>
    <s v="CC_WebService"/>
    <m/>
    <s v="MFC"/>
    <s v="IBMCA"/>
    <s v="ACTIVE ADVISORS AND ASSISTANTS"/>
    <n v="0"/>
    <n v="0"/>
  </r>
  <r>
    <s v="ssotest@mfc.sps.local"/>
    <s v="MFC"/>
    <x v="0"/>
    <n v="551367"/>
    <n v="1000"/>
    <d v="2017-09-22T14:21:50"/>
    <x v="0"/>
    <x v="0"/>
    <s v="c.simard@manulifesecurities.ca"/>
    <n v="909858"/>
    <s v="User Account"/>
    <n v="1"/>
    <s v="AtBelow"/>
    <s v="CC_Portal"/>
    <n v="0"/>
    <s v="MFC"/>
    <s v="IBMCA"/>
    <s v="ACTIVE ADVISORS AND ASSISTANTS"/>
    <n v="0"/>
    <n v="0"/>
  </r>
  <r>
    <s v="ssotest@mfc.sps.local"/>
    <s v="MFC"/>
    <x v="0"/>
    <n v="551367"/>
    <n v="1000"/>
    <d v="2017-09-22T13:54:21"/>
    <x v="0"/>
    <x v="0"/>
    <s v="Josh.Lane@manulifesecurities.ca"/>
    <n v="552955"/>
    <s v="User Account"/>
    <n v="1"/>
    <s v="AtBelow"/>
    <s v="CC_Portal"/>
    <n v="0"/>
    <s v="MFC"/>
    <s v="IBMCA"/>
    <s v="ACTIVE ADVISORS AND ASSISTANTS"/>
    <n v="0"/>
    <n v="0"/>
  </r>
  <r>
    <s v="alex_buena@manulifesecurities.ca"/>
    <s v="MFC"/>
    <x v="0"/>
    <n v="570025"/>
    <n v="3"/>
    <d v="2017-09-22T13:19:00"/>
    <x v="0"/>
    <x v="11"/>
    <s v="yue.l@manulifesecurities.ca"/>
    <n v="908518"/>
    <s v="User Account"/>
    <n v="1"/>
    <s v="SelfBelow"/>
    <s v="CC_Portal"/>
    <s v="oldEmail=juliette.lu@manulifesecurities.ca;newEmail=yue.l@manulifesecurities.ca"/>
    <s v="MFC"/>
    <s v="IBMCA"/>
    <s v="ACTIVE ADVISORS AND ASSISTANTS"/>
    <n v="0"/>
    <n v="0"/>
  </r>
  <r>
    <s v="alex_buena@manulifesecurities.ca"/>
    <s v="MFC"/>
    <x v="0"/>
    <n v="570025"/>
    <n v="3"/>
    <d v="2017-09-22T13:18:22"/>
    <x v="5"/>
    <x v="8"/>
    <s v="juliette.lu@manulifesecurities.ca"/>
    <n v="908518"/>
    <s v="User Account"/>
    <n v="1"/>
    <s v="SelfBelow"/>
    <s v="CC_Portal"/>
    <s v="AddedAliases=yue.l@manulifesecurities.ca"/>
    <s v="MFC"/>
    <s v="IBMCA"/>
    <s v="ACTIVE ADVISORS AND ASSISTANTS"/>
    <n v="0"/>
    <n v="0"/>
  </r>
  <r>
    <s v="ssotest@mfc.sps.local"/>
    <s v="MFC"/>
    <x v="0"/>
    <n v="551367"/>
    <n v="1000"/>
    <d v="2017-09-22T12:19:43"/>
    <x v="0"/>
    <x v="0"/>
    <s v="Suzanne.Martins@manulifesecurities.ca"/>
    <n v="554104"/>
    <s v="User Account"/>
    <n v="1"/>
    <s v="AtBelow"/>
    <s v="CC_Portal"/>
    <n v="0"/>
    <s v="MFC"/>
    <s v="IBMCA"/>
    <s v="ACTIVE ADVISORS AND ASSISTANTS"/>
    <n v="0"/>
    <n v="0"/>
  </r>
  <r>
    <s v="ssotest@mfc.sps.local"/>
    <s v="MFC"/>
    <x v="0"/>
    <n v="551367"/>
    <n v="1000"/>
    <d v="2017-09-22T11:32:08"/>
    <x v="0"/>
    <x v="0"/>
    <s v="Teresa.Wong@manulifesecurities.ca"/>
    <n v="554140"/>
    <s v="User Account"/>
    <n v="1"/>
    <s v="AtBelow"/>
    <s v="CC_Portal"/>
    <n v="0"/>
    <s v="MFC"/>
    <s v="IBMCA"/>
    <s v="ACTIVE ADVISORS AND ASSISTANTS"/>
    <n v="0"/>
    <n v="0"/>
  </r>
  <r>
    <s v="ssotest@mfc.sps.local"/>
    <s v="MFC"/>
    <x v="0"/>
    <n v="551367"/>
    <n v="1000"/>
    <d v="2017-09-22T11:31:40"/>
    <x v="0"/>
    <x v="0"/>
    <s v="Sarah.Fakhoury@manulifesecurities.ca"/>
    <n v="553940"/>
    <s v="User Account"/>
    <n v="1"/>
    <s v="AtBelow"/>
    <s v="CC_Portal"/>
    <n v="0"/>
    <s v="MFC"/>
    <s v="IBMCA"/>
    <s v="ACTIVE ADVISORS AND ASSISTANTS"/>
    <n v="0"/>
    <n v="0"/>
  </r>
  <r>
    <s v="ssotest@mfc.sps.local"/>
    <s v="MFC"/>
    <x v="0"/>
    <n v="551367"/>
    <n v="1000"/>
    <d v="2017-09-22T11:30:17"/>
    <x v="0"/>
    <x v="0"/>
    <s v="lindsay.clare@manulifesecurities.ca"/>
    <n v="560676"/>
    <s v="User Account"/>
    <n v="1"/>
    <s v="AtBelow"/>
    <s v="CC_Portal"/>
    <n v="0"/>
    <s v="MFC"/>
    <s v="IBMCA"/>
    <s v="DISABLED USERS"/>
    <n v="0"/>
    <n v="0"/>
  </r>
  <r>
    <s v="ssotest@mfc.sps.local"/>
    <s v="MFC"/>
    <x v="0"/>
    <n v="551367"/>
    <n v="1000"/>
    <d v="2017-09-22T11:26:54"/>
    <x v="0"/>
    <x v="0"/>
    <s v="John.McCulligh@manulifesecurities.ca"/>
    <n v="552914"/>
    <s v="User Account"/>
    <n v="1"/>
    <s v="AtBelow"/>
    <s v="CC_Portal"/>
    <n v="0"/>
    <s v="MFC"/>
    <s v="IBMCA"/>
    <s v="ACTIVE ADVISORS AND ASSISTANTS"/>
    <n v="0"/>
    <n v="0"/>
  </r>
  <r>
    <s v="ssotest@mfc.sps.local"/>
    <s v="MFC"/>
    <x v="0"/>
    <n v="551367"/>
    <n v="1000"/>
    <d v="2017-09-22T11:26:38"/>
    <x v="0"/>
    <x v="0"/>
    <s v="tarek.elrefaie@manulifesecurities.ca"/>
    <n v="811083"/>
    <s v="User Account"/>
    <n v="1"/>
    <s v="AtBelow"/>
    <s v="CC_Portal"/>
    <n v="0"/>
    <s v="MFC"/>
    <s v="IBMCA"/>
    <s v="ACTIVE ADVISORS AND ASSISTANTS"/>
    <n v="0"/>
    <n v="0"/>
  </r>
  <r>
    <s v="ssotest@mfc.sps.local"/>
    <s v="MFC"/>
    <x v="0"/>
    <n v="551367"/>
    <n v="1000"/>
    <d v="2017-09-22T11:11:22"/>
    <x v="0"/>
    <x v="0"/>
    <s v="Terry.Mancinelli@manulifesecurities.ca"/>
    <n v="554153"/>
    <s v="User Account"/>
    <n v="1"/>
    <s v="AtBelow"/>
    <s v="CC_Portal"/>
    <n v="0"/>
    <s v="MFC"/>
    <s v="IBMCA"/>
    <s v="ACTIVE ADVISORS AND ASSISTANTS"/>
    <n v="0"/>
    <n v="0"/>
  </r>
  <r>
    <s v="ssotest@mfc.sps.local"/>
    <s v="MFC"/>
    <x v="0"/>
    <n v="551367"/>
    <n v="1000"/>
    <d v="2017-09-22T11:08:28"/>
    <x v="0"/>
    <x v="0"/>
    <s v="Stephanie.Farrow@manulifesecurities.ca"/>
    <n v="554048"/>
    <s v="User Account"/>
    <n v="1"/>
    <s v="AtBelow"/>
    <s v="CC_Portal"/>
    <n v="0"/>
    <s v="MFC"/>
    <s v="IBMCA"/>
    <s v="ACTIVE ADVISORS AND ASSISTANTS"/>
    <n v="0"/>
    <n v="0"/>
  </r>
  <r>
    <s v="ssotest@mfc.sps.local"/>
    <s v="MFC"/>
    <x v="0"/>
    <n v="551367"/>
    <n v="1000"/>
    <d v="2017-09-22T10:35:00"/>
    <x v="0"/>
    <x v="0"/>
    <s v="Steven.Barnes@manulifesecurities.ca"/>
    <n v="554071"/>
    <s v="User Account"/>
    <n v="1"/>
    <s v="AtBelow"/>
    <s v="CC_Portal"/>
    <n v="0"/>
    <s v="MFC"/>
    <s v="IBMCA"/>
    <s v="ACTIVE ADVISORS AND ASSISTANTS"/>
    <n v="0"/>
    <n v="0"/>
  </r>
  <r>
    <s v="ssotest@mfc.sps.local"/>
    <s v="MFC"/>
    <x v="0"/>
    <n v="551367"/>
    <n v="1000"/>
    <d v="2017-09-22T10:17:36"/>
    <x v="0"/>
    <x v="0"/>
    <s v="terence.chu@manulifesecurities.ca"/>
    <n v="824471"/>
    <s v="User Account"/>
    <n v="1"/>
    <s v="AtBelow"/>
    <s v="CC_Portal"/>
    <n v="0"/>
    <s v="MFC"/>
    <s v="IBMCA"/>
    <s v="ACTIVE ADVISORS AND ASSISTANTS"/>
    <n v="0"/>
    <n v="0"/>
  </r>
  <r>
    <s v="ssotest@mfc.sps.local"/>
    <s v="MFC"/>
    <x v="0"/>
    <n v="551367"/>
    <n v="1000"/>
    <d v="2017-09-22T09:55:49"/>
    <x v="0"/>
    <x v="0"/>
    <s v="Sue.Rowe@manulifesecurities.ca"/>
    <n v="554087"/>
    <s v="User Account"/>
    <n v="1"/>
    <s v="AtBelow"/>
    <s v="CC_Portal"/>
    <n v="0"/>
    <s v="MFC"/>
    <s v="IBMCA"/>
    <s v="DISABLED USERS"/>
    <n v="0"/>
    <n v="0"/>
  </r>
  <r>
    <s v="ssotest@mfc.sps.local"/>
    <s v="MFC"/>
    <x v="0"/>
    <n v="551367"/>
    <n v="1000"/>
    <d v="2017-09-22T09:55:10"/>
    <x v="0"/>
    <x v="0"/>
    <s v="Sue.Rowe@manulifesecurities.ca"/>
    <n v="554087"/>
    <s v="User Account"/>
    <n v="1"/>
    <s v="AtBelow"/>
    <s v="CC_Portal"/>
    <n v="0"/>
    <s v="MFC"/>
    <s v="IBMCA"/>
    <s v="DISABLED USERS"/>
    <n v="0"/>
    <n v="0"/>
  </r>
  <r>
    <s v="ssotest@mfc.sps.local"/>
    <s v="MFC"/>
    <x v="0"/>
    <n v="551367"/>
    <n v="1000"/>
    <d v="2017-09-22T09:52:20"/>
    <x v="0"/>
    <x v="0"/>
    <s v="Silva.Vascotto@manulifesecurities.ca"/>
    <n v="569502"/>
    <s v="User Account"/>
    <n v="1"/>
    <s v="AtBelow"/>
    <s v="CC_Portal"/>
    <n v="0"/>
    <s v="MFC"/>
    <s v="IBMCA"/>
    <s v="ACTIVE ADVISORS AND ASSISTANTS"/>
    <n v="0"/>
    <n v="0"/>
  </r>
  <r>
    <s v="alex_buena@manulifesecurities.ca"/>
    <s v="MFC"/>
    <x v="0"/>
    <n v="570025"/>
    <n v="3"/>
    <d v="2017-09-22T09:45:33"/>
    <x v="0"/>
    <x v="12"/>
    <s v="sean.middaugh@manulifesecurities.ca"/>
    <n v="909910"/>
    <s v="User Account"/>
    <n v="1"/>
    <s v="AtBelow"/>
    <s v="CC_Portal"/>
    <n v="0"/>
    <s v="MFC"/>
    <s v="IBMCA"/>
    <s v="ACTIVE ADVISORS AND ASSISTANTS"/>
    <n v="0"/>
    <n v="0"/>
  </r>
  <r>
    <s v="alex_buena@manulifesecurities.ca"/>
    <s v="MFC"/>
    <x v="0"/>
    <n v="570025"/>
    <n v="3"/>
    <d v="2017-09-22T09:44:05"/>
    <x v="0"/>
    <x v="5"/>
    <s v="sean.middaugh@manulifesecurities.ca"/>
    <n v="909910"/>
    <s v="User Account"/>
    <n v="1"/>
    <s v="AtBelow"/>
    <s v="CC_Portal"/>
    <n v="0"/>
    <s v="MFC"/>
    <s v="IBMCA"/>
    <s v="ACTIVE ADVISORS AND ASSISTANTS"/>
    <n v="0"/>
    <n v="0"/>
  </r>
  <r>
    <s v="alex_buena@manulifesecurities.ca"/>
    <s v="MFC"/>
    <x v="0"/>
    <n v="570025"/>
    <n v="3"/>
    <d v="2017-09-22T09:44:04"/>
    <x v="5"/>
    <x v="6"/>
    <s v="MSI_autoEmailArchive@manulifesecurities.ca"/>
    <n v="561482"/>
    <s v="Distribution List"/>
    <n v="1"/>
    <s v="Any"/>
    <s v="CC_Portal"/>
    <s v="a1cf0be00ee6494aa9dd236133a6ddd4"/>
    <s v="MFC"/>
    <s v="IBMCA"/>
    <s v="ALL GROUPS"/>
    <n v="0"/>
    <n v="0"/>
  </r>
  <r>
    <s v="alex_buena@manulifesecurities.ca"/>
    <s v="MFC"/>
    <x v="0"/>
    <n v="570025"/>
    <n v="3"/>
    <d v="2017-09-22T09:44:03"/>
    <x v="5"/>
    <x v="6"/>
    <s v="AllAdvisors@manulifesecurities.ca"/>
    <n v="555659"/>
    <s v="Distribution List"/>
    <n v="1"/>
    <s v="Any"/>
    <s v="CC_Portal"/>
    <s v="a1cf0be00ee6494aa9dd236133a6ddd4"/>
    <s v="MFC"/>
    <s v="IBMCA"/>
    <s v="ALL GROUPS"/>
    <n v="0"/>
    <n v="0"/>
  </r>
  <r>
    <s v="alex_buena@manulifesecurities.ca"/>
    <s v="MFC"/>
    <x v="0"/>
    <n v="570025"/>
    <n v="3"/>
    <d v="2017-09-22T09:44:02"/>
    <x v="0"/>
    <x v="5"/>
    <s v="sean.middaugh@manulifesecurities.ca"/>
    <n v="909910"/>
    <s v="User Account"/>
    <n v="1"/>
    <s v="AtBelow"/>
    <s v="CC_Portal"/>
    <n v="0"/>
    <s v="MFC"/>
    <s v="IBMCA"/>
    <s v="ACTIVE ADVISORS AND ASSISTANTS"/>
    <n v="0"/>
    <n v="0"/>
  </r>
  <r>
    <s v="alex_buena@manulifesecurities.ca"/>
    <s v="MFC"/>
    <x v="0"/>
    <n v="570025"/>
    <n v="3"/>
    <d v="2017-09-22T09:42:30"/>
    <x v="0"/>
    <x v="5"/>
    <s v="sean.middaugh@manulifesecurities.ca"/>
    <n v="909910"/>
    <s v="User Account"/>
    <n v="1"/>
    <s v="AtBelow"/>
    <s v="CC_Portal"/>
    <n v="0"/>
    <s v="MFC"/>
    <s v="IBMCA"/>
    <s v="ACTIVE ADVISORS AND ASSISTANTS"/>
    <n v="0"/>
    <n v="0"/>
  </r>
  <r>
    <s v="alex_buena@manulifesecurities.ca"/>
    <s v="MFC"/>
    <x v="0"/>
    <n v="570025"/>
    <n v="3"/>
    <d v="2017-09-22T09:41:13"/>
    <x v="5"/>
    <x v="7"/>
    <s v="sean.middaugh@manulifesecurities.ca"/>
    <n v="909910"/>
    <s v="User Account"/>
    <n v="1"/>
    <s v="AtBelow"/>
    <s v="CC_Portal"/>
    <s v="PrimaryEmail=sean.middaugh@manulifesecurities.ca"/>
    <s v="MFC"/>
    <s v="IBMCA"/>
    <s v="ACTIVE ADVISORS AND ASSISTANTS"/>
    <n v="0"/>
    <n v="0"/>
  </r>
  <r>
    <s v="ssotest@mfc.sps.local"/>
    <s v="MFC"/>
    <x v="0"/>
    <n v="551367"/>
    <n v="1000"/>
    <d v="2017-09-22T09:35:54"/>
    <x v="0"/>
    <x v="0"/>
    <s v="Daniel.Tolmie@manulifesecurities.ca"/>
    <n v="552245"/>
    <s v="User Account"/>
    <n v="1"/>
    <s v="AtBelow"/>
    <s v="CC_Portal"/>
    <n v="0"/>
    <s v="MFC"/>
    <s v="IBMCA"/>
    <s v="ACTIVE ADVISORS AND ASSISTANTS"/>
    <n v="0"/>
    <n v="0"/>
  </r>
  <r>
    <s v="ssotest@mfc.sps.local"/>
    <s v="MFC"/>
    <x v="0"/>
    <n v="551367"/>
    <n v="1000"/>
    <d v="2017-09-22T09:29:05"/>
    <x v="0"/>
    <x v="0"/>
    <s v="Benjamin.Eby@manulifesecurities.ca"/>
    <n v="551911"/>
    <s v="User Account"/>
    <n v="1"/>
    <s v="AtBelow"/>
    <s v="CC_Portal"/>
    <n v="0"/>
    <s v="MFC"/>
    <s v="IBMCA"/>
    <s v="ACTIVE ADVISORS AND ASSISTANTS"/>
    <n v="0"/>
    <n v="0"/>
  </r>
  <r>
    <s v="ssotest@mfc.sps.local"/>
    <s v="MFC"/>
    <x v="0"/>
    <n v="551367"/>
    <n v="1000"/>
    <d v="2017-09-22T09:28:05"/>
    <x v="0"/>
    <x v="0"/>
    <s v="Thomas.Gicquel@manulifesecurities.ca"/>
    <n v="554174"/>
    <s v="User Account"/>
    <n v="1"/>
    <s v="AtBelow"/>
    <s v="CC_Portal"/>
    <n v="0"/>
    <s v="MFC"/>
    <s v="IBMCA"/>
    <s v="ACTIVE ADVISORS AND ASSISTANTS"/>
    <n v="0"/>
    <n v="0"/>
  </r>
  <r>
    <s v="ssotest@mfc.sps.local"/>
    <s v="MFC"/>
    <x v="0"/>
    <n v="551367"/>
    <n v="1000"/>
    <d v="2017-09-22T09:23:33"/>
    <x v="0"/>
    <x v="0"/>
    <s v="Stephen.Malone@manulifesecurities.ca"/>
    <n v="554063"/>
    <s v="User Account"/>
    <n v="1"/>
    <s v="AtBelow"/>
    <s v="CC_Portal"/>
    <n v="0"/>
    <s v="MFC"/>
    <s v="IBMCA"/>
    <s v="ACTIVE ADVISORS AND ASSISTANTS"/>
    <n v="0"/>
    <n v="0"/>
  </r>
  <r>
    <s v="cristian.bogdan@manulifesecurities.ca"/>
    <s v="MFC"/>
    <x v="0"/>
    <n v="560330"/>
    <n v="3"/>
    <d v="2017-09-22T09:23:08"/>
    <x v="3"/>
    <x v="2"/>
    <s v="Mickey.Carrozza@manulifesecurities.ca"/>
    <n v="553536"/>
    <s v="User Account"/>
    <n v="1"/>
    <s v="AtBelow"/>
    <s v="CC_WebService"/>
    <m/>
    <s v="MFC"/>
    <s v="IBMCA"/>
    <s v="ACTIVE ADVISORS AND ASSISTANTS"/>
    <n v="0"/>
    <n v="0"/>
  </r>
  <r>
    <s v="ssotest@mfc.sps.local"/>
    <s v="MFC"/>
    <x v="0"/>
    <n v="551367"/>
    <n v="1000"/>
    <d v="2017-09-22T09:16:25"/>
    <x v="0"/>
    <x v="0"/>
    <s v="andy.pauksens@manulifesecurities.ca"/>
    <n v="560274"/>
    <s v="User Account"/>
    <n v="1"/>
    <s v="AtBelow"/>
    <s v="CC_Portal"/>
    <n v="0"/>
    <s v="MFC"/>
    <s v="IBMCA"/>
    <s v="DISABLED USERS"/>
    <n v="0"/>
    <n v="0"/>
  </r>
  <r>
    <s v="ssotest@mfc.sps.local"/>
    <s v="MFC"/>
    <x v="0"/>
    <n v="551367"/>
    <n v="1000"/>
    <d v="2017-09-22T09:04:01"/>
    <x v="0"/>
    <x v="0"/>
    <s v="Bill.Noble@manulifesecurities.ca"/>
    <n v="551933"/>
    <s v="User Account"/>
    <n v="1"/>
    <s v="AtBelow"/>
    <s v="CC_Portal"/>
    <n v="0"/>
    <s v="MFC"/>
    <s v="IBMCA"/>
    <s v="ACTIVE ADVISORS AND ASSISTANTS"/>
    <n v="0"/>
    <n v="0"/>
  </r>
  <r>
    <s v="alex_buena@manulifesecurities.ca"/>
    <s v="MFC"/>
    <x v="0"/>
    <n v="570025"/>
    <n v="3"/>
    <d v="2017-09-22T08:59:03"/>
    <x v="0"/>
    <x v="3"/>
    <s v="wayne.mills@manulifesecurities.ca"/>
    <n v="624188"/>
    <s v="User Account"/>
    <n v="1"/>
    <s v="AtBelow"/>
    <s v="CC_Portal"/>
    <s v="Disable"/>
    <s v="MFC"/>
    <s v="IBMCA"/>
    <s v="DISABLED USERS"/>
    <n v="0"/>
    <n v="0"/>
  </r>
  <r>
    <s v="alex_buena@manulifesecurities.ca"/>
    <s v="MFC"/>
    <x v="0"/>
    <n v="570025"/>
    <n v="3"/>
    <d v="2017-09-22T08:53:20"/>
    <x v="0"/>
    <x v="5"/>
    <s v="wayne.mills@manulifesecurities.ca"/>
    <n v="624188"/>
    <s v="User Account"/>
    <n v="1"/>
    <s v="AtBelow"/>
    <s v="CC_Portal"/>
    <n v="0"/>
    <s v="MFC"/>
    <s v="IBMCA"/>
    <s v="DISABLED USERS"/>
    <n v="0"/>
    <n v="0"/>
  </r>
  <r>
    <s v="alex_buena@manulifesecurities.ca"/>
    <s v="MFC"/>
    <x v="0"/>
    <n v="570025"/>
    <n v="3"/>
    <d v="2017-09-22T08:53:19"/>
    <x v="4"/>
    <x v="6"/>
    <s v="MSI_autoEmailArchive@manulifesecurities.ca"/>
    <n v="561482"/>
    <s v="Distribution List"/>
    <n v="1"/>
    <s v="Any"/>
    <s v="CC_Portal"/>
    <s v="7d3c4c16ba664553926c0b515540f54a"/>
    <s v="MFC"/>
    <s v="IBMCA"/>
    <s v="ALL GROUPS"/>
    <n v="0"/>
    <n v="0"/>
  </r>
  <r>
    <s v="alex_buena@manulifesecurities.ca"/>
    <s v="MFC"/>
    <x v="0"/>
    <n v="570025"/>
    <n v="3"/>
    <d v="2017-09-22T08:53:18"/>
    <x v="4"/>
    <x v="6"/>
    <s v="AllAdvisors@manulifesecurities.ca"/>
    <n v="555659"/>
    <s v="Distribution List"/>
    <n v="1"/>
    <s v="Any"/>
    <s v="CC_Portal"/>
    <s v="7d3c4c16ba664553926c0b515540f54a"/>
    <s v="MFC"/>
    <s v="IBMCA"/>
    <s v="ALL GROUPS"/>
    <n v="0"/>
    <n v="0"/>
  </r>
  <r>
    <s v="alex_buena@manulifesecurities.ca"/>
    <s v="MFC"/>
    <x v="0"/>
    <n v="570025"/>
    <n v="3"/>
    <d v="2017-09-22T08:53:17"/>
    <x v="0"/>
    <x v="5"/>
    <s v="wayne.mills@manulifesecurities.ca"/>
    <n v="624188"/>
    <s v="User Account"/>
    <n v="1"/>
    <s v="AtBelow"/>
    <s v="CC_Portal"/>
    <n v="0"/>
    <s v="MFC"/>
    <s v="IBMCA"/>
    <s v="DISABLED USERS"/>
    <n v="0"/>
    <n v="0"/>
  </r>
  <r>
    <s v="alex_buena@manulifesecurities.ca"/>
    <s v="MFC"/>
    <x v="0"/>
    <n v="570025"/>
    <n v="3"/>
    <d v="2017-09-22T08:53:12"/>
    <x v="0"/>
    <x v="5"/>
    <s v="wayne.mills@manulifesecurities.ca"/>
    <n v="624188"/>
    <s v="User Account"/>
    <n v="1"/>
    <s v="AtBelow"/>
    <s v="CC_Portal"/>
    <n v="0"/>
    <s v="MFC"/>
    <s v="IBMCA"/>
    <s v="DISABLED USERS"/>
    <n v="0"/>
    <n v="0"/>
  </r>
  <r>
    <s v="alex_buena@manulifesecurities.ca"/>
    <s v="MFC"/>
    <x v="0"/>
    <n v="570025"/>
    <n v="3"/>
    <d v="2017-09-22T08:50:54"/>
    <x v="0"/>
    <x v="4"/>
    <s v="wayne.mills@manulifesecurities.ca"/>
    <n v="624188"/>
    <s v="User Account"/>
    <n v="1"/>
    <s v="AtBelow"/>
    <s v="CC_Portal"/>
    <s v="oldOrgGroup=ACTIVE ADVISORS AND ASSISTANTS;newOrgGroup=DISABLED USERS"/>
    <s v="MFC"/>
    <s v="IBMCA"/>
    <s v="DISABLED USERS"/>
    <n v="0"/>
    <n v="0"/>
  </r>
  <r>
    <s v="ssotest@mfc.sps.local"/>
    <s v="MFC"/>
    <x v="0"/>
    <n v="551367"/>
    <n v="1000"/>
    <d v="2017-09-22T08:46:16"/>
    <x v="0"/>
    <x v="0"/>
    <s v="stephanie.sciacca@manulifesecurities.ca"/>
    <n v="863244"/>
    <s v="User Account"/>
    <n v="1"/>
    <s v="AtBelow"/>
    <s v="CC_Portal"/>
    <n v="0"/>
    <s v="MFC"/>
    <s v="IBMCA"/>
    <s v="ACTIVE ADVISORS AND ASSISTANTS"/>
    <n v="0"/>
    <n v="0"/>
  </r>
  <r>
    <s v="alex_buena@manulifesecurities.ca"/>
    <s v="MFC"/>
    <x v="0"/>
    <n v="570025"/>
    <n v="3"/>
    <d v="2017-09-22T08:12:55"/>
    <x v="0"/>
    <x v="3"/>
    <s v="nicole.koszela@manulifesecurities.ca"/>
    <n v="729040"/>
    <s v="User Account"/>
    <n v="1"/>
    <s v="AtBelow"/>
    <s v="CC_Portal"/>
    <s v="Disable"/>
    <s v="MFC"/>
    <s v="IBMCA"/>
    <s v="DISABLED USERS"/>
    <n v="0"/>
    <n v="0"/>
  </r>
  <r>
    <s v="ssotest@mfc.sps.local"/>
    <s v="MFC"/>
    <x v="0"/>
    <n v="551367"/>
    <n v="1000"/>
    <d v="2017-09-22T08:11:26"/>
    <x v="0"/>
    <x v="0"/>
    <s v="Shawn.Basaraba@manulifesecurities.ca"/>
    <n v="553989"/>
    <s v="User Account"/>
    <n v="1"/>
    <s v="AtBelow"/>
    <s v="CC_Portal"/>
    <n v="0"/>
    <s v="MFC"/>
    <s v="IBMCA"/>
    <s v="ACTIVE ADVISORS AND ASSISTANTS"/>
    <n v="0"/>
    <n v="0"/>
  </r>
  <r>
    <s v="alex_buena@manulifesecurities.ca"/>
    <s v="MFC"/>
    <x v="0"/>
    <n v="570025"/>
    <n v="3"/>
    <d v="2017-09-22T08:09:13"/>
    <x v="4"/>
    <x v="6"/>
    <s v="MSI_autoEmailArchive@manulifesecurities.ca"/>
    <n v="561482"/>
    <s v="Distribution List"/>
    <n v="1"/>
    <s v="Any"/>
    <s v="CC_Portal"/>
    <s v="b52c4c588d3242eaa3209582f5825d16"/>
    <s v="MFC"/>
    <s v="IBMCA"/>
    <s v="ALL GROUPS"/>
    <n v="0"/>
    <n v="0"/>
  </r>
  <r>
    <s v="alex_buena@manulifesecurities.ca"/>
    <s v="MFC"/>
    <x v="0"/>
    <n v="570025"/>
    <n v="3"/>
    <d v="2017-09-22T08:09:13"/>
    <x v="0"/>
    <x v="5"/>
    <s v="nicole.koszela@manulifesecurities.ca"/>
    <n v="729040"/>
    <s v="User Account"/>
    <n v="1"/>
    <s v="AtBelow"/>
    <s v="CC_Portal"/>
    <n v="0"/>
    <s v="MFC"/>
    <s v="IBMCA"/>
    <s v="DISABLED USERS"/>
    <n v="0"/>
    <n v="0"/>
  </r>
  <r>
    <s v="alex_buena@manulifesecurities.ca"/>
    <s v="MFC"/>
    <x v="0"/>
    <n v="570025"/>
    <n v="3"/>
    <d v="2017-09-22T08:09:12"/>
    <x v="4"/>
    <x v="6"/>
    <s v="AllAssistants@manulifesecurities.ca"/>
    <n v="555660"/>
    <s v="Distribution List"/>
    <n v="1"/>
    <s v="Any"/>
    <s v="CC_Portal"/>
    <s v="b52c4c588d3242eaa3209582f5825d16"/>
    <s v="MFC"/>
    <s v="IBMCA"/>
    <s v="ALL GROUPS"/>
    <n v="0"/>
    <n v="0"/>
  </r>
  <r>
    <s v="alex_buena@manulifesecurities.ca"/>
    <s v="MFC"/>
    <x v="0"/>
    <n v="570025"/>
    <n v="3"/>
    <d v="2017-09-22T08:09:09"/>
    <x v="0"/>
    <x v="5"/>
    <s v="nicole.koszela@manulifesecurities.ca"/>
    <n v="729040"/>
    <s v="User Account"/>
    <n v="1"/>
    <s v="AtBelow"/>
    <s v="CC_Portal"/>
    <n v="0"/>
    <s v="MFC"/>
    <s v="IBMCA"/>
    <s v="DISABLED USERS"/>
    <n v="0"/>
    <n v="0"/>
  </r>
  <r>
    <s v="alex_buena@manulifesecurities.ca"/>
    <s v="MFC"/>
    <x v="0"/>
    <n v="570025"/>
    <n v="3"/>
    <d v="2017-09-22T08:08:39"/>
    <x v="0"/>
    <x v="5"/>
    <s v="nicole.koszela@manulifesecurities.ca"/>
    <n v="729040"/>
    <s v="User Account"/>
    <n v="1"/>
    <s v="AtBelow"/>
    <s v="CC_Portal"/>
    <n v="0"/>
    <s v="MFC"/>
    <s v="IBMCA"/>
    <s v="DISABLED USERS"/>
    <n v="0"/>
    <n v="0"/>
  </r>
  <r>
    <s v="alex_buena@manulifesecurities.ca"/>
    <s v="MFC"/>
    <x v="0"/>
    <n v="570025"/>
    <n v="3"/>
    <d v="2017-09-22T08:07:55"/>
    <x v="0"/>
    <x v="4"/>
    <s v="nicole.koszela@manulifesecurities.ca"/>
    <n v="729040"/>
    <s v="User Account"/>
    <n v="1"/>
    <s v="AtBelow"/>
    <s v="CC_Portal"/>
    <s v="oldOrgGroup=ACTIVE ADVISORS AND ASSISTANTS;newOrgGroup=DISABLED USERS"/>
    <s v="MFC"/>
    <s v="IBMCA"/>
    <s v="DISABLED USERS"/>
    <n v="0"/>
    <n v="0"/>
  </r>
  <r>
    <s v="ssotest@mfc.sps.local"/>
    <s v="MFC"/>
    <x v="0"/>
    <n v="551367"/>
    <n v="1000"/>
    <d v="2017-09-22T07:54:02"/>
    <x v="0"/>
    <x v="0"/>
    <s v="Mickey.Carrozza@manulifesecurities.ca"/>
    <n v="553536"/>
    <s v="User Account"/>
    <n v="1"/>
    <s v="AtBelow"/>
    <s v="CC_Portal"/>
    <n v="0"/>
    <s v="MFC"/>
    <s v="IBMCA"/>
    <s v="ACTIVE ADVISORS AND ASSISTANTS"/>
    <n v="0"/>
    <n v="0"/>
  </r>
  <r>
    <s v="ssotest@mfc.sps.local"/>
    <s v="MFC"/>
    <x v="0"/>
    <n v="551367"/>
    <n v="1000"/>
    <d v="2017-09-22T07:11:01"/>
    <x v="0"/>
    <x v="0"/>
    <s v="elliot.baker@manulifesecurities.ca"/>
    <n v="811786"/>
    <s v="User Account"/>
    <n v="1"/>
    <s v="AtBelow"/>
    <s v="CC_Portal"/>
    <n v="0"/>
    <s v="MFC"/>
    <s v="IBMCA"/>
    <s v="ACTIVE ADVISORS AND ASSISTANTS"/>
    <n v="0"/>
    <n v="0"/>
  </r>
  <r>
    <s v="ssotest@mfc.sps.local"/>
    <s v="MFC"/>
    <x v="0"/>
    <n v="551367"/>
    <n v="1000"/>
    <d v="2017-09-22T02:14:08"/>
    <x v="0"/>
    <x v="0"/>
    <s v="Matthew.Bowyer@manulifesecurities.ca"/>
    <n v="553422"/>
    <s v="User Account"/>
    <n v="1"/>
    <s v="AtBelow"/>
    <s v="CC_Portal"/>
    <n v="0"/>
    <s v="MFC"/>
    <s v="IBMCA"/>
    <s v="ACTIVE ADVISORS AND ASSISTANTS"/>
    <n v="0"/>
    <n v="0"/>
  </r>
  <r>
    <s v="ssotest@mfc.sps.local"/>
    <s v="MFC"/>
    <x v="0"/>
    <n v="551367"/>
    <n v="1000"/>
    <d v="2017-09-22T02:14:08"/>
    <x v="0"/>
    <x v="0"/>
    <s v="Matthew.Bowyer@manulifesecurities.ca"/>
    <n v="553422"/>
    <s v="User Account"/>
    <n v="1"/>
    <s v="AtBelow"/>
    <s v="CC_Portal"/>
    <n v="0"/>
    <s v="MFC"/>
    <s v="IBMCA"/>
    <s v="ACTIVE ADVISORS AND ASSISTANTS"/>
    <n v="0"/>
    <n v="0"/>
  </r>
  <r>
    <s v="adiano.kitenge@manulifesecurities.ca"/>
    <s v="MFC"/>
    <x v="0"/>
    <n v="627566"/>
    <n v="3"/>
    <d v="2017-09-21T17:37:28"/>
    <x v="3"/>
    <x v="2"/>
    <s v="Jim.Wilson@manulifesecurities.ca"/>
    <n v="552855"/>
    <s v="User Account"/>
    <n v="1"/>
    <s v="AtBelow"/>
    <s v="CC_WebService"/>
    <m/>
    <s v="MFC"/>
    <s v="IBMCA"/>
    <s v="ACTIVE ADVISORS AND ASSISTANTS"/>
    <n v="0"/>
    <n v="0"/>
  </r>
  <r>
    <s v="adiano.kitenge@manulifesecurities.ca"/>
    <s v="MFC"/>
    <x v="0"/>
    <n v="627566"/>
    <n v="3"/>
    <d v="2017-09-21T17:37:00"/>
    <x v="0"/>
    <x v="3"/>
    <s v="Jim.Wilson@manulifesecurities.ca"/>
    <n v="552855"/>
    <s v="User Account"/>
    <n v="1"/>
    <s v="SelfBelow"/>
    <s v="CC_Portal"/>
    <s v="Enable"/>
    <s v="MFC"/>
    <s v="IBMCA"/>
    <s v="ACTIVE ADVISORS AND ASSISTANTS"/>
    <n v="0"/>
    <n v="0"/>
  </r>
  <r>
    <s v="adiano.kitenge@manulifesecurities.ca"/>
    <s v="MFC"/>
    <x v="0"/>
    <n v="627566"/>
    <n v="3"/>
    <d v="2017-09-21T17:37:00"/>
    <x v="0"/>
    <x v="3"/>
    <s v="Jim.Wilson@manulifesecurities.ca"/>
    <n v="552855"/>
    <s v="User Account"/>
    <n v="1"/>
    <s v="SelfBelow"/>
    <s v="CC_Portal"/>
    <s v="Enable"/>
    <s v="MFC"/>
    <s v="IBMCA"/>
    <s v="ACTIVE ADVISORS AND ASSISTANTS"/>
    <n v="0"/>
    <n v="0"/>
  </r>
  <r>
    <s v="adiano.kitenge@manulifesecurities.ca"/>
    <s v="MFC"/>
    <x v="0"/>
    <n v="627566"/>
    <n v="3"/>
    <d v="2017-09-21T17:37:00"/>
    <x v="0"/>
    <x v="3"/>
    <s v="Jim.Wilson@manulifesecurities.ca"/>
    <n v="552855"/>
    <s v="User Account"/>
    <n v="1"/>
    <s v="SelfBelow"/>
    <s v="CC_Portal"/>
    <s v="Enable"/>
    <s v="MFC"/>
    <s v="IBMCA"/>
    <s v="ACTIVE ADVISORS AND ASSISTANTS"/>
    <n v="0"/>
    <n v="0"/>
  </r>
  <r>
    <s v="ssotest@mfc.sps.local"/>
    <s v="MFC"/>
    <x v="0"/>
    <n v="551367"/>
    <n v="1000"/>
    <d v="2017-09-21T16:03:44"/>
    <x v="0"/>
    <x v="0"/>
    <s v="John.Macialek@manulifesecurities.ca"/>
    <n v="552911"/>
    <s v="User Account"/>
    <n v="1"/>
    <s v="AtBelow"/>
    <s v="CC_Portal"/>
    <n v="0"/>
    <s v="MFC"/>
    <s v="IBMCA"/>
    <s v="ACTIVE ADVISORS AND ASSISTANTS"/>
    <n v="0"/>
    <n v="0"/>
  </r>
  <r>
    <s v="ssotest@mfc.sps.local"/>
    <s v="MFC"/>
    <x v="0"/>
    <n v="551367"/>
    <n v="1000"/>
    <d v="2017-09-21T16:00:43"/>
    <x v="0"/>
    <x v="0"/>
    <s v="Larry.Reid@manulifesecurities.ca"/>
    <n v="553150"/>
    <s v="User Account"/>
    <n v="1"/>
    <s v="AtBelow"/>
    <s v="CC_Portal"/>
    <n v="0"/>
    <s v="MFC"/>
    <s v="IBMCA"/>
    <s v="ACTIVE ADVISORS AND ASSISTANTS"/>
    <n v="0"/>
    <n v="0"/>
  </r>
  <r>
    <s v="ssotest@mfc.sps.local"/>
    <s v="MFC"/>
    <x v="0"/>
    <n v="551367"/>
    <n v="1000"/>
    <d v="2017-09-21T15:35:20"/>
    <x v="0"/>
    <x v="0"/>
    <s v="Massimo.Spano@manulifesecurities.ca"/>
    <n v="553414"/>
    <s v="User Account"/>
    <n v="1"/>
    <s v="AtBelow"/>
    <s v="CC_Portal"/>
    <n v="0"/>
    <s v="MFC"/>
    <s v="IBMCA"/>
    <s v="ACTIVE ADVISORS AND ASSISTANTS"/>
    <n v="0"/>
    <n v="0"/>
  </r>
  <r>
    <s v="jody.markovic@manulifesecurities.ca"/>
    <s v="MFC"/>
    <x v="0"/>
    <n v="560579"/>
    <n v="3"/>
    <d v="2017-09-21T15:18:35"/>
    <x v="0"/>
    <x v="9"/>
    <s v="Gilda.GomesdaCosta@manulifesecurities.ca"/>
    <n v="552586"/>
    <s v="User Account"/>
    <n v="1"/>
    <s v="AtBelow"/>
    <s v="CC_Portal"/>
    <s v="Enable"/>
    <s v="MFC"/>
    <s v="IBMCA"/>
    <s v="ACTIVE ADVISORS AND ASSISTANTS"/>
    <n v="0"/>
    <n v="0"/>
  </r>
  <r>
    <s v="jody.markovic@manulifesecurities.ca"/>
    <s v="MFC"/>
    <x v="0"/>
    <n v="560579"/>
    <n v="3"/>
    <d v="2017-09-21T15:18:18"/>
    <x v="3"/>
    <x v="2"/>
    <s v="Gilda.GomesdaCosta@manulifesecurities.ca"/>
    <n v="552586"/>
    <s v="User Account"/>
    <n v="1"/>
    <s v="AtBelow"/>
    <s v="CC_WebService"/>
    <m/>
    <s v="MFC"/>
    <s v="IBMCA"/>
    <s v="ACTIVE ADVISORS AND ASSISTANTS"/>
    <n v="0"/>
    <n v="0"/>
  </r>
  <r>
    <s v="jody.markovic@manulifesecurities.ca"/>
    <s v="MFC"/>
    <x v="0"/>
    <n v="560579"/>
    <n v="3"/>
    <d v="2017-09-21T15:08:51"/>
    <x v="3"/>
    <x v="2"/>
    <s v="gabriella.calisto@manulifesecurities.ca"/>
    <n v="798446"/>
    <s v="User Account"/>
    <n v="1"/>
    <s v="AtBelow"/>
    <s v="CC_WebService"/>
    <m/>
    <s v="MFC"/>
    <s v="IBMCA"/>
    <s v="ACTIVE ADVISORS AND ASSISTANTS"/>
    <n v="0"/>
    <n v="0"/>
  </r>
  <r>
    <s v="ssotest@mfc.sps.local"/>
    <s v="MFC"/>
    <x v="0"/>
    <n v="551367"/>
    <n v="1000"/>
    <d v="2017-09-21T15:05:15"/>
    <x v="0"/>
    <x v="0"/>
    <s v="Terry.Turcotte@manulifesecurities.ca"/>
    <n v="554159"/>
    <s v="User Account"/>
    <n v="1"/>
    <s v="AtBelow"/>
    <s v="CC_Portal"/>
    <n v="0"/>
    <s v="MFC"/>
    <s v="IBMCA"/>
    <s v="ACTIVE ADVISORS AND ASSISTANTS"/>
    <n v="0"/>
    <n v="0"/>
  </r>
  <r>
    <s v="ssotest@mfc.sps.local"/>
    <s v="MFC"/>
    <x v="0"/>
    <n v="551367"/>
    <n v="1000"/>
    <d v="2017-09-21T14:53:59"/>
    <x v="0"/>
    <x v="0"/>
    <s v="rebeca.micner@manulifesecurities.ca"/>
    <n v="615228"/>
    <s v="User Account"/>
    <n v="1"/>
    <s v="AtBelow"/>
    <s v="CC_Portal"/>
    <n v="0"/>
    <s v="MFC"/>
    <s v="IBMCA"/>
    <s v="ACTIVE ADVISORS AND ASSISTANTS"/>
    <n v="0"/>
    <n v="0"/>
  </r>
  <r>
    <s v="alex_buena@manulifesecurities.ca"/>
    <s v="MFC"/>
    <x v="0"/>
    <n v="570025"/>
    <n v="3"/>
    <d v="2017-09-21T14:52:34"/>
    <x v="0"/>
    <x v="5"/>
    <s v="c.simard@manulifesecurities.ca"/>
    <n v="909858"/>
    <s v="User Account"/>
    <n v="1"/>
    <s v="AtBelow"/>
    <s v="CC_Portal"/>
    <n v="0"/>
    <s v="MFC"/>
    <s v="IBMCA"/>
    <s v="ACTIVE ADVISORS AND ASSISTANTS"/>
    <n v="0"/>
    <n v="0"/>
  </r>
  <r>
    <s v="alex_buena@manulifesecurities.ca"/>
    <s v="MFC"/>
    <x v="0"/>
    <n v="570025"/>
    <n v="3"/>
    <d v="2017-09-21T14:52:33"/>
    <x v="5"/>
    <x v="6"/>
    <s v="MSI_autoEmailArchive@manulifesecurities.ca"/>
    <n v="561482"/>
    <s v="Distribution List"/>
    <n v="1"/>
    <s v="Any"/>
    <s v="CC_Portal"/>
    <s v="6cf0de2ef5f54b90b358878dd717d7ee"/>
    <s v="MFC"/>
    <s v="IBMCA"/>
    <s v="ALL GROUPS"/>
    <n v="0"/>
    <n v="0"/>
  </r>
  <r>
    <s v="alex_buena@manulifesecurities.ca"/>
    <s v="MFC"/>
    <x v="0"/>
    <n v="570025"/>
    <n v="3"/>
    <d v="2017-09-21T14:52:32"/>
    <x v="5"/>
    <x v="6"/>
    <s v="AllAssistants@manulifesecurities.ca"/>
    <n v="555660"/>
    <s v="Distribution List"/>
    <n v="1"/>
    <s v="Any"/>
    <s v="CC_Portal"/>
    <s v="6cf0de2ef5f54b90b358878dd717d7ee"/>
    <s v="MFC"/>
    <s v="IBMCA"/>
    <s v="ALL GROUPS"/>
    <n v="0"/>
    <n v="0"/>
  </r>
  <r>
    <s v="alex_buena@manulifesecurities.ca"/>
    <s v="MFC"/>
    <x v="0"/>
    <n v="570025"/>
    <n v="3"/>
    <d v="2017-09-21T14:52:31"/>
    <x v="0"/>
    <x v="5"/>
    <s v="c.simard@manulifesecurities.ca"/>
    <n v="909858"/>
    <s v="User Account"/>
    <n v="1"/>
    <s v="AtBelow"/>
    <s v="CC_Portal"/>
    <n v="0"/>
    <s v="MFC"/>
    <s v="IBMCA"/>
    <s v="ACTIVE ADVISORS AND ASSISTANTS"/>
    <n v="0"/>
    <n v="0"/>
  </r>
  <r>
    <s v="alex_buena@manulifesecurities.ca"/>
    <s v="MFC"/>
    <x v="0"/>
    <n v="570025"/>
    <n v="3"/>
    <d v="2017-09-21T14:52:09"/>
    <x v="0"/>
    <x v="5"/>
    <s v="c.simard@manulifesecurities.ca"/>
    <n v="909858"/>
    <s v="User Account"/>
    <n v="1"/>
    <s v="AtBelow"/>
    <s v="CC_Portal"/>
    <n v="0"/>
    <s v="MFC"/>
    <s v="IBMCA"/>
    <s v="ACTIVE ADVISORS AND ASSISTANTS"/>
    <n v="0"/>
    <n v="0"/>
  </r>
  <r>
    <s v="priscilla.misir@manulifesecurities.ca"/>
    <s v="MFC"/>
    <x v="0"/>
    <n v="674396"/>
    <n v="3"/>
    <d v="2017-09-21T14:45:25"/>
    <x v="5"/>
    <x v="7"/>
    <s v="c.simard@manulifesecurities.ca"/>
    <n v="909858"/>
    <s v="User Account"/>
    <n v="1"/>
    <s v="AtBelow"/>
    <s v="CC_Portal"/>
    <s v="PrimaryEmail=c.simard@manulifesecurities.ca"/>
    <s v="MFC"/>
    <s v="IBMCA"/>
    <s v="ACTIVE ADVISORS AND ASSISTANTS"/>
    <n v="0"/>
    <n v="0"/>
  </r>
  <r>
    <s v="ssotest@mfc.sps.local"/>
    <s v="MFC"/>
    <x v="0"/>
    <n v="551367"/>
    <n v="1000"/>
    <d v="2017-09-21T14:21:24"/>
    <x v="0"/>
    <x v="0"/>
    <s v="jeff.scowen@manulifesecurities.ca"/>
    <n v="560600"/>
    <s v="User Account"/>
    <n v="3"/>
    <s v="AtBelow"/>
    <s v="CC_Portal"/>
    <n v="0"/>
    <s v="MFC"/>
    <s v="IBMCA"/>
    <s v="TEMP - SUPPORT ACCOUNTS"/>
    <n v="0"/>
    <n v="0"/>
  </r>
  <r>
    <s v="ssotest@mfc.sps.local"/>
    <s v="MFC"/>
    <x v="0"/>
    <n v="551367"/>
    <n v="1000"/>
    <d v="2017-09-21T14:04:46"/>
    <x v="0"/>
    <x v="0"/>
    <s v="carson.halter@manulifesecurities.ca"/>
    <n v="909827"/>
    <s v="User Account"/>
    <n v="1"/>
    <s v="AtBelow"/>
    <s v="CC_Portal"/>
    <n v="0"/>
    <s v="MFC"/>
    <s v="IBMCA"/>
    <s v="ACTIVE ADVISORS AND ASSISTANTS"/>
    <n v="0"/>
    <n v="0"/>
  </r>
  <r>
    <s v="ssotest@mfc.sps.local"/>
    <s v="MFC"/>
    <x v="0"/>
    <n v="551367"/>
    <n v="1000"/>
    <d v="2017-09-21T13:54:46"/>
    <x v="0"/>
    <x v="0"/>
    <s v="Jim.Wilson@manulifesecurities.ca"/>
    <n v="552855"/>
    <s v="User Account"/>
    <n v="1"/>
    <s v="AtBelow"/>
    <s v="CC_Portal"/>
    <n v="0"/>
    <s v="MFC"/>
    <s v="IBMCA"/>
    <s v="ACTIVE ADVISORS AND ASSISTANTS"/>
    <n v="0"/>
    <n v="0"/>
  </r>
  <r>
    <s v="priscilla.misir@manulifesecurities.ca"/>
    <s v="MFC"/>
    <x v="0"/>
    <n v="674396"/>
    <n v="3"/>
    <d v="2017-09-21T13:53:01"/>
    <x v="0"/>
    <x v="4"/>
    <s v="Jason.Goss@manulifesecurities.ca"/>
    <n v="552775"/>
    <s v="User Account"/>
    <n v="1"/>
    <s v="AtBelow"/>
    <s v="CC_Portal"/>
    <s v="oldOrgGroup=ACTIVE ADVISORS AND ASSISTANTS;newOrgGroup=DISABLED USERS"/>
    <s v="MFC"/>
    <s v="IBMCA"/>
    <s v="DISABLED USERS"/>
    <n v="0"/>
    <n v="0"/>
  </r>
  <r>
    <s v="priscilla.misir@manulifesecurities.ca"/>
    <s v="MFC"/>
    <x v="0"/>
    <n v="674396"/>
    <n v="3"/>
    <d v="2017-09-21T13:52:16"/>
    <x v="4"/>
    <x v="6"/>
    <s v="MSI_autoEmailArchive@manulifesecurities.ca"/>
    <n v="561482"/>
    <s v="Distribution List"/>
    <n v="1"/>
    <s v="Any"/>
    <s v="CC_Portal"/>
    <s v="7bb2093c280745678014b6ed48c3011e"/>
    <s v="MFC"/>
    <s v="IBMCA"/>
    <s v="ALL GROUPS"/>
    <n v="0"/>
    <n v="0"/>
  </r>
  <r>
    <s v="priscilla.misir@manulifesecurities.ca"/>
    <s v="MFC"/>
    <x v="0"/>
    <n v="674396"/>
    <n v="3"/>
    <d v="2017-09-21T13:52:16"/>
    <x v="0"/>
    <x v="5"/>
    <s v="Jason.Goss@manulifesecurities.ca"/>
    <n v="552775"/>
    <s v="User Account"/>
    <n v="1"/>
    <s v="AtBelow"/>
    <s v="CC_Portal"/>
    <n v="0"/>
    <s v="MFC"/>
    <s v="IBMCA"/>
    <s v="ACTIVE ADVISORS AND ASSISTANTS"/>
    <n v="0"/>
    <n v="0"/>
  </r>
  <r>
    <s v="priscilla.misir@manulifesecurities.ca"/>
    <s v="MFC"/>
    <x v="0"/>
    <n v="674396"/>
    <n v="3"/>
    <d v="2017-09-21T13:52:14"/>
    <x v="4"/>
    <x v="6"/>
    <s v="AllAssistants@manulifesecurities.ca"/>
    <n v="555660"/>
    <s v="Distribution List"/>
    <n v="1"/>
    <s v="Any"/>
    <s v="CC_Portal"/>
    <s v="7bb2093c280745678014b6ed48c3011e"/>
    <s v="MFC"/>
    <s v="IBMCA"/>
    <s v="ALL GROUPS"/>
    <n v="0"/>
    <n v="0"/>
  </r>
  <r>
    <s v="priscilla.misir@manulifesecurities.ca"/>
    <s v="MFC"/>
    <x v="0"/>
    <n v="674396"/>
    <n v="3"/>
    <d v="2017-09-21T13:52:13"/>
    <x v="4"/>
    <x v="6"/>
    <s v="Advisors@manulifesecurities.ca"/>
    <n v="555668"/>
    <s v="Distribution List"/>
    <n v="1"/>
    <s v="Any"/>
    <s v="CC_Portal"/>
    <s v="7bb2093c280745678014b6ed48c3011e"/>
    <s v="MFC"/>
    <s v="IBMCA"/>
    <s v="ALL GROUPS"/>
    <n v="0"/>
    <n v="0"/>
  </r>
  <r>
    <s v="priscilla.misir@manulifesecurities.ca"/>
    <s v="MFC"/>
    <x v="0"/>
    <n v="674396"/>
    <n v="3"/>
    <d v="2017-09-21T13:52:10"/>
    <x v="0"/>
    <x v="5"/>
    <s v="Jason.Goss@manulifesecurities.ca"/>
    <n v="552775"/>
    <s v="User Account"/>
    <n v="1"/>
    <s v="AtBelow"/>
    <s v="CC_Portal"/>
    <n v="0"/>
    <s v="MFC"/>
    <s v="IBMCA"/>
    <s v="ACTIVE ADVISORS AND ASSISTANTS"/>
    <n v="0"/>
    <n v="0"/>
  </r>
  <r>
    <s v="priscilla.misir@manulifesecurities.ca"/>
    <s v="MFC"/>
    <x v="0"/>
    <n v="674396"/>
    <n v="3"/>
    <d v="2017-09-21T13:52:04"/>
    <x v="0"/>
    <x v="5"/>
    <s v="Jason.Goss@manulifesecurities.ca"/>
    <n v="552775"/>
    <s v="User Account"/>
    <n v="1"/>
    <s v="AtBelow"/>
    <s v="CC_Portal"/>
    <n v="0"/>
    <s v="MFC"/>
    <s v="IBMCA"/>
    <s v="ACTIVE ADVISORS AND ASSISTANTS"/>
    <n v="0"/>
    <n v="0"/>
  </r>
  <r>
    <s v="priscilla.misir@manulifesecurities.ca"/>
    <s v="MFC"/>
    <x v="0"/>
    <n v="674396"/>
    <n v="3"/>
    <d v="2017-09-21T13:48:45"/>
    <x v="0"/>
    <x v="3"/>
    <s v="Jason.Goss@manulifesecurities.ca"/>
    <n v="552775"/>
    <s v="User Account"/>
    <n v="1"/>
    <s v="AtBelow"/>
    <s v="CC_Portal"/>
    <s v="Disable"/>
    <s v="MFC"/>
    <s v="IBMCA"/>
    <s v="ACTIVE ADVISORS AND ASSISTANTS"/>
    <n v="0"/>
    <n v="0"/>
  </r>
  <r>
    <s v="priscilla.misir@manulifesecurities.ca"/>
    <s v="MFC"/>
    <x v="0"/>
    <n v="674396"/>
    <n v="3"/>
    <d v="2017-09-21T13:47:30"/>
    <x v="0"/>
    <x v="3"/>
    <s v="Jason.Goss@manulifesecurities.ca"/>
    <n v="552775"/>
    <s v="User Account"/>
    <n v="1"/>
    <s v="AtBelow"/>
    <s v="CC_Portal"/>
    <s v="Disable"/>
    <s v="MFC"/>
    <s v="IBMCA"/>
    <s v="ACTIVE ADVISORS AND ASSISTANTS"/>
    <n v="0"/>
    <n v="0"/>
  </r>
  <r>
    <s v="fahmi.karim@manulifesecurities.ca"/>
    <s v="MFC"/>
    <x v="0"/>
    <n v="809833"/>
    <n v="3"/>
    <d v="2017-09-21T13:33:33"/>
    <x v="3"/>
    <x v="2"/>
    <s v="carson.halter@manulifesecurities.ca"/>
    <n v="909827"/>
    <s v="User Account"/>
    <n v="1"/>
    <s v="AtBelow"/>
    <s v="CC_WebService"/>
    <m/>
    <s v="MFC"/>
    <s v="IBMCA"/>
    <s v="ACTIVE ADVISORS AND ASSISTANTS"/>
    <n v="0"/>
    <n v="0"/>
  </r>
  <r>
    <s v="ssotest@mfc.sps.local"/>
    <s v="MFC"/>
    <x v="0"/>
    <n v="551367"/>
    <n v="1000"/>
    <d v="2017-09-21T13:09:08"/>
    <x v="0"/>
    <x v="0"/>
    <s v="scott.mallender@manulifesecurities.ca"/>
    <n v="863773"/>
    <s v="User Account"/>
    <n v="1"/>
    <s v="AtBelow"/>
    <s v="CC_Portal"/>
    <n v="0"/>
    <s v="MFC"/>
    <s v="IBMCA"/>
    <s v="DISABLED USERS"/>
    <n v="0"/>
    <n v="0"/>
  </r>
  <r>
    <s v="fahmi.karim@manulifesecurities.ca"/>
    <s v="MFC"/>
    <x v="0"/>
    <n v="809833"/>
    <n v="3"/>
    <d v="2017-09-21T12:50:44"/>
    <x v="3"/>
    <x v="2"/>
    <s v="carson.halter@manulifesecurities.ca"/>
    <n v="909827"/>
    <s v="User Account"/>
    <n v="1"/>
    <s v="AtBelow"/>
    <s v="CC_WebService"/>
    <m/>
    <s v="MFC"/>
    <s v="IBMCA"/>
    <s v="ACTIVE ADVISORS AND ASSISTANTS"/>
    <n v="0"/>
    <n v="0"/>
  </r>
  <r>
    <s v="ssotest@mfc.sps.local"/>
    <s v="MFC"/>
    <x v="0"/>
    <n v="551367"/>
    <n v="1000"/>
    <d v="2017-09-21T12:28:26"/>
    <x v="0"/>
    <x v="0"/>
    <s v="James.Whitman@manulifesecurities.ca"/>
    <n v="552743"/>
    <s v="User Account"/>
    <n v="1"/>
    <s v="AtBelow"/>
    <s v="CC_Portal"/>
    <n v="0"/>
    <s v="MFC"/>
    <s v="IBMCA"/>
    <s v="ACTIVE ADVISORS AND ASSISTANTS"/>
    <n v="0"/>
    <n v="0"/>
  </r>
  <r>
    <s v="alex_buena@manulifesecurities.ca"/>
    <s v="MFC"/>
    <x v="0"/>
    <n v="570025"/>
    <n v="3"/>
    <d v="2017-09-21T11:59:17"/>
    <x v="0"/>
    <x v="5"/>
    <s v="carson.halter@manulifesecurities.ca"/>
    <n v="909827"/>
    <s v="User Account"/>
    <n v="1"/>
    <s v="AtBelow"/>
    <s v="CC_Portal"/>
    <n v="0"/>
    <s v="MFC"/>
    <s v="IBMCA"/>
    <s v="ACTIVE ADVISORS AND ASSISTANTS"/>
    <n v="0"/>
    <n v="0"/>
  </r>
  <r>
    <s v="ssotest@mfc.sps.local"/>
    <s v="MFC"/>
    <x v="0"/>
    <n v="551367"/>
    <n v="1000"/>
    <d v="2017-09-21T11:50:04"/>
    <x v="0"/>
    <x v="0"/>
    <s v="James.Whitman@manulifesecurities.ca"/>
    <n v="552743"/>
    <s v="User Account"/>
    <n v="1"/>
    <s v="AtBelow"/>
    <s v="CC_Portal"/>
    <n v="0"/>
    <s v="MFC"/>
    <s v="IBMCA"/>
    <s v="ACTIVE ADVISORS AND ASSISTANTS"/>
    <n v="0"/>
    <n v="0"/>
  </r>
  <r>
    <s v="ssotest@mfc.sps.local"/>
    <s v="MFC"/>
    <x v="0"/>
    <n v="551367"/>
    <n v="1000"/>
    <d v="2017-09-21T11:49:46"/>
    <x v="0"/>
    <x v="0"/>
    <s v="Raymond.Burns@manulifesecurities.ca"/>
    <n v="553754"/>
    <s v="User Account"/>
    <n v="1"/>
    <s v="AtBelow"/>
    <s v="CC_Portal"/>
    <n v="0"/>
    <s v="MFC"/>
    <s v="IBMCA"/>
    <s v="ACTIVE ADVISORS AND ASSISTANTS"/>
    <n v="0"/>
    <n v="0"/>
  </r>
  <r>
    <s v="adiano.kitenge@manulifesecurities.ca"/>
    <s v="MFC"/>
    <x v="0"/>
    <n v="627566"/>
    <n v="3"/>
    <d v="2017-09-21T11:48:15"/>
    <x v="0"/>
    <x v="3"/>
    <s v="Cheryl.McIntyre@manulifesecurities.ca"/>
    <n v="552116"/>
    <s v="User Account"/>
    <n v="1"/>
    <s v="SelfBelow"/>
    <s v="CC_Portal"/>
    <s v="Enable"/>
    <s v="MFC"/>
    <s v="IBMCA"/>
    <s v="ACTIVE ADVISORS AND ASSISTANTS"/>
    <n v="0"/>
    <n v="0"/>
  </r>
  <r>
    <s v="adiano.kitenge@manulifesecurities.ca"/>
    <s v="MFC"/>
    <x v="0"/>
    <n v="627566"/>
    <n v="3"/>
    <d v="2017-09-21T11:47:44"/>
    <x v="3"/>
    <x v="2"/>
    <s v="Cheryl.McIntyre@manulifesecurities.ca"/>
    <n v="552116"/>
    <s v="User Account"/>
    <n v="1"/>
    <s v="AtBelow"/>
    <s v="CC_WebService"/>
    <m/>
    <s v="MFC"/>
    <s v="IBMCA"/>
    <s v="ACTIVE ADVISORS AND ASSISTANTS"/>
    <n v="0"/>
    <n v="0"/>
  </r>
  <r>
    <s v="ssotest@mfc.sps.local"/>
    <s v="MFC"/>
    <x v="0"/>
    <n v="551367"/>
    <n v="1000"/>
    <d v="2017-09-21T11:43:20"/>
    <x v="0"/>
    <x v="0"/>
    <s v="Gail.Thorne@manulifesecurities.ca"/>
    <n v="552552"/>
    <s v="User Account"/>
    <n v="1"/>
    <s v="AtBelow"/>
    <s v="CC_Portal"/>
    <n v="0"/>
    <s v="MFC"/>
    <s v="IBMCA"/>
    <s v="ACTIVE ADVISORS AND ASSISTANTS"/>
    <n v="0"/>
    <n v="0"/>
  </r>
  <r>
    <s v="priscilla.misir@manulifesecurities.ca"/>
    <s v="MFC"/>
    <x v="0"/>
    <n v="674396"/>
    <n v="3"/>
    <d v="2017-09-21T11:37:05"/>
    <x v="0"/>
    <x v="5"/>
    <s v="carson.halter@manulifesecurities.ca"/>
    <n v="909827"/>
    <s v="User Account"/>
    <n v="1"/>
    <s v="AtBelow"/>
    <s v="CC_Portal"/>
    <n v="0"/>
    <s v="MFC"/>
    <s v="IBMCA"/>
    <s v="ACTIVE ADVISORS AND ASSISTANTS"/>
    <n v="0"/>
    <n v="0"/>
  </r>
  <r>
    <s v="priscilla.misir@manulifesecurities.ca"/>
    <s v="MFC"/>
    <x v="0"/>
    <n v="674396"/>
    <n v="3"/>
    <d v="2017-09-21T11:37:04"/>
    <x v="5"/>
    <x v="6"/>
    <s v="MSI_autoEmailArchive@manulifesecurities.ca"/>
    <n v="561482"/>
    <s v="Distribution List"/>
    <n v="1"/>
    <s v="Any"/>
    <s v="CC_Portal"/>
    <s v="f2e119a73fc04376a568b480b9e1c9ec"/>
    <s v="MFC"/>
    <s v="IBMCA"/>
    <s v="ALL GROUPS"/>
    <n v="0"/>
    <n v="0"/>
  </r>
  <r>
    <s v="priscilla.misir@manulifesecurities.ca"/>
    <s v="MFC"/>
    <x v="0"/>
    <n v="674396"/>
    <n v="3"/>
    <d v="2017-09-21T11:37:02"/>
    <x v="5"/>
    <x v="6"/>
    <s v="AllAssistants@manulifesecurities.ca"/>
    <n v="555660"/>
    <s v="Distribution List"/>
    <n v="1"/>
    <s v="Any"/>
    <s v="CC_Portal"/>
    <s v="f2e119a73fc04376a568b480b9e1c9ec"/>
    <s v="MFC"/>
    <s v="IBMCA"/>
    <s v="ALL GROUPS"/>
    <n v="0"/>
    <n v="0"/>
  </r>
  <r>
    <s v="priscilla.misir@manulifesecurities.ca"/>
    <s v="MFC"/>
    <x v="0"/>
    <n v="674396"/>
    <n v="3"/>
    <d v="2017-09-21T11:36:58"/>
    <x v="0"/>
    <x v="5"/>
    <s v="carson.halter@manulifesecurities.ca"/>
    <n v="909827"/>
    <s v="User Account"/>
    <n v="1"/>
    <s v="AtBelow"/>
    <s v="CC_Portal"/>
    <n v="0"/>
    <s v="MFC"/>
    <s v="IBMCA"/>
    <s v="ACTIVE ADVISORS AND ASSISTANTS"/>
    <n v="0"/>
    <n v="0"/>
  </r>
  <r>
    <s v="priscilla.misir@manulifesecurities.ca"/>
    <s v="MFC"/>
    <x v="0"/>
    <n v="674396"/>
    <n v="3"/>
    <d v="2017-09-21T11:36:46"/>
    <x v="0"/>
    <x v="5"/>
    <s v="carson.halter@manulifesecurities.ca"/>
    <n v="909827"/>
    <s v="User Account"/>
    <n v="1"/>
    <s v="AtBelow"/>
    <s v="CC_Portal"/>
    <n v="0"/>
    <s v="MFC"/>
    <s v="IBMCA"/>
    <s v="ACTIVE ADVISORS AND ASSISTANTS"/>
    <n v="0"/>
    <n v="0"/>
  </r>
  <r>
    <s v="priscilla.misir@manulifesecurities.ca"/>
    <s v="MFC"/>
    <x v="0"/>
    <n v="674396"/>
    <n v="3"/>
    <d v="2017-09-21T11:35:38"/>
    <x v="5"/>
    <x v="7"/>
    <s v="carson.halter@manulifesecurities.ca"/>
    <n v="909827"/>
    <s v="User Account"/>
    <n v="1"/>
    <s v="AtBelow"/>
    <s v="CC_Portal"/>
    <s v="PrimaryEmail=carson.halter@manulifesecurities.ca"/>
    <s v="MFC"/>
    <s v="IBMCA"/>
    <s v="ACTIVE ADVISORS AND ASSISTANTS"/>
    <n v="0"/>
    <n v="0"/>
  </r>
  <r>
    <s v="priscilla.misir@manulifesecurities.ca"/>
    <s v="MFC"/>
    <x v="0"/>
    <n v="674396"/>
    <n v="3"/>
    <d v="2017-09-21T11:28:55"/>
    <x v="4"/>
    <x v="7"/>
    <s v="carson.halter@aic.com"/>
    <n v="909822"/>
    <s v="User Account"/>
    <n v="1"/>
    <s v="Any"/>
    <s v="CC_Portal"/>
    <s v="PrimaryEmail=carson.halter@aic.com"/>
    <s v="MFC"/>
    <s v="IBMCA"/>
    <s v="ACTIVE ADVISORS AND ASSISTANTS"/>
    <n v="0"/>
    <n v="0"/>
  </r>
  <r>
    <s v="priscilla.misir@manulifesecurities.ca"/>
    <s v="MFC"/>
    <x v="0"/>
    <n v="674396"/>
    <n v="3"/>
    <d v="2017-09-21T11:25:46"/>
    <x v="5"/>
    <x v="7"/>
    <s v="carson.halter@aic.com"/>
    <n v="909822"/>
    <s v="User Account"/>
    <n v="1"/>
    <s v="AtBelow"/>
    <s v="CC_Portal"/>
    <s v="PrimaryEmail=carson.halter@aic.com"/>
    <s v="MFC"/>
    <s v="IBMCA"/>
    <s v="ACTIVE ADVISORS AND ASSISTANTS"/>
    <n v="0"/>
    <n v="0"/>
  </r>
  <r>
    <s v="cristian.bogdan@manulifesecurities.ca"/>
    <s v="MFC"/>
    <x v="0"/>
    <n v="560330"/>
    <n v="3"/>
    <d v="2017-09-21T11:22:31"/>
    <x v="3"/>
    <x v="2"/>
    <s v="Michael.Prodanovic@manulifesecurities.ca"/>
    <n v="553498"/>
    <s v="User Account"/>
    <n v="1"/>
    <s v="AtBelow"/>
    <s v="CC_WebService"/>
    <m/>
    <s v="MFC"/>
    <s v="IBMCA"/>
    <s v="ACTIVE ADVISORS AND ASSISTANTS"/>
    <n v="0"/>
    <n v="0"/>
  </r>
  <r>
    <s v="ssotest@mfc.sps.local"/>
    <s v="MFC"/>
    <x v="0"/>
    <n v="551367"/>
    <n v="1000"/>
    <d v="2017-09-21T11:21:41"/>
    <x v="0"/>
    <x v="0"/>
    <s v="Michael.Prodanovic@manulifesecurities.ca"/>
    <n v="553498"/>
    <s v="User Account"/>
    <n v="1"/>
    <s v="AtBelow"/>
    <s v="CC_Portal"/>
    <n v="0"/>
    <s v="MFC"/>
    <s v="IBMCA"/>
    <s v="ACTIVE ADVISORS AND ASSISTANTS"/>
    <n v="0"/>
    <n v="0"/>
  </r>
  <r>
    <s v="ssotest@mfc.sps.local"/>
    <s v="MFC"/>
    <x v="0"/>
    <n v="551367"/>
    <n v="1000"/>
    <d v="2017-09-21T10:38:25"/>
    <x v="0"/>
    <x v="0"/>
    <s v="Maurice.Roberge@manulifesecurities.ca"/>
    <n v="553437"/>
    <s v="User Account"/>
    <n v="1"/>
    <s v="AtBelow"/>
    <s v="CC_Portal"/>
    <n v="0"/>
    <s v="MFC"/>
    <s v="IBMCA"/>
    <s v="DISABLED USERS"/>
    <n v="0"/>
    <n v="0"/>
  </r>
  <r>
    <s v="ssotest@mfc.sps.local"/>
    <s v="MFC"/>
    <x v="0"/>
    <n v="551367"/>
    <n v="1000"/>
    <d v="2017-09-21T10:07:03"/>
    <x v="0"/>
    <x v="0"/>
    <s v="Melinda.Hinger@manulifesecurities.ca"/>
    <n v="553457"/>
    <s v="User Account"/>
    <n v="1"/>
    <s v="AtBelow"/>
    <s v="CC_Portal"/>
    <n v="0"/>
    <s v="MFC"/>
    <s v="IBMCA"/>
    <s v="ACTIVE ADVISORS AND ASSISTANTS"/>
    <n v="0"/>
    <n v="0"/>
  </r>
  <r>
    <s v="ssotest@mfc.sps.local"/>
    <s v="MFC"/>
    <x v="0"/>
    <n v="551367"/>
    <n v="1000"/>
    <d v="2017-09-21T09:54:15"/>
    <x v="0"/>
    <x v="0"/>
    <s v="chantal.marinier@manulifesecurities.ca"/>
    <n v="826678"/>
    <s v="User Account"/>
    <n v="1"/>
    <s v="AtBelow"/>
    <s v="CC_Portal"/>
    <n v="0"/>
    <s v="MFC"/>
    <s v="IBMCA"/>
    <s v="ACTIVE ADVISORS AND ASSISTANTS"/>
    <n v="0"/>
    <n v="0"/>
  </r>
  <r>
    <s v="ssotest@mfc.sps.local"/>
    <s v="MFC"/>
    <x v="0"/>
    <n v="551367"/>
    <n v="1000"/>
    <d v="2017-09-21T09:50:59"/>
    <x v="0"/>
    <x v="0"/>
    <s v="Frank.Rood@manulifesecurities.ca"/>
    <n v="552535"/>
    <s v="User Account"/>
    <n v="1"/>
    <s v="AtBelow"/>
    <s v="CC_Portal"/>
    <n v="0"/>
    <s v="MFC"/>
    <s v="IBMCA"/>
    <s v="ACTIVE ADVISORS AND ASSISTANTS"/>
    <n v="0"/>
    <n v="0"/>
  </r>
  <r>
    <s v="ssotest@mfc.sps.local"/>
    <s v="MFC"/>
    <x v="0"/>
    <n v="551367"/>
    <n v="1000"/>
    <d v="2017-09-21T09:46:24"/>
    <x v="0"/>
    <x v="0"/>
    <s v="tarrah.scott@manulifesecurities.ca"/>
    <n v="561043"/>
    <s v="User Account"/>
    <n v="1"/>
    <s v="AtBelow"/>
    <s v="CC_Portal"/>
    <n v="0"/>
    <s v="MFC"/>
    <s v="IBMCA"/>
    <s v="DISABLED USERS"/>
    <n v="0"/>
    <n v="0"/>
  </r>
  <r>
    <s v="cristian.bogdan@manulifesecurities.ca"/>
    <s v="MFC"/>
    <x v="0"/>
    <n v="560330"/>
    <n v="3"/>
    <d v="2017-09-21T08:52:45"/>
    <x v="3"/>
    <x v="2"/>
    <s v="Paula.Yule@manulifesecurities.ca"/>
    <n v="553688"/>
    <s v="User Account"/>
    <n v="1"/>
    <s v="AtBelow"/>
    <s v="CC_WebService"/>
    <m/>
    <s v="MFC"/>
    <s v="IBMCA"/>
    <s v="ACTIVE ADVISORS AND ASSISTANTS"/>
    <n v="0"/>
    <n v="0"/>
  </r>
  <r>
    <s v="ssotest@mfc.sps.local"/>
    <s v="MFC"/>
    <x v="0"/>
    <n v="551367"/>
    <n v="1000"/>
    <d v="2017-09-21T08:50:15"/>
    <x v="0"/>
    <x v="0"/>
    <s v="Sharon.Young@manulifesecurities.ca"/>
    <n v="553986"/>
    <s v="User Account"/>
    <n v="1"/>
    <s v="AtBelow"/>
    <s v="CC_Portal"/>
    <n v="0"/>
    <s v="MFC"/>
    <s v="IBMCA"/>
    <s v="ACTIVE ADVISORS AND ASSISTANTS"/>
    <n v="0"/>
    <n v="0"/>
  </r>
  <r>
    <s v="ssotest@mfc.sps.local"/>
    <s v="MFC"/>
    <x v="0"/>
    <n v="551367"/>
    <n v="1000"/>
    <d v="2017-09-21T08:18:14"/>
    <x v="0"/>
    <x v="0"/>
    <s v="jenine.tomalty@manulifesecurities.ca"/>
    <n v="560609"/>
    <s v="User Account"/>
    <n v="1"/>
    <s v="AtBelow"/>
    <s v="CC_Portal"/>
    <n v="0"/>
    <s v="MFC"/>
    <s v="IBMCA"/>
    <s v="DISABLED USERS"/>
    <n v="0"/>
    <n v="0"/>
  </r>
  <r>
    <s v="ssotest@mfc.sps.local"/>
    <s v="MFC"/>
    <x v="0"/>
    <n v="551367"/>
    <n v="1000"/>
    <d v="2017-09-21T08:13:25"/>
    <x v="0"/>
    <x v="0"/>
    <s v="chantal.marinier@manulifesecurities.ca"/>
    <n v="826678"/>
    <s v="User Account"/>
    <n v="1"/>
    <s v="AtBelow"/>
    <s v="CC_Portal"/>
    <n v="0"/>
    <s v="MFC"/>
    <s v="IBMCA"/>
    <s v="ACTIVE ADVISORS AND ASSISTANTS"/>
    <n v="0"/>
    <n v="0"/>
  </r>
  <r>
    <s v="alex_buena@manulifesecurities.ca"/>
    <s v="MFC"/>
    <x v="0"/>
    <n v="570025"/>
    <n v="3"/>
    <d v="2017-09-20T23:37:17"/>
    <x v="0"/>
    <x v="3"/>
    <s v="danielle.zills@manulifesecurities.ca"/>
    <n v="658878"/>
    <s v="User Account"/>
    <n v="1"/>
    <s v="AtBelow"/>
    <s v="CC_Portal"/>
    <s v="Disable"/>
    <s v="MFC"/>
    <s v="IBMCA"/>
    <s v="DISABLED USERS"/>
    <n v="0"/>
    <n v="0"/>
  </r>
  <r>
    <s v="alex_buena@manulifesecurities.ca"/>
    <s v="MFC"/>
    <x v="0"/>
    <n v="570025"/>
    <n v="3"/>
    <d v="2017-09-20T23:32:06"/>
    <x v="0"/>
    <x v="5"/>
    <s v="danielle.zills@manulifesecurities.ca"/>
    <n v="658878"/>
    <s v="User Account"/>
    <n v="1"/>
    <s v="AtBelow"/>
    <s v="CC_Portal"/>
    <n v="0"/>
    <s v="MFC"/>
    <s v="IBMCA"/>
    <s v="DISABLED USERS"/>
    <n v="0"/>
    <n v="0"/>
  </r>
  <r>
    <s v="alex_buena@manulifesecurities.ca"/>
    <s v="MFC"/>
    <x v="0"/>
    <n v="570025"/>
    <n v="3"/>
    <d v="2017-09-20T23:32:05"/>
    <x v="4"/>
    <x v="6"/>
    <s v="MSI_autoEmailArchive@manulifesecurities.ca"/>
    <n v="561482"/>
    <s v="Distribution List"/>
    <n v="1"/>
    <s v="Any"/>
    <s v="CC_Portal"/>
    <s v="50180d9b7d4949f8a195eccb9d7fb1e6"/>
    <s v="MFC"/>
    <s v="IBMCA"/>
    <s v="ALL GROUPS"/>
    <n v="0"/>
    <n v="0"/>
  </r>
  <r>
    <s v="alex_buena@manulifesecurities.ca"/>
    <s v="MFC"/>
    <x v="0"/>
    <n v="570025"/>
    <n v="3"/>
    <d v="2017-09-20T23:32:04"/>
    <x v="4"/>
    <x v="6"/>
    <s v="AllAssistants@manulifesecurities.ca"/>
    <n v="555660"/>
    <s v="Distribution List"/>
    <n v="1"/>
    <s v="Any"/>
    <s v="CC_Portal"/>
    <s v="50180d9b7d4949f8a195eccb9d7fb1e6"/>
    <s v="MFC"/>
    <s v="IBMCA"/>
    <s v="ALL GROUPS"/>
    <n v="0"/>
    <n v="0"/>
  </r>
  <r>
    <s v="alex_buena@manulifesecurities.ca"/>
    <s v="MFC"/>
    <x v="0"/>
    <n v="570025"/>
    <n v="3"/>
    <d v="2017-09-20T23:32:01"/>
    <x v="0"/>
    <x v="5"/>
    <s v="danielle.zills@manulifesecurities.ca"/>
    <n v="658878"/>
    <s v="User Account"/>
    <n v="1"/>
    <s v="AtBelow"/>
    <s v="CC_Portal"/>
    <n v="0"/>
    <s v="MFC"/>
    <s v="IBMCA"/>
    <s v="DISABLED USERS"/>
    <n v="0"/>
    <n v="0"/>
  </r>
  <r>
    <s v="alex_buena@manulifesecurities.ca"/>
    <s v="MFC"/>
    <x v="0"/>
    <n v="570025"/>
    <n v="3"/>
    <d v="2017-09-20T23:31:56"/>
    <x v="0"/>
    <x v="5"/>
    <s v="danielle.zills@manulifesecurities.ca"/>
    <n v="658878"/>
    <s v="User Account"/>
    <n v="1"/>
    <s v="AtBelow"/>
    <s v="CC_Portal"/>
    <n v="0"/>
    <s v="MFC"/>
    <s v="IBMCA"/>
    <s v="DISABLED USERS"/>
    <n v="0"/>
    <n v="0"/>
  </r>
  <r>
    <s v="alex_buena@manulifesecurities.ca"/>
    <s v="MFC"/>
    <x v="0"/>
    <n v="570025"/>
    <n v="3"/>
    <d v="2017-09-20T23:31:01"/>
    <x v="0"/>
    <x v="4"/>
    <s v="danielle.zills@manulifesecurities.ca"/>
    <n v="658878"/>
    <s v="User Account"/>
    <n v="1"/>
    <s v="AtBelow"/>
    <s v="CC_Portal"/>
    <s v="oldOrgGroup=ACTIVE ADVISORS AND ASSISTANTS;newOrgGroup=DISABLED USERS"/>
    <s v="MFC"/>
    <s v="IBMCA"/>
    <s v="DISABLED USERS"/>
    <n v="0"/>
    <n v="0"/>
  </r>
  <r>
    <s v="adiano.kitenge@manulifesecurities.ca"/>
    <s v="MFC"/>
    <x v="0"/>
    <n v="627566"/>
    <n v="3"/>
    <d v="2017-09-20T18:08:21"/>
    <x v="3"/>
    <x v="2"/>
    <s v="Lori.Hildebrand@manulifesecurities.ca"/>
    <n v="553252"/>
    <s v="User Account"/>
    <n v="1"/>
    <s v="AtBelow"/>
    <s v="CC_WebService"/>
    <m/>
    <s v="MFC"/>
    <s v="IBMCA"/>
    <s v="ACTIVE ADVISORS AND ASSISTANTS"/>
    <n v="0"/>
    <n v="0"/>
  </r>
  <r>
    <s v="adiano.kitenge@manulifesecurities.ca"/>
    <s v="MFC"/>
    <x v="0"/>
    <n v="627566"/>
    <n v="3"/>
    <d v="2017-09-20T18:07:53"/>
    <x v="0"/>
    <x v="3"/>
    <s v="Lori.Hildebrand@manulifesecurities.ca"/>
    <n v="553252"/>
    <s v="User Account"/>
    <n v="1"/>
    <s v="SelfBelow"/>
    <s v="CC_Portal"/>
    <s v="Enable"/>
    <s v="MFC"/>
    <s v="IBMCA"/>
    <s v="ACTIVE ADVISORS AND ASSISTANTS"/>
    <n v="0"/>
    <n v="0"/>
  </r>
  <r>
    <s v="ssotest@mfc.sps.local"/>
    <s v="MFC"/>
    <x v="0"/>
    <n v="551367"/>
    <n v="1000"/>
    <d v="2017-09-20T18:07:46"/>
    <x v="0"/>
    <x v="0"/>
    <s v="Lori.Hildebrand@manulifesecurities.ca"/>
    <n v="553252"/>
    <s v="User Account"/>
    <n v="1"/>
    <s v="AtBelow"/>
    <s v="CC_Portal"/>
    <n v="0"/>
    <s v="MFC"/>
    <s v="IBMCA"/>
    <s v="ACTIVE ADVISORS AND ASSISTANTS"/>
    <n v="0"/>
    <n v="0"/>
  </r>
  <r>
    <s v="adiano.kitenge@manulifesecurities.ca"/>
    <s v="MFC"/>
    <x v="0"/>
    <n v="627566"/>
    <n v="3"/>
    <d v="2017-09-20T18:04:08"/>
    <x v="3"/>
    <x v="2"/>
    <s v="Lori.Hildebrand@manulifesecurities.ca"/>
    <n v="553252"/>
    <s v="User Account"/>
    <n v="1"/>
    <s v="AtBelow"/>
    <s v="CC_WebService"/>
    <m/>
    <s v="MFC"/>
    <s v="IBMCA"/>
    <s v="ACTIVE ADVISORS AND ASSISTANTS"/>
    <n v="0"/>
    <n v="0"/>
  </r>
  <r>
    <s v="adiano.kitenge@manulifesecurities.ca"/>
    <s v="MFC"/>
    <x v="0"/>
    <n v="627566"/>
    <n v="3"/>
    <d v="2017-09-20T18:03:52"/>
    <x v="0"/>
    <x v="3"/>
    <s v="Lori.Hildebrand@manulifesecurities.ca"/>
    <n v="553252"/>
    <s v="User Account"/>
    <n v="1"/>
    <s v="SelfBelow"/>
    <s v="CC_Portal"/>
    <s v="Enable"/>
    <s v="MFC"/>
    <s v="IBMCA"/>
    <s v="ACTIVE ADVISORS AND ASSISTANTS"/>
    <n v="0"/>
    <n v="0"/>
  </r>
  <r>
    <s v="adiano.kitenge@manulifesecurities.ca"/>
    <s v="MFC"/>
    <x v="0"/>
    <n v="627566"/>
    <n v="3"/>
    <d v="2017-09-20T18:03:52"/>
    <x v="0"/>
    <x v="3"/>
    <s v="Lori.Hildebrand@manulifesecurities.ca"/>
    <n v="553252"/>
    <s v="User Account"/>
    <n v="1"/>
    <s v="SelfBelow"/>
    <s v="CC_Portal"/>
    <s v="Enable"/>
    <s v="MFC"/>
    <s v="IBMCA"/>
    <s v="ACTIVE ADVISORS AND ASSISTANTS"/>
    <n v="0"/>
    <n v="0"/>
  </r>
  <r>
    <s v="crystal.parkinson@manulifesecurities.ca"/>
    <s v="MFC"/>
    <x v="0"/>
    <n v="637976"/>
    <n v="1"/>
    <d v="2017-09-20T17:39:53"/>
    <x v="2"/>
    <x v="1"/>
    <s v="crystal.parkinson@manulifesecurities.ca"/>
    <n v="637976"/>
    <s v="User Account"/>
    <n v="0"/>
    <s v="Deny"/>
    <s v="CC_Portal"/>
    <n v="0"/>
    <s v="MFC"/>
    <s v="IBMCA"/>
    <s v="ACTIVE ADVISORS AND ASSISTANTS"/>
    <n v="0"/>
    <n v="0"/>
  </r>
  <r>
    <s v="crystal.parkinson@manulifesecurities.ca"/>
    <s v="MFC"/>
    <x v="0"/>
    <n v="637976"/>
    <n v="1"/>
    <d v="2017-09-20T17:39:52"/>
    <x v="1"/>
    <x v="1"/>
    <s v="crystal.parkinson@manulifesecurities.ca"/>
    <n v="637976"/>
    <s v="User Account"/>
    <n v="0"/>
    <s v="Deny"/>
    <s v="CC_Portal"/>
    <n v="0"/>
    <s v="MFC"/>
    <s v="IBMCA"/>
    <s v="ACTIVE ADVISORS AND ASSISTANTS"/>
    <n v="0"/>
    <n v="0"/>
  </r>
  <r>
    <s v="ssotest@mfc.sps.local"/>
    <s v="MFC"/>
    <x v="0"/>
    <n v="551367"/>
    <n v="1000"/>
    <d v="2017-09-20T17:38:12"/>
    <x v="0"/>
    <x v="0"/>
    <s v="Mathieu.Cote@manulifesecurities.ca"/>
    <n v="560187"/>
    <s v="User Account"/>
    <n v="1"/>
    <s v="AtBelow"/>
    <s v="CC_Portal"/>
    <n v="0"/>
    <s v="MFC"/>
    <s v="IBMCA"/>
    <s v="ACTIVE ADVISORS AND ASSISTANTS"/>
    <n v="0"/>
    <n v="0"/>
  </r>
  <r>
    <s v="ssotest@mfc.sps.local"/>
    <s v="MFC"/>
    <x v="0"/>
    <n v="551367"/>
    <n v="1000"/>
    <d v="2017-09-20T17:34:11"/>
    <x v="0"/>
    <x v="0"/>
    <s v="Lori.Hildebrand@manulifesecurities.ca"/>
    <n v="553252"/>
    <s v="User Account"/>
    <n v="1"/>
    <s v="AtBelow"/>
    <s v="CC_Portal"/>
    <n v="0"/>
    <s v="MFC"/>
    <s v="IBMCA"/>
    <s v="ACTIVE ADVISORS AND ASSISTANTS"/>
    <n v="0"/>
    <n v="0"/>
  </r>
  <r>
    <s v="ssotest@mfc.sps.local"/>
    <s v="MFC"/>
    <x v="0"/>
    <n v="551367"/>
    <n v="1000"/>
    <d v="2017-09-20T16:54:16"/>
    <x v="0"/>
    <x v="0"/>
    <s v="laurie.symbaluk@manulifesecurities.ca"/>
    <n v="909301"/>
    <s v="User Account"/>
    <n v="1"/>
    <s v="AtBelow"/>
    <s v="CC_Portal"/>
    <n v="0"/>
    <s v="MFC"/>
    <s v="IBMCA"/>
    <s v="ACTIVE ADVISORS AND ASSISTANTS"/>
    <n v="0"/>
    <n v="0"/>
  </r>
  <r>
    <s v="Crystal.Taylor@manulifesecurities.ca"/>
    <s v="MFC"/>
    <x v="0"/>
    <n v="552215"/>
    <n v="1"/>
    <d v="2017-09-20T15:56:31"/>
    <x v="1"/>
    <x v="1"/>
    <s v="Crystal.Taylor@manulifesecurities.ca"/>
    <n v="552215"/>
    <s v="User Account"/>
    <n v="0"/>
    <s v="Deny"/>
    <s v="CC_Portal"/>
    <n v="0"/>
    <s v="MFC"/>
    <s v="IBMCA"/>
    <s v="ACTIVE ADVISORS AND ASSISTANTS"/>
    <n v="0"/>
    <n v="0"/>
  </r>
  <r>
    <s v="Crystal.Taylor@manulifesecurities.ca"/>
    <s v="MFC"/>
    <x v="0"/>
    <n v="552215"/>
    <n v="1"/>
    <d v="2017-09-20T15:56:31"/>
    <x v="2"/>
    <x v="1"/>
    <s v="Crystal.Taylor@manulifesecurities.ca"/>
    <n v="552215"/>
    <s v="User Account"/>
    <n v="0"/>
    <s v="Deny"/>
    <s v="CC_Portal"/>
    <n v="0"/>
    <s v="MFC"/>
    <s v="IBMCA"/>
    <s v="ACTIVE ADVISORS AND ASSISTANTS"/>
    <n v="0"/>
    <n v="0"/>
  </r>
  <r>
    <s v="ssotest@mfc.sps.local"/>
    <s v="MFC"/>
    <x v="0"/>
    <n v="551367"/>
    <n v="1000"/>
    <d v="2017-09-20T15:32:28"/>
    <x v="0"/>
    <x v="0"/>
    <s v="jason.woo@manulifesecurities.ca"/>
    <n v="909705"/>
    <s v="User Account"/>
    <n v="1"/>
    <s v="AtBelow"/>
    <s v="CC_Portal"/>
    <n v="0"/>
    <s v="MFC"/>
    <s v="IBMCA"/>
    <s v="ACTIVE ADVISORS AND ASSISTANTS"/>
    <n v="0"/>
    <n v="0"/>
  </r>
  <r>
    <s v="ssotest@mfc.sps.local"/>
    <s v="MFC"/>
    <x v="0"/>
    <n v="551367"/>
    <n v="1000"/>
    <d v="2017-09-20T15:28:09"/>
    <x v="0"/>
    <x v="0"/>
    <s v="jason.woo@manulifesecurities.ca"/>
    <n v="909705"/>
    <s v="User Account"/>
    <n v="1"/>
    <s v="AtBelow"/>
    <s v="CC_Portal"/>
    <n v="0"/>
    <s v="MFC"/>
    <s v="IBMCA"/>
    <s v="ACTIVE ADVISORS AND ASSISTANTS"/>
    <n v="0"/>
    <n v="0"/>
  </r>
  <r>
    <s v="crystal.parkinson@manulifesecurities.ca"/>
    <s v="MFC"/>
    <x v="0"/>
    <n v="637976"/>
    <n v="1"/>
    <d v="2017-09-20T15:19:51"/>
    <x v="1"/>
    <x v="1"/>
    <s v="crystal.parkinson@manulifesecurities.ca"/>
    <n v="637976"/>
    <s v="User Account"/>
    <n v="0"/>
    <s v="Deny"/>
    <s v="CC_Portal"/>
    <n v="0"/>
    <s v="MFC"/>
    <s v="IBMCA"/>
    <s v="ACTIVE ADVISORS AND ASSISTANTS"/>
    <n v="0"/>
    <n v="0"/>
  </r>
  <r>
    <s v="crystal.parkinson@manulifesecurities.ca"/>
    <s v="MFC"/>
    <x v="0"/>
    <n v="637976"/>
    <n v="1"/>
    <d v="2017-09-20T15:19:51"/>
    <x v="2"/>
    <x v="1"/>
    <s v="crystal.parkinson@manulifesecurities.ca"/>
    <n v="637976"/>
    <s v="User Account"/>
    <n v="0"/>
    <s v="Deny"/>
    <s v="CC_Portal"/>
    <n v="0"/>
    <s v="MFC"/>
    <s v="IBMCA"/>
    <s v="ACTIVE ADVISORS AND ASSISTANTS"/>
    <n v="0"/>
    <n v="0"/>
  </r>
  <r>
    <s v="ssotest@mfc.sps.local"/>
    <s v="MFC"/>
    <x v="0"/>
    <n v="551367"/>
    <n v="1000"/>
    <d v="2017-09-20T15:17:23"/>
    <x v="0"/>
    <x v="0"/>
    <s v="kristi.leschuk@manulifesecurities.ca"/>
    <n v="905928"/>
    <s v="User Account"/>
    <n v="1"/>
    <s v="AtBelow"/>
    <s v="CC_Portal"/>
    <n v="0"/>
    <s v="MFC"/>
    <s v="IBMCA"/>
    <s v="ACTIVE ADVISORS AND ASSISTANTS"/>
    <n v="0"/>
    <n v="0"/>
  </r>
  <r>
    <s v="ssotest@mfc.sps.local"/>
    <s v="MFC"/>
    <x v="0"/>
    <n v="551367"/>
    <n v="1000"/>
    <d v="2017-09-20T15:12:24"/>
    <x v="0"/>
    <x v="0"/>
    <s v="Melony.Norgard@manulifesecurities.ca"/>
    <n v="553462"/>
    <s v="User Account"/>
    <n v="1"/>
    <s v="AtBelow"/>
    <s v="CC_Portal"/>
    <n v="0"/>
    <s v="MFC"/>
    <s v="IBMCA"/>
    <s v="DISABLED USERS"/>
    <n v="0"/>
    <n v="0"/>
  </r>
  <r>
    <s v="adiano.kitenge@manulifesecurities.ca"/>
    <s v="MFC"/>
    <x v="0"/>
    <n v="627566"/>
    <n v="3"/>
    <d v="2017-09-20T15:09:32"/>
    <x v="3"/>
    <x v="2"/>
    <s v="kristi.leschuk@manulifesecurities.ca"/>
    <n v="905928"/>
    <s v="User Account"/>
    <n v="1"/>
    <s v="AtBelow"/>
    <s v="CC_WebService"/>
    <m/>
    <s v="MFC"/>
    <s v="IBMCA"/>
    <s v="ACTIVE ADVISORS AND ASSISTANTS"/>
    <n v="0"/>
    <n v="0"/>
  </r>
  <r>
    <s v="adiano.kitenge@manulifesecurities.ca"/>
    <s v="MFC"/>
    <x v="0"/>
    <n v="627566"/>
    <n v="3"/>
    <d v="2017-09-20T15:09:12"/>
    <x v="0"/>
    <x v="3"/>
    <s v="kristi.leschuk@manulifesecurities.ca"/>
    <n v="905928"/>
    <s v="User Account"/>
    <n v="1"/>
    <s v="SelfBelow"/>
    <s v="CC_Portal"/>
    <s v="Enable"/>
    <s v="MFC"/>
    <s v="IBMCA"/>
    <s v="ACTIVE ADVISORS AND ASSISTANTS"/>
    <n v="0"/>
    <n v="0"/>
  </r>
  <r>
    <s v="alex_buena@manulifesecurities.ca"/>
    <s v="MFC"/>
    <x v="0"/>
    <n v="570025"/>
    <n v="3"/>
    <d v="2017-09-20T14:30:22"/>
    <x v="0"/>
    <x v="3"/>
    <s v="Jennifer.Lamarche@manulifesecurities.ca"/>
    <n v="552826"/>
    <s v="User Account"/>
    <n v="1"/>
    <s v="AtBelow"/>
    <s v="CC_Portal"/>
    <s v="Disable"/>
    <s v="MFC"/>
    <s v="IBMCA"/>
    <s v="DISABLED USERS"/>
    <n v="0"/>
    <n v="0"/>
  </r>
  <r>
    <s v="priscilla.misir@manulifesecurities.ca"/>
    <s v="MFC"/>
    <x v="0"/>
    <n v="674396"/>
    <n v="3"/>
    <d v="2017-09-20T14:29:26"/>
    <x v="0"/>
    <x v="4"/>
    <s v="darlene.letun@manulifesecurities.ca"/>
    <n v="902569"/>
    <s v="User Account"/>
    <n v="1"/>
    <s v="AtBelow"/>
    <s v="CC_Portal"/>
    <s v="oldOrgGroup=ACTIVE ADVISORS AND ASSISTANTS;newOrgGroup=DISABLED USERS"/>
    <s v="MFC"/>
    <s v="IBMCA"/>
    <s v="DISABLED USERS"/>
    <n v="0"/>
    <n v="0"/>
  </r>
  <r>
    <s v="priscilla.misir@manulifesecurities.ca"/>
    <s v="MFC"/>
    <x v="0"/>
    <n v="674396"/>
    <n v="3"/>
    <d v="2017-09-20T14:28:58"/>
    <x v="4"/>
    <x v="6"/>
    <s v="MSI_autoSupervision@manulifesecurities.ca"/>
    <n v="561483"/>
    <s v="Distribution List"/>
    <n v="1"/>
    <s v="Any"/>
    <s v="CC_Portal"/>
    <s v="b24a6ed087ac4e008e7547c4d862b0eb"/>
    <s v="MFC"/>
    <s v="IBMCA"/>
    <s v="ALL GROUPS"/>
    <n v="0"/>
    <n v="0"/>
  </r>
  <r>
    <s v="priscilla.misir@manulifesecurities.ca"/>
    <s v="MFC"/>
    <x v="0"/>
    <n v="674396"/>
    <n v="3"/>
    <d v="2017-09-20T14:28:58"/>
    <x v="0"/>
    <x v="5"/>
    <s v="darlene.letun@manulifesecurities.ca"/>
    <n v="902569"/>
    <s v="User Account"/>
    <n v="1"/>
    <s v="AtBelow"/>
    <s v="CC_Portal"/>
    <n v="0"/>
    <s v="MFC"/>
    <s v="IBMCA"/>
    <s v="ACTIVE ADVISORS AND ASSISTANTS"/>
    <n v="0"/>
    <n v="0"/>
  </r>
  <r>
    <s v="priscilla.misir@manulifesecurities.ca"/>
    <s v="MFC"/>
    <x v="0"/>
    <n v="674396"/>
    <n v="3"/>
    <d v="2017-09-20T14:28:57"/>
    <x v="4"/>
    <x v="6"/>
    <s v="MSI_autoEmailArchive@manulifesecurities.ca"/>
    <n v="561482"/>
    <s v="Distribution List"/>
    <n v="1"/>
    <s v="Any"/>
    <s v="CC_Portal"/>
    <s v="b24a6ed087ac4e008e7547c4d862b0eb"/>
    <s v="MFC"/>
    <s v="IBMCA"/>
    <s v="ALL GROUPS"/>
    <n v="0"/>
    <n v="0"/>
  </r>
  <r>
    <s v="priscilla.misir@manulifesecurities.ca"/>
    <s v="MFC"/>
    <x v="0"/>
    <n v="674396"/>
    <n v="3"/>
    <d v="2017-09-20T14:28:56"/>
    <x v="4"/>
    <x v="6"/>
    <s v="AllAssistants@manulifesecurities.ca"/>
    <n v="555660"/>
    <s v="Distribution List"/>
    <n v="1"/>
    <s v="Any"/>
    <s v="CC_Portal"/>
    <s v="b24a6ed087ac4e008e7547c4d862b0eb"/>
    <s v="MFC"/>
    <s v="IBMCA"/>
    <s v="ALL GROUPS"/>
    <n v="0"/>
    <n v="0"/>
  </r>
  <r>
    <s v="priscilla.misir@manulifesecurities.ca"/>
    <s v="MFC"/>
    <x v="0"/>
    <n v="674396"/>
    <n v="3"/>
    <d v="2017-09-20T14:28:55"/>
    <x v="0"/>
    <x v="5"/>
    <s v="darlene.letun@manulifesecurities.ca"/>
    <n v="902569"/>
    <s v="User Account"/>
    <n v="1"/>
    <s v="AtBelow"/>
    <s v="CC_Portal"/>
    <n v="0"/>
    <s v="MFC"/>
    <s v="IBMCA"/>
    <s v="ACTIVE ADVISORS AND ASSISTANTS"/>
    <n v="0"/>
    <n v="0"/>
  </r>
  <r>
    <s v="priscilla.misir@manulifesecurities.ca"/>
    <s v="MFC"/>
    <x v="0"/>
    <n v="674396"/>
    <n v="3"/>
    <d v="2017-09-20T14:28:42"/>
    <x v="0"/>
    <x v="5"/>
    <s v="darlene.letun@manulifesecurities.ca"/>
    <n v="902569"/>
    <s v="User Account"/>
    <n v="1"/>
    <s v="AtBelow"/>
    <s v="CC_Portal"/>
    <n v="0"/>
    <s v="MFC"/>
    <s v="IBMCA"/>
    <s v="ACTIVE ADVISORS AND ASSISTANTS"/>
    <n v="0"/>
    <n v="0"/>
  </r>
  <r>
    <s v="alex_buena@manulifesecurities.ca"/>
    <s v="MFC"/>
    <x v="0"/>
    <n v="570025"/>
    <n v="3"/>
    <d v="2017-09-20T14:28:23"/>
    <x v="4"/>
    <x v="6"/>
    <s v="MSI_autoEmailArchive@manulifesecurities.ca"/>
    <n v="561482"/>
    <s v="Distribution List"/>
    <n v="1"/>
    <s v="Any"/>
    <s v="CC_Portal"/>
    <s v="4b1e548ec554490b9e46d552c86a066a"/>
    <s v="MFC"/>
    <s v="IBMCA"/>
    <s v="ALL GROUPS"/>
    <n v="0"/>
    <n v="0"/>
  </r>
  <r>
    <s v="alex_buena@manulifesecurities.ca"/>
    <s v="MFC"/>
    <x v="0"/>
    <n v="570025"/>
    <n v="3"/>
    <d v="2017-09-20T14:28:23"/>
    <x v="0"/>
    <x v="5"/>
    <s v="Jennifer.Lamarche@manulifesecurities.ca"/>
    <n v="552826"/>
    <s v="User Account"/>
    <n v="1"/>
    <s v="AtBelow"/>
    <s v="CC_Portal"/>
    <n v="0"/>
    <s v="MFC"/>
    <s v="IBMCA"/>
    <s v="DISABLED USERS"/>
    <n v="0"/>
    <n v="0"/>
  </r>
  <r>
    <s v="alex_buena@manulifesecurities.ca"/>
    <s v="MFC"/>
    <x v="0"/>
    <n v="570025"/>
    <n v="3"/>
    <d v="2017-09-20T14:28:21"/>
    <x v="4"/>
    <x v="6"/>
    <s v="AllAssistants@manulifesecurities.ca"/>
    <n v="555660"/>
    <s v="Distribution List"/>
    <n v="1"/>
    <s v="Any"/>
    <s v="CC_Portal"/>
    <s v="4b1e548ec554490b9e46d552c86a066a"/>
    <s v="MFC"/>
    <s v="IBMCA"/>
    <s v="ALL GROUPS"/>
    <n v="0"/>
    <n v="0"/>
  </r>
  <r>
    <s v="alex_buena@manulifesecurities.ca"/>
    <s v="MFC"/>
    <x v="0"/>
    <n v="570025"/>
    <n v="3"/>
    <d v="2017-09-20T14:28:20"/>
    <x v="4"/>
    <x v="6"/>
    <s v="Advisors@manulifesecurities.ca"/>
    <n v="555668"/>
    <s v="Distribution List"/>
    <n v="1"/>
    <s v="Any"/>
    <s v="CC_Portal"/>
    <s v="4b1e548ec554490b9e46d552c86a066a"/>
    <s v="MFC"/>
    <s v="IBMCA"/>
    <s v="ALL GROUPS"/>
    <n v="0"/>
    <n v="0"/>
  </r>
  <r>
    <s v="alex_buena@manulifesecurities.ca"/>
    <s v="MFC"/>
    <x v="0"/>
    <n v="570025"/>
    <n v="3"/>
    <d v="2017-09-20T14:28:18"/>
    <x v="0"/>
    <x v="5"/>
    <s v="Jennifer.Lamarche@manulifesecurities.ca"/>
    <n v="552826"/>
    <s v="User Account"/>
    <n v="1"/>
    <s v="AtBelow"/>
    <s v="CC_Portal"/>
    <n v="0"/>
    <s v="MFC"/>
    <s v="IBMCA"/>
    <s v="DISABLED USERS"/>
    <n v="0"/>
    <n v="0"/>
  </r>
  <r>
    <s v="priscilla.misir@manulifesecurities.ca"/>
    <s v="MFC"/>
    <x v="0"/>
    <n v="674396"/>
    <n v="3"/>
    <d v="2017-09-20T14:28:13"/>
    <x v="0"/>
    <x v="3"/>
    <s v="darlene.letun@manulifesecurities.ca"/>
    <n v="902569"/>
    <s v="User Account"/>
    <n v="1"/>
    <s v="AtBelow"/>
    <s v="CC_Portal"/>
    <s v="Disable"/>
    <s v="MFC"/>
    <s v="IBMCA"/>
    <s v="ACTIVE ADVISORS AND ASSISTANTS"/>
    <n v="0"/>
    <n v="0"/>
  </r>
  <r>
    <s v="alex_buena@manulifesecurities.ca"/>
    <s v="MFC"/>
    <x v="0"/>
    <n v="570025"/>
    <n v="3"/>
    <d v="2017-09-20T14:28:13"/>
    <x v="0"/>
    <x v="5"/>
    <s v="Jennifer.Lamarche@manulifesecurities.ca"/>
    <n v="552826"/>
    <s v="User Account"/>
    <n v="1"/>
    <s v="AtBelow"/>
    <s v="CC_Portal"/>
    <n v="0"/>
    <s v="MFC"/>
    <s v="IBMCA"/>
    <s v="DISABLED USERS"/>
    <n v="0"/>
    <n v="0"/>
  </r>
  <r>
    <s v="alex_buena@manulifesecurities.ca"/>
    <s v="MFC"/>
    <x v="0"/>
    <n v="570025"/>
    <n v="3"/>
    <d v="2017-09-20T14:27:14"/>
    <x v="0"/>
    <x v="4"/>
    <s v="Jennifer.Lamarche@manulifesecurities.ca"/>
    <n v="552826"/>
    <s v="User Account"/>
    <n v="1"/>
    <s v="AtBelow"/>
    <s v="CC_Portal"/>
    <s v="oldOrgGroup=ACTIVE ADVISORS AND ASSISTANTS;newOrgGroup=DISABLED USERS"/>
    <s v="MFC"/>
    <s v="IBMCA"/>
    <s v="DISABLED USERS"/>
    <n v="0"/>
    <n v="0"/>
  </r>
  <r>
    <s v="priscilla.misir@manulifesecurities.ca"/>
    <s v="MFC"/>
    <x v="0"/>
    <n v="674396"/>
    <n v="3"/>
    <d v="2017-09-20T14:26:44"/>
    <x v="0"/>
    <x v="3"/>
    <s v="darlene.letun@manulifesecurities.ca"/>
    <n v="902569"/>
    <s v="User Account"/>
    <n v="1"/>
    <s v="AtBelow"/>
    <s v="CC_Portal"/>
    <s v="Disable"/>
    <s v="MFC"/>
    <s v="IBMCA"/>
    <s v="ACTIVE ADVISORS AND ASSISTANTS"/>
    <n v="0"/>
    <n v="0"/>
  </r>
  <r>
    <s v="patrick.harkins@manulifesecurities.ca"/>
    <s v="MFC"/>
    <x v="0"/>
    <n v="560864"/>
    <n v="3"/>
    <d v="2017-09-20T14:20:05"/>
    <x v="3"/>
    <x v="2"/>
    <s v="Daryl.Martz@manulifesecurities.ca"/>
    <n v="552269"/>
    <s v="User Account"/>
    <n v="1"/>
    <s v="AtBelow"/>
    <s v="CC_WebService"/>
    <m/>
    <s v="MFC"/>
    <s v="IBMCA"/>
    <s v="ACTIVE ADVISORS AND ASSISTANTS"/>
    <n v="0"/>
    <n v="0"/>
  </r>
  <r>
    <s v="ssotest@mfc.sps.local"/>
    <s v="MFC"/>
    <x v="0"/>
    <n v="551367"/>
    <n v="1000"/>
    <d v="2017-09-20T13:56:25"/>
    <x v="0"/>
    <x v="0"/>
    <s v="Doug.Gowman@manulifesecurities.ca"/>
    <n v="552429"/>
    <s v="User Account"/>
    <n v="1"/>
    <s v="AtBelow"/>
    <s v="CC_Portal"/>
    <n v="0"/>
    <s v="MFC"/>
    <s v="IBMCA"/>
    <s v="ACTIVE ADVISORS AND ASSISTANTS"/>
    <n v="0"/>
    <n v="0"/>
  </r>
  <r>
    <s v="ssotest@mfc.sps.local"/>
    <s v="MFC"/>
    <x v="0"/>
    <n v="551367"/>
    <n v="1000"/>
    <d v="2017-09-20T13:52:17"/>
    <x v="0"/>
    <x v="0"/>
    <s v="Forrest.Miller@manulifesecurities.ca"/>
    <n v="552526"/>
    <s v="User Account"/>
    <n v="1"/>
    <s v="AtBelow"/>
    <s v="CC_Portal"/>
    <n v="0"/>
    <s v="MFC"/>
    <s v="IBMCA"/>
    <s v="ACTIVE ADVISORS AND ASSISTANTS"/>
    <n v="0"/>
    <n v="0"/>
  </r>
  <r>
    <s v="priscilla.misir@manulifesecurities.ca"/>
    <s v="MFC"/>
    <x v="0"/>
    <n v="674396"/>
    <n v="3"/>
    <d v="2017-09-20T13:46:28"/>
    <x v="0"/>
    <x v="5"/>
    <s v="jason.woo@manulifesecurities.ca"/>
    <n v="909705"/>
    <s v="User Account"/>
    <n v="1"/>
    <s v="AtBelow"/>
    <s v="CC_Portal"/>
    <n v="0"/>
    <s v="MFC"/>
    <s v="IBMCA"/>
    <s v="ACTIVE ADVISORS AND ASSISTANTS"/>
    <n v="0"/>
    <n v="0"/>
  </r>
  <r>
    <s v="priscilla.misir@manulifesecurities.ca"/>
    <s v="MFC"/>
    <x v="0"/>
    <n v="674396"/>
    <n v="3"/>
    <d v="2017-09-20T13:46:27"/>
    <x v="5"/>
    <x v="6"/>
    <s v="MSI_autoEmailArchive@manulifesecurities.ca"/>
    <n v="561482"/>
    <s v="Distribution List"/>
    <n v="1"/>
    <s v="Any"/>
    <s v="CC_Portal"/>
    <s v="d8853f1192d94f56a6f408ff632e8ed6"/>
    <s v="MFC"/>
    <s v="IBMCA"/>
    <s v="ALL GROUPS"/>
    <n v="0"/>
    <n v="0"/>
  </r>
  <r>
    <s v="priscilla.misir@manulifesecurities.ca"/>
    <s v="MFC"/>
    <x v="0"/>
    <n v="674396"/>
    <n v="3"/>
    <d v="2017-09-20T13:46:22"/>
    <x v="5"/>
    <x v="6"/>
    <s v="AllAssistants@manulifesecurities.ca"/>
    <n v="555660"/>
    <s v="Distribution List"/>
    <n v="1"/>
    <s v="Any"/>
    <s v="CC_Portal"/>
    <s v="d8853f1192d94f56a6f408ff632e8ed6"/>
    <s v="MFC"/>
    <s v="IBMCA"/>
    <s v="ALL GROUPS"/>
    <n v="0"/>
    <n v="0"/>
  </r>
  <r>
    <s v="priscilla.misir@manulifesecurities.ca"/>
    <s v="MFC"/>
    <x v="0"/>
    <n v="674396"/>
    <n v="3"/>
    <d v="2017-09-20T13:46:13"/>
    <x v="0"/>
    <x v="5"/>
    <s v="jason.woo@manulifesecurities.ca"/>
    <n v="909705"/>
    <s v="User Account"/>
    <n v="1"/>
    <s v="AtBelow"/>
    <s v="CC_Portal"/>
    <n v="0"/>
    <s v="MFC"/>
    <s v="IBMCA"/>
    <s v="ACTIVE ADVISORS AND ASSISTANTS"/>
    <n v="0"/>
    <n v="0"/>
  </r>
  <r>
    <s v="priscilla.misir@manulifesecurities.ca"/>
    <s v="MFC"/>
    <x v="0"/>
    <n v="674396"/>
    <n v="3"/>
    <d v="2017-09-20T13:45:40"/>
    <x v="0"/>
    <x v="5"/>
    <s v="jason.woo@manulifesecurities.ca"/>
    <n v="909705"/>
    <s v="User Account"/>
    <n v="1"/>
    <s v="AtBelow"/>
    <s v="CC_Portal"/>
    <n v="0"/>
    <s v="MFC"/>
    <s v="IBMCA"/>
    <s v="ACTIVE ADVISORS AND ASSISTANTS"/>
    <n v="0"/>
    <n v="0"/>
  </r>
  <r>
    <s v="ssotest@mfc.sps.local"/>
    <s v="MFC"/>
    <x v="0"/>
    <n v="551367"/>
    <n v="1000"/>
    <d v="2017-09-20T13:45:36"/>
    <x v="0"/>
    <x v="0"/>
    <s v="Don.Landry@manulifesecurities.ca"/>
    <n v="552397"/>
    <s v="User Account"/>
    <n v="1"/>
    <s v="AtBelow"/>
    <s v="CC_Portal"/>
    <n v="0"/>
    <s v="MFC"/>
    <s v="IBMCA"/>
    <s v="ACTIVE ADVISORS AND ASSISTANTS"/>
    <n v="0"/>
    <n v="0"/>
  </r>
  <r>
    <s v="priscilla.misir@manulifesecurities.ca"/>
    <s v="MFC"/>
    <x v="0"/>
    <n v="674396"/>
    <n v="3"/>
    <d v="2017-09-20T13:42:31"/>
    <x v="5"/>
    <x v="7"/>
    <s v="jason.woo@manulifesecurities.ca"/>
    <n v="909705"/>
    <s v="User Account"/>
    <n v="1"/>
    <s v="AtBelow"/>
    <s v="CC_Portal"/>
    <s v="PrimaryEmail=jason.woo@manulifesecurities.ca"/>
    <s v="MFC"/>
    <s v="IBMCA"/>
    <s v="ACTIVE ADVISORS AND ASSISTANTS"/>
    <n v="0"/>
    <n v="0"/>
  </r>
  <r>
    <s v="ssotest@mfc.sps.local"/>
    <s v="MFC"/>
    <x v="0"/>
    <n v="551367"/>
    <n v="1000"/>
    <d v="2017-09-20T13:38:38"/>
    <x v="0"/>
    <x v="0"/>
    <s v="Daryl.Martz@manulifesecurities.ca"/>
    <n v="552269"/>
    <s v="User Account"/>
    <n v="1"/>
    <s v="AtBelow"/>
    <s v="CC_Portal"/>
    <n v="0"/>
    <s v="MFC"/>
    <s v="IBMCA"/>
    <s v="ACTIVE ADVISORS AND ASSISTANTS"/>
    <n v="0"/>
    <n v="0"/>
  </r>
  <r>
    <s v="ssotest@mfc.sps.local"/>
    <s v="MFC"/>
    <x v="0"/>
    <n v="551367"/>
    <n v="1000"/>
    <d v="2017-09-20T13:19:51"/>
    <x v="0"/>
    <x v="0"/>
    <s v="Dawn.Solano@manulifesecurities.ca"/>
    <n v="552324"/>
    <s v="User Account"/>
    <n v="1"/>
    <s v="AtBelow"/>
    <s v="CC_Portal"/>
    <n v="0"/>
    <s v="MFC"/>
    <s v="IBMCA"/>
    <s v="ACTIVE ADVISORS AND ASSISTANTS"/>
    <n v="0"/>
    <n v="0"/>
  </r>
  <r>
    <s v="alex_buena@manulifesecurities.ca"/>
    <s v="MFC"/>
    <x v="0"/>
    <n v="570025"/>
    <n v="3"/>
    <d v="2017-09-20T13:19:16"/>
    <x v="0"/>
    <x v="11"/>
    <s v="juliette.lu@manulifesecurities.ca"/>
    <n v="908518"/>
    <s v="User Account"/>
    <n v="1"/>
    <s v="SelfBelow"/>
    <s v="CC_Portal"/>
    <s v="oldEmail=yue.lu@manulifesecurities.ca;newEmail=juliette.lu@manulifesecurities.ca"/>
    <s v="MFC"/>
    <s v="IBMCA"/>
    <s v="ACTIVE ADVISORS AND ASSISTANTS"/>
    <n v="0"/>
    <n v="0"/>
  </r>
  <r>
    <s v="alex_buena@manulifesecurities.ca"/>
    <s v="MFC"/>
    <x v="0"/>
    <n v="570025"/>
    <n v="3"/>
    <d v="2017-09-20T13:19:06"/>
    <x v="5"/>
    <x v="8"/>
    <s v="yue.lu@manulifesecurities.ca"/>
    <n v="908518"/>
    <s v="User Account"/>
    <n v="1"/>
    <s v="SelfBelow"/>
    <s v="CC_Portal"/>
    <s v="AddedAliases=juliette.lu@manulifesecurities.ca"/>
    <s v="MFC"/>
    <s v="IBMCA"/>
    <s v="ACTIVE ADVISORS AND ASSISTANTS"/>
    <n v="0"/>
    <n v="0"/>
  </r>
  <r>
    <s v="ssotest@mfc.sps.local"/>
    <s v="MFC"/>
    <x v="0"/>
    <n v="551367"/>
    <n v="1000"/>
    <d v="2017-09-20T13:09:52"/>
    <x v="0"/>
    <x v="0"/>
    <s v="rosalie.pollock@manulifesecurities.ca"/>
    <n v="865816"/>
    <s v="User Account"/>
    <n v="1"/>
    <s v="AtBelow"/>
    <s v="CC_Portal"/>
    <n v="0"/>
    <s v="MFC"/>
    <s v="IBMCA"/>
    <s v="ACTIVE ADVISORS AND ASSISTANTS"/>
    <n v="0"/>
    <n v="0"/>
  </r>
  <r>
    <s v="ssotest@mfc.sps.local"/>
    <s v="MFC"/>
    <x v="0"/>
    <n v="551367"/>
    <n v="1000"/>
    <d v="2017-09-20T13:01:00"/>
    <x v="0"/>
    <x v="0"/>
    <s v="Doreen.Nicholson@manulifesecurities.ca"/>
    <n v="552421"/>
    <s v="User Account"/>
    <n v="1"/>
    <s v="AtBelow"/>
    <s v="CC_Portal"/>
    <n v="0"/>
    <s v="MFC"/>
    <s v="IBMCA"/>
    <s v="ACTIVE ADVISORS AND ASSISTANTS"/>
    <n v="0"/>
    <n v="0"/>
  </r>
  <r>
    <s v="crystal.parkinson@manulifesecurities.ca"/>
    <s v="MFC"/>
    <x v="0"/>
    <n v="637976"/>
    <n v="1"/>
    <d v="2017-09-20T12:33:01"/>
    <x v="2"/>
    <x v="1"/>
    <s v="crystal.parkinson@manulifesecurities.ca"/>
    <n v="637976"/>
    <s v="User Account"/>
    <n v="0"/>
    <s v="Deny"/>
    <s v="CC_Portal"/>
    <n v="0"/>
    <s v="MFC"/>
    <s v="IBMCA"/>
    <s v="ACTIVE ADVISORS AND ASSISTANTS"/>
    <n v="0"/>
    <n v="0"/>
  </r>
  <r>
    <s v="crystal.parkinson@manulifesecurities.ca"/>
    <s v="MFC"/>
    <x v="0"/>
    <n v="637976"/>
    <n v="1"/>
    <d v="2017-09-20T12:33:00"/>
    <x v="1"/>
    <x v="1"/>
    <s v="crystal.parkinson@manulifesecurities.ca"/>
    <n v="637976"/>
    <s v="User Account"/>
    <n v="0"/>
    <s v="Deny"/>
    <s v="CC_Portal"/>
    <n v="0"/>
    <s v="MFC"/>
    <s v="IBMCA"/>
    <s v="ACTIVE ADVISORS AND ASSISTANTS"/>
    <n v="0"/>
    <n v="0"/>
  </r>
  <r>
    <s v="ssotest@mfc.sps.local"/>
    <s v="MFC"/>
    <x v="0"/>
    <n v="551367"/>
    <n v="1000"/>
    <d v="2017-09-20T12:28:24"/>
    <x v="0"/>
    <x v="0"/>
    <s v="Ronald.Cooley@manulifesecurities.ca"/>
    <n v="553873"/>
    <s v="User Account"/>
    <n v="1"/>
    <s v="AtBelow"/>
    <s v="CC_Portal"/>
    <n v="0"/>
    <s v="MFC"/>
    <s v="IBMCA"/>
    <s v="ACTIVE ADVISORS AND ASSISTANTS"/>
    <n v="0"/>
    <n v="0"/>
  </r>
  <r>
    <s v="ssotest@mfc.sps.local"/>
    <s v="MFC"/>
    <x v="0"/>
    <n v="551367"/>
    <n v="1000"/>
    <d v="2017-09-20T12:28:03"/>
    <x v="0"/>
    <x v="0"/>
    <s v="Lori.Hildebrand@manulifesecurities.ca"/>
    <n v="553252"/>
    <s v="User Account"/>
    <n v="1"/>
    <s v="AtBelow"/>
    <s v="CC_Portal"/>
    <n v="0"/>
    <s v="MFC"/>
    <s v="IBMCA"/>
    <s v="ACTIVE ADVISORS AND ASSISTANTS"/>
    <n v="0"/>
    <n v="0"/>
  </r>
  <r>
    <s v="fahmi.karim@manulifesecurities.ca"/>
    <s v="MFC"/>
    <x v="0"/>
    <n v="809833"/>
    <n v="3"/>
    <d v="2017-09-20T11:53:39"/>
    <x v="3"/>
    <x v="2"/>
    <s v="Bill.Robillard@manulifesecurities.ca"/>
    <n v="551936"/>
    <s v="User Account"/>
    <n v="1"/>
    <s v="AtBelow"/>
    <s v="CC_WebService"/>
    <m/>
    <s v="MFC"/>
    <s v="IBMCA"/>
    <s v="ACTIVE ADVISORS AND ASSISTANTS"/>
    <n v="0"/>
    <n v="0"/>
  </r>
  <r>
    <s v="ssotest@mfc.sps.local"/>
    <s v="MFC"/>
    <x v="0"/>
    <n v="551367"/>
    <n v="1000"/>
    <d v="2017-09-20T11:52:24"/>
    <x v="0"/>
    <x v="0"/>
    <s v="Arlene.Rheaume@manulifesecurities.ca"/>
    <n v="551858"/>
    <s v="User Account"/>
    <n v="1"/>
    <s v="AtBelow"/>
    <s v="CC_Portal"/>
    <n v="0"/>
    <s v="MFC"/>
    <s v="IBMCA"/>
    <s v="ACTIVE ADVISORS AND ASSISTANTS"/>
    <n v="0"/>
    <n v="0"/>
  </r>
  <r>
    <s v="ssotest@mfc.sps.local"/>
    <s v="MFC"/>
    <x v="0"/>
    <n v="551367"/>
    <n v="1000"/>
    <d v="2017-09-20T11:51:53"/>
    <x v="0"/>
    <x v="0"/>
    <s v="Dawn.Solano@manulifesecurities.ca"/>
    <n v="552324"/>
    <s v="User Account"/>
    <n v="1"/>
    <s v="AtBelow"/>
    <s v="CC_Portal"/>
    <n v="0"/>
    <s v="MFC"/>
    <s v="IBMCA"/>
    <s v="ACTIVE ADVISORS AND ASSISTANTS"/>
    <n v="0"/>
    <n v="0"/>
  </r>
  <r>
    <s v="ssotest@mfc.sps.local"/>
    <s v="MFC"/>
    <x v="0"/>
    <n v="551367"/>
    <n v="1000"/>
    <d v="2017-09-20T11:42:35"/>
    <x v="0"/>
    <x v="0"/>
    <s v="Dawn.Solano@manulifesecurities.ca"/>
    <n v="552324"/>
    <s v="User Account"/>
    <n v="1"/>
    <s v="AtBelow"/>
    <s v="CC_Portal"/>
    <n v="0"/>
    <s v="MFC"/>
    <s v="IBMCA"/>
    <s v="ACTIVE ADVISORS AND ASSISTANTS"/>
    <n v="0"/>
    <n v="0"/>
  </r>
  <r>
    <s v="ssotest@mfc.sps.local"/>
    <s v="MFC"/>
    <x v="0"/>
    <n v="551367"/>
    <n v="1000"/>
    <d v="2017-09-20T11:36:13"/>
    <x v="0"/>
    <x v="0"/>
    <s v="antonia.laginha@manulifesecurities.ca"/>
    <n v="560256"/>
    <s v="User Account"/>
    <n v="1"/>
    <s v="AtBelow"/>
    <s v="CC_Portal"/>
    <n v="0"/>
    <s v="MFC"/>
    <s v="IBMCA"/>
    <s v="DISABLED USERS"/>
    <n v="0"/>
    <n v="0"/>
  </r>
  <r>
    <s v="ssotest@mfc.sps.local"/>
    <s v="MFC"/>
    <x v="0"/>
    <n v="551367"/>
    <n v="1000"/>
    <d v="2017-09-20T11:02:38"/>
    <x v="0"/>
    <x v="0"/>
    <s v="Melony.Norgard@manulifesecurities.ca"/>
    <n v="553462"/>
    <s v="User Account"/>
    <n v="1"/>
    <s v="AtBelow"/>
    <s v="CC_Portal"/>
    <n v="0"/>
    <s v="MFC"/>
    <s v="IBMCA"/>
    <s v="DISABLED USERS"/>
    <n v="0"/>
    <n v="0"/>
  </r>
  <r>
    <s v="ssotest@mfc.sps.local"/>
    <s v="MFC"/>
    <x v="0"/>
    <n v="551367"/>
    <n v="1000"/>
    <d v="2017-09-20T10:35:32"/>
    <x v="0"/>
    <x v="0"/>
    <s v="Brandon.Silbermann@manulifesecurities.ca"/>
    <n v="551969"/>
    <s v="User Account"/>
    <n v="1"/>
    <s v="AtBelow"/>
    <s v="CC_Portal"/>
    <n v="0"/>
    <s v="MFC"/>
    <s v="IBMCA"/>
    <s v="ACTIVE ADVISORS AND ASSISTANTS"/>
    <n v="0"/>
    <n v="0"/>
  </r>
  <r>
    <s v="fahmi.karim@manulifesecurities.ca"/>
    <s v="MFC"/>
    <x v="0"/>
    <n v="809833"/>
    <n v="3"/>
    <d v="2017-09-20T10:25:21"/>
    <x v="3"/>
    <x v="2"/>
    <s v="Paula.Yule@manulifesecurities.ca"/>
    <n v="553688"/>
    <s v="User Account"/>
    <n v="1"/>
    <s v="AtBelow"/>
    <s v="CC_WebService"/>
    <m/>
    <s v="MFC"/>
    <s v="IBMCA"/>
    <s v="ACTIVE ADVISORS AND ASSISTANTS"/>
    <n v="0"/>
    <n v="0"/>
  </r>
  <r>
    <s v="ssotest@mfc.sps.local"/>
    <s v="MFC"/>
    <x v="0"/>
    <n v="551367"/>
    <n v="1000"/>
    <d v="2017-09-20T10:25:20"/>
    <x v="0"/>
    <x v="0"/>
    <s v="Jon.Earle@manulifesecurities.ca"/>
    <n v="552926"/>
    <s v="User Account"/>
    <n v="1"/>
    <s v="AtBelow"/>
    <s v="CC_Portal"/>
    <n v="0"/>
    <s v="MFC"/>
    <s v="IBMCA"/>
    <s v="ACTIVE ADVISORS AND ASSISTANTS"/>
    <n v="0"/>
    <n v="0"/>
  </r>
  <r>
    <s v="ssotest@mfc.sps.local"/>
    <s v="MFC"/>
    <x v="0"/>
    <n v="551367"/>
    <n v="1000"/>
    <d v="2017-09-20T10:24:13"/>
    <x v="0"/>
    <x v="0"/>
    <s v="Jon.Earle@manulifesecurities.ca"/>
    <n v="552926"/>
    <s v="User Account"/>
    <n v="1"/>
    <s v="AtBelow"/>
    <s v="CC_Portal"/>
    <n v="0"/>
    <s v="MFC"/>
    <s v="IBMCA"/>
    <s v="ACTIVE ADVISORS AND ASSISTANTS"/>
    <n v="0"/>
    <n v="0"/>
  </r>
  <r>
    <s v="ssotest@mfc.sps.local"/>
    <s v="MFC"/>
    <x v="0"/>
    <n v="551367"/>
    <n v="1000"/>
    <d v="2017-09-20T10:15:46"/>
    <x v="0"/>
    <x v="0"/>
    <s v="Michele.Wilson@manulifesecurities.ca"/>
    <n v="553520"/>
    <s v="User Account"/>
    <n v="1"/>
    <s v="AtBelow"/>
    <s v="CC_Portal"/>
    <n v="0"/>
    <s v="MFC"/>
    <s v="IBMCA"/>
    <s v="ACTIVE ADVISORS AND ASSISTANTS"/>
    <n v="0"/>
    <n v="0"/>
  </r>
  <r>
    <s v="fahmi.karim@manulifesecurities.ca"/>
    <s v="MFC"/>
    <x v="0"/>
    <n v="809833"/>
    <n v="3"/>
    <d v="2017-09-20T10:13:14"/>
    <x v="3"/>
    <x v="2"/>
    <s v="kristina.kuklyte@manulifesecurities.ca"/>
    <n v="714560"/>
    <s v="User Account"/>
    <n v="1"/>
    <s v="AtBelow"/>
    <s v="CC_WebService"/>
    <m/>
    <s v="MFC"/>
    <s v="IBMCA"/>
    <s v="ACTIVE ADVISORS AND ASSISTANTS"/>
    <n v="0"/>
    <n v="0"/>
  </r>
  <r>
    <s v="ssotest@mfc.sps.local"/>
    <s v="MFC"/>
    <x v="0"/>
    <n v="551367"/>
    <n v="1000"/>
    <d v="2017-09-20T10:00:55"/>
    <x v="0"/>
    <x v="0"/>
    <s v="olivier.lawlor@manulifesecurities.ca"/>
    <n v="827744"/>
    <s v="User Account"/>
    <n v="1"/>
    <s v="AtBelow"/>
    <s v="CC_Portal"/>
    <n v="0"/>
    <s v="MFC"/>
    <s v="IBMCA"/>
    <s v="ACTIVE ADVISORS AND ASSISTANTS"/>
    <n v="0"/>
    <n v="0"/>
  </r>
  <r>
    <s v="cristian.bogdan@manulifesecurities.ca"/>
    <s v="MFC"/>
    <x v="0"/>
    <n v="560330"/>
    <n v="3"/>
    <d v="2017-09-20T09:38:51"/>
    <x v="3"/>
    <x v="2"/>
    <s v="Sandra.McNally@manulifesecurities.ca"/>
    <n v="553925"/>
    <s v="User Account"/>
    <n v="1"/>
    <s v="AtBelow"/>
    <s v="CC_WebService"/>
    <m/>
    <s v="MFC"/>
    <s v="IBMCA"/>
    <s v="ACTIVE ADVISORS AND ASSISTANTS"/>
    <n v="0"/>
    <n v="0"/>
  </r>
  <r>
    <s v="ssotest@mfc.sps.local"/>
    <s v="MFC"/>
    <x v="0"/>
    <n v="551367"/>
    <n v="1000"/>
    <d v="2017-09-20T09:31:07"/>
    <x v="0"/>
    <x v="0"/>
    <s v="denise.cairns@manulifesecurities.ca"/>
    <n v="723794"/>
    <s v="User Account"/>
    <n v="1"/>
    <s v="AtBelow"/>
    <s v="CC_Portal"/>
    <n v="0"/>
    <s v="MFC"/>
    <s v="IBMCA"/>
    <s v="ACTIVE ADVISORS AND ASSISTANTS"/>
    <n v="0"/>
    <n v="0"/>
  </r>
  <r>
    <s v="ssotest@mfc.sps.local"/>
    <s v="MFC"/>
    <x v="0"/>
    <n v="551367"/>
    <n v="1000"/>
    <d v="2017-09-20T09:30:49"/>
    <x v="0"/>
    <x v="0"/>
    <s v="Marcy.McDougald@manulifesecurities.ca"/>
    <n v="553317"/>
    <s v="User Account"/>
    <n v="1"/>
    <s v="AtBelow"/>
    <s v="CC_Portal"/>
    <n v="0"/>
    <s v="MFC"/>
    <s v="IBMCA"/>
    <s v="ACTIVE ADVISORS AND ASSISTANTS"/>
    <n v="0"/>
    <n v="0"/>
  </r>
  <r>
    <s v="ssotest@mfc.sps.local"/>
    <s v="MFC"/>
    <x v="0"/>
    <n v="551367"/>
    <n v="1000"/>
    <d v="2017-09-20T09:25:58"/>
    <x v="0"/>
    <x v="0"/>
    <s v="Bill.Robillard@manulifesecurities.ca"/>
    <n v="551936"/>
    <s v="User Account"/>
    <n v="1"/>
    <s v="AtBelow"/>
    <s v="CC_Portal"/>
    <n v="0"/>
    <s v="MFC"/>
    <s v="IBMCA"/>
    <s v="ACTIVE ADVISORS AND ASSISTANTS"/>
    <n v="0"/>
    <n v="0"/>
  </r>
  <r>
    <s v="ssotest@mfc.sps.local"/>
    <s v="MFC"/>
    <x v="0"/>
    <n v="551367"/>
    <n v="1000"/>
    <d v="2017-09-20T09:14:10"/>
    <x v="0"/>
    <x v="0"/>
    <s v="Laurie.Mckillop@manulifesecurities.ca"/>
    <n v="553166"/>
    <s v="User Account"/>
    <n v="1"/>
    <s v="AtBelow"/>
    <s v="CC_Portal"/>
    <n v="0"/>
    <s v="MFC"/>
    <s v="IBMCA"/>
    <s v="ACTIVE ADVISORS AND ASSISTANTS"/>
    <n v="0"/>
    <n v="0"/>
  </r>
  <r>
    <s v="ssotest@mfc.sps.local"/>
    <s v="MFC"/>
    <x v="0"/>
    <n v="551367"/>
    <n v="1000"/>
    <d v="2017-09-20T09:08:03"/>
    <x v="0"/>
    <x v="0"/>
    <s v="Paula.Yule@manulifesecurities.ca"/>
    <n v="553688"/>
    <s v="User Account"/>
    <n v="1"/>
    <s v="AtBelow"/>
    <s v="CC_Portal"/>
    <n v="0"/>
    <s v="MFC"/>
    <s v="IBMCA"/>
    <s v="ACTIVE ADVISORS AND ASSISTANTS"/>
    <n v="0"/>
    <n v="0"/>
  </r>
  <r>
    <s v="ssotest@mfc.sps.local"/>
    <s v="MFC"/>
    <x v="0"/>
    <n v="551367"/>
    <n v="1000"/>
    <d v="2017-09-20T09:03:47"/>
    <x v="0"/>
    <x v="0"/>
    <s v="Michelle.Myles@manulifesecurities.ca"/>
    <n v="553528"/>
    <s v="User Account"/>
    <n v="1"/>
    <s v="AtBelow"/>
    <s v="CC_Portal"/>
    <n v="0"/>
    <s v="MFC"/>
    <s v="IBMCA"/>
    <s v="ACTIVE ADVISORS AND ASSISTANTS"/>
    <n v="0"/>
    <n v="0"/>
  </r>
  <r>
    <s v="ssotest@mfc.sps.local"/>
    <s v="MFC"/>
    <x v="0"/>
    <n v="551367"/>
    <n v="1000"/>
    <d v="2017-09-20T08:53:40"/>
    <x v="0"/>
    <x v="0"/>
    <s v="Lindsay.Fothergill@manulifesecurities.ca"/>
    <n v="553220"/>
    <s v="User Account"/>
    <n v="1"/>
    <s v="AtBelow"/>
    <s v="CC_Portal"/>
    <n v="0"/>
    <s v="MFC"/>
    <s v="IBMCA"/>
    <s v="ACTIVE ADVISORS AND ASSISTANTS"/>
    <n v="0"/>
    <n v="0"/>
  </r>
  <r>
    <s v="ssotest@mfc.sps.local"/>
    <s v="MFC"/>
    <x v="0"/>
    <n v="551367"/>
    <n v="1000"/>
    <d v="2017-09-20T08:43:20"/>
    <x v="0"/>
    <x v="0"/>
    <s v="Lori.Muller@manulifesecurities.ca"/>
    <n v="553255"/>
    <s v="User Account"/>
    <n v="1"/>
    <s v="AtBelow"/>
    <s v="CC_Portal"/>
    <n v="0"/>
    <s v="MFC"/>
    <s v="IBMCA"/>
    <s v="ACTIVE ADVISORS AND ASSISTANTS"/>
    <n v="0"/>
    <n v="0"/>
  </r>
  <r>
    <s v="ssotest@mfc.sps.local"/>
    <s v="MFC"/>
    <x v="0"/>
    <n v="551367"/>
    <n v="1000"/>
    <d v="2017-09-20T08:42:30"/>
    <x v="0"/>
    <x v="0"/>
    <s v="Shari.Richard@manulifesecurities.ca"/>
    <n v="553977"/>
    <s v="User Account"/>
    <n v="1"/>
    <s v="AtBelow"/>
    <s v="CC_Portal"/>
    <n v="0"/>
    <s v="MFC"/>
    <s v="IBMCA"/>
    <s v="ACTIVE ADVISORS AND ASSISTANTS"/>
    <n v="0"/>
    <n v="0"/>
  </r>
  <r>
    <s v="ssotest@mfc.sps.local"/>
    <s v="MFC"/>
    <x v="0"/>
    <n v="551367"/>
    <n v="1000"/>
    <d v="2017-09-20T08:34:26"/>
    <x v="0"/>
    <x v="0"/>
    <s v="Renee.DesRochers@manulifesecurities.ca"/>
    <n v="553766"/>
    <s v="User Account"/>
    <n v="1"/>
    <s v="AtBelow"/>
    <s v="CC_Portal"/>
    <n v="0"/>
    <s v="MFC"/>
    <s v="IBMCA"/>
    <s v="ACTIVE ADVISORS AND ASSISTANTS"/>
    <n v="0"/>
    <n v="0"/>
  </r>
  <r>
    <s v="ssotest@mfc.sps.local"/>
    <s v="MFC"/>
    <x v="0"/>
    <n v="551367"/>
    <n v="1000"/>
    <d v="2017-09-20T08:18:03"/>
    <x v="0"/>
    <x v="0"/>
    <s v="Brenda.Vandyk@manulifesecurities.ca"/>
    <n v="551984"/>
    <s v="User Account"/>
    <n v="1"/>
    <s v="AtBelow"/>
    <s v="CC_Portal"/>
    <n v="0"/>
    <s v="MFC"/>
    <s v="IBMCA"/>
    <s v="ACTIVE ADVISORS AND ASSISTANTS"/>
    <n v="0"/>
    <n v="0"/>
  </r>
  <r>
    <s v="ssotest@mfc.sps.local"/>
    <s v="MFC"/>
    <x v="0"/>
    <n v="551367"/>
    <n v="1000"/>
    <d v="2017-09-20T07:00:07"/>
    <x v="0"/>
    <x v="0"/>
    <s v="Peter.MacIntosh@manulifesecurities.ca"/>
    <n v="553707"/>
    <s v="User Account"/>
    <n v="1"/>
    <s v="AtBelow"/>
    <s v="CC_Portal"/>
    <n v="0"/>
    <s v="MFC"/>
    <s v="IBMCA"/>
    <s v="ACTIVE ADVISORS AND ASSISTANTS"/>
    <n v="0"/>
    <n v="0"/>
  </r>
  <r>
    <s v="ssotest@mfc.sps.local"/>
    <s v="MFC"/>
    <x v="0"/>
    <n v="551367"/>
    <n v="1000"/>
    <d v="2017-09-20T07:00:07"/>
    <x v="0"/>
    <x v="0"/>
    <s v="Peter.MacIntosh@manulifesecurities.ca"/>
    <n v="553707"/>
    <s v="User Account"/>
    <n v="1"/>
    <s v="AtBelow"/>
    <s v="CC_Portal"/>
    <n v="0"/>
    <s v="MFC"/>
    <s v="IBMCA"/>
    <s v="ACTIVE ADVISORS AND ASSISTANTS"/>
    <n v="0"/>
    <n v="0"/>
  </r>
  <r>
    <s v="ssotest@mfc.sps.local"/>
    <s v="MFC"/>
    <x v="0"/>
    <n v="551367"/>
    <n v="1000"/>
    <d v="2017-09-19T22:44:06"/>
    <x v="0"/>
    <x v="0"/>
    <s v="Brian.Cameron@manulifesecurities.ca"/>
    <n v="551992"/>
    <s v="User Account"/>
    <n v="1"/>
    <s v="AtBelow"/>
    <s v="CC_Portal"/>
    <n v="0"/>
    <s v="MFC"/>
    <s v="IBMCA"/>
    <s v="ACTIVE ADVISORS AND ASSISTANTS"/>
    <n v="0"/>
    <n v="0"/>
  </r>
  <r>
    <s v="ssotest@mfc.sps.local"/>
    <s v="MFC"/>
    <x v="0"/>
    <n v="551367"/>
    <n v="1000"/>
    <d v="2017-09-19T17:52:34"/>
    <x v="0"/>
    <x v="0"/>
    <s v="Douglas.Morris@manulifesecurities.ca"/>
    <n v="552433"/>
    <s v="User Account"/>
    <n v="1"/>
    <s v="AtBelow"/>
    <s v="CC_Portal"/>
    <n v="0"/>
    <s v="MFC"/>
    <s v="IBMCA"/>
    <s v="ACTIVE ADVISORS AND ASSISTANTS"/>
    <n v="0"/>
    <n v="0"/>
  </r>
  <r>
    <s v="ssotest@mfc.sps.local"/>
    <s v="MFC"/>
    <x v="0"/>
    <n v="551367"/>
    <n v="1000"/>
    <d v="2017-09-19T17:18:39"/>
    <x v="0"/>
    <x v="0"/>
    <s v="David.Groll@manulifesecurities.ca"/>
    <n v="552286"/>
    <s v="User Account"/>
    <n v="1"/>
    <s v="AtBelow"/>
    <s v="CC_Portal"/>
    <n v="0"/>
    <s v="MFC"/>
    <s v="IBMCA"/>
    <s v="ACTIVE ADVISORS AND ASSISTANTS"/>
    <n v="0"/>
    <n v="0"/>
  </r>
  <r>
    <s v="crystal.parkinson@manulifesecurities.ca"/>
    <s v="MFC"/>
    <x v="0"/>
    <n v="637976"/>
    <n v="1"/>
    <d v="2017-09-19T17:18:14"/>
    <x v="1"/>
    <x v="1"/>
    <s v="crystal.parkinson@manulifesecurities.ca"/>
    <n v="637976"/>
    <s v="User Account"/>
    <n v="0"/>
    <s v="Deny"/>
    <s v="CC_Portal"/>
    <n v="0"/>
    <s v="MFC"/>
    <s v="IBMCA"/>
    <s v="ACTIVE ADVISORS AND ASSISTANTS"/>
    <n v="0"/>
    <n v="0"/>
  </r>
  <r>
    <s v="crystal.parkinson@manulifesecurities.ca"/>
    <s v="MFC"/>
    <x v="0"/>
    <n v="637976"/>
    <n v="1"/>
    <d v="2017-09-19T17:18:14"/>
    <x v="2"/>
    <x v="1"/>
    <s v="crystal.parkinson@manulifesecurities.ca"/>
    <n v="637976"/>
    <s v="User Account"/>
    <n v="0"/>
    <s v="Deny"/>
    <s v="CC_Portal"/>
    <n v="0"/>
    <s v="MFC"/>
    <s v="IBMCA"/>
    <s v="ACTIVE ADVISORS AND ASSISTANTS"/>
    <n v="0"/>
    <n v="0"/>
  </r>
  <r>
    <s v="patrick.harkins@manulifesecurities.ca"/>
    <s v="MFC"/>
    <x v="0"/>
    <n v="560864"/>
    <n v="3"/>
    <d v="2017-09-19T16:33:06"/>
    <x v="3"/>
    <x v="2"/>
    <s v="manny.ahluwalia@manulifesecurities.ca"/>
    <n v="553300"/>
    <s v="User Account"/>
    <n v="1"/>
    <s v="AtBelow"/>
    <s v="CC_WebService"/>
    <m/>
    <s v="MFC"/>
    <s v="IBMCA"/>
    <s v="ACTIVE ADVISORS AND ASSISTANTS"/>
    <n v="0"/>
    <n v="0"/>
  </r>
  <r>
    <s v="ssotest@mfc.sps.local"/>
    <s v="MFC"/>
    <x v="0"/>
    <n v="551367"/>
    <n v="1000"/>
    <d v="2017-09-19T15:27:59"/>
    <x v="0"/>
    <x v="0"/>
    <s v="Laurie.Morris@manulifesecurities.ca"/>
    <n v="553167"/>
    <s v="User Account"/>
    <n v="1"/>
    <s v="AtBelow"/>
    <s v="CC_Portal"/>
    <n v="0"/>
    <s v="MFC"/>
    <s v="IBMCA"/>
    <s v="ACTIVE ADVISORS AND ASSISTANTS"/>
    <n v="0"/>
    <n v="0"/>
  </r>
  <r>
    <s v="priscilla.misir@manulifesecurities.ca"/>
    <s v="MFC"/>
    <x v="0"/>
    <n v="674396"/>
    <n v="3"/>
    <d v="2017-09-19T15:16:20"/>
    <x v="0"/>
    <x v="4"/>
    <s v="b.parhar@manulifesecurities.ca"/>
    <n v="780943"/>
    <s v="User Account"/>
    <n v="1"/>
    <s v="AtBelow"/>
    <s v="CC_Portal"/>
    <s v="oldOrgGroup=ACTIVE ADVISORS AND ASSISTANTS;newOrgGroup=DISABLED USERS"/>
    <s v="MFC"/>
    <s v="IBMCA"/>
    <s v="DISABLED USERS"/>
    <n v="0"/>
    <n v="0"/>
  </r>
  <r>
    <s v="priscilla.misir@manulifesecurities.ca"/>
    <s v="MFC"/>
    <x v="0"/>
    <n v="674396"/>
    <n v="3"/>
    <d v="2017-09-19T15:15:53"/>
    <x v="4"/>
    <x v="6"/>
    <s v="MSI_autoEmailArchive@manulifesecurities.ca"/>
    <n v="561482"/>
    <s v="Distribution List"/>
    <n v="1"/>
    <s v="Any"/>
    <s v="CC_Portal"/>
    <s v="3e4bc9fb2c7945e9aa86e317baec237b"/>
    <s v="MFC"/>
    <s v="IBMCA"/>
    <s v="ALL GROUPS"/>
    <n v="0"/>
    <n v="0"/>
  </r>
  <r>
    <s v="priscilla.misir@manulifesecurities.ca"/>
    <s v="MFC"/>
    <x v="0"/>
    <n v="674396"/>
    <n v="3"/>
    <d v="2017-09-19T15:15:53"/>
    <x v="0"/>
    <x v="5"/>
    <s v="b.parhar@manulifesecurities.ca"/>
    <n v="780943"/>
    <s v="User Account"/>
    <n v="1"/>
    <s v="AtBelow"/>
    <s v="CC_Portal"/>
    <n v="0"/>
    <s v="MFC"/>
    <s v="IBMCA"/>
    <s v="ACTIVE ADVISORS AND ASSISTANTS"/>
    <n v="0"/>
    <n v="0"/>
  </r>
  <r>
    <s v="priscilla.misir@manulifesecurities.ca"/>
    <s v="MFC"/>
    <x v="0"/>
    <n v="674396"/>
    <n v="3"/>
    <d v="2017-09-19T15:15:52"/>
    <x v="4"/>
    <x v="6"/>
    <s v="AllAssistants@manulifesecurities.ca"/>
    <n v="555660"/>
    <s v="Distribution List"/>
    <n v="1"/>
    <s v="Any"/>
    <s v="CC_Portal"/>
    <s v="3e4bc9fb2c7945e9aa86e317baec237b"/>
    <s v="MFC"/>
    <s v="IBMCA"/>
    <s v="ALL GROUPS"/>
    <n v="0"/>
    <n v="0"/>
  </r>
  <r>
    <s v="priscilla.misir@manulifesecurities.ca"/>
    <s v="MFC"/>
    <x v="0"/>
    <n v="674396"/>
    <n v="3"/>
    <d v="2017-09-19T15:15:51"/>
    <x v="4"/>
    <x v="6"/>
    <s v="AllAdvisors@manulifesecurities.ca"/>
    <n v="555659"/>
    <s v="Distribution List"/>
    <n v="1"/>
    <s v="Any"/>
    <s v="CC_Portal"/>
    <s v="3e4bc9fb2c7945e9aa86e317baec237b"/>
    <s v="MFC"/>
    <s v="IBMCA"/>
    <s v="ALL GROUPS"/>
    <n v="0"/>
    <n v="0"/>
  </r>
  <r>
    <s v="priscilla.misir@manulifesecurities.ca"/>
    <s v="MFC"/>
    <x v="0"/>
    <n v="674396"/>
    <n v="3"/>
    <d v="2017-09-19T15:15:49"/>
    <x v="0"/>
    <x v="5"/>
    <s v="b.parhar@manulifesecurities.ca"/>
    <n v="780943"/>
    <s v="User Account"/>
    <n v="1"/>
    <s v="AtBelow"/>
    <s v="CC_Portal"/>
    <n v="0"/>
    <s v="MFC"/>
    <s v="IBMCA"/>
    <s v="ACTIVE ADVISORS AND ASSISTANTS"/>
    <n v="0"/>
    <n v="0"/>
  </r>
  <r>
    <s v="priscilla.misir@manulifesecurities.ca"/>
    <s v="MFC"/>
    <x v="0"/>
    <n v="674396"/>
    <n v="3"/>
    <d v="2017-09-19T15:15:44"/>
    <x v="0"/>
    <x v="5"/>
    <s v="b.parhar@manulifesecurities.ca"/>
    <n v="780943"/>
    <s v="User Account"/>
    <n v="1"/>
    <s v="AtBelow"/>
    <s v="CC_Portal"/>
    <n v="0"/>
    <s v="MFC"/>
    <s v="IBMCA"/>
    <s v="ACTIVE ADVISORS AND ASSISTANTS"/>
    <n v="0"/>
    <n v="0"/>
  </r>
  <r>
    <s v="priscilla.misir@manulifesecurities.ca"/>
    <s v="MFC"/>
    <x v="0"/>
    <n v="674396"/>
    <n v="3"/>
    <d v="2017-09-19T15:15:21"/>
    <x v="0"/>
    <x v="3"/>
    <s v="b.parhar@manulifesecurities.ca"/>
    <n v="780943"/>
    <s v="User Account"/>
    <n v="1"/>
    <s v="AtBelow"/>
    <s v="CC_Portal"/>
    <s v="Disable"/>
    <s v="MFC"/>
    <s v="IBMCA"/>
    <s v="ACTIVE ADVISORS AND ASSISTANTS"/>
    <n v="0"/>
    <n v="0"/>
  </r>
  <r>
    <s v="cristian.bogdan@manulifesecurities.ca"/>
    <s v="MFC"/>
    <x v="0"/>
    <n v="560330"/>
    <n v="3"/>
    <d v="2017-09-19T15:14:31"/>
    <x v="3"/>
    <x v="2"/>
    <s v="jennifer.fehr@manulifesecurities.ca"/>
    <n v="815406"/>
    <s v="User Account"/>
    <n v="1"/>
    <s v="AtBelow"/>
    <s v="CC_WebService"/>
    <m/>
    <s v="MFC"/>
    <s v="IBMCA"/>
    <s v="ACTIVE ADVISORS AND ASSISTANTS"/>
    <n v="0"/>
    <n v="0"/>
  </r>
  <r>
    <s v="ssotest@mfc.sps.local"/>
    <s v="MFC"/>
    <x v="0"/>
    <n v="551367"/>
    <n v="1000"/>
    <d v="2017-09-19T15:10:56"/>
    <x v="0"/>
    <x v="0"/>
    <s v="Chris.Douglas@manulifesecurities.ca"/>
    <n v="552156"/>
    <s v="User Account"/>
    <n v="1"/>
    <s v="AtBelow"/>
    <s v="CC_Portal"/>
    <n v="0"/>
    <s v="MFC"/>
    <s v="IBMCA"/>
    <s v="ACTIVE ADVISORS AND ASSISTANTS"/>
    <n v="0"/>
    <n v="0"/>
  </r>
  <r>
    <s v="cristian.bogdan@manulifesecurities.ca"/>
    <s v="MFC"/>
    <x v="0"/>
    <n v="560330"/>
    <n v="3"/>
    <d v="2017-09-19T14:53:16"/>
    <x v="3"/>
    <x v="2"/>
    <s v="Christie.Coltman@manulifesecurities.ca"/>
    <n v="552141"/>
    <s v="User Account"/>
    <n v="1"/>
    <s v="AtBelow"/>
    <s v="CC_WebService"/>
    <m/>
    <s v="MFC"/>
    <s v="IBMCA"/>
    <s v="ACTIVE ADVISORS AND ASSISTANTS"/>
    <n v="0"/>
    <n v="0"/>
  </r>
  <r>
    <s v="priscilla.misir@manulifesecurities.ca"/>
    <s v="MFC"/>
    <x v="0"/>
    <n v="674396"/>
    <n v="3"/>
    <d v="2017-09-19T14:48:11"/>
    <x v="0"/>
    <x v="3"/>
    <s v="frederick.habr@manulifesecurities.ca"/>
    <n v="632616"/>
    <s v="User Account"/>
    <n v="1"/>
    <s v="AtBelow"/>
    <s v="CC_Portal"/>
    <s v="Disable"/>
    <s v="MFC"/>
    <s v="IBMCA"/>
    <s v="ACTIVE ADVISORS AND ASSISTANTS"/>
    <n v="0"/>
    <n v="0"/>
  </r>
  <r>
    <s v="priscilla.misir@manulifesecurities.ca"/>
    <s v="MFC"/>
    <x v="0"/>
    <n v="674396"/>
    <n v="3"/>
    <d v="2017-09-19T14:45:14"/>
    <x v="0"/>
    <x v="10"/>
    <s v="frederick.habr@manulifesecurities.ca"/>
    <n v="632616"/>
    <s v="User Account"/>
    <n v="1"/>
    <s v="AtBelow"/>
    <s v="CC_Portal"/>
    <s v="Action=Enable;ForwardTo=Abraham.Tachjian@manulifesecurities.ca;LeaveCopy=FalseTrue"/>
    <s v="MFC"/>
    <s v="IBMCA"/>
    <s v="ACTIVE ADVISORS AND ASSISTANTS"/>
    <n v="0"/>
    <n v="0"/>
  </r>
  <r>
    <s v="priscilla.misir@manulifesecurities.ca"/>
    <s v="MFC"/>
    <x v="0"/>
    <n v="674396"/>
    <n v="3"/>
    <d v="2017-09-19T14:45:14"/>
    <x v="0"/>
    <x v="10"/>
    <s v="frederick.habr@manulifesecurities.ca"/>
    <n v="632616"/>
    <s v="User Account"/>
    <n v="1"/>
    <s v="AtBelow"/>
    <s v="CC_Portal"/>
    <s v="Action=Enable;ForwardTo=Abraham.Tachjian@manulifesecurities.ca;LeaveCopy=FalseTrue"/>
    <s v="MFC"/>
    <s v="IBMCA"/>
    <s v="ACTIVE ADVISORS AND ASSISTANTS"/>
    <n v="0"/>
    <n v="0"/>
  </r>
  <r>
    <s v="priscilla.misir@manulifesecurities.ca"/>
    <s v="MFC"/>
    <x v="0"/>
    <n v="674396"/>
    <n v="3"/>
    <d v="2017-09-19T14:37:17"/>
    <x v="0"/>
    <x v="4"/>
    <s v="Allan.Gallant@manulifesecurities.ca"/>
    <n v="551737"/>
    <s v="User Account"/>
    <n v="1"/>
    <s v="AtBelow"/>
    <s v="CC_Portal"/>
    <s v="oldOrgGroup=ACTIVE ADVISORS AND ASSISTANTS;newOrgGroup=DISABLED USERS"/>
    <s v="MFC"/>
    <s v="IBMCA"/>
    <s v="DISABLED USERS"/>
    <n v="0"/>
    <n v="0"/>
  </r>
  <r>
    <s v="priscilla.misir@manulifesecurities.ca"/>
    <s v="MFC"/>
    <x v="0"/>
    <n v="674396"/>
    <n v="3"/>
    <d v="2017-09-19T14:36:41"/>
    <x v="0"/>
    <x v="5"/>
    <s v="Allan.Gallant@manulifesecurities.ca"/>
    <n v="551737"/>
    <s v="User Account"/>
    <n v="1"/>
    <s v="AtBelow"/>
    <s v="CC_Portal"/>
    <n v="0"/>
    <s v="MFC"/>
    <s v="IBMCA"/>
    <s v="ACTIVE ADVISORS AND ASSISTANTS"/>
    <n v="0"/>
    <n v="0"/>
  </r>
  <r>
    <s v="priscilla.misir@manulifesecurities.ca"/>
    <s v="MFC"/>
    <x v="0"/>
    <n v="674396"/>
    <n v="3"/>
    <d v="2017-09-19T14:36:40"/>
    <x v="0"/>
    <x v="5"/>
    <s v="Allan.Gallant@manulifesecurities.ca"/>
    <n v="551737"/>
    <s v="User Account"/>
    <n v="1"/>
    <s v="AtBelow"/>
    <s v="CC_Portal"/>
    <n v="0"/>
    <s v="MFC"/>
    <s v="IBMCA"/>
    <s v="ACTIVE ADVISORS AND ASSISTANTS"/>
    <n v="0"/>
    <n v="0"/>
  </r>
  <r>
    <s v="priscilla.misir@manulifesecurities.ca"/>
    <s v="MFC"/>
    <x v="0"/>
    <n v="674396"/>
    <n v="3"/>
    <d v="2017-09-19T14:36:33"/>
    <x v="0"/>
    <x v="5"/>
    <s v="Allan.Gallant@manulifesecurities.ca"/>
    <n v="551737"/>
    <s v="User Account"/>
    <n v="1"/>
    <s v="AtBelow"/>
    <s v="CC_Portal"/>
    <n v="0"/>
    <s v="MFC"/>
    <s v="IBMCA"/>
    <s v="ACTIVE ADVISORS AND ASSISTANTS"/>
    <n v="0"/>
    <n v="0"/>
  </r>
  <r>
    <s v="priscilla.misir@manulifesecurities.ca"/>
    <s v="MFC"/>
    <x v="0"/>
    <n v="674396"/>
    <n v="3"/>
    <d v="2017-09-19T14:36:32"/>
    <x v="4"/>
    <x v="6"/>
    <s v="PMM@manulifesecurities.ca"/>
    <n v="555675"/>
    <s v="Distribution List"/>
    <n v="1"/>
    <s v="Any"/>
    <s v="CC_Portal"/>
    <s v="c8ce8278d5594522992ab5b59ff4dd3d"/>
    <s v="MFC"/>
    <s v="IBMCA"/>
    <s v="ALL GROUPS"/>
    <n v="0"/>
    <n v="0"/>
  </r>
  <r>
    <s v="priscilla.misir@manulifesecurities.ca"/>
    <s v="MFC"/>
    <x v="0"/>
    <n v="674396"/>
    <n v="3"/>
    <d v="2017-09-19T14:36:31"/>
    <x v="4"/>
    <x v="6"/>
    <s v="MSI_autoEmailArchive@manulifesecurities.ca"/>
    <n v="561482"/>
    <s v="Distribution List"/>
    <n v="1"/>
    <s v="Any"/>
    <s v="CC_Portal"/>
    <s v="c8ce8278d5594522992ab5b59ff4dd3d"/>
    <s v="MFC"/>
    <s v="IBMCA"/>
    <s v="ALL GROUPS"/>
    <n v="0"/>
    <n v="0"/>
  </r>
  <r>
    <s v="priscilla.misir@manulifesecurities.ca"/>
    <s v="MFC"/>
    <x v="0"/>
    <n v="674396"/>
    <n v="3"/>
    <d v="2017-09-19T14:36:31"/>
    <x v="4"/>
    <x v="6"/>
    <s v="MSI_autoSupervision@manulifesecurities.ca"/>
    <n v="561483"/>
    <s v="Distribution List"/>
    <n v="1"/>
    <s v="Any"/>
    <s v="CC_Portal"/>
    <s v="c8ce8278d5594522992ab5b59ff4dd3d"/>
    <s v="MFC"/>
    <s v="IBMCA"/>
    <s v="ALL GROUPS"/>
    <n v="0"/>
    <n v="0"/>
  </r>
  <r>
    <s v="priscilla.misir@manulifesecurities.ca"/>
    <s v="MFC"/>
    <x v="0"/>
    <n v="674396"/>
    <n v="3"/>
    <d v="2017-09-19T14:36:30"/>
    <x v="4"/>
    <x v="6"/>
    <s v="MSIRepresentatives@manulifesecurities.ca"/>
    <n v="555672"/>
    <s v="Distribution List"/>
    <n v="1"/>
    <s v="Any"/>
    <s v="CC_Portal"/>
    <s v="c8ce8278d5594522992ab5b59ff4dd3d"/>
    <s v="MFC"/>
    <s v="IBMCA"/>
    <s v="ALL GROUPS"/>
    <n v="0"/>
    <n v="0"/>
  </r>
  <r>
    <s v="priscilla.misir@manulifesecurities.ca"/>
    <s v="MFC"/>
    <x v="0"/>
    <n v="674396"/>
    <n v="3"/>
    <d v="2017-09-19T14:36:29"/>
    <x v="4"/>
    <x v="6"/>
    <s v="BSIXaminer@manulifesecurities.ca"/>
    <n v="555679"/>
    <s v="Distribution List"/>
    <n v="1"/>
    <s v="Any"/>
    <s v="CC_Portal"/>
    <s v="c8ce8278d5594522992ab5b59ff4dd3d"/>
    <s v="MFC"/>
    <s v="IBMCA"/>
    <s v="ALL GROUPS"/>
    <n v="0"/>
    <n v="0"/>
  </r>
  <r>
    <s v="priscilla.misir@manulifesecurities.ca"/>
    <s v="MFC"/>
    <x v="0"/>
    <n v="674396"/>
    <n v="3"/>
    <d v="2017-09-19T14:36:29"/>
    <x v="4"/>
    <x v="6"/>
    <s v="FormerBerkAdvisors@manulifesecurities.ca"/>
    <n v="555662"/>
    <s v="Distribution List"/>
    <n v="1"/>
    <s v="Any"/>
    <s v="CC_Portal"/>
    <s v="c8ce8278d5594522992ab5b59ff4dd3d"/>
    <s v="MFC"/>
    <s v="IBMCA"/>
    <s v="ALL GROUPS"/>
    <n v="0"/>
    <n v="0"/>
  </r>
  <r>
    <s v="priscilla.misir@manulifesecurities.ca"/>
    <s v="MFC"/>
    <x v="0"/>
    <n v="674396"/>
    <n v="3"/>
    <d v="2017-09-19T14:36:28"/>
    <x v="4"/>
    <x v="6"/>
    <s v="AllAdvisors@manulifesecurities.ca"/>
    <n v="555659"/>
    <s v="Distribution List"/>
    <n v="1"/>
    <s v="Any"/>
    <s v="CC_Portal"/>
    <s v="c8ce8278d5594522992ab5b59ff4dd3d"/>
    <s v="MFC"/>
    <s v="IBMCA"/>
    <s v="ALL GROUPS"/>
    <n v="0"/>
    <n v="0"/>
  </r>
  <r>
    <s v="priscilla.misir@manulifesecurities.ca"/>
    <s v="MFC"/>
    <x v="0"/>
    <n v="674396"/>
    <n v="3"/>
    <d v="2017-09-19T14:36:28"/>
    <x v="4"/>
    <x v="6"/>
    <s v="Bedford-Burt@manulifesecurities.ca"/>
    <n v="561111"/>
    <s v="Distribution List"/>
    <n v="1"/>
    <s v="Any"/>
    <s v="CC_Portal"/>
    <s v="c8ce8278d5594522992ab5b59ff4dd3d"/>
    <s v="MFC"/>
    <s v="IBMCA"/>
    <s v="ALL GROUPS"/>
    <n v="0"/>
    <n v="0"/>
  </r>
  <r>
    <s v="priscilla.misir@manulifesecurities.ca"/>
    <s v="MFC"/>
    <x v="0"/>
    <n v="674396"/>
    <n v="3"/>
    <d v="2017-09-19T14:36:27"/>
    <x v="4"/>
    <x v="6"/>
    <s v="Advisors@manulifesecurities.ca"/>
    <n v="555668"/>
    <s v="Distribution List"/>
    <n v="1"/>
    <s v="Any"/>
    <s v="CC_Portal"/>
    <s v="c8ce8278d5594522992ab5b59ff4dd3d"/>
    <s v="MFC"/>
    <s v="IBMCA"/>
    <s v="ALL GROUPS"/>
    <n v="0"/>
    <n v="0"/>
  </r>
  <r>
    <s v="priscilla.misir@manulifesecurities.ca"/>
    <s v="MFC"/>
    <x v="0"/>
    <n v="674396"/>
    <n v="3"/>
    <d v="2017-09-19T14:36:25"/>
    <x v="0"/>
    <x v="5"/>
    <s v="Allan.Gallant@manulifesecurities.ca"/>
    <n v="551737"/>
    <s v="User Account"/>
    <n v="1"/>
    <s v="AtBelow"/>
    <s v="CC_Portal"/>
    <n v="0"/>
    <s v="MFC"/>
    <s v="IBMCA"/>
    <s v="ACTIVE ADVISORS AND ASSISTANTS"/>
    <n v="0"/>
    <n v="0"/>
  </r>
  <r>
    <s v="priscilla.misir@manulifesecurities.ca"/>
    <s v="MFC"/>
    <x v="0"/>
    <n v="674396"/>
    <n v="3"/>
    <d v="2017-09-19T14:36:16"/>
    <x v="0"/>
    <x v="5"/>
    <s v="Allan.Gallant@manulifesecurities.ca"/>
    <n v="551737"/>
    <s v="User Account"/>
    <n v="1"/>
    <s v="AtBelow"/>
    <s v="CC_Portal"/>
    <n v="0"/>
    <s v="MFC"/>
    <s v="IBMCA"/>
    <s v="ACTIVE ADVISORS AND ASSISTANTS"/>
    <n v="0"/>
    <n v="0"/>
  </r>
  <r>
    <s v="priscilla.misir@manulifesecurities.ca"/>
    <s v="MFC"/>
    <x v="0"/>
    <n v="674396"/>
    <n v="3"/>
    <d v="2017-09-19T14:23:19"/>
    <x v="0"/>
    <x v="3"/>
    <s v="Allan.Gallant@manulifesecurities.ca"/>
    <n v="551737"/>
    <s v="User Account"/>
    <n v="1"/>
    <s v="AtBelow"/>
    <s v="CC_Portal"/>
    <s v="Disable"/>
    <s v="MFC"/>
    <s v="IBMCA"/>
    <s v="ACTIVE ADVISORS AND ASSISTANTS"/>
    <n v="0"/>
    <n v="0"/>
  </r>
  <r>
    <s v="ssotest@mfc.sps.local"/>
    <s v="MFC"/>
    <x v="0"/>
    <n v="551367"/>
    <n v="1000"/>
    <d v="2017-09-19T14:11:17"/>
    <x v="0"/>
    <x v="0"/>
    <s v="Kelly.Knoll@manulifesecurities.ca"/>
    <n v="553050"/>
    <s v="User Account"/>
    <n v="1"/>
    <s v="AtBelow"/>
    <s v="CC_Portal"/>
    <n v="0"/>
    <s v="MFC"/>
    <s v="IBMCA"/>
    <s v="DISABLED USERS"/>
    <n v="0"/>
    <n v="0"/>
  </r>
  <r>
    <s v="ssotest@mfc.sps.local"/>
    <s v="MFC"/>
    <x v="0"/>
    <n v="551367"/>
    <n v="1000"/>
    <d v="2017-09-19T13:18:46"/>
    <x v="0"/>
    <x v="0"/>
    <s v="David.Andrews@manulifesecurities.ca"/>
    <n v="552276"/>
    <s v="User Account"/>
    <n v="1"/>
    <s v="AtBelow"/>
    <s v="CC_Portal"/>
    <n v="0"/>
    <s v="MFC"/>
    <s v="IBMCA"/>
    <s v="ACTIVE ADVISORS AND ASSISTANTS"/>
    <n v="0"/>
    <n v="0"/>
  </r>
  <r>
    <s v="marshall.hett@manulifesecurities.ca"/>
    <s v="MFC"/>
    <x v="0"/>
    <n v="707864"/>
    <n v="3"/>
    <d v="2017-09-19T13:08:02"/>
    <x v="3"/>
    <x v="2"/>
    <s v="danielle.dibenedetto@manulifesecurities.ca"/>
    <n v="909245"/>
    <s v="User Account"/>
    <n v="1"/>
    <s v="AtBelow"/>
    <s v="CC_WebService"/>
    <m/>
    <s v="MFC"/>
    <s v="IBMCA"/>
    <s v="ACTIVE ADVISORS AND ASSISTANTS"/>
    <n v="0"/>
    <n v="0"/>
  </r>
  <r>
    <s v="ssotest@mfc.sps.local"/>
    <s v="MFC"/>
    <x v="0"/>
    <n v="551367"/>
    <n v="1000"/>
    <d v="2017-09-19T13:06:49"/>
    <x v="0"/>
    <x v="0"/>
    <s v="laura.brindle@manulifesecurities.ca"/>
    <n v="631398"/>
    <s v="User Account"/>
    <n v="1"/>
    <s v="AtBelow"/>
    <s v="CC_Portal"/>
    <n v="0"/>
    <s v="MFC"/>
    <s v="IBMCA"/>
    <s v="ACTIVE ADVISORS AND ASSISTANTS"/>
    <n v="0"/>
    <n v="0"/>
  </r>
  <r>
    <s v="ssotest@mfc.sps.local"/>
    <s v="MFC"/>
    <x v="0"/>
    <n v="551367"/>
    <n v="1000"/>
    <d v="2017-09-19T13:00:38"/>
    <x v="0"/>
    <x v="0"/>
    <s v="bill.davidson@manulifesecurities.ca"/>
    <n v="878079"/>
    <s v="User Account"/>
    <n v="1"/>
    <s v="AtBelow"/>
    <s v="CC_Portal"/>
    <n v="0"/>
    <s v="MFC"/>
    <s v="IBMCA"/>
    <s v="DISABLED USERS"/>
    <n v="0"/>
    <n v="0"/>
  </r>
  <r>
    <s v="ssotest@mfc.sps.local"/>
    <s v="MFC"/>
    <x v="0"/>
    <n v="551367"/>
    <n v="1000"/>
    <d v="2017-09-19T12:57:38"/>
    <x v="0"/>
    <x v="0"/>
    <s v="danielle.dibenedetto@manulifesecurities.ca"/>
    <n v="909245"/>
    <s v="User Account"/>
    <n v="1"/>
    <s v="AtBelow"/>
    <s v="CC_Portal"/>
    <n v="0"/>
    <s v="MFC"/>
    <s v="IBMCA"/>
    <s v="ACTIVE ADVISORS AND ASSISTANTS"/>
    <n v="0"/>
    <n v="0"/>
  </r>
  <r>
    <s v="alex_buena@manulifesecurities.ca"/>
    <s v="MFC"/>
    <x v="0"/>
    <n v="570025"/>
    <n v="3"/>
    <d v="2017-09-19T12:50:11"/>
    <x v="0"/>
    <x v="3"/>
    <s v="Christina.Andrecyk@manulifesecurities.ca"/>
    <n v="552142"/>
    <s v="User Account"/>
    <n v="1"/>
    <s v="AtBelow"/>
    <s v="CC_Portal"/>
    <s v="Disable"/>
    <s v="MFC"/>
    <s v="IBMCA"/>
    <s v="DISABLED USERS"/>
    <n v="0"/>
    <n v="0"/>
  </r>
  <r>
    <s v="alex_buena@manulifesecurities.ca"/>
    <s v="MFC"/>
    <x v="0"/>
    <n v="570025"/>
    <n v="3"/>
    <d v="2017-09-19T12:47:53"/>
    <x v="0"/>
    <x v="5"/>
    <s v="Christina.Andrecyk@manulifesecurities.ca"/>
    <n v="552142"/>
    <s v="User Account"/>
    <n v="1"/>
    <s v="AtBelow"/>
    <s v="CC_Portal"/>
    <n v="0"/>
    <s v="MFC"/>
    <s v="IBMCA"/>
    <s v="DISABLED USERS"/>
    <n v="0"/>
    <n v="0"/>
  </r>
  <r>
    <s v="alex_buena@manulifesecurities.ca"/>
    <s v="MFC"/>
    <x v="0"/>
    <n v="570025"/>
    <n v="3"/>
    <d v="2017-09-19T12:47:52"/>
    <x v="4"/>
    <x v="6"/>
    <s v="MSI_autoEmailArchive@manulifesecurities.ca"/>
    <n v="561482"/>
    <s v="Distribution List"/>
    <n v="1"/>
    <s v="Any"/>
    <s v="CC_Portal"/>
    <s v="19718db968724b668b87cc4b571889ff"/>
    <s v="MFC"/>
    <s v="IBMCA"/>
    <s v="ALL GROUPS"/>
    <n v="0"/>
    <n v="0"/>
  </r>
  <r>
    <s v="alex_buena@manulifesecurities.ca"/>
    <s v="MFC"/>
    <x v="0"/>
    <n v="570025"/>
    <n v="3"/>
    <d v="2017-09-19T12:47:52"/>
    <x v="4"/>
    <x v="6"/>
    <s v="MSI_autoSupervision@manulifesecurities.ca"/>
    <n v="561483"/>
    <s v="Distribution List"/>
    <n v="1"/>
    <s v="Any"/>
    <s v="CC_Portal"/>
    <s v="19718db968724b668b87cc4b571889ff"/>
    <s v="MFC"/>
    <s v="IBMCA"/>
    <s v="ALL GROUPS"/>
    <n v="0"/>
    <n v="0"/>
  </r>
  <r>
    <s v="alex_buena@manulifesecurities.ca"/>
    <s v="MFC"/>
    <x v="0"/>
    <n v="570025"/>
    <n v="3"/>
    <d v="2017-09-19T12:47:50"/>
    <x v="4"/>
    <x v="6"/>
    <s v="MSIRepresentatives@manulifesecurities.ca"/>
    <n v="555672"/>
    <s v="Distribution List"/>
    <n v="1"/>
    <s v="Any"/>
    <s v="CC_Portal"/>
    <s v="19718db968724b668b87cc4b571889ff"/>
    <s v="MFC"/>
    <s v="IBMCA"/>
    <s v="ALL GROUPS"/>
    <n v="0"/>
    <n v="0"/>
  </r>
  <r>
    <s v="alex_buena@manulifesecurities.ca"/>
    <s v="MFC"/>
    <x v="0"/>
    <n v="570025"/>
    <n v="3"/>
    <d v="2017-09-19T12:47:49"/>
    <x v="4"/>
    <x v="6"/>
    <s v="mls_new_issues@manulifesecurities.ca"/>
    <n v="606187"/>
    <s v="Distribution List"/>
    <n v="1"/>
    <s v="Any"/>
    <s v="CC_Portal"/>
    <s v="19718db968724b668b87cc4b571889ff"/>
    <s v="MFC"/>
    <s v="IBMCA"/>
    <s v="ALL GROUPS"/>
    <n v="0"/>
    <n v="0"/>
  </r>
  <r>
    <s v="alex_buena@manulifesecurities.ca"/>
    <s v="MFC"/>
    <x v="0"/>
    <n v="570025"/>
    <n v="3"/>
    <d v="2017-09-19T12:47:48"/>
    <x v="4"/>
    <x v="6"/>
    <s v="BSIXaminer@manulifesecurities.ca"/>
    <n v="555679"/>
    <s v="Distribution List"/>
    <n v="1"/>
    <s v="Any"/>
    <s v="CC_Portal"/>
    <s v="19718db968724b668b87cc4b571889ff"/>
    <s v="MFC"/>
    <s v="IBMCA"/>
    <s v="ALL GROUPS"/>
    <n v="0"/>
    <n v="0"/>
  </r>
  <r>
    <s v="alex_buena@manulifesecurities.ca"/>
    <s v="MFC"/>
    <x v="0"/>
    <n v="570025"/>
    <n v="3"/>
    <d v="2017-09-19T12:47:48"/>
    <x v="4"/>
    <x v="6"/>
    <s v="FormerBerkAdvisors@manulifesecurities.ca"/>
    <n v="555662"/>
    <s v="Distribution List"/>
    <n v="1"/>
    <s v="Any"/>
    <s v="CC_Portal"/>
    <s v="19718db968724b668b87cc4b571889ff"/>
    <s v="MFC"/>
    <s v="IBMCA"/>
    <s v="ALL GROUPS"/>
    <n v="0"/>
    <n v="0"/>
  </r>
  <r>
    <s v="alex_buena@manulifesecurities.ca"/>
    <s v="MFC"/>
    <x v="0"/>
    <n v="570025"/>
    <n v="3"/>
    <d v="2017-09-19T12:47:47"/>
    <x v="4"/>
    <x v="6"/>
    <s v="AllAdvisors@manulifesecurities.ca"/>
    <n v="555659"/>
    <s v="Distribution List"/>
    <n v="1"/>
    <s v="Any"/>
    <s v="CC_Portal"/>
    <s v="19718db968724b668b87cc4b571889ff"/>
    <s v="MFC"/>
    <s v="IBMCA"/>
    <s v="ALL GROUPS"/>
    <n v="0"/>
    <n v="0"/>
  </r>
  <r>
    <s v="alex_buena@manulifesecurities.ca"/>
    <s v="MFC"/>
    <x v="0"/>
    <n v="570025"/>
    <n v="3"/>
    <d v="2017-09-19T12:47:47"/>
    <x v="4"/>
    <x v="6"/>
    <s v="Bedford-Burt@manulifesecurities.ca"/>
    <n v="561111"/>
    <s v="Distribution List"/>
    <n v="1"/>
    <s v="Any"/>
    <s v="CC_Portal"/>
    <s v="19718db968724b668b87cc4b571889ff"/>
    <s v="MFC"/>
    <s v="IBMCA"/>
    <s v="ALL GROUPS"/>
    <n v="0"/>
    <n v="0"/>
  </r>
  <r>
    <s v="alex_buena@manulifesecurities.ca"/>
    <s v="MFC"/>
    <x v="0"/>
    <n v="570025"/>
    <n v="3"/>
    <d v="2017-09-19T12:47:45"/>
    <x v="4"/>
    <x v="6"/>
    <s v="Advisors@manulifesecurities.ca"/>
    <n v="555668"/>
    <s v="Distribution List"/>
    <n v="1"/>
    <s v="Any"/>
    <s v="CC_Portal"/>
    <s v="19718db968724b668b87cc4b571889ff"/>
    <s v="MFC"/>
    <s v="IBMCA"/>
    <s v="ALL GROUPS"/>
    <n v="0"/>
    <n v="0"/>
  </r>
  <r>
    <s v="alex_buena@manulifesecurities.ca"/>
    <s v="MFC"/>
    <x v="0"/>
    <n v="570025"/>
    <n v="3"/>
    <d v="2017-09-19T12:47:42"/>
    <x v="0"/>
    <x v="5"/>
    <s v="Christina.Andrecyk@manulifesecurities.ca"/>
    <n v="552142"/>
    <s v="User Account"/>
    <n v="1"/>
    <s v="AtBelow"/>
    <s v="CC_Portal"/>
    <n v="0"/>
    <s v="MFC"/>
    <s v="IBMCA"/>
    <s v="DISABLED USERS"/>
    <n v="0"/>
    <n v="0"/>
  </r>
  <r>
    <s v="alex_buena@manulifesecurities.ca"/>
    <s v="MFC"/>
    <x v="0"/>
    <n v="570025"/>
    <n v="3"/>
    <d v="2017-09-19T12:47:37"/>
    <x v="0"/>
    <x v="5"/>
    <s v="Christina.Andrecyk@manulifesecurities.ca"/>
    <n v="552142"/>
    <s v="User Account"/>
    <n v="1"/>
    <s v="AtBelow"/>
    <s v="CC_Portal"/>
    <n v="0"/>
    <s v="MFC"/>
    <s v="IBMCA"/>
    <s v="DISABLED USERS"/>
    <n v="0"/>
    <n v="0"/>
  </r>
  <r>
    <s v="alex_buena@manulifesecurities.ca"/>
    <s v="MFC"/>
    <x v="0"/>
    <n v="570025"/>
    <n v="3"/>
    <d v="2017-09-19T12:47:14"/>
    <x v="0"/>
    <x v="4"/>
    <s v="Christina.Andrecyk@manulifesecurities.ca"/>
    <n v="552142"/>
    <s v="User Account"/>
    <n v="1"/>
    <s v="AtBelow"/>
    <s v="CC_Portal"/>
    <s v="oldOrgGroup=ACTIVE ADVISORS AND ASSISTANTS;newOrgGroup=DISABLED USERS"/>
    <s v="MFC"/>
    <s v="IBMCA"/>
    <s v="DISABLED USERS"/>
    <n v="0"/>
    <n v="0"/>
  </r>
  <r>
    <s v="ssotest@mfc.sps.local"/>
    <s v="MFC"/>
    <x v="0"/>
    <n v="551367"/>
    <n v="1000"/>
    <d v="2017-09-19T12:42:40"/>
    <x v="0"/>
    <x v="0"/>
    <s v="Carlisle.Scott@manulifesecurities.ca"/>
    <n v="552045"/>
    <s v="User Account"/>
    <n v="1"/>
    <s v="AtBelow"/>
    <s v="CC_Portal"/>
    <n v="0"/>
    <s v="MFC"/>
    <s v="IBMCA"/>
    <s v="ACTIVE ADVISORS AND ASSISTANTS"/>
    <n v="0"/>
    <n v="0"/>
  </r>
  <r>
    <s v="ssotest@mfc.sps.local"/>
    <s v="MFC"/>
    <x v="0"/>
    <n v="551367"/>
    <n v="1000"/>
    <d v="2017-09-19T12:14:54"/>
    <x v="0"/>
    <x v="0"/>
    <s v="Anna.Wessner@manulifesecurities.ca"/>
    <n v="551689"/>
    <s v="User Account"/>
    <n v="1"/>
    <s v="AtBelow"/>
    <s v="CC_Portal"/>
    <n v="0"/>
    <s v="MFC"/>
    <s v="IBMCA"/>
    <s v="ACTIVE ADVISORS AND ASSISTANTS"/>
    <n v="0"/>
    <n v="0"/>
  </r>
  <r>
    <s v="michel.cormier@manulifesecurities.ca"/>
    <s v="MFC"/>
    <x v="0"/>
    <n v="560366"/>
    <n v="3"/>
    <d v="2017-09-19T12:10:43"/>
    <x v="3"/>
    <x v="2"/>
    <s v="noemie.brignon@manulifesecurities.ca"/>
    <n v="731474"/>
    <s v="User Account"/>
    <n v="1"/>
    <s v="AtBelow"/>
    <s v="CC_WebService"/>
    <m/>
    <s v="MFC"/>
    <s v="IBMCA"/>
    <s v="ACTIVE ADVISORS AND ASSISTANTS"/>
    <n v="0"/>
    <n v="0"/>
  </r>
  <r>
    <s v="alex_buena@manulifesecurities.ca"/>
    <s v="MFC"/>
    <x v="0"/>
    <n v="570025"/>
    <n v="3"/>
    <d v="2017-09-19T12:01:08"/>
    <x v="0"/>
    <x v="3"/>
    <s v="Marie.Lowe@manulifesecurities.ca"/>
    <n v="553335"/>
    <s v="User Account"/>
    <n v="1"/>
    <s v="AtBelow"/>
    <s v="CC_Portal"/>
    <s v="Disable"/>
    <s v="MFC"/>
    <s v="IBMCA"/>
    <s v="DISABLED USERS"/>
    <n v="0"/>
    <n v="0"/>
  </r>
  <r>
    <s v="alex_buena@manulifesecurities.ca"/>
    <s v="MFC"/>
    <x v="0"/>
    <n v="570025"/>
    <n v="3"/>
    <d v="2017-09-19T11:57:29"/>
    <x v="0"/>
    <x v="5"/>
    <s v="Marie.Lowe@manulifesecurities.ca"/>
    <n v="553335"/>
    <s v="User Account"/>
    <n v="1"/>
    <s v="AtBelow"/>
    <s v="CC_Portal"/>
    <n v="0"/>
    <s v="MFC"/>
    <s v="IBMCA"/>
    <s v="DISABLED USERS"/>
    <n v="0"/>
    <n v="0"/>
  </r>
  <r>
    <s v="alex_buena@manulifesecurities.ca"/>
    <s v="MFC"/>
    <x v="0"/>
    <n v="570025"/>
    <n v="3"/>
    <d v="2017-09-19T11:57:28"/>
    <x v="4"/>
    <x v="6"/>
    <s v="MSI_autoEmailArchive@manulifesecurities.ca"/>
    <n v="561482"/>
    <s v="Distribution List"/>
    <n v="1"/>
    <s v="Any"/>
    <s v="CC_Portal"/>
    <s v="b826fe19cf164e539056c867d3e4f3a4"/>
    <s v="MFC"/>
    <s v="IBMCA"/>
    <s v="ALL GROUPS"/>
    <n v="0"/>
    <n v="0"/>
  </r>
  <r>
    <s v="alex_buena@manulifesecurities.ca"/>
    <s v="MFC"/>
    <x v="0"/>
    <n v="570025"/>
    <n v="3"/>
    <d v="2017-09-19T11:57:27"/>
    <x v="4"/>
    <x v="6"/>
    <s v="FormerBerkAdvisors@manulifesecurities.ca"/>
    <n v="555662"/>
    <s v="Distribution List"/>
    <n v="1"/>
    <s v="Any"/>
    <s v="CC_Portal"/>
    <s v="b826fe19cf164e539056c867d3e4f3a4"/>
    <s v="MFC"/>
    <s v="IBMCA"/>
    <s v="ALL GROUPS"/>
    <n v="0"/>
    <n v="0"/>
  </r>
  <r>
    <s v="alex_buena@manulifesecurities.ca"/>
    <s v="MFC"/>
    <x v="0"/>
    <n v="570025"/>
    <n v="3"/>
    <d v="2017-09-19T11:57:27"/>
    <x v="4"/>
    <x v="6"/>
    <s v="MSISRepresentatives@manulifesecurities.ca"/>
    <n v="555674"/>
    <s v="Distribution List"/>
    <n v="1"/>
    <s v="Any"/>
    <s v="CC_Portal"/>
    <s v="b826fe19cf164e539056c867d3e4f3a4"/>
    <s v="MFC"/>
    <s v="IBMCA"/>
    <s v="ALL GROUPS"/>
    <n v="0"/>
    <n v="0"/>
  </r>
  <r>
    <s v="alex_buena@manulifesecurities.ca"/>
    <s v="MFC"/>
    <x v="0"/>
    <n v="570025"/>
    <n v="3"/>
    <d v="2017-09-19T11:57:26"/>
    <x v="4"/>
    <x v="6"/>
    <s v="BusinessOwners@manulifesecurities.ca"/>
    <n v="555669"/>
    <s v="Distribution List"/>
    <n v="1"/>
    <s v="Any"/>
    <s v="CC_Portal"/>
    <s v="b826fe19cf164e539056c867d3e4f3a4"/>
    <s v="MFC"/>
    <s v="IBMCA"/>
    <s v="ALL GROUPS"/>
    <n v="0"/>
    <n v="0"/>
  </r>
  <r>
    <s v="alex_buena@manulifesecurities.ca"/>
    <s v="MFC"/>
    <x v="0"/>
    <n v="570025"/>
    <n v="3"/>
    <d v="2017-09-19T11:57:25"/>
    <x v="4"/>
    <x v="6"/>
    <s v="Bedford-Burt@manulifesecurities.ca"/>
    <n v="561111"/>
    <s v="Distribution List"/>
    <n v="1"/>
    <s v="Any"/>
    <s v="CC_Portal"/>
    <s v="b826fe19cf164e539056c867d3e4f3a4"/>
    <s v="MFC"/>
    <s v="IBMCA"/>
    <s v="ALL GROUPS"/>
    <n v="0"/>
    <n v="0"/>
  </r>
  <r>
    <s v="alex_buena@manulifesecurities.ca"/>
    <s v="MFC"/>
    <x v="0"/>
    <n v="570025"/>
    <n v="3"/>
    <d v="2017-09-19T11:57:25"/>
    <x v="4"/>
    <x v="6"/>
    <s v="BORB@manulifesecurities.ca"/>
    <n v="561082"/>
    <s v="Distribution List"/>
    <n v="1"/>
    <s v="Any"/>
    <s v="CC_Portal"/>
    <s v="b826fe19cf164e539056c867d3e4f3a4"/>
    <s v="MFC"/>
    <s v="IBMCA"/>
    <s v="ALL GROUPS"/>
    <n v="0"/>
    <n v="0"/>
  </r>
  <r>
    <s v="alex_buena@manulifesecurities.ca"/>
    <s v="MFC"/>
    <x v="0"/>
    <n v="570025"/>
    <n v="3"/>
    <d v="2017-09-19T11:57:24"/>
    <x v="4"/>
    <x v="6"/>
    <s v="AllAdvisors@manulifesecurities.ca"/>
    <n v="555659"/>
    <s v="Distribution List"/>
    <n v="1"/>
    <s v="Any"/>
    <s v="CC_Portal"/>
    <s v="b826fe19cf164e539056c867d3e4f3a4"/>
    <s v="MFC"/>
    <s v="IBMCA"/>
    <s v="ALL GROUPS"/>
    <n v="0"/>
    <n v="0"/>
  </r>
  <r>
    <s v="alex_buena@manulifesecurities.ca"/>
    <s v="MFC"/>
    <x v="0"/>
    <n v="570025"/>
    <n v="3"/>
    <d v="2017-09-19T11:57:23"/>
    <x v="4"/>
    <x v="6"/>
    <s v="Advisors@manulifesecurities.ca"/>
    <n v="555668"/>
    <s v="Distribution List"/>
    <n v="1"/>
    <s v="Any"/>
    <s v="CC_Portal"/>
    <s v="b826fe19cf164e539056c867d3e4f3a4"/>
    <s v="MFC"/>
    <s v="IBMCA"/>
    <s v="ALL GROUPS"/>
    <n v="0"/>
    <n v="0"/>
  </r>
  <r>
    <s v="alex_buena@manulifesecurities.ca"/>
    <s v="MFC"/>
    <x v="0"/>
    <n v="570025"/>
    <n v="3"/>
    <d v="2017-09-19T11:57:22"/>
    <x v="0"/>
    <x v="5"/>
    <s v="Marie.Lowe@manulifesecurities.ca"/>
    <n v="553335"/>
    <s v="User Account"/>
    <n v="1"/>
    <s v="AtBelow"/>
    <s v="CC_Portal"/>
    <n v="0"/>
    <s v="MFC"/>
    <s v="IBMCA"/>
    <s v="DISABLED USERS"/>
    <n v="0"/>
    <n v="0"/>
  </r>
  <r>
    <s v="alex_buena@manulifesecurities.ca"/>
    <s v="MFC"/>
    <x v="0"/>
    <n v="570025"/>
    <n v="3"/>
    <d v="2017-09-19T11:57:09"/>
    <x v="0"/>
    <x v="5"/>
    <s v="Marie.Lowe@manulifesecurities.ca"/>
    <n v="553335"/>
    <s v="User Account"/>
    <n v="1"/>
    <s v="AtBelow"/>
    <s v="CC_Portal"/>
    <n v="0"/>
    <s v="MFC"/>
    <s v="IBMCA"/>
    <s v="DISABLED USERS"/>
    <n v="0"/>
    <n v="0"/>
  </r>
  <r>
    <s v="alex_buena@manulifesecurities.ca"/>
    <s v="MFC"/>
    <x v="0"/>
    <n v="570025"/>
    <n v="3"/>
    <d v="2017-09-19T11:56:47"/>
    <x v="0"/>
    <x v="4"/>
    <s v="Marie.Lowe@manulifesecurities.ca"/>
    <n v="553335"/>
    <s v="User Account"/>
    <n v="1"/>
    <s v="AtBelow"/>
    <s v="CC_Portal"/>
    <s v="oldOrgGroup=ACTIVE ADVISORS AND ASSISTANTS;newOrgGroup=DISABLED USERS"/>
    <s v="MFC"/>
    <s v="IBMCA"/>
    <s v="DISABLED USERS"/>
    <n v="0"/>
    <n v="0"/>
  </r>
  <r>
    <s v="priscilla.misir@manulifesecurities.ca"/>
    <s v="MFC"/>
    <x v="0"/>
    <n v="674396"/>
    <n v="3"/>
    <d v="2017-09-19T11:55:23"/>
    <x v="0"/>
    <x v="4"/>
    <s v="Stephan.Phelan@manulifesecurities.ca"/>
    <n v="554044"/>
    <s v="User Account"/>
    <n v="1"/>
    <s v="AtBelow"/>
    <s v="CC_Portal"/>
    <s v="oldOrgGroup=ACTIVE ADVISORS AND ASSISTANTS;newOrgGroup=DISABLED USERS"/>
    <s v="MFC"/>
    <s v="IBMCA"/>
    <s v="DISABLED USERS"/>
    <n v="0"/>
    <n v="0"/>
  </r>
  <r>
    <s v="priscilla.misir@manulifesecurities.ca"/>
    <s v="MFC"/>
    <x v="0"/>
    <n v="674396"/>
    <n v="3"/>
    <d v="2017-09-19T11:54:35"/>
    <x v="0"/>
    <x v="5"/>
    <s v="Stephan.Phelan@manulifesecurities.ca"/>
    <n v="554044"/>
    <s v="User Account"/>
    <n v="1"/>
    <s v="AtBelow"/>
    <s v="CC_Portal"/>
    <n v="0"/>
    <s v="MFC"/>
    <s v="IBMCA"/>
    <s v="ACTIVE ADVISORS AND ASSISTANTS"/>
    <n v="0"/>
    <n v="0"/>
  </r>
  <r>
    <s v="priscilla.misir@manulifesecurities.ca"/>
    <s v="MFC"/>
    <x v="0"/>
    <n v="674396"/>
    <n v="3"/>
    <d v="2017-09-19T11:54:34"/>
    <x v="4"/>
    <x v="6"/>
    <s v="MSI_autoSupervision@manulifesecurities.ca"/>
    <n v="561483"/>
    <s v="Distribution List"/>
    <n v="1"/>
    <s v="Any"/>
    <s v="CC_Portal"/>
    <s v="c911f2ef56044f14a3e104ec8b6f52a0"/>
    <s v="MFC"/>
    <s v="IBMCA"/>
    <s v="ALL GROUPS"/>
    <n v="0"/>
    <n v="0"/>
  </r>
  <r>
    <s v="priscilla.misir@manulifesecurities.ca"/>
    <s v="MFC"/>
    <x v="0"/>
    <n v="674396"/>
    <n v="3"/>
    <d v="2017-09-19T11:54:33"/>
    <x v="4"/>
    <x v="6"/>
    <s v="MSI_autoEmailArchive@manulifesecurities.ca"/>
    <n v="561482"/>
    <s v="Distribution List"/>
    <n v="1"/>
    <s v="Any"/>
    <s v="CC_Portal"/>
    <s v="c911f2ef56044f14a3e104ec8b6f52a0"/>
    <s v="MFC"/>
    <s v="IBMCA"/>
    <s v="ALL GROUPS"/>
    <n v="0"/>
    <n v="0"/>
  </r>
  <r>
    <s v="priscilla.misir@manulifesecurities.ca"/>
    <s v="MFC"/>
    <x v="0"/>
    <n v="674396"/>
    <n v="3"/>
    <d v="2017-09-19T11:54:32"/>
    <x v="4"/>
    <x v="6"/>
    <s v="MSISRepresentatives@manulifesecurities.ca"/>
    <n v="555674"/>
    <s v="Distribution List"/>
    <n v="1"/>
    <s v="Any"/>
    <s v="CC_Portal"/>
    <s v="c911f2ef56044f14a3e104ec8b6f52a0"/>
    <s v="MFC"/>
    <s v="IBMCA"/>
    <s v="ALL GROUPS"/>
    <n v="0"/>
    <n v="0"/>
  </r>
  <r>
    <s v="priscilla.misir@manulifesecurities.ca"/>
    <s v="MFC"/>
    <x v="0"/>
    <n v="674396"/>
    <n v="3"/>
    <d v="2017-09-19T11:54:31"/>
    <x v="4"/>
    <x v="6"/>
    <s v="Bedford-Burt@manulifesecurities.ca"/>
    <n v="561111"/>
    <s v="Distribution List"/>
    <n v="1"/>
    <s v="Any"/>
    <s v="CC_Portal"/>
    <s v="c911f2ef56044f14a3e104ec8b6f52a0"/>
    <s v="MFC"/>
    <s v="IBMCA"/>
    <s v="ALL GROUPS"/>
    <n v="0"/>
    <n v="0"/>
  </r>
  <r>
    <s v="priscilla.misir@manulifesecurities.ca"/>
    <s v="MFC"/>
    <x v="0"/>
    <n v="674396"/>
    <n v="3"/>
    <d v="2017-09-19T11:54:31"/>
    <x v="4"/>
    <x v="6"/>
    <s v="FormerBerkAdvisors@manulifesecurities.ca"/>
    <n v="555662"/>
    <s v="Distribution List"/>
    <n v="1"/>
    <s v="Any"/>
    <s v="CC_Portal"/>
    <s v="c911f2ef56044f14a3e104ec8b6f52a0"/>
    <s v="MFC"/>
    <s v="IBMCA"/>
    <s v="ALL GROUPS"/>
    <n v="0"/>
    <n v="0"/>
  </r>
  <r>
    <s v="priscilla.misir@manulifesecurities.ca"/>
    <s v="MFC"/>
    <x v="0"/>
    <n v="674396"/>
    <n v="3"/>
    <d v="2017-09-19T11:54:30"/>
    <x v="4"/>
    <x v="6"/>
    <s v="AllAdvisors@manulifesecurities.ca"/>
    <n v="555659"/>
    <s v="Distribution List"/>
    <n v="1"/>
    <s v="Any"/>
    <s v="CC_Portal"/>
    <s v="c911f2ef56044f14a3e104ec8b6f52a0"/>
    <s v="MFC"/>
    <s v="IBMCA"/>
    <s v="ALL GROUPS"/>
    <n v="0"/>
    <n v="0"/>
  </r>
  <r>
    <s v="priscilla.misir@manulifesecurities.ca"/>
    <s v="MFC"/>
    <x v="0"/>
    <n v="674396"/>
    <n v="3"/>
    <d v="2017-09-19T11:54:29"/>
    <x v="4"/>
    <x v="6"/>
    <s v="Advisors@manulifesecurities.ca"/>
    <n v="555668"/>
    <s v="Distribution List"/>
    <n v="1"/>
    <s v="Any"/>
    <s v="CC_Portal"/>
    <s v="c911f2ef56044f14a3e104ec8b6f52a0"/>
    <s v="MFC"/>
    <s v="IBMCA"/>
    <s v="ALL GROUPS"/>
    <n v="0"/>
    <n v="0"/>
  </r>
  <r>
    <s v="priscilla.misir@manulifesecurities.ca"/>
    <s v="MFC"/>
    <x v="0"/>
    <n v="674396"/>
    <n v="3"/>
    <d v="2017-09-19T11:54:27"/>
    <x v="0"/>
    <x v="5"/>
    <s v="Stephan.Phelan@manulifesecurities.ca"/>
    <n v="554044"/>
    <s v="User Account"/>
    <n v="1"/>
    <s v="AtBelow"/>
    <s v="CC_Portal"/>
    <n v="0"/>
    <s v="MFC"/>
    <s v="IBMCA"/>
    <s v="ACTIVE ADVISORS AND ASSISTANTS"/>
    <n v="0"/>
    <n v="0"/>
  </r>
  <r>
    <s v="priscilla.misir@manulifesecurities.ca"/>
    <s v="MFC"/>
    <x v="0"/>
    <n v="674396"/>
    <n v="3"/>
    <d v="2017-09-19T11:54:22"/>
    <x v="0"/>
    <x v="5"/>
    <s v="Stephan.Phelan@manulifesecurities.ca"/>
    <n v="554044"/>
    <s v="User Account"/>
    <n v="1"/>
    <s v="AtBelow"/>
    <s v="CC_Portal"/>
    <n v="0"/>
    <s v="MFC"/>
    <s v="IBMCA"/>
    <s v="ACTIVE ADVISORS AND ASSISTANTS"/>
    <n v="0"/>
    <n v="0"/>
  </r>
  <r>
    <s v="ssotest@mfc.sps.local"/>
    <s v="MFC"/>
    <x v="0"/>
    <n v="551367"/>
    <n v="1000"/>
    <d v="2017-09-19T11:53:51"/>
    <x v="0"/>
    <x v="0"/>
    <s v="christina.eddy@manulifesecurities.ca"/>
    <n v="864258"/>
    <s v="User Account"/>
    <n v="1"/>
    <s v="AtBelow"/>
    <s v="CC_Portal"/>
    <n v="0"/>
    <s v="MFC"/>
    <s v="IBMCA"/>
    <s v="ACTIVE ADVISORS AND ASSISTANTS"/>
    <n v="0"/>
    <n v="0"/>
  </r>
  <r>
    <s v="priscilla.misir@manulifesecurities.ca"/>
    <s v="MFC"/>
    <x v="0"/>
    <n v="674396"/>
    <n v="3"/>
    <d v="2017-09-19T11:52:31"/>
    <x v="0"/>
    <x v="3"/>
    <s v="Stephan.Phelan@manulifesecurities.ca"/>
    <n v="554044"/>
    <s v="User Account"/>
    <n v="1"/>
    <s v="AtBelow"/>
    <s v="CC_Portal"/>
    <s v="Disable"/>
    <s v="MFC"/>
    <s v="IBMCA"/>
    <s v="ACTIVE ADVISORS AND ASSISTANTS"/>
    <n v="0"/>
    <n v="0"/>
  </r>
  <r>
    <s v="ssotest@mfc.sps.local"/>
    <s v="MFC"/>
    <x v="0"/>
    <n v="551367"/>
    <n v="1000"/>
    <d v="2017-09-19T11:44:41"/>
    <x v="0"/>
    <x v="0"/>
    <s v="Jacques.Noujaim@manulifesecurities.ca"/>
    <n v="552724"/>
    <s v="User Account"/>
    <n v="1"/>
    <s v="AtBelow"/>
    <s v="CC_Portal"/>
    <n v="0"/>
    <s v="MFC"/>
    <s v="IBMCA"/>
    <s v="ACTIVE ADVISORS AND ASSISTANTS"/>
    <n v="0"/>
    <n v="0"/>
  </r>
  <r>
    <s v="ssotest@mfc.sps.local"/>
    <s v="MFC"/>
    <x v="0"/>
    <n v="551367"/>
    <n v="1000"/>
    <d v="2017-09-19T11:31:51"/>
    <x v="0"/>
    <x v="0"/>
    <s v="yue.lu@manulifesecurities.ca"/>
    <n v="908518"/>
    <s v="User Account"/>
    <n v="1"/>
    <s v="AtBelow"/>
    <s v="CC_Portal"/>
    <n v="0"/>
    <s v="MFC"/>
    <s v="IBMCA"/>
    <s v="ACTIVE ADVISORS AND ASSISTANTS"/>
    <n v="0"/>
    <n v="0"/>
  </r>
  <r>
    <s v="cristian.bogdan@manulifesecurities.ca"/>
    <s v="MFC"/>
    <x v="0"/>
    <n v="560330"/>
    <n v="3"/>
    <d v="2017-09-19T11:30:05"/>
    <x v="0"/>
    <x v="9"/>
    <s v="m.kucinskaite@manulifesecurities.ca"/>
    <n v="908539"/>
    <s v="User Account"/>
    <n v="1"/>
    <s v="AtBelow"/>
    <s v="CC_Portal"/>
    <s v="Enable"/>
    <s v="MFC"/>
    <s v="IBMCA"/>
    <s v="ACTIVE ADVISORS AND ASSISTANTS"/>
    <n v="0"/>
    <n v="0"/>
  </r>
  <r>
    <s v="ssotest@mfc.sps.local"/>
    <s v="MFC"/>
    <x v="0"/>
    <n v="551367"/>
    <n v="1000"/>
    <d v="2017-09-19T11:29:24"/>
    <x v="0"/>
    <x v="0"/>
    <s v="holly.caetano@manulifesecurities.ca"/>
    <n v="728114"/>
    <s v="User Account"/>
    <n v="1"/>
    <s v="AtBelow"/>
    <s v="CC_Portal"/>
    <n v="0"/>
    <s v="MFC"/>
    <s v="IBMCA"/>
    <s v="ACTIVE ADVISORS AND ASSISTANTS"/>
    <n v="0"/>
    <n v="0"/>
  </r>
  <r>
    <s v="ssotest@mfc.sps.local"/>
    <s v="MFC"/>
    <x v="0"/>
    <n v="551367"/>
    <n v="1000"/>
    <d v="2017-09-19T11:28:06"/>
    <x v="0"/>
    <x v="0"/>
    <s v="justin.stanley@manulifesecurities.ca"/>
    <n v="826318"/>
    <s v="User Account"/>
    <n v="1"/>
    <s v="AtBelow"/>
    <s v="CC_Portal"/>
    <n v="0"/>
    <s v="MFC"/>
    <s v="IBMCA"/>
    <s v="ACTIVE ADVISORS AND ASSISTANTS"/>
    <n v="0"/>
    <n v="0"/>
  </r>
  <r>
    <s v="jody.markovic@manulifesecurities.ca"/>
    <s v="MFC"/>
    <x v="0"/>
    <n v="560579"/>
    <n v="3"/>
    <d v="2017-09-19T11:19:14"/>
    <x v="3"/>
    <x v="2"/>
    <s v="Beth.Hesson@manulifesecurities.ca"/>
    <n v="551920"/>
    <s v="User Account"/>
    <n v="1"/>
    <s v="AtBelow"/>
    <s v="CC_WebService"/>
    <m/>
    <s v="MFC"/>
    <s v="IBMCA"/>
    <s v="ACTIVE ADVISORS AND ASSISTANTS"/>
    <n v="0"/>
    <n v="0"/>
  </r>
  <r>
    <s v="jody.markovic@manulifesecurities.ca"/>
    <s v="MFC"/>
    <x v="0"/>
    <n v="560579"/>
    <n v="3"/>
    <d v="2017-09-19T11:19:01"/>
    <x v="3"/>
    <x v="2"/>
    <s v="Beth.Hesson@manulifesecurities.ca"/>
    <n v="551920"/>
    <s v="User Account"/>
    <n v="1"/>
    <s v="AtBelow"/>
    <s v="CC_WebService"/>
    <m/>
    <s v="MFC"/>
    <s v="IBMCA"/>
    <s v="ACTIVE ADVISORS AND ASSISTANTS"/>
    <n v="0"/>
    <n v="0"/>
  </r>
  <r>
    <s v="ssotest@mfc.sps.local"/>
    <s v="MFC"/>
    <x v="0"/>
    <n v="551367"/>
    <n v="1000"/>
    <d v="2017-09-19T11:18:59"/>
    <x v="0"/>
    <x v="0"/>
    <s v="Beth.Hesson@manulifesecurities.ca"/>
    <n v="551920"/>
    <s v="User Account"/>
    <n v="1"/>
    <s v="AtBelow"/>
    <s v="CC_Portal"/>
    <n v="0"/>
    <s v="MFC"/>
    <s v="IBMCA"/>
    <s v="ACTIVE ADVISORS AND ASSISTANTS"/>
    <n v="0"/>
    <n v="0"/>
  </r>
  <r>
    <s v="marshall.hett@manulifesecurities.ca"/>
    <s v="MFC"/>
    <x v="0"/>
    <n v="707864"/>
    <n v="3"/>
    <d v="2017-09-19T11:18:32"/>
    <x v="3"/>
    <x v="2"/>
    <s v="Terry.Mah@manulifesecurities.ca"/>
    <n v="554152"/>
    <s v="User Account"/>
    <n v="1"/>
    <s v="AtBelow"/>
    <s v="CC_WebService"/>
    <m/>
    <s v="MFC"/>
    <s v="IBMCA"/>
    <s v="ACTIVE ADVISORS AND ASSISTANTS"/>
    <n v="0"/>
    <n v="0"/>
  </r>
  <r>
    <s v="alex_buena@manulifesecurities.ca"/>
    <s v="MFC"/>
    <x v="0"/>
    <n v="570025"/>
    <n v="3"/>
    <d v="2017-09-19T11:11:13"/>
    <x v="0"/>
    <x v="3"/>
    <s v="Ivan.Burt@manulifesecurities.ca"/>
    <n v="552705"/>
    <s v="User Account"/>
    <n v="1"/>
    <s v="AtBelow"/>
    <s v="CC_Portal"/>
    <s v="Disable"/>
    <s v="MFC"/>
    <s v="IBMCA"/>
    <s v="DISABLED USERS"/>
    <n v="0"/>
    <n v="0"/>
  </r>
  <r>
    <s v="alex_buena@manulifesecurities.ca"/>
    <s v="MFC"/>
    <x v="0"/>
    <n v="570025"/>
    <n v="3"/>
    <d v="2017-09-19T11:09:20"/>
    <x v="0"/>
    <x v="5"/>
    <s v="Ivan.Burt@manulifesecurities.ca"/>
    <n v="552705"/>
    <s v="User Account"/>
    <n v="1"/>
    <s v="AtBelow"/>
    <s v="CC_Portal"/>
    <n v="0"/>
    <s v="MFC"/>
    <s v="IBMCA"/>
    <s v="DISABLED USERS"/>
    <n v="0"/>
    <n v="0"/>
  </r>
  <r>
    <s v="alex_buena@manulifesecurities.ca"/>
    <s v="MFC"/>
    <x v="0"/>
    <n v="570025"/>
    <n v="3"/>
    <d v="2017-09-19T11:09:19"/>
    <x v="4"/>
    <x v="6"/>
    <s v="MSI_autoSupervision@manulifesecurities.ca"/>
    <n v="561483"/>
    <s v="Distribution List"/>
    <n v="1"/>
    <s v="Any"/>
    <s v="CC_Portal"/>
    <s v="e6abbf24001d48ebaf9e36cc6f7e50e4"/>
    <s v="MFC"/>
    <s v="IBMCA"/>
    <s v="ALL GROUPS"/>
    <n v="0"/>
    <n v="0"/>
  </r>
  <r>
    <s v="alex_buena@manulifesecurities.ca"/>
    <s v="MFC"/>
    <x v="0"/>
    <n v="570025"/>
    <n v="3"/>
    <d v="2017-09-19T11:09:18"/>
    <x v="4"/>
    <x v="6"/>
    <s v="MSI_autoEmailArchive@manulifesecurities.ca"/>
    <n v="561482"/>
    <s v="Distribution List"/>
    <n v="1"/>
    <s v="Any"/>
    <s v="CC_Portal"/>
    <s v="e6abbf24001d48ebaf9e36cc6f7e50e4"/>
    <s v="MFC"/>
    <s v="IBMCA"/>
    <s v="ALL GROUPS"/>
    <n v="0"/>
    <n v="0"/>
  </r>
  <r>
    <s v="alex_buena@manulifesecurities.ca"/>
    <s v="MFC"/>
    <x v="0"/>
    <n v="570025"/>
    <n v="3"/>
    <d v="2017-09-19T11:09:17"/>
    <x v="4"/>
    <x v="6"/>
    <s v="MSIRepresentatives@manulifesecurities.ca"/>
    <n v="555672"/>
    <s v="Distribution List"/>
    <n v="1"/>
    <s v="Any"/>
    <s v="CC_Portal"/>
    <s v="e6abbf24001d48ebaf9e36cc6f7e50e4"/>
    <s v="MFC"/>
    <s v="IBMCA"/>
    <s v="ALL GROUPS"/>
    <n v="0"/>
    <n v="0"/>
  </r>
  <r>
    <s v="alex_buena@manulifesecurities.ca"/>
    <s v="MFC"/>
    <x v="0"/>
    <n v="570025"/>
    <n v="3"/>
    <d v="2017-09-19T11:09:16"/>
    <x v="4"/>
    <x v="6"/>
    <s v="FormerBerkAdvisors@manulifesecurities.ca"/>
    <n v="555662"/>
    <s v="Distribution List"/>
    <n v="1"/>
    <s v="Any"/>
    <s v="CC_Portal"/>
    <s v="e6abbf24001d48ebaf9e36cc6f7e50e4"/>
    <s v="MFC"/>
    <s v="IBMCA"/>
    <s v="ALL GROUPS"/>
    <n v="0"/>
    <n v="0"/>
  </r>
  <r>
    <s v="alex_buena@manulifesecurities.ca"/>
    <s v="MFC"/>
    <x v="0"/>
    <n v="570025"/>
    <n v="3"/>
    <d v="2017-09-19T11:09:16"/>
    <x v="4"/>
    <x v="6"/>
    <s v="mls_new_issues@manulifesecurities.ca"/>
    <n v="606187"/>
    <s v="Distribution List"/>
    <n v="1"/>
    <s v="Any"/>
    <s v="CC_Portal"/>
    <s v="e6abbf24001d48ebaf9e36cc6f7e50e4"/>
    <s v="MFC"/>
    <s v="IBMCA"/>
    <s v="ALL GROUPS"/>
    <n v="0"/>
    <n v="0"/>
  </r>
  <r>
    <s v="alex_buena@manulifesecurities.ca"/>
    <s v="MFC"/>
    <x v="0"/>
    <n v="570025"/>
    <n v="3"/>
    <d v="2017-09-19T11:09:15"/>
    <x v="4"/>
    <x v="6"/>
    <s v="BusinessOwners@manulifesecurities.ca"/>
    <n v="555669"/>
    <s v="Distribution List"/>
    <n v="1"/>
    <s v="Any"/>
    <s v="CC_Portal"/>
    <s v="e6abbf24001d48ebaf9e36cc6f7e50e4"/>
    <s v="MFC"/>
    <s v="IBMCA"/>
    <s v="ALL GROUPS"/>
    <n v="0"/>
    <n v="0"/>
  </r>
  <r>
    <s v="alex_buena@manulifesecurities.ca"/>
    <s v="MFC"/>
    <x v="0"/>
    <n v="570025"/>
    <n v="3"/>
    <d v="2017-09-19T11:09:14"/>
    <x v="4"/>
    <x v="6"/>
    <s v="Bedford-Burt@manulifesecurities.ca"/>
    <n v="561111"/>
    <s v="Distribution List"/>
    <n v="1"/>
    <s v="Any"/>
    <s v="CC_Portal"/>
    <s v="e6abbf24001d48ebaf9e36cc6f7e50e4"/>
    <s v="MFC"/>
    <s v="IBMCA"/>
    <s v="ALL GROUPS"/>
    <n v="0"/>
    <n v="0"/>
  </r>
  <r>
    <s v="alex_buena@manulifesecurities.ca"/>
    <s v="MFC"/>
    <x v="0"/>
    <n v="570025"/>
    <n v="3"/>
    <d v="2017-09-19T11:09:14"/>
    <x v="4"/>
    <x v="6"/>
    <s v="BORB@manulifesecurities.ca"/>
    <n v="561082"/>
    <s v="Distribution List"/>
    <n v="1"/>
    <s v="Any"/>
    <s v="CC_Portal"/>
    <s v="e6abbf24001d48ebaf9e36cc6f7e50e4"/>
    <s v="MFC"/>
    <s v="IBMCA"/>
    <s v="ALL GROUPS"/>
    <n v="0"/>
    <n v="0"/>
  </r>
  <r>
    <s v="alex_buena@manulifesecurities.ca"/>
    <s v="MFC"/>
    <x v="0"/>
    <n v="570025"/>
    <n v="3"/>
    <d v="2017-09-19T11:09:13"/>
    <x v="4"/>
    <x v="6"/>
    <s v="AllAdvisors@manulifesecurities.ca"/>
    <n v="555659"/>
    <s v="Distribution List"/>
    <n v="1"/>
    <s v="Any"/>
    <s v="CC_Portal"/>
    <s v="e6abbf24001d48ebaf9e36cc6f7e50e4"/>
    <s v="MFC"/>
    <s v="IBMCA"/>
    <s v="ALL GROUPS"/>
    <n v="0"/>
    <n v="0"/>
  </r>
  <r>
    <s v="alex_buena@manulifesecurities.ca"/>
    <s v="MFC"/>
    <x v="0"/>
    <n v="570025"/>
    <n v="3"/>
    <d v="2017-09-19T11:09:12"/>
    <x v="4"/>
    <x v="6"/>
    <s v="Advisors@manulifesecurities.ca"/>
    <n v="555668"/>
    <s v="Distribution List"/>
    <n v="1"/>
    <s v="Any"/>
    <s v="CC_Portal"/>
    <s v="e6abbf24001d48ebaf9e36cc6f7e50e4"/>
    <s v="MFC"/>
    <s v="IBMCA"/>
    <s v="ALL GROUPS"/>
    <n v="0"/>
    <n v="0"/>
  </r>
  <r>
    <s v="alex_buena@manulifesecurities.ca"/>
    <s v="MFC"/>
    <x v="0"/>
    <n v="570025"/>
    <n v="3"/>
    <d v="2017-09-19T11:09:11"/>
    <x v="0"/>
    <x v="5"/>
    <s v="Ivan.Burt@manulifesecurities.ca"/>
    <n v="552705"/>
    <s v="User Account"/>
    <n v="1"/>
    <s v="AtBelow"/>
    <s v="CC_Portal"/>
    <n v="0"/>
    <s v="MFC"/>
    <s v="IBMCA"/>
    <s v="DISABLED USERS"/>
    <n v="0"/>
    <n v="0"/>
  </r>
  <r>
    <s v="alex_buena@manulifesecurities.ca"/>
    <s v="MFC"/>
    <x v="0"/>
    <n v="570025"/>
    <n v="3"/>
    <d v="2017-09-19T11:09:04"/>
    <x v="0"/>
    <x v="5"/>
    <s v="Ivan.Burt@manulifesecurities.ca"/>
    <n v="552705"/>
    <s v="User Account"/>
    <n v="1"/>
    <s v="AtBelow"/>
    <s v="CC_Portal"/>
    <n v="0"/>
    <s v="MFC"/>
    <s v="IBMCA"/>
    <s v="DISABLED USERS"/>
    <n v="0"/>
    <n v="0"/>
  </r>
  <r>
    <s v="alex_buena@manulifesecurities.ca"/>
    <s v="MFC"/>
    <x v="0"/>
    <n v="570025"/>
    <n v="3"/>
    <d v="2017-09-19T11:08:47"/>
    <x v="0"/>
    <x v="4"/>
    <s v="Ivan.Burt@manulifesecurities.ca"/>
    <n v="552705"/>
    <s v="User Account"/>
    <n v="1"/>
    <s v="AtBelow"/>
    <s v="CC_Portal"/>
    <s v="oldOrgGroup=ACTIVE ADVISORS AND ASSISTANTS;newOrgGroup=DISABLED USERS"/>
    <s v="MFC"/>
    <s v="IBMCA"/>
    <s v="DISABLED USERS"/>
    <n v="0"/>
    <n v="0"/>
  </r>
  <r>
    <s v="ssotest@mfc.sps.local"/>
    <s v="MFC"/>
    <x v="0"/>
    <n v="551367"/>
    <n v="1000"/>
    <d v="2017-09-19T10:57:27"/>
    <x v="0"/>
    <x v="0"/>
    <s v="Philip.Fainer@manulifesecurities.ca"/>
    <n v="553715"/>
    <s v="User Account"/>
    <n v="1"/>
    <s v="AtBelow"/>
    <s v="CC_Portal"/>
    <n v="0"/>
    <s v="MFC"/>
    <s v="IBMCA"/>
    <s v="ACTIVE ADVISORS AND ASSISTANTS"/>
    <n v="0"/>
    <n v="0"/>
  </r>
  <r>
    <s v="ssotest@mfc.sps.local"/>
    <s v="MFC"/>
    <x v="0"/>
    <n v="551367"/>
    <n v="1000"/>
    <d v="2017-09-19T10:51:02"/>
    <x v="0"/>
    <x v="0"/>
    <s v="rachel.proudfoot@manulifesecurities.ca"/>
    <n v="570908"/>
    <s v="User Account"/>
    <n v="1"/>
    <s v="AtBelow"/>
    <s v="CC_Portal"/>
    <n v="0"/>
    <s v="MFC"/>
    <s v="IBMCA"/>
    <s v="ACTIVE ADVISORS AND ASSISTANTS"/>
    <n v="0"/>
    <n v="0"/>
  </r>
  <r>
    <s v="ssotest@mfc.sps.local"/>
    <s v="MFC"/>
    <x v="0"/>
    <n v="551367"/>
    <n v="1000"/>
    <d v="2017-09-19T10:45:10"/>
    <x v="0"/>
    <x v="0"/>
    <s v="Jennifer.Munharvey@manulifesecurities.ca"/>
    <n v="552828"/>
    <s v="User Account"/>
    <n v="1"/>
    <s v="AtBelow"/>
    <s v="CC_Portal"/>
    <n v="0"/>
    <s v="MFC"/>
    <s v="IBMCA"/>
    <s v="ACTIVE ADVISORS AND ASSISTANTS"/>
    <n v="0"/>
    <n v="0"/>
  </r>
  <r>
    <s v="alex_buena@manulifesecurities.ca"/>
    <s v="MFC"/>
    <x v="0"/>
    <n v="570025"/>
    <n v="3"/>
    <d v="2017-09-19T10:30:16"/>
    <x v="0"/>
    <x v="3"/>
    <s v="Randy.Labadie@manulifesecurities.ca"/>
    <n v="553746"/>
    <s v="User Account"/>
    <n v="1"/>
    <s v="AtBelow"/>
    <s v="CC_Portal"/>
    <s v="Disable"/>
    <s v="MFC"/>
    <s v="IBMCA"/>
    <s v="DISABLED USERS"/>
    <n v="0"/>
    <n v="0"/>
  </r>
  <r>
    <s v="ssotest@mfc.sps.local"/>
    <s v="MFC"/>
    <x v="0"/>
    <n v="551367"/>
    <n v="1000"/>
    <d v="2017-09-19T10:29:15"/>
    <x v="0"/>
    <x v="0"/>
    <s v="kayla.rousseaux@manulifesecurities.ca"/>
    <n v="831221"/>
    <s v="User Account"/>
    <n v="1"/>
    <s v="AtBelow"/>
    <s v="CC_Portal"/>
    <n v="0"/>
    <s v="MFC"/>
    <s v="IBMCA"/>
    <s v="ACTIVE ADVISORS AND ASSISTANTS"/>
    <n v="0"/>
    <n v="0"/>
  </r>
  <r>
    <s v="alex_buena@manulifesecurities.ca"/>
    <s v="MFC"/>
    <x v="0"/>
    <n v="570025"/>
    <n v="3"/>
    <d v="2017-09-19T10:28:09"/>
    <x v="4"/>
    <x v="6"/>
    <s v="MSI_autoEmailArchive@manulifesecurities.ca"/>
    <n v="561482"/>
    <s v="Distribution List"/>
    <n v="1"/>
    <s v="Any"/>
    <s v="CC_Portal"/>
    <s v="94c1acc3a35e419981e8e3d852a3dd7a"/>
    <s v="MFC"/>
    <s v="IBMCA"/>
    <s v="ALL GROUPS"/>
    <n v="0"/>
    <n v="0"/>
  </r>
  <r>
    <s v="alex_buena@manulifesecurities.ca"/>
    <s v="MFC"/>
    <x v="0"/>
    <n v="570025"/>
    <n v="3"/>
    <d v="2017-09-19T10:28:09"/>
    <x v="0"/>
    <x v="5"/>
    <s v="Randy.Labadie@manulifesecurities.ca"/>
    <n v="553746"/>
    <s v="User Account"/>
    <n v="1"/>
    <s v="AtBelow"/>
    <s v="CC_Portal"/>
    <n v="0"/>
    <s v="MFC"/>
    <s v="IBMCA"/>
    <s v="DISABLED USERS"/>
    <n v="0"/>
    <n v="0"/>
  </r>
  <r>
    <s v="alex_buena@manulifesecurities.ca"/>
    <s v="MFC"/>
    <x v="0"/>
    <n v="570025"/>
    <n v="3"/>
    <d v="2017-09-19T10:28:07"/>
    <x v="4"/>
    <x v="6"/>
    <s v="FormerMSILAdvisors@manulifesecurities.ca"/>
    <n v="555664"/>
    <s v="Distribution List"/>
    <n v="1"/>
    <s v="Any"/>
    <s v="CC_Portal"/>
    <s v="94c1acc3a35e419981e8e3d852a3dd7a"/>
    <s v="MFC"/>
    <s v="IBMCA"/>
    <s v="ALL GROUPS"/>
    <n v="0"/>
    <n v="0"/>
  </r>
  <r>
    <s v="alex_buena@manulifesecurities.ca"/>
    <s v="MFC"/>
    <x v="0"/>
    <n v="570025"/>
    <n v="3"/>
    <d v="2017-09-19T10:28:06"/>
    <x v="4"/>
    <x v="6"/>
    <s v="AllAdvisors@manulifesecurities.ca"/>
    <n v="555659"/>
    <s v="Distribution List"/>
    <n v="1"/>
    <s v="Any"/>
    <s v="CC_Portal"/>
    <s v="94c1acc3a35e419981e8e3d852a3dd7a"/>
    <s v="MFC"/>
    <s v="IBMCA"/>
    <s v="ALL GROUPS"/>
    <n v="0"/>
    <n v="0"/>
  </r>
  <r>
    <s v="alex_buena@manulifesecurities.ca"/>
    <s v="MFC"/>
    <x v="0"/>
    <n v="570025"/>
    <n v="3"/>
    <d v="2017-09-19T10:28:05"/>
    <x v="4"/>
    <x v="6"/>
    <s v="Advisors@manulifesecurities.ca"/>
    <n v="555668"/>
    <s v="Distribution List"/>
    <n v="1"/>
    <s v="Any"/>
    <s v="CC_Portal"/>
    <s v="94c1acc3a35e419981e8e3d852a3dd7a"/>
    <s v="MFC"/>
    <s v="IBMCA"/>
    <s v="ALL GROUPS"/>
    <n v="0"/>
    <n v="0"/>
  </r>
  <r>
    <s v="alex_buena@manulifesecurities.ca"/>
    <s v="MFC"/>
    <x v="0"/>
    <n v="570025"/>
    <n v="3"/>
    <d v="2017-09-19T10:28:03"/>
    <x v="0"/>
    <x v="5"/>
    <s v="Randy.Labadie@manulifesecurities.ca"/>
    <n v="553746"/>
    <s v="User Account"/>
    <n v="1"/>
    <s v="AtBelow"/>
    <s v="CC_Portal"/>
    <n v="0"/>
    <s v="MFC"/>
    <s v="IBMCA"/>
    <s v="DISABLED USERS"/>
    <n v="0"/>
    <n v="0"/>
  </r>
  <r>
    <s v="alex_buena@manulifesecurities.ca"/>
    <s v="MFC"/>
    <x v="0"/>
    <n v="570025"/>
    <n v="3"/>
    <d v="2017-09-19T10:27:57"/>
    <x v="0"/>
    <x v="5"/>
    <s v="Randy.Labadie@manulifesecurities.ca"/>
    <n v="553746"/>
    <s v="User Account"/>
    <n v="1"/>
    <s v="AtBelow"/>
    <s v="CC_Portal"/>
    <n v="0"/>
    <s v="MFC"/>
    <s v="IBMCA"/>
    <s v="DISABLED USERS"/>
    <n v="0"/>
    <n v="0"/>
  </r>
  <r>
    <s v="alex_buena@manulifesecurities.ca"/>
    <s v="MFC"/>
    <x v="0"/>
    <n v="570025"/>
    <n v="3"/>
    <d v="2017-09-19T10:26:30"/>
    <x v="0"/>
    <x v="4"/>
    <s v="Randy.Labadie@manulifesecurities.ca"/>
    <n v="553746"/>
    <s v="User Account"/>
    <n v="1"/>
    <s v="AtBelow"/>
    <s v="CC_Portal"/>
    <s v="oldOrgGroup=ACTIVE ADVISORS AND ASSISTANTS;newOrgGroup=DISABLED USERS"/>
    <s v="MFC"/>
    <s v="IBMCA"/>
    <s v="DISABLED USERS"/>
    <n v="0"/>
    <n v="0"/>
  </r>
  <r>
    <s v="jeff.lotz@manulifesecurities.ca"/>
    <s v="MFC"/>
    <x v="0"/>
    <n v="722441"/>
    <n v="3"/>
    <d v="2017-09-19T10:08:39"/>
    <x v="3"/>
    <x v="2"/>
    <s v="alison.miller@manulifesecurities.ca"/>
    <n v="560259"/>
    <s v="User Account"/>
    <n v="1"/>
    <s v="AtBelow"/>
    <s v="CC_WebService"/>
    <m/>
    <s v="MFC"/>
    <s v="IBMCA"/>
    <s v="ACTIVE ADVISORS AND ASSISTANTS"/>
    <n v="0"/>
    <n v="0"/>
  </r>
  <r>
    <s v="ssotest@mfc.sps.local"/>
    <s v="MFC"/>
    <x v="0"/>
    <n v="551367"/>
    <n v="1000"/>
    <d v="2017-09-19T09:55:24"/>
    <x v="0"/>
    <x v="0"/>
    <s v="noemie.brignon@manulifesecurities.ca"/>
    <n v="731474"/>
    <s v="User Account"/>
    <n v="1"/>
    <s v="AtBelow"/>
    <s v="CC_Portal"/>
    <n v="0"/>
    <s v="MFC"/>
    <s v="IBMCA"/>
    <s v="ACTIVE ADVISORS AND ASSISTANTS"/>
    <n v="0"/>
    <n v="0"/>
  </r>
  <r>
    <s v="ssotest@mfc.sps.local"/>
    <s v="MFC"/>
    <x v="0"/>
    <n v="551367"/>
    <n v="1000"/>
    <d v="2017-09-19T09:43:52"/>
    <x v="0"/>
    <x v="0"/>
    <s v="Mervin.Roche@manulifesecurities.ca"/>
    <n v="553467"/>
    <s v="User Account"/>
    <n v="1"/>
    <s v="AtBelow"/>
    <s v="CC_Portal"/>
    <n v="0"/>
    <s v="MFC"/>
    <s v="IBMCA"/>
    <s v="ACTIVE ADVISORS AND ASSISTANTS"/>
    <n v="0"/>
    <n v="0"/>
  </r>
  <r>
    <s v="ssotest@mfc.sps.local"/>
    <s v="MFC"/>
    <x v="0"/>
    <n v="551367"/>
    <n v="1000"/>
    <d v="2017-09-19T09:32:56"/>
    <x v="0"/>
    <x v="0"/>
    <s v="Linda.Brackell@manulifesecurities.ca"/>
    <n v="553211"/>
    <s v="User Account"/>
    <n v="1"/>
    <s v="AtBelow"/>
    <s v="CC_Portal"/>
    <n v="0"/>
    <s v="MFC"/>
    <s v="IBMCA"/>
    <s v="ACTIVE ADVISORS AND ASSISTANTS"/>
    <n v="0"/>
    <n v="0"/>
  </r>
  <r>
    <s v="ssotest@mfc.sps.local"/>
    <s v="MFC"/>
    <x v="0"/>
    <n v="551367"/>
    <n v="1000"/>
    <d v="2017-09-19T09:29:46"/>
    <x v="0"/>
    <x v="0"/>
    <s v="Priscilla.McCarthy@manulifesecurities.ca"/>
    <n v="553724"/>
    <s v="User Account"/>
    <n v="1"/>
    <s v="AtBelow"/>
    <s v="CC_Portal"/>
    <n v="0"/>
    <s v="MFC"/>
    <s v="IBMCA"/>
    <s v="ACTIVE ADVISORS AND ASSISTANTS"/>
    <n v="0"/>
    <n v="0"/>
  </r>
  <r>
    <s v="ssotest@mfc.sps.local"/>
    <s v="MFC"/>
    <x v="0"/>
    <n v="551367"/>
    <n v="1000"/>
    <d v="2017-09-19T09:28:29"/>
    <x v="0"/>
    <x v="0"/>
    <s v="Priscilla.McCarthy@manulifesecurities.ca"/>
    <n v="553724"/>
    <s v="User Account"/>
    <n v="1"/>
    <s v="AtBelow"/>
    <s v="CC_Portal"/>
    <n v="0"/>
    <s v="MFC"/>
    <s v="IBMCA"/>
    <s v="ACTIVE ADVISORS AND ASSISTANTS"/>
    <n v="0"/>
    <n v="0"/>
  </r>
  <r>
    <s v="priscilla.misir@manulifesecurities.ca"/>
    <s v="MFC"/>
    <x v="0"/>
    <n v="674396"/>
    <n v="3"/>
    <d v="2017-09-19T09:23:28"/>
    <x v="0"/>
    <x v="5"/>
    <s v="antoine.lesaux@manulifesecurities.ca"/>
    <n v="809151"/>
    <s v="User Account"/>
    <n v="1"/>
    <s v="AtBelow"/>
    <s v="CC_Portal"/>
    <n v="0"/>
    <s v="MFC"/>
    <s v="IBMCA"/>
    <s v="ACTIVE ADVISORS AND ASSISTANTS"/>
    <n v="0"/>
    <n v="0"/>
  </r>
  <r>
    <s v="ssotest@mfc.sps.local"/>
    <s v="MFC"/>
    <x v="0"/>
    <n v="551367"/>
    <n v="1000"/>
    <d v="2017-09-19T09:18:35"/>
    <x v="0"/>
    <x v="0"/>
    <s v="holly.caetano@manulifesecurities.ca"/>
    <n v="728114"/>
    <s v="User Account"/>
    <n v="1"/>
    <s v="AtBelow"/>
    <s v="CC_Portal"/>
    <n v="0"/>
    <s v="MFC"/>
    <s v="IBMCA"/>
    <s v="ACTIVE ADVISORS AND ASSISTANTS"/>
    <n v="0"/>
    <n v="0"/>
  </r>
  <r>
    <s v="ssotest@mfc.sps.local"/>
    <s v="MFC"/>
    <x v="0"/>
    <n v="551367"/>
    <n v="1000"/>
    <d v="2017-09-19T09:01:53"/>
    <x v="0"/>
    <x v="0"/>
    <s v="michel.cormier@manulifesecurities.ca"/>
    <n v="560366"/>
    <s v="User Account"/>
    <n v="3"/>
    <s v="AtBelow"/>
    <s v="CC_Portal"/>
    <n v="0"/>
    <s v="MFC"/>
    <s v="IBMCA"/>
    <s v="TEMP - SUPPORT ACCOUNTS"/>
    <n v="0"/>
    <n v="0"/>
  </r>
  <r>
    <s v="ssotest@mfc.sps.local"/>
    <s v="MFC"/>
    <x v="0"/>
    <n v="551367"/>
    <n v="1000"/>
    <d v="2017-09-19T08:16:26"/>
    <x v="0"/>
    <x v="0"/>
    <s v="Bernice.Leblanc@manulifesecurities.ca"/>
    <n v="551917"/>
    <s v="User Account"/>
    <n v="1"/>
    <s v="AtBelow"/>
    <s v="CC_Portal"/>
    <n v="0"/>
    <s v="MFC"/>
    <s v="IBMCA"/>
    <s v="ACTIVE ADVISORS AND ASSISTANTS"/>
    <n v="0"/>
    <n v="0"/>
  </r>
  <r>
    <s v="ssotest@mfc.sps.local"/>
    <s v="MFC"/>
    <x v="0"/>
    <n v="551367"/>
    <n v="1000"/>
    <d v="2017-09-19T07:30:46"/>
    <x v="0"/>
    <x v="0"/>
    <s v="Jason.Forrest@manulifesecurities.ca"/>
    <n v="552773"/>
    <s v="User Account"/>
    <n v="1"/>
    <s v="AtBelow"/>
    <s v="CC_Portal"/>
    <n v="0"/>
    <s v="MFC"/>
    <s v="IBMCA"/>
    <s v="ACTIVE ADVISORS AND ASSISTANTS"/>
    <n v="0"/>
    <n v="0"/>
  </r>
  <r>
    <s v="ssotest@mfc.sps.local"/>
    <s v="MFC"/>
    <x v="0"/>
    <n v="551367"/>
    <n v="1000"/>
    <d v="2017-09-19T07:26:54"/>
    <x v="0"/>
    <x v="0"/>
    <s v="Jason.Forrest@manulifesecurities.ca"/>
    <n v="552773"/>
    <s v="User Account"/>
    <n v="1"/>
    <s v="AtBelow"/>
    <s v="CC_Portal"/>
    <n v="0"/>
    <s v="MFC"/>
    <s v="IBMCA"/>
    <s v="ACTIVE ADVISORS AND ASSISTANTS"/>
    <n v="0"/>
    <n v="0"/>
  </r>
  <r>
    <s v="ssotest@mfc.sps.local"/>
    <s v="MFC"/>
    <x v="0"/>
    <n v="551367"/>
    <n v="1000"/>
    <d v="2017-09-19T00:31:36"/>
    <x v="0"/>
    <x v="0"/>
    <s v="Terrance.Tymchuk@manulifesecurities.ca"/>
    <n v="554142"/>
    <s v="User Account"/>
    <n v="1"/>
    <s v="AtBelow"/>
    <s v="CC_Portal"/>
    <n v="0"/>
    <s v="MFC"/>
    <s v="IBMCA"/>
    <s v="ACTIVE ADVISORS AND ASSISTANTS"/>
    <n v="0"/>
    <n v="0"/>
  </r>
  <r>
    <s v="ssotest@mfc.sps.local"/>
    <s v="MFC"/>
    <x v="0"/>
    <n v="551367"/>
    <n v="1000"/>
    <d v="2017-09-19T00:14:50"/>
    <x v="0"/>
    <x v="0"/>
    <s v="manny.ahluwalia@manulifesecurities.ca"/>
    <n v="553300"/>
    <s v="User Account"/>
    <n v="1"/>
    <s v="AtBelow"/>
    <s v="CC_Portal"/>
    <n v="0"/>
    <s v="MFC"/>
    <s v="IBMCA"/>
    <s v="ACTIVE ADVISORS AND ASSISTANTS"/>
    <n v="0"/>
    <n v="0"/>
  </r>
  <r>
    <s v="ssotest@mfc.sps.local"/>
    <s v="MFC"/>
    <x v="0"/>
    <n v="551367"/>
    <n v="1000"/>
    <d v="2017-09-18T23:56:24"/>
    <x v="0"/>
    <x v="0"/>
    <s v="Vanson.Field@manulifesecurities.ca"/>
    <n v="554249"/>
    <s v="User Account"/>
    <n v="1"/>
    <s v="AtBelow"/>
    <s v="CC_Portal"/>
    <n v="0"/>
    <s v="MFC"/>
    <s v="IBMCA"/>
    <s v="ACTIVE ADVISORS AND ASSISTANTS"/>
    <n v="0"/>
    <n v="0"/>
  </r>
  <r>
    <s v="ssotest@mfc.sps.local"/>
    <s v="MFC"/>
    <x v="0"/>
    <n v="551367"/>
    <n v="1000"/>
    <d v="2017-09-18T17:42:54"/>
    <x v="0"/>
    <x v="0"/>
    <s v="Marla.Baverstock@manulifesecurities.ca"/>
    <n v="553372"/>
    <s v="User Account"/>
    <n v="1"/>
    <s v="AtBelow"/>
    <s v="CC_Portal"/>
    <n v="0"/>
    <s v="MFC"/>
    <s v="IBMCA"/>
    <s v="ACTIVE ADVISORS AND ASSISTANTS"/>
    <n v="0"/>
    <n v="0"/>
  </r>
  <r>
    <s v="crystal.parkinson@manulifesecurities.ca"/>
    <s v="MFC"/>
    <x v="0"/>
    <n v="637976"/>
    <n v="1"/>
    <d v="2017-09-18T17:05:45"/>
    <x v="2"/>
    <x v="1"/>
    <s v="crystal.parkinson@manulifesecurities.ca"/>
    <n v="637976"/>
    <s v="User Account"/>
    <n v="0"/>
    <s v="Deny"/>
    <s v="CC_Portal"/>
    <n v="0"/>
    <s v="MFC"/>
    <s v="IBMCA"/>
    <s v="ACTIVE ADVISORS AND ASSISTANTS"/>
    <n v="0"/>
    <n v="0"/>
  </r>
  <r>
    <s v="crystal.parkinson@manulifesecurities.ca"/>
    <s v="MFC"/>
    <x v="0"/>
    <n v="637976"/>
    <n v="1"/>
    <d v="2017-09-18T17:05:44"/>
    <x v="1"/>
    <x v="1"/>
    <s v="crystal.parkinson@manulifesecurities.ca"/>
    <n v="637976"/>
    <s v="User Account"/>
    <n v="0"/>
    <s v="Deny"/>
    <s v="CC_Portal"/>
    <n v="0"/>
    <s v="MFC"/>
    <s v="IBMCA"/>
    <s v="ACTIVE ADVISORS AND ASSISTANTS"/>
    <n v="0"/>
    <n v="0"/>
  </r>
  <r>
    <s v="ssotest@mfc.sps.local"/>
    <s v="MFC"/>
    <x v="0"/>
    <n v="551367"/>
    <n v="1000"/>
    <d v="2017-09-18T16:37:19"/>
    <x v="0"/>
    <x v="0"/>
    <s v="Terry.Mah@manulifesecurities.ca"/>
    <n v="554152"/>
    <s v="User Account"/>
    <n v="1"/>
    <s v="AtBelow"/>
    <s v="CC_Portal"/>
    <n v="0"/>
    <s v="MFC"/>
    <s v="IBMCA"/>
    <s v="ACTIVE ADVISORS AND ASSISTANTS"/>
    <n v="0"/>
    <n v="0"/>
  </r>
  <r>
    <s v="ssotest@mfc.sps.local"/>
    <s v="MFC"/>
    <x v="0"/>
    <n v="551367"/>
    <n v="1000"/>
    <d v="2017-09-18T16:32:45"/>
    <x v="0"/>
    <x v="0"/>
    <s v="crystal.yunick@manulifesecurities.ca"/>
    <n v="622107"/>
    <s v="User Account"/>
    <n v="1"/>
    <s v="AtBelow"/>
    <s v="CC_Portal"/>
    <n v="0"/>
    <s v="MFC"/>
    <s v="IBMCA"/>
    <s v="ACTIVE ADVISORS AND ASSISTANTS"/>
    <n v="0"/>
    <n v="0"/>
  </r>
  <r>
    <s v="ssotest@mfc.sps.local"/>
    <s v="MFC"/>
    <x v="0"/>
    <n v="551367"/>
    <n v="1000"/>
    <d v="2017-09-18T16:25:27"/>
    <x v="0"/>
    <x v="0"/>
    <s v="Stacey.White@manulifesecurities.ca"/>
    <n v="554035"/>
    <s v="User Account"/>
    <n v="1"/>
    <s v="AtBelow"/>
    <s v="CC_Portal"/>
    <n v="0"/>
    <s v="MFC"/>
    <s v="IBMCA"/>
    <s v="ACTIVE ADVISORS AND ASSISTANTS"/>
    <n v="0"/>
    <n v="0"/>
  </r>
  <r>
    <s v="ssotest@mfc.sps.local"/>
    <s v="MFC"/>
    <x v="0"/>
    <n v="551367"/>
    <n v="1000"/>
    <d v="2017-09-18T15:36:23"/>
    <x v="0"/>
    <x v="0"/>
    <s v="Francis.Martin@manulifesecurities.ca"/>
    <n v="551668"/>
    <s v="User Account"/>
    <n v="1"/>
    <s v="AtBelow"/>
    <s v="CC_Portal"/>
    <n v="0"/>
    <s v="MFC"/>
    <s v="IBMCA"/>
    <s v="ACTIVE ADVISORS AND ASSISTANTS"/>
    <n v="0"/>
    <n v="0"/>
  </r>
  <r>
    <s v="cristian.bogdan@manulifesecurities.ca"/>
    <s v="MFC"/>
    <x v="0"/>
    <n v="560330"/>
    <n v="3"/>
    <d v="2017-09-18T15:26:03"/>
    <x v="3"/>
    <x v="2"/>
    <s v="Cheryl.McIntyre@manulifesecurities.ca"/>
    <n v="552116"/>
    <s v="User Account"/>
    <n v="1"/>
    <s v="AtBelow"/>
    <s v="CC_WebService"/>
    <m/>
    <s v="MFC"/>
    <s v="IBMCA"/>
    <s v="ACTIVE ADVISORS AND ASSISTANTS"/>
    <n v="0"/>
    <n v="0"/>
  </r>
  <r>
    <s v="cristian.bogdan@manulifesecurities.ca"/>
    <s v="MFC"/>
    <x v="0"/>
    <n v="560330"/>
    <n v="3"/>
    <d v="2017-09-18T15:24:45"/>
    <x v="0"/>
    <x v="0"/>
    <s v="Cheryl.McIntyre@manulifesecurities.ca"/>
    <n v="552116"/>
    <s v="User Account"/>
    <n v="1"/>
    <s v="AtBelow"/>
    <s v="CC_Portal"/>
    <n v="0"/>
    <s v="MFC"/>
    <s v="IBMCA"/>
    <s v="ACTIVE ADVISORS AND ASSISTANTS"/>
    <n v="0"/>
    <n v="0"/>
  </r>
  <r>
    <s v="cristian.bogdan@manulifesecurities.ca"/>
    <s v="MFC"/>
    <x v="0"/>
    <n v="560330"/>
    <n v="3"/>
    <d v="2017-09-18T15:12:38"/>
    <x v="3"/>
    <x v="2"/>
    <s v="Cheryl.McIntyre@manulifesecurities.ca"/>
    <n v="552116"/>
    <s v="User Account"/>
    <n v="1"/>
    <s v="AtBelow"/>
    <s v="CC_WebService"/>
    <m/>
    <s v="MFC"/>
    <s v="IBMCA"/>
    <s v="ACTIVE ADVISORS AND ASSISTANTS"/>
    <n v="0"/>
    <n v="0"/>
  </r>
  <r>
    <s v="marshall.hett@manulifesecurities.ca"/>
    <s v="MFC"/>
    <x v="0"/>
    <n v="707864"/>
    <n v="3"/>
    <d v="2017-09-18T15:06:27"/>
    <x v="3"/>
    <x v="2"/>
    <s v="marcel.casavant@manulifesecurities.ca"/>
    <n v="863812"/>
    <s v="User Account"/>
    <n v="1"/>
    <s v="AtBelow"/>
    <s v="CC_WebService"/>
    <m/>
    <s v="MFC"/>
    <s v="IBMCA"/>
    <s v="ACTIVE ADVISORS AND ASSISTANTS"/>
    <n v="0"/>
    <n v="0"/>
  </r>
  <r>
    <s v="ssotest@mfc.sps.local"/>
    <s v="MFC"/>
    <x v="0"/>
    <n v="551367"/>
    <n v="1000"/>
    <d v="2017-09-18T14:30:39"/>
    <x v="0"/>
    <x v="0"/>
    <s v="Terry.McIntyre@manulifesecurities.ca"/>
    <n v="554154"/>
    <s v="User Account"/>
    <n v="1"/>
    <s v="AtBelow"/>
    <s v="CC_Portal"/>
    <n v="0"/>
    <s v="MFC"/>
    <s v="IBMCA"/>
    <s v="ACTIVE ADVISORS AND ASSISTANTS"/>
    <n v="0"/>
    <n v="0"/>
  </r>
  <r>
    <s v="ssotest@mfc.sps.local"/>
    <s v="MFC"/>
    <x v="0"/>
    <n v="551367"/>
    <n v="1000"/>
    <d v="2017-09-18T14:05:55"/>
    <x v="0"/>
    <x v="0"/>
    <s v="Brian.Rawn@manulifesecurities.ca"/>
    <n v="552000"/>
    <s v="User Account"/>
    <n v="1"/>
    <s v="AtBelow"/>
    <s v="CC_Portal"/>
    <n v="0"/>
    <s v="MFC"/>
    <s v="IBMCA"/>
    <s v="ACTIVE ADVISORS AND ASSISTANTS"/>
    <n v="0"/>
    <n v="0"/>
  </r>
  <r>
    <s v="ssotest@mfc.sps.local"/>
    <s v="MFC"/>
    <x v="0"/>
    <n v="551367"/>
    <n v="1000"/>
    <d v="2017-09-18T14:01:50"/>
    <x v="0"/>
    <x v="0"/>
    <s v="Winston.Man@manulifesecurities.ca"/>
    <n v="554322"/>
    <s v="User Account"/>
    <n v="1"/>
    <s v="AtBelow"/>
    <s v="CC_Portal"/>
    <n v="0"/>
    <s v="MFC"/>
    <s v="IBMCA"/>
    <s v="ACTIVE ADVISORS AND ASSISTANTS"/>
    <n v="0"/>
    <n v="0"/>
  </r>
  <r>
    <s v="ssotest@mfc.sps.local"/>
    <s v="MFC"/>
    <x v="0"/>
    <n v="551367"/>
    <n v="1000"/>
    <d v="2017-09-18T13:55:03"/>
    <x v="0"/>
    <x v="0"/>
    <s v="Teraca.Moffatt@manulifesecurities.ca"/>
    <n v="554137"/>
    <s v="User Account"/>
    <n v="1"/>
    <s v="AtBelow"/>
    <s v="CC_Portal"/>
    <n v="0"/>
    <s v="MFC"/>
    <s v="IBMCA"/>
    <s v="ACTIVE ADVISORS AND ASSISTANTS"/>
    <n v="0"/>
    <n v="0"/>
  </r>
  <r>
    <s v="ssotest@mfc.sps.local"/>
    <s v="MFC"/>
    <x v="0"/>
    <n v="551367"/>
    <n v="1000"/>
    <d v="2017-09-18T13:52:26"/>
    <x v="0"/>
    <x v="0"/>
    <s v="wendy_halcro@Manulifesecurities.ca"/>
    <n v="554299"/>
    <s v="User Account"/>
    <n v="1"/>
    <s v="AtBelow"/>
    <s v="CC_Portal"/>
    <n v="0"/>
    <s v="MFC"/>
    <s v="IBMCA"/>
    <s v="ACTIVE ADVISORS AND ASSISTANTS"/>
    <n v="0"/>
    <n v="0"/>
  </r>
  <r>
    <s v="ssotest@mfc.sps.local"/>
    <s v="MFC"/>
    <x v="0"/>
    <n v="551367"/>
    <n v="1000"/>
    <d v="2017-09-18T13:18:42"/>
    <x v="0"/>
    <x v="0"/>
    <s v="Gaetano.DiLoreto@manulifesecurities.ca"/>
    <n v="552549"/>
    <s v="User Account"/>
    <n v="1"/>
    <s v="AtBelow"/>
    <s v="CC_Portal"/>
    <n v="0"/>
    <s v="MFC"/>
    <s v="IBMCA"/>
    <s v="ACTIVE ADVISORS AND ASSISTANTS"/>
    <n v="0"/>
    <n v="0"/>
  </r>
  <r>
    <s v="ssotest@mfc.sps.local"/>
    <s v="MFC"/>
    <x v="0"/>
    <n v="551367"/>
    <n v="1000"/>
    <d v="2017-09-18T13:14:12"/>
    <x v="0"/>
    <x v="0"/>
    <s v="Robert.Lee@manulifesecurities.ca"/>
    <n v="553826"/>
    <s v="User Account"/>
    <n v="1"/>
    <s v="AtBelow"/>
    <s v="CC_Portal"/>
    <n v="0"/>
    <s v="MFC"/>
    <s v="IBMCA"/>
    <s v="ACTIVE ADVISORS AND ASSISTANTS"/>
    <n v="0"/>
    <n v="0"/>
  </r>
  <r>
    <s v="ssotest@mfc.sps.local"/>
    <s v="MFC"/>
    <x v="0"/>
    <n v="551367"/>
    <n v="1000"/>
    <d v="2017-09-18T13:12:43"/>
    <x v="0"/>
    <x v="0"/>
    <s v="Lilian.DaSilva@manulifesecurities.ca"/>
    <n v="553201"/>
    <s v="User Account"/>
    <n v="1"/>
    <s v="AtBelow"/>
    <s v="CC_Portal"/>
    <n v="0"/>
    <s v="MFC"/>
    <s v="IBMCA"/>
    <s v="ACTIVE ADVISORS AND ASSISTANTS"/>
    <n v="0"/>
    <n v="0"/>
  </r>
  <r>
    <s v="priscilla.misir@manulifesecurities.ca"/>
    <s v="MFC"/>
    <x v="0"/>
    <n v="674396"/>
    <n v="3"/>
    <d v="2017-09-18T13:08:24"/>
    <x v="0"/>
    <x v="4"/>
    <s v="genevieve.bellemare@manulifesecurities.ca"/>
    <n v="906965"/>
    <s v="User Account"/>
    <n v="1"/>
    <s v="AtBelow"/>
    <s v="CC_Portal"/>
    <s v="oldOrgGroup=ACTIVE ADVISORS AND ASSISTANTS;newOrgGroup=DISABLED USERS"/>
    <s v="MFC"/>
    <s v="IBMCA"/>
    <s v="DISABLED USERS"/>
    <n v="0"/>
    <n v="0"/>
  </r>
  <r>
    <s v="priscilla.misir@manulifesecurities.ca"/>
    <s v="MFC"/>
    <x v="0"/>
    <n v="674396"/>
    <n v="3"/>
    <d v="2017-09-18T13:07:26"/>
    <x v="4"/>
    <x v="6"/>
    <s v="MSI_autoEmailArchive@manulifesecurities.ca"/>
    <n v="561482"/>
    <s v="Distribution List"/>
    <n v="1"/>
    <s v="Any"/>
    <s v="CC_Portal"/>
    <s v="010da86d00cb454e9b3f510adbb89c2a"/>
    <s v="MFC"/>
    <s v="IBMCA"/>
    <s v="ALL GROUPS"/>
    <n v="0"/>
    <n v="0"/>
  </r>
  <r>
    <s v="priscilla.misir@manulifesecurities.ca"/>
    <s v="MFC"/>
    <x v="0"/>
    <n v="674396"/>
    <n v="3"/>
    <d v="2017-09-18T13:07:26"/>
    <x v="0"/>
    <x v="5"/>
    <s v="genevieve.bellemare@manulifesecurities.ca"/>
    <n v="906965"/>
    <s v="User Account"/>
    <n v="1"/>
    <s v="AtBelow"/>
    <s v="CC_Portal"/>
    <n v="0"/>
    <s v="MFC"/>
    <s v="IBMCA"/>
    <s v="ACTIVE ADVISORS AND ASSISTANTS"/>
    <n v="0"/>
    <n v="0"/>
  </r>
  <r>
    <s v="priscilla.misir@manulifesecurities.ca"/>
    <s v="MFC"/>
    <x v="0"/>
    <n v="674396"/>
    <n v="3"/>
    <d v="2017-09-18T13:07:19"/>
    <x v="4"/>
    <x v="6"/>
    <s v="AllAssistants@manulifesecurities.ca"/>
    <n v="555660"/>
    <s v="Distribution List"/>
    <n v="1"/>
    <s v="Any"/>
    <s v="CC_Portal"/>
    <s v="010da86d00cb454e9b3f510adbb89c2a"/>
    <s v="MFC"/>
    <s v="IBMCA"/>
    <s v="ALL GROUPS"/>
    <n v="0"/>
    <n v="0"/>
  </r>
  <r>
    <s v="priscilla.misir@manulifesecurities.ca"/>
    <s v="MFC"/>
    <x v="0"/>
    <n v="674396"/>
    <n v="3"/>
    <d v="2017-09-18T13:07:02"/>
    <x v="0"/>
    <x v="5"/>
    <s v="genevieve.bellemare@manulifesecurities.ca"/>
    <n v="906965"/>
    <s v="User Account"/>
    <n v="1"/>
    <s v="AtBelow"/>
    <s v="CC_Portal"/>
    <n v="0"/>
    <s v="MFC"/>
    <s v="IBMCA"/>
    <s v="ACTIVE ADVISORS AND ASSISTANTS"/>
    <n v="0"/>
    <n v="0"/>
  </r>
  <r>
    <s v="priscilla.misir@manulifesecurities.ca"/>
    <s v="MFC"/>
    <x v="0"/>
    <n v="674396"/>
    <n v="3"/>
    <d v="2017-09-18T13:06:51"/>
    <x v="0"/>
    <x v="5"/>
    <s v="genevieve.bellemare@manulifesecurities.ca"/>
    <n v="906965"/>
    <s v="User Account"/>
    <n v="1"/>
    <s v="AtBelow"/>
    <s v="CC_Portal"/>
    <n v="0"/>
    <s v="MFC"/>
    <s v="IBMCA"/>
    <s v="ACTIVE ADVISORS AND ASSISTANTS"/>
    <n v="0"/>
    <n v="0"/>
  </r>
  <r>
    <s v="priscilla.misir@manulifesecurities.ca"/>
    <s v="MFC"/>
    <x v="0"/>
    <n v="674396"/>
    <n v="3"/>
    <d v="2017-09-18T13:05:02"/>
    <x v="0"/>
    <x v="3"/>
    <s v="genevieve.bellemare@manulifesecurities.ca"/>
    <n v="906965"/>
    <s v="User Account"/>
    <n v="1"/>
    <s v="AtBelow"/>
    <s v="CC_Portal"/>
    <s v="Disable"/>
    <s v="MFC"/>
    <s v="IBMCA"/>
    <s v="ACTIVE ADVISORS AND ASSISTANTS"/>
    <n v="0"/>
    <n v="0"/>
  </r>
  <r>
    <s v="ssotest@mfc.sps.local"/>
    <s v="MFC"/>
    <x v="0"/>
    <n v="551367"/>
    <n v="1000"/>
    <d v="2017-09-18T12:52:13"/>
    <x v="0"/>
    <x v="0"/>
    <s v="Corrie.Bauml@manulifesecurities.ca"/>
    <n v="552198"/>
    <s v="User Account"/>
    <n v="1"/>
    <s v="AtBelow"/>
    <s v="CC_Portal"/>
    <n v="0"/>
    <s v="MFC"/>
    <s v="IBMCA"/>
    <s v="ACTIVE ADVISORS AND ASSISTANTS"/>
    <n v="0"/>
    <n v="0"/>
  </r>
  <r>
    <s v="crystal.parkinson@manulifesecurities.ca"/>
    <s v="MFC"/>
    <x v="0"/>
    <n v="637976"/>
    <n v="1"/>
    <d v="2017-09-18T12:46:57"/>
    <x v="2"/>
    <x v="1"/>
    <s v="crystal.parkinson@manulifesecurities.ca"/>
    <n v="637976"/>
    <s v="User Account"/>
    <n v="0"/>
    <s v="Deny"/>
    <s v="CC_Portal"/>
    <n v="0"/>
    <s v="MFC"/>
    <s v="IBMCA"/>
    <s v="ACTIVE ADVISORS AND ASSISTANTS"/>
    <n v="0"/>
    <n v="0"/>
  </r>
  <r>
    <s v="crystal.parkinson@manulifesecurities.ca"/>
    <s v="MFC"/>
    <x v="0"/>
    <n v="637976"/>
    <n v="1"/>
    <d v="2017-09-18T12:46:56"/>
    <x v="1"/>
    <x v="1"/>
    <s v="crystal.parkinson@manulifesecurities.ca"/>
    <n v="637976"/>
    <s v="User Account"/>
    <n v="0"/>
    <s v="Deny"/>
    <s v="CC_Portal"/>
    <n v="0"/>
    <s v="MFC"/>
    <s v="IBMCA"/>
    <s v="ACTIVE ADVISORS AND ASSISTANTS"/>
    <n v="0"/>
    <n v="0"/>
  </r>
  <r>
    <s v="ssotest@mfc.sps.local"/>
    <s v="MFC"/>
    <x v="0"/>
    <n v="551367"/>
    <n v="1000"/>
    <d v="2017-09-18T12:40:16"/>
    <x v="0"/>
    <x v="0"/>
    <s v="Corrie.Bauml@manulifesecurities.ca"/>
    <n v="552198"/>
    <s v="User Account"/>
    <n v="1"/>
    <s v="AtBelow"/>
    <s v="CC_Portal"/>
    <n v="0"/>
    <s v="MFC"/>
    <s v="IBMCA"/>
    <s v="ACTIVE ADVISORS AND ASSISTANTS"/>
    <n v="0"/>
    <n v="0"/>
  </r>
  <r>
    <s v="ssotest@mfc.sps.local"/>
    <s v="MFC"/>
    <x v="0"/>
    <n v="551367"/>
    <n v="1000"/>
    <d v="2017-09-18T12:24:18"/>
    <x v="0"/>
    <x v="0"/>
    <s v="Diane.Hunter@manulifesecurities.ca"/>
    <n v="552375"/>
    <s v="User Account"/>
    <n v="1"/>
    <s v="AtBelow"/>
    <s v="CC_Portal"/>
    <n v="0"/>
    <s v="MFC"/>
    <s v="IBMCA"/>
    <s v="ACTIVE ADVISORS AND ASSISTANTS"/>
    <n v="0"/>
    <n v="0"/>
  </r>
  <r>
    <s v="ssotest@mfc.sps.local"/>
    <s v="MFC"/>
    <x v="0"/>
    <n v="551367"/>
    <n v="1000"/>
    <d v="2017-09-18T12:23:13"/>
    <x v="0"/>
    <x v="0"/>
    <s v="Sharon.Peretto@manulifesecurities.ca"/>
    <n v="553982"/>
    <s v="User Account"/>
    <n v="1"/>
    <s v="AtBelow"/>
    <s v="CC_Portal"/>
    <n v="0"/>
    <s v="MFC"/>
    <s v="IBMCA"/>
    <s v="DISABLED USERS"/>
    <n v="0"/>
    <n v="0"/>
  </r>
  <r>
    <s v="cristian.bogdan@manulifesecurities.ca"/>
    <s v="MFC"/>
    <x v="0"/>
    <n v="560330"/>
    <n v="3"/>
    <d v="2017-09-18T12:22:16"/>
    <x v="3"/>
    <x v="2"/>
    <s v="Robert.Higgerty@manulifesecurities.ca"/>
    <n v="551718"/>
    <s v="User Account"/>
    <n v="1"/>
    <s v="AtBelow"/>
    <s v="CC_WebService"/>
    <m/>
    <s v="MFC"/>
    <s v="IBMCA"/>
    <s v="ACTIVE ADVISORS AND ASSISTANTS"/>
    <n v="0"/>
    <n v="0"/>
  </r>
  <r>
    <s v="ssotest@mfc.sps.local"/>
    <s v="MFC"/>
    <x v="0"/>
    <n v="551367"/>
    <n v="1000"/>
    <d v="2017-09-18T12:16:29"/>
    <x v="0"/>
    <x v="0"/>
    <s v="Robert.Higgerty@manulifesecurities.ca"/>
    <n v="551718"/>
    <s v="User Account"/>
    <n v="1"/>
    <s v="AtBelow"/>
    <s v="CC_Portal"/>
    <n v="0"/>
    <s v="MFC"/>
    <s v="IBMCA"/>
    <s v="ACTIVE ADVISORS AND ASSISTANTS"/>
    <n v="0"/>
    <n v="0"/>
  </r>
  <r>
    <s v="ssotest@mfc.sps.local"/>
    <s v="MFC"/>
    <x v="0"/>
    <n v="551367"/>
    <n v="1000"/>
    <d v="2017-09-18T12:15:33"/>
    <x v="0"/>
    <x v="0"/>
    <s v="Corrie.Bauml@manulifesecurities.ca"/>
    <n v="552198"/>
    <s v="User Account"/>
    <n v="1"/>
    <s v="AtBelow"/>
    <s v="CC_Portal"/>
    <n v="0"/>
    <s v="MFC"/>
    <s v="IBMCA"/>
    <s v="ACTIVE ADVISORS AND ASSISTANTS"/>
    <n v="0"/>
    <n v="0"/>
  </r>
  <r>
    <s v="ssotest@mfc.sps.local"/>
    <s v="MFC"/>
    <x v="0"/>
    <n v="551367"/>
    <n v="1000"/>
    <d v="2017-09-18T12:13:07"/>
    <x v="0"/>
    <x v="0"/>
    <s v="Diane.Hunter@manulifesecurities.ca"/>
    <n v="552375"/>
    <s v="User Account"/>
    <n v="1"/>
    <s v="AtBelow"/>
    <s v="CC_Portal"/>
    <n v="0"/>
    <s v="MFC"/>
    <s v="IBMCA"/>
    <s v="ACTIVE ADVISORS AND ASSISTANTS"/>
    <n v="0"/>
    <n v="0"/>
  </r>
  <r>
    <s v="ssotest@mfc.sps.local"/>
    <s v="MFC"/>
    <x v="0"/>
    <n v="551367"/>
    <n v="1000"/>
    <d v="2017-09-18T12:12:39"/>
    <x v="0"/>
    <x v="0"/>
    <s v="shannon.kinchen@manulifesecurities.ca"/>
    <n v="560641"/>
    <s v="User Account"/>
    <n v="1"/>
    <s v="AtBelow"/>
    <s v="CC_Portal"/>
    <n v="0"/>
    <s v="MFC"/>
    <s v="IBMCA"/>
    <s v="DISABLED USERS"/>
    <n v="0"/>
    <n v="0"/>
  </r>
  <r>
    <s v="ssotest@mfc.sps.local"/>
    <s v="MFC"/>
    <x v="0"/>
    <n v="551367"/>
    <n v="1000"/>
    <d v="2017-09-18T12:07:25"/>
    <x v="0"/>
    <x v="0"/>
    <s v="Lilian.DaSilva@manulifesecurities.ca"/>
    <n v="553201"/>
    <s v="User Account"/>
    <n v="1"/>
    <s v="AtBelow"/>
    <s v="CC_Portal"/>
    <n v="0"/>
    <s v="MFC"/>
    <s v="IBMCA"/>
    <s v="ACTIVE ADVISORS AND ASSISTANTS"/>
    <n v="0"/>
    <n v="0"/>
  </r>
  <r>
    <s v="priscilla.misir@manulifesecurities.ca"/>
    <s v="MFC"/>
    <x v="0"/>
    <n v="674396"/>
    <n v="3"/>
    <d v="2017-09-18T11:51:31"/>
    <x v="0"/>
    <x v="4"/>
    <s v="iris.chen@manulifesecurities.ca"/>
    <n v="831375"/>
    <s v="User Account"/>
    <n v="1"/>
    <s v="AtBelow"/>
    <s v="CC_Portal"/>
    <s v="oldOrgGroup=ACTIVE ADVISORS AND ASSISTANTS;newOrgGroup=DISABLED USERS"/>
    <s v="MFC"/>
    <s v="IBMCA"/>
    <s v="DISABLED USERS"/>
    <n v="0"/>
    <n v="0"/>
  </r>
  <r>
    <s v="ssotest@mfc.sps.local"/>
    <s v="MFC"/>
    <x v="0"/>
    <n v="551367"/>
    <n v="1000"/>
    <d v="2017-09-18T11:50:39"/>
    <x v="0"/>
    <x v="0"/>
    <s v="Tanya.O'neill@manulifesecurities.ca"/>
    <n v="554122"/>
    <s v="User Account"/>
    <n v="1"/>
    <s v="AtBelow"/>
    <s v="CC_Portal"/>
    <n v="0"/>
    <s v="MFC"/>
    <s v="IBMCA"/>
    <s v="ACTIVE ADVISORS AND ASSISTANTS"/>
    <n v="0"/>
    <n v="0"/>
  </r>
  <r>
    <s v="priscilla.misir@manulifesecurities.ca"/>
    <s v="MFC"/>
    <x v="0"/>
    <n v="674396"/>
    <n v="3"/>
    <d v="2017-09-18T11:50:30"/>
    <x v="0"/>
    <x v="5"/>
    <s v="iris.chen@manulifesecurities.ca"/>
    <n v="831375"/>
    <s v="User Account"/>
    <n v="1"/>
    <s v="AtBelow"/>
    <s v="CC_Portal"/>
    <n v="0"/>
    <s v="MFC"/>
    <s v="IBMCA"/>
    <s v="ACTIVE ADVISORS AND ASSISTANTS"/>
    <n v="0"/>
    <n v="0"/>
  </r>
  <r>
    <s v="priscilla.misir@manulifesecurities.ca"/>
    <s v="MFC"/>
    <x v="0"/>
    <n v="674396"/>
    <n v="3"/>
    <d v="2017-09-18T11:50:29"/>
    <x v="4"/>
    <x v="6"/>
    <s v="MSI_autoEmailArchive@manulifesecurities.ca"/>
    <n v="561482"/>
    <s v="Distribution List"/>
    <n v="1"/>
    <s v="Any"/>
    <s v="CC_Portal"/>
    <s v="51ff5365b8be4cd49730fbb8336cc438"/>
    <s v="MFC"/>
    <s v="IBMCA"/>
    <s v="ALL GROUPS"/>
    <n v="0"/>
    <n v="0"/>
  </r>
  <r>
    <s v="priscilla.misir@manulifesecurities.ca"/>
    <s v="MFC"/>
    <x v="0"/>
    <n v="674396"/>
    <n v="3"/>
    <d v="2017-09-18T11:50:28"/>
    <x v="4"/>
    <x v="6"/>
    <s v="AllAssistants@manulifesecurities.ca"/>
    <n v="555660"/>
    <s v="Distribution List"/>
    <n v="1"/>
    <s v="Any"/>
    <s v="CC_Portal"/>
    <s v="51ff5365b8be4cd49730fbb8336cc438"/>
    <s v="MFC"/>
    <s v="IBMCA"/>
    <s v="ALL GROUPS"/>
    <n v="0"/>
    <n v="0"/>
  </r>
  <r>
    <s v="priscilla.misir@manulifesecurities.ca"/>
    <s v="MFC"/>
    <x v="0"/>
    <n v="674396"/>
    <n v="3"/>
    <d v="2017-09-18T11:50:26"/>
    <x v="0"/>
    <x v="5"/>
    <s v="iris.chen@manulifesecurities.ca"/>
    <n v="831375"/>
    <s v="User Account"/>
    <n v="1"/>
    <s v="AtBelow"/>
    <s v="CC_Portal"/>
    <n v="0"/>
    <s v="MFC"/>
    <s v="IBMCA"/>
    <s v="ACTIVE ADVISORS AND ASSISTANTS"/>
    <n v="0"/>
    <n v="0"/>
  </r>
  <r>
    <s v="priscilla.misir@manulifesecurities.ca"/>
    <s v="MFC"/>
    <x v="0"/>
    <n v="674396"/>
    <n v="3"/>
    <d v="2017-09-18T11:50:18"/>
    <x v="0"/>
    <x v="5"/>
    <s v="iris.chen@manulifesecurities.ca"/>
    <n v="831375"/>
    <s v="User Account"/>
    <n v="1"/>
    <s v="AtBelow"/>
    <s v="CC_Portal"/>
    <n v="0"/>
    <s v="MFC"/>
    <s v="IBMCA"/>
    <s v="ACTIVE ADVISORS AND ASSISTANTS"/>
    <n v="0"/>
    <n v="0"/>
  </r>
  <r>
    <s v="priscilla.misir@manulifesecurities.ca"/>
    <s v="MFC"/>
    <x v="0"/>
    <n v="674396"/>
    <n v="3"/>
    <d v="2017-09-18T11:49:34"/>
    <x v="0"/>
    <x v="3"/>
    <s v="iris.chen@manulifesecurities.ca"/>
    <n v="831375"/>
    <s v="User Account"/>
    <n v="1"/>
    <s v="AtBelow"/>
    <s v="CC_Portal"/>
    <s v="Disable"/>
    <s v="MFC"/>
    <s v="IBMCA"/>
    <s v="ACTIVE ADVISORS AND ASSISTANTS"/>
    <n v="0"/>
    <n v="0"/>
  </r>
  <r>
    <s v="ssotest@mfc.sps.local"/>
    <s v="MFC"/>
    <x v="0"/>
    <n v="551367"/>
    <n v="1000"/>
    <d v="2017-09-18T11:46:46"/>
    <x v="0"/>
    <x v="0"/>
    <s v="Kavita.Sharma@manulifesecurities.ca"/>
    <n v="553041"/>
    <s v="User Account"/>
    <n v="1"/>
    <s v="AtBelow"/>
    <s v="CC_Portal"/>
    <n v="0"/>
    <s v="MFC"/>
    <s v="IBMCA"/>
    <s v="ACTIVE ADVISORS AND ASSISTANTS"/>
    <n v="0"/>
    <n v="0"/>
  </r>
  <r>
    <s v="ssotest@mfc.sps.local"/>
    <s v="MFC"/>
    <x v="0"/>
    <n v="551367"/>
    <n v="1000"/>
    <d v="2017-09-18T11:36:58"/>
    <x v="0"/>
    <x v="0"/>
    <s v="Meranie.Plews@manulifesecurities.ca"/>
    <n v="553464"/>
    <s v="User Account"/>
    <n v="1"/>
    <s v="AtBelow"/>
    <s v="CC_Portal"/>
    <n v="0"/>
    <s v="MFC"/>
    <s v="IBMCA"/>
    <s v="ACTIVE ADVISORS AND ASSISTANTS"/>
    <n v="0"/>
    <n v="0"/>
  </r>
  <r>
    <s v="ssotest@mfc.sps.local"/>
    <s v="MFC"/>
    <x v="0"/>
    <n v="551367"/>
    <n v="1000"/>
    <d v="2017-09-18T11:30:34"/>
    <x v="0"/>
    <x v="0"/>
    <s v="Errol.SoonShiong@manulifesecurities.ca"/>
    <n v="552499"/>
    <s v="User Account"/>
    <n v="1"/>
    <s v="AtBelow"/>
    <s v="CC_Portal"/>
    <n v="0"/>
    <s v="MFC"/>
    <s v="IBMCA"/>
    <s v="ACTIVE ADVISORS AND ASSISTANTS"/>
    <n v="0"/>
    <n v="0"/>
  </r>
  <r>
    <s v="marshall.hett@manulifesecurities.ca"/>
    <s v="MFC"/>
    <x v="0"/>
    <n v="707864"/>
    <n v="3"/>
    <d v="2017-09-18T11:26:57"/>
    <x v="3"/>
    <x v="2"/>
    <s v="Georges.Achkar@manulifesecurities.ca"/>
    <n v="552577"/>
    <s v="User Account"/>
    <n v="1"/>
    <s v="AtBelow"/>
    <s v="CC_WebService"/>
    <m/>
    <s v="MFC"/>
    <s v="IBMCA"/>
    <s v="ACTIVE ADVISORS AND ASSISTANTS"/>
    <n v="0"/>
    <n v="0"/>
  </r>
  <r>
    <s v="ssotest@mfc.sps.local"/>
    <s v="MFC"/>
    <x v="0"/>
    <n v="551367"/>
    <n v="1000"/>
    <d v="2017-09-18T11:20:54"/>
    <x v="0"/>
    <x v="0"/>
    <s v="christopher.simpson@manulifesecurities.ca"/>
    <n v="693605"/>
    <s v="User Account"/>
    <n v="1"/>
    <s v="AtBelow"/>
    <s v="CC_Portal"/>
    <n v="0"/>
    <s v="MFC"/>
    <s v="IBMCA"/>
    <s v="ACTIVE ADVISORS AND ASSISTANTS"/>
    <n v="0"/>
    <n v="0"/>
  </r>
  <r>
    <s v="priscilla.misir@manulifesecurities.ca"/>
    <s v="MFC"/>
    <x v="0"/>
    <n v="674396"/>
    <n v="3"/>
    <d v="2017-09-18T11:18:40"/>
    <x v="0"/>
    <x v="5"/>
    <s v="laurie.symbaluk@manulifesecurities.ca"/>
    <n v="909301"/>
    <s v="User Account"/>
    <n v="1"/>
    <s v="AtBelow"/>
    <s v="CC_Portal"/>
    <n v="0"/>
    <s v="MFC"/>
    <s v="IBMCA"/>
    <s v="ACTIVE ADVISORS AND ASSISTANTS"/>
    <n v="0"/>
    <n v="0"/>
  </r>
  <r>
    <s v="priscilla.misir@manulifesecurities.ca"/>
    <s v="MFC"/>
    <x v="0"/>
    <n v="674396"/>
    <n v="3"/>
    <d v="2017-09-18T11:18:38"/>
    <x v="5"/>
    <x v="6"/>
    <s v="MSI_autoEmailArchive@manulifesecurities.ca"/>
    <n v="561482"/>
    <s v="Distribution List"/>
    <n v="1"/>
    <s v="Any"/>
    <s v="CC_Portal"/>
    <s v="ada848ddcfe54342897ef072283890d4"/>
    <s v="MFC"/>
    <s v="IBMCA"/>
    <s v="ALL GROUPS"/>
    <n v="0"/>
    <n v="0"/>
  </r>
  <r>
    <s v="priscilla.misir@manulifesecurities.ca"/>
    <s v="MFC"/>
    <x v="0"/>
    <n v="674396"/>
    <n v="3"/>
    <d v="2017-09-18T11:18:37"/>
    <x v="5"/>
    <x v="6"/>
    <s v="AllAssistants@manulifesecurities.ca"/>
    <n v="555660"/>
    <s v="Distribution List"/>
    <n v="1"/>
    <s v="Any"/>
    <s v="CC_Portal"/>
    <s v="ada848ddcfe54342897ef072283890d4"/>
    <s v="MFC"/>
    <s v="IBMCA"/>
    <s v="ALL GROUPS"/>
    <n v="0"/>
    <n v="0"/>
  </r>
  <r>
    <s v="priscilla.misir@manulifesecurities.ca"/>
    <s v="MFC"/>
    <x v="0"/>
    <n v="674396"/>
    <n v="3"/>
    <d v="2017-09-18T11:18:35"/>
    <x v="0"/>
    <x v="5"/>
    <s v="laurie.symbaluk@manulifesecurities.ca"/>
    <n v="909301"/>
    <s v="User Account"/>
    <n v="1"/>
    <s v="AtBelow"/>
    <s v="CC_Portal"/>
    <n v="0"/>
    <s v="MFC"/>
    <s v="IBMCA"/>
    <s v="ACTIVE ADVISORS AND ASSISTANTS"/>
    <n v="0"/>
    <n v="0"/>
  </r>
  <r>
    <s v="priscilla.misir@manulifesecurities.ca"/>
    <s v="MFC"/>
    <x v="0"/>
    <n v="674396"/>
    <n v="3"/>
    <d v="2017-09-18T11:18:00"/>
    <x v="0"/>
    <x v="5"/>
    <s v="laurie.symbaluk@manulifesecurities.ca"/>
    <n v="909301"/>
    <s v="User Account"/>
    <n v="1"/>
    <s v="AtBelow"/>
    <s v="CC_Portal"/>
    <n v="0"/>
    <s v="MFC"/>
    <s v="IBMCA"/>
    <s v="ACTIVE ADVISORS AND ASSISTANTS"/>
    <n v="0"/>
    <n v="0"/>
  </r>
  <r>
    <s v="adiano.kitenge@manulifesecurities.ca"/>
    <s v="MFC"/>
    <x v="0"/>
    <n v="627566"/>
    <n v="3"/>
    <d v="2017-09-18T11:12:39"/>
    <x v="3"/>
    <x v="2"/>
    <s v="christelle.arouko@manulifesecurities.ca"/>
    <n v="907988"/>
    <s v="User Account"/>
    <n v="1"/>
    <s v="AtBelow"/>
    <s v="CC_WebService"/>
    <m/>
    <s v="MFC"/>
    <s v="IBMCA"/>
    <s v="ACTIVE ADVISORS AND ASSISTANTS"/>
    <n v="0"/>
    <n v="0"/>
  </r>
  <r>
    <s v="adiano.kitenge@manulifesecurities.ca"/>
    <s v="MFC"/>
    <x v="0"/>
    <n v="627566"/>
    <n v="3"/>
    <d v="2017-09-18T11:12:25"/>
    <x v="0"/>
    <x v="3"/>
    <s v="christelle.arouko@manulifesecurities.ca"/>
    <n v="907988"/>
    <s v="User Account"/>
    <n v="1"/>
    <s v="SelfBelow"/>
    <s v="CC_Portal"/>
    <s v="Enable"/>
    <s v="MFC"/>
    <s v="IBMCA"/>
    <s v="ACTIVE ADVISORS AND ASSISTANTS"/>
    <n v="0"/>
    <n v="0"/>
  </r>
  <r>
    <s v="ssotest@mfc.sps.local"/>
    <s v="MFC"/>
    <x v="0"/>
    <n v="551367"/>
    <n v="1000"/>
    <d v="2017-09-18T11:09:50"/>
    <x v="0"/>
    <x v="0"/>
    <s v="brandon.beavis@manulifesecurities.ca"/>
    <n v="796405"/>
    <s v="User Account"/>
    <n v="1"/>
    <s v="AtBelow"/>
    <s v="CC_Portal"/>
    <n v="0"/>
    <s v="MFC"/>
    <s v="IBMCA"/>
    <s v="ACTIVE ADVISORS AND ASSISTANTS"/>
    <n v="0"/>
    <n v="0"/>
  </r>
  <r>
    <s v="jody.markovic@manulifesecurities.ca"/>
    <s v="MFC"/>
    <x v="0"/>
    <n v="560579"/>
    <n v="3"/>
    <d v="2017-09-18T11:07:39"/>
    <x v="3"/>
    <x v="2"/>
    <s v="m.kucinskaite@manulifesecurities.ca"/>
    <n v="908539"/>
    <s v="User Account"/>
    <n v="1"/>
    <s v="AtBelow"/>
    <s v="CC_WebService"/>
    <m/>
    <s v="MFC"/>
    <s v="IBMCA"/>
    <s v="ACTIVE ADVISORS AND ASSISTANTS"/>
    <n v="0"/>
    <n v="0"/>
  </r>
  <r>
    <s v="priscilla.misir@manulifesecurities.ca"/>
    <s v="MFC"/>
    <x v="0"/>
    <n v="674396"/>
    <n v="3"/>
    <d v="2017-09-18T11:05:29"/>
    <x v="5"/>
    <x v="7"/>
    <s v="laurie.symbaluk@manulifesecurities.ca"/>
    <n v="909301"/>
    <s v="User Account"/>
    <n v="1"/>
    <s v="AtBelow"/>
    <s v="CC_Portal"/>
    <s v="PrimaryEmail=laurie.symbaluk@manulifesecurities.ca"/>
    <s v="MFC"/>
    <s v="IBMCA"/>
    <s v="ACTIVE ADVISORS AND ASSISTANTS"/>
    <n v="0"/>
    <n v="0"/>
  </r>
  <r>
    <s v="jody.markovic@manulifesecurities.ca"/>
    <s v="MFC"/>
    <x v="0"/>
    <n v="560579"/>
    <n v="3"/>
    <d v="2017-09-18T11:04:02"/>
    <x v="0"/>
    <x v="0"/>
    <s v="m.kucinskaite@manulifesecurities.ca"/>
    <n v="908539"/>
    <s v="User Account"/>
    <n v="1"/>
    <s v="AtBelow"/>
    <s v="CC_Portal"/>
    <n v="0"/>
    <s v="MFC"/>
    <s v="IBMCA"/>
    <s v="ACTIVE ADVISORS AND ASSISTANTS"/>
    <n v="0"/>
    <n v="0"/>
  </r>
  <r>
    <s v="jody.markovic@manulifesecurities.ca"/>
    <s v="MFC"/>
    <x v="0"/>
    <n v="560579"/>
    <n v="3"/>
    <d v="2017-09-18T11:03:36"/>
    <x v="3"/>
    <x v="2"/>
    <s v="m.kucinskaite@manulifesecurities.ca"/>
    <n v="908539"/>
    <s v="User Account"/>
    <n v="1"/>
    <s v="AtBelow"/>
    <s v="CC_WebService"/>
    <m/>
    <s v="MFC"/>
    <s v="IBMCA"/>
    <s v="ACTIVE ADVISORS AND ASSISTANTS"/>
    <n v="0"/>
    <n v="0"/>
  </r>
  <r>
    <s v="ssotest@mfc.sps.local"/>
    <s v="MFC"/>
    <x v="0"/>
    <n v="551367"/>
    <n v="1000"/>
    <d v="2017-09-18T11:01:35"/>
    <x v="0"/>
    <x v="0"/>
    <s v="Dennis.Audette@manulifesecurities.ca"/>
    <n v="552355"/>
    <s v="User Account"/>
    <n v="1"/>
    <s v="AtBelow"/>
    <s v="CC_Portal"/>
    <n v="0"/>
    <s v="MFC"/>
    <s v="IBMCA"/>
    <s v="ACTIVE ADVISORS AND ASSISTANTS"/>
    <n v="0"/>
    <n v="0"/>
  </r>
  <r>
    <s v="ssotest@mfc.sps.local"/>
    <s v="MFC"/>
    <x v="0"/>
    <n v="551367"/>
    <n v="1000"/>
    <d v="2017-09-18T10:55:21"/>
    <x v="0"/>
    <x v="0"/>
    <s v="Don.Montgomery@manulifesecurities.ca"/>
    <n v="552399"/>
    <s v="User Account"/>
    <n v="1"/>
    <s v="AtBelow"/>
    <s v="CC_Portal"/>
    <n v="0"/>
    <s v="MFC"/>
    <s v="IBMCA"/>
    <s v="ACTIVE ADVISORS AND ASSISTANTS"/>
    <n v="0"/>
    <n v="0"/>
  </r>
  <r>
    <s v="priscilla.misir@manulifesecurities.ca"/>
    <s v="MFC"/>
    <x v="0"/>
    <n v="674396"/>
    <n v="3"/>
    <d v="2017-09-18T10:54:51"/>
    <x v="0"/>
    <x v="5"/>
    <s v="KurtRosentretersTeam@manulifesecurities.ca"/>
    <n v="555666"/>
    <s v="Distribution List"/>
    <n v="1"/>
    <s v="AtBelow"/>
    <s v="CC_Portal"/>
    <n v="0"/>
    <s v="MFC"/>
    <s v="IBMCA"/>
    <s v="ALL GROUPS"/>
    <n v="0"/>
    <n v="0"/>
  </r>
  <r>
    <s v="priscilla.misir@manulifesecurities.ca"/>
    <s v="MFC"/>
    <x v="0"/>
    <n v="674396"/>
    <n v="3"/>
    <d v="2017-09-18T10:53:36"/>
    <x v="0"/>
    <x v="5"/>
    <s v="KurtRosentretersTeam@manulifesecurities.ca"/>
    <n v="555666"/>
    <s v="Distribution List"/>
    <n v="1"/>
    <s v="AtBelow"/>
    <s v="CC_Portal"/>
    <n v="0"/>
    <s v="MFC"/>
    <s v="IBMCA"/>
    <s v="ALL GROUPS"/>
    <n v="0"/>
    <n v="0"/>
  </r>
  <r>
    <s v="alex_buena@manulifesecurities.ca"/>
    <s v="MFC"/>
    <x v="0"/>
    <n v="570025"/>
    <n v="3"/>
    <d v="2017-09-18T10:50:44"/>
    <x v="5"/>
    <x v="6"/>
    <s v="KurtRosentretersTeam@manulifesecurities.ca"/>
    <n v="555666"/>
    <s v="Distribution List"/>
    <n v="1"/>
    <s v="Any"/>
    <s v="CC_Portal"/>
    <s v="98790977d2cf4b729e92615475a029de"/>
    <s v="MFC"/>
    <s v="IBMCA"/>
    <s v="ALL GROUPS"/>
    <n v="0"/>
    <n v="0"/>
  </r>
  <r>
    <s v="ssotest@mfc.sps.local"/>
    <s v="MFC"/>
    <x v="0"/>
    <n v="551367"/>
    <n v="1000"/>
    <d v="2017-09-18T10:48:33"/>
    <x v="0"/>
    <x v="0"/>
    <s v="Jean-Michel.Clement@manulifesecurities.ca"/>
    <n v="552793"/>
    <s v="User Account"/>
    <n v="1"/>
    <s v="AtBelow"/>
    <s v="CC_Portal"/>
    <n v="0"/>
    <s v="MFC"/>
    <s v="IBMCA"/>
    <s v="ACTIVE ADVISORS AND ASSISTANTS"/>
    <n v="0"/>
    <n v="0"/>
  </r>
  <r>
    <s v="ssotest@mfc.sps.local"/>
    <s v="MFC"/>
    <x v="0"/>
    <n v="551367"/>
    <n v="1000"/>
    <d v="2017-09-18T10:42:04"/>
    <x v="0"/>
    <x v="0"/>
    <s v="stephanie.wood@manulifesecurities.ca"/>
    <n v="815779"/>
    <s v="User Account"/>
    <n v="1"/>
    <s v="AtBelow"/>
    <s v="CC_Portal"/>
    <n v="0"/>
    <s v="MFC"/>
    <s v="IBMCA"/>
    <s v="ACTIVE ADVISORS AND ASSISTANTS"/>
    <n v="0"/>
    <n v="0"/>
  </r>
  <r>
    <s v="adiano.kitenge@manulifesecurities.ca"/>
    <s v="MFC"/>
    <x v="0"/>
    <n v="627566"/>
    <n v="3"/>
    <d v="2017-09-18T10:41:27"/>
    <x v="3"/>
    <x v="2"/>
    <s v="Yuen-Ling.Wong@manulifesecurities.ca"/>
    <n v="554337"/>
    <s v="User Account"/>
    <n v="1"/>
    <s v="AtBelow"/>
    <s v="CC_WebService"/>
    <m/>
    <s v="MFC"/>
    <s v="IBMCA"/>
    <s v="ACTIVE ADVISORS AND ASSISTANTS"/>
    <n v="0"/>
    <n v="0"/>
  </r>
  <r>
    <s v="adiano.kitenge@manulifesecurities.ca"/>
    <s v="MFC"/>
    <x v="0"/>
    <n v="627566"/>
    <n v="3"/>
    <d v="2017-09-18T10:40:56"/>
    <x v="0"/>
    <x v="3"/>
    <s v="Yuen-Ling.Wong@manulifesecurities.ca"/>
    <n v="554337"/>
    <s v="User Account"/>
    <n v="1"/>
    <s v="SelfBelow"/>
    <s v="CC_Portal"/>
    <s v="Enable"/>
    <s v="MFC"/>
    <s v="IBMCA"/>
    <s v="ACTIVE ADVISORS AND ASSISTANTS"/>
    <n v="0"/>
    <n v="0"/>
  </r>
  <r>
    <s v="ssotest@mfc.sps.local"/>
    <s v="MFC"/>
    <x v="0"/>
    <n v="551367"/>
    <n v="1000"/>
    <d v="2017-09-18T10:37:30"/>
    <x v="0"/>
    <x v="0"/>
    <s v="Joanne.Kyne@manulifesecurities.ca"/>
    <n v="552872"/>
    <s v="User Account"/>
    <n v="1"/>
    <s v="AtBelow"/>
    <s v="CC_Portal"/>
    <n v="0"/>
    <s v="MFC"/>
    <s v="IBMCA"/>
    <s v="ACTIVE ADVISORS AND ASSISTANTS"/>
    <n v="0"/>
    <n v="0"/>
  </r>
  <r>
    <s v="ssotest@mfc.sps.local"/>
    <s v="MFC"/>
    <x v="0"/>
    <n v="551367"/>
    <n v="1000"/>
    <d v="2017-09-18T10:31:33"/>
    <x v="0"/>
    <x v="0"/>
    <s v="Gerry.Mudge@manulifesecurities.ca"/>
    <n v="551702"/>
    <s v="User Account"/>
    <n v="1"/>
    <s v="AtBelow"/>
    <s v="CC_Portal"/>
    <n v="0"/>
    <s v="MFC"/>
    <s v="IBMCA"/>
    <s v="ACTIVE ADVISORS AND ASSISTANTS"/>
    <n v="0"/>
    <n v="0"/>
  </r>
  <r>
    <s v="ssotest@mfc.sps.local"/>
    <s v="MFC"/>
    <x v="0"/>
    <n v="551367"/>
    <n v="1000"/>
    <d v="2017-09-18T10:29:21"/>
    <x v="0"/>
    <x v="0"/>
    <s v="Michael.Orchard@manulifesecurities.ca"/>
    <n v="553496"/>
    <s v="User Account"/>
    <n v="1"/>
    <s v="AtBelow"/>
    <s v="CC_Portal"/>
    <n v="0"/>
    <s v="MFC"/>
    <s v="IBMCA"/>
    <s v="ACTIVE ADVISORS AND ASSISTANTS"/>
    <n v="0"/>
    <n v="0"/>
  </r>
  <r>
    <s v="ssotest@mfc.sps.local"/>
    <s v="MFC"/>
    <x v="0"/>
    <n v="551367"/>
    <n v="1000"/>
    <d v="2017-09-18T10:29:09"/>
    <x v="0"/>
    <x v="0"/>
    <s v="Fern.Lindal@manulifesecurities.ca"/>
    <n v="552521"/>
    <s v="User Account"/>
    <n v="1"/>
    <s v="AtBelow"/>
    <s v="CC_Portal"/>
    <n v="0"/>
    <s v="MFC"/>
    <s v="IBMCA"/>
    <s v="ACTIVE ADVISORS AND ASSISTANTS"/>
    <n v="0"/>
    <n v="0"/>
  </r>
  <r>
    <s v="ssotest@mfc.sps.local"/>
    <s v="MFC"/>
    <x v="0"/>
    <n v="551367"/>
    <n v="1000"/>
    <d v="2017-09-18T10:27:59"/>
    <x v="0"/>
    <x v="0"/>
    <s v="Terri.Weintraub@manulifesecurities.ca"/>
    <n v="554145"/>
    <s v="User Account"/>
    <n v="1"/>
    <s v="AtBelow"/>
    <s v="CC_Portal"/>
    <n v="0"/>
    <s v="MFC"/>
    <s v="IBMCA"/>
    <s v="ACTIVE ADVISORS AND ASSISTANTS"/>
    <n v="0"/>
    <n v="0"/>
  </r>
  <r>
    <s v="ssotest@mfc.sps.local"/>
    <s v="MFC"/>
    <x v="0"/>
    <n v="551367"/>
    <n v="1000"/>
    <d v="2017-09-18T10:16:20"/>
    <x v="0"/>
    <x v="0"/>
    <s v="Vivian.Chan@manulifesecurities.ca"/>
    <n v="554273"/>
    <s v="User Account"/>
    <n v="1"/>
    <s v="AtBelow"/>
    <s v="CC_Portal"/>
    <n v="0"/>
    <s v="MFC"/>
    <s v="IBMCA"/>
    <s v="ACTIVE ADVISORS AND ASSISTANTS"/>
    <n v="0"/>
    <n v="0"/>
  </r>
  <r>
    <s v="ssotest@mfc.sps.local"/>
    <s v="MFC"/>
    <x v="0"/>
    <n v="551367"/>
    <n v="1000"/>
    <d v="2017-09-18T10:10:32"/>
    <x v="0"/>
    <x v="0"/>
    <s v="Anabela.Reis@manulifesecurities.ca"/>
    <n v="551786"/>
    <s v="User Account"/>
    <n v="1"/>
    <s v="AtBelow"/>
    <s v="CC_Portal"/>
    <n v="0"/>
    <s v="MFC"/>
    <s v="IBMCA"/>
    <s v="ACTIVE ADVISORS AND ASSISTANTS"/>
    <n v="0"/>
    <n v="0"/>
  </r>
  <r>
    <s v="ssotest@mfc.sps.local"/>
    <s v="MFC"/>
    <x v="0"/>
    <n v="551367"/>
    <n v="1000"/>
    <d v="2017-09-18T10:04:11"/>
    <x v="0"/>
    <x v="0"/>
    <s v="Maria.Cesario@manulifesecurities.ca"/>
    <n v="553326"/>
    <s v="User Account"/>
    <n v="1"/>
    <s v="AtBelow"/>
    <s v="CC_Portal"/>
    <n v="0"/>
    <s v="MFC"/>
    <s v="IBMCA"/>
    <s v="ACTIVE ADVISORS AND ASSISTANTS"/>
    <n v="0"/>
    <n v="0"/>
  </r>
  <r>
    <s v="ssotest@mfc.sps.local"/>
    <s v="MFC"/>
    <x v="0"/>
    <n v="551367"/>
    <n v="1000"/>
    <d v="2017-09-18T09:50:12"/>
    <x v="0"/>
    <x v="0"/>
    <s v="Christopher.Wylie@manulifesecurities.ca"/>
    <n v="551675"/>
    <s v="User Account"/>
    <n v="1"/>
    <s v="AtBelow"/>
    <s v="CC_Portal"/>
    <n v="0"/>
    <s v="MFC"/>
    <s v="IBMCA"/>
    <s v="ACTIVE ADVISORS AND ASSISTANTS"/>
    <n v="0"/>
    <n v="0"/>
  </r>
  <r>
    <s v="ssotest@mfc.sps.local"/>
    <s v="MFC"/>
    <x v="0"/>
    <n v="551367"/>
    <n v="1000"/>
    <d v="2017-09-18T09:49:06"/>
    <x v="0"/>
    <x v="0"/>
    <s v="Nathan.Gatt@manulifesecurities.ca"/>
    <n v="553587"/>
    <s v="User Account"/>
    <n v="1"/>
    <s v="AtBelow"/>
    <s v="CC_Portal"/>
    <n v="0"/>
    <s v="MFC"/>
    <s v="IBMCA"/>
    <s v="ACTIVE ADVISORS AND ASSISTANTS"/>
    <n v="0"/>
    <n v="0"/>
  </r>
  <r>
    <s v="ssotest@mfc.sps.local"/>
    <s v="MFC"/>
    <x v="0"/>
    <n v="551367"/>
    <n v="1000"/>
    <d v="2017-09-18T09:40:38"/>
    <x v="0"/>
    <x v="0"/>
    <s v="h.wozniak@manulifesecurities.ca"/>
    <n v="729232"/>
    <s v="User Account"/>
    <n v="1"/>
    <s v="AtBelow"/>
    <s v="CC_Portal"/>
    <n v="0"/>
    <s v="MFC"/>
    <s v="IBMCA"/>
    <s v="ACTIVE ADVISORS AND ASSISTANTS"/>
    <n v="0"/>
    <n v="0"/>
  </r>
  <r>
    <s v="ssotest@mfc.sps.local"/>
    <s v="MFC"/>
    <x v="0"/>
    <n v="551367"/>
    <n v="1000"/>
    <d v="2017-09-18T09:40:26"/>
    <x v="0"/>
    <x v="0"/>
    <s v="suzette.low@manulifesecurities.ca"/>
    <n v="560977"/>
    <s v="User Account"/>
    <n v="1"/>
    <s v="AtBelow"/>
    <s v="CC_Portal"/>
    <n v="0"/>
    <s v="MFC"/>
    <s v="IBMCA"/>
    <s v="DISABLED USERS"/>
    <n v="0"/>
    <n v="0"/>
  </r>
  <r>
    <s v="ssotest@mfc.sps.local"/>
    <s v="MFC"/>
    <x v="0"/>
    <n v="551367"/>
    <n v="1000"/>
    <d v="2017-09-18T09:39:50"/>
    <x v="0"/>
    <x v="0"/>
    <s v="George.Martyniuk@manulifesecurities.ca"/>
    <n v="551701"/>
    <s v="User Account"/>
    <n v="1"/>
    <s v="AtBelow"/>
    <s v="CC_Portal"/>
    <n v="0"/>
    <s v="MFC"/>
    <s v="IBMCA"/>
    <s v="ACTIVE ADVISORS AND ASSISTANTS"/>
    <n v="0"/>
    <n v="0"/>
  </r>
  <r>
    <s v="alex_buena@manulifesecurities.ca"/>
    <s v="MFC"/>
    <x v="0"/>
    <n v="570025"/>
    <n v="3"/>
    <d v="2017-09-18T09:33:56"/>
    <x v="0"/>
    <x v="5"/>
    <s v="Shirley.Urban@manulifesecurities.ca"/>
    <n v="554021"/>
    <s v="User Account"/>
    <n v="1"/>
    <s v="AtBelow"/>
    <s v="CC_Portal"/>
    <n v="0"/>
    <s v="MFC"/>
    <s v="IBMCA"/>
    <s v="DISABLED USERS"/>
    <n v="0"/>
    <n v="0"/>
  </r>
  <r>
    <s v="alex_buena@manulifesecurities.ca"/>
    <s v="MFC"/>
    <x v="0"/>
    <n v="570025"/>
    <n v="3"/>
    <d v="2017-09-18T09:33:55"/>
    <x v="4"/>
    <x v="6"/>
    <s v="MSI_autoEmailArchive@manulifesecurities.ca"/>
    <n v="561482"/>
    <s v="Distribution List"/>
    <n v="1"/>
    <s v="Any"/>
    <s v="CC_Portal"/>
    <s v="c96176bcb916485cb9c9442a95c67b07"/>
    <s v="MFC"/>
    <s v="IBMCA"/>
    <s v="ALL GROUPS"/>
    <n v="0"/>
    <n v="0"/>
  </r>
  <r>
    <s v="alex_buena@manulifesecurities.ca"/>
    <s v="MFC"/>
    <x v="0"/>
    <n v="570025"/>
    <n v="3"/>
    <d v="2017-09-18T09:33:53"/>
    <x v="4"/>
    <x v="6"/>
    <s v="FormerBerkAdvisors@manulifesecurities.ca"/>
    <n v="555662"/>
    <s v="Distribution List"/>
    <n v="1"/>
    <s v="Any"/>
    <s v="CC_Portal"/>
    <s v="c96176bcb916485cb9c9442a95c67b07"/>
    <s v="MFC"/>
    <s v="IBMCA"/>
    <s v="ALL GROUPS"/>
    <n v="0"/>
    <n v="0"/>
  </r>
  <r>
    <s v="alex_buena@manulifesecurities.ca"/>
    <s v="MFC"/>
    <x v="0"/>
    <n v="570025"/>
    <n v="3"/>
    <d v="2017-09-18T09:33:52"/>
    <x v="4"/>
    <x v="6"/>
    <s v="AllAdvisors@manulifesecurities.ca"/>
    <n v="555659"/>
    <s v="Distribution List"/>
    <n v="1"/>
    <s v="Any"/>
    <s v="CC_Portal"/>
    <s v="c96176bcb916485cb9c9442a95c67b07"/>
    <s v="MFC"/>
    <s v="IBMCA"/>
    <s v="ALL GROUPS"/>
    <n v="0"/>
    <n v="0"/>
  </r>
  <r>
    <s v="alex_buena@manulifesecurities.ca"/>
    <s v="MFC"/>
    <x v="0"/>
    <n v="570025"/>
    <n v="3"/>
    <d v="2017-09-18T09:33:51"/>
    <x v="4"/>
    <x v="6"/>
    <s v="Advisors@manulifesecurities.ca"/>
    <n v="555668"/>
    <s v="Distribution List"/>
    <n v="1"/>
    <s v="Any"/>
    <s v="CC_Portal"/>
    <s v="c96176bcb916485cb9c9442a95c67b07"/>
    <s v="MFC"/>
    <s v="IBMCA"/>
    <s v="ALL GROUPS"/>
    <n v="0"/>
    <n v="0"/>
  </r>
  <r>
    <s v="alex_buena@manulifesecurities.ca"/>
    <s v="MFC"/>
    <x v="0"/>
    <n v="570025"/>
    <n v="3"/>
    <d v="2017-09-18T09:33:48"/>
    <x v="0"/>
    <x v="5"/>
    <s v="Shirley.Urban@manulifesecurities.ca"/>
    <n v="554021"/>
    <s v="User Account"/>
    <n v="1"/>
    <s v="AtBelow"/>
    <s v="CC_Portal"/>
    <n v="0"/>
    <s v="MFC"/>
    <s v="IBMCA"/>
    <s v="DISABLED USERS"/>
    <n v="0"/>
    <n v="0"/>
  </r>
  <r>
    <s v="alex_buena@manulifesecurities.ca"/>
    <s v="MFC"/>
    <x v="0"/>
    <n v="570025"/>
    <n v="3"/>
    <d v="2017-09-18T09:33:42"/>
    <x v="0"/>
    <x v="5"/>
    <s v="Shirley.Urban@manulifesecurities.ca"/>
    <n v="554021"/>
    <s v="User Account"/>
    <n v="1"/>
    <s v="AtBelow"/>
    <s v="CC_Portal"/>
    <n v="0"/>
    <s v="MFC"/>
    <s v="IBMCA"/>
    <s v="DISABLED USERS"/>
    <n v="0"/>
    <n v="0"/>
  </r>
  <r>
    <s v="ssotest@mfc.sps.local"/>
    <s v="MFC"/>
    <x v="0"/>
    <n v="551367"/>
    <n v="1000"/>
    <d v="2017-09-18T09:32:42"/>
    <x v="0"/>
    <x v="0"/>
    <s v="Bryce.McFadden@manulifesecurities.ca"/>
    <n v="552031"/>
    <s v="User Account"/>
    <n v="1"/>
    <s v="AtBelow"/>
    <s v="CC_Portal"/>
    <n v="0"/>
    <s v="MFC"/>
    <s v="IBMCA"/>
    <s v="ACTIVE ADVISORS AND ASSISTANTS"/>
    <n v="0"/>
    <n v="0"/>
  </r>
  <r>
    <s v="alex_buena@manulifesecurities.ca"/>
    <s v="MFC"/>
    <x v="0"/>
    <n v="570025"/>
    <n v="3"/>
    <d v="2017-09-18T09:31:34"/>
    <x v="0"/>
    <x v="3"/>
    <s v="Shirley.Urban@manulifesecurities.ca"/>
    <n v="554021"/>
    <s v="User Account"/>
    <n v="1"/>
    <s v="AtBelow"/>
    <s v="CC_Portal"/>
    <s v="Disable"/>
    <s v="MFC"/>
    <s v="IBMCA"/>
    <s v="DISABLED USERS"/>
    <n v="0"/>
    <n v="0"/>
  </r>
  <r>
    <s v="jody.markovic@manulifesecurities.ca"/>
    <s v="MFC"/>
    <x v="0"/>
    <n v="560579"/>
    <n v="3"/>
    <d v="2017-09-18T09:30:16"/>
    <x v="3"/>
    <x v="2"/>
    <s v="jennifer.fehr@manulifesecurities.ca"/>
    <n v="815406"/>
    <s v="User Account"/>
    <n v="1"/>
    <s v="AtBelow"/>
    <s v="CC_WebService"/>
    <m/>
    <s v="MFC"/>
    <s v="IBMCA"/>
    <s v="ACTIVE ADVISORS AND ASSISTANTS"/>
    <n v="0"/>
    <n v="0"/>
  </r>
  <r>
    <s v="jody.markovic@manulifesecurities.ca"/>
    <s v="MFC"/>
    <x v="0"/>
    <n v="560579"/>
    <n v="3"/>
    <d v="2017-09-18T09:30:03"/>
    <x v="3"/>
    <x v="2"/>
    <s v="jennifer.fehr@manulifesecurities.ca"/>
    <n v="815406"/>
    <s v="User Account"/>
    <n v="1"/>
    <s v="AtBelow"/>
    <s v="CC_WebService"/>
    <m/>
    <s v="MFC"/>
    <s v="IBMCA"/>
    <s v="ACTIVE ADVISORS AND ASSISTANTS"/>
    <n v="0"/>
    <n v="0"/>
  </r>
  <r>
    <s v="ssotest@mfc.sps.local"/>
    <s v="MFC"/>
    <x v="0"/>
    <n v="551367"/>
    <n v="1000"/>
    <d v="2017-09-18T09:29:44"/>
    <x v="0"/>
    <x v="0"/>
    <s v="Sheri.Eby@manulifesecurities.ca"/>
    <n v="554010"/>
    <s v="User Account"/>
    <n v="1"/>
    <s v="AtBelow"/>
    <s v="CC_Portal"/>
    <n v="0"/>
    <s v="MFC"/>
    <s v="IBMCA"/>
    <s v="ACTIVE ADVISORS AND ASSISTANTS"/>
    <n v="0"/>
    <n v="0"/>
  </r>
  <r>
    <s v="ssotest@mfc.sps.local"/>
    <s v="MFC"/>
    <x v="0"/>
    <n v="551367"/>
    <n v="1000"/>
    <d v="2017-09-18T09:29:33"/>
    <x v="0"/>
    <x v="0"/>
    <s v="Manish.Kanani@manulifesecurities.ca"/>
    <n v="551676"/>
    <s v="User Account"/>
    <n v="1"/>
    <s v="AtBelow"/>
    <s v="CC_Portal"/>
    <n v="0"/>
    <s v="MFC"/>
    <s v="IBMCA"/>
    <s v="ACTIVE ADVISORS AND ASSISTANTS"/>
    <n v="0"/>
    <n v="0"/>
  </r>
  <r>
    <s v="ssotest@mfc.sps.local"/>
    <s v="MFC"/>
    <x v="0"/>
    <n v="551367"/>
    <n v="1000"/>
    <d v="2017-09-18T09:29:09"/>
    <x v="0"/>
    <x v="0"/>
    <s v="Bryce.McFadden@manulifesecurities.ca"/>
    <n v="552031"/>
    <s v="User Account"/>
    <n v="1"/>
    <s v="AtBelow"/>
    <s v="CC_Portal"/>
    <n v="0"/>
    <s v="MFC"/>
    <s v="IBMCA"/>
    <s v="ACTIVE ADVISORS AND ASSISTANTS"/>
    <n v="0"/>
    <n v="0"/>
  </r>
  <r>
    <s v="jody.markovic@manulifesecurities.ca"/>
    <s v="MFC"/>
    <x v="0"/>
    <n v="560579"/>
    <n v="3"/>
    <d v="2017-09-18T09:28:43"/>
    <x v="3"/>
    <x v="2"/>
    <s v="jennifer.fehr@manulifesecurities.ca"/>
    <n v="815406"/>
    <s v="User Account"/>
    <n v="1"/>
    <s v="AtBelow"/>
    <s v="CC_WebService"/>
    <m/>
    <s v="MFC"/>
    <s v="IBMCA"/>
    <s v="ACTIVE ADVISORS AND ASSISTANTS"/>
    <n v="0"/>
    <n v="0"/>
  </r>
  <r>
    <s v="jody.markovic@manulifesecurities.ca"/>
    <s v="MFC"/>
    <x v="0"/>
    <n v="560579"/>
    <n v="3"/>
    <d v="2017-09-18T09:28:34"/>
    <x v="3"/>
    <x v="2"/>
    <s v="jennifer.fehr@manulifesecurities.ca"/>
    <n v="815406"/>
    <s v="User Account"/>
    <n v="1"/>
    <s v="AtBelow"/>
    <s v="CC_WebService"/>
    <m/>
    <s v="MFC"/>
    <s v="IBMCA"/>
    <s v="ACTIVE ADVISORS AND ASSISTANTS"/>
    <n v="0"/>
    <n v="0"/>
  </r>
  <r>
    <s v="ssotest@mfc.sps.local"/>
    <s v="MFC"/>
    <x v="0"/>
    <n v="551367"/>
    <n v="1000"/>
    <d v="2017-09-18T09:27:19"/>
    <x v="0"/>
    <x v="0"/>
    <s v="George.Martyniuk@manulifesecurities.ca"/>
    <n v="551701"/>
    <s v="User Account"/>
    <n v="1"/>
    <s v="AtBelow"/>
    <s v="CC_Portal"/>
    <n v="0"/>
    <s v="MFC"/>
    <s v="IBMCA"/>
    <s v="ACTIVE ADVISORS AND ASSISTANTS"/>
    <n v="0"/>
    <n v="0"/>
  </r>
  <r>
    <s v="alex_buena@manulifesecurities.ca"/>
    <s v="MFC"/>
    <x v="0"/>
    <n v="570025"/>
    <n v="3"/>
    <d v="2017-09-18T09:16:48"/>
    <x v="0"/>
    <x v="4"/>
    <s v="Shirley.Urban@manulifesecurities.ca"/>
    <n v="554021"/>
    <s v="User Account"/>
    <n v="1"/>
    <s v="AtBelow"/>
    <s v="CC_Portal"/>
    <s v="oldOrgGroup=ACTIVE ADVISORS AND ASSISTANTS;newOrgGroup=DISABLED USERS"/>
    <s v="MFC"/>
    <s v="IBMCA"/>
    <s v="DISABLED USERS"/>
    <n v="0"/>
    <n v="0"/>
  </r>
  <r>
    <s v="jody.markovic@manulifesecurities.ca"/>
    <s v="MFC"/>
    <x v="0"/>
    <n v="560579"/>
    <n v="3"/>
    <d v="2017-09-18T09:11:57"/>
    <x v="3"/>
    <x v="2"/>
    <s v="Mary.Reader@manulifesecurities.ca"/>
    <n v="553408"/>
    <s v="User Account"/>
    <n v="1"/>
    <s v="AtBelow"/>
    <s v="CC_WebService"/>
    <m/>
    <s v="MFC"/>
    <s v="IBMCA"/>
    <s v="ACTIVE ADVISORS AND ASSISTANTS"/>
    <n v="0"/>
    <n v="0"/>
  </r>
  <r>
    <s v="jody.markovic@manulifesecurities.ca"/>
    <s v="MFC"/>
    <x v="0"/>
    <n v="560579"/>
    <n v="3"/>
    <d v="2017-09-18T09:11:51"/>
    <x v="3"/>
    <x v="2"/>
    <s v="Mary.Reader@manulifesecurities.ca"/>
    <n v="553408"/>
    <s v="User Account"/>
    <n v="1"/>
    <s v="AtBelow"/>
    <s v="CC_WebService"/>
    <m/>
    <s v="MFC"/>
    <s v="IBMCA"/>
    <s v="ACTIVE ADVISORS AND ASSISTANTS"/>
    <n v="0"/>
    <n v="0"/>
  </r>
  <r>
    <s v="ssotest@mfc.sps.local"/>
    <s v="MFC"/>
    <x v="0"/>
    <n v="551367"/>
    <n v="1000"/>
    <d v="2017-09-18T09:03:52"/>
    <x v="0"/>
    <x v="0"/>
    <s v="Christine.Parton@manulifesecurities.ca"/>
    <n v="552149"/>
    <s v="User Account"/>
    <n v="1"/>
    <s v="AtBelow"/>
    <s v="CC_Portal"/>
    <n v="0"/>
    <s v="MFC"/>
    <s v="IBMCA"/>
    <s v="ACTIVE ADVISORS AND ASSISTANTS"/>
    <n v="0"/>
    <n v="0"/>
  </r>
  <r>
    <s v="alex_buena@manulifesecurities.ca"/>
    <s v="MFC"/>
    <x v="0"/>
    <n v="570025"/>
    <n v="3"/>
    <d v="2017-09-18T08:10:34"/>
    <x v="0"/>
    <x v="3"/>
    <s v="michael.carstensen@manulifesecurities.ca"/>
    <n v="721107"/>
    <s v="User Account"/>
    <n v="1"/>
    <s v="AtBelow"/>
    <s v="CC_Portal"/>
    <s v="Disable"/>
    <s v="MFC"/>
    <s v="IBMCA"/>
    <s v="DISABLED USERS"/>
    <n v="0"/>
    <n v="0"/>
  </r>
  <r>
    <s v="alex_buena@manulifesecurities.ca"/>
    <s v="MFC"/>
    <x v="0"/>
    <n v="570025"/>
    <n v="3"/>
    <d v="2017-09-18T08:07:05"/>
    <x v="0"/>
    <x v="4"/>
    <s v="michael.carstensen@manulifesecurities.ca"/>
    <n v="721107"/>
    <s v="User Account"/>
    <n v="1"/>
    <s v="AtBelow"/>
    <s v="CC_Portal"/>
    <s v="oldOrgGroup=ACTIVE ADVISORS AND ASSISTANTS;newOrgGroup=DISABLED USERS"/>
    <s v="MFC"/>
    <s v="IBMCA"/>
    <s v="DISABLED USERS"/>
    <n v="0"/>
    <n v="0"/>
  </r>
  <r>
    <s v="alex_buena@manulifesecurities.ca"/>
    <s v="MFC"/>
    <x v="0"/>
    <n v="570025"/>
    <n v="3"/>
    <d v="2017-09-18T08:05:54"/>
    <x v="0"/>
    <x v="5"/>
    <s v="michael.carstensen@manulifesecurities.ca"/>
    <n v="721107"/>
    <s v="User Account"/>
    <n v="1"/>
    <s v="AtBelow"/>
    <s v="CC_Portal"/>
    <n v="0"/>
    <s v="MFC"/>
    <s v="IBMCA"/>
    <s v="ACTIVE ADVISORS AND ASSISTANTS"/>
    <n v="0"/>
    <n v="0"/>
  </r>
  <r>
    <s v="alex_buena@manulifesecurities.ca"/>
    <s v="MFC"/>
    <x v="0"/>
    <n v="570025"/>
    <n v="3"/>
    <d v="2017-09-18T08:05:53"/>
    <x v="4"/>
    <x v="6"/>
    <s v="MSI_autoEmailArchive@manulifesecurities.ca"/>
    <n v="561482"/>
    <s v="Distribution List"/>
    <n v="1"/>
    <s v="Any"/>
    <s v="CC_Portal"/>
    <s v="df692dc5dbbf4e7ca535f9f69b2c8a0f"/>
    <s v="MFC"/>
    <s v="IBMCA"/>
    <s v="ALL GROUPS"/>
    <n v="0"/>
    <n v="0"/>
  </r>
  <r>
    <s v="alex_buena@manulifesecurities.ca"/>
    <s v="MFC"/>
    <x v="0"/>
    <n v="570025"/>
    <n v="3"/>
    <d v="2017-09-18T08:05:49"/>
    <x v="4"/>
    <x v="6"/>
    <s v="AllAdvisors@manulifesecurities.ca"/>
    <n v="555659"/>
    <s v="Distribution List"/>
    <n v="1"/>
    <s v="Any"/>
    <s v="CC_Portal"/>
    <s v="df692dc5dbbf4e7ca535f9f69b2c8a0f"/>
    <s v="MFC"/>
    <s v="IBMCA"/>
    <s v="ALL GROUPS"/>
    <n v="0"/>
    <n v="0"/>
  </r>
  <r>
    <s v="alex_buena@manulifesecurities.ca"/>
    <s v="MFC"/>
    <x v="0"/>
    <n v="570025"/>
    <n v="3"/>
    <d v="2017-09-18T08:05:47"/>
    <x v="0"/>
    <x v="5"/>
    <s v="michael.carstensen@manulifesecurities.ca"/>
    <n v="721107"/>
    <s v="User Account"/>
    <n v="1"/>
    <s v="AtBelow"/>
    <s v="CC_Portal"/>
    <n v="0"/>
    <s v="MFC"/>
    <s v="IBMCA"/>
    <s v="ACTIVE ADVISORS AND ASSISTANTS"/>
    <n v="0"/>
    <n v="0"/>
  </r>
  <r>
    <s v="alex_buena@manulifesecurities.ca"/>
    <s v="MFC"/>
    <x v="0"/>
    <n v="570025"/>
    <n v="3"/>
    <d v="2017-09-18T08:05:41"/>
    <x v="0"/>
    <x v="5"/>
    <s v="michael.carstensen@manulifesecurities.ca"/>
    <n v="721107"/>
    <s v="User Account"/>
    <n v="1"/>
    <s v="AtBelow"/>
    <s v="CC_Portal"/>
    <n v="0"/>
    <s v="MFC"/>
    <s v="IBMCA"/>
    <s v="ACTIVE ADVISORS AND ASSISTANTS"/>
    <n v="0"/>
    <n v="0"/>
  </r>
  <r>
    <s v="ssotest@mfc.sps.local"/>
    <s v="MFC"/>
    <x v="0"/>
    <n v="551367"/>
    <n v="1000"/>
    <d v="2017-09-18T07:15:46"/>
    <x v="0"/>
    <x v="0"/>
    <s v="Claire.Gilliland@manulifesecurities.ca"/>
    <n v="552170"/>
    <s v="User Account"/>
    <n v="1"/>
    <s v="AtBelow"/>
    <s v="CC_Portal"/>
    <n v="0"/>
    <s v="MFC"/>
    <s v="IBMCA"/>
    <s v="ACTIVE ADVISORS AND ASSISTANTS"/>
    <n v="0"/>
    <n v="0"/>
  </r>
  <r>
    <s v="Crystal.Taylor@manulifesecurities.ca"/>
    <s v="MFC"/>
    <x v="0"/>
    <n v="552215"/>
    <n v="1"/>
    <d v="2017-09-18T01:51:47"/>
    <x v="2"/>
    <x v="1"/>
    <s v="Crystal.Taylor@manulifesecurities.ca"/>
    <n v="552215"/>
    <s v="User Account"/>
    <n v="0"/>
    <s v="Deny"/>
    <s v="CC_Portal"/>
    <n v="0"/>
    <s v="MFC"/>
    <s v="IBMCA"/>
    <s v="ACTIVE ADVISORS AND ASSISTANTS"/>
    <n v="0"/>
    <n v="0"/>
  </r>
  <r>
    <s v="Crystal.Taylor@manulifesecurities.ca"/>
    <s v="MFC"/>
    <x v="0"/>
    <n v="552215"/>
    <n v="1"/>
    <d v="2017-09-18T01:51:46"/>
    <x v="1"/>
    <x v="1"/>
    <s v="Crystal.Taylor@manulifesecurities.ca"/>
    <n v="552215"/>
    <s v="User Account"/>
    <n v="0"/>
    <s v="Deny"/>
    <s v="CC_Portal"/>
    <n v="0"/>
    <s v="MFC"/>
    <s v="IBMCA"/>
    <s v="ACTIVE ADVISORS AND ASSISTANTS"/>
    <n v="0"/>
    <n v="0"/>
  </r>
  <r>
    <s v="alex_buena@manulifesecurities.ca"/>
    <s v="MFC"/>
    <x v="0"/>
    <n v="570025"/>
    <n v="3"/>
    <d v="2017-09-18T00:04:21"/>
    <x v="0"/>
    <x v="10"/>
    <s v="dean.rose@manulifesecurities.ca"/>
    <n v="909195"/>
    <s v="User Account"/>
    <n v="1"/>
    <s v="AtBelow"/>
    <s v="CC_Portal"/>
    <s v="Action=Enable;ForwardTo=Donna.Rose@manulifesecurities.ca;LeaveCopy=FalseTrue"/>
    <s v="MFC"/>
    <s v="IBMCA"/>
    <s v="ACTIVE ADVISORS AND ASSISTANTS"/>
    <n v="0"/>
    <n v="0"/>
  </r>
  <r>
    <s v="alex_buena@manulifesecurities.ca"/>
    <s v="MFC"/>
    <x v="0"/>
    <n v="570025"/>
    <n v="3"/>
    <d v="2017-09-18T00:04:20"/>
    <x v="0"/>
    <x v="10"/>
    <s v="dean.rose@manulifesecurities.ca"/>
    <n v="909195"/>
    <s v="User Account"/>
    <n v="1"/>
    <s v="AtBelow"/>
    <s v="CC_Portal"/>
    <s v="Action=Enable;ForwardTo=Donna.Rose@manulifesecurities.ca;LeaveCopy=FalseTrue"/>
    <s v="MFC"/>
    <s v="IBMCA"/>
    <s v="ACTIVE ADVISORS AND ASSISTANTS"/>
    <n v="0"/>
    <n v="0"/>
  </r>
  <r>
    <s v="alex_buena@manulifesecurities.ca"/>
    <s v="MFC"/>
    <x v="0"/>
    <n v="570025"/>
    <n v="3"/>
    <d v="2017-09-17T23:01:03"/>
    <x v="0"/>
    <x v="5"/>
    <s v="danielle.dibenedetto@manulifesecurities.ca"/>
    <n v="909245"/>
    <s v="User Account"/>
    <n v="1"/>
    <s v="AtBelow"/>
    <s v="CC_Portal"/>
    <n v="0"/>
    <s v="MFC"/>
    <s v="IBMCA"/>
    <s v="ACTIVE ADVISORS AND ASSISTANTS"/>
    <n v="0"/>
    <n v="0"/>
  </r>
  <r>
    <s v="alex_buena@manulifesecurities.ca"/>
    <s v="MFC"/>
    <x v="0"/>
    <n v="570025"/>
    <n v="3"/>
    <d v="2017-09-17T23:01:02"/>
    <x v="5"/>
    <x v="6"/>
    <s v="MSI_autoEmailArchive@manulifesecurities.ca"/>
    <n v="561482"/>
    <s v="Distribution List"/>
    <n v="1"/>
    <s v="Any"/>
    <s v="CC_Portal"/>
    <s v="6df1ef83b3264d86aadab5b569dc7f30"/>
    <s v="MFC"/>
    <s v="IBMCA"/>
    <s v="ALL GROUPS"/>
    <n v="0"/>
    <n v="0"/>
  </r>
  <r>
    <s v="alex_buena@manulifesecurities.ca"/>
    <s v="MFC"/>
    <x v="0"/>
    <n v="570025"/>
    <n v="3"/>
    <d v="2017-09-17T23:00:57"/>
    <x v="5"/>
    <x v="6"/>
    <s v="AllAssistants@manulifesecurities.ca"/>
    <n v="555660"/>
    <s v="Distribution List"/>
    <n v="1"/>
    <s v="Any"/>
    <s v="CC_Portal"/>
    <s v="6df1ef83b3264d86aadab5b569dc7f30"/>
    <s v="MFC"/>
    <s v="IBMCA"/>
    <s v="ALL GROUPS"/>
    <n v="0"/>
    <n v="0"/>
  </r>
  <r>
    <s v="alex_buena@manulifesecurities.ca"/>
    <s v="MFC"/>
    <x v="0"/>
    <n v="570025"/>
    <n v="3"/>
    <d v="2017-09-17T23:00:52"/>
    <x v="0"/>
    <x v="5"/>
    <s v="danielle.dibenedetto@manulifesecurities.ca"/>
    <n v="909245"/>
    <s v="User Account"/>
    <n v="1"/>
    <s v="AtBelow"/>
    <s v="CC_Portal"/>
    <n v="0"/>
    <s v="MFC"/>
    <s v="IBMCA"/>
    <s v="ACTIVE ADVISORS AND ASSISTANTS"/>
    <n v="0"/>
    <n v="0"/>
  </r>
  <r>
    <s v="alex_buena@manulifesecurities.ca"/>
    <s v="MFC"/>
    <x v="0"/>
    <n v="570025"/>
    <n v="3"/>
    <d v="2017-09-17T23:00:33"/>
    <x v="0"/>
    <x v="5"/>
    <s v="danielle.dibenedetto@manulifesecurities.ca"/>
    <n v="909245"/>
    <s v="User Account"/>
    <n v="1"/>
    <s v="AtBelow"/>
    <s v="CC_Portal"/>
    <n v="0"/>
    <s v="MFC"/>
    <s v="IBMCA"/>
    <s v="ACTIVE ADVISORS AND ASSISTANTS"/>
    <n v="0"/>
    <n v="0"/>
  </r>
  <r>
    <s v="alex_buena@manulifesecurities.ca"/>
    <s v="MFC"/>
    <x v="0"/>
    <n v="570025"/>
    <n v="3"/>
    <d v="2017-09-17T22:57:25"/>
    <x v="5"/>
    <x v="7"/>
    <s v="danielle.dibenedetto@manulifesecurities.ca"/>
    <n v="909245"/>
    <s v="User Account"/>
    <n v="1"/>
    <s v="AtBelow"/>
    <s v="CC_Portal"/>
    <s v="PrimaryEmail=danielle.dibenedetto@manulifesecurities.ca"/>
    <s v="MFC"/>
    <s v="IBMCA"/>
    <s v="ACTIVE ADVISORS AND ASSISTANTS"/>
    <n v="0"/>
    <n v="0"/>
  </r>
  <r>
    <s v="ssotest@mfc.sps.local"/>
    <s v="MFC"/>
    <x v="0"/>
    <n v="551367"/>
    <n v="1000"/>
    <d v="2017-09-17T22:56:46"/>
    <x v="0"/>
    <x v="0"/>
    <s v="Saverio.DiMondo@manulifesecurities.ca"/>
    <n v="553948"/>
    <s v="User Account"/>
    <n v="1"/>
    <s v="AtBelow"/>
    <s v="CC_Portal"/>
    <n v="0"/>
    <s v="MFC"/>
    <s v="IBMCA"/>
    <s v="ACTIVE ADVISORS AND ASSISTANTS"/>
    <n v="0"/>
    <n v="0"/>
  </r>
  <r>
    <s v="ssotest@mfc.sps.local"/>
    <s v="MFC"/>
    <x v="0"/>
    <n v="551367"/>
    <n v="1000"/>
    <d v="2017-09-17T22:11:40"/>
    <x v="0"/>
    <x v="0"/>
    <s v="George.Martyniuk@manulifesecurities.ca"/>
    <n v="551701"/>
    <s v="User Account"/>
    <n v="1"/>
    <s v="AtBelow"/>
    <s v="CC_Portal"/>
    <n v="0"/>
    <s v="MFC"/>
    <s v="IBMCA"/>
    <s v="ACTIVE ADVISORS AND ASSISTANTS"/>
    <n v="0"/>
    <n v="0"/>
  </r>
  <r>
    <s v="alex_buena@manulifesecurities.ca"/>
    <s v="MFC"/>
    <x v="0"/>
    <n v="570025"/>
    <n v="3"/>
    <d v="2017-09-17T22:05:34"/>
    <x v="4"/>
    <x v="8"/>
    <s v="ChrisG.Simpson@manulifesecurities.ca"/>
    <n v="893653"/>
    <s v="User Account"/>
    <n v="1"/>
    <s v="SelfBelow"/>
    <s v="CC_Portal"/>
    <s v="DeletedAliases=chris.simpson@manulifesecurities.ca"/>
    <s v="MFC"/>
    <s v="IBMCA"/>
    <s v="ACTIVE ADVISORS AND ASSISTANTS"/>
    <n v="0"/>
    <n v="0"/>
  </r>
  <r>
    <s v="ssotest@mfc.sps.local"/>
    <s v="MFC"/>
    <x v="0"/>
    <n v="551367"/>
    <n v="1000"/>
    <d v="2017-09-17T18:56:10"/>
    <x v="0"/>
    <x v="0"/>
    <s v="Lakshmi.Pillai@manulifesecurities.ca"/>
    <n v="553141"/>
    <s v="User Account"/>
    <n v="1"/>
    <s v="AtBelow"/>
    <s v="CC_Portal"/>
    <n v="0"/>
    <s v="MFC"/>
    <s v="IBMCA"/>
    <s v="ACTIVE ADVISORS AND ASSISTANTS"/>
    <n v="0"/>
    <n v="0"/>
  </r>
  <r>
    <s v="crystal.parkinson@manulifesecurities.ca"/>
    <s v="MFC"/>
    <x v="0"/>
    <n v="637976"/>
    <n v="1"/>
    <d v="2017-09-15T18:52:47"/>
    <x v="2"/>
    <x v="1"/>
    <s v="crystal.parkinson@manulifesecurities.ca"/>
    <n v="637976"/>
    <s v="User Account"/>
    <n v="0"/>
    <s v="Deny"/>
    <s v="CC_Portal"/>
    <n v="0"/>
    <s v="MFC"/>
    <s v="IBMCA"/>
    <s v="ACTIVE ADVISORS AND ASSISTANTS"/>
    <n v="0"/>
    <n v="0"/>
  </r>
  <r>
    <s v="crystal.parkinson@manulifesecurities.ca"/>
    <s v="MFC"/>
    <x v="0"/>
    <n v="637976"/>
    <n v="1"/>
    <d v="2017-09-15T18:52:46"/>
    <x v="1"/>
    <x v="1"/>
    <s v="crystal.parkinson@manulifesecurities.ca"/>
    <n v="637976"/>
    <s v="User Account"/>
    <n v="0"/>
    <s v="Deny"/>
    <s v="CC_Portal"/>
    <n v="0"/>
    <s v="MFC"/>
    <s v="IBMCA"/>
    <s v="ACTIVE ADVISORS AND ASSISTANTS"/>
    <n v="0"/>
    <n v="0"/>
  </r>
  <r>
    <s v="ssotest@mfc.sps.local"/>
    <s v="MFC"/>
    <x v="0"/>
    <n v="551367"/>
    <n v="1000"/>
    <d v="2017-09-15T18:42:29"/>
    <x v="0"/>
    <x v="0"/>
    <s v="caleb.park@manulifesecurities.ca"/>
    <n v="630976"/>
    <s v="User Account"/>
    <n v="1"/>
    <s v="AtBelow"/>
    <s v="CC_Portal"/>
    <n v="0"/>
    <s v="MFC"/>
    <s v="IBMCA"/>
    <s v="ACTIVE ADVISORS AND ASSISTANTS"/>
    <n v="0"/>
    <n v="0"/>
  </r>
  <r>
    <s v="ssotest@mfc.sps.local"/>
    <s v="MFC"/>
    <x v="0"/>
    <n v="551367"/>
    <n v="1000"/>
    <d v="2017-09-15T17:49:16"/>
    <x v="0"/>
    <x v="0"/>
    <s v="Kathy.Connaughton@manulifesecurities.ca"/>
    <n v="553030"/>
    <s v="User Account"/>
    <n v="1"/>
    <s v="AtBelow"/>
    <s v="CC_Portal"/>
    <n v="0"/>
    <s v="MFC"/>
    <s v="IBMCA"/>
    <s v="ACTIVE ADVISORS AND ASSISTANTS"/>
    <n v="0"/>
    <n v="0"/>
  </r>
  <r>
    <s v="marshall.hett@manulifesecurities.ca"/>
    <s v="MFC"/>
    <x v="0"/>
    <n v="707864"/>
    <n v="3"/>
    <d v="2017-09-15T17:30:57"/>
    <x v="3"/>
    <x v="2"/>
    <s v="Paul.Thomas@manulifesecurities.ca"/>
    <n v="553679"/>
    <s v="User Account"/>
    <n v="1"/>
    <s v="AtBelow"/>
    <s v="CC_WebService"/>
    <m/>
    <s v="MFC"/>
    <s v="IBMCA"/>
    <s v="ACTIVE ADVISORS AND ASSISTANTS"/>
    <n v="0"/>
    <n v="0"/>
  </r>
  <r>
    <s v="crystal.parkinson@manulifesecurities.ca"/>
    <s v="MFC"/>
    <x v="0"/>
    <n v="637976"/>
    <n v="1"/>
    <d v="2017-09-15T17:10:34"/>
    <x v="1"/>
    <x v="1"/>
    <s v="crystal.parkinson@manulifesecurities.ca"/>
    <n v="637976"/>
    <s v="User Account"/>
    <n v="0"/>
    <s v="Deny"/>
    <s v="CC_Portal"/>
    <n v="0"/>
    <s v="MFC"/>
    <s v="IBMCA"/>
    <s v="ACTIVE ADVISORS AND ASSISTANTS"/>
    <n v="0"/>
    <n v="0"/>
  </r>
  <r>
    <s v="crystal.parkinson@manulifesecurities.ca"/>
    <s v="MFC"/>
    <x v="0"/>
    <n v="637976"/>
    <n v="1"/>
    <d v="2017-09-15T17:10:34"/>
    <x v="2"/>
    <x v="1"/>
    <s v="crystal.parkinson@manulifesecurities.ca"/>
    <n v="637976"/>
    <s v="User Account"/>
    <n v="0"/>
    <s v="Deny"/>
    <s v="CC_Portal"/>
    <n v="0"/>
    <s v="MFC"/>
    <s v="IBMCA"/>
    <s v="ACTIVE ADVISORS AND ASSISTANTS"/>
    <n v="0"/>
    <n v="0"/>
  </r>
  <r>
    <s v="ssotest@mfc.sps.local"/>
    <s v="MFC"/>
    <x v="0"/>
    <n v="551367"/>
    <n v="1000"/>
    <d v="2017-09-15T16:44:21"/>
    <x v="0"/>
    <x v="0"/>
    <s v="Paul.Thomas@manulifesecurities.ca"/>
    <n v="553679"/>
    <s v="User Account"/>
    <n v="1"/>
    <s v="AtBelow"/>
    <s v="CC_Portal"/>
    <n v="0"/>
    <s v="MFC"/>
    <s v="IBMCA"/>
    <s v="ACTIVE ADVISORS AND ASSISTANTS"/>
    <n v="0"/>
    <n v="0"/>
  </r>
  <r>
    <s v="marshall.hett@manulifesecurities.ca"/>
    <s v="MFC"/>
    <x v="0"/>
    <n v="707864"/>
    <n v="3"/>
    <d v="2017-09-15T16:20:03"/>
    <x v="3"/>
    <x v="2"/>
    <s v="Peter.Graham@manulifesecurities.ca"/>
    <n v="553701"/>
    <s v="User Account"/>
    <n v="1"/>
    <s v="AtBelow"/>
    <s v="CC_WebService"/>
    <m/>
    <s v="MFC"/>
    <s v="IBMCA"/>
    <s v="ACTIVE ADVISORS AND ASSISTANTS"/>
    <n v="0"/>
    <n v="0"/>
  </r>
  <r>
    <s v="cameron.price@manulifesecurities.ca"/>
    <s v="MFC"/>
    <x v="0"/>
    <n v="627564"/>
    <n v="3"/>
    <d v="2017-09-15T16:07:28"/>
    <x v="0"/>
    <x v="9"/>
    <s v="christelle.arouko@manulifesecurities.ca"/>
    <n v="907988"/>
    <s v="User Account"/>
    <n v="1"/>
    <s v="AtBelow"/>
    <s v="CC_Portal"/>
    <s v="Enable"/>
    <s v="MFC"/>
    <s v="IBMCA"/>
    <s v="ACTIVE ADVISORS AND ASSISTANTS"/>
    <n v="0"/>
    <n v="0"/>
  </r>
  <r>
    <s v="ssotest@mfc.sps.local"/>
    <s v="MFC"/>
    <x v="0"/>
    <n v="551367"/>
    <n v="1000"/>
    <d v="2017-09-15T16:03:48"/>
    <x v="0"/>
    <x v="0"/>
    <s v="christelle.arouko@manulifesecurities.ca"/>
    <n v="907988"/>
    <s v="User Account"/>
    <n v="1"/>
    <s v="AtBelow"/>
    <s v="CC_Portal"/>
    <n v="0"/>
    <s v="MFC"/>
    <s v="IBMCA"/>
    <s v="ACTIVE ADVISORS AND ASSISTANTS"/>
    <n v="0"/>
    <n v="0"/>
  </r>
  <r>
    <s v="ssotest@mfc.sps.local"/>
    <s v="MFC"/>
    <x v="0"/>
    <n v="551367"/>
    <n v="1000"/>
    <d v="2017-09-15T15:54:56"/>
    <x v="0"/>
    <x v="0"/>
    <s v="Dino.Comegna@manulifesecurities.ca"/>
    <n v="552387"/>
    <s v="User Account"/>
    <n v="1"/>
    <s v="AtBelow"/>
    <s v="CC_Portal"/>
    <n v="0"/>
    <s v="MFC"/>
    <s v="IBMCA"/>
    <s v="ACTIVE ADVISORS AND ASSISTANTS"/>
    <n v="0"/>
    <n v="0"/>
  </r>
  <r>
    <s v="ssotest@mfc.sps.local"/>
    <s v="MFC"/>
    <x v="0"/>
    <n v="551367"/>
    <n v="1000"/>
    <d v="2017-09-15T15:28:01"/>
    <x v="0"/>
    <x v="0"/>
    <s v="Heather.Hills@manulifesecurities.ca"/>
    <n v="552656"/>
    <s v="User Account"/>
    <n v="1"/>
    <s v="AtBelow"/>
    <s v="CC_Portal"/>
    <n v="0"/>
    <s v="MFC"/>
    <s v="IBMCA"/>
    <s v="ACTIVE ADVISORS AND ASSISTANTS"/>
    <n v="0"/>
    <n v="0"/>
  </r>
  <r>
    <s v="crystal.parkinson@manulifesecurities.ca"/>
    <s v="MFC"/>
    <x v="0"/>
    <n v="637976"/>
    <n v="1"/>
    <d v="2017-09-15T15:18:11"/>
    <x v="1"/>
    <x v="1"/>
    <s v="crystal.parkinson@manulifesecurities.ca"/>
    <n v="637976"/>
    <s v="User Account"/>
    <n v="0"/>
    <s v="Deny"/>
    <s v="CC_Portal"/>
    <n v="0"/>
    <s v="MFC"/>
    <s v="IBMCA"/>
    <s v="ACTIVE ADVISORS AND ASSISTANTS"/>
    <n v="0"/>
    <n v="0"/>
  </r>
  <r>
    <s v="crystal.parkinson@manulifesecurities.ca"/>
    <s v="MFC"/>
    <x v="0"/>
    <n v="637976"/>
    <n v="1"/>
    <d v="2017-09-15T15:18:11"/>
    <x v="2"/>
    <x v="1"/>
    <s v="crystal.parkinson@manulifesecurities.ca"/>
    <n v="637976"/>
    <s v="User Account"/>
    <n v="0"/>
    <s v="Deny"/>
    <s v="CC_Portal"/>
    <n v="0"/>
    <s v="MFC"/>
    <s v="IBMCA"/>
    <s v="ACTIVE ADVISORS AND ASSISTANTS"/>
    <n v="0"/>
    <n v="0"/>
  </r>
  <r>
    <s v="onauffer@cc"/>
    <n v="0"/>
    <x v="1"/>
    <n v="690215"/>
    <n v="1000"/>
    <d v="2017-09-15T14:21:55"/>
    <x v="6"/>
    <x v="13"/>
    <s v="dean.rose@manulifesecurities.ca"/>
    <n v="909195"/>
    <s v="User Account"/>
    <n v="1"/>
    <s v="AtBelow"/>
    <s v="CC_Portal"/>
    <s v="Primary=dean.rose@manulifesecurities.ca"/>
    <s v="MFC"/>
    <s v="IBMCA"/>
    <s v="ACTIVE ADVISORS AND ASSISTANTS"/>
    <n v="0"/>
    <n v="0"/>
  </r>
  <r>
    <s v="onauffer@cc"/>
    <n v="0"/>
    <x v="1"/>
    <n v="690215"/>
    <n v="1000"/>
    <d v="2017-09-15T14:20:49"/>
    <x v="7"/>
    <x v="14"/>
    <s v="Dean.Rose@manulifesecurities.ca"/>
    <n v="552330"/>
    <s v="User Account"/>
    <n v="1"/>
    <s v="AtBelow"/>
    <s v="CC_Portal"/>
    <s v="PrimaryEmail=Dean.Rose@manulifesecurities.ca"/>
    <s v="MFC"/>
    <s v="IBMCA"/>
    <s v="DISABLED USERS"/>
    <n v="0"/>
    <n v="0"/>
  </r>
  <r>
    <s v="ssotest@mfc.sps.local"/>
    <s v="MFC"/>
    <x v="0"/>
    <n v="551367"/>
    <n v="1000"/>
    <d v="2017-09-15T14:19:59"/>
    <x v="0"/>
    <x v="0"/>
    <s v="Andrew.Riley@manulifesecurities.ca"/>
    <n v="551809"/>
    <s v="User Account"/>
    <n v="1"/>
    <s v="AtBelow"/>
    <s v="CC_Portal"/>
    <n v="0"/>
    <s v="MFC"/>
    <s v="IBMCA"/>
    <s v="ACTIVE ADVISORS AND ASSISTANTS"/>
    <n v="0"/>
    <n v="0"/>
  </r>
  <r>
    <s v="onauffer@cc"/>
    <n v="0"/>
    <x v="1"/>
    <n v="690215"/>
    <n v="1000"/>
    <d v="2017-09-15T14:19:00"/>
    <x v="0"/>
    <x v="3"/>
    <s v="Dean.Rose@manulifesecurities.ca"/>
    <n v="552330"/>
    <s v="User Account"/>
    <n v="1"/>
    <s v="AtBelow"/>
    <s v="CC_Portal"/>
    <s v="Enable"/>
    <s v="MFC"/>
    <s v="IBMCA"/>
    <s v="DISABLED USERS"/>
    <n v="0"/>
    <n v="0"/>
  </r>
  <r>
    <s v="priscilla.misir@manulifesecurities.ca"/>
    <s v="MFC"/>
    <x v="0"/>
    <n v="674396"/>
    <n v="3"/>
    <d v="2017-09-15T14:18:32"/>
    <x v="0"/>
    <x v="4"/>
    <s v="brian.norton@manulifesecurities.ca"/>
    <n v="718368"/>
    <s v="User Account"/>
    <n v="1"/>
    <s v="AtBelow"/>
    <s v="CC_Portal"/>
    <s v="oldOrgGroup=ACTIVE ADVISORS AND ASSISTANTS;newOrgGroup=DISABLED USERS"/>
    <s v="MFC"/>
    <s v="IBMCA"/>
    <s v="DISABLED USERS"/>
    <n v="0"/>
    <n v="0"/>
  </r>
  <r>
    <s v="priscilla.misir@manulifesecurities.ca"/>
    <s v="MFC"/>
    <x v="0"/>
    <n v="674396"/>
    <n v="3"/>
    <d v="2017-09-15T14:17:33"/>
    <x v="0"/>
    <x v="5"/>
    <s v="brian.norton@manulifesecurities.ca"/>
    <n v="718368"/>
    <s v="User Account"/>
    <n v="1"/>
    <s v="AtBelow"/>
    <s v="CC_Portal"/>
    <n v="0"/>
    <s v="MFC"/>
    <s v="IBMCA"/>
    <s v="ACTIVE ADVISORS AND ASSISTANTS"/>
    <n v="0"/>
    <n v="0"/>
  </r>
  <r>
    <s v="priscilla.misir@manulifesecurities.ca"/>
    <s v="MFC"/>
    <x v="0"/>
    <n v="674396"/>
    <n v="3"/>
    <d v="2017-09-15T14:17:32"/>
    <x v="4"/>
    <x v="6"/>
    <s v="MSI_autoEmailArchive@manulifesecurities.ca"/>
    <n v="561482"/>
    <s v="Distribution List"/>
    <n v="1"/>
    <s v="Any"/>
    <s v="CC_Portal"/>
    <s v="821f472f9f8d4e85bd705cbce9326504"/>
    <s v="MFC"/>
    <s v="IBMCA"/>
    <s v="ALL GROUPS"/>
    <n v="0"/>
    <n v="0"/>
  </r>
  <r>
    <s v="priscilla.misir@manulifesecurities.ca"/>
    <s v="MFC"/>
    <x v="0"/>
    <n v="674396"/>
    <n v="3"/>
    <d v="2017-09-15T14:17:30"/>
    <x v="4"/>
    <x v="6"/>
    <s v="AllAdvisors@manulifesecurities.ca"/>
    <n v="555659"/>
    <s v="Distribution List"/>
    <n v="1"/>
    <s v="Any"/>
    <s v="CC_Portal"/>
    <s v="821f472f9f8d4e85bd705cbce9326504"/>
    <s v="MFC"/>
    <s v="IBMCA"/>
    <s v="ALL GROUPS"/>
    <n v="0"/>
    <n v="0"/>
  </r>
  <r>
    <s v="priscilla.misir@manulifesecurities.ca"/>
    <s v="MFC"/>
    <x v="0"/>
    <n v="674396"/>
    <n v="3"/>
    <d v="2017-09-15T14:17:27"/>
    <x v="0"/>
    <x v="5"/>
    <s v="brian.norton@manulifesecurities.ca"/>
    <n v="718368"/>
    <s v="User Account"/>
    <n v="1"/>
    <s v="AtBelow"/>
    <s v="CC_Portal"/>
    <n v="0"/>
    <s v="MFC"/>
    <s v="IBMCA"/>
    <s v="ACTIVE ADVISORS AND ASSISTANTS"/>
    <n v="0"/>
    <n v="0"/>
  </r>
  <r>
    <s v="priscilla.misir@manulifesecurities.ca"/>
    <s v="MFC"/>
    <x v="0"/>
    <n v="674396"/>
    <n v="3"/>
    <d v="2017-09-15T14:11:35"/>
    <x v="0"/>
    <x v="5"/>
    <s v="brian.norton@manulifesecurities.ca"/>
    <n v="718368"/>
    <s v="User Account"/>
    <n v="1"/>
    <s v="AtBelow"/>
    <s v="CC_Portal"/>
    <n v="0"/>
    <s v="MFC"/>
    <s v="IBMCA"/>
    <s v="ACTIVE ADVISORS AND ASSISTANTS"/>
    <n v="0"/>
    <n v="0"/>
  </r>
  <r>
    <s v="priscilla.misir@manulifesecurities.ca"/>
    <s v="MFC"/>
    <x v="0"/>
    <n v="674396"/>
    <n v="3"/>
    <d v="2017-09-15T14:00:32"/>
    <x v="0"/>
    <x v="3"/>
    <s v="brian.norton@manulifesecurities.ca"/>
    <n v="718368"/>
    <s v="User Account"/>
    <n v="1"/>
    <s v="AtBelow"/>
    <s v="CC_Portal"/>
    <s v="Disable"/>
    <s v="MFC"/>
    <s v="IBMCA"/>
    <s v="ACTIVE ADVISORS AND ASSISTANTS"/>
    <n v="0"/>
    <n v="0"/>
  </r>
  <r>
    <s v="priscilla.misir@manulifesecurities.ca"/>
    <s v="MFC"/>
    <x v="0"/>
    <n v="674396"/>
    <n v="3"/>
    <d v="2017-09-15T13:59:03"/>
    <x v="0"/>
    <x v="3"/>
    <s v="brian.norton@manulifesecurities.ca"/>
    <n v="718368"/>
    <s v="User Account"/>
    <n v="1"/>
    <s v="AtBelow"/>
    <s v="CC_Portal"/>
    <s v="Disable"/>
    <s v="MFC"/>
    <s v="IBMCA"/>
    <s v="ACTIVE ADVISORS AND ASSISTANTS"/>
    <n v="0"/>
    <n v="0"/>
  </r>
  <r>
    <s v="ssotest@mfc.sps.local"/>
    <s v="MFC"/>
    <x v="0"/>
    <n v="551367"/>
    <n v="1000"/>
    <d v="2017-09-15T13:50:37"/>
    <x v="0"/>
    <x v="0"/>
    <s v="Andrew.Riley@manulifesecurities.ca"/>
    <n v="551809"/>
    <s v="User Account"/>
    <n v="1"/>
    <s v="AtBelow"/>
    <s v="CC_Portal"/>
    <n v="0"/>
    <s v="MFC"/>
    <s v="IBMCA"/>
    <s v="ACTIVE ADVISORS AND ASSISTANTS"/>
    <n v="0"/>
    <n v="0"/>
  </r>
  <r>
    <s v="ssotest@mfc.sps.local"/>
    <s v="MFC"/>
    <x v="0"/>
    <n v="551367"/>
    <n v="1000"/>
    <d v="2017-09-15T13:21:23"/>
    <x v="0"/>
    <x v="0"/>
    <s v="Robert.Simoes@manulifesecurities.ca"/>
    <n v="553844"/>
    <s v="User Account"/>
    <n v="1"/>
    <s v="AtBelow"/>
    <s v="CC_Portal"/>
    <n v="0"/>
    <s v="MFC"/>
    <s v="IBMCA"/>
    <s v="ACTIVE ADVISORS AND ASSISTANTS"/>
    <n v="0"/>
    <n v="0"/>
  </r>
  <r>
    <s v="crystal.parkinson@manulifesecurities.ca"/>
    <s v="MFC"/>
    <x v="0"/>
    <n v="637976"/>
    <n v="1"/>
    <d v="2017-09-15T13:07:38"/>
    <x v="1"/>
    <x v="1"/>
    <s v="crystal.parkinson@manulifesecurities.ca"/>
    <n v="637976"/>
    <s v="User Account"/>
    <n v="0"/>
    <s v="Deny"/>
    <s v="CC_Portal"/>
    <n v="0"/>
    <s v="MFC"/>
    <s v="IBMCA"/>
    <s v="ACTIVE ADVISORS AND ASSISTANTS"/>
    <n v="0"/>
    <n v="0"/>
  </r>
  <r>
    <s v="crystal.parkinson@manulifesecurities.ca"/>
    <s v="MFC"/>
    <x v="0"/>
    <n v="637976"/>
    <n v="1"/>
    <d v="2017-09-15T13:07:38"/>
    <x v="2"/>
    <x v="1"/>
    <s v="crystal.parkinson@manulifesecurities.ca"/>
    <n v="637976"/>
    <s v="User Account"/>
    <n v="0"/>
    <s v="Deny"/>
    <s v="CC_Portal"/>
    <n v="0"/>
    <s v="MFC"/>
    <s v="IBMCA"/>
    <s v="ACTIVE ADVISORS AND ASSISTANTS"/>
    <n v="0"/>
    <n v="0"/>
  </r>
  <r>
    <s v="ssotest@mfc.sps.local"/>
    <s v="MFC"/>
    <x v="0"/>
    <n v="551367"/>
    <n v="1000"/>
    <d v="2017-09-15T12:15:26"/>
    <x v="0"/>
    <x v="0"/>
    <s v="Mark.Leech@manulifesecurities.ca"/>
    <n v="553362"/>
    <s v="User Account"/>
    <n v="1"/>
    <s v="AtBelow"/>
    <s v="CC_Portal"/>
    <n v="0"/>
    <s v="MFC"/>
    <s v="IBMCA"/>
    <s v="ACTIVE ADVISORS AND ASSISTANTS"/>
    <n v="0"/>
    <n v="0"/>
  </r>
  <r>
    <s v="priscilla.misir@manulifesecurities.ca"/>
    <s v="MFC"/>
    <x v="0"/>
    <n v="674396"/>
    <n v="3"/>
    <d v="2017-09-15T11:49:13"/>
    <x v="0"/>
    <x v="4"/>
    <s v="Jeff.Garnett@manulifesecurities.ca"/>
    <n v="552800"/>
    <s v="User Account"/>
    <n v="1"/>
    <s v="AtBelow"/>
    <s v="CC_Portal"/>
    <s v="oldOrgGroup=ACTIVE ADVISORS AND ASSISTANTS;newOrgGroup=DISABLED USERS"/>
    <s v="MFC"/>
    <s v="IBMCA"/>
    <s v="DISABLED USERS"/>
    <n v="0"/>
    <n v="0"/>
  </r>
  <r>
    <s v="priscilla.misir@manulifesecurities.ca"/>
    <s v="MFC"/>
    <x v="0"/>
    <n v="674396"/>
    <n v="3"/>
    <d v="2017-09-15T11:48:34"/>
    <x v="0"/>
    <x v="5"/>
    <s v="Jeff.Garnett@manulifesecurities.ca"/>
    <n v="552800"/>
    <s v="User Account"/>
    <n v="1"/>
    <s v="AtBelow"/>
    <s v="CC_Portal"/>
    <n v="0"/>
    <s v="MFC"/>
    <s v="IBMCA"/>
    <s v="ACTIVE ADVISORS AND ASSISTANTS"/>
    <n v="0"/>
    <n v="0"/>
  </r>
  <r>
    <s v="priscilla.misir@manulifesecurities.ca"/>
    <s v="MFC"/>
    <x v="0"/>
    <n v="674396"/>
    <n v="3"/>
    <d v="2017-09-15T11:48:33"/>
    <x v="4"/>
    <x v="6"/>
    <s v="MSI_autoEmailArchive@manulifesecurities.ca"/>
    <n v="561482"/>
    <s v="Distribution List"/>
    <n v="1"/>
    <s v="Any"/>
    <s v="CC_Portal"/>
    <s v="f0dfe3ce21f64fdcb54814f49a9023d0"/>
    <s v="MFC"/>
    <s v="IBMCA"/>
    <s v="ALL GROUPS"/>
    <n v="0"/>
    <n v="0"/>
  </r>
  <r>
    <s v="priscilla.misir@manulifesecurities.ca"/>
    <s v="MFC"/>
    <x v="0"/>
    <n v="674396"/>
    <n v="3"/>
    <d v="2017-09-15T11:48:31"/>
    <x v="4"/>
    <x v="6"/>
    <s v="AllAdvisors@manulifesecurities.ca"/>
    <n v="555659"/>
    <s v="Distribution List"/>
    <n v="1"/>
    <s v="Any"/>
    <s v="CC_Portal"/>
    <s v="f0dfe3ce21f64fdcb54814f49a9023d0"/>
    <s v="MFC"/>
    <s v="IBMCA"/>
    <s v="ALL GROUPS"/>
    <n v="0"/>
    <n v="0"/>
  </r>
  <r>
    <s v="priscilla.misir@manulifesecurities.ca"/>
    <s v="MFC"/>
    <x v="0"/>
    <n v="674396"/>
    <n v="3"/>
    <d v="2017-09-15T11:48:30"/>
    <x v="4"/>
    <x v="6"/>
    <s v="Advisors@manulifesecurities.ca"/>
    <n v="555668"/>
    <s v="Distribution List"/>
    <n v="1"/>
    <s v="Any"/>
    <s v="CC_Portal"/>
    <s v="f0dfe3ce21f64fdcb54814f49a9023d0"/>
    <s v="MFC"/>
    <s v="IBMCA"/>
    <s v="ALL GROUPS"/>
    <n v="0"/>
    <n v="0"/>
  </r>
  <r>
    <s v="priscilla.misir@manulifesecurities.ca"/>
    <s v="MFC"/>
    <x v="0"/>
    <n v="674396"/>
    <n v="3"/>
    <d v="2017-09-15T11:48:19"/>
    <x v="0"/>
    <x v="5"/>
    <s v="Jeff.Garnett@manulifesecurities.ca"/>
    <n v="552800"/>
    <s v="User Account"/>
    <n v="1"/>
    <s v="AtBelow"/>
    <s v="CC_Portal"/>
    <n v="0"/>
    <s v="MFC"/>
    <s v="IBMCA"/>
    <s v="ACTIVE ADVISORS AND ASSISTANTS"/>
    <n v="0"/>
    <n v="0"/>
  </r>
  <r>
    <s v="priscilla.misir@manulifesecurities.ca"/>
    <s v="MFC"/>
    <x v="0"/>
    <n v="674396"/>
    <n v="3"/>
    <d v="2017-09-15T11:48:11"/>
    <x v="0"/>
    <x v="5"/>
    <s v="Jeff.Garnett@manulifesecurities.ca"/>
    <n v="552800"/>
    <s v="User Account"/>
    <n v="1"/>
    <s v="AtBelow"/>
    <s v="CC_Portal"/>
    <n v="0"/>
    <s v="MFC"/>
    <s v="IBMCA"/>
    <s v="ACTIVE ADVISORS AND ASSISTANTS"/>
    <n v="0"/>
    <n v="0"/>
  </r>
  <r>
    <s v="priscilla.misir@manulifesecurities.ca"/>
    <s v="MFC"/>
    <x v="0"/>
    <n v="674396"/>
    <n v="3"/>
    <d v="2017-09-15T11:47:02"/>
    <x v="0"/>
    <x v="3"/>
    <s v="Jeff.Garnett@manulifesecurities.ca"/>
    <n v="552800"/>
    <s v="User Account"/>
    <n v="1"/>
    <s v="AtBelow"/>
    <s v="CC_Portal"/>
    <s v="Disable"/>
    <s v="MFC"/>
    <s v="IBMCA"/>
    <s v="ACTIVE ADVISORS AND ASSISTANTS"/>
    <n v="0"/>
    <n v="0"/>
  </r>
  <r>
    <s v="priscilla.misir@manulifesecurities.ca"/>
    <s v="MFC"/>
    <x v="0"/>
    <n v="674396"/>
    <n v="3"/>
    <d v="2017-09-15T11:45:34"/>
    <x v="0"/>
    <x v="3"/>
    <s v="Jeff.Garnett@manulifesecurities.ca"/>
    <n v="552800"/>
    <s v="User Account"/>
    <n v="1"/>
    <s v="AtBelow"/>
    <s v="CC_Portal"/>
    <s v="Disable"/>
    <s v="MFC"/>
    <s v="IBMCA"/>
    <s v="ACTIVE ADVISORS AND ASSISTANTS"/>
    <n v="0"/>
    <n v="0"/>
  </r>
  <r>
    <s v="fahmi.karim@manulifesecurities.ca"/>
    <s v="MFC"/>
    <x v="0"/>
    <n v="809833"/>
    <n v="3"/>
    <d v="2017-09-15T11:07:12"/>
    <x v="3"/>
    <x v="2"/>
    <s v="shiny.mathews@manulifesecurities.ca"/>
    <n v="863560"/>
    <s v="User Account"/>
    <n v="1"/>
    <s v="AtBelow"/>
    <s v="CC_WebService"/>
    <m/>
    <s v="MFC"/>
    <s v="IBMCA"/>
    <s v="ACTIVE ADVISORS AND ASSISTANTS"/>
    <n v="0"/>
    <n v="0"/>
  </r>
  <r>
    <s v="ssotest@mfc.sps.local"/>
    <s v="MFC"/>
    <x v="0"/>
    <n v="551367"/>
    <n v="1000"/>
    <d v="2017-09-15T10:36:08"/>
    <x v="0"/>
    <x v="0"/>
    <s v="vivian.chin@manulifesecurities.ca"/>
    <n v="726386"/>
    <s v="User Account"/>
    <n v="1"/>
    <s v="AtBelow"/>
    <s v="CC_Portal"/>
    <n v="0"/>
    <s v="MFC"/>
    <s v="IBMCA"/>
    <s v="ACTIVE ADVISORS AND ASSISTANTS"/>
    <n v="0"/>
    <n v="0"/>
  </r>
  <r>
    <s v="ssotest@mfc.sps.local"/>
    <s v="MFC"/>
    <x v="0"/>
    <n v="551367"/>
    <n v="1000"/>
    <d v="2017-09-15T10:29:28"/>
    <x v="0"/>
    <x v="0"/>
    <s v="Clarke.Paynter@manulifesecurities.ca"/>
    <n v="552177"/>
    <s v="User Account"/>
    <n v="1"/>
    <s v="AtBelow"/>
    <s v="CC_Portal"/>
    <n v="0"/>
    <s v="MFC"/>
    <s v="IBMCA"/>
    <s v="ACTIVE ADVISORS AND ASSISTANTS"/>
    <n v="0"/>
    <n v="0"/>
  </r>
  <r>
    <s v="ssotest@mfc.sps.local"/>
    <s v="MFC"/>
    <x v="0"/>
    <n v="551367"/>
    <n v="1000"/>
    <d v="2017-09-15T09:55:46"/>
    <x v="0"/>
    <x v="0"/>
    <s v="Laura.Anzik@manulifesecurities.ca"/>
    <n v="553153"/>
    <s v="User Account"/>
    <n v="1"/>
    <s v="AtBelow"/>
    <s v="CC_Portal"/>
    <n v="0"/>
    <s v="MFC"/>
    <s v="IBMCA"/>
    <s v="ACTIVE ADVISORS AND ASSISTANTS"/>
    <n v="0"/>
    <n v="0"/>
  </r>
  <r>
    <s v="ssotest@mfc.sps.local"/>
    <s v="MFC"/>
    <x v="0"/>
    <n v="551367"/>
    <n v="1000"/>
    <d v="2017-09-15T09:49:35"/>
    <x v="0"/>
    <x v="0"/>
    <s v="Kevin.Smith@manulifesecurities.ca"/>
    <n v="553104"/>
    <s v="User Account"/>
    <n v="1"/>
    <s v="AtBelow"/>
    <s v="CC_Portal"/>
    <n v="0"/>
    <s v="MFC"/>
    <s v="IBMCA"/>
    <s v="ACTIVE ADVISORS AND ASSISTANTS"/>
    <n v="0"/>
    <n v="0"/>
  </r>
  <r>
    <s v="ssotest@mfc.sps.local"/>
    <s v="MFC"/>
    <x v="0"/>
    <n v="551367"/>
    <n v="1000"/>
    <d v="2017-09-15T09:46:29"/>
    <x v="0"/>
    <x v="0"/>
    <s v="shiny.mathews@manulifesecurities.ca"/>
    <n v="863560"/>
    <s v="User Account"/>
    <n v="1"/>
    <s v="AtBelow"/>
    <s v="CC_Portal"/>
    <n v="0"/>
    <s v="MFC"/>
    <s v="IBMCA"/>
    <s v="ACTIVE ADVISORS AND ASSISTANTS"/>
    <n v="0"/>
    <n v="0"/>
  </r>
  <r>
    <s v="ssotest@mfc.sps.local"/>
    <s v="MFC"/>
    <x v="0"/>
    <n v="551367"/>
    <n v="1000"/>
    <d v="2017-09-15T09:44:20"/>
    <x v="0"/>
    <x v="0"/>
    <s v="Laura.Phoenix@manulifesecurities.ca"/>
    <n v="553157"/>
    <s v="User Account"/>
    <n v="1"/>
    <s v="AtBelow"/>
    <s v="CC_Portal"/>
    <n v="0"/>
    <s v="MFC"/>
    <s v="IBMCA"/>
    <s v="ACTIVE ADVISORS AND ASSISTANTS"/>
    <n v="0"/>
    <n v="0"/>
  </r>
  <r>
    <s v="ssotest@mfc.sps.local"/>
    <s v="MFC"/>
    <x v="0"/>
    <n v="551367"/>
    <n v="1000"/>
    <d v="2017-09-15T09:28:09"/>
    <x v="0"/>
    <x v="0"/>
    <s v="Peter.Kearns@manulifesecurities.ca"/>
    <n v="553704"/>
    <s v="User Account"/>
    <n v="1"/>
    <s v="AtBelow"/>
    <s v="CC_Portal"/>
    <n v="0"/>
    <s v="MFC"/>
    <s v="IBMCA"/>
    <s v="ACTIVE ADVISORS AND ASSISTANTS"/>
    <n v="0"/>
    <n v="0"/>
  </r>
  <r>
    <s v="ssotest@mfc.sps.local"/>
    <s v="MFC"/>
    <x v="0"/>
    <n v="551367"/>
    <n v="1000"/>
    <d v="2017-09-15T09:18:29"/>
    <x v="0"/>
    <x v="0"/>
    <s v="ivan.lai@manulifesecurities.ca"/>
    <n v="560529"/>
    <s v="User Account"/>
    <n v="1"/>
    <s v="AtBelow"/>
    <s v="CC_Portal"/>
    <n v="0"/>
    <s v="MFC"/>
    <s v="IBMCA"/>
    <s v="DISABLED USERS"/>
    <n v="0"/>
    <n v="0"/>
  </r>
  <r>
    <s v="ssotest@mfc.sps.local"/>
    <s v="MFC"/>
    <x v="0"/>
    <n v="551367"/>
    <n v="1000"/>
    <d v="2017-09-15T07:53:49"/>
    <x v="0"/>
    <x v="0"/>
    <s v="Vickey.Rowe@manulifesecurities.ca"/>
    <n v="566454"/>
    <s v="User Account"/>
    <n v="1"/>
    <s v="AtBelow"/>
    <s v="CC_Portal"/>
    <n v="0"/>
    <s v="MFC"/>
    <s v="IBMCA"/>
    <s v="ACTIVE ADVISORS AND ASSISTANTS"/>
    <n v="0"/>
    <n v="0"/>
  </r>
  <r>
    <s v="ssotest@mfc.sps.local"/>
    <s v="MFC"/>
    <x v="0"/>
    <n v="551367"/>
    <n v="1000"/>
    <d v="2017-09-15T06:37:53"/>
    <x v="0"/>
    <x v="0"/>
    <s v="Glen.Noonan@manulifesecurities.ca"/>
    <n v="552598"/>
    <s v="User Account"/>
    <n v="1"/>
    <s v="AtBelow"/>
    <s v="CC_Portal"/>
    <n v="0"/>
    <s v="MFC"/>
    <s v="IBMCA"/>
    <s v="ACTIVE ADVISORS AND ASSISTANTS"/>
    <n v="0"/>
    <n v="0"/>
  </r>
  <r>
    <s v="ssotest@mfc.sps.local"/>
    <s v="MFC"/>
    <x v="0"/>
    <n v="551367"/>
    <n v="1000"/>
    <d v="2017-09-14T19:14:32"/>
    <x v="0"/>
    <x v="0"/>
    <s v="Andrew.Riley@manulifesecurities.ca"/>
    <n v="551809"/>
    <s v="User Account"/>
    <n v="1"/>
    <s v="AtBelow"/>
    <s v="CC_Portal"/>
    <n v="0"/>
    <s v="MFC"/>
    <s v="IBMCA"/>
    <s v="ACTIVE ADVISORS AND ASSISTANTS"/>
    <n v="0"/>
    <n v="0"/>
  </r>
  <r>
    <s v="ssotest@mfc.sps.local"/>
    <s v="MFC"/>
    <x v="0"/>
    <n v="551367"/>
    <n v="1000"/>
    <d v="2017-09-14T17:06:41"/>
    <x v="0"/>
    <x v="0"/>
    <s v="marcel.casavant@manulifesecurities.ca"/>
    <n v="863812"/>
    <s v="User Account"/>
    <n v="1"/>
    <s v="AtBelow"/>
    <s v="CC_Portal"/>
    <n v="0"/>
    <s v="MFC"/>
    <s v="IBMCA"/>
    <s v="ACTIVE ADVISORS AND ASSISTANTS"/>
    <n v="0"/>
    <n v="0"/>
  </r>
  <r>
    <s v="adiano.kitenge@manulifesecurities.ca"/>
    <s v="MFC"/>
    <x v="0"/>
    <n v="627566"/>
    <n v="3"/>
    <d v="2017-09-14T15:33:27"/>
    <x v="3"/>
    <x v="2"/>
    <s v="Mary.Bray@manulifesecurities.ca"/>
    <n v="553398"/>
    <s v="User Account"/>
    <n v="1"/>
    <s v="AtBelow"/>
    <s v="CC_WebService"/>
    <m/>
    <s v="MFC"/>
    <s v="IBMCA"/>
    <s v="ACTIVE ADVISORS AND ASSISTANTS"/>
    <n v="0"/>
    <n v="0"/>
  </r>
  <r>
    <s v="adiano.kitenge@manulifesecurities.ca"/>
    <s v="MFC"/>
    <x v="0"/>
    <n v="627566"/>
    <n v="3"/>
    <d v="2017-09-14T15:32:45"/>
    <x v="3"/>
    <x v="2"/>
    <s v="Mary.Bray@manulifesecurities.ca"/>
    <n v="553398"/>
    <s v="User Account"/>
    <n v="1"/>
    <s v="AtBelow"/>
    <s v="CC_WebService"/>
    <m/>
    <s v="MFC"/>
    <s v="IBMCA"/>
    <s v="ACTIVE ADVISORS AND ASSISTANTS"/>
    <n v="0"/>
    <n v="0"/>
  </r>
  <r>
    <s v="ssotest@mfc.sps.local"/>
    <s v="MFC"/>
    <x v="0"/>
    <n v="551367"/>
    <n v="1000"/>
    <d v="2017-09-14T15:29:02"/>
    <x v="0"/>
    <x v="0"/>
    <s v="Raghunath.Kamath@manulifesecurities.ca"/>
    <n v="553735"/>
    <s v="User Account"/>
    <n v="1"/>
    <s v="AtBelow"/>
    <s v="CC_Portal"/>
    <n v="0"/>
    <s v="MFC"/>
    <s v="IBMCA"/>
    <s v="ACTIVE ADVISORS AND ASSISTANTS"/>
    <n v="0"/>
    <n v="0"/>
  </r>
  <r>
    <s v="crystal.parkinson@manulifesecurities.ca"/>
    <s v="MFC"/>
    <x v="0"/>
    <n v="637976"/>
    <n v="1"/>
    <d v="2017-09-14T14:59:34"/>
    <x v="1"/>
    <x v="1"/>
    <s v="crystal.parkinson@manulifesecurities.ca"/>
    <n v="637976"/>
    <s v="User Account"/>
    <n v="0"/>
    <s v="Deny"/>
    <s v="CC_Portal"/>
    <n v="0"/>
    <s v="MFC"/>
    <s v="IBMCA"/>
    <s v="ACTIVE ADVISORS AND ASSISTANTS"/>
    <n v="0"/>
    <n v="0"/>
  </r>
  <r>
    <s v="crystal.parkinson@manulifesecurities.ca"/>
    <s v="MFC"/>
    <x v="0"/>
    <n v="637976"/>
    <n v="1"/>
    <d v="2017-09-14T14:59:34"/>
    <x v="2"/>
    <x v="1"/>
    <s v="crystal.parkinson@manulifesecurities.ca"/>
    <n v="637976"/>
    <s v="User Account"/>
    <n v="0"/>
    <s v="Deny"/>
    <s v="CC_Portal"/>
    <n v="0"/>
    <s v="MFC"/>
    <s v="IBMCA"/>
    <s v="ACTIVE ADVISORS AND ASSISTANTS"/>
    <n v="0"/>
    <n v="0"/>
  </r>
  <r>
    <s v="michel.cormier@manulifesecurities.ca"/>
    <s v="MFC"/>
    <x v="0"/>
    <n v="560366"/>
    <n v="3"/>
    <d v="2017-09-14T14:32:04"/>
    <x v="3"/>
    <x v="2"/>
    <s v="Casimiro.Rodrigues@manulifesecurities.ca"/>
    <n v="552077"/>
    <s v="User Account"/>
    <n v="1"/>
    <s v="AtBelow"/>
    <s v="CC_WebService"/>
    <m/>
    <s v="MFC"/>
    <s v="IBMCA"/>
    <s v="ACTIVE ADVISORS AND ASSISTANTS"/>
    <n v="0"/>
    <n v="0"/>
  </r>
  <r>
    <s v="ssotest@mfc.sps.local"/>
    <s v="MFC"/>
    <x v="0"/>
    <n v="551367"/>
    <n v="1000"/>
    <d v="2017-09-14T13:35:12"/>
    <x v="0"/>
    <x v="0"/>
    <s v="jennifer.rowe@manulifesecurities.ca"/>
    <n v="901580"/>
    <s v="User Account"/>
    <n v="1"/>
    <s v="AtBelow"/>
    <s v="CC_Portal"/>
    <n v="0"/>
    <s v="MFC"/>
    <s v="IBMCA"/>
    <s v="ACTIVE ADVISORS AND ASSISTANTS"/>
    <n v="0"/>
    <n v="0"/>
  </r>
  <r>
    <s v="ssotest@mfc.sps.local"/>
    <s v="MFC"/>
    <x v="0"/>
    <n v="551367"/>
    <n v="1000"/>
    <d v="2017-09-14T13:31:43"/>
    <x v="0"/>
    <x v="0"/>
    <s v="Peter.Hammer@manulifesecurities.ca"/>
    <n v="553703"/>
    <s v="User Account"/>
    <n v="1"/>
    <s v="AtBelow"/>
    <s v="CC_Portal"/>
    <n v="0"/>
    <s v="MFC"/>
    <s v="IBMCA"/>
    <s v="ACTIVE ADVISORS AND ASSISTANTS"/>
    <n v="0"/>
    <n v="0"/>
  </r>
  <r>
    <s v="ssotest@mfc.sps.local"/>
    <s v="MFC"/>
    <x v="0"/>
    <n v="551367"/>
    <n v="1000"/>
    <d v="2017-09-14T13:30:40"/>
    <x v="0"/>
    <x v="0"/>
    <s v="Kim.Greenbank@manulifesecurities.ca"/>
    <n v="553113"/>
    <s v="User Account"/>
    <n v="1"/>
    <s v="AtBelow"/>
    <s v="CC_Portal"/>
    <n v="0"/>
    <s v="MFC"/>
    <s v="IBMCA"/>
    <s v="ACTIVE ADVISORS AND ASSISTANTS"/>
    <n v="0"/>
    <n v="0"/>
  </r>
  <r>
    <s v="priscilla.misir@manulifesecurities.ca"/>
    <s v="MFC"/>
    <x v="0"/>
    <n v="674396"/>
    <n v="3"/>
    <d v="2017-09-14T13:28:43"/>
    <x v="0"/>
    <x v="4"/>
    <s v="Tracy.Boire@manulifesecurities.ca"/>
    <n v="554213"/>
    <s v="User Account"/>
    <n v="1"/>
    <s v="AtBelow"/>
    <s v="CC_Portal"/>
    <s v="oldOrgGroup=ACTIVE ADVISORS AND ASSISTANTS;newOrgGroup=DISABLED USERS"/>
    <s v="MFC"/>
    <s v="IBMCA"/>
    <s v="DISABLED USERS"/>
    <n v="0"/>
    <n v="0"/>
  </r>
  <r>
    <s v="priscilla.misir@manulifesecurities.ca"/>
    <s v="MFC"/>
    <x v="0"/>
    <n v="674396"/>
    <n v="3"/>
    <d v="2017-09-14T13:28:13"/>
    <x v="0"/>
    <x v="5"/>
    <s v="Tracy.Boire@manulifesecurities.ca"/>
    <n v="554213"/>
    <s v="User Account"/>
    <n v="1"/>
    <s v="AtBelow"/>
    <s v="CC_Portal"/>
    <n v="0"/>
    <s v="MFC"/>
    <s v="IBMCA"/>
    <s v="ACTIVE ADVISORS AND ASSISTANTS"/>
    <n v="0"/>
    <n v="0"/>
  </r>
  <r>
    <s v="priscilla.misir@manulifesecurities.ca"/>
    <s v="MFC"/>
    <x v="0"/>
    <n v="674396"/>
    <n v="3"/>
    <d v="2017-09-14T13:28:12"/>
    <x v="4"/>
    <x v="6"/>
    <s v="MSI_autoEmailArchive@manulifesecurities.ca"/>
    <n v="561482"/>
    <s v="Distribution List"/>
    <n v="1"/>
    <s v="Any"/>
    <s v="CC_Portal"/>
    <s v="d2fc07eff6914d8e8a6b9c47b589d867"/>
    <s v="MFC"/>
    <s v="IBMCA"/>
    <s v="ALL GROUPS"/>
    <n v="0"/>
    <n v="0"/>
  </r>
  <r>
    <s v="priscilla.misir@manulifesecurities.ca"/>
    <s v="MFC"/>
    <x v="0"/>
    <n v="674396"/>
    <n v="3"/>
    <d v="2017-09-14T13:28:10"/>
    <x v="4"/>
    <x v="6"/>
    <s v="AllAssistants@manulifesecurities.ca"/>
    <n v="555660"/>
    <s v="Distribution List"/>
    <n v="1"/>
    <s v="Any"/>
    <s v="CC_Portal"/>
    <s v="d2fc07eff6914d8e8a6b9c47b589d867"/>
    <s v="MFC"/>
    <s v="IBMCA"/>
    <s v="ALL GROUPS"/>
    <n v="0"/>
    <n v="0"/>
  </r>
  <r>
    <s v="priscilla.misir@manulifesecurities.ca"/>
    <s v="MFC"/>
    <x v="0"/>
    <n v="674396"/>
    <n v="3"/>
    <d v="2017-09-14T13:28:09"/>
    <x v="4"/>
    <x v="6"/>
    <s v="Advisors@manulifesecurities.ca"/>
    <n v="555668"/>
    <s v="Distribution List"/>
    <n v="1"/>
    <s v="Any"/>
    <s v="CC_Portal"/>
    <s v="d2fc07eff6914d8e8a6b9c47b589d867"/>
    <s v="MFC"/>
    <s v="IBMCA"/>
    <s v="ALL GROUPS"/>
    <n v="0"/>
    <n v="0"/>
  </r>
  <r>
    <s v="priscilla.misir@manulifesecurities.ca"/>
    <s v="MFC"/>
    <x v="0"/>
    <n v="674396"/>
    <n v="3"/>
    <d v="2017-09-14T13:28:06"/>
    <x v="0"/>
    <x v="5"/>
    <s v="Tracy.Boire@manulifesecurities.ca"/>
    <n v="554213"/>
    <s v="User Account"/>
    <n v="1"/>
    <s v="AtBelow"/>
    <s v="CC_Portal"/>
    <n v="0"/>
    <s v="MFC"/>
    <s v="IBMCA"/>
    <s v="ACTIVE ADVISORS AND ASSISTANTS"/>
    <n v="0"/>
    <n v="0"/>
  </r>
  <r>
    <s v="priscilla.misir@manulifesecurities.ca"/>
    <s v="MFC"/>
    <x v="0"/>
    <n v="674396"/>
    <n v="3"/>
    <d v="2017-09-14T13:27:48"/>
    <x v="0"/>
    <x v="5"/>
    <s v="Tracy.Boire@manulifesecurities.ca"/>
    <n v="554213"/>
    <s v="User Account"/>
    <n v="1"/>
    <s v="AtBelow"/>
    <s v="CC_Portal"/>
    <n v="0"/>
    <s v="MFC"/>
    <s v="IBMCA"/>
    <s v="ACTIVE ADVISORS AND ASSISTANTS"/>
    <n v="0"/>
    <n v="0"/>
  </r>
  <r>
    <s v="priscilla.misir@manulifesecurities.ca"/>
    <s v="MFC"/>
    <x v="0"/>
    <n v="674396"/>
    <n v="3"/>
    <d v="2017-09-14T13:26:15"/>
    <x v="0"/>
    <x v="3"/>
    <s v="Tracy.Boire@manulifesecurities.ca"/>
    <n v="554213"/>
    <s v="User Account"/>
    <n v="1"/>
    <s v="AtBelow"/>
    <s v="CC_Portal"/>
    <s v="Disable"/>
    <s v="MFC"/>
    <s v="IBMCA"/>
    <s v="ACTIVE ADVISORS AND ASSISTANTS"/>
    <n v="0"/>
    <n v="0"/>
  </r>
  <r>
    <s v="marshall.hett@manulifesecurities.ca"/>
    <s v="MFC"/>
    <x v="0"/>
    <n v="707864"/>
    <n v="3"/>
    <d v="2017-09-14T13:25:26"/>
    <x v="3"/>
    <x v="2"/>
    <s v="yue.lu@manulifesecurities.ca"/>
    <n v="908518"/>
    <s v="User Account"/>
    <n v="1"/>
    <s v="AtBelow"/>
    <s v="CC_WebService"/>
    <m/>
    <s v="MFC"/>
    <s v="IBMCA"/>
    <s v="ACTIVE ADVISORS AND ASSISTANTS"/>
    <n v="0"/>
    <n v="0"/>
  </r>
  <r>
    <s v="ssotest@mfc.sps.local"/>
    <s v="MFC"/>
    <x v="0"/>
    <n v="551367"/>
    <n v="1000"/>
    <d v="2017-09-14T13:10:35"/>
    <x v="0"/>
    <x v="0"/>
    <s v="yue.lu@manulifesecurities.ca"/>
    <n v="908518"/>
    <s v="User Account"/>
    <n v="1"/>
    <s v="AtBelow"/>
    <s v="CC_Portal"/>
    <n v="0"/>
    <s v="MFC"/>
    <s v="IBMCA"/>
    <s v="ACTIVE ADVISORS AND ASSISTANTS"/>
    <n v="0"/>
    <n v="0"/>
  </r>
  <r>
    <s v="ssotest@mfc.sps.local"/>
    <s v="MFC"/>
    <x v="0"/>
    <n v="551367"/>
    <n v="1000"/>
    <d v="2017-09-14T13:05:44"/>
    <x v="0"/>
    <x v="0"/>
    <s v="Ken.Bates@manulifesecurities.ca"/>
    <n v="553064"/>
    <s v="User Account"/>
    <n v="1"/>
    <s v="AtBelow"/>
    <s v="CC_Portal"/>
    <n v="0"/>
    <s v="MFC"/>
    <s v="IBMCA"/>
    <s v="ACTIVE ADVISORS AND ASSISTANTS"/>
    <n v="0"/>
    <n v="0"/>
  </r>
  <r>
    <s v="ssotest@mfc.sps.local"/>
    <s v="MFC"/>
    <x v="0"/>
    <n v="551367"/>
    <n v="1000"/>
    <d v="2017-09-14T13:02:55"/>
    <x v="0"/>
    <x v="0"/>
    <s v="Ken.Bates@manulifesecurities.ca"/>
    <n v="553064"/>
    <s v="User Account"/>
    <n v="1"/>
    <s v="AtBelow"/>
    <s v="CC_Portal"/>
    <n v="0"/>
    <s v="MFC"/>
    <s v="IBMCA"/>
    <s v="ACTIVE ADVISORS AND ASSISTANTS"/>
    <n v="0"/>
    <n v="0"/>
  </r>
  <r>
    <s v="ssotest@mfc.sps.local"/>
    <s v="MFC"/>
    <x v="0"/>
    <n v="551367"/>
    <n v="1000"/>
    <d v="2017-09-14T12:34:04"/>
    <x v="0"/>
    <x v="0"/>
    <s v="Cathy.Stanton@manulifesecurities.ca"/>
    <n v="552092"/>
    <s v="User Account"/>
    <n v="1"/>
    <s v="AtBelow"/>
    <s v="CC_Portal"/>
    <n v="0"/>
    <s v="MFC"/>
    <s v="IBMCA"/>
    <s v="ACTIVE ADVISORS AND ASSISTANTS"/>
    <n v="0"/>
    <n v="0"/>
  </r>
  <r>
    <s v="ssotest@mfc.sps.local"/>
    <s v="MFC"/>
    <x v="0"/>
    <n v="551367"/>
    <n v="1000"/>
    <d v="2017-09-14T11:55:17"/>
    <x v="0"/>
    <x v="0"/>
    <s v="Georges.Achkar@manulifesecurities.ca"/>
    <n v="552577"/>
    <s v="User Account"/>
    <n v="1"/>
    <s v="AtBelow"/>
    <s v="CC_Portal"/>
    <n v="0"/>
    <s v="MFC"/>
    <s v="IBMCA"/>
    <s v="ACTIVE ADVISORS AND ASSISTANTS"/>
    <n v="0"/>
    <n v="0"/>
  </r>
  <r>
    <s v="ssotest@mfc.sps.local"/>
    <s v="MFC"/>
    <x v="0"/>
    <n v="551367"/>
    <n v="1000"/>
    <d v="2017-09-14T11:21:28"/>
    <x v="0"/>
    <x v="0"/>
    <s v="Donna.Mezei@manulifesecurities.ca"/>
    <n v="552413"/>
    <s v="User Account"/>
    <n v="1"/>
    <s v="AtBelow"/>
    <s v="CC_Portal"/>
    <n v="0"/>
    <s v="MFC"/>
    <s v="IBMCA"/>
    <s v="ACTIVE ADVISORS AND ASSISTANTS"/>
    <n v="0"/>
    <n v="0"/>
  </r>
  <r>
    <s v="ssotest@mfc.sps.local"/>
    <s v="MFC"/>
    <x v="0"/>
    <n v="551367"/>
    <n v="1000"/>
    <d v="2017-09-14T11:12:12"/>
    <x v="0"/>
    <x v="0"/>
    <s v="Nancy.Tse@manulifesecurities.ca"/>
    <n v="553578"/>
    <s v="User Account"/>
    <n v="1"/>
    <s v="AtBelow"/>
    <s v="CC_Portal"/>
    <n v="0"/>
    <s v="MFC"/>
    <s v="IBMCA"/>
    <s v="ACTIVE ADVISORS AND ASSISTANTS"/>
    <n v="0"/>
    <n v="0"/>
  </r>
  <r>
    <s v="jody.markovic@manulifesecurities.ca"/>
    <s v="MFC"/>
    <x v="0"/>
    <n v="560579"/>
    <n v="3"/>
    <d v="2017-09-14T11:07:47"/>
    <x v="0"/>
    <x v="0"/>
    <s v="karen.ferguson@manulifesecurities.ca"/>
    <n v="908154"/>
    <s v="User Account"/>
    <n v="1"/>
    <s v="AtBelow"/>
    <s v="CC_Portal"/>
    <n v="0"/>
    <s v="MFC"/>
    <s v="IBMCA"/>
    <s v="ACTIVE ADVISORS AND ASSISTANTS"/>
    <n v="0"/>
    <n v="0"/>
  </r>
  <r>
    <s v="priscilla.misir@manulifesecurities.ca"/>
    <s v="MFC"/>
    <x v="0"/>
    <n v="674396"/>
    <n v="3"/>
    <d v="2017-09-14T11:05:28"/>
    <x v="0"/>
    <x v="5"/>
    <s v="Paula.Gouveia@manulifesecurities.ca"/>
    <n v="553683"/>
    <s v="User Account"/>
    <n v="1"/>
    <s v="AtBelow"/>
    <s v="CC_Portal"/>
    <n v="0"/>
    <s v="MFC"/>
    <s v="IBMCA"/>
    <s v="ACTIVE ADVISORS AND ASSISTANTS"/>
    <n v="0"/>
    <n v="0"/>
  </r>
  <r>
    <s v="priscilla.misir@manulifesecurities.ca"/>
    <s v="MFC"/>
    <x v="0"/>
    <n v="674396"/>
    <n v="3"/>
    <d v="2017-09-14T11:05:26"/>
    <x v="5"/>
    <x v="6"/>
    <s v="MSI_autoSupervision@manulifesecurities.ca"/>
    <n v="561483"/>
    <s v="Distribution List"/>
    <n v="1"/>
    <s v="Any"/>
    <s v="CC_Portal"/>
    <s v="bf4657e17af14065961c4e7cd9ec544f"/>
    <s v="MFC"/>
    <s v="IBMCA"/>
    <s v="ALL GROUPS"/>
    <n v="0"/>
    <n v="0"/>
  </r>
  <r>
    <s v="priscilla.misir@manulifesecurities.ca"/>
    <s v="MFC"/>
    <x v="0"/>
    <n v="674396"/>
    <n v="3"/>
    <d v="2017-09-14T11:05:02"/>
    <x v="0"/>
    <x v="5"/>
    <s v="Paula.Gouveia@manulifesecurities.ca"/>
    <n v="553683"/>
    <s v="User Account"/>
    <n v="1"/>
    <s v="AtBelow"/>
    <s v="CC_Portal"/>
    <n v="0"/>
    <s v="MFC"/>
    <s v="IBMCA"/>
    <s v="ACTIVE ADVISORS AND ASSISTANTS"/>
    <n v="0"/>
    <n v="0"/>
  </r>
  <r>
    <s v="priscilla.misir@manulifesecurities.ca"/>
    <s v="MFC"/>
    <x v="0"/>
    <n v="674396"/>
    <n v="3"/>
    <d v="2017-09-14T11:04:48"/>
    <x v="0"/>
    <x v="5"/>
    <s v="Paula.Gouveia@manulifesecurities.ca"/>
    <n v="553683"/>
    <s v="User Account"/>
    <n v="1"/>
    <s v="AtBelow"/>
    <s v="CC_Portal"/>
    <n v="0"/>
    <s v="MFC"/>
    <s v="IBMCA"/>
    <s v="ACTIVE ADVISORS AND ASSISTANTS"/>
    <n v="0"/>
    <n v="0"/>
  </r>
  <r>
    <s v="ssotest@mfc.sps.local"/>
    <s v="MFC"/>
    <x v="0"/>
    <n v="551367"/>
    <n v="1000"/>
    <d v="2017-09-14T10:34:45"/>
    <x v="0"/>
    <x v="0"/>
    <s v="beth.ruff@manulifesecurities.ca"/>
    <n v="857053"/>
    <s v="User Account"/>
    <n v="1"/>
    <s v="AtBelow"/>
    <s v="CC_Portal"/>
    <n v="0"/>
    <s v="MFC"/>
    <s v="IBMCA"/>
    <s v="ACTIVE ADVISORS AND ASSISTANTS"/>
    <n v="0"/>
    <n v="0"/>
  </r>
  <r>
    <s v="ssotest@mfc.sps.local"/>
    <s v="MFC"/>
    <x v="0"/>
    <n v="551367"/>
    <n v="1000"/>
    <d v="2017-09-14T10:10:12"/>
    <x v="0"/>
    <x v="0"/>
    <s v="Nikki.Gorgichuk@manulifesecurities.ca"/>
    <n v="553613"/>
    <s v="User Account"/>
    <n v="1"/>
    <s v="AtBelow"/>
    <s v="CC_Portal"/>
    <n v="0"/>
    <s v="MFC"/>
    <s v="IBMCA"/>
    <s v="ACTIVE ADVISORS AND ASSISTANTS"/>
    <n v="0"/>
    <n v="0"/>
  </r>
  <r>
    <s v="ssotest@mfc.sps.local"/>
    <s v="MFC"/>
    <x v="0"/>
    <n v="551367"/>
    <n v="1000"/>
    <d v="2017-09-14T10:08:00"/>
    <x v="0"/>
    <x v="0"/>
    <s v="Michael.Hong@manulifesecurities.ca"/>
    <n v="553487"/>
    <s v="User Account"/>
    <n v="1"/>
    <s v="AtBelow"/>
    <s v="CC_Portal"/>
    <n v="0"/>
    <s v="MFC"/>
    <s v="IBMCA"/>
    <s v="ACTIVE ADVISORS AND ASSISTANTS"/>
    <n v="0"/>
    <n v="0"/>
  </r>
  <r>
    <s v="ssotest@mfc.sps.local"/>
    <s v="MFC"/>
    <x v="0"/>
    <n v="551367"/>
    <n v="1000"/>
    <d v="2017-09-14T10:07:57"/>
    <x v="0"/>
    <x v="0"/>
    <s v="Carolyn.Whelan@manulifesecurities.ca"/>
    <n v="552071"/>
    <s v="User Account"/>
    <n v="1"/>
    <s v="AtBelow"/>
    <s v="CC_Portal"/>
    <n v="0"/>
    <s v="MFC"/>
    <s v="IBMCA"/>
    <s v="ACTIVE ADVISORS AND ASSISTANTS"/>
    <n v="0"/>
    <n v="0"/>
  </r>
  <r>
    <s v="ssotest@mfc.sps.local"/>
    <s v="MFC"/>
    <x v="0"/>
    <n v="551367"/>
    <n v="1000"/>
    <d v="2017-09-14T10:05:14"/>
    <x v="0"/>
    <x v="0"/>
    <s v="brenda.vahey@manulifesecurities.ca"/>
    <n v="907578"/>
    <s v="User Account"/>
    <n v="1"/>
    <s v="AtBelow"/>
    <s v="CC_Portal"/>
    <n v="0"/>
    <s v="MFC"/>
    <s v="IBMCA"/>
    <s v="ACTIVE ADVISORS AND ASSISTANTS"/>
    <n v="0"/>
    <n v="0"/>
  </r>
  <r>
    <s v="ssotest@mfc.sps.local"/>
    <s v="MFC"/>
    <x v="0"/>
    <n v="551367"/>
    <n v="1000"/>
    <d v="2017-09-14T09:57:30"/>
    <x v="0"/>
    <x v="0"/>
    <s v="Michelle.Hedley@manulifesecurities.ca"/>
    <n v="553525"/>
    <s v="User Account"/>
    <n v="1"/>
    <s v="AtBelow"/>
    <s v="CC_Portal"/>
    <n v="0"/>
    <s v="MFC"/>
    <s v="IBMCA"/>
    <s v="ACTIVE ADVISORS AND ASSISTANTS"/>
    <n v="0"/>
    <n v="0"/>
  </r>
  <r>
    <s v="ssotest@mfc.sps.local"/>
    <s v="MFC"/>
    <x v="0"/>
    <n v="551367"/>
    <n v="1000"/>
    <d v="2017-09-14T09:48:45"/>
    <x v="0"/>
    <x v="0"/>
    <s v="Michael.Finer@manulifesecurities.ca"/>
    <n v="553479"/>
    <s v="User Account"/>
    <n v="1"/>
    <s v="AtBelow"/>
    <s v="CC_Portal"/>
    <n v="0"/>
    <s v="MFC"/>
    <s v="IBMCA"/>
    <s v="ACTIVE ADVISORS AND ASSISTANTS"/>
    <n v="0"/>
    <n v="0"/>
  </r>
  <r>
    <s v="ssotest@mfc.sps.local"/>
    <s v="MFC"/>
    <x v="0"/>
    <n v="551367"/>
    <n v="1000"/>
    <d v="2017-09-14T09:43:42"/>
    <x v="0"/>
    <x v="0"/>
    <s v="michael.carey@manulifesecurities.ca"/>
    <n v="560727"/>
    <s v="User Account"/>
    <n v="1000"/>
    <s v="AtBelow"/>
    <s v="CC_Portal"/>
    <n v="0"/>
    <s v="MFC"/>
    <s v="IBMCA"/>
    <s v="TEMP - SUPPORT ACCOUNTS"/>
    <n v="0"/>
    <n v="0"/>
  </r>
  <r>
    <s v="ssotest@mfc.sps.local"/>
    <s v="MFC"/>
    <x v="0"/>
    <n v="551367"/>
    <n v="1000"/>
    <d v="2017-09-14T09:36:05"/>
    <x v="0"/>
    <x v="0"/>
    <s v="Jordy.Douglas@manulifesecurities.ca"/>
    <n v="552935"/>
    <s v="User Account"/>
    <n v="1"/>
    <s v="AtBelow"/>
    <s v="CC_Portal"/>
    <n v="0"/>
    <s v="MFC"/>
    <s v="IBMCA"/>
    <s v="ACTIVE ADVISORS AND ASSISTANTS"/>
    <n v="0"/>
    <n v="0"/>
  </r>
  <r>
    <s v="ssotest@mfc.sps.local"/>
    <s v="MFC"/>
    <x v="0"/>
    <n v="551367"/>
    <n v="1000"/>
    <d v="2017-09-14T09:33:08"/>
    <x v="0"/>
    <x v="0"/>
    <s v="nadia.martin@manulifesecurities.ca"/>
    <n v="831358"/>
    <s v="User Account"/>
    <n v="1"/>
    <s v="AtBelow"/>
    <s v="CC_Portal"/>
    <n v="0"/>
    <s v="MFC"/>
    <s v="IBMCA"/>
    <s v="ACTIVE ADVISORS AND ASSISTANTS"/>
    <n v="0"/>
    <n v="0"/>
  </r>
  <r>
    <s v="ssotest@mfc.sps.local"/>
    <s v="MFC"/>
    <x v="0"/>
    <n v="551367"/>
    <n v="1000"/>
    <d v="2017-09-14T09:27:43"/>
    <x v="0"/>
    <x v="0"/>
    <s v="Sokratia.Lambrinos@manulifesecurities.ca"/>
    <n v="554028"/>
    <s v="User Account"/>
    <n v="1"/>
    <s v="AtBelow"/>
    <s v="CC_Portal"/>
    <n v="0"/>
    <s v="MFC"/>
    <s v="IBMCA"/>
    <s v="ACTIVE ADVISORS AND ASSISTANTS"/>
    <n v="0"/>
    <n v="0"/>
  </r>
  <r>
    <s v="ssotest@mfc.sps.local"/>
    <s v="MFC"/>
    <x v="0"/>
    <n v="551367"/>
    <n v="1000"/>
    <d v="2017-09-14T09:21:28"/>
    <x v="0"/>
    <x v="0"/>
    <s v="Dwight.Proudfoot@manulifesecurities.ca"/>
    <n v="552445"/>
    <s v="User Account"/>
    <n v="1"/>
    <s v="AtBelow"/>
    <s v="CC_Portal"/>
    <n v="0"/>
    <s v="MFC"/>
    <s v="IBMCA"/>
    <s v="ACTIVE ADVISORS AND ASSISTANTS"/>
    <n v="0"/>
    <n v="0"/>
  </r>
  <r>
    <s v="ssotest@mfc.sps.local"/>
    <s v="MFC"/>
    <x v="0"/>
    <n v="551367"/>
    <n v="1000"/>
    <d v="2017-09-14T09:21:28"/>
    <x v="0"/>
    <x v="0"/>
    <s v="James.Mizen@manulifesecurities.ca"/>
    <n v="554290"/>
    <s v="User Account"/>
    <n v="1"/>
    <s v="AtBelow"/>
    <s v="CC_Portal"/>
    <n v="0"/>
    <s v="MFC"/>
    <s v="IBMCA"/>
    <s v="ACTIVE ADVISORS AND ASSISTANTS"/>
    <n v="0"/>
    <n v="0"/>
  </r>
  <r>
    <s v="ssotest@mfc.sps.local"/>
    <s v="MFC"/>
    <x v="0"/>
    <n v="551367"/>
    <n v="1000"/>
    <d v="2017-09-14T09:09:40"/>
    <x v="0"/>
    <x v="0"/>
    <s v="Jim.Cheesman@manulifesecurities.ca"/>
    <n v="552848"/>
    <s v="User Account"/>
    <n v="1"/>
    <s v="AtBelow"/>
    <s v="CC_Portal"/>
    <n v="0"/>
    <s v="MFC"/>
    <s v="IBMCA"/>
    <s v="ACTIVE ADVISORS AND ASSISTANTS"/>
    <n v="0"/>
    <n v="0"/>
  </r>
  <r>
    <s v="ssotest@mfc.sps.local"/>
    <s v="MFC"/>
    <x v="0"/>
    <n v="551367"/>
    <n v="1000"/>
    <d v="2017-09-14T07:17:48"/>
    <x v="0"/>
    <x v="0"/>
    <s v="Michael.Skinner@manulifesecurities.ca"/>
    <n v="553504"/>
    <s v="User Account"/>
    <n v="1"/>
    <s v="AtBelow"/>
    <s v="CC_Portal"/>
    <n v="0"/>
    <s v="MFC"/>
    <s v="IBMCA"/>
    <s v="ACTIVE ADVISORS AND ASSISTANTS"/>
    <n v="0"/>
    <n v="0"/>
  </r>
  <r>
    <s v="ssotest@mfc.sps.local"/>
    <s v="MFC"/>
    <x v="0"/>
    <n v="551367"/>
    <n v="1000"/>
    <d v="2017-09-14T07:02:35"/>
    <x v="0"/>
    <x v="0"/>
    <s v="Paul.Kane@manulifesecurities.ca"/>
    <n v="553668"/>
    <s v="User Account"/>
    <n v="1"/>
    <s v="AtBelow"/>
    <s v="CC_Portal"/>
    <n v="0"/>
    <s v="MFC"/>
    <s v="IBMCA"/>
    <s v="ACTIVE ADVISORS AND ASSISTANTS"/>
    <n v="0"/>
    <n v="0"/>
  </r>
  <r>
    <s v="ssotest@mfc.sps.local"/>
    <s v="MFC"/>
    <x v="0"/>
    <n v="551367"/>
    <n v="1000"/>
    <d v="2017-09-13T19:42:34"/>
    <x v="0"/>
    <x v="0"/>
    <s v="Matthew.Bowyer@manulifesecurities.ca"/>
    <n v="553422"/>
    <s v="User Account"/>
    <n v="1"/>
    <s v="AtBelow"/>
    <s v="CC_Portal"/>
    <n v="0"/>
    <s v="MFC"/>
    <s v="IBMCA"/>
    <s v="ACTIVE ADVISORS AND ASSISTANTS"/>
    <n v="0"/>
    <n v="0"/>
  </r>
  <r>
    <s v="crystal.parkinson@manulifesecurities.ca"/>
    <s v="MFC"/>
    <x v="0"/>
    <n v="637976"/>
    <n v="1"/>
    <d v="2017-09-13T18:48:55"/>
    <x v="1"/>
    <x v="1"/>
    <s v="crystal.parkinson@manulifesecurities.ca"/>
    <n v="637976"/>
    <s v="User Account"/>
    <n v="0"/>
    <s v="Deny"/>
    <s v="CC_Portal"/>
    <n v="0"/>
    <s v="MFC"/>
    <s v="IBMCA"/>
    <s v="ACTIVE ADVISORS AND ASSISTANTS"/>
    <n v="0"/>
    <n v="0"/>
  </r>
  <r>
    <s v="crystal.parkinson@manulifesecurities.ca"/>
    <s v="MFC"/>
    <x v="0"/>
    <n v="637976"/>
    <n v="1"/>
    <d v="2017-09-13T18:48:55"/>
    <x v="2"/>
    <x v="1"/>
    <s v="crystal.parkinson@manulifesecurities.ca"/>
    <n v="637976"/>
    <s v="User Account"/>
    <n v="0"/>
    <s v="Deny"/>
    <s v="CC_Portal"/>
    <n v="0"/>
    <s v="MFC"/>
    <s v="IBMCA"/>
    <s v="ACTIVE ADVISORS AND ASSISTANTS"/>
    <n v="0"/>
    <n v="0"/>
  </r>
  <r>
    <s v="ssotest@mfc.sps.local"/>
    <s v="MFC"/>
    <x v="0"/>
    <n v="551367"/>
    <n v="1000"/>
    <d v="2017-09-13T18:47:35"/>
    <x v="0"/>
    <x v="0"/>
    <s v="Matthew.Bowyer@manulifesecurities.ca"/>
    <n v="553422"/>
    <s v="User Account"/>
    <n v="1"/>
    <s v="AtBelow"/>
    <s v="CC_Portal"/>
    <n v="0"/>
    <s v="MFC"/>
    <s v="IBMCA"/>
    <s v="ACTIVE ADVISORS AND ASSISTANTS"/>
    <n v="0"/>
    <n v="0"/>
  </r>
  <r>
    <s v="crystal.parkinson@manulifesecurities.ca"/>
    <s v="MFC"/>
    <x v="0"/>
    <n v="637976"/>
    <n v="1"/>
    <d v="2017-09-13T18:11:16"/>
    <x v="2"/>
    <x v="1"/>
    <s v="crystal.parkinson@manulifesecurities.ca"/>
    <n v="637976"/>
    <s v="User Account"/>
    <n v="0"/>
    <s v="Deny"/>
    <s v="CC_Portal"/>
    <n v="0"/>
    <s v="MFC"/>
    <s v="IBMCA"/>
    <s v="ACTIVE ADVISORS AND ASSISTANTS"/>
    <n v="0"/>
    <n v="0"/>
  </r>
  <r>
    <s v="crystal.parkinson@manulifesecurities.ca"/>
    <s v="MFC"/>
    <x v="0"/>
    <n v="637976"/>
    <n v="1"/>
    <d v="2017-09-13T18:11:15"/>
    <x v="1"/>
    <x v="1"/>
    <s v="crystal.parkinson@manulifesecurities.ca"/>
    <n v="637976"/>
    <s v="User Account"/>
    <n v="0"/>
    <s v="Deny"/>
    <s v="CC_Portal"/>
    <n v="0"/>
    <s v="MFC"/>
    <s v="IBMCA"/>
    <s v="ACTIVE ADVISORS AND ASSISTANTS"/>
    <n v="0"/>
    <n v="0"/>
  </r>
  <r>
    <s v="ssotest@mfc.sps.local"/>
    <s v="MFC"/>
    <x v="0"/>
    <n v="551367"/>
    <n v="1000"/>
    <d v="2017-09-13T18:07:27"/>
    <x v="0"/>
    <x v="0"/>
    <s v="brad.wendt@manulifesecurities.ca"/>
    <n v="729043"/>
    <s v="User Account"/>
    <n v="1"/>
    <s v="AtBelow"/>
    <s v="CC_Portal"/>
    <n v="0"/>
    <s v="MFC"/>
    <s v="IBMCA"/>
    <s v="ACTIVE ADVISORS AND ASSISTANTS"/>
    <n v="0"/>
    <n v="0"/>
  </r>
  <r>
    <s v="ssotest@mfc.sps.local"/>
    <s v="MFC"/>
    <x v="0"/>
    <n v="551367"/>
    <n v="1000"/>
    <d v="2017-09-13T17:47:37"/>
    <x v="0"/>
    <x v="0"/>
    <s v="joyce.spadafora@manulifesecurities.ca"/>
    <n v="560603"/>
    <s v="User Account"/>
    <n v="1"/>
    <s v="AtBelow"/>
    <s v="CC_Portal"/>
    <n v="0"/>
    <s v="MFC"/>
    <s v="IBMCA"/>
    <s v="DISABLED USERS"/>
    <n v="0"/>
    <n v="0"/>
  </r>
  <r>
    <s v="crystal.parkinson@manulifesecurities.ca"/>
    <s v="MFC"/>
    <x v="0"/>
    <n v="637976"/>
    <n v="1"/>
    <d v="2017-09-13T17:47:09"/>
    <x v="2"/>
    <x v="1"/>
    <s v="crystal.parkinson@manulifesecurities.ca"/>
    <n v="637976"/>
    <s v="User Account"/>
    <n v="0"/>
    <s v="Deny"/>
    <s v="CC_Portal"/>
    <n v="0"/>
    <s v="MFC"/>
    <s v="IBMCA"/>
    <s v="ACTIVE ADVISORS AND ASSISTANTS"/>
    <n v="0"/>
    <n v="0"/>
  </r>
  <r>
    <s v="crystal.parkinson@manulifesecurities.ca"/>
    <s v="MFC"/>
    <x v="0"/>
    <n v="637976"/>
    <n v="1"/>
    <d v="2017-09-13T17:47:08"/>
    <x v="1"/>
    <x v="1"/>
    <s v="crystal.parkinson@manulifesecurities.ca"/>
    <n v="637976"/>
    <s v="User Account"/>
    <n v="0"/>
    <s v="Deny"/>
    <s v="CC_Portal"/>
    <n v="0"/>
    <s v="MFC"/>
    <s v="IBMCA"/>
    <s v="ACTIVE ADVISORS AND ASSISTANTS"/>
    <n v="0"/>
    <n v="0"/>
  </r>
  <r>
    <s v="Constance.Viglas@manulifesecurities.ca"/>
    <s v="MFC"/>
    <x v="0"/>
    <n v="552195"/>
    <n v="1"/>
    <d v="2017-09-13T16:31:55"/>
    <x v="2"/>
    <x v="1"/>
    <s v="Constance.Viglas@manulifesecurities.ca"/>
    <n v="552195"/>
    <s v="User Account"/>
    <n v="0"/>
    <s v="Deny"/>
    <s v="CC_Portal"/>
    <n v="0"/>
    <s v="MFC"/>
    <s v="IBMCA"/>
    <s v="ACTIVE ADVISORS AND ASSISTANTS"/>
    <n v="0"/>
    <n v="0"/>
  </r>
  <r>
    <s v="Constance.Viglas@manulifesecurities.ca"/>
    <s v="MFC"/>
    <x v="0"/>
    <n v="552195"/>
    <n v="1"/>
    <d v="2017-09-13T16:31:54"/>
    <x v="1"/>
    <x v="1"/>
    <s v="Constance.Viglas@manulifesecurities.ca"/>
    <n v="552195"/>
    <s v="User Account"/>
    <n v="0"/>
    <s v="Deny"/>
    <s v="CC_Portal"/>
    <n v="0"/>
    <s v="MFC"/>
    <s v="IBMCA"/>
    <s v="ACTIVE ADVISORS AND ASSISTANTS"/>
    <n v="0"/>
    <n v="0"/>
  </r>
  <r>
    <s v="ssotest@mfc.sps.local"/>
    <s v="MFC"/>
    <x v="0"/>
    <n v="551367"/>
    <n v="1000"/>
    <d v="2017-09-13T16:07:17"/>
    <x v="0"/>
    <x v="0"/>
    <s v="Marie.Whiting@manulifesecurities.ca"/>
    <n v="553338"/>
    <s v="User Account"/>
    <n v="1"/>
    <s v="AtBelow"/>
    <s v="CC_Portal"/>
    <n v="0"/>
    <s v="MFC"/>
    <s v="IBMCA"/>
    <s v="ACTIVE ADVISORS AND ASSISTANTS"/>
    <n v="0"/>
    <n v="0"/>
  </r>
  <r>
    <s v="jeff.scowen@manulifesecurities.ca"/>
    <s v="MFC"/>
    <x v="0"/>
    <n v="560600"/>
    <n v="3"/>
    <d v="2017-09-13T15:59:42"/>
    <x v="0"/>
    <x v="12"/>
    <s v="farima.namin@manulifesecurities.ca"/>
    <n v="866813"/>
    <s v="User Account"/>
    <n v="1"/>
    <s v="AtBelow"/>
    <s v="CC_Portal"/>
    <n v="0"/>
    <s v="MFC"/>
    <s v="IBMCA"/>
    <s v="ACTIVE ADVISORS AND ASSISTANTS"/>
    <n v="0"/>
    <n v="0"/>
  </r>
  <r>
    <s v="crystal.parkinson@manulifesecurities.ca"/>
    <s v="MFC"/>
    <x v="0"/>
    <n v="637976"/>
    <n v="1"/>
    <d v="2017-09-13T15:51:50"/>
    <x v="1"/>
    <x v="1"/>
    <s v="crystal.parkinson@manulifesecurities.ca"/>
    <n v="637976"/>
    <s v="User Account"/>
    <n v="0"/>
    <s v="Deny"/>
    <s v="CC_Portal"/>
    <n v="0"/>
    <s v="MFC"/>
    <s v="IBMCA"/>
    <s v="ACTIVE ADVISORS AND ASSISTANTS"/>
    <n v="0"/>
    <n v="0"/>
  </r>
  <r>
    <s v="crystal.parkinson@manulifesecurities.ca"/>
    <s v="MFC"/>
    <x v="0"/>
    <n v="637976"/>
    <n v="1"/>
    <d v="2017-09-13T15:51:50"/>
    <x v="2"/>
    <x v="1"/>
    <s v="crystal.parkinson@manulifesecurities.ca"/>
    <n v="637976"/>
    <s v="User Account"/>
    <n v="0"/>
    <s v="Deny"/>
    <s v="CC_Portal"/>
    <n v="0"/>
    <s v="MFC"/>
    <s v="IBMCA"/>
    <s v="ACTIVE ADVISORS AND ASSISTANTS"/>
    <n v="0"/>
    <n v="0"/>
  </r>
  <r>
    <s v="marshall.hett@manulifesecurities.ca"/>
    <s v="MFC"/>
    <x v="0"/>
    <n v="707864"/>
    <n v="3"/>
    <d v="2017-09-13T15:32:53"/>
    <x v="3"/>
    <x v="2"/>
    <s v="Casimiro.Rodrigues@manulifesecurities.ca"/>
    <n v="552077"/>
    <s v="User Account"/>
    <n v="1"/>
    <s v="AtBelow"/>
    <s v="CC_WebService"/>
    <m/>
    <s v="MFC"/>
    <s v="IBMCA"/>
    <s v="ACTIVE ADVISORS AND ASSISTANTS"/>
    <n v="0"/>
    <n v="0"/>
  </r>
  <r>
    <s v="crystal.parkinson@manulifesecurities.ca"/>
    <s v="MFC"/>
    <x v="0"/>
    <n v="637976"/>
    <n v="1"/>
    <d v="2017-09-13T15:15:41"/>
    <x v="2"/>
    <x v="1"/>
    <s v="crystal.parkinson@manulifesecurities.ca"/>
    <n v="637976"/>
    <s v="User Account"/>
    <n v="0"/>
    <s v="Deny"/>
    <s v="CC_Portal"/>
    <n v="0"/>
    <s v="MFC"/>
    <s v="IBMCA"/>
    <s v="ACTIVE ADVISORS AND ASSISTANTS"/>
    <n v="0"/>
    <n v="0"/>
  </r>
  <r>
    <s v="crystal.parkinson@manulifesecurities.ca"/>
    <s v="MFC"/>
    <x v="0"/>
    <n v="637976"/>
    <n v="1"/>
    <d v="2017-09-13T15:15:40"/>
    <x v="1"/>
    <x v="1"/>
    <s v="crystal.parkinson@manulifesecurities.ca"/>
    <n v="637976"/>
    <s v="User Account"/>
    <n v="0"/>
    <s v="Deny"/>
    <s v="CC_Portal"/>
    <n v="0"/>
    <s v="MFC"/>
    <s v="IBMCA"/>
    <s v="ACTIVE ADVISORS AND ASSISTANTS"/>
    <n v="0"/>
    <n v="0"/>
  </r>
  <r>
    <s v="ssotest@mfc.sps.local"/>
    <s v="MFC"/>
    <x v="0"/>
    <n v="551367"/>
    <n v="1000"/>
    <d v="2017-09-13T15:08:50"/>
    <x v="0"/>
    <x v="0"/>
    <s v="Kevin.Plouffe@manulifesecurities.ca"/>
    <n v="553101"/>
    <s v="User Account"/>
    <n v="1"/>
    <s v="AtBelow"/>
    <s v="CC_Portal"/>
    <n v="0"/>
    <s v="MFC"/>
    <s v="IBMCA"/>
    <s v="ACTIVE ADVISORS AND ASSISTANTS"/>
    <n v="0"/>
    <n v="0"/>
  </r>
  <r>
    <s v="ssotest@mfc.sps.local"/>
    <s v="MFC"/>
    <x v="0"/>
    <n v="551367"/>
    <n v="1000"/>
    <d v="2017-09-13T15:04:23"/>
    <x v="0"/>
    <x v="0"/>
    <s v="Shealeen.Braeuer@manulifesecurities.ca"/>
    <n v="553993"/>
    <s v="User Account"/>
    <n v="1"/>
    <s v="AtBelow"/>
    <s v="CC_Portal"/>
    <n v="0"/>
    <s v="MFC"/>
    <s v="IBMCA"/>
    <s v="ACTIVE ADVISORS AND ASSISTANTS"/>
    <n v="0"/>
    <n v="0"/>
  </r>
  <r>
    <s v="ssotest@mfc.sps.local"/>
    <s v="MFC"/>
    <x v="0"/>
    <n v="551367"/>
    <n v="1000"/>
    <d v="2017-09-13T14:57:39"/>
    <x v="0"/>
    <x v="0"/>
    <s v="Katherine.Williams@manulifesecurities.ca"/>
    <n v="553018"/>
    <s v="User Account"/>
    <n v="1"/>
    <s v="AtBelow"/>
    <s v="CC_Portal"/>
    <n v="0"/>
    <s v="MFC"/>
    <s v="IBMCA"/>
    <s v="ACTIVE ADVISORS AND ASSISTANTS"/>
    <n v="0"/>
    <n v="0"/>
  </r>
  <r>
    <s v="alex_buena@manulifesecurities.ca"/>
    <s v="MFC"/>
    <x v="0"/>
    <n v="570025"/>
    <n v="3"/>
    <d v="2017-09-13T14:23:15"/>
    <x v="4"/>
    <x v="8"/>
    <s v="gilles.delooz@manulifesecurities.ca"/>
    <n v="908517"/>
    <s v="User Account"/>
    <n v="1"/>
    <s v="SelfBelow"/>
    <s v="CC_Portal"/>
    <s v="DeletedAliases=giles.delooz@manulifesecurities.ca"/>
    <s v="MFC"/>
    <s v="IBMCA"/>
    <s v="ACTIVE ADVISORS AND ASSISTANTS"/>
    <n v="0"/>
    <n v="0"/>
  </r>
  <r>
    <s v="alex_buena@manulifesecurities.ca"/>
    <s v="MFC"/>
    <x v="0"/>
    <n v="570025"/>
    <n v="3"/>
    <d v="2017-09-13T14:22:57"/>
    <x v="0"/>
    <x v="11"/>
    <s v="gilles.delooz@manulifesecurities.ca"/>
    <n v="908517"/>
    <s v="User Account"/>
    <n v="1"/>
    <s v="SelfBelow"/>
    <s v="CC_Portal"/>
    <s v="oldEmail=giles.delooz@manulifesecurities.ca;newEmail=gilles.delooz@manulifesecurities.ca"/>
    <s v="MFC"/>
    <s v="IBMCA"/>
    <s v="ACTIVE ADVISORS AND ASSISTANTS"/>
    <n v="0"/>
    <n v="0"/>
  </r>
  <r>
    <s v="alex_buena@manulifesecurities.ca"/>
    <s v="MFC"/>
    <x v="0"/>
    <n v="570025"/>
    <n v="3"/>
    <d v="2017-09-13T14:22:47"/>
    <x v="5"/>
    <x v="8"/>
    <s v="giles.delooz@manulifesecurities.ca"/>
    <n v="908517"/>
    <s v="User Account"/>
    <n v="1"/>
    <s v="SelfBelow"/>
    <s v="CC_Portal"/>
    <s v="AddedAliases=gilles.delooz@manulifesecurities.ca"/>
    <s v="MFC"/>
    <s v="IBMCA"/>
    <s v="ACTIVE ADVISORS AND ASSISTANTS"/>
    <n v="0"/>
    <n v="0"/>
  </r>
  <r>
    <s v="alex_buena@manulifesecurities.ca"/>
    <s v="MFC"/>
    <x v="0"/>
    <n v="570025"/>
    <n v="3"/>
    <d v="2017-09-13T14:22:11"/>
    <x v="0"/>
    <x v="12"/>
    <s v="giles.delooz@manulifesecurities.ca"/>
    <n v="908517"/>
    <s v="User Account"/>
    <n v="1"/>
    <s v="AtBelow"/>
    <s v="CC_Portal"/>
    <n v="0"/>
    <s v="MFC"/>
    <s v="IBMCA"/>
    <s v="ACTIVE ADVISORS AND ASSISTANTS"/>
    <n v="0"/>
    <n v="0"/>
  </r>
  <r>
    <s v="priscilla.misir@manulifesecurities.ca"/>
    <s v="MFC"/>
    <x v="0"/>
    <n v="674396"/>
    <n v="3"/>
    <d v="2017-09-13T14:16:37"/>
    <x v="0"/>
    <x v="5"/>
    <s v="m.kucinskaite@manulifesecurities.ca"/>
    <n v="908539"/>
    <s v="User Account"/>
    <n v="1"/>
    <s v="AtBelow"/>
    <s v="CC_Portal"/>
    <n v="0"/>
    <s v="MFC"/>
    <s v="IBMCA"/>
    <s v="ACTIVE ADVISORS AND ASSISTANTS"/>
    <n v="0"/>
    <n v="0"/>
  </r>
  <r>
    <s v="priscilla.misir@manulifesecurities.ca"/>
    <s v="MFC"/>
    <x v="0"/>
    <n v="674396"/>
    <n v="3"/>
    <d v="2017-09-13T14:16:35"/>
    <x v="5"/>
    <x v="6"/>
    <s v="MSI_autoEmailArchive@manulifesecurities.ca"/>
    <n v="561482"/>
    <s v="Distribution List"/>
    <n v="1"/>
    <s v="Any"/>
    <s v="CC_Portal"/>
    <s v="98790977d2cf4b729e92615475a029de"/>
    <s v="MFC"/>
    <s v="IBMCA"/>
    <s v="ALL GROUPS"/>
    <n v="0"/>
    <n v="0"/>
  </r>
  <r>
    <s v="priscilla.misir@manulifesecurities.ca"/>
    <s v="MFC"/>
    <x v="0"/>
    <n v="674396"/>
    <n v="3"/>
    <d v="2017-09-13T14:16:35"/>
    <x v="5"/>
    <x v="6"/>
    <s v="MSI_autoSupervision@manulifesecurities.ca"/>
    <n v="561483"/>
    <s v="Distribution List"/>
    <n v="1"/>
    <s v="Any"/>
    <s v="CC_Portal"/>
    <s v="98790977d2cf4b729e92615475a029de"/>
    <s v="MFC"/>
    <s v="IBMCA"/>
    <s v="ALL GROUPS"/>
    <n v="0"/>
    <n v="0"/>
  </r>
  <r>
    <s v="priscilla.misir@manulifesecurities.ca"/>
    <s v="MFC"/>
    <x v="0"/>
    <n v="674396"/>
    <n v="3"/>
    <d v="2017-09-13T14:16:33"/>
    <x v="5"/>
    <x v="6"/>
    <s v="AllAssistants@manulifesecurities.ca"/>
    <n v="555660"/>
    <s v="Distribution List"/>
    <n v="1"/>
    <s v="Any"/>
    <s v="CC_Portal"/>
    <s v="98790977d2cf4b729e92615475a029de"/>
    <s v="MFC"/>
    <s v="IBMCA"/>
    <s v="ALL GROUPS"/>
    <n v="0"/>
    <n v="0"/>
  </r>
  <r>
    <s v="priscilla.misir@manulifesecurities.ca"/>
    <s v="MFC"/>
    <x v="0"/>
    <n v="674396"/>
    <n v="3"/>
    <d v="2017-09-13T14:16:31"/>
    <x v="0"/>
    <x v="5"/>
    <s v="m.kucinskaite@manulifesecurities.ca"/>
    <n v="908539"/>
    <s v="User Account"/>
    <n v="1"/>
    <s v="AtBelow"/>
    <s v="CC_Portal"/>
    <n v="0"/>
    <s v="MFC"/>
    <s v="IBMCA"/>
    <s v="ACTIVE ADVISORS AND ASSISTANTS"/>
    <n v="0"/>
    <n v="0"/>
  </r>
  <r>
    <s v="priscilla.misir@manulifesecurities.ca"/>
    <s v="MFC"/>
    <x v="0"/>
    <n v="674396"/>
    <n v="3"/>
    <d v="2017-09-13T14:15:59"/>
    <x v="0"/>
    <x v="5"/>
    <s v="m.kucinskaite@manulifesecurities.ca"/>
    <n v="908539"/>
    <s v="User Account"/>
    <n v="1"/>
    <s v="AtBelow"/>
    <s v="CC_Portal"/>
    <n v="0"/>
    <s v="MFC"/>
    <s v="IBMCA"/>
    <s v="ACTIVE ADVISORS AND ASSISTANTS"/>
    <n v="0"/>
    <n v="0"/>
  </r>
  <r>
    <s v="adiano.kitenge@manulifesecurities.ca"/>
    <s v="MFC"/>
    <x v="0"/>
    <n v="627566"/>
    <n v="3"/>
    <d v="2017-09-13T14:11:17"/>
    <x v="3"/>
    <x v="2"/>
    <s v="Sandra.McNally@manulifesecurities.ca"/>
    <n v="553925"/>
    <s v="User Account"/>
    <n v="1"/>
    <s v="AtBelow"/>
    <s v="CC_WebService"/>
    <m/>
    <s v="MFC"/>
    <s v="IBMCA"/>
    <s v="ACTIVE ADVISORS AND ASSISTANTS"/>
    <n v="0"/>
    <n v="0"/>
  </r>
  <r>
    <s v="adiano.kitenge@manulifesecurities.ca"/>
    <s v="MFC"/>
    <x v="0"/>
    <n v="627566"/>
    <n v="3"/>
    <d v="2017-09-13T14:10:25"/>
    <x v="0"/>
    <x v="3"/>
    <s v="Sandra.McNally@manulifesecurities.ca"/>
    <n v="553925"/>
    <s v="User Account"/>
    <n v="1"/>
    <s v="SelfBelow"/>
    <s v="CC_Portal"/>
    <s v="Enable"/>
    <s v="MFC"/>
    <s v="IBMCA"/>
    <s v="ACTIVE ADVISORS AND ASSISTANTS"/>
    <n v="0"/>
    <n v="0"/>
  </r>
  <r>
    <s v="priscilla.misir@manulifesecurities.ca"/>
    <s v="MFC"/>
    <x v="0"/>
    <n v="674396"/>
    <n v="3"/>
    <d v="2017-09-13T14:05:05"/>
    <x v="5"/>
    <x v="7"/>
    <s v="m.kucinskaite@manulifesecurities.ca"/>
    <n v="908539"/>
    <s v="User Account"/>
    <n v="1"/>
    <s v="AtBelow"/>
    <s v="CC_Portal"/>
    <s v="PrimaryEmail=m.kucinskaite@manulifesecurities.ca"/>
    <s v="MFC"/>
    <s v="IBMCA"/>
    <s v="ACTIVE ADVISORS AND ASSISTANTS"/>
    <n v="0"/>
    <n v="0"/>
  </r>
  <r>
    <s v="jody.markovic@manulifesecurities.ca"/>
    <s v="MFC"/>
    <x v="0"/>
    <n v="560579"/>
    <n v="3"/>
    <d v="2017-09-13T13:39:59"/>
    <x v="3"/>
    <x v="2"/>
    <s v="kelly.gray@manulifesecurities.ca"/>
    <n v="840602"/>
    <s v="User Account"/>
    <n v="1"/>
    <s v="AtBelow"/>
    <s v="CC_WebService"/>
    <m/>
    <s v="MFC"/>
    <s v="IBMCA"/>
    <s v="ACTIVE ADVISORS AND ASSISTANTS"/>
    <n v="0"/>
    <n v="0"/>
  </r>
  <r>
    <s v="jody.markovic@manulifesecurities.ca"/>
    <s v="MFC"/>
    <x v="0"/>
    <n v="560579"/>
    <n v="3"/>
    <d v="2017-09-13T13:39:14"/>
    <x v="0"/>
    <x v="0"/>
    <s v="kelly.gray@manulifesecurities.ca"/>
    <n v="840602"/>
    <s v="User Account"/>
    <n v="1"/>
    <s v="AtBelow"/>
    <s v="CC_Portal"/>
    <n v="0"/>
    <s v="MFC"/>
    <s v="IBMCA"/>
    <s v="ACTIVE ADVISORS AND ASSISTANTS"/>
    <n v="0"/>
    <n v="0"/>
  </r>
  <r>
    <s v="jody.markovic@manulifesecurities.ca"/>
    <s v="MFC"/>
    <x v="0"/>
    <n v="560579"/>
    <n v="3"/>
    <d v="2017-09-13T13:34:09"/>
    <x v="3"/>
    <x v="2"/>
    <s v="kelly.gray@manulifesecurities.ca"/>
    <n v="840602"/>
    <s v="User Account"/>
    <n v="1"/>
    <s v="AtBelow"/>
    <s v="CC_WebService"/>
    <m/>
    <s v="MFC"/>
    <s v="IBMCA"/>
    <s v="ACTIVE ADVISORS AND ASSISTANTS"/>
    <n v="0"/>
    <n v="0"/>
  </r>
  <r>
    <s v="ssotest@mfc.sps.local"/>
    <s v="MFC"/>
    <x v="0"/>
    <n v="551367"/>
    <n v="1000"/>
    <d v="2017-09-13T13:01:08"/>
    <x v="0"/>
    <x v="0"/>
    <s v="Sandra.McNally@manulifesecurities.ca"/>
    <n v="553925"/>
    <s v="User Account"/>
    <n v="1"/>
    <s v="AtBelow"/>
    <s v="CC_Portal"/>
    <n v="0"/>
    <s v="MFC"/>
    <s v="IBMCA"/>
    <s v="ACTIVE ADVISORS AND ASSISTANTS"/>
    <n v="0"/>
    <n v="0"/>
  </r>
  <r>
    <s v="michel.cormier@manulifesecurities.ca"/>
    <s v="MFC"/>
    <x v="0"/>
    <n v="560366"/>
    <n v="3"/>
    <d v="2017-09-13T12:58:25"/>
    <x v="3"/>
    <x v="2"/>
    <s v="Sandra.McNally@manulifesecurities.ca"/>
    <n v="553925"/>
    <s v="User Account"/>
    <n v="1"/>
    <s v="AtBelow"/>
    <s v="CC_WebService"/>
    <m/>
    <s v="MFC"/>
    <s v="IBMCA"/>
    <s v="ACTIVE ADVISORS AND ASSISTANTS"/>
    <n v="0"/>
    <n v="0"/>
  </r>
  <r>
    <s v="michel.cormier@manulifesecurities.ca"/>
    <s v="MFC"/>
    <x v="0"/>
    <n v="560366"/>
    <n v="3"/>
    <d v="2017-09-13T12:57:49"/>
    <x v="3"/>
    <x v="2"/>
    <s v="Sandra.McNally@manulifesecurities.ca"/>
    <n v="553925"/>
    <s v="User Account"/>
    <n v="1"/>
    <s v="AtBelow"/>
    <s v="CC_WebService"/>
    <m/>
    <s v="MFC"/>
    <s v="IBMCA"/>
    <s v="ACTIVE ADVISORS AND ASSISTANTS"/>
    <n v="0"/>
    <n v="0"/>
  </r>
  <r>
    <s v="ssotest@mfc.sps.local"/>
    <s v="MFC"/>
    <x v="0"/>
    <n v="551367"/>
    <n v="1000"/>
    <d v="2017-09-13T12:57:20"/>
    <x v="0"/>
    <x v="0"/>
    <s v="kelly.gray@manulifesecurities.ca"/>
    <n v="840602"/>
    <s v="User Account"/>
    <n v="1"/>
    <s v="AtBelow"/>
    <s v="CC_Portal"/>
    <n v="0"/>
    <s v="MFC"/>
    <s v="IBMCA"/>
    <s v="ACTIVE ADVISORS AND ASSISTANTS"/>
    <n v="0"/>
    <n v="0"/>
  </r>
  <r>
    <s v="crystal.parkinson@manulifesecurities.ca"/>
    <s v="MFC"/>
    <x v="0"/>
    <n v="637976"/>
    <n v="1"/>
    <d v="2017-09-13T12:56:01"/>
    <x v="2"/>
    <x v="1"/>
    <s v="crystal.parkinson@manulifesecurities.ca"/>
    <n v="637976"/>
    <s v="User Account"/>
    <n v="0"/>
    <s v="Deny"/>
    <s v="CC_Portal"/>
    <n v="0"/>
    <s v="MFC"/>
    <s v="IBMCA"/>
    <s v="ACTIVE ADVISORS AND ASSISTANTS"/>
    <n v="0"/>
    <n v="0"/>
  </r>
  <r>
    <s v="crystal.parkinson@manulifesecurities.ca"/>
    <s v="MFC"/>
    <x v="0"/>
    <n v="637976"/>
    <n v="1"/>
    <d v="2017-09-13T12:56:00"/>
    <x v="1"/>
    <x v="1"/>
    <s v="crystal.parkinson@manulifesecurities.ca"/>
    <n v="637976"/>
    <s v="User Account"/>
    <n v="0"/>
    <s v="Deny"/>
    <s v="CC_Portal"/>
    <n v="0"/>
    <s v="MFC"/>
    <s v="IBMCA"/>
    <s v="ACTIVE ADVISORS AND ASSISTANTS"/>
    <n v="0"/>
    <n v="0"/>
  </r>
  <r>
    <s v="adiano.kitenge@manulifesecurities.ca"/>
    <s v="MFC"/>
    <x v="0"/>
    <n v="627566"/>
    <n v="3"/>
    <d v="2017-09-13T12:55:22"/>
    <x v="0"/>
    <x v="9"/>
    <s v="evelyn.gray@manulifesecurities.ca"/>
    <n v="907004"/>
    <s v="User Account"/>
    <n v="1"/>
    <s v="AtBelow"/>
    <s v="CC_Portal"/>
    <s v="Enable"/>
    <s v="MFC"/>
    <s v="IBMCA"/>
    <s v="ACTIVE ADVISORS AND ASSISTANTS"/>
    <n v="0"/>
    <n v="0"/>
  </r>
  <r>
    <s v="adiano.kitenge@manulifesecurities.ca"/>
    <s v="MFC"/>
    <x v="0"/>
    <n v="627566"/>
    <n v="3"/>
    <d v="2017-09-13T12:55:00"/>
    <x v="3"/>
    <x v="2"/>
    <s v="evelyn.gray@manulifesecurities.ca"/>
    <n v="907004"/>
    <s v="User Account"/>
    <n v="1"/>
    <s v="AtBelow"/>
    <s v="CC_WebService"/>
    <m/>
    <s v="MFC"/>
    <s v="IBMCA"/>
    <s v="ACTIVE ADVISORS AND ASSISTANTS"/>
    <n v="0"/>
    <n v="0"/>
  </r>
  <r>
    <s v="adiano.kitenge@manulifesecurities.ca"/>
    <s v="MFC"/>
    <x v="0"/>
    <n v="627566"/>
    <n v="3"/>
    <d v="2017-09-13T12:54:48"/>
    <x v="0"/>
    <x v="3"/>
    <s v="evelyn.gray@manulifesecurities.ca"/>
    <n v="907004"/>
    <s v="User Account"/>
    <n v="1"/>
    <s v="SelfBelow"/>
    <s v="CC_Portal"/>
    <s v="Enable"/>
    <s v="MFC"/>
    <s v="IBMCA"/>
    <s v="ACTIVE ADVISORS AND ASSISTANTS"/>
    <n v="0"/>
    <n v="0"/>
  </r>
  <r>
    <s v="alex_buena@manulifesecurities.ca"/>
    <s v="MFC"/>
    <x v="0"/>
    <n v="570025"/>
    <n v="3"/>
    <d v="2017-09-13T12:36:53"/>
    <x v="0"/>
    <x v="5"/>
    <s v="yue.lu@manulifesecurities.ca"/>
    <n v="908518"/>
    <s v="User Account"/>
    <n v="1"/>
    <s v="AtBelow"/>
    <s v="CC_Portal"/>
    <n v="0"/>
    <s v="MFC"/>
    <s v="IBMCA"/>
    <s v="ACTIVE ADVISORS AND ASSISTANTS"/>
    <n v="0"/>
    <n v="0"/>
  </r>
  <r>
    <s v="alex_buena@manulifesecurities.ca"/>
    <s v="MFC"/>
    <x v="0"/>
    <n v="570025"/>
    <n v="3"/>
    <d v="2017-09-13T12:36:52"/>
    <x v="0"/>
    <x v="5"/>
    <s v="yue.lu@manulifesecurities.ca"/>
    <n v="908518"/>
    <s v="User Account"/>
    <n v="1"/>
    <s v="AtBelow"/>
    <s v="CC_Portal"/>
    <n v="0"/>
    <s v="MFC"/>
    <s v="IBMCA"/>
    <s v="ACTIVE ADVISORS AND ASSISTANTS"/>
    <n v="0"/>
    <n v="0"/>
  </r>
  <r>
    <s v="alex_buena@manulifesecurities.ca"/>
    <s v="MFC"/>
    <x v="0"/>
    <n v="570025"/>
    <n v="3"/>
    <d v="2017-09-13T12:35:46"/>
    <x v="0"/>
    <x v="5"/>
    <s v="yue.lu@manulifesecurities.ca"/>
    <n v="908518"/>
    <s v="User Account"/>
    <n v="1"/>
    <s v="AtBelow"/>
    <s v="CC_Portal"/>
    <n v="0"/>
    <s v="MFC"/>
    <s v="IBMCA"/>
    <s v="ACTIVE ADVISORS AND ASSISTANTS"/>
    <n v="0"/>
    <n v="0"/>
  </r>
  <r>
    <s v="alex_buena@manulifesecurities.ca"/>
    <s v="MFC"/>
    <x v="0"/>
    <n v="570025"/>
    <n v="3"/>
    <d v="2017-09-13T12:35:45"/>
    <x v="5"/>
    <x v="6"/>
    <s v="MSI_autoEmailArchive@manulifesecurities.ca"/>
    <n v="561482"/>
    <s v="Distribution List"/>
    <n v="1"/>
    <s v="Any"/>
    <s v="CC_Portal"/>
    <s v="627c0aa3348f49dfa9b5f6fd0f79013d"/>
    <s v="MFC"/>
    <s v="IBMCA"/>
    <s v="ALL GROUPS"/>
    <n v="0"/>
    <n v="0"/>
  </r>
  <r>
    <s v="alex_buena@manulifesecurities.ca"/>
    <s v="MFC"/>
    <x v="0"/>
    <n v="570025"/>
    <n v="3"/>
    <d v="2017-09-13T12:35:44"/>
    <x v="5"/>
    <x v="6"/>
    <s v="AllAssistants@manulifesecurities.ca"/>
    <n v="555660"/>
    <s v="Distribution List"/>
    <n v="1"/>
    <s v="Any"/>
    <s v="CC_Portal"/>
    <s v="627c0aa3348f49dfa9b5f6fd0f79013d"/>
    <s v="MFC"/>
    <s v="IBMCA"/>
    <s v="ALL GROUPS"/>
    <n v="0"/>
    <n v="0"/>
  </r>
  <r>
    <s v="alex_buena@manulifesecurities.ca"/>
    <s v="MFC"/>
    <x v="0"/>
    <n v="570025"/>
    <n v="3"/>
    <d v="2017-09-13T12:35:43"/>
    <x v="0"/>
    <x v="5"/>
    <s v="yue.lu@manulifesecurities.ca"/>
    <n v="908518"/>
    <s v="User Account"/>
    <n v="1"/>
    <s v="AtBelow"/>
    <s v="CC_Portal"/>
    <n v="0"/>
    <s v="MFC"/>
    <s v="IBMCA"/>
    <s v="ACTIVE ADVISORS AND ASSISTANTS"/>
    <n v="0"/>
    <n v="0"/>
  </r>
  <r>
    <s v="priscilla.misir@manulifesecurities.ca"/>
    <s v="MFC"/>
    <x v="0"/>
    <n v="674396"/>
    <n v="3"/>
    <d v="2017-09-13T12:35:34"/>
    <x v="5"/>
    <x v="6"/>
    <s v="MSI_autoEmailArchive@manulifesecurities.ca"/>
    <n v="561482"/>
    <s v="Distribution List"/>
    <n v="1"/>
    <s v="Any"/>
    <s v="CC_Portal"/>
    <s v="a3daea96cd464e56891ef1a57cf435c4"/>
    <s v="MFC"/>
    <s v="IBMCA"/>
    <s v="ALL GROUPS"/>
    <n v="0"/>
    <n v="0"/>
  </r>
  <r>
    <s v="priscilla.misir@manulifesecurities.ca"/>
    <s v="MFC"/>
    <x v="0"/>
    <n v="674396"/>
    <n v="3"/>
    <d v="2017-09-13T12:35:34"/>
    <x v="0"/>
    <x v="5"/>
    <s v="giles.delooz@manulifesecurities.ca"/>
    <n v="908517"/>
    <s v="User Account"/>
    <n v="1"/>
    <s v="AtBelow"/>
    <s v="CC_Portal"/>
    <n v="0"/>
    <s v="MFC"/>
    <s v="IBMCA"/>
    <s v="ACTIVE ADVISORS AND ASSISTANTS"/>
    <n v="0"/>
    <n v="0"/>
  </r>
  <r>
    <s v="priscilla.misir@manulifesecurities.ca"/>
    <s v="MFC"/>
    <x v="0"/>
    <n v="674396"/>
    <n v="3"/>
    <d v="2017-09-13T12:35:32"/>
    <x v="5"/>
    <x v="6"/>
    <s v="AllAssistants@manulifesecurities.ca"/>
    <n v="555660"/>
    <s v="Distribution List"/>
    <n v="1"/>
    <s v="Any"/>
    <s v="CC_Portal"/>
    <s v="a3daea96cd464e56891ef1a57cf435c4"/>
    <s v="MFC"/>
    <s v="IBMCA"/>
    <s v="ALL GROUPS"/>
    <n v="0"/>
    <n v="0"/>
  </r>
  <r>
    <s v="priscilla.misir@manulifesecurities.ca"/>
    <s v="MFC"/>
    <x v="0"/>
    <n v="674396"/>
    <n v="3"/>
    <d v="2017-09-13T12:35:31"/>
    <x v="0"/>
    <x v="5"/>
    <s v="giles.delooz@manulifesecurities.ca"/>
    <n v="908517"/>
    <s v="User Account"/>
    <n v="1"/>
    <s v="AtBelow"/>
    <s v="CC_Portal"/>
    <n v="0"/>
    <s v="MFC"/>
    <s v="IBMCA"/>
    <s v="ACTIVE ADVISORS AND ASSISTANTS"/>
    <n v="0"/>
    <n v="0"/>
  </r>
  <r>
    <s v="alex_buena@manulifesecurities.ca"/>
    <s v="MFC"/>
    <x v="0"/>
    <n v="570025"/>
    <n v="3"/>
    <d v="2017-09-13T12:35:20"/>
    <x v="0"/>
    <x v="5"/>
    <s v="yue.lu@manulifesecurities.ca"/>
    <n v="908518"/>
    <s v="User Account"/>
    <n v="1"/>
    <s v="AtBelow"/>
    <s v="CC_Portal"/>
    <n v="0"/>
    <s v="MFC"/>
    <s v="IBMCA"/>
    <s v="ACTIVE ADVISORS AND ASSISTANTS"/>
    <n v="0"/>
    <n v="0"/>
  </r>
  <r>
    <s v="priscilla.misir@manulifesecurities.ca"/>
    <s v="MFC"/>
    <x v="0"/>
    <n v="674396"/>
    <n v="3"/>
    <d v="2017-09-13T12:35:12"/>
    <x v="0"/>
    <x v="5"/>
    <s v="giles.delooz@manulifesecurities.ca"/>
    <n v="908517"/>
    <s v="User Account"/>
    <n v="1"/>
    <s v="AtBelow"/>
    <s v="CC_Portal"/>
    <n v="0"/>
    <s v="MFC"/>
    <s v="IBMCA"/>
    <s v="ACTIVE ADVISORS AND ASSISTANTS"/>
    <n v="0"/>
    <n v="0"/>
  </r>
  <r>
    <s v="alex_buena@manulifesecurities.ca"/>
    <s v="MFC"/>
    <x v="0"/>
    <n v="570025"/>
    <n v="3"/>
    <d v="2017-09-13T12:34:54"/>
    <x v="5"/>
    <x v="7"/>
    <s v="yue.lu@manulifesecurities.ca"/>
    <n v="908518"/>
    <s v="User Account"/>
    <n v="1"/>
    <s v="AtBelow"/>
    <s v="CC_Portal"/>
    <s v="PrimaryEmail=yue.lu@manulifesecurities.ca"/>
    <s v="MFC"/>
    <s v="IBMCA"/>
    <s v="ACTIVE ADVISORS AND ASSISTANTS"/>
    <n v="0"/>
    <n v="0"/>
  </r>
  <r>
    <s v="priscilla.misir@manulifesecurities.ca"/>
    <s v="MFC"/>
    <x v="0"/>
    <n v="674396"/>
    <n v="3"/>
    <d v="2017-09-13T12:34:47"/>
    <x v="5"/>
    <x v="7"/>
    <s v="giles.delooz@manulifesecurities.ca"/>
    <n v="908517"/>
    <s v="User Account"/>
    <n v="1"/>
    <s v="AtBelow"/>
    <s v="CC_Portal"/>
    <s v="PrimaryEmail=giles.delooz@manulifesecurities.ca"/>
    <s v="MFC"/>
    <s v="IBMCA"/>
    <s v="ACTIVE ADVISORS AND ASSISTANTS"/>
    <n v="0"/>
    <n v="0"/>
  </r>
  <r>
    <s v="ssotest@mfc.sps.local"/>
    <s v="MFC"/>
    <x v="0"/>
    <n v="551367"/>
    <n v="1000"/>
    <d v="2017-09-13T12:25:50"/>
    <x v="0"/>
    <x v="0"/>
    <s v="Stephen.Snoddon@manulifesecurities.ca"/>
    <n v="554066"/>
    <s v="User Account"/>
    <n v="1"/>
    <s v="AtBelow"/>
    <s v="CC_Portal"/>
    <n v="0"/>
    <s v="MFC"/>
    <s v="IBMCA"/>
    <s v="ACTIVE ADVISORS AND ASSISTANTS"/>
    <n v="0"/>
    <n v="0"/>
  </r>
  <r>
    <s v="alex_buena@manulifesecurities.ca"/>
    <s v="MFC"/>
    <x v="0"/>
    <n v="570025"/>
    <n v="3"/>
    <d v="2017-09-13T11:56:51"/>
    <x v="0"/>
    <x v="5"/>
    <s v="sam.solomon@manulifesecurities.ca"/>
    <n v="893947"/>
    <s v="User Account"/>
    <n v="1"/>
    <s v="AtBelow"/>
    <s v="CC_Portal"/>
    <n v="0"/>
    <s v="MFC"/>
    <s v="IBMCA"/>
    <s v="ACTIVE ADVISORS AND ASSISTANTS"/>
    <n v="0"/>
    <n v="0"/>
  </r>
  <r>
    <s v="alex_buena@manulifesecurities.ca"/>
    <s v="MFC"/>
    <x v="0"/>
    <n v="570025"/>
    <n v="3"/>
    <d v="2017-09-13T11:56:50"/>
    <x v="4"/>
    <x v="6"/>
    <s v="MSI_autoEmailArchive@manulifesecurities.ca"/>
    <n v="561482"/>
    <s v="Distribution List"/>
    <n v="1"/>
    <s v="Any"/>
    <s v="CC_Portal"/>
    <s v="b46b9d44d3004834922c3a1dca23b48c"/>
    <s v="MFC"/>
    <s v="IBMCA"/>
    <s v="ALL GROUPS"/>
    <n v="0"/>
    <n v="0"/>
  </r>
  <r>
    <s v="alex_buena@manulifesecurities.ca"/>
    <s v="MFC"/>
    <x v="0"/>
    <n v="570025"/>
    <n v="3"/>
    <d v="2017-09-13T11:56:49"/>
    <x v="4"/>
    <x v="6"/>
    <s v="AllAssistants@manulifesecurities.ca"/>
    <n v="555660"/>
    <s v="Distribution List"/>
    <n v="1"/>
    <s v="Any"/>
    <s v="CC_Portal"/>
    <s v="b46b9d44d3004834922c3a1dca23b48c"/>
    <s v="MFC"/>
    <s v="IBMCA"/>
    <s v="ALL GROUPS"/>
    <n v="0"/>
    <n v="0"/>
  </r>
  <r>
    <s v="alex_buena@manulifesecurities.ca"/>
    <s v="MFC"/>
    <x v="0"/>
    <n v="570025"/>
    <n v="3"/>
    <d v="2017-09-13T11:56:47"/>
    <x v="0"/>
    <x v="5"/>
    <s v="sam.solomon@manulifesecurities.ca"/>
    <n v="893947"/>
    <s v="User Account"/>
    <n v="1"/>
    <s v="AtBelow"/>
    <s v="CC_Portal"/>
    <n v="0"/>
    <s v="MFC"/>
    <s v="IBMCA"/>
    <s v="ACTIVE ADVISORS AND ASSISTANTS"/>
    <n v="0"/>
    <n v="0"/>
  </r>
  <r>
    <s v="alex_buena@manulifesecurities.ca"/>
    <s v="MFC"/>
    <x v="0"/>
    <n v="570025"/>
    <n v="3"/>
    <d v="2017-09-13T11:56:42"/>
    <x v="0"/>
    <x v="5"/>
    <s v="sam.solomon@manulifesecurities.ca"/>
    <n v="893947"/>
    <s v="User Account"/>
    <n v="1"/>
    <s v="AtBelow"/>
    <s v="CC_Portal"/>
    <n v="0"/>
    <s v="MFC"/>
    <s v="IBMCA"/>
    <s v="ACTIVE ADVISORS AND ASSISTANTS"/>
    <n v="0"/>
    <n v="0"/>
  </r>
  <r>
    <s v="ssotest@mfc.sps.local"/>
    <s v="MFC"/>
    <x v="0"/>
    <n v="551367"/>
    <n v="1000"/>
    <d v="2017-09-13T11:47:20"/>
    <x v="0"/>
    <x v="0"/>
    <s v="Ken.Chisholm@manulifesecurities.ca"/>
    <n v="553067"/>
    <s v="User Account"/>
    <n v="1"/>
    <s v="AtBelow"/>
    <s v="CC_Portal"/>
    <n v="0"/>
    <s v="MFC"/>
    <s v="IBMCA"/>
    <s v="ACTIVE ADVISORS AND ASSISTANTS"/>
    <n v="0"/>
    <n v="0"/>
  </r>
  <r>
    <s v="priscilla.misir@manulifesecurities.ca"/>
    <s v="MFC"/>
    <x v="0"/>
    <n v="674396"/>
    <n v="3"/>
    <d v="2017-09-13T11:45:59"/>
    <x v="0"/>
    <x v="4"/>
    <s v="Dean.Rose@manulifesecurities.ca"/>
    <n v="552330"/>
    <s v="User Account"/>
    <n v="1"/>
    <s v="AtBelow"/>
    <s v="CC_Portal"/>
    <s v="oldOrgGroup=ACTIVE ADVISORS AND ASSISTANTS;newOrgGroup=DISABLED USERS"/>
    <s v="MFC"/>
    <s v="IBMCA"/>
    <s v="DISABLED USERS"/>
    <n v="0"/>
    <n v="0"/>
  </r>
  <r>
    <s v="priscilla.misir@manulifesecurities.ca"/>
    <s v="MFC"/>
    <x v="0"/>
    <n v="674396"/>
    <n v="3"/>
    <d v="2017-09-13T11:41:05"/>
    <x v="4"/>
    <x v="6"/>
    <s v="PMM@manulifesecurities.ca"/>
    <n v="555675"/>
    <s v="Distribution List"/>
    <n v="1"/>
    <s v="Any"/>
    <s v="CC_Portal"/>
    <s v="78c8aab65c954fe582b9ef8f2863f74d"/>
    <s v="MFC"/>
    <s v="IBMCA"/>
    <s v="ALL GROUPS"/>
    <n v="0"/>
    <n v="0"/>
  </r>
  <r>
    <s v="priscilla.misir@manulifesecurities.ca"/>
    <s v="MFC"/>
    <x v="0"/>
    <n v="674396"/>
    <n v="3"/>
    <d v="2017-09-13T11:41:05"/>
    <x v="0"/>
    <x v="5"/>
    <s v="Dean.Rose@manulifesecurities.ca"/>
    <n v="552330"/>
    <s v="User Account"/>
    <n v="1"/>
    <s v="AtBelow"/>
    <s v="CC_Portal"/>
    <n v="0"/>
    <s v="MFC"/>
    <s v="IBMCA"/>
    <s v="ACTIVE ADVISORS AND ASSISTANTS"/>
    <n v="0"/>
    <n v="0"/>
  </r>
  <r>
    <s v="priscilla.misir@manulifesecurities.ca"/>
    <s v="MFC"/>
    <x v="0"/>
    <n v="674396"/>
    <n v="3"/>
    <d v="2017-09-13T11:41:04"/>
    <x v="4"/>
    <x v="6"/>
    <s v="MSI_autoEmailArchive@manulifesecurities.ca"/>
    <n v="561482"/>
    <s v="Distribution List"/>
    <n v="1"/>
    <s v="Any"/>
    <s v="CC_Portal"/>
    <s v="78c8aab65c954fe582b9ef8f2863f74d"/>
    <s v="MFC"/>
    <s v="IBMCA"/>
    <s v="ALL GROUPS"/>
    <n v="0"/>
    <n v="0"/>
  </r>
  <r>
    <s v="priscilla.misir@manulifesecurities.ca"/>
    <s v="MFC"/>
    <x v="0"/>
    <n v="674396"/>
    <n v="3"/>
    <d v="2017-09-13T11:41:02"/>
    <x v="4"/>
    <x v="6"/>
    <s v="Kitchener@manulifesecurities.ca"/>
    <n v="561089"/>
    <s v="Distribution List"/>
    <n v="1"/>
    <s v="Any"/>
    <s v="CC_Portal"/>
    <s v="78c8aab65c954fe582b9ef8f2863f74d"/>
    <s v="MFC"/>
    <s v="IBMCA"/>
    <s v="ALL GROUPS"/>
    <n v="0"/>
    <n v="0"/>
  </r>
  <r>
    <s v="priscilla.misir@manulifesecurities.ca"/>
    <s v="MFC"/>
    <x v="0"/>
    <n v="674396"/>
    <n v="3"/>
    <d v="2017-09-13T11:41:02"/>
    <x v="4"/>
    <x v="6"/>
    <s v="MSISRepresentatives@manulifesecurities.ca"/>
    <n v="555674"/>
    <s v="Distribution List"/>
    <n v="1"/>
    <s v="Any"/>
    <s v="CC_Portal"/>
    <s v="78c8aab65c954fe582b9ef8f2863f74d"/>
    <s v="MFC"/>
    <s v="IBMCA"/>
    <s v="ALL GROUPS"/>
    <n v="0"/>
    <n v="0"/>
  </r>
  <r>
    <s v="priscilla.misir@manulifesecurities.ca"/>
    <s v="MFC"/>
    <x v="0"/>
    <n v="674396"/>
    <n v="3"/>
    <d v="2017-09-13T11:41:01"/>
    <x v="4"/>
    <x v="6"/>
    <s v="FormerBerkAdvisors@manulifesecurities.ca"/>
    <n v="555662"/>
    <s v="Distribution List"/>
    <n v="1"/>
    <s v="Any"/>
    <s v="CC_Portal"/>
    <s v="78c8aab65c954fe582b9ef8f2863f74d"/>
    <s v="MFC"/>
    <s v="IBMCA"/>
    <s v="ALL GROUPS"/>
    <n v="0"/>
    <n v="0"/>
  </r>
  <r>
    <s v="priscilla.misir@manulifesecurities.ca"/>
    <s v="MFC"/>
    <x v="0"/>
    <n v="674396"/>
    <n v="3"/>
    <d v="2017-09-13T11:41:00"/>
    <x v="4"/>
    <x v="6"/>
    <s v="BusinessOwners@manulifesecurities.ca"/>
    <n v="555669"/>
    <s v="Distribution List"/>
    <n v="1"/>
    <s v="Any"/>
    <s v="CC_Portal"/>
    <s v="78c8aab65c954fe582b9ef8f2863f74d"/>
    <s v="MFC"/>
    <s v="IBMCA"/>
    <s v="ALL GROUPS"/>
    <n v="0"/>
    <n v="0"/>
  </r>
  <r>
    <s v="priscilla.misir@manulifesecurities.ca"/>
    <s v="MFC"/>
    <x v="0"/>
    <n v="674396"/>
    <n v="3"/>
    <d v="2017-09-13T11:40:59"/>
    <x v="4"/>
    <x v="6"/>
    <s v="AllAdvisors@manulifesecurities.ca"/>
    <n v="555659"/>
    <s v="Distribution List"/>
    <n v="1"/>
    <s v="Any"/>
    <s v="CC_Portal"/>
    <s v="78c8aab65c954fe582b9ef8f2863f74d"/>
    <s v="MFC"/>
    <s v="IBMCA"/>
    <s v="ALL GROUPS"/>
    <n v="0"/>
    <n v="0"/>
  </r>
  <r>
    <s v="priscilla.misir@manulifesecurities.ca"/>
    <s v="MFC"/>
    <x v="0"/>
    <n v="674396"/>
    <n v="3"/>
    <d v="2017-09-13T11:40:58"/>
    <x v="4"/>
    <x v="6"/>
    <s v="Advisors@manulifesecurities.ca"/>
    <n v="555668"/>
    <s v="Distribution List"/>
    <n v="1"/>
    <s v="Any"/>
    <s v="CC_Portal"/>
    <s v="78c8aab65c954fe582b9ef8f2863f74d"/>
    <s v="MFC"/>
    <s v="IBMCA"/>
    <s v="ALL GROUPS"/>
    <n v="0"/>
    <n v="0"/>
  </r>
  <r>
    <s v="priscilla.misir@manulifesecurities.ca"/>
    <s v="MFC"/>
    <x v="0"/>
    <n v="674396"/>
    <n v="3"/>
    <d v="2017-09-13T11:40:55"/>
    <x v="0"/>
    <x v="5"/>
    <s v="Dean.Rose@manulifesecurities.ca"/>
    <n v="552330"/>
    <s v="User Account"/>
    <n v="1"/>
    <s v="AtBelow"/>
    <s v="CC_Portal"/>
    <n v="0"/>
    <s v="MFC"/>
    <s v="IBMCA"/>
    <s v="ACTIVE ADVISORS AND ASSISTANTS"/>
    <n v="0"/>
    <n v="0"/>
  </r>
  <r>
    <s v="priscilla.misir@manulifesecurities.ca"/>
    <s v="MFC"/>
    <x v="0"/>
    <n v="674396"/>
    <n v="3"/>
    <d v="2017-09-13T11:40:45"/>
    <x v="0"/>
    <x v="3"/>
    <s v="Dean.Rose@manulifesecurities.ca"/>
    <n v="552330"/>
    <s v="User Account"/>
    <n v="1"/>
    <s v="AtBelow"/>
    <s v="CC_Portal"/>
    <s v="Disable"/>
    <s v="MFC"/>
    <s v="IBMCA"/>
    <s v="ACTIVE ADVISORS AND ASSISTANTS"/>
    <n v="0"/>
    <n v="0"/>
  </r>
  <r>
    <s v="priscilla.misir@manulifesecurities.ca"/>
    <s v="MFC"/>
    <x v="0"/>
    <n v="674396"/>
    <n v="3"/>
    <d v="2017-09-13T11:40:43"/>
    <x v="0"/>
    <x v="5"/>
    <s v="Dean.Rose@manulifesecurities.ca"/>
    <n v="552330"/>
    <s v="User Account"/>
    <n v="1"/>
    <s v="AtBelow"/>
    <s v="CC_Portal"/>
    <n v="0"/>
    <s v="MFC"/>
    <s v="IBMCA"/>
    <s v="ACTIVE ADVISORS AND ASSISTANTS"/>
    <n v="0"/>
    <n v="0"/>
  </r>
  <r>
    <s v="priscilla.misir@manulifesecurities.ca"/>
    <s v="MFC"/>
    <x v="0"/>
    <n v="674396"/>
    <n v="3"/>
    <d v="2017-09-13T11:40:06"/>
    <x v="0"/>
    <x v="3"/>
    <s v="Dean.Rose@manulifesecurities.ca"/>
    <n v="552330"/>
    <s v="User Account"/>
    <n v="1"/>
    <s v="AtBelow"/>
    <s v="CC_Portal"/>
    <s v="Disable"/>
    <s v="MFC"/>
    <s v="IBMCA"/>
    <s v="ACTIVE ADVISORS AND ASSISTANTS"/>
    <n v="0"/>
    <n v="0"/>
  </r>
  <r>
    <s v="alex_buena@manulifesecurities.ca"/>
    <s v="MFC"/>
    <x v="0"/>
    <n v="570025"/>
    <n v="3"/>
    <d v="2017-09-13T11:33:23"/>
    <x v="0"/>
    <x v="0"/>
    <s v="sam.solomon@manulifesecurities.ca"/>
    <n v="893947"/>
    <s v="User Account"/>
    <n v="1"/>
    <s v="AtBelow"/>
    <s v="CC_Portal"/>
    <n v="0"/>
    <s v="MFC"/>
    <s v="IBMCA"/>
    <s v="ACTIVE ADVISORS AND ASSISTANTS"/>
    <n v="0"/>
    <n v="0"/>
  </r>
  <r>
    <s v="alex_buena@manulifesecurities.ca"/>
    <s v="MFC"/>
    <x v="0"/>
    <n v="570025"/>
    <n v="3"/>
    <d v="2017-09-13T11:29:30"/>
    <x v="0"/>
    <x v="10"/>
    <s v="sam.solomon@manulifesecurities.ca"/>
    <n v="893947"/>
    <s v="User Account"/>
    <n v="1"/>
    <s v="AtBelow"/>
    <s v="CC_Portal"/>
    <s v="Action=Enable;ForwardTo=Abraham.Tachjian@manulifesecurities.ca;LeaveCopy=FalseTrue"/>
    <s v="MFC"/>
    <s v="IBMCA"/>
    <s v="ACTIVE ADVISORS AND ASSISTANTS"/>
    <n v="0"/>
    <n v="0"/>
  </r>
  <r>
    <s v="alex_buena@manulifesecurities.ca"/>
    <s v="MFC"/>
    <x v="0"/>
    <n v="570025"/>
    <n v="3"/>
    <d v="2017-09-13T11:29:30"/>
    <x v="0"/>
    <x v="10"/>
    <s v="sam.solomon@manulifesecurities.ca"/>
    <n v="893947"/>
    <s v="User Account"/>
    <n v="1"/>
    <s v="AtBelow"/>
    <s v="CC_Portal"/>
    <s v="Action=Enable;ForwardTo=Abraham.Tachjian@manulifesecurities.ca;LeaveCopy=FalseTrue"/>
    <s v="MFC"/>
    <s v="IBMCA"/>
    <s v="ACTIVE ADVISORS AND ASSISTANTS"/>
    <n v="0"/>
    <n v="0"/>
  </r>
  <r>
    <s v="marshall.hett@manulifesecurities.ca"/>
    <s v="MFC"/>
    <x v="0"/>
    <n v="707864"/>
    <n v="3"/>
    <d v="2017-09-13T11:15:44"/>
    <x v="3"/>
    <x v="2"/>
    <s v="kelly.gray@manulifesecurities.ca"/>
    <n v="840602"/>
    <s v="User Account"/>
    <n v="1"/>
    <s v="AtBelow"/>
    <s v="CC_WebService"/>
    <m/>
    <s v="MFC"/>
    <s v="IBMCA"/>
    <s v="ACTIVE ADVISORS AND ASSISTANTS"/>
    <n v="0"/>
    <n v="0"/>
  </r>
  <r>
    <s v="ssotest@mfc.sps.local"/>
    <s v="MFC"/>
    <x v="0"/>
    <n v="551367"/>
    <n v="1000"/>
    <d v="2017-09-13T10:58:29"/>
    <x v="0"/>
    <x v="0"/>
    <s v="Robert.Pethes@manulifesecurities.ca"/>
    <n v="553835"/>
    <s v="User Account"/>
    <n v="1"/>
    <s v="AtBelow"/>
    <s v="CC_Portal"/>
    <n v="0"/>
    <s v="MFC"/>
    <s v="IBMCA"/>
    <s v="ACTIVE ADVISORS AND ASSISTANTS"/>
    <n v="0"/>
    <n v="0"/>
  </r>
  <r>
    <s v="ssotest@mfc.sps.local"/>
    <s v="MFC"/>
    <x v="0"/>
    <n v="551367"/>
    <n v="1000"/>
    <d v="2017-09-13T10:43:26"/>
    <x v="0"/>
    <x v="0"/>
    <s v="Leanne.OReilly@manulifesecurities.ca"/>
    <n v="553179"/>
    <s v="User Account"/>
    <n v="1"/>
    <s v="AtBelow"/>
    <s v="CC_Portal"/>
    <n v="0"/>
    <s v="MFC"/>
    <s v="IBMCA"/>
    <s v="ACTIVE ADVISORS AND ASSISTANTS"/>
    <n v="0"/>
    <n v="0"/>
  </r>
  <r>
    <s v="ssotest@mfc.sps.local"/>
    <s v="MFC"/>
    <x v="0"/>
    <n v="551367"/>
    <n v="1000"/>
    <d v="2017-09-13T10:00:54"/>
    <x v="0"/>
    <x v="0"/>
    <s v="cristian.bogdan@manulifesecurities.ca"/>
    <n v="560330"/>
    <s v="User Account"/>
    <n v="3"/>
    <s v="AtBelow"/>
    <s v="CC_Portal"/>
    <n v="0"/>
    <s v="MFC"/>
    <s v="IBMCA"/>
    <s v="TEMP - SUPPORT ACCOUNTS"/>
    <n v="0"/>
    <n v="0"/>
  </r>
  <r>
    <s v="fahmi.karim@manulifesecurities.ca"/>
    <s v="MFC"/>
    <x v="0"/>
    <n v="809833"/>
    <n v="3"/>
    <d v="2017-09-13T09:53:00"/>
    <x v="3"/>
    <x v="2"/>
    <s v="susan.stellings@manulifesecurities.ca"/>
    <n v="653807"/>
    <s v="User Account"/>
    <n v="1"/>
    <s v="AtBelow"/>
    <s v="CC_WebService"/>
    <m/>
    <s v="MFC"/>
    <s v="IBMCA"/>
    <s v="ACTIVE ADVISORS AND ASSISTANTS"/>
    <n v="0"/>
    <n v="0"/>
  </r>
  <r>
    <s v="fahmi.karim@manulifesecurities.ca"/>
    <s v="MFC"/>
    <x v="0"/>
    <n v="809833"/>
    <n v="3"/>
    <d v="2017-09-13T09:52:37"/>
    <x v="3"/>
    <x v="2"/>
    <s v="susan.stellings@manulifesecurities.ca"/>
    <n v="653807"/>
    <s v="User Account"/>
    <n v="1"/>
    <s v="AtBelow"/>
    <s v="CC_WebService"/>
    <m/>
    <s v="MFC"/>
    <s v="IBMCA"/>
    <s v="ACTIVE ADVISORS AND ASSISTANTS"/>
    <n v="0"/>
    <n v="0"/>
  </r>
  <r>
    <s v="ssotest@mfc.sps.local"/>
    <s v="MFC"/>
    <x v="0"/>
    <n v="551367"/>
    <n v="1000"/>
    <d v="2017-09-13T09:49:01"/>
    <x v="0"/>
    <x v="0"/>
    <s v="Kelly.Westheuser@manulifesecurities.ca"/>
    <n v="553059"/>
    <s v="User Account"/>
    <n v="1"/>
    <s v="AtBelow"/>
    <s v="CC_Portal"/>
    <n v="0"/>
    <s v="MFC"/>
    <s v="IBMCA"/>
    <s v="DISABLED USERS"/>
    <n v="0"/>
    <n v="0"/>
  </r>
  <r>
    <s v="ssotest@mfc.sps.local"/>
    <s v="MFC"/>
    <x v="0"/>
    <n v="551367"/>
    <n v="1000"/>
    <d v="2017-09-13T09:45:54"/>
    <x v="0"/>
    <x v="0"/>
    <s v="susan.stellings@manulifesecurities.ca"/>
    <n v="653807"/>
    <s v="User Account"/>
    <n v="1"/>
    <s v="AtBelow"/>
    <s v="CC_Portal"/>
    <n v="0"/>
    <s v="MFC"/>
    <s v="IBMCA"/>
    <s v="ACTIVE ADVISORS AND ASSISTANTS"/>
    <n v="0"/>
    <n v="0"/>
  </r>
  <r>
    <s v="ssotest@mfc.sps.local"/>
    <s v="MFC"/>
    <x v="0"/>
    <n v="551367"/>
    <n v="1000"/>
    <d v="2017-09-13T09:18:06"/>
    <x v="0"/>
    <x v="0"/>
    <s v="headoffice@manulifesecurities.ca"/>
    <n v="560511"/>
    <s v="User Account"/>
    <n v="1"/>
    <s v="AtBelow"/>
    <s v="CC_Portal"/>
    <n v="0"/>
    <s v="MFC"/>
    <s v="IBMCA"/>
    <s v="DISABLED USERS"/>
    <n v="0"/>
    <n v="0"/>
  </r>
  <r>
    <s v="ssotest@mfc.sps.local"/>
    <s v="MFC"/>
    <x v="0"/>
    <n v="551367"/>
    <n v="1000"/>
    <d v="2017-09-13T09:11:58"/>
    <x v="0"/>
    <x v="0"/>
    <s v="Brian.Howe@manulifesecurities.ca"/>
    <n v="551997"/>
    <s v="User Account"/>
    <n v="1"/>
    <s v="AtBelow"/>
    <s v="CC_Portal"/>
    <n v="0"/>
    <s v="MFC"/>
    <s v="IBMCA"/>
    <s v="ACTIVE ADVISORS AND ASSISTANTS"/>
    <n v="0"/>
    <n v="0"/>
  </r>
  <r>
    <s v="ssotest@mfc.sps.local"/>
    <s v="MFC"/>
    <x v="0"/>
    <n v="551367"/>
    <n v="1000"/>
    <d v="2017-09-13T09:07:14"/>
    <x v="0"/>
    <x v="0"/>
    <s v="Mathew.Cain@manulifesecurities.ca"/>
    <n v="553415"/>
    <s v="User Account"/>
    <n v="1"/>
    <s v="AtBelow"/>
    <s v="CC_Portal"/>
    <n v="0"/>
    <s v="MFC"/>
    <s v="IBMCA"/>
    <s v="ACTIVE ADVISORS AND ASSISTANTS"/>
    <n v="0"/>
    <n v="0"/>
  </r>
  <r>
    <s v="ssotest@mfc.sps.local"/>
    <s v="MFC"/>
    <x v="0"/>
    <n v="551367"/>
    <n v="1000"/>
    <d v="2017-09-13T08:03:00"/>
    <x v="0"/>
    <x v="0"/>
    <s v="headoffice@manulifesecurities.ca"/>
    <n v="560511"/>
    <s v="User Account"/>
    <n v="1"/>
    <s v="AtBelow"/>
    <s v="CC_Portal"/>
    <n v="0"/>
    <s v="MFC"/>
    <s v="IBMCA"/>
    <s v="DISABLED USERS"/>
    <n v="0"/>
    <n v="0"/>
  </r>
  <r>
    <s v="ssotest@mfc.sps.local"/>
    <s v="MFC"/>
    <x v="0"/>
    <n v="551367"/>
    <n v="1000"/>
    <d v="2017-09-13T07:35:45"/>
    <x v="0"/>
    <x v="0"/>
    <s v="Ann.Swift@manulifesecurities.ca"/>
    <n v="551831"/>
    <s v="User Account"/>
    <n v="1"/>
    <s v="AtBelow"/>
    <s v="CC_Portal"/>
    <n v="0"/>
    <s v="MFC"/>
    <s v="IBMCA"/>
    <s v="DISABLED USERS"/>
    <n v="0"/>
    <n v="0"/>
  </r>
  <r>
    <s v="ssotest@mfc.sps.local"/>
    <s v="MFC"/>
    <x v="0"/>
    <n v="551367"/>
    <n v="1000"/>
    <d v="2017-09-13T06:48:19"/>
    <x v="0"/>
    <x v="0"/>
    <s v="Joe.Iantomasi@manulifesecurities.ca"/>
    <n v="552943"/>
    <s v="User Account"/>
    <n v="1"/>
    <s v="AtBelow"/>
    <s v="CC_Portal"/>
    <n v="0"/>
    <s v="MFC"/>
    <s v="IBMCA"/>
    <s v="ACTIVE ADVISORS AND ASSISTANTS"/>
    <n v="0"/>
    <n v="0"/>
  </r>
  <r>
    <s v="ssotest@mfc.sps.local"/>
    <s v="MFC"/>
    <x v="0"/>
    <n v="551367"/>
    <n v="1000"/>
    <d v="2017-09-13T00:20:37"/>
    <x v="0"/>
    <x v="0"/>
    <s v="John.Sutherland@manulifesecurities.ca"/>
    <n v="552920"/>
    <s v="User Account"/>
    <n v="1"/>
    <s v="AtBelow"/>
    <s v="CC_Portal"/>
    <n v="0"/>
    <s v="MFC"/>
    <s v="IBMCA"/>
    <s v="ACTIVE ADVISORS AND ASSISTANTS"/>
    <n v="0"/>
    <n v="0"/>
  </r>
  <r>
    <s v="ssotest@mfc.sps.local"/>
    <s v="MFC"/>
    <x v="0"/>
    <n v="551367"/>
    <n v="1000"/>
    <d v="2017-09-12T21:36:03"/>
    <x v="0"/>
    <x v="0"/>
    <s v="kavi.tanna@manulifesecurities.ca"/>
    <n v="723907"/>
    <s v="User Account"/>
    <n v="1"/>
    <s v="AtBelow"/>
    <s v="CC_Portal"/>
    <n v="0"/>
    <s v="MFC"/>
    <s v="IBMCA"/>
    <s v="ACTIVE ADVISORS AND ASSISTANTS"/>
    <n v="0"/>
    <n v="0"/>
  </r>
  <r>
    <s v="crystal.parkinson@manulifesecurities.ca"/>
    <s v="MFC"/>
    <x v="0"/>
    <n v="637976"/>
    <n v="1"/>
    <d v="2017-09-12T18:36:36"/>
    <x v="2"/>
    <x v="1"/>
    <s v="crystal.parkinson@manulifesecurities.ca"/>
    <n v="637976"/>
    <s v="User Account"/>
    <n v="0"/>
    <s v="Deny"/>
    <s v="CC_Portal"/>
    <n v="0"/>
    <s v="MFC"/>
    <s v="IBMCA"/>
    <s v="ACTIVE ADVISORS AND ASSISTANTS"/>
    <n v="0"/>
    <n v="0"/>
  </r>
  <r>
    <s v="crystal.parkinson@manulifesecurities.ca"/>
    <s v="MFC"/>
    <x v="0"/>
    <n v="637976"/>
    <n v="1"/>
    <d v="2017-09-12T18:36:35"/>
    <x v="1"/>
    <x v="1"/>
    <s v="crystal.parkinson@manulifesecurities.ca"/>
    <n v="637976"/>
    <s v="User Account"/>
    <n v="0"/>
    <s v="Deny"/>
    <s v="CC_Portal"/>
    <n v="0"/>
    <s v="MFC"/>
    <s v="IBMCA"/>
    <s v="ACTIVE ADVISORS AND ASSISTANTS"/>
    <n v="0"/>
    <n v="0"/>
  </r>
  <r>
    <s v="cameron.price@manulifesecurities.ca"/>
    <s v="MFC"/>
    <x v="0"/>
    <n v="627564"/>
    <n v="3"/>
    <d v="2017-09-12T16:08:55"/>
    <x v="3"/>
    <x v="2"/>
    <s v="kelly.gray@manulifesecurities.ca"/>
    <n v="840602"/>
    <s v="User Account"/>
    <n v="1"/>
    <s v="AtBelow"/>
    <s v="CC_WebService"/>
    <m/>
    <s v="MFC"/>
    <s v="IBMCA"/>
    <s v="ACTIVE ADVISORS AND ASSISTANTS"/>
    <n v="0"/>
    <n v="0"/>
  </r>
  <r>
    <s v="cameron.price@manulifesecurities.ca"/>
    <s v="MFC"/>
    <x v="0"/>
    <n v="627564"/>
    <n v="3"/>
    <d v="2017-09-12T16:00:25"/>
    <x v="0"/>
    <x v="0"/>
    <s v="kelly.gray@manulifesecurities.ca"/>
    <n v="840602"/>
    <s v="User Account"/>
    <n v="1"/>
    <s v="AtBelow"/>
    <s v="CC_Portal"/>
    <n v="0"/>
    <s v="MFC"/>
    <s v="IBMCA"/>
    <s v="ACTIVE ADVISORS AND ASSISTANTS"/>
    <n v="0"/>
    <n v="0"/>
  </r>
  <r>
    <s v="ssotest@mfc.sps.local"/>
    <s v="MFC"/>
    <x v="0"/>
    <n v="551367"/>
    <n v="1000"/>
    <d v="2017-09-12T15:49:30"/>
    <x v="0"/>
    <x v="0"/>
    <s v="Michael.Raimondo@manulifesecurities.ca"/>
    <n v="551666"/>
    <s v="User Account"/>
    <n v="1"/>
    <s v="AtBelow"/>
    <s v="CC_Portal"/>
    <n v="0"/>
    <s v="MFC"/>
    <s v="IBMCA"/>
    <s v="ACTIVE ADVISORS AND ASSISTANTS"/>
    <n v="0"/>
    <n v="0"/>
  </r>
  <r>
    <s v="crystal.parkinson@manulifesecurities.ca"/>
    <s v="MFC"/>
    <x v="0"/>
    <n v="637976"/>
    <n v="1"/>
    <d v="2017-09-12T15:32:30"/>
    <x v="1"/>
    <x v="1"/>
    <s v="crystal.parkinson@manulifesecurities.ca"/>
    <n v="637976"/>
    <s v="User Account"/>
    <n v="0"/>
    <s v="Deny"/>
    <s v="CC_Portal"/>
    <n v="0"/>
    <s v="MFC"/>
    <s v="IBMCA"/>
    <s v="ACTIVE ADVISORS AND ASSISTANTS"/>
    <n v="0"/>
    <n v="0"/>
  </r>
  <r>
    <s v="crystal.parkinson@manulifesecurities.ca"/>
    <s v="MFC"/>
    <x v="0"/>
    <n v="637976"/>
    <n v="1"/>
    <d v="2017-09-12T15:32:30"/>
    <x v="2"/>
    <x v="1"/>
    <s v="crystal.parkinson@manulifesecurities.ca"/>
    <n v="637976"/>
    <s v="User Account"/>
    <n v="0"/>
    <s v="Deny"/>
    <s v="CC_Portal"/>
    <n v="0"/>
    <s v="MFC"/>
    <s v="IBMCA"/>
    <s v="ACTIVE ADVISORS AND ASSISTANTS"/>
    <n v="0"/>
    <n v="0"/>
  </r>
  <r>
    <s v="cristian.bogdan@manulifesecurities.ca"/>
    <s v="MFC"/>
    <x v="0"/>
    <n v="560330"/>
    <n v="3"/>
    <d v="2017-09-12T13:44:08"/>
    <x v="3"/>
    <x v="2"/>
    <s v="kelly.gray@manulifesecurities.ca"/>
    <n v="840602"/>
    <s v="User Account"/>
    <n v="1"/>
    <s v="AtBelow"/>
    <s v="CC_WebService"/>
    <m/>
    <s v="MFC"/>
    <s v="IBMCA"/>
    <s v="ACTIVE ADVISORS AND ASSISTANTS"/>
    <n v="0"/>
    <n v="0"/>
  </r>
  <r>
    <s v="ssotest@mfc.sps.local"/>
    <s v="MFC"/>
    <x v="0"/>
    <n v="551367"/>
    <n v="1000"/>
    <d v="2017-09-12T13:41:36"/>
    <x v="0"/>
    <x v="0"/>
    <s v="kelly.gray@manulifesecurities.ca"/>
    <n v="840602"/>
    <s v="User Account"/>
    <n v="1"/>
    <s v="AtBelow"/>
    <s v="CC_Portal"/>
    <n v="0"/>
    <s v="MFC"/>
    <s v="IBMCA"/>
    <s v="ACTIVE ADVISORS AND ASSISTANTS"/>
    <n v="0"/>
    <n v="0"/>
  </r>
  <r>
    <s v="alex_buena@manulifesecurities.ca"/>
    <s v="MFC"/>
    <x v="0"/>
    <n v="570025"/>
    <n v="3"/>
    <d v="2017-09-12T12:29:00"/>
    <x v="0"/>
    <x v="5"/>
    <s v="karen.ferguson@manulifesecurities.ca"/>
    <n v="908154"/>
    <s v="User Account"/>
    <n v="1"/>
    <s v="AtBelow"/>
    <s v="CC_Portal"/>
    <n v="0"/>
    <s v="MFC"/>
    <s v="IBMCA"/>
    <s v="ACTIVE ADVISORS AND ASSISTANTS"/>
    <n v="0"/>
    <n v="0"/>
  </r>
  <r>
    <s v="alex_buena@manulifesecurities.ca"/>
    <s v="MFC"/>
    <x v="0"/>
    <n v="570025"/>
    <n v="3"/>
    <d v="2017-09-12T12:28:59"/>
    <x v="5"/>
    <x v="6"/>
    <s v="MSI_autoEmailArchive@manulifesecurities.ca"/>
    <n v="561482"/>
    <s v="Distribution List"/>
    <n v="1"/>
    <s v="Any"/>
    <s v="CC_Portal"/>
    <s v="80a9a90cf9fa463e9fc9bac04c02cad9"/>
    <s v="MFC"/>
    <s v="IBMCA"/>
    <s v="ALL GROUPS"/>
    <n v="0"/>
    <n v="0"/>
  </r>
  <r>
    <s v="alex_buena@manulifesecurities.ca"/>
    <s v="MFC"/>
    <x v="0"/>
    <n v="570025"/>
    <n v="3"/>
    <d v="2017-09-12T12:28:58"/>
    <x v="5"/>
    <x v="6"/>
    <s v="AllAssistants@manulifesecurities.ca"/>
    <n v="555660"/>
    <s v="Distribution List"/>
    <n v="1"/>
    <s v="Any"/>
    <s v="CC_Portal"/>
    <s v="80a9a90cf9fa463e9fc9bac04c02cad9"/>
    <s v="MFC"/>
    <s v="IBMCA"/>
    <s v="ALL GROUPS"/>
    <n v="0"/>
    <n v="0"/>
  </r>
  <r>
    <s v="alex_buena@manulifesecurities.ca"/>
    <s v="MFC"/>
    <x v="0"/>
    <n v="570025"/>
    <n v="3"/>
    <d v="2017-09-12T12:28:57"/>
    <x v="0"/>
    <x v="5"/>
    <s v="karen.ferguson@manulifesecurities.ca"/>
    <n v="908154"/>
    <s v="User Account"/>
    <n v="1"/>
    <s v="AtBelow"/>
    <s v="CC_Portal"/>
    <n v="0"/>
    <s v="MFC"/>
    <s v="IBMCA"/>
    <s v="ACTIVE ADVISORS AND ASSISTANTS"/>
    <n v="0"/>
    <n v="0"/>
  </r>
  <r>
    <s v="alex_buena@manulifesecurities.ca"/>
    <s v="MFC"/>
    <x v="0"/>
    <n v="570025"/>
    <n v="3"/>
    <d v="2017-09-12T12:28:40"/>
    <x v="0"/>
    <x v="5"/>
    <s v="karen.ferguson@manulifesecurities.ca"/>
    <n v="908154"/>
    <s v="User Account"/>
    <n v="1"/>
    <s v="AtBelow"/>
    <s v="CC_Portal"/>
    <n v="0"/>
    <s v="MFC"/>
    <s v="IBMCA"/>
    <s v="ACTIVE ADVISORS AND ASSISTANTS"/>
    <n v="0"/>
    <n v="0"/>
  </r>
  <r>
    <s v="alex_buena@manulifesecurities.ca"/>
    <s v="MFC"/>
    <x v="0"/>
    <n v="570025"/>
    <n v="3"/>
    <d v="2017-09-12T12:28:21"/>
    <x v="5"/>
    <x v="7"/>
    <s v="karen.ferguson@manulifesecurities.ca"/>
    <n v="908154"/>
    <s v="User Account"/>
    <n v="1"/>
    <s v="AtBelow"/>
    <s v="CC_Portal"/>
    <s v="PrimaryEmail=karen.ferguson@manulifesecurities.ca"/>
    <s v="MFC"/>
    <s v="IBMCA"/>
    <s v="ACTIVE ADVISORS AND ASSISTANTS"/>
    <n v="0"/>
    <n v="0"/>
  </r>
  <r>
    <s v="Brad.Martz@manulifesecurities.ca"/>
    <s v="MFC"/>
    <x v="0"/>
    <n v="569490"/>
    <n v="1"/>
    <d v="2017-09-12T12:23:05"/>
    <x v="1"/>
    <x v="1"/>
    <s v="Brad.Martz@manulifesecurities.ca"/>
    <n v="569490"/>
    <s v="User Account"/>
    <n v="0"/>
    <s v="Deny"/>
    <s v="CC_Portal"/>
    <n v="0"/>
    <s v="MFC"/>
    <s v="IBMCA"/>
    <s v="ACTIVE ADVISORS AND ASSISTANTS"/>
    <n v="0"/>
    <n v="0"/>
  </r>
  <r>
    <s v="Brad.Martz@manulifesecurities.ca"/>
    <s v="MFC"/>
    <x v="0"/>
    <n v="569490"/>
    <n v="1"/>
    <d v="2017-09-12T12:23:05"/>
    <x v="2"/>
    <x v="1"/>
    <s v="Brad.Martz@manulifesecurities.ca"/>
    <n v="569490"/>
    <s v="User Account"/>
    <n v="0"/>
    <s v="Deny"/>
    <s v="CC_Portal"/>
    <n v="0"/>
    <s v="MFC"/>
    <s v="IBMCA"/>
    <s v="ACTIVE ADVISORS AND ASSISTANTS"/>
    <n v="0"/>
    <n v="0"/>
  </r>
  <r>
    <s v="alex_buena@manulifesecurities.ca"/>
    <s v="MFC"/>
    <x v="0"/>
    <n v="570025"/>
    <n v="3"/>
    <d v="2017-09-12T12:23:00"/>
    <x v="4"/>
    <x v="6"/>
    <s v="MSI_autoEmailArchive@manulifesecurities.ca"/>
    <n v="561482"/>
    <s v="Distribution List"/>
    <n v="1"/>
    <s v="Any"/>
    <s v="CC_Portal"/>
    <s v="6444195753d2443d999bd73ac48b2408"/>
    <s v="MFC"/>
    <s v="IBMCA"/>
    <s v="ALL GROUPS"/>
    <n v="0"/>
    <n v="0"/>
  </r>
  <r>
    <s v="alex_buena@manulifesecurities.ca"/>
    <s v="MFC"/>
    <x v="0"/>
    <n v="570025"/>
    <n v="3"/>
    <d v="2017-09-12T12:23:00"/>
    <x v="0"/>
    <x v="5"/>
    <s v="debbie.white@manulifesecurities.ca"/>
    <n v="898543"/>
    <s v="User Account"/>
    <n v="1"/>
    <s v="AtBelow"/>
    <s v="CC_Portal"/>
    <n v="0"/>
    <s v="MFC"/>
    <s v="IBMCA"/>
    <s v="DISABLED USERS"/>
    <n v="0"/>
    <n v="0"/>
  </r>
  <r>
    <s v="alex_buena@manulifesecurities.ca"/>
    <s v="MFC"/>
    <x v="0"/>
    <n v="570025"/>
    <n v="3"/>
    <d v="2017-09-12T12:22:58"/>
    <x v="4"/>
    <x v="6"/>
    <s v="AllAssistants@manulifesecurities.ca"/>
    <n v="555660"/>
    <s v="Distribution List"/>
    <n v="1"/>
    <s v="Any"/>
    <s v="CC_Portal"/>
    <s v="6444195753d2443d999bd73ac48b2408"/>
    <s v="MFC"/>
    <s v="IBMCA"/>
    <s v="ALL GROUPS"/>
    <n v="0"/>
    <n v="0"/>
  </r>
  <r>
    <s v="alex_buena@manulifesecurities.ca"/>
    <s v="MFC"/>
    <x v="0"/>
    <n v="570025"/>
    <n v="3"/>
    <d v="2017-09-12T12:22:56"/>
    <x v="0"/>
    <x v="5"/>
    <s v="debbie.white@manulifesecurities.ca"/>
    <n v="898543"/>
    <s v="User Account"/>
    <n v="1"/>
    <s v="AtBelow"/>
    <s v="CC_Portal"/>
    <n v="0"/>
    <s v="MFC"/>
    <s v="IBMCA"/>
    <s v="DISABLED USERS"/>
    <n v="0"/>
    <n v="0"/>
  </r>
  <r>
    <s v="alex_buena@manulifesecurities.ca"/>
    <s v="MFC"/>
    <x v="0"/>
    <n v="570025"/>
    <n v="3"/>
    <d v="2017-09-12T12:22:50"/>
    <x v="0"/>
    <x v="5"/>
    <s v="debbie.white@manulifesecurities.ca"/>
    <n v="898543"/>
    <s v="User Account"/>
    <n v="1"/>
    <s v="AtBelow"/>
    <s v="CC_Portal"/>
    <n v="0"/>
    <s v="MFC"/>
    <s v="IBMCA"/>
    <s v="DISABLED USERS"/>
    <n v="0"/>
    <n v="0"/>
  </r>
  <r>
    <s v="alex_buena@manulifesecurities.ca"/>
    <s v="MFC"/>
    <x v="0"/>
    <n v="570025"/>
    <n v="3"/>
    <d v="2017-09-12T12:22:26"/>
    <x v="0"/>
    <x v="4"/>
    <s v="debbie.white@manulifesecurities.ca"/>
    <n v="898543"/>
    <s v="User Account"/>
    <n v="1"/>
    <s v="AtBelow"/>
    <s v="CC_Portal"/>
    <s v="oldOrgGroup=ACTIVE ADVISORS AND ASSISTANTS;newOrgGroup=DISABLED USERS"/>
    <s v="MFC"/>
    <s v="IBMCA"/>
    <s v="DISABLED USERS"/>
    <n v="0"/>
    <n v="0"/>
  </r>
  <r>
    <s v="alex_buena@manulifesecurities.ca"/>
    <s v="MFC"/>
    <x v="0"/>
    <n v="570025"/>
    <n v="3"/>
    <d v="2017-09-12T12:21:01"/>
    <x v="0"/>
    <x v="3"/>
    <s v="debbie.white@manulifesecurities.ca"/>
    <n v="898543"/>
    <s v="User Account"/>
    <n v="1"/>
    <s v="AtBelow"/>
    <s v="CC_Portal"/>
    <s v="Disable"/>
    <s v="MFC"/>
    <s v="IBMCA"/>
    <s v="ACTIVE ADVISORS AND ASSISTANTS"/>
    <n v="0"/>
    <n v="0"/>
  </r>
  <r>
    <s v="fahmi.karim@manulifesecurities.ca"/>
    <s v="MFC"/>
    <x v="0"/>
    <n v="809833"/>
    <n v="3"/>
    <d v="2017-09-12T11:38:00"/>
    <x v="3"/>
    <x v="2"/>
    <s v="Mark.Colosimo@manulifesecurities.ca"/>
    <n v="553354"/>
    <s v="User Account"/>
    <n v="1"/>
    <s v="AtBelow"/>
    <s v="CC_WebService"/>
    <m/>
    <s v="MFC"/>
    <s v="IBMCA"/>
    <s v="ACTIVE ADVISORS AND ASSISTANTS"/>
    <n v="0"/>
    <n v="0"/>
  </r>
  <r>
    <s v="ssotest@mfc.sps.local"/>
    <s v="MFC"/>
    <x v="0"/>
    <n v="551367"/>
    <n v="1000"/>
    <d v="2017-09-12T11:24:51"/>
    <x v="0"/>
    <x v="0"/>
    <s v="Connie.Messerhuber@manulifesecurities.ca"/>
    <n v="552192"/>
    <s v="User Account"/>
    <n v="1"/>
    <s v="AtBelow"/>
    <s v="CC_Portal"/>
    <n v="0"/>
    <s v="MFC"/>
    <s v="IBMCA"/>
    <s v="ACTIVE ADVISORS AND ASSISTANTS"/>
    <n v="0"/>
    <n v="0"/>
  </r>
  <r>
    <s v="marshall.hett@manulifesecurities.ca"/>
    <s v="MFC"/>
    <x v="0"/>
    <n v="707864"/>
    <n v="3"/>
    <d v="2017-09-12T11:11:24"/>
    <x v="3"/>
    <x v="2"/>
    <s v="danielle.middagh@manulifesecurities.ca"/>
    <n v="907995"/>
    <s v="User Account"/>
    <n v="1"/>
    <s v="AtBelow"/>
    <s v="CC_WebService"/>
    <m/>
    <s v="MFC"/>
    <s v="IBMCA"/>
    <s v="ACTIVE ADVISORS AND ASSISTANTS"/>
    <n v="0"/>
    <n v="0"/>
  </r>
  <r>
    <s v="ssotest@mfc.sps.local"/>
    <s v="MFC"/>
    <x v="0"/>
    <n v="551367"/>
    <n v="1000"/>
    <d v="2017-09-12T11:11:03"/>
    <x v="0"/>
    <x v="0"/>
    <s v="danielle.middagh@manulifesecurities.ca"/>
    <n v="907995"/>
    <s v="User Account"/>
    <n v="1"/>
    <s v="AtBelow"/>
    <s v="CC_Portal"/>
    <n v="0"/>
    <s v="MFC"/>
    <s v="IBMCA"/>
    <s v="ACTIVE ADVISORS AND ASSISTANTS"/>
    <n v="0"/>
    <n v="0"/>
  </r>
  <r>
    <s v="ssotest@mfc.sps.local"/>
    <s v="MFC"/>
    <x v="0"/>
    <n v="551367"/>
    <n v="1000"/>
    <d v="2017-09-12T11:04:40"/>
    <x v="0"/>
    <x v="0"/>
    <s v="Joseph.Lee-Owe@manulifesecurities.ca"/>
    <n v="569903"/>
    <s v="User Account"/>
    <n v="1"/>
    <s v="AtBelow"/>
    <s v="CC_Portal"/>
    <n v="0"/>
    <s v="MFC"/>
    <s v="IBMCA"/>
    <s v="ACTIVE ADVISORS AND ASSISTANTS"/>
    <n v="0"/>
    <n v="0"/>
  </r>
  <r>
    <s v="ssotest@mfc.sps.local"/>
    <s v="MFC"/>
    <x v="0"/>
    <n v="551367"/>
    <n v="1000"/>
    <d v="2017-09-12T10:53:37"/>
    <x v="0"/>
    <x v="0"/>
    <s v="headoffice@manulifesecurities.ca"/>
    <n v="560511"/>
    <s v="User Account"/>
    <n v="1"/>
    <s v="AtBelow"/>
    <s v="CC_Portal"/>
    <n v="0"/>
    <s v="MFC"/>
    <s v="IBMCA"/>
    <s v="DISABLED USERS"/>
    <n v="0"/>
    <n v="0"/>
  </r>
  <r>
    <s v="michel.cormier@manulifesecurities.ca"/>
    <s v="MFC"/>
    <x v="0"/>
    <n v="560366"/>
    <n v="3"/>
    <d v="2017-09-12T10:44:51"/>
    <x v="3"/>
    <x v="2"/>
    <s v="Sandra.McNally@manulifesecurities.ca"/>
    <n v="553925"/>
    <s v="User Account"/>
    <n v="1"/>
    <s v="AtBelow"/>
    <s v="CC_WebService"/>
    <m/>
    <s v="MFC"/>
    <s v="IBMCA"/>
    <s v="ACTIVE ADVISORS AND ASSISTANTS"/>
    <n v="0"/>
    <n v="0"/>
  </r>
  <r>
    <s v="ssotest@mfc.sps.local"/>
    <s v="MFC"/>
    <x v="0"/>
    <n v="551367"/>
    <n v="1000"/>
    <d v="2017-09-12T10:40:15"/>
    <x v="0"/>
    <x v="0"/>
    <s v="vivian.chin@manulifesecurities.ca"/>
    <n v="726386"/>
    <s v="User Account"/>
    <n v="1"/>
    <s v="AtBelow"/>
    <s v="CC_Portal"/>
    <n v="0"/>
    <s v="MFC"/>
    <s v="IBMCA"/>
    <s v="ACTIVE ADVISORS AND ASSISTANTS"/>
    <n v="0"/>
    <n v="0"/>
  </r>
  <r>
    <s v="ssotest@mfc.sps.local"/>
    <s v="MFC"/>
    <x v="0"/>
    <n v="551367"/>
    <n v="1000"/>
    <d v="2017-09-12T10:38:26"/>
    <x v="0"/>
    <x v="0"/>
    <s v="Sandra.McNally@manulifesecurities.ca"/>
    <n v="553925"/>
    <s v="User Account"/>
    <n v="1"/>
    <s v="AtBelow"/>
    <s v="CC_Portal"/>
    <n v="0"/>
    <s v="MFC"/>
    <s v="IBMCA"/>
    <s v="ACTIVE ADVISORS AND ASSISTANTS"/>
    <n v="0"/>
    <n v="0"/>
  </r>
  <r>
    <s v="ssotest@mfc.sps.local"/>
    <s v="MFC"/>
    <x v="0"/>
    <n v="551367"/>
    <n v="1000"/>
    <d v="2017-09-12T10:19:34"/>
    <x v="0"/>
    <x v="0"/>
    <s v="Mark.Colosimo@manulifesecurities.ca"/>
    <n v="553354"/>
    <s v="User Account"/>
    <n v="1"/>
    <s v="AtBelow"/>
    <s v="CC_Portal"/>
    <n v="0"/>
    <s v="MFC"/>
    <s v="IBMCA"/>
    <s v="ACTIVE ADVISORS AND ASSISTANTS"/>
    <n v="0"/>
    <n v="0"/>
  </r>
  <r>
    <s v="ssotest@mfc.sps.local"/>
    <s v="MFC"/>
    <x v="0"/>
    <n v="551367"/>
    <n v="1000"/>
    <d v="2017-09-12T10:10:28"/>
    <x v="0"/>
    <x v="0"/>
    <s v="Kim.Noble@manulifesecurities.ca"/>
    <n v="553115"/>
    <s v="User Account"/>
    <n v="1"/>
    <s v="AtBelow"/>
    <s v="CC_Portal"/>
    <n v="0"/>
    <s v="MFC"/>
    <s v="IBMCA"/>
    <s v="ACTIVE ADVISORS AND ASSISTANTS"/>
    <n v="0"/>
    <n v="0"/>
  </r>
  <r>
    <s v="ssotest@mfc.sps.local"/>
    <s v="MFC"/>
    <x v="0"/>
    <n v="551367"/>
    <n v="1000"/>
    <d v="2017-09-12T10:03:11"/>
    <x v="0"/>
    <x v="0"/>
    <s v="Jane.Robinson@manulifesecurities.ca"/>
    <n v="552752"/>
    <s v="User Account"/>
    <n v="1"/>
    <s v="AtBelow"/>
    <s v="CC_Portal"/>
    <n v="0"/>
    <s v="MFC"/>
    <s v="IBMCA"/>
    <s v="ACTIVE ADVISORS AND ASSISTANTS"/>
    <n v="0"/>
    <n v="0"/>
  </r>
  <r>
    <s v="ssotest@mfc.sps.local"/>
    <s v="MFC"/>
    <x v="0"/>
    <n v="551367"/>
    <n v="1000"/>
    <d v="2017-09-12T10:00:28"/>
    <x v="0"/>
    <x v="0"/>
    <s v="DKancko@manulifesecurities.ca"/>
    <n v="552367"/>
    <s v="User Account"/>
    <n v="1"/>
    <s v="AtBelow"/>
    <s v="CC_Portal"/>
    <n v="0"/>
    <s v="MFC"/>
    <s v="IBMCA"/>
    <s v="ACTIVE ADVISORS AND ASSISTANTS"/>
    <n v="0"/>
    <n v="0"/>
  </r>
  <r>
    <s v="ssotest@mfc.sps.local"/>
    <s v="MFC"/>
    <x v="0"/>
    <n v="551367"/>
    <n v="1000"/>
    <d v="2017-09-12T09:59:39"/>
    <x v="0"/>
    <x v="0"/>
    <s v="Manish.Kanani@manulifesecurities.ca"/>
    <n v="551676"/>
    <s v="User Account"/>
    <n v="1"/>
    <s v="AtBelow"/>
    <s v="CC_Portal"/>
    <n v="0"/>
    <s v="MFC"/>
    <s v="IBMCA"/>
    <s v="ACTIVE ADVISORS AND ASSISTANTS"/>
    <n v="0"/>
    <n v="0"/>
  </r>
  <r>
    <s v="ssotest@mfc.sps.local"/>
    <s v="MFC"/>
    <x v="0"/>
    <n v="551367"/>
    <n v="1000"/>
    <d v="2017-09-12T09:59:05"/>
    <x v="0"/>
    <x v="0"/>
    <s v="Jerry.Witteveen@manulifesecurities.ca"/>
    <n v="552835"/>
    <s v="User Account"/>
    <n v="1"/>
    <s v="AtBelow"/>
    <s v="CC_Portal"/>
    <n v="0"/>
    <s v="MFC"/>
    <s v="IBMCA"/>
    <s v="ACTIVE ADVISORS AND ASSISTANTS"/>
    <n v="0"/>
    <n v="0"/>
  </r>
  <r>
    <s v="patrick.harkins@manulifesecurities.ca"/>
    <s v="MFC"/>
    <x v="0"/>
    <n v="560864"/>
    <n v="3"/>
    <d v="2017-09-12T09:51:45"/>
    <x v="0"/>
    <x v="0"/>
    <s v="priya.aucharagram@manulifesecurities.ca"/>
    <n v="877289"/>
    <s v="User Account"/>
    <n v="1"/>
    <s v="AtBelow"/>
    <s v="CC_Portal"/>
    <n v="0"/>
    <s v="MFC"/>
    <s v="IBMCA"/>
    <s v="ACTIVE ADVISORS AND ASSISTANTS"/>
    <n v="0"/>
    <n v="0"/>
  </r>
  <r>
    <s v="ssotest@mfc.sps.local"/>
    <s v="MFC"/>
    <x v="0"/>
    <n v="551367"/>
    <n v="1000"/>
    <d v="2017-09-12T09:42:38"/>
    <x v="0"/>
    <x v="0"/>
    <s v="Desmond.Layland@manulifesecurities.ca"/>
    <n v="552361"/>
    <s v="User Account"/>
    <n v="1"/>
    <s v="AtBelow"/>
    <s v="CC_Portal"/>
    <n v="0"/>
    <s v="MFC"/>
    <s v="IBMCA"/>
    <s v="ACTIVE ADVISORS AND ASSISTANTS"/>
    <n v="0"/>
    <n v="0"/>
  </r>
  <r>
    <s v="ssotest@mfc.sps.local"/>
    <s v="MFC"/>
    <x v="0"/>
    <n v="551367"/>
    <n v="1000"/>
    <d v="2017-09-12T09:31:58"/>
    <x v="0"/>
    <x v="0"/>
    <s v="Jerry.Witteveen@manulifesecurities.ca"/>
    <n v="552835"/>
    <s v="User Account"/>
    <n v="1"/>
    <s v="AtBelow"/>
    <s v="CC_Portal"/>
    <n v="0"/>
    <s v="MFC"/>
    <s v="IBMCA"/>
    <s v="ACTIVE ADVISORS AND ASSISTANTS"/>
    <n v="0"/>
    <n v="0"/>
  </r>
  <r>
    <s v="ssotest@mfc.sps.local"/>
    <s v="MFC"/>
    <x v="0"/>
    <n v="551367"/>
    <n v="1000"/>
    <d v="2017-09-12T09:31:24"/>
    <x v="0"/>
    <x v="0"/>
    <s v="Abraham.Tachjian@manulifesecurities.ca"/>
    <n v="551726"/>
    <s v="User Account"/>
    <n v="1"/>
    <s v="AtBelow"/>
    <s v="CC_Portal"/>
    <n v="0"/>
    <s v="MFC"/>
    <s v="IBMCA"/>
    <s v="ACTIVE ADVISORS AND ASSISTANTS"/>
    <n v="0"/>
    <n v="0"/>
  </r>
  <r>
    <s v="patrick.harkins@manulifesecurities.ca"/>
    <s v="MFC"/>
    <x v="0"/>
    <n v="560864"/>
    <n v="3"/>
    <d v="2017-09-12T09:21:29"/>
    <x v="3"/>
    <x v="2"/>
    <s v="Albert.Assaf@manulifesecurities.ca"/>
    <n v="551742"/>
    <s v="User Account"/>
    <n v="1"/>
    <s v="AtBelow"/>
    <s v="CC_WebService"/>
    <m/>
    <s v="MFC"/>
    <s v="IBMCA"/>
    <s v="ACTIVE ADVISORS AND ASSISTANTS"/>
    <n v="0"/>
    <n v="0"/>
  </r>
  <r>
    <s v="ssotest@mfc.sps.local"/>
    <s v="MFC"/>
    <x v="0"/>
    <n v="551367"/>
    <n v="1000"/>
    <d v="2017-09-12T08:47:24"/>
    <x v="0"/>
    <x v="0"/>
    <s v="Claudio.DiGiambattista@manulifesecurities.ca"/>
    <n v="552179"/>
    <s v="User Account"/>
    <n v="1"/>
    <s v="AtBelow"/>
    <s v="CC_Portal"/>
    <n v="0"/>
    <s v="MFC"/>
    <s v="IBMCA"/>
    <s v="ACTIVE ADVISORS AND ASSISTANTS"/>
    <n v="0"/>
    <n v="0"/>
  </r>
  <r>
    <s v="ssotest@mfc.sps.local"/>
    <s v="MFC"/>
    <x v="0"/>
    <n v="551367"/>
    <n v="1000"/>
    <d v="2017-09-12T08:38:41"/>
    <x v="0"/>
    <x v="0"/>
    <s v="L.White-Pierobon@manulifesecurities.ca"/>
    <n v="553236"/>
    <s v="User Account"/>
    <n v="1"/>
    <s v="AtBelow"/>
    <s v="CC_Portal"/>
    <n v="0"/>
    <s v="MFC"/>
    <s v="IBMCA"/>
    <s v="ACTIVE ADVISORS AND ASSISTANTS"/>
    <n v="0"/>
    <n v="0"/>
  </r>
  <r>
    <s v="ssotest@mfc.sps.local"/>
    <s v="MFC"/>
    <x v="0"/>
    <n v="551367"/>
    <n v="1000"/>
    <d v="2017-09-12T08:34:44"/>
    <x v="0"/>
    <x v="0"/>
    <s v="Kathy.Lehoux@manulifesecurities.ca"/>
    <n v="553034"/>
    <s v="User Account"/>
    <n v="1"/>
    <s v="AtBelow"/>
    <s v="CC_Portal"/>
    <n v="0"/>
    <s v="MFC"/>
    <s v="IBMCA"/>
    <s v="ACTIVE ADVISORS AND ASSISTANTS"/>
    <n v="0"/>
    <n v="0"/>
  </r>
  <r>
    <s v="ssotest@mfc.sps.local"/>
    <s v="MFC"/>
    <x v="0"/>
    <n v="551367"/>
    <n v="1000"/>
    <d v="2017-09-12T08:16:41"/>
    <x v="0"/>
    <x v="0"/>
    <s v="yves.saint-jean@manulifesecurities.ca"/>
    <n v="554413"/>
    <s v="User Account"/>
    <n v="1"/>
    <s v="AtBelow"/>
    <s v="CC_Portal"/>
    <n v="0"/>
    <s v="MFC"/>
    <s v="IBMCA"/>
    <s v="DISABLED USERS"/>
    <n v="0"/>
    <n v="0"/>
  </r>
  <r>
    <s v="alex_buena@manulifesecurities.ca"/>
    <s v="MFC"/>
    <x v="0"/>
    <n v="570025"/>
    <n v="3"/>
    <d v="2017-09-11T22:24:34"/>
    <x v="0"/>
    <x v="3"/>
    <s v="priya.aucharagram@manulifesecurities.ca"/>
    <n v="877289"/>
    <s v="User Account"/>
    <n v="1"/>
    <s v="AtBelow"/>
    <s v="CC_Portal"/>
    <s v="Enable"/>
    <s v="MFC"/>
    <s v="IBMCA"/>
    <s v="ACTIVE ADVISORS AND ASSISTANTS"/>
    <n v="0"/>
    <n v="0"/>
  </r>
  <r>
    <s v="alex_buena@manulifesecurities.ca"/>
    <s v="MFC"/>
    <x v="0"/>
    <n v="570025"/>
    <n v="3"/>
    <d v="2017-09-11T22:21:29"/>
    <x v="0"/>
    <x v="10"/>
    <s v="priya.aucharagram@manulifesecurities.ca"/>
    <n v="877289"/>
    <s v="User Account"/>
    <n v="1"/>
    <s v="AtBelow"/>
    <s v="CC_Portal"/>
    <s v="Action=Enable;ForwardTo=Natalie.Ng@manulifesecurities.ca;LeaveCopy=FalseTrue"/>
    <s v="MFC"/>
    <s v="IBMCA"/>
    <s v="ACTIVE ADVISORS AND ASSISTANTS"/>
    <n v="0"/>
    <n v="0"/>
  </r>
  <r>
    <s v="alex_buena@manulifesecurities.ca"/>
    <s v="MFC"/>
    <x v="0"/>
    <n v="570025"/>
    <n v="3"/>
    <d v="2017-09-11T22:21:29"/>
    <x v="0"/>
    <x v="10"/>
    <s v="priya.aucharagram@manulifesecurities.ca"/>
    <n v="877289"/>
    <s v="User Account"/>
    <n v="1"/>
    <s v="AtBelow"/>
    <s v="CC_Portal"/>
    <s v="Action=Enable;ForwardTo=Natalie.Ng@manulifesecurities.ca;LeaveCopy=FalseTrue"/>
    <s v="MFC"/>
    <s v="IBMCA"/>
    <s v="ACTIVE ADVISORS AND ASSISTANTS"/>
    <n v="0"/>
    <n v="0"/>
  </r>
  <r>
    <s v="alex_buena@manulifesecurities.ca"/>
    <s v="MFC"/>
    <x v="0"/>
    <n v="570025"/>
    <n v="3"/>
    <d v="2017-09-11T22:16:40"/>
    <x v="0"/>
    <x v="4"/>
    <s v="priya.aucharagram@manulifesecurities.ca"/>
    <n v="877289"/>
    <s v="User Account"/>
    <n v="1"/>
    <s v="AtBelow"/>
    <s v="CC_Portal"/>
    <s v="oldOrgGroup=DISABLED USERS;newOrgGroup=ACTIVE ADVISORS AND ASSISTANTS"/>
    <s v="MFC"/>
    <s v="IBMCA"/>
    <s v="ACTIVE ADVISORS AND ASSISTANTS"/>
    <n v="0"/>
    <n v="0"/>
  </r>
  <r>
    <s v="ssotest@mfc.sps.local"/>
    <s v="MFC"/>
    <x v="0"/>
    <n v="551367"/>
    <n v="1000"/>
    <d v="2017-09-11T18:09:06"/>
    <x v="0"/>
    <x v="0"/>
    <s v="Kevin.McAdams@manulifesecurities.ca"/>
    <n v="553099"/>
    <s v="User Account"/>
    <n v="1"/>
    <s v="AtBelow"/>
    <s v="CC_Portal"/>
    <n v="0"/>
    <s v="MFC"/>
    <s v="IBMCA"/>
    <s v="ACTIVE ADVISORS AND ASSISTANTS"/>
    <n v="0"/>
    <n v="0"/>
  </r>
  <r>
    <s v="ssotest@mfc.sps.local"/>
    <s v="MFC"/>
    <x v="0"/>
    <n v="551367"/>
    <n v="1000"/>
    <d v="2017-09-11T17:10:57"/>
    <x v="0"/>
    <x v="0"/>
    <s v="Wally.Armstrong@manulifesecurities.ca"/>
    <n v="554278"/>
    <s v="User Account"/>
    <n v="1"/>
    <s v="AtBelow"/>
    <s v="CC_Portal"/>
    <n v="0"/>
    <s v="MFC"/>
    <s v="IBMCA"/>
    <s v="ACTIVE ADVISORS AND ASSISTANTS"/>
    <n v="0"/>
    <n v="0"/>
  </r>
  <r>
    <s v="ssotest@mfc.sps.local"/>
    <s v="MFC"/>
    <x v="0"/>
    <n v="551367"/>
    <n v="1000"/>
    <d v="2017-09-11T17:10:40"/>
    <x v="0"/>
    <x v="0"/>
    <s v="philippe.brault@manulifesecurities.ca"/>
    <n v="906982"/>
    <s v="User Account"/>
    <n v="1"/>
    <s v="AtBelow"/>
    <s v="CC_Portal"/>
    <n v="0"/>
    <s v="MFC"/>
    <s v="IBMCA"/>
    <s v="ACTIVE ADVISORS AND ASSISTANTS"/>
    <n v="0"/>
    <n v="0"/>
  </r>
  <r>
    <s v="ssotest@mfc.sps.local"/>
    <s v="MFC"/>
    <x v="0"/>
    <n v="551367"/>
    <n v="1000"/>
    <d v="2017-09-11T16:28:49"/>
    <x v="0"/>
    <x v="0"/>
    <s v="debbi.tonnies@manulifesecurities.ca"/>
    <n v="907727"/>
    <s v="User Account"/>
    <n v="1"/>
    <s v="AtBelow"/>
    <s v="CC_Portal"/>
    <n v="0"/>
    <s v="MFC"/>
    <s v="IBMCA"/>
    <s v="ACTIVE ADVISORS AND ASSISTANTS"/>
    <n v="0"/>
    <n v="0"/>
  </r>
  <r>
    <s v="ssotest@mfc.sps.local"/>
    <s v="MFC"/>
    <x v="0"/>
    <n v="551367"/>
    <n v="1000"/>
    <d v="2017-09-11T16:15:43"/>
    <x v="0"/>
    <x v="0"/>
    <s v="Ryan.Ardron@manulifesecurities.ca"/>
    <n v="553899"/>
    <s v="User Account"/>
    <n v="1"/>
    <s v="AtBelow"/>
    <s v="CC_Portal"/>
    <n v="0"/>
    <s v="MFC"/>
    <s v="IBMCA"/>
    <s v="ACTIVE ADVISORS AND ASSISTANTS"/>
    <n v="0"/>
    <n v="0"/>
  </r>
  <r>
    <s v="alex_buena@manulifesecurities.ca"/>
    <s v="MFC"/>
    <x v="0"/>
    <n v="570025"/>
    <n v="3"/>
    <d v="2017-09-11T16:04:06"/>
    <x v="0"/>
    <x v="5"/>
    <s v="danielle.middagh@manulifesecurities.ca"/>
    <n v="907995"/>
    <s v="User Account"/>
    <n v="1"/>
    <s v="AtBelow"/>
    <s v="CC_Portal"/>
    <n v="0"/>
    <s v="MFC"/>
    <s v="IBMCA"/>
    <s v="ACTIVE ADVISORS AND ASSISTANTS"/>
    <n v="0"/>
    <n v="0"/>
  </r>
  <r>
    <s v="alex_buena@manulifesecurities.ca"/>
    <s v="MFC"/>
    <x v="0"/>
    <n v="570025"/>
    <n v="3"/>
    <d v="2017-09-11T16:04:05"/>
    <x v="0"/>
    <x v="5"/>
    <s v="danielle.middagh@manulifesecurities.ca"/>
    <n v="907995"/>
    <s v="User Account"/>
    <n v="1"/>
    <s v="AtBelow"/>
    <s v="CC_Portal"/>
    <n v="0"/>
    <s v="MFC"/>
    <s v="IBMCA"/>
    <s v="ACTIVE ADVISORS AND ASSISTANTS"/>
    <n v="0"/>
    <n v="0"/>
  </r>
  <r>
    <s v="alex_buena@manulifesecurities.ca"/>
    <s v="MFC"/>
    <x v="0"/>
    <n v="570025"/>
    <n v="3"/>
    <d v="2017-09-11T16:00:45"/>
    <x v="0"/>
    <x v="5"/>
    <s v="danielle.middagh@manulifesecurities.ca"/>
    <n v="907995"/>
    <s v="User Account"/>
    <n v="1"/>
    <s v="AtBelow"/>
    <s v="CC_Portal"/>
    <n v="0"/>
    <s v="MFC"/>
    <s v="IBMCA"/>
    <s v="ACTIVE ADVISORS AND ASSISTANTS"/>
    <n v="0"/>
    <n v="0"/>
  </r>
  <r>
    <s v="alex_buena@manulifesecurities.ca"/>
    <s v="MFC"/>
    <x v="0"/>
    <n v="570025"/>
    <n v="3"/>
    <d v="2017-09-11T16:00:44"/>
    <x v="5"/>
    <x v="6"/>
    <s v="MSI_autoEmailArchive@manulifesecurities.ca"/>
    <n v="561482"/>
    <s v="Distribution List"/>
    <n v="1"/>
    <s v="Any"/>
    <s v="CC_Portal"/>
    <s v="8dd561df15bc49bb928607371407eeb2"/>
    <s v="MFC"/>
    <s v="IBMCA"/>
    <s v="ALL GROUPS"/>
    <n v="0"/>
    <n v="0"/>
  </r>
  <r>
    <s v="alex_buena@manulifesecurities.ca"/>
    <s v="MFC"/>
    <x v="0"/>
    <n v="570025"/>
    <n v="3"/>
    <d v="2017-09-11T16:00:43"/>
    <x v="5"/>
    <x v="6"/>
    <s v="AllAssistants@manulifesecurities.ca"/>
    <n v="555660"/>
    <s v="Distribution List"/>
    <n v="1"/>
    <s v="Any"/>
    <s v="CC_Portal"/>
    <s v="8dd561df15bc49bb928607371407eeb2"/>
    <s v="MFC"/>
    <s v="IBMCA"/>
    <s v="ALL GROUPS"/>
    <n v="0"/>
    <n v="0"/>
  </r>
  <r>
    <s v="alex_buena@manulifesecurities.ca"/>
    <s v="MFC"/>
    <x v="0"/>
    <n v="570025"/>
    <n v="3"/>
    <d v="2017-09-11T16:00:41"/>
    <x v="0"/>
    <x v="5"/>
    <s v="danielle.middagh@manulifesecurities.ca"/>
    <n v="907995"/>
    <s v="User Account"/>
    <n v="1"/>
    <s v="AtBelow"/>
    <s v="CC_Portal"/>
    <n v="0"/>
    <s v="MFC"/>
    <s v="IBMCA"/>
    <s v="ACTIVE ADVISORS AND ASSISTANTS"/>
    <n v="0"/>
    <n v="0"/>
  </r>
  <r>
    <s v="alex_buena@manulifesecurities.ca"/>
    <s v="MFC"/>
    <x v="0"/>
    <n v="570025"/>
    <n v="3"/>
    <d v="2017-09-11T16:00:28"/>
    <x v="0"/>
    <x v="5"/>
    <s v="danielle.middagh@manulifesecurities.ca"/>
    <n v="907995"/>
    <s v="User Account"/>
    <n v="1"/>
    <s v="AtBelow"/>
    <s v="CC_Portal"/>
    <n v="0"/>
    <s v="MFC"/>
    <s v="IBMCA"/>
    <s v="ACTIVE ADVISORS AND ASSISTANTS"/>
    <n v="0"/>
    <n v="0"/>
  </r>
  <r>
    <s v="alex_buena@manulifesecurities.ca"/>
    <s v="MFC"/>
    <x v="0"/>
    <n v="570025"/>
    <n v="3"/>
    <d v="2017-09-11T15:59:07"/>
    <x v="5"/>
    <x v="7"/>
    <s v="danielle.middagh@manulifesecurities.ca"/>
    <n v="907995"/>
    <s v="User Account"/>
    <n v="1"/>
    <s v="AtBelow"/>
    <s v="CC_Portal"/>
    <s v="PrimaryEmail=danielle.middagh@manulifesecurities.ca"/>
    <s v="MFC"/>
    <s v="IBMCA"/>
    <s v="ACTIVE ADVISORS AND ASSISTANTS"/>
    <n v="0"/>
    <n v="0"/>
  </r>
  <r>
    <s v="ssotest@mfc.sps.local"/>
    <s v="MFC"/>
    <x v="0"/>
    <n v="551367"/>
    <n v="1000"/>
    <d v="2017-09-11T15:46:17"/>
    <x v="0"/>
    <x v="0"/>
    <s v="kerry.shoremansawicki@manulifesecurities.ca"/>
    <n v="907387"/>
    <s v="User Account"/>
    <n v="1"/>
    <s v="AtBelow"/>
    <s v="CC_Portal"/>
    <n v="0"/>
    <s v="MFC"/>
    <s v="IBMCA"/>
    <s v="ACTIVE ADVISORS AND ASSISTANTS"/>
    <n v="0"/>
    <n v="0"/>
  </r>
  <r>
    <s v="alex_buena@manulifesecurities.ca"/>
    <s v="MFC"/>
    <x v="0"/>
    <n v="570025"/>
    <n v="3"/>
    <d v="2017-09-11T15:43:56"/>
    <x v="0"/>
    <x v="5"/>
    <s v="christelle.arouko@manulifesecurities.ca"/>
    <n v="907988"/>
    <s v="User Account"/>
    <n v="1"/>
    <s v="AtBelow"/>
    <s v="CC_Portal"/>
    <n v="0"/>
    <s v="MFC"/>
    <s v="IBMCA"/>
    <s v="ACTIVE ADVISORS AND ASSISTANTS"/>
    <n v="0"/>
    <n v="0"/>
  </r>
  <r>
    <s v="alex_buena@manulifesecurities.ca"/>
    <s v="MFC"/>
    <x v="0"/>
    <n v="570025"/>
    <n v="3"/>
    <d v="2017-09-11T15:43:55"/>
    <x v="5"/>
    <x v="6"/>
    <s v="MSI_autoEmailArchive@manulifesecurities.ca"/>
    <n v="561482"/>
    <s v="Distribution List"/>
    <n v="1"/>
    <s v="Any"/>
    <s v="CC_Portal"/>
    <s v="e30ff0c77ba44d578f96803dc16d81ca"/>
    <s v="MFC"/>
    <s v="IBMCA"/>
    <s v="ALL GROUPS"/>
    <n v="0"/>
    <n v="0"/>
  </r>
  <r>
    <s v="alex_buena@manulifesecurities.ca"/>
    <s v="MFC"/>
    <x v="0"/>
    <n v="570025"/>
    <n v="3"/>
    <d v="2017-09-11T15:43:54"/>
    <x v="5"/>
    <x v="6"/>
    <s v="AllAssistants@manulifesecurities.ca"/>
    <n v="555660"/>
    <s v="Distribution List"/>
    <n v="1"/>
    <s v="Any"/>
    <s v="CC_Portal"/>
    <s v="e30ff0c77ba44d578f96803dc16d81ca"/>
    <s v="MFC"/>
    <s v="IBMCA"/>
    <s v="ALL GROUPS"/>
    <n v="0"/>
    <n v="0"/>
  </r>
  <r>
    <s v="alex_buena@manulifesecurities.ca"/>
    <s v="MFC"/>
    <x v="0"/>
    <n v="570025"/>
    <n v="3"/>
    <d v="2017-09-11T15:43:52"/>
    <x v="0"/>
    <x v="5"/>
    <s v="christelle.arouko@manulifesecurities.ca"/>
    <n v="907988"/>
    <s v="User Account"/>
    <n v="1"/>
    <s v="AtBelow"/>
    <s v="CC_Portal"/>
    <n v="0"/>
    <s v="MFC"/>
    <s v="IBMCA"/>
    <s v="ACTIVE ADVISORS AND ASSISTANTS"/>
    <n v="0"/>
    <n v="0"/>
  </r>
  <r>
    <s v="alex_buena@manulifesecurities.ca"/>
    <s v="MFC"/>
    <x v="0"/>
    <n v="570025"/>
    <n v="3"/>
    <d v="2017-09-11T15:43:39"/>
    <x v="0"/>
    <x v="5"/>
    <s v="christelle.arouko@manulifesecurities.ca"/>
    <n v="907988"/>
    <s v="User Account"/>
    <n v="1"/>
    <s v="AtBelow"/>
    <s v="CC_Portal"/>
    <n v="0"/>
    <s v="MFC"/>
    <s v="IBMCA"/>
    <s v="ACTIVE ADVISORS AND ASSISTANTS"/>
    <n v="0"/>
    <n v="0"/>
  </r>
  <r>
    <s v="alex_buena@manulifesecurities.ca"/>
    <s v="MFC"/>
    <x v="0"/>
    <n v="570025"/>
    <n v="3"/>
    <d v="2017-09-11T15:42:58"/>
    <x v="5"/>
    <x v="7"/>
    <s v="christelle.arouko@manulifesecurities.ca"/>
    <n v="907988"/>
    <s v="User Account"/>
    <n v="1"/>
    <s v="AtBelow"/>
    <s v="CC_Portal"/>
    <s v="PrimaryEmail=christelle.arouko@manulifesecurities.ca"/>
    <s v="MFC"/>
    <s v="IBMCA"/>
    <s v="ACTIVE ADVISORS AND ASSISTANTS"/>
    <n v="0"/>
    <n v="0"/>
  </r>
  <r>
    <s v="ssotest@mfc.sps.local"/>
    <s v="MFC"/>
    <x v="0"/>
    <n v="551367"/>
    <n v="1000"/>
    <d v="2017-09-11T15:36:03"/>
    <x v="0"/>
    <x v="0"/>
    <s v="Diane.Hunter@manulifesecurities.ca"/>
    <n v="552375"/>
    <s v="User Account"/>
    <n v="1"/>
    <s v="AtBelow"/>
    <s v="CC_Portal"/>
    <n v="0"/>
    <s v="MFC"/>
    <s v="IBMCA"/>
    <s v="ACTIVE ADVISORS AND ASSISTANTS"/>
    <n v="0"/>
    <n v="0"/>
  </r>
  <r>
    <s v="adiano.kitenge@manulifesecurities.ca"/>
    <s v="MFC"/>
    <x v="0"/>
    <n v="627566"/>
    <n v="3"/>
    <d v="2017-09-11T15:35:23"/>
    <x v="3"/>
    <x v="2"/>
    <s v="kerry.shoremansawicki@manulifesecurities.ca"/>
    <n v="907387"/>
    <s v="User Account"/>
    <n v="1"/>
    <s v="AtBelow"/>
    <s v="CC_WebService"/>
    <m/>
    <s v="MFC"/>
    <s v="IBMCA"/>
    <s v="ACTIVE ADVISORS AND ASSISTANTS"/>
    <n v="0"/>
    <n v="0"/>
  </r>
  <r>
    <s v="alex_buena@manulifesecurities.ca"/>
    <s v="MFC"/>
    <x v="0"/>
    <n v="570025"/>
    <n v="3"/>
    <d v="2017-09-11T15:34:50"/>
    <x v="0"/>
    <x v="4"/>
    <s v="patrick.jamieson@manulifesecurities.ca"/>
    <n v="638181"/>
    <s v="User Account"/>
    <n v="1"/>
    <s v="AtBelow"/>
    <s v="CC_Portal"/>
    <s v="oldOrgGroup=ACTIVE ADVISORS AND ASSISTANTS;newOrgGroup=DISABLED USERS"/>
    <s v="MFC"/>
    <s v="IBMCA"/>
    <s v="DISABLED USERS"/>
    <n v="0"/>
    <n v="0"/>
  </r>
  <r>
    <s v="adiano.kitenge@manulifesecurities.ca"/>
    <s v="MFC"/>
    <x v="0"/>
    <n v="627566"/>
    <n v="3"/>
    <d v="2017-09-11T15:34:39"/>
    <x v="0"/>
    <x v="3"/>
    <s v="kerry.shoremansawicki@manulifesecurities.ca"/>
    <n v="907387"/>
    <s v="User Account"/>
    <n v="1"/>
    <s v="SelfBelow"/>
    <s v="CC_Portal"/>
    <s v="Enable"/>
    <s v="MFC"/>
    <s v="IBMCA"/>
    <s v="ACTIVE ADVISORS AND ASSISTANTS"/>
    <n v="0"/>
    <n v="0"/>
  </r>
  <r>
    <s v="alex_buena@manulifesecurities.ca"/>
    <s v="MFC"/>
    <x v="0"/>
    <n v="570025"/>
    <n v="3"/>
    <d v="2017-09-11T15:33:57"/>
    <x v="0"/>
    <x v="5"/>
    <s v="patrick.jamieson@manulifesecurities.ca"/>
    <n v="638181"/>
    <s v="User Account"/>
    <n v="1"/>
    <s v="AtBelow"/>
    <s v="CC_Portal"/>
    <n v="0"/>
    <s v="MFC"/>
    <s v="IBMCA"/>
    <s v="ACTIVE ADVISORS AND ASSISTANTS"/>
    <n v="0"/>
    <n v="0"/>
  </r>
  <r>
    <s v="alex_buena@manulifesecurities.ca"/>
    <s v="MFC"/>
    <x v="0"/>
    <n v="570025"/>
    <n v="3"/>
    <d v="2017-09-11T15:33:56"/>
    <x v="0"/>
    <x v="5"/>
    <s v="patrick.jamieson@manulifesecurities.ca"/>
    <n v="638181"/>
    <s v="User Account"/>
    <n v="1"/>
    <s v="AtBelow"/>
    <s v="CC_Portal"/>
    <n v="0"/>
    <s v="MFC"/>
    <s v="IBMCA"/>
    <s v="ACTIVE ADVISORS AND ASSISTANTS"/>
    <n v="0"/>
    <n v="0"/>
  </r>
  <r>
    <s v="alex_buena@manulifesecurities.ca"/>
    <s v="MFC"/>
    <x v="0"/>
    <n v="570025"/>
    <n v="3"/>
    <d v="2017-09-11T15:33:23"/>
    <x v="0"/>
    <x v="5"/>
    <s v="patrick.jamieson@manulifesecurities.ca"/>
    <n v="638181"/>
    <s v="User Account"/>
    <n v="1"/>
    <s v="AtBelow"/>
    <s v="CC_Portal"/>
    <n v="0"/>
    <s v="MFC"/>
    <s v="IBMCA"/>
    <s v="ACTIVE ADVISORS AND ASSISTANTS"/>
    <n v="0"/>
    <n v="0"/>
  </r>
  <r>
    <s v="alex_buena@manulifesecurities.ca"/>
    <s v="MFC"/>
    <x v="0"/>
    <n v="570025"/>
    <n v="3"/>
    <d v="2017-09-11T15:33:22"/>
    <x v="4"/>
    <x v="6"/>
    <s v="MSI_autoEmailArchive@manulifesecurities.ca"/>
    <n v="561482"/>
    <s v="Distribution List"/>
    <n v="1"/>
    <s v="Any"/>
    <s v="CC_Portal"/>
    <s v="97ce2d9c78ee490ab0da088edc374aa1"/>
    <s v="MFC"/>
    <s v="IBMCA"/>
    <s v="ALL GROUPS"/>
    <n v="0"/>
    <n v="0"/>
  </r>
  <r>
    <s v="alex_buena@manulifesecurities.ca"/>
    <s v="MFC"/>
    <x v="0"/>
    <n v="570025"/>
    <n v="3"/>
    <d v="2017-09-11T15:33:20"/>
    <x v="4"/>
    <x v="6"/>
    <s v="AllAssistants@manulifesecurities.ca"/>
    <n v="555660"/>
    <s v="Distribution List"/>
    <n v="1"/>
    <s v="Any"/>
    <s v="CC_Portal"/>
    <s v="97ce2d9c78ee490ab0da088edc374aa1"/>
    <s v="MFC"/>
    <s v="IBMCA"/>
    <s v="ALL GROUPS"/>
    <n v="0"/>
    <n v="0"/>
  </r>
  <r>
    <s v="alex_buena@manulifesecurities.ca"/>
    <s v="MFC"/>
    <x v="0"/>
    <n v="570025"/>
    <n v="3"/>
    <d v="2017-09-11T15:33:18"/>
    <x v="0"/>
    <x v="5"/>
    <s v="patrick.jamieson@manulifesecurities.ca"/>
    <n v="638181"/>
    <s v="User Account"/>
    <n v="1"/>
    <s v="AtBelow"/>
    <s v="CC_Portal"/>
    <n v="0"/>
    <s v="MFC"/>
    <s v="IBMCA"/>
    <s v="ACTIVE ADVISORS AND ASSISTANTS"/>
    <n v="0"/>
    <n v="0"/>
  </r>
  <r>
    <s v="alex_buena@manulifesecurities.ca"/>
    <s v="MFC"/>
    <x v="0"/>
    <n v="570025"/>
    <n v="3"/>
    <d v="2017-09-11T15:33:12"/>
    <x v="0"/>
    <x v="5"/>
    <s v="patrick.jamieson@manulifesecurities.ca"/>
    <n v="638181"/>
    <s v="User Account"/>
    <n v="1"/>
    <s v="AtBelow"/>
    <s v="CC_Portal"/>
    <n v="0"/>
    <s v="MFC"/>
    <s v="IBMCA"/>
    <s v="ACTIVE ADVISORS AND ASSISTANTS"/>
    <n v="0"/>
    <n v="0"/>
  </r>
  <r>
    <s v="alex_buena@manulifesecurities.ca"/>
    <s v="MFC"/>
    <x v="0"/>
    <n v="570025"/>
    <n v="3"/>
    <d v="2017-09-11T15:31:35"/>
    <x v="0"/>
    <x v="3"/>
    <s v="patrick.jamieson@manulifesecurities.ca"/>
    <n v="638181"/>
    <s v="User Account"/>
    <n v="1"/>
    <s v="AtBelow"/>
    <s v="CC_Portal"/>
    <s v="Disable"/>
    <s v="MFC"/>
    <s v="IBMCA"/>
    <s v="ACTIVE ADVISORS AND ASSISTANTS"/>
    <n v="0"/>
    <n v="0"/>
  </r>
  <r>
    <s v="alex_buena@manulifesecurities.ca"/>
    <s v="MFC"/>
    <x v="0"/>
    <n v="570025"/>
    <n v="3"/>
    <d v="2017-09-11T15:30:04"/>
    <x v="0"/>
    <x v="3"/>
    <s v="patrick.jamieson@manulifesecurities.ca"/>
    <n v="638181"/>
    <s v="User Account"/>
    <n v="1"/>
    <s v="AtBelow"/>
    <s v="CC_Portal"/>
    <s v="Disable"/>
    <s v="MFC"/>
    <s v="IBMCA"/>
    <s v="ACTIVE ADVISORS AND ASSISTANTS"/>
    <n v="0"/>
    <n v="0"/>
  </r>
  <r>
    <s v="ssotest@mfc.sps.local"/>
    <s v="MFC"/>
    <x v="0"/>
    <n v="551367"/>
    <n v="1000"/>
    <d v="2017-09-11T15:16:48"/>
    <x v="0"/>
    <x v="0"/>
    <s v="lindsay.eames@manulifesecurities.ca"/>
    <n v="560693"/>
    <s v="User Account"/>
    <n v="1"/>
    <s v="AtBelow"/>
    <s v="CC_Portal"/>
    <n v="0"/>
    <s v="MFC"/>
    <s v="IBMCA"/>
    <s v="DISABLED USERS"/>
    <n v="0"/>
    <n v="0"/>
  </r>
  <r>
    <s v="ssotest@mfc.sps.local"/>
    <s v="MFC"/>
    <x v="0"/>
    <n v="551367"/>
    <n v="1000"/>
    <d v="2017-09-11T14:49:03"/>
    <x v="0"/>
    <x v="0"/>
    <s v="lindsay.eames@manulifesecurities.ca"/>
    <n v="560693"/>
    <s v="User Account"/>
    <n v="1"/>
    <s v="AtBelow"/>
    <s v="CC_Portal"/>
    <n v="0"/>
    <s v="MFC"/>
    <s v="IBMCA"/>
    <s v="DISABLED USERS"/>
    <n v="0"/>
    <n v="0"/>
  </r>
  <r>
    <s v="cristian.bogdan@manulifesecurities.ca"/>
    <s v="MFC"/>
    <x v="0"/>
    <n v="560330"/>
    <n v="3"/>
    <d v="2017-09-11T14:31:55"/>
    <x v="3"/>
    <x v="2"/>
    <s v="Manish.Kanani@manulifesecurities.ca"/>
    <n v="551676"/>
    <s v="User Account"/>
    <n v="1"/>
    <s v="AtBelow"/>
    <s v="CC_WebService"/>
    <m/>
    <s v="MFC"/>
    <s v="IBMCA"/>
    <s v="ACTIVE ADVISORS AND ASSISTANTS"/>
    <n v="0"/>
    <n v="0"/>
  </r>
  <r>
    <s v="ssotest@mfc.sps.local"/>
    <s v="MFC"/>
    <x v="0"/>
    <n v="551367"/>
    <n v="1000"/>
    <d v="2017-09-11T14:28:44"/>
    <x v="0"/>
    <x v="0"/>
    <s v="Thomas.Russell@manulifesecurities.ca"/>
    <n v="554178"/>
    <s v="User Account"/>
    <n v="1"/>
    <s v="AtBelow"/>
    <s v="CC_Portal"/>
    <n v="0"/>
    <s v="MFC"/>
    <s v="IBMCA"/>
    <s v="ACTIVE ADVISORS AND ASSISTANTS"/>
    <n v="0"/>
    <n v="0"/>
  </r>
  <r>
    <s v="ssotest@mfc.sps.local"/>
    <s v="MFC"/>
    <x v="0"/>
    <n v="551367"/>
    <n v="1000"/>
    <d v="2017-09-11T14:24:36"/>
    <x v="0"/>
    <x v="0"/>
    <s v="Thomas.Russell@manulifesecurities.ca"/>
    <n v="554178"/>
    <s v="User Account"/>
    <n v="1"/>
    <s v="AtBelow"/>
    <s v="CC_Portal"/>
    <n v="0"/>
    <s v="MFC"/>
    <s v="IBMCA"/>
    <s v="ACTIVE ADVISORS AND ASSISTANTS"/>
    <n v="0"/>
    <n v="0"/>
  </r>
  <r>
    <s v="ssotest@mfc.sps.local"/>
    <s v="MFC"/>
    <x v="0"/>
    <n v="551367"/>
    <n v="1000"/>
    <d v="2017-09-11T14:04:18"/>
    <x v="0"/>
    <x v="0"/>
    <s v="Daryl.Martz@manulifesecurities.ca"/>
    <n v="552269"/>
    <s v="User Account"/>
    <n v="1"/>
    <s v="AtBelow"/>
    <s v="CC_Portal"/>
    <n v="0"/>
    <s v="MFC"/>
    <s v="IBMCA"/>
    <s v="ACTIVE ADVISORS AND ASSISTANTS"/>
    <n v="0"/>
    <n v="0"/>
  </r>
  <r>
    <s v="jeff.scowen@manulifesecurities.ca"/>
    <s v="MFC"/>
    <x v="0"/>
    <n v="560600"/>
    <n v="3"/>
    <d v="2017-09-11T12:37:47"/>
    <x v="0"/>
    <x v="12"/>
    <s v="Colin.Hamilton@manulifesecurities.ca"/>
    <n v="552183"/>
    <s v="User Account"/>
    <n v="1"/>
    <s v="AtBelow"/>
    <s v="CC_Portal"/>
    <n v="0"/>
    <s v="MFC"/>
    <s v="IBMCA"/>
    <s v="ACTIVE ADVISORS AND ASSISTANTS"/>
    <n v="0"/>
    <n v="0"/>
  </r>
  <r>
    <s v="ssotest@mfc.sps.local"/>
    <s v="MFC"/>
    <x v="0"/>
    <n v="551367"/>
    <n v="1000"/>
    <d v="2017-09-11T12:17:07"/>
    <x v="0"/>
    <x v="0"/>
    <s v="michael.sanson@manulifesecurities.ca"/>
    <n v="895201"/>
    <s v="User Account"/>
    <n v="1"/>
    <s v="AtBelow"/>
    <s v="CC_Portal"/>
    <n v="0"/>
    <s v="MFC"/>
    <s v="IBMCA"/>
    <s v="ACTIVE ADVISORS AND ASSISTANTS"/>
    <n v="0"/>
    <n v="0"/>
  </r>
  <r>
    <s v="ssotest@mfc.sps.local"/>
    <s v="MFC"/>
    <x v="0"/>
    <n v="551367"/>
    <n v="1000"/>
    <d v="2017-09-11T12:16:44"/>
    <x v="0"/>
    <x v="0"/>
    <s v="Virag.Kawakami@manulifesecurities.ca"/>
    <n v="554270"/>
    <s v="User Account"/>
    <n v="1"/>
    <s v="AtBelow"/>
    <s v="CC_Portal"/>
    <n v="0"/>
    <s v="MFC"/>
    <s v="IBMCA"/>
    <s v="ACTIVE ADVISORS AND ASSISTANTS"/>
    <n v="0"/>
    <n v="0"/>
  </r>
  <r>
    <s v="ssotest@mfc.sps.local"/>
    <s v="MFC"/>
    <x v="0"/>
    <n v="551367"/>
    <n v="1000"/>
    <d v="2017-09-11T12:15:05"/>
    <x v="0"/>
    <x v="0"/>
    <s v="Eveline.Stidston@manulifesecurities.ca"/>
    <n v="552508"/>
    <s v="User Account"/>
    <n v="1"/>
    <s v="AtBelow"/>
    <s v="CC_Portal"/>
    <n v="0"/>
    <s v="MFC"/>
    <s v="IBMCA"/>
    <s v="ACTIVE ADVISORS AND ASSISTANTS"/>
    <n v="0"/>
    <n v="0"/>
  </r>
  <r>
    <s v="ssotest@mfc.sps.local"/>
    <s v="MFC"/>
    <x v="0"/>
    <n v="551367"/>
    <n v="1000"/>
    <d v="2017-09-11T11:45:57"/>
    <x v="0"/>
    <x v="0"/>
    <s v="Rod.Bell@manulifesecurities.ca"/>
    <n v="553855"/>
    <s v="User Account"/>
    <n v="1"/>
    <s v="AtBelow"/>
    <s v="CC_Portal"/>
    <n v="0"/>
    <s v="MFC"/>
    <s v="IBMCA"/>
    <s v="ACTIVE ADVISORS AND ASSISTANTS"/>
    <n v="0"/>
    <n v="0"/>
  </r>
  <r>
    <s v="jeff.scowen@manulifesecurities.ca"/>
    <s v="MFC"/>
    <x v="0"/>
    <n v="560600"/>
    <n v="3"/>
    <d v="2017-09-11T11:22:16"/>
    <x v="0"/>
    <x v="12"/>
    <s v="Luc.Fortin@manulifesecurities.ca"/>
    <n v="553271"/>
    <s v="User Account"/>
    <n v="1"/>
    <s v="AtBelow"/>
    <s v="CC_Portal"/>
    <n v="0"/>
    <s v="MFC"/>
    <s v="IBMCA"/>
    <s v="ACTIVE ADVISORS AND ASSISTANTS"/>
    <n v="0"/>
    <n v="0"/>
  </r>
  <r>
    <s v="jeff.scowen@manulifesecurities.ca"/>
    <s v="MFC"/>
    <x v="0"/>
    <n v="560600"/>
    <n v="3"/>
    <d v="2017-09-11T11:17:52"/>
    <x v="0"/>
    <x v="12"/>
    <s v="Luc.Fortin@manulifesecurities.ca"/>
    <n v="553271"/>
    <s v="User Account"/>
    <n v="1"/>
    <s v="AtBelow"/>
    <s v="CC_Portal"/>
    <n v="0"/>
    <s v="MFC"/>
    <s v="IBMCA"/>
    <s v="ACTIVE ADVISORS AND ASSISTANTS"/>
    <n v="0"/>
    <n v="0"/>
  </r>
  <r>
    <s v="fahmi.karim@manulifesecurities.ca"/>
    <s v="MFC"/>
    <x v="0"/>
    <n v="809833"/>
    <n v="3"/>
    <d v="2017-09-11T10:59:34"/>
    <x v="3"/>
    <x v="2"/>
    <s v="Sandra.McNally@manulifesecurities.ca"/>
    <n v="553925"/>
    <s v="User Account"/>
    <n v="1"/>
    <s v="AtBelow"/>
    <s v="CC_WebService"/>
    <m/>
    <s v="MFC"/>
    <s v="IBMCA"/>
    <s v="ACTIVE ADVISORS AND ASSISTANTS"/>
    <n v="0"/>
    <n v="0"/>
  </r>
  <r>
    <s v="ssotest@mfc.sps.local"/>
    <s v="MFC"/>
    <x v="0"/>
    <n v="551367"/>
    <n v="1000"/>
    <d v="2017-09-11T10:54:28"/>
    <x v="0"/>
    <x v="0"/>
    <s v="chris.vaughan@manulifesecurities.ca"/>
    <n v="805844"/>
    <s v="User Account"/>
    <n v="1"/>
    <s v="AtBelow"/>
    <s v="CC_Portal"/>
    <n v="0"/>
    <s v="MFC"/>
    <s v="IBMCA"/>
    <s v="ACTIVE ADVISORS AND ASSISTANTS"/>
    <n v="0"/>
    <n v="0"/>
  </r>
  <r>
    <s v="ssotest@mfc.sps.local"/>
    <s v="MFC"/>
    <x v="0"/>
    <n v="551367"/>
    <n v="1000"/>
    <d v="2017-09-11T10:41:26"/>
    <x v="0"/>
    <x v="0"/>
    <s v="catherine.smit@manulifesecurities.ca"/>
    <n v="798194"/>
    <s v="User Account"/>
    <n v="1"/>
    <s v="AtBelow"/>
    <s v="CC_Portal"/>
    <n v="0"/>
    <s v="MFC"/>
    <s v="IBMCA"/>
    <s v="ACTIVE ADVISORS AND ASSISTANTS"/>
    <n v="0"/>
    <n v="0"/>
  </r>
  <r>
    <s v="ssotest@mfc.sps.local"/>
    <s v="MFC"/>
    <x v="0"/>
    <n v="551367"/>
    <n v="1000"/>
    <d v="2017-09-11T10:27:59"/>
    <x v="0"/>
    <x v="0"/>
    <s v="Beth.Lockhart@manulifesecurities.ca"/>
    <n v="551921"/>
    <s v="User Account"/>
    <n v="1"/>
    <s v="AtBelow"/>
    <s v="CC_Portal"/>
    <n v="0"/>
    <s v="MFC"/>
    <s v="IBMCA"/>
    <s v="ACTIVE ADVISORS AND ASSISTANTS"/>
    <n v="0"/>
    <n v="0"/>
  </r>
  <r>
    <s v="ssotest@mfc.sps.local"/>
    <s v="MFC"/>
    <x v="0"/>
    <n v="551367"/>
    <n v="1000"/>
    <d v="2017-09-11T10:27:59"/>
    <x v="0"/>
    <x v="0"/>
    <s v="Donna.Rankin@manulifesecurities.ca"/>
    <n v="552417"/>
    <s v="User Account"/>
    <n v="1"/>
    <s v="AtBelow"/>
    <s v="CC_Portal"/>
    <n v="0"/>
    <s v="MFC"/>
    <s v="IBMCA"/>
    <s v="ACTIVE ADVISORS AND ASSISTANTS"/>
    <n v="0"/>
    <n v="0"/>
  </r>
  <r>
    <s v="ssotest@mfc.sps.local"/>
    <s v="MFC"/>
    <x v="0"/>
    <n v="551367"/>
    <n v="1000"/>
    <d v="2017-09-11T10:15:21"/>
    <x v="0"/>
    <x v="0"/>
    <s v="Ross.Cloran@manulifesecurities.ca"/>
    <n v="553886"/>
    <s v="User Account"/>
    <n v="1"/>
    <s v="AtBelow"/>
    <s v="CC_Portal"/>
    <n v="0"/>
    <s v="MFC"/>
    <s v="IBMCA"/>
    <s v="ACTIVE ADVISORS AND ASSISTANTS"/>
    <n v="0"/>
    <n v="0"/>
  </r>
  <r>
    <s v="adiano.kitenge@manulifesecurities.ca"/>
    <s v="MFC"/>
    <x v="0"/>
    <n v="627566"/>
    <n v="3"/>
    <d v="2017-09-11T10:15:06"/>
    <x v="3"/>
    <x v="2"/>
    <s v="Tino.Todaro@manulifesecurities.ca"/>
    <n v="551720"/>
    <s v="User Account"/>
    <n v="1"/>
    <s v="AtBelow"/>
    <s v="CC_WebService"/>
    <m/>
    <s v="MFC"/>
    <s v="IBMCA"/>
    <s v="ACTIVE ADVISORS AND ASSISTANTS"/>
    <n v="0"/>
    <n v="0"/>
  </r>
  <r>
    <s v="adiano.kitenge@manulifesecurities.ca"/>
    <s v="MFC"/>
    <x v="0"/>
    <n v="627566"/>
    <n v="3"/>
    <d v="2017-09-11T10:14:54"/>
    <x v="0"/>
    <x v="3"/>
    <s v="Tino.Todaro@manulifesecurities.ca"/>
    <n v="551720"/>
    <s v="User Account"/>
    <n v="1"/>
    <s v="SelfBelow"/>
    <s v="CC_Portal"/>
    <s v="Enable"/>
    <s v="MFC"/>
    <s v="IBMCA"/>
    <s v="ACTIVE ADVISORS AND ASSISTANTS"/>
    <n v="0"/>
    <n v="0"/>
  </r>
  <r>
    <s v="michel.cormier@manulifesecurities.ca"/>
    <s v="MFC"/>
    <x v="0"/>
    <n v="560366"/>
    <n v="3"/>
    <d v="2017-09-11T10:03:15"/>
    <x v="3"/>
    <x v="2"/>
    <s v="beverly.bond@manulifesecurities.ca"/>
    <n v="580150"/>
    <s v="User Account"/>
    <n v="1"/>
    <s v="AtBelow"/>
    <s v="CC_WebService"/>
    <m/>
    <s v="MFC"/>
    <s v="IBMCA"/>
    <s v="ACTIVE ADVISORS AND ASSISTANTS"/>
    <n v="0"/>
    <n v="0"/>
  </r>
  <r>
    <s v="ssotest@mfc.sps.local"/>
    <s v="MFC"/>
    <x v="0"/>
    <n v="551367"/>
    <n v="1000"/>
    <d v="2017-09-11T09:45:03"/>
    <x v="0"/>
    <x v="0"/>
    <s v="adam.clay@manulifesecurities.ca"/>
    <n v="656133"/>
    <s v="User Account"/>
    <n v="1"/>
    <s v="AtBelow"/>
    <s v="CC_Portal"/>
    <n v="0"/>
    <s v="MFC"/>
    <s v="IBMCA"/>
    <s v="ACTIVE ADVISORS AND ASSISTANTS"/>
    <n v="0"/>
    <n v="0"/>
  </r>
  <r>
    <s v="adiano.kitenge@manulifesecurities.ca"/>
    <s v="MFC"/>
    <x v="0"/>
    <n v="627566"/>
    <n v="3"/>
    <d v="2017-09-11T09:30:40"/>
    <x v="3"/>
    <x v="2"/>
    <s v="kelly.gray@manulifesecurities.ca"/>
    <n v="840602"/>
    <s v="User Account"/>
    <n v="1"/>
    <s v="AtBelow"/>
    <s v="CC_WebService"/>
    <m/>
    <s v="MFC"/>
    <s v="IBMCA"/>
    <s v="ACTIVE ADVISORS AND ASSISTANTS"/>
    <n v="0"/>
    <n v="0"/>
  </r>
  <r>
    <s v="adiano.kitenge@manulifesecurities.ca"/>
    <s v="MFC"/>
    <x v="0"/>
    <n v="627566"/>
    <n v="3"/>
    <d v="2017-09-11T09:30:04"/>
    <x v="0"/>
    <x v="3"/>
    <s v="kelly.gray@manulifesecurities.ca"/>
    <n v="840602"/>
    <s v="User Account"/>
    <n v="1"/>
    <s v="SelfBelow"/>
    <s v="CC_Portal"/>
    <s v="Enable"/>
    <s v="MFC"/>
    <s v="IBMCA"/>
    <s v="ACTIVE ADVISORS AND ASSISTANTS"/>
    <n v="0"/>
    <n v="0"/>
  </r>
  <r>
    <s v="ssotest@mfc.sps.local"/>
    <s v="MFC"/>
    <x v="0"/>
    <n v="551367"/>
    <n v="1000"/>
    <d v="2017-09-11T09:18:04"/>
    <x v="0"/>
    <x v="0"/>
    <s v="Heather.Clayton@manulifesecurities.ca"/>
    <n v="552652"/>
    <s v="User Account"/>
    <n v="1"/>
    <s v="AtBelow"/>
    <s v="CC_Portal"/>
    <n v="0"/>
    <s v="MFC"/>
    <s v="IBMCA"/>
    <s v="ACTIVE ADVISORS AND ASSISTANTS"/>
    <n v="0"/>
    <n v="0"/>
  </r>
  <r>
    <s v="ssotest@mfc.sps.local"/>
    <s v="MFC"/>
    <x v="0"/>
    <n v="551367"/>
    <n v="1000"/>
    <d v="2017-09-11T09:01:14"/>
    <x v="0"/>
    <x v="0"/>
    <s v="chelsey.lamppu@manulifesecurities.ca"/>
    <n v="726930"/>
    <s v="User Account"/>
    <n v="1"/>
    <s v="AtBelow"/>
    <s v="CC_Portal"/>
    <n v="0"/>
    <s v="MFC"/>
    <s v="IBMCA"/>
    <s v="ACTIVE ADVISORS AND ASSISTANTS"/>
    <n v="0"/>
    <n v="0"/>
  </r>
  <r>
    <s v="ssotest@mfc.sps.local"/>
    <s v="MFC"/>
    <x v="0"/>
    <n v="551367"/>
    <n v="1000"/>
    <d v="2017-09-11T07:17:14"/>
    <x v="0"/>
    <x v="0"/>
    <s v="david.miklas@manulifesecurities.ca"/>
    <n v="725339"/>
    <s v="User Account"/>
    <n v="1"/>
    <s v="AtBelow"/>
    <s v="CC_Portal"/>
    <n v="0"/>
    <s v="MFC"/>
    <s v="IBMCA"/>
    <s v="ACTIVE ADVISORS AND ASSISTANTS"/>
    <n v="0"/>
    <n v="0"/>
  </r>
  <r>
    <s v="ssotest@mfc.sps.local"/>
    <s v="MFC"/>
    <x v="0"/>
    <n v="551367"/>
    <n v="1000"/>
    <d v="2017-09-11T02:11:01"/>
    <x v="0"/>
    <x v="0"/>
    <s v="Ken.Carstairs@manulifesecurities.ca"/>
    <n v="553076"/>
    <s v="User Account"/>
    <n v="1"/>
    <s v="AtBelow"/>
    <s v="CC_Portal"/>
    <n v="0"/>
    <s v="MFC"/>
    <s v="IBMCA"/>
    <s v="ACTIVE ADVISORS AND ASSISTANTS"/>
    <n v="0"/>
    <n v="0"/>
  </r>
  <r>
    <s v="ssotest@mfc.sps.local"/>
    <s v="MFC"/>
    <x v="0"/>
    <n v="551367"/>
    <n v="1000"/>
    <d v="2017-09-11T02:09:35"/>
    <x v="0"/>
    <x v="0"/>
    <s v="Ken.Carstairs@manulifesecurities.ca"/>
    <n v="553076"/>
    <s v="User Account"/>
    <n v="1"/>
    <s v="AtBelow"/>
    <s v="CC_Portal"/>
    <n v="0"/>
    <s v="MFC"/>
    <s v="IBMCA"/>
    <s v="ACTIVE ADVISORS AND ASSISTANTS"/>
    <n v="0"/>
    <n v="0"/>
  </r>
  <r>
    <s v="ssotest@mfc.sps.local"/>
    <s v="MFC"/>
    <x v="0"/>
    <n v="551367"/>
    <n v="1000"/>
    <d v="2017-09-11T02:09:31"/>
    <x v="0"/>
    <x v="0"/>
    <s v="Ken.Carstairs@manulifesecurities.ca"/>
    <n v="553076"/>
    <s v="User Account"/>
    <n v="1"/>
    <s v="AtBelow"/>
    <s v="CC_Portal"/>
    <n v="0"/>
    <s v="MFC"/>
    <s v="IBMCA"/>
    <s v="ACTIVE ADVISORS AND ASSISTANTS"/>
    <n v="0"/>
    <n v="0"/>
  </r>
  <r>
    <s v="alex_buena@manulifesecurities.ca"/>
    <s v="MFC"/>
    <x v="0"/>
    <n v="570025"/>
    <n v="3"/>
    <d v="2017-09-10T23:58:55"/>
    <x v="5"/>
    <x v="6"/>
    <s v="nswm@manulifesecurities.ca"/>
    <n v="907867"/>
    <s v="Distribution List"/>
    <n v="1"/>
    <s v="Any"/>
    <s v="CC_Portal"/>
    <s v="031eef7b49c84fa2b4acfd2bfdad5bdd,aa39dd8318b44ef59fb07be1ff65fedf,764559b885a9423984492bad814d8f3e,8d658175c10e49c08a7d7d0d9e223fc7,bf71b8491f254c2d9ec934a5045aba90,e8878d2493f14ba58df68894769a6255,248f8ff1218f4f80999f35eb7a9d3ba3,5132d7b86aff4fc0bec213eae97b6a23,6c7d005b0d73494b8777c140351c52e7,73f01189d104419a854be3e7cb5a3b14,f0621f4c843946ce99bdab48e0e1234a,2fc221c19cae4b2f8c87b50b9712cbc5,99bdd29e3fc348ab9a684fad02567843"/>
    <s v="MFC"/>
    <s v="IBMCA"/>
    <s v="ALL GROUPS"/>
    <n v="0"/>
    <n v="0"/>
  </r>
  <r>
    <s v="alex_buena@manulifesecurities.ca"/>
    <s v="MFC"/>
    <x v="0"/>
    <n v="570025"/>
    <n v="3"/>
    <d v="2017-09-10T23:54:59"/>
    <x v="5"/>
    <x v="7"/>
    <s v="nswm@manulifesecurities.ca"/>
    <n v="907867"/>
    <s v="Distribution List"/>
    <n v="1"/>
    <s v="AtBelow"/>
    <s v="CC_Portal"/>
    <s v="PrimaryEmail=nswm@manulifesecurities.ca"/>
    <s v="MFC"/>
    <s v="IBMCA"/>
    <s v="ALL GROUPS"/>
    <n v="0"/>
    <n v="0"/>
  </r>
  <r>
    <s v="alex_buena@manulifesecurities.ca"/>
    <s v="MFC"/>
    <x v="0"/>
    <n v="570025"/>
    <n v="3"/>
    <d v="2017-09-10T23:53:39"/>
    <x v="0"/>
    <x v="5"/>
    <s v="Winnipeg@manulifesecurities.ca"/>
    <n v="561109"/>
    <s v="Distribution List"/>
    <n v="1"/>
    <s v="AtBelow"/>
    <s v="CC_Portal"/>
    <n v="0"/>
    <s v="MFC"/>
    <s v="IBMCA"/>
    <s v="ALL GROUPS"/>
    <n v="0"/>
    <n v="0"/>
  </r>
  <r>
    <s v="alex_buena@manulifesecurities.ca"/>
    <s v="MFC"/>
    <x v="0"/>
    <n v="570025"/>
    <n v="3"/>
    <d v="2017-09-10T22:54:35"/>
    <x v="0"/>
    <x v="3"/>
    <s v="peggy.milne@manulifesecurities.ca"/>
    <n v="683238"/>
    <s v="User Account"/>
    <n v="1"/>
    <s v="AtBelow"/>
    <s v="CC_Portal"/>
    <s v="Disable"/>
    <s v="MFC"/>
    <s v="IBMCA"/>
    <s v="ACTIVE ADVISORS AND ASSISTANTS"/>
    <n v="0"/>
    <n v="0"/>
  </r>
  <r>
    <s v="alex_buena@manulifesecurities.ca"/>
    <s v="MFC"/>
    <x v="0"/>
    <n v="570025"/>
    <n v="3"/>
    <d v="2017-09-10T21:31:04"/>
    <x v="0"/>
    <x v="4"/>
    <s v="priya.aucharagram@manulifesecurities.ca"/>
    <n v="877289"/>
    <s v="User Account"/>
    <n v="1"/>
    <s v="AtBelow"/>
    <s v="CC_Portal"/>
    <s v="oldOrgGroup=ACTIVE ADVISORS AND ASSISTANTS;newOrgGroup=DISABLED USERS"/>
    <s v="MFC"/>
    <s v="IBMCA"/>
    <s v="DISABLED USERS"/>
    <n v="0"/>
    <n v="0"/>
  </r>
  <r>
    <s v="alex_buena@manulifesecurities.ca"/>
    <s v="MFC"/>
    <x v="0"/>
    <n v="570025"/>
    <n v="3"/>
    <d v="2017-09-10T21:30:34"/>
    <x v="0"/>
    <x v="5"/>
    <s v="priya.aucharagram@manulifesecurities.ca"/>
    <n v="877289"/>
    <s v="User Account"/>
    <n v="1"/>
    <s v="AtBelow"/>
    <s v="CC_Portal"/>
    <n v="0"/>
    <s v="MFC"/>
    <s v="IBMCA"/>
    <s v="ACTIVE ADVISORS AND ASSISTANTS"/>
    <n v="0"/>
    <n v="0"/>
  </r>
  <r>
    <s v="alex_buena@manulifesecurities.ca"/>
    <s v="MFC"/>
    <x v="0"/>
    <n v="570025"/>
    <n v="3"/>
    <d v="2017-09-10T21:24:32"/>
    <x v="0"/>
    <x v="3"/>
    <s v="priya.aucharagram@manulifesecurities.ca"/>
    <n v="877289"/>
    <s v="User Account"/>
    <n v="1"/>
    <s v="AtBelow"/>
    <s v="CC_Portal"/>
    <s v="Disable"/>
    <s v="MFC"/>
    <s v="IBMCA"/>
    <s v="ACTIVE ADVISORS AND ASSISTANTS"/>
    <n v="0"/>
    <n v="0"/>
  </r>
  <r>
    <s v="ssotest@mfc.sps.local"/>
    <s v="MFC"/>
    <x v="0"/>
    <n v="551367"/>
    <n v="1000"/>
    <d v="2017-09-09T10:47:53"/>
    <x v="0"/>
    <x v="0"/>
    <s v="IQuarrington@manulifesecurities.ca"/>
    <n v="552683"/>
    <s v="User Account"/>
    <n v="1"/>
    <s v="AtBelow"/>
    <s v="CC_Portal"/>
    <n v="0"/>
    <s v="MFC"/>
    <s v="IBMCA"/>
    <s v="ACTIVE ADVISORS AND ASSISTANTS"/>
    <n v="0"/>
    <n v="0"/>
  </r>
  <r>
    <s v="ssotest@mfc.sps.local"/>
    <s v="MFC"/>
    <x v="0"/>
    <n v="551367"/>
    <n v="1000"/>
    <d v="2017-09-09T07:26:04"/>
    <x v="0"/>
    <x v="0"/>
    <s v="John.Cardillo@manulifesecurities.ca"/>
    <n v="552894"/>
    <s v="User Account"/>
    <n v="1"/>
    <s v="AtBelow"/>
    <s v="CC_Portal"/>
    <n v="0"/>
    <s v="MFC"/>
    <s v="IBMCA"/>
    <s v="ACTIVE ADVISORS AND ASSISTANTS"/>
    <n v="0"/>
    <n v="0"/>
  </r>
  <r>
    <s v="ssotest@mfc.sps.local"/>
    <s v="MFC"/>
    <x v="0"/>
    <n v="551367"/>
    <n v="1000"/>
    <d v="2017-09-09T05:43:33"/>
    <x v="0"/>
    <x v="0"/>
    <s v="donald.stockman@manulifesecurities.ca"/>
    <n v="555611"/>
    <s v="User Account"/>
    <n v="1"/>
    <s v="AtBelow"/>
    <s v="CC_Portal"/>
    <n v="0"/>
    <s v="MFC"/>
    <s v="IBMCA"/>
    <s v="DISABLED USERS"/>
    <n v="0"/>
    <n v="0"/>
  </r>
  <r>
    <s v="ssotest@mfc.sps.local"/>
    <s v="MFC"/>
    <x v="0"/>
    <n v="551367"/>
    <n v="1000"/>
    <d v="2017-09-08T21:42:16"/>
    <x v="0"/>
    <x v="0"/>
    <s v="Wendy.Man@manulifesecurities.ca"/>
    <n v="554301"/>
    <s v="User Account"/>
    <n v="1"/>
    <s v="AtBelow"/>
    <s v="CC_Portal"/>
    <n v="0"/>
    <s v="MFC"/>
    <s v="IBMCA"/>
    <s v="ACTIVE ADVISORS AND ASSISTANTS"/>
    <n v="0"/>
    <n v="0"/>
  </r>
  <r>
    <s v="ssotest@mfc.sps.local"/>
    <s v="MFC"/>
    <x v="0"/>
    <n v="551367"/>
    <n v="1000"/>
    <d v="2017-09-08T18:48:53"/>
    <x v="0"/>
    <x v="0"/>
    <s v="Zinha.Vetter@manulifesecurities.ca"/>
    <n v="554341"/>
    <s v="User Account"/>
    <n v="1"/>
    <s v="AtBelow"/>
    <s v="CC_Portal"/>
    <n v="0"/>
    <s v="MFC"/>
    <s v="IBMCA"/>
    <s v="ACTIVE ADVISORS AND ASSISTANTS"/>
    <n v="0"/>
    <n v="0"/>
  </r>
  <r>
    <s v="ssotest@mfc.sps.local"/>
    <s v="MFC"/>
    <x v="0"/>
    <n v="551367"/>
    <n v="1000"/>
    <d v="2017-09-08T15:39:28"/>
    <x v="0"/>
    <x v="0"/>
    <s v="sharon.cross@manulifesecurities.ca"/>
    <n v="824934"/>
    <s v="User Account"/>
    <n v="1"/>
    <s v="AtBelow"/>
    <s v="CC_Portal"/>
    <n v="0"/>
    <s v="MFC"/>
    <s v="IBMCA"/>
    <s v="ACTIVE ADVISORS AND ASSISTANTS"/>
    <n v="0"/>
    <n v="0"/>
  </r>
  <r>
    <s v="adiano.kitenge@manulifesecurities.ca"/>
    <s v="MFC"/>
    <x v="0"/>
    <n v="627566"/>
    <n v="3"/>
    <d v="2017-09-08T15:06:31"/>
    <x v="3"/>
    <x v="2"/>
    <s v="ChrisG.Simpson@manulifesecurities.ca"/>
    <n v="893653"/>
    <s v="User Account"/>
    <n v="1"/>
    <s v="AtBelow"/>
    <s v="CC_WebService"/>
    <m/>
    <s v="MFC"/>
    <s v="IBMCA"/>
    <s v="ACTIVE ADVISORS AND ASSISTANTS"/>
    <n v="0"/>
    <n v="0"/>
  </r>
  <r>
    <s v="adiano.kitenge@manulifesecurities.ca"/>
    <s v="MFC"/>
    <x v="0"/>
    <n v="627566"/>
    <n v="3"/>
    <d v="2017-09-08T15:06:18"/>
    <x v="0"/>
    <x v="3"/>
    <s v="ChrisG.Simpson@manulifesecurities.ca"/>
    <n v="893653"/>
    <s v="User Account"/>
    <n v="1"/>
    <s v="SelfBelow"/>
    <s v="CC_Portal"/>
    <s v="Enable"/>
    <s v="MFC"/>
    <s v="IBMCA"/>
    <s v="ACTIVE ADVISORS AND ASSISTANTS"/>
    <n v="0"/>
    <n v="0"/>
  </r>
  <r>
    <s v="ssotest@mfc.sps.local"/>
    <s v="MFC"/>
    <x v="0"/>
    <n v="551367"/>
    <n v="1000"/>
    <d v="2017-09-08T14:42:42"/>
    <x v="0"/>
    <x v="0"/>
    <s v="andrew.richardson@manulifesecurities.ca"/>
    <n v="898236"/>
    <s v="User Account"/>
    <n v="1"/>
    <s v="AtBelow"/>
    <s v="CC_Portal"/>
    <n v="0"/>
    <s v="MFC"/>
    <s v="IBMCA"/>
    <s v="DISABLED USERS"/>
    <n v="0"/>
    <n v="0"/>
  </r>
  <r>
    <s v="ssotest@mfc.sps.local"/>
    <s v="MFC"/>
    <x v="0"/>
    <n v="551367"/>
    <n v="1000"/>
    <d v="2017-09-08T14:08:14"/>
    <x v="0"/>
    <x v="0"/>
    <s v="Paul.Tidey@manulifesecurities.ca"/>
    <n v="553680"/>
    <s v="User Account"/>
    <n v="1"/>
    <s v="AtBelow"/>
    <s v="CC_Portal"/>
    <n v="0"/>
    <s v="MFC"/>
    <s v="IBMCA"/>
    <s v="ACTIVE ADVISORS AND ASSISTANTS"/>
    <n v="0"/>
    <n v="0"/>
  </r>
  <r>
    <s v="ssotest@mfc.sps.local"/>
    <s v="MFC"/>
    <x v="0"/>
    <n v="551367"/>
    <n v="1000"/>
    <d v="2017-09-08T14:00:56"/>
    <x v="0"/>
    <x v="0"/>
    <s v="Larry.Green@manulifesecurities.ca"/>
    <n v="553145"/>
    <s v="User Account"/>
    <n v="1"/>
    <s v="AtBelow"/>
    <s v="CC_Portal"/>
    <n v="0"/>
    <s v="MFC"/>
    <s v="IBMCA"/>
    <s v="ACTIVE ADVISORS AND ASSISTANTS"/>
    <n v="0"/>
    <n v="0"/>
  </r>
  <r>
    <s v="priscilla.misir@manulifesecurities.ca"/>
    <s v="MFC"/>
    <x v="0"/>
    <n v="674396"/>
    <n v="3"/>
    <d v="2017-09-08T13:49:58"/>
    <x v="5"/>
    <x v="6"/>
    <s v="MSI_autoEmailArchive@manulifesecurities.ca"/>
    <n v="561482"/>
    <s v="Distribution List"/>
    <n v="1"/>
    <s v="Any"/>
    <s v="CC_Portal"/>
    <s v="30844fb2c5f04404ae0b9ac950cadb77"/>
    <s v="MFC"/>
    <s v="IBMCA"/>
    <s v="ALL GROUPS"/>
    <n v="0"/>
    <n v="0"/>
  </r>
  <r>
    <s v="priscilla.misir@manulifesecurities.ca"/>
    <s v="MFC"/>
    <x v="0"/>
    <n v="674396"/>
    <n v="3"/>
    <d v="2017-09-08T13:49:58"/>
    <x v="0"/>
    <x v="5"/>
    <s v="debbi.tonnies@manulifesecurities.ca"/>
    <n v="907727"/>
    <s v="User Account"/>
    <n v="1"/>
    <s v="AtBelow"/>
    <s v="CC_Portal"/>
    <n v="0"/>
    <s v="MFC"/>
    <s v="IBMCA"/>
    <s v="ACTIVE ADVISORS AND ASSISTANTS"/>
    <n v="0"/>
    <n v="0"/>
  </r>
  <r>
    <s v="priscilla.misir@manulifesecurities.ca"/>
    <s v="MFC"/>
    <x v="0"/>
    <n v="674396"/>
    <n v="3"/>
    <d v="2017-09-08T13:49:56"/>
    <x v="5"/>
    <x v="6"/>
    <s v="AllAssistants@manulifesecurities.ca"/>
    <n v="555660"/>
    <s v="Distribution List"/>
    <n v="1"/>
    <s v="Any"/>
    <s v="CC_Portal"/>
    <s v="30844fb2c5f04404ae0b9ac950cadb77"/>
    <s v="MFC"/>
    <s v="IBMCA"/>
    <s v="ALL GROUPS"/>
    <n v="0"/>
    <n v="0"/>
  </r>
  <r>
    <s v="priscilla.misir@manulifesecurities.ca"/>
    <s v="MFC"/>
    <x v="0"/>
    <n v="674396"/>
    <n v="3"/>
    <d v="2017-09-08T13:49:53"/>
    <x v="0"/>
    <x v="5"/>
    <s v="debbi.tonnies@manulifesecurities.ca"/>
    <n v="907727"/>
    <s v="User Account"/>
    <n v="1"/>
    <s v="AtBelow"/>
    <s v="CC_Portal"/>
    <n v="0"/>
    <s v="MFC"/>
    <s v="IBMCA"/>
    <s v="ACTIVE ADVISORS AND ASSISTANTS"/>
    <n v="0"/>
    <n v="0"/>
  </r>
  <r>
    <s v="priscilla.misir@manulifesecurities.ca"/>
    <s v="MFC"/>
    <x v="0"/>
    <n v="674396"/>
    <n v="3"/>
    <d v="2017-09-08T13:49:36"/>
    <x v="0"/>
    <x v="5"/>
    <s v="debbi.tonnies@manulifesecurities.ca"/>
    <n v="907727"/>
    <s v="User Account"/>
    <n v="1"/>
    <s v="AtBelow"/>
    <s v="CC_Portal"/>
    <n v="0"/>
    <s v="MFC"/>
    <s v="IBMCA"/>
    <s v="ACTIVE ADVISORS AND ASSISTANTS"/>
    <n v="0"/>
    <n v="0"/>
  </r>
  <r>
    <s v="priscilla.misir@manulifesecurities.ca"/>
    <s v="MFC"/>
    <x v="0"/>
    <n v="674396"/>
    <n v="3"/>
    <d v="2017-09-08T13:49:03"/>
    <x v="5"/>
    <x v="7"/>
    <s v="debbi.tonnies@manulifesecurities.ca"/>
    <n v="907727"/>
    <s v="User Account"/>
    <n v="1"/>
    <s v="AtBelow"/>
    <s v="CC_Portal"/>
    <s v="PrimaryEmail=debbi.tonnies@manulifesecurities.ca"/>
    <s v="MFC"/>
    <s v="IBMCA"/>
    <s v="ACTIVE ADVISORS AND ASSISTANTS"/>
    <n v="0"/>
    <n v="0"/>
  </r>
  <r>
    <s v="ssotest@mfc.sps.local"/>
    <s v="MFC"/>
    <x v="0"/>
    <n v="551367"/>
    <n v="1000"/>
    <d v="2017-09-08T13:34:04"/>
    <x v="0"/>
    <x v="0"/>
    <s v="Larry.Green@manulifesecurities.ca"/>
    <n v="553145"/>
    <s v="User Account"/>
    <n v="1"/>
    <s v="AtBelow"/>
    <s v="CC_Portal"/>
    <n v="0"/>
    <s v="MFC"/>
    <s v="IBMCA"/>
    <s v="ACTIVE ADVISORS AND ASSISTANTS"/>
    <n v="0"/>
    <n v="0"/>
  </r>
  <r>
    <s v="jeff.lotz@manulifesecurities.ca"/>
    <s v="MFC"/>
    <x v="0"/>
    <n v="722441"/>
    <n v="3"/>
    <d v="2017-09-08T13:26:11"/>
    <x v="3"/>
    <x v="2"/>
    <s v="Larry.Green@manulifesecurities.ca"/>
    <n v="553145"/>
    <s v="User Account"/>
    <n v="1"/>
    <s v="AtBelow"/>
    <s v="CC_WebService"/>
    <m/>
    <s v="MFC"/>
    <s v="IBMCA"/>
    <s v="ACTIVE ADVISORS AND ASSISTANTS"/>
    <n v="0"/>
    <n v="0"/>
  </r>
  <r>
    <s v="jeff.lotz@manulifesecurities.ca"/>
    <s v="MFC"/>
    <x v="0"/>
    <n v="722441"/>
    <n v="3"/>
    <d v="2017-09-08T13:16:32"/>
    <x v="3"/>
    <x v="2"/>
    <s v="Larry.Green@manulifesecurities.ca"/>
    <n v="553145"/>
    <s v="User Account"/>
    <n v="1"/>
    <s v="AtBelow"/>
    <s v="CC_WebService"/>
    <m/>
    <s v="MFC"/>
    <s v="IBMCA"/>
    <s v="ACTIVE ADVISORS AND ASSISTANTS"/>
    <n v="0"/>
    <n v="0"/>
  </r>
  <r>
    <s v="ssotest@mfc.sps.local"/>
    <s v="MFC"/>
    <x v="0"/>
    <n v="551367"/>
    <n v="1000"/>
    <d v="2017-09-08T12:28:05"/>
    <x v="0"/>
    <x v="0"/>
    <s v="Thierry.Jabbour@manulifesecurities.ca"/>
    <n v="554173"/>
    <s v="User Account"/>
    <n v="1"/>
    <s v="AtBelow"/>
    <s v="CC_Portal"/>
    <n v="0"/>
    <s v="MFC"/>
    <s v="IBMCA"/>
    <s v="ACTIVE ADVISORS AND ASSISTANTS"/>
    <n v="0"/>
    <n v="0"/>
  </r>
  <r>
    <s v="jody.markovic@manulifesecurities.ca"/>
    <s v="MFC"/>
    <x v="0"/>
    <n v="560579"/>
    <n v="3"/>
    <d v="2017-09-08T12:18:43"/>
    <x v="3"/>
    <x v="2"/>
    <s v="Peter.Graham@manulifesecurities.ca"/>
    <n v="553701"/>
    <s v="User Account"/>
    <n v="1"/>
    <s v="AtBelow"/>
    <s v="CC_WebService"/>
    <m/>
    <s v="MFC"/>
    <s v="IBMCA"/>
    <s v="ACTIVE ADVISORS AND ASSISTANTS"/>
    <n v="0"/>
    <n v="0"/>
  </r>
  <r>
    <s v="jody.markovic@manulifesecurities.ca"/>
    <s v="MFC"/>
    <x v="0"/>
    <n v="560579"/>
    <n v="3"/>
    <d v="2017-09-08T12:17:33"/>
    <x v="3"/>
    <x v="2"/>
    <s v="Peter.Graham@manulifesecurities.ca"/>
    <n v="553701"/>
    <s v="User Account"/>
    <n v="1"/>
    <s v="AtBelow"/>
    <s v="CC_WebService"/>
    <m/>
    <s v="MFC"/>
    <s v="IBMCA"/>
    <s v="ACTIVE ADVISORS AND ASSISTANTS"/>
    <n v="0"/>
    <n v="0"/>
  </r>
  <r>
    <s v="jody.markovic@manulifesecurities.ca"/>
    <s v="MFC"/>
    <x v="0"/>
    <n v="560579"/>
    <n v="3"/>
    <d v="2017-09-08T12:16:41"/>
    <x v="3"/>
    <x v="2"/>
    <s v="Peter.Graham@manulifesecurities.ca"/>
    <n v="553701"/>
    <s v="User Account"/>
    <n v="1"/>
    <s v="AtBelow"/>
    <s v="CC_WebService"/>
    <m/>
    <s v="MFC"/>
    <s v="IBMCA"/>
    <s v="ACTIVE ADVISORS AND ASSISTANTS"/>
    <n v="0"/>
    <n v="0"/>
  </r>
  <r>
    <s v="jody.markovic@manulifesecurities.ca"/>
    <s v="MFC"/>
    <x v="0"/>
    <n v="560579"/>
    <n v="3"/>
    <d v="2017-09-08T12:15:30"/>
    <x v="3"/>
    <x v="2"/>
    <s v="Peter.Graham@manulifesecurities.ca"/>
    <n v="553701"/>
    <s v="User Account"/>
    <n v="1"/>
    <s v="AtBelow"/>
    <s v="CC_WebService"/>
    <m/>
    <s v="MFC"/>
    <s v="IBMCA"/>
    <s v="ACTIVE ADVISORS AND ASSISTANTS"/>
    <n v="0"/>
    <n v="0"/>
  </r>
  <r>
    <s v="jody.markovic@manulifesecurities.ca"/>
    <s v="MFC"/>
    <x v="0"/>
    <n v="560579"/>
    <n v="3"/>
    <d v="2017-09-08T12:09:25"/>
    <x v="3"/>
    <x v="2"/>
    <s v="Peter.Graham@manulifesecurities.ca"/>
    <n v="553701"/>
    <s v="User Account"/>
    <n v="1"/>
    <s v="AtBelow"/>
    <s v="CC_WebService"/>
    <m/>
    <s v="MFC"/>
    <s v="IBMCA"/>
    <s v="ACTIVE ADVISORS AND ASSISTANTS"/>
    <n v="0"/>
    <n v="0"/>
  </r>
  <r>
    <s v="ssotest@mfc.sps.local"/>
    <s v="MFC"/>
    <x v="0"/>
    <n v="551367"/>
    <n v="1000"/>
    <d v="2017-09-08T12:03:36"/>
    <x v="0"/>
    <x v="0"/>
    <s v="Sara.Worley@manulifesecurities.ca"/>
    <n v="553939"/>
    <s v="User Account"/>
    <n v="1"/>
    <s v="AtBelow"/>
    <s v="CC_Portal"/>
    <n v="0"/>
    <s v="MFC"/>
    <s v="IBMCA"/>
    <s v="ACTIVE ADVISORS AND ASSISTANTS"/>
    <n v="0"/>
    <n v="0"/>
  </r>
  <r>
    <s v="ssotest@mfc.sps.local"/>
    <s v="MFC"/>
    <x v="0"/>
    <n v="551367"/>
    <n v="1000"/>
    <d v="2017-09-08T11:27:53"/>
    <x v="0"/>
    <x v="0"/>
    <s v="evelyn.gray@manulifesecurities.ca"/>
    <n v="907004"/>
    <s v="User Account"/>
    <n v="1"/>
    <s v="AtBelow"/>
    <s v="CC_Portal"/>
    <n v="0"/>
    <s v="MFC"/>
    <s v="IBMCA"/>
    <s v="ACTIVE ADVISORS AND ASSISTANTS"/>
    <n v="0"/>
    <n v="0"/>
  </r>
  <r>
    <s v="priscilla.misir@manulifesecurities.ca"/>
    <s v="MFC"/>
    <x v="0"/>
    <n v="674396"/>
    <n v="3"/>
    <d v="2017-09-08T11:27:43"/>
    <x v="0"/>
    <x v="5"/>
    <s v="Carol.Wiper@manulifesecurities.ca"/>
    <n v="552058"/>
    <s v="User Account"/>
    <n v="1"/>
    <s v="AtBelow"/>
    <s v="CC_Portal"/>
    <n v="0"/>
    <s v="MFC"/>
    <s v="IBMCA"/>
    <s v="ACTIVE ADVISORS AND ASSISTANTS"/>
    <n v="0"/>
    <n v="0"/>
  </r>
  <r>
    <s v="priscilla.misir@manulifesecurities.ca"/>
    <s v="MFC"/>
    <x v="0"/>
    <n v="674396"/>
    <n v="3"/>
    <d v="2017-09-08T11:27:42"/>
    <x v="4"/>
    <x v="6"/>
    <s v="MSISRepresentatives@manulifesecurities.ca"/>
    <n v="555674"/>
    <s v="Distribution List"/>
    <n v="1"/>
    <s v="Any"/>
    <s v="CC_Portal"/>
    <s v="edac748773e741cfa6340e551e09f0a9"/>
    <s v="MFC"/>
    <s v="IBMCA"/>
    <s v="ALL GROUPS"/>
    <n v="0"/>
    <n v="0"/>
  </r>
  <r>
    <s v="priscilla.misir@manulifesecurities.ca"/>
    <s v="MFC"/>
    <x v="0"/>
    <n v="674396"/>
    <n v="3"/>
    <d v="2017-09-08T11:27:41"/>
    <x v="4"/>
    <x v="6"/>
    <s v="AllAdvisors@manulifesecurities.ca"/>
    <n v="555659"/>
    <s v="Distribution List"/>
    <n v="1"/>
    <s v="Any"/>
    <s v="CC_Portal"/>
    <s v="edac748773e741cfa6340e551e09f0a9"/>
    <s v="MFC"/>
    <s v="IBMCA"/>
    <s v="ALL GROUPS"/>
    <n v="0"/>
    <n v="0"/>
  </r>
  <r>
    <s v="priscilla.misir@manulifesecurities.ca"/>
    <s v="MFC"/>
    <x v="0"/>
    <n v="674396"/>
    <n v="3"/>
    <d v="2017-09-08T11:27:41"/>
    <x v="4"/>
    <x v="6"/>
    <s v="FormerBerkAdvisors@manulifesecurities.ca"/>
    <n v="555662"/>
    <s v="Distribution List"/>
    <n v="1"/>
    <s v="Any"/>
    <s v="CC_Portal"/>
    <s v="edac748773e741cfa6340e551e09f0a9"/>
    <s v="MFC"/>
    <s v="IBMCA"/>
    <s v="ALL GROUPS"/>
    <n v="0"/>
    <n v="0"/>
  </r>
  <r>
    <s v="priscilla.misir@manulifesecurities.ca"/>
    <s v="MFC"/>
    <x v="0"/>
    <n v="674396"/>
    <n v="3"/>
    <d v="2017-09-08T11:27:37"/>
    <x v="4"/>
    <x v="6"/>
    <s v="Advisors@manulifesecurities.ca"/>
    <n v="555668"/>
    <s v="Distribution List"/>
    <n v="1"/>
    <s v="Any"/>
    <s v="CC_Portal"/>
    <s v="edac748773e741cfa6340e551e09f0a9"/>
    <s v="MFC"/>
    <s v="IBMCA"/>
    <s v="ALL GROUPS"/>
    <n v="0"/>
    <n v="0"/>
  </r>
  <r>
    <s v="priscilla.misir@manulifesecurities.ca"/>
    <s v="MFC"/>
    <x v="0"/>
    <n v="674396"/>
    <n v="3"/>
    <d v="2017-09-08T11:27:32"/>
    <x v="5"/>
    <x v="6"/>
    <s v="AllAssistants@manulifesecurities.ca"/>
    <n v="555660"/>
    <s v="Distribution List"/>
    <n v="1"/>
    <s v="Any"/>
    <s v="CC_Portal"/>
    <s v="edac748773e741cfa6340e551e09f0a9"/>
    <s v="MFC"/>
    <s v="IBMCA"/>
    <s v="ALL GROUPS"/>
    <n v="0"/>
    <n v="0"/>
  </r>
  <r>
    <s v="priscilla.misir@manulifesecurities.ca"/>
    <s v="MFC"/>
    <x v="0"/>
    <n v="674396"/>
    <n v="3"/>
    <d v="2017-09-08T11:27:19"/>
    <x v="0"/>
    <x v="5"/>
    <s v="Carol.Wiper@manulifesecurities.ca"/>
    <n v="552058"/>
    <s v="User Account"/>
    <n v="1"/>
    <s v="AtBelow"/>
    <s v="CC_Portal"/>
    <n v="0"/>
    <s v="MFC"/>
    <s v="IBMCA"/>
    <s v="ACTIVE ADVISORS AND ASSISTANTS"/>
    <n v="0"/>
    <n v="0"/>
  </r>
  <r>
    <s v="priscilla.misir@manulifesecurities.ca"/>
    <s v="MFC"/>
    <x v="0"/>
    <n v="674396"/>
    <n v="3"/>
    <d v="2017-09-08T11:26:28"/>
    <x v="0"/>
    <x v="5"/>
    <s v="Carol.Wiper@manulifesecurities.ca"/>
    <n v="552058"/>
    <s v="User Account"/>
    <n v="1"/>
    <s v="AtBelow"/>
    <s v="CC_Portal"/>
    <n v="0"/>
    <s v="MFC"/>
    <s v="IBMCA"/>
    <s v="ACTIVE ADVISORS AND ASSISTANTS"/>
    <n v="0"/>
    <n v="0"/>
  </r>
  <r>
    <s v="ssotest@mfc.sps.local"/>
    <s v="MFC"/>
    <x v="0"/>
    <n v="551367"/>
    <n v="1000"/>
    <d v="2017-09-08T10:46:19"/>
    <x v="0"/>
    <x v="0"/>
    <s v="Tino.Todaro@manulifesecurities.ca"/>
    <n v="551720"/>
    <s v="User Account"/>
    <n v="1"/>
    <s v="AtBelow"/>
    <s v="CC_Portal"/>
    <n v="0"/>
    <s v="MFC"/>
    <s v="IBMCA"/>
    <s v="ACTIVE ADVISORS AND ASSISTANTS"/>
    <n v="0"/>
    <n v="0"/>
  </r>
  <r>
    <s v="onauffer@cc"/>
    <n v="0"/>
    <x v="1"/>
    <n v="690215"/>
    <n v="1000"/>
    <d v="2017-09-08T10:22:06"/>
    <x v="0"/>
    <x v="10"/>
    <s v="ana.culig@manulifesecurities.ca"/>
    <n v="907688"/>
    <s v="User Account"/>
    <n v="1"/>
    <s v="AtBelow"/>
    <s v="CC_Portal"/>
    <s v="Action=Enable;ForwardTo=Lakshmi.Pillai@manulifesecurities.ca;LeaveCopy=FalseTrue"/>
    <s v="MFC"/>
    <s v="IBMCA"/>
    <s v="ACTIVE ADVISORS AND ASSISTANTS"/>
    <n v="0"/>
    <n v="0"/>
  </r>
  <r>
    <s v="onauffer@cc"/>
    <n v="0"/>
    <x v="1"/>
    <n v="690215"/>
    <n v="1000"/>
    <d v="2017-09-08T10:22:06"/>
    <x v="0"/>
    <x v="10"/>
    <s v="ana.culig@manulifesecurities.ca"/>
    <n v="907688"/>
    <s v="User Account"/>
    <n v="1"/>
    <s v="AtBelow"/>
    <s v="CC_Portal"/>
    <s v="Action=Enable;ForwardTo=Lakshmi.Pillai@manulifesecurities.ca;LeaveCopy=FalseTrue"/>
    <s v="MFC"/>
    <s v="IBMCA"/>
    <s v="ACTIVE ADVISORS AND ASSISTANTS"/>
    <n v="0"/>
    <n v="0"/>
  </r>
  <r>
    <s v="ssotest@mfc.sps.local"/>
    <s v="MFC"/>
    <x v="0"/>
    <n v="551367"/>
    <n v="1000"/>
    <d v="2017-09-08T10:15:07"/>
    <x v="0"/>
    <x v="0"/>
    <s v="Tim.Robb@manulifesecurities.ca"/>
    <n v="554186"/>
    <s v="User Account"/>
    <n v="1"/>
    <s v="AtBelow"/>
    <s v="CC_Portal"/>
    <n v="0"/>
    <s v="MFC"/>
    <s v="IBMCA"/>
    <s v="ACTIVE ADVISORS AND ASSISTANTS"/>
    <n v="0"/>
    <n v="0"/>
  </r>
  <r>
    <s v="onauffer@cc"/>
    <n v="0"/>
    <x v="1"/>
    <n v="690215"/>
    <n v="1000"/>
    <d v="2017-09-08T10:14:55"/>
    <x v="6"/>
    <x v="13"/>
    <s v="ana.culig@manulifesecurities.ca"/>
    <n v="907688"/>
    <s v="User Account"/>
    <n v="1"/>
    <s v="AtBelow"/>
    <s v="CC_Portal"/>
    <s v="Primary=ana.culig@manulifesecurities.ca"/>
    <s v="MFC"/>
    <s v="IBMCA"/>
    <s v="ACTIVE ADVISORS AND ASSISTANTS"/>
    <n v="0"/>
    <n v="0"/>
  </r>
  <r>
    <s v="onauffer@cc"/>
    <n v="0"/>
    <x v="1"/>
    <n v="690215"/>
    <n v="1000"/>
    <d v="2017-09-08T10:14:17"/>
    <x v="7"/>
    <x v="14"/>
    <s v="ana.culig@manulifesecurities.ca"/>
    <n v="842851"/>
    <s v="User Account"/>
    <n v="1"/>
    <s v="AtBelow"/>
    <s v="CC_Portal"/>
    <s v="PrimaryEmail=ana.culig@manulifesecurities.ca"/>
    <s v="MFC"/>
    <s v="IBMCA"/>
    <s v="DISABLED USERS"/>
    <n v="0"/>
    <n v="0"/>
  </r>
  <r>
    <s v="onauffer@cc"/>
    <n v="0"/>
    <x v="1"/>
    <n v="690215"/>
    <n v="1000"/>
    <d v="2017-09-08T09:51:24"/>
    <x v="0"/>
    <x v="3"/>
    <s v="ana.culig@manulifesecurities.ca"/>
    <n v="842851"/>
    <s v="User Account"/>
    <n v="1"/>
    <s v="AtBelow"/>
    <s v="CC_Portal"/>
    <s v="Enable"/>
    <s v="MFC"/>
    <s v="IBMCA"/>
    <s v="DISABLED USERS"/>
    <n v="0"/>
    <n v="0"/>
  </r>
  <r>
    <s v="ssotest@mfc.sps.local"/>
    <s v="MFC"/>
    <x v="0"/>
    <n v="551367"/>
    <n v="1000"/>
    <d v="2017-09-08T09:50:28"/>
    <x v="0"/>
    <x v="0"/>
    <s v="Sandra.Tibble@manulifesecurities.ca"/>
    <n v="553931"/>
    <s v="User Account"/>
    <n v="1"/>
    <s v="AtBelow"/>
    <s v="CC_Portal"/>
    <n v="0"/>
    <s v="MFC"/>
    <s v="IBMCA"/>
    <s v="ACTIVE ADVISORS AND ASSISTANTS"/>
    <n v="0"/>
    <n v="0"/>
  </r>
  <r>
    <s v="onauffer@cc"/>
    <n v="0"/>
    <x v="1"/>
    <n v="690215"/>
    <n v="1000"/>
    <d v="2017-09-08T09:38:21"/>
    <x v="0"/>
    <x v="3"/>
    <s v="ana.culig@manulifesecurities.ca"/>
    <n v="842851"/>
    <s v="User Account"/>
    <n v="1"/>
    <s v="AtBelow"/>
    <s v="CC_Portal"/>
    <s v="Disable"/>
    <s v="MFC"/>
    <s v="IBMCA"/>
    <s v="DISABLED USERS"/>
    <n v="0"/>
    <n v="0"/>
  </r>
  <r>
    <s v="onauffer@cc"/>
    <n v="0"/>
    <x v="1"/>
    <n v="690215"/>
    <n v="1000"/>
    <d v="2017-09-08T09:35:26"/>
    <x v="0"/>
    <x v="3"/>
    <s v="ana.culig@manulifesecurities.ca"/>
    <n v="842851"/>
    <s v="User Account"/>
    <n v="1"/>
    <s v="AtBelow"/>
    <s v="CC_Portal"/>
    <s v="Disable"/>
    <s v="MFC"/>
    <s v="IBMCA"/>
    <s v="DISABLED USERS"/>
    <n v="0"/>
    <n v="0"/>
  </r>
  <r>
    <s v="ssotest@mfc.sps.local"/>
    <s v="MFC"/>
    <x v="0"/>
    <n v="551367"/>
    <n v="1000"/>
    <d v="2017-09-08T09:30:26"/>
    <x v="0"/>
    <x v="0"/>
    <s v="Mark.Stonefish@manulifesecurities.ca"/>
    <n v="553370"/>
    <s v="User Account"/>
    <n v="1"/>
    <s v="AtBelow"/>
    <s v="CC_Portal"/>
    <n v="0"/>
    <s v="MFC"/>
    <s v="IBMCA"/>
    <s v="ACTIVE ADVISORS AND ASSISTANTS"/>
    <n v="0"/>
    <n v="0"/>
  </r>
  <r>
    <s v="onauffer@cc"/>
    <n v="0"/>
    <x v="1"/>
    <n v="690215"/>
    <n v="1000"/>
    <d v="2017-09-08T09:27:08"/>
    <x v="0"/>
    <x v="3"/>
    <s v="ana.culig@manulifesecurities.ca"/>
    <n v="842851"/>
    <s v="User Account"/>
    <n v="1"/>
    <s v="AtBelow"/>
    <s v="CC_Portal"/>
    <s v="Enable"/>
    <s v="MFC"/>
    <s v="IBMCA"/>
    <s v="DISABLED USERS"/>
    <n v="0"/>
    <n v="0"/>
  </r>
  <r>
    <s v="ssotest@mfc.sps.local"/>
    <s v="MFC"/>
    <x v="0"/>
    <n v="551367"/>
    <n v="1000"/>
    <d v="2017-09-08T09:10:41"/>
    <x v="0"/>
    <x v="0"/>
    <s v="Elizabeth.Bondi@manulifesecurities.ca"/>
    <n v="552472"/>
    <s v="User Account"/>
    <n v="1"/>
    <s v="AtBelow"/>
    <s v="CC_Portal"/>
    <n v="0"/>
    <s v="MFC"/>
    <s v="IBMCA"/>
    <s v="ACTIVE ADVISORS AND ASSISTANTS"/>
    <n v="0"/>
    <n v="0"/>
  </r>
  <r>
    <s v="alex_buena@manulifesecurities.ca"/>
    <s v="MFC"/>
    <x v="0"/>
    <n v="570025"/>
    <n v="3"/>
    <d v="2017-09-08T08:46:41"/>
    <x v="0"/>
    <x v="0"/>
    <s v="sinan.shao@manulifesecurities.ca"/>
    <n v="641503"/>
    <s v="User Account"/>
    <n v="1"/>
    <s v="AtBelow"/>
    <s v="CC_Portal"/>
    <n v="0"/>
    <s v="MFC"/>
    <s v="IBMCA"/>
    <s v="ACTIVE ADVISORS AND ASSISTANTS"/>
    <n v="0"/>
    <n v="0"/>
  </r>
  <r>
    <s v="alex_buena@manulifesecurities.ca"/>
    <s v="MFC"/>
    <x v="0"/>
    <n v="570025"/>
    <n v="3"/>
    <d v="2017-09-08T08:46:06"/>
    <x v="0"/>
    <x v="10"/>
    <s v="sinan.shao@manulifesecurities.ca"/>
    <n v="641503"/>
    <s v="User Account"/>
    <n v="1"/>
    <s v="AtBelow"/>
    <s v="CC_Portal"/>
    <s v="Action=Enable;ForwardTo=Lakshmi.Pillai@manulifesecurities.ca;LeaveCopy=FalseTrue"/>
    <s v="MFC"/>
    <s v="IBMCA"/>
    <s v="ACTIVE ADVISORS AND ASSISTANTS"/>
    <n v="0"/>
    <n v="0"/>
  </r>
  <r>
    <s v="alex_buena@manulifesecurities.ca"/>
    <s v="MFC"/>
    <x v="0"/>
    <n v="570025"/>
    <n v="3"/>
    <d v="2017-09-08T08:46:06"/>
    <x v="0"/>
    <x v="10"/>
    <s v="sinan.shao@manulifesecurities.ca"/>
    <n v="641503"/>
    <s v="User Account"/>
    <n v="1"/>
    <s v="AtBelow"/>
    <s v="CC_Portal"/>
    <s v="Action=Enable;ForwardTo=Lakshmi.Pillai@manulifesecurities.ca;LeaveCopy=FalseTrue"/>
    <s v="MFC"/>
    <s v="IBMCA"/>
    <s v="ACTIVE ADVISORS AND ASSISTANTS"/>
    <n v="0"/>
    <n v="0"/>
  </r>
  <r>
    <s v="alex_buena@manulifesecurities.ca"/>
    <s v="MFC"/>
    <x v="0"/>
    <n v="570025"/>
    <n v="3"/>
    <d v="2017-09-08T08:45:11"/>
    <x v="0"/>
    <x v="3"/>
    <s v="sinan.shao@manulifesecurities.ca"/>
    <n v="641503"/>
    <s v="User Account"/>
    <n v="1"/>
    <s v="AtBelow"/>
    <s v="CC_Portal"/>
    <s v="Enable"/>
    <s v="MFC"/>
    <s v="IBMCA"/>
    <s v="ACTIVE ADVISORS AND ASSISTANTS"/>
    <n v="0"/>
    <n v="0"/>
  </r>
  <r>
    <s v="alex_buena@manulifesecurities.ca"/>
    <s v="MFC"/>
    <x v="0"/>
    <n v="570025"/>
    <n v="3"/>
    <d v="2017-09-08T08:44:45"/>
    <x v="0"/>
    <x v="4"/>
    <s v="sinan.shao@manulifesecurities.ca"/>
    <n v="641503"/>
    <s v="User Account"/>
    <n v="1"/>
    <s v="AtBelow"/>
    <s v="CC_Portal"/>
    <s v="oldOrgGroup=DISABLED USERS;newOrgGroup=ACTIVE ADVISORS AND ASSISTANTS"/>
    <s v="MFC"/>
    <s v="IBMCA"/>
    <s v="ACTIVE ADVISORS AND ASSISTANTS"/>
    <n v="0"/>
    <n v="0"/>
  </r>
  <r>
    <s v="ssotest@mfc.sps.local"/>
    <s v="MFC"/>
    <x v="0"/>
    <n v="551367"/>
    <n v="1000"/>
    <d v="2017-09-08T08:28:12"/>
    <x v="0"/>
    <x v="0"/>
    <s v="Darren.Fraser@manulifesecurities.ca"/>
    <n v="552260"/>
    <s v="User Account"/>
    <n v="1"/>
    <s v="AtBelow"/>
    <s v="CC_Portal"/>
    <n v="0"/>
    <s v="MFC"/>
    <s v="IBMCA"/>
    <s v="ACTIVE ADVISORS AND ASSISTANTS"/>
    <n v="0"/>
    <n v="0"/>
  </r>
  <r>
    <s v="alex_buena@manulifesecurities.ca"/>
    <s v="MFC"/>
    <x v="0"/>
    <n v="570025"/>
    <n v="3"/>
    <d v="2017-09-08T08:26:17"/>
    <x v="0"/>
    <x v="4"/>
    <s v="priya.aucharagram@manulifesecurities.ca"/>
    <n v="877289"/>
    <s v="User Account"/>
    <n v="1"/>
    <s v="AtBelow"/>
    <s v="CC_Portal"/>
    <s v="oldOrgGroup=DISABLED USERS;newOrgGroup=ACTIVE ADVISORS AND ASSISTANTS"/>
    <s v="MFC"/>
    <s v="IBMCA"/>
    <s v="ACTIVE ADVISORS AND ASSISTANTS"/>
    <n v="0"/>
    <n v="0"/>
  </r>
  <r>
    <s v="alex_buena@manulifesecurities.ca"/>
    <s v="MFC"/>
    <x v="0"/>
    <n v="570025"/>
    <n v="3"/>
    <d v="2017-09-08T08:25:38"/>
    <x v="0"/>
    <x v="3"/>
    <s v="priya.aucharagram@manulifesecurities.ca"/>
    <n v="877289"/>
    <s v="User Account"/>
    <n v="1"/>
    <s v="AtBelow"/>
    <s v="CC_Portal"/>
    <s v="Enable"/>
    <s v="MFC"/>
    <s v="IBMCA"/>
    <s v="DISABLED USERS"/>
    <n v="0"/>
    <n v="0"/>
  </r>
  <r>
    <s v="alex_buena@manulifesecurities.ca"/>
    <s v="MFC"/>
    <x v="0"/>
    <n v="570025"/>
    <n v="3"/>
    <d v="2017-09-08T08:23:35"/>
    <x v="0"/>
    <x v="4"/>
    <s v="priya.aucharagram@manulifesecurities.ca"/>
    <n v="877289"/>
    <s v="User Account"/>
    <n v="1"/>
    <s v="AtBelow"/>
    <s v="CC_Portal"/>
    <s v="oldOrgGroup=ACTIVE ADVISORS AND ASSISTANTS;newOrgGroup=DISABLED USERS"/>
    <s v="MFC"/>
    <s v="IBMCA"/>
    <s v="DISABLED USERS"/>
    <n v="0"/>
    <n v="0"/>
  </r>
  <r>
    <s v="alex_buena@manulifesecurities.ca"/>
    <s v="MFC"/>
    <x v="0"/>
    <n v="570025"/>
    <n v="3"/>
    <d v="2017-09-08T08:23:03"/>
    <x v="4"/>
    <x v="6"/>
    <s v="MSI_autoSupervision@manulifesecurities.ca"/>
    <n v="561483"/>
    <s v="Distribution List"/>
    <n v="1"/>
    <s v="Any"/>
    <s v="CC_Portal"/>
    <s v="7ef1be224bb6437b94cb5807a8ba605d"/>
    <s v="MFC"/>
    <s v="IBMCA"/>
    <s v="ALL GROUPS"/>
    <n v="0"/>
    <n v="0"/>
  </r>
  <r>
    <s v="alex_buena@manulifesecurities.ca"/>
    <s v="MFC"/>
    <x v="0"/>
    <n v="570025"/>
    <n v="3"/>
    <d v="2017-09-08T08:23:03"/>
    <x v="0"/>
    <x v="5"/>
    <s v="priya.aucharagram@manulifesecurities.ca"/>
    <n v="877289"/>
    <s v="User Account"/>
    <n v="1"/>
    <s v="AtBelow"/>
    <s v="CC_Portal"/>
    <n v="0"/>
    <s v="MFC"/>
    <s v="IBMCA"/>
    <s v="ACTIVE ADVISORS AND ASSISTANTS"/>
    <n v="0"/>
    <n v="0"/>
  </r>
  <r>
    <s v="alex_buena@manulifesecurities.ca"/>
    <s v="MFC"/>
    <x v="0"/>
    <n v="570025"/>
    <n v="3"/>
    <d v="2017-09-08T08:23:02"/>
    <x v="4"/>
    <x v="6"/>
    <s v="MSI_autoEmailArchive@manulifesecurities.ca"/>
    <n v="561482"/>
    <s v="Distribution List"/>
    <n v="1"/>
    <s v="Any"/>
    <s v="CC_Portal"/>
    <s v="7ef1be224bb6437b94cb5807a8ba605d"/>
    <s v="MFC"/>
    <s v="IBMCA"/>
    <s v="ALL GROUPS"/>
    <n v="0"/>
    <n v="0"/>
  </r>
  <r>
    <s v="alex_buena@manulifesecurities.ca"/>
    <s v="MFC"/>
    <x v="0"/>
    <n v="570025"/>
    <n v="3"/>
    <d v="2017-09-08T08:23:00"/>
    <x v="4"/>
    <x v="6"/>
    <s v="AllAssistants@manulifesecurities.ca"/>
    <n v="555660"/>
    <s v="Distribution List"/>
    <n v="1"/>
    <s v="Any"/>
    <s v="CC_Portal"/>
    <s v="7ef1be224bb6437b94cb5807a8ba605d"/>
    <s v="MFC"/>
    <s v="IBMCA"/>
    <s v="ALL GROUPS"/>
    <n v="0"/>
    <n v="0"/>
  </r>
  <r>
    <s v="alex_buena@manulifesecurities.ca"/>
    <s v="MFC"/>
    <x v="0"/>
    <n v="570025"/>
    <n v="3"/>
    <d v="2017-09-08T08:22:58"/>
    <x v="0"/>
    <x v="5"/>
    <s v="priya.aucharagram@manulifesecurities.ca"/>
    <n v="877289"/>
    <s v="User Account"/>
    <n v="1"/>
    <s v="AtBelow"/>
    <s v="CC_Portal"/>
    <n v="0"/>
    <s v="MFC"/>
    <s v="IBMCA"/>
    <s v="ACTIVE ADVISORS AND ASSISTANTS"/>
    <n v="0"/>
    <n v="0"/>
  </r>
  <r>
    <s v="alex_buena@manulifesecurities.ca"/>
    <s v="MFC"/>
    <x v="0"/>
    <n v="570025"/>
    <n v="3"/>
    <d v="2017-09-08T08:22:50"/>
    <x v="0"/>
    <x v="5"/>
    <s v="priya.aucharagram@manulifesecurities.ca"/>
    <n v="877289"/>
    <s v="User Account"/>
    <n v="1"/>
    <s v="AtBelow"/>
    <s v="CC_Portal"/>
    <n v="0"/>
    <s v="MFC"/>
    <s v="IBMCA"/>
    <s v="ACTIVE ADVISORS AND ASSISTANTS"/>
    <n v="0"/>
    <n v="0"/>
  </r>
  <r>
    <s v="patrick.harkins@manulifesecurities.ca"/>
    <s v="MFC"/>
    <x v="0"/>
    <n v="560864"/>
    <n v="3"/>
    <d v="2017-09-08T08:20:18"/>
    <x v="3"/>
    <x v="2"/>
    <s v="caesar.olszewski@manulifesecurities.ca"/>
    <n v="844160"/>
    <s v="User Account"/>
    <n v="1"/>
    <s v="AtBelow"/>
    <s v="CC_WebService"/>
    <m/>
    <s v="MFC"/>
    <s v="IBMCA"/>
    <s v="ACTIVE ADVISORS AND ASSISTANTS"/>
    <n v="0"/>
    <n v="0"/>
  </r>
  <r>
    <s v="adiano.kitenge@manulifesecurities.ca"/>
    <s v="MFC"/>
    <x v="0"/>
    <n v="627566"/>
    <n v="3"/>
    <d v="2017-09-08T08:15:25"/>
    <x v="3"/>
    <x v="2"/>
    <s v="kelly.gray@manulifesecurities.ca"/>
    <n v="840602"/>
    <s v="User Account"/>
    <n v="1"/>
    <s v="AtBelow"/>
    <s v="CC_WebService"/>
    <m/>
    <s v="MFC"/>
    <s v="IBMCA"/>
    <s v="ACTIVE ADVISORS AND ASSISTANTS"/>
    <n v="0"/>
    <n v="0"/>
  </r>
  <r>
    <s v="adiano.kitenge@manulifesecurities.ca"/>
    <s v="MFC"/>
    <x v="0"/>
    <n v="627566"/>
    <n v="3"/>
    <d v="2017-09-08T08:15:11"/>
    <x v="0"/>
    <x v="3"/>
    <s v="kelly.gray@manulifesecurities.ca"/>
    <n v="840602"/>
    <s v="User Account"/>
    <n v="1"/>
    <s v="SelfBelow"/>
    <s v="CC_Portal"/>
    <s v="Enable"/>
    <s v="MFC"/>
    <s v="IBMCA"/>
    <s v="ACTIVE ADVISORS AND ASSISTANTS"/>
    <n v="0"/>
    <n v="0"/>
  </r>
  <r>
    <s v="alex_buena@manulifesecurities.ca"/>
    <s v="MFC"/>
    <x v="0"/>
    <n v="570025"/>
    <n v="3"/>
    <d v="2017-09-08T08:12:02"/>
    <x v="0"/>
    <x v="3"/>
    <s v="priya.aucharagram@manulifesecurities.ca"/>
    <n v="877289"/>
    <s v="User Account"/>
    <n v="1"/>
    <s v="AtBelow"/>
    <s v="CC_Portal"/>
    <s v="Disable"/>
    <s v="MFC"/>
    <s v="IBMCA"/>
    <s v="ACTIVE ADVISORS AND ASSISTANTS"/>
    <n v="0"/>
    <n v="0"/>
  </r>
  <r>
    <s v="alex_buena@manulifesecurities.ca"/>
    <s v="MFC"/>
    <x v="0"/>
    <n v="570025"/>
    <n v="3"/>
    <d v="2017-09-08T00:13:53"/>
    <x v="3"/>
    <x v="2"/>
    <s v="kelly.gray@manulifesecurities.ca"/>
    <n v="840602"/>
    <s v="User Account"/>
    <n v="1"/>
    <s v="AtBelow"/>
    <s v="CC_WebService"/>
    <m/>
    <s v="MFC"/>
    <s v="IBMCA"/>
    <s v="ACTIVE ADVISORS AND ASSISTANTS"/>
    <n v="0"/>
    <n v="0"/>
  </r>
  <r>
    <s v="alex_buena@manulifesecurities.ca"/>
    <s v="MFC"/>
    <x v="0"/>
    <n v="570025"/>
    <n v="3"/>
    <d v="2017-09-08T00:12:55"/>
    <x v="0"/>
    <x v="3"/>
    <s v="ana.culig@manulifesecurities.ca"/>
    <n v="842851"/>
    <s v="User Account"/>
    <n v="1"/>
    <s v="AtBelow"/>
    <s v="CC_Portal"/>
    <s v="Disable"/>
    <s v="MFC"/>
    <s v="IBMCA"/>
    <s v="DISABLED USERS"/>
    <n v="0"/>
    <n v="0"/>
  </r>
  <r>
    <s v="alex_buena@manulifesecurities.ca"/>
    <s v="MFC"/>
    <x v="0"/>
    <n v="570025"/>
    <n v="3"/>
    <d v="2017-09-08T00:06:55"/>
    <x v="0"/>
    <x v="3"/>
    <s v="ana.culig@manulifesecurities.ca"/>
    <n v="842851"/>
    <s v="User Account"/>
    <n v="1"/>
    <s v="AtBelow"/>
    <s v="CC_Portal"/>
    <s v="Enable"/>
    <s v="MFC"/>
    <s v="IBMCA"/>
    <s v="DISABLED USERS"/>
    <n v="0"/>
    <n v="0"/>
  </r>
  <r>
    <s v="crystal.parkinson@manulifesecurities.ca"/>
    <s v="MFC"/>
    <x v="0"/>
    <n v="637976"/>
    <n v="1"/>
    <d v="2017-09-07T21:34:50"/>
    <x v="1"/>
    <x v="1"/>
    <s v="crystal.parkinson@manulifesecurities.ca"/>
    <n v="637976"/>
    <s v="User Account"/>
    <n v="0"/>
    <s v="Deny"/>
    <s v="CC_Portal"/>
    <n v="0"/>
    <s v="MFC"/>
    <s v="IBMCA"/>
    <s v="ACTIVE ADVISORS AND ASSISTANTS"/>
    <n v="0"/>
    <n v="0"/>
  </r>
  <r>
    <s v="crystal.parkinson@manulifesecurities.ca"/>
    <s v="MFC"/>
    <x v="0"/>
    <n v="637976"/>
    <n v="1"/>
    <d v="2017-09-07T21:34:50"/>
    <x v="2"/>
    <x v="1"/>
    <s v="crystal.parkinson@manulifesecurities.ca"/>
    <n v="637976"/>
    <s v="User Account"/>
    <n v="0"/>
    <s v="Deny"/>
    <s v="CC_Portal"/>
    <n v="0"/>
    <s v="MFC"/>
    <s v="IBMCA"/>
    <s v="ACTIVE ADVISORS AND ASSISTANTS"/>
    <n v="0"/>
    <n v="0"/>
  </r>
  <r>
    <s v="ssotest@mfc.sps.local"/>
    <s v="MFC"/>
    <x v="0"/>
    <n v="551367"/>
    <n v="1000"/>
    <d v="2017-09-07T20:45:17"/>
    <x v="0"/>
    <x v="0"/>
    <s v="Kevin.Phillips@manulifesecurities.ca"/>
    <n v="553100"/>
    <s v="User Account"/>
    <n v="1"/>
    <s v="AtBelow"/>
    <s v="CC_Portal"/>
    <n v="0"/>
    <s v="MFC"/>
    <s v="IBMCA"/>
    <s v="ACTIVE ADVISORS AND ASSISTANTS"/>
    <n v="0"/>
    <n v="0"/>
  </r>
  <r>
    <s v="crystal.parkinson@manulifesecurities.ca"/>
    <s v="MFC"/>
    <x v="0"/>
    <n v="637976"/>
    <n v="1"/>
    <d v="2017-09-07T19:14:43"/>
    <x v="1"/>
    <x v="1"/>
    <s v="crystal.parkinson@manulifesecurities.ca"/>
    <n v="637976"/>
    <s v="User Account"/>
    <n v="0"/>
    <s v="Deny"/>
    <s v="CC_Portal"/>
    <n v="0"/>
    <s v="MFC"/>
    <s v="IBMCA"/>
    <s v="ACTIVE ADVISORS AND ASSISTANTS"/>
    <n v="0"/>
    <n v="0"/>
  </r>
  <r>
    <s v="crystal.parkinson@manulifesecurities.ca"/>
    <s v="MFC"/>
    <x v="0"/>
    <n v="637976"/>
    <n v="1"/>
    <d v="2017-09-07T19:14:43"/>
    <x v="2"/>
    <x v="1"/>
    <s v="crystal.parkinson@manulifesecurities.ca"/>
    <n v="637976"/>
    <s v="User Account"/>
    <n v="0"/>
    <s v="Deny"/>
    <s v="CC_Portal"/>
    <n v="0"/>
    <s v="MFC"/>
    <s v="IBMCA"/>
    <s v="ACTIVE ADVISORS AND ASSISTANTS"/>
    <n v="0"/>
    <n v="0"/>
  </r>
  <r>
    <s v="crystal.parkinson@manulifesecurities.ca"/>
    <s v="MFC"/>
    <x v="0"/>
    <n v="637976"/>
    <n v="1"/>
    <d v="2017-09-07T18:55:55"/>
    <x v="1"/>
    <x v="1"/>
    <s v="crystal.parkinson@manulifesecurities.ca"/>
    <n v="637976"/>
    <s v="User Account"/>
    <n v="0"/>
    <s v="Deny"/>
    <s v="CC_Portal"/>
    <n v="0"/>
    <s v="MFC"/>
    <s v="IBMCA"/>
    <s v="ACTIVE ADVISORS AND ASSISTANTS"/>
    <n v="0"/>
    <n v="0"/>
  </r>
  <r>
    <s v="crystal.parkinson@manulifesecurities.ca"/>
    <s v="MFC"/>
    <x v="0"/>
    <n v="637976"/>
    <n v="1"/>
    <d v="2017-09-07T18:55:55"/>
    <x v="2"/>
    <x v="1"/>
    <s v="crystal.parkinson@manulifesecurities.ca"/>
    <n v="637976"/>
    <s v="User Account"/>
    <n v="0"/>
    <s v="Deny"/>
    <s v="CC_Portal"/>
    <n v="0"/>
    <s v="MFC"/>
    <s v="IBMCA"/>
    <s v="ACTIVE ADVISORS AND ASSISTANTS"/>
    <n v="0"/>
    <n v="0"/>
  </r>
  <r>
    <s v="ssotest@mfc.sps.local"/>
    <s v="MFC"/>
    <x v="0"/>
    <n v="551367"/>
    <n v="1000"/>
    <d v="2017-09-07T17:37:12"/>
    <x v="0"/>
    <x v="0"/>
    <s v="Boon.Ang@manulifesecurities.ca"/>
    <n v="551955"/>
    <s v="User Account"/>
    <n v="1"/>
    <s v="AtBelow"/>
    <s v="CC_Portal"/>
    <n v="0"/>
    <s v="MFC"/>
    <s v="IBMCA"/>
    <s v="ACTIVE ADVISORS AND ASSISTANTS"/>
    <n v="0"/>
    <n v="0"/>
  </r>
  <r>
    <s v="ssotest@mfc.sps.local"/>
    <s v="MFC"/>
    <x v="0"/>
    <n v="551367"/>
    <n v="1000"/>
    <d v="2017-09-07T16:42:16"/>
    <x v="0"/>
    <x v="0"/>
    <s v="David.Denroche@manulifesecurities.ca"/>
    <n v="552274"/>
    <s v="User Account"/>
    <n v="1"/>
    <s v="AtBelow"/>
    <s v="CC_Portal"/>
    <n v="0"/>
    <s v="MFC"/>
    <s v="IBMCA"/>
    <s v="ACTIVE ADVISORS AND ASSISTANTS"/>
    <n v="0"/>
    <n v="0"/>
  </r>
  <r>
    <s v="jody.markovic@manulifesecurities.ca"/>
    <s v="MFC"/>
    <x v="0"/>
    <n v="560579"/>
    <n v="3"/>
    <d v="2017-09-07T16:41:34"/>
    <x v="3"/>
    <x v="2"/>
    <s v="spiroli@manulifesecurities.ca"/>
    <n v="554053"/>
    <s v="User Account"/>
    <n v="1"/>
    <s v="AtBelow"/>
    <s v="CC_WebService"/>
    <m/>
    <s v="MFC"/>
    <s v="IBMCA"/>
    <s v="ACTIVE ADVISORS AND ASSISTANTS"/>
    <n v="0"/>
    <n v="0"/>
  </r>
  <r>
    <s v="jody.markovic@manulifesecurities.ca"/>
    <s v="MFC"/>
    <x v="0"/>
    <n v="560579"/>
    <n v="3"/>
    <d v="2017-09-07T16:39:20"/>
    <x v="3"/>
    <x v="2"/>
    <s v="spiroli@manulifesecurities.ca"/>
    <n v="554053"/>
    <s v="User Account"/>
    <n v="1"/>
    <s v="AtBelow"/>
    <s v="CC_WebService"/>
    <m/>
    <s v="MFC"/>
    <s v="IBMCA"/>
    <s v="ACTIVE ADVISORS AND ASSISTANTS"/>
    <n v="0"/>
    <n v="0"/>
  </r>
  <r>
    <s v="jody.markovic@manulifesecurities.ca"/>
    <s v="MFC"/>
    <x v="0"/>
    <n v="560579"/>
    <n v="3"/>
    <d v="2017-09-07T16:39:09"/>
    <x v="3"/>
    <x v="2"/>
    <s v="spiroli@manulifesecurities.ca"/>
    <n v="554053"/>
    <s v="User Account"/>
    <n v="1"/>
    <s v="AtBelow"/>
    <s v="CC_WebService"/>
    <m/>
    <s v="MFC"/>
    <s v="IBMCA"/>
    <s v="ACTIVE ADVISORS AND ASSISTANTS"/>
    <n v="0"/>
    <n v="0"/>
  </r>
  <r>
    <s v="ssotest@mfc.sps.local"/>
    <s v="MFC"/>
    <x v="0"/>
    <n v="551367"/>
    <n v="1000"/>
    <d v="2017-09-07T16:24:52"/>
    <x v="0"/>
    <x v="0"/>
    <s v="Kathleen.Woychesko@manulifesecurities.ca"/>
    <n v="553025"/>
    <s v="User Account"/>
    <n v="1"/>
    <s v="AtBelow"/>
    <s v="CC_Portal"/>
    <n v="0"/>
    <s v="MFC"/>
    <s v="IBMCA"/>
    <s v="ACTIVE ADVISORS AND ASSISTANTS"/>
    <n v="0"/>
    <n v="0"/>
  </r>
  <r>
    <s v="adiano.kitenge@manulifesecurities.ca"/>
    <s v="MFC"/>
    <x v="0"/>
    <n v="627566"/>
    <n v="3"/>
    <d v="2017-09-07T16:22:37"/>
    <x v="3"/>
    <x v="2"/>
    <s v="kelly.gray@manulifesecurities.ca"/>
    <n v="840602"/>
    <s v="User Account"/>
    <n v="1"/>
    <s v="AtBelow"/>
    <s v="CC_WebService"/>
    <m/>
    <s v="MFC"/>
    <s v="IBMCA"/>
    <s v="ACTIVE ADVISORS AND ASSISTANTS"/>
    <n v="0"/>
    <n v="0"/>
  </r>
  <r>
    <s v="adiano.kitenge@manulifesecurities.ca"/>
    <s v="MFC"/>
    <x v="0"/>
    <n v="627566"/>
    <n v="3"/>
    <d v="2017-09-07T16:22:13"/>
    <x v="0"/>
    <x v="3"/>
    <s v="kelly.gray@manulifesecurities.ca"/>
    <n v="840602"/>
    <s v="User Account"/>
    <n v="1"/>
    <s v="SelfBelow"/>
    <s v="CC_Portal"/>
    <s v="Enable"/>
    <s v="MFC"/>
    <s v="IBMCA"/>
    <s v="ACTIVE ADVISORS AND ASSISTANTS"/>
    <n v="0"/>
    <n v="0"/>
  </r>
  <r>
    <s v="ssotest@mfc.sps.local"/>
    <s v="MFC"/>
    <x v="0"/>
    <n v="551367"/>
    <n v="1000"/>
    <d v="2017-09-07T16:19:34"/>
    <x v="0"/>
    <x v="0"/>
    <s v="Reg.Hildebrand@manulifesecurities.ca"/>
    <n v="551688"/>
    <s v="User Account"/>
    <n v="1"/>
    <s v="AtBelow"/>
    <s v="CC_Portal"/>
    <n v="0"/>
    <s v="MFC"/>
    <s v="IBMCA"/>
    <s v="ACTIVE ADVISORS AND ASSISTANTS"/>
    <n v="0"/>
    <n v="0"/>
  </r>
  <r>
    <s v="ssotest@mfc.sps.local"/>
    <s v="MFC"/>
    <x v="0"/>
    <n v="551367"/>
    <n v="1000"/>
    <d v="2017-09-07T15:59:44"/>
    <x v="0"/>
    <x v="0"/>
    <s v="Niazi.Kumbarji@manulifesecurities.ca"/>
    <n v="553598"/>
    <s v="User Account"/>
    <n v="1"/>
    <s v="AtBelow"/>
    <s v="CC_Portal"/>
    <n v="0"/>
    <s v="MFC"/>
    <s v="IBMCA"/>
    <s v="ACTIVE ADVISORS AND ASSISTANTS"/>
    <n v="0"/>
    <n v="0"/>
  </r>
  <r>
    <s v="ssotest@mfc.sps.local"/>
    <s v="MFC"/>
    <x v="0"/>
    <n v="551367"/>
    <n v="1000"/>
    <d v="2017-09-07T15:50:30"/>
    <x v="0"/>
    <x v="0"/>
    <s v="spiroli@manulifesecurities.ca"/>
    <n v="554053"/>
    <s v="User Account"/>
    <n v="1"/>
    <s v="AtBelow"/>
    <s v="CC_Portal"/>
    <n v="0"/>
    <s v="MFC"/>
    <s v="IBMCA"/>
    <s v="ACTIVE ADVISORS AND ASSISTANTS"/>
    <n v="0"/>
    <n v="0"/>
  </r>
  <r>
    <s v="ssotest@mfc.sps.local"/>
    <s v="MFC"/>
    <x v="0"/>
    <n v="551367"/>
    <n v="1000"/>
    <d v="2017-09-07T15:40:37"/>
    <x v="0"/>
    <x v="0"/>
    <s v="Mary.Hinchey@manulifesecurities.ca"/>
    <n v="553402"/>
    <s v="User Account"/>
    <n v="1"/>
    <s v="AtBelow"/>
    <s v="CC_Portal"/>
    <n v="0"/>
    <s v="MFC"/>
    <s v="IBMCA"/>
    <s v="ACTIVE ADVISORS AND ASSISTANTS"/>
    <n v="0"/>
    <n v="0"/>
  </r>
  <r>
    <s v="ssotest@mfc.sps.local"/>
    <s v="MFC"/>
    <x v="0"/>
    <n v="551367"/>
    <n v="1000"/>
    <d v="2017-09-07T15:27:11"/>
    <x v="0"/>
    <x v="0"/>
    <s v="Myles.Connaughton@manulifesecurities.ca"/>
    <n v="553565"/>
    <s v="User Account"/>
    <n v="1"/>
    <s v="AtBelow"/>
    <s v="CC_Portal"/>
    <n v="0"/>
    <s v="MFC"/>
    <s v="IBMCA"/>
    <s v="ACTIVE ADVISORS AND ASSISTANTS"/>
    <n v="0"/>
    <n v="0"/>
  </r>
  <r>
    <s v="crystal.parkinson@manulifesecurities.ca"/>
    <s v="MFC"/>
    <x v="0"/>
    <n v="637976"/>
    <n v="1"/>
    <d v="2017-09-07T15:08:57"/>
    <x v="1"/>
    <x v="1"/>
    <s v="crystal.parkinson@manulifesecurities.ca"/>
    <n v="637976"/>
    <s v="User Account"/>
    <n v="0"/>
    <s v="Deny"/>
    <s v="CC_Portal"/>
    <n v="0"/>
    <s v="MFC"/>
    <s v="IBMCA"/>
    <s v="ACTIVE ADVISORS AND ASSISTANTS"/>
    <n v="0"/>
    <n v="0"/>
  </r>
  <r>
    <s v="crystal.parkinson@manulifesecurities.ca"/>
    <s v="MFC"/>
    <x v="0"/>
    <n v="637976"/>
    <n v="1"/>
    <d v="2017-09-07T15:08:57"/>
    <x v="2"/>
    <x v="1"/>
    <s v="crystal.parkinson@manulifesecurities.ca"/>
    <n v="637976"/>
    <s v="User Account"/>
    <n v="0"/>
    <s v="Deny"/>
    <s v="CC_Portal"/>
    <n v="0"/>
    <s v="MFC"/>
    <s v="IBMCA"/>
    <s v="ACTIVE ADVISORS AND ASSISTANTS"/>
    <n v="0"/>
    <n v="0"/>
  </r>
  <r>
    <s v="ssotest@mfc.sps.local"/>
    <s v="MFC"/>
    <x v="0"/>
    <n v="551367"/>
    <n v="1000"/>
    <d v="2017-09-07T14:39:20"/>
    <x v="0"/>
    <x v="0"/>
    <s v="Kelly.Rhodes@manulifesecurities.ca"/>
    <n v="553055"/>
    <s v="User Account"/>
    <n v="1"/>
    <s v="AtBelow"/>
    <s v="CC_Portal"/>
    <n v="0"/>
    <s v="MFC"/>
    <s v="IBMCA"/>
    <s v="ACTIVE ADVISORS AND ASSISTANTS"/>
    <n v="0"/>
    <n v="0"/>
  </r>
  <r>
    <s v="michel.cormier@manulifesecurities.ca"/>
    <s v="MFC"/>
    <x v="0"/>
    <n v="560366"/>
    <n v="3"/>
    <d v="2017-09-07T14:16:08"/>
    <x v="3"/>
    <x v="2"/>
    <s v="kelly.gray@manulifesecurities.ca"/>
    <n v="840602"/>
    <s v="User Account"/>
    <n v="1"/>
    <s v="AtBelow"/>
    <s v="CC_WebService"/>
    <m/>
    <s v="MFC"/>
    <s v="IBMCA"/>
    <s v="ACTIVE ADVISORS AND ASSISTANTS"/>
    <n v="0"/>
    <n v="0"/>
  </r>
  <r>
    <s v="ssotest@mfc.sps.local"/>
    <s v="MFC"/>
    <x v="0"/>
    <n v="551367"/>
    <n v="1000"/>
    <d v="2017-09-07T13:52:48"/>
    <x v="0"/>
    <x v="0"/>
    <s v="Robert.Adams@manulifesecurities.ca"/>
    <n v="553804"/>
    <s v="User Account"/>
    <n v="1"/>
    <s v="AtBelow"/>
    <s v="CC_Portal"/>
    <n v="0"/>
    <s v="MFC"/>
    <s v="IBMCA"/>
    <s v="ACTIVE ADVISORS AND ASSISTANTS"/>
    <n v="0"/>
    <n v="0"/>
  </r>
  <r>
    <s v="alex_buena@manulifesecurities.ca"/>
    <s v="MFC"/>
    <x v="0"/>
    <n v="570025"/>
    <n v="3"/>
    <d v="2017-09-07T13:31:00"/>
    <x v="0"/>
    <x v="5"/>
    <s v="brigitte.bittner@manulifesecurities.ca"/>
    <n v="907579"/>
    <s v="User Account"/>
    <n v="1"/>
    <s v="AtBelow"/>
    <s v="CC_Portal"/>
    <n v="0"/>
    <s v="MFC"/>
    <s v="IBMCA"/>
    <s v="ACTIVE ADVISORS AND ASSISTANTS"/>
    <n v="0"/>
    <n v="0"/>
  </r>
  <r>
    <s v="alex_buena@manulifesecurities.ca"/>
    <s v="MFC"/>
    <x v="0"/>
    <n v="570025"/>
    <n v="3"/>
    <d v="2017-09-07T13:30:59"/>
    <x v="0"/>
    <x v="5"/>
    <s v="brigitte.bittner@manulifesecurities.ca"/>
    <n v="907579"/>
    <s v="User Account"/>
    <n v="1"/>
    <s v="AtBelow"/>
    <s v="CC_Portal"/>
    <n v="0"/>
    <s v="MFC"/>
    <s v="IBMCA"/>
    <s v="ACTIVE ADVISORS AND ASSISTANTS"/>
    <n v="0"/>
    <n v="0"/>
  </r>
  <r>
    <s v="alex_buena@manulifesecurities.ca"/>
    <s v="MFC"/>
    <x v="0"/>
    <n v="570025"/>
    <n v="3"/>
    <d v="2017-09-07T13:30:53"/>
    <x v="0"/>
    <x v="5"/>
    <s v="brigitte.bittner@manulifesecurities.ca"/>
    <n v="907579"/>
    <s v="User Account"/>
    <n v="1"/>
    <s v="AtBelow"/>
    <s v="CC_Portal"/>
    <n v="0"/>
    <s v="MFC"/>
    <s v="IBMCA"/>
    <s v="ACTIVE ADVISORS AND ASSISTANTS"/>
    <n v="0"/>
    <n v="0"/>
  </r>
  <r>
    <s v="alex_buena@manulifesecurities.ca"/>
    <s v="MFC"/>
    <x v="0"/>
    <n v="570025"/>
    <n v="3"/>
    <d v="2017-09-07T13:30:52"/>
    <x v="5"/>
    <x v="6"/>
    <s v="MSI_autoEmailArchive@manulifesecurities.ca"/>
    <n v="561482"/>
    <s v="Distribution List"/>
    <n v="1"/>
    <s v="Any"/>
    <s v="CC_Portal"/>
    <s v="6e866e0c029541678db6354627e68483"/>
    <s v="MFC"/>
    <s v="IBMCA"/>
    <s v="ALL GROUPS"/>
    <n v="0"/>
    <n v="0"/>
  </r>
  <r>
    <s v="alex_buena@manulifesecurities.ca"/>
    <s v="MFC"/>
    <x v="0"/>
    <n v="570025"/>
    <n v="3"/>
    <d v="2017-09-07T13:30:51"/>
    <x v="5"/>
    <x v="6"/>
    <s v="AllAdvisors@manulifesecurities.ca"/>
    <n v="555659"/>
    <s v="Distribution List"/>
    <n v="1"/>
    <s v="Any"/>
    <s v="CC_Portal"/>
    <s v="6e866e0c029541678db6354627e68483"/>
    <s v="MFC"/>
    <s v="IBMCA"/>
    <s v="ALL GROUPS"/>
    <n v="0"/>
    <n v="0"/>
  </r>
  <r>
    <s v="alex_buena@manulifesecurities.ca"/>
    <s v="MFC"/>
    <x v="0"/>
    <n v="570025"/>
    <n v="3"/>
    <d v="2017-09-07T13:30:50"/>
    <x v="0"/>
    <x v="5"/>
    <s v="brigitte.bittner@manulifesecurities.ca"/>
    <n v="907579"/>
    <s v="User Account"/>
    <n v="1"/>
    <s v="AtBelow"/>
    <s v="CC_Portal"/>
    <n v="0"/>
    <s v="MFC"/>
    <s v="IBMCA"/>
    <s v="ACTIVE ADVISORS AND ASSISTANTS"/>
    <n v="0"/>
    <n v="0"/>
  </r>
  <r>
    <s v="alex_buena@manulifesecurities.ca"/>
    <s v="MFC"/>
    <x v="0"/>
    <n v="570025"/>
    <n v="3"/>
    <d v="2017-09-07T13:30:05"/>
    <x v="0"/>
    <x v="5"/>
    <s v="brigitte.bittner@manulifesecurities.ca"/>
    <n v="907579"/>
    <s v="User Account"/>
    <n v="1"/>
    <s v="AtBelow"/>
    <s v="CC_Portal"/>
    <n v="0"/>
    <s v="MFC"/>
    <s v="IBMCA"/>
    <s v="ACTIVE ADVISORS AND ASSISTANTS"/>
    <n v="0"/>
    <n v="0"/>
  </r>
  <r>
    <s v="priscilla.misir@manulifesecurities.ca"/>
    <s v="MFC"/>
    <x v="0"/>
    <n v="674396"/>
    <n v="3"/>
    <d v="2017-09-07T13:28:28"/>
    <x v="5"/>
    <x v="6"/>
    <s v="MSI_autoSupervision@manulifesecurities.ca"/>
    <n v="561483"/>
    <s v="Distribution List"/>
    <n v="1"/>
    <s v="Any"/>
    <s v="CC_Portal"/>
    <s v="82b99168844942d48e54771e2dda4b00"/>
    <s v="MFC"/>
    <s v="IBMCA"/>
    <s v="ALL GROUPS"/>
    <n v="0"/>
    <n v="0"/>
  </r>
  <r>
    <s v="priscilla.misir@manulifesecurities.ca"/>
    <s v="MFC"/>
    <x v="0"/>
    <n v="674396"/>
    <n v="3"/>
    <d v="2017-09-07T13:28:28"/>
    <x v="0"/>
    <x v="5"/>
    <s v="brenda.vahey@manulifesecurities.ca"/>
    <n v="907578"/>
    <s v="User Account"/>
    <n v="1"/>
    <s v="AtBelow"/>
    <s v="CC_Portal"/>
    <n v="0"/>
    <s v="MFC"/>
    <s v="IBMCA"/>
    <s v="ACTIVE ADVISORS AND ASSISTANTS"/>
    <n v="0"/>
    <n v="0"/>
  </r>
  <r>
    <s v="priscilla.misir@manulifesecurities.ca"/>
    <s v="MFC"/>
    <x v="0"/>
    <n v="674396"/>
    <n v="3"/>
    <d v="2017-09-07T13:28:27"/>
    <x v="5"/>
    <x v="6"/>
    <s v="MSI_autoEmailArchive@manulifesecurities.ca"/>
    <n v="561482"/>
    <s v="Distribution List"/>
    <n v="1"/>
    <s v="Any"/>
    <s v="CC_Portal"/>
    <s v="82b99168844942d48e54771e2dda4b00"/>
    <s v="MFC"/>
    <s v="IBMCA"/>
    <s v="ALL GROUPS"/>
    <n v="0"/>
    <n v="0"/>
  </r>
  <r>
    <s v="priscilla.misir@manulifesecurities.ca"/>
    <s v="MFC"/>
    <x v="0"/>
    <n v="674396"/>
    <n v="3"/>
    <d v="2017-09-07T13:28:24"/>
    <x v="5"/>
    <x v="6"/>
    <s v="AllAssistants@manulifesecurities.ca"/>
    <n v="555660"/>
    <s v="Distribution List"/>
    <n v="1"/>
    <s v="Any"/>
    <s v="CC_Portal"/>
    <s v="82b99168844942d48e54771e2dda4b00"/>
    <s v="MFC"/>
    <s v="IBMCA"/>
    <s v="ALL GROUPS"/>
    <n v="0"/>
    <n v="0"/>
  </r>
  <r>
    <s v="priscilla.misir@manulifesecurities.ca"/>
    <s v="MFC"/>
    <x v="0"/>
    <n v="674396"/>
    <n v="3"/>
    <d v="2017-09-07T13:28:20"/>
    <x v="0"/>
    <x v="5"/>
    <s v="brenda.vahey@manulifesecurities.ca"/>
    <n v="907578"/>
    <s v="User Account"/>
    <n v="1"/>
    <s v="AtBelow"/>
    <s v="CC_Portal"/>
    <n v="0"/>
    <s v="MFC"/>
    <s v="IBMCA"/>
    <s v="ACTIVE ADVISORS AND ASSISTANTS"/>
    <n v="0"/>
    <n v="0"/>
  </r>
  <r>
    <s v="alex_buena@manulifesecurities.ca"/>
    <s v="MFC"/>
    <x v="0"/>
    <n v="570025"/>
    <n v="3"/>
    <d v="2017-09-07T13:28:13"/>
    <x v="5"/>
    <x v="7"/>
    <s v="brigitte.bittner@manulifesecurities.ca"/>
    <n v="907579"/>
    <s v="User Account"/>
    <n v="1"/>
    <s v="AtBelow"/>
    <s v="CC_Portal"/>
    <s v="PrimaryEmail=brigitte.bittner@manulifesecurities.ca"/>
    <s v="MFC"/>
    <s v="IBMCA"/>
    <s v="ACTIVE ADVISORS AND ASSISTANTS"/>
    <n v="0"/>
    <n v="0"/>
  </r>
  <r>
    <s v="priscilla.misir@manulifesecurities.ca"/>
    <s v="MFC"/>
    <x v="0"/>
    <n v="674396"/>
    <n v="3"/>
    <d v="2017-09-07T13:28:04"/>
    <x v="0"/>
    <x v="5"/>
    <s v="brenda.vahey@manulifesecurities.ca"/>
    <n v="907578"/>
    <s v="User Account"/>
    <n v="1"/>
    <s v="AtBelow"/>
    <s v="CC_Portal"/>
    <n v="0"/>
    <s v="MFC"/>
    <s v="IBMCA"/>
    <s v="ACTIVE ADVISORS AND ASSISTANTS"/>
    <n v="0"/>
    <n v="0"/>
  </r>
  <r>
    <s v="priscilla.misir@manulifesecurities.ca"/>
    <s v="MFC"/>
    <x v="0"/>
    <n v="674396"/>
    <n v="3"/>
    <d v="2017-09-07T13:25:47"/>
    <x v="5"/>
    <x v="7"/>
    <s v="brenda.vahey@manulifesecurities.ca"/>
    <n v="907578"/>
    <s v="User Account"/>
    <n v="1"/>
    <s v="AtBelow"/>
    <s v="CC_Portal"/>
    <s v="PrimaryEmail=brenda.vahey@manulifesecurities.ca"/>
    <s v="MFC"/>
    <s v="IBMCA"/>
    <s v="ACTIVE ADVISORS AND ASSISTANTS"/>
    <n v="0"/>
    <n v="0"/>
  </r>
  <r>
    <s v="ssotest@mfc.sps.local"/>
    <s v="MFC"/>
    <x v="0"/>
    <n v="551367"/>
    <n v="1000"/>
    <d v="2017-09-07T13:14:46"/>
    <x v="0"/>
    <x v="0"/>
    <s v="Beth.Bauman@manulifesecurities.ca"/>
    <n v="551918"/>
    <s v="User Account"/>
    <n v="1"/>
    <s v="AtBelow"/>
    <s v="CC_Portal"/>
    <n v="0"/>
    <s v="MFC"/>
    <s v="IBMCA"/>
    <s v="ACTIVE ADVISORS AND ASSISTANTS"/>
    <n v="0"/>
    <n v="0"/>
  </r>
  <r>
    <s v="ssotest@mfc.sps.local"/>
    <s v="MFC"/>
    <x v="0"/>
    <n v="551367"/>
    <n v="1000"/>
    <d v="2017-09-07T13:07:34"/>
    <x v="0"/>
    <x v="0"/>
    <s v="Warren.Bauman@manulifesecurities.ca"/>
    <n v="554286"/>
    <s v="User Account"/>
    <n v="1"/>
    <s v="AtBelow"/>
    <s v="CC_Portal"/>
    <n v="0"/>
    <s v="MFC"/>
    <s v="IBMCA"/>
    <s v="ACTIVE ADVISORS AND ASSISTANTS"/>
    <n v="0"/>
    <n v="0"/>
  </r>
  <r>
    <s v="ssotest@mfc.sps.local"/>
    <s v="MFC"/>
    <x v="0"/>
    <n v="551367"/>
    <n v="1000"/>
    <d v="2017-09-07T13:04:50"/>
    <x v="0"/>
    <x v="0"/>
    <s v="Timothy.Bauman@manulifesecurities.ca"/>
    <n v="554189"/>
    <s v="User Account"/>
    <n v="1"/>
    <s v="AtBelow"/>
    <s v="CC_Portal"/>
    <n v="0"/>
    <s v="MFC"/>
    <s v="IBMCA"/>
    <s v="ACTIVE ADVISORS AND ASSISTANTS"/>
    <n v="0"/>
    <n v="0"/>
  </r>
  <r>
    <s v="adiano.kitenge@manulifesecurities.ca"/>
    <s v="MFC"/>
    <x v="0"/>
    <n v="627566"/>
    <n v="3"/>
    <d v="2017-09-07T13:03:22"/>
    <x v="0"/>
    <x v="3"/>
    <s v="Michelle.Hedley@manulifesecurities.ca"/>
    <n v="553525"/>
    <s v="User Account"/>
    <n v="1"/>
    <s v="SelfBelow"/>
    <s v="CC_Portal"/>
    <s v="Enable"/>
    <s v="MFC"/>
    <s v="IBMCA"/>
    <s v="ACTIVE ADVISORS AND ASSISTANTS"/>
    <n v="0"/>
    <n v="0"/>
  </r>
  <r>
    <s v="ssotest@mfc.sps.local"/>
    <s v="MFC"/>
    <x v="0"/>
    <n v="551367"/>
    <n v="1000"/>
    <d v="2017-09-07T12:54:29"/>
    <x v="0"/>
    <x v="0"/>
    <s v="Katelyn.Bauman@manulifesecurities.ca"/>
    <n v="553016"/>
    <s v="User Account"/>
    <n v="1"/>
    <s v="AtBelow"/>
    <s v="CC_Portal"/>
    <n v="0"/>
    <s v="MFC"/>
    <s v="IBMCA"/>
    <s v="ACTIVE ADVISORS AND ASSISTANTS"/>
    <n v="0"/>
    <n v="0"/>
  </r>
  <r>
    <s v="priscilla.misir@manulifesecurities.ca"/>
    <s v="MFC"/>
    <x v="0"/>
    <n v="674396"/>
    <n v="3"/>
    <d v="2017-09-07T12:51:56"/>
    <x v="0"/>
    <x v="3"/>
    <s v="natalya.dolph@manulifesecurities.ca"/>
    <n v="857256"/>
    <s v="User Account"/>
    <n v="1"/>
    <s v="AtBelow"/>
    <s v="CC_Portal"/>
    <s v="Disable"/>
    <s v="MFC"/>
    <s v="IBMCA"/>
    <s v="ACTIVE ADVISORS AND ASSISTANTS"/>
    <n v="0"/>
    <n v="0"/>
  </r>
  <r>
    <s v="priscilla.misir@manulifesecurities.ca"/>
    <s v="MFC"/>
    <x v="0"/>
    <n v="674396"/>
    <n v="3"/>
    <d v="2017-09-07T12:50:43"/>
    <x v="0"/>
    <x v="3"/>
    <s v="natalya.dolph@manulifesecurities.ca"/>
    <n v="857256"/>
    <s v="User Account"/>
    <n v="1"/>
    <s v="AtBelow"/>
    <s v="CC_Portal"/>
    <s v="Disable"/>
    <s v="MFC"/>
    <s v="IBMCA"/>
    <s v="ACTIVE ADVISORS AND ASSISTANTS"/>
    <n v="0"/>
    <n v="0"/>
  </r>
  <r>
    <s v="ssotest@mfc.sps.local"/>
    <s v="MFC"/>
    <x v="0"/>
    <n v="551367"/>
    <n v="1000"/>
    <d v="2017-09-07T12:38:40"/>
    <x v="0"/>
    <x v="0"/>
    <s v="Albert.Assaf@manulifesecurities.ca"/>
    <n v="551742"/>
    <s v="User Account"/>
    <n v="1"/>
    <s v="AtBelow"/>
    <s v="CC_Portal"/>
    <n v="0"/>
    <s v="MFC"/>
    <s v="IBMCA"/>
    <s v="ACTIVE ADVISORS AND ASSISTANTS"/>
    <n v="0"/>
    <n v="0"/>
  </r>
  <r>
    <s v="ssotest@mfc.sps.local"/>
    <s v="MFC"/>
    <x v="0"/>
    <n v="551367"/>
    <n v="1000"/>
    <d v="2017-09-07T12:33:09"/>
    <x v="0"/>
    <x v="0"/>
    <s v="Mauro.Toscani@manulifesecurities.ca"/>
    <n v="553438"/>
    <s v="User Account"/>
    <n v="1"/>
    <s v="AtBelow"/>
    <s v="CC_Portal"/>
    <n v="0"/>
    <s v="MFC"/>
    <s v="IBMCA"/>
    <s v="ACTIVE ADVISORS AND ASSISTANTS"/>
    <n v="0"/>
    <n v="0"/>
  </r>
  <r>
    <s v="ssotest@mfc.sps.local"/>
    <s v="MFC"/>
    <x v="0"/>
    <n v="551367"/>
    <n v="1000"/>
    <d v="2017-09-07T12:32:48"/>
    <x v="0"/>
    <x v="0"/>
    <s v="Norman.Wong@manulifesecurities.ca"/>
    <n v="553624"/>
    <s v="User Account"/>
    <n v="1"/>
    <s v="AtBelow"/>
    <s v="CC_Portal"/>
    <n v="0"/>
    <s v="MFC"/>
    <s v="IBMCA"/>
    <s v="ACTIVE ADVISORS AND ASSISTANTS"/>
    <n v="0"/>
    <n v="0"/>
  </r>
  <r>
    <s v="ssotest@mfc.sps.local"/>
    <s v="MFC"/>
    <x v="0"/>
    <n v="551367"/>
    <n v="1000"/>
    <d v="2017-09-07T12:30:53"/>
    <x v="0"/>
    <x v="0"/>
    <s v="t.mucin@manulifesecurities.ca"/>
    <n v="823304"/>
    <s v="User Account"/>
    <n v="1"/>
    <s v="AtBelow"/>
    <s v="CC_Portal"/>
    <n v="0"/>
    <s v="MFC"/>
    <s v="IBMCA"/>
    <s v="ACTIVE ADVISORS AND ASSISTANTS"/>
    <n v="0"/>
    <n v="0"/>
  </r>
  <r>
    <s v="ssotest@mfc.sps.local"/>
    <s v="MFC"/>
    <x v="0"/>
    <n v="551367"/>
    <n v="1000"/>
    <d v="2017-09-07T12:30:23"/>
    <x v="0"/>
    <x v="0"/>
    <s v="Julie.McKinnon@manulifesecurities.ca"/>
    <n v="552981"/>
    <s v="User Account"/>
    <n v="1"/>
    <s v="AtBelow"/>
    <s v="CC_Portal"/>
    <n v="0"/>
    <s v="MFC"/>
    <s v="IBMCA"/>
    <s v="ACTIVE ADVISORS AND ASSISTANTS"/>
    <n v="0"/>
    <n v="0"/>
  </r>
  <r>
    <s v="ssotest@mfc.sps.local"/>
    <s v="MFC"/>
    <x v="0"/>
    <n v="551367"/>
    <n v="1000"/>
    <d v="2017-09-07T11:59:38"/>
    <x v="0"/>
    <x v="0"/>
    <s v="Gloria.Garand@manulifesecurities.ca"/>
    <n v="552606"/>
    <s v="User Account"/>
    <n v="1"/>
    <s v="AtBelow"/>
    <s v="CC_Portal"/>
    <n v="0"/>
    <s v="MFC"/>
    <s v="IBMCA"/>
    <s v="ACTIVE ADVISORS AND ASSISTANTS"/>
    <n v="0"/>
    <n v="0"/>
  </r>
  <r>
    <s v="ssotest@mfc.sps.local"/>
    <s v="MFC"/>
    <x v="0"/>
    <n v="551367"/>
    <n v="1000"/>
    <d v="2017-09-07T11:57:07"/>
    <x v="0"/>
    <x v="0"/>
    <s v="Barb.Reich-Sander@manulifesecurities.ca"/>
    <n v="551884"/>
    <s v="User Account"/>
    <n v="1"/>
    <s v="AtBelow"/>
    <s v="CC_Portal"/>
    <n v="0"/>
    <s v="MFC"/>
    <s v="IBMCA"/>
    <s v="ACTIVE ADVISORS AND ASSISTANTS"/>
    <n v="0"/>
    <n v="0"/>
  </r>
  <r>
    <s v="ssotest@mfc.sps.local"/>
    <s v="MFC"/>
    <x v="0"/>
    <n v="551367"/>
    <n v="1000"/>
    <d v="2017-09-07T11:56:17"/>
    <x v="0"/>
    <x v="0"/>
    <s v="Robert.Morton@manulifesecurities.ca"/>
    <n v="553831"/>
    <s v="User Account"/>
    <n v="1"/>
    <s v="AtBelow"/>
    <s v="CC_Portal"/>
    <n v="0"/>
    <s v="MFC"/>
    <s v="IBMCA"/>
    <s v="ACTIVE ADVISORS AND ASSISTANTS"/>
    <n v="0"/>
    <n v="0"/>
  </r>
  <r>
    <s v="patrick.harkins@manulifesecurities.ca"/>
    <s v="MFC"/>
    <x v="0"/>
    <n v="560864"/>
    <n v="3"/>
    <d v="2017-09-07T11:55:31"/>
    <x v="3"/>
    <x v="2"/>
    <s v="Greg.MacPherson@manulifesecurities.ca"/>
    <n v="551683"/>
    <s v="User Account"/>
    <n v="1"/>
    <s v="AtBelow"/>
    <s v="CC_WebService"/>
    <m/>
    <s v="MFC"/>
    <s v="IBMCA"/>
    <s v="ACTIVE ADVISORS AND ASSISTANTS"/>
    <n v="0"/>
    <n v="0"/>
  </r>
  <r>
    <s v="patrick.harkins@manulifesecurities.ca"/>
    <s v="MFC"/>
    <x v="0"/>
    <n v="560864"/>
    <n v="3"/>
    <d v="2017-09-07T11:55:23"/>
    <x v="3"/>
    <x v="2"/>
    <s v="Greg.MacPherson@manulifesecurities.ca"/>
    <n v="551683"/>
    <s v="User Account"/>
    <n v="1"/>
    <s v="AtBelow"/>
    <s v="CC_WebService"/>
    <m/>
    <s v="MFC"/>
    <s v="IBMCA"/>
    <s v="ACTIVE ADVISORS AND ASSISTANTS"/>
    <n v="0"/>
    <n v="0"/>
  </r>
  <r>
    <s v="ssotest@mfc.sps.local"/>
    <s v="MFC"/>
    <x v="0"/>
    <n v="551367"/>
    <n v="1000"/>
    <d v="2017-09-07T11:30:42"/>
    <x v="0"/>
    <x v="0"/>
    <s v="Stuart.Hoffman@manulifesecurities.ca"/>
    <n v="554078"/>
    <s v="User Account"/>
    <n v="1"/>
    <s v="AtBelow"/>
    <s v="CC_Portal"/>
    <n v="0"/>
    <s v="MFC"/>
    <s v="IBMCA"/>
    <s v="ACTIVE ADVISORS AND ASSISTANTS"/>
    <n v="0"/>
    <n v="0"/>
  </r>
  <r>
    <s v="ssotest@mfc.sps.local"/>
    <s v="MFC"/>
    <x v="0"/>
    <n v="551367"/>
    <n v="1000"/>
    <d v="2017-09-07T11:29:28"/>
    <x v="0"/>
    <x v="0"/>
    <s v="Walter.Artuso@manulifesecurities.ca"/>
    <n v="554279"/>
    <s v="User Account"/>
    <n v="1"/>
    <s v="AtBelow"/>
    <s v="CC_Portal"/>
    <n v="0"/>
    <s v="MFC"/>
    <s v="IBMCA"/>
    <s v="ACTIVE ADVISORS AND ASSISTANTS"/>
    <n v="0"/>
    <n v="0"/>
  </r>
  <r>
    <s v="ssotest@mfc.sps.local"/>
    <s v="MFC"/>
    <x v="0"/>
    <n v="551367"/>
    <n v="1000"/>
    <d v="2017-09-07T11:18:16"/>
    <x v="0"/>
    <x v="0"/>
    <s v="jon.beckman@manulifesecurities.ca"/>
    <n v="837434"/>
    <s v="User Account"/>
    <n v="1"/>
    <s v="AtBelow"/>
    <s v="CC_Portal"/>
    <n v="0"/>
    <s v="MFC"/>
    <s v="IBMCA"/>
    <s v="ACTIVE ADVISORS AND ASSISTANTS"/>
    <n v="0"/>
    <n v="0"/>
  </r>
  <r>
    <s v="adiano.kitenge@manulifesecurities.ca"/>
    <s v="MFC"/>
    <x v="0"/>
    <n v="627566"/>
    <n v="3"/>
    <d v="2017-09-07T11:07:03"/>
    <x v="3"/>
    <x v="2"/>
    <s v="kelly.gray@manulifesecurities.ca"/>
    <n v="840602"/>
    <s v="User Account"/>
    <n v="1"/>
    <s v="AtBelow"/>
    <s v="CC_WebService"/>
    <m/>
    <s v="MFC"/>
    <s v="IBMCA"/>
    <s v="ACTIVE ADVISORS AND ASSISTANTS"/>
    <n v="0"/>
    <n v="0"/>
  </r>
  <r>
    <s v="ssotest@mfc.sps.local"/>
    <s v="MFC"/>
    <x v="0"/>
    <n v="551367"/>
    <n v="1000"/>
    <d v="2017-09-07T10:51:40"/>
    <x v="0"/>
    <x v="0"/>
    <s v="Tracey.Ciulini@manulifesecurities.ca"/>
    <n v="554210"/>
    <s v="User Account"/>
    <n v="1"/>
    <s v="AtBelow"/>
    <s v="CC_Portal"/>
    <n v="0"/>
    <s v="MFC"/>
    <s v="IBMCA"/>
    <s v="ACTIVE ADVISORS AND ASSISTANTS"/>
    <n v="0"/>
    <n v="0"/>
  </r>
  <r>
    <s v="ssotest@mfc.sps.local"/>
    <s v="MFC"/>
    <x v="0"/>
    <n v="551367"/>
    <n v="1000"/>
    <d v="2017-09-07T10:49:49"/>
    <x v="0"/>
    <x v="0"/>
    <s v="Samuel.Briere@manulifesecurities.ca"/>
    <n v="553915"/>
    <s v="User Account"/>
    <n v="1"/>
    <s v="AtBelow"/>
    <s v="CC_Portal"/>
    <n v="0"/>
    <s v="MFC"/>
    <s v="IBMCA"/>
    <s v="ACTIVE ADVISORS AND ASSISTANTS"/>
    <n v="0"/>
    <n v="0"/>
  </r>
  <r>
    <s v="jeff.lotz@manulifesecurities.ca"/>
    <s v="MFC"/>
    <x v="0"/>
    <n v="722441"/>
    <n v="3"/>
    <d v="2017-09-07T10:41:47"/>
    <x v="3"/>
    <x v="2"/>
    <s v="Stuart.Hoffman@manulifesecurities.ca"/>
    <n v="554078"/>
    <s v="User Account"/>
    <n v="1"/>
    <s v="AtBelow"/>
    <s v="CC_WebService"/>
    <m/>
    <s v="MFC"/>
    <s v="IBMCA"/>
    <s v="ACTIVE ADVISORS AND ASSISTANTS"/>
    <n v="0"/>
    <n v="0"/>
  </r>
  <r>
    <s v="ssotest@mfc.sps.local"/>
    <s v="MFC"/>
    <x v="0"/>
    <n v="551367"/>
    <n v="1000"/>
    <d v="2017-09-07T10:39:31"/>
    <x v="0"/>
    <x v="0"/>
    <s v="linda.uden@manulifesecurities.ca"/>
    <n v="851547"/>
    <s v="User Account"/>
    <n v="1"/>
    <s v="AtBelow"/>
    <s v="CC_Portal"/>
    <n v="0"/>
    <s v="MFC"/>
    <s v="IBMCA"/>
    <s v="ACTIVE ADVISORS AND ASSISTANTS"/>
    <n v="0"/>
    <n v="0"/>
  </r>
  <r>
    <s v="ssotest@mfc.sps.local"/>
    <s v="MFC"/>
    <x v="0"/>
    <n v="551367"/>
    <n v="1000"/>
    <d v="2017-09-07T10:24:21"/>
    <x v="0"/>
    <x v="0"/>
    <s v="Rocco.Sgambetterra@manulifesecurities.ca"/>
    <n v="553852"/>
    <s v="User Account"/>
    <n v="1"/>
    <s v="AtBelow"/>
    <s v="CC_Portal"/>
    <n v="0"/>
    <s v="MFC"/>
    <s v="IBMCA"/>
    <s v="ACTIVE ADVISORS AND ASSISTANTS"/>
    <n v="0"/>
    <n v="0"/>
  </r>
  <r>
    <s v="ssotest@mfc.sps.local"/>
    <s v="MFC"/>
    <x v="0"/>
    <n v="551367"/>
    <n v="1000"/>
    <d v="2017-09-07T10:19:04"/>
    <x v="0"/>
    <x v="0"/>
    <s v="Christian.Viau@placementsmanuvie.ca"/>
    <n v="552140"/>
    <s v="User Account"/>
    <n v="1"/>
    <s v="AtBelow"/>
    <s v="CC_Portal"/>
    <n v="0"/>
    <s v="MFC"/>
    <s v="IBMCA"/>
    <s v="ACTIVE ADVISORS AND ASSISTANTS"/>
    <n v="0"/>
    <n v="0"/>
  </r>
  <r>
    <s v="ssotest@mfc.sps.local"/>
    <s v="MFC"/>
    <x v="0"/>
    <n v="551367"/>
    <n v="1000"/>
    <d v="2017-09-07T10:15:52"/>
    <x v="0"/>
    <x v="0"/>
    <s v="michelle.lea@manulifesecurities.ca"/>
    <n v="824664"/>
    <s v="User Account"/>
    <n v="1"/>
    <s v="AtBelow"/>
    <s v="CC_Portal"/>
    <n v="0"/>
    <s v="MFC"/>
    <s v="IBMCA"/>
    <s v="ACTIVE ADVISORS AND ASSISTANTS"/>
    <n v="0"/>
    <n v="0"/>
  </r>
  <r>
    <s v="jeff.lotz@manulifesecurities.ca"/>
    <s v="MFC"/>
    <x v="0"/>
    <n v="722441"/>
    <n v="3"/>
    <d v="2017-09-07T10:06:39"/>
    <x v="3"/>
    <x v="2"/>
    <s v="zobi.kons@manulifesecurities.ca"/>
    <n v="722926"/>
    <s v="User Account"/>
    <n v="1"/>
    <s v="AtBelow"/>
    <s v="CC_WebService"/>
    <m/>
    <s v="MFC"/>
    <s v="IBMCA"/>
    <s v="ACTIVE ADVISORS AND ASSISTANTS"/>
    <n v="0"/>
    <n v="0"/>
  </r>
  <r>
    <s v="jody.markovic@manulifesecurities.ca"/>
    <s v="MFC"/>
    <x v="0"/>
    <n v="560579"/>
    <n v="3"/>
    <d v="2017-09-07T10:03:23"/>
    <x v="3"/>
    <x v="2"/>
    <s v="Sandra.McNally@manulifesecurities.ca"/>
    <n v="553925"/>
    <s v="User Account"/>
    <n v="1"/>
    <s v="AtBelow"/>
    <s v="CC_WebService"/>
    <m/>
    <s v="MFC"/>
    <s v="IBMCA"/>
    <s v="ACTIVE ADVISORS AND ASSISTANTS"/>
    <n v="0"/>
    <n v="0"/>
  </r>
  <r>
    <s v="ssotest@mfc.sps.local"/>
    <s v="MFC"/>
    <x v="0"/>
    <n v="551367"/>
    <n v="1000"/>
    <d v="2017-09-07T09:59:04"/>
    <x v="0"/>
    <x v="0"/>
    <s v="Sheba.Nalli@manulifesecurities.ca"/>
    <n v="553995"/>
    <s v="User Account"/>
    <n v="1"/>
    <s v="AtBelow"/>
    <s v="CC_Portal"/>
    <n v="0"/>
    <s v="MFC"/>
    <s v="IBMCA"/>
    <s v="DISABLED USERS"/>
    <n v="0"/>
    <n v="0"/>
  </r>
  <r>
    <s v="ssotest@mfc.sps.local"/>
    <s v="MFC"/>
    <x v="0"/>
    <n v="551367"/>
    <n v="1000"/>
    <d v="2017-09-07T09:58:34"/>
    <x v="0"/>
    <x v="0"/>
    <s v="zobi.kons@manulifesecurities.ca"/>
    <n v="722926"/>
    <s v="User Account"/>
    <n v="1"/>
    <s v="AtBelow"/>
    <s v="CC_Portal"/>
    <n v="0"/>
    <s v="MFC"/>
    <s v="IBMCA"/>
    <s v="ACTIVE ADVISORS AND ASSISTANTS"/>
    <n v="0"/>
    <n v="0"/>
  </r>
  <r>
    <s v="patrick.harkins@manulifesecurities.ca"/>
    <s v="MFC"/>
    <x v="0"/>
    <n v="560864"/>
    <n v="3"/>
    <d v="2017-09-07T09:38:22"/>
    <x v="3"/>
    <x v="2"/>
    <s v="dahlia.clarke@manulifesecurities.ca"/>
    <n v="729505"/>
    <s v="User Account"/>
    <n v="1"/>
    <s v="AtBelow"/>
    <s v="CC_WebService"/>
    <m/>
    <s v="MFC"/>
    <s v="IBMCA"/>
    <s v="ACTIVE ADVISORS AND ASSISTANTS"/>
    <n v="0"/>
    <n v="0"/>
  </r>
  <r>
    <s v="alex_buena@manulifesecurities.ca"/>
    <s v="MFC"/>
    <x v="0"/>
    <n v="570025"/>
    <n v="3"/>
    <d v="2017-09-07T09:29:56"/>
    <x v="0"/>
    <x v="5"/>
    <s v="Laura.Young@manulifesecurities.ca"/>
    <n v="553158"/>
    <s v="User Account"/>
    <n v="1"/>
    <s v="AtBelow"/>
    <s v="CC_Portal"/>
    <n v="0"/>
    <s v="MFC"/>
    <s v="IBMCA"/>
    <s v="ACTIVE ADVISORS AND ASSISTANTS"/>
    <n v="0"/>
    <n v="0"/>
  </r>
  <r>
    <s v="ssotest@mfc.sps.local"/>
    <s v="MFC"/>
    <x v="0"/>
    <n v="551367"/>
    <n v="1000"/>
    <d v="2017-09-07T09:09:02"/>
    <x v="0"/>
    <x v="0"/>
    <s v="Casimiro.Rodrigues@manulifesecurities.ca"/>
    <n v="552077"/>
    <s v="User Account"/>
    <n v="1"/>
    <s v="AtBelow"/>
    <s v="CC_Portal"/>
    <n v="0"/>
    <s v="MFC"/>
    <s v="IBMCA"/>
    <s v="ACTIVE ADVISORS AND ASSISTANTS"/>
    <n v="0"/>
    <n v="0"/>
  </r>
  <r>
    <s v="ssotest@mfc.sps.local"/>
    <s v="MFC"/>
    <x v="0"/>
    <n v="551367"/>
    <n v="1000"/>
    <d v="2017-09-07T09:03:21"/>
    <x v="0"/>
    <x v="0"/>
    <s v="Mary.Reader@manulifesecurities.ca"/>
    <n v="553408"/>
    <s v="User Account"/>
    <n v="1"/>
    <s v="AtBelow"/>
    <s v="CC_Portal"/>
    <n v="0"/>
    <s v="MFC"/>
    <s v="IBMCA"/>
    <s v="ACTIVE ADVISORS AND ASSISTANTS"/>
    <n v="0"/>
    <n v="0"/>
  </r>
  <r>
    <s v="patrick.harkins@manulifesecurities.ca"/>
    <s v="MFC"/>
    <x v="0"/>
    <n v="560864"/>
    <n v="3"/>
    <d v="2017-09-07T08:54:33"/>
    <x v="3"/>
    <x v="2"/>
    <s v="Heather.LeBlanc@manulifesecurities.ca"/>
    <n v="552659"/>
    <s v="User Account"/>
    <n v="1"/>
    <s v="AtBelow"/>
    <s v="CC_WebService"/>
    <m/>
    <s v="MFC"/>
    <s v="IBMCA"/>
    <s v="ACTIVE ADVISORS AND ASSISTANTS"/>
    <n v="0"/>
    <n v="0"/>
  </r>
  <r>
    <s v="ssotest@mfc.sps.local"/>
    <s v="MFC"/>
    <x v="0"/>
    <n v="551367"/>
    <n v="1000"/>
    <d v="2017-09-07T08:36:41"/>
    <x v="0"/>
    <x v="0"/>
    <s v="kathy.shafer@manulifesecurities.ca"/>
    <n v="560658"/>
    <s v="User Account"/>
    <n v="1"/>
    <s v="AtBelow"/>
    <s v="CC_Portal"/>
    <n v="0"/>
    <s v="MFC"/>
    <s v="IBMCA"/>
    <s v="DISABLED USERS"/>
    <n v="0"/>
    <n v="0"/>
  </r>
  <r>
    <s v="ssotest@mfc.sps.local"/>
    <s v="MFC"/>
    <x v="0"/>
    <n v="551367"/>
    <n v="1000"/>
    <d v="2017-09-07T08:36:04"/>
    <x v="0"/>
    <x v="0"/>
    <s v="Greg.MacPherson@manulifesecurities.ca"/>
    <n v="551683"/>
    <s v="User Account"/>
    <n v="1"/>
    <s v="AtBelow"/>
    <s v="CC_Portal"/>
    <n v="0"/>
    <s v="MFC"/>
    <s v="IBMCA"/>
    <s v="ACTIVE ADVISORS AND ASSISTANTS"/>
    <n v="0"/>
    <n v="0"/>
  </r>
  <r>
    <s v="adiano.kitenge@manulifesecurities.ca"/>
    <s v="MFC"/>
    <x v="0"/>
    <n v="627566"/>
    <n v="3"/>
    <d v="2017-09-07T08:11:00"/>
    <x v="3"/>
    <x v="2"/>
    <s v="kelly.gray@manulifesecurities.ca"/>
    <n v="840602"/>
    <s v="User Account"/>
    <n v="1"/>
    <s v="AtBelow"/>
    <s v="CC_WebService"/>
    <m/>
    <s v="MFC"/>
    <s v="IBMCA"/>
    <s v="ACTIVE ADVISORS AND ASSISTANTS"/>
    <n v="0"/>
    <n v="0"/>
  </r>
  <r>
    <s v="adiano.kitenge@manulifesecurities.ca"/>
    <s v="MFC"/>
    <x v="0"/>
    <n v="627566"/>
    <n v="3"/>
    <d v="2017-09-07T08:10:42"/>
    <x v="0"/>
    <x v="3"/>
    <s v="kelly.gray@manulifesecurities.ca"/>
    <n v="840602"/>
    <s v="User Account"/>
    <n v="1"/>
    <s v="SelfBelow"/>
    <s v="CC_Portal"/>
    <s v="Enable"/>
    <s v="MFC"/>
    <s v="IBMCA"/>
    <s v="ACTIVE ADVISORS AND ASSISTANTS"/>
    <n v="0"/>
    <n v="0"/>
  </r>
  <r>
    <s v="adiano.kitenge@manulifesecurities.ca"/>
    <s v="MFC"/>
    <x v="0"/>
    <n v="627566"/>
    <n v="3"/>
    <d v="2017-09-07T08:09:30"/>
    <x v="3"/>
    <x v="2"/>
    <s v="Jason.Goss@manulifesecurities.ca"/>
    <n v="552775"/>
    <s v="User Account"/>
    <n v="1"/>
    <s v="AtBelow"/>
    <s v="CC_WebService"/>
    <m/>
    <s v="MFC"/>
    <s v="IBMCA"/>
    <s v="ACTIVE ADVISORS AND ASSISTANTS"/>
    <n v="0"/>
    <n v="0"/>
  </r>
  <r>
    <s v="adiano.kitenge@manulifesecurities.ca"/>
    <s v="MFC"/>
    <x v="0"/>
    <n v="627566"/>
    <n v="3"/>
    <d v="2017-09-07T08:08:53"/>
    <x v="0"/>
    <x v="3"/>
    <s v="Jason.Goss@manulifesecurities.ca"/>
    <n v="552775"/>
    <s v="User Account"/>
    <n v="1"/>
    <s v="SelfBelow"/>
    <s v="CC_Portal"/>
    <s v="Enable"/>
    <s v="MFC"/>
    <s v="IBMCA"/>
    <s v="ACTIVE ADVISORS AND ASSISTANTS"/>
    <n v="0"/>
    <n v="0"/>
  </r>
  <r>
    <s v="alex_buena@manulifesecurities.ca"/>
    <s v="MFC"/>
    <x v="0"/>
    <n v="570025"/>
    <n v="3"/>
    <d v="2017-09-06T23:55:48"/>
    <x v="0"/>
    <x v="4"/>
    <s v="benjamin.bandosz@manulifesecurities.ca"/>
    <n v="823297"/>
    <s v="User Account"/>
    <n v="1"/>
    <s v="AtBelow"/>
    <s v="CC_Portal"/>
    <s v="oldOrgGroup=ACTIVE ADVISORS AND ASSISTANTS;newOrgGroup=DISABLED USERS"/>
    <s v="MFC"/>
    <s v="IBMCA"/>
    <s v="DISABLED USERS"/>
    <n v="0"/>
    <n v="0"/>
  </r>
  <r>
    <s v="alex_buena@manulifesecurities.ca"/>
    <s v="MFC"/>
    <x v="0"/>
    <n v="570025"/>
    <n v="3"/>
    <d v="2017-09-06T23:55:19"/>
    <x v="0"/>
    <x v="5"/>
    <s v="benjamin.bandosz@manulifesecurities.ca"/>
    <n v="823297"/>
    <s v="User Account"/>
    <n v="1"/>
    <s v="AtBelow"/>
    <s v="CC_Portal"/>
    <n v="0"/>
    <s v="MFC"/>
    <s v="IBMCA"/>
    <s v="ACTIVE ADVISORS AND ASSISTANTS"/>
    <n v="0"/>
    <n v="0"/>
  </r>
  <r>
    <s v="alex_buena@manulifesecurities.ca"/>
    <s v="MFC"/>
    <x v="0"/>
    <n v="570025"/>
    <n v="3"/>
    <d v="2017-09-06T23:55:03"/>
    <x v="0"/>
    <x v="3"/>
    <s v="benjamin.bandosz@manulifesecurities.ca"/>
    <n v="823297"/>
    <s v="User Account"/>
    <n v="1"/>
    <s v="AtBelow"/>
    <s v="CC_Portal"/>
    <s v="Disable"/>
    <s v="MFC"/>
    <s v="IBMCA"/>
    <s v="ACTIVE ADVISORS AND ASSISTANTS"/>
    <n v="0"/>
    <n v="0"/>
  </r>
  <r>
    <s v="alex_buena@manulifesecurities.ca"/>
    <s v="MFC"/>
    <x v="0"/>
    <n v="570025"/>
    <n v="3"/>
    <d v="2017-09-06T23:55:02"/>
    <x v="0"/>
    <x v="3"/>
    <s v="benjamin.bandosz@manulifesecurities.ca"/>
    <n v="823297"/>
    <s v="User Account"/>
    <n v="1"/>
    <s v="AtBelow"/>
    <s v="CC_Portal"/>
    <s v="Disable"/>
    <s v="MFC"/>
    <s v="IBMCA"/>
    <s v="ACTIVE ADVISORS AND ASSISTANTS"/>
    <n v="0"/>
    <n v="0"/>
  </r>
  <r>
    <s v="alex_buena@manulifesecurities.ca"/>
    <s v="MFC"/>
    <x v="0"/>
    <n v="570025"/>
    <n v="3"/>
    <d v="2017-09-06T23:50:22"/>
    <x v="0"/>
    <x v="10"/>
    <s v="benjamin.bandosz@manulifesecurities.ca"/>
    <n v="823297"/>
    <s v="User Account"/>
    <n v="1"/>
    <s v="AtBelow"/>
    <s v="CC_Portal"/>
    <s v="Action=Disable"/>
    <s v="MFC"/>
    <s v="IBMCA"/>
    <s v="ACTIVE ADVISORS AND ASSISTANTS"/>
    <n v="0"/>
    <n v="0"/>
  </r>
  <r>
    <s v="alex_buena@manulifesecurities.ca"/>
    <s v="MFC"/>
    <x v="0"/>
    <n v="570025"/>
    <n v="3"/>
    <d v="2017-09-06T23:50:22"/>
    <x v="0"/>
    <x v="10"/>
    <s v="benjamin.bandosz@manulifesecurities.ca"/>
    <n v="823297"/>
    <s v="User Account"/>
    <n v="1"/>
    <s v="AtBelow"/>
    <s v="CC_Portal"/>
    <s v="Action=Disable"/>
    <s v="MFC"/>
    <s v="IBMCA"/>
    <s v="ACTIVE ADVISORS AND ASSISTANTS"/>
    <n v="0"/>
    <n v="0"/>
  </r>
  <r>
    <s v="ssotest@mfc.sps.local"/>
    <s v="MFC"/>
    <x v="0"/>
    <n v="551367"/>
    <n v="1000"/>
    <d v="2017-09-06T23:23:51"/>
    <x v="0"/>
    <x v="0"/>
    <s v="headoffice@manulifesecurities.ca"/>
    <n v="560511"/>
    <s v="User Account"/>
    <n v="1"/>
    <s v="AtBelow"/>
    <s v="CC_Portal"/>
    <n v="0"/>
    <s v="MFC"/>
    <s v="IBMCA"/>
    <s v="DISABLED USERS"/>
    <n v="0"/>
    <n v="0"/>
  </r>
  <r>
    <s v="ssotest@mfc.sps.local"/>
    <s v="MFC"/>
    <x v="0"/>
    <n v="551367"/>
    <n v="1000"/>
    <d v="2017-09-06T20:23:27"/>
    <x v="0"/>
    <x v="0"/>
    <s v="caesar.olszewski@manulifesecurities.ca"/>
    <n v="844160"/>
    <s v="User Account"/>
    <n v="1"/>
    <s v="AtBelow"/>
    <s v="CC_Portal"/>
    <n v="0"/>
    <s v="MFC"/>
    <s v="IBMCA"/>
    <s v="ACTIVE ADVISORS AND ASSISTANTS"/>
    <n v="0"/>
    <n v="0"/>
  </r>
  <r>
    <s v="ssotest@mfc.sps.local"/>
    <s v="MFC"/>
    <x v="0"/>
    <n v="551367"/>
    <n v="1000"/>
    <d v="2017-09-06T19:18:49"/>
    <x v="0"/>
    <x v="0"/>
    <s v="Eric.Mercier@manulifesecurities.ca"/>
    <n v="554329"/>
    <s v="User Account"/>
    <n v="1"/>
    <s v="AtBelow"/>
    <s v="CC_Portal"/>
    <n v="0"/>
    <s v="MFC"/>
    <s v="IBMCA"/>
    <s v="ACTIVE ADVISORS AND ASSISTANTS"/>
    <n v="0"/>
    <n v="0"/>
  </r>
  <r>
    <s v="crystal.parkinson@manulifesecurities.ca"/>
    <s v="MFC"/>
    <x v="0"/>
    <n v="637976"/>
    <n v="1"/>
    <d v="2017-09-06T18:21:45"/>
    <x v="1"/>
    <x v="1"/>
    <s v="crystal.parkinson@manulifesecurities.ca"/>
    <n v="637976"/>
    <s v="User Account"/>
    <n v="0"/>
    <s v="Deny"/>
    <s v="CC_Portal"/>
    <n v="0"/>
    <s v="MFC"/>
    <s v="IBMCA"/>
    <s v="ACTIVE ADVISORS AND ASSISTANTS"/>
    <n v="0"/>
    <n v="0"/>
  </r>
  <r>
    <s v="crystal.parkinson@manulifesecurities.ca"/>
    <s v="MFC"/>
    <x v="0"/>
    <n v="637976"/>
    <n v="1"/>
    <d v="2017-09-06T18:21:45"/>
    <x v="2"/>
    <x v="1"/>
    <s v="crystal.parkinson@manulifesecurities.ca"/>
    <n v="637976"/>
    <s v="User Account"/>
    <n v="0"/>
    <s v="Deny"/>
    <s v="CC_Portal"/>
    <n v="0"/>
    <s v="MFC"/>
    <s v="IBMCA"/>
    <s v="ACTIVE ADVISORS AND ASSISTANTS"/>
    <n v="0"/>
    <n v="0"/>
  </r>
  <r>
    <s v="crystal.parkinson@manulifesecurities.ca"/>
    <s v="MFC"/>
    <x v="0"/>
    <n v="637976"/>
    <n v="1"/>
    <d v="2017-09-06T17:22:53"/>
    <x v="2"/>
    <x v="1"/>
    <s v="crystal.parkinson@manulifesecurities.ca"/>
    <n v="637976"/>
    <s v="User Account"/>
    <n v="0"/>
    <s v="Deny"/>
    <s v="CC_Portal"/>
    <n v="0"/>
    <s v="MFC"/>
    <s v="IBMCA"/>
    <s v="ACTIVE ADVISORS AND ASSISTANTS"/>
    <n v="0"/>
    <n v="0"/>
  </r>
  <r>
    <s v="crystal.parkinson@manulifesecurities.ca"/>
    <s v="MFC"/>
    <x v="0"/>
    <n v="637976"/>
    <n v="1"/>
    <d v="2017-09-06T17:22:52"/>
    <x v="1"/>
    <x v="1"/>
    <s v="crystal.parkinson@manulifesecurities.ca"/>
    <n v="637976"/>
    <s v="User Account"/>
    <n v="0"/>
    <s v="Deny"/>
    <s v="CC_Portal"/>
    <n v="0"/>
    <s v="MFC"/>
    <s v="IBMCA"/>
    <s v="ACTIVE ADVISORS AND ASSISTANTS"/>
    <n v="0"/>
    <n v="0"/>
  </r>
  <r>
    <s v="ssotest@mfc.sps.local"/>
    <s v="MFC"/>
    <x v="0"/>
    <n v="551367"/>
    <n v="1000"/>
    <d v="2017-09-06T17:20:55"/>
    <x v="0"/>
    <x v="0"/>
    <s v="Bruce.Wild@manulifesecurities.ca"/>
    <n v="552022"/>
    <s v="User Account"/>
    <n v="1"/>
    <s v="AtBelow"/>
    <s v="CC_Portal"/>
    <n v="0"/>
    <s v="MFC"/>
    <s v="IBMCA"/>
    <s v="ACTIVE ADVISORS AND ASSISTANTS"/>
    <n v="0"/>
    <n v="0"/>
  </r>
  <r>
    <s v="ssotest@mfc.sps.local"/>
    <s v="MFC"/>
    <x v="0"/>
    <n v="551367"/>
    <n v="1000"/>
    <d v="2017-09-06T16:53:21"/>
    <x v="0"/>
    <x v="0"/>
    <s v="Cheyenne.Mccracken@manulifesecurities.ca"/>
    <n v="577307"/>
    <s v="User Account"/>
    <n v="1"/>
    <s v="AtBelow"/>
    <s v="CC_Portal"/>
    <n v="0"/>
    <s v="MFC"/>
    <s v="IBMCA"/>
    <s v="ACTIVE ADVISORS AND ASSISTANTS"/>
    <n v="0"/>
    <n v="0"/>
  </r>
  <r>
    <s v="ssotest@mfc.sps.local"/>
    <s v="MFC"/>
    <x v="0"/>
    <n v="551367"/>
    <n v="1000"/>
    <d v="2017-09-06T16:47:50"/>
    <x v="0"/>
    <x v="0"/>
    <s v="RS.Basaraba@manulifesecurities.ca"/>
    <n v="553775"/>
    <s v="User Account"/>
    <n v="1"/>
    <s v="AtBelow"/>
    <s v="CC_Portal"/>
    <n v="0"/>
    <s v="MFC"/>
    <s v="IBMCA"/>
    <s v="ACTIVE ADVISORS AND ASSISTANTS"/>
    <n v="0"/>
    <n v="0"/>
  </r>
  <r>
    <s v="jody.markovic@manulifesecurities.ca"/>
    <s v="MFC"/>
    <x v="0"/>
    <n v="560579"/>
    <n v="3"/>
    <d v="2017-09-06T16:43:53"/>
    <x v="3"/>
    <x v="2"/>
    <s v="Mark.Colangelo@manulifesecurities.ca"/>
    <n v="553353"/>
    <s v="User Account"/>
    <n v="1"/>
    <s v="AtBelow"/>
    <s v="CC_WebService"/>
    <m/>
    <s v="MFC"/>
    <s v="IBMCA"/>
    <s v="ACTIVE ADVISORS AND ASSISTANTS"/>
    <n v="0"/>
    <n v="0"/>
  </r>
  <r>
    <s v="ssotest@mfc.sps.local"/>
    <s v="MFC"/>
    <x v="0"/>
    <n v="551367"/>
    <n v="1000"/>
    <d v="2017-09-06T16:03:48"/>
    <x v="0"/>
    <x v="0"/>
    <s v="Malcom.Kano@manulifesecurities.ca"/>
    <n v="553299"/>
    <s v="User Account"/>
    <n v="1"/>
    <s v="AtBelow"/>
    <s v="CC_Portal"/>
    <n v="0"/>
    <s v="MFC"/>
    <s v="IBMCA"/>
    <s v="ACTIVE ADVISORS AND ASSISTANTS"/>
    <n v="0"/>
    <n v="0"/>
  </r>
  <r>
    <s v="ssotest@mfc.sps.local"/>
    <s v="MFC"/>
    <x v="0"/>
    <n v="551367"/>
    <n v="1000"/>
    <d v="2017-09-06T15:36:55"/>
    <x v="0"/>
    <x v="0"/>
    <s v="Peter.Graham@manulifesecurities.ca"/>
    <n v="553701"/>
    <s v="User Account"/>
    <n v="1"/>
    <s v="AtBelow"/>
    <s v="CC_Portal"/>
    <n v="0"/>
    <s v="MFC"/>
    <s v="IBMCA"/>
    <s v="ACTIVE ADVISORS AND ASSISTANTS"/>
    <n v="0"/>
    <n v="0"/>
  </r>
  <r>
    <s v="ssotest@mfc.sps.local"/>
    <s v="MFC"/>
    <x v="0"/>
    <n v="551367"/>
    <n v="1000"/>
    <d v="2017-09-06T15:35:17"/>
    <x v="0"/>
    <x v="0"/>
    <s v="Harold.Mertin@manulifesecurities.ca"/>
    <n v="552643"/>
    <s v="User Account"/>
    <n v="1"/>
    <s v="AtBelow"/>
    <s v="CC_Portal"/>
    <n v="0"/>
    <s v="MFC"/>
    <s v="IBMCA"/>
    <s v="ACTIVE ADVISORS AND ASSISTANTS"/>
    <n v="0"/>
    <n v="0"/>
  </r>
  <r>
    <s v="ssotest@mfc.sps.local"/>
    <s v="MFC"/>
    <x v="0"/>
    <n v="551367"/>
    <n v="1000"/>
    <d v="2017-09-06T15:33:45"/>
    <x v="0"/>
    <x v="0"/>
    <s v="Chris.Chakmakian@manulifesecurities.ca"/>
    <n v="552121"/>
    <s v="User Account"/>
    <n v="1"/>
    <s v="AtBelow"/>
    <s v="CC_Portal"/>
    <n v="0"/>
    <s v="MFC"/>
    <s v="IBMCA"/>
    <s v="ACTIVE ADVISORS AND ASSISTANTS"/>
    <n v="0"/>
    <n v="0"/>
  </r>
  <r>
    <s v="adiano.kitenge@manulifesecurities.ca"/>
    <s v="MFC"/>
    <x v="0"/>
    <n v="627566"/>
    <n v="3"/>
    <d v="2017-09-06T15:07:11"/>
    <x v="3"/>
    <x v="2"/>
    <s v="Tanya.Cahill@manulifesecurities.ca"/>
    <n v="554117"/>
    <s v="User Account"/>
    <n v="1"/>
    <s v="AtBelow"/>
    <s v="CC_WebService"/>
    <m/>
    <s v="MFC"/>
    <s v="IBMCA"/>
    <s v="ACTIVE ADVISORS AND ASSISTANTS"/>
    <n v="0"/>
    <n v="0"/>
  </r>
  <r>
    <s v="adiano.kitenge@manulifesecurities.ca"/>
    <s v="MFC"/>
    <x v="0"/>
    <n v="627566"/>
    <n v="3"/>
    <d v="2017-09-06T15:06:46"/>
    <x v="0"/>
    <x v="3"/>
    <s v="Tanya.Cahill@manulifesecurities.ca"/>
    <n v="554117"/>
    <s v="User Account"/>
    <n v="1"/>
    <s v="SelfBelow"/>
    <s v="CC_Portal"/>
    <s v="Enable"/>
    <s v="MFC"/>
    <s v="IBMCA"/>
    <s v="ACTIVE ADVISORS AND ASSISTANTS"/>
    <n v="0"/>
    <n v="0"/>
  </r>
  <r>
    <s v="silvie.cadieux@manulifesecurities.ca"/>
    <s v="MFC"/>
    <x v="0"/>
    <n v="560946"/>
    <n v="3"/>
    <d v="2017-09-06T15:03:35"/>
    <x v="0"/>
    <x v="5"/>
    <s v="marshall.hett@manulifesecurities.ca"/>
    <n v="707864"/>
    <s v="User Account"/>
    <n v="3"/>
    <s v="AtBelow"/>
    <s v="CC_Portal"/>
    <n v="0"/>
    <s v="MFC"/>
    <s v="IBMCA"/>
    <s v="TEMP - SUPPORT ACCOUNTS"/>
    <n v="0"/>
    <n v="0"/>
  </r>
  <r>
    <s v="silvie.cadieux@manulifesecurities.ca"/>
    <s v="MFC"/>
    <x v="0"/>
    <n v="560946"/>
    <n v="3"/>
    <d v="2017-09-06T15:00:52"/>
    <x v="0"/>
    <x v="0"/>
    <s v="silvie.cadieux@manulifesecurities.ca"/>
    <n v="560946"/>
    <s v="User Account"/>
    <n v="3"/>
    <s v="AtBelow"/>
    <s v="CC_Portal"/>
    <n v="0"/>
    <s v="MFC"/>
    <s v="IBMCA"/>
    <s v="TEMP - SUPPORT ACCOUNTS"/>
    <n v="0"/>
    <n v="0"/>
  </r>
  <r>
    <s v="marshall.hett@manulifesecurities.ca"/>
    <s v="MFC"/>
    <x v="0"/>
    <n v="707864"/>
    <n v="3"/>
    <d v="2017-09-06T14:59:54"/>
    <x v="0"/>
    <x v="0"/>
    <s v="silvie.cadieux@manulifesecurities.ca"/>
    <n v="560946"/>
    <s v="User Account"/>
    <n v="3"/>
    <s v="AtBelow"/>
    <s v="CC_Portal"/>
    <n v="0"/>
    <s v="MFC"/>
    <s v="IBMCA"/>
    <s v="TEMP - SUPPORT ACCOUNTS"/>
    <n v="0"/>
    <n v="0"/>
  </r>
  <r>
    <s v="ssotest@mfc.sps.local"/>
    <s v="MFC"/>
    <x v="0"/>
    <n v="551367"/>
    <n v="1000"/>
    <d v="2017-09-06T14:54:59"/>
    <x v="0"/>
    <x v="0"/>
    <s v="Velma.Schmauder@manulifesecurities.ca"/>
    <n v="554251"/>
    <s v="User Account"/>
    <n v="1"/>
    <s v="AtBelow"/>
    <s v="CC_Portal"/>
    <n v="0"/>
    <s v="MFC"/>
    <s v="IBMCA"/>
    <s v="ACTIVE ADVISORS AND ASSISTANTS"/>
    <n v="0"/>
    <n v="0"/>
  </r>
  <r>
    <s v="priscilla.misir@manulifesecurities.ca"/>
    <s v="MFC"/>
    <x v="0"/>
    <n v="674396"/>
    <n v="3"/>
    <d v="2017-09-06T14:17:39"/>
    <x v="0"/>
    <x v="5"/>
    <s v="l.fuduric@manulifesecurities.ca"/>
    <n v="907442"/>
    <s v="User Account"/>
    <n v="1"/>
    <s v="AtBelow"/>
    <s v="CC_Portal"/>
    <n v="0"/>
    <s v="MFC"/>
    <s v="IBMCA"/>
    <s v="ACTIVE ADVISORS AND ASSISTANTS"/>
    <n v="0"/>
    <n v="0"/>
  </r>
  <r>
    <s v="priscilla.misir@manulifesecurities.ca"/>
    <s v="MFC"/>
    <x v="0"/>
    <n v="674396"/>
    <n v="3"/>
    <d v="2017-09-06T14:17:38"/>
    <x v="5"/>
    <x v="6"/>
    <s v="MSI_autoEmailArchive@manulifesecurities.ca"/>
    <n v="561482"/>
    <s v="Distribution List"/>
    <n v="1"/>
    <s v="Any"/>
    <s v="CC_Portal"/>
    <s v="47c398f95f724889a713a4358f73622a"/>
    <s v="MFC"/>
    <s v="IBMCA"/>
    <s v="ALL GROUPS"/>
    <n v="0"/>
    <n v="0"/>
  </r>
  <r>
    <s v="priscilla.misir@manulifesecurities.ca"/>
    <s v="MFC"/>
    <x v="0"/>
    <n v="674396"/>
    <n v="3"/>
    <d v="2017-09-06T14:17:38"/>
    <x v="5"/>
    <x v="6"/>
    <s v="MSI_autoSupervision@manulifesecurities.ca"/>
    <n v="561483"/>
    <s v="Distribution List"/>
    <n v="1"/>
    <s v="Any"/>
    <s v="CC_Portal"/>
    <s v="47c398f95f724889a713a4358f73622a"/>
    <s v="MFC"/>
    <s v="IBMCA"/>
    <s v="ALL GROUPS"/>
    <n v="0"/>
    <n v="0"/>
  </r>
  <r>
    <s v="priscilla.misir@manulifesecurities.ca"/>
    <s v="MFC"/>
    <x v="0"/>
    <n v="674396"/>
    <n v="3"/>
    <d v="2017-09-06T14:17:36"/>
    <x v="5"/>
    <x v="6"/>
    <s v="AllAssistants@manulifesecurities.ca"/>
    <n v="555660"/>
    <s v="Distribution List"/>
    <n v="1"/>
    <s v="Any"/>
    <s v="CC_Portal"/>
    <s v="47c398f95f724889a713a4358f73622a"/>
    <s v="MFC"/>
    <s v="IBMCA"/>
    <s v="ALL GROUPS"/>
    <n v="0"/>
    <n v="0"/>
  </r>
  <r>
    <s v="priscilla.misir@manulifesecurities.ca"/>
    <s v="MFC"/>
    <x v="0"/>
    <n v="674396"/>
    <n v="3"/>
    <d v="2017-09-06T14:17:34"/>
    <x v="0"/>
    <x v="5"/>
    <s v="l.fuduric@manulifesecurities.ca"/>
    <n v="907442"/>
    <s v="User Account"/>
    <n v="1"/>
    <s v="AtBelow"/>
    <s v="CC_Portal"/>
    <n v="0"/>
    <s v="MFC"/>
    <s v="IBMCA"/>
    <s v="ACTIVE ADVISORS AND ASSISTANTS"/>
    <n v="0"/>
    <n v="0"/>
  </r>
  <r>
    <s v="priscilla.misir@manulifesecurities.ca"/>
    <s v="MFC"/>
    <x v="0"/>
    <n v="674396"/>
    <n v="3"/>
    <d v="2017-09-06T14:17:00"/>
    <x v="0"/>
    <x v="5"/>
    <s v="l.fuduric@manulifesecurities.ca"/>
    <n v="907442"/>
    <s v="User Account"/>
    <n v="1"/>
    <s v="AtBelow"/>
    <s v="CC_Portal"/>
    <n v="0"/>
    <s v="MFC"/>
    <s v="IBMCA"/>
    <s v="ACTIVE ADVISORS AND ASSISTANTS"/>
    <n v="0"/>
    <n v="0"/>
  </r>
  <r>
    <s v="priscilla.misir@manulifesecurities.ca"/>
    <s v="MFC"/>
    <x v="0"/>
    <n v="674396"/>
    <n v="3"/>
    <d v="2017-09-06T14:16:39"/>
    <x v="5"/>
    <x v="7"/>
    <s v="l.fuduric@manulifesecurities.ca"/>
    <n v="907442"/>
    <s v="User Account"/>
    <n v="1"/>
    <s v="AtBelow"/>
    <s v="CC_Portal"/>
    <s v="PrimaryEmail=l.fuduric@manulifesecurities.ca"/>
    <s v="MFC"/>
    <s v="IBMCA"/>
    <s v="ACTIVE ADVISORS AND ASSISTANTS"/>
    <n v="0"/>
    <n v="0"/>
  </r>
  <r>
    <s v="ssotest@mfc.sps.local"/>
    <s v="MFC"/>
    <x v="0"/>
    <n v="551367"/>
    <n v="1000"/>
    <d v="2017-09-06T14:08:28"/>
    <x v="0"/>
    <x v="0"/>
    <s v="geraldine.meskell@manulifesecurities.ca"/>
    <n v="685572"/>
    <s v="User Account"/>
    <n v="1"/>
    <s v="AtBelow"/>
    <s v="CC_Portal"/>
    <n v="0"/>
    <s v="MFC"/>
    <s v="IBMCA"/>
    <s v="ACTIVE ADVISORS AND ASSISTANTS"/>
    <n v="0"/>
    <n v="0"/>
  </r>
  <r>
    <s v="ssotest@mfc.sps.local"/>
    <s v="MFC"/>
    <x v="0"/>
    <n v="551367"/>
    <n v="1000"/>
    <d v="2017-09-06T14:08:22"/>
    <x v="0"/>
    <x v="0"/>
    <s v="corrie.walker@manulifesecurities.ca"/>
    <n v="862422"/>
    <s v="User Account"/>
    <n v="1"/>
    <s v="AtBelow"/>
    <s v="CC_Portal"/>
    <n v="0"/>
    <s v="MFC"/>
    <s v="IBMCA"/>
    <s v="ACTIVE ADVISORS AND ASSISTANTS"/>
    <n v="0"/>
    <n v="0"/>
  </r>
  <r>
    <s v="ssotest@mfc.sps.local"/>
    <s v="MFC"/>
    <x v="0"/>
    <n v="551367"/>
    <n v="1000"/>
    <d v="2017-09-06T13:53:03"/>
    <x v="0"/>
    <x v="0"/>
    <s v="Nina.Tangri@manulifesecurities.ca"/>
    <n v="553616"/>
    <s v="User Account"/>
    <n v="1"/>
    <s v="AtBelow"/>
    <s v="CC_Portal"/>
    <n v="0"/>
    <s v="MFC"/>
    <s v="IBMCA"/>
    <s v="DISABLED USERS"/>
    <n v="0"/>
    <n v="0"/>
  </r>
  <r>
    <s v="patrick.harkins@manulifesecurities.ca"/>
    <s v="MFC"/>
    <x v="0"/>
    <n v="560864"/>
    <n v="3"/>
    <d v="2017-09-06T13:52:48"/>
    <x v="3"/>
    <x v="2"/>
    <s v="kelly.gray@manulifesecurities.ca"/>
    <n v="840602"/>
    <s v="User Account"/>
    <n v="1"/>
    <s v="AtBelow"/>
    <s v="CC_WebService"/>
    <m/>
    <s v="MFC"/>
    <s v="IBMCA"/>
    <s v="ACTIVE ADVISORS AND ASSISTANTS"/>
    <n v="0"/>
    <n v="0"/>
  </r>
  <r>
    <s v="crystal.parkinson@manulifesecurities.ca"/>
    <s v="MFC"/>
    <x v="0"/>
    <n v="637976"/>
    <n v="1"/>
    <d v="2017-09-06T13:41:51"/>
    <x v="1"/>
    <x v="1"/>
    <s v="crystal.parkinson@manulifesecurities.ca"/>
    <n v="637976"/>
    <s v="User Account"/>
    <n v="0"/>
    <s v="Deny"/>
    <s v="CC_Portal"/>
    <n v="0"/>
    <s v="MFC"/>
    <s v="IBMCA"/>
    <s v="ACTIVE ADVISORS AND ASSISTANTS"/>
    <n v="0"/>
    <n v="0"/>
  </r>
  <r>
    <s v="crystal.parkinson@manulifesecurities.ca"/>
    <s v="MFC"/>
    <x v="0"/>
    <n v="637976"/>
    <n v="1"/>
    <d v="2017-09-06T13:41:51"/>
    <x v="2"/>
    <x v="1"/>
    <s v="crystal.parkinson@manulifesecurities.ca"/>
    <n v="637976"/>
    <s v="User Account"/>
    <n v="0"/>
    <s v="Deny"/>
    <s v="CC_Portal"/>
    <n v="0"/>
    <s v="MFC"/>
    <s v="IBMCA"/>
    <s v="ACTIVE ADVISORS AND ASSISTANTS"/>
    <n v="0"/>
    <n v="0"/>
  </r>
  <r>
    <s v="adiano.kitenge@manulifesecurities.ca"/>
    <s v="MFC"/>
    <x v="0"/>
    <n v="627566"/>
    <n v="3"/>
    <d v="2017-09-06T13:18:59"/>
    <x v="3"/>
    <x v="2"/>
    <s v="kelly.gray@manulifesecurities.ca"/>
    <n v="840602"/>
    <s v="User Account"/>
    <n v="1"/>
    <s v="AtBelow"/>
    <s v="CC_WebService"/>
    <m/>
    <s v="MFC"/>
    <s v="IBMCA"/>
    <s v="ACTIVE ADVISORS AND ASSISTANTS"/>
    <n v="0"/>
    <n v="0"/>
  </r>
  <r>
    <s v="adiano.kitenge@manulifesecurities.ca"/>
    <s v="MFC"/>
    <x v="0"/>
    <n v="627566"/>
    <n v="3"/>
    <d v="2017-09-06T13:18:46"/>
    <x v="0"/>
    <x v="3"/>
    <s v="kelly.gray@manulifesecurities.ca"/>
    <n v="840602"/>
    <s v="User Account"/>
    <n v="1"/>
    <s v="SelfBelow"/>
    <s v="CC_Portal"/>
    <s v="Enable"/>
    <s v="MFC"/>
    <s v="IBMCA"/>
    <s v="ACTIVE ADVISORS AND ASSISTANTS"/>
    <n v="0"/>
    <n v="0"/>
  </r>
  <r>
    <s v="adiano.kitenge@manulifesecurities.ca"/>
    <s v="MFC"/>
    <x v="0"/>
    <n v="627566"/>
    <n v="3"/>
    <d v="2017-09-06T13:18:27"/>
    <x v="3"/>
    <x v="2"/>
    <s v="cameron.locke@manulifesecurities.ca"/>
    <n v="808752"/>
    <s v="User Account"/>
    <n v="1"/>
    <s v="AtBelow"/>
    <s v="CC_WebService"/>
    <m/>
    <s v="MFC"/>
    <s v="IBMCA"/>
    <s v="ACTIVE ADVISORS AND ASSISTANTS"/>
    <n v="0"/>
    <n v="0"/>
  </r>
  <r>
    <s v="michel.cormier@manulifesecurities.ca"/>
    <s v="MFC"/>
    <x v="0"/>
    <n v="560366"/>
    <n v="3"/>
    <d v="2017-09-06T13:09:07"/>
    <x v="3"/>
    <x v="2"/>
    <s v="Peter.Graham@manulifesecurities.ca"/>
    <n v="553701"/>
    <s v="User Account"/>
    <n v="1"/>
    <s v="AtBelow"/>
    <s v="CC_WebService"/>
    <m/>
    <s v="MFC"/>
    <s v="IBMCA"/>
    <s v="ACTIVE ADVISORS AND ASSISTANTS"/>
    <n v="0"/>
    <n v="0"/>
  </r>
  <r>
    <s v="ssotest@mfc.sps.local"/>
    <s v="MFC"/>
    <x v="0"/>
    <n v="551367"/>
    <n v="1000"/>
    <d v="2017-09-06T13:09:01"/>
    <x v="0"/>
    <x v="0"/>
    <s v="George.Flemming@manulifesecurities.ca"/>
    <n v="552575"/>
    <s v="User Account"/>
    <n v="1"/>
    <s v="AtBelow"/>
    <s v="CC_Portal"/>
    <n v="0"/>
    <s v="MFC"/>
    <s v="IBMCA"/>
    <s v="ACTIVE ADVISORS AND ASSISTANTS"/>
    <n v="0"/>
    <n v="0"/>
  </r>
  <r>
    <s v="ssotest@mfc.sps.local"/>
    <s v="MFC"/>
    <x v="0"/>
    <n v="551367"/>
    <n v="1000"/>
    <d v="2017-09-06T12:56:51"/>
    <x v="0"/>
    <x v="0"/>
    <s v="cameron.locke@manulifesecurities.ca"/>
    <n v="808752"/>
    <s v="User Account"/>
    <n v="1"/>
    <s v="AtBelow"/>
    <s v="CC_Portal"/>
    <n v="0"/>
    <s v="MFC"/>
    <s v="IBMCA"/>
    <s v="ACTIVE ADVISORS AND ASSISTANTS"/>
    <n v="0"/>
    <n v="0"/>
  </r>
  <r>
    <s v="adiano.kitenge@manulifesecurities.ca"/>
    <s v="MFC"/>
    <x v="0"/>
    <n v="627566"/>
    <n v="3"/>
    <d v="2017-09-06T12:55:26"/>
    <x v="3"/>
    <x v="2"/>
    <s v="cameron.locke@manulifesecurities.ca"/>
    <n v="808752"/>
    <s v="User Account"/>
    <n v="1"/>
    <s v="AtBelow"/>
    <s v="CC_WebService"/>
    <m/>
    <s v="MFC"/>
    <s v="IBMCA"/>
    <s v="ACTIVE ADVISORS AND ASSISTANTS"/>
    <n v="0"/>
    <n v="0"/>
  </r>
  <r>
    <s v="adiano.kitenge@manulifesecurities.ca"/>
    <s v="MFC"/>
    <x v="0"/>
    <n v="627566"/>
    <n v="3"/>
    <d v="2017-09-06T12:54:53"/>
    <x v="0"/>
    <x v="3"/>
    <s v="cameron.locke@manulifesecurities.ca"/>
    <n v="808752"/>
    <s v="User Account"/>
    <n v="1"/>
    <s v="SelfBelow"/>
    <s v="CC_Portal"/>
    <s v="Enable"/>
    <s v="MFC"/>
    <s v="IBMCA"/>
    <s v="ACTIVE ADVISORS AND ASSISTANTS"/>
    <n v="0"/>
    <n v="0"/>
  </r>
  <r>
    <s v="ssotest@mfc.sps.local"/>
    <s v="MFC"/>
    <x v="0"/>
    <n v="551367"/>
    <n v="1000"/>
    <d v="2017-09-06T12:32:31"/>
    <x v="0"/>
    <x v="0"/>
    <s v="Genny.Hunter-Barr@manulifesecurities.ca"/>
    <n v="552572"/>
    <s v="User Account"/>
    <n v="1"/>
    <s v="AtBelow"/>
    <s v="CC_Portal"/>
    <n v="0"/>
    <s v="MFC"/>
    <s v="IBMCA"/>
    <s v="ACTIVE ADVISORS AND ASSISTANTS"/>
    <n v="0"/>
    <n v="0"/>
  </r>
  <r>
    <s v="sjesuthasan@cc"/>
    <n v="0"/>
    <x v="1"/>
    <n v="673354"/>
    <n v="1000"/>
    <d v="2017-09-06T12:24:13"/>
    <x v="5"/>
    <x v="15"/>
    <s v="shared.office@manulifesecurities.ca"/>
    <n v="907409"/>
    <s v="Resource"/>
    <n v="1"/>
    <s v="AtBelow"/>
    <s v="CC_Portal"/>
    <s v="AddedAccounts=lynn.curtinlange@manulifesecurities.ca,lindsey.hammond@manulifesecurities.ca,paula.yule@manulifesecurities.ca,elisa.moteeram@manulifesecurities.ca,helena.donaldson@manulifesecurities.ca"/>
    <s v="MFC"/>
    <s v="IBMCA"/>
    <s v="ACTIVE ADVISORS AND ASSISTANTS"/>
    <n v="0"/>
    <n v="0"/>
  </r>
  <r>
    <s v="sjesuthasan@cc"/>
    <n v="0"/>
    <x v="1"/>
    <n v="673354"/>
    <n v="1000"/>
    <d v="2017-09-06T12:24:13"/>
    <x v="4"/>
    <x v="15"/>
    <s v="shared.office@manulifesecurities.ca"/>
    <n v="907409"/>
    <s v="Resource"/>
    <n v="1"/>
    <s v="AtBelow"/>
    <s v="CC_Portal"/>
    <s v="DeletedAccounts="/>
    <s v="MFC"/>
    <s v="IBMCA"/>
    <s v="ACTIVE ADVISORS AND ASSISTANTS"/>
    <n v="0"/>
    <n v="0"/>
  </r>
  <r>
    <s v="sjesuthasan@cc"/>
    <n v="0"/>
    <x v="1"/>
    <n v="673354"/>
    <n v="1000"/>
    <d v="2017-09-06T12:22:53"/>
    <x v="5"/>
    <x v="15"/>
    <s v="boardroom.office@manulifesecurities.ca"/>
    <n v="907411"/>
    <s v="Resource"/>
    <n v="1"/>
    <s v="AtBelow"/>
    <s v="CC_Portal"/>
    <s v="AddedAccounts=lynn.curtinlange@manulifesecurities.ca,lindsey.hammond@manulifesecurities.ca,sheri.bridge@manulifesecurities.ca,paula.yule@manulifesecurities.ca"/>
    <s v="MFC"/>
    <s v="IBMCA"/>
    <s v="ACTIVE ADVISORS AND ASSISTANTS"/>
    <n v="0"/>
    <n v="0"/>
  </r>
  <r>
    <s v="sjesuthasan@cc"/>
    <n v="0"/>
    <x v="1"/>
    <n v="673354"/>
    <n v="1000"/>
    <d v="2017-09-06T12:22:53"/>
    <x v="4"/>
    <x v="15"/>
    <s v="boardroom.office@manulifesecurities.ca"/>
    <n v="907411"/>
    <s v="Resource"/>
    <n v="1"/>
    <s v="AtBelow"/>
    <s v="CC_Portal"/>
    <s v="DeletedAccounts="/>
    <s v="MFC"/>
    <s v="IBMCA"/>
    <s v="ACTIVE ADVISORS AND ASSISTANTS"/>
    <n v="0"/>
    <n v="0"/>
  </r>
  <r>
    <s v="sjesuthasan@cc"/>
    <n v="0"/>
    <x v="1"/>
    <n v="673354"/>
    <n v="1000"/>
    <d v="2017-09-06T12:21:26"/>
    <x v="5"/>
    <x v="16"/>
    <s v="shared.office@manulifesecurities.ca"/>
    <n v="907409"/>
    <s v="Resource"/>
    <n v="1"/>
    <s v="AtBelow"/>
    <s v="CC_WebService"/>
    <s v="Lynn.CurtinLange@manulifesecurities.ca;Sheri.Bridge@manulifesecurities.ca;Paula.Yule@manulifesecurities.ca;Elisa.Moteeram@manulifesecurities.ca;helena.donaldson@manulifesecurities.ca"/>
    <s v="MFC"/>
    <s v="IBMCA"/>
    <s v="ACTIVE ADVISORS AND ASSISTANTS"/>
    <n v="0"/>
    <n v="0"/>
  </r>
  <r>
    <s v="sjesuthasan@cc"/>
    <n v="0"/>
    <x v="1"/>
    <n v="673354"/>
    <n v="1000"/>
    <d v="2017-09-06T12:21:26"/>
    <x v="0"/>
    <x v="17"/>
    <s v="shared.office@manulifesecurities.ca"/>
    <n v="907409"/>
    <s v="Resource"/>
    <n v="1"/>
    <s v="AtBelow"/>
    <s v="CC_WebService"/>
    <b v="0"/>
    <s v="MFC"/>
    <s v="IBMCA"/>
    <s v="ACTIVE ADVISORS AND ASSISTANTS"/>
    <n v="0"/>
    <n v="0"/>
  </r>
  <r>
    <s v="sjesuthasan@cc"/>
    <n v="0"/>
    <x v="1"/>
    <n v="673354"/>
    <n v="1000"/>
    <d v="2017-09-06T12:19:54"/>
    <x v="5"/>
    <x v="16"/>
    <s v="boardroom.office@manulifesecurities.ca"/>
    <n v="907411"/>
    <s v="Resource"/>
    <n v="1"/>
    <s v="AtBelow"/>
    <s v="CC_WebService"/>
    <s v="Lynn.CurtinLange@manulifesecurities.ca;lindsey.hammond@manulifesecurities.ca;Sheri.Bridge@manulifesecurities.ca;Paula.Yule@manulifesecurities.ca"/>
    <s v="MFC"/>
    <s v="IBMCA"/>
    <s v="ACTIVE ADVISORS AND ASSISTANTS"/>
    <n v="0"/>
    <n v="0"/>
  </r>
  <r>
    <s v="sjesuthasan@cc"/>
    <n v="0"/>
    <x v="1"/>
    <n v="673354"/>
    <n v="1000"/>
    <d v="2017-09-06T12:19:54"/>
    <x v="0"/>
    <x v="17"/>
    <s v="boardroom.office@manulifesecurities.ca"/>
    <n v="907411"/>
    <s v="Resource"/>
    <n v="1"/>
    <s v="AtBelow"/>
    <s v="CC_WebService"/>
    <b v="0"/>
    <s v="MFC"/>
    <s v="IBMCA"/>
    <s v="ACTIVE ADVISORS AND ASSISTANTS"/>
    <n v="0"/>
    <n v="0"/>
  </r>
  <r>
    <s v="sjesuthasan@cc"/>
    <n v="0"/>
    <x v="1"/>
    <n v="673354"/>
    <n v="1000"/>
    <d v="2017-09-06T12:18:19"/>
    <x v="5"/>
    <x v="18"/>
    <s v="boardroom.office@manulifesecurities.ca"/>
    <n v="907411"/>
    <s v="Resource"/>
    <n v="1"/>
    <s v="AtBelow"/>
    <s v="CC_Portal"/>
    <s v="PrimaryEmail=boardroom.office@manulifesecurities.ca"/>
    <s v="MFC"/>
    <s v="IBMCA"/>
    <s v="ACTIVE ADVISORS AND ASSISTANTS"/>
    <n v="0"/>
    <n v="0"/>
  </r>
  <r>
    <s v="sjesuthasan@cc"/>
    <n v="0"/>
    <x v="1"/>
    <n v="673354"/>
    <n v="1000"/>
    <d v="2017-09-06T11:59:22"/>
    <x v="5"/>
    <x v="7"/>
    <s v="boardroom.office@manulifesecurities.ca"/>
    <n v="907411"/>
    <s v="Resource"/>
    <n v="1"/>
    <s v="AtBelow"/>
    <s v="CC_Portal"/>
    <s v="PrimaryEmail=boardroom.office@manulifesecurities.ca"/>
    <s v="MFC"/>
    <s v="IBMCA"/>
    <s v="ACTIVE ADVISORS AND ASSISTANTS"/>
    <n v="0"/>
    <n v="0"/>
  </r>
  <r>
    <s v="sjesuthasan@cc"/>
    <n v="0"/>
    <x v="1"/>
    <n v="673354"/>
    <n v="1000"/>
    <d v="2017-09-06T11:57:35"/>
    <x v="5"/>
    <x v="18"/>
    <s v="shared.office@manulifesecurities.ca"/>
    <n v="907409"/>
    <s v="Resource"/>
    <n v="1"/>
    <s v="AtBelow"/>
    <s v="CC_Portal"/>
    <s v="PrimaryEmail=shared.office@manulifesecurities.ca"/>
    <s v="MFC"/>
    <s v="IBMCA"/>
    <s v="ACTIVE ADVISORS AND ASSISTANTS"/>
    <n v="0"/>
    <n v="0"/>
  </r>
  <r>
    <s v="sjesuthasan@cc"/>
    <n v="0"/>
    <x v="1"/>
    <n v="673354"/>
    <n v="1000"/>
    <d v="2017-09-06T11:50:37"/>
    <x v="0"/>
    <x v="19"/>
    <s v="shared.office@manulifesecurities.ca"/>
    <n v="907409"/>
    <s v="Resource"/>
    <n v="1"/>
    <s v="AtBelow"/>
    <s v="CC_WebService"/>
    <m/>
    <s v="MFC"/>
    <s v="IBMCA"/>
    <s v="ACTIVE ADVISORS AND ASSISTANTS"/>
    <n v="0"/>
    <n v="0"/>
  </r>
  <r>
    <s v="sjesuthasan@cc"/>
    <n v="0"/>
    <x v="1"/>
    <n v="673354"/>
    <n v="1000"/>
    <d v="2017-09-06T11:48:12"/>
    <x v="0"/>
    <x v="19"/>
    <s v="shared.office@manulifesecurities.ca"/>
    <n v="907409"/>
    <s v="Resource"/>
    <n v="1"/>
    <s v="AtBelow"/>
    <s v="CC_WebService"/>
    <m/>
    <s v="MFC"/>
    <s v="IBMCA"/>
    <s v="ACTIVE ADVISORS AND ASSISTANTS"/>
    <n v="0"/>
    <n v="0"/>
  </r>
  <r>
    <s v="sjesuthasan@cc"/>
    <n v="0"/>
    <x v="1"/>
    <n v="673354"/>
    <n v="1000"/>
    <d v="2017-09-06T11:46:43"/>
    <x v="5"/>
    <x v="7"/>
    <s v="shared.office@manulifesecurities.ca"/>
    <n v="907409"/>
    <s v="Resource"/>
    <n v="1"/>
    <s v="AtBelow"/>
    <s v="CC_Portal"/>
    <s v="PrimaryEmail=shared.office@manulifesecurities.ca"/>
    <s v="MFC"/>
    <s v="IBMCA"/>
    <s v="ACTIVE ADVISORS AND ASSISTANTS"/>
    <n v="0"/>
    <n v="0"/>
  </r>
  <r>
    <s v="ssotest@mfc.sps.local"/>
    <s v="MFC"/>
    <x v="0"/>
    <n v="551367"/>
    <n v="1000"/>
    <d v="2017-09-06T11:19:53"/>
    <x v="0"/>
    <x v="0"/>
    <s v="zobi.kons@manulifesecurities.ca"/>
    <n v="722926"/>
    <s v="User Account"/>
    <n v="1"/>
    <s v="AtBelow"/>
    <s v="CC_Portal"/>
    <n v="0"/>
    <s v="MFC"/>
    <s v="IBMCA"/>
    <s v="ACTIVE ADVISORS AND ASSISTANTS"/>
    <n v="0"/>
    <n v="0"/>
  </r>
  <r>
    <s v="ssotest@mfc.sps.local"/>
    <s v="MFC"/>
    <x v="0"/>
    <n v="551367"/>
    <n v="1000"/>
    <d v="2017-09-06T11:18:32"/>
    <x v="0"/>
    <x v="0"/>
    <s v="Joseph.LeeSon@manulifesecurities.ca"/>
    <n v="552944"/>
    <s v="User Account"/>
    <n v="1"/>
    <s v="AtBelow"/>
    <s v="CC_Portal"/>
    <n v="0"/>
    <s v="MFC"/>
    <s v="IBMCA"/>
    <s v="ACTIVE ADVISORS AND ASSISTANTS"/>
    <n v="0"/>
    <n v="0"/>
  </r>
  <r>
    <s v="ssotest@mfc.sps.local"/>
    <s v="MFC"/>
    <x v="0"/>
    <n v="551367"/>
    <n v="1000"/>
    <d v="2017-09-06T11:03:15"/>
    <x v="0"/>
    <x v="0"/>
    <s v="Gisele.Burns@manulifesecurities.ca"/>
    <n v="554326"/>
    <s v="User Account"/>
    <n v="1"/>
    <s v="AtBelow"/>
    <s v="CC_Portal"/>
    <n v="0"/>
    <s v="MFC"/>
    <s v="IBMCA"/>
    <s v="ACTIVE ADVISORS AND ASSISTANTS"/>
    <n v="0"/>
    <n v="0"/>
  </r>
  <r>
    <s v="jody.markovic@manulifesecurities.ca"/>
    <s v="MFC"/>
    <x v="0"/>
    <n v="560579"/>
    <n v="3"/>
    <d v="2017-09-06T10:56:11"/>
    <x v="3"/>
    <x v="2"/>
    <s v="n.munchinsky@manulifesecurities.ca"/>
    <n v="906038"/>
    <s v="User Account"/>
    <n v="1"/>
    <s v="AtBelow"/>
    <s v="CC_WebService"/>
    <m/>
    <s v="MFC"/>
    <s v="IBMCA"/>
    <s v="ACTIVE ADVISORS AND ASSISTANTS"/>
    <n v="0"/>
    <n v="0"/>
  </r>
  <r>
    <s v="alex_buena@manulifesecurities.ca"/>
    <s v="MFC"/>
    <x v="0"/>
    <n v="570025"/>
    <n v="3"/>
    <d v="2017-09-06T10:52:44"/>
    <x v="0"/>
    <x v="0"/>
    <s v="janine-vera.goka@manulifesecurities.ca"/>
    <n v="715531"/>
    <s v="User Account"/>
    <n v="1"/>
    <s v="AtBelow"/>
    <s v="CC_Portal"/>
    <n v="0"/>
    <s v="MFC"/>
    <s v="IBMCA"/>
    <s v="ACTIVE ADVISORS AND ASSISTANTS"/>
    <n v="0"/>
    <n v="0"/>
  </r>
  <r>
    <s v="jody.markovic@manulifesecurities.ca"/>
    <s v="MFC"/>
    <x v="0"/>
    <n v="560579"/>
    <n v="3"/>
    <d v="2017-09-06T10:47:08"/>
    <x v="3"/>
    <x v="2"/>
    <s v="n.munchinsky@manulifesecurities.ca"/>
    <n v="906038"/>
    <s v="User Account"/>
    <n v="1"/>
    <s v="AtBelow"/>
    <s v="CC_WebService"/>
    <m/>
    <s v="MFC"/>
    <s v="IBMCA"/>
    <s v="ACTIVE ADVISORS AND ASSISTANTS"/>
    <n v="0"/>
    <n v="0"/>
  </r>
  <r>
    <s v="alex_buena@manulifesecurities.ca"/>
    <s v="MFC"/>
    <x v="0"/>
    <n v="570025"/>
    <n v="3"/>
    <d v="2017-09-06T10:45:51"/>
    <x v="0"/>
    <x v="10"/>
    <s v="janine-vera.goka@manulifesecurities.ca"/>
    <n v="715531"/>
    <s v="User Account"/>
    <n v="1"/>
    <s v="AtBelow"/>
    <s v="CC_Portal"/>
    <s v="Action=Enable;ForwardTo=Lucy.Falcone@manulifesecurities.ca;LeaveCopy=FalseTrue"/>
    <s v="MFC"/>
    <s v="IBMCA"/>
    <s v="ACTIVE ADVISORS AND ASSISTANTS"/>
    <n v="0"/>
    <n v="0"/>
  </r>
  <r>
    <s v="alex_buena@manulifesecurities.ca"/>
    <s v="MFC"/>
    <x v="0"/>
    <n v="570025"/>
    <n v="3"/>
    <d v="2017-09-06T10:45:51"/>
    <x v="0"/>
    <x v="10"/>
    <s v="janine-vera.goka@manulifesecurities.ca"/>
    <n v="715531"/>
    <s v="User Account"/>
    <n v="1"/>
    <s v="AtBelow"/>
    <s v="CC_Portal"/>
    <s v="Action=Enable;ForwardTo=Lucy.Falcone@manulifesecurities.ca;LeaveCopy=FalseTrue"/>
    <s v="MFC"/>
    <s v="IBMCA"/>
    <s v="ACTIVE ADVISORS AND ASSISTANTS"/>
    <n v="0"/>
    <n v="0"/>
  </r>
  <r>
    <s v="alex_buena@manulifesecurities.ca"/>
    <s v="MFC"/>
    <x v="0"/>
    <n v="570025"/>
    <n v="3"/>
    <d v="2017-09-06T10:43:58"/>
    <x v="0"/>
    <x v="4"/>
    <s v="janine-vera.goka@manulifesecurities.ca"/>
    <n v="715531"/>
    <s v="User Account"/>
    <n v="1"/>
    <s v="AtBelow"/>
    <s v="CC_Portal"/>
    <s v="oldOrgGroup=DISABLED USERS;newOrgGroup=ACTIVE ADVISORS AND ASSISTANTS"/>
    <s v="MFC"/>
    <s v="IBMCA"/>
    <s v="ACTIVE ADVISORS AND ASSISTANTS"/>
    <n v="0"/>
    <n v="0"/>
  </r>
  <r>
    <s v="alex_buena@manulifesecurities.ca"/>
    <s v="MFC"/>
    <x v="0"/>
    <n v="570025"/>
    <n v="3"/>
    <d v="2017-09-06T10:39:46"/>
    <x v="0"/>
    <x v="3"/>
    <s v="janine-vera.goka@manulifesecurities.ca"/>
    <n v="715531"/>
    <s v="User Account"/>
    <n v="1"/>
    <s v="AtBelow"/>
    <s v="CC_Portal"/>
    <s v="Enable"/>
    <s v="MFC"/>
    <s v="IBMCA"/>
    <s v="DISABLED USERS"/>
    <n v="0"/>
    <n v="0"/>
  </r>
  <r>
    <s v="ssotest@mfc.sps.local"/>
    <s v="MFC"/>
    <x v="0"/>
    <n v="551367"/>
    <n v="1000"/>
    <d v="2017-09-06T10:36:23"/>
    <x v="0"/>
    <x v="0"/>
    <s v="Laurel.Nytchay@manulifesecurities.ca"/>
    <n v="553161"/>
    <s v="User Account"/>
    <n v="1"/>
    <s v="AtBelow"/>
    <s v="CC_Portal"/>
    <n v="0"/>
    <s v="MFC"/>
    <s v="IBMCA"/>
    <s v="ACTIVE ADVISORS AND ASSISTANTS"/>
    <n v="0"/>
    <n v="0"/>
  </r>
  <r>
    <s v="ssotest@mfc.sps.local"/>
    <s v="MFC"/>
    <x v="0"/>
    <n v="551367"/>
    <n v="1000"/>
    <d v="2017-09-06T10:18:22"/>
    <x v="0"/>
    <x v="0"/>
    <s v="Brent.Smalley@manulifesecurities.ca"/>
    <n v="554179"/>
    <s v="User Account"/>
    <n v="1"/>
    <s v="AtBelow"/>
    <s v="CC_Portal"/>
    <n v="0"/>
    <s v="MFC"/>
    <s v="IBMCA"/>
    <s v="ACTIVE ADVISORS AND ASSISTANTS"/>
    <n v="0"/>
    <n v="0"/>
  </r>
  <r>
    <s v="alex_buena@manulifesecurities.ca"/>
    <s v="MFC"/>
    <x v="0"/>
    <n v="570025"/>
    <n v="3"/>
    <d v="2017-09-06T10:14:24"/>
    <x v="0"/>
    <x v="5"/>
    <s v="kerry.shoremansawicki@manulifesecurities.ca"/>
    <n v="907387"/>
    <s v="User Account"/>
    <n v="1"/>
    <s v="AtBelow"/>
    <s v="CC_Portal"/>
    <n v="0"/>
    <s v="MFC"/>
    <s v="IBMCA"/>
    <s v="ACTIVE ADVISORS AND ASSISTANTS"/>
    <n v="0"/>
    <n v="0"/>
  </r>
  <r>
    <s v="alex_buena@manulifesecurities.ca"/>
    <s v="MFC"/>
    <x v="0"/>
    <n v="570025"/>
    <n v="3"/>
    <d v="2017-09-06T10:14:23"/>
    <x v="5"/>
    <x v="6"/>
    <s v="MSI_autoEmailArchive@manulifesecurities.ca"/>
    <n v="561482"/>
    <s v="Distribution List"/>
    <n v="1"/>
    <s v="Any"/>
    <s v="CC_Portal"/>
    <s v="60e324c26dac400f91c4f265ec4439f9"/>
    <s v="MFC"/>
    <s v="IBMCA"/>
    <s v="ALL GROUPS"/>
    <n v="0"/>
    <n v="0"/>
  </r>
  <r>
    <s v="alex_buena@manulifesecurities.ca"/>
    <s v="MFC"/>
    <x v="0"/>
    <n v="570025"/>
    <n v="3"/>
    <d v="2017-09-06T10:14:22"/>
    <x v="5"/>
    <x v="6"/>
    <s v="AllAssistants@manulifesecurities.ca"/>
    <n v="555660"/>
    <s v="Distribution List"/>
    <n v="1"/>
    <s v="Any"/>
    <s v="CC_Portal"/>
    <s v="60e324c26dac400f91c4f265ec4439f9"/>
    <s v="MFC"/>
    <s v="IBMCA"/>
    <s v="ALL GROUPS"/>
    <n v="0"/>
    <n v="0"/>
  </r>
  <r>
    <s v="alex_buena@manulifesecurities.ca"/>
    <s v="MFC"/>
    <x v="0"/>
    <n v="570025"/>
    <n v="3"/>
    <d v="2017-09-06T10:14:20"/>
    <x v="0"/>
    <x v="5"/>
    <s v="kerry.shoremansawicki@manulifesecurities.ca"/>
    <n v="907387"/>
    <s v="User Account"/>
    <n v="1"/>
    <s v="AtBelow"/>
    <s v="CC_Portal"/>
    <n v="0"/>
    <s v="MFC"/>
    <s v="IBMCA"/>
    <s v="ACTIVE ADVISORS AND ASSISTANTS"/>
    <n v="0"/>
    <n v="0"/>
  </r>
  <r>
    <s v="alex_buena@manulifesecurities.ca"/>
    <s v="MFC"/>
    <x v="0"/>
    <n v="570025"/>
    <n v="3"/>
    <d v="2017-09-06T10:13:56"/>
    <x v="0"/>
    <x v="5"/>
    <s v="kerry.shoremansawicki@manulifesecurities.ca"/>
    <n v="907387"/>
    <s v="User Account"/>
    <n v="1"/>
    <s v="AtBelow"/>
    <s v="CC_Portal"/>
    <n v="0"/>
    <s v="MFC"/>
    <s v="IBMCA"/>
    <s v="ACTIVE ADVISORS AND ASSISTANTS"/>
    <n v="0"/>
    <n v="0"/>
  </r>
  <r>
    <s v="alex_buena@manulifesecurities.ca"/>
    <s v="MFC"/>
    <x v="0"/>
    <n v="570025"/>
    <n v="3"/>
    <d v="2017-09-06T10:13:28"/>
    <x v="5"/>
    <x v="7"/>
    <s v="kerry.shoremansawicki@manulifesecurities.ca"/>
    <n v="907387"/>
    <s v="User Account"/>
    <n v="1"/>
    <s v="AtBelow"/>
    <s v="CC_Portal"/>
    <s v="PrimaryEmail=kerry.shoremansawicki@manulifesecurities.ca"/>
    <s v="MFC"/>
    <s v="IBMCA"/>
    <s v="ACTIVE ADVISORS AND ASSISTANTS"/>
    <n v="0"/>
    <n v="0"/>
  </r>
  <r>
    <s v="jeff.lotz@manulifesecurities.ca"/>
    <s v="MFC"/>
    <x v="0"/>
    <n v="722441"/>
    <n v="3"/>
    <d v="2017-09-06T09:58:18"/>
    <x v="3"/>
    <x v="2"/>
    <s v="harj.sahota@manulifesecurities.ca"/>
    <n v="814693"/>
    <s v="User Account"/>
    <n v="1"/>
    <s v="AtBelow"/>
    <s v="CC_WebService"/>
    <m/>
    <s v="MFC"/>
    <s v="IBMCA"/>
    <s v="ACTIVE ADVISORS AND ASSISTANTS"/>
    <n v="0"/>
    <n v="0"/>
  </r>
  <r>
    <s v="ssotest@mfc.sps.local"/>
    <s v="MFC"/>
    <x v="0"/>
    <n v="551367"/>
    <n v="1000"/>
    <d v="2017-09-06T09:55:48"/>
    <x v="0"/>
    <x v="0"/>
    <s v="Vivian.Chang@manulifesecurities.ca"/>
    <n v="554274"/>
    <s v="User Account"/>
    <n v="1"/>
    <s v="AtBelow"/>
    <s v="CC_Portal"/>
    <n v="0"/>
    <s v="MFC"/>
    <s v="IBMCA"/>
    <s v="ACTIVE ADVISORS AND ASSISTANTS"/>
    <n v="0"/>
    <n v="0"/>
  </r>
  <r>
    <s v="patrick.harkins@manulifesecurities.ca"/>
    <s v="MFC"/>
    <x v="0"/>
    <n v="560864"/>
    <n v="3"/>
    <d v="2017-09-06T09:52:20"/>
    <x v="3"/>
    <x v="2"/>
    <s v="Vivian.Chang@manulifesecurities.ca"/>
    <n v="554274"/>
    <s v="User Account"/>
    <n v="1"/>
    <s v="AtBelow"/>
    <s v="CC_WebService"/>
    <m/>
    <s v="MFC"/>
    <s v="IBMCA"/>
    <s v="ACTIVE ADVISORS AND ASSISTANTS"/>
    <n v="0"/>
    <n v="0"/>
  </r>
  <r>
    <s v="alex_buena@manulifesecurities.ca"/>
    <s v="MFC"/>
    <x v="0"/>
    <n v="570025"/>
    <n v="3"/>
    <d v="2017-09-06T09:33:32"/>
    <x v="0"/>
    <x v="4"/>
    <s v="ashley.mcvicar@manulifesecurities.ca"/>
    <n v="865136"/>
    <s v="User Account"/>
    <n v="1"/>
    <s v="AtBelow"/>
    <s v="CC_Portal"/>
    <s v="oldOrgGroup=ACTIVE ADVISORS AND ASSISTANTS;newOrgGroup=DISABLED USERS"/>
    <s v="MFC"/>
    <s v="IBMCA"/>
    <s v="DISABLED USERS"/>
    <n v="0"/>
    <n v="0"/>
  </r>
  <r>
    <s v="alex_buena@manulifesecurities.ca"/>
    <s v="MFC"/>
    <x v="0"/>
    <n v="570025"/>
    <n v="3"/>
    <d v="2017-09-06T09:33:03"/>
    <x v="0"/>
    <x v="5"/>
    <s v="ashley.mcvicar@manulifesecurities.ca"/>
    <n v="865136"/>
    <s v="User Account"/>
    <n v="1"/>
    <s v="AtBelow"/>
    <s v="CC_Portal"/>
    <n v="0"/>
    <s v="MFC"/>
    <s v="IBMCA"/>
    <s v="ACTIVE ADVISORS AND ASSISTANTS"/>
    <n v="0"/>
    <n v="0"/>
  </r>
  <r>
    <s v="alex_buena@manulifesecurities.ca"/>
    <s v="MFC"/>
    <x v="0"/>
    <n v="570025"/>
    <n v="3"/>
    <d v="2017-09-06T09:33:02"/>
    <x v="4"/>
    <x v="6"/>
    <s v="MSI_autoEmailArchive@manulifesecurities.ca"/>
    <n v="561482"/>
    <s v="Distribution List"/>
    <n v="1"/>
    <s v="Any"/>
    <s v="CC_Portal"/>
    <s v="cc727f65cc7c4dd5bc95a705d03dc9d1"/>
    <s v="MFC"/>
    <s v="IBMCA"/>
    <s v="ALL GROUPS"/>
    <n v="0"/>
    <n v="0"/>
  </r>
  <r>
    <s v="alex_buena@manulifesecurities.ca"/>
    <s v="MFC"/>
    <x v="0"/>
    <n v="570025"/>
    <n v="3"/>
    <d v="2017-09-06T09:33:01"/>
    <x v="4"/>
    <x v="6"/>
    <s v="AllAssistants@manulifesecurities.ca"/>
    <n v="555660"/>
    <s v="Distribution List"/>
    <n v="1"/>
    <s v="Any"/>
    <s v="CC_Portal"/>
    <s v="cc727f65cc7c4dd5bc95a705d03dc9d1"/>
    <s v="MFC"/>
    <s v="IBMCA"/>
    <s v="ALL GROUPS"/>
    <n v="0"/>
    <n v="0"/>
  </r>
  <r>
    <s v="alex_buena@manulifesecurities.ca"/>
    <s v="MFC"/>
    <x v="0"/>
    <n v="570025"/>
    <n v="3"/>
    <d v="2017-09-06T09:32:59"/>
    <x v="0"/>
    <x v="5"/>
    <s v="ashley.mcvicar@manulifesecurities.ca"/>
    <n v="865136"/>
    <s v="User Account"/>
    <n v="1"/>
    <s v="AtBelow"/>
    <s v="CC_Portal"/>
    <n v="0"/>
    <s v="MFC"/>
    <s v="IBMCA"/>
    <s v="ACTIVE ADVISORS AND ASSISTANTS"/>
    <n v="0"/>
    <n v="0"/>
  </r>
  <r>
    <s v="alex_buena@manulifesecurities.ca"/>
    <s v="MFC"/>
    <x v="0"/>
    <n v="570025"/>
    <n v="3"/>
    <d v="2017-09-06T09:32:54"/>
    <x v="0"/>
    <x v="5"/>
    <s v="ashley.mcvicar@manulifesecurities.ca"/>
    <n v="865136"/>
    <s v="User Account"/>
    <n v="1"/>
    <s v="AtBelow"/>
    <s v="CC_Portal"/>
    <n v="0"/>
    <s v="MFC"/>
    <s v="IBMCA"/>
    <s v="ACTIVE ADVISORS AND ASSISTANTS"/>
    <n v="0"/>
    <n v="0"/>
  </r>
  <r>
    <s v="alex_buena@manulifesecurities.ca"/>
    <s v="MFC"/>
    <x v="0"/>
    <n v="570025"/>
    <n v="3"/>
    <d v="2017-09-06T09:32:34"/>
    <x v="0"/>
    <x v="3"/>
    <s v="ashley.mcvicar@manulifesecurities.ca"/>
    <n v="865136"/>
    <s v="User Account"/>
    <n v="1"/>
    <s v="AtBelow"/>
    <s v="CC_Portal"/>
    <s v="Disable"/>
    <s v="MFC"/>
    <s v="IBMCA"/>
    <s v="ACTIVE ADVISORS AND ASSISTANTS"/>
    <n v="0"/>
    <n v="0"/>
  </r>
  <r>
    <s v="adiano.kitenge@manulifesecurities.ca"/>
    <s v="MFC"/>
    <x v="0"/>
    <n v="627566"/>
    <n v="3"/>
    <d v="2017-09-06T09:26:10"/>
    <x v="3"/>
    <x v="2"/>
    <s v="kelly.gray@manulifesecurities.ca"/>
    <n v="840602"/>
    <s v="User Account"/>
    <n v="1"/>
    <s v="AtBelow"/>
    <s v="CC_WebService"/>
    <m/>
    <s v="MFC"/>
    <s v="IBMCA"/>
    <s v="ACTIVE ADVISORS AND ASSISTANTS"/>
    <n v="0"/>
    <n v="0"/>
  </r>
  <r>
    <s v="adiano.kitenge@manulifesecurities.ca"/>
    <s v="MFC"/>
    <x v="0"/>
    <n v="627566"/>
    <n v="3"/>
    <d v="2017-09-06T09:25:53"/>
    <x v="0"/>
    <x v="3"/>
    <s v="kelly.gray@manulifesecurities.ca"/>
    <n v="840602"/>
    <s v="User Account"/>
    <n v="1"/>
    <s v="SelfBelow"/>
    <s v="CC_Portal"/>
    <s v="Enable"/>
    <s v="MFC"/>
    <s v="IBMCA"/>
    <s v="ACTIVE ADVISORS AND ASSISTANTS"/>
    <n v="0"/>
    <n v="0"/>
  </r>
  <r>
    <s v="adiano.kitenge@manulifesecurities.ca"/>
    <s v="MFC"/>
    <x v="0"/>
    <n v="627566"/>
    <n v="3"/>
    <d v="2017-09-06T09:25:53"/>
    <x v="0"/>
    <x v="3"/>
    <s v="kelly.gray@manulifesecurities.ca"/>
    <n v="840602"/>
    <s v="User Account"/>
    <n v="1"/>
    <s v="SelfBelow"/>
    <s v="CC_Portal"/>
    <s v="Enable"/>
    <s v="MFC"/>
    <s v="IBMCA"/>
    <s v="ACTIVE ADVISORS AND ASSISTANTS"/>
    <n v="0"/>
    <n v="0"/>
  </r>
  <r>
    <s v="ssotest@mfc.sps.local"/>
    <s v="MFC"/>
    <x v="0"/>
    <n v="551367"/>
    <n v="1000"/>
    <d v="2017-09-06T08:56:39"/>
    <x v="0"/>
    <x v="0"/>
    <s v="cameron.locke@manulifesecurities.ca"/>
    <n v="808752"/>
    <s v="User Account"/>
    <n v="1"/>
    <s v="AtBelow"/>
    <s v="CC_Portal"/>
    <n v="0"/>
    <s v="MFC"/>
    <s v="IBMCA"/>
    <s v="ACTIVE ADVISORS AND ASSISTANTS"/>
    <n v="0"/>
    <n v="0"/>
  </r>
  <r>
    <s v="alex_buena@manulifesecurities.ca"/>
    <s v="MFC"/>
    <x v="0"/>
    <n v="570025"/>
    <n v="3"/>
    <d v="2017-09-06T08:51:00"/>
    <x v="0"/>
    <x v="5"/>
    <s v="Alison.Ellis@manulifesecurities.ca"/>
    <n v="551759"/>
    <s v="User Account"/>
    <n v="1"/>
    <s v="AtBelow"/>
    <s v="CC_Portal"/>
    <n v="0"/>
    <s v="MFC"/>
    <s v="IBMCA"/>
    <s v="DISABLED USERS"/>
    <n v="0"/>
    <n v="0"/>
  </r>
  <r>
    <s v="alex_buena@manulifesecurities.ca"/>
    <s v="MFC"/>
    <x v="0"/>
    <n v="570025"/>
    <n v="3"/>
    <d v="2017-09-06T08:50:41"/>
    <x v="0"/>
    <x v="4"/>
    <s v="Alison.Ellis@manulifesecurities.ca"/>
    <n v="551759"/>
    <s v="User Account"/>
    <n v="1"/>
    <s v="AtBelow"/>
    <s v="CC_Portal"/>
    <s v="oldOrgGroup=ACTIVE ADVISORS AND ASSISTANTS;newOrgGroup=DISABLED USERS"/>
    <s v="MFC"/>
    <s v="IBMCA"/>
    <s v="DISABLED USERS"/>
    <n v="0"/>
    <n v="0"/>
  </r>
  <r>
    <s v="alex_buena@manulifesecurities.ca"/>
    <s v="MFC"/>
    <x v="0"/>
    <n v="570025"/>
    <n v="3"/>
    <d v="2017-09-06T08:49:35"/>
    <x v="0"/>
    <x v="5"/>
    <s v="Alison.Ellis@manulifesecurities.ca"/>
    <n v="551759"/>
    <s v="User Account"/>
    <n v="1"/>
    <s v="AtBelow"/>
    <s v="CC_Portal"/>
    <n v="0"/>
    <s v="MFC"/>
    <s v="IBMCA"/>
    <s v="ACTIVE ADVISORS AND ASSISTANTS"/>
    <n v="0"/>
    <n v="0"/>
  </r>
  <r>
    <s v="alex_buena@manulifesecurities.ca"/>
    <s v="MFC"/>
    <x v="0"/>
    <n v="570025"/>
    <n v="3"/>
    <d v="2017-09-06T08:49:34"/>
    <x v="4"/>
    <x v="6"/>
    <s v="MSI_autoEmailArchive@manulifesecurities.ca"/>
    <n v="561482"/>
    <s v="Distribution List"/>
    <n v="1"/>
    <s v="Any"/>
    <s v="CC_Portal"/>
    <s v="07e0a41482d44bbf8fcd50c485ee7251"/>
    <s v="MFC"/>
    <s v="IBMCA"/>
    <s v="ALL GROUPS"/>
    <n v="0"/>
    <n v="0"/>
  </r>
  <r>
    <s v="alex_buena@manulifesecurities.ca"/>
    <s v="MFC"/>
    <x v="0"/>
    <n v="570025"/>
    <n v="3"/>
    <d v="2017-09-06T08:48:37"/>
    <x v="4"/>
    <x v="6"/>
    <s v="AllAssistants@manulifesecurities.ca"/>
    <n v="555660"/>
    <s v="Distribution List"/>
    <n v="1"/>
    <s v="Any"/>
    <s v="CC_Portal"/>
    <s v="07e0a41482d44bbf8fcd50c485ee7251"/>
    <s v="MFC"/>
    <s v="IBMCA"/>
    <s v="ALL GROUPS"/>
    <n v="0"/>
    <n v="0"/>
  </r>
  <r>
    <s v="alex_buena@manulifesecurities.ca"/>
    <s v="MFC"/>
    <x v="0"/>
    <n v="570025"/>
    <n v="3"/>
    <d v="2017-09-06T08:45:06"/>
    <x v="4"/>
    <x v="6"/>
    <s v="Advisors@manulifesecurities.ca"/>
    <n v="555668"/>
    <s v="Distribution List"/>
    <n v="1"/>
    <s v="Any"/>
    <s v="CC_Portal"/>
    <s v="07e0a41482d44bbf8fcd50c485ee7251"/>
    <s v="MFC"/>
    <s v="IBMCA"/>
    <s v="ALL GROUPS"/>
    <n v="0"/>
    <n v="0"/>
  </r>
  <r>
    <s v="alex_buena@manulifesecurities.ca"/>
    <s v="MFC"/>
    <x v="0"/>
    <n v="570025"/>
    <n v="3"/>
    <d v="2017-09-06T08:44:43"/>
    <x v="0"/>
    <x v="5"/>
    <s v="Alison.Ellis@manulifesecurities.ca"/>
    <n v="551759"/>
    <s v="User Account"/>
    <n v="1"/>
    <s v="AtBelow"/>
    <s v="CC_Portal"/>
    <n v="0"/>
    <s v="MFC"/>
    <s v="IBMCA"/>
    <s v="ACTIVE ADVISORS AND ASSISTANTS"/>
    <n v="0"/>
    <n v="0"/>
  </r>
  <r>
    <s v="alex_buena@manulifesecurities.ca"/>
    <s v="MFC"/>
    <x v="0"/>
    <n v="570025"/>
    <n v="3"/>
    <d v="2017-09-06T08:44:38"/>
    <x v="0"/>
    <x v="5"/>
    <s v="Alison.Ellis@manulifesecurities.ca"/>
    <n v="551759"/>
    <s v="User Account"/>
    <n v="1"/>
    <s v="AtBelow"/>
    <s v="CC_Portal"/>
    <n v="0"/>
    <s v="MFC"/>
    <s v="IBMCA"/>
    <s v="ACTIVE ADVISORS AND ASSISTANTS"/>
    <n v="0"/>
    <n v="0"/>
  </r>
  <r>
    <s v="ssotest@mfc.sps.local"/>
    <s v="MFC"/>
    <x v="0"/>
    <n v="551367"/>
    <n v="1000"/>
    <d v="2017-09-06T08:43:33"/>
    <x v="0"/>
    <x v="0"/>
    <s v="Patty.Mendola@manulifesecurities.ca"/>
    <n v="553664"/>
    <s v="User Account"/>
    <n v="1"/>
    <s v="AtBelow"/>
    <s v="CC_Portal"/>
    <n v="0"/>
    <s v="MFC"/>
    <s v="IBMCA"/>
    <s v="ACTIVE ADVISORS AND ASSISTANTS"/>
    <n v="0"/>
    <n v="0"/>
  </r>
  <r>
    <s v="alex_buena@manulifesecurities.ca"/>
    <s v="MFC"/>
    <x v="0"/>
    <n v="570025"/>
    <n v="3"/>
    <d v="2017-09-06T08:41:49"/>
    <x v="0"/>
    <x v="3"/>
    <s v="Alison.Ellis@manulifesecurities.ca"/>
    <n v="551759"/>
    <s v="User Account"/>
    <n v="1"/>
    <s v="AtBelow"/>
    <s v="CC_Portal"/>
    <s v="Disable"/>
    <s v="MFC"/>
    <s v="IBMCA"/>
    <s v="ACTIVE ADVISORS AND ASSISTANTS"/>
    <n v="0"/>
    <n v="0"/>
  </r>
  <r>
    <s v="alex_buena@manulifesecurities.ca"/>
    <s v="MFC"/>
    <x v="0"/>
    <n v="570025"/>
    <n v="3"/>
    <d v="2017-09-06T08:26:29"/>
    <x v="0"/>
    <x v="4"/>
    <s v="janine-vera.goka@manulifesecurities.ca"/>
    <n v="715531"/>
    <s v="User Account"/>
    <n v="1"/>
    <s v="AtBelow"/>
    <s v="CC_Portal"/>
    <s v="oldOrgGroup=ACTIVE ADVISORS AND ASSISTANTS;newOrgGroup=DISABLED USERS"/>
    <s v="MFC"/>
    <s v="IBMCA"/>
    <s v="DISABLED USERS"/>
    <n v="0"/>
    <n v="0"/>
  </r>
  <r>
    <s v="alex_buena@manulifesecurities.ca"/>
    <s v="MFC"/>
    <x v="0"/>
    <n v="570025"/>
    <n v="3"/>
    <d v="2017-09-06T08:24:35"/>
    <x v="4"/>
    <x v="6"/>
    <s v="MSI_autoSupervision@manulifesecurities.ca"/>
    <n v="561483"/>
    <s v="Distribution List"/>
    <n v="1"/>
    <s v="Any"/>
    <s v="CC_Portal"/>
    <s v="c72542213eb8415b8709ed6751c9ff70"/>
    <s v="MFC"/>
    <s v="IBMCA"/>
    <s v="ALL GROUPS"/>
    <n v="0"/>
    <n v="0"/>
  </r>
  <r>
    <s v="alex_buena@manulifesecurities.ca"/>
    <s v="MFC"/>
    <x v="0"/>
    <n v="570025"/>
    <n v="3"/>
    <d v="2017-09-06T08:24:35"/>
    <x v="0"/>
    <x v="5"/>
    <s v="janine-vera.goka@manulifesecurities.ca"/>
    <n v="715531"/>
    <s v="User Account"/>
    <n v="1"/>
    <s v="AtBelow"/>
    <s v="CC_Portal"/>
    <n v="0"/>
    <s v="MFC"/>
    <s v="IBMCA"/>
    <s v="ACTIVE ADVISORS AND ASSISTANTS"/>
    <n v="0"/>
    <n v="0"/>
  </r>
  <r>
    <s v="alex_buena@manulifesecurities.ca"/>
    <s v="MFC"/>
    <x v="0"/>
    <n v="570025"/>
    <n v="3"/>
    <d v="2017-09-06T08:24:34"/>
    <x v="4"/>
    <x v="6"/>
    <s v="MSI_autoEmailArchive@manulifesecurities.ca"/>
    <n v="561482"/>
    <s v="Distribution List"/>
    <n v="1"/>
    <s v="Any"/>
    <s v="CC_Portal"/>
    <s v="c72542213eb8415b8709ed6751c9ff70"/>
    <s v="MFC"/>
    <s v="IBMCA"/>
    <s v="ALL GROUPS"/>
    <n v="0"/>
    <n v="0"/>
  </r>
  <r>
    <s v="alex_buena@manulifesecurities.ca"/>
    <s v="MFC"/>
    <x v="0"/>
    <n v="570025"/>
    <n v="3"/>
    <d v="2017-09-06T08:24:31"/>
    <x v="4"/>
    <x v="6"/>
    <s v="AllAdvisors@manulifesecurities.ca"/>
    <n v="555659"/>
    <s v="Distribution List"/>
    <n v="1"/>
    <s v="Any"/>
    <s v="CC_Portal"/>
    <s v="c72542213eb8415b8709ed6751c9ff70"/>
    <s v="MFC"/>
    <s v="IBMCA"/>
    <s v="ALL GROUPS"/>
    <n v="0"/>
    <n v="0"/>
  </r>
  <r>
    <s v="alex_buena@manulifesecurities.ca"/>
    <s v="MFC"/>
    <x v="0"/>
    <n v="570025"/>
    <n v="3"/>
    <d v="2017-09-06T08:24:27"/>
    <x v="0"/>
    <x v="5"/>
    <s v="janine-vera.goka@manulifesecurities.ca"/>
    <n v="715531"/>
    <s v="User Account"/>
    <n v="1"/>
    <s v="AtBelow"/>
    <s v="CC_Portal"/>
    <n v="0"/>
    <s v="MFC"/>
    <s v="IBMCA"/>
    <s v="ACTIVE ADVISORS AND ASSISTANTS"/>
    <n v="0"/>
    <n v="0"/>
  </r>
  <r>
    <s v="alex_buena@manulifesecurities.ca"/>
    <s v="MFC"/>
    <x v="0"/>
    <n v="570025"/>
    <n v="3"/>
    <d v="2017-09-06T08:24:06"/>
    <x v="0"/>
    <x v="5"/>
    <s v="janine-vera.goka@manulifesecurities.ca"/>
    <n v="715531"/>
    <s v="User Account"/>
    <n v="1"/>
    <s v="AtBelow"/>
    <s v="CC_Portal"/>
    <n v="0"/>
    <s v="MFC"/>
    <s v="IBMCA"/>
    <s v="ACTIVE ADVISORS AND ASSISTANTS"/>
    <n v="0"/>
    <n v="0"/>
  </r>
  <r>
    <s v="alex_buena@manulifesecurities.ca"/>
    <s v="MFC"/>
    <x v="0"/>
    <n v="570025"/>
    <n v="3"/>
    <d v="2017-09-06T08:20:01"/>
    <x v="0"/>
    <x v="3"/>
    <s v="janine-vera.goka@manulifesecurities.ca"/>
    <n v="715531"/>
    <s v="User Account"/>
    <n v="1"/>
    <s v="AtBelow"/>
    <s v="CC_Portal"/>
    <s v="Disable"/>
    <s v="MFC"/>
    <s v="IBMCA"/>
    <s v="ACTIVE ADVISORS AND ASSISTANTS"/>
    <n v="0"/>
    <n v="0"/>
  </r>
  <r>
    <s v="ssotest@mfc.sps.local"/>
    <s v="MFC"/>
    <x v="0"/>
    <n v="551367"/>
    <n v="1000"/>
    <d v="2017-09-06T00:20:28"/>
    <x v="0"/>
    <x v="0"/>
    <s v="Fred.Milsum@manulifesecurities.ca"/>
    <n v="552541"/>
    <s v="User Account"/>
    <n v="1"/>
    <s v="AtBelow"/>
    <s v="CC_Portal"/>
    <n v="0"/>
    <s v="MFC"/>
    <s v="IBMCA"/>
    <s v="ACTIVE ADVISORS AND ASSISTANTS"/>
    <n v="0"/>
    <n v="0"/>
  </r>
  <r>
    <s v="ssotest@mfc.sps.local"/>
    <s v="MFC"/>
    <x v="0"/>
    <n v="551367"/>
    <n v="1000"/>
    <d v="2017-09-05T20:14:08"/>
    <x v="0"/>
    <x v="0"/>
    <s v="vern.lunz@manulifesecurities.ca"/>
    <n v="561057"/>
    <s v="User Account"/>
    <n v="1"/>
    <s v="AtBelow"/>
    <s v="CC_Portal"/>
    <n v="0"/>
    <s v="MFC"/>
    <s v="IBMCA"/>
    <s v="DISABLED USERS"/>
    <n v="0"/>
    <n v="0"/>
  </r>
  <r>
    <s v="ssotest@mfc.sps.local"/>
    <s v="MFC"/>
    <x v="0"/>
    <n v="551367"/>
    <n v="1000"/>
    <d v="2017-09-05T19:52:57"/>
    <x v="0"/>
    <x v="0"/>
    <s v="karyn.williams@manulifesecurities.ca"/>
    <n v="722847"/>
    <s v="User Account"/>
    <n v="1"/>
    <s v="AtBelow"/>
    <s v="CC_Portal"/>
    <n v="0"/>
    <s v="MFC"/>
    <s v="IBMCA"/>
    <s v="ACTIVE ADVISORS AND ASSISTANTS"/>
    <n v="0"/>
    <n v="0"/>
  </r>
  <r>
    <s v="ssotest@mfc.sps.local"/>
    <s v="MFC"/>
    <x v="0"/>
    <n v="551367"/>
    <n v="1000"/>
    <d v="2017-09-05T18:33:25"/>
    <x v="0"/>
    <x v="0"/>
    <s v="Joe.Silva@manulifesecurities.ca"/>
    <n v="552885"/>
    <s v="User Account"/>
    <n v="1"/>
    <s v="AtBelow"/>
    <s v="CC_Portal"/>
    <n v="0"/>
    <s v="MFC"/>
    <s v="IBMCA"/>
    <s v="ACTIVE ADVISORS AND ASSISTANTS"/>
    <n v="0"/>
    <n v="0"/>
  </r>
  <r>
    <s v="marshall.hett@manulifesecurities.ca"/>
    <s v="MFC"/>
    <x v="0"/>
    <n v="707864"/>
    <n v="3"/>
    <d v="2017-09-05T17:01:25"/>
    <x v="3"/>
    <x v="2"/>
    <s v="D.Talliss@manulifesecurities.ca"/>
    <n v="552325"/>
    <s v="User Account"/>
    <n v="1"/>
    <s v="AtBelow"/>
    <s v="CC_WebService"/>
    <m/>
    <s v="MFC"/>
    <s v="IBMCA"/>
    <s v="ACTIVE ADVISORS AND ASSISTANTS"/>
    <n v="0"/>
    <n v="0"/>
  </r>
  <r>
    <s v="ssotest@mfc.sps.local"/>
    <s v="MFC"/>
    <x v="0"/>
    <n v="551367"/>
    <n v="1000"/>
    <d v="2017-09-05T16:46:19"/>
    <x v="0"/>
    <x v="0"/>
    <s v="Dan.McKinnon@manulifesecurities.ca"/>
    <n v="552228"/>
    <s v="User Account"/>
    <n v="1"/>
    <s v="AtBelow"/>
    <s v="CC_Portal"/>
    <n v="0"/>
    <s v="MFC"/>
    <s v="IBMCA"/>
    <s v="ACTIVE ADVISORS AND ASSISTANTS"/>
    <n v="0"/>
    <n v="0"/>
  </r>
  <r>
    <s v="crystal.parkinson@manulifesecurities.ca"/>
    <s v="MFC"/>
    <x v="0"/>
    <n v="637976"/>
    <n v="1"/>
    <d v="2017-09-05T16:45:03"/>
    <x v="1"/>
    <x v="1"/>
    <s v="crystal.parkinson@manulifesecurities.ca"/>
    <n v="637976"/>
    <s v="User Account"/>
    <n v="0"/>
    <s v="Deny"/>
    <s v="CC_Portal"/>
    <n v="0"/>
    <s v="MFC"/>
    <s v="IBMCA"/>
    <s v="ACTIVE ADVISORS AND ASSISTANTS"/>
    <n v="0"/>
    <n v="0"/>
  </r>
  <r>
    <s v="crystal.parkinson@manulifesecurities.ca"/>
    <s v="MFC"/>
    <x v="0"/>
    <n v="637976"/>
    <n v="1"/>
    <d v="2017-09-05T16:45:03"/>
    <x v="2"/>
    <x v="1"/>
    <s v="crystal.parkinson@manulifesecurities.ca"/>
    <n v="637976"/>
    <s v="User Account"/>
    <n v="0"/>
    <s v="Deny"/>
    <s v="CC_Portal"/>
    <n v="0"/>
    <s v="MFC"/>
    <s v="IBMCA"/>
    <s v="ACTIVE ADVISORS AND ASSISTANTS"/>
    <n v="0"/>
    <n v="0"/>
  </r>
  <r>
    <s v="crystal.parkinson@manulifesecurities.ca"/>
    <s v="MFC"/>
    <x v="0"/>
    <n v="637976"/>
    <n v="1"/>
    <d v="2017-09-05T16:23:02"/>
    <x v="1"/>
    <x v="1"/>
    <s v="crystal.parkinson@manulifesecurities.ca"/>
    <n v="637976"/>
    <s v="User Account"/>
    <n v="0"/>
    <s v="Deny"/>
    <s v="CC_Portal"/>
    <n v="0"/>
    <s v="MFC"/>
    <s v="IBMCA"/>
    <s v="ACTIVE ADVISORS AND ASSISTANTS"/>
    <n v="0"/>
    <n v="0"/>
  </r>
  <r>
    <s v="crystal.parkinson@manulifesecurities.ca"/>
    <s v="MFC"/>
    <x v="0"/>
    <n v="637976"/>
    <n v="1"/>
    <d v="2017-09-05T16:23:02"/>
    <x v="2"/>
    <x v="1"/>
    <s v="crystal.parkinson@manulifesecurities.ca"/>
    <n v="637976"/>
    <s v="User Account"/>
    <n v="0"/>
    <s v="Deny"/>
    <s v="CC_Portal"/>
    <n v="0"/>
    <s v="MFC"/>
    <s v="IBMCA"/>
    <s v="ACTIVE ADVISORS AND ASSISTANTS"/>
    <n v="0"/>
    <n v="0"/>
  </r>
  <r>
    <s v="ssotest@mfc.sps.local"/>
    <s v="MFC"/>
    <x v="0"/>
    <n v="551367"/>
    <n v="1000"/>
    <d v="2017-09-05T15:59:38"/>
    <x v="0"/>
    <x v="0"/>
    <s v="Mario.Tavares@manulifesecurities.ca"/>
    <n v="553349"/>
    <s v="User Account"/>
    <n v="1"/>
    <s v="AtBelow"/>
    <s v="CC_Portal"/>
    <n v="0"/>
    <s v="MFC"/>
    <s v="IBMCA"/>
    <s v="ACTIVE ADVISORS AND ASSISTANTS"/>
    <n v="0"/>
    <n v="0"/>
  </r>
  <r>
    <s v="ssotest@mfc.sps.local"/>
    <s v="MFC"/>
    <x v="0"/>
    <n v="551367"/>
    <n v="1000"/>
    <d v="2017-09-05T15:50:58"/>
    <x v="0"/>
    <x v="0"/>
    <s v="dawn.rowley@manulifesecurities.ca"/>
    <n v="816413"/>
    <s v="User Account"/>
    <n v="1"/>
    <s v="AtBelow"/>
    <s v="CC_Portal"/>
    <n v="0"/>
    <s v="MFC"/>
    <s v="IBMCA"/>
    <s v="ACTIVE ADVISORS AND ASSISTANTS"/>
    <n v="0"/>
    <n v="0"/>
  </r>
  <r>
    <s v="ssotest@mfc.sps.local"/>
    <s v="MFC"/>
    <x v="0"/>
    <n v="551367"/>
    <n v="1000"/>
    <d v="2017-09-05T15:29:28"/>
    <x v="0"/>
    <x v="0"/>
    <s v="Frank.Valicek@manulifesecurities.ca"/>
    <n v="551700"/>
    <s v="User Account"/>
    <n v="1"/>
    <s v="AtBelow"/>
    <s v="CC_Portal"/>
    <n v="0"/>
    <s v="MFC"/>
    <s v="IBMCA"/>
    <s v="ACTIVE ADVISORS AND ASSISTANTS"/>
    <n v="0"/>
    <n v="0"/>
  </r>
  <r>
    <s v="ssotest@mfc.sps.local"/>
    <s v="MFC"/>
    <x v="0"/>
    <n v="551367"/>
    <n v="1000"/>
    <d v="2017-09-05T15:22:44"/>
    <x v="0"/>
    <x v="0"/>
    <s v="David.Phillips@manulifesecurities.ca"/>
    <n v="552307"/>
    <s v="User Account"/>
    <n v="1"/>
    <s v="AtBelow"/>
    <s v="CC_Portal"/>
    <n v="0"/>
    <s v="MFC"/>
    <s v="IBMCA"/>
    <s v="ACTIVE ADVISORS AND ASSISTANTS"/>
    <n v="0"/>
    <n v="0"/>
  </r>
  <r>
    <s v="ssotest@mfc.sps.local"/>
    <s v="MFC"/>
    <x v="0"/>
    <n v="551367"/>
    <n v="1000"/>
    <d v="2017-09-05T15:04:00"/>
    <x v="0"/>
    <x v="0"/>
    <s v="Grant.Strand@manulifesecurities.ca"/>
    <n v="552617"/>
    <s v="User Account"/>
    <n v="1"/>
    <s v="AtBelow"/>
    <s v="CC_Portal"/>
    <n v="0"/>
    <s v="MFC"/>
    <s v="IBMCA"/>
    <s v="ACTIVE ADVISORS AND ASSISTANTS"/>
    <n v="0"/>
    <n v="0"/>
  </r>
  <r>
    <s v="ssotest@mfc.sps.local"/>
    <s v="MFC"/>
    <x v="0"/>
    <n v="551367"/>
    <n v="1000"/>
    <d v="2017-09-05T14:34:50"/>
    <x v="0"/>
    <x v="0"/>
    <s v="Jennifer.Moore@manulifesecurities.ca"/>
    <n v="551706"/>
    <s v="User Account"/>
    <n v="1"/>
    <s v="AtBelow"/>
    <s v="CC_Portal"/>
    <n v="0"/>
    <s v="MFC"/>
    <s v="IBMCA"/>
    <s v="ACTIVE ADVISORS AND ASSISTANTS"/>
    <n v="0"/>
    <n v="0"/>
  </r>
  <r>
    <s v="priscilla.misir@manulifesecurities.ca"/>
    <s v="MFC"/>
    <x v="0"/>
    <n v="674396"/>
    <n v="3"/>
    <d v="2017-09-05T14:22:23"/>
    <x v="0"/>
    <x v="5"/>
    <s v="b.lee@manulifesecurities.ca"/>
    <n v="905872"/>
    <s v="User Account"/>
    <n v="1"/>
    <s v="AtBelow"/>
    <s v="CC_Portal"/>
    <n v="0"/>
    <s v="MFC"/>
    <s v="IBMCA"/>
    <s v="ACTIVE ADVISORS AND ASSISTANTS"/>
    <n v="0"/>
    <n v="0"/>
  </r>
  <r>
    <s v="priscilla.misir@manulifesecurities.ca"/>
    <s v="MFC"/>
    <x v="0"/>
    <n v="674396"/>
    <n v="3"/>
    <d v="2017-09-05T14:22:22"/>
    <x v="5"/>
    <x v="6"/>
    <s v="MSI_autoSupervision@manulifesecurities.ca"/>
    <n v="561483"/>
    <s v="Distribution List"/>
    <n v="1"/>
    <s v="Any"/>
    <s v="CC_Portal"/>
    <s v="b28ebbd27225477bb50ea50096d691e2"/>
    <s v="MFC"/>
    <s v="IBMCA"/>
    <s v="ALL GROUPS"/>
    <n v="0"/>
    <n v="0"/>
  </r>
  <r>
    <s v="priscilla.misir@manulifesecurities.ca"/>
    <s v="MFC"/>
    <x v="0"/>
    <n v="674396"/>
    <n v="3"/>
    <d v="2017-09-05T14:22:02"/>
    <x v="0"/>
    <x v="5"/>
    <s v="b.lee@manulifesecurities.ca"/>
    <n v="905872"/>
    <s v="User Account"/>
    <n v="1"/>
    <s v="AtBelow"/>
    <s v="CC_Portal"/>
    <n v="0"/>
    <s v="MFC"/>
    <s v="IBMCA"/>
    <s v="ACTIVE ADVISORS AND ASSISTANTS"/>
    <n v="0"/>
    <n v="0"/>
  </r>
  <r>
    <s v="priscilla.misir@manulifesecurities.ca"/>
    <s v="MFC"/>
    <x v="0"/>
    <n v="674396"/>
    <n v="3"/>
    <d v="2017-09-05T14:21:50"/>
    <x v="0"/>
    <x v="5"/>
    <s v="b.lee@manulifesecurities.ca"/>
    <n v="905872"/>
    <s v="User Account"/>
    <n v="1"/>
    <s v="AtBelow"/>
    <s v="CC_Portal"/>
    <n v="0"/>
    <s v="MFC"/>
    <s v="IBMCA"/>
    <s v="ACTIVE ADVISORS AND ASSISTANTS"/>
    <n v="0"/>
    <n v="0"/>
  </r>
  <r>
    <s v="ssotest@mfc.sps.local"/>
    <s v="MFC"/>
    <x v="0"/>
    <n v="551367"/>
    <n v="1000"/>
    <d v="2017-09-05T13:59:47"/>
    <x v="0"/>
    <x v="0"/>
    <s v="Christopher.Munro@manulifesecurities.ca"/>
    <n v="552159"/>
    <s v="User Account"/>
    <n v="1"/>
    <s v="AtBelow"/>
    <s v="CC_Portal"/>
    <n v="0"/>
    <s v="MFC"/>
    <s v="IBMCA"/>
    <s v="ACTIVE ADVISORS AND ASSISTANTS"/>
    <n v="0"/>
    <n v="0"/>
  </r>
  <r>
    <s v="ssotest@mfc.sps.local"/>
    <s v="MFC"/>
    <x v="0"/>
    <n v="551367"/>
    <n v="1000"/>
    <d v="2017-09-05T13:58:37"/>
    <x v="0"/>
    <x v="0"/>
    <s v="Gregory.Mussenden@manulifesecurities.ca"/>
    <n v="552630"/>
    <s v="User Account"/>
    <n v="1"/>
    <s v="AtBelow"/>
    <s v="CC_Portal"/>
    <n v="0"/>
    <s v="MFC"/>
    <s v="IBMCA"/>
    <s v="ACTIVE ADVISORS AND ASSISTANTS"/>
    <n v="0"/>
    <n v="0"/>
  </r>
  <r>
    <s v="patrick.harkins@manulifesecurities.ca"/>
    <s v="MFC"/>
    <x v="0"/>
    <n v="560864"/>
    <n v="3"/>
    <d v="2017-09-05T13:55:29"/>
    <x v="0"/>
    <x v="9"/>
    <s v="kyle.martin@manulifesecurities.ca"/>
    <n v="906734"/>
    <s v="User Account"/>
    <n v="1"/>
    <s v="AtBelow"/>
    <s v="CC_Portal"/>
    <s v="Enable"/>
    <s v="MFC"/>
    <s v="IBMCA"/>
    <s v="ACTIVE ADVISORS AND ASSISTANTS"/>
    <n v="0"/>
    <n v="0"/>
  </r>
  <r>
    <s v="ssotest@mfc.sps.local"/>
    <s v="MFC"/>
    <x v="0"/>
    <n v="551367"/>
    <n v="1000"/>
    <d v="2017-09-05T13:43:05"/>
    <x v="0"/>
    <x v="0"/>
    <s v="n.munchinsky@manulifesecurities.ca"/>
    <n v="906038"/>
    <s v="User Account"/>
    <n v="1"/>
    <s v="AtBelow"/>
    <s v="CC_Portal"/>
    <n v="0"/>
    <s v="MFC"/>
    <s v="IBMCA"/>
    <s v="ACTIVE ADVISORS AND ASSISTANTS"/>
    <n v="0"/>
    <n v="0"/>
  </r>
  <r>
    <s v="ssotest@mfc.sps.local"/>
    <s v="MFC"/>
    <x v="0"/>
    <n v="551367"/>
    <n v="1000"/>
    <d v="2017-09-05T13:32:23"/>
    <x v="0"/>
    <x v="0"/>
    <s v="Robert.Hanson@manulifesecurities.ca"/>
    <n v="553817"/>
    <s v="User Account"/>
    <n v="1"/>
    <s v="AtBelow"/>
    <s v="CC_Portal"/>
    <n v="0"/>
    <s v="MFC"/>
    <s v="IBMCA"/>
    <s v="ACTIVE ADVISORS AND ASSISTANTS"/>
    <n v="0"/>
    <n v="0"/>
  </r>
  <r>
    <s v="ssotest@mfc.sps.local"/>
    <s v="MFC"/>
    <x v="0"/>
    <n v="551367"/>
    <n v="1000"/>
    <d v="2017-09-05T13:22:30"/>
    <x v="0"/>
    <x v="0"/>
    <s v="Matthew.Toth@manulifesecurities.ca"/>
    <n v="553430"/>
    <s v="User Account"/>
    <n v="1"/>
    <s v="AtBelow"/>
    <s v="CC_Portal"/>
    <n v="0"/>
    <s v="MFC"/>
    <s v="IBMCA"/>
    <s v="ACTIVE ADVISORS AND ASSISTANTS"/>
    <n v="0"/>
    <n v="0"/>
  </r>
  <r>
    <s v="ssotest@mfc.sps.local"/>
    <s v="MFC"/>
    <x v="0"/>
    <n v="551367"/>
    <n v="1000"/>
    <d v="2017-09-05T13:21:22"/>
    <x v="0"/>
    <x v="0"/>
    <s v="marc.danai@manulifesecurities.ca"/>
    <n v="906748"/>
    <s v="User Account"/>
    <n v="1"/>
    <s v="AtBelow"/>
    <s v="CC_Portal"/>
    <n v="0"/>
    <s v="MFC"/>
    <s v="IBMCA"/>
    <s v="ACTIVE ADVISORS AND ASSISTANTS"/>
    <n v="0"/>
    <n v="0"/>
  </r>
  <r>
    <s v="ssotest@mfc.sps.local"/>
    <s v="MFC"/>
    <x v="0"/>
    <n v="551367"/>
    <n v="1000"/>
    <d v="2017-09-05T13:16:37"/>
    <x v="0"/>
    <x v="0"/>
    <s v="D.Talliss@manulifesecurities.ca"/>
    <n v="552325"/>
    <s v="User Account"/>
    <n v="1"/>
    <s v="AtBelow"/>
    <s v="CC_Portal"/>
    <n v="0"/>
    <s v="MFC"/>
    <s v="IBMCA"/>
    <s v="ACTIVE ADVISORS AND ASSISTANTS"/>
    <n v="0"/>
    <n v="0"/>
  </r>
  <r>
    <s v="ssotest@mfc.sps.local"/>
    <s v="MFC"/>
    <x v="0"/>
    <n v="551367"/>
    <n v="1000"/>
    <d v="2017-09-05T13:08:45"/>
    <x v="0"/>
    <x v="0"/>
    <s v="kyle.martin@manulifesecurities.ca"/>
    <n v="906734"/>
    <s v="User Account"/>
    <n v="1"/>
    <s v="AtBelow"/>
    <s v="CC_Portal"/>
    <n v="0"/>
    <s v="MFC"/>
    <s v="IBMCA"/>
    <s v="ACTIVE ADVISORS AND ASSISTANTS"/>
    <n v="0"/>
    <n v="0"/>
  </r>
  <r>
    <s v="ssotest@mfc.sps.local"/>
    <s v="MFC"/>
    <x v="0"/>
    <n v="551367"/>
    <n v="1000"/>
    <d v="2017-09-05T13:08:31"/>
    <x v="0"/>
    <x v="0"/>
    <s v="Alvin.Jones@manulifesecurities.ca"/>
    <n v="551771"/>
    <s v="User Account"/>
    <n v="1"/>
    <s v="AtBelow"/>
    <s v="CC_Portal"/>
    <n v="0"/>
    <s v="MFC"/>
    <s v="IBMCA"/>
    <s v="ACTIVE ADVISORS AND ASSISTANTS"/>
    <n v="0"/>
    <n v="0"/>
  </r>
  <r>
    <s v="ssotest@mfc.sps.local"/>
    <s v="MFC"/>
    <x v="0"/>
    <n v="551367"/>
    <n v="1000"/>
    <d v="2017-09-05T13:06:28"/>
    <x v="0"/>
    <x v="0"/>
    <s v="Larry.Lukenchuk@manulifesecurities.ca"/>
    <n v="553148"/>
    <s v="User Account"/>
    <n v="1"/>
    <s v="AtBelow"/>
    <s v="CC_Portal"/>
    <n v="0"/>
    <s v="MFC"/>
    <s v="IBMCA"/>
    <s v="ACTIVE ADVISORS AND ASSISTANTS"/>
    <n v="0"/>
    <n v="0"/>
  </r>
  <r>
    <s v="patrick.harkins@manulifesecurities.ca"/>
    <s v="MFC"/>
    <x v="0"/>
    <n v="560864"/>
    <n v="3"/>
    <d v="2017-09-05T12:54:06"/>
    <x v="3"/>
    <x v="2"/>
    <s v="Arnold.Opoku@manulifesecurities.ca"/>
    <n v="551861"/>
    <s v="User Account"/>
    <n v="1"/>
    <s v="AtBelow"/>
    <s v="CC_WebService"/>
    <m/>
    <s v="MFC"/>
    <s v="IBMCA"/>
    <s v="ACTIVE ADVISORS AND ASSISTANTS"/>
    <n v="0"/>
    <n v="0"/>
  </r>
  <r>
    <s v="crystal.parkinson@manulifesecurities.ca"/>
    <s v="MFC"/>
    <x v="0"/>
    <n v="637976"/>
    <n v="1"/>
    <d v="2017-09-05T12:51:58"/>
    <x v="1"/>
    <x v="1"/>
    <s v="crystal.parkinson@manulifesecurities.ca"/>
    <n v="637976"/>
    <s v="User Account"/>
    <n v="0"/>
    <s v="Deny"/>
    <s v="CC_Portal"/>
    <n v="0"/>
    <s v="MFC"/>
    <s v="IBMCA"/>
    <s v="ACTIVE ADVISORS AND ASSISTANTS"/>
    <n v="0"/>
    <n v="0"/>
  </r>
  <r>
    <s v="crystal.parkinson@manulifesecurities.ca"/>
    <s v="MFC"/>
    <x v="0"/>
    <n v="637976"/>
    <n v="1"/>
    <d v="2017-09-05T12:51:58"/>
    <x v="2"/>
    <x v="1"/>
    <s v="crystal.parkinson@manulifesecurities.ca"/>
    <n v="637976"/>
    <s v="User Account"/>
    <n v="0"/>
    <s v="Deny"/>
    <s v="CC_Portal"/>
    <n v="0"/>
    <s v="MFC"/>
    <s v="IBMCA"/>
    <s v="ACTIVE ADVISORS AND ASSISTANTS"/>
    <n v="0"/>
    <n v="0"/>
  </r>
  <r>
    <s v="ssotest@mfc.sps.local"/>
    <s v="MFC"/>
    <x v="0"/>
    <n v="551367"/>
    <n v="1000"/>
    <d v="2017-09-05T12:45:32"/>
    <x v="0"/>
    <x v="0"/>
    <s v="Daniel.Boyd@manulifesecurities.ca"/>
    <n v="552237"/>
    <s v="User Account"/>
    <n v="1"/>
    <s v="AtBelow"/>
    <s v="CC_Portal"/>
    <n v="0"/>
    <s v="MFC"/>
    <s v="IBMCA"/>
    <s v="ACTIVE ADVISORS AND ASSISTANTS"/>
    <n v="0"/>
    <n v="0"/>
  </r>
  <r>
    <s v="ssotest@mfc.sps.local"/>
    <s v="MFC"/>
    <x v="0"/>
    <n v="551367"/>
    <n v="1000"/>
    <d v="2017-09-05T12:34:51"/>
    <x v="0"/>
    <x v="0"/>
    <s v="Vic.Sarju@manulifesecurities.ca"/>
    <n v="551722"/>
    <s v="User Account"/>
    <n v="1"/>
    <s v="AtBelow"/>
    <s v="CC_Portal"/>
    <n v="0"/>
    <s v="MFC"/>
    <s v="IBMCA"/>
    <s v="ACTIVE ADVISORS AND ASSISTANTS"/>
    <n v="0"/>
    <n v="0"/>
  </r>
  <r>
    <s v="ssotest@mfc.sps.local"/>
    <s v="MFC"/>
    <x v="0"/>
    <n v="551367"/>
    <n v="1000"/>
    <d v="2017-09-05T12:30:12"/>
    <x v="0"/>
    <x v="0"/>
    <s v="joanna.konowalczyk@manulifesecurities.ca"/>
    <n v="812373"/>
    <s v="User Account"/>
    <n v="1"/>
    <s v="AtBelow"/>
    <s v="CC_Portal"/>
    <n v="0"/>
    <s v="MFC"/>
    <s v="IBMCA"/>
    <s v="ACTIVE ADVISORS AND ASSISTANTS"/>
    <n v="0"/>
    <n v="0"/>
  </r>
  <r>
    <s v="ssotest@mfc.sps.local"/>
    <s v="MFC"/>
    <x v="0"/>
    <n v="551367"/>
    <n v="1000"/>
    <d v="2017-09-05T12:27:47"/>
    <x v="0"/>
    <x v="0"/>
    <s v="Arnold.Opoku@manulifesecurities.ca"/>
    <n v="551861"/>
    <s v="User Account"/>
    <n v="1"/>
    <s v="AtBelow"/>
    <s v="CC_Portal"/>
    <n v="0"/>
    <s v="MFC"/>
    <s v="IBMCA"/>
    <s v="ACTIVE ADVISORS AND ASSISTANTS"/>
    <n v="0"/>
    <n v="0"/>
  </r>
  <r>
    <s v="cameron.price@manulifesecurities.ca"/>
    <s v="MFC"/>
    <x v="0"/>
    <n v="627564"/>
    <n v="3"/>
    <d v="2017-09-05T12:26:53"/>
    <x v="3"/>
    <x v="2"/>
    <s v="carla.dossantos@manulifesecurities.ca"/>
    <n v="831700"/>
    <s v="User Account"/>
    <n v="1"/>
    <s v="AtBelow"/>
    <s v="CC_WebService"/>
    <m/>
    <s v="MFC"/>
    <s v="IBMCA"/>
    <s v="ACTIVE ADVISORS AND ASSISTANTS"/>
    <n v="0"/>
    <n v="0"/>
  </r>
  <r>
    <s v="alex_buena@manulifesecurities.ca"/>
    <s v="MFC"/>
    <x v="0"/>
    <n v="570025"/>
    <n v="3"/>
    <d v="2017-09-05T12:22:23"/>
    <x v="0"/>
    <x v="4"/>
    <s v="Karen.Cunningham@manulifesecurities.ca"/>
    <n v="552994"/>
    <s v="User Account"/>
    <n v="1"/>
    <s v="AtBelow"/>
    <s v="CC_Portal"/>
    <s v="oldOrgGroup=ACTIVE ADVISORS AND ASSISTANTS;newOrgGroup=DISABLED USERS"/>
    <s v="MFC"/>
    <s v="IBMCA"/>
    <s v="DISABLED USERS"/>
    <n v="0"/>
    <n v="0"/>
  </r>
  <r>
    <s v="alex_buena@manulifesecurities.ca"/>
    <s v="MFC"/>
    <x v="0"/>
    <n v="570025"/>
    <n v="3"/>
    <d v="2017-09-05T12:21:48"/>
    <x v="0"/>
    <x v="5"/>
    <s v="Karen.Cunningham@manulifesecurities.ca"/>
    <n v="552994"/>
    <s v="User Account"/>
    <n v="1"/>
    <s v="AtBelow"/>
    <s v="CC_Portal"/>
    <n v="0"/>
    <s v="MFC"/>
    <s v="IBMCA"/>
    <s v="ACTIVE ADVISORS AND ASSISTANTS"/>
    <n v="0"/>
    <n v="0"/>
  </r>
  <r>
    <s v="alex_buena@manulifesecurities.ca"/>
    <s v="MFC"/>
    <x v="0"/>
    <n v="570025"/>
    <n v="3"/>
    <d v="2017-09-05T12:21:47"/>
    <x v="4"/>
    <x v="6"/>
    <s v="Reps@manulifesecurities.ca"/>
    <n v="555676"/>
    <s v="Distribution List"/>
    <n v="1"/>
    <s v="Any"/>
    <s v="CC_Portal"/>
    <s v="cb6da0b67a7a401fa19a98678ebd0f27"/>
    <s v="MFC"/>
    <s v="IBMCA"/>
    <s v="ALL GROUPS"/>
    <n v="0"/>
    <n v="0"/>
  </r>
  <r>
    <s v="alex_buena@manulifesecurities.ca"/>
    <s v="MFC"/>
    <x v="0"/>
    <n v="570025"/>
    <n v="3"/>
    <d v="2017-09-05T12:21:46"/>
    <x v="4"/>
    <x v="6"/>
    <s v="MSI_autoSupervision@manulifesecurities.ca"/>
    <n v="561483"/>
    <s v="Distribution List"/>
    <n v="1"/>
    <s v="Any"/>
    <s v="CC_Portal"/>
    <s v="cb6da0b67a7a401fa19a98678ebd0f27"/>
    <s v="MFC"/>
    <s v="IBMCA"/>
    <s v="ALL GROUPS"/>
    <n v="0"/>
    <n v="0"/>
  </r>
  <r>
    <s v="alex_buena@manulifesecurities.ca"/>
    <s v="MFC"/>
    <x v="0"/>
    <n v="570025"/>
    <n v="3"/>
    <d v="2017-09-05T12:21:45"/>
    <x v="4"/>
    <x v="6"/>
    <s v="MSI_autoEmailArchive@manulifesecurities.ca"/>
    <n v="561482"/>
    <s v="Distribution List"/>
    <n v="1"/>
    <s v="Any"/>
    <s v="CC_Portal"/>
    <s v="cb6da0b67a7a401fa19a98678ebd0f27"/>
    <s v="MFC"/>
    <s v="IBMCA"/>
    <s v="ALL GROUPS"/>
    <n v="0"/>
    <n v="0"/>
  </r>
  <r>
    <s v="alex_buena@manulifesecurities.ca"/>
    <s v="MFC"/>
    <x v="0"/>
    <n v="570025"/>
    <n v="3"/>
    <d v="2017-09-05T12:21:44"/>
    <x v="4"/>
    <x v="6"/>
    <s v="MSIRepresentatives@manulifesecurities.ca"/>
    <n v="555672"/>
    <s v="Distribution List"/>
    <n v="1"/>
    <s v="Any"/>
    <s v="CC_Portal"/>
    <s v="cb6da0b67a7a401fa19a98678ebd0f27"/>
    <s v="MFC"/>
    <s v="IBMCA"/>
    <s v="ALL GROUPS"/>
    <n v="0"/>
    <n v="0"/>
  </r>
  <r>
    <s v="alex_buena@manulifesecurities.ca"/>
    <s v="MFC"/>
    <x v="0"/>
    <n v="570025"/>
    <n v="3"/>
    <d v="2017-09-05T12:21:43"/>
    <x v="4"/>
    <x v="6"/>
    <s v="mls_new_issues@manulifesecurities.ca"/>
    <n v="606187"/>
    <s v="Distribution List"/>
    <n v="1"/>
    <s v="Any"/>
    <s v="CC_Portal"/>
    <s v="cb6da0b67a7a401fa19a98678ebd0f27"/>
    <s v="MFC"/>
    <s v="IBMCA"/>
    <s v="ALL GROUPS"/>
    <n v="0"/>
    <n v="0"/>
  </r>
  <r>
    <s v="alex_buena@manulifesecurities.ca"/>
    <s v="MFC"/>
    <x v="0"/>
    <n v="570025"/>
    <n v="3"/>
    <d v="2017-09-05T12:21:42"/>
    <x v="4"/>
    <x v="6"/>
    <s v="FormerBerkAdvisors@manulifesecurities.ca"/>
    <n v="555662"/>
    <s v="Distribution List"/>
    <n v="1"/>
    <s v="Any"/>
    <s v="CC_Portal"/>
    <s v="cb6da0b67a7a401fa19a98678ebd0f27"/>
    <s v="MFC"/>
    <s v="IBMCA"/>
    <s v="ALL GROUPS"/>
    <n v="0"/>
    <n v="0"/>
  </r>
  <r>
    <s v="alex_buena@manulifesecurities.ca"/>
    <s v="MFC"/>
    <x v="0"/>
    <n v="570025"/>
    <n v="3"/>
    <d v="2017-09-05T12:21:41"/>
    <x v="4"/>
    <x v="6"/>
    <s v="AllAdvisors@manulifesecurities.ca"/>
    <n v="555659"/>
    <s v="Distribution List"/>
    <n v="1"/>
    <s v="Any"/>
    <s v="CC_Portal"/>
    <s v="cb6da0b67a7a401fa19a98678ebd0f27"/>
    <s v="MFC"/>
    <s v="IBMCA"/>
    <s v="ALL GROUPS"/>
    <n v="0"/>
    <n v="0"/>
  </r>
  <r>
    <s v="alex_buena@manulifesecurities.ca"/>
    <s v="MFC"/>
    <x v="0"/>
    <n v="570025"/>
    <n v="3"/>
    <d v="2017-09-05T12:21:40"/>
    <x v="4"/>
    <x v="6"/>
    <s v="Advisors@manulifesecurities.ca"/>
    <n v="555668"/>
    <s v="Distribution List"/>
    <n v="1"/>
    <s v="Any"/>
    <s v="CC_Portal"/>
    <s v="cb6da0b67a7a401fa19a98678ebd0f27"/>
    <s v="MFC"/>
    <s v="IBMCA"/>
    <s v="ALL GROUPS"/>
    <n v="0"/>
    <n v="0"/>
  </r>
  <r>
    <s v="alex_buena@manulifesecurities.ca"/>
    <s v="MFC"/>
    <x v="0"/>
    <n v="570025"/>
    <n v="3"/>
    <d v="2017-09-05T12:21:37"/>
    <x v="0"/>
    <x v="5"/>
    <s v="Karen.Cunningham@manulifesecurities.ca"/>
    <n v="552994"/>
    <s v="User Account"/>
    <n v="1"/>
    <s v="AtBelow"/>
    <s v="CC_Portal"/>
    <n v="0"/>
    <s v="MFC"/>
    <s v="IBMCA"/>
    <s v="ACTIVE ADVISORS AND ASSISTANTS"/>
    <n v="0"/>
    <n v="0"/>
  </r>
  <r>
    <s v="alex_buena@manulifesecurities.ca"/>
    <s v="MFC"/>
    <x v="0"/>
    <n v="570025"/>
    <n v="3"/>
    <d v="2017-09-05T12:21:27"/>
    <x v="0"/>
    <x v="5"/>
    <s v="Karen.Cunningham@manulifesecurities.ca"/>
    <n v="552994"/>
    <s v="User Account"/>
    <n v="1"/>
    <s v="AtBelow"/>
    <s v="CC_Portal"/>
    <n v="0"/>
    <s v="MFC"/>
    <s v="IBMCA"/>
    <s v="ACTIVE ADVISORS AND ASSISTANTS"/>
    <n v="0"/>
    <n v="0"/>
  </r>
  <r>
    <s v="alex_buena@manulifesecurities.ca"/>
    <s v="MFC"/>
    <x v="0"/>
    <n v="570025"/>
    <n v="3"/>
    <d v="2017-09-05T12:19:57"/>
    <x v="0"/>
    <x v="3"/>
    <s v="Karen.Cunningham@manulifesecurities.ca"/>
    <n v="552994"/>
    <s v="User Account"/>
    <n v="1"/>
    <s v="AtBelow"/>
    <s v="CC_Portal"/>
    <s v="Disable"/>
    <s v="MFC"/>
    <s v="IBMCA"/>
    <s v="ACTIVE ADVISORS AND ASSISTANTS"/>
    <n v="0"/>
    <n v="0"/>
  </r>
  <r>
    <s v="ssotest@mfc.sps.local"/>
    <s v="MFC"/>
    <x v="0"/>
    <n v="551367"/>
    <n v="1000"/>
    <d v="2017-09-05T12:09:33"/>
    <x v="0"/>
    <x v="0"/>
    <s v="Linda.Mah@manulifesecurities.ca"/>
    <n v="553213"/>
    <s v="User Account"/>
    <n v="1"/>
    <s v="AtBelow"/>
    <s v="CC_Portal"/>
    <n v="0"/>
    <s v="MFC"/>
    <s v="IBMCA"/>
    <s v="ACTIVE ADVISORS AND ASSISTANTS"/>
    <n v="0"/>
    <n v="0"/>
  </r>
  <r>
    <s v="ssotest@mfc.sps.local"/>
    <s v="MFC"/>
    <x v="0"/>
    <n v="551367"/>
    <n v="1000"/>
    <d v="2017-09-05T12:05:40"/>
    <x v="0"/>
    <x v="0"/>
    <s v="mj.cadieux@placementsmanuvie.ca"/>
    <n v="616000"/>
    <s v="User Account"/>
    <n v="1"/>
    <s v="AtBelow"/>
    <s v="CC_Portal"/>
    <n v="0"/>
    <s v="MFC"/>
    <s v="IBMCA"/>
    <s v="ACTIVE ADVISORS AND ASSISTANTS"/>
    <n v="0"/>
    <n v="0"/>
  </r>
  <r>
    <s v="ssotest@mfc.sps.local"/>
    <s v="MFC"/>
    <x v="0"/>
    <n v="551367"/>
    <n v="1000"/>
    <d v="2017-09-05T11:54:45"/>
    <x v="0"/>
    <x v="0"/>
    <s v="Maurice.Matte@manulifesecurities.ca"/>
    <n v="553436"/>
    <s v="User Account"/>
    <n v="1"/>
    <s v="AtBelow"/>
    <s v="CC_Portal"/>
    <n v="0"/>
    <s v="MFC"/>
    <s v="IBMCA"/>
    <s v="ACTIVE ADVISORS AND ASSISTANTS"/>
    <n v="0"/>
    <n v="0"/>
  </r>
  <r>
    <s v="ssotest@mfc.sps.local"/>
    <s v="MFC"/>
    <x v="0"/>
    <n v="551367"/>
    <n v="1000"/>
    <d v="2017-09-05T11:48:58"/>
    <x v="0"/>
    <x v="0"/>
    <s v="Una.Jones@manulifesecurities.ca"/>
    <n v="554238"/>
    <s v="User Account"/>
    <n v="1"/>
    <s v="AtBelow"/>
    <s v="CC_Portal"/>
    <n v="0"/>
    <s v="MFC"/>
    <s v="IBMCA"/>
    <s v="ACTIVE ADVISORS AND ASSISTANTS"/>
    <n v="0"/>
    <n v="0"/>
  </r>
  <r>
    <s v="ssotest@mfc.sps.local"/>
    <s v="MFC"/>
    <x v="0"/>
    <n v="551367"/>
    <n v="1000"/>
    <d v="2017-09-05T11:41:26"/>
    <x v="0"/>
    <x v="0"/>
    <s v="Mink.Bhullar@manulifesecurities.ca"/>
    <n v="553548"/>
    <s v="User Account"/>
    <n v="1"/>
    <s v="AtBelow"/>
    <s v="CC_Portal"/>
    <n v="0"/>
    <s v="MFC"/>
    <s v="IBMCA"/>
    <s v="ACTIVE ADVISORS AND ASSISTANTS"/>
    <n v="0"/>
    <n v="0"/>
  </r>
  <r>
    <s v="ssotest@mfc.sps.local"/>
    <s v="MFC"/>
    <x v="0"/>
    <n v="551367"/>
    <n v="1000"/>
    <d v="2017-09-05T11:40:39"/>
    <x v="0"/>
    <x v="0"/>
    <s v="Bryan.Paul@manulifesecurities.ca"/>
    <n v="552027"/>
    <s v="User Account"/>
    <n v="1"/>
    <s v="AtBelow"/>
    <s v="CC_Portal"/>
    <n v="0"/>
    <s v="MFC"/>
    <s v="IBMCA"/>
    <s v="ACTIVE ADVISORS AND ASSISTANTS"/>
    <n v="0"/>
    <n v="0"/>
  </r>
  <r>
    <s v="ssotest@mfc.sps.local"/>
    <s v="MFC"/>
    <x v="0"/>
    <n v="551367"/>
    <n v="1000"/>
    <d v="2017-09-05T11:24:46"/>
    <x v="0"/>
    <x v="0"/>
    <s v="Ryan.Lightfoot@manulifesecurities.ca"/>
    <n v="553903"/>
    <s v="User Account"/>
    <n v="1"/>
    <s v="AtBelow"/>
    <s v="CC_Portal"/>
    <n v="0"/>
    <s v="MFC"/>
    <s v="IBMCA"/>
    <s v="ACTIVE ADVISORS AND ASSISTANTS"/>
    <n v="0"/>
    <n v="0"/>
  </r>
  <r>
    <s v="ssotest@mfc.sps.local"/>
    <s v="MFC"/>
    <x v="0"/>
    <n v="551367"/>
    <n v="1000"/>
    <d v="2017-09-05T11:22:47"/>
    <x v="0"/>
    <x v="0"/>
    <s v="Lorette.MacPhail@manulifesecurities.ca"/>
    <n v="553248"/>
    <s v="User Account"/>
    <n v="1"/>
    <s v="AtBelow"/>
    <s v="CC_Portal"/>
    <n v="0"/>
    <s v="MFC"/>
    <s v="IBMCA"/>
    <s v="ACTIVE ADVISORS AND ASSISTANTS"/>
    <n v="0"/>
    <n v="0"/>
  </r>
  <r>
    <s v="ssotest@mfc.sps.local"/>
    <s v="MFC"/>
    <x v="0"/>
    <n v="551367"/>
    <n v="1000"/>
    <d v="2017-09-05T11:22:14"/>
    <x v="0"/>
    <x v="0"/>
    <s v="Samantha.Patrickson@manulifesecurities.ca"/>
    <n v="553912"/>
    <s v="User Account"/>
    <n v="1"/>
    <s v="AtBelow"/>
    <s v="CC_Portal"/>
    <n v="0"/>
    <s v="MFC"/>
    <s v="IBMCA"/>
    <s v="ACTIVE ADVISORS AND ASSISTANTS"/>
    <n v="0"/>
    <n v="0"/>
  </r>
  <r>
    <s v="ssotest@mfc.sps.local"/>
    <s v="MFC"/>
    <x v="0"/>
    <n v="551367"/>
    <n v="1000"/>
    <d v="2017-09-05T11:18:32"/>
    <x v="0"/>
    <x v="0"/>
    <s v="Kelley.Bahrey@manulifesecurities.ca"/>
    <n v="553048"/>
    <s v="User Account"/>
    <n v="1"/>
    <s v="AtBelow"/>
    <s v="CC_Portal"/>
    <n v="0"/>
    <s v="MFC"/>
    <s v="IBMCA"/>
    <s v="ACTIVE ADVISORS AND ASSISTANTS"/>
    <n v="0"/>
    <n v="0"/>
  </r>
  <r>
    <s v="ssotest@mfc.sps.local"/>
    <s v="MFC"/>
    <x v="0"/>
    <n v="551367"/>
    <n v="1000"/>
    <d v="2017-09-05T11:14:26"/>
    <x v="0"/>
    <x v="0"/>
    <s v="Stuart.Hoffman@manulifesecurities.ca"/>
    <n v="554078"/>
    <s v="User Account"/>
    <n v="1"/>
    <s v="AtBelow"/>
    <s v="CC_Portal"/>
    <n v="0"/>
    <s v="MFC"/>
    <s v="IBMCA"/>
    <s v="ACTIVE ADVISORS AND ASSISTANTS"/>
    <n v="0"/>
    <n v="0"/>
  </r>
  <r>
    <s v="ssotest@mfc.sps.local"/>
    <s v="MFC"/>
    <x v="0"/>
    <n v="551367"/>
    <n v="1000"/>
    <d v="2017-09-05T11:11:41"/>
    <x v="0"/>
    <x v="0"/>
    <s v="Samantha.Patrickson@manulifesecurities.ca"/>
    <n v="553912"/>
    <s v="User Account"/>
    <n v="1"/>
    <s v="AtBelow"/>
    <s v="CC_Portal"/>
    <n v="0"/>
    <s v="MFC"/>
    <s v="IBMCA"/>
    <s v="ACTIVE ADVISORS AND ASSISTANTS"/>
    <n v="0"/>
    <n v="0"/>
  </r>
  <r>
    <s v="ssotest@mfc.sps.local"/>
    <s v="MFC"/>
    <x v="0"/>
    <n v="551367"/>
    <n v="1000"/>
    <d v="2017-09-05T11:09:38"/>
    <x v="0"/>
    <x v="0"/>
    <s v="mazen.slim@manulifesecurities.ca"/>
    <n v="570905"/>
    <s v="User Account"/>
    <n v="1"/>
    <s v="AtBelow"/>
    <s v="CC_Portal"/>
    <n v="0"/>
    <s v="MFC"/>
    <s v="IBMCA"/>
    <s v="DISABLED USERS"/>
    <n v="0"/>
    <n v="0"/>
  </r>
  <r>
    <s v="ssotest@mfc.sps.local"/>
    <s v="MFC"/>
    <x v="0"/>
    <n v="551367"/>
    <n v="1000"/>
    <d v="2017-09-05T11:05:58"/>
    <x v="0"/>
    <x v="0"/>
    <s v="MaryKathryn.Retzman@manulifesecurities.ca"/>
    <n v="553405"/>
    <s v="User Account"/>
    <n v="1"/>
    <s v="AtBelow"/>
    <s v="CC_Portal"/>
    <n v="0"/>
    <s v="MFC"/>
    <s v="IBMCA"/>
    <s v="ACTIVE ADVISORS AND ASSISTANTS"/>
    <n v="0"/>
    <n v="0"/>
  </r>
  <r>
    <s v="ssotest@mfc.sps.local"/>
    <s v="MFC"/>
    <x v="0"/>
    <n v="551367"/>
    <n v="1000"/>
    <d v="2017-09-05T11:03:36"/>
    <x v="0"/>
    <x v="0"/>
    <s v="amanda.melenkabeckett@manulifesecurities.ca"/>
    <n v="560269"/>
    <s v="User Account"/>
    <n v="1"/>
    <s v="AtBelow"/>
    <s v="CC_Portal"/>
    <n v="0"/>
    <s v="MFC"/>
    <s v="IBMCA"/>
    <s v="DISABLED USERS"/>
    <n v="0"/>
    <n v="0"/>
  </r>
  <r>
    <s v="alex_buena@manulifesecurities.ca"/>
    <s v="MFC"/>
    <x v="0"/>
    <n v="570025"/>
    <n v="3"/>
    <d v="2017-09-05T11:01:52"/>
    <x v="0"/>
    <x v="4"/>
    <s v="Davor.Polak@manulifesecurities.ca"/>
    <n v="552318"/>
    <s v="User Account"/>
    <n v="1"/>
    <s v="AtBelow"/>
    <s v="CC_Portal"/>
    <s v="oldOrgGroup=ACTIVE ADVISORS AND ASSISTANTS;newOrgGroup=DISABLED USERS"/>
    <s v="MFC"/>
    <s v="IBMCA"/>
    <s v="DISABLED USERS"/>
    <n v="0"/>
    <n v="0"/>
  </r>
  <r>
    <s v="alex_buena@manulifesecurities.ca"/>
    <s v="MFC"/>
    <x v="0"/>
    <n v="570025"/>
    <n v="3"/>
    <d v="2017-09-05T11:00:07"/>
    <x v="0"/>
    <x v="5"/>
    <s v="Davor.Polak@manulifesecurities.ca"/>
    <n v="552318"/>
    <s v="User Account"/>
    <n v="1"/>
    <s v="AtBelow"/>
    <s v="CC_Portal"/>
    <n v="0"/>
    <s v="MFC"/>
    <s v="IBMCA"/>
    <s v="ACTIVE ADVISORS AND ASSISTANTS"/>
    <n v="0"/>
    <n v="0"/>
  </r>
  <r>
    <s v="alex_buena@manulifesecurities.ca"/>
    <s v="MFC"/>
    <x v="0"/>
    <n v="570025"/>
    <n v="3"/>
    <d v="2017-09-05T11:00:06"/>
    <x v="4"/>
    <x v="6"/>
    <s v="MSI_autoSupervision@manulifesecurities.ca"/>
    <n v="561483"/>
    <s v="Distribution List"/>
    <n v="1"/>
    <s v="Any"/>
    <s v="CC_Portal"/>
    <s v="233688d233294b0d9e8f83253fb36c8e"/>
    <s v="MFC"/>
    <s v="IBMCA"/>
    <s v="ALL GROUPS"/>
    <n v="0"/>
    <n v="0"/>
  </r>
  <r>
    <s v="alex_buena@manulifesecurities.ca"/>
    <s v="MFC"/>
    <x v="0"/>
    <n v="570025"/>
    <n v="3"/>
    <d v="2017-09-05T11:00:05"/>
    <x v="4"/>
    <x v="6"/>
    <s v="MSI_autoEmailArchive@manulifesecurities.ca"/>
    <n v="561482"/>
    <s v="Distribution List"/>
    <n v="1"/>
    <s v="Any"/>
    <s v="CC_Portal"/>
    <s v="233688d233294b0d9e8f83253fb36c8e"/>
    <s v="MFC"/>
    <s v="IBMCA"/>
    <s v="ALL GROUPS"/>
    <n v="0"/>
    <n v="0"/>
  </r>
  <r>
    <s v="alex_buena@manulifesecurities.ca"/>
    <s v="MFC"/>
    <x v="0"/>
    <n v="570025"/>
    <n v="3"/>
    <d v="2017-09-05T11:00:04"/>
    <x v="4"/>
    <x v="6"/>
    <s v="MSIRepresentatives@manulifesecurities.ca"/>
    <n v="555672"/>
    <s v="Distribution List"/>
    <n v="1"/>
    <s v="Any"/>
    <s v="CC_Portal"/>
    <s v="233688d233294b0d9e8f83253fb36c8e"/>
    <s v="MFC"/>
    <s v="IBMCA"/>
    <s v="ALL GROUPS"/>
    <n v="0"/>
    <n v="0"/>
  </r>
  <r>
    <s v="alex_buena@manulifesecurities.ca"/>
    <s v="MFC"/>
    <x v="0"/>
    <n v="570025"/>
    <n v="3"/>
    <d v="2017-09-05T11:00:03"/>
    <x v="4"/>
    <x v="6"/>
    <s v="mls_new_issues@manulifesecurities.ca"/>
    <n v="606187"/>
    <s v="Distribution List"/>
    <n v="1"/>
    <s v="Any"/>
    <s v="CC_Portal"/>
    <s v="233688d233294b0d9e8f83253fb36c8e"/>
    <s v="MFC"/>
    <s v="IBMCA"/>
    <s v="ALL GROUPS"/>
    <n v="0"/>
    <n v="0"/>
  </r>
  <r>
    <s v="alex_buena@manulifesecurities.ca"/>
    <s v="MFC"/>
    <x v="0"/>
    <n v="570025"/>
    <n v="3"/>
    <d v="2017-09-05T11:00:01"/>
    <x v="4"/>
    <x v="6"/>
    <s v="FormerBerkAdvisors@manulifesecurities.ca"/>
    <n v="555662"/>
    <s v="Distribution List"/>
    <n v="1"/>
    <s v="Any"/>
    <s v="CC_Portal"/>
    <s v="233688d233294b0d9e8f83253fb36c8e"/>
    <s v="MFC"/>
    <s v="IBMCA"/>
    <s v="ALL GROUPS"/>
    <n v="0"/>
    <n v="0"/>
  </r>
  <r>
    <s v="alex_buena@manulifesecurities.ca"/>
    <s v="MFC"/>
    <x v="0"/>
    <n v="570025"/>
    <n v="3"/>
    <d v="2017-09-05T11:00:00"/>
    <x v="4"/>
    <x v="6"/>
    <s v="AllAdvisors@manulifesecurities.ca"/>
    <n v="555659"/>
    <s v="Distribution List"/>
    <n v="1"/>
    <s v="Any"/>
    <s v="CC_Portal"/>
    <s v="233688d233294b0d9e8f83253fb36c8e"/>
    <s v="MFC"/>
    <s v="IBMCA"/>
    <s v="ALL GROUPS"/>
    <n v="0"/>
    <n v="0"/>
  </r>
  <r>
    <s v="alex_buena@manulifesecurities.ca"/>
    <s v="MFC"/>
    <x v="0"/>
    <n v="570025"/>
    <n v="3"/>
    <d v="2017-09-05T10:59:59"/>
    <x v="4"/>
    <x v="6"/>
    <s v="Advisors@manulifesecurities.ca"/>
    <n v="555668"/>
    <s v="Distribution List"/>
    <n v="1"/>
    <s v="Any"/>
    <s v="CC_Portal"/>
    <s v="233688d233294b0d9e8f83253fb36c8e"/>
    <s v="MFC"/>
    <s v="IBMCA"/>
    <s v="ALL GROUPS"/>
    <n v="0"/>
    <n v="0"/>
  </r>
  <r>
    <s v="alex_buena@manulifesecurities.ca"/>
    <s v="MFC"/>
    <x v="0"/>
    <n v="570025"/>
    <n v="3"/>
    <d v="2017-09-05T10:59:57"/>
    <x v="0"/>
    <x v="5"/>
    <s v="Davor.Polak@manulifesecurities.ca"/>
    <n v="552318"/>
    <s v="User Account"/>
    <n v="1"/>
    <s v="AtBelow"/>
    <s v="CC_Portal"/>
    <n v="0"/>
    <s v="MFC"/>
    <s v="IBMCA"/>
    <s v="ACTIVE ADVISORS AND ASSISTANTS"/>
    <n v="0"/>
    <n v="0"/>
  </r>
  <r>
    <s v="alex_buena@manulifesecurities.ca"/>
    <s v="MFC"/>
    <x v="0"/>
    <n v="570025"/>
    <n v="3"/>
    <d v="2017-09-05T10:59:51"/>
    <x v="0"/>
    <x v="5"/>
    <s v="Davor.Polak@manulifesecurities.ca"/>
    <n v="552318"/>
    <s v="User Account"/>
    <n v="1"/>
    <s v="AtBelow"/>
    <s v="CC_Portal"/>
    <n v="0"/>
    <s v="MFC"/>
    <s v="IBMCA"/>
    <s v="ACTIVE ADVISORS AND ASSISTANTS"/>
    <n v="0"/>
    <n v="0"/>
  </r>
  <r>
    <s v="jody.markovic@manulifesecurities.ca"/>
    <s v="MFC"/>
    <x v="0"/>
    <n v="560579"/>
    <n v="3"/>
    <d v="2017-09-05T10:58:11"/>
    <x v="3"/>
    <x v="2"/>
    <s v="Brian.Ward@manulifesecurities.ca"/>
    <n v="552004"/>
    <s v="User Account"/>
    <n v="1"/>
    <s v="AtBelow"/>
    <s v="CC_WebService"/>
    <m/>
    <s v="MFC"/>
    <s v="IBMCA"/>
    <s v="ACTIVE ADVISORS AND ASSISTANTS"/>
    <n v="0"/>
    <n v="0"/>
  </r>
  <r>
    <s v="jody.markovic@manulifesecurities.ca"/>
    <s v="MFC"/>
    <x v="0"/>
    <n v="560579"/>
    <n v="3"/>
    <d v="2017-09-05T10:58:05"/>
    <x v="3"/>
    <x v="2"/>
    <s v="Brian.Ward@manulifesecurities.ca"/>
    <n v="552004"/>
    <s v="User Account"/>
    <n v="1"/>
    <s v="AtBelow"/>
    <s v="CC_WebService"/>
    <m/>
    <s v="MFC"/>
    <s v="IBMCA"/>
    <s v="ACTIVE ADVISORS AND ASSISTANTS"/>
    <n v="0"/>
    <n v="0"/>
  </r>
  <r>
    <s v="ssotest@mfc.sps.local"/>
    <s v="MFC"/>
    <x v="0"/>
    <n v="551367"/>
    <n v="1000"/>
    <d v="2017-09-05T10:57:54"/>
    <x v="0"/>
    <x v="0"/>
    <s v="Aubert.Sirois@manulifesecurities.ca"/>
    <n v="551869"/>
    <s v="User Account"/>
    <n v="1"/>
    <s v="AtBelow"/>
    <s v="CC_Portal"/>
    <n v="0"/>
    <s v="MFC"/>
    <s v="IBMCA"/>
    <s v="ACTIVE ADVISORS AND ASSISTANTS"/>
    <n v="0"/>
    <n v="0"/>
  </r>
  <r>
    <s v="ssotest@mfc.sps.local"/>
    <s v="MFC"/>
    <x v="0"/>
    <n v="551367"/>
    <n v="1000"/>
    <d v="2017-09-05T10:56:50"/>
    <x v="0"/>
    <x v="0"/>
    <s v="Richard.Williams@manulifesecurities.ca"/>
    <n v="553791"/>
    <s v="User Account"/>
    <n v="1"/>
    <s v="AtBelow"/>
    <s v="CC_Portal"/>
    <n v="0"/>
    <s v="MFC"/>
    <s v="IBMCA"/>
    <s v="ACTIVE ADVISORS AND ASSISTANTS"/>
    <n v="0"/>
    <n v="0"/>
  </r>
  <r>
    <s v="alex_buena@manulifesecurities.ca"/>
    <s v="MFC"/>
    <x v="0"/>
    <n v="570025"/>
    <n v="3"/>
    <d v="2017-09-05T10:54:25"/>
    <x v="0"/>
    <x v="3"/>
    <s v="Davor.Polak@manulifesecurities.ca"/>
    <n v="552318"/>
    <s v="User Account"/>
    <n v="1"/>
    <s v="AtBelow"/>
    <s v="CC_Portal"/>
    <s v="Disable"/>
    <s v="MFC"/>
    <s v="IBMCA"/>
    <s v="ACTIVE ADVISORS AND ASSISTANTS"/>
    <n v="0"/>
    <n v="0"/>
  </r>
  <r>
    <s v="ssotest@mfc.sps.local"/>
    <s v="MFC"/>
    <x v="0"/>
    <n v="551367"/>
    <n v="1000"/>
    <d v="2017-09-05T10:51:58"/>
    <x v="0"/>
    <x v="0"/>
    <s v="Lacey.Middagh@manulifesecurities.ca"/>
    <n v="569899"/>
    <s v="User Account"/>
    <n v="1"/>
    <s v="AtBelow"/>
    <s v="CC_Portal"/>
    <n v="0"/>
    <s v="MFC"/>
    <s v="IBMCA"/>
    <s v="ACTIVE ADVISORS AND ASSISTANTS"/>
    <n v="0"/>
    <n v="0"/>
  </r>
  <r>
    <s v="alex_buena@manulifesecurities.ca"/>
    <s v="MFC"/>
    <x v="0"/>
    <n v="570025"/>
    <n v="3"/>
    <d v="2017-09-05T10:50:29"/>
    <x v="0"/>
    <x v="4"/>
    <s v="rose.manigat@manulifesecurities.ca"/>
    <n v="633896"/>
    <s v="User Account"/>
    <n v="1"/>
    <s v="AtBelow"/>
    <s v="CC_Portal"/>
    <s v="oldOrgGroup=ACTIVE ADVISORS AND ASSISTANTS;newOrgGroup=DISABLED USERS"/>
    <s v="MFC"/>
    <s v="IBMCA"/>
    <s v="DISABLED USERS"/>
    <n v="0"/>
    <n v="0"/>
  </r>
  <r>
    <s v="alex_buena@manulifesecurities.ca"/>
    <s v="MFC"/>
    <x v="0"/>
    <n v="570025"/>
    <n v="3"/>
    <d v="2017-09-05T10:49:17"/>
    <x v="0"/>
    <x v="5"/>
    <s v="rose.manigat@manulifesecurities.ca"/>
    <n v="633896"/>
    <s v="User Account"/>
    <n v="1"/>
    <s v="AtBelow"/>
    <s v="CC_Portal"/>
    <n v="0"/>
    <s v="MFC"/>
    <s v="IBMCA"/>
    <s v="ACTIVE ADVISORS AND ASSISTANTS"/>
    <n v="0"/>
    <n v="0"/>
  </r>
  <r>
    <s v="alex_buena@manulifesecurities.ca"/>
    <s v="MFC"/>
    <x v="0"/>
    <n v="570025"/>
    <n v="3"/>
    <d v="2017-09-05T10:49:16"/>
    <x v="4"/>
    <x v="6"/>
    <s v="MSI_autoEmailArchive@manulifesecurities.ca"/>
    <n v="561482"/>
    <s v="Distribution List"/>
    <n v="1"/>
    <s v="Any"/>
    <s v="CC_Portal"/>
    <s v="9af601c399aa44fbb3b294b8140421ee"/>
    <s v="MFC"/>
    <s v="IBMCA"/>
    <s v="ALL GROUPS"/>
    <n v="0"/>
    <n v="0"/>
  </r>
  <r>
    <s v="alex_buena@manulifesecurities.ca"/>
    <s v="MFC"/>
    <x v="0"/>
    <n v="570025"/>
    <n v="3"/>
    <d v="2017-09-05T10:49:14"/>
    <x v="4"/>
    <x v="6"/>
    <s v="AllAssistants@manulifesecurities.ca"/>
    <n v="555660"/>
    <s v="Distribution List"/>
    <n v="1"/>
    <s v="Any"/>
    <s v="CC_Portal"/>
    <s v="9af601c399aa44fbb3b294b8140421ee"/>
    <s v="MFC"/>
    <s v="IBMCA"/>
    <s v="ALL GROUPS"/>
    <n v="0"/>
    <n v="0"/>
  </r>
  <r>
    <s v="alex_buena@manulifesecurities.ca"/>
    <s v="MFC"/>
    <x v="0"/>
    <n v="570025"/>
    <n v="3"/>
    <d v="2017-09-05T10:49:12"/>
    <x v="0"/>
    <x v="5"/>
    <s v="rose.manigat@manulifesecurities.ca"/>
    <n v="633896"/>
    <s v="User Account"/>
    <n v="1"/>
    <s v="AtBelow"/>
    <s v="CC_Portal"/>
    <n v="0"/>
    <s v="MFC"/>
    <s v="IBMCA"/>
    <s v="ACTIVE ADVISORS AND ASSISTANTS"/>
    <n v="0"/>
    <n v="0"/>
  </r>
  <r>
    <s v="alex_buena@manulifesecurities.ca"/>
    <s v="MFC"/>
    <x v="0"/>
    <n v="570025"/>
    <n v="3"/>
    <d v="2017-09-05T10:49:07"/>
    <x v="0"/>
    <x v="5"/>
    <s v="rose.manigat@manulifesecurities.ca"/>
    <n v="633896"/>
    <s v="User Account"/>
    <n v="1"/>
    <s v="AtBelow"/>
    <s v="CC_Portal"/>
    <n v="0"/>
    <s v="MFC"/>
    <s v="IBMCA"/>
    <s v="ACTIVE ADVISORS AND ASSISTANTS"/>
    <n v="0"/>
    <n v="0"/>
  </r>
  <r>
    <s v="ssotest@mfc.sps.local"/>
    <s v="MFC"/>
    <x v="0"/>
    <n v="551367"/>
    <n v="1000"/>
    <d v="2017-09-05T10:48:59"/>
    <x v="0"/>
    <x v="0"/>
    <s v="Jo-Anne.Dupuis@manulifesecurities.ca"/>
    <n v="552870"/>
    <s v="User Account"/>
    <n v="1"/>
    <s v="AtBelow"/>
    <s v="CC_Portal"/>
    <n v="0"/>
    <s v="MFC"/>
    <s v="IBMCA"/>
    <s v="ACTIVE ADVISORS AND ASSISTANTS"/>
    <n v="0"/>
    <n v="0"/>
  </r>
  <r>
    <s v="alex_buena@manulifesecurities.ca"/>
    <s v="MFC"/>
    <x v="0"/>
    <n v="570025"/>
    <n v="3"/>
    <d v="2017-09-05T10:48:34"/>
    <x v="0"/>
    <x v="3"/>
    <s v="rose.manigat@manulifesecurities.ca"/>
    <n v="633896"/>
    <s v="User Account"/>
    <n v="1"/>
    <s v="AtBelow"/>
    <s v="CC_Portal"/>
    <s v="Disable"/>
    <s v="MFC"/>
    <s v="IBMCA"/>
    <s v="ACTIVE ADVISORS AND ASSISTANTS"/>
    <n v="0"/>
    <n v="0"/>
  </r>
  <r>
    <s v="jody.markovic@manulifesecurities.ca"/>
    <s v="MFC"/>
    <x v="0"/>
    <n v="560579"/>
    <n v="3"/>
    <d v="2017-09-05T10:46:51"/>
    <x v="3"/>
    <x v="2"/>
    <s v="dahlia.clarke@manulifesecurities.ca"/>
    <n v="729505"/>
    <s v="User Account"/>
    <n v="1"/>
    <s v="AtBelow"/>
    <s v="CC_WebService"/>
    <m/>
    <s v="MFC"/>
    <s v="IBMCA"/>
    <s v="ACTIVE ADVISORS AND ASSISTANTS"/>
    <n v="0"/>
    <n v="0"/>
  </r>
  <r>
    <s v="jody.markovic@manulifesecurities.ca"/>
    <s v="MFC"/>
    <x v="0"/>
    <n v="560579"/>
    <n v="3"/>
    <d v="2017-09-05T10:46:46"/>
    <x v="3"/>
    <x v="2"/>
    <s v="dahlia.clarke@manulifesecurities.ca"/>
    <n v="729505"/>
    <s v="User Account"/>
    <n v="1"/>
    <s v="AtBelow"/>
    <s v="CC_WebService"/>
    <m/>
    <s v="MFC"/>
    <s v="IBMCA"/>
    <s v="ACTIVE ADVISORS AND ASSISTANTS"/>
    <n v="0"/>
    <n v="0"/>
  </r>
  <r>
    <s v="ssotest@mfc.sps.local"/>
    <s v="MFC"/>
    <x v="0"/>
    <n v="551367"/>
    <n v="1000"/>
    <d v="2017-09-05T10:34:10"/>
    <x v="0"/>
    <x v="0"/>
    <s v="Kenneth.Yip-chuck@manulifesecurities.ca"/>
    <n v="553084"/>
    <s v="User Account"/>
    <n v="1"/>
    <s v="AtBelow"/>
    <s v="CC_Portal"/>
    <n v="0"/>
    <s v="MFC"/>
    <s v="IBMCA"/>
    <s v="ACTIVE ADVISORS AND ASSISTANTS"/>
    <n v="0"/>
    <n v="0"/>
  </r>
  <r>
    <s v="patrick.harkins@manulifesecurities.ca"/>
    <s v="MFC"/>
    <x v="0"/>
    <n v="560864"/>
    <n v="3"/>
    <d v="2017-09-05T10:33:24"/>
    <x v="3"/>
    <x v="2"/>
    <s v="Jordan.Kenna@manulifesecurities.ca"/>
    <n v="552934"/>
    <s v="User Account"/>
    <n v="1"/>
    <s v="AtBelow"/>
    <s v="CC_WebService"/>
    <m/>
    <s v="MFC"/>
    <s v="IBMCA"/>
    <s v="ACTIVE ADVISORS AND ASSISTANTS"/>
    <n v="0"/>
    <n v="0"/>
  </r>
  <r>
    <s v="ssotest@mfc.sps.local"/>
    <s v="MFC"/>
    <x v="0"/>
    <n v="551367"/>
    <n v="1000"/>
    <d v="2017-09-05T10:25:32"/>
    <x v="0"/>
    <x v="0"/>
    <s v="William.McElroy@manulifesecurities.ca"/>
    <n v="554314"/>
    <s v="User Account"/>
    <n v="1"/>
    <s v="AtBelow"/>
    <s v="CC_Portal"/>
    <n v="0"/>
    <s v="MFC"/>
    <s v="IBMCA"/>
    <s v="ACTIVE ADVISORS AND ASSISTANTS"/>
    <n v="0"/>
    <n v="0"/>
  </r>
  <r>
    <s v="ssotest@mfc.sps.local"/>
    <s v="MFC"/>
    <x v="0"/>
    <n v="551367"/>
    <n v="1000"/>
    <d v="2017-09-05T10:22:50"/>
    <x v="0"/>
    <x v="0"/>
    <s v="Tekla.Nelson@manulifesecurities.ca"/>
    <n v="554136"/>
    <s v="User Account"/>
    <n v="1"/>
    <s v="AtBelow"/>
    <s v="CC_Portal"/>
    <n v="0"/>
    <s v="MFC"/>
    <s v="IBMCA"/>
    <s v="ACTIVE ADVISORS AND ASSISTANTS"/>
    <n v="0"/>
    <n v="0"/>
  </r>
  <r>
    <s v="ssotest@mfc.sps.local"/>
    <s v="MFC"/>
    <x v="0"/>
    <n v="551367"/>
    <n v="1000"/>
    <d v="2017-09-05T10:19:27"/>
    <x v="0"/>
    <x v="0"/>
    <s v="Catherine.Leyland@manulifesecurities.ca"/>
    <n v="552081"/>
    <s v="User Account"/>
    <n v="1"/>
    <s v="AtBelow"/>
    <s v="CC_Portal"/>
    <n v="0"/>
    <s v="MFC"/>
    <s v="IBMCA"/>
    <s v="ACTIVE ADVISORS AND ASSISTANTS"/>
    <n v="0"/>
    <n v="0"/>
  </r>
  <r>
    <s v="ssotest@mfc.sps.local"/>
    <s v="MFC"/>
    <x v="0"/>
    <n v="551367"/>
    <n v="1000"/>
    <d v="2017-09-05T10:14:32"/>
    <x v="0"/>
    <x v="0"/>
    <s v="Bruce.Vaillancourt@manulifesecurities.ca"/>
    <n v="552021"/>
    <s v="User Account"/>
    <n v="1"/>
    <s v="AtBelow"/>
    <s v="CC_Portal"/>
    <n v="0"/>
    <s v="MFC"/>
    <s v="IBMCA"/>
    <s v="ACTIVE ADVISORS AND ASSISTANTS"/>
    <n v="0"/>
    <n v="0"/>
  </r>
  <r>
    <s v="alex_buena@manulifesecurities.ca"/>
    <s v="MFC"/>
    <x v="0"/>
    <n v="570025"/>
    <n v="3"/>
    <d v="2017-09-05T10:14:04"/>
    <x v="0"/>
    <x v="4"/>
    <s v="mona.bourassa@manulifesecurities.ca"/>
    <n v="719187"/>
    <s v="User Account"/>
    <n v="1"/>
    <s v="AtBelow"/>
    <s v="CC_Portal"/>
    <s v="oldOrgGroup=ACTIVE ADVISORS AND ASSISTANTS;newOrgGroup=DISABLED USERS"/>
    <s v="MFC"/>
    <s v="IBMCA"/>
    <s v="DISABLED USERS"/>
    <n v="0"/>
    <n v="0"/>
  </r>
  <r>
    <s v="alex_buena@manulifesecurities.ca"/>
    <s v="MFC"/>
    <x v="0"/>
    <n v="570025"/>
    <n v="3"/>
    <d v="2017-09-05T10:13:29"/>
    <x v="4"/>
    <x v="6"/>
    <s v="MSI_autoEmailArchive@manulifesecurities.ca"/>
    <n v="561482"/>
    <s v="Distribution List"/>
    <n v="1"/>
    <s v="Any"/>
    <s v="CC_Portal"/>
    <s v="88b6b4c82a904feb844b5d3ee70fb2e5"/>
    <s v="MFC"/>
    <s v="IBMCA"/>
    <s v="ALL GROUPS"/>
    <n v="0"/>
    <n v="0"/>
  </r>
  <r>
    <s v="alex_buena@manulifesecurities.ca"/>
    <s v="MFC"/>
    <x v="0"/>
    <n v="570025"/>
    <n v="3"/>
    <d v="2017-09-05T10:13:29"/>
    <x v="0"/>
    <x v="5"/>
    <s v="mona.bourassa@manulifesecurities.ca"/>
    <n v="719187"/>
    <s v="User Account"/>
    <n v="1"/>
    <s v="AtBelow"/>
    <s v="CC_Portal"/>
    <n v="0"/>
    <s v="MFC"/>
    <s v="IBMCA"/>
    <s v="ACTIVE ADVISORS AND ASSISTANTS"/>
    <n v="0"/>
    <n v="0"/>
  </r>
  <r>
    <s v="alex_buena@manulifesecurities.ca"/>
    <s v="MFC"/>
    <x v="0"/>
    <n v="570025"/>
    <n v="3"/>
    <d v="2017-09-05T10:13:25"/>
    <x v="4"/>
    <x v="6"/>
    <s v="AllAssistants@manulifesecurities.ca"/>
    <n v="555660"/>
    <s v="Distribution List"/>
    <n v="1"/>
    <s v="Any"/>
    <s v="CC_Portal"/>
    <s v="88b6b4c82a904feb844b5d3ee70fb2e5"/>
    <s v="MFC"/>
    <s v="IBMCA"/>
    <s v="ALL GROUPS"/>
    <n v="0"/>
    <n v="0"/>
  </r>
  <r>
    <s v="alex_buena@manulifesecurities.ca"/>
    <s v="MFC"/>
    <x v="0"/>
    <n v="570025"/>
    <n v="3"/>
    <d v="2017-09-05T10:13:23"/>
    <x v="0"/>
    <x v="5"/>
    <s v="mona.bourassa@manulifesecurities.ca"/>
    <n v="719187"/>
    <s v="User Account"/>
    <n v="1"/>
    <s v="AtBelow"/>
    <s v="CC_Portal"/>
    <n v="0"/>
    <s v="MFC"/>
    <s v="IBMCA"/>
    <s v="ACTIVE ADVISORS AND ASSISTANTS"/>
    <n v="0"/>
    <n v="0"/>
  </r>
  <r>
    <s v="alex_buena@manulifesecurities.ca"/>
    <s v="MFC"/>
    <x v="0"/>
    <n v="570025"/>
    <n v="3"/>
    <d v="2017-09-05T10:13:17"/>
    <x v="0"/>
    <x v="5"/>
    <s v="mona.bourassa@manulifesecurities.ca"/>
    <n v="719187"/>
    <s v="User Account"/>
    <n v="1"/>
    <s v="AtBelow"/>
    <s v="CC_Portal"/>
    <n v="0"/>
    <s v="MFC"/>
    <s v="IBMCA"/>
    <s v="ACTIVE ADVISORS AND ASSISTANTS"/>
    <n v="0"/>
    <n v="0"/>
  </r>
  <r>
    <s v="ssotest@mfc.sps.local"/>
    <s v="MFC"/>
    <x v="0"/>
    <n v="551367"/>
    <n v="1000"/>
    <d v="2017-09-05T10:12:49"/>
    <x v="0"/>
    <x v="0"/>
    <s v="Laura.Young@manulifesecurities.ca"/>
    <n v="553158"/>
    <s v="User Account"/>
    <n v="1"/>
    <s v="AtBelow"/>
    <s v="CC_Portal"/>
    <n v="0"/>
    <s v="MFC"/>
    <s v="IBMCA"/>
    <s v="ACTIVE ADVISORS AND ASSISTANTS"/>
    <n v="0"/>
    <n v="0"/>
  </r>
  <r>
    <s v="alex_buena@manulifesecurities.ca"/>
    <s v="MFC"/>
    <x v="0"/>
    <n v="570025"/>
    <n v="3"/>
    <d v="2017-09-05T10:12:35"/>
    <x v="0"/>
    <x v="3"/>
    <s v="mona.bourassa@manulifesecurities.ca"/>
    <n v="719187"/>
    <s v="User Account"/>
    <n v="1"/>
    <s v="AtBelow"/>
    <s v="CC_Portal"/>
    <s v="Disable"/>
    <s v="MFC"/>
    <s v="IBMCA"/>
    <s v="ACTIVE ADVISORS AND ASSISTANTS"/>
    <n v="0"/>
    <n v="0"/>
  </r>
  <r>
    <s v="patrick.harkins@manulifesecurities.ca"/>
    <s v="MFC"/>
    <x v="0"/>
    <n v="560864"/>
    <n v="3"/>
    <d v="2017-09-05T10:06:37"/>
    <x v="3"/>
    <x v="2"/>
    <s v="Randy.Booth@manulifesecurities.ca"/>
    <n v="551681"/>
    <s v="User Account"/>
    <n v="1"/>
    <s v="AtBelow"/>
    <s v="CC_WebService"/>
    <m/>
    <s v="MFC"/>
    <s v="IBMCA"/>
    <s v="ACTIVE ADVISORS AND ASSISTANTS"/>
    <n v="0"/>
    <n v="0"/>
  </r>
  <r>
    <s v="ssotest@mfc.sps.local"/>
    <s v="MFC"/>
    <x v="0"/>
    <n v="551367"/>
    <n v="1000"/>
    <d v="2017-09-05T09:59:52"/>
    <x v="0"/>
    <x v="0"/>
    <s v="Jimmy.Jim@manulifesecurities.ca"/>
    <n v="552856"/>
    <s v="User Account"/>
    <n v="1"/>
    <s v="AtBelow"/>
    <s v="CC_Portal"/>
    <n v="0"/>
    <s v="MFC"/>
    <s v="IBMCA"/>
    <s v="ACTIVE ADVISORS AND ASSISTANTS"/>
    <n v="0"/>
    <n v="0"/>
  </r>
  <r>
    <s v="ssotest@mfc.sps.local"/>
    <s v="MFC"/>
    <x v="0"/>
    <n v="551367"/>
    <n v="1000"/>
    <d v="2017-09-05T09:56:44"/>
    <x v="0"/>
    <x v="0"/>
    <s v="ashley.mcclosky@manulifesecurities.ca"/>
    <n v="680219"/>
    <s v="User Account"/>
    <n v="1"/>
    <s v="AtBelow"/>
    <s v="CC_Portal"/>
    <n v="0"/>
    <s v="MFC"/>
    <s v="IBMCA"/>
    <s v="ACTIVE ADVISORS AND ASSISTANTS"/>
    <n v="0"/>
    <n v="0"/>
  </r>
  <r>
    <s v="ssotest@mfc.sps.local"/>
    <s v="MFC"/>
    <x v="0"/>
    <n v="551367"/>
    <n v="1000"/>
    <d v="2017-09-05T09:52:32"/>
    <x v="0"/>
    <x v="0"/>
    <s v="Mark.Gerber@manulifesecurities.ca"/>
    <n v="553358"/>
    <s v="User Account"/>
    <n v="1"/>
    <s v="AtBelow"/>
    <s v="CC_Portal"/>
    <n v="0"/>
    <s v="MFC"/>
    <s v="IBMCA"/>
    <s v="ACTIVE ADVISORS AND ASSISTANTS"/>
    <n v="0"/>
    <n v="0"/>
  </r>
  <r>
    <s v="ssotest@mfc.sps.local"/>
    <s v="MFC"/>
    <x v="0"/>
    <n v="551367"/>
    <n v="1000"/>
    <d v="2017-09-05T09:45:47"/>
    <x v="0"/>
    <x v="0"/>
    <s v="Natalie.Haglin@manulifesecurities.ca"/>
    <n v="553581"/>
    <s v="User Account"/>
    <n v="1"/>
    <s v="AtBelow"/>
    <s v="CC_Portal"/>
    <n v="0"/>
    <s v="MFC"/>
    <s v="IBMCA"/>
    <s v="ACTIVE ADVISORS AND ASSISTANTS"/>
    <n v="0"/>
    <n v="0"/>
  </r>
  <r>
    <s v="ssotest@mfc.sps.local"/>
    <s v="MFC"/>
    <x v="0"/>
    <n v="551367"/>
    <n v="1000"/>
    <d v="2017-09-05T09:45:18"/>
    <x v="0"/>
    <x v="0"/>
    <s v="harj.sahota@manulifesecurities.ca"/>
    <n v="814693"/>
    <s v="User Account"/>
    <n v="1"/>
    <s v="AtBelow"/>
    <s v="CC_Portal"/>
    <n v="0"/>
    <s v="MFC"/>
    <s v="IBMCA"/>
    <s v="ACTIVE ADVISORS AND ASSISTANTS"/>
    <n v="0"/>
    <n v="0"/>
  </r>
  <r>
    <s v="ssotest@mfc.sps.local"/>
    <s v="MFC"/>
    <x v="0"/>
    <n v="551367"/>
    <n v="1000"/>
    <d v="2017-09-05T09:35:03"/>
    <x v="0"/>
    <x v="0"/>
    <s v="June.Johnston@manulifesecurities.ca"/>
    <n v="552985"/>
    <s v="User Account"/>
    <n v="1"/>
    <s v="AtBelow"/>
    <s v="CC_Portal"/>
    <n v="0"/>
    <s v="MFC"/>
    <s v="IBMCA"/>
    <s v="ACTIVE ADVISORS AND ASSISTANTS"/>
    <n v="0"/>
    <n v="0"/>
  </r>
  <r>
    <s v="ssotest@mfc.sps.local"/>
    <s v="MFC"/>
    <x v="0"/>
    <n v="551367"/>
    <n v="1000"/>
    <d v="2017-09-05T09:25:45"/>
    <x v="0"/>
    <x v="0"/>
    <s v="Mark.Colangelo@manulifesecurities.ca"/>
    <n v="553353"/>
    <s v="User Account"/>
    <n v="1"/>
    <s v="AtBelow"/>
    <s v="CC_Portal"/>
    <n v="0"/>
    <s v="MFC"/>
    <s v="IBMCA"/>
    <s v="ACTIVE ADVISORS AND ASSISTANTS"/>
    <n v="0"/>
    <n v="0"/>
  </r>
  <r>
    <s v="ssotest@mfc.sps.local"/>
    <s v="MFC"/>
    <x v="0"/>
    <n v="551367"/>
    <n v="1000"/>
    <d v="2017-09-05T09:17:18"/>
    <x v="0"/>
    <x v="0"/>
    <s v="Sherry.Brand@manulifesecurities.ca"/>
    <n v="554013"/>
    <s v="User Account"/>
    <n v="1"/>
    <s v="AtBelow"/>
    <s v="CC_Portal"/>
    <n v="0"/>
    <s v="MFC"/>
    <s v="IBMCA"/>
    <s v="ACTIVE ADVISORS AND ASSISTANTS"/>
    <n v="0"/>
    <n v="0"/>
  </r>
  <r>
    <s v="ssotest@mfc.sps.local"/>
    <s v="MFC"/>
    <x v="0"/>
    <n v="551367"/>
    <n v="1000"/>
    <d v="2017-09-05T09:14:54"/>
    <x v="0"/>
    <x v="0"/>
    <s v="dahlia.clarke@manulifesecurities.ca"/>
    <n v="729505"/>
    <s v="User Account"/>
    <n v="1"/>
    <s v="AtBelow"/>
    <s v="CC_Portal"/>
    <n v="0"/>
    <s v="MFC"/>
    <s v="IBMCA"/>
    <s v="ACTIVE ADVISORS AND ASSISTANTS"/>
    <n v="0"/>
    <n v="0"/>
  </r>
  <r>
    <s v="ssotest@mfc.sps.local"/>
    <s v="MFC"/>
    <x v="0"/>
    <n v="551367"/>
    <n v="1000"/>
    <d v="2017-09-05T09:09:42"/>
    <x v="0"/>
    <x v="0"/>
    <s v="janine.vickers@manulifesecurities.ca"/>
    <n v="560616"/>
    <s v="User Account"/>
    <n v="1"/>
    <s v="AtBelow"/>
    <s v="CC_Portal"/>
    <n v="0"/>
    <s v="MFC"/>
    <s v="IBMCA"/>
    <s v="DISABLED USERS"/>
    <n v="0"/>
    <n v="0"/>
  </r>
  <r>
    <s v="ssotest@mfc.sps.local"/>
    <s v="MFC"/>
    <x v="0"/>
    <n v="551367"/>
    <n v="1000"/>
    <d v="2017-09-05T08:56:44"/>
    <x v="0"/>
    <x v="0"/>
    <s v="Samantha.Patrickson@manulifesecurities.ca"/>
    <n v="553912"/>
    <s v="User Account"/>
    <n v="1"/>
    <s v="AtBelow"/>
    <s v="CC_Portal"/>
    <n v="0"/>
    <s v="MFC"/>
    <s v="IBMCA"/>
    <s v="ACTIVE ADVISORS AND ASSISTANTS"/>
    <n v="0"/>
    <n v="0"/>
  </r>
  <r>
    <s v="ssotest@mfc.sps.local"/>
    <s v="MFC"/>
    <x v="0"/>
    <n v="551367"/>
    <n v="1000"/>
    <d v="2017-09-05T08:55:28"/>
    <x v="0"/>
    <x v="0"/>
    <s v="Mike.Petinarelis@manulifesecurities.ca"/>
    <n v="553542"/>
    <s v="User Account"/>
    <n v="1"/>
    <s v="AtBelow"/>
    <s v="CC_Portal"/>
    <n v="0"/>
    <s v="MFC"/>
    <s v="IBMCA"/>
    <s v="ACTIVE ADVISORS AND ASSISTANTS"/>
    <n v="0"/>
    <n v="0"/>
  </r>
  <r>
    <s v="ssotest@mfc.sps.local"/>
    <s v="MFC"/>
    <x v="0"/>
    <n v="551367"/>
    <n v="1000"/>
    <d v="2017-09-05T08:47:07"/>
    <x v="0"/>
    <x v="0"/>
    <s v="Bruce.McDougall@manulifesecurities.ca"/>
    <n v="552018"/>
    <s v="User Account"/>
    <n v="1"/>
    <s v="AtBelow"/>
    <s v="CC_Portal"/>
    <n v="0"/>
    <s v="MFC"/>
    <s v="IBMCA"/>
    <s v="ACTIVE ADVISORS AND ASSISTANTS"/>
    <n v="0"/>
    <n v="0"/>
  </r>
  <r>
    <s v="ssotest@mfc.sps.local"/>
    <s v="MFC"/>
    <x v="0"/>
    <n v="551367"/>
    <n v="1000"/>
    <d v="2017-09-05T08:44:23"/>
    <x v="0"/>
    <x v="0"/>
    <s v="Judie.Rice@manulifesecurities.ca"/>
    <n v="552964"/>
    <s v="User Account"/>
    <n v="1"/>
    <s v="AtBelow"/>
    <s v="CC_Portal"/>
    <n v="0"/>
    <s v="MFC"/>
    <s v="IBMCA"/>
    <s v="ACTIVE ADVISORS AND ASSISTANTS"/>
    <n v="0"/>
    <n v="0"/>
  </r>
  <r>
    <s v="ssotest@mfc.sps.local"/>
    <s v="MFC"/>
    <x v="0"/>
    <n v="551367"/>
    <n v="1000"/>
    <d v="2017-09-05T08:41:53"/>
    <x v="0"/>
    <x v="0"/>
    <s v="Karen.Masters@manulifesecurities.ca"/>
    <n v="553003"/>
    <s v="User Account"/>
    <n v="1"/>
    <s v="AtBelow"/>
    <s v="CC_Portal"/>
    <n v="0"/>
    <s v="MFC"/>
    <s v="IBMCA"/>
    <s v="DISABLED USERS"/>
    <n v="0"/>
    <n v="0"/>
  </r>
  <r>
    <s v="ssotest@mfc.sps.local"/>
    <s v="MFC"/>
    <x v="0"/>
    <n v="551367"/>
    <n v="1000"/>
    <d v="2017-09-05T08:38:55"/>
    <x v="0"/>
    <x v="0"/>
    <s v="Ginder.Gill@manulifesecurities.ca"/>
    <n v="552589"/>
    <s v="User Account"/>
    <n v="1"/>
    <s v="AtBelow"/>
    <s v="CC_Portal"/>
    <n v="0"/>
    <s v="MFC"/>
    <s v="IBMCA"/>
    <s v="ACTIVE ADVISORS AND ASSISTANTS"/>
    <n v="0"/>
    <n v="0"/>
  </r>
  <r>
    <s v="ssotest@mfc.sps.local"/>
    <s v="MFC"/>
    <x v="0"/>
    <n v="551367"/>
    <n v="1000"/>
    <d v="2017-09-05T08:29:43"/>
    <x v="0"/>
    <x v="0"/>
    <s v="Brian.Ward@manulifesecurities.ca"/>
    <n v="552004"/>
    <s v="User Account"/>
    <n v="1"/>
    <s v="AtBelow"/>
    <s v="CC_Portal"/>
    <n v="0"/>
    <s v="MFC"/>
    <s v="IBMCA"/>
    <s v="ACTIVE ADVISORS AND ASSISTANTS"/>
    <n v="0"/>
    <n v="0"/>
  </r>
  <r>
    <s v="patrick.harkins@manulifesecurities.ca"/>
    <s v="MFC"/>
    <x v="0"/>
    <n v="560864"/>
    <n v="3"/>
    <d v="2017-09-05T08:26:53"/>
    <x v="3"/>
    <x v="2"/>
    <s v="robert.leombruno@manulifesecurities.ca"/>
    <n v="894733"/>
    <s v="User Account"/>
    <n v="1"/>
    <s v="AtBelow"/>
    <s v="CC_WebService"/>
    <m/>
    <s v="MFC"/>
    <s v="IBMCA"/>
    <s v="ACTIVE ADVISORS AND ASSISTANTS"/>
    <n v="0"/>
    <n v="0"/>
  </r>
  <r>
    <s v="ssotest@mfc.sps.local"/>
    <s v="MFC"/>
    <x v="0"/>
    <n v="551367"/>
    <n v="1000"/>
    <d v="2017-09-05T08:19:16"/>
    <x v="0"/>
    <x v="0"/>
    <s v="Emily.Mcgough@manulifesecurities.ca"/>
    <n v="552480"/>
    <s v="User Account"/>
    <n v="1"/>
    <s v="AtBelow"/>
    <s v="CC_Portal"/>
    <n v="0"/>
    <s v="MFC"/>
    <s v="IBMCA"/>
    <s v="ACTIVE ADVISORS AND ASSISTANTS"/>
    <n v="0"/>
    <n v="0"/>
  </r>
  <r>
    <s v="ssotest@mfc.sps.local"/>
    <s v="MFC"/>
    <x v="0"/>
    <n v="551367"/>
    <n v="1000"/>
    <d v="2017-09-05T08:13:29"/>
    <x v="0"/>
    <x v="0"/>
    <s v="Jill.Dubray@manulifesecurities.ca"/>
    <n v="552844"/>
    <s v="User Account"/>
    <n v="1"/>
    <s v="AtBelow"/>
    <s v="CC_Portal"/>
    <n v="0"/>
    <s v="MFC"/>
    <s v="IBMCA"/>
    <s v="ACTIVE ADVISORS AND ASSISTANTS"/>
    <n v="0"/>
    <n v="0"/>
  </r>
  <r>
    <s v="ssotest@mfc.sps.local"/>
    <s v="MFC"/>
    <x v="0"/>
    <n v="551367"/>
    <n v="1000"/>
    <d v="2017-09-05T08:04:30"/>
    <x v="0"/>
    <x v="0"/>
    <s v="nicole.kish@manulifesecurities.ca"/>
    <n v="560826"/>
    <s v="User Account"/>
    <n v="1"/>
    <s v="AtBelow"/>
    <s v="CC_Portal"/>
    <n v="0"/>
    <s v="MFC"/>
    <s v="IBMCA"/>
    <s v="DISABLED USERS"/>
    <n v="0"/>
    <n v="0"/>
  </r>
  <r>
    <s v="ssotest@mfc.sps.local"/>
    <s v="MFC"/>
    <x v="0"/>
    <n v="551367"/>
    <n v="1000"/>
    <d v="2017-09-05T07:42:15"/>
    <x v="0"/>
    <x v="0"/>
    <s v="Kenneth.Wharram@manulifesecurities.ca"/>
    <n v="553083"/>
    <s v="User Account"/>
    <n v="1"/>
    <s v="AtBelow"/>
    <s v="CC_Portal"/>
    <n v="0"/>
    <s v="MFC"/>
    <s v="IBMCA"/>
    <s v="ACTIVE ADVISORS AND ASSISTANTS"/>
    <n v="0"/>
    <n v="0"/>
  </r>
  <r>
    <s v="ssotest@mfc.sps.local"/>
    <s v="MFC"/>
    <x v="0"/>
    <n v="551367"/>
    <n v="1000"/>
    <d v="2017-09-04T21:26:20"/>
    <x v="0"/>
    <x v="0"/>
    <s v="Chris.Koschman@manulifesecurities.ca"/>
    <n v="552127"/>
    <s v="User Account"/>
    <n v="1"/>
    <s v="AtBelow"/>
    <s v="CC_Portal"/>
    <n v="0"/>
    <s v="MFC"/>
    <s v="IBMCA"/>
    <s v="ACTIVE ADVISORS AND ASSISTANTS"/>
    <n v="0"/>
    <n v="0"/>
  </r>
  <r>
    <s v="ssotest@mfc.sps.local"/>
    <s v="MFC"/>
    <x v="0"/>
    <n v="551367"/>
    <n v="1000"/>
    <d v="2017-09-04T17:05:55"/>
    <x v="0"/>
    <x v="0"/>
    <s v="Mary.Chervenka@manulifesecurities.ca"/>
    <n v="553399"/>
    <s v="User Account"/>
    <n v="1"/>
    <s v="AtBelow"/>
    <s v="CC_Portal"/>
    <n v="0"/>
    <s v="MFC"/>
    <s v="IBMCA"/>
    <s v="ACTIVE ADVISORS AND ASSISTANTS"/>
    <n v="0"/>
    <n v="0"/>
  </r>
  <r>
    <s v="ssotest@mfc.sps.local"/>
    <s v="MFC"/>
    <x v="0"/>
    <n v="551367"/>
    <n v="1000"/>
    <d v="2017-09-04T16:32:57"/>
    <x v="0"/>
    <x v="0"/>
    <s v="p.leung@manulifesecurities.ca"/>
    <n v="897809"/>
    <s v="User Account"/>
    <n v="1"/>
    <s v="AtBelow"/>
    <s v="CC_Portal"/>
    <n v="0"/>
    <s v="MFC"/>
    <s v="IBMCA"/>
    <s v="DISABLED USERS"/>
    <n v="0"/>
    <n v="0"/>
  </r>
  <r>
    <s v="ssotest@mfc.sps.local"/>
    <s v="MFC"/>
    <x v="0"/>
    <n v="551367"/>
    <n v="1000"/>
    <d v="2017-09-04T09:02:28"/>
    <x v="0"/>
    <x v="0"/>
    <s v="Victor.Lough@manulifesecurities.ca"/>
    <n v="554260"/>
    <s v="User Account"/>
    <n v="1"/>
    <s v="AtBelow"/>
    <s v="CC_Portal"/>
    <n v="0"/>
    <s v="MFC"/>
    <s v="IBMCA"/>
    <s v="ACTIVE ADVISORS AND ASSISTANTS"/>
    <n v="0"/>
    <n v="0"/>
  </r>
  <r>
    <s v="ssotest@mfc.sps.local"/>
    <s v="MFC"/>
    <x v="0"/>
    <n v="551367"/>
    <n v="1000"/>
    <d v="2017-09-03T15:49:25"/>
    <x v="0"/>
    <x v="0"/>
    <s v="Ben.Holyday@manulifesecurities.ca"/>
    <n v="551908"/>
    <s v="User Account"/>
    <n v="1"/>
    <s v="AtBelow"/>
    <s v="CC_Portal"/>
    <n v="0"/>
    <s v="MFC"/>
    <s v="IBMCA"/>
    <s v="ACTIVE ADVISORS AND ASSISTANTS"/>
    <n v="0"/>
    <n v="0"/>
  </r>
  <r>
    <s v="ssotest@mfc.sps.local"/>
    <s v="MFC"/>
    <x v="0"/>
    <n v="551367"/>
    <n v="1000"/>
    <d v="2017-09-03T02:21:18"/>
    <x v="0"/>
    <x v="0"/>
    <s v="Donald.Anderson@manulifesecurities.ca"/>
    <n v="552402"/>
    <s v="User Account"/>
    <n v="1"/>
    <s v="AtBelow"/>
    <s v="CC_Portal"/>
    <n v="0"/>
    <s v="MFC"/>
    <s v="IBMCA"/>
    <s v="DISABLED USERS"/>
    <n v="0"/>
    <n v="0"/>
  </r>
  <r>
    <s v="ssotest@mfc.sps.local"/>
    <s v="MFC"/>
    <x v="0"/>
    <n v="551367"/>
    <n v="1000"/>
    <d v="2017-09-02T10:51:24"/>
    <x v="0"/>
    <x v="0"/>
    <s v="Randy.Booth@manulifesecurities.ca"/>
    <n v="551681"/>
    <s v="User Account"/>
    <n v="1"/>
    <s v="AtBelow"/>
    <s v="CC_Portal"/>
    <n v="0"/>
    <s v="MFC"/>
    <s v="IBMCA"/>
    <s v="ACTIVE ADVISORS AND ASSISTANTS"/>
    <n v="0"/>
    <n v="0"/>
  </r>
  <r>
    <s v="ssotest@mfc.sps.local"/>
    <s v="MFC"/>
    <x v="0"/>
    <n v="551367"/>
    <n v="1000"/>
    <d v="2017-09-02T10:29:31"/>
    <x v="0"/>
    <x v="0"/>
    <s v="Wally.Armstrong@manulifesecurities.ca"/>
    <n v="554278"/>
    <s v="User Account"/>
    <n v="1"/>
    <s v="AtBelow"/>
    <s v="CC_Portal"/>
    <n v="0"/>
    <s v="MFC"/>
    <s v="IBMCA"/>
    <s v="ACTIVE ADVISORS AND ASSISTANTS"/>
    <n v="0"/>
    <n v="0"/>
  </r>
  <r>
    <s v="ssotest@mfc.sps.local"/>
    <s v="MFC"/>
    <x v="0"/>
    <n v="551367"/>
    <n v="1000"/>
    <d v="2017-09-01T22:06:44"/>
    <x v="0"/>
    <x v="0"/>
    <s v="Robert.Dunlop@manulifesecurities.ca"/>
    <n v="553813"/>
    <s v="User Account"/>
    <n v="1"/>
    <s v="AtBelow"/>
    <s v="CC_Portal"/>
    <n v="0"/>
    <s v="MFC"/>
    <s v="IBMCA"/>
    <s v="ACTIVE ADVISORS AND ASSISTANTS"/>
    <n v="0"/>
    <n v="0"/>
  </r>
  <r>
    <s v="adiano.kitenge@manulifesecurities.ca"/>
    <s v="MFC"/>
    <x v="0"/>
    <n v="627566"/>
    <n v="3"/>
    <d v="2017-09-01T17:59:23"/>
    <x v="3"/>
    <x v="2"/>
    <s v="Martin.Lipworth@manulifesecurities.ca"/>
    <n v="553393"/>
    <s v="User Account"/>
    <n v="1"/>
    <s v="AtBelow"/>
    <s v="CC_WebService"/>
    <m/>
    <s v="MFC"/>
    <s v="IBMCA"/>
    <s v="ACTIVE ADVISORS AND ASSISTANTS"/>
    <n v="0"/>
    <n v="0"/>
  </r>
  <r>
    <s v="adiano.kitenge@manulifesecurities.ca"/>
    <s v="MFC"/>
    <x v="0"/>
    <n v="627566"/>
    <n v="3"/>
    <d v="2017-09-01T17:57:23"/>
    <x v="3"/>
    <x v="2"/>
    <s v="Martin.Lipworth@manulifesecurities.ca"/>
    <n v="553393"/>
    <s v="User Account"/>
    <n v="1"/>
    <s v="AtBelow"/>
    <s v="CC_WebService"/>
    <m/>
    <s v="MFC"/>
    <s v="IBMCA"/>
    <s v="ACTIVE ADVISORS AND ASSISTANTS"/>
    <n v="0"/>
    <n v="0"/>
  </r>
  <r>
    <s v="adiano.kitenge@manulifesecurities.ca"/>
    <s v="MFC"/>
    <x v="0"/>
    <n v="627566"/>
    <n v="3"/>
    <d v="2017-09-01T17:56:41"/>
    <x v="0"/>
    <x v="3"/>
    <s v="Martin.Lipworth@manulifesecurities.ca"/>
    <n v="553393"/>
    <s v="User Account"/>
    <n v="1"/>
    <s v="SelfBelow"/>
    <s v="CC_Portal"/>
    <s v="Enable"/>
    <s v="MFC"/>
    <s v="IBMCA"/>
    <s v="ACTIVE ADVISORS AND ASSISTANTS"/>
    <n v="0"/>
    <n v="0"/>
  </r>
  <r>
    <s v="adiano.kitenge@manulifesecurities.ca"/>
    <s v="MFC"/>
    <x v="0"/>
    <n v="627566"/>
    <n v="3"/>
    <d v="2017-09-01T17:56:41"/>
    <x v="0"/>
    <x v="3"/>
    <s v="Martin.Lipworth@manulifesecurities.ca"/>
    <n v="553393"/>
    <s v="User Account"/>
    <n v="1"/>
    <s v="SelfBelow"/>
    <s v="CC_Portal"/>
    <s v="Enable"/>
    <s v="MFC"/>
    <s v="IBMCA"/>
    <s v="ACTIVE ADVISORS AND ASSISTANTS"/>
    <n v="0"/>
    <n v="0"/>
  </r>
  <r>
    <s v="ssotest@mfc.sps.local"/>
    <s v="MFC"/>
    <x v="0"/>
    <n v="551367"/>
    <n v="1000"/>
    <d v="2017-09-01T16:58:15"/>
    <x v="0"/>
    <x v="0"/>
    <s v="Lina.Lee@manulifesecurities.ca"/>
    <n v="553203"/>
    <s v="User Account"/>
    <n v="1"/>
    <s v="AtBelow"/>
    <s v="CC_Portal"/>
    <n v="0"/>
    <s v="MFC"/>
    <s v="IBMCA"/>
    <s v="DISABLED USERS"/>
    <n v="0"/>
    <n v="0"/>
  </r>
  <r>
    <s v="priscilla.misir@manulifesecurities.ca"/>
    <s v="MFC"/>
    <x v="0"/>
    <n v="674396"/>
    <n v="3"/>
    <d v="2017-09-01T14:32:10"/>
    <x v="5"/>
    <x v="6"/>
    <s v="MSI_autoEmailArchive@manulifesecurities.ca"/>
    <n v="561482"/>
    <s v="Distribution List"/>
    <n v="1"/>
    <s v="Any"/>
    <s v="CC_Portal"/>
    <s v="ecd94940626a498389c9af5577cce868"/>
    <s v="MFC"/>
    <s v="IBMCA"/>
    <s v="ALL GROUPS"/>
    <n v="0"/>
    <n v="0"/>
  </r>
  <r>
    <s v="priscilla.misir@manulifesecurities.ca"/>
    <s v="MFC"/>
    <x v="0"/>
    <n v="674396"/>
    <n v="3"/>
    <d v="2017-09-01T14:32:10"/>
    <x v="0"/>
    <x v="5"/>
    <s v="evelyn.gray@manulifesecurities.ca"/>
    <n v="907004"/>
    <s v="User Account"/>
    <n v="1"/>
    <s v="AtBelow"/>
    <s v="CC_Portal"/>
    <n v="0"/>
    <s v="MFC"/>
    <s v="IBMCA"/>
    <s v="ACTIVE ADVISORS AND ASSISTANTS"/>
    <n v="0"/>
    <n v="0"/>
  </r>
  <r>
    <s v="priscilla.misir@manulifesecurities.ca"/>
    <s v="MFC"/>
    <x v="0"/>
    <n v="674396"/>
    <n v="3"/>
    <d v="2017-09-01T14:32:06"/>
    <x v="5"/>
    <x v="6"/>
    <s v="AllAssistants@manulifesecurities.ca"/>
    <n v="555660"/>
    <s v="Distribution List"/>
    <n v="1"/>
    <s v="Any"/>
    <s v="CC_Portal"/>
    <s v="ecd94940626a498389c9af5577cce868"/>
    <s v="MFC"/>
    <s v="IBMCA"/>
    <s v="ALL GROUPS"/>
    <n v="0"/>
    <n v="0"/>
  </r>
  <r>
    <s v="priscilla.misir@manulifesecurities.ca"/>
    <s v="MFC"/>
    <x v="0"/>
    <n v="674396"/>
    <n v="3"/>
    <d v="2017-09-01T14:31:39"/>
    <x v="0"/>
    <x v="5"/>
    <s v="evelyn.gray@manulifesecurities.ca"/>
    <n v="907004"/>
    <s v="User Account"/>
    <n v="1"/>
    <s v="AtBelow"/>
    <s v="CC_Portal"/>
    <n v="0"/>
    <s v="MFC"/>
    <s v="IBMCA"/>
    <s v="ACTIVE ADVISORS AND ASSISTANTS"/>
    <n v="0"/>
    <n v="0"/>
  </r>
  <r>
    <s v="priscilla.misir@manulifesecurities.ca"/>
    <s v="MFC"/>
    <x v="0"/>
    <n v="674396"/>
    <n v="3"/>
    <d v="2017-09-01T14:30:19"/>
    <x v="0"/>
    <x v="5"/>
    <s v="evelyn.gray@manulifesecurities.ca"/>
    <n v="907004"/>
    <s v="User Account"/>
    <n v="1"/>
    <s v="AtBelow"/>
    <s v="CC_Portal"/>
    <n v="0"/>
    <s v="MFC"/>
    <s v="IBMCA"/>
    <s v="ACTIVE ADVISORS AND ASSISTANTS"/>
    <n v="0"/>
    <n v="0"/>
  </r>
  <r>
    <s v="priscilla.misir@manulifesecurities.ca"/>
    <s v="MFC"/>
    <x v="0"/>
    <n v="674396"/>
    <n v="3"/>
    <d v="2017-09-01T14:28:55"/>
    <x v="5"/>
    <x v="7"/>
    <s v="evelyn.gray@manulifesecurities.ca"/>
    <n v="907004"/>
    <s v="User Account"/>
    <n v="1"/>
    <s v="AtBelow"/>
    <s v="CC_Portal"/>
    <s v="PrimaryEmail=evelyn.gray@manulifesecurities.ca"/>
    <s v="MFC"/>
    <s v="IBMCA"/>
    <s v="ACTIVE ADVISORS AND ASSISTANTS"/>
    <n v="0"/>
    <n v="0"/>
  </r>
  <r>
    <s v="ssotest@mfc.sps.local"/>
    <s v="MFC"/>
    <x v="0"/>
    <n v="551367"/>
    <n v="1000"/>
    <d v="2017-09-01T13:40:23"/>
    <x v="0"/>
    <x v="0"/>
    <s v="philippe.brault@manulifesecurities.ca"/>
    <n v="906982"/>
    <s v="User Account"/>
    <n v="1"/>
    <s v="AtBelow"/>
    <s v="CC_Portal"/>
    <n v="0"/>
    <s v="MFC"/>
    <s v="IBMCA"/>
    <s v="ACTIVE ADVISORS AND ASSISTANTS"/>
    <n v="0"/>
    <n v="0"/>
  </r>
  <r>
    <s v="ssotest@mfc.sps.local"/>
    <s v="MFC"/>
    <x v="0"/>
    <n v="551367"/>
    <n v="1000"/>
    <d v="2017-09-01T12:49:22"/>
    <x v="0"/>
    <x v="0"/>
    <s v="Rob.Jacobi@manulifesecurities.ca"/>
    <n v="569501"/>
    <s v="User Account"/>
    <n v="1"/>
    <s v="AtBelow"/>
    <s v="CC_Portal"/>
    <n v="0"/>
    <s v="MFC"/>
    <s v="IBMCA"/>
    <s v="ACTIVE ADVISORS AND ASSISTANTS"/>
    <n v="0"/>
    <n v="0"/>
  </r>
  <r>
    <s v="ssotest@mfc.sps.local"/>
    <s v="MFC"/>
    <x v="0"/>
    <n v="551367"/>
    <n v="1000"/>
    <d v="2017-09-01T12:46:25"/>
    <x v="0"/>
    <x v="0"/>
    <s v="Marlene.Spielman@manulifesecurities.ca"/>
    <n v="553379"/>
    <s v="User Account"/>
    <n v="1"/>
    <s v="AtBelow"/>
    <s v="CC_Portal"/>
    <n v="0"/>
    <s v="MFC"/>
    <s v="IBMCA"/>
    <s v="ACTIVE ADVISORS AND ASSISTANTS"/>
    <n v="0"/>
    <n v="0"/>
  </r>
  <r>
    <s v="ssotest@mfc.sps.local"/>
    <s v="MFC"/>
    <x v="0"/>
    <n v="551367"/>
    <n v="1000"/>
    <d v="2017-09-01T12:41:28"/>
    <x v="0"/>
    <x v="0"/>
    <s v="billy.vuong@manulifesecurities.ca"/>
    <n v="658898"/>
    <s v="User Account"/>
    <n v="1"/>
    <s v="AtBelow"/>
    <s v="CC_Portal"/>
    <n v="0"/>
    <s v="MFC"/>
    <s v="IBMCA"/>
    <s v="ACTIVE ADVISORS AND ASSISTANTS"/>
    <n v="0"/>
    <n v="0"/>
  </r>
  <r>
    <s v="priscilla.misir@manulifesecurities.ca"/>
    <s v="MFC"/>
    <x v="0"/>
    <n v="674396"/>
    <n v="3"/>
    <d v="2017-09-01T12:06:32"/>
    <x v="5"/>
    <x v="6"/>
    <s v="MSI_autoEmailArchive@manulifesecurities.ca"/>
    <n v="561482"/>
    <s v="Distribution List"/>
    <n v="1"/>
    <s v="Any"/>
    <s v="CC_Portal"/>
    <s v="77dbd9fdc3864d97a3e29a3bb190f012"/>
    <s v="MFC"/>
    <s v="IBMCA"/>
    <s v="ALL GROUPS"/>
    <n v="0"/>
    <n v="0"/>
  </r>
  <r>
    <s v="priscilla.misir@manulifesecurities.ca"/>
    <s v="MFC"/>
    <x v="0"/>
    <n v="674396"/>
    <n v="3"/>
    <d v="2017-09-01T12:06:32"/>
    <x v="0"/>
    <x v="5"/>
    <s v="philippe.brault@manulifesecurities.ca"/>
    <n v="906982"/>
    <s v="User Account"/>
    <n v="1"/>
    <s v="AtBelow"/>
    <s v="CC_Portal"/>
    <n v="0"/>
    <s v="MFC"/>
    <s v="IBMCA"/>
    <s v="ACTIVE ADVISORS AND ASSISTANTS"/>
    <n v="0"/>
    <n v="0"/>
  </r>
  <r>
    <s v="priscilla.misir@manulifesecurities.ca"/>
    <s v="MFC"/>
    <x v="0"/>
    <n v="674396"/>
    <n v="3"/>
    <d v="2017-09-01T12:06:31"/>
    <x v="5"/>
    <x v="6"/>
    <s v="AllAssistants@manulifesecurities.ca"/>
    <n v="555660"/>
    <s v="Distribution List"/>
    <n v="1"/>
    <s v="Any"/>
    <s v="CC_Portal"/>
    <s v="77dbd9fdc3864d97a3e29a3bb190f012"/>
    <s v="MFC"/>
    <s v="IBMCA"/>
    <s v="ALL GROUPS"/>
    <n v="0"/>
    <n v="0"/>
  </r>
  <r>
    <s v="priscilla.misir@manulifesecurities.ca"/>
    <s v="MFC"/>
    <x v="0"/>
    <n v="674396"/>
    <n v="3"/>
    <d v="2017-09-01T12:06:29"/>
    <x v="0"/>
    <x v="5"/>
    <s v="philippe.brault@manulifesecurities.ca"/>
    <n v="906982"/>
    <s v="User Account"/>
    <n v="1"/>
    <s v="AtBelow"/>
    <s v="CC_Portal"/>
    <n v="0"/>
    <s v="MFC"/>
    <s v="IBMCA"/>
    <s v="ACTIVE ADVISORS AND ASSISTANTS"/>
    <n v="0"/>
    <n v="0"/>
  </r>
  <r>
    <s v="priscilla.misir@manulifesecurities.ca"/>
    <s v="MFC"/>
    <x v="0"/>
    <n v="674396"/>
    <n v="3"/>
    <d v="2017-09-01T12:05:56"/>
    <x v="0"/>
    <x v="5"/>
    <s v="philippe.brault@manulifesecurities.ca"/>
    <n v="906982"/>
    <s v="User Account"/>
    <n v="1"/>
    <s v="AtBelow"/>
    <s v="CC_Portal"/>
    <n v="0"/>
    <s v="MFC"/>
    <s v="IBMCA"/>
    <s v="ACTIVE ADVISORS AND ASSISTANTS"/>
    <n v="0"/>
    <n v="0"/>
  </r>
  <r>
    <s v="priscilla.misir@manulifesecurities.ca"/>
    <s v="MFC"/>
    <x v="0"/>
    <n v="674396"/>
    <n v="3"/>
    <d v="2017-09-01T12:05:25"/>
    <x v="5"/>
    <x v="7"/>
    <s v="philippe.brault@manulifesecurities.ca"/>
    <n v="906982"/>
    <s v="User Account"/>
    <n v="1"/>
    <s v="AtBelow"/>
    <s v="CC_Portal"/>
    <s v="PrimaryEmail=philippe.brault@manulifesecurities.ca"/>
    <s v="MFC"/>
    <s v="IBMCA"/>
    <s v="ACTIVE ADVISORS AND ASSISTANTS"/>
    <n v="0"/>
    <n v="0"/>
  </r>
  <r>
    <s v="jody.markovic@manulifesecurities.ca"/>
    <s v="MFC"/>
    <x v="0"/>
    <n v="560579"/>
    <n v="3"/>
    <d v="2017-09-01T11:43:39"/>
    <x v="3"/>
    <x v="2"/>
    <s v="Richard.Pieprzak@manulifesecurities.ca"/>
    <n v="553786"/>
    <s v="User Account"/>
    <n v="1"/>
    <s v="AtBelow"/>
    <s v="CC_WebService"/>
    <m/>
    <s v="MFC"/>
    <s v="IBMCA"/>
    <s v="ACTIVE ADVISORS AND ASSISTANTS"/>
    <n v="0"/>
    <n v="0"/>
  </r>
  <r>
    <s v="jody.markovic@manulifesecurities.ca"/>
    <s v="MFC"/>
    <x v="0"/>
    <n v="560579"/>
    <n v="3"/>
    <d v="2017-09-01T11:43:33"/>
    <x v="3"/>
    <x v="2"/>
    <s v="Richard.Pieprzak@manulifesecurities.ca"/>
    <n v="553786"/>
    <s v="User Account"/>
    <n v="1"/>
    <s v="AtBelow"/>
    <s v="CC_WebService"/>
    <m/>
    <s v="MFC"/>
    <s v="IBMCA"/>
    <s v="ACTIVE ADVISORS AND ASSISTANTS"/>
    <n v="0"/>
    <n v="0"/>
  </r>
  <r>
    <s v="priscilla.misir@manulifesecurities.ca"/>
    <s v="MFC"/>
    <x v="0"/>
    <n v="674396"/>
    <n v="3"/>
    <d v="2017-09-01T11:16:38"/>
    <x v="0"/>
    <x v="4"/>
    <s v="Kevin.Carkner@manulifesecurities.ca"/>
    <n v="553094"/>
    <s v="User Account"/>
    <n v="1"/>
    <s v="AtBelow"/>
    <s v="CC_Portal"/>
    <s v="oldOrgGroup=ACTIVE ADVISORS AND ASSISTANTS;newOrgGroup=DISABLED USERS"/>
    <s v="MFC"/>
    <s v="IBMCA"/>
    <s v="DISABLED USERS"/>
    <n v="0"/>
    <n v="0"/>
  </r>
  <r>
    <s v="priscilla.misir@manulifesecurities.ca"/>
    <s v="MFC"/>
    <x v="0"/>
    <n v="674396"/>
    <n v="3"/>
    <d v="2017-09-01T11:16:13"/>
    <x v="4"/>
    <x v="6"/>
    <s v="MSI_autoEmailArchive@manulifesecurities.ca"/>
    <n v="561482"/>
    <s v="Distribution List"/>
    <n v="1"/>
    <s v="Any"/>
    <s v="CC_Portal"/>
    <s v="9491a470063c45c08c51ff147736cede"/>
    <s v="MFC"/>
    <s v="IBMCA"/>
    <s v="ALL GROUPS"/>
    <n v="0"/>
    <n v="0"/>
  </r>
  <r>
    <s v="priscilla.misir@manulifesecurities.ca"/>
    <s v="MFC"/>
    <x v="0"/>
    <n v="674396"/>
    <n v="3"/>
    <d v="2017-09-01T11:16:13"/>
    <x v="0"/>
    <x v="5"/>
    <s v="Kevin.Carkner@manulifesecurities.ca"/>
    <n v="553094"/>
    <s v="User Account"/>
    <n v="1"/>
    <s v="AtBelow"/>
    <s v="CC_Portal"/>
    <n v="0"/>
    <s v="MFC"/>
    <s v="IBMCA"/>
    <s v="ACTIVE ADVISORS AND ASSISTANTS"/>
    <n v="0"/>
    <n v="0"/>
  </r>
  <r>
    <s v="priscilla.misir@manulifesecurities.ca"/>
    <s v="MFC"/>
    <x v="0"/>
    <n v="674396"/>
    <n v="3"/>
    <d v="2017-09-01T11:16:12"/>
    <x v="4"/>
    <x v="6"/>
    <s v="MSISRepresentatives@manulifesecurities.ca"/>
    <n v="555674"/>
    <s v="Distribution List"/>
    <n v="1"/>
    <s v="Any"/>
    <s v="CC_Portal"/>
    <s v="9491a470063c45c08c51ff147736cede"/>
    <s v="MFC"/>
    <s v="IBMCA"/>
    <s v="ALL GROUPS"/>
    <n v="0"/>
    <n v="0"/>
  </r>
  <r>
    <s v="priscilla.misir@manulifesecurities.ca"/>
    <s v="MFC"/>
    <x v="0"/>
    <n v="674396"/>
    <n v="3"/>
    <d v="2017-09-01T11:16:11"/>
    <x v="4"/>
    <x v="6"/>
    <s v="FormerBerkAdvisors@manulifesecurities.ca"/>
    <n v="555662"/>
    <s v="Distribution List"/>
    <n v="1"/>
    <s v="Any"/>
    <s v="CC_Portal"/>
    <s v="9491a470063c45c08c51ff147736cede"/>
    <s v="MFC"/>
    <s v="IBMCA"/>
    <s v="ALL GROUPS"/>
    <n v="0"/>
    <n v="0"/>
  </r>
  <r>
    <s v="priscilla.misir@manulifesecurities.ca"/>
    <s v="MFC"/>
    <x v="0"/>
    <n v="674396"/>
    <n v="3"/>
    <d v="2017-09-01T11:16:10"/>
    <x v="4"/>
    <x v="6"/>
    <s v="Advisors@manulifesecurities.ca"/>
    <n v="555668"/>
    <s v="Distribution List"/>
    <n v="1"/>
    <s v="Any"/>
    <s v="CC_Portal"/>
    <s v="9491a470063c45c08c51ff147736cede"/>
    <s v="MFC"/>
    <s v="IBMCA"/>
    <s v="ALL GROUPS"/>
    <n v="0"/>
    <n v="0"/>
  </r>
  <r>
    <s v="priscilla.misir@manulifesecurities.ca"/>
    <s v="MFC"/>
    <x v="0"/>
    <n v="674396"/>
    <n v="3"/>
    <d v="2017-09-01T11:16:10"/>
    <x v="4"/>
    <x v="6"/>
    <s v="AllAdvisors@manulifesecurities.ca"/>
    <n v="555659"/>
    <s v="Distribution List"/>
    <n v="1"/>
    <s v="Any"/>
    <s v="CC_Portal"/>
    <s v="9491a470063c45c08c51ff147736cede"/>
    <s v="MFC"/>
    <s v="IBMCA"/>
    <s v="ALL GROUPS"/>
    <n v="0"/>
    <n v="0"/>
  </r>
  <r>
    <s v="priscilla.misir@manulifesecurities.ca"/>
    <s v="MFC"/>
    <x v="0"/>
    <n v="674396"/>
    <n v="3"/>
    <d v="2017-09-01T11:16:08"/>
    <x v="0"/>
    <x v="5"/>
    <s v="Kevin.Carkner@manulifesecurities.ca"/>
    <n v="553094"/>
    <s v="User Account"/>
    <n v="1"/>
    <s v="AtBelow"/>
    <s v="CC_Portal"/>
    <n v="0"/>
    <s v="MFC"/>
    <s v="IBMCA"/>
    <s v="ACTIVE ADVISORS AND ASSISTANTS"/>
    <n v="0"/>
    <n v="0"/>
  </r>
  <r>
    <s v="priscilla.misir@manulifesecurities.ca"/>
    <s v="MFC"/>
    <x v="0"/>
    <n v="674396"/>
    <n v="3"/>
    <d v="2017-09-01T11:16:02"/>
    <x v="0"/>
    <x v="5"/>
    <s v="Kevin.Carkner@manulifesecurities.ca"/>
    <n v="553094"/>
    <s v="User Account"/>
    <n v="1"/>
    <s v="AtBelow"/>
    <s v="CC_Portal"/>
    <n v="0"/>
    <s v="MFC"/>
    <s v="IBMCA"/>
    <s v="ACTIVE ADVISORS AND ASSISTANTS"/>
    <n v="0"/>
    <n v="0"/>
  </r>
  <r>
    <s v="priscilla.misir@manulifesecurities.ca"/>
    <s v="MFC"/>
    <x v="0"/>
    <n v="674396"/>
    <n v="3"/>
    <d v="2017-09-01T11:15:26"/>
    <x v="0"/>
    <x v="3"/>
    <s v="Kevin.Carkner@manulifesecurities.ca"/>
    <n v="553094"/>
    <s v="User Account"/>
    <n v="1"/>
    <s v="AtBelow"/>
    <s v="CC_Portal"/>
    <s v="Disable"/>
    <s v="MFC"/>
    <s v="IBMCA"/>
    <s v="ACTIVE ADVISORS AND ASSISTANTS"/>
    <n v="0"/>
    <n v="0"/>
  </r>
  <r>
    <s v="priscilla.misir@manulifesecurities.ca"/>
    <s v="MFC"/>
    <x v="0"/>
    <n v="674396"/>
    <n v="3"/>
    <d v="2017-09-01T11:15:01"/>
    <x v="0"/>
    <x v="3"/>
    <s v="Kevin.Carkner@manulifesecurities.ca"/>
    <n v="553094"/>
    <s v="User Account"/>
    <n v="1"/>
    <s v="AtBelow"/>
    <s v="CC_Portal"/>
    <s v="Disable"/>
    <s v="MFC"/>
    <s v="IBMCA"/>
    <s v="ACTIVE ADVISORS AND ASSISTANTS"/>
    <n v="0"/>
    <n v="0"/>
  </r>
  <r>
    <s v="ssotest@mfc.sps.local"/>
    <s v="MFC"/>
    <x v="0"/>
    <n v="551367"/>
    <n v="1000"/>
    <d v="2017-09-01T11:08:54"/>
    <x v="0"/>
    <x v="0"/>
    <s v="denise.madden@manulifesecurities.ca"/>
    <n v="653418"/>
    <s v="User Account"/>
    <n v="1"/>
    <s v="AtBelow"/>
    <s v="CC_Portal"/>
    <n v="0"/>
    <s v="MFC"/>
    <s v="IBMCA"/>
    <s v="ACTIVE ADVISORS AND ASSISTANTS"/>
    <n v="0"/>
    <n v="0"/>
  </r>
  <r>
    <s v="ssotest@mfc.sps.local"/>
    <s v="MFC"/>
    <x v="0"/>
    <n v="551367"/>
    <n v="1000"/>
    <d v="2017-09-01T11:06:01"/>
    <x v="0"/>
    <x v="0"/>
    <s v="James.McAllister@manulifesecurities.ca"/>
    <n v="552738"/>
    <s v="User Account"/>
    <n v="1"/>
    <s v="AtBelow"/>
    <s v="CC_Portal"/>
    <n v="0"/>
    <s v="MFC"/>
    <s v="IBMCA"/>
    <s v="ACTIVE ADVISORS AND ASSISTANTS"/>
    <n v="0"/>
    <n v="0"/>
  </r>
  <r>
    <s v="ssotest@mfc.sps.local"/>
    <s v="MFC"/>
    <x v="0"/>
    <n v="551367"/>
    <n v="1000"/>
    <d v="2017-09-01T10:29:43"/>
    <x v="0"/>
    <x v="0"/>
    <s v="nancy.little@manulifesecurities.ca"/>
    <n v="721306"/>
    <s v="User Account"/>
    <n v="1"/>
    <s v="AtBelow"/>
    <s v="CC_Portal"/>
    <n v="0"/>
    <s v="MFC"/>
    <s v="IBMCA"/>
    <s v="ACTIVE ADVISORS AND ASSISTANTS"/>
    <n v="0"/>
    <n v="0"/>
  </r>
  <r>
    <s v="priscilla.misir@manulifesecurities.ca"/>
    <s v="MFC"/>
    <x v="0"/>
    <n v="674396"/>
    <n v="3"/>
    <d v="2017-09-01T10:01:42"/>
    <x v="0"/>
    <x v="5"/>
    <s v="genevieve.bellemare@manulifesecurities.ca"/>
    <n v="906965"/>
    <s v="User Account"/>
    <n v="1"/>
    <s v="AtBelow"/>
    <s v="CC_Portal"/>
    <n v="0"/>
    <s v="MFC"/>
    <s v="IBMCA"/>
    <s v="ACTIVE ADVISORS AND ASSISTANTS"/>
    <n v="0"/>
    <n v="0"/>
  </r>
  <r>
    <s v="priscilla.misir@manulifesecurities.ca"/>
    <s v="MFC"/>
    <x v="0"/>
    <n v="674396"/>
    <n v="3"/>
    <d v="2017-09-01T10:01:41"/>
    <x v="5"/>
    <x v="6"/>
    <s v="MSI_autoEmailArchive@manulifesecurities.ca"/>
    <n v="561482"/>
    <s v="Distribution List"/>
    <n v="1"/>
    <s v="Any"/>
    <s v="CC_Portal"/>
    <s v="010da86d00cb454e9b3f510adbb89c2a"/>
    <s v="MFC"/>
    <s v="IBMCA"/>
    <s v="ALL GROUPS"/>
    <n v="0"/>
    <n v="0"/>
  </r>
  <r>
    <s v="priscilla.misir@manulifesecurities.ca"/>
    <s v="MFC"/>
    <x v="0"/>
    <n v="674396"/>
    <n v="3"/>
    <d v="2017-09-01T10:01:40"/>
    <x v="5"/>
    <x v="6"/>
    <s v="AllAssistants@manulifesecurities.ca"/>
    <n v="555660"/>
    <s v="Distribution List"/>
    <n v="1"/>
    <s v="Any"/>
    <s v="CC_Portal"/>
    <s v="010da86d00cb454e9b3f510adbb89c2a"/>
    <s v="MFC"/>
    <s v="IBMCA"/>
    <s v="ALL GROUPS"/>
    <n v="0"/>
    <n v="0"/>
  </r>
  <r>
    <s v="priscilla.misir@manulifesecurities.ca"/>
    <s v="MFC"/>
    <x v="0"/>
    <n v="674396"/>
    <n v="3"/>
    <d v="2017-09-01T10:01:18"/>
    <x v="0"/>
    <x v="5"/>
    <s v="genevieve.bellemare@manulifesecurities.ca"/>
    <n v="906965"/>
    <s v="User Account"/>
    <n v="1"/>
    <s v="AtBelow"/>
    <s v="CC_Portal"/>
    <n v="0"/>
    <s v="MFC"/>
    <s v="IBMCA"/>
    <s v="ACTIVE ADVISORS AND ASSISTANTS"/>
    <n v="0"/>
    <n v="0"/>
  </r>
  <r>
    <s v="priscilla.misir@manulifesecurities.ca"/>
    <s v="MFC"/>
    <x v="0"/>
    <n v="674396"/>
    <n v="3"/>
    <d v="2017-09-01T09:56:39"/>
    <x v="0"/>
    <x v="5"/>
    <s v="genevieve.bellemare@manulifesecurities.ca"/>
    <n v="906965"/>
    <s v="User Account"/>
    <n v="1"/>
    <s v="AtBelow"/>
    <s v="CC_Portal"/>
    <n v="0"/>
    <s v="MFC"/>
    <s v="IBMCA"/>
    <s v="ACTIVE ADVISORS AND ASSISTANTS"/>
    <n v="0"/>
    <n v="0"/>
  </r>
  <r>
    <s v="ssotest@mfc.sps.local"/>
    <s v="MFC"/>
    <x v="0"/>
    <n v="551367"/>
    <n v="1000"/>
    <d v="2017-09-01T09:49:08"/>
    <x v="0"/>
    <x v="0"/>
    <s v="ligia.ovas@manulifesecurities.ca"/>
    <n v="863509"/>
    <s v="User Account"/>
    <n v="1"/>
    <s v="AtBelow"/>
    <s v="CC_Portal"/>
    <n v="0"/>
    <s v="MFC"/>
    <s v="IBMCA"/>
    <s v="ACTIVE ADVISORS AND ASSISTANTS"/>
    <n v="0"/>
    <n v="0"/>
  </r>
  <r>
    <s v="priscilla.misir@manulifesecurities.ca"/>
    <s v="MFC"/>
    <x v="0"/>
    <n v="674396"/>
    <n v="3"/>
    <d v="2017-09-01T09:48:12"/>
    <x v="5"/>
    <x v="7"/>
    <s v="genevieve.bellemare@manulifesecurities.ca"/>
    <n v="906965"/>
    <s v="User Account"/>
    <n v="1"/>
    <s v="AtBelow"/>
    <s v="CC_Portal"/>
    <s v="PrimaryEmail=genevieve.bellemare@manulifesecurities.ca"/>
    <s v="MFC"/>
    <s v="IBMCA"/>
    <s v="ACTIVE ADVISORS AND ASSISTANTS"/>
    <n v="0"/>
    <n v="0"/>
  </r>
  <r>
    <s v="priscilla.misir@manulifesecurities.ca"/>
    <s v="MFC"/>
    <x v="0"/>
    <n v="674396"/>
    <n v="3"/>
    <d v="2017-09-01T09:08:46"/>
    <x v="0"/>
    <x v="5"/>
    <s v="mary.gloster@manulifesecurities.ca"/>
    <n v="906958"/>
    <s v="User Account"/>
    <n v="1"/>
    <s v="AtBelow"/>
    <s v="CC_Portal"/>
    <n v="0"/>
    <s v="MFC"/>
    <s v="IBMCA"/>
    <s v="ACTIVE ADVISORS AND ASSISTANTS"/>
    <n v="0"/>
    <n v="0"/>
  </r>
  <r>
    <s v="priscilla.misir@manulifesecurities.ca"/>
    <s v="MFC"/>
    <x v="0"/>
    <n v="674396"/>
    <n v="3"/>
    <d v="2017-09-01T09:08:45"/>
    <x v="5"/>
    <x v="6"/>
    <s v="MSI_autoEmailArchive@manulifesecurities.ca"/>
    <n v="561482"/>
    <s v="Distribution List"/>
    <n v="1"/>
    <s v="Any"/>
    <s v="CC_Portal"/>
    <s v="57deedd3668d43ecbff5a48355ebbfe4"/>
    <s v="MFC"/>
    <s v="IBMCA"/>
    <s v="ALL GROUPS"/>
    <n v="0"/>
    <n v="0"/>
  </r>
  <r>
    <s v="priscilla.misir@manulifesecurities.ca"/>
    <s v="MFC"/>
    <x v="0"/>
    <n v="674396"/>
    <n v="3"/>
    <d v="2017-09-01T09:08:44"/>
    <x v="5"/>
    <x v="6"/>
    <s v="AllAssistants@manulifesecurities.ca"/>
    <n v="555660"/>
    <s v="Distribution List"/>
    <n v="1"/>
    <s v="Any"/>
    <s v="CC_Portal"/>
    <s v="57deedd3668d43ecbff5a48355ebbfe4"/>
    <s v="MFC"/>
    <s v="IBMCA"/>
    <s v="ALL GROUPS"/>
    <n v="0"/>
    <n v="0"/>
  </r>
  <r>
    <s v="priscilla.misir@manulifesecurities.ca"/>
    <s v="MFC"/>
    <x v="0"/>
    <n v="674396"/>
    <n v="3"/>
    <d v="2017-09-01T09:08:06"/>
    <x v="0"/>
    <x v="5"/>
    <s v="mary.gloster@manulifesecurities.ca"/>
    <n v="906958"/>
    <s v="User Account"/>
    <n v="1"/>
    <s v="AtBelow"/>
    <s v="CC_Portal"/>
    <n v="0"/>
    <s v="MFC"/>
    <s v="IBMCA"/>
    <s v="ACTIVE ADVISORS AND ASSISTANTS"/>
    <n v="0"/>
    <n v="0"/>
  </r>
  <r>
    <s v="priscilla.misir@manulifesecurities.ca"/>
    <s v="MFC"/>
    <x v="0"/>
    <n v="674396"/>
    <n v="3"/>
    <d v="2017-09-01T09:05:25"/>
    <x v="0"/>
    <x v="5"/>
    <s v="mary.gloster@manulifesecurities.ca"/>
    <n v="906958"/>
    <s v="User Account"/>
    <n v="1"/>
    <s v="AtBelow"/>
    <s v="CC_Portal"/>
    <n v="0"/>
    <s v="MFC"/>
    <s v="IBMCA"/>
    <s v="ACTIVE ADVISORS AND ASSISTANTS"/>
    <n v="0"/>
    <n v="0"/>
  </r>
  <r>
    <s v="priscilla.misir@manulifesecurities.ca"/>
    <s v="MFC"/>
    <x v="0"/>
    <n v="674396"/>
    <n v="3"/>
    <d v="2017-09-01T09:03:57"/>
    <x v="5"/>
    <x v="7"/>
    <s v="mary.gloster@manulifesecurities.ca"/>
    <n v="906958"/>
    <s v="User Account"/>
    <n v="1"/>
    <s v="AtBelow"/>
    <s v="CC_Portal"/>
    <s v="PrimaryEmail=mary.gloster@manulifesecurities.ca"/>
    <s v="MFC"/>
    <s v="IBMCA"/>
    <s v="ACTIVE ADVISORS AND ASSISTANTS"/>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F00-000000000000}" name="PivotTable5" cacheId="1" applyNumberFormats="0" applyBorderFormats="0" applyFontFormats="0" applyPatternFormats="0" applyAlignmentFormats="0" applyWidthHeightFormats="1" dataCaption="Values" updatedVersion="5" minRefreshableVersion="3" showCalcMbrs="0" useAutoFormatting="1" itemPrintTitles="1" createdVersion="3" indent="0" outline="1" outlineData="1" multipleFieldFilters="0" chartFormat="1">
  <location ref="C3:F38" firstHeaderRow="1" firstDataRow="2" firstDataCol="1"/>
  <pivotFields count="20">
    <pivotField showAll="0"/>
    <pivotField showAll="0"/>
    <pivotField axis="axisCol" showAll="0">
      <items count="3">
        <item n="Ceryx" x="1"/>
        <item n="MFC" x="0"/>
        <item t="default"/>
      </items>
    </pivotField>
    <pivotField showAll="0"/>
    <pivotField showAll="0"/>
    <pivotField numFmtId="22" showAll="0"/>
    <pivotField axis="axisRow" dataField="1" showAll="0">
      <items count="9">
        <item x="5"/>
        <item x="6"/>
        <item x="4"/>
        <item x="0"/>
        <item n="Rqst" x="1"/>
        <item n="Resp" x="2"/>
        <item n="Udpt" x="7"/>
        <item x="3"/>
        <item t="default"/>
      </items>
    </pivotField>
    <pivotField axis="axisRow" showAll="0">
      <items count="21">
        <item x="17"/>
        <item x="7"/>
        <item x="9"/>
        <item x="13"/>
        <item x="8"/>
        <item x="12"/>
        <item x="3"/>
        <item x="10"/>
        <item x="15"/>
        <item x="4"/>
        <item x="0"/>
        <item x="11"/>
        <item x="14"/>
        <item x="16"/>
        <item x="2"/>
        <item x="1"/>
        <item x="18"/>
        <item x="5"/>
        <item x="19"/>
        <item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s>
  <rowFields count="2">
    <field x="6"/>
    <field x="7"/>
  </rowFields>
  <rowItems count="34">
    <i>
      <x/>
    </i>
    <i r="1">
      <x v="1"/>
    </i>
    <i r="1">
      <x v="4"/>
    </i>
    <i r="1">
      <x v="8"/>
    </i>
    <i r="1">
      <x v="13"/>
    </i>
    <i r="1">
      <x v="16"/>
    </i>
    <i r="1">
      <x v="19"/>
    </i>
    <i>
      <x v="1"/>
    </i>
    <i r="1">
      <x v="3"/>
    </i>
    <i>
      <x v="2"/>
    </i>
    <i r="1">
      <x v="1"/>
    </i>
    <i r="1">
      <x v="4"/>
    </i>
    <i r="1">
      <x v="8"/>
    </i>
    <i r="1">
      <x v="19"/>
    </i>
    <i>
      <x v="3"/>
    </i>
    <i r="1">
      <x/>
    </i>
    <i r="1">
      <x v="2"/>
    </i>
    <i r="1">
      <x v="5"/>
    </i>
    <i r="1">
      <x v="6"/>
    </i>
    <i r="1">
      <x v="7"/>
    </i>
    <i r="1">
      <x v="9"/>
    </i>
    <i r="1">
      <x v="10"/>
    </i>
    <i r="1">
      <x v="11"/>
    </i>
    <i r="1">
      <x v="17"/>
    </i>
    <i r="1">
      <x v="18"/>
    </i>
    <i>
      <x v="4"/>
    </i>
    <i r="1">
      <x v="15"/>
    </i>
    <i>
      <x v="5"/>
    </i>
    <i r="1">
      <x v="15"/>
    </i>
    <i>
      <x v="6"/>
    </i>
    <i r="1">
      <x v="12"/>
    </i>
    <i>
      <x v="7"/>
    </i>
    <i r="1">
      <x v="14"/>
    </i>
    <i t="grand">
      <x/>
    </i>
  </rowItems>
  <colFields count="1">
    <field x="2"/>
  </colFields>
  <colItems count="3">
    <i>
      <x/>
    </i>
    <i>
      <x v="1"/>
    </i>
    <i t="grand">
      <x/>
    </i>
  </colItems>
  <dataFields count="1">
    <dataField name="Count of Operations" fld="6" subtotal="count" baseField="0" baseItem="0"/>
  </dataFields>
  <chartFormats count="2">
    <chartFormat chart="0" format="0" series="1">
      <pivotArea type="data" outline="0" fieldPosition="0">
        <references count="2">
          <reference field="4294967294" count="1" selected="0">
            <x v="0"/>
          </reference>
          <reference field="2" count="1" selected="0">
            <x v="0"/>
          </reference>
        </references>
      </pivotArea>
    </chartFormat>
    <chartFormat chart="0" format="1" series="1">
      <pivotArea type="data" outline="0" fieldPosition="0">
        <references count="2">
          <reference field="4294967294" count="1" selected="0">
            <x v="0"/>
          </reference>
          <reference field="2" count="1" selected="0">
            <x v="1"/>
          </reference>
        </references>
      </pivotArea>
    </chartFormat>
  </chart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B4:AC52" totalsRowShown="0" headerRowDxfId="49" dataDxfId="47" headerRowBorderDxfId="48" tableBorderDxfId="46" totalsRowBorderDxfId="45">
  <tableColumns count="28">
    <tableColumn id="1" xr3:uid="{00000000-0010-0000-0000-000001000000}" name="Column1" dataDxfId="44"/>
    <tableColumn id="13" xr3:uid="{00000000-0010-0000-0000-00000D000000}" name="Column2" dataDxfId="43"/>
    <tableColumn id="2" xr3:uid="{00000000-0010-0000-0000-000002000000}" name="Ticket Numbers" dataDxfId="42"/>
    <tableColumn id="3" xr3:uid="{00000000-0010-0000-0000-000003000000}" name="Column3" dataDxfId="41"/>
    <tableColumn id="4" xr3:uid="{00000000-0010-0000-0000-000004000000}" name="Column4" dataDxfId="40"/>
    <tableColumn id="5" xr3:uid="{00000000-0010-0000-0000-000005000000}" name="Column5" dataDxfId="39"/>
    <tableColumn id="6" xr3:uid="{00000000-0010-0000-0000-000006000000}" name="Column6" dataDxfId="38"/>
    <tableColumn id="7" xr3:uid="{00000000-0010-0000-0000-000007000000}" name="Column7" dataDxfId="37"/>
    <tableColumn id="8" xr3:uid="{00000000-0010-0000-0000-000008000000}" name="Column8" dataDxfId="36"/>
    <tableColumn id="9" xr3:uid="{00000000-0010-0000-0000-000009000000}" name="Response Missed SLO" dataDxfId="35"/>
    <tableColumn id="10" xr3:uid="{00000000-0010-0000-0000-00000A000000}" name="Column9" dataDxfId="34"/>
    <tableColumn id="11" xr3:uid="{00000000-0010-0000-0000-00000B000000}" name="Column10" dataDxfId="33"/>
    <tableColumn id="12" xr3:uid="{00000000-0010-0000-0000-00000C000000}" name="Column11" dataDxfId="32"/>
    <tableColumn id="14" xr3:uid="{00000000-0010-0000-0000-00000E000000}" name="Column82" dataDxfId="31"/>
    <tableColumn id="15" xr3:uid="{00000000-0010-0000-0000-00000F000000}" name="%" dataDxfId="30"/>
    <tableColumn id="16" xr3:uid="{00000000-0010-0000-0000-000010000000}" name="Column94" dataDxfId="29"/>
    <tableColumn id="17" xr3:uid="{00000000-0010-0000-0000-000011000000}" name="Column105" dataDxfId="28"/>
    <tableColumn id="18" xr3:uid="{00000000-0010-0000-0000-000012000000}" name="Column116" dataDxfId="27"/>
    <tableColumn id="28" xr3:uid="{00000000-0010-0000-0000-00001C000000}" name="Column826" dataDxfId="26"/>
    <tableColumn id="19" xr3:uid="{00000000-0010-0000-0000-000013000000}" name="Resolution Missed SLO" dataDxfId="25"/>
    <tableColumn id="20" xr3:uid="{00000000-0010-0000-0000-000014000000}" name="Column93" dataDxfId="24"/>
    <tableColumn id="21" xr3:uid="{00000000-0010-0000-0000-000015000000}" name="Column104" dataDxfId="23"/>
    <tableColumn id="22" xr3:uid="{00000000-0010-0000-0000-000016000000}" name="Column115" dataDxfId="22"/>
    <tableColumn id="23" xr3:uid="{00000000-0010-0000-0000-000017000000}" name="Column8262" dataDxfId="21"/>
    <tableColumn id="24" xr3:uid="{00000000-0010-0000-0000-000018000000}" name="%7" dataDxfId="20">
      <calculatedColumnFormula>IF(N5&gt;0,(N5-U5)/N5,100%)</calculatedColumnFormula>
    </tableColumn>
    <tableColumn id="25" xr3:uid="{00000000-0010-0000-0000-000019000000}" name="Column948" dataDxfId="19">
      <calculatedColumnFormula>IF(O5&gt;0,(O5-V5)/O5,100%)</calculatedColumnFormula>
    </tableColumn>
    <tableColumn id="26" xr3:uid="{00000000-0010-0000-0000-00001A000000}" name="Column1059" dataDxfId="18">
      <calculatedColumnFormula>IF(P5&gt;0,(P5-W5)/P5,100%)</calculatedColumnFormula>
    </tableColumn>
    <tableColumn id="27" xr3:uid="{00000000-0010-0000-0000-00001B000000}" name="Column11610" dataDxfId="17">
      <calculatedColumnFormula>IF(Q5&gt;0,(Q5-X5)/Q5,100%)</calculatedColumnFormula>
    </tableColumn>
  </tableColumns>
  <tableStyleInfo name="TableStyleLight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3" displayName="Table3" ref="C5:Q6011" totalsRowShown="0" dataDxfId="16">
  <autoFilter ref="C5:Q6011" xr:uid="{00000000-0009-0000-0100-000003000000}"/>
  <sortState ref="C6:Q6011">
    <sortCondition descending="1" ref="F6:F6011"/>
  </sortState>
  <tableColumns count="15">
    <tableColumn id="1" xr3:uid="{00000000-0010-0000-0100-000001000000}" name="Email Address" dataDxfId="15"/>
    <tableColumn id="2" xr3:uid="{00000000-0010-0000-0100-000002000000}" name="Display Name" dataDxfId="14"/>
    <tableColumn id="3" xr3:uid="{00000000-0010-0000-0100-000003000000}" name="Account Status" dataDxfId="13"/>
    <tableColumn id="4" xr3:uid="{00000000-0010-0000-0100-000004000000}" name="Mailbox Size" dataDxfId="12"/>
    <tableColumn id="5" xr3:uid="{00000000-0010-0000-0100-000005000000}" name="Mailbox Quota" dataDxfId="11"/>
    <tableColumn id="6" xr3:uid="{00000000-0010-0000-0100-000006000000}" name="Mailbox Warning" dataDxfId="10"/>
    <tableColumn id="7" xr3:uid="{00000000-0010-0000-0100-000007000000}" name="ArchiveStatus" dataDxfId="9"/>
    <tableColumn id="8" xr3:uid="{00000000-0010-0000-0100-000008000000}" name="Archive Mailbox Size" dataDxfId="8"/>
    <tableColumn id="9" xr3:uid="{00000000-0010-0000-0100-000009000000}" name="Archive Mailbox Quota" dataDxfId="7"/>
    <tableColumn id="10" xr3:uid="{00000000-0010-0000-0100-00000A000000}" name="Archive Mailbox Warning" dataDxfId="6"/>
    <tableColumn id="11" xr3:uid="{00000000-0010-0000-0100-00000B000000}" name="MailboxPolicy" dataDxfId="5"/>
    <tableColumn id="12" xr3:uid="{00000000-0010-0000-0100-00000C000000}" name="Plan Name" dataDxfId="4"/>
    <tableColumn id="13" xr3:uid="{00000000-0010-0000-0100-00000D000000}" name="Organizational Group" dataDxfId="3"/>
    <tableColumn id="14" xr3:uid="{00000000-0010-0000-0100-00000E000000}" name="Last Login" dataDxfId="2"/>
    <tableColumn id="15" xr3:uid="{00000000-0010-0000-0100-00000F000000}" name="Logon Name" dataDxfId="1"/>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4" displayName="Table4" ref="C3:V1688" totalsRowShown="0">
  <autoFilter ref="C3:V1688" xr:uid="{00000000-0009-0000-0100-000004000000}"/>
  <tableColumns count="20">
    <tableColumn id="1" xr3:uid="{00000000-0010-0000-0200-000001000000}" name=" Performed by"/>
    <tableColumn id="2" xr3:uid="{00000000-0010-0000-0200-000002000000}" name=" Operator CID"/>
    <tableColumn id="3" xr3:uid="{00000000-0010-0000-0200-000003000000}" name=" Operator RID"/>
    <tableColumn id="4" xr3:uid="{00000000-0010-0000-0200-000004000000}" name=" Operator ID"/>
    <tableColumn id="5" xr3:uid="{00000000-0010-0000-0200-000005000000}" name=" Operator sensitivity"/>
    <tableColumn id="6" xr3:uid="{00000000-0010-0000-0200-000006000000}" name=" Time of operation" dataDxfId="0"/>
    <tableColumn id="7" xr3:uid="{00000000-0010-0000-0200-000007000000}" name=" Type of operation"/>
    <tableColumn id="8" xr3:uid="{00000000-0010-0000-0200-000008000000}" name=" Operation name"/>
    <tableColumn id="9" xr3:uid="{00000000-0010-0000-0200-000009000000}" name=" Applied to"/>
    <tableColumn id="10" xr3:uid="{00000000-0010-0000-0200-00000A000000}" name=" AppliedTo ID"/>
    <tableColumn id="11" xr3:uid="{00000000-0010-0000-0200-00000B000000}" name=" Applied to type"/>
    <tableColumn id="12" xr3:uid="{00000000-0010-0000-0200-00000C000000}" name=" AppliedTo sensitivity"/>
    <tableColumn id="13" xr3:uid="{00000000-0010-0000-0200-00000D000000}" name=" Operator control"/>
    <tableColumn id="14" xr3:uid="{00000000-0010-0000-0200-00000E000000}" name=" Operator agent"/>
    <tableColumn id="15" xr3:uid="{00000000-0010-0000-0200-00000F000000}" name=" Data"/>
    <tableColumn id="16" xr3:uid="{00000000-0010-0000-0200-000010000000}" name=" AppliedTo CID"/>
    <tableColumn id="17" xr3:uid="{00000000-0010-0000-0200-000011000000}" name=" AppliedTo RID"/>
    <tableColumn id="18" xr3:uid="{00000000-0010-0000-0200-000012000000}" name=" AppliedTo org group"/>
    <tableColumn id="19" xr3:uid="{00000000-0010-0000-0200-000013000000}" name=" Sent notification"/>
    <tableColumn id="20" xr3:uid="{00000000-0010-0000-0200-000014000000}" name=" Hidden "/>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6.xml"/><Relationship Id="rId18" Type="http://schemas.openxmlformats.org/officeDocument/2006/relationships/image" Target="../media/image8.emf"/><Relationship Id="rId3" Type="http://schemas.openxmlformats.org/officeDocument/2006/relationships/control" Target="../activeX/activeX1.xml"/><Relationship Id="rId21" Type="http://schemas.openxmlformats.org/officeDocument/2006/relationships/control" Target="../activeX/activeX10.xml"/><Relationship Id="rId7" Type="http://schemas.openxmlformats.org/officeDocument/2006/relationships/control" Target="../activeX/activeX3.xml"/><Relationship Id="rId12" Type="http://schemas.openxmlformats.org/officeDocument/2006/relationships/image" Target="../media/image5.emf"/><Relationship Id="rId17" Type="http://schemas.openxmlformats.org/officeDocument/2006/relationships/control" Target="../activeX/activeX8.xml"/><Relationship Id="rId2" Type="http://schemas.openxmlformats.org/officeDocument/2006/relationships/vmlDrawing" Target="../drawings/vmlDrawing1.vml"/><Relationship Id="rId16" Type="http://schemas.openxmlformats.org/officeDocument/2006/relationships/image" Target="../media/image7.emf"/><Relationship Id="rId20" Type="http://schemas.openxmlformats.org/officeDocument/2006/relationships/image" Target="../media/image9.emf"/><Relationship Id="rId1" Type="http://schemas.openxmlformats.org/officeDocument/2006/relationships/drawing" Target="../drawings/drawing1.xml"/><Relationship Id="rId6" Type="http://schemas.openxmlformats.org/officeDocument/2006/relationships/image" Target="../media/image2.emf"/><Relationship Id="rId11" Type="http://schemas.openxmlformats.org/officeDocument/2006/relationships/control" Target="../activeX/activeX5.xml"/><Relationship Id="rId24" Type="http://schemas.openxmlformats.org/officeDocument/2006/relationships/image" Target="../media/image11.emf"/><Relationship Id="rId5" Type="http://schemas.openxmlformats.org/officeDocument/2006/relationships/control" Target="../activeX/activeX2.xml"/><Relationship Id="rId15" Type="http://schemas.openxmlformats.org/officeDocument/2006/relationships/control" Target="../activeX/activeX7.xml"/><Relationship Id="rId23" Type="http://schemas.openxmlformats.org/officeDocument/2006/relationships/control" Target="../activeX/activeX11.xml"/><Relationship Id="rId10" Type="http://schemas.openxmlformats.org/officeDocument/2006/relationships/image" Target="../media/image4.emf"/><Relationship Id="rId19" Type="http://schemas.openxmlformats.org/officeDocument/2006/relationships/control" Target="../activeX/activeX9.xml"/><Relationship Id="rId4" Type="http://schemas.openxmlformats.org/officeDocument/2006/relationships/image" Target="../media/image1.emf"/><Relationship Id="rId9" Type="http://schemas.openxmlformats.org/officeDocument/2006/relationships/control" Target="../activeX/activeX4.xml"/><Relationship Id="rId14" Type="http://schemas.openxmlformats.org/officeDocument/2006/relationships/image" Target="../media/image6.emf"/><Relationship Id="rId22" Type="http://schemas.openxmlformats.org/officeDocument/2006/relationships/image" Target="../media/image10.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image" Target="../media/image12.emf"/><Relationship Id="rId4" Type="http://schemas.openxmlformats.org/officeDocument/2006/relationships/control" Target="../activeX/activeX1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13.emf"/><Relationship Id="rId4" Type="http://schemas.openxmlformats.org/officeDocument/2006/relationships/control" Target="../activeX/activeX1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image" Target="../media/image14.emf"/><Relationship Id="rId4" Type="http://schemas.openxmlformats.org/officeDocument/2006/relationships/control" Target="../activeX/activeX1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image" Target="../media/image15.emf"/><Relationship Id="rId4" Type="http://schemas.openxmlformats.org/officeDocument/2006/relationships/control" Target="../activeX/activeX1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openxmlformats.org/officeDocument/2006/relationships/image" Target="../media/image16.emf"/><Relationship Id="rId4" Type="http://schemas.openxmlformats.org/officeDocument/2006/relationships/control" Target="../activeX/activeX1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omments" Target="../comments1.x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table" Target="../tables/table1.xml"/><Relationship Id="rId5" Type="http://schemas.openxmlformats.org/officeDocument/2006/relationships/image" Target="../media/image17.emf"/><Relationship Id="rId4" Type="http://schemas.openxmlformats.org/officeDocument/2006/relationships/control" Target="../activeX/activeX1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7.bin"/><Relationship Id="rId5" Type="http://schemas.openxmlformats.org/officeDocument/2006/relationships/image" Target="../media/image18.emf"/><Relationship Id="rId4" Type="http://schemas.openxmlformats.org/officeDocument/2006/relationships/control" Target="../activeX/activeX1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8.bin"/><Relationship Id="rId5" Type="http://schemas.openxmlformats.org/officeDocument/2006/relationships/image" Target="../media/image19.emf"/><Relationship Id="rId4" Type="http://schemas.openxmlformats.org/officeDocument/2006/relationships/control" Target="../activeX/activeX19.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9.bin"/><Relationship Id="rId1" Type="http://schemas.openxmlformats.org/officeDocument/2006/relationships/hyperlink" Target="https://00199c02.pphosted.com:10000/" TargetMode="External"/><Relationship Id="rId6" Type="http://schemas.openxmlformats.org/officeDocument/2006/relationships/image" Target="../media/image20.emf"/><Relationship Id="rId5" Type="http://schemas.openxmlformats.org/officeDocument/2006/relationships/control" Target="../activeX/activeX20.xml"/><Relationship Id="rId4" Type="http://schemas.openxmlformats.org/officeDocument/2006/relationships/vmlDrawing" Target="../drawings/vmlDrawing10.vml"/></Relationships>
</file>

<file path=xl/worksheets/_rels/sheet13.xml.rels><?xml version="1.0" encoding="UTF-8" standalone="yes"?>
<Relationships xmlns="http://schemas.openxmlformats.org/package/2006/relationships"><Relationship Id="rId8" Type="http://schemas.openxmlformats.org/officeDocument/2006/relationships/image" Target="../media/image24.emf"/><Relationship Id="rId3" Type="http://schemas.openxmlformats.org/officeDocument/2006/relationships/control" Target="../activeX/activeX21.xml"/><Relationship Id="rId7" Type="http://schemas.openxmlformats.org/officeDocument/2006/relationships/control" Target="../activeX/activeX23.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23.emf"/><Relationship Id="rId5" Type="http://schemas.openxmlformats.org/officeDocument/2006/relationships/control" Target="../activeX/activeX22.xml"/><Relationship Id="rId4" Type="http://schemas.openxmlformats.org/officeDocument/2006/relationships/image" Target="../media/image22.emf"/><Relationship Id="rId9" Type="http://schemas.openxmlformats.org/officeDocument/2006/relationships/table" Target="../tables/table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ivotTable" Target="../pivotTables/pivotTable1.xml"/><Relationship Id="rId5" Type="http://schemas.openxmlformats.org/officeDocument/2006/relationships/image" Target="../media/image25.emf"/><Relationship Id="rId4" Type="http://schemas.openxmlformats.org/officeDocument/2006/relationships/control" Target="../activeX/activeX2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D2:M20"/>
  <sheetViews>
    <sheetView zoomScale="85" zoomScaleNormal="85" workbookViewId="0">
      <selection activeCell="P14" sqref="P14"/>
    </sheetView>
  </sheetViews>
  <sheetFormatPr defaultColWidth="8.85546875" defaultRowHeight="15" x14ac:dyDescent="0.25"/>
  <cols>
    <col min="1" max="9" width="8.85546875" style="158"/>
    <col min="10" max="10" width="42.28515625" style="158" customWidth="1"/>
    <col min="11" max="16384" width="8.85546875" style="158"/>
  </cols>
  <sheetData>
    <row r="2" spans="4:13" ht="15.75" thickBot="1" x14ac:dyDescent="0.3"/>
    <row r="3" spans="4:13" ht="21.75" thickBot="1" x14ac:dyDescent="0.4">
      <c r="D3" s="328" t="s">
        <v>275</v>
      </c>
      <c r="E3" s="329"/>
      <c r="F3" s="329"/>
      <c r="G3" s="329"/>
      <c r="H3" s="329"/>
      <c r="I3" s="329"/>
      <c r="J3" s="329"/>
      <c r="K3" s="329"/>
      <c r="L3" s="329"/>
      <c r="M3" s="330"/>
    </row>
    <row r="4" spans="4:13" ht="15.75" thickBot="1" x14ac:dyDescent="0.3"/>
    <row r="5" spans="4:13" ht="52.9" customHeight="1" thickBot="1" x14ac:dyDescent="0.3">
      <c r="D5" s="213">
        <v>1</v>
      </c>
      <c r="E5" s="327" t="s">
        <v>245</v>
      </c>
      <c r="F5" s="327"/>
      <c r="G5" s="327"/>
      <c r="H5" s="327"/>
      <c r="I5" s="327"/>
      <c r="J5" s="327"/>
      <c r="K5" s="214"/>
      <c r="L5" s="215"/>
      <c r="M5" s="216"/>
    </row>
    <row r="6" spans="4:13" ht="50.45" customHeight="1" thickBot="1" x14ac:dyDescent="0.3">
      <c r="D6" s="213">
        <v>2</v>
      </c>
      <c r="E6" s="327" t="s">
        <v>274</v>
      </c>
      <c r="F6" s="327"/>
      <c r="G6" s="327"/>
      <c r="H6" s="327"/>
      <c r="I6" s="327"/>
      <c r="J6" s="327"/>
      <c r="K6" s="214"/>
      <c r="L6" s="215"/>
      <c r="M6" s="216"/>
    </row>
    <row r="7" spans="4:13" ht="50.45" customHeight="1" thickBot="1" x14ac:dyDescent="0.3">
      <c r="D7" s="213">
        <v>3</v>
      </c>
      <c r="E7" s="327" t="s">
        <v>276</v>
      </c>
      <c r="F7" s="327"/>
      <c r="G7" s="327"/>
      <c r="H7" s="327"/>
      <c r="I7" s="327"/>
      <c r="J7" s="327"/>
      <c r="K7" s="217"/>
      <c r="L7" s="218"/>
      <c r="M7" s="219"/>
    </row>
    <row r="8" spans="4:13" ht="51.6" customHeight="1" thickBot="1" x14ac:dyDescent="0.3">
      <c r="D8" s="213">
        <v>4</v>
      </c>
      <c r="E8" s="327" t="s">
        <v>246</v>
      </c>
      <c r="F8" s="327"/>
      <c r="G8" s="327"/>
      <c r="H8" s="327"/>
      <c r="I8" s="327"/>
      <c r="J8" s="327"/>
      <c r="K8" s="214"/>
      <c r="L8" s="215"/>
      <c r="M8" s="216"/>
    </row>
    <row r="9" spans="4:13" ht="64.150000000000006" customHeight="1" thickBot="1" x14ac:dyDescent="0.3">
      <c r="D9" s="213">
        <v>5</v>
      </c>
      <c r="E9" s="327" t="s">
        <v>277</v>
      </c>
      <c r="F9" s="327"/>
      <c r="G9" s="327"/>
      <c r="H9" s="327"/>
      <c r="I9" s="327"/>
      <c r="J9" s="327"/>
      <c r="K9" s="214"/>
      <c r="L9" s="215"/>
      <c r="M9" s="216"/>
    </row>
    <row r="10" spans="4:13" ht="49.9" customHeight="1" thickBot="1" x14ac:dyDescent="0.3">
      <c r="D10" s="213">
        <v>6</v>
      </c>
      <c r="E10" s="327" t="s">
        <v>247</v>
      </c>
      <c r="F10" s="327"/>
      <c r="G10" s="327"/>
      <c r="H10" s="327"/>
      <c r="I10" s="327"/>
      <c r="J10" s="327"/>
      <c r="K10" s="214"/>
      <c r="L10" s="215"/>
      <c r="M10" s="216"/>
    </row>
    <row r="11" spans="4:13" ht="53.45" customHeight="1" thickBot="1" x14ac:dyDescent="0.3">
      <c r="D11" s="213">
        <v>7</v>
      </c>
      <c r="E11" s="327" t="s">
        <v>278</v>
      </c>
      <c r="F11" s="327"/>
      <c r="G11" s="327"/>
      <c r="H11" s="327"/>
      <c r="I11" s="327"/>
      <c r="J11" s="327"/>
      <c r="K11" s="214"/>
      <c r="L11" s="215"/>
      <c r="M11" s="216"/>
    </row>
    <row r="12" spans="4:13" ht="47.45" customHeight="1" thickBot="1" x14ac:dyDescent="0.3">
      <c r="D12" s="213">
        <v>8</v>
      </c>
      <c r="E12" s="327" t="s">
        <v>279</v>
      </c>
      <c r="F12" s="327"/>
      <c r="G12" s="327"/>
      <c r="H12" s="327"/>
      <c r="I12" s="327"/>
      <c r="J12" s="327"/>
      <c r="K12" s="214"/>
      <c r="L12" s="215"/>
      <c r="M12" s="216"/>
    </row>
    <row r="13" spans="4:13" ht="65.45" customHeight="1" thickBot="1" x14ac:dyDescent="0.3">
      <c r="D13" s="213">
        <v>9</v>
      </c>
      <c r="E13" s="327" t="s">
        <v>280</v>
      </c>
      <c r="F13" s="327"/>
      <c r="G13" s="327"/>
      <c r="H13" s="327"/>
      <c r="I13" s="327"/>
      <c r="J13" s="327"/>
      <c r="K13" s="214"/>
      <c r="L13" s="215"/>
      <c r="M13" s="216"/>
    </row>
    <row r="14" spans="4:13" ht="65.45" customHeight="1" thickBot="1" x14ac:dyDescent="0.3">
      <c r="D14" s="213">
        <v>10</v>
      </c>
      <c r="E14" s="327" t="s">
        <v>248</v>
      </c>
      <c r="F14" s="327"/>
      <c r="G14" s="327"/>
      <c r="H14" s="327"/>
      <c r="I14" s="327"/>
      <c r="J14" s="327"/>
      <c r="K14" s="214"/>
      <c r="L14" s="215"/>
      <c r="M14" s="216"/>
    </row>
    <row r="16" spans="4:13" ht="15.75" thickBot="1" x14ac:dyDescent="0.3"/>
    <row r="17" spans="4:13" ht="15.75" x14ac:dyDescent="0.25">
      <c r="D17" s="337" t="s">
        <v>249</v>
      </c>
      <c r="E17" s="338"/>
      <c r="F17" s="338"/>
      <c r="G17" s="338"/>
      <c r="H17" s="338"/>
      <c r="I17" s="338"/>
      <c r="J17" s="338"/>
      <c r="K17" s="338"/>
      <c r="L17" s="338"/>
      <c r="M17" s="339"/>
    </row>
    <row r="18" spans="4:13" ht="15.75" x14ac:dyDescent="0.25">
      <c r="D18" s="331" t="s">
        <v>250</v>
      </c>
      <c r="E18" s="332"/>
      <c r="F18" s="332"/>
      <c r="G18" s="332"/>
      <c r="H18" s="332"/>
      <c r="I18" s="332"/>
      <c r="J18" s="332"/>
      <c r="K18" s="332"/>
      <c r="L18" s="332"/>
      <c r="M18" s="333"/>
    </row>
    <row r="19" spans="4:13" ht="15.75" x14ac:dyDescent="0.25">
      <c r="D19" s="331" t="s">
        <v>251</v>
      </c>
      <c r="E19" s="332"/>
      <c r="F19" s="332"/>
      <c r="G19" s="332"/>
      <c r="H19" s="332"/>
      <c r="I19" s="332"/>
      <c r="J19" s="332"/>
      <c r="K19" s="332"/>
      <c r="L19" s="332"/>
      <c r="M19" s="333"/>
    </row>
    <row r="20" spans="4:13" ht="16.5" thickBot="1" x14ac:dyDescent="0.3">
      <c r="D20" s="334" t="s">
        <v>252</v>
      </c>
      <c r="E20" s="335"/>
      <c r="F20" s="335"/>
      <c r="G20" s="335"/>
      <c r="H20" s="335"/>
      <c r="I20" s="335"/>
      <c r="J20" s="335"/>
      <c r="K20" s="335"/>
      <c r="L20" s="335"/>
      <c r="M20" s="336"/>
    </row>
  </sheetData>
  <mergeCells count="15">
    <mergeCell ref="D19:M19"/>
    <mergeCell ref="D20:M20"/>
    <mergeCell ref="E10:J10"/>
    <mergeCell ref="E11:J11"/>
    <mergeCell ref="E12:J12"/>
    <mergeCell ref="E13:J13"/>
    <mergeCell ref="D17:M17"/>
    <mergeCell ref="D18:M18"/>
    <mergeCell ref="E14:J14"/>
    <mergeCell ref="E9:J9"/>
    <mergeCell ref="D3:M3"/>
    <mergeCell ref="E5:J5"/>
    <mergeCell ref="E6:J6"/>
    <mergeCell ref="E7:J7"/>
    <mergeCell ref="E8:J8"/>
  </mergeCells>
  <pageMargins left="0.7" right="0.7" top="0.75" bottom="0.75" header="0.3" footer="0.3"/>
  <drawing r:id="rId1"/>
  <legacyDrawing r:id="rId2"/>
  <controls>
    <mc:AlternateContent xmlns:mc="http://schemas.openxmlformats.org/markup-compatibility/2006">
      <mc:Choice Requires="x14">
        <control shapeId="10242" r:id="rId3" name="bCCOps">
          <controlPr defaultSize="0" autoLine="0" r:id="rId4">
            <anchor moveWithCells="1">
              <from>
                <xdr:col>10</xdr:col>
                <xdr:colOff>161925</xdr:colOff>
                <xdr:row>13</xdr:row>
                <xdr:rowOff>104775</xdr:rowOff>
              </from>
              <to>
                <xdr:col>12</xdr:col>
                <xdr:colOff>485775</xdr:colOff>
                <xdr:row>13</xdr:row>
                <xdr:rowOff>638175</xdr:rowOff>
              </to>
            </anchor>
          </controlPr>
        </control>
      </mc:Choice>
      <mc:Fallback>
        <control shapeId="10242" r:id="rId3" name="bCCOps"/>
      </mc:Fallback>
    </mc:AlternateContent>
    <mc:AlternateContent xmlns:mc="http://schemas.openxmlformats.org/markup-compatibility/2006">
      <mc:Choice Requires="x14">
        <control shapeId="10241" r:id="rId5" name="bCCOpsChart">
          <controlPr defaultSize="0" autoLine="0" r:id="rId6">
            <anchor moveWithCells="1">
              <from>
                <xdr:col>14</xdr:col>
                <xdr:colOff>152400</xdr:colOff>
                <xdr:row>13</xdr:row>
                <xdr:rowOff>57150</xdr:rowOff>
              </from>
              <to>
                <xdr:col>16</xdr:col>
                <xdr:colOff>361950</xdr:colOff>
                <xdr:row>13</xdr:row>
                <xdr:rowOff>657225</xdr:rowOff>
              </to>
            </anchor>
          </controlPr>
        </control>
      </mc:Choice>
      <mc:Fallback>
        <control shapeId="10241" r:id="rId5" name="bCCOpsChart"/>
      </mc:Fallback>
    </mc:AlternateContent>
    <mc:AlternateContent xmlns:mc="http://schemas.openxmlformats.org/markup-compatibility/2006">
      <mc:Choice Requires="x14">
        <control shapeId="10243" r:id="rId7" name="bNAv1">
          <controlPr defaultSize="0" autoLine="0" r:id="rId8">
            <anchor moveWithCells="1">
              <from>
                <xdr:col>10</xdr:col>
                <xdr:colOff>152400</xdr:colOff>
                <xdr:row>4</xdr:row>
                <xdr:rowOff>85725</xdr:rowOff>
              </from>
              <to>
                <xdr:col>12</xdr:col>
                <xdr:colOff>476250</xdr:colOff>
                <xdr:row>4</xdr:row>
                <xdr:rowOff>619125</xdr:rowOff>
              </to>
            </anchor>
          </controlPr>
        </control>
      </mc:Choice>
      <mc:Fallback>
        <control shapeId="10243" r:id="rId7" name="bNAv1"/>
      </mc:Fallback>
    </mc:AlternateContent>
    <mc:AlternateContent xmlns:mc="http://schemas.openxmlformats.org/markup-compatibility/2006">
      <mc:Choice Requires="x14">
        <control shapeId="10244" r:id="rId9" name="bNav2">
          <controlPr defaultSize="0" autoLine="0" r:id="rId10">
            <anchor moveWithCells="1">
              <from>
                <xdr:col>10</xdr:col>
                <xdr:colOff>171450</xdr:colOff>
                <xdr:row>5</xdr:row>
                <xdr:rowOff>76200</xdr:rowOff>
              </from>
              <to>
                <xdr:col>12</xdr:col>
                <xdr:colOff>495300</xdr:colOff>
                <xdr:row>5</xdr:row>
                <xdr:rowOff>609600</xdr:rowOff>
              </to>
            </anchor>
          </controlPr>
        </control>
      </mc:Choice>
      <mc:Fallback>
        <control shapeId="10244" r:id="rId9" name="bNav2"/>
      </mc:Fallback>
    </mc:AlternateContent>
    <mc:AlternateContent xmlns:mc="http://schemas.openxmlformats.org/markup-compatibility/2006">
      <mc:Choice Requires="x14">
        <control shapeId="10245" r:id="rId11" name="bNav3">
          <controlPr defaultSize="0" autoLine="0" r:id="rId12">
            <anchor moveWithCells="1">
              <from>
                <xdr:col>10</xdr:col>
                <xdr:colOff>161925</xdr:colOff>
                <xdr:row>6</xdr:row>
                <xdr:rowOff>47625</xdr:rowOff>
              </from>
              <to>
                <xdr:col>12</xdr:col>
                <xdr:colOff>485775</xdr:colOff>
                <xdr:row>6</xdr:row>
                <xdr:rowOff>581025</xdr:rowOff>
              </to>
            </anchor>
          </controlPr>
        </control>
      </mc:Choice>
      <mc:Fallback>
        <control shapeId="10245" r:id="rId11" name="bNav3"/>
      </mc:Fallback>
    </mc:AlternateContent>
    <mc:AlternateContent xmlns:mc="http://schemas.openxmlformats.org/markup-compatibility/2006">
      <mc:Choice Requires="x14">
        <control shapeId="10246" r:id="rId13" name="bNav4">
          <controlPr defaultSize="0" autoLine="0" r:id="rId14">
            <anchor moveWithCells="1">
              <from>
                <xdr:col>10</xdr:col>
                <xdr:colOff>161925</xdr:colOff>
                <xdr:row>7</xdr:row>
                <xdr:rowOff>47625</xdr:rowOff>
              </from>
              <to>
                <xdr:col>12</xdr:col>
                <xdr:colOff>485775</xdr:colOff>
                <xdr:row>7</xdr:row>
                <xdr:rowOff>581025</xdr:rowOff>
              </to>
            </anchor>
          </controlPr>
        </control>
      </mc:Choice>
      <mc:Fallback>
        <control shapeId="10246" r:id="rId13" name="bNav4"/>
      </mc:Fallback>
    </mc:AlternateContent>
    <mc:AlternateContent xmlns:mc="http://schemas.openxmlformats.org/markup-compatibility/2006">
      <mc:Choice Requires="x14">
        <control shapeId="10247" r:id="rId15" name="bNav5">
          <controlPr defaultSize="0" autoLine="0" r:id="rId16">
            <anchor moveWithCells="1">
              <from>
                <xdr:col>10</xdr:col>
                <xdr:colOff>161925</xdr:colOff>
                <xdr:row>8</xdr:row>
                <xdr:rowOff>85725</xdr:rowOff>
              </from>
              <to>
                <xdr:col>12</xdr:col>
                <xdr:colOff>485775</xdr:colOff>
                <xdr:row>8</xdr:row>
                <xdr:rowOff>619125</xdr:rowOff>
              </to>
            </anchor>
          </controlPr>
        </control>
      </mc:Choice>
      <mc:Fallback>
        <control shapeId="10247" r:id="rId15" name="bNav5"/>
      </mc:Fallback>
    </mc:AlternateContent>
    <mc:AlternateContent xmlns:mc="http://schemas.openxmlformats.org/markup-compatibility/2006">
      <mc:Choice Requires="x14">
        <control shapeId="10248" r:id="rId17" name="bNav6">
          <controlPr defaultSize="0" autoLine="0" r:id="rId18">
            <anchor moveWithCells="1">
              <from>
                <xdr:col>10</xdr:col>
                <xdr:colOff>133350</xdr:colOff>
                <xdr:row>9</xdr:row>
                <xdr:rowOff>57150</xdr:rowOff>
              </from>
              <to>
                <xdr:col>12</xdr:col>
                <xdr:colOff>457200</xdr:colOff>
                <xdr:row>9</xdr:row>
                <xdr:rowOff>590550</xdr:rowOff>
              </to>
            </anchor>
          </controlPr>
        </control>
      </mc:Choice>
      <mc:Fallback>
        <control shapeId="10248" r:id="rId17" name="bNav6"/>
      </mc:Fallback>
    </mc:AlternateContent>
    <mc:AlternateContent xmlns:mc="http://schemas.openxmlformats.org/markup-compatibility/2006">
      <mc:Choice Requires="x14">
        <control shapeId="10249" r:id="rId19" name="bNav7">
          <controlPr defaultSize="0" autoLine="0" r:id="rId20">
            <anchor moveWithCells="1">
              <from>
                <xdr:col>10</xdr:col>
                <xdr:colOff>152400</xdr:colOff>
                <xdr:row>10</xdr:row>
                <xdr:rowOff>95250</xdr:rowOff>
              </from>
              <to>
                <xdr:col>12</xdr:col>
                <xdr:colOff>476250</xdr:colOff>
                <xdr:row>10</xdr:row>
                <xdr:rowOff>628650</xdr:rowOff>
              </to>
            </anchor>
          </controlPr>
        </control>
      </mc:Choice>
      <mc:Fallback>
        <control shapeId="10249" r:id="rId19" name="bNav7"/>
      </mc:Fallback>
    </mc:AlternateContent>
    <mc:AlternateContent xmlns:mc="http://schemas.openxmlformats.org/markup-compatibility/2006">
      <mc:Choice Requires="x14">
        <control shapeId="10250" r:id="rId21" name="bNav8">
          <controlPr defaultSize="0" autoLine="0" r:id="rId22">
            <anchor moveWithCells="1">
              <from>
                <xdr:col>10</xdr:col>
                <xdr:colOff>133350</xdr:colOff>
                <xdr:row>11</xdr:row>
                <xdr:rowOff>47625</xdr:rowOff>
              </from>
              <to>
                <xdr:col>12</xdr:col>
                <xdr:colOff>457200</xdr:colOff>
                <xdr:row>11</xdr:row>
                <xdr:rowOff>581025</xdr:rowOff>
              </to>
            </anchor>
          </controlPr>
        </control>
      </mc:Choice>
      <mc:Fallback>
        <control shapeId="10250" r:id="rId21" name="bNav8"/>
      </mc:Fallback>
    </mc:AlternateContent>
    <mc:AlternateContent xmlns:mc="http://schemas.openxmlformats.org/markup-compatibility/2006">
      <mc:Choice Requires="x14">
        <control shapeId="10251" r:id="rId23" name="bNav9">
          <controlPr defaultSize="0" autoLine="0" r:id="rId24">
            <anchor moveWithCells="1">
              <from>
                <xdr:col>10</xdr:col>
                <xdr:colOff>171450</xdr:colOff>
                <xdr:row>12</xdr:row>
                <xdr:rowOff>152400</xdr:rowOff>
              </from>
              <to>
                <xdr:col>12</xdr:col>
                <xdr:colOff>495300</xdr:colOff>
                <xdr:row>12</xdr:row>
                <xdr:rowOff>685800</xdr:rowOff>
              </to>
            </anchor>
          </controlPr>
        </control>
      </mc:Choice>
      <mc:Fallback>
        <control shapeId="10251" r:id="rId23" name="bNav9"/>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S77"/>
  <sheetViews>
    <sheetView topLeftCell="A7" zoomScaleNormal="100" workbookViewId="0">
      <selection activeCell="C24" sqref="C24"/>
    </sheetView>
  </sheetViews>
  <sheetFormatPr defaultColWidth="8.85546875" defaultRowHeight="15" x14ac:dyDescent="0.25"/>
  <cols>
    <col min="1" max="1" width="19" style="220" customWidth="1"/>
    <col min="2" max="2" width="8.85546875" style="158"/>
    <col min="3" max="3" width="10.85546875" style="158" customWidth="1"/>
    <col min="4" max="4" width="11.42578125" style="158" bestFit="1" customWidth="1"/>
    <col min="5" max="5" width="56.28515625" style="158" customWidth="1"/>
    <col min="6" max="6" width="8.85546875" style="158"/>
    <col min="7" max="7" width="9.5703125" style="158" customWidth="1"/>
    <col min="8" max="8" width="8.85546875" style="158"/>
    <col min="9" max="9" width="11.7109375" style="158" bestFit="1" customWidth="1"/>
    <col min="10" max="10" width="22.7109375" style="158" customWidth="1"/>
    <col min="11" max="11" width="14.7109375" style="158" bestFit="1" customWidth="1"/>
    <col min="12" max="12" width="15.5703125" style="158" customWidth="1"/>
    <col min="13" max="13" width="18.28515625" style="158" customWidth="1"/>
    <col min="14" max="14" width="17" style="158" customWidth="1"/>
    <col min="15" max="16384" width="8.85546875" style="158"/>
  </cols>
  <sheetData>
    <row r="1" spans="3:19" ht="19.5" thickBot="1" x14ac:dyDescent="0.35">
      <c r="C1" s="340" t="s">
        <v>217</v>
      </c>
      <c r="D1" s="341"/>
      <c r="E1" s="341"/>
      <c r="F1" s="341"/>
      <c r="G1" s="341"/>
      <c r="H1" s="341"/>
      <c r="I1" s="341"/>
      <c r="J1" s="342"/>
    </row>
    <row r="2" spans="3:19" ht="14.45" customHeight="1" x14ac:dyDescent="0.25">
      <c r="C2" s="343" t="s">
        <v>218</v>
      </c>
      <c r="D2" s="344"/>
      <c r="E2" s="344"/>
      <c r="F2" s="344"/>
      <c r="G2" s="344"/>
      <c r="H2" s="344"/>
      <c r="I2" s="344"/>
      <c r="J2" s="345"/>
      <c r="L2" s="349" t="s">
        <v>222</v>
      </c>
      <c r="M2" s="350"/>
      <c r="N2" s="350"/>
      <c r="O2" s="350"/>
      <c r="P2" s="350"/>
      <c r="Q2" s="350"/>
      <c r="R2" s="350"/>
      <c r="S2" s="351"/>
    </row>
    <row r="3" spans="3:19" ht="40.9" customHeight="1" thickBot="1" x14ac:dyDescent="0.3">
      <c r="C3" s="346"/>
      <c r="D3" s="347"/>
      <c r="E3" s="347"/>
      <c r="F3" s="347"/>
      <c r="G3" s="347"/>
      <c r="H3" s="347"/>
      <c r="I3" s="347"/>
      <c r="J3" s="348"/>
      <c r="L3" s="352"/>
      <c r="M3" s="353"/>
      <c r="N3" s="353"/>
      <c r="O3" s="353"/>
      <c r="P3" s="353"/>
      <c r="Q3" s="353"/>
      <c r="R3" s="353"/>
      <c r="S3" s="354"/>
    </row>
    <row r="4" spans="3:19" ht="15.75" thickBot="1" x14ac:dyDescent="0.3">
      <c r="C4" s="159" t="s">
        <v>219</v>
      </c>
      <c r="D4" s="160" t="s">
        <v>366</v>
      </c>
      <c r="E4" s="158" t="s">
        <v>220</v>
      </c>
      <c r="L4" s="355"/>
      <c r="M4" s="356"/>
      <c r="N4" s="356"/>
      <c r="O4" s="356"/>
      <c r="P4" s="356"/>
      <c r="Q4" s="356"/>
      <c r="R4" s="356"/>
      <c r="S4" s="357"/>
    </row>
    <row r="5" spans="3:19" x14ac:dyDescent="0.25">
      <c r="C5" s="161">
        <v>-1</v>
      </c>
      <c r="D5" s="162" t="s">
        <v>338</v>
      </c>
      <c r="E5" s="162" t="s">
        <v>339</v>
      </c>
      <c r="F5" s="162">
        <v>857.15</v>
      </c>
      <c r="G5" s="162">
        <v>-857.15</v>
      </c>
      <c r="H5" s="162" t="s">
        <v>335</v>
      </c>
      <c r="I5" s="162" t="s">
        <v>336</v>
      </c>
      <c r="J5" s="163" t="s">
        <v>337</v>
      </c>
    </row>
    <row r="6" spans="3:19" x14ac:dyDescent="0.25">
      <c r="C6" s="171">
        <v>1</v>
      </c>
      <c r="D6" s="172" t="s">
        <v>338</v>
      </c>
      <c r="E6" s="275" t="s">
        <v>339</v>
      </c>
      <c r="F6" s="165">
        <v>857.15</v>
      </c>
      <c r="G6" s="165">
        <v>857.15</v>
      </c>
      <c r="H6" s="165" t="s">
        <v>335</v>
      </c>
      <c r="I6" s="165" t="s">
        <v>336</v>
      </c>
      <c r="J6" s="166" t="s">
        <v>337</v>
      </c>
    </row>
    <row r="7" spans="3:19" x14ac:dyDescent="0.25">
      <c r="C7" s="171">
        <v>1</v>
      </c>
      <c r="D7" s="172" t="s">
        <v>338</v>
      </c>
      <c r="E7" s="165" t="s">
        <v>339</v>
      </c>
      <c r="F7" s="165">
        <v>857.15</v>
      </c>
      <c r="G7" s="165">
        <v>857.15</v>
      </c>
      <c r="H7" s="165" t="s">
        <v>335</v>
      </c>
      <c r="I7" s="165" t="s">
        <v>336</v>
      </c>
      <c r="J7" s="166" t="s">
        <v>337</v>
      </c>
    </row>
    <row r="8" spans="3:19" x14ac:dyDescent="0.25">
      <c r="C8" s="171">
        <v>-1</v>
      </c>
      <c r="D8" s="172" t="s">
        <v>340</v>
      </c>
      <c r="E8" s="165" t="s">
        <v>341</v>
      </c>
      <c r="F8" s="165">
        <v>0</v>
      </c>
      <c r="G8" s="165"/>
      <c r="H8" s="165" t="s">
        <v>342</v>
      </c>
      <c r="I8" s="165" t="s">
        <v>336</v>
      </c>
      <c r="J8" s="166" t="s">
        <v>337</v>
      </c>
    </row>
    <row r="9" spans="3:19" x14ac:dyDescent="0.25">
      <c r="C9" s="171">
        <v>1</v>
      </c>
      <c r="D9" s="172" t="s">
        <v>340</v>
      </c>
      <c r="E9" s="165" t="s">
        <v>341</v>
      </c>
      <c r="F9" s="165">
        <v>0</v>
      </c>
      <c r="G9" s="165"/>
      <c r="H9" s="165" t="s">
        <v>342</v>
      </c>
      <c r="I9" s="165" t="s">
        <v>336</v>
      </c>
      <c r="J9" s="166" t="s">
        <v>337</v>
      </c>
    </row>
    <row r="10" spans="3:19" x14ac:dyDescent="0.25">
      <c r="C10" s="171">
        <v>1</v>
      </c>
      <c r="D10" s="172" t="s">
        <v>340</v>
      </c>
      <c r="E10" s="165" t="s">
        <v>341</v>
      </c>
      <c r="F10" s="165">
        <v>0</v>
      </c>
      <c r="G10" s="165"/>
      <c r="H10" s="165" t="s">
        <v>342</v>
      </c>
      <c r="I10" s="165" t="s">
        <v>336</v>
      </c>
      <c r="J10" s="166" t="s">
        <v>337</v>
      </c>
    </row>
    <row r="11" spans="3:19" x14ac:dyDescent="0.25">
      <c r="C11" s="171">
        <v>-1</v>
      </c>
      <c r="D11" s="172" t="s">
        <v>340</v>
      </c>
      <c r="E11" s="165" t="s">
        <v>341</v>
      </c>
      <c r="F11" s="165">
        <v>0</v>
      </c>
      <c r="G11" s="167"/>
      <c r="H11" s="165" t="s">
        <v>342</v>
      </c>
      <c r="I11" s="165" t="s">
        <v>336</v>
      </c>
      <c r="J11" s="166" t="s">
        <v>337</v>
      </c>
    </row>
    <row r="12" spans="3:19" x14ac:dyDescent="0.25">
      <c r="C12" s="257">
        <v>2527</v>
      </c>
      <c r="D12" s="172" t="s">
        <v>343</v>
      </c>
      <c r="E12" s="165" t="s">
        <v>344</v>
      </c>
      <c r="F12" s="165">
        <v>8.3000000000000007</v>
      </c>
      <c r="G12" s="167">
        <v>20974.1</v>
      </c>
      <c r="H12" s="165" t="s">
        <v>342</v>
      </c>
      <c r="I12" s="165" t="s">
        <v>336</v>
      </c>
      <c r="J12" s="166" t="s">
        <v>337</v>
      </c>
    </row>
    <row r="13" spans="3:19" x14ac:dyDescent="0.25">
      <c r="C13" s="171">
        <v>-1</v>
      </c>
      <c r="D13" s="172" t="s">
        <v>345</v>
      </c>
      <c r="E13" s="165" t="s">
        <v>346</v>
      </c>
      <c r="F13" s="165">
        <v>0</v>
      </c>
      <c r="G13" s="167"/>
      <c r="H13" s="165" t="s">
        <v>342</v>
      </c>
      <c r="I13" s="165" t="s">
        <v>336</v>
      </c>
      <c r="J13" s="166" t="s">
        <v>337</v>
      </c>
    </row>
    <row r="14" spans="3:19" x14ac:dyDescent="0.25">
      <c r="C14" s="171">
        <v>-1</v>
      </c>
      <c r="D14" s="172" t="s">
        <v>345</v>
      </c>
      <c r="E14" s="165" t="s">
        <v>346</v>
      </c>
      <c r="F14" s="165">
        <v>0</v>
      </c>
      <c r="G14" s="167"/>
      <c r="H14" s="165" t="s">
        <v>342</v>
      </c>
      <c r="I14" s="165" t="s">
        <v>336</v>
      </c>
      <c r="J14" s="166" t="s">
        <v>337</v>
      </c>
    </row>
    <row r="15" spans="3:19" x14ac:dyDescent="0.25">
      <c r="C15" s="171">
        <v>1</v>
      </c>
      <c r="D15" s="172" t="s">
        <v>345</v>
      </c>
      <c r="E15" s="165" t="s">
        <v>346</v>
      </c>
      <c r="F15" s="165">
        <v>0</v>
      </c>
      <c r="G15" s="167"/>
      <c r="H15" s="165" t="s">
        <v>342</v>
      </c>
      <c r="I15" s="165" t="s">
        <v>336</v>
      </c>
      <c r="J15" s="166" t="s">
        <v>337</v>
      </c>
    </row>
    <row r="16" spans="3:19" x14ac:dyDescent="0.25">
      <c r="C16" s="171">
        <v>1</v>
      </c>
      <c r="D16" s="172" t="s">
        <v>345</v>
      </c>
      <c r="E16" s="165" t="s">
        <v>346</v>
      </c>
      <c r="F16" s="165">
        <v>0</v>
      </c>
      <c r="G16" s="167"/>
      <c r="H16" s="165" t="s">
        <v>342</v>
      </c>
      <c r="I16" s="165" t="s">
        <v>336</v>
      </c>
      <c r="J16" s="166" t="s">
        <v>337</v>
      </c>
    </row>
    <row r="17" spans="3:15" x14ac:dyDescent="0.25">
      <c r="C17" s="164">
        <v>2527</v>
      </c>
      <c r="D17" s="165" t="s">
        <v>347</v>
      </c>
      <c r="E17" s="165" t="s">
        <v>348</v>
      </c>
      <c r="F17" s="165">
        <v>2.4500000000000002</v>
      </c>
      <c r="G17" s="167">
        <v>6191.15</v>
      </c>
      <c r="H17" s="165" t="s">
        <v>342</v>
      </c>
      <c r="I17" s="165" t="s">
        <v>336</v>
      </c>
      <c r="J17" s="166" t="s">
        <v>337</v>
      </c>
    </row>
    <row r="18" spans="3:15" x14ac:dyDescent="0.25">
      <c r="C18" s="164"/>
      <c r="D18" s="165"/>
      <c r="E18" s="165" t="s">
        <v>70</v>
      </c>
      <c r="F18" s="165"/>
      <c r="G18" s="167">
        <v>27165.25</v>
      </c>
      <c r="H18" s="165"/>
      <c r="I18" s="165"/>
      <c r="J18" s="166"/>
    </row>
    <row r="19" spans="3:15" ht="15.75" thickBot="1" x14ac:dyDescent="0.3">
      <c r="C19" s="168"/>
      <c r="D19" s="169"/>
      <c r="E19" s="169"/>
      <c r="F19" s="169"/>
      <c r="G19" s="169"/>
      <c r="H19" s="169"/>
      <c r="I19" s="169"/>
      <c r="J19" s="170"/>
    </row>
    <row r="20" spans="3:15" x14ac:dyDescent="0.25">
      <c r="C20" s="158" t="s">
        <v>367</v>
      </c>
    </row>
    <row r="22" spans="3:15" x14ac:dyDescent="0.25">
      <c r="C22" s="358" t="s">
        <v>273</v>
      </c>
      <c r="D22" s="358"/>
      <c r="E22" s="358"/>
      <c r="F22" s="358"/>
      <c r="G22" s="358"/>
      <c r="H22" s="358"/>
      <c r="I22" s="358"/>
      <c r="J22" s="358"/>
      <c r="K22" s="358"/>
      <c r="L22" s="358"/>
      <c r="M22" s="358"/>
      <c r="N22" s="358"/>
      <c r="O22" s="358"/>
    </row>
    <row r="23" spans="3:15" ht="75" x14ac:dyDescent="0.25">
      <c r="C23" s="269" t="s">
        <v>301</v>
      </c>
      <c r="D23" s="270" t="s">
        <v>302</v>
      </c>
      <c r="E23" s="269" t="s">
        <v>303</v>
      </c>
      <c r="F23" s="270" t="s">
        <v>304</v>
      </c>
      <c r="G23" s="269" t="s">
        <v>305</v>
      </c>
      <c r="H23" s="269" t="s">
        <v>306</v>
      </c>
      <c r="I23" s="269" t="s">
        <v>307</v>
      </c>
      <c r="J23" s="270" t="s">
        <v>308</v>
      </c>
      <c r="K23" s="269" t="s">
        <v>309</v>
      </c>
      <c r="L23" s="269" t="s">
        <v>310</v>
      </c>
      <c r="M23" s="269" t="s">
        <v>311</v>
      </c>
      <c r="N23" s="261"/>
    </row>
    <row r="24" spans="3:15" ht="18.75" x14ac:dyDescent="0.25">
      <c r="C24" s="261" t="s">
        <v>349</v>
      </c>
      <c r="D24" s="263"/>
      <c r="E24" s="261">
        <f>0</f>
        <v>0</v>
      </c>
      <c r="F24" s="263">
        <v>1900</v>
      </c>
      <c r="G24" s="261"/>
      <c r="H24" s="261"/>
      <c r="I24" s="261"/>
      <c r="J24" s="263"/>
      <c r="K24" s="261"/>
      <c r="L24" s="261"/>
      <c r="M24" s="261"/>
      <c r="N24" s="261"/>
    </row>
    <row r="25" spans="3:15" ht="18.75" x14ac:dyDescent="0.25">
      <c r="C25" s="263"/>
      <c r="D25" s="263"/>
      <c r="E25" s="263"/>
      <c r="F25" s="263"/>
      <c r="G25" s="263"/>
      <c r="H25" s="263"/>
      <c r="I25" s="263"/>
      <c r="J25" s="263"/>
      <c r="K25" s="263"/>
      <c r="L25" s="261"/>
      <c r="M25" s="261"/>
      <c r="N25" s="158">
        <v>104</v>
      </c>
    </row>
    <row r="26" spans="3:15" ht="18.75" x14ac:dyDescent="0.25">
      <c r="C26" s="263"/>
      <c r="D26" s="263"/>
      <c r="E26" s="263"/>
      <c r="F26" s="263"/>
      <c r="G26" s="261"/>
      <c r="H26" s="263"/>
      <c r="I26" s="263"/>
      <c r="J26" s="263"/>
      <c r="K26" s="261"/>
      <c r="L26" s="261"/>
      <c r="M26" s="261"/>
      <c r="N26" s="165"/>
      <c r="O26" s="182"/>
    </row>
    <row r="27" spans="3:15" x14ac:dyDescent="0.25">
      <c r="C27" s="175"/>
      <c r="D27" s="175"/>
      <c r="E27" s="179"/>
      <c r="F27" s="175"/>
      <c r="G27" s="177"/>
      <c r="H27" s="175"/>
      <c r="I27" s="181"/>
      <c r="J27" s="174"/>
      <c r="K27" s="174"/>
      <c r="L27" s="165"/>
      <c r="M27" s="165"/>
      <c r="N27" s="165"/>
      <c r="O27" s="182"/>
    </row>
    <row r="28" spans="3:15" x14ac:dyDescent="0.25">
      <c r="C28" s="175"/>
      <c r="D28" s="175"/>
      <c r="E28" s="179"/>
      <c r="F28" s="175"/>
      <c r="G28" s="177"/>
      <c r="H28" s="175"/>
      <c r="I28" s="181"/>
      <c r="J28" s="174"/>
      <c r="K28" s="174"/>
      <c r="L28" s="165"/>
      <c r="M28" s="165"/>
      <c r="N28" s="165"/>
      <c r="O28" s="182"/>
    </row>
    <row r="29" spans="3:15" x14ac:dyDescent="0.25">
      <c r="C29" s="175"/>
      <c r="D29" s="175"/>
      <c r="E29" s="178"/>
      <c r="F29" s="175"/>
      <c r="G29" s="175"/>
      <c r="H29" s="175"/>
      <c r="I29" s="181"/>
      <c r="J29" s="165"/>
      <c r="K29" s="165"/>
      <c r="L29" s="165"/>
      <c r="M29" s="165"/>
      <c r="N29" s="165"/>
      <c r="O29" s="182"/>
    </row>
    <row r="30" spans="3:15" x14ac:dyDescent="0.25">
      <c r="C30" s="176"/>
      <c r="D30" s="176"/>
      <c r="E30" s="180"/>
      <c r="F30" s="176"/>
      <c r="G30" s="176"/>
      <c r="H30" s="176"/>
      <c r="I30" s="183"/>
      <c r="J30" s="184"/>
      <c r="K30" s="185"/>
      <c r="L30" s="185"/>
      <c r="M30" s="184"/>
      <c r="N30" s="184"/>
      <c r="O30" s="186"/>
    </row>
    <row r="31" spans="3:15" x14ac:dyDescent="0.25">
      <c r="E31" s="174"/>
      <c r="J31" s="173"/>
      <c r="L31" s="173"/>
    </row>
    <row r="32" spans="3:15" x14ac:dyDescent="0.25">
      <c r="E32" s="165"/>
      <c r="J32" s="173"/>
    </row>
    <row r="33" spans="5:10" x14ac:dyDescent="0.25">
      <c r="E33" s="165"/>
    </row>
    <row r="34" spans="5:10" x14ac:dyDescent="0.25">
      <c r="E34" s="165"/>
    </row>
    <row r="35" spans="5:10" x14ac:dyDescent="0.25">
      <c r="E35" s="165"/>
    </row>
    <row r="36" spans="5:10" x14ac:dyDescent="0.25">
      <c r="E36" s="165"/>
      <c r="J36" s="173"/>
    </row>
    <row r="37" spans="5:10" x14ac:dyDescent="0.25">
      <c r="E37" s="165"/>
      <c r="J37" s="173"/>
    </row>
    <row r="38" spans="5:10" x14ac:dyDescent="0.25">
      <c r="E38" s="165"/>
      <c r="J38" s="173"/>
    </row>
    <row r="39" spans="5:10" x14ac:dyDescent="0.25">
      <c r="E39" s="165"/>
      <c r="J39" s="173"/>
    </row>
    <row r="40" spans="5:10" x14ac:dyDescent="0.25">
      <c r="E40" s="165"/>
    </row>
    <row r="41" spans="5:10" x14ac:dyDescent="0.25">
      <c r="E41" s="165"/>
    </row>
    <row r="50" spans="5:11" x14ac:dyDescent="0.25">
      <c r="J50" s="173"/>
    </row>
    <row r="53" spans="5:11" x14ac:dyDescent="0.25">
      <c r="E53" s="173"/>
      <c r="K53" s="173"/>
    </row>
    <row r="54" spans="5:11" x14ac:dyDescent="0.25">
      <c r="E54" s="173"/>
      <c r="H54" s="173"/>
      <c r="J54" s="173"/>
      <c r="K54" s="173"/>
    </row>
    <row r="55" spans="5:11" x14ac:dyDescent="0.25">
      <c r="J55" s="173"/>
    </row>
    <row r="59" spans="5:11" x14ac:dyDescent="0.25">
      <c r="E59" s="173"/>
      <c r="K59" s="173"/>
    </row>
    <row r="60" spans="5:11" x14ac:dyDescent="0.25">
      <c r="J60" s="173"/>
    </row>
    <row r="61" spans="5:11" x14ac:dyDescent="0.25">
      <c r="E61" s="173"/>
      <c r="J61" s="173"/>
      <c r="K61" s="173"/>
    </row>
    <row r="63" spans="5:11" x14ac:dyDescent="0.25">
      <c r="E63" s="173"/>
      <c r="G63" s="173"/>
      <c r="K63" s="173"/>
    </row>
    <row r="64" spans="5:11" x14ac:dyDescent="0.25">
      <c r="E64" s="173"/>
      <c r="G64" s="173"/>
      <c r="J64" s="173"/>
      <c r="K64" s="173"/>
    </row>
    <row r="68" spans="5:12" x14ac:dyDescent="0.25">
      <c r="J68" s="173"/>
    </row>
    <row r="71" spans="5:12" x14ac:dyDescent="0.25">
      <c r="E71" s="173"/>
      <c r="K71" s="173"/>
      <c r="L71" s="173"/>
    </row>
    <row r="74" spans="5:12" x14ac:dyDescent="0.25">
      <c r="E74" s="173"/>
      <c r="J74" s="173"/>
      <c r="K74" s="173"/>
      <c r="L74" s="173"/>
    </row>
    <row r="77" spans="5:12" x14ac:dyDescent="0.25">
      <c r="E77" s="173"/>
      <c r="K77" s="173"/>
    </row>
  </sheetData>
  <mergeCells count="4">
    <mergeCell ref="C1:J1"/>
    <mergeCell ref="C2:J3"/>
    <mergeCell ref="L2:S4"/>
    <mergeCell ref="C22:O22"/>
  </mergeCells>
  <pageMargins left="0.7" right="0.7" top="0.75" bottom="0.75" header="0.3" footer="0.3"/>
  <pageSetup orientation="portrait" r:id="rId1"/>
  <drawing r:id="rId2"/>
  <legacyDrawing r:id="rId3"/>
  <controls>
    <mc:AlternateContent xmlns:mc="http://schemas.openxmlformats.org/markup-compatibility/2006">
      <mc:Choice Requires="x14">
        <control shapeId="20481" r:id="rId4" name="bStartHere_back1">
          <controlPr defaultSize="0" autoLine="0" r:id="rId5">
            <anchor moveWithCells="1">
              <from>
                <xdr:col>0</xdr:col>
                <xdr:colOff>95250</xdr:colOff>
                <xdr:row>0</xdr:row>
                <xdr:rowOff>104775</xdr:rowOff>
              </from>
              <to>
                <xdr:col>0</xdr:col>
                <xdr:colOff>1181100</xdr:colOff>
                <xdr:row>2</xdr:row>
                <xdr:rowOff>285750</xdr:rowOff>
              </to>
            </anchor>
          </controlPr>
        </control>
      </mc:Choice>
      <mc:Fallback>
        <control shapeId="20481" r:id="rId4" name="bStartHere_back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B050"/>
  </sheetPr>
  <dimension ref="A1:L49"/>
  <sheetViews>
    <sheetView tabSelected="1" zoomScaleNormal="100" workbookViewId="0">
      <pane xSplit="24" ySplit="9" topLeftCell="Y10" activePane="bottomRight" state="frozen"/>
      <selection activeCell="B31" sqref="B31"/>
      <selection pane="topRight" activeCell="B31" sqref="B31"/>
      <selection pane="bottomLeft" activeCell="B31" sqref="B31"/>
      <selection pane="bottomRight" activeCell="F11" sqref="F11"/>
    </sheetView>
  </sheetViews>
  <sheetFormatPr defaultRowHeight="15" x14ac:dyDescent="0.25"/>
  <cols>
    <col min="1" max="1" width="19" style="220" customWidth="1"/>
    <col min="2" max="2" width="6.7109375" style="3" customWidth="1"/>
    <col min="3" max="3" width="21.42578125" style="3" customWidth="1"/>
    <col min="4" max="4" width="9.42578125" style="3" customWidth="1"/>
    <col min="5" max="5" width="11.7109375" style="3" customWidth="1"/>
    <col min="6" max="6" width="12.85546875" style="3" customWidth="1"/>
    <col min="7" max="7" width="8.42578125" style="14" customWidth="1"/>
    <col min="8" max="8" width="9.7109375" style="16" customWidth="1"/>
    <col min="9" max="9" width="13.7109375" style="16" customWidth="1"/>
    <col min="10" max="10" width="17.42578125" style="16" customWidth="1"/>
    <col min="11" max="11" width="13.140625" style="16" customWidth="1"/>
    <col min="15" max="15" width="17" customWidth="1"/>
    <col min="16" max="16" width="9.140625" customWidth="1"/>
    <col min="17" max="17" width="9.42578125" customWidth="1"/>
    <col min="18" max="18" width="9.7109375" customWidth="1"/>
  </cols>
  <sheetData>
    <row r="1" spans="1:11" s="74" customFormat="1" ht="36.75" thickBot="1" x14ac:dyDescent="0.3">
      <c r="A1" s="220"/>
      <c r="B1" s="3"/>
      <c r="C1" s="221" t="s">
        <v>253</v>
      </c>
      <c r="D1" s="258" t="s">
        <v>330</v>
      </c>
      <c r="E1" s="258" t="s">
        <v>365</v>
      </c>
      <c r="F1" s="258" t="s">
        <v>366</v>
      </c>
      <c r="G1" s="3"/>
      <c r="H1" s="62"/>
      <c r="I1" s="62"/>
      <c r="J1" s="62"/>
      <c r="K1" s="62"/>
    </row>
    <row r="2" spans="1:11" s="74" customFormat="1" ht="19.5" thickTop="1" thickBot="1" x14ac:dyDescent="0.3">
      <c r="A2" s="220"/>
      <c r="B2" s="3"/>
      <c r="C2" s="222" t="s">
        <v>10</v>
      </c>
      <c r="D2" s="223">
        <v>2554</v>
      </c>
      <c r="E2" s="223">
        <v>2554</v>
      </c>
      <c r="F2" s="223">
        <f>2527</f>
        <v>2527</v>
      </c>
      <c r="G2" s="3"/>
      <c r="H2" s="62"/>
      <c r="I2" s="62"/>
      <c r="J2" s="62"/>
      <c r="K2" s="62"/>
    </row>
    <row r="3" spans="1:11" s="74" customFormat="1" ht="18.75" thickBot="1" x14ac:dyDescent="0.3">
      <c r="A3" s="220"/>
      <c r="B3" s="3"/>
      <c r="C3" s="224" t="s">
        <v>82</v>
      </c>
      <c r="D3" s="225">
        <v>8</v>
      </c>
      <c r="E3" s="225">
        <v>0</v>
      </c>
      <c r="F3" s="225">
        <f>0</f>
        <v>0</v>
      </c>
      <c r="G3" s="3"/>
      <c r="H3" s="62"/>
      <c r="I3" s="62"/>
      <c r="J3" s="62"/>
      <c r="K3" s="62"/>
    </row>
    <row r="4" spans="1:11" s="74" customFormat="1" ht="18.75" thickBot="1" x14ac:dyDescent="0.3">
      <c r="A4" s="220"/>
      <c r="B4" s="3"/>
      <c r="C4" s="226" t="s">
        <v>29</v>
      </c>
      <c r="D4" s="246">
        <v>1906</v>
      </c>
      <c r="E4" s="246">
        <v>1900</v>
      </c>
      <c r="F4" s="246">
        <f>1900</f>
        <v>1900</v>
      </c>
      <c r="G4" s="3"/>
      <c r="H4" s="62"/>
      <c r="I4" s="62"/>
      <c r="J4" s="62"/>
      <c r="K4" s="62"/>
    </row>
    <row r="5" spans="1:11" s="74" customFormat="1" ht="18.75" thickBot="1" x14ac:dyDescent="0.3">
      <c r="A5" s="220"/>
      <c r="B5" s="3"/>
      <c r="C5" s="224" t="s">
        <v>83</v>
      </c>
      <c r="D5" s="283">
        <v>2554</v>
      </c>
      <c r="E5" s="283">
        <v>2554</v>
      </c>
      <c r="F5" s="283">
        <f>2527</f>
        <v>2527</v>
      </c>
      <c r="G5" s="3"/>
      <c r="H5" s="62"/>
      <c r="I5" s="62"/>
      <c r="J5" s="62"/>
      <c r="K5" s="62"/>
    </row>
    <row r="6" spans="1:11" s="74" customFormat="1" x14ac:dyDescent="0.25">
      <c r="A6" s="220"/>
      <c r="B6" s="3"/>
      <c r="C6" s="3"/>
      <c r="D6" s="3"/>
      <c r="E6" s="3"/>
      <c r="F6" s="3"/>
      <c r="G6" s="3"/>
      <c r="H6" s="62"/>
      <c r="I6" s="62"/>
      <c r="J6" s="62"/>
      <c r="K6" s="62"/>
    </row>
    <row r="7" spans="1:11" s="99" customFormat="1" x14ac:dyDescent="0.25">
      <c r="A7" s="220"/>
      <c r="B7" s="3"/>
      <c r="C7" s="3"/>
      <c r="D7" s="3"/>
      <c r="E7" s="3"/>
      <c r="F7" s="3"/>
      <c r="G7" s="97" t="s">
        <v>152</v>
      </c>
      <c r="H7" s="98"/>
      <c r="I7" s="98"/>
      <c r="J7" s="98"/>
      <c r="K7" s="98"/>
    </row>
    <row r="8" spans="1:11" s="99" customFormat="1" x14ac:dyDescent="0.25">
      <c r="A8" s="220"/>
      <c r="B8" s="3"/>
      <c r="C8" s="3"/>
      <c r="D8" s="3"/>
      <c r="E8" s="3"/>
      <c r="F8" s="3"/>
      <c r="G8" s="97" t="s">
        <v>153</v>
      </c>
      <c r="H8" s="98"/>
      <c r="I8" s="98"/>
      <c r="J8" s="98"/>
      <c r="K8" s="98"/>
    </row>
    <row r="9" spans="1:11" s="99" customFormat="1" x14ac:dyDescent="0.25">
      <c r="A9" s="220"/>
      <c r="B9" s="3"/>
      <c r="C9" s="3"/>
      <c r="D9" s="3"/>
      <c r="E9" s="3"/>
      <c r="F9" s="3"/>
      <c r="G9" s="97"/>
      <c r="H9" s="98"/>
      <c r="I9" s="98"/>
      <c r="J9" s="98"/>
      <c r="K9" s="98"/>
    </row>
    <row r="10" spans="1:11" s="74" customFormat="1" x14ac:dyDescent="0.25">
      <c r="A10" s="220"/>
      <c r="B10" s="3"/>
      <c r="C10" s="3"/>
      <c r="D10" s="3"/>
      <c r="E10" s="3"/>
      <c r="F10" s="3"/>
      <c r="G10" s="3"/>
      <c r="H10" s="62"/>
      <c r="I10" s="62"/>
      <c r="J10" s="62"/>
      <c r="K10" s="62"/>
    </row>
    <row r="11" spans="1:11" x14ac:dyDescent="0.25">
      <c r="G11" s="95" t="s">
        <v>51</v>
      </c>
      <c r="H11" s="96" t="s">
        <v>10</v>
      </c>
      <c r="I11" s="96" t="s">
        <v>82</v>
      </c>
      <c r="J11" s="96" t="s">
        <v>29</v>
      </c>
      <c r="K11" s="96" t="s">
        <v>83</v>
      </c>
    </row>
    <row r="12" spans="1:11" hidden="1" x14ac:dyDescent="0.25">
      <c r="G12" s="14" t="s">
        <v>73</v>
      </c>
    </row>
    <row r="13" spans="1:11" hidden="1" x14ac:dyDescent="0.25">
      <c r="G13" s="14" t="s">
        <v>74</v>
      </c>
      <c r="H13" s="16">
        <v>2805</v>
      </c>
      <c r="I13" s="16">
        <v>34</v>
      </c>
      <c r="J13" s="16">
        <v>2772</v>
      </c>
      <c r="K13" s="16">
        <f t="shared" ref="K13:K26" si="0">H13</f>
        <v>2805</v>
      </c>
    </row>
    <row r="14" spans="1:11" hidden="1" x14ac:dyDescent="0.25">
      <c r="G14" s="14" t="s">
        <v>96</v>
      </c>
      <c r="H14" s="16">
        <v>2811</v>
      </c>
      <c r="I14" s="16">
        <v>35</v>
      </c>
      <c r="J14" s="16">
        <v>2755</v>
      </c>
      <c r="K14" s="16">
        <f t="shared" si="0"/>
        <v>2811</v>
      </c>
    </row>
    <row r="15" spans="1:11" hidden="1" x14ac:dyDescent="0.25">
      <c r="G15" s="14" t="s">
        <v>154</v>
      </c>
      <c r="H15" s="16">
        <v>2836</v>
      </c>
      <c r="I15" s="16">
        <v>36</v>
      </c>
      <c r="J15" s="16">
        <v>2742</v>
      </c>
      <c r="K15" s="16">
        <f t="shared" si="0"/>
        <v>2836</v>
      </c>
    </row>
    <row r="16" spans="1:11" hidden="1" x14ac:dyDescent="0.25">
      <c r="G16" s="14" t="s">
        <v>156</v>
      </c>
      <c r="H16" s="16">
        <v>2829</v>
      </c>
      <c r="I16" s="16">
        <v>36</v>
      </c>
      <c r="J16" s="16">
        <v>2724</v>
      </c>
      <c r="K16" s="16">
        <f t="shared" si="0"/>
        <v>2829</v>
      </c>
    </row>
    <row r="17" spans="7:12" hidden="1" x14ac:dyDescent="0.25">
      <c r="G17" s="14" t="s">
        <v>158</v>
      </c>
      <c r="H17" s="16">
        <v>2234</v>
      </c>
      <c r="I17" s="16">
        <v>36</v>
      </c>
      <c r="J17" s="16">
        <v>2104</v>
      </c>
      <c r="K17" s="16">
        <f t="shared" si="0"/>
        <v>2234</v>
      </c>
      <c r="L17" t="s">
        <v>174</v>
      </c>
    </row>
    <row r="18" spans="7:12" hidden="1" x14ac:dyDescent="0.25">
      <c r="G18" s="14" t="s">
        <v>171</v>
      </c>
      <c r="H18" s="16">
        <v>2262</v>
      </c>
      <c r="I18" s="16">
        <v>11</v>
      </c>
      <c r="J18" s="16">
        <v>2092</v>
      </c>
      <c r="K18" s="16">
        <f t="shared" si="0"/>
        <v>2262</v>
      </c>
    </row>
    <row r="19" spans="7:12" hidden="1" x14ac:dyDescent="0.25">
      <c r="G19" s="14" t="s">
        <v>173</v>
      </c>
      <c r="H19" s="16">
        <v>2261</v>
      </c>
      <c r="I19" s="16">
        <v>11</v>
      </c>
      <c r="J19" s="16">
        <v>2070</v>
      </c>
      <c r="K19" s="16">
        <f t="shared" si="0"/>
        <v>2261</v>
      </c>
    </row>
    <row r="20" spans="7:12" hidden="1" x14ac:dyDescent="0.25">
      <c r="G20" s="14" t="s">
        <v>175</v>
      </c>
      <c r="H20" s="16">
        <v>2285</v>
      </c>
      <c r="I20" s="16">
        <v>11</v>
      </c>
      <c r="J20" s="16">
        <v>2064</v>
      </c>
      <c r="K20" s="16">
        <f t="shared" si="0"/>
        <v>2285</v>
      </c>
    </row>
    <row r="21" spans="7:12" hidden="1" x14ac:dyDescent="0.25">
      <c r="G21" s="14" t="s">
        <v>176</v>
      </c>
      <c r="H21" s="16">
        <v>2300</v>
      </c>
      <c r="I21" s="16">
        <v>11</v>
      </c>
      <c r="J21" s="16">
        <v>2063</v>
      </c>
      <c r="K21" s="16">
        <f t="shared" si="0"/>
        <v>2300</v>
      </c>
    </row>
    <row r="22" spans="7:12" hidden="1" x14ac:dyDescent="0.25">
      <c r="G22" s="14" t="s">
        <v>177</v>
      </c>
      <c r="H22" s="16">
        <v>2316</v>
      </c>
      <c r="I22" s="16">
        <v>11</v>
      </c>
      <c r="J22" s="16">
        <v>2061</v>
      </c>
      <c r="K22" s="16">
        <f t="shared" si="0"/>
        <v>2316</v>
      </c>
    </row>
    <row r="23" spans="7:12" hidden="1" x14ac:dyDescent="0.25">
      <c r="G23" s="14" t="s">
        <v>186</v>
      </c>
      <c r="H23" s="16">
        <v>2344</v>
      </c>
      <c r="I23" s="16">
        <v>11</v>
      </c>
      <c r="J23" s="16">
        <v>2052</v>
      </c>
      <c r="K23" s="16">
        <f t="shared" si="0"/>
        <v>2344</v>
      </c>
    </row>
    <row r="24" spans="7:12" hidden="1" x14ac:dyDescent="0.25">
      <c r="G24" s="14" t="s">
        <v>191</v>
      </c>
      <c r="H24" s="16">
        <v>2353</v>
      </c>
      <c r="I24" s="16">
        <v>10</v>
      </c>
      <c r="J24" s="16">
        <v>2047</v>
      </c>
      <c r="K24" s="16">
        <f t="shared" si="0"/>
        <v>2353</v>
      </c>
    </row>
    <row r="25" spans="7:12" hidden="1" x14ac:dyDescent="0.25">
      <c r="G25" s="14" t="s">
        <v>200</v>
      </c>
      <c r="H25" s="16">
        <v>2366</v>
      </c>
      <c r="I25" s="16">
        <v>11</v>
      </c>
      <c r="J25" s="16">
        <v>2039</v>
      </c>
      <c r="K25" s="16">
        <f t="shared" si="0"/>
        <v>2366</v>
      </c>
    </row>
    <row r="26" spans="7:12" hidden="1" x14ac:dyDescent="0.25">
      <c r="G26" s="14" t="s">
        <v>202</v>
      </c>
      <c r="H26" s="16">
        <v>2374</v>
      </c>
      <c r="I26" s="16">
        <v>11</v>
      </c>
      <c r="J26" s="16">
        <v>2039</v>
      </c>
      <c r="K26" s="16">
        <f t="shared" si="0"/>
        <v>2374</v>
      </c>
    </row>
    <row r="27" spans="7:12" hidden="1" x14ac:dyDescent="0.25">
      <c r="G27" s="14" t="s">
        <v>205</v>
      </c>
      <c r="H27" s="16">
        <v>2394</v>
      </c>
      <c r="I27" s="16">
        <v>11</v>
      </c>
      <c r="J27" s="16">
        <v>2038</v>
      </c>
      <c r="K27" s="16">
        <f t="shared" ref="K27" si="1">H27</f>
        <v>2394</v>
      </c>
    </row>
    <row r="28" spans="7:12" hidden="1" x14ac:dyDescent="0.25">
      <c r="G28" s="14" t="s">
        <v>209</v>
      </c>
      <c r="H28" s="16">
        <v>2390</v>
      </c>
      <c r="I28" s="16">
        <v>11</v>
      </c>
      <c r="J28" s="16">
        <v>2030</v>
      </c>
      <c r="K28" s="16">
        <f>H28</f>
        <v>2390</v>
      </c>
    </row>
    <row r="29" spans="7:12" hidden="1" x14ac:dyDescent="0.25">
      <c r="G29" s="14" t="s">
        <v>210</v>
      </c>
      <c r="H29" s="16">
        <v>2399</v>
      </c>
      <c r="I29" s="16">
        <v>11</v>
      </c>
      <c r="J29" s="16">
        <v>2014</v>
      </c>
      <c r="K29" s="16">
        <f t="shared" ref="K29:K30" si="2">H29</f>
        <v>2399</v>
      </c>
    </row>
    <row r="30" spans="7:12" hidden="1" x14ac:dyDescent="0.25">
      <c r="G30" s="14" t="s">
        <v>213</v>
      </c>
      <c r="H30" s="16">
        <v>2420</v>
      </c>
      <c r="I30" s="16">
        <v>11</v>
      </c>
      <c r="J30" s="16">
        <v>2017</v>
      </c>
      <c r="K30" s="16">
        <f t="shared" si="2"/>
        <v>2420</v>
      </c>
    </row>
    <row r="31" spans="7:12" hidden="1" x14ac:dyDescent="0.25">
      <c r="G31" s="14" t="s">
        <v>221</v>
      </c>
      <c r="H31" s="16">
        <v>2425</v>
      </c>
      <c r="I31" s="16">
        <v>11</v>
      </c>
      <c r="J31" s="16">
        <v>2010</v>
      </c>
      <c r="K31" s="16">
        <v>2425</v>
      </c>
    </row>
    <row r="32" spans="7:12" hidden="1" x14ac:dyDescent="0.25">
      <c r="G32" s="14" t="s">
        <v>282</v>
      </c>
      <c r="H32" s="16">
        <v>2419</v>
      </c>
      <c r="I32" s="16">
        <v>11</v>
      </c>
      <c r="J32" s="141">
        <v>1998</v>
      </c>
      <c r="K32" s="16">
        <v>2419</v>
      </c>
    </row>
    <row r="33" spans="7:11" hidden="1" x14ac:dyDescent="0.25">
      <c r="G33" s="14" t="s">
        <v>286</v>
      </c>
      <c r="H33" s="16">
        <v>2448</v>
      </c>
      <c r="I33" s="16">
        <v>11</v>
      </c>
      <c r="J33" s="141">
        <v>1998</v>
      </c>
      <c r="K33" s="16">
        <v>2448</v>
      </c>
    </row>
    <row r="34" spans="7:11" hidden="1" x14ac:dyDescent="0.25">
      <c r="G34" s="14" t="s">
        <v>287</v>
      </c>
      <c r="H34" s="16">
        <v>2479</v>
      </c>
      <c r="I34" s="16">
        <v>11</v>
      </c>
      <c r="J34" s="141">
        <v>1997</v>
      </c>
      <c r="K34" s="16">
        <v>2479</v>
      </c>
    </row>
    <row r="35" spans="7:11" hidden="1" x14ac:dyDescent="0.25">
      <c r="G35" s="14" t="s">
        <v>288</v>
      </c>
      <c r="H35" s="16">
        <v>2502</v>
      </c>
      <c r="I35" s="16">
        <v>11</v>
      </c>
      <c r="J35" s="141">
        <v>1998</v>
      </c>
      <c r="K35" s="16">
        <v>2502</v>
      </c>
    </row>
    <row r="36" spans="7:11" x14ac:dyDescent="0.25">
      <c r="G36" s="14" t="s">
        <v>291</v>
      </c>
      <c r="H36" s="16">
        <v>2519</v>
      </c>
      <c r="I36" s="16">
        <v>11</v>
      </c>
      <c r="J36" s="141">
        <v>2002</v>
      </c>
      <c r="K36" s="16">
        <v>2519</v>
      </c>
    </row>
    <row r="37" spans="7:11" x14ac:dyDescent="0.25">
      <c r="G37" s="14" t="s">
        <v>292</v>
      </c>
      <c r="H37" s="16">
        <v>2536</v>
      </c>
      <c r="I37" s="16">
        <v>11</v>
      </c>
      <c r="J37" s="141">
        <v>2000</v>
      </c>
      <c r="K37" s="16">
        <v>2536</v>
      </c>
    </row>
    <row r="38" spans="7:11" x14ac:dyDescent="0.25">
      <c r="G38" s="14" t="s">
        <v>294</v>
      </c>
      <c r="H38" s="16">
        <v>2539</v>
      </c>
      <c r="I38" s="16">
        <v>11</v>
      </c>
      <c r="J38" s="141">
        <v>1992</v>
      </c>
      <c r="K38" s="16">
        <v>2539</v>
      </c>
    </row>
    <row r="39" spans="7:11" x14ac:dyDescent="0.25">
      <c r="G39" s="14" t="s">
        <v>297</v>
      </c>
      <c r="H39" s="16">
        <f>2550</f>
        <v>2550</v>
      </c>
      <c r="I39" s="16">
        <f>9</f>
        <v>9</v>
      </c>
      <c r="J39" s="16">
        <f>1985</f>
        <v>1985</v>
      </c>
      <c r="K39" s="16">
        <f>2550</f>
        <v>2550</v>
      </c>
    </row>
    <row r="40" spans="7:11" x14ac:dyDescent="0.25">
      <c r="G40" s="14" t="s">
        <v>299</v>
      </c>
      <c r="H40" s="16">
        <v>2547</v>
      </c>
      <c r="I40" s="16">
        <v>9</v>
      </c>
      <c r="J40" s="16">
        <v>1977</v>
      </c>
      <c r="K40" s="16">
        <v>2547</v>
      </c>
    </row>
    <row r="41" spans="7:11" x14ac:dyDescent="0.25">
      <c r="G41" s="14" t="s">
        <v>300</v>
      </c>
      <c r="H41" s="16">
        <v>2531</v>
      </c>
      <c r="I41" s="16">
        <v>8</v>
      </c>
      <c r="J41" s="141">
        <v>1955</v>
      </c>
      <c r="K41" s="16">
        <v>2531</v>
      </c>
    </row>
    <row r="42" spans="7:11" x14ac:dyDescent="0.25">
      <c r="G42" s="14" t="s">
        <v>314</v>
      </c>
      <c r="H42" s="16">
        <v>2537</v>
      </c>
      <c r="I42" s="16">
        <v>8</v>
      </c>
      <c r="J42" s="141">
        <v>1947</v>
      </c>
      <c r="K42" s="16">
        <v>2537</v>
      </c>
    </row>
    <row r="43" spans="7:11" x14ac:dyDescent="0.25">
      <c r="G43" s="14" t="s">
        <v>317</v>
      </c>
      <c r="H43" s="16">
        <v>2539</v>
      </c>
      <c r="I43" s="16">
        <v>8</v>
      </c>
      <c r="J43" s="141">
        <v>1938</v>
      </c>
      <c r="K43" s="16">
        <v>2539</v>
      </c>
    </row>
    <row r="44" spans="7:11" x14ac:dyDescent="0.25">
      <c r="G44" s="14" t="s">
        <v>318</v>
      </c>
      <c r="H44" s="16">
        <v>2540</v>
      </c>
      <c r="I44" s="16">
        <v>8</v>
      </c>
      <c r="J44" s="141">
        <v>1935</v>
      </c>
      <c r="K44" s="16">
        <v>2540</v>
      </c>
    </row>
    <row r="45" spans="7:11" x14ac:dyDescent="0.25">
      <c r="G45" s="14" t="s">
        <v>319</v>
      </c>
      <c r="H45" s="16">
        <v>2541</v>
      </c>
      <c r="I45" s="16">
        <v>8</v>
      </c>
      <c r="J45" s="141">
        <v>1924</v>
      </c>
      <c r="K45" s="16">
        <v>2541</v>
      </c>
    </row>
    <row r="46" spans="7:11" x14ac:dyDescent="0.25">
      <c r="G46" s="14" t="s">
        <v>327</v>
      </c>
      <c r="H46" s="16">
        <f>2554</f>
        <v>2554</v>
      </c>
      <c r="I46" s="16">
        <f>8</f>
        <v>8</v>
      </c>
      <c r="J46" s="16">
        <f>1909</f>
        <v>1909</v>
      </c>
      <c r="K46" s="16">
        <f>2554</f>
        <v>2554</v>
      </c>
    </row>
    <row r="47" spans="7:11" x14ac:dyDescent="0.25">
      <c r="G47" s="14" t="s">
        <v>330</v>
      </c>
      <c r="H47" s="16">
        <v>2554</v>
      </c>
      <c r="I47" s="16">
        <f>8</f>
        <v>8</v>
      </c>
      <c r="J47" s="16">
        <f>1906</f>
        <v>1906</v>
      </c>
      <c r="K47" s="16">
        <v>2554</v>
      </c>
    </row>
    <row r="48" spans="7:11" x14ac:dyDescent="0.25">
      <c r="G48" s="14" t="s">
        <v>365</v>
      </c>
      <c r="H48" s="16">
        <f>2554</f>
        <v>2554</v>
      </c>
      <c r="I48" s="16">
        <f>0</f>
        <v>0</v>
      </c>
      <c r="J48" s="16">
        <f>1900</f>
        <v>1900</v>
      </c>
      <c r="K48" s="16">
        <f>2554</f>
        <v>2554</v>
      </c>
    </row>
    <row r="49" spans="7:11" x14ac:dyDescent="0.25">
      <c r="G49" s="14" t="s">
        <v>366</v>
      </c>
      <c r="H49" s="16">
        <f>2527</f>
        <v>2527</v>
      </c>
      <c r="I49" s="16">
        <f>0</f>
        <v>0</v>
      </c>
      <c r="J49" s="16">
        <f>1900</f>
        <v>1900</v>
      </c>
      <c r="K49" s="16">
        <f>2527</f>
        <v>2527</v>
      </c>
    </row>
  </sheetData>
  <pageMargins left="0.7" right="0.7" top="0.75" bottom="0.75" header="0.3" footer="0.3"/>
  <pageSetup orientation="portrait" r:id="rId1"/>
  <drawing r:id="rId2"/>
  <legacyDrawing r:id="rId3"/>
  <controls>
    <mc:AlternateContent xmlns:mc="http://schemas.openxmlformats.org/markup-compatibility/2006">
      <mc:Choice Requires="x14">
        <control shapeId="21505" r:id="rId4" name="bStartHere_back2">
          <controlPr defaultSize="0" autoLine="0" r:id="rId5">
            <anchor moveWithCells="1">
              <from>
                <xdr:col>0</xdr:col>
                <xdr:colOff>104775</xdr:colOff>
                <xdr:row>0</xdr:row>
                <xdr:rowOff>76200</xdr:rowOff>
              </from>
              <to>
                <xdr:col>0</xdr:col>
                <xdr:colOff>1190625</xdr:colOff>
                <xdr:row>1</xdr:row>
                <xdr:rowOff>219075</xdr:rowOff>
              </to>
            </anchor>
          </controlPr>
        </control>
      </mc:Choice>
      <mc:Fallback>
        <control shapeId="21505" r:id="rId4" name="bStartHere_back2"/>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6">
    <tabColor rgb="FF00B050"/>
  </sheetPr>
  <dimension ref="B3:I23"/>
  <sheetViews>
    <sheetView topLeftCell="A7" workbookViewId="0">
      <selection activeCell="C16" sqref="C16:D18"/>
    </sheetView>
  </sheetViews>
  <sheetFormatPr defaultColWidth="8.85546875" defaultRowHeight="15" x14ac:dyDescent="0.25"/>
  <cols>
    <col min="1" max="1" width="8.85546875" style="158"/>
    <col min="2" max="2" width="15.28515625" style="158" customWidth="1"/>
    <col min="3" max="4" width="8.85546875" style="158"/>
    <col min="5" max="5" width="16.28515625" style="158" customWidth="1"/>
    <col min="6" max="6" width="15.140625" style="158" customWidth="1"/>
    <col min="7" max="7" width="11.42578125" style="158" customWidth="1"/>
    <col min="8" max="8" width="9.5703125" style="158" customWidth="1"/>
    <col min="9" max="9" width="13.5703125" style="158" customWidth="1"/>
    <col min="10" max="16384" width="8.85546875" style="158"/>
  </cols>
  <sheetData>
    <row r="3" spans="2:9" ht="18.75" x14ac:dyDescent="0.3">
      <c r="B3" s="359" t="s">
        <v>353</v>
      </c>
      <c r="C3" s="359"/>
      <c r="D3" s="359"/>
      <c r="E3" s="359"/>
      <c r="F3" s="359"/>
      <c r="G3" s="359"/>
      <c r="H3" s="359"/>
      <c r="I3" s="359"/>
    </row>
    <row r="4" spans="2:9" x14ac:dyDescent="0.25">
      <c r="B4" s="287" t="s">
        <v>354</v>
      </c>
    </row>
    <row r="6" spans="2:9" ht="15.75" thickBot="1" x14ac:dyDescent="0.3">
      <c r="B6" s="287" t="s">
        <v>350</v>
      </c>
      <c r="F6" s="287" t="s">
        <v>355</v>
      </c>
    </row>
    <row r="7" spans="2:9" ht="16.5" thickBot="1" x14ac:dyDescent="0.3">
      <c r="B7" s="288" t="s">
        <v>253</v>
      </c>
      <c r="C7" s="288" t="s">
        <v>351</v>
      </c>
      <c r="F7" s="288" t="s">
        <v>91</v>
      </c>
      <c r="G7" s="288" t="s">
        <v>351</v>
      </c>
      <c r="H7" s="288" t="s">
        <v>356</v>
      </c>
      <c r="I7" s="288" t="s">
        <v>357</v>
      </c>
    </row>
    <row r="8" spans="2:9" ht="17.25" thickTop="1" thickBot="1" x14ac:dyDescent="0.3">
      <c r="B8" s="289" t="s">
        <v>10</v>
      </c>
      <c r="C8" s="290">
        <f>'User Counts'!F2</f>
        <v>2527</v>
      </c>
      <c r="F8" s="289" t="s">
        <v>49</v>
      </c>
      <c r="G8" s="313">
        <f>'Insight Tickets table'!D7</f>
        <v>0</v>
      </c>
      <c r="H8" s="297">
        <f>'Insight Tickets table'!H7</f>
        <v>1</v>
      </c>
      <c r="I8" s="297">
        <f>'Insight Tickets table'!F7</f>
        <v>1</v>
      </c>
    </row>
    <row r="9" spans="2:9" ht="16.5" thickBot="1" x14ac:dyDescent="0.3">
      <c r="B9" s="291" t="s">
        <v>82</v>
      </c>
      <c r="C9" s="292">
        <f>'User Counts'!F3</f>
        <v>0</v>
      </c>
      <c r="F9" s="291" t="s">
        <v>50</v>
      </c>
      <c r="G9" s="314">
        <f>'Insight Tickets table'!D8</f>
        <v>0</v>
      </c>
      <c r="H9" s="299">
        <f>'Insight Tickets table'!H8</f>
        <v>1</v>
      </c>
      <c r="I9" s="299">
        <f>'Insight Tickets table'!F8</f>
        <v>1</v>
      </c>
    </row>
    <row r="10" spans="2:9" ht="16.5" thickBot="1" x14ac:dyDescent="0.3">
      <c r="B10" s="293" t="s">
        <v>29</v>
      </c>
      <c r="C10" s="294">
        <f>'User Counts'!F4</f>
        <v>1900</v>
      </c>
      <c r="F10" s="293" t="s">
        <v>262</v>
      </c>
      <c r="G10" s="315">
        <f>'Insight Tickets table'!D9</f>
        <v>2</v>
      </c>
      <c r="H10" s="301">
        <f>'Insight Tickets table'!H9</f>
        <v>1</v>
      </c>
      <c r="I10" s="301">
        <f>'Insight Tickets table'!F9</f>
        <v>1</v>
      </c>
    </row>
    <row r="11" spans="2:9" ht="16.5" thickBot="1" x14ac:dyDescent="0.3">
      <c r="B11" s="291" t="s">
        <v>352</v>
      </c>
      <c r="C11" s="295">
        <f>'User Counts'!F5</f>
        <v>2527</v>
      </c>
      <c r="F11" s="302" t="s">
        <v>265</v>
      </c>
      <c r="G11" s="316">
        <f>'Insight Tickets table'!D10</f>
        <v>7</v>
      </c>
      <c r="H11" s="303">
        <f>'Insight Tickets table'!H10</f>
        <v>1</v>
      </c>
      <c r="I11" s="303">
        <f>'Insight Tickets table'!F10</f>
        <v>1</v>
      </c>
    </row>
    <row r="12" spans="2:9" ht="16.5" thickBot="1" x14ac:dyDescent="0.3">
      <c r="F12" s="304" t="s">
        <v>70</v>
      </c>
      <c r="G12" s="317">
        <f>'Insight Tickets table'!D5</f>
        <v>9</v>
      </c>
      <c r="H12" s="305">
        <f>'Insight Tickets table'!H5</f>
        <v>1</v>
      </c>
      <c r="I12" s="305">
        <f>'Insight Tickets table'!F5</f>
        <v>1</v>
      </c>
    </row>
    <row r="14" spans="2:9" ht="15.75" thickBot="1" x14ac:dyDescent="0.3">
      <c r="B14" s="287" t="s">
        <v>72</v>
      </c>
    </row>
    <row r="15" spans="2:9" ht="16.5" thickBot="1" x14ac:dyDescent="0.3">
      <c r="B15" s="288" t="s">
        <v>253</v>
      </c>
      <c r="C15" s="288" t="s">
        <v>64</v>
      </c>
      <c r="D15" s="288" t="s">
        <v>358</v>
      </c>
      <c r="E15" s="288" t="s">
        <v>359</v>
      </c>
    </row>
    <row r="16" spans="2:9" ht="24.75" thickTop="1" thickBot="1" x14ac:dyDescent="0.3">
      <c r="B16" s="289" t="s">
        <v>10</v>
      </c>
      <c r="C16" s="306">
        <v>1</v>
      </c>
      <c r="D16" s="307">
        <v>0</v>
      </c>
      <c r="E16" s="296"/>
    </row>
    <row r="17" spans="2:5" ht="24" thickBot="1" x14ac:dyDescent="0.3">
      <c r="B17" s="291" t="s">
        <v>82</v>
      </c>
      <c r="C17" s="308">
        <v>1</v>
      </c>
      <c r="D17" s="309">
        <v>0</v>
      </c>
      <c r="E17" s="298"/>
    </row>
    <row r="18" spans="2:5" ht="24" thickBot="1" x14ac:dyDescent="0.3">
      <c r="B18" s="293" t="s">
        <v>83</v>
      </c>
      <c r="C18" s="310">
        <v>1</v>
      </c>
      <c r="D18" s="311">
        <v>0</v>
      </c>
      <c r="E18" s="300"/>
    </row>
    <row r="21" spans="2:5" ht="15.75" thickBot="1" x14ac:dyDescent="0.3">
      <c r="B21" s="287" t="s">
        <v>360</v>
      </c>
    </row>
    <row r="22" spans="2:5" ht="15.75" thickBot="1" x14ac:dyDescent="0.3">
      <c r="B22" s="312" t="s">
        <v>361</v>
      </c>
      <c r="C22" s="312" t="s">
        <v>362</v>
      </c>
      <c r="D22" s="312" t="s">
        <v>363</v>
      </c>
      <c r="E22" s="312" t="s">
        <v>364</v>
      </c>
    </row>
    <row r="23" spans="2:5" ht="24.75" thickTop="1" thickBot="1" x14ac:dyDescent="0.3">
      <c r="B23" s="296"/>
      <c r="C23" s="296"/>
      <c r="D23" s="296"/>
      <c r="E23" s="296"/>
    </row>
  </sheetData>
  <mergeCells count="1">
    <mergeCell ref="B3:I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rgb="FF00B050"/>
  </sheetPr>
  <dimension ref="A1:AN25"/>
  <sheetViews>
    <sheetView zoomScale="98" zoomScaleNormal="98" workbookViewId="0">
      <pane xSplit="2" topLeftCell="X1" activePane="topRight" state="frozen"/>
      <selection activeCell="B31" sqref="B31"/>
      <selection pane="topRight" activeCell="AN26" sqref="AN26"/>
    </sheetView>
  </sheetViews>
  <sheetFormatPr defaultRowHeight="15" x14ac:dyDescent="0.25"/>
  <cols>
    <col min="1" max="1" width="19" style="220" customWidth="1"/>
    <col min="2" max="2" width="23.42578125" customWidth="1"/>
    <col min="3" max="3" width="12.85546875" style="74" customWidth="1"/>
    <col min="4" max="4" width="10.140625" hidden="1" customWidth="1"/>
    <col min="5" max="7" width="0" hidden="1" customWidth="1"/>
    <col min="8" max="8" width="9.140625" hidden="1" customWidth="1"/>
    <col min="9" max="9" width="0" hidden="1" customWidth="1"/>
    <col min="10" max="10" width="9.140625" hidden="1" customWidth="1"/>
    <col min="12" max="12" width="8.140625" bestFit="1" customWidth="1"/>
    <col min="16" max="20" width="0" hidden="1" customWidth="1"/>
    <col min="21" max="21" width="10" hidden="1" customWidth="1"/>
    <col min="23" max="30" width="8.85546875" customWidth="1"/>
  </cols>
  <sheetData>
    <row r="1" spans="1:40" s="74" customFormat="1" x14ac:dyDescent="0.25">
      <c r="A1" s="220"/>
    </row>
    <row r="2" spans="1:40" s="74" customFormat="1" x14ac:dyDescent="0.25">
      <c r="A2" s="220"/>
    </row>
    <row r="3" spans="1:40" s="74" customFormat="1" ht="15.75" thickBot="1" x14ac:dyDescent="0.3">
      <c r="A3" s="220"/>
    </row>
    <row r="4" spans="1:40" ht="18.75" x14ac:dyDescent="0.3">
      <c r="B4" s="19" t="s">
        <v>72</v>
      </c>
      <c r="C4" s="134"/>
      <c r="D4" s="134"/>
      <c r="E4" s="134"/>
      <c r="F4" s="134"/>
      <c r="G4" s="134"/>
      <c r="H4" s="134"/>
      <c r="I4" s="134"/>
      <c r="J4" s="134"/>
      <c r="K4" s="134"/>
      <c r="L4" s="134"/>
      <c r="M4" s="134"/>
      <c r="N4" s="128"/>
      <c r="O4" s="360" t="s">
        <v>76</v>
      </c>
      <c r="P4" s="360"/>
      <c r="Q4" s="360"/>
      <c r="R4" s="360"/>
      <c r="S4" s="360"/>
      <c r="T4" s="360"/>
      <c r="U4" s="360"/>
      <c r="V4" s="360"/>
      <c r="W4" s="361"/>
    </row>
    <row r="5" spans="1:40" ht="15.75" thickBot="1" x14ac:dyDescent="0.3">
      <c r="B5" s="20"/>
      <c r="C5" s="129"/>
      <c r="D5" s="129"/>
      <c r="E5" s="129"/>
      <c r="F5" s="129"/>
      <c r="G5" s="129"/>
      <c r="H5" s="129"/>
      <c r="I5" s="129"/>
      <c r="J5" s="129"/>
      <c r="K5" s="129"/>
      <c r="L5" s="129"/>
      <c r="M5" s="129"/>
      <c r="N5" s="129"/>
      <c r="O5" s="362" t="s">
        <v>77</v>
      </c>
      <c r="P5" s="362"/>
      <c r="Q5" s="362"/>
      <c r="R5" s="362"/>
      <c r="S5" s="362"/>
      <c r="T5" s="362"/>
      <c r="U5" s="362"/>
      <c r="V5" s="362"/>
      <c r="W5" s="363"/>
    </row>
    <row r="6" spans="1:40" ht="15.75" thickBot="1" x14ac:dyDescent="0.3">
      <c r="B6" s="22"/>
      <c r="C6" s="134"/>
      <c r="D6" s="134"/>
      <c r="E6" s="134"/>
      <c r="F6" s="134"/>
      <c r="G6" s="134"/>
      <c r="H6" s="134"/>
      <c r="I6" s="134"/>
      <c r="J6" s="134"/>
      <c r="K6" s="134"/>
      <c r="L6" s="134"/>
      <c r="M6" s="134"/>
      <c r="N6" s="22"/>
      <c r="O6" s="131"/>
      <c r="P6" s="131"/>
      <c r="Q6" s="131"/>
      <c r="R6" s="131"/>
      <c r="S6" s="131"/>
      <c r="T6" s="131"/>
      <c r="U6" s="131"/>
      <c r="V6" s="131"/>
      <c r="W6" s="131"/>
    </row>
    <row r="7" spans="1:40" ht="15.75" thickBot="1" x14ac:dyDescent="0.3">
      <c r="B7" s="22" t="s">
        <v>79</v>
      </c>
      <c r="C7" s="134"/>
      <c r="D7" s="134"/>
      <c r="E7" s="134"/>
      <c r="F7" s="134"/>
      <c r="G7" s="134"/>
      <c r="H7" s="134"/>
      <c r="I7" s="134"/>
      <c r="J7" s="134"/>
      <c r="K7" s="134"/>
      <c r="L7" s="134"/>
      <c r="M7" s="134"/>
      <c r="N7" s="22"/>
      <c r="O7" s="23">
        <v>43200</v>
      </c>
      <c r="P7" s="364" t="s">
        <v>78</v>
      </c>
      <c r="Q7" s="365"/>
      <c r="R7" s="365"/>
      <c r="S7" s="365"/>
      <c r="T7" s="131"/>
      <c r="U7" s="131"/>
      <c r="V7" s="131"/>
      <c r="W7" s="131"/>
    </row>
    <row r="9" spans="1:40" s="21" customFormat="1" ht="15.75" thickBot="1" x14ac:dyDescent="0.3">
      <c r="A9" s="220"/>
      <c r="D9" s="21" t="s">
        <v>73</v>
      </c>
      <c r="E9" s="21" t="s">
        <v>74</v>
      </c>
      <c r="F9" s="21" t="s">
        <v>96</v>
      </c>
      <c r="G9" s="21" t="s">
        <v>154</v>
      </c>
      <c r="H9" s="21" t="s">
        <v>156</v>
      </c>
      <c r="I9" s="21" t="s">
        <v>158</v>
      </c>
      <c r="J9" s="21" t="s">
        <v>171</v>
      </c>
      <c r="K9" s="21" t="s">
        <v>173</v>
      </c>
      <c r="L9" s="21" t="s">
        <v>175</v>
      </c>
      <c r="M9" s="21" t="s">
        <v>176</v>
      </c>
      <c r="N9" s="21" t="s">
        <v>177</v>
      </c>
      <c r="O9" s="21" t="s">
        <v>190</v>
      </c>
      <c r="P9" s="21" t="s">
        <v>192</v>
      </c>
      <c r="Q9" s="21" t="s">
        <v>200</v>
      </c>
      <c r="R9" s="21" t="s">
        <v>202</v>
      </c>
      <c r="S9" s="21" t="s">
        <v>212</v>
      </c>
      <c r="T9" s="21" t="s">
        <v>209</v>
      </c>
      <c r="U9" s="21" t="s">
        <v>214</v>
      </c>
      <c r="V9" s="21" t="s">
        <v>213</v>
      </c>
      <c r="W9" s="21" t="s">
        <v>284</v>
      </c>
      <c r="X9" s="21" t="s">
        <v>282</v>
      </c>
      <c r="Y9" s="21" t="s">
        <v>286</v>
      </c>
      <c r="Z9" s="21" t="s">
        <v>287</v>
      </c>
      <c r="AA9" s="21" t="s">
        <v>288</v>
      </c>
      <c r="AB9" s="21" t="s">
        <v>291</v>
      </c>
      <c r="AC9" s="21" t="s">
        <v>292</v>
      </c>
      <c r="AD9" s="21" t="s">
        <v>294</v>
      </c>
      <c r="AE9" s="21" t="s">
        <v>297</v>
      </c>
      <c r="AF9" s="21" t="s">
        <v>299</v>
      </c>
      <c r="AG9" s="21" t="s">
        <v>300</v>
      </c>
      <c r="AH9" s="21" t="s">
        <v>314</v>
      </c>
      <c r="AI9" s="21" t="s">
        <v>317</v>
      </c>
      <c r="AJ9" s="21" t="s">
        <v>318</v>
      </c>
      <c r="AK9" s="21" t="s">
        <v>320</v>
      </c>
      <c r="AL9" s="21" t="s">
        <v>327</v>
      </c>
      <c r="AM9" s="21" t="s">
        <v>330</v>
      </c>
      <c r="AN9" s="21" t="s">
        <v>365</v>
      </c>
    </row>
    <row r="10" spans="1:40" s="25" customFormat="1" x14ac:dyDescent="0.25">
      <c r="A10" s="220"/>
      <c r="B10" s="26" t="s">
        <v>86</v>
      </c>
      <c r="D10" s="25">
        <f t="shared" ref="D10:O10" si="0">(((D11*$O$7) - (D12*D13)))/(D11*$O$7)</f>
        <v>1</v>
      </c>
      <c r="E10" s="25">
        <f t="shared" si="0"/>
        <v>1</v>
      </c>
      <c r="F10" s="25">
        <f t="shared" si="0"/>
        <v>1</v>
      </c>
      <c r="G10" s="25">
        <f t="shared" si="0"/>
        <v>1</v>
      </c>
      <c r="H10" s="25">
        <f t="shared" si="0"/>
        <v>1</v>
      </c>
      <c r="I10" s="25">
        <f t="shared" si="0"/>
        <v>1</v>
      </c>
      <c r="J10" s="25">
        <f t="shared" si="0"/>
        <v>1</v>
      </c>
      <c r="K10" s="25">
        <f t="shared" si="0"/>
        <v>1</v>
      </c>
      <c r="L10" s="25">
        <f t="shared" si="0"/>
        <v>1</v>
      </c>
      <c r="M10" s="25">
        <f t="shared" si="0"/>
        <v>1</v>
      </c>
      <c r="N10" s="25">
        <f t="shared" si="0"/>
        <v>1</v>
      </c>
      <c r="O10" s="25">
        <f t="shared" si="0"/>
        <v>1</v>
      </c>
      <c r="P10" s="25">
        <f t="shared" ref="P10" si="1">(((P11*$O$7) - (P12*P13)))/(P11*$O$7)</f>
        <v>0.99777777777777776</v>
      </c>
      <c r="Q10" s="25">
        <f t="shared" ref="Q10:AN10" si="2">(((Q11*$O$7) - (Q12*Q13)))/(Q11*$O$7)</f>
        <v>1</v>
      </c>
      <c r="R10" s="25">
        <f t="shared" si="2"/>
        <v>0.99845055346700085</v>
      </c>
      <c r="S10" s="25">
        <f t="shared" si="2"/>
        <v>1</v>
      </c>
      <c r="T10" s="25">
        <f t="shared" si="2"/>
        <v>0.99940972222222224</v>
      </c>
      <c r="U10" s="25">
        <f t="shared" si="2"/>
        <v>1</v>
      </c>
      <c r="V10" s="25">
        <f t="shared" si="2"/>
        <v>1</v>
      </c>
      <c r="W10" s="25">
        <f t="shared" si="2"/>
        <v>1</v>
      </c>
      <c r="X10" s="25">
        <f t="shared" si="2"/>
        <v>1</v>
      </c>
      <c r="Y10" s="25">
        <f t="shared" si="2"/>
        <v>1</v>
      </c>
      <c r="Z10" s="25">
        <f t="shared" si="2"/>
        <v>1</v>
      </c>
      <c r="AA10" s="25">
        <f t="shared" si="2"/>
        <v>1</v>
      </c>
      <c r="AB10" s="25">
        <f t="shared" si="2"/>
        <v>1</v>
      </c>
      <c r="AC10" s="25">
        <f t="shared" si="2"/>
        <v>1</v>
      </c>
      <c r="AD10" s="25">
        <f t="shared" si="2"/>
        <v>1</v>
      </c>
      <c r="AE10" s="25">
        <f t="shared" si="2"/>
        <v>1</v>
      </c>
      <c r="AF10" s="25">
        <f t="shared" si="2"/>
        <v>1</v>
      </c>
      <c r="AG10" s="25">
        <f t="shared" si="2"/>
        <v>1</v>
      </c>
      <c r="AH10" s="25">
        <f t="shared" si="2"/>
        <v>1</v>
      </c>
      <c r="AI10" s="25">
        <f t="shared" si="2"/>
        <v>1</v>
      </c>
      <c r="AJ10" s="25">
        <f t="shared" si="2"/>
        <v>1</v>
      </c>
      <c r="AK10" s="25">
        <f t="shared" si="2"/>
        <v>1</v>
      </c>
      <c r="AL10" s="25">
        <f t="shared" si="2"/>
        <v>1</v>
      </c>
      <c r="AM10" s="25">
        <f t="shared" si="2"/>
        <v>1</v>
      </c>
      <c r="AN10" s="25">
        <f t="shared" si="2"/>
        <v>1</v>
      </c>
    </row>
    <row r="11" spans="1:40" s="3" customFormat="1" x14ac:dyDescent="0.25">
      <c r="A11" s="220"/>
      <c r="B11" s="24" t="s">
        <v>75</v>
      </c>
      <c r="C11" s="130"/>
      <c r="D11" s="3">
        <v>2783</v>
      </c>
      <c r="E11" s="3">
        <v>2807</v>
      </c>
      <c r="F11" s="3">
        <v>2811</v>
      </c>
      <c r="G11" s="3">
        <v>2834</v>
      </c>
      <c r="H11" s="3">
        <v>2829</v>
      </c>
      <c r="I11" s="9">
        <v>2234</v>
      </c>
      <c r="J11" s="9">
        <v>2261</v>
      </c>
      <c r="K11" s="9">
        <v>2285</v>
      </c>
      <c r="L11" s="9">
        <v>2300</v>
      </c>
      <c r="M11" s="9">
        <v>2316</v>
      </c>
      <c r="N11" s="9">
        <v>2344</v>
      </c>
      <c r="O11" s="9">
        <v>2353</v>
      </c>
      <c r="P11" s="9">
        <v>2366</v>
      </c>
      <c r="Q11" s="9">
        <v>2374</v>
      </c>
      <c r="R11" s="62">
        <v>2394</v>
      </c>
      <c r="S11" s="133">
        <v>2390</v>
      </c>
      <c r="T11" s="133">
        <v>2390</v>
      </c>
      <c r="U11" s="153">
        <v>2420</v>
      </c>
      <c r="V11" s="3">
        <v>2425</v>
      </c>
      <c r="W11" s="3">
        <v>2419</v>
      </c>
      <c r="X11" s="3">
        <v>2448</v>
      </c>
      <c r="Y11" s="3">
        <v>2479</v>
      </c>
      <c r="Z11" s="3">
        <v>2502</v>
      </c>
      <c r="AA11" s="3">
        <f>'User Counts'!H36</f>
        <v>2519</v>
      </c>
      <c r="AB11" s="3">
        <v>2536</v>
      </c>
      <c r="AC11" s="3">
        <v>2539</v>
      </c>
      <c r="AD11" s="3">
        <f>2550</f>
        <v>2550</v>
      </c>
      <c r="AE11" s="3">
        <v>2547</v>
      </c>
      <c r="AF11" s="3">
        <v>2531</v>
      </c>
      <c r="AG11" s="3">
        <v>2537</v>
      </c>
      <c r="AH11" s="3">
        <v>2539</v>
      </c>
      <c r="AI11" s="3">
        <f>2540</f>
        <v>2540</v>
      </c>
      <c r="AJ11" s="3">
        <v>2541</v>
      </c>
      <c r="AK11" s="3">
        <f>2554</f>
        <v>2554</v>
      </c>
      <c r="AL11" s="3">
        <v>2554</v>
      </c>
      <c r="AM11" s="3">
        <f>2554</f>
        <v>2554</v>
      </c>
      <c r="AN11" s="3">
        <f>2527</f>
        <v>2527</v>
      </c>
    </row>
    <row r="12" spans="1:40" s="3" customFormat="1" x14ac:dyDescent="0.25">
      <c r="A12" s="220"/>
      <c r="B12" s="24" t="s">
        <v>80</v>
      </c>
      <c r="C12" s="130"/>
      <c r="D12" s="3">
        <v>0</v>
      </c>
      <c r="E12" s="3">
        <v>0</v>
      </c>
      <c r="F12" s="3">
        <v>0</v>
      </c>
      <c r="G12" s="3">
        <v>0</v>
      </c>
      <c r="H12" s="3">
        <v>0</v>
      </c>
      <c r="I12" s="9">
        <v>0</v>
      </c>
      <c r="J12" s="9">
        <v>0</v>
      </c>
      <c r="K12" s="9">
        <v>0</v>
      </c>
      <c r="L12" s="9">
        <v>0</v>
      </c>
      <c r="M12" s="9">
        <v>0</v>
      </c>
      <c r="N12" s="9">
        <v>0</v>
      </c>
      <c r="O12" s="9">
        <v>0</v>
      </c>
      <c r="P12" s="9">
        <v>2366</v>
      </c>
      <c r="Q12" s="9">
        <v>0</v>
      </c>
      <c r="R12" s="9">
        <v>1187</v>
      </c>
      <c r="S12" s="9">
        <v>0</v>
      </c>
      <c r="T12" s="9">
        <v>1195</v>
      </c>
      <c r="U12" s="3">
        <f>0</f>
        <v>0</v>
      </c>
      <c r="V12" s="3">
        <v>0</v>
      </c>
      <c r="W12" s="3">
        <f>0</f>
        <v>0</v>
      </c>
      <c r="X12" s="3">
        <f>0</f>
        <v>0</v>
      </c>
      <c r="Y12" s="3">
        <f>0</f>
        <v>0</v>
      </c>
      <c r="Z12" s="9">
        <f>0</f>
        <v>0</v>
      </c>
      <c r="AA12" s="9">
        <f>0</f>
        <v>0</v>
      </c>
      <c r="AB12" s="9">
        <v>0</v>
      </c>
      <c r="AC12" s="9">
        <f>0</f>
        <v>0</v>
      </c>
      <c r="AD12" s="9">
        <f>0</f>
        <v>0</v>
      </c>
      <c r="AE12" s="9">
        <f>0</f>
        <v>0</v>
      </c>
      <c r="AF12" s="9">
        <v>0</v>
      </c>
      <c r="AG12" s="3">
        <f>0</f>
        <v>0</v>
      </c>
      <c r="AH12" s="9">
        <f>0</f>
        <v>0</v>
      </c>
      <c r="AI12" s="9">
        <f>0</f>
        <v>0</v>
      </c>
      <c r="AJ12" s="9">
        <v>0</v>
      </c>
      <c r="AK12" s="3">
        <f>0</f>
        <v>0</v>
      </c>
      <c r="AL12" s="9">
        <f>0</f>
        <v>0</v>
      </c>
      <c r="AM12" s="9">
        <f>0</f>
        <v>0</v>
      </c>
      <c r="AN12" s="9">
        <f>0</f>
        <v>0</v>
      </c>
    </row>
    <row r="13" spans="1:40" s="3" customFormat="1" ht="15.75" thickBot="1" x14ac:dyDescent="0.3">
      <c r="A13" s="220"/>
      <c r="B13" s="24" t="s">
        <v>81</v>
      </c>
      <c r="C13" s="130"/>
      <c r="D13" s="3">
        <v>0</v>
      </c>
      <c r="E13" s="3">
        <v>0</v>
      </c>
      <c r="F13" s="9">
        <v>0</v>
      </c>
      <c r="G13" s="9">
        <v>0</v>
      </c>
      <c r="H13" s="9">
        <v>0</v>
      </c>
      <c r="I13" s="9">
        <v>0</v>
      </c>
      <c r="J13" s="9">
        <v>0</v>
      </c>
      <c r="K13" s="9">
        <v>0</v>
      </c>
      <c r="L13" s="9">
        <v>0</v>
      </c>
      <c r="M13" s="9">
        <v>0</v>
      </c>
      <c r="N13" s="9">
        <v>0</v>
      </c>
      <c r="O13" s="9">
        <v>0</v>
      </c>
      <c r="P13" s="9">
        <v>96</v>
      </c>
      <c r="Q13" s="9">
        <v>0</v>
      </c>
      <c r="R13" s="9">
        <v>135</v>
      </c>
      <c r="S13" s="9">
        <v>0</v>
      </c>
      <c r="T13" s="9">
        <v>51</v>
      </c>
      <c r="U13" s="3">
        <v>0</v>
      </c>
      <c r="V13" s="3">
        <f>0</f>
        <v>0</v>
      </c>
      <c r="W13" s="3">
        <f>0</f>
        <v>0</v>
      </c>
      <c r="X13" s="3">
        <f>0</f>
        <v>0</v>
      </c>
      <c r="Y13" s="3">
        <f>0</f>
        <v>0</v>
      </c>
      <c r="Z13" s="9">
        <f>0</f>
        <v>0</v>
      </c>
      <c r="AA13" s="9">
        <f>0</f>
        <v>0</v>
      </c>
      <c r="AB13" s="9">
        <v>0</v>
      </c>
      <c r="AC13" s="9">
        <f>0</f>
        <v>0</v>
      </c>
      <c r="AD13" s="9">
        <f>0</f>
        <v>0</v>
      </c>
      <c r="AE13" s="9">
        <f>0</f>
        <v>0</v>
      </c>
      <c r="AF13" s="9">
        <v>0</v>
      </c>
      <c r="AG13" s="3">
        <f>0</f>
        <v>0</v>
      </c>
      <c r="AH13" s="9">
        <f>0</f>
        <v>0</v>
      </c>
      <c r="AI13" s="9">
        <f>0</f>
        <v>0</v>
      </c>
      <c r="AJ13" s="9">
        <v>0</v>
      </c>
      <c r="AK13" s="3">
        <f>0</f>
        <v>0</v>
      </c>
      <c r="AL13" s="9">
        <f>0</f>
        <v>0</v>
      </c>
      <c r="AM13" s="9">
        <f>0</f>
        <v>0</v>
      </c>
      <c r="AN13" s="9">
        <f>0</f>
        <v>0</v>
      </c>
    </row>
    <row r="14" spans="1:40" s="25" customFormat="1" x14ac:dyDescent="0.25">
      <c r="A14" s="220"/>
      <c r="B14" s="26" t="s">
        <v>84</v>
      </c>
      <c r="D14" s="25">
        <f t="shared" ref="D14:O14" si="3">(((D15*$O$7) - (D16*D17)))/(D15*$O$7)</f>
        <v>1</v>
      </c>
      <c r="E14" s="25">
        <f t="shared" si="3"/>
        <v>1</v>
      </c>
      <c r="F14" s="25">
        <f t="shared" si="3"/>
        <v>1</v>
      </c>
      <c r="G14" s="25">
        <f t="shared" si="3"/>
        <v>1</v>
      </c>
      <c r="H14" s="25">
        <f t="shared" si="3"/>
        <v>1</v>
      </c>
      <c r="I14" s="25">
        <f t="shared" si="3"/>
        <v>1</v>
      </c>
      <c r="J14" s="25">
        <f t="shared" si="3"/>
        <v>1</v>
      </c>
      <c r="K14" s="25">
        <f t="shared" si="3"/>
        <v>1</v>
      </c>
      <c r="L14" s="25">
        <f t="shared" si="3"/>
        <v>1</v>
      </c>
      <c r="M14" s="25">
        <f t="shared" si="3"/>
        <v>1</v>
      </c>
      <c r="N14" s="25">
        <f t="shared" si="3"/>
        <v>1</v>
      </c>
      <c r="O14" s="25">
        <f t="shared" si="3"/>
        <v>1</v>
      </c>
      <c r="P14" s="25">
        <f t="shared" ref="P14:S14" si="4">(((P15*$O$7) - (P16*P17)))/(P15*$O$7)</f>
        <v>1</v>
      </c>
      <c r="Q14" s="25">
        <f t="shared" si="4"/>
        <v>1</v>
      </c>
      <c r="R14" s="25">
        <f t="shared" si="4"/>
        <v>1</v>
      </c>
      <c r="S14" s="25">
        <f t="shared" si="4"/>
        <v>1</v>
      </c>
      <c r="T14" s="25">
        <f t="shared" ref="T14:AJ14" si="5">(((T15*$O$7) - (T16*T17)))/(T15*$O$7)</f>
        <v>1</v>
      </c>
      <c r="U14" s="25">
        <f t="shared" si="5"/>
        <v>1</v>
      </c>
      <c r="V14" s="25">
        <f t="shared" si="5"/>
        <v>1</v>
      </c>
      <c r="W14" s="25">
        <f t="shared" si="5"/>
        <v>1</v>
      </c>
      <c r="X14" s="25">
        <f t="shared" si="5"/>
        <v>1</v>
      </c>
      <c r="Y14" s="25">
        <f t="shared" si="5"/>
        <v>1</v>
      </c>
      <c r="Z14" s="25">
        <f t="shared" si="5"/>
        <v>1</v>
      </c>
      <c r="AA14" s="25">
        <f t="shared" si="5"/>
        <v>1</v>
      </c>
      <c r="AB14" s="25">
        <f t="shared" si="5"/>
        <v>1</v>
      </c>
      <c r="AC14" s="25">
        <f t="shared" si="5"/>
        <v>1</v>
      </c>
      <c r="AD14" s="25">
        <f t="shared" si="5"/>
        <v>1</v>
      </c>
      <c r="AE14" s="25">
        <f t="shared" si="5"/>
        <v>1</v>
      </c>
      <c r="AF14" s="25">
        <f t="shared" si="5"/>
        <v>1</v>
      </c>
      <c r="AG14" s="25">
        <f t="shared" si="5"/>
        <v>1</v>
      </c>
      <c r="AH14" s="25">
        <f t="shared" si="5"/>
        <v>1</v>
      </c>
      <c r="AI14" s="25">
        <f t="shared" si="5"/>
        <v>1</v>
      </c>
      <c r="AJ14" s="25">
        <f t="shared" si="5"/>
        <v>1</v>
      </c>
      <c r="AK14" s="25">
        <f>(((AK15*$O$7) - (AK16*AK17)))/(AK15*$O$7)</f>
        <v>1</v>
      </c>
      <c r="AL14" s="25">
        <f>(((AL15*$O$7) - (AL16*AL17)))/(AL15*$O$7)</f>
        <v>1</v>
      </c>
      <c r="AM14" s="25">
        <f>(((AM15*$O$7) - (AM16*AM17)))/(AM15*$O$7)</f>
        <v>1</v>
      </c>
      <c r="AN14" s="25" t="e">
        <f>(((AN15*$O$7) - (AN16*AN17)))/(AN15*$O$7)</f>
        <v>#DIV/0!</v>
      </c>
    </row>
    <row r="15" spans="1:40" s="3" customFormat="1" x14ac:dyDescent="0.25">
      <c r="A15" s="220"/>
      <c r="B15" s="24" t="s">
        <v>75</v>
      </c>
      <c r="C15" s="130"/>
      <c r="D15" s="3">
        <v>2</v>
      </c>
      <c r="E15" s="9">
        <v>34</v>
      </c>
      <c r="F15" s="9">
        <v>35</v>
      </c>
      <c r="G15" s="9">
        <v>36</v>
      </c>
      <c r="H15" s="9">
        <v>36</v>
      </c>
      <c r="I15" s="9">
        <v>36</v>
      </c>
      <c r="J15" s="9">
        <v>36</v>
      </c>
      <c r="K15" s="9">
        <v>11</v>
      </c>
      <c r="L15" s="9">
        <v>11</v>
      </c>
      <c r="M15" s="9">
        <v>11</v>
      </c>
      <c r="N15" s="9">
        <v>11</v>
      </c>
      <c r="O15" s="9">
        <v>10</v>
      </c>
      <c r="P15" s="9">
        <v>11</v>
      </c>
      <c r="Q15" s="9">
        <v>11</v>
      </c>
      <c r="R15" s="9">
        <v>11</v>
      </c>
      <c r="S15" s="9">
        <v>11</v>
      </c>
      <c r="T15" s="9">
        <v>11</v>
      </c>
      <c r="U15" s="9">
        <v>11</v>
      </c>
      <c r="V15" s="3">
        <v>11</v>
      </c>
      <c r="W15" s="3">
        <v>11</v>
      </c>
      <c r="X15" s="3">
        <v>11</v>
      </c>
      <c r="Y15" s="3">
        <v>11</v>
      </c>
      <c r="Z15" s="3">
        <f>11</f>
        <v>11</v>
      </c>
      <c r="AA15" s="3">
        <f>'User Counts'!I36</f>
        <v>11</v>
      </c>
      <c r="AB15" s="3">
        <v>11</v>
      </c>
      <c r="AC15" s="3">
        <f>11</f>
        <v>11</v>
      </c>
      <c r="AD15" s="3">
        <f>9</f>
        <v>9</v>
      </c>
      <c r="AE15" s="3">
        <v>9</v>
      </c>
      <c r="AF15" s="3">
        <f>8</f>
        <v>8</v>
      </c>
      <c r="AG15" s="3">
        <v>8</v>
      </c>
      <c r="AH15" s="3">
        <f>8</f>
        <v>8</v>
      </c>
      <c r="AI15" s="3">
        <f>8</f>
        <v>8</v>
      </c>
      <c r="AJ15" s="3">
        <f>8</f>
        <v>8</v>
      </c>
      <c r="AK15" s="9">
        <f>8</f>
        <v>8</v>
      </c>
      <c r="AL15" s="9">
        <f>8</f>
        <v>8</v>
      </c>
      <c r="AM15" s="9">
        <f>8</f>
        <v>8</v>
      </c>
      <c r="AN15" s="9">
        <f>0</f>
        <v>0</v>
      </c>
    </row>
    <row r="16" spans="1:40" s="3" customFormat="1" x14ac:dyDescent="0.25">
      <c r="A16" s="220"/>
      <c r="B16" s="24" t="s">
        <v>80</v>
      </c>
      <c r="C16" s="130"/>
      <c r="D16" s="3">
        <v>0</v>
      </c>
      <c r="E16" s="9">
        <v>0</v>
      </c>
      <c r="F16" s="9">
        <v>0</v>
      </c>
      <c r="G16" s="9">
        <v>0</v>
      </c>
      <c r="H16" s="9">
        <v>0</v>
      </c>
      <c r="I16" s="9">
        <v>0</v>
      </c>
      <c r="J16" s="9">
        <v>0</v>
      </c>
      <c r="K16" s="9">
        <v>0</v>
      </c>
      <c r="L16" s="9">
        <v>0</v>
      </c>
      <c r="M16" s="9">
        <v>0</v>
      </c>
      <c r="N16" s="9">
        <v>0</v>
      </c>
      <c r="O16" s="9">
        <v>0</v>
      </c>
      <c r="P16" s="9">
        <v>0</v>
      </c>
      <c r="Q16" s="9">
        <v>0</v>
      </c>
      <c r="R16" s="9">
        <v>0</v>
      </c>
      <c r="S16" s="9">
        <v>0</v>
      </c>
      <c r="T16" s="9">
        <v>0</v>
      </c>
      <c r="U16" s="9">
        <v>0</v>
      </c>
      <c r="V16" s="3">
        <v>0</v>
      </c>
      <c r="W16" s="3">
        <f>0</f>
        <v>0</v>
      </c>
      <c r="X16" s="3">
        <f>0</f>
        <v>0</v>
      </c>
      <c r="Y16" s="3">
        <f>0</f>
        <v>0</v>
      </c>
      <c r="Z16" s="3">
        <f>0</f>
        <v>0</v>
      </c>
      <c r="AA16" s="9">
        <f>0</f>
        <v>0</v>
      </c>
      <c r="AB16" s="9">
        <v>0</v>
      </c>
      <c r="AC16" s="9">
        <f>0</f>
        <v>0</v>
      </c>
      <c r="AD16" s="9">
        <f>0</f>
        <v>0</v>
      </c>
      <c r="AE16" s="9">
        <f>0</f>
        <v>0</v>
      </c>
      <c r="AF16" s="9">
        <f>0</f>
        <v>0</v>
      </c>
      <c r="AG16" s="9">
        <f>0</f>
        <v>0</v>
      </c>
      <c r="AH16" s="9">
        <f>0</f>
        <v>0</v>
      </c>
      <c r="AI16" s="9">
        <f>0</f>
        <v>0</v>
      </c>
      <c r="AJ16" s="9">
        <f>0</f>
        <v>0</v>
      </c>
      <c r="AK16" s="9">
        <f>0</f>
        <v>0</v>
      </c>
      <c r="AL16" s="9">
        <f>0</f>
        <v>0</v>
      </c>
      <c r="AN16" s="9">
        <f>0</f>
        <v>0</v>
      </c>
    </row>
    <row r="17" spans="1:40" s="3" customFormat="1" ht="15.75" thickBot="1" x14ac:dyDescent="0.3">
      <c r="A17" s="220"/>
      <c r="B17" s="24" t="s">
        <v>81</v>
      </c>
      <c r="C17" s="130"/>
      <c r="D17" s="3">
        <v>0</v>
      </c>
      <c r="E17" s="9">
        <v>0</v>
      </c>
      <c r="F17" s="9">
        <v>0</v>
      </c>
      <c r="G17" s="9">
        <v>0</v>
      </c>
      <c r="H17" s="9">
        <v>0</v>
      </c>
      <c r="I17" s="9">
        <v>0</v>
      </c>
      <c r="J17" s="9">
        <v>0</v>
      </c>
      <c r="K17" s="9">
        <v>0</v>
      </c>
      <c r="L17" s="9">
        <v>0</v>
      </c>
      <c r="M17" s="9">
        <v>0</v>
      </c>
      <c r="N17" s="9">
        <v>0</v>
      </c>
      <c r="O17" s="9">
        <v>0</v>
      </c>
      <c r="P17" s="9">
        <v>0</v>
      </c>
      <c r="Q17" s="9">
        <v>0</v>
      </c>
      <c r="R17" s="9">
        <v>0</v>
      </c>
      <c r="S17" s="9">
        <v>0</v>
      </c>
      <c r="T17" s="9">
        <v>0</v>
      </c>
      <c r="U17" s="9">
        <v>0</v>
      </c>
      <c r="V17" s="3">
        <v>0</v>
      </c>
      <c r="W17" s="3">
        <f>0</f>
        <v>0</v>
      </c>
      <c r="X17" s="3">
        <f>0</f>
        <v>0</v>
      </c>
      <c r="Y17" s="3">
        <f>0</f>
        <v>0</v>
      </c>
      <c r="Z17" s="3">
        <f>0</f>
        <v>0</v>
      </c>
      <c r="AA17" s="9">
        <f>0</f>
        <v>0</v>
      </c>
      <c r="AB17" s="9">
        <v>0</v>
      </c>
      <c r="AC17" s="9">
        <f>0</f>
        <v>0</v>
      </c>
      <c r="AD17" s="9">
        <f>0</f>
        <v>0</v>
      </c>
      <c r="AE17" s="9">
        <f>0</f>
        <v>0</v>
      </c>
      <c r="AF17" s="9">
        <f>0</f>
        <v>0</v>
      </c>
      <c r="AG17" s="9">
        <f>0</f>
        <v>0</v>
      </c>
      <c r="AH17" s="9">
        <f>0</f>
        <v>0</v>
      </c>
      <c r="AI17" s="9">
        <f>0</f>
        <v>0</v>
      </c>
      <c r="AJ17" s="9">
        <f>0</f>
        <v>0</v>
      </c>
      <c r="AK17" s="9">
        <f>0</f>
        <v>0</v>
      </c>
      <c r="AL17" s="9">
        <f>0</f>
        <v>0</v>
      </c>
      <c r="AN17" s="9">
        <f>0</f>
        <v>0</v>
      </c>
    </row>
    <row r="18" spans="1:40" s="25" customFormat="1" x14ac:dyDescent="0.25">
      <c r="A18" s="220"/>
      <c r="B18" s="26" t="s">
        <v>85</v>
      </c>
      <c r="D18" s="25">
        <f t="shared" ref="D18:O18" si="6">(((D19*$O$7) - (D20*D21)))/(D19*$O$7)</f>
        <v>1</v>
      </c>
      <c r="E18" s="25">
        <f t="shared" si="6"/>
        <v>1</v>
      </c>
      <c r="F18" s="25">
        <f t="shared" si="6"/>
        <v>1</v>
      </c>
      <c r="G18" s="25">
        <f t="shared" si="6"/>
        <v>1</v>
      </c>
      <c r="H18" s="25">
        <f t="shared" si="6"/>
        <v>1</v>
      </c>
      <c r="I18" s="25">
        <f t="shared" si="6"/>
        <v>1</v>
      </c>
      <c r="J18" s="25">
        <f t="shared" si="6"/>
        <v>1</v>
      </c>
      <c r="K18" s="25">
        <f t="shared" si="6"/>
        <v>1</v>
      </c>
      <c r="L18" s="25">
        <f t="shared" si="6"/>
        <v>1</v>
      </c>
      <c r="M18" s="25">
        <f t="shared" si="6"/>
        <v>1</v>
      </c>
      <c r="N18" s="25">
        <f t="shared" si="6"/>
        <v>1</v>
      </c>
      <c r="O18" s="25">
        <f t="shared" si="6"/>
        <v>1</v>
      </c>
      <c r="P18" s="25">
        <f t="shared" ref="P18:S18" si="7">(((P19*$O$7) - (P20*P21)))/(P19*$O$7)</f>
        <v>1</v>
      </c>
      <c r="Q18" s="25">
        <f t="shared" si="7"/>
        <v>1</v>
      </c>
      <c r="R18" s="25">
        <f t="shared" si="7"/>
        <v>1</v>
      </c>
      <c r="S18" s="25">
        <f t="shared" si="7"/>
        <v>1</v>
      </c>
      <c r="T18" s="25">
        <f t="shared" ref="T18:X18" si="8">(((T19*$O$7) - (T20*T21)))/(T19*$O$7)</f>
        <v>1</v>
      </c>
      <c r="U18" s="25">
        <f t="shared" si="8"/>
        <v>1</v>
      </c>
      <c r="V18" s="25">
        <f t="shared" si="8"/>
        <v>1</v>
      </c>
      <c r="W18" s="25">
        <f t="shared" si="8"/>
        <v>1</v>
      </c>
      <c r="X18" s="25">
        <f t="shared" si="8"/>
        <v>1</v>
      </c>
      <c r="Y18" s="25">
        <f t="shared" ref="Y18:AN18" si="9">(((Y19*$O$7) - (Y20*Y21)))/(Y19*$O$7)</f>
        <v>1</v>
      </c>
      <c r="Z18" s="25">
        <f t="shared" si="9"/>
        <v>1</v>
      </c>
      <c r="AA18" s="25">
        <f t="shared" si="9"/>
        <v>1</v>
      </c>
      <c r="AB18" s="25">
        <f t="shared" si="9"/>
        <v>1</v>
      </c>
      <c r="AC18" s="25">
        <f t="shared" si="9"/>
        <v>1</v>
      </c>
      <c r="AD18" s="25">
        <f t="shared" si="9"/>
        <v>1</v>
      </c>
      <c r="AE18" s="25">
        <f t="shared" si="9"/>
        <v>1</v>
      </c>
      <c r="AF18" s="25">
        <f t="shared" si="9"/>
        <v>1</v>
      </c>
      <c r="AG18" s="25">
        <f t="shared" si="9"/>
        <v>1</v>
      </c>
      <c r="AH18" s="25">
        <f t="shared" si="9"/>
        <v>1</v>
      </c>
      <c r="AI18" s="25">
        <f t="shared" si="9"/>
        <v>1</v>
      </c>
      <c r="AJ18" s="25">
        <f t="shared" si="9"/>
        <v>1</v>
      </c>
      <c r="AK18" s="25">
        <f t="shared" si="9"/>
        <v>1</v>
      </c>
      <c r="AL18" s="25">
        <f t="shared" si="9"/>
        <v>1</v>
      </c>
      <c r="AM18" s="25">
        <f t="shared" si="9"/>
        <v>1</v>
      </c>
      <c r="AN18" s="25">
        <f t="shared" si="9"/>
        <v>1</v>
      </c>
    </row>
    <row r="19" spans="1:40" s="3" customFormat="1" x14ac:dyDescent="0.25">
      <c r="A19" s="220"/>
      <c r="B19" s="24" t="s">
        <v>75</v>
      </c>
      <c r="C19" s="130"/>
      <c r="D19" s="3">
        <v>2783</v>
      </c>
      <c r="E19" s="9">
        <v>2807</v>
      </c>
      <c r="F19" s="3">
        <v>2811</v>
      </c>
      <c r="G19" s="3">
        <v>2834</v>
      </c>
      <c r="H19" s="3">
        <v>2834</v>
      </c>
      <c r="I19" s="9">
        <v>2234</v>
      </c>
      <c r="J19" s="9">
        <v>2261</v>
      </c>
      <c r="K19" s="9">
        <v>2285</v>
      </c>
      <c r="L19" s="9">
        <v>2300</v>
      </c>
      <c r="M19" s="9">
        <v>2316</v>
      </c>
      <c r="N19" s="9">
        <v>2344</v>
      </c>
      <c r="O19" s="9">
        <v>2353</v>
      </c>
      <c r="P19" s="9">
        <v>2366</v>
      </c>
      <c r="Q19" s="9">
        <v>2366</v>
      </c>
      <c r="R19" s="9">
        <v>2394</v>
      </c>
      <c r="S19" s="9">
        <v>2390</v>
      </c>
      <c r="T19" s="9">
        <v>2391</v>
      </c>
      <c r="U19" s="9">
        <f>2420</f>
        <v>2420</v>
      </c>
      <c r="V19" s="3">
        <v>2425</v>
      </c>
      <c r="W19" s="3">
        <v>2419</v>
      </c>
      <c r="X19" s="3">
        <v>2448</v>
      </c>
      <c r="Y19" s="3">
        <v>2479</v>
      </c>
      <c r="Z19" s="3">
        <v>2502</v>
      </c>
      <c r="AA19" s="3">
        <f>'User Counts'!K36</f>
        <v>2519</v>
      </c>
      <c r="AB19" s="3">
        <v>2536</v>
      </c>
      <c r="AC19" s="3">
        <f>2539</f>
        <v>2539</v>
      </c>
      <c r="AD19" s="3">
        <f>2550</f>
        <v>2550</v>
      </c>
      <c r="AE19" s="3">
        <f>2547</f>
        <v>2547</v>
      </c>
      <c r="AF19" s="3">
        <f>2531</f>
        <v>2531</v>
      </c>
      <c r="AG19" s="3">
        <v>2537</v>
      </c>
      <c r="AH19" s="3">
        <f>2539</f>
        <v>2539</v>
      </c>
      <c r="AI19" s="3">
        <f>2540</f>
        <v>2540</v>
      </c>
      <c r="AJ19" s="3">
        <v>2541</v>
      </c>
      <c r="AK19" s="3">
        <f>2554</f>
        <v>2554</v>
      </c>
      <c r="AL19" s="3">
        <f>2554</f>
        <v>2554</v>
      </c>
      <c r="AM19" s="3">
        <f>2554</f>
        <v>2554</v>
      </c>
      <c r="AN19" s="3">
        <f>2527</f>
        <v>2527</v>
      </c>
    </row>
    <row r="20" spans="1:40" s="3" customFormat="1" x14ac:dyDescent="0.25">
      <c r="A20" s="220"/>
      <c r="B20" s="24" t="s">
        <v>80</v>
      </c>
      <c r="C20" s="130"/>
      <c r="D20" s="3">
        <v>0</v>
      </c>
      <c r="E20" s="9">
        <v>0</v>
      </c>
      <c r="F20" s="3">
        <v>0</v>
      </c>
      <c r="G20" s="3">
        <v>0</v>
      </c>
      <c r="H20" s="3">
        <v>0</v>
      </c>
      <c r="I20" s="9">
        <v>0</v>
      </c>
      <c r="J20" s="9">
        <v>0</v>
      </c>
      <c r="K20" s="9">
        <v>0</v>
      </c>
      <c r="L20" s="9">
        <v>0</v>
      </c>
      <c r="M20" s="9">
        <v>0</v>
      </c>
      <c r="N20" s="9">
        <v>0</v>
      </c>
      <c r="O20" s="9">
        <v>0</v>
      </c>
      <c r="P20" s="9">
        <v>0</v>
      </c>
      <c r="Q20" s="9">
        <v>0</v>
      </c>
      <c r="R20" s="9">
        <v>0</v>
      </c>
      <c r="S20" s="9">
        <v>0</v>
      </c>
      <c r="T20" s="9">
        <v>0</v>
      </c>
      <c r="U20" s="3">
        <f>0</f>
        <v>0</v>
      </c>
      <c r="V20" s="3">
        <v>0</v>
      </c>
      <c r="W20" s="3">
        <f>0</f>
        <v>0</v>
      </c>
      <c r="X20" s="3">
        <f>0</f>
        <v>0</v>
      </c>
      <c r="Y20" s="3">
        <f>0</f>
        <v>0</v>
      </c>
      <c r="Z20" s="9">
        <f>0</f>
        <v>0</v>
      </c>
      <c r="AA20" s="9">
        <f>0</f>
        <v>0</v>
      </c>
      <c r="AB20" s="9">
        <v>0</v>
      </c>
      <c r="AC20" s="9">
        <f>0</f>
        <v>0</v>
      </c>
      <c r="AD20" s="9">
        <f>0</f>
        <v>0</v>
      </c>
      <c r="AE20" s="9">
        <f>0</f>
        <v>0</v>
      </c>
      <c r="AF20" s="9">
        <f>0</f>
        <v>0</v>
      </c>
      <c r="AG20" s="9">
        <f>0</f>
        <v>0</v>
      </c>
      <c r="AH20" s="9">
        <f>0</f>
        <v>0</v>
      </c>
      <c r="AI20" s="9">
        <f>0</f>
        <v>0</v>
      </c>
      <c r="AJ20" s="9">
        <v>0</v>
      </c>
      <c r="AK20" s="9">
        <f>0</f>
        <v>0</v>
      </c>
      <c r="AL20" s="9">
        <f>0</f>
        <v>0</v>
      </c>
      <c r="AM20" s="9">
        <f>0</f>
        <v>0</v>
      </c>
      <c r="AN20" s="9">
        <f>0</f>
        <v>0</v>
      </c>
    </row>
    <row r="21" spans="1:40" s="3" customFormat="1" ht="15.75" thickBot="1" x14ac:dyDescent="0.3">
      <c r="A21" s="220"/>
      <c r="B21" s="24" t="s">
        <v>81</v>
      </c>
      <c r="C21" s="130"/>
      <c r="D21" s="3">
        <v>0</v>
      </c>
      <c r="E21" s="3">
        <v>0</v>
      </c>
      <c r="F21" s="9">
        <v>0</v>
      </c>
      <c r="G21" s="9">
        <v>0</v>
      </c>
      <c r="H21" s="9">
        <v>0</v>
      </c>
      <c r="I21" s="9">
        <v>0</v>
      </c>
      <c r="J21" s="9">
        <v>0</v>
      </c>
      <c r="K21" s="9">
        <v>0</v>
      </c>
      <c r="L21" s="9">
        <v>0</v>
      </c>
      <c r="M21" s="9">
        <v>0</v>
      </c>
      <c r="N21" s="9">
        <v>0</v>
      </c>
      <c r="O21" s="9">
        <v>0</v>
      </c>
      <c r="P21" s="9">
        <v>0</v>
      </c>
      <c r="Q21" s="9">
        <v>0</v>
      </c>
      <c r="R21" s="9">
        <v>0</v>
      </c>
      <c r="S21" s="9">
        <v>0</v>
      </c>
      <c r="T21" s="9">
        <v>0</v>
      </c>
      <c r="U21" s="3">
        <f>0</f>
        <v>0</v>
      </c>
      <c r="V21" s="3">
        <v>0</v>
      </c>
      <c r="W21" s="3">
        <f>0</f>
        <v>0</v>
      </c>
      <c r="X21" s="3">
        <f>0</f>
        <v>0</v>
      </c>
      <c r="Y21" s="3">
        <f>0</f>
        <v>0</v>
      </c>
      <c r="Z21" s="9">
        <f>0</f>
        <v>0</v>
      </c>
      <c r="AA21" s="9">
        <f>0</f>
        <v>0</v>
      </c>
      <c r="AB21" s="9">
        <v>0</v>
      </c>
      <c r="AC21" s="9">
        <f>0</f>
        <v>0</v>
      </c>
      <c r="AD21" s="9">
        <f>0</f>
        <v>0</v>
      </c>
      <c r="AE21" s="9">
        <f>0</f>
        <v>0</v>
      </c>
      <c r="AF21" s="9">
        <f>0</f>
        <v>0</v>
      </c>
      <c r="AG21" s="9">
        <f>0</f>
        <v>0</v>
      </c>
      <c r="AH21" s="9">
        <f>0</f>
        <v>0</v>
      </c>
      <c r="AI21" s="9">
        <f>0</f>
        <v>0</v>
      </c>
      <c r="AJ21" s="9">
        <v>0</v>
      </c>
      <c r="AK21" s="9">
        <f>0</f>
        <v>0</v>
      </c>
      <c r="AL21" s="9">
        <f>0</f>
        <v>0</v>
      </c>
      <c r="AM21" s="9">
        <f>0</f>
        <v>0</v>
      </c>
      <c r="AN21" s="9">
        <f>0</f>
        <v>0</v>
      </c>
    </row>
    <row r="22" spans="1:40" s="25" customFormat="1" x14ac:dyDescent="0.25">
      <c r="A22" s="220"/>
      <c r="B22" s="26" t="s">
        <v>125</v>
      </c>
      <c r="D22" s="25">
        <f t="shared" ref="D22:O22" si="10">(((D23*$O$7) - (D24*D25)))/(D23*$O$7)</f>
        <v>1</v>
      </c>
      <c r="E22" s="25">
        <f t="shared" si="10"/>
        <v>1</v>
      </c>
      <c r="F22" s="25">
        <f t="shared" si="10"/>
        <v>1</v>
      </c>
      <c r="G22" s="25">
        <f t="shared" si="10"/>
        <v>1</v>
      </c>
      <c r="H22" s="25">
        <f t="shared" si="10"/>
        <v>1</v>
      </c>
      <c r="I22" s="25">
        <f t="shared" si="10"/>
        <v>1</v>
      </c>
      <c r="J22" s="25">
        <f t="shared" si="10"/>
        <v>1</v>
      </c>
      <c r="K22" s="25">
        <f t="shared" si="10"/>
        <v>1</v>
      </c>
      <c r="L22" s="25">
        <f t="shared" si="10"/>
        <v>1</v>
      </c>
      <c r="M22" s="25">
        <f t="shared" si="10"/>
        <v>1</v>
      </c>
      <c r="N22" s="25">
        <f t="shared" si="10"/>
        <v>1</v>
      </c>
      <c r="O22" s="25">
        <f t="shared" si="10"/>
        <v>1</v>
      </c>
      <c r="P22" s="25">
        <f t="shared" ref="P22:S22" si="11">(((P23*$O$7) - (P24*P25)))/(P23*$O$7)</f>
        <v>1</v>
      </c>
      <c r="Q22" s="25">
        <f t="shared" si="11"/>
        <v>1</v>
      </c>
      <c r="R22" s="25">
        <f t="shared" si="11"/>
        <v>1</v>
      </c>
      <c r="S22" s="25">
        <f t="shared" si="11"/>
        <v>1</v>
      </c>
      <c r="T22" s="25">
        <f t="shared" ref="T22:AN22" si="12">(((T23*$O$7) - (T24*T25)))/(T23*$O$7)</f>
        <v>1</v>
      </c>
      <c r="U22" s="25">
        <f t="shared" si="12"/>
        <v>1</v>
      </c>
      <c r="V22" s="25">
        <f t="shared" si="12"/>
        <v>1</v>
      </c>
      <c r="W22" s="25">
        <f t="shared" si="12"/>
        <v>1</v>
      </c>
      <c r="X22" s="25">
        <f t="shared" si="12"/>
        <v>1</v>
      </c>
      <c r="Y22" s="25">
        <f t="shared" si="12"/>
        <v>1</v>
      </c>
      <c r="Z22" s="25">
        <f t="shared" si="12"/>
        <v>1</v>
      </c>
      <c r="AA22" s="25">
        <f t="shared" si="12"/>
        <v>1</v>
      </c>
      <c r="AB22" s="25">
        <f t="shared" si="12"/>
        <v>1</v>
      </c>
      <c r="AC22" s="25">
        <f t="shared" si="12"/>
        <v>1</v>
      </c>
      <c r="AD22" s="25">
        <f t="shared" si="12"/>
        <v>1</v>
      </c>
      <c r="AE22" s="25">
        <f t="shared" si="12"/>
        <v>1</v>
      </c>
      <c r="AF22" s="25">
        <f t="shared" si="12"/>
        <v>1</v>
      </c>
      <c r="AG22" s="25">
        <f t="shared" si="12"/>
        <v>1</v>
      </c>
      <c r="AH22" s="25">
        <f t="shared" si="12"/>
        <v>1</v>
      </c>
      <c r="AI22" s="25">
        <f t="shared" si="12"/>
        <v>1</v>
      </c>
      <c r="AJ22" s="25">
        <f t="shared" si="12"/>
        <v>1</v>
      </c>
      <c r="AK22" s="25">
        <f t="shared" si="12"/>
        <v>1</v>
      </c>
      <c r="AL22" s="25">
        <f t="shared" si="12"/>
        <v>1</v>
      </c>
      <c r="AM22" s="25">
        <f t="shared" si="12"/>
        <v>1</v>
      </c>
      <c r="AN22" s="25">
        <f t="shared" si="12"/>
        <v>1</v>
      </c>
    </row>
    <row r="23" spans="1:40" s="3" customFormat="1" x14ac:dyDescent="0.25">
      <c r="A23" s="220"/>
      <c r="B23" s="24" t="s">
        <v>75</v>
      </c>
      <c r="C23" s="130"/>
      <c r="D23" s="3">
        <v>2760</v>
      </c>
      <c r="E23" s="9">
        <v>2772</v>
      </c>
      <c r="F23" s="9">
        <v>2755</v>
      </c>
      <c r="G23" s="9">
        <v>2742</v>
      </c>
      <c r="H23" s="9">
        <v>2742</v>
      </c>
      <c r="I23" s="9">
        <v>2092</v>
      </c>
      <c r="J23" s="9">
        <v>2070</v>
      </c>
      <c r="K23" s="9">
        <v>2064</v>
      </c>
      <c r="L23" s="9">
        <v>2063</v>
      </c>
      <c r="M23" s="9">
        <v>2061</v>
      </c>
      <c r="N23" s="9">
        <v>2052</v>
      </c>
      <c r="O23" s="9">
        <v>2047</v>
      </c>
      <c r="P23" s="9">
        <v>2047</v>
      </c>
      <c r="Q23" s="9">
        <v>2047</v>
      </c>
      <c r="R23" s="3">
        <v>2038</v>
      </c>
      <c r="S23" s="9">
        <v>2030</v>
      </c>
      <c r="T23" s="9">
        <v>2030</v>
      </c>
      <c r="U23" s="3">
        <f>2017</f>
        <v>2017</v>
      </c>
      <c r="V23" s="3">
        <v>2010</v>
      </c>
      <c r="W23" s="248">
        <v>1998</v>
      </c>
      <c r="X23" s="248">
        <v>1998</v>
      </c>
      <c r="Y23" s="248">
        <v>1997</v>
      </c>
      <c r="Z23" s="248">
        <v>1998</v>
      </c>
      <c r="AA23" s="248">
        <f>'User Counts'!J36</f>
        <v>2002</v>
      </c>
      <c r="AB23" s="248">
        <v>2000</v>
      </c>
      <c r="AC23" s="248">
        <v>1992</v>
      </c>
      <c r="AD23" s="3">
        <f>1985</f>
        <v>1985</v>
      </c>
      <c r="AE23" s="3">
        <f>1977</f>
        <v>1977</v>
      </c>
      <c r="AF23" s="248">
        <v>1955</v>
      </c>
      <c r="AG23" s="248">
        <v>1947</v>
      </c>
      <c r="AH23" s="248">
        <v>1938</v>
      </c>
      <c r="AI23" s="248">
        <v>1935</v>
      </c>
      <c r="AJ23" s="248">
        <v>1924</v>
      </c>
      <c r="AK23" s="3">
        <v>1909</v>
      </c>
      <c r="AL23" s="3">
        <f>1909</f>
        <v>1909</v>
      </c>
      <c r="AM23" s="3">
        <f>1900</f>
        <v>1900</v>
      </c>
      <c r="AN23" s="3">
        <f>1900</f>
        <v>1900</v>
      </c>
    </row>
    <row r="24" spans="1:40" s="3" customFormat="1" x14ac:dyDescent="0.25">
      <c r="A24" s="220"/>
      <c r="B24" s="24" t="s">
        <v>80</v>
      </c>
      <c r="C24" s="130"/>
      <c r="D24" s="3">
        <v>0</v>
      </c>
      <c r="E24" s="9">
        <v>0</v>
      </c>
      <c r="F24" s="9">
        <v>0</v>
      </c>
      <c r="G24" s="9">
        <v>0</v>
      </c>
      <c r="H24" s="9">
        <v>0</v>
      </c>
      <c r="I24" s="9">
        <v>0</v>
      </c>
      <c r="J24" s="9">
        <v>0</v>
      </c>
      <c r="K24" s="9">
        <v>0</v>
      </c>
      <c r="L24" s="9">
        <v>0</v>
      </c>
      <c r="M24" s="9">
        <v>0</v>
      </c>
      <c r="N24" s="9">
        <v>0</v>
      </c>
      <c r="O24" s="9">
        <v>0</v>
      </c>
      <c r="P24" s="9">
        <v>0</v>
      </c>
      <c r="Q24" s="9">
        <v>0</v>
      </c>
      <c r="R24" s="9">
        <v>0</v>
      </c>
      <c r="S24" s="9">
        <v>0</v>
      </c>
      <c r="T24" s="9">
        <v>0</v>
      </c>
      <c r="U24" s="3">
        <f>0</f>
        <v>0</v>
      </c>
      <c r="V24" s="3">
        <v>0</v>
      </c>
      <c r="W24" s="3">
        <f>0</f>
        <v>0</v>
      </c>
      <c r="X24" s="3">
        <f>0</f>
        <v>0</v>
      </c>
      <c r="Y24" s="3">
        <f>0</f>
        <v>0</v>
      </c>
      <c r="Z24" s="9">
        <f>0</f>
        <v>0</v>
      </c>
      <c r="AA24" s="9">
        <f>0</f>
        <v>0</v>
      </c>
      <c r="AB24" s="9">
        <v>0</v>
      </c>
      <c r="AC24" s="9">
        <f>0</f>
        <v>0</v>
      </c>
      <c r="AD24" s="9">
        <f>0</f>
        <v>0</v>
      </c>
      <c r="AE24" s="9">
        <f>0</f>
        <v>0</v>
      </c>
      <c r="AF24" s="9">
        <v>0</v>
      </c>
      <c r="AG24" s="3">
        <f>0</f>
        <v>0</v>
      </c>
      <c r="AH24" s="9">
        <f>0</f>
        <v>0</v>
      </c>
      <c r="AI24" s="9">
        <f>0</f>
        <v>0</v>
      </c>
      <c r="AJ24" s="9">
        <v>0</v>
      </c>
      <c r="AK24" s="3">
        <f>0</f>
        <v>0</v>
      </c>
      <c r="AL24" s="9">
        <f>0</f>
        <v>0</v>
      </c>
      <c r="AM24" s="9">
        <f>0</f>
        <v>0</v>
      </c>
      <c r="AN24" s="9">
        <f>0</f>
        <v>0</v>
      </c>
    </row>
    <row r="25" spans="1:40" s="3" customFormat="1" x14ac:dyDescent="0.25">
      <c r="A25" s="220"/>
      <c r="B25" s="24" t="s">
        <v>81</v>
      </c>
      <c r="C25" s="130"/>
      <c r="D25" s="3">
        <v>0</v>
      </c>
      <c r="E25" s="3">
        <v>0</v>
      </c>
      <c r="F25" s="9">
        <v>0</v>
      </c>
      <c r="G25" s="9">
        <v>0</v>
      </c>
      <c r="H25" s="9">
        <v>0</v>
      </c>
      <c r="I25" s="9">
        <v>0</v>
      </c>
      <c r="J25" s="9">
        <v>0</v>
      </c>
      <c r="K25" s="9">
        <v>0</v>
      </c>
      <c r="L25" s="9">
        <v>0</v>
      </c>
      <c r="M25" s="9">
        <v>0</v>
      </c>
      <c r="N25" s="9">
        <v>0</v>
      </c>
      <c r="O25" s="9">
        <v>0</v>
      </c>
      <c r="P25" s="9">
        <v>0</v>
      </c>
      <c r="Q25" s="9">
        <v>0</v>
      </c>
      <c r="R25" s="9">
        <v>0</v>
      </c>
      <c r="S25" s="9">
        <v>0</v>
      </c>
      <c r="T25" s="9">
        <v>0</v>
      </c>
      <c r="U25" s="3">
        <f>0</f>
        <v>0</v>
      </c>
      <c r="V25" s="3">
        <v>0</v>
      </c>
      <c r="W25" s="3">
        <f>0</f>
        <v>0</v>
      </c>
      <c r="X25" s="3">
        <f>0</f>
        <v>0</v>
      </c>
      <c r="Y25" s="3">
        <f>0</f>
        <v>0</v>
      </c>
      <c r="Z25" s="9">
        <f>0</f>
        <v>0</v>
      </c>
      <c r="AA25" s="9">
        <f>0</f>
        <v>0</v>
      </c>
      <c r="AB25" s="9">
        <v>0</v>
      </c>
      <c r="AC25" s="9">
        <f>0</f>
        <v>0</v>
      </c>
      <c r="AD25" s="9">
        <f>0</f>
        <v>0</v>
      </c>
      <c r="AE25" s="9">
        <f>0</f>
        <v>0</v>
      </c>
      <c r="AF25" s="9">
        <v>0</v>
      </c>
      <c r="AG25" s="3">
        <f>0</f>
        <v>0</v>
      </c>
      <c r="AH25" s="9">
        <f>0</f>
        <v>0</v>
      </c>
      <c r="AI25" s="9">
        <f>0</f>
        <v>0</v>
      </c>
      <c r="AJ25" s="9">
        <v>0</v>
      </c>
      <c r="AK25" s="3">
        <f>0</f>
        <v>0</v>
      </c>
      <c r="AL25" s="9">
        <f>0</f>
        <v>0</v>
      </c>
      <c r="AM25" s="9">
        <f>0</f>
        <v>0</v>
      </c>
      <c r="AN25" s="9">
        <f>0</f>
        <v>0</v>
      </c>
    </row>
  </sheetData>
  <mergeCells count="3">
    <mergeCell ref="O4:W4"/>
    <mergeCell ref="O5:W5"/>
    <mergeCell ref="P7:S7"/>
  </mergeCells>
  <pageMargins left="0.7" right="0.7" top="0.75" bottom="0.75" header="0.3" footer="0.3"/>
  <pageSetup orientation="portrait" r:id="rId1"/>
  <drawing r:id="rId2"/>
  <legacyDrawing r:id="rId3"/>
  <controls>
    <mc:AlternateContent xmlns:mc="http://schemas.openxmlformats.org/markup-compatibility/2006">
      <mc:Choice Requires="x14">
        <control shapeId="11265" r:id="rId4" name="bStartHere_back3">
          <controlPr defaultSize="0" autoLine="0" r:id="rId5">
            <anchor moveWithCells="1">
              <from>
                <xdr:col>0</xdr:col>
                <xdr:colOff>114300</xdr:colOff>
                <xdr:row>0</xdr:row>
                <xdr:rowOff>95250</xdr:rowOff>
              </from>
              <to>
                <xdr:col>0</xdr:col>
                <xdr:colOff>1200150</xdr:colOff>
                <xdr:row>3</xdr:row>
                <xdr:rowOff>123825</xdr:rowOff>
              </to>
            </anchor>
          </controlPr>
        </control>
      </mc:Choice>
      <mc:Fallback>
        <control shapeId="11265" r:id="rId4" name="bStartHere_back3"/>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00B050"/>
  </sheetPr>
  <dimension ref="A2:UE401"/>
  <sheetViews>
    <sheetView zoomScale="80" zoomScaleNormal="80" workbookViewId="0">
      <selection activeCell="D33" sqref="D33"/>
    </sheetView>
  </sheetViews>
  <sheetFormatPr defaultColWidth="8.85546875" defaultRowHeight="15" x14ac:dyDescent="0.25"/>
  <cols>
    <col min="1" max="1" width="19" style="220" customWidth="1"/>
    <col min="2" max="2" width="27.28515625" style="74" customWidth="1"/>
    <col min="3" max="3" width="9.85546875" style="74" customWidth="1"/>
    <col min="4" max="4" width="31" style="74" customWidth="1"/>
    <col min="5" max="5" width="13.140625" style="74" hidden="1" customWidth="1"/>
    <col min="6" max="6" width="8" style="74" hidden="1" customWidth="1"/>
    <col min="7" max="7" width="7.140625" style="74" hidden="1" customWidth="1"/>
    <col min="8" max="8" width="7.5703125" style="74" hidden="1" customWidth="1"/>
    <col min="9" max="9" width="7.42578125" style="74" hidden="1" customWidth="1"/>
    <col min="10" max="10" width="10.28515625" style="74" hidden="1" customWidth="1"/>
    <col min="11" max="11" width="10.5703125" style="74" hidden="1" customWidth="1"/>
    <col min="12" max="12" width="10.28515625" style="74" hidden="1" customWidth="1"/>
    <col min="13" max="13" width="10.140625" style="74" hidden="1" customWidth="1"/>
    <col min="14" max="14" width="10" style="74" hidden="1" customWidth="1"/>
    <col min="15" max="31" width="10.28515625" style="74" hidden="1" customWidth="1"/>
    <col min="32" max="42" width="10.28515625" style="74" customWidth="1"/>
    <col min="43" max="43" width="9.7109375" style="94" customWidth="1"/>
    <col min="44" max="44" width="11" style="74" bestFit="1" customWidth="1"/>
    <col min="45" max="45" width="31.7109375" style="74" bestFit="1" customWidth="1"/>
    <col min="46" max="46" width="5" style="74" bestFit="1" customWidth="1"/>
    <col min="47" max="47" width="11" style="74" customWidth="1"/>
    <col min="48" max="16384" width="8.85546875" style="74"/>
  </cols>
  <sheetData>
    <row r="2" spans="2:47" ht="19.5" thickBot="1" x14ac:dyDescent="0.35">
      <c r="AR2" s="319">
        <f>SUMIF(AR4:AR69, "&lt;&gt;#N/A")</f>
        <v>9</v>
      </c>
    </row>
    <row r="3" spans="2:47" ht="16.5" thickBot="1" x14ac:dyDescent="0.3">
      <c r="B3" s="255" t="s">
        <v>219</v>
      </c>
      <c r="C3" s="318" t="s">
        <v>365</v>
      </c>
      <c r="D3" s="187" t="s">
        <v>1</v>
      </c>
      <c r="E3" s="5" t="s">
        <v>97</v>
      </c>
      <c r="F3" s="5" t="s">
        <v>73</v>
      </c>
      <c r="G3" s="5" t="s">
        <v>74</v>
      </c>
      <c r="H3" s="5" t="s">
        <v>96</v>
      </c>
      <c r="I3" s="5" t="s">
        <v>154</v>
      </c>
      <c r="J3" s="5" t="s">
        <v>156</v>
      </c>
      <c r="K3" s="5" t="s">
        <v>158</v>
      </c>
      <c r="L3" s="5" t="s">
        <v>171</v>
      </c>
      <c r="M3" s="5" t="s">
        <v>173</v>
      </c>
      <c r="N3" s="5" t="s">
        <v>175</v>
      </c>
      <c r="O3" s="5" t="s">
        <v>176</v>
      </c>
      <c r="P3" s="5" t="s">
        <v>177</v>
      </c>
      <c r="Q3" s="187" t="s">
        <v>186</v>
      </c>
      <c r="R3" s="187" t="s">
        <v>195</v>
      </c>
      <c r="S3" s="187" t="s">
        <v>201</v>
      </c>
      <c r="T3" s="187" t="s">
        <v>203</v>
      </c>
      <c r="U3" s="187" t="s">
        <v>206</v>
      </c>
      <c r="V3" s="187" t="s">
        <v>211</v>
      </c>
      <c r="W3" s="187" t="s">
        <v>215</v>
      </c>
      <c r="X3" s="187" t="s">
        <v>225</v>
      </c>
      <c r="Y3" s="187" t="s">
        <v>283</v>
      </c>
      <c r="Z3" s="187" t="s">
        <v>282</v>
      </c>
      <c r="AA3" s="187" t="s">
        <v>286</v>
      </c>
      <c r="AB3" s="187" t="s">
        <v>287</v>
      </c>
      <c r="AC3" s="187" t="s">
        <v>288</v>
      </c>
      <c r="AD3" s="187" t="s">
        <v>291</v>
      </c>
      <c r="AE3" s="187" t="s">
        <v>292</v>
      </c>
      <c r="AF3" s="187" t="s">
        <v>294</v>
      </c>
      <c r="AG3" s="187" t="s">
        <v>297</v>
      </c>
      <c r="AH3" s="187" t="s">
        <v>299</v>
      </c>
      <c r="AI3" s="187" t="s">
        <v>300</v>
      </c>
      <c r="AJ3" s="187" t="s">
        <v>314</v>
      </c>
      <c r="AK3" s="187" t="s">
        <v>317</v>
      </c>
      <c r="AL3" s="187" t="s">
        <v>318</v>
      </c>
      <c r="AM3" s="187" t="s">
        <v>320</v>
      </c>
      <c r="AN3" s="187" t="s">
        <v>327</v>
      </c>
      <c r="AO3" s="187" t="s">
        <v>330</v>
      </c>
      <c r="AP3" s="187" t="s">
        <v>365</v>
      </c>
      <c r="AQ3" s="94" t="s">
        <v>151</v>
      </c>
      <c r="AR3" s="11" t="s">
        <v>45</v>
      </c>
    </row>
    <row r="4" spans="2:47" ht="15.75" thickBot="1" x14ac:dyDescent="0.3">
      <c r="B4" s="74" t="s">
        <v>289</v>
      </c>
      <c r="D4" s="74" t="s">
        <v>10</v>
      </c>
      <c r="F4" s="74">
        <v>3</v>
      </c>
      <c r="G4" s="74">
        <v>3</v>
      </c>
      <c r="H4" s="74">
        <v>5</v>
      </c>
      <c r="I4" s="8">
        <v>3</v>
      </c>
      <c r="J4" s="8">
        <v>4</v>
      </c>
      <c r="K4" s="8">
        <v>2</v>
      </c>
      <c r="L4" s="8"/>
      <c r="M4" s="8">
        <v>2</v>
      </c>
      <c r="N4" s="8">
        <v>3</v>
      </c>
      <c r="O4" s="8"/>
      <c r="P4" s="8"/>
      <c r="Q4" s="8"/>
      <c r="R4" s="8"/>
      <c r="S4" s="8"/>
      <c r="T4" s="8"/>
      <c r="U4" s="8">
        <v>0</v>
      </c>
      <c r="V4" s="8"/>
      <c r="W4" s="74">
        <f>0</f>
        <v>0</v>
      </c>
      <c r="X4" s="8">
        <f>0</f>
        <v>0</v>
      </c>
      <c r="Y4" s="8">
        <f>0</f>
        <v>0</v>
      </c>
      <c r="Z4" s="74">
        <f>0</f>
        <v>0</v>
      </c>
      <c r="AA4" s="74">
        <f>0</f>
        <v>0</v>
      </c>
      <c r="AB4" s="74">
        <f>0</f>
        <v>0</v>
      </c>
      <c r="AC4" s="74">
        <f>0</f>
        <v>0</v>
      </c>
      <c r="AE4" s="74">
        <f>0</f>
        <v>0</v>
      </c>
      <c r="AF4" s="8">
        <v>1</v>
      </c>
      <c r="AG4" s="8">
        <f>0</f>
        <v>0</v>
      </c>
      <c r="AH4" s="8">
        <v>1</v>
      </c>
      <c r="AI4" s="8">
        <f>0</f>
        <v>0</v>
      </c>
      <c r="AJ4" s="8">
        <v>2</v>
      </c>
      <c r="AK4" s="8">
        <f>0</f>
        <v>0</v>
      </c>
      <c r="AL4" s="8">
        <f>0</f>
        <v>0</v>
      </c>
      <c r="AM4" s="8">
        <f>0</f>
        <v>0</v>
      </c>
      <c r="AN4" s="8">
        <f>0</f>
        <v>0</v>
      </c>
      <c r="AO4" s="8">
        <v>3</v>
      </c>
      <c r="AP4" s="8">
        <v>3</v>
      </c>
      <c r="AQ4" s="94">
        <f t="shared" ref="AQ4:AQ35" si="0">SUM(AK4:AP4)</f>
        <v>6</v>
      </c>
      <c r="AR4" s="10">
        <f t="shared" ref="AR4:AR35" si="1">VLOOKUP(D4,$B$6:$C$52,2,FALSE)</f>
        <v>3</v>
      </c>
    </row>
    <row r="5" spans="2:47" ht="21" customHeight="1" thickBot="1" x14ac:dyDescent="0.3">
      <c r="B5" s="249" t="s">
        <v>223</v>
      </c>
      <c r="C5" s="252" t="s">
        <v>224</v>
      </c>
      <c r="D5" s="132" t="s">
        <v>193</v>
      </c>
      <c r="R5" s="74">
        <v>3</v>
      </c>
      <c r="S5" s="74">
        <v>1</v>
      </c>
      <c r="T5" s="74">
        <v>5</v>
      </c>
      <c r="U5" s="74">
        <f>0</f>
        <v>0</v>
      </c>
      <c r="W5" s="74">
        <v>4</v>
      </c>
      <c r="X5" s="74">
        <v>1</v>
      </c>
      <c r="Y5" s="74">
        <f>0</f>
        <v>0</v>
      </c>
      <c r="Z5" s="74">
        <f>0</f>
        <v>0</v>
      </c>
      <c r="AA5" s="74">
        <f>0</f>
        <v>0</v>
      </c>
      <c r="AB5" s="74">
        <f>0</f>
        <v>0</v>
      </c>
      <c r="AC5" s="74">
        <f>0</f>
        <v>0</v>
      </c>
      <c r="AE5" s="74">
        <v>1</v>
      </c>
      <c r="AF5" s="8">
        <f>0</f>
        <v>0</v>
      </c>
      <c r="AG5" s="8">
        <f>0</f>
        <v>0</v>
      </c>
      <c r="AH5" s="8">
        <f>0</f>
        <v>0</v>
      </c>
      <c r="AI5" s="8">
        <v>1</v>
      </c>
      <c r="AJ5" s="8">
        <f>0</f>
        <v>0</v>
      </c>
      <c r="AK5" s="8">
        <v>2</v>
      </c>
      <c r="AL5" s="8">
        <f>0</f>
        <v>0</v>
      </c>
      <c r="AM5" s="8">
        <v>1</v>
      </c>
      <c r="AN5" s="8">
        <f>0</f>
        <v>0</v>
      </c>
      <c r="AO5" s="8">
        <f>0</f>
        <v>0</v>
      </c>
      <c r="AP5" s="8">
        <v>1</v>
      </c>
      <c r="AQ5" s="94">
        <f t="shared" si="0"/>
        <v>4</v>
      </c>
      <c r="AR5" s="10">
        <f t="shared" si="1"/>
        <v>1</v>
      </c>
    </row>
    <row r="6" spans="2:47" ht="14.45" customHeight="1" x14ac:dyDescent="0.3">
      <c r="B6" s="321" t="s">
        <v>10</v>
      </c>
      <c r="C6" s="322">
        <f>3</f>
        <v>3</v>
      </c>
      <c r="D6" s="132" t="s">
        <v>182</v>
      </c>
      <c r="P6" s="74">
        <v>3</v>
      </c>
      <c r="Q6" s="74">
        <v>4</v>
      </c>
      <c r="R6" s="74">
        <v>2</v>
      </c>
      <c r="S6" s="74">
        <v>1</v>
      </c>
      <c r="T6" s="74">
        <v>2</v>
      </c>
      <c r="U6" s="74">
        <v>1</v>
      </c>
      <c r="W6" s="74">
        <v>1</v>
      </c>
      <c r="X6" s="8">
        <f>0</f>
        <v>0</v>
      </c>
      <c r="Y6" s="8">
        <f>0</f>
        <v>0</v>
      </c>
      <c r="Z6" s="8">
        <v>1</v>
      </c>
      <c r="AA6" s="8">
        <v>1</v>
      </c>
      <c r="AB6" s="8">
        <v>1</v>
      </c>
      <c r="AC6" s="74">
        <f>0</f>
        <v>0</v>
      </c>
      <c r="AE6" s="74">
        <f>0</f>
        <v>0</v>
      </c>
      <c r="AF6" s="8">
        <f>0</f>
        <v>0</v>
      </c>
      <c r="AG6" s="8">
        <f>0</f>
        <v>0</v>
      </c>
      <c r="AH6" s="8">
        <f>0</f>
        <v>0</v>
      </c>
      <c r="AI6" s="8">
        <v>2</v>
      </c>
      <c r="AJ6" s="8">
        <f>0</f>
        <v>0</v>
      </c>
      <c r="AK6" s="8">
        <f>0</f>
        <v>0</v>
      </c>
      <c r="AL6" s="8">
        <f>0</f>
        <v>0</v>
      </c>
      <c r="AM6" s="8">
        <v>3</v>
      </c>
      <c r="AN6" s="8">
        <f>0</f>
        <v>0</v>
      </c>
      <c r="AO6" s="8">
        <f>0</f>
        <v>0</v>
      </c>
      <c r="AP6" s="8">
        <v>0</v>
      </c>
      <c r="AQ6" s="94">
        <f t="shared" si="0"/>
        <v>3</v>
      </c>
      <c r="AR6" s="10" t="e">
        <f t="shared" si="1"/>
        <v>#N/A</v>
      </c>
      <c r="AS6" s="136"/>
      <c r="AT6" s="136"/>
    </row>
    <row r="7" spans="2:47" ht="14.45" customHeight="1" x14ac:dyDescent="0.3">
      <c r="B7" s="323" t="s">
        <v>15</v>
      </c>
      <c r="C7" s="322">
        <v>2</v>
      </c>
      <c r="D7" s="74" t="s">
        <v>6</v>
      </c>
      <c r="F7" s="74">
        <v>1</v>
      </c>
      <c r="G7" s="74">
        <v>2</v>
      </c>
      <c r="H7" s="74">
        <v>2</v>
      </c>
      <c r="I7" s="8">
        <v>3</v>
      </c>
      <c r="J7" s="8">
        <v>2</v>
      </c>
      <c r="K7" s="8"/>
      <c r="L7" s="8">
        <v>1</v>
      </c>
      <c r="M7" s="8">
        <v>2</v>
      </c>
      <c r="N7" s="8"/>
      <c r="O7" s="8"/>
      <c r="P7" s="8">
        <v>2</v>
      </c>
      <c r="Q7" s="8">
        <v>4</v>
      </c>
      <c r="R7" s="8">
        <v>8</v>
      </c>
      <c r="S7" s="8">
        <v>2</v>
      </c>
      <c r="T7" s="8">
        <v>5</v>
      </c>
      <c r="U7" s="8">
        <v>2</v>
      </c>
      <c r="V7" s="8">
        <v>1</v>
      </c>
      <c r="W7" s="8">
        <f>0</f>
        <v>0</v>
      </c>
      <c r="X7" s="8">
        <f>0</f>
        <v>0</v>
      </c>
      <c r="Y7" s="8">
        <v>2</v>
      </c>
      <c r="Z7" s="8">
        <v>2</v>
      </c>
      <c r="AA7" s="8">
        <v>1</v>
      </c>
      <c r="AB7" s="8">
        <v>1</v>
      </c>
      <c r="AC7" s="8">
        <v>2</v>
      </c>
      <c r="AD7" s="8"/>
      <c r="AE7" s="8">
        <v>4</v>
      </c>
      <c r="AF7" s="8">
        <f>0</f>
        <v>0</v>
      </c>
      <c r="AG7" s="8">
        <v>1</v>
      </c>
      <c r="AH7" s="8">
        <f>0</f>
        <v>0</v>
      </c>
      <c r="AI7" s="8">
        <v>1</v>
      </c>
      <c r="AJ7" s="8">
        <f>0</f>
        <v>0</v>
      </c>
      <c r="AK7" s="8">
        <v>1</v>
      </c>
      <c r="AL7" s="8">
        <v>1</v>
      </c>
      <c r="AM7" s="8">
        <f>0</f>
        <v>0</v>
      </c>
      <c r="AN7" s="8">
        <f>0</f>
        <v>0</v>
      </c>
      <c r="AO7" s="8">
        <f>0</f>
        <v>0</v>
      </c>
      <c r="AP7" s="8">
        <v>0</v>
      </c>
      <c r="AQ7" s="94">
        <f t="shared" si="0"/>
        <v>2</v>
      </c>
      <c r="AR7" s="10" t="e">
        <f t="shared" si="1"/>
        <v>#N/A</v>
      </c>
      <c r="AS7" s="136"/>
      <c r="AT7" s="136"/>
      <c r="AU7" s="5"/>
    </row>
    <row r="8" spans="2:47" ht="18.75" x14ac:dyDescent="0.3">
      <c r="B8" s="324" t="s">
        <v>184</v>
      </c>
      <c r="C8" s="322">
        <v>1</v>
      </c>
      <c r="D8" s="132" t="s">
        <v>183</v>
      </c>
      <c r="P8" s="74">
        <v>1</v>
      </c>
      <c r="Q8" s="74">
        <v>1</v>
      </c>
      <c r="R8" s="74">
        <v>1</v>
      </c>
      <c r="U8" s="74">
        <v>0</v>
      </c>
      <c r="W8" s="74">
        <f>0</f>
        <v>0</v>
      </c>
      <c r="X8" s="8">
        <f>0</f>
        <v>0</v>
      </c>
      <c r="Y8" s="8">
        <f>0</f>
        <v>0</v>
      </c>
      <c r="Z8" s="74">
        <f>0</f>
        <v>0</v>
      </c>
      <c r="AA8" s="74">
        <f>0</f>
        <v>0</v>
      </c>
      <c r="AB8" s="74">
        <v>1</v>
      </c>
      <c r="AC8" s="74">
        <v>1</v>
      </c>
      <c r="AE8" s="74">
        <f>0</f>
        <v>0</v>
      </c>
      <c r="AF8" s="8">
        <f>0</f>
        <v>0</v>
      </c>
      <c r="AG8" s="8">
        <f>0</f>
        <v>0</v>
      </c>
      <c r="AH8" s="8">
        <f>0</f>
        <v>0</v>
      </c>
      <c r="AI8" s="8">
        <f>0</f>
        <v>0</v>
      </c>
      <c r="AJ8" s="8">
        <f>0</f>
        <v>0</v>
      </c>
      <c r="AK8" s="8">
        <v>1</v>
      </c>
      <c r="AL8" s="8">
        <v>1</v>
      </c>
      <c r="AM8" s="8">
        <f>0</f>
        <v>0</v>
      </c>
      <c r="AN8" s="8">
        <f>0</f>
        <v>0</v>
      </c>
      <c r="AO8" s="8">
        <f>0</f>
        <v>0</v>
      </c>
      <c r="AP8" s="8">
        <v>0</v>
      </c>
      <c r="AQ8" s="94">
        <f t="shared" si="0"/>
        <v>2</v>
      </c>
      <c r="AR8" s="10" t="e">
        <f t="shared" si="1"/>
        <v>#N/A</v>
      </c>
      <c r="AS8" s="136"/>
      <c r="AT8" s="136"/>
    </row>
    <row r="9" spans="2:47" ht="18.75" x14ac:dyDescent="0.3">
      <c r="B9" s="324" t="s">
        <v>193</v>
      </c>
      <c r="C9" s="322">
        <f>1</f>
        <v>1</v>
      </c>
      <c r="D9" s="74" t="s">
        <v>33</v>
      </c>
      <c r="F9" s="74">
        <v>4</v>
      </c>
      <c r="G9" s="74">
        <v>1</v>
      </c>
      <c r="I9" s="8"/>
      <c r="J9" s="8">
        <v>1</v>
      </c>
      <c r="K9" s="8"/>
      <c r="L9" s="8"/>
      <c r="M9" s="8"/>
      <c r="N9" s="8"/>
      <c r="O9" s="8"/>
      <c r="P9" s="8"/>
      <c r="Q9" s="8"/>
      <c r="R9" s="8"/>
      <c r="S9" s="8"/>
      <c r="T9" s="8"/>
      <c r="U9" s="8">
        <v>0</v>
      </c>
      <c r="V9" s="8"/>
      <c r="W9" s="74">
        <f>0</f>
        <v>0</v>
      </c>
      <c r="X9" s="8">
        <f>0</f>
        <v>0</v>
      </c>
      <c r="Y9" s="8">
        <f>0</f>
        <v>0</v>
      </c>
      <c r="Z9" s="74">
        <f>0</f>
        <v>0</v>
      </c>
      <c r="AA9" s="74">
        <f>0</f>
        <v>0</v>
      </c>
      <c r="AB9" s="74">
        <f>0</f>
        <v>0</v>
      </c>
      <c r="AC9" s="74">
        <f>0</f>
        <v>0</v>
      </c>
      <c r="AE9" s="74">
        <f>0</f>
        <v>0</v>
      </c>
      <c r="AF9" s="8">
        <f>0</f>
        <v>0</v>
      </c>
      <c r="AG9" s="8">
        <f>0</f>
        <v>0</v>
      </c>
      <c r="AH9" s="8">
        <f>0</f>
        <v>0</v>
      </c>
      <c r="AI9" s="8">
        <f>0</f>
        <v>0</v>
      </c>
      <c r="AJ9" s="8">
        <f>0</f>
        <v>0</v>
      </c>
      <c r="AK9" s="8">
        <f>0</f>
        <v>0</v>
      </c>
      <c r="AL9" s="8">
        <f>0</f>
        <v>0</v>
      </c>
      <c r="AM9" s="8">
        <v>1</v>
      </c>
      <c r="AN9" s="8">
        <f>0</f>
        <v>0</v>
      </c>
      <c r="AO9" s="8">
        <f>0</f>
        <v>0</v>
      </c>
      <c r="AP9" s="8">
        <v>1</v>
      </c>
      <c r="AQ9" s="94">
        <f t="shared" si="0"/>
        <v>2</v>
      </c>
      <c r="AR9" s="10">
        <f t="shared" si="1"/>
        <v>1</v>
      </c>
      <c r="AS9" s="136"/>
      <c r="AT9" s="136"/>
    </row>
    <row r="10" spans="2:47" ht="18.75" x14ac:dyDescent="0.3">
      <c r="B10" s="324" t="s">
        <v>33</v>
      </c>
      <c r="C10" s="322">
        <f>1</f>
        <v>1</v>
      </c>
      <c r="D10" s="74" t="s">
        <v>15</v>
      </c>
      <c r="O10" s="74">
        <v>1</v>
      </c>
      <c r="U10" s="74">
        <v>0</v>
      </c>
      <c r="W10" s="74">
        <f>0</f>
        <v>0</v>
      </c>
      <c r="X10" s="8">
        <f>0</f>
        <v>0</v>
      </c>
      <c r="Y10" s="8">
        <f>0</f>
        <v>0</v>
      </c>
      <c r="Z10" s="74">
        <f>0</f>
        <v>0</v>
      </c>
      <c r="AA10" s="74">
        <f>0</f>
        <v>0</v>
      </c>
      <c r="AB10" s="74">
        <f>0</f>
        <v>0</v>
      </c>
      <c r="AC10" s="74">
        <f>0</f>
        <v>0</v>
      </c>
      <c r="AE10" s="74">
        <f>0</f>
        <v>0</v>
      </c>
      <c r="AF10" s="8">
        <f>0</f>
        <v>0</v>
      </c>
      <c r="AG10" s="8">
        <f>0</f>
        <v>0</v>
      </c>
      <c r="AH10" s="8">
        <f>0</f>
        <v>0</v>
      </c>
      <c r="AI10" s="8">
        <f>0</f>
        <v>0</v>
      </c>
      <c r="AJ10" s="8">
        <f>0</f>
        <v>0</v>
      </c>
      <c r="AK10" s="8">
        <f>0</f>
        <v>0</v>
      </c>
      <c r="AL10" s="8">
        <f>0</f>
        <v>0</v>
      </c>
      <c r="AM10" s="8">
        <f>0</f>
        <v>0</v>
      </c>
      <c r="AN10" s="8">
        <f>0</f>
        <v>0</v>
      </c>
      <c r="AO10" s="8">
        <f>0</f>
        <v>0</v>
      </c>
      <c r="AP10" s="8">
        <v>2</v>
      </c>
      <c r="AQ10" s="94">
        <f t="shared" si="0"/>
        <v>2</v>
      </c>
      <c r="AR10" s="10">
        <f t="shared" si="1"/>
        <v>2</v>
      </c>
      <c r="AS10" s="136"/>
      <c r="AT10" s="136"/>
    </row>
    <row r="11" spans="2:47" ht="18.75" x14ac:dyDescent="0.3">
      <c r="B11" s="324" t="s">
        <v>179</v>
      </c>
      <c r="C11" s="322">
        <f>1</f>
        <v>1</v>
      </c>
      <c r="D11" s="132" t="s">
        <v>189</v>
      </c>
      <c r="Q11" s="74">
        <v>1</v>
      </c>
      <c r="U11" s="74">
        <v>0</v>
      </c>
      <c r="W11" s="74">
        <v>1</v>
      </c>
      <c r="X11" s="8">
        <f>0</f>
        <v>0</v>
      </c>
      <c r="Y11" s="8">
        <f>0</f>
        <v>0</v>
      </c>
      <c r="Z11" s="74">
        <f>0</f>
        <v>0</v>
      </c>
      <c r="AA11" s="74">
        <f>0</f>
        <v>0</v>
      </c>
      <c r="AB11" s="74">
        <f>0</f>
        <v>0</v>
      </c>
      <c r="AC11" s="74">
        <f>0</f>
        <v>0</v>
      </c>
      <c r="AE11" s="74">
        <f>0</f>
        <v>0</v>
      </c>
      <c r="AF11" s="8">
        <f>0</f>
        <v>0</v>
      </c>
      <c r="AG11" s="8">
        <f>0</f>
        <v>0</v>
      </c>
      <c r="AH11" s="8">
        <f>0</f>
        <v>0</v>
      </c>
      <c r="AI11" s="8">
        <v>1</v>
      </c>
      <c r="AJ11" s="8">
        <f>0</f>
        <v>0</v>
      </c>
      <c r="AK11" s="8">
        <f>0</f>
        <v>0</v>
      </c>
      <c r="AL11" s="8">
        <f>0</f>
        <v>0</v>
      </c>
      <c r="AM11" s="8">
        <v>1</v>
      </c>
      <c r="AN11" s="8">
        <f>0</f>
        <v>0</v>
      </c>
      <c r="AO11" s="8">
        <f>0</f>
        <v>0</v>
      </c>
      <c r="AP11" s="8">
        <v>0</v>
      </c>
      <c r="AQ11" s="94">
        <f t="shared" si="0"/>
        <v>1</v>
      </c>
      <c r="AR11" s="10" t="e">
        <f t="shared" si="1"/>
        <v>#N/A</v>
      </c>
      <c r="AS11" s="136"/>
      <c r="AT11" s="136"/>
    </row>
    <row r="12" spans="2:47" x14ac:dyDescent="0.25">
      <c r="B12" s="188"/>
      <c r="C12" s="189"/>
      <c r="D12" s="132" t="s">
        <v>178</v>
      </c>
      <c r="P12" s="74">
        <v>2</v>
      </c>
      <c r="T12" s="74">
        <v>1</v>
      </c>
      <c r="U12" s="74">
        <v>0</v>
      </c>
      <c r="W12" s="74">
        <f>0</f>
        <v>0</v>
      </c>
      <c r="X12" s="8">
        <f>0</f>
        <v>0</v>
      </c>
      <c r="Y12" s="8">
        <f>0</f>
        <v>0</v>
      </c>
      <c r="Z12" s="8">
        <v>2</v>
      </c>
      <c r="AA12" s="74">
        <f>0</f>
        <v>0</v>
      </c>
      <c r="AB12" s="74">
        <f>0</f>
        <v>0</v>
      </c>
      <c r="AC12" s="74">
        <f>0</f>
        <v>0</v>
      </c>
      <c r="AE12" s="74">
        <f>0</f>
        <v>0</v>
      </c>
      <c r="AF12" s="8">
        <f>0</f>
        <v>0</v>
      </c>
      <c r="AG12" s="8">
        <f>0</f>
        <v>0</v>
      </c>
      <c r="AH12" s="8">
        <f>0</f>
        <v>0</v>
      </c>
      <c r="AI12" s="8">
        <f>0</f>
        <v>0</v>
      </c>
      <c r="AJ12" s="8">
        <f>0</f>
        <v>0</v>
      </c>
      <c r="AK12" s="8">
        <f>0</f>
        <v>0</v>
      </c>
      <c r="AL12" s="8">
        <v>1</v>
      </c>
      <c r="AM12" s="8">
        <f>0</f>
        <v>0</v>
      </c>
      <c r="AN12" s="8">
        <f>0</f>
        <v>0</v>
      </c>
      <c r="AO12" s="8">
        <f>0</f>
        <v>0</v>
      </c>
      <c r="AP12" s="8">
        <v>0</v>
      </c>
      <c r="AQ12" s="94">
        <f t="shared" si="0"/>
        <v>1</v>
      </c>
      <c r="AR12" s="10" t="e">
        <f t="shared" si="1"/>
        <v>#N/A</v>
      </c>
      <c r="AS12" s="136"/>
      <c r="AT12" s="136"/>
    </row>
    <row r="13" spans="2:47" x14ac:dyDescent="0.25">
      <c r="B13" s="188"/>
      <c r="C13" s="189"/>
      <c r="D13" s="74" t="s">
        <v>321</v>
      </c>
      <c r="AL13" s="74">
        <v>1</v>
      </c>
      <c r="AM13" s="8">
        <f>0</f>
        <v>0</v>
      </c>
      <c r="AN13" s="8">
        <f>0</f>
        <v>0</v>
      </c>
      <c r="AO13" s="8">
        <f>0</f>
        <v>0</v>
      </c>
      <c r="AP13" s="8">
        <v>0</v>
      </c>
      <c r="AQ13" s="94">
        <f t="shared" si="0"/>
        <v>1</v>
      </c>
      <c r="AR13" s="10" t="e">
        <f t="shared" si="1"/>
        <v>#N/A</v>
      </c>
      <c r="AS13" s="136"/>
      <c r="AT13" s="136"/>
    </row>
    <row r="14" spans="2:47" x14ac:dyDescent="0.25">
      <c r="B14" s="188"/>
      <c r="C14" s="189"/>
      <c r="D14" s="74" t="s">
        <v>328</v>
      </c>
      <c r="AL14" s="8">
        <f>0</f>
        <v>0</v>
      </c>
      <c r="AM14" s="74">
        <v>1</v>
      </c>
      <c r="AN14" s="8">
        <f>0</f>
        <v>0</v>
      </c>
      <c r="AO14" s="8">
        <f>0</f>
        <v>0</v>
      </c>
      <c r="AP14" s="8">
        <v>0</v>
      </c>
      <c r="AQ14" s="94">
        <f t="shared" si="0"/>
        <v>1</v>
      </c>
      <c r="AR14" s="10" t="e">
        <f t="shared" si="1"/>
        <v>#N/A</v>
      </c>
      <c r="AS14" s="136"/>
      <c r="AT14" s="136"/>
    </row>
    <row r="15" spans="2:47" x14ac:dyDescent="0.25">
      <c r="B15" s="188"/>
      <c r="C15" s="189"/>
      <c r="D15" s="74" t="s">
        <v>329</v>
      </c>
      <c r="AL15" s="8">
        <f>0</f>
        <v>0</v>
      </c>
      <c r="AM15" s="74">
        <v>1</v>
      </c>
      <c r="AN15" s="8">
        <f>0</f>
        <v>0</v>
      </c>
      <c r="AO15" s="8">
        <f>0</f>
        <v>0</v>
      </c>
      <c r="AP15" s="8">
        <v>0</v>
      </c>
      <c r="AQ15" s="94">
        <f t="shared" si="0"/>
        <v>1</v>
      </c>
      <c r="AR15" s="10" t="e">
        <f t="shared" si="1"/>
        <v>#N/A</v>
      </c>
      <c r="AS15" s="136"/>
      <c r="AT15" s="136"/>
    </row>
    <row r="16" spans="2:47" x14ac:dyDescent="0.25">
      <c r="B16" s="188"/>
      <c r="C16" s="189"/>
      <c r="D16" s="132" t="s">
        <v>184</v>
      </c>
      <c r="P16" s="74">
        <v>1</v>
      </c>
      <c r="Q16" s="74">
        <v>1</v>
      </c>
      <c r="R16" s="74">
        <v>2</v>
      </c>
      <c r="T16" s="74">
        <v>1</v>
      </c>
      <c r="U16" s="74">
        <v>0</v>
      </c>
      <c r="W16" s="74">
        <f>0</f>
        <v>0</v>
      </c>
      <c r="X16" s="8">
        <f>0</f>
        <v>0</v>
      </c>
      <c r="Y16" s="8">
        <f>0</f>
        <v>0</v>
      </c>
      <c r="Z16" s="74">
        <f>0</f>
        <v>0</v>
      </c>
      <c r="AA16" s="74">
        <v>1</v>
      </c>
      <c r="AB16" s="74">
        <v>1</v>
      </c>
      <c r="AC16" s="74">
        <f>0</f>
        <v>0</v>
      </c>
      <c r="AE16" s="74">
        <f>0</f>
        <v>0</v>
      </c>
      <c r="AF16" s="8">
        <f>0</f>
        <v>0</v>
      </c>
      <c r="AG16" s="8">
        <f>0</f>
        <v>0</v>
      </c>
      <c r="AH16" s="8">
        <f>0</f>
        <v>0</v>
      </c>
      <c r="AI16" s="8">
        <f>0</f>
        <v>0</v>
      </c>
      <c r="AJ16" s="8">
        <f>0</f>
        <v>0</v>
      </c>
      <c r="AK16" s="8">
        <f>0</f>
        <v>0</v>
      </c>
      <c r="AL16" s="8">
        <f>0</f>
        <v>0</v>
      </c>
      <c r="AM16" s="8">
        <f>0</f>
        <v>0</v>
      </c>
      <c r="AN16" s="8">
        <f>0</f>
        <v>0</v>
      </c>
      <c r="AO16" s="8">
        <f>0</f>
        <v>0</v>
      </c>
      <c r="AP16" s="8">
        <v>1</v>
      </c>
      <c r="AQ16" s="94">
        <f t="shared" si="0"/>
        <v>1</v>
      </c>
      <c r="AR16" s="10">
        <f t="shared" si="1"/>
        <v>1</v>
      </c>
      <c r="AS16" s="136"/>
      <c r="AT16" s="136"/>
    </row>
    <row r="17" spans="2:48" x14ac:dyDescent="0.25">
      <c r="B17" s="188"/>
      <c r="C17" s="189"/>
      <c r="D17" s="132" t="s">
        <v>179</v>
      </c>
      <c r="P17" s="74">
        <v>1</v>
      </c>
      <c r="U17" s="74">
        <v>0</v>
      </c>
      <c r="W17" s="74">
        <f>0</f>
        <v>0</v>
      </c>
      <c r="X17" s="8">
        <f>0</f>
        <v>0</v>
      </c>
      <c r="Y17" s="8">
        <f>0</f>
        <v>0</v>
      </c>
      <c r="Z17" s="74">
        <f>0</f>
        <v>0</v>
      </c>
      <c r="AA17" s="74">
        <f>0</f>
        <v>0</v>
      </c>
      <c r="AB17" s="74">
        <f>0</f>
        <v>0</v>
      </c>
      <c r="AC17" s="74">
        <f>0</f>
        <v>0</v>
      </c>
      <c r="AE17" s="74">
        <f>0</f>
        <v>0</v>
      </c>
      <c r="AF17" s="8">
        <f>0</f>
        <v>0</v>
      </c>
      <c r="AG17" s="8">
        <f>0</f>
        <v>0</v>
      </c>
      <c r="AH17" s="8">
        <f>0</f>
        <v>0</v>
      </c>
      <c r="AI17" s="8">
        <f>0</f>
        <v>0</v>
      </c>
      <c r="AJ17" s="8">
        <f>0</f>
        <v>0</v>
      </c>
      <c r="AK17" s="8">
        <f>0</f>
        <v>0</v>
      </c>
      <c r="AL17" s="8">
        <f>0</f>
        <v>0</v>
      </c>
      <c r="AM17" s="8">
        <f>0</f>
        <v>0</v>
      </c>
      <c r="AN17" s="8">
        <f>0</f>
        <v>0</v>
      </c>
      <c r="AO17" s="8">
        <f>0</f>
        <v>0</v>
      </c>
      <c r="AP17" s="8">
        <v>1</v>
      </c>
      <c r="AQ17" s="94">
        <f t="shared" si="0"/>
        <v>1</v>
      </c>
      <c r="AR17" s="10">
        <f t="shared" si="1"/>
        <v>1</v>
      </c>
      <c r="AS17" s="136"/>
      <c r="AT17" s="136"/>
    </row>
    <row r="18" spans="2:48" x14ac:dyDescent="0.25">
      <c r="B18" s="188"/>
      <c r="C18" s="189"/>
      <c r="D18" s="74" t="s">
        <v>24</v>
      </c>
      <c r="G18" s="74">
        <v>3</v>
      </c>
      <c r="I18" s="8"/>
      <c r="J18" s="8">
        <v>1</v>
      </c>
      <c r="K18" s="8">
        <v>2</v>
      </c>
      <c r="L18" s="8"/>
      <c r="M18" s="8"/>
      <c r="N18" s="8">
        <v>2</v>
      </c>
      <c r="O18" s="8"/>
      <c r="P18" s="8"/>
      <c r="Q18" s="8"/>
      <c r="R18" s="8"/>
      <c r="S18" s="8"/>
      <c r="T18" s="8"/>
      <c r="U18" s="8">
        <v>0</v>
      </c>
      <c r="V18" s="8">
        <v>1</v>
      </c>
      <c r="W18" s="74">
        <f>0</f>
        <v>0</v>
      </c>
      <c r="X18" s="8">
        <f>0</f>
        <v>0</v>
      </c>
      <c r="Y18" s="8">
        <f>0</f>
        <v>0</v>
      </c>
      <c r="Z18" s="74">
        <f>0</f>
        <v>0</v>
      </c>
      <c r="AA18" s="74">
        <f>0</f>
        <v>0</v>
      </c>
      <c r="AB18" s="74">
        <f>0</f>
        <v>0</v>
      </c>
      <c r="AC18" s="74">
        <f>0</f>
        <v>0</v>
      </c>
      <c r="AE18" s="74">
        <f>0</f>
        <v>0</v>
      </c>
      <c r="AF18" s="8">
        <f>0</f>
        <v>0</v>
      </c>
      <c r="AG18" s="8">
        <f>0</f>
        <v>0</v>
      </c>
      <c r="AH18" s="8">
        <f>0</f>
        <v>0</v>
      </c>
      <c r="AI18" s="8">
        <v>1</v>
      </c>
      <c r="AJ18" s="8">
        <f>0</f>
        <v>0</v>
      </c>
      <c r="AK18" s="8">
        <f>0</f>
        <v>0</v>
      </c>
      <c r="AL18" s="8">
        <f>0</f>
        <v>0</v>
      </c>
      <c r="AM18" s="8">
        <f>0</f>
        <v>0</v>
      </c>
      <c r="AN18" s="8">
        <f>0</f>
        <v>0</v>
      </c>
      <c r="AO18" s="8">
        <f>0</f>
        <v>0</v>
      </c>
      <c r="AP18" s="8">
        <v>0</v>
      </c>
      <c r="AQ18" s="94">
        <f t="shared" si="0"/>
        <v>0</v>
      </c>
      <c r="AR18" s="10" t="e">
        <f t="shared" si="1"/>
        <v>#N/A</v>
      </c>
      <c r="AS18" s="132"/>
      <c r="AT18" s="133"/>
    </row>
    <row r="19" spans="2:48" x14ac:dyDescent="0.25">
      <c r="B19" s="188"/>
      <c r="C19" s="189"/>
      <c r="D19" s="74" t="s">
        <v>16</v>
      </c>
      <c r="G19" s="74">
        <v>1</v>
      </c>
      <c r="J19" s="74">
        <v>1</v>
      </c>
      <c r="K19" s="74">
        <v>1</v>
      </c>
      <c r="N19" s="74">
        <v>1</v>
      </c>
      <c r="O19" s="74">
        <v>1</v>
      </c>
      <c r="U19" s="74">
        <v>0</v>
      </c>
      <c r="W19" s="74">
        <f>0</f>
        <v>0</v>
      </c>
      <c r="X19" s="8">
        <f>0</f>
        <v>0</v>
      </c>
      <c r="Y19" s="8">
        <f>0</f>
        <v>0</v>
      </c>
      <c r="Z19" s="74">
        <f>0</f>
        <v>0</v>
      </c>
      <c r="AA19" s="74">
        <f>0</f>
        <v>0</v>
      </c>
      <c r="AB19" s="74">
        <f>0</f>
        <v>0</v>
      </c>
      <c r="AC19" s="74">
        <f>0</f>
        <v>0</v>
      </c>
      <c r="AE19" s="74">
        <f>0</f>
        <v>0</v>
      </c>
      <c r="AF19" s="8">
        <f>0</f>
        <v>0</v>
      </c>
      <c r="AG19" s="8">
        <f>0</f>
        <v>0</v>
      </c>
      <c r="AH19" s="8">
        <v>1</v>
      </c>
      <c r="AI19" s="8">
        <f>0</f>
        <v>0</v>
      </c>
      <c r="AJ19" s="8">
        <f>0</f>
        <v>0</v>
      </c>
      <c r="AK19" s="8">
        <f>0</f>
        <v>0</v>
      </c>
      <c r="AL19" s="8">
        <f>0</f>
        <v>0</v>
      </c>
      <c r="AM19" s="8">
        <f>0</f>
        <v>0</v>
      </c>
      <c r="AN19" s="8">
        <f>0</f>
        <v>0</v>
      </c>
      <c r="AO19" s="8">
        <f>0</f>
        <v>0</v>
      </c>
      <c r="AP19" s="8">
        <v>0</v>
      </c>
      <c r="AQ19" s="94">
        <f t="shared" si="0"/>
        <v>0</v>
      </c>
      <c r="AR19" s="10" t="e">
        <f t="shared" si="1"/>
        <v>#N/A</v>
      </c>
    </row>
    <row r="20" spans="2:48" x14ac:dyDescent="0.25">
      <c r="B20" s="188"/>
      <c r="C20" s="189"/>
      <c r="D20" s="74" t="s">
        <v>13</v>
      </c>
      <c r="O20" s="74">
        <v>1</v>
      </c>
      <c r="R20" s="74">
        <v>1</v>
      </c>
      <c r="U20" s="74">
        <v>0</v>
      </c>
      <c r="W20" s="74">
        <f>0</f>
        <v>0</v>
      </c>
      <c r="X20" s="8">
        <f>0</f>
        <v>0</v>
      </c>
      <c r="Y20" s="8">
        <f>0</f>
        <v>0</v>
      </c>
      <c r="Z20" s="8">
        <v>1</v>
      </c>
      <c r="AA20" s="74">
        <f>0</f>
        <v>0</v>
      </c>
      <c r="AB20" s="74">
        <f>0</f>
        <v>0</v>
      </c>
      <c r="AC20" s="74">
        <f>0</f>
        <v>0</v>
      </c>
      <c r="AE20" s="74">
        <f>0</f>
        <v>0</v>
      </c>
      <c r="AF20" s="8">
        <f>0</f>
        <v>0</v>
      </c>
      <c r="AG20" s="8">
        <v>1</v>
      </c>
      <c r="AH20" s="8">
        <f>0</f>
        <v>0</v>
      </c>
      <c r="AI20" s="8">
        <f>0</f>
        <v>0</v>
      </c>
      <c r="AJ20" s="8">
        <f>0</f>
        <v>0</v>
      </c>
      <c r="AK20" s="8">
        <f>0</f>
        <v>0</v>
      </c>
      <c r="AL20" s="8">
        <f>0</f>
        <v>0</v>
      </c>
      <c r="AM20" s="8">
        <f>0</f>
        <v>0</v>
      </c>
      <c r="AN20" s="8">
        <f>0</f>
        <v>0</v>
      </c>
      <c r="AO20" s="8">
        <f>0</f>
        <v>0</v>
      </c>
      <c r="AP20" s="8">
        <v>0</v>
      </c>
      <c r="AQ20" s="94">
        <f t="shared" si="0"/>
        <v>0</v>
      </c>
      <c r="AR20" s="10" t="e">
        <f t="shared" si="1"/>
        <v>#N/A</v>
      </c>
    </row>
    <row r="21" spans="2:48" x14ac:dyDescent="0.25">
      <c r="B21" s="188"/>
      <c r="C21" s="189"/>
      <c r="D21" s="2" t="s">
        <v>298</v>
      </c>
      <c r="W21" s="74">
        <f>0</f>
        <v>0</v>
      </c>
      <c r="X21" s="8">
        <f>0</f>
        <v>0</v>
      </c>
      <c r="Y21" s="8">
        <f>0</f>
        <v>0</v>
      </c>
      <c r="Z21" s="74">
        <f>0</f>
        <v>0</v>
      </c>
      <c r="AA21" s="74">
        <f>0</f>
        <v>0</v>
      </c>
      <c r="AB21" s="74">
        <f>0</f>
        <v>0</v>
      </c>
      <c r="AC21" s="74">
        <f>0</f>
        <v>0</v>
      </c>
      <c r="AE21" s="74">
        <f>0</f>
        <v>0</v>
      </c>
      <c r="AF21" s="8">
        <v>2</v>
      </c>
      <c r="AG21" s="8">
        <f>0</f>
        <v>0</v>
      </c>
      <c r="AH21" s="8">
        <f>0</f>
        <v>0</v>
      </c>
      <c r="AI21" s="8">
        <f>0</f>
        <v>0</v>
      </c>
      <c r="AJ21" s="8">
        <f>0</f>
        <v>0</v>
      </c>
      <c r="AK21" s="8">
        <f>0</f>
        <v>0</v>
      </c>
      <c r="AL21" s="8">
        <f>0</f>
        <v>0</v>
      </c>
      <c r="AM21" s="8">
        <f>0</f>
        <v>0</v>
      </c>
      <c r="AN21" s="8">
        <f>0</f>
        <v>0</v>
      </c>
      <c r="AO21" s="8">
        <f>0</f>
        <v>0</v>
      </c>
      <c r="AP21" s="8">
        <v>0</v>
      </c>
      <c r="AQ21" s="94">
        <f t="shared" si="0"/>
        <v>0</v>
      </c>
      <c r="AR21" s="10" t="e">
        <f t="shared" si="1"/>
        <v>#N/A</v>
      </c>
    </row>
    <row r="22" spans="2:48" x14ac:dyDescent="0.25">
      <c r="B22" s="188"/>
      <c r="C22" s="189"/>
      <c r="D22" s="74" t="s">
        <v>39</v>
      </c>
      <c r="U22" s="8">
        <v>0</v>
      </c>
      <c r="V22" s="8"/>
      <c r="W22" s="74">
        <f>0</f>
        <v>0</v>
      </c>
      <c r="X22" s="8">
        <f>0</f>
        <v>0</v>
      </c>
      <c r="Y22" s="8">
        <f>0</f>
        <v>0</v>
      </c>
      <c r="Z22" s="8">
        <v>1</v>
      </c>
      <c r="AA22" s="74">
        <f>0</f>
        <v>0</v>
      </c>
      <c r="AB22" s="74">
        <f>0</f>
        <v>0</v>
      </c>
      <c r="AC22" s="74">
        <f>0</f>
        <v>0</v>
      </c>
      <c r="AE22" s="74">
        <f>0</f>
        <v>0</v>
      </c>
      <c r="AF22" s="8">
        <f>0</f>
        <v>0</v>
      </c>
      <c r="AG22" s="8">
        <f>0</f>
        <v>0</v>
      </c>
      <c r="AH22" s="8">
        <f>0</f>
        <v>0</v>
      </c>
      <c r="AI22" s="8">
        <f>0</f>
        <v>0</v>
      </c>
      <c r="AJ22" s="8">
        <f>0</f>
        <v>0</v>
      </c>
      <c r="AK22" s="8">
        <f>0</f>
        <v>0</v>
      </c>
      <c r="AL22" s="8">
        <f>0</f>
        <v>0</v>
      </c>
      <c r="AM22" s="8">
        <f>0</f>
        <v>0</v>
      </c>
      <c r="AN22" s="8">
        <f>0</f>
        <v>0</v>
      </c>
      <c r="AO22" s="8">
        <f>0</f>
        <v>0</v>
      </c>
      <c r="AP22" s="8">
        <v>0</v>
      </c>
      <c r="AQ22" s="94">
        <f t="shared" si="0"/>
        <v>0</v>
      </c>
      <c r="AR22" s="10" t="e">
        <f t="shared" si="1"/>
        <v>#N/A</v>
      </c>
    </row>
    <row r="23" spans="2:48" x14ac:dyDescent="0.25">
      <c r="B23" s="188"/>
      <c r="C23" s="189"/>
      <c r="D23" s="74" t="s">
        <v>5</v>
      </c>
      <c r="I23" s="8">
        <v>1</v>
      </c>
      <c r="J23" s="8"/>
      <c r="K23" s="8">
        <v>1</v>
      </c>
      <c r="L23" s="8"/>
      <c r="M23" s="8">
        <v>2</v>
      </c>
      <c r="N23" s="8"/>
      <c r="O23" s="8">
        <v>1</v>
      </c>
      <c r="P23" s="8"/>
      <c r="Q23" s="8"/>
      <c r="R23" s="8"/>
      <c r="S23" s="8"/>
      <c r="T23" s="8"/>
      <c r="U23" s="8">
        <v>0</v>
      </c>
      <c r="V23" s="8"/>
      <c r="W23" s="8">
        <v>1</v>
      </c>
      <c r="X23" s="8">
        <f>0</f>
        <v>0</v>
      </c>
      <c r="Y23" s="8">
        <v>1</v>
      </c>
      <c r="Z23" s="74">
        <f>0</f>
        <v>0</v>
      </c>
      <c r="AA23" s="74">
        <f>0</f>
        <v>0</v>
      </c>
      <c r="AB23" s="74">
        <f>0</f>
        <v>0</v>
      </c>
      <c r="AC23" s="74">
        <f>0</f>
        <v>0</v>
      </c>
      <c r="AE23" s="74">
        <f>0</f>
        <v>0</v>
      </c>
      <c r="AF23" s="8">
        <f>0</f>
        <v>0</v>
      </c>
      <c r="AG23" s="8">
        <f>0</f>
        <v>0</v>
      </c>
      <c r="AH23" s="8">
        <f>0</f>
        <v>0</v>
      </c>
      <c r="AI23" s="8">
        <f>0</f>
        <v>0</v>
      </c>
      <c r="AJ23" s="8">
        <f>0</f>
        <v>0</v>
      </c>
      <c r="AK23" s="8">
        <f>0</f>
        <v>0</v>
      </c>
      <c r="AL23" s="8">
        <f>0</f>
        <v>0</v>
      </c>
      <c r="AM23" s="8">
        <f>0</f>
        <v>0</v>
      </c>
      <c r="AN23" s="8">
        <f>0</f>
        <v>0</v>
      </c>
      <c r="AO23" s="8">
        <f>0</f>
        <v>0</v>
      </c>
      <c r="AP23" s="8">
        <v>0</v>
      </c>
      <c r="AQ23" s="94">
        <f t="shared" si="0"/>
        <v>0</v>
      </c>
      <c r="AR23" s="10" t="e">
        <f t="shared" si="1"/>
        <v>#N/A</v>
      </c>
      <c r="AV23" s="8"/>
    </row>
    <row r="24" spans="2:48" x14ac:dyDescent="0.25">
      <c r="B24" s="188"/>
      <c r="C24" s="189"/>
      <c r="D24" s="74" t="s">
        <v>35</v>
      </c>
      <c r="G24" s="74">
        <v>1</v>
      </c>
      <c r="M24" s="74">
        <v>1</v>
      </c>
      <c r="R24" s="74">
        <v>1</v>
      </c>
      <c r="U24" s="74">
        <v>0</v>
      </c>
      <c r="W24" s="74">
        <f>0</f>
        <v>0</v>
      </c>
      <c r="X24" s="74">
        <v>1</v>
      </c>
      <c r="Y24" s="8">
        <f>0</f>
        <v>0</v>
      </c>
      <c r="Z24" s="74">
        <f>0</f>
        <v>0</v>
      </c>
      <c r="AA24" s="74">
        <f>0</f>
        <v>0</v>
      </c>
      <c r="AB24" s="74">
        <f>0</f>
        <v>0</v>
      </c>
      <c r="AC24" s="74">
        <f>0</f>
        <v>0</v>
      </c>
      <c r="AE24" s="74">
        <f>0</f>
        <v>0</v>
      </c>
      <c r="AF24" s="8">
        <f>0</f>
        <v>0</v>
      </c>
      <c r="AG24" s="8">
        <f>0</f>
        <v>0</v>
      </c>
      <c r="AH24" s="8">
        <f>0</f>
        <v>0</v>
      </c>
      <c r="AI24" s="8">
        <f>0</f>
        <v>0</v>
      </c>
      <c r="AJ24" s="8">
        <f>0</f>
        <v>0</v>
      </c>
      <c r="AK24" s="8">
        <f>0</f>
        <v>0</v>
      </c>
      <c r="AL24" s="8">
        <f>0</f>
        <v>0</v>
      </c>
      <c r="AM24" s="8">
        <f>0</f>
        <v>0</v>
      </c>
      <c r="AN24" s="8">
        <f>0</f>
        <v>0</v>
      </c>
      <c r="AO24" s="8">
        <f>0</f>
        <v>0</v>
      </c>
      <c r="AP24" s="8">
        <v>0</v>
      </c>
      <c r="AQ24" s="94">
        <f t="shared" si="0"/>
        <v>0</v>
      </c>
      <c r="AR24" s="10" t="e">
        <f t="shared" si="1"/>
        <v>#N/A</v>
      </c>
      <c r="AV24" s="8"/>
    </row>
    <row r="25" spans="2:48" x14ac:dyDescent="0.25">
      <c r="B25" s="190"/>
      <c r="C25" s="189"/>
      <c r="D25" s="74" t="s">
        <v>19</v>
      </c>
      <c r="F25" s="74">
        <v>3</v>
      </c>
      <c r="H25" s="74">
        <v>1</v>
      </c>
      <c r="I25" s="8"/>
      <c r="J25" s="8"/>
      <c r="K25" s="8"/>
      <c r="L25" s="8"/>
      <c r="M25" s="8"/>
      <c r="N25" s="8"/>
      <c r="O25" s="8"/>
      <c r="P25" s="8"/>
      <c r="Q25" s="8"/>
      <c r="R25" s="8"/>
      <c r="S25" s="8"/>
      <c r="T25" s="8"/>
      <c r="U25" s="8">
        <v>0</v>
      </c>
      <c r="V25" s="8"/>
      <c r="W25" s="74">
        <f>0</f>
        <v>0</v>
      </c>
      <c r="X25" s="8">
        <v>1</v>
      </c>
      <c r="Y25" s="8">
        <f>0</f>
        <v>0</v>
      </c>
      <c r="Z25" s="74">
        <f>0</f>
        <v>0</v>
      </c>
      <c r="AA25" s="74">
        <f>0</f>
        <v>0</v>
      </c>
      <c r="AB25" s="74">
        <f>0</f>
        <v>0</v>
      </c>
      <c r="AC25" s="74">
        <f>0</f>
        <v>0</v>
      </c>
      <c r="AE25" s="74">
        <f>0</f>
        <v>0</v>
      </c>
      <c r="AF25" s="8">
        <f>0</f>
        <v>0</v>
      </c>
      <c r="AG25" s="8">
        <f>0</f>
        <v>0</v>
      </c>
      <c r="AH25" s="8">
        <f>0</f>
        <v>0</v>
      </c>
      <c r="AI25" s="8">
        <f>0</f>
        <v>0</v>
      </c>
      <c r="AJ25" s="8">
        <f>0</f>
        <v>0</v>
      </c>
      <c r="AK25" s="8">
        <f>0</f>
        <v>0</v>
      </c>
      <c r="AL25" s="8">
        <f>0</f>
        <v>0</v>
      </c>
      <c r="AM25" s="8">
        <f>0</f>
        <v>0</v>
      </c>
      <c r="AN25" s="8">
        <f>0</f>
        <v>0</v>
      </c>
      <c r="AO25" s="8">
        <f>0</f>
        <v>0</v>
      </c>
      <c r="AP25" s="8">
        <v>0</v>
      </c>
      <c r="AQ25" s="94">
        <f t="shared" si="0"/>
        <v>0</v>
      </c>
      <c r="AR25" s="10" t="e">
        <f t="shared" si="1"/>
        <v>#N/A</v>
      </c>
      <c r="AV25" s="8"/>
    </row>
    <row r="26" spans="2:48" x14ac:dyDescent="0.25">
      <c r="B26" s="190"/>
      <c r="C26" s="189"/>
      <c r="D26" s="132" t="s">
        <v>185</v>
      </c>
      <c r="P26" s="74">
        <v>1</v>
      </c>
      <c r="Q26" s="74">
        <v>1</v>
      </c>
      <c r="R26" s="74">
        <v>2</v>
      </c>
      <c r="U26" s="74">
        <v>1</v>
      </c>
      <c r="W26" s="74">
        <f>0</f>
        <v>0</v>
      </c>
      <c r="X26" s="8">
        <f>0</f>
        <v>0</v>
      </c>
      <c r="Y26" s="8">
        <f>0</f>
        <v>0</v>
      </c>
      <c r="Z26" s="74">
        <f>0</f>
        <v>0</v>
      </c>
      <c r="AA26" s="74">
        <f>0</f>
        <v>0</v>
      </c>
      <c r="AB26" s="74">
        <f>0</f>
        <v>0</v>
      </c>
      <c r="AC26" s="74">
        <f>0</f>
        <v>0</v>
      </c>
      <c r="AE26" s="74">
        <f>0</f>
        <v>0</v>
      </c>
      <c r="AF26" s="8">
        <f>0</f>
        <v>0</v>
      </c>
      <c r="AG26" s="8">
        <f>0</f>
        <v>0</v>
      </c>
      <c r="AH26" s="8">
        <f>0</f>
        <v>0</v>
      </c>
      <c r="AI26" s="8">
        <f>0</f>
        <v>0</v>
      </c>
      <c r="AJ26" s="8">
        <f>0</f>
        <v>0</v>
      </c>
      <c r="AK26" s="8">
        <f>0</f>
        <v>0</v>
      </c>
      <c r="AL26" s="8">
        <f>0</f>
        <v>0</v>
      </c>
      <c r="AM26" s="8">
        <f>0</f>
        <v>0</v>
      </c>
      <c r="AN26" s="8">
        <f>0</f>
        <v>0</v>
      </c>
      <c r="AO26" s="8">
        <f>0</f>
        <v>0</v>
      </c>
      <c r="AP26" s="8">
        <v>0</v>
      </c>
      <c r="AQ26" s="94">
        <f t="shared" si="0"/>
        <v>0</v>
      </c>
      <c r="AR26" s="10" t="e">
        <f t="shared" si="1"/>
        <v>#N/A</v>
      </c>
      <c r="AS26" s="12"/>
      <c r="AT26" s="3"/>
      <c r="AV26" s="8"/>
    </row>
    <row r="27" spans="2:48" x14ac:dyDescent="0.25">
      <c r="B27" s="190"/>
      <c r="C27" s="189"/>
      <c r="D27" s="74" t="s">
        <v>12</v>
      </c>
      <c r="F27" s="74">
        <v>3</v>
      </c>
      <c r="G27" s="74">
        <v>1</v>
      </c>
      <c r="H27" s="74">
        <v>3</v>
      </c>
      <c r="I27" s="8"/>
      <c r="J27" s="8">
        <v>6</v>
      </c>
      <c r="K27" s="8">
        <v>5</v>
      </c>
      <c r="L27" s="8">
        <v>9</v>
      </c>
      <c r="M27" s="8">
        <v>5</v>
      </c>
      <c r="N27" s="8">
        <v>1</v>
      </c>
      <c r="O27" s="8">
        <v>4</v>
      </c>
      <c r="P27" s="8"/>
      <c r="Q27" s="8"/>
      <c r="R27" s="8"/>
      <c r="S27" s="8">
        <v>2</v>
      </c>
      <c r="T27" s="8"/>
      <c r="U27" s="8">
        <v>0</v>
      </c>
      <c r="V27" s="8"/>
      <c r="W27" s="74">
        <f>0</f>
        <v>0</v>
      </c>
      <c r="X27" s="8">
        <f>0</f>
        <v>0</v>
      </c>
      <c r="Y27" s="8">
        <f>0</f>
        <v>0</v>
      </c>
      <c r="Z27" s="74">
        <f>0</f>
        <v>0</v>
      </c>
      <c r="AA27" s="74">
        <f>0</f>
        <v>0</v>
      </c>
      <c r="AB27" s="74">
        <f>0</f>
        <v>0</v>
      </c>
      <c r="AC27" s="74">
        <f>0</f>
        <v>0</v>
      </c>
      <c r="AE27" s="74">
        <f>0</f>
        <v>0</v>
      </c>
      <c r="AF27" s="8">
        <f>0</f>
        <v>0</v>
      </c>
      <c r="AG27" s="8">
        <f>0</f>
        <v>0</v>
      </c>
      <c r="AH27" s="8">
        <f>0</f>
        <v>0</v>
      </c>
      <c r="AI27" s="8">
        <f>0</f>
        <v>0</v>
      </c>
      <c r="AJ27" s="8">
        <f>0</f>
        <v>0</v>
      </c>
      <c r="AK27" s="8">
        <f>0</f>
        <v>0</v>
      </c>
      <c r="AL27" s="8">
        <f>0</f>
        <v>0</v>
      </c>
      <c r="AM27" s="8">
        <f>0</f>
        <v>0</v>
      </c>
      <c r="AN27" s="8">
        <f>0</f>
        <v>0</v>
      </c>
      <c r="AO27" s="8">
        <f>0</f>
        <v>0</v>
      </c>
      <c r="AP27" s="8">
        <v>0</v>
      </c>
      <c r="AQ27" s="94">
        <f t="shared" si="0"/>
        <v>0</v>
      </c>
      <c r="AR27" s="10" t="e">
        <f t="shared" si="1"/>
        <v>#N/A</v>
      </c>
      <c r="AT27" s="9"/>
      <c r="AV27" s="8"/>
    </row>
    <row r="28" spans="2:48" x14ac:dyDescent="0.25">
      <c r="B28" s="190"/>
      <c r="C28" s="189"/>
      <c r="D28" s="74" t="s">
        <v>11</v>
      </c>
      <c r="F28" s="74">
        <v>4</v>
      </c>
      <c r="G28" s="74">
        <v>6</v>
      </c>
      <c r="H28" s="74">
        <v>1</v>
      </c>
      <c r="I28" s="8">
        <v>2</v>
      </c>
      <c r="J28" s="8">
        <v>7</v>
      </c>
      <c r="K28" s="8">
        <v>3</v>
      </c>
      <c r="L28" s="8">
        <v>5</v>
      </c>
      <c r="M28" s="8">
        <v>2</v>
      </c>
      <c r="N28" s="8">
        <v>2</v>
      </c>
      <c r="O28" s="8">
        <v>2</v>
      </c>
      <c r="P28" s="8"/>
      <c r="Q28" s="8"/>
      <c r="R28" s="8"/>
      <c r="S28" s="8">
        <v>2</v>
      </c>
      <c r="T28" s="8"/>
      <c r="U28" s="8">
        <v>0</v>
      </c>
      <c r="V28" s="8"/>
      <c r="W28" s="74">
        <f>0</f>
        <v>0</v>
      </c>
      <c r="X28" s="8">
        <f>0</f>
        <v>0</v>
      </c>
      <c r="Y28" s="8">
        <f>0</f>
        <v>0</v>
      </c>
      <c r="Z28" s="74">
        <f>0</f>
        <v>0</v>
      </c>
      <c r="AA28" s="74">
        <f>0</f>
        <v>0</v>
      </c>
      <c r="AB28" s="74">
        <f>0</f>
        <v>0</v>
      </c>
      <c r="AC28" s="74">
        <f>0</f>
        <v>0</v>
      </c>
      <c r="AE28" s="74">
        <f>0</f>
        <v>0</v>
      </c>
      <c r="AF28" s="8">
        <f>0</f>
        <v>0</v>
      </c>
      <c r="AG28" s="8">
        <f>0</f>
        <v>0</v>
      </c>
      <c r="AH28" s="8">
        <f>0</f>
        <v>0</v>
      </c>
      <c r="AI28" s="8">
        <f>0</f>
        <v>0</v>
      </c>
      <c r="AJ28" s="8">
        <f>0</f>
        <v>0</v>
      </c>
      <c r="AK28" s="8">
        <f>0</f>
        <v>0</v>
      </c>
      <c r="AL28" s="8">
        <f>0</f>
        <v>0</v>
      </c>
      <c r="AM28" s="8">
        <f>0</f>
        <v>0</v>
      </c>
      <c r="AN28" s="8">
        <f>0</f>
        <v>0</v>
      </c>
      <c r="AO28" s="8">
        <f>0</f>
        <v>0</v>
      </c>
      <c r="AP28" s="8">
        <v>0</v>
      </c>
      <c r="AQ28" s="94">
        <f t="shared" si="0"/>
        <v>0</v>
      </c>
      <c r="AR28" s="10" t="e">
        <f t="shared" si="1"/>
        <v>#N/A</v>
      </c>
      <c r="AS28" s="12"/>
      <c r="AT28" s="3"/>
      <c r="AV28" s="8"/>
    </row>
    <row r="29" spans="2:48" x14ac:dyDescent="0.25">
      <c r="B29" s="190"/>
      <c r="C29" s="189"/>
      <c r="D29" s="74" t="s">
        <v>36</v>
      </c>
      <c r="R29" s="74">
        <v>2</v>
      </c>
      <c r="U29" s="74">
        <v>0</v>
      </c>
      <c r="W29" s="74">
        <f>0</f>
        <v>0</v>
      </c>
      <c r="X29" s="8">
        <f>0</f>
        <v>0</v>
      </c>
      <c r="Y29" s="8">
        <f>0</f>
        <v>0</v>
      </c>
      <c r="Z29" s="74">
        <f>0</f>
        <v>0</v>
      </c>
      <c r="AA29" s="74">
        <f>0</f>
        <v>0</v>
      </c>
      <c r="AB29" s="74">
        <f>0</f>
        <v>0</v>
      </c>
      <c r="AC29" s="74">
        <f>0</f>
        <v>0</v>
      </c>
      <c r="AE29" s="74">
        <f>0</f>
        <v>0</v>
      </c>
      <c r="AF29" s="8">
        <f>0</f>
        <v>0</v>
      </c>
      <c r="AG29" s="8">
        <f>0</f>
        <v>0</v>
      </c>
      <c r="AH29" s="8">
        <f>0</f>
        <v>0</v>
      </c>
      <c r="AI29" s="8">
        <f>0</f>
        <v>0</v>
      </c>
      <c r="AJ29" s="8">
        <f>0</f>
        <v>0</v>
      </c>
      <c r="AK29" s="8">
        <f>0</f>
        <v>0</v>
      </c>
      <c r="AL29" s="8">
        <f>0</f>
        <v>0</v>
      </c>
      <c r="AM29" s="8">
        <f>0</f>
        <v>0</v>
      </c>
      <c r="AN29" s="8">
        <f>0</f>
        <v>0</v>
      </c>
      <c r="AO29" s="8">
        <f>0</f>
        <v>0</v>
      </c>
      <c r="AP29" s="8">
        <v>0</v>
      </c>
      <c r="AQ29" s="94">
        <f t="shared" si="0"/>
        <v>0</v>
      </c>
      <c r="AR29" s="10" t="e">
        <f t="shared" si="1"/>
        <v>#N/A</v>
      </c>
      <c r="AS29" s="132"/>
      <c r="AT29" s="133"/>
      <c r="AV29" s="8"/>
    </row>
    <row r="30" spans="2:48" x14ac:dyDescent="0.25">
      <c r="B30" s="190"/>
      <c r="C30" s="189"/>
      <c r="D30" s="132" t="s">
        <v>187</v>
      </c>
      <c r="Q30" s="74">
        <v>1</v>
      </c>
      <c r="R30" s="74">
        <v>1</v>
      </c>
      <c r="U30" s="74">
        <v>0</v>
      </c>
      <c r="W30" s="74">
        <f>0</f>
        <v>0</v>
      </c>
      <c r="X30" s="8">
        <f>0</f>
        <v>0</v>
      </c>
      <c r="Y30" s="8">
        <f>0</f>
        <v>0</v>
      </c>
      <c r="Z30" s="74">
        <f>0</f>
        <v>0</v>
      </c>
      <c r="AA30" s="74">
        <f>0</f>
        <v>0</v>
      </c>
      <c r="AB30" s="74">
        <f>0</f>
        <v>0</v>
      </c>
      <c r="AC30" s="74">
        <f>0</f>
        <v>0</v>
      </c>
      <c r="AE30" s="74">
        <f>0</f>
        <v>0</v>
      </c>
      <c r="AF30" s="8">
        <f>0</f>
        <v>0</v>
      </c>
      <c r="AG30" s="8">
        <f>0</f>
        <v>0</v>
      </c>
      <c r="AH30" s="8">
        <f>0</f>
        <v>0</v>
      </c>
      <c r="AI30" s="8">
        <f>0</f>
        <v>0</v>
      </c>
      <c r="AJ30" s="8">
        <f>0</f>
        <v>0</v>
      </c>
      <c r="AK30" s="8">
        <f>0</f>
        <v>0</v>
      </c>
      <c r="AL30" s="8">
        <f>0</f>
        <v>0</v>
      </c>
      <c r="AM30" s="8">
        <f>0</f>
        <v>0</v>
      </c>
      <c r="AN30" s="8">
        <f>0</f>
        <v>0</v>
      </c>
      <c r="AO30" s="8">
        <f>0</f>
        <v>0</v>
      </c>
      <c r="AP30" s="8">
        <v>0</v>
      </c>
      <c r="AQ30" s="94">
        <f t="shared" si="0"/>
        <v>0</v>
      </c>
      <c r="AR30" s="10" t="e">
        <f t="shared" si="1"/>
        <v>#N/A</v>
      </c>
      <c r="AS30" s="12"/>
      <c r="AT30" s="3"/>
      <c r="AV30" s="8"/>
    </row>
    <row r="31" spans="2:48" x14ac:dyDescent="0.25">
      <c r="B31" s="190"/>
      <c r="C31" s="189"/>
      <c r="D31" s="74" t="s">
        <v>32</v>
      </c>
      <c r="I31" s="8">
        <v>2</v>
      </c>
      <c r="J31" s="8"/>
      <c r="K31" s="8">
        <v>1</v>
      </c>
      <c r="L31" s="8">
        <v>1</v>
      </c>
      <c r="M31" s="8"/>
      <c r="N31" s="8"/>
      <c r="O31" s="8"/>
      <c r="P31" s="8"/>
      <c r="Q31" s="8"/>
      <c r="R31" s="8">
        <v>1</v>
      </c>
      <c r="S31" s="8"/>
      <c r="T31" s="8"/>
      <c r="U31" s="8">
        <v>0</v>
      </c>
      <c r="V31" s="8"/>
      <c r="W31" s="74">
        <f>0</f>
        <v>0</v>
      </c>
      <c r="X31" s="8">
        <f>0</f>
        <v>0</v>
      </c>
      <c r="Y31" s="8">
        <f>0</f>
        <v>0</v>
      </c>
      <c r="Z31" s="74">
        <f>0</f>
        <v>0</v>
      </c>
      <c r="AA31" s="74">
        <f>0</f>
        <v>0</v>
      </c>
      <c r="AB31" s="74">
        <f>0</f>
        <v>0</v>
      </c>
      <c r="AC31" s="74">
        <f>0</f>
        <v>0</v>
      </c>
      <c r="AE31" s="74">
        <f>0</f>
        <v>0</v>
      </c>
      <c r="AF31" s="8">
        <f>0</f>
        <v>0</v>
      </c>
      <c r="AG31" s="8">
        <f>0</f>
        <v>0</v>
      </c>
      <c r="AH31" s="8">
        <f>0</f>
        <v>0</v>
      </c>
      <c r="AI31" s="8">
        <f>0</f>
        <v>0</v>
      </c>
      <c r="AJ31" s="8">
        <f>0</f>
        <v>0</v>
      </c>
      <c r="AK31" s="8">
        <f>0</f>
        <v>0</v>
      </c>
      <c r="AL31" s="8">
        <f>0</f>
        <v>0</v>
      </c>
      <c r="AM31" s="8">
        <f>0</f>
        <v>0</v>
      </c>
      <c r="AN31" s="8">
        <f>0</f>
        <v>0</v>
      </c>
      <c r="AO31" s="8">
        <f>0</f>
        <v>0</v>
      </c>
      <c r="AP31" s="8">
        <v>0</v>
      </c>
      <c r="AQ31" s="94">
        <f t="shared" si="0"/>
        <v>0</v>
      </c>
      <c r="AR31" s="10" t="e">
        <f t="shared" si="1"/>
        <v>#N/A</v>
      </c>
      <c r="AS31" s="12"/>
      <c r="AT31" s="3"/>
      <c r="AV31" s="8"/>
    </row>
    <row r="32" spans="2:48" x14ac:dyDescent="0.25">
      <c r="B32" s="190"/>
      <c r="C32" s="189"/>
      <c r="D32" s="132" t="s">
        <v>194</v>
      </c>
      <c r="R32" s="74">
        <v>1</v>
      </c>
      <c r="U32" s="74">
        <v>0</v>
      </c>
      <c r="W32" s="74">
        <f>0</f>
        <v>0</v>
      </c>
      <c r="X32" s="8">
        <f>0</f>
        <v>0</v>
      </c>
      <c r="Y32" s="8">
        <f>0</f>
        <v>0</v>
      </c>
      <c r="Z32" s="74">
        <f>0</f>
        <v>0</v>
      </c>
      <c r="AA32" s="74">
        <f>0</f>
        <v>0</v>
      </c>
      <c r="AB32" s="74">
        <f>0</f>
        <v>0</v>
      </c>
      <c r="AC32" s="74">
        <f>0</f>
        <v>0</v>
      </c>
      <c r="AE32" s="74">
        <f>0</f>
        <v>0</v>
      </c>
      <c r="AF32" s="8">
        <f>0</f>
        <v>0</v>
      </c>
      <c r="AG32" s="8">
        <f>0</f>
        <v>0</v>
      </c>
      <c r="AH32" s="8">
        <f>0</f>
        <v>0</v>
      </c>
      <c r="AI32" s="8">
        <f>0</f>
        <v>0</v>
      </c>
      <c r="AJ32" s="8">
        <f>0</f>
        <v>0</v>
      </c>
      <c r="AK32" s="8">
        <f>0</f>
        <v>0</v>
      </c>
      <c r="AL32" s="8">
        <f>0</f>
        <v>0</v>
      </c>
      <c r="AM32" s="8">
        <f>0</f>
        <v>0</v>
      </c>
      <c r="AN32" s="8">
        <f>0</f>
        <v>0</v>
      </c>
      <c r="AO32" s="8">
        <f>0</f>
        <v>0</v>
      </c>
      <c r="AP32" s="8">
        <v>0</v>
      </c>
      <c r="AQ32" s="94">
        <f t="shared" si="0"/>
        <v>0</v>
      </c>
      <c r="AR32" s="10" t="e">
        <f t="shared" si="1"/>
        <v>#N/A</v>
      </c>
      <c r="AV32" s="8"/>
    </row>
    <row r="33" spans="2:48" ht="17.45" customHeight="1" x14ac:dyDescent="0.25">
      <c r="B33" s="190"/>
      <c r="C33" s="189"/>
      <c r="D33" s="132" t="s">
        <v>188</v>
      </c>
      <c r="Q33" s="74">
        <v>1</v>
      </c>
      <c r="U33" s="74">
        <v>0</v>
      </c>
      <c r="W33" s="74">
        <f>0</f>
        <v>0</v>
      </c>
      <c r="X33" s="8">
        <f>0</f>
        <v>0</v>
      </c>
      <c r="Y33" s="8">
        <f>0</f>
        <v>0</v>
      </c>
      <c r="Z33" s="74">
        <f>0</f>
        <v>0</v>
      </c>
      <c r="AA33" s="74">
        <f>0</f>
        <v>0</v>
      </c>
      <c r="AB33" s="74">
        <f>0</f>
        <v>0</v>
      </c>
      <c r="AC33" s="74">
        <f>0</f>
        <v>0</v>
      </c>
      <c r="AE33" s="74">
        <f>0</f>
        <v>0</v>
      </c>
      <c r="AF33" s="8">
        <f>0</f>
        <v>0</v>
      </c>
      <c r="AG33" s="8">
        <f>0</f>
        <v>0</v>
      </c>
      <c r="AH33" s="8">
        <f>0</f>
        <v>0</v>
      </c>
      <c r="AI33" s="8">
        <f>0</f>
        <v>0</v>
      </c>
      <c r="AJ33" s="8">
        <f>0</f>
        <v>0</v>
      </c>
      <c r="AK33" s="8">
        <f>0</f>
        <v>0</v>
      </c>
      <c r="AL33" s="8">
        <f>0</f>
        <v>0</v>
      </c>
      <c r="AM33" s="8">
        <f>0</f>
        <v>0</v>
      </c>
      <c r="AN33" s="8">
        <f>0</f>
        <v>0</v>
      </c>
      <c r="AO33" s="8">
        <f>0</f>
        <v>0</v>
      </c>
      <c r="AP33" s="8">
        <v>0</v>
      </c>
      <c r="AQ33" s="94">
        <f t="shared" si="0"/>
        <v>0</v>
      </c>
      <c r="AR33" s="10" t="e">
        <f t="shared" si="1"/>
        <v>#N/A</v>
      </c>
      <c r="AS33" s="12"/>
      <c r="AT33" s="3"/>
      <c r="AV33" s="8"/>
    </row>
    <row r="34" spans="2:48" x14ac:dyDescent="0.25">
      <c r="B34" s="190"/>
      <c r="C34" s="189"/>
      <c r="D34" s="132" t="s">
        <v>180</v>
      </c>
      <c r="P34" s="74">
        <v>1</v>
      </c>
      <c r="U34" s="74">
        <v>0</v>
      </c>
      <c r="W34" s="74">
        <f>0</f>
        <v>0</v>
      </c>
      <c r="X34" s="8">
        <f>0</f>
        <v>0</v>
      </c>
      <c r="Y34" s="8">
        <f>0</f>
        <v>0</v>
      </c>
      <c r="Z34" s="74">
        <f>0</f>
        <v>0</v>
      </c>
      <c r="AA34" s="74">
        <f>0</f>
        <v>0</v>
      </c>
      <c r="AB34" s="74">
        <f>0</f>
        <v>0</v>
      </c>
      <c r="AC34" s="74">
        <f>0</f>
        <v>0</v>
      </c>
      <c r="AE34" s="74">
        <f>0</f>
        <v>0</v>
      </c>
      <c r="AF34" s="8">
        <f>0</f>
        <v>0</v>
      </c>
      <c r="AG34" s="8">
        <f>0</f>
        <v>0</v>
      </c>
      <c r="AH34" s="8">
        <f>0</f>
        <v>0</v>
      </c>
      <c r="AI34" s="8">
        <f>0</f>
        <v>0</v>
      </c>
      <c r="AJ34" s="8">
        <f>0</f>
        <v>0</v>
      </c>
      <c r="AK34" s="8">
        <f>0</f>
        <v>0</v>
      </c>
      <c r="AL34" s="8">
        <f>0</f>
        <v>0</v>
      </c>
      <c r="AM34" s="8">
        <f>0</f>
        <v>0</v>
      </c>
      <c r="AN34" s="8">
        <f>0</f>
        <v>0</v>
      </c>
      <c r="AO34" s="8">
        <f>0</f>
        <v>0</v>
      </c>
      <c r="AP34" s="8">
        <v>0</v>
      </c>
      <c r="AQ34" s="94">
        <f t="shared" si="0"/>
        <v>0</v>
      </c>
      <c r="AR34" s="10" t="e">
        <f t="shared" si="1"/>
        <v>#N/A</v>
      </c>
      <c r="AV34" s="8"/>
    </row>
    <row r="35" spans="2:48" x14ac:dyDescent="0.25">
      <c r="B35" s="190"/>
      <c r="C35" s="189"/>
      <c r="D35" s="132" t="s">
        <v>181</v>
      </c>
      <c r="P35" s="74">
        <v>1</v>
      </c>
      <c r="U35" s="74">
        <v>0</v>
      </c>
      <c r="W35" s="74">
        <f>0</f>
        <v>0</v>
      </c>
      <c r="X35" s="8">
        <f>0</f>
        <v>0</v>
      </c>
      <c r="Y35" s="8">
        <f>0</f>
        <v>0</v>
      </c>
      <c r="Z35" s="74">
        <f>0</f>
        <v>0</v>
      </c>
      <c r="AA35" s="74">
        <f>0</f>
        <v>0</v>
      </c>
      <c r="AB35" s="74">
        <f>0</f>
        <v>0</v>
      </c>
      <c r="AC35" s="74">
        <f>0</f>
        <v>0</v>
      </c>
      <c r="AE35" s="74">
        <f>0</f>
        <v>0</v>
      </c>
      <c r="AF35" s="8">
        <f>0</f>
        <v>0</v>
      </c>
      <c r="AG35" s="8">
        <f>0</f>
        <v>0</v>
      </c>
      <c r="AH35" s="8">
        <f>0</f>
        <v>0</v>
      </c>
      <c r="AI35" s="8">
        <f>0</f>
        <v>0</v>
      </c>
      <c r="AJ35" s="8">
        <f>0</f>
        <v>0</v>
      </c>
      <c r="AK35" s="8">
        <f>0</f>
        <v>0</v>
      </c>
      <c r="AL35" s="8">
        <f>0</f>
        <v>0</v>
      </c>
      <c r="AM35" s="8">
        <f>0</f>
        <v>0</v>
      </c>
      <c r="AN35" s="8">
        <f>0</f>
        <v>0</v>
      </c>
      <c r="AO35" s="8">
        <f>0</f>
        <v>0</v>
      </c>
      <c r="AP35" s="8">
        <v>0</v>
      </c>
      <c r="AQ35" s="94">
        <f t="shared" si="0"/>
        <v>0</v>
      </c>
      <c r="AR35" s="10" t="e">
        <f t="shared" si="1"/>
        <v>#N/A</v>
      </c>
      <c r="AV35" s="8"/>
    </row>
    <row r="36" spans="2:48" x14ac:dyDescent="0.25">
      <c r="B36" s="190"/>
      <c r="C36" s="189"/>
      <c r="D36" s="74" t="s">
        <v>14</v>
      </c>
      <c r="J36" s="74">
        <v>2</v>
      </c>
      <c r="M36" s="74">
        <v>2</v>
      </c>
      <c r="O36" s="74">
        <v>1</v>
      </c>
      <c r="U36" s="74">
        <v>0</v>
      </c>
      <c r="W36" s="74">
        <f>0</f>
        <v>0</v>
      </c>
      <c r="X36" s="8">
        <f>0</f>
        <v>0</v>
      </c>
      <c r="Y36" s="8">
        <f>0</f>
        <v>0</v>
      </c>
      <c r="Z36" s="74">
        <f>0</f>
        <v>0</v>
      </c>
      <c r="AA36" s="74">
        <f>0</f>
        <v>0</v>
      </c>
      <c r="AB36" s="74">
        <f>0</f>
        <v>0</v>
      </c>
      <c r="AC36" s="74">
        <f>0</f>
        <v>0</v>
      </c>
      <c r="AE36" s="74">
        <f>0</f>
        <v>0</v>
      </c>
      <c r="AF36" s="8">
        <f>0</f>
        <v>0</v>
      </c>
      <c r="AG36" s="8">
        <f>0</f>
        <v>0</v>
      </c>
      <c r="AH36" s="8">
        <f>0</f>
        <v>0</v>
      </c>
      <c r="AI36" s="8">
        <f>0</f>
        <v>0</v>
      </c>
      <c r="AJ36" s="8">
        <f>0</f>
        <v>0</v>
      </c>
      <c r="AK36" s="8">
        <f>0</f>
        <v>0</v>
      </c>
      <c r="AL36" s="8">
        <f>0</f>
        <v>0</v>
      </c>
      <c r="AM36" s="8">
        <f>0</f>
        <v>0</v>
      </c>
      <c r="AN36" s="8">
        <f>0</f>
        <v>0</v>
      </c>
      <c r="AO36" s="8">
        <f>0</f>
        <v>0</v>
      </c>
      <c r="AP36" s="8">
        <v>0</v>
      </c>
      <c r="AQ36" s="94">
        <f t="shared" ref="AQ36:AQ67" si="2">SUM(AK36:AP36)</f>
        <v>0</v>
      </c>
      <c r="AR36" s="10" t="e">
        <f t="shared" ref="AR36:AR69" si="3">VLOOKUP(D36,$B$6:$C$52,2,FALSE)</f>
        <v>#N/A</v>
      </c>
      <c r="AV36" s="8"/>
    </row>
    <row r="37" spans="2:48" x14ac:dyDescent="0.25">
      <c r="B37" s="190"/>
      <c r="C37" s="189"/>
      <c r="D37" s="74" t="s">
        <v>28</v>
      </c>
      <c r="H37" s="74">
        <v>2</v>
      </c>
      <c r="I37" s="8"/>
      <c r="J37" s="8"/>
      <c r="K37" s="8"/>
      <c r="L37" s="8">
        <v>1</v>
      </c>
      <c r="M37" s="8">
        <v>1</v>
      </c>
      <c r="N37" s="8"/>
      <c r="O37" s="8">
        <v>1</v>
      </c>
      <c r="P37" s="8"/>
      <c r="Q37" s="8"/>
      <c r="R37" s="8"/>
      <c r="S37" s="8"/>
      <c r="T37" s="8"/>
      <c r="U37" s="8">
        <v>0</v>
      </c>
      <c r="V37" s="8"/>
      <c r="W37" s="74">
        <f>0</f>
        <v>0</v>
      </c>
      <c r="X37" s="8">
        <f>0</f>
        <v>0</v>
      </c>
      <c r="Y37" s="8">
        <f>0</f>
        <v>0</v>
      </c>
      <c r="Z37" s="74">
        <f>0</f>
        <v>0</v>
      </c>
      <c r="AA37" s="74">
        <f>0</f>
        <v>0</v>
      </c>
      <c r="AB37" s="74">
        <f>0</f>
        <v>0</v>
      </c>
      <c r="AC37" s="74">
        <f>0</f>
        <v>0</v>
      </c>
      <c r="AE37" s="74">
        <f>0</f>
        <v>0</v>
      </c>
      <c r="AF37" s="8">
        <f>0</f>
        <v>0</v>
      </c>
      <c r="AG37" s="8">
        <f>0</f>
        <v>0</v>
      </c>
      <c r="AH37" s="8">
        <f>0</f>
        <v>0</v>
      </c>
      <c r="AI37" s="8">
        <f>0</f>
        <v>0</v>
      </c>
      <c r="AJ37" s="8">
        <f>0</f>
        <v>0</v>
      </c>
      <c r="AK37" s="8">
        <f>0</f>
        <v>0</v>
      </c>
      <c r="AL37" s="8">
        <f>0</f>
        <v>0</v>
      </c>
      <c r="AM37" s="8">
        <f>0</f>
        <v>0</v>
      </c>
      <c r="AN37" s="8">
        <f>0</f>
        <v>0</v>
      </c>
      <c r="AO37" s="8">
        <f>0</f>
        <v>0</v>
      </c>
      <c r="AP37" s="8">
        <v>0</v>
      </c>
      <c r="AQ37" s="94">
        <f t="shared" si="2"/>
        <v>0</v>
      </c>
      <c r="AR37" s="10" t="e">
        <f t="shared" si="3"/>
        <v>#N/A</v>
      </c>
      <c r="AV37" s="8"/>
    </row>
    <row r="38" spans="2:48" x14ac:dyDescent="0.25">
      <c r="B38" s="190"/>
      <c r="C38" s="189"/>
      <c r="D38" s="74" t="s">
        <v>4</v>
      </c>
      <c r="G38" s="74">
        <v>3</v>
      </c>
      <c r="I38" s="8"/>
      <c r="J38" s="8"/>
      <c r="K38" s="8">
        <v>1</v>
      </c>
      <c r="L38" s="8"/>
      <c r="M38" s="8">
        <v>1</v>
      </c>
      <c r="N38" s="8"/>
      <c r="O38" s="8">
        <v>1</v>
      </c>
      <c r="P38" s="8"/>
      <c r="Q38" s="8"/>
      <c r="R38" s="8"/>
      <c r="S38" s="8"/>
      <c r="T38" s="8"/>
      <c r="U38" s="8">
        <v>0</v>
      </c>
      <c r="V38" s="8"/>
      <c r="W38" s="74">
        <f>0</f>
        <v>0</v>
      </c>
      <c r="X38" s="8">
        <f>0</f>
        <v>0</v>
      </c>
      <c r="Y38" s="8">
        <f>0</f>
        <v>0</v>
      </c>
      <c r="Z38" s="74">
        <f>0</f>
        <v>0</v>
      </c>
      <c r="AA38" s="74">
        <f>0</f>
        <v>0</v>
      </c>
      <c r="AB38" s="74">
        <f>0</f>
        <v>0</v>
      </c>
      <c r="AC38" s="74">
        <f>0</f>
        <v>0</v>
      </c>
      <c r="AE38" s="74">
        <f>0</f>
        <v>0</v>
      </c>
      <c r="AF38" s="8">
        <f>0</f>
        <v>0</v>
      </c>
      <c r="AG38" s="8">
        <f>0</f>
        <v>0</v>
      </c>
      <c r="AH38" s="8">
        <f>0</f>
        <v>0</v>
      </c>
      <c r="AI38" s="8">
        <f>0</f>
        <v>0</v>
      </c>
      <c r="AJ38" s="8">
        <f>0</f>
        <v>0</v>
      </c>
      <c r="AK38" s="8">
        <f>0</f>
        <v>0</v>
      </c>
      <c r="AL38" s="8">
        <f>0</f>
        <v>0</v>
      </c>
      <c r="AM38" s="8">
        <f>0</f>
        <v>0</v>
      </c>
      <c r="AN38" s="8">
        <f>0</f>
        <v>0</v>
      </c>
      <c r="AO38" s="8">
        <f>0</f>
        <v>0</v>
      </c>
      <c r="AP38" s="8">
        <v>0</v>
      </c>
      <c r="AQ38" s="94">
        <f t="shared" si="2"/>
        <v>0</v>
      </c>
      <c r="AR38" s="10" t="e">
        <f t="shared" si="3"/>
        <v>#N/A</v>
      </c>
      <c r="AS38" s="132"/>
      <c r="AT38" s="133"/>
      <c r="AV38" s="8"/>
    </row>
    <row r="39" spans="2:48" x14ac:dyDescent="0.25">
      <c r="B39" s="190"/>
      <c r="C39" s="189"/>
      <c r="D39" s="74" t="s">
        <v>7</v>
      </c>
      <c r="F39" s="74">
        <v>1</v>
      </c>
      <c r="J39" s="74">
        <v>2</v>
      </c>
      <c r="N39" s="74">
        <v>1</v>
      </c>
      <c r="U39" s="8">
        <v>0</v>
      </c>
      <c r="V39" s="8"/>
      <c r="W39" s="74">
        <f>0</f>
        <v>0</v>
      </c>
      <c r="X39" s="8">
        <f>0</f>
        <v>0</v>
      </c>
      <c r="Y39" s="8">
        <f>0</f>
        <v>0</v>
      </c>
      <c r="Z39" s="74">
        <f>0</f>
        <v>0</v>
      </c>
      <c r="AA39" s="74">
        <f>0</f>
        <v>0</v>
      </c>
      <c r="AB39" s="74">
        <f>0</f>
        <v>0</v>
      </c>
      <c r="AC39" s="74">
        <f>0</f>
        <v>0</v>
      </c>
      <c r="AE39" s="74">
        <f>0</f>
        <v>0</v>
      </c>
      <c r="AF39" s="8">
        <f>0</f>
        <v>0</v>
      </c>
      <c r="AG39" s="8">
        <f>0</f>
        <v>0</v>
      </c>
      <c r="AH39" s="8">
        <f>0</f>
        <v>0</v>
      </c>
      <c r="AI39" s="8">
        <f>0</f>
        <v>0</v>
      </c>
      <c r="AJ39" s="8">
        <f>0</f>
        <v>0</v>
      </c>
      <c r="AK39" s="8">
        <f>0</f>
        <v>0</v>
      </c>
      <c r="AL39" s="8">
        <f>0</f>
        <v>0</v>
      </c>
      <c r="AM39" s="8">
        <f>0</f>
        <v>0</v>
      </c>
      <c r="AN39" s="8">
        <f>0</f>
        <v>0</v>
      </c>
      <c r="AO39" s="8">
        <f>0</f>
        <v>0</v>
      </c>
      <c r="AP39" s="8">
        <v>0</v>
      </c>
      <c r="AQ39" s="94">
        <f t="shared" si="2"/>
        <v>0</v>
      </c>
      <c r="AR39" s="10" t="e">
        <f t="shared" si="3"/>
        <v>#N/A</v>
      </c>
      <c r="AS39" s="12"/>
      <c r="AT39" s="3"/>
      <c r="AV39" s="8"/>
    </row>
    <row r="40" spans="2:48" x14ac:dyDescent="0.25">
      <c r="B40" s="190"/>
      <c r="C40" s="189"/>
      <c r="D40" s="74" t="s">
        <v>29</v>
      </c>
      <c r="G40" s="74">
        <v>1</v>
      </c>
      <c r="H40" s="74">
        <v>3</v>
      </c>
      <c r="I40" s="8">
        <v>4</v>
      </c>
      <c r="J40" s="8"/>
      <c r="K40" s="8"/>
      <c r="L40" s="8">
        <v>1</v>
      </c>
      <c r="M40" s="8">
        <v>1</v>
      </c>
      <c r="N40" s="8"/>
      <c r="O40" s="8"/>
      <c r="P40" s="8"/>
      <c r="Q40" s="8"/>
      <c r="R40" s="8"/>
      <c r="S40" s="8"/>
      <c r="T40" s="8"/>
      <c r="U40" s="8">
        <v>0</v>
      </c>
      <c r="V40" s="8"/>
      <c r="W40" s="74">
        <f>0</f>
        <v>0</v>
      </c>
      <c r="X40" s="8">
        <f>0</f>
        <v>0</v>
      </c>
      <c r="Y40" s="8">
        <f>0</f>
        <v>0</v>
      </c>
      <c r="Z40" s="74">
        <f>0</f>
        <v>0</v>
      </c>
      <c r="AA40" s="74">
        <f>0</f>
        <v>0</v>
      </c>
      <c r="AB40" s="74">
        <f>0</f>
        <v>0</v>
      </c>
      <c r="AC40" s="74">
        <f>0</f>
        <v>0</v>
      </c>
      <c r="AE40" s="74">
        <f>0</f>
        <v>0</v>
      </c>
      <c r="AF40" s="8">
        <f>0</f>
        <v>0</v>
      </c>
      <c r="AG40" s="8">
        <f>0</f>
        <v>0</v>
      </c>
      <c r="AH40" s="8">
        <f>0</f>
        <v>0</v>
      </c>
      <c r="AI40" s="8">
        <f>0</f>
        <v>0</v>
      </c>
      <c r="AJ40" s="8">
        <f>0</f>
        <v>0</v>
      </c>
      <c r="AK40" s="8">
        <f>0</f>
        <v>0</v>
      </c>
      <c r="AL40" s="8">
        <f>0</f>
        <v>0</v>
      </c>
      <c r="AM40" s="8">
        <f>0</f>
        <v>0</v>
      </c>
      <c r="AN40" s="8">
        <f>0</f>
        <v>0</v>
      </c>
      <c r="AO40" s="8">
        <f>0</f>
        <v>0</v>
      </c>
      <c r="AP40" s="8">
        <v>0</v>
      </c>
      <c r="AQ40" s="94">
        <f t="shared" si="2"/>
        <v>0</v>
      </c>
      <c r="AR40" s="10" t="e">
        <f t="shared" si="3"/>
        <v>#N/A</v>
      </c>
      <c r="AS40" s="12"/>
      <c r="AT40" s="3"/>
      <c r="AV40" s="8"/>
    </row>
    <row r="41" spans="2:48" x14ac:dyDescent="0.25">
      <c r="B41" s="190"/>
      <c r="C41" s="189"/>
      <c r="D41" s="2" t="s">
        <v>9</v>
      </c>
      <c r="J41" s="74">
        <v>1</v>
      </c>
      <c r="K41" s="74">
        <v>2</v>
      </c>
      <c r="L41" s="74">
        <v>2</v>
      </c>
      <c r="U41" s="8">
        <v>0</v>
      </c>
      <c r="V41" s="8"/>
      <c r="W41" s="74">
        <f>0</f>
        <v>0</v>
      </c>
      <c r="X41" s="8">
        <f>0</f>
        <v>0</v>
      </c>
      <c r="Y41" s="8">
        <f>0</f>
        <v>0</v>
      </c>
      <c r="Z41" s="74">
        <f>0</f>
        <v>0</v>
      </c>
      <c r="AA41" s="74">
        <f>0</f>
        <v>0</v>
      </c>
      <c r="AB41" s="74">
        <f>0</f>
        <v>0</v>
      </c>
      <c r="AC41" s="74">
        <f>0</f>
        <v>0</v>
      </c>
      <c r="AE41" s="74">
        <f>0</f>
        <v>0</v>
      </c>
      <c r="AF41" s="8">
        <f>0</f>
        <v>0</v>
      </c>
      <c r="AG41" s="8">
        <f>0</f>
        <v>0</v>
      </c>
      <c r="AH41" s="8">
        <f>0</f>
        <v>0</v>
      </c>
      <c r="AI41" s="8">
        <f>0</f>
        <v>0</v>
      </c>
      <c r="AJ41" s="8">
        <f>0</f>
        <v>0</v>
      </c>
      <c r="AK41" s="8">
        <f>0</f>
        <v>0</v>
      </c>
      <c r="AL41" s="8">
        <f>0</f>
        <v>0</v>
      </c>
      <c r="AM41" s="8">
        <f>0</f>
        <v>0</v>
      </c>
      <c r="AN41" s="8">
        <f>0</f>
        <v>0</v>
      </c>
      <c r="AO41" s="8">
        <f>0</f>
        <v>0</v>
      </c>
      <c r="AP41" s="8">
        <v>0</v>
      </c>
      <c r="AQ41" s="94">
        <f t="shared" si="2"/>
        <v>0</v>
      </c>
      <c r="AR41" s="10" t="e">
        <f t="shared" si="3"/>
        <v>#N/A</v>
      </c>
      <c r="AS41" s="12"/>
      <c r="AT41" s="3"/>
      <c r="AV41" s="8"/>
    </row>
    <row r="42" spans="2:48" x14ac:dyDescent="0.25">
      <c r="B42" s="190"/>
      <c r="C42" s="189"/>
      <c r="D42" s="74" t="s">
        <v>17</v>
      </c>
      <c r="J42" s="74">
        <v>1</v>
      </c>
      <c r="K42" s="74">
        <v>1</v>
      </c>
      <c r="L42" s="74">
        <v>1</v>
      </c>
      <c r="U42" s="8">
        <v>0</v>
      </c>
      <c r="V42" s="8"/>
      <c r="W42" s="74">
        <f>0</f>
        <v>0</v>
      </c>
      <c r="X42" s="8">
        <f>0</f>
        <v>0</v>
      </c>
      <c r="Y42" s="8">
        <f>0</f>
        <v>0</v>
      </c>
      <c r="Z42" s="74">
        <f>0</f>
        <v>0</v>
      </c>
      <c r="AA42" s="74">
        <f>0</f>
        <v>0</v>
      </c>
      <c r="AB42" s="74">
        <f>0</f>
        <v>0</v>
      </c>
      <c r="AC42" s="74">
        <f>0</f>
        <v>0</v>
      </c>
      <c r="AE42" s="74">
        <f>0</f>
        <v>0</v>
      </c>
      <c r="AF42" s="8">
        <f>0</f>
        <v>0</v>
      </c>
      <c r="AG42" s="8">
        <f>0</f>
        <v>0</v>
      </c>
      <c r="AH42" s="8">
        <f>0</f>
        <v>0</v>
      </c>
      <c r="AI42" s="8">
        <f>0</f>
        <v>0</v>
      </c>
      <c r="AJ42" s="8">
        <f>0</f>
        <v>0</v>
      </c>
      <c r="AK42" s="8">
        <f>0</f>
        <v>0</v>
      </c>
      <c r="AL42" s="8">
        <f>0</f>
        <v>0</v>
      </c>
      <c r="AM42" s="8">
        <f>0</f>
        <v>0</v>
      </c>
      <c r="AN42" s="8">
        <f>0</f>
        <v>0</v>
      </c>
      <c r="AO42" s="8">
        <f>0</f>
        <v>0</v>
      </c>
      <c r="AP42" s="8">
        <v>0</v>
      </c>
      <c r="AQ42" s="94">
        <f t="shared" si="2"/>
        <v>0</v>
      </c>
      <c r="AR42" s="10" t="e">
        <f t="shared" si="3"/>
        <v>#N/A</v>
      </c>
    </row>
    <row r="43" spans="2:48" x14ac:dyDescent="0.25">
      <c r="B43" s="190"/>
      <c r="C43" s="189"/>
      <c r="D43" s="74" t="s">
        <v>3</v>
      </c>
      <c r="G43" s="74">
        <v>1</v>
      </c>
      <c r="K43" s="74">
        <v>1</v>
      </c>
      <c r="L43" s="74">
        <v>1</v>
      </c>
      <c r="U43" s="8">
        <v>0</v>
      </c>
      <c r="V43" s="8"/>
      <c r="W43" s="74">
        <f>0</f>
        <v>0</v>
      </c>
      <c r="X43" s="8">
        <f>0</f>
        <v>0</v>
      </c>
      <c r="Y43" s="8">
        <f>0</f>
        <v>0</v>
      </c>
      <c r="Z43" s="74">
        <f>0</f>
        <v>0</v>
      </c>
      <c r="AA43" s="74">
        <f>0</f>
        <v>0</v>
      </c>
      <c r="AB43" s="74">
        <f>0</f>
        <v>0</v>
      </c>
      <c r="AC43" s="74">
        <f>0</f>
        <v>0</v>
      </c>
      <c r="AE43" s="74">
        <f>0</f>
        <v>0</v>
      </c>
      <c r="AF43" s="8">
        <f>0</f>
        <v>0</v>
      </c>
      <c r="AG43" s="8">
        <f>0</f>
        <v>0</v>
      </c>
      <c r="AH43" s="8">
        <f>0</f>
        <v>0</v>
      </c>
      <c r="AI43" s="8">
        <f>0</f>
        <v>0</v>
      </c>
      <c r="AJ43" s="8">
        <f>0</f>
        <v>0</v>
      </c>
      <c r="AK43" s="8">
        <f>0</f>
        <v>0</v>
      </c>
      <c r="AL43" s="8">
        <f>0</f>
        <v>0</v>
      </c>
      <c r="AM43" s="8">
        <f>0</f>
        <v>0</v>
      </c>
      <c r="AN43" s="8">
        <f>0</f>
        <v>0</v>
      </c>
      <c r="AO43" s="8">
        <f>0</f>
        <v>0</v>
      </c>
      <c r="AP43" s="8">
        <v>0</v>
      </c>
      <c r="AQ43" s="94">
        <f t="shared" si="2"/>
        <v>0</v>
      </c>
      <c r="AR43" s="10" t="e">
        <f t="shared" si="3"/>
        <v>#N/A</v>
      </c>
    </row>
    <row r="44" spans="2:48" x14ac:dyDescent="0.25">
      <c r="B44" s="190"/>
      <c r="C44" s="189"/>
      <c r="D44" s="74" t="s">
        <v>26</v>
      </c>
      <c r="J44" s="74">
        <v>1</v>
      </c>
      <c r="U44" s="8">
        <v>0</v>
      </c>
      <c r="V44" s="8"/>
      <c r="W44" s="74">
        <f>0</f>
        <v>0</v>
      </c>
      <c r="X44" s="8">
        <f>0</f>
        <v>0</v>
      </c>
      <c r="Y44" s="8">
        <f>0</f>
        <v>0</v>
      </c>
      <c r="Z44" s="74">
        <f>0</f>
        <v>0</v>
      </c>
      <c r="AA44" s="74">
        <f>0</f>
        <v>0</v>
      </c>
      <c r="AB44" s="74">
        <f>0</f>
        <v>0</v>
      </c>
      <c r="AC44" s="74">
        <f>0</f>
        <v>0</v>
      </c>
      <c r="AE44" s="74">
        <f>0</f>
        <v>0</v>
      </c>
      <c r="AF44" s="8">
        <f>0</f>
        <v>0</v>
      </c>
      <c r="AG44" s="8">
        <f>0</f>
        <v>0</v>
      </c>
      <c r="AH44" s="8">
        <f>0</f>
        <v>0</v>
      </c>
      <c r="AI44" s="8">
        <f>0</f>
        <v>0</v>
      </c>
      <c r="AJ44" s="8">
        <f>0</f>
        <v>0</v>
      </c>
      <c r="AK44" s="8">
        <f>0</f>
        <v>0</v>
      </c>
      <c r="AL44" s="8">
        <f>0</f>
        <v>0</v>
      </c>
      <c r="AM44" s="8">
        <f>0</f>
        <v>0</v>
      </c>
      <c r="AN44" s="8">
        <f>0</f>
        <v>0</v>
      </c>
      <c r="AO44" s="8">
        <f>0</f>
        <v>0</v>
      </c>
      <c r="AP44" s="8">
        <v>0</v>
      </c>
      <c r="AQ44" s="94">
        <f t="shared" si="2"/>
        <v>0</v>
      </c>
      <c r="AR44" s="10" t="e">
        <f t="shared" si="3"/>
        <v>#N/A</v>
      </c>
    </row>
    <row r="45" spans="2:48" x14ac:dyDescent="0.25">
      <c r="B45" s="190"/>
      <c r="C45" s="189"/>
      <c r="D45" s="74" t="s">
        <v>22</v>
      </c>
      <c r="J45" s="74">
        <v>1</v>
      </c>
      <c r="U45" s="8">
        <v>0</v>
      </c>
      <c r="V45" s="8"/>
      <c r="W45" s="74">
        <f>0</f>
        <v>0</v>
      </c>
      <c r="X45" s="8">
        <f>0</f>
        <v>0</v>
      </c>
      <c r="Y45" s="8">
        <f>0</f>
        <v>0</v>
      </c>
      <c r="Z45" s="74">
        <f>0</f>
        <v>0</v>
      </c>
      <c r="AA45" s="74">
        <f>0</f>
        <v>0</v>
      </c>
      <c r="AB45" s="74">
        <f>0</f>
        <v>0</v>
      </c>
      <c r="AC45" s="74">
        <f>0</f>
        <v>0</v>
      </c>
      <c r="AE45" s="74">
        <f>0</f>
        <v>0</v>
      </c>
      <c r="AF45" s="8">
        <f>0</f>
        <v>0</v>
      </c>
      <c r="AG45" s="8">
        <f>0</f>
        <v>0</v>
      </c>
      <c r="AH45" s="8">
        <f>0</f>
        <v>0</v>
      </c>
      <c r="AI45" s="8">
        <f>0</f>
        <v>0</v>
      </c>
      <c r="AJ45" s="8">
        <f>0</f>
        <v>0</v>
      </c>
      <c r="AK45" s="8">
        <f>0</f>
        <v>0</v>
      </c>
      <c r="AL45" s="8">
        <f>0</f>
        <v>0</v>
      </c>
      <c r="AM45" s="8">
        <f>0</f>
        <v>0</v>
      </c>
      <c r="AN45" s="8">
        <f>0</f>
        <v>0</v>
      </c>
      <c r="AO45" s="8">
        <f>0</f>
        <v>0</v>
      </c>
      <c r="AP45" s="8">
        <v>0</v>
      </c>
      <c r="AQ45" s="94">
        <f t="shared" si="2"/>
        <v>0</v>
      </c>
      <c r="AR45" s="10" t="e">
        <f t="shared" si="3"/>
        <v>#N/A</v>
      </c>
      <c r="AS45" s="12"/>
      <c r="AT45" s="3"/>
    </row>
    <row r="46" spans="2:48" x14ac:dyDescent="0.25">
      <c r="B46" s="190"/>
      <c r="C46" s="189"/>
      <c r="D46" s="74" t="s">
        <v>21</v>
      </c>
      <c r="J46" s="74">
        <v>1</v>
      </c>
      <c r="U46" s="8">
        <v>0</v>
      </c>
      <c r="V46" s="8"/>
      <c r="W46" s="74">
        <f>0</f>
        <v>0</v>
      </c>
      <c r="X46" s="8">
        <f>0</f>
        <v>0</v>
      </c>
      <c r="Y46" s="8">
        <f>0</f>
        <v>0</v>
      </c>
      <c r="Z46" s="74">
        <f>0</f>
        <v>0</v>
      </c>
      <c r="AA46" s="74">
        <f>0</f>
        <v>0</v>
      </c>
      <c r="AB46" s="74">
        <f>0</f>
        <v>0</v>
      </c>
      <c r="AC46" s="74">
        <f>0</f>
        <v>0</v>
      </c>
      <c r="AE46" s="74">
        <f>0</f>
        <v>0</v>
      </c>
      <c r="AF46" s="8">
        <f>0</f>
        <v>0</v>
      </c>
      <c r="AG46" s="8">
        <f>0</f>
        <v>0</v>
      </c>
      <c r="AH46" s="8">
        <f>0</f>
        <v>0</v>
      </c>
      <c r="AI46" s="8">
        <f>0</f>
        <v>0</v>
      </c>
      <c r="AJ46" s="8">
        <f>0</f>
        <v>0</v>
      </c>
      <c r="AK46" s="8">
        <f>0</f>
        <v>0</v>
      </c>
      <c r="AL46" s="8">
        <f>0</f>
        <v>0</v>
      </c>
      <c r="AM46" s="8">
        <f>0</f>
        <v>0</v>
      </c>
      <c r="AN46" s="8">
        <f>0</f>
        <v>0</v>
      </c>
      <c r="AO46" s="8">
        <f>0</f>
        <v>0</v>
      </c>
      <c r="AP46" s="8">
        <v>0</v>
      </c>
      <c r="AQ46" s="94">
        <f t="shared" si="2"/>
        <v>0</v>
      </c>
      <c r="AR46" s="10" t="e">
        <f t="shared" si="3"/>
        <v>#N/A</v>
      </c>
      <c r="AS46" s="2"/>
      <c r="AT46" s="2"/>
    </row>
    <row r="47" spans="2:48" x14ac:dyDescent="0.25">
      <c r="B47" s="190"/>
      <c r="C47" s="189"/>
      <c r="D47" s="74" t="s">
        <v>41</v>
      </c>
      <c r="U47" s="8">
        <v>0</v>
      </c>
      <c r="V47" s="8"/>
      <c r="W47" s="74">
        <f>0</f>
        <v>0</v>
      </c>
      <c r="X47" s="8">
        <f>0</f>
        <v>0</v>
      </c>
      <c r="Y47" s="8">
        <f>0</f>
        <v>0</v>
      </c>
      <c r="Z47" s="74">
        <f>0</f>
        <v>0</v>
      </c>
      <c r="AA47" s="74">
        <f>0</f>
        <v>0</v>
      </c>
      <c r="AB47" s="74">
        <f>0</f>
        <v>0</v>
      </c>
      <c r="AC47" s="74">
        <f>0</f>
        <v>0</v>
      </c>
      <c r="AE47" s="74">
        <f>0</f>
        <v>0</v>
      </c>
      <c r="AF47" s="8">
        <f>0</f>
        <v>0</v>
      </c>
      <c r="AG47" s="8">
        <f>0</f>
        <v>0</v>
      </c>
      <c r="AH47" s="8">
        <f>0</f>
        <v>0</v>
      </c>
      <c r="AI47" s="8">
        <f>0</f>
        <v>0</v>
      </c>
      <c r="AJ47" s="8">
        <f>0</f>
        <v>0</v>
      </c>
      <c r="AK47" s="8">
        <f>0</f>
        <v>0</v>
      </c>
      <c r="AL47" s="8">
        <f>0</f>
        <v>0</v>
      </c>
      <c r="AM47" s="8">
        <f>0</f>
        <v>0</v>
      </c>
      <c r="AN47" s="8">
        <f>0</f>
        <v>0</v>
      </c>
      <c r="AO47" s="8">
        <f>0</f>
        <v>0</v>
      </c>
      <c r="AP47" s="8">
        <v>0</v>
      </c>
      <c r="AQ47" s="94">
        <f t="shared" si="2"/>
        <v>0</v>
      </c>
      <c r="AR47" s="10" t="e">
        <f t="shared" si="3"/>
        <v>#N/A</v>
      </c>
      <c r="AS47" s="2"/>
      <c r="AT47" s="2"/>
    </row>
    <row r="48" spans="2:48" x14ac:dyDescent="0.25">
      <c r="B48" s="190"/>
      <c r="C48" s="189"/>
      <c r="D48" s="74" t="s">
        <v>43</v>
      </c>
      <c r="U48" s="8">
        <v>0</v>
      </c>
      <c r="V48" s="8"/>
      <c r="W48" s="74">
        <f>0</f>
        <v>0</v>
      </c>
      <c r="X48" s="8">
        <f>0</f>
        <v>0</v>
      </c>
      <c r="Y48" s="8">
        <f>0</f>
        <v>0</v>
      </c>
      <c r="Z48" s="74">
        <f>0</f>
        <v>0</v>
      </c>
      <c r="AA48" s="74">
        <f>0</f>
        <v>0</v>
      </c>
      <c r="AB48" s="74">
        <f>0</f>
        <v>0</v>
      </c>
      <c r="AC48" s="74">
        <f>0</f>
        <v>0</v>
      </c>
      <c r="AE48" s="74">
        <f>0</f>
        <v>0</v>
      </c>
      <c r="AF48" s="8">
        <f>0</f>
        <v>0</v>
      </c>
      <c r="AG48" s="8">
        <f>0</f>
        <v>0</v>
      </c>
      <c r="AH48" s="8">
        <f>0</f>
        <v>0</v>
      </c>
      <c r="AI48" s="8">
        <f>0</f>
        <v>0</v>
      </c>
      <c r="AJ48" s="8">
        <f>0</f>
        <v>0</v>
      </c>
      <c r="AK48" s="8">
        <f>0</f>
        <v>0</v>
      </c>
      <c r="AL48" s="8">
        <f>0</f>
        <v>0</v>
      </c>
      <c r="AM48" s="8">
        <f>0</f>
        <v>0</v>
      </c>
      <c r="AN48" s="8">
        <f>0</f>
        <v>0</v>
      </c>
      <c r="AO48" s="8">
        <f>0</f>
        <v>0</v>
      </c>
      <c r="AP48" s="8">
        <v>0</v>
      </c>
      <c r="AQ48" s="94">
        <f t="shared" si="2"/>
        <v>0</v>
      </c>
      <c r="AR48" s="10" t="e">
        <f t="shared" si="3"/>
        <v>#N/A</v>
      </c>
      <c r="AS48" s="2"/>
      <c r="AT48" s="2"/>
    </row>
    <row r="49" spans="2:46" x14ac:dyDescent="0.25">
      <c r="B49" s="190"/>
      <c r="C49" s="189"/>
      <c r="D49" s="74" t="s">
        <v>23</v>
      </c>
      <c r="U49" s="8">
        <v>0</v>
      </c>
      <c r="V49" s="8"/>
      <c r="W49" s="74">
        <f>0</f>
        <v>0</v>
      </c>
      <c r="X49" s="8">
        <f>0</f>
        <v>0</v>
      </c>
      <c r="Y49" s="8">
        <f>0</f>
        <v>0</v>
      </c>
      <c r="Z49" s="74">
        <f>0</f>
        <v>0</v>
      </c>
      <c r="AA49" s="74">
        <f>0</f>
        <v>0</v>
      </c>
      <c r="AB49" s="74">
        <f>0</f>
        <v>0</v>
      </c>
      <c r="AC49" s="74">
        <f>0</f>
        <v>0</v>
      </c>
      <c r="AE49" s="74">
        <f>0</f>
        <v>0</v>
      </c>
      <c r="AF49" s="8">
        <f>0</f>
        <v>0</v>
      </c>
      <c r="AG49" s="8">
        <f>0</f>
        <v>0</v>
      </c>
      <c r="AH49" s="8">
        <f>0</f>
        <v>0</v>
      </c>
      <c r="AI49" s="8">
        <f>0</f>
        <v>0</v>
      </c>
      <c r="AJ49" s="8">
        <f>0</f>
        <v>0</v>
      </c>
      <c r="AK49" s="8">
        <f>0</f>
        <v>0</v>
      </c>
      <c r="AL49" s="8">
        <f>0</f>
        <v>0</v>
      </c>
      <c r="AM49" s="8">
        <f>0</f>
        <v>0</v>
      </c>
      <c r="AN49" s="8">
        <f>0</f>
        <v>0</v>
      </c>
      <c r="AO49" s="8">
        <f>0</f>
        <v>0</v>
      </c>
      <c r="AP49" s="8">
        <v>0</v>
      </c>
      <c r="AQ49" s="94">
        <f t="shared" si="2"/>
        <v>0</v>
      </c>
      <c r="AR49" s="10" t="e">
        <f t="shared" si="3"/>
        <v>#N/A</v>
      </c>
      <c r="AS49" s="2"/>
      <c r="AT49" s="2"/>
    </row>
    <row r="50" spans="2:46" x14ac:dyDescent="0.25">
      <c r="B50" s="190"/>
      <c r="C50" s="189"/>
      <c r="D50" s="2" t="s">
        <v>56</v>
      </c>
      <c r="U50" s="8">
        <v>0</v>
      </c>
      <c r="V50" s="8"/>
      <c r="W50" s="74">
        <f>0</f>
        <v>0</v>
      </c>
      <c r="X50" s="8">
        <f>0</f>
        <v>0</v>
      </c>
      <c r="Y50" s="8">
        <f>0</f>
        <v>0</v>
      </c>
      <c r="Z50" s="74">
        <f>0</f>
        <v>0</v>
      </c>
      <c r="AA50" s="74">
        <f>0</f>
        <v>0</v>
      </c>
      <c r="AB50" s="74">
        <f>0</f>
        <v>0</v>
      </c>
      <c r="AC50" s="74">
        <f>0</f>
        <v>0</v>
      </c>
      <c r="AE50" s="74">
        <f>0</f>
        <v>0</v>
      </c>
      <c r="AF50" s="8">
        <f>0</f>
        <v>0</v>
      </c>
      <c r="AG50" s="8">
        <f>0</f>
        <v>0</v>
      </c>
      <c r="AH50" s="8">
        <f>0</f>
        <v>0</v>
      </c>
      <c r="AI50" s="8">
        <f>0</f>
        <v>0</v>
      </c>
      <c r="AJ50" s="8">
        <f>0</f>
        <v>0</v>
      </c>
      <c r="AK50" s="8">
        <f>0</f>
        <v>0</v>
      </c>
      <c r="AL50" s="8">
        <f>0</f>
        <v>0</v>
      </c>
      <c r="AM50" s="8">
        <f>0</f>
        <v>0</v>
      </c>
      <c r="AN50" s="8">
        <f>0</f>
        <v>0</v>
      </c>
      <c r="AO50" s="8">
        <f>0</f>
        <v>0</v>
      </c>
      <c r="AP50" s="8">
        <v>0</v>
      </c>
      <c r="AQ50" s="94">
        <f t="shared" si="2"/>
        <v>0</v>
      </c>
      <c r="AR50" s="10" t="e">
        <f t="shared" si="3"/>
        <v>#N/A</v>
      </c>
      <c r="AS50" s="2"/>
      <c r="AT50" s="2"/>
    </row>
    <row r="51" spans="2:46" x14ac:dyDescent="0.25">
      <c r="B51" s="190"/>
      <c r="C51" s="189"/>
      <c r="D51" s="74" t="s">
        <v>25</v>
      </c>
      <c r="U51" s="8">
        <v>0</v>
      </c>
      <c r="V51" s="8"/>
      <c r="W51" s="74">
        <f>0</f>
        <v>0</v>
      </c>
      <c r="X51" s="8">
        <f>0</f>
        <v>0</v>
      </c>
      <c r="Y51" s="8">
        <f>0</f>
        <v>0</v>
      </c>
      <c r="Z51" s="74">
        <f>0</f>
        <v>0</v>
      </c>
      <c r="AA51" s="74">
        <f>0</f>
        <v>0</v>
      </c>
      <c r="AB51" s="74">
        <f>0</f>
        <v>0</v>
      </c>
      <c r="AC51" s="74">
        <f>0</f>
        <v>0</v>
      </c>
      <c r="AE51" s="74">
        <f>0</f>
        <v>0</v>
      </c>
      <c r="AF51" s="8">
        <f>0</f>
        <v>0</v>
      </c>
      <c r="AG51" s="8">
        <f>0</f>
        <v>0</v>
      </c>
      <c r="AH51" s="8">
        <f>0</f>
        <v>0</v>
      </c>
      <c r="AI51" s="8">
        <f>0</f>
        <v>0</v>
      </c>
      <c r="AJ51" s="8">
        <f>0</f>
        <v>0</v>
      </c>
      <c r="AK51" s="8">
        <f>0</f>
        <v>0</v>
      </c>
      <c r="AL51" s="8">
        <f>0</f>
        <v>0</v>
      </c>
      <c r="AM51" s="8">
        <f>0</f>
        <v>0</v>
      </c>
      <c r="AN51" s="8">
        <f>0</f>
        <v>0</v>
      </c>
      <c r="AO51" s="8">
        <f>0</f>
        <v>0</v>
      </c>
      <c r="AP51" s="8">
        <v>0</v>
      </c>
      <c r="AQ51" s="94">
        <f t="shared" si="2"/>
        <v>0</v>
      </c>
      <c r="AR51" s="10" t="e">
        <f t="shared" si="3"/>
        <v>#N/A</v>
      </c>
      <c r="AS51" s="2"/>
      <c r="AT51" s="2"/>
    </row>
    <row r="52" spans="2:46" ht="15.75" thickBot="1" x14ac:dyDescent="0.3">
      <c r="B52" s="256"/>
      <c r="C52" s="191"/>
      <c r="D52" s="74" t="s">
        <v>48</v>
      </c>
      <c r="U52" s="8">
        <v>0</v>
      </c>
      <c r="V52" s="8"/>
      <c r="W52" s="74">
        <f>0</f>
        <v>0</v>
      </c>
      <c r="X52" s="8">
        <f>0</f>
        <v>0</v>
      </c>
      <c r="Y52" s="8">
        <f>0</f>
        <v>0</v>
      </c>
      <c r="Z52" s="74">
        <f>0</f>
        <v>0</v>
      </c>
      <c r="AA52" s="74">
        <f>0</f>
        <v>0</v>
      </c>
      <c r="AB52" s="74">
        <f>0</f>
        <v>0</v>
      </c>
      <c r="AC52" s="74">
        <f>0</f>
        <v>0</v>
      </c>
      <c r="AE52" s="74">
        <f>0</f>
        <v>0</v>
      </c>
      <c r="AF52" s="8">
        <f>0</f>
        <v>0</v>
      </c>
      <c r="AG52" s="8">
        <f>0</f>
        <v>0</v>
      </c>
      <c r="AH52" s="8">
        <f>0</f>
        <v>0</v>
      </c>
      <c r="AI52" s="8">
        <f>0</f>
        <v>0</v>
      </c>
      <c r="AJ52" s="8">
        <f>0</f>
        <v>0</v>
      </c>
      <c r="AK52" s="8">
        <f>0</f>
        <v>0</v>
      </c>
      <c r="AL52" s="8">
        <f>0</f>
        <v>0</v>
      </c>
      <c r="AM52" s="8">
        <f>0</f>
        <v>0</v>
      </c>
      <c r="AN52" s="8">
        <f>0</f>
        <v>0</v>
      </c>
      <c r="AO52" s="8">
        <f>0</f>
        <v>0</v>
      </c>
      <c r="AP52" s="8">
        <v>0</v>
      </c>
      <c r="AQ52" s="94">
        <f t="shared" si="2"/>
        <v>0</v>
      </c>
      <c r="AR52" s="10" t="e">
        <f t="shared" si="3"/>
        <v>#N/A</v>
      </c>
      <c r="AS52" s="2"/>
      <c r="AT52" s="2"/>
    </row>
    <row r="53" spans="2:46" ht="15.75" x14ac:dyDescent="0.25">
      <c r="B53" s="250" t="s">
        <v>272</v>
      </c>
      <c r="C53" s="253">
        <f>SUM(C6:C52)</f>
        <v>9</v>
      </c>
      <c r="D53" s="74" t="s">
        <v>37</v>
      </c>
      <c r="U53" s="8">
        <v>0</v>
      </c>
      <c r="V53" s="8"/>
      <c r="W53" s="74">
        <f>0</f>
        <v>0</v>
      </c>
      <c r="X53" s="8">
        <f>0</f>
        <v>0</v>
      </c>
      <c r="Y53" s="8">
        <f>0</f>
        <v>0</v>
      </c>
      <c r="Z53" s="74">
        <f>0</f>
        <v>0</v>
      </c>
      <c r="AA53" s="74">
        <f>0</f>
        <v>0</v>
      </c>
      <c r="AB53" s="74">
        <f>0</f>
        <v>0</v>
      </c>
      <c r="AC53" s="74">
        <f>0</f>
        <v>0</v>
      </c>
      <c r="AE53" s="74">
        <f>0</f>
        <v>0</v>
      </c>
      <c r="AF53" s="8">
        <f>0</f>
        <v>0</v>
      </c>
      <c r="AG53" s="8">
        <f>0</f>
        <v>0</v>
      </c>
      <c r="AH53" s="8">
        <f>0</f>
        <v>0</v>
      </c>
      <c r="AI53" s="8">
        <f>0</f>
        <v>0</v>
      </c>
      <c r="AJ53" s="8">
        <f>0</f>
        <v>0</v>
      </c>
      <c r="AK53" s="8">
        <f>0</f>
        <v>0</v>
      </c>
      <c r="AL53" s="8">
        <f>0</f>
        <v>0</v>
      </c>
      <c r="AM53" s="8">
        <f>0</f>
        <v>0</v>
      </c>
      <c r="AN53" s="8">
        <f>0</f>
        <v>0</v>
      </c>
      <c r="AO53" s="8">
        <f>0</f>
        <v>0</v>
      </c>
      <c r="AP53" s="8">
        <v>0</v>
      </c>
      <c r="AQ53" s="94">
        <f t="shared" si="2"/>
        <v>0</v>
      </c>
      <c r="AR53" s="10" t="e">
        <f t="shared" si="3"/>
        <v>#N/A</v>
      </c>
      <c r="AS53" s="2"/>
      <c r="AT53" s="2"/>
    </row>
    <row r="54" spans="2:46" ht="15.75" thickBot="1" x14ac:dyDescent="0.3">
      <c r="B54" s="251"/>
      <c r="C54" s="254"/>
      <c r="D54" s="74" t="s">
        <v>2</v>
      </c>
      <c r="U54" s="8">
        <v>0</v>
      </c>
      <c r="V54" s="8"/>
      <c r="W54" s="74">
        <f>0</f>
        <v>0</v>
      </c>
      <c r="X54" s="8">
        <f>0</f>
        <v>0</v>
      </c>
      <c r="Y54" s="8">
        <f>0</f>
        <v>0</v>
      </c>
      <c r="Z54" s="74">
        <f>0</f>
        <v>0</v>
      </c>
      <c r="AA54" s="74">
        <f>0</f>
        <v>0</v>
      </c>
      <c r="AB54" s="74">
        <f>0</f>
        <v>0</v>
      </c>
      <c r="AC54" s="74">
        <f>0</f>
        <v>0</v>
      </c>
      <c r="AE54" s="74">
        <f>0</f>
        <v>0</v>
      </c>
      <c r="AF54" s="8">
        <f>0</f>
        <v>0</v>
      </c>
      <c r="AG54" s="8">
        <f>0</f>
        <v>0</v>
      </c>
      <c r="AH54" s="8">
        <f>0</f>
        <v>0</v>
      </c>
      <c r="AI54" s="8">
        <f>0</f>
        <v>0</v>
      </c>
      <c r="AJ54" s="8">
        <f>0</f>
        <v>0</v>
      </c>
      <c r="AK54" s="8">
        <f>0</f>
        <v>0</v>
      </c>
      <c r="AL54" s="8">
        <f>0</f>
        <v>0</v>
      </c>
      <c r="AM54" s="8">
        <f>0</f>
        <v>0</v>
      </c>
      <c r="AN54" s="8">
        <f>0</f>
        <v>0</v>
      </c>
      <c r="AO54" s="8">
        <f>0</f>
        <v>0</v>
      </c>
      <c r="AP54" s="8">
        <v>0</v>
      </c>
      <c r="AQ54" s="94">
        <f t="shared" si="2"/>
        <v>0</v>
      </c>
      <c r="AR54" s="10" t="e">
        <f t="shared" si="3"/>
        <v>#N/A</v>
      </c>
    </row>
    <row r="55" spans="2:46" ht="45" x14ac:dyDescent="0.25">
      <c r="B55" s="245" t="s">
        <v>281</v>
      </c>
      <c r="D55" s="74" t="s">
        <v>18</v>
      </c>
      <c r="U55" s="8">
        <v>0</v>
      </c>
      <c r="V55" s="8"/>
      <c r="W55" s="74">
        <f>0</f>
        <v>0</v>
      </c>
      <c r="X55" s="8">
        <f>0</f>
        <v>0</v>
      </c>
      <c r="Y55" s="8">
        <f>0</f>
        <v>0</v>
      </c>
      <c r="Z55" s="74">
        <f>0</f>
        <v>0</v>
      </c>
      <c r="AA55" s="74">
        <f>0</f>
        <v>0</v>
      </c>
      <c r="AB55" s="74">
        <f>0</f>
        <v>0</v>
      </c>
      <c r="AC55" s="74">
        <f>0</f>
        <v>0</v>
      </c>
      <c r="AE55" s="74">
        <f>0</f>
        <v>0</v>
      </c>
      <c r="AF55" s="8">
        <f>0</f>
        <v>0</v>
      </c>
      <c r="AG55" s="8">
        <f>0</f>
        <v>0</v>
      </c>
      <c r="AH55" s="8">
        <f>0</f>
        <v>0</v>
      </c>
      <c r="AI55" s="8">
        <f>0</f>
        <v>0</v>
      </c>
      <c r="AJ55" s="8">
        <f>0</f>
        <v>0</v>
      </c>
      <c r="AK55" s="8">
        <f>0</f>
        <v>0</v>
      </c>
      <c r="AL55" s="8">
        <f>0</f>
        <v>0</v>
      </c>
      <c r="AM55" s="8">
        <f>0</f>
        <v>0</v>
      </c>
      <c r="AN55" s="8">
        <f>0</f>
        <v>0</v>
      </c>
      <c r="AO55" s="8">
        <f>0</f>
        <v>0</v>
      </c>
      <c r="AP55" s="8">
        <v>0</v>
      </c>
      <c r="AQ55" s="94">
        <f t="shared" si="2"/>
        <v>0</v>
      </c>
      <c r="AR55" s="10" t="e">
        <f t="shared" si="3"/>
        <v>#N/A</v>
      </c>
    </row>
    <row r="56" spans="2:46" x14ac:dyDescent="0.25">
      <c r="D56" s="74" t="s">
        <v>20</v>
      </c>
      <c r="U56" s="8">
        <v>0</v>
      </c>
      <c r="V56" s="8"/>
      <c r="W56" s="74">
        <f>0</f>
        <v>0</v>
      </c>
      <c r="X56" s="8">
        <f>0</f>
        <v>0</v>
      </c>
      <c r="Y56" s="8">
        <f>0</f>
        <v>0</v>
      </c>
      <c r="Z56" s="74">
        <f>0</f>
        <v>0</v>
      </c>
      <c r="AA56" s="74">
        <f>0</f>
        <v>0</v>
      </c>
      <c r="AB56" s="74">
        <f>0</f>
        <v>0</v>
      </c>
      <c r="AC56" s="74">
        <f>0</f>
        <v>0</v>
      </c>
      <c r="AE56" s="74">
        <f>0</f>
        <v>0</v>
      </c>
      <c r="AF56" s="8">
        <f>0</f>
        <v>0</v>
      </c>
      <c r="AG56" s="8">
        <f>0</f>
        <v>0</v>
      </c>
      <c r="AH56" s="8">
        <f>0</f>
        <v>0</v>
      </c>
      <c r="AI56" s="8">
        <f>0</f>
        <v>0</v>
      </c>
      <c r="AJ56" s="8">
        <f>0</f>
        <v>0</v>
      </c>
      <c r="AK56" s="8">
        <f>0</f>
        <v>0</v>
      </c>
      <c r="AL56" s="8">
        <f>0</f>
        <v>0</v>
      </c>
      <c r="AM56" s="8">
        <f>0</f>
        <v>0</v>
      </c>
      <c r="AN56" s="8">
        <f>0</f>
        <v>0</v>
      </c>
      <c r="AO56" s="8">
        <f>0</f>
        <v>0</v>
      </c>
      <c r="AP56" s="8">
        <v>0</v>
      </c>
      <c r="AQ56" s="94">
        <f t="shared" si="2"/>
        <v>0</v>
      </c>
      <c r="AR56" s="10" t="e">
        <f t="shared" si="3"/>
        <v>#N/A</v>
      </c>
    </row>
    <row r="57" spans="2:46" x14ac:dyDescent="0.25">
      <c r="D57" s="74" t="s">
        <v>38</v>
      </c>
      <c r="U57" s="8">
        <v>0</v>
      </c>
      <c r="V57" s="8"/>
      <c r="W57" s="74">
        <f>0</f>
        <v>0</v>
      </c>
      <c r="X57" s="8">
        <f>0</f>
        <v>0</v>
      </c>
      <c r="Y57" s="8">
        <f>0</f>
        <v>0</v>
      </c>
      <c r="Z57" s="74">
        <f>0</f>
        <v>0</v>
      </c>
      <c r="AA57" s="74">
        <f>0</f>
        <v>0</v>
      </c>
      <c r="AB57" s="74">
        <f>0</f>
        <v>0</v>
      </c>
      <c r="AC57" s="74">
        <f>0</f>
        <v>0</v>
      </c>
      <c r="AE57" s="74">
        <f>0</f>
        <v>0</v>
      </c>
      <c r="AF57" s="8">
        <f>0</f>
        <v>0</v>
      </c>
      <c r="AG57" s="8">
        <f>0</f>
        <v>0</v>
      </c>
      <c r="AH57" s="8">
        <f>0</f>
        <v>0</v>
      </c>
      <c r="AI57" s="8">
        <f>0</f>
        <v>0</v>
      </c>
      <c r="AJ57" s="8">
        <f>0</f>
        <v>0</v>
      </c>
      <c r="AK57" s="8">
        <f>0</f>
        <v>0</v>
      </c>
      <c r="AL57" s="8">
        <f>0</f>
        <v>0</v>
      </c>
      <c r="AM57" s="8">
        <f>0</f>
        <v>0</v>
      </c>
      <c r="AN57" s="8">
        <f>0</f>
        <v>0</v>
      </c>
      <c r="AO57" s="8">
        <f>0</f>
        <v>0</v>
      </c>
      <c r="AP57" s="8">
        <v>0</v>
      </c>
      <c r="AQ57" s="94">
        <f t="shared" si="2"/>
        <v>0</v>
      </c>
      <c r="AR57" s="10" t="e">
        <f t="shared" si="3"/>
        <v>#N/A</v>
      </c>
    </row>
    <row r="58" spans="2:46" x14ac:dyDescent="0.25">
      <c r="D58" s="6" t="s">
        <v>34</v>
      </c>
      <c r="U58" s="8">
        <v>0</v>
      </c>
      <c r="V58" s="8"/>
      <c r="W58" s="74">
        <f>0</f>
        <v>0</v>
      </c>
      <c r="X58" s="8">
        <f>0</f>
        <v>0</v>
      </c>
      <c r="Y58" s="8">
        <f>0</f>
        <v>0</v>
      </c>
      <c r="Z58" s="74">
        <f>0</f>
        <v>0</v>
      </c>
      <c r="AA58" s="74">
        <f>0</f>
        <v>0</v>
      </c>
      <c r="AB58" s="74">
        <f>0</f>
        <v>0</v>
      </c>
      <c r="AC58" s="74">
        <f>0</f>
        <v>0</v>
      </c>
      <c r="AE58" s="74">
        <f>0</f>
        <v>0</v>
      </c>
      <c r="AF58" s="8">
        <f>0</f>
        <v>0</v>
      </c>
      <c r="AG58" s="8">
        <f>0</f>
        <v>0</v>
      </c>
      <c r="AH58" s="8">
        <f>0</f>
        <v>0</v>
      </c>
      <c r="AI58" s="8">
        <f>0</f>
        <v>0</v>
      </c>
      <c r="AJ58" s="8">
        <f>0</f>
        <v>0</v>
      </c>
      <c r="AK58" s="8">
        <f>0</f>
        <v>0</v>
      </c>
      <c r="AL58" s="8">
        <f>0</f>
        <v>0</v>
      </c>
      <c r="AM58" s="8">
        <f>0</f>
        <v>0</v>
      </c>
      <c r="AN58" s="8">
        <f>0</f>
        <v>0</v>
      </c>
      <c r="AO58" s="8">
        <f>0</f>
        <v>0</v>
      </c>
      <c r="AP58" s="8">
        <v>0</v>
      </c>
      <c r="AQ58" s="94">
        <f t="shared" si="2"/>
        <v>0</v>
      </c>
      <c r="AR58" s="10" t="e">
        <f t="shared" si="3"/>
        <v>#N/A</v>
      </c>
    </row>
    <row r="59" spans="2:46" x14ac:dyDescent="0.25">
      <c r="D59" s="74" t="s">
        <v>46</v>
      </c>
      <c r="U59" s="8">
        <v>0</v>
      </c>
      <c r="V59" s="8"/>
      <c r="W59" s="74">
        <f>0</f>
        <v>0</v>
      </c>
      <c r="X59" s="8">
        <f>0</f>
        <v>0</v>
      </c>
      <c r="Y59" s="8">
        <f>0</f>
        <v>0</v>
      </c>
      <c r="Z59" s="74">
        <f>0</f>
        <v>0</v>
      </c>
      <c r="AA59" s="74">
        <f>0</f>
        <v>0</v>
      </c>
      <c r="AB59" s="74">
        <f>0</f>
        <v>0</v>
      </c>
      <c r="AC59" s="74">
        <f>0</f>
        <v>0</v>
      </c>
      <c r="AE59" s="74">
        <f>0</f>
        <v>0</v>
      </c>
      <c r="AF59" s="8">
        <f>0</f>
        <v>0</v>
      </c>
      <c r="AG59" s="8">
        <f>0</f>
        <v>0</v>
      </c>
      <c r="AH59" s="8">
        <f>0</f>
        <v>0</v>
      </c>
      <c r="AI59" s="8">
        <f>0</f>
        <v>0</v>
      </c>
      <c r="AJ59" s="8">
        <f>0</f>
        <v>0</v>
      </c>
      <c r="AK59" s="8">
        <f>0</f>
        <v>0</v>
      </c>
      <c r="AL59" s="8">
        <f>0</f>
        <v>0</v>
      </c>
      <c r="AM59" s="8">
        <f>0</f>
        <v>0</v>
      </c>
      <c r="AN59" s="8">
        <f>0</f>
        <v>0</v>
      </c>
      <c r="AO59" s="8">
        <f>0</f>
        <v>0</v>
      </c>
      <c r="AP59" s="8">
        <v>0</v>
      </c>
      <c r="AQ59" s="94">
        <f t="shared" si="2"/>
        <v>0</v>
      </c>
      <c r="AR59" s="10" t="e">
        <f t="shared" si="3"/>
        <v>#N/A</v>
      </c>
    </row>
    <row r="60" spans="2:46" x14ac:dyDescent="0.25">
      <c r="D60" s="74" t="s">
        <v>40</v>
      </c>
      <c r="U60" s="8">
        <v>0</v>
      </c>
      <c r="V60" s="8"/>
      <c r="W60" s="74">
        <f>0</f>
        <v>0</v>
      </c>
      <c r="X60" s="8">
        <f>0</f>
        <v>0</v>
      </c>
      <c r="Y60" s="8">
        <f>0</f>
        <v>0</v>
      </c>
      <c r="Z60" s="74">
        <f>0</f>
        <v>0</v>
      </c>
      <c r="AA60" s="74">
        <f>0</f>
        <v>0</v>
      </c>
      <c r="AB60" s="74">
        <f>0</f>
        <v>0</v>
      </c>
      <c r="AC60" s="74">
        <f>0</f>
        <v>0</v>
      </c>
      <c r="AE60" s="74">
        <f>0</f>
        <v>0</v>
      </c>
      <c r="AF60" s="8">
        <f>0</f>
        <v>0</v>
      </c>
      <c r="AG60" s="8">
        <f>0</f>
        <v>0</v>
      </c>
      <c r="AH60" s="8">
        <f>0</f>
        <v>0</v>
      </c>
      <c r="AI60" s="8">
        <f>0</f>
        <v>0</v>
      </c>
      <c r="AJ60" s="8">
        <f>0</f>
        <v>0</v>
      </c>
      <c r="AK60" s="8">
        <f>0</f>
        <v>0</v>
      </c>
      <c r="AL60" s="8">
        <f>0</f>
        <v>0</v>
      </c>
      <c r="AM60" s="8">
        <f>0</f>
        <v>0</v>
      </c>
      <c r="AN60" s="8">
        <f>0</f>
        <v>0</v>
      </c>
      <c r="AO60" s="8">
        <f>0</f>
        <v>0</v>
      </c>
      <c r="AP60" s="8">
        <v>0</v>
      </c>
      <c r="AQ60" s="94">
        <f t="shared" si="2"/>
        <v>0</v>
      </c>
      <c r="AR60" s="10" t="e">
        <f t="shared" si="3"/>
        <v>#N/A</v>
      </c>
    </row>
    <row r="61" spans="2:46" x14ac:dyDescent="0.25">
      <c r="D61" s="74" t="s">
        <v>44</v>
      </c>
      <c r="U61" s="8">
        <v>0</v>
      </c>
      <c r="V61" s="8"/>
      <c r="W61" s="74">
        <f>0</f>
        <v>0</v>
      </c>
      <c r="X61" s="8">
        <f>0</f>
        <v>0</v>
      </c>
      <c r="Y61" s="8">
        <f>0</f>
        <v>0</v>
      </c>
      <c r="Z61" s="74">
        <f>0</f>
        <v>0</v>
      </c>
      <c r="AA61" s="74">
        <f>0</f>
        <v>0</v>
      </c>
      <c r="AB61" s="74">
        <f>0</f>
        <v>0</v>
      </c>
      <c r="AC61" s="74">
        <f>0</f>
        <v>0</v>
      </c>
      <c r="AE61" s="74">
        <f>0</f>
        <v>0</v>
      </c>
      <c r="AF61" s="8">
        <f>0</f>
        <v>0</v>
      </c>
      <c r="AG61" s="8">
        <f>0</f>
        <v>0</v>
      </c>
      <c r="AH61" s="8">
        <f>0</f>
        <v>0</v>
      </c>
      <c r="AI61" s="8">
        <f>0</f>
        <v>0</v>
      </c>
      <c r="AJ61" s="8">
        <f>0</f>
        <v>0</v>
      </c>
      <c r="AK61" s="8">
        <f>0</f>
        <v>0</v>
      </c>
      <c r="AL61" s="8">
        <f>0</f>
        <v>0</v>
      </c>
      <c r="AM61" s="8">
        <f>0</f>
        <v>0</v>
      </c>
      <c r="AN61" s="8">
        <f>0</f>
        <v>0</v>
      </c>
      <c r="AO61" s="8">
        <f>0</f>
        <v>0</v>
      </c>
      <c r="AP61" s="8">
        <v>0</v>
      </c>
      <c r="AQ61" s="94">
        <f t="shared" si="2"/>
        <v>0</v>
      </c>
      <c r="AR61" s="10" t="e">
        <f t="shared" si="3"/>
        <v>#N/A</v>
      </c>
    </row>
    <row r="62" spans="2:46" x14ac:dyDescent="0.25">
      <c r="D62" s="74" t="s">
        <v>8</v>
      </c>
      <c r="U62" s="8">
        <v>0</v>
      </c>
      <c r="V62" s="8"/>
      <c r="W62" s="74">
        <f>0</f>
        <v>0</v>
      </c>
      <c r="X62" s="8">
        <f>0</f>
        <v>0</v>
      </c>
      <c r="Y62" s="8">
        <f>0</f>
        <v>0</v>
      </c>
      <c r="Z62" s="74">
        <f>0</f>
        <v>0</v>
      </c>
      <c r="AA62" s="74">
        <f>0</f>
        <v>0</v>
      </c>
      <c r="AB62" s="74">
        <f>0</f>
        <v>0</v>
      </c>
      <c r="AC62" s="74">
        <f>0</f>
        <v>0</v>
      </c>
      <c r="AE62" s="74">
        <f>0</f>
        <v>0</v>
      </c>
      <c r="AF62" s="8">
        <f>0</f>
        <v>0</v>
      </c>
      <c r="AG62" s="8">
        <f>0</f>
        <v>0</v>
      </c>
      <c r="AH62" s="8">
        <f>0</f>
        <v>0</v>
      </c>
      <c r="AI62" s="8">
        <f>0</f>
        <v>0</v>
      </c>
      <c r="AJ62" s="8">
        <f>0</f>
        <v>0</v>
      </c>
      <c r="AK62" s="8">
        <f>0</f>
        <v>0</v>
      </c>
      <c r="AL62" s="8">
        <f>0</f>
        <v>0</v>
      </c>
      <c r="AM62" s="8">
        <f>0</f>
        <v>0</v>
      </c>
      <c r="AN62" s="8">
        <f>0</f>
        <v>0</v>
      </c>
      <c r="AO62" s="8">
        <f>0</f>
        <v>0</v>
      </c>
      <c r="AP62" s="8">
        <v>0</v>
      </c>
      <c r="AQ62" s="94">
        <f t="shared" si="2"/>
        <v>0</v>
      </c>
      <c r="AR62" s="10" t="e">
        <f t="shared" si="3"/>
        <v>#N/A</v>
      </c>
    </row>
    <row r="63" spans="2:46" x14ac:dyDescent="0.25">
      <c r="D63" s="74" t="s">
        <v>42</v>
      </c>
      <c r="U63" s="8">
        <v>0</v>
      </c>
      <c r="V63" s="8"/>
      <c r="W63" s="74">
        <f>0</f>
        <v>0</v>
      </c>
      <c r="X63" s="8">
        <f>0</f>
        <v>0</v>
      </c>
      <c r="Y63" s="8">
        <f>0</f>
        <v>0</v>
      </c>
      <c r="Z63" s="74">
        <f>0</f>
        <v>0</v>
      </c>
      <c r="AA63" s="74">
        <f>0</f>
        <v>0</v>
      </c>
      <c r="AB63" s="74">
        <f>0</f>
        <v>0</v>
      </c>
      <c r="AC63" s="74">
        <f>0</f>
        <v>0</v>
      </c>
      <c r="AE63" s="74">
        <f>0</f>
        <v>0</v>
      </c>
      <c r="AF63" s="8">
        <f>0</f>
        <v>0</v>
      </c>
      <c r="AG63" s="8">
        <f>0</f>
        <v>0</v>
      </c>
      <c r="AH63" s="8">
        <f>0</f>
        <v>0</v>
      </c>
      <c r="AI63" s="8">
        <f>0</f>
        <v>0</v>
      </c>
      <c r="AJ63" s="8">
        <f>0</f>
        <v>0</v>
      </c>
      <c r="AK63" s="8">
        <f>0</f>
        <v>0</v>
      </c>
      <c r="AL63" s="8">
        <f>0</f>
        <v>0</v>
      </c>
      <c r="AM63" s="8">
        <f>0</f>
        <v>0</v>
      </c>
      <c r="AN63" s="8">
        <f>0</f>
        <v>0</v>
      </c>
      <c r="AO63" s="8">
        <f>0</f>
        <v>0</v>
      </c>
      <c r="AP63" s="8">
        <v>0</v>
      </c>
      <c r="AQ63" s="94">
        <f t="shared" si="2"/>
        <v>0</v>
      </c>
      <c r="AR63" s="10" t="e">
        <f t="shared" si="3"/>
        <v>#N/A</v>
      </c>
    </row>
    <row r="64" spans="2:46" x14ac:dyDescent="0.25">
      <c r="D64" s="74" t="s">
        <v>27</v>
      </c>
      <c r="U64" s="8">
        <v>0</v>
      </c>
      <c r="V64" s="8"/>
      <c r="W64" s="74">
        <f>0</f>
        <v>0</v>
      </c>
      <c r="X64" s="8">
        <f>0</f>
        <v>0</v>
      </c>
      <c r="Y64" s="8">
        <f>0</f>
        <v>0</v>
      </c>
      <c r="Z64" s="74">
        <f>0</f>
        <v>0</v>
      </c>
      <c r="AA64" s="74">
        <f>0</f>
        <v>0</v>
      </c>
      <c r="AB64" s="74">
        <f>0</f>
        <v>0</v>
      </c>
      <c r="AC64" s="74">
        <f>0</f>
        <v>0</v>
      </c>
      <c r="AE64" s="74">
        <f>0</f>
        <v>0</v>
      </c>
      <c r="AF64" s="8">
        <f>0</f>
        <v>0</v>
      </c>
      <c r="AG64" s="8">
        <f>0</f>
        <v>0</v>
      </c>
      <c r="AH64" s="8">
        <f>0</f>
        <v>0</v>
      </c>
      <c r="AI64" s="8">
        <f>0</f>
        <v>0</v>
      </c>
      <c r="AJ64" s="8">
        <f>0</f>
        <v>0</v>
      </c>
      <c r="AK64" s="8">
        <f>0</f>
        <v>0</v>
      </c>
      <c r="AL64" s="8">
        <f>0</f>
        <v>0</v>
      </c>
      <c r="AM64" s="8">
        <f>0</f>
        <v>0</v>
      </c>
      <c r="AN64" s="8">
        <f>0</f>
        <v>0</v>
      </c>
      <c r="AO64" s="8">
        <f>0</f>
        <v>0</v>
      </c>
      <c r="AP64" s="8">
        <v>0</v>
      </c>
      <c r="AQ64" s="94">
        <f t="shared" si="2"/>
        <v>0</v>
      </c>
      <c r="AR64" s="10" t="e">
        <f t="shared" si="3"/>
        <v>#N/A</v>
      </c>
    </row>
    <row r="65" spans="1:551" x14ac:dyDescent="0.25">
      <c r="D65" s="74" t="s">
        <v>30</v>
      </c>
      <c r="U65" s="8">
        <v>0</v>
      </c>
      <c r="V65" s="8"/>
      <c r="W65" s="74">
        <f>0</f>
        <v>0</v>
      </c>
      <c r="X65" s="8">
        <f>0</f>
        <v>0</v>
      </c>
      <c r="Y65" s="8">
        <f>0</f>
        <v>0</v>
      </c>
      <c r="Z65" s="74">
        <f>0</f>
        <v>0</v>
      </c>
      <c r="AA65" s="74">
        <f>0</f>
        <v>0</v>
      </c>
      <c r="AB65" s="74">
        <f>0</f>
        <v>0</v>
      </c>
      <c r="AC65" s="74">
        <f>0</f>
        <v>0</v>
      </c>
      <c r="AE65" s="74">
        <f>0</f>
        <v>0</v>
      </c>
      <c r="AF65" s="8">
        <f>0</f>
        <v>0</v>
      </c>
      <c r="AG65" s="8">
        <f>0</f>
        <v>0</v>
      </c>
      <c r="AH65" s="8">
        <f>0</f>
        <v>0</v>
      </c>
      <c r="AI65" s="8">
        <f>0</f>
        <v>0</v>
      </c>
      <c r="AJ65" s="8">
        <f>0</f>
        <v>0</v>
      </c>
      <c r="AK65" s="8">
        <f>0</f>
        <v>0</v>
      </c>
      <c r="AL65" s="8">
        <f>0</f>
        <v>0</v>
      </c>
      <c r="AM65" s="8">
        <f>0</f>
        <v>0</v>
      </c>
      <c r="AN65" s="8">
        <f>0</f>
        <v>0</v>
      </c>
      <c r="AO65" s="8">
        <f>0</f>
        <v>0</v>
      </c>
      <c r="AP65" s="8">
        <v>0</v>
      </c>
      <c r="AQ65" s="94">
        <f t="shared" si="2"/>
        <v>0</v>
      </c>
      <c r="AR65" s="10" t="e">
        <f t="shared" si="3"/>
        <v>#N/A</v>
      </c>
    </row>
    <row r="66" spans="1:551" x14ac:dyDescent="0.25">
      <c r="D66" s="74" t="s">
        <v>31</v>
      </c>
      <c r="U66" s="8">
        <v>0</v>
      </c>
      <c r="V66" s="8"/>
      <c r="W66" s="74">
        <f>0</f>
        <v>0</v>
      </c>
      <c r="X66" s="8">
        <f>0</f>
        <v>0</v>
      </c>
      <c r="Y66" s="8">
        <f>0</f>
        <v>0</v>
      </c>
      <c r="Z66" s="74">
        <f>0</f>
        <v>0</v>
      </c>
      <c r="AA66" s="74">
        <f>0</f>
        <v>0</v>
      </c>
      <c r="AB66" s="74">
        <f>0</f>
        <v>0</v>
      </c>
      <c r="AC66" s="74">
        <f>0</f>
        <v>0</v>
      </c>
      <c r="AE66" s="74">
        <f>0</f>
        <v>0</v>
      </c>
      <c r="AF66" s="8">
        <f>0</f>
        <v>0</v>
      </c>
      <c r="AG66" s="8">
        <f>0</f>
        <v>0</v>
      </c>
      <c r="AH66" s="8">
        <f>0</f>
        <v>0</v>
      </c>
      <c r="AI66" s="8">
        <f>0</f>
        <v>0</v>
      </c>
      <c r="AJ66" s="8">
        <f>0</f>
        <v>0</v>
      </c>
      <c r="AK66" s="8">
        <f>0</f>
        <v>0</v>
      </c>
      <c r="AL66" s="8">
        <f>0</f>
        <v>0</v>
      </c>
      <c r="AM66" s="8">
        <f>0</f>
        <v>0</v>
      </c>
      <c r="AN66" s="8">
        <f>0</f>
        <v>0</v>
      </c>
      <c r="AO66" s="8">
        <f>0</f>
        <v>0</v>
      </c>
      <c r="AP66" s="8">
        <v>0</v>
      </c>
      <c r="AQ66" s="94">
        <f t="shared" si="2"/>
        <v>0</v>
      </c>
      <c r="AR66" s="10" t="e">
        <f t="shared" si="3"/>
        <v>#N/A</v>
      </c>
    </row>
    <row r="67" spans="1:551" x14ac:dyDescent="0.25">
      <c r="D67" s="2" t="s">
        <v>47</v>
      </c>
      <c r="U67" s="8">
        <v>0</v>
      </c>
      <c r="V67" s="8"/>
      <c r="W67" s="74">
        <f>0</f>
        <v>0</v>
      </c>
      <c r="X67" s="8">
        <f>0</f>
        <v>0</v>
      </c>
      <c r="Y67" s="8">
        <f>0</f>
        <v>0</v>
      </c>
      <c r="Z67" s="74">
        <f>0</f>
        <v>0</v>
      </c>
      <c r="AA67" s="74">
        <f>0</f>
        <v>0</v>
      </c>
      <c r="AB67" s="74">
        <f>0</f>
        <v>0</v>
      </c>
      <c r="AC67" s="74">
        <f>0</f>
        <v>0</v>
      </c>
      <c r="AE67" s="74">
        <f>0</f>
        <v>0</v>
      </c>
      <c r="AF67" s="8">
        <f>0</f>
        <v>0</v>
      </c>
      <c r="AG67" s="8">
        <f>0</f>
        <v>0</v>
      </c>
      <c r="AH67" s="8">
        <f>0</f>
        <v>0</v>
      </c>
      <c r="AI67" s="8">
        <f>0</f>
        <v>0</v>
      </c>
      <c r="AJ67" s="8">
        <f>0</f>
        <v>0</v>
      </c>
      <c r="AK67" s="8">
        <f>0</f>
        <v>0</v>
      </c>
      <c r="AL67" s="8">
        <f>0</f>
        <v>0</v>
      </c>
      <c r="AM67" s="8">
        <f>0</f>
        <v>0</v>
      </c>
      <c r="AN67" s="8">
        <f>0</f>
        <v>0</v>
      </c>
      <c r="AO67" s="8">
        <f>0</f>
        <v>0</v>
      </c>
      <c r="AP67" s="8">
        <v>0</v>
      </c>
      <c r="AQ67" s="94">
        <f t="shared" si="2"/>
        <v>0</v>
      </c>
      <c r="AR67" s="10" t="e">
        <f t="shared" si="3"/>
        <v>#N/A</v>
      </c>
    </row>
    <row r="68" spans="1:551" x14ac:dyDescent="0.25">
      <c r="AN68" s="8">
        <f>0</f>
        <v>0</v>
      </c>
      <c r="AO68" s="8">
        <f>0</f>
        <v>0</v>
      </c>
      <c r="AP68" s="8">
        <v>0</v>
      </c>
      <c r="AR68" s="10" t="e">
        <f t="shared" si="3"/>
        <v>#N/A</v>
      </c>
    </row>
    <row r="69" spans="1:551" x14ac:dyDescent="0.25">
      <c r="AN69" s="8">
        <f>0</f>
        <v>0</v>
      </c>
      <c r="AO69" s="8">
        <f>0</f>
        <v>0</v>
      </c>
      <c r="AP69" s="8">
        <v>0</v>
      </c>
      <c r="AR69" s="10" t="e">
        <f t="shared" si="3"/>
        <v>#N/A</v>
      </c>
    </row>
    <row r="70" spans="1:551" x14ac:dyDescent="0.25">
      <c r="AQ70" s="74"/>
    </row>
    <row r="71" spans="1:551" s="101" customFormat="1" x14ac:dyDescent="0.25">
      <c r="A71" s="220"/>
      <c r="B71" s="74"/>
      <c r="C71" s="74"/>
      <c r="D71" s="74"/>
      <c r="E71" s="74"/>
      <c r="F71" s="74"/>
      <c r="G71" s="74"/>
      <c r="H71" s="74"/>
      <c r="I71" s="74"/>
      <c r="J71" s="74"/>
      <c r="K71" s="74"/>
      <c r="L71" s="74"/>
      <c r="M71" s="74"/>
      <c r="N71" s="74"/>
      <c r="O71" s="74"/>
      <c r="P71" s="74"/>
      <c r="Q71" s="74"/>
      <c r="R71" s="74"/>
      <c r="S71" s="74"/>
      <c r="T71" s="74"/>
      <c r="U71" s="74"/>
      <c r="V71" s="74"/>
      <c r="W71" s="74"/>
      <c r="X71" s="74"/>
      <c r="Y71" s="74"/>
      <c r="Z71" s="74"/>
      <c r="AA71" s="74"/>
      <c r="AB71" s="74"/>
      <c r="AC71" s="74"/>
      <c r="AD71" s="74"/>
      <c r="AE71" s="74"/>
      <c r="AF71" s="74"/>
      <c r="AG71" s="74"/>
      <c r="AH71" s="74"/>
      <c r="AI71" s="74"/>
      <c r="AJ71" s="74"/>
      <c r="AK71" s="74"/>
      <c r="AL71" s="74"/>
      <c r="AM71" s="74"/>
      <c r="AN71" s="74"/>
      <c r="AO71" s="74"/>
      <c r="AP71" s="74"/>
      <c r="AQ71" s="74"/>
      <c r="AR71" s="74"/>
      <c r="AS71" s="74"/>
      <c r="AT71" s="74"/>
      <c r="AU71" s="74"/>
      <c r="AV71" s="74"/>
      <c r="AW71" s="74"/>
      <c r="AX71" s="74"/>
      <c r="AY71" s="74"/>
      <c r="AZ71" s="74"/>
      <c r="BA71" s="74"/>
      <c r="BB71" s="74"/>
      <c r="BC71" s="74"/>
      <c r="BD71" s="74"/>
      <c r="BE71" s="74"/>
      <c r="BF71" s="74"/>
      <c r="BG71" s="74"/>
      <c r="BH71" s="74"/>
      <c r="BI71" s="74"/>
      <c r="BJ71" s="74"/>
      <c r="BK71" s="74"/>
      <c r="BL71" s="74"/>
      <c r="BM71" s="74"/>
      <c r="BN71" s="74"/>
      <c r="BO71" s="74"/>
      <c r="BP71" s="74"/>
      <c r="BQ71" s="74"/>
      <c r="BR71" s="74"/>
      <c r="BS71" s="74"/>
      <c r="BT71" s="74"/>
      <c r="BU71" s="74"/>
      <c r="BV71" s="74"/>
      <c r="BW71" s="74"/>
      <c r="BX71" s="74"/>
      <c r="BY71" s="74"/>
      <c r="BZ71" s="74"/>
      <c r="CA71" s="74"/>
      <c r="CB71" s="74"/>
      <c r="CC71" s="74"/>
      <c r="CD71" s="74"/>
      <c r="CE71" s="74"/>
      <c r="CF71" s="74"/>
      <c r="CG71" s="74"/>
      <c r="CH71" s="74"/>
      <c r="CI71" s="74"/>
      <c r="CJ71" s="74"/>
      <c r="CK71" s="74"/>
      <c r="CL71" s="74"/>
      <c r="CM71" s="74"/>
      <c r="CN71" s="74"/>
      <c r="CO71" s="74"/>
      <c r="CP71" s="74"/>
      <c r="CQ71" s="74"/>
      <c r="CR71" s="74"/>
      <c r="CS71" s="74"/>
      <c r="CT71" s="74"/>
      <c r="CU71" s="74"/>
      <c r="CV71" s="74"/>
      <c r="CW71" s="74"/>
      <c r="CX71" s="74"/>
      <c r="CY71" s="74"/>
      <c r="CZ71" s="74"/>
      <c r="DA71" s="74"/>
      <c r="DB71" s="74"/>
      <c r="DC71" s="74"/>
      <c r="DD71" s="74"/>
      <c r="DE71" s="74"/>
      <c r="DF71" s="74"/>
      <c r="DG71" s="74"/>
      <c r="DH71" s="74"/>
      <c r="DI71" s="74"/>
      <c r="DJ71" s="74"/>
      <c r="DK71" s="74"/>
      <c r="DL71" s="74"/>
      <c r="DM71" s="74"/>
      <c r="DN71" s="74"/>
      <c r="DO71" s="74"/>
      <c r="DP71" s="74"/>
      <c r="DQ71" s="74"/>
      <c r="DR71" s="74"/>
      <c r="DS71" s="74"/>
      <c r="DT71" s="74"/>
      <c r="DU71" s="74"/>
      <c r="DV71" s="74"/>
      <c r="DW71" s="74"/>
      <c r="DX71" s="74"/>
      <c r="DY71" s="74"/>
      <c r="DZ71" s="74"/>
      <c r="EA71" s="74"/>
      <c r="EB71" s="74"/>
      <c r="EC71" s="74"/>
      <c r="ED71" s="74"/>
      <c r="EE71" s="74"/>
      <c r="EF71" s="74"/>
      <c r="EG71" s="74"/>
      <c r="EH71" s="74"/>
      <c r="EI71" s="74"/>
      <c r="EJ71" s="74"/>
      <c r="EK71" s="74"/>
      <c r="EL71" s="74"/>
      <c r="EM71" s="74"/>
      <c r="EN71" s="74"/>
      <c r="EO71" s="74"/>
      <c r="EP71" s="74"/>
      <c r="EQ71" s="74"/>
      <c r="ER71" s="74"/>
      <c r="ES71" s="74"/>
      <c r="ET71" s="74"/>
      <c r="EU71" s="74"/>
      <c r="EV71" s="74"/>
      <c r="EW71" s="74"/>
      <c r="EX71" s="74"/>
      <c r="EY71" s="74"/>
      <c r="EZ71" s="74"/>
      <c r="FA71" s="74"/>
      <c r="FB71" s="74"/>
      <c r="FC71" s="74"/>
      <c r="FD71" s="74"/>
      <c r="FE71" s="74"/>
      <c r="FF71" s="74"/>
      <c r="FG71" s="74"/>
      <c r="FH71" s="74"/>
      <c r="FI71" s="74"/>
      <c r="FJ71" s="74"/>
      <c r="FK71" s="74"/>
      <c r="FL71" s="74"/>
      <c r="FM71" s="74"/>
      <c r="FN71" s="74"/>
      <c r="FO71" s="74"/>
      <c r="FP71" s="74"/>
      <c r="FQ71" s="74"/>
      <c r="FR71" s="74"/>
      <c r="FS71" s="74"/>
      <c r="FT71" s="74"/>
      <c r="FU71" s="74"/>
      <c r="FV71" s="74"/>
      <c r="FW71" s="74"/>
      <c r="FX71" s="74"/>
      <c r="FY71" s="74"/>
      <c r="FZ71" s="74"/>
      <c r="GA71" s="74"/>
      <c r="GB71" s="74"/>
      <c r="GC71" s="74"/>
      <c r="GD71" s="74"/>
      <c r="GE71" s="74"/>
      <c r="GF71" s="74"/>
      <c r="GG71" s="74"/>
      <c r="GH71" s="74"/>
      <c r="GI71" s="74"/>
      <c r="GJ71" s="74"/>
      <c r="GK71" s="74"/>
      <c r="GL71" s="74"/>
      <c r="GM71" s="74"/>
      <c r="GN71" s="74"/>
      <c r="GO71" s="74"/>
      <c r="GP71" s="74"/>
      <c r="GQ71" s="74"/>
      <c r="GR71" s="74"/>
      <c r="GS71" s="74"/>
      <c r="GT71" s="74"/>
      <c r="GU71" s="74"/>
      <c r="GV71" s="74"/>
      <c r="GW71" s="74"/>
      <c r="GX71" s="74"/>
      <c r="GY71" s="74"/>
      <c r="GZ71" s="74"/>
      <c r="HA71" s="74"/>
      <c r="HB71" s="74"/>
      <c r="HC71" s="74"/>
      <c r="HD71" s="74"/>
      <c r="HE71" s="74"/>
      <c r="HF71" s="74"/>
      <c r="HG71" s="74"/>
      <c r="HH71" s="74"/>
      <c r="HI71" s="74"/>
      <c r="HJ71" s="74"/>
      <c r="HK71" s="74"/>
      <c r="HL71" s="74"/>
      <c r="HM71" s="74"/>
      <c r="HN71" s="74"/>
      <c r="HO71" s="74"/>
      <c r="HP71" s="74"/>
      <c r="HQ71" s="74"/>
      <c r="HR71" s="74"/>
      <c r="HS71" s="74"/>
      <c r="HT71" s="74"/>
      <c r="HU71" s="74"/>
      <c r="HV71" s="74"/>
      <c r="HW71" s="74"/>
      <c r="HX71" s="74"/>
      <c r="HY71" s="74"/>
      <c r="HZ71" s="74"/>
      <c r="IA71" s="74"/>
      <c r="IB71" s="74"/>
      <c r="IC71" s="74"/>
      <c r="ID71" s="74"/>
      <c r="IE71" s="74"/>
      <c r="IF71" s="74"/>
      <c r="IG71" s="74"/>
      <c r="IH71" s="74"/>
      <c r="II71" s="74"/>
      <c r="IJ71" s="74"/>
      <c r="IK71" s="74"/>
      <c r="IL71" s="74"/>
      <c r="IM71" s="74"/>
      <c r="IN71" s="74"/>
      <c r="IO71" s="74"/>
      <c r="IP71" s="74"/>
      <c r="IQ71" s="74"/>
      <c r="IR71" s="74"/>
      <c r="IS71" s="74"/>
      <c r="IT71" s="74"/>
      <c r="IU71" s="74"/>
      <c r="IV71" s="74"/>
      <c r="IW71" s="74"/>
      <c r="IX71" s="74"/>
      <c r="IY71" s="74"/>
      <c r="IZ71" s="74"/>
      <c r="JA71" s="74"/>
      <c r="JB71" s="74"/>
      <c r="JC71" s="74"/>
      <c r="JD71" s="74"/>
      <c r="JE71" s="74"/>
      <c r="JF71" s="74"/>
      <c r="JG71" s="74"/>
      <c r="JH71" s="74"/>
      <c r="JI71" s="74"/>
      <c r="JJ71" s="74"/>
      <c r="JK71" s="74"/>
      <c r="JL71" s="74"/>
      <c r="JM71" s="74"/>
      <c r="JN71" s="74"/>
      <c r="JO71" s="74"/>
      <c r="JP71" s="74"/>
      <c r="JQ71" s="74"/>
      <c r="JR71" s="74"/>
      <c r="JS71" s="74"/>
      <c r="JT71" s="74"/>
      <c r="JU71" s="74"/>
      <c r="JV71" s="74"/>
      <c r="JW71" s="74"/>
      <c r="JX71" s="74"/>
      <c r="JY71" s="74"/>
      <c r="JZ71" s="74"/>
      <c r="KA71" s="74"/>
      <c r="KB71" s="74"/>
      <c r="KC71" s="74"/>
      <c r="KD71" s="74"/>
      <c r="KE71" s="74"/>
      <c r="KF71" s="74"/>
      <c r="KG71" s="74"/>
      <c r="KH71" s="74"/>
      <c r="KI71" s="74"/>
      <c r="KJ71" s="74"/>
      <c r="KK71" s="74"/>
      <c r="KL71" s="74"/>
      <c r="KM71" s="74"/>
      <c r="KN71" s="74"/>
      <c r="KO71" s="74"/>
      <c r="KP71" s="74"/>
      <c r="KQ71" s="74"/>
      <c r="KR71" s="74"/>
      <c r="KS71" s="74"/>
      <c r="KT71" s="74"/>
      <c r="KU71" s="74"/>
      <c r="KV71" s="74"/>
      <c r="KW71" s="74"/>
      <c r="KX71" s="74"/>
      <c r="KY71" s="74"/>
      <c r="KZ71" s="74"/>
      <c r="LA71" s="74"/>
      <c r="LB71" s="74"/>
      <c r="LC71" s="74"/>
      <c r="LD71" s="74"/>
      <c r="LE71" s="74"/>
      <c r="LF71" s="74"/>
      <c r="LG71" s="74"/>
      <c r="LH71" s="74"/>
      <c r="LI71" s="74"/>
      <c r="LJ71" s="74"/>
      <c r="LK71" s="74"/>
      <c r="LL71" s="74"/>
      <c r="LM71" s="74"/>
      <c r="LN71" s="74"/>
      <c r="LO71" s="74"/>
      <c r="LP71" s="74"/>
      <c r="LQ71" s="74"/>
      <c r="LR71" s="74"/>
      <c r="LS71" s="74"/>
      <c r="LT71" s="74"/>
      <c r="LU71" s="74"/>
      <c r="LV71" s="74"/>
      <c r="LW71" s="74"/>
      <c r="LX71" s="74"/>
      <c r="LY71" s="74"/>
      <c r="LZ71" s="74"/>
      <c r="MA71" s="74"/>
      <c r="MB71" s="74"/>
      <c r="MC71" s="74"/>
      <c r="MD71" s="74"/>
      <c r="ME71" s="74"/>
      <c r="MF71" s="74"/>
      <c r="MG71" s="74"/>
      <c r="MH71" s="74"/>
      <c r="MI71" s="74"/>
      <c r="MJ71" s="74"/>
      <c r="MK71" s="74"/>
      <c r="ML71" s="74"/>
      <c r="MM71" s="74"/>
      <c r="MN71" s="74"/>
      <c r="MO71" s="74"/>
      <c r="MP71" s="74"/>
      <c r="MQ71" s="74"/>
      <c r="MR71" s="74"/>
      <c r="MS71" s="74"/>
      <c r="MT71" s="74"/>
      <c r="MU71" s="74"/>
      <c r="MV71" s="74"/>
      <c r="MW71" s="74"/>
      <c r="MX71" s="74"/>
      <c r="MY71" s="74"/>
      <c r="MZ71" s="74"/>
      <c r="NA71" s="74"/>
      <c r="NB71" s="74"/>
      <c r="NC71" s="74"/>
      <c r="ND71" s="74"/>
      <c r="NE71" s="74"/>
      <c r="NF71" s="74"/>
      <c r="NG71" s="74"/>
      <c r="NH71" s="74"/>
      <c r="NI71" s="74"/>
      <c r="NJ71" s="74"/>
      <c r="NK71" s="74"/>
      <c r="NL71" s="74"/>
      <c r="NM71" s="74"/>
      <c r="NN71" s="74"/>
      <c r="NO71" s="74"/>
      <c r="NP71" s="74"/>
      <c r="NQ71" s="74"/>
      <c r="NR71" s="74"/>
      <c r="NS71" s="74"/>
      <c r="NT71" s="74"/>
      <c r="NU71" s="74"/>
      <c r="NV71" s="74"/>
      <c r="NW71" s="74"/>
      <c r="NX71" s="74"/>
      <c r="NY71" s="74"/>
      <c r="NZ71" s="74"/>
      <c r="OA71" s="74"/>
      <c r="OB71" s="74"/>
      <c r="OC71" s="74"/>
      <c r="OD71" s="74"/>
      <c r="OE71" s="74"/>
      <c r="OF71" s="74"/>
      <c r="OG71" s="74"/>
      <c r="OH71" s="74"/>
      <c r="OI71" s="74"/>
      <c r="OJ71" s="74"/>
      <c r="OK71" s="74"/>
      <c r="OL71" s="74"/>
      <c r="OM71" s="74"/>
      <c r="ON71" s="74"/>
      <c r="OO71" s="74"/>
      <c r="OP71" s="74"/>
      <c r="OQ71" s="74"/>
      <c r="OR71" s="74"/>
      <c r="OS71" s="74"/>
      <c r="OT71" s="74"/>
      <c r="OU71" s="74"/>
      <c r="OV71" s="74"/>
      <c r="OW71" s="74"/>
      <c r="OX71" s="74"/>
      <c r="OY71" s="74"/>
      <c r="OZ71" s="74"/>
      <c r="PA71" s="74"/>
      <c r="PB71" s="74"/>
      <c r="PC71" s="74"/>
      <c r="PD71" s="74"/>
      <c r="PE71" s="74"/>
      <c r="PF71" s="74"/>
      <c r="PG71" s="74"/>
      <c r="PH71" s="74"/>
      <c r="PI71" s="74"/>
      <c r="PJ71" s="74"/>
      <c r="PK71" s="74"/>
      <c r="PL71" s="74"/>
      <c r="PM71" s="74"/>
      <c r="PN71" s="74"/>
      <c r="PO71" s="74"/>
      <c r="PP71" s="74"/>
      <c r="PQ71" s="74"/>
      <c r="PR71" s="74"/>
      <c r="PS71" s="74"/>
      <c r="PT71" s="74"/>
      <c r="PU71" s="74"/>
      <c r="PV71" s="74"/>
      <c r="PW71" s="74"/>
      <c r="PX71" s="74"/>
      <c r="PY71" s="74"/>
      <c r="PZ71" s="74"/>
      <c r="QA71" s="74"/>
      <c r="QB71" s="74"/>
      <c r="QC71" s="74"/>
      <c r="QD71" s="74"/>
      <c r="QE71" s="74"/>
      <c r="QF71" s="74"/>
      <c r="QG71" s="74"/>
      <c r="QH71" s="74"/>
      <c r="QI71" s="74"/>
      <c r="QJ71" s="74"/>
      <c r="QK71" s="74"/>
      <c r="QL71" s="74"/>
      <c r="QM71" s="74"/>
      <c r="QN71" s="74"/>
      <c r="QO71" s="74"/>
      <c r="QP71" s="74"/>
      <c r="QQ71" s="74"/>
      <c r="QR71" s="74"/>
      <c r="QS71" s="74"/>
      <c r="QT71" s="74"/>
      <c r="QU71" s="74"/>
      <c r="QV71" s="74"/>
      <c r="QW71" s="74"/>
      <c r="QX71" s="74"/>
      <c r="QY71" s="74"/>
      <c r="QZ71" s="74"/>
      <c r="RA71" s="74"/>
      <c r="RB71" s="74"/>
      <c r="RC71" s="74"/>
      <c r="RD71" s="74"/>
      <c r="RE71" s="74"/>
      <c r="RF71" s="74"/>
      <c r="RG71" s="74"/>
      <c r="RH71" s="74"/>
      <c r="RI71" s="74"/>
      <c r="RJ71" s="74"/>
      <c r="RK71" s="74"/>
      <c r="RL71" s="74"/>
      <c r="RM71" s="74"/>
      <c r="RN71" s="74"/>
      <c r="RO71" s="74"/>
      <c r="RP71" s="74"/>
      <c r="RQ71" s="74"/>
      <c r="RR71" s="74"/>
      <c r="RS71" s="74"/>
      <c r="RT71" s="74"/>
      <c r="RU71" s="74"/>
      <c r="RV71" s="74"/>
      <c r="RW71" s="74"/>
      <c r="RX71" s="74"/>
      <c r="RY71" s="74"/>
      <c r="RZ71" s="74"/>
      <c r="SA71" s="74"/>
      <c r="SB71" s="74"/>
      <c r="SC71" s="74"/>
      <c r="SD71" s="74"/>
      <c r="SE71" s="74"/>
      <c r="SF71" s="74"/>
      <c r="SG71" s="74"/>
      <c r="SH71" s="74"/>
      <c r="SI71" s="74"/>
      <c r="SJ71" s="74"/>
      <c r="SK71" s="74"/>
      <c r="SL71" s="74"/>
      <c r="SM71" s="74"/>
      <c r="SN71" s="74"/>
      <c r="SO71" s="74"/>
      <c r="SP71" s="74"/>
      <c r="SQ71" s="74"/>
      <c r="SR71" s="74"/>
      <c r="SS71" s="74"/>
      <c r="ST71" s="74"/>
      <c r="SU71" s="74"/>
      <c r="SV71" s="74"/>
      <c r="SW71" s="74"/>
      <c r="SX71" s="74"/>
      <c r="SY71" s="74"/>
      <c r="SZ71" s="74"/>
      <c r="TA71" s="74"/>
      <c r="TB71" s="74"/>
      <c r="TC71" s="74"/>
      <c r="TD71" s="74"/>
      <c r="TE71" s="74"/>
      <c r="TF71" s="74"/>
      <c r="TG71" s="74"/>
      <c r="TH71" s="74"/>
      <c r="TI71" s="74"/>
      <c r="TJ71" s="74"/>
      <c r="TK71" s="74"/>
      <c r="TL71" s="74"/>
      <c r="TM71" s="74"/>
      <c r="TN71" s="74"/>
      <c r="TO71" s="74"/>
      <c r="TP71" s="74"/>
      <c r="TQ71" s="74"/>
      <c r="TR71" s="74"/>
      <c r="TS71" s="74"/>
      <c r="TT71" s="74"/>
      <c r="TU71" s="74"/>
      <c r="TV71" s="74"/>
      <c r="TW71" s="74"/>
      <c r="TX71" s="74"/>
      <c r="TY71" s="74"/>
      <c r="TZ71" s="74"/>
      <c r="UA71" s="74"/>
      <c r="UB71" s="74"/>
      <c r="UC71" s="74"/>
      <c r="UD71" s="74"/>
      <c r="UE71" s="74"/>
    </row>
    <row r="72" spans="1:551" s="101" customFormat="1" x14ac:dyDescent="0.25">
      <c r="A72" s="220"/>
      <c r="B72" s="74"/>
      <c r="C72" s="74"/>
      <c r="D72" s="74"/>
      <c r="E72" s="74"/>
      <c r="F72" s="74"/>
      <c r="G72" s="74"/>
      <c r="H72" s="74"/>
      <c r="I72" s="74"/>
      <c r="J72" s="74"/>
      <c r="K72" s="74"/>
      <c r="L72" s="74"/>
      <c r="M72" s="74"/>
      <c r="N72" s="74"/>
      <c r="O72" s="74"/>
      <c r="P72" s="74"/>
      <c r="Q72" s="74"/>
      <c r="R72" s="74"/>
      <c r="S72" s="74"/>
      <c r="T72" s="74"/>
      <c r="U72" s="74"/>
      <c r="V72" s="74"/>
      <c r="W72" s="74"/>
      <c r="X72" s="74"/>
      <c r="Y72" s="74"/>
      <c r="Z72" s="74"/>
      <c r="AA72" s="74"/>
      <c r="AB72" s="74"/>
      <c r="AC72" s="74"/>
      <c r="AD72" s="74"/>
      <c r="AE72" s="74"/>
      <c r="AF72" s="74"/>
      <c r="AG72" s="74"/>
      <c r="AH72" s="74"/>
      <c r="AI72" s="74"/>
      <c r="AJ72" s="74"/>
      <c r="AK72" s="74"/>
      <c r="AL72" s="74"/>
      <c r="AM72" s="74"/>
      <c r="AN72" s="74"/>
      <c r="AO72" s="74"/>
      <c r="AP72" s="74"/>
      <c r="AQ72" s="74"/>
      <c r="AR72" s="74"/>
      <c r="AS72" s="74"/>
      <c r="AT72" s="74"/>
      <c r="AU72" s="74"/>
      <c r="AV72" s="74"/>
      <c r="AW72" s="74"/>
      <c r="AX72" s="74"/>
      <c r="AY72" s="74"/>
      <c r="AZ72" s="74"/>
      <c r="BA72" s="74"/>
      <c r="BB72" s="74"/>
      <c r="BC72" s="74"/>
      <c r="BD72" s="74"/>
      <c r="BE72" s="74"/>
      <c r="BF72" s="74"/>
      <c r="BG72" s="74"/>
      <c r="BH72" s="74"/>
      <c r="BI72" s="74"/>
      <c r="BJ72" s="74"/>
      <c r="BK72" s="74"/>
      <c r="BL72" s="74"/>
      <c r="BM72" s="74"/>
      <c r="BN72" s="74"/>
      <c r="BO72" s="74"/>
      <c r="BP72" s="74"/>
      <c r="BQ72" s="74"/>
      <c r="BR72" s="74"/>
      <c r="BS72" s="74"/>
      <c r="BT72" s="74"/>
      <c r="BU72" s="74"/>
      <c r="BV72" s="74"/>
      <c r="BW72" s="74"/>
      <c r="BX72" s="74"/>
      <c r="BY72" s="74"/>
      <c r="BZ72" s="74"/>
      <c r="CA72" s="74"/>
      <c r="CB72" s="74"/>
      <c r="CC72" s="74"/>
      <c r="CD72" s="74"/>
      <c r="CE72" s="74"/>
      <c r="CF72" s="74"/>
      <c r="CG72" s="74"/>
      <c r="CH72" s="74"/>
      <c r="CI72" s="74"/>
      <c r="CJ72" s="74"/>
      <c r="CK72" s="74"/>
      <c r="CL72" s="74"/>
      <c r="CM72" s="74"/>
      <c r="CN72" s="74"/>
      <c r="CO72" s="74"/>
      <c r="CP72" s="74"/>
      <c r="CQ72" s="74"/>
      <c r="CR72" s="74"/>
      <c r="CS72" s="74"/>
      <c r="CT72" s="74"/>
      <c r="CU72" s="74"/>
      <c r="CV72" s="74"/>
      <c r="CW72" s="74"/>
      <c r="CX72" s="74"/>
      <c r="CY72" s="74"/>
      <c r="CZ72" s="74"/>
      <c r="DA72" s="74"/>
      <c r="DB72" s="74"/>
      <c r="DC72" s="74"/>
      <c r="DD72" s="74"/>
      <c r="DE72" s="74"/>
      <c r="DF72" s="74"/>
      <c r="DG72" s="74"/>
      <c r="DH72" s="74"/>
      <c r="DI72" s="74"/>
      <c r="DJ72" s="74"/>
      <c r="DK72" s="74"/>
      <c r="DL72" s="74"/>
      <c r="DM72" s="74"/>
      <c r="DN72" s="74"/>
      <c r="DO72" s="74"/>
      <c r="DP72" s="74"/>
      <c r="DQ72" s="74"/>
      <c r="DR72" s="74"/>
      <c r="DS72" s="74"/>
      <c r="DT72" s="74"/>
      <c r="DU72" s="74"/>
      <c r="DV72" s="74"/>
      <c r="DW72" s="74"/>
      <c r="DX72" s="74"/>
      <c r="DY72" s="74"/>
      <c r="DZ72" s="74"/>
      <c r="EA72" s="74"/>
      <c r="EB72" s="74"/>
      <c r="EC72" s="74"/>
      <c r="ED72" s="74"/>
      <c r="EE72" s="74"/>
      <c r="EF72" s="74"/>
      <c r="EG72" s="74"/>
      <c r="EH72" s="74"/>
      <c r="EI72" s="74"/>
      <c r="EJ72" s="74"/>
      <c r="EK72" s="74"/>
      <c r="EL72" s="74"/>
      <c r="EM72" s="74"/>
      <c r="EN72" s="74"/>
      <c r="EO72" s="74"/>
      <c r="EP72" s="74"/>
      <c r="EQ72" s="74"/>
      <c r="ER72" s="74"/>
      <c r="ES72" s="74"/>
      <c r="ET72" s="74"/>
      <c r="EU72" s="74"/>
      <c r="EV72" s="74"/>
      <c r="EW72" s="74"/>
      <c r="EX72" s="74"/>
      <c r="EY72" s="74"/>
      <c r="EZ72" s="74"/>
      <c r="FA72" s="74"/>
      <c r="FB72" s="74"/>
      <c r="FC72" s="74"/>
      <c r="FD72" s="74"/>
      <c r="FE72" s="74"/>
      <c r="FF72" s="74"/>
      <c r="FG72" s="74"/>
      <c r="FH72" s="74"/>
      <c r="FI72" s="74"/>
      <c r="FJ72" s="74"/>
      <c r="FK72" s="74"/>
      <c r="FL72" s="74"/>
      <c r="FM72" s="74"/>
      <c r="FN72" s="74"/>
      <c r="FO72" s="74"/>
      <c r="FP72" s="74"/>
      <c r="FQ72" s="74"/>
      <c r="FR72" s="74"/>
      <c r="FS72" s="74"/>
      <c r="FT72" s="74"/>
      <c r="FU72" s="74"/>
      <c r="FV72" s="74"/>
      <c r="FW72" s="74"/>
      <c r="FX72" s="74"/>
      <c r="FY72" s="74"/>
      <c r="FZ72" s="74"/>
      <c r="GA72" s="74"/>
      <c r="GB72" s="74"/>
      <c r="GC72" s="74"/>
      <c r="GD72" s="74"/>
      <c r="GE72" s="74"/>
      <c r="GF72" s="74"/>
      <c r="GG72" s="74"/>
      <c r="GH72" s="74"/>
      <c r="GI72" s="74"/>
      <c r="GJ72" s="74"/>
      <c r="GK72" s="74"/>
      <c r="GL72" s="74"/>
      <c r="GM72" s="74"/>
      <c r="GN72" s="74"/>
      <c r="GO72" s="74"/>
      <c r="GP72" s="74"/>
      <c r="GQ72" s="74"/>
      <c r="GR72" s="74"/>
      <c r="GS72" s="74"/>
      <c r="GT72" s="74"/>
      <c r="GU72" s="74"/>
      <c r="GV72" s="74"/>
      <c r="GW72" s="74"/>
      <c r="GX72" s="74"/>
      <c r="GY72" s="74"/>
      <c r="GZ72" s="74"/>
      <c r="HA72" s="74"/>
      <c r="HB72" s="74"/>
      <c r="HC72" s="74"/>
      <c r="HD72" s="74"/>
      <c r="HE72" s="74"/>
      <c r="HF72" s="74"/>
      <c r="HG72" s="74"/>
      <c r="HH72" s="74"/>
      <c r="HI72" s="74"/>
      <c r="HJ72" s="74"/>
      <c r="HK72" s="74"/>
      <c r="HL72" s="74"/>
      <c r="HM72" s="74"/>
      <c r="HN72" s="74"/>
      <c r="HO72" s="74"/>
      <c r="HP72" s="74"/>
      <c r="HQ72" s="74"/>
      <c r="HR72" s="74"/>
      <c r="HS72" s="74"/>
      <c r="HT72" s="74"/>
      <c r="HU72" s="74"/>
      <c r="HV72" s="74"/>
      <c r="HW72" s="74"/>
      <c r="HX72" s="74"/>
      <c r="HY72" s="74"/>
      <c r="HZ72" s="74"/>
      <c r="IA72" s="74"/>
      <c r="IB72" s="74"/>
      <c r="IC72" s="74"/>
      <c r="ID72" s="74"/>
      <c r="IE72" s="74"/>
      <c r="IF72" s="74"/>
      <c r="IG72" s="74"/>
      <c r="IH72" s="74"/>
      <c r="II72" s="74"/>
      <c r="IJ72" s="74"/>
      <c r="IK72" s="74"/>
      <c r="IL72" s="74"/>
      <c r="IM72" s="74"/>
      <c r="IN72" s="74"/>
      <c r="IO72" s="74"/>
      <c r="IP72" s="74"/>
      <c r="IQ72" s="74"/>
      <c r="IR72" s="74"/>
      <c r="IS72" s="74"/>
      <c r="IT72" s="74"/>
      <c r="IU72" s="74"/>
      <c r="IV72" s="74"/>
      <c r="IW72" s="74"/>
      <c r="IX72" s="74"/>
      <c r="IY72" s="74"/>
      <c r="IZ72" s="74"/>
      <c r="JA72" s="74"/>
      <c r="JB72" s="74"/>
      <c r="JC72" s="74"/>
      <c r="JD72" s="74"/>
      <c r="JE72" s="74"/>
      <c r="JF72" s="74"/>
      <c r="JG72" s="74"/>
      <c r="JH72" s="74"/>
      <c r="JI72" s="74"/>
      <c r="JJ72" s="74"/>
      <c r="JK72" s="74"/>
      <c r="JL72" s="74"/>
      <c r="JM72" s="74"/>
      <c r="JN72" s="74"/>
      <c r="JO72" s="74"/>
      <c r="JP72" s="74"/>
      <c r="JQ72" s="74"/>
      <c r="JR72" s="74"/>
      <c r="JS72" s="74"/>
      <c r="JT72" s="74"/>
      <c r="JU72" s="74"/>
      <c r="JV72" s="74"/>
      <c r="JW72" s="74"/>
      <c r="JX72" s="74"/>
      <c r="JY72" s="74"/>
      <c r="JZ72" s="74"/>
      <c r="KA72" s="74"/>
      <c r="KB72" s="74"/>
      <c r="KC72" s="74"/>
      <c r="KD72" s="74"/>
      <c r="KE72" s="74"/>
      <c r="KF72" s="74"/>
      <c r="KG72" s="74"/>
      <c r="KH72" s="74"/>
      <c r="KI72" s="74"/>
      <c r="KJ72" s="74"/>
      <c r="KK72" s="74"/>
      <c r="KL72" s="74"/>
      <c r="KM72" s="74"/>
      <c r="KN72" s="74"/>
      <c r="KO72" s="74"/>
      <c r="KP72" s="74"/>
      <c r="KQ72" s="74"/>
      <c r="KR72" s="74"/>
      <c r="KS72" s="74"/>
      <c r="KT72" s="74"/>
      <c r="KU72" s="74"/>
      <c r="KV72" s="74"/>
      <c r="KW72" s="74"/>
      <c r="KX72" s="74"/>
      <c r="KY72" s="74"/>
      <c r="KZ72" s="74"/>
      <c r="LA72" s="74"/>
      <c r="LB72" s="74"/>
      <c r="LC72" s="74"/>
      <c r="LD72" s="74"/>
      <c r="LE72" s="74"/>
      <c r="LF72" s="74"/>
      <c r="LG72" s="74"/>
      <c r="LH72" s="74"/>
      <c r="LI72" s="74"/>
      <c r="LJ72" s="74"/>
      <c r="LK72" s="74"/>
      <c r="LL72" s="74"/>
      <c r="LM72" s="74"/>
      <c r="LN72" s="74"/>
      <c r="LO72" s="74"/>
      <c r="LP72" s="74"/>
      <c r="LQ72" s="74"/>
      <c r="LR72" s="74"/>
      <c r="LS72" s="74"/>
      <c r="LT72" s="74"/>
      <c r="LU72" s="74"/>
      <c r="LV72" s="74"/>
      <c r="LW72" s="74"/>
      <c r="LX72" s="74"/>
      <c r="LY72" s="74"/>
      <c r="LZ72" s="74"/>
      <c r="MA72" s="74"/>
      <c r="MB72" s="74"/>
      <c r="MC72" s="74"/>
      <c r="MD72" s="74"/>
      <c r="ME72" s="74"/>
      <c r="MF72" s="74"/>
      <c r="MG72" s="74"/>
      <c r="MH72" s="74"/>
      <c r="MI72" s="74"/>
      <c r="MJ72" s="74"/>
      <c r="MK72" s="74"/>
      <c r="ML72" s="74"/>
      <c r="MM72" s="74"/>
      <c r="MN72" s="74"/>
      <c r="MO72" s="74"/>
      <c r="MP72" s="74"/>
      <c r="MQ72" s="74"/>
      <c r="MR72" s="74"/>
      <c r="MS72" s="74"/>
      <c r="MT72" s="74"/>
      <c r="MU72" s="74"/>
      <c r="MV72" s="74"/>
      <c r="MW72" s="74"/>
      <c r="MX72" s="74"/>
      <c r="MY72" s="74"/>
      <c r="MZ72" s="74"/>
      <c r="NA72" s="74"/>
      <c r="NB72" s="74"/>
      <c r="NC72" s="74"/>
      <c r="ND72" s="74"/>
      <c r="NE72" s="74"/>
      <c r="NF72" s="74"/>
      <c r="NG72" s="74"/>
      <c r="NH72" s="74"/>
      <c r="NI72" s="74"/>
      <c r="NJ72" s="74"/>
      <c r="NK72" s="74"/>
      <c r="NL72" s="74"/>
      <c r="NM72" s="74"/>
      <c r="NN72" s="74"/>
      <c r="NO72" s="74"/>
      <c r="NP72" s="74"/>
      <c r="NQ72" s="74"/>
      <c r="NR72" s="74"/>
      <c r="NS72" s="74"/>
      <c r="NT72" s="74"/>
      <c r="NU72" s="74"/>
      <c r="NV72" s="74"/>
      <c r="NW72" s="74"/>
      <c r="NX72" s="74"/>
      <c r="NY72" s="74"/>
      <c r="NZ72" s="74"/>
      <c r="OA72" s="74"/>
      <c r="OB72" s="74"/>
      <c r="OC72" s="74"/>
      <c r="OD72" s="74"/>
      <c r="OE72" s="74"/>
      <c r="OF72" s="74"/>
      <c r="OG72" s="74"/>
      <c r="OH72" s="74"/>
      <c r="OI72" s="74"/>
      <c r="OJ72" s="74"/>
      <c r="OK72" s="74"/>
      <c r="OL72" s="74"/>
      <c r="OM72" s="74"/>
      <c r="ON72" s="74"/>
      <c r="OO72" s="74"/>
      <c r="OP72" s="74"/>
      <c r="OQ72" s="74"/>
      <c r="OR72" s="74"/>
      <c r="OS72" s="74"/>
      <c r="OT72" s="74"/>
      <c r="OU72" s="74"/>
      <c r="OV72" s="74"/>
      <c r="OW72" s="74"/>
      <c r="OX72" s="74"/>
      <c r="OY72" s="74"/>
      <c r="OZ72" s="74"/>
      <c r="PA72" s="74"/>
      <c r="PB72" s="74"/>
      <c r="PC72" s="74"/>
      <c r="PD72" s="74"/>
      <c r="PE72" s="74"/>
      <c r="PF72" s="74"/>
      <c r="PG72" s="74"/>
      <c r="PH72" s="74"/>
      <c r="PI72" s="74"/>
      <c r="PJ72" s="74"/>
      <c r="PK72" s="74"/>
      <c r="PL72" s="74"/>
      <c r="PM72" s="74"/>
      <c r="PN72" s="74"/>
      <c r="PO72" s="74"/>
      <c r="PP72" s="74"/>
      <c r="PQ72" s="74"/>
      <c r="PR72" s="74"/>
      <c r="PS72" s="74"/>
      <c r="PT72" s="74"/>
      <c r="PU72" s="74"/>
      <c r="PV72" s="74"/>
      <c r="PW72" s="74"/>
      <c r="PX72" s="74"/>
      <c r="PY72" s="74"/>
      <c r="PZ72" s="74"/>
      <c r="QA72" s="74"/>
      <c r="QB72" s="74"/>
      <c r="QC72" s="74"/>
      <c r="QD72" s="74"/>
      <c r="QE72" s="74"/>
      <c r="QF72" s="74"/>
      <c r="QG72" s="74"/>
      <c r="QH72" s="74"/>
      <c r="QI72" s="74"/>
      <c r="QJ72" s="74"/>
      <c r="QK72" s="74"/>
      <c r="QL72" s="74"/>
      <c r="QM72" s="74"/>
      <c r="QN72" s="74"/>
      <c r="QO72" s="74"/>
      <c r="QP72" s="74"/>
      <c r="QQ72" s="74"/>
      <c r="QR72" s="74"/>
      <c r="QS72" s="74"/>
      <c r="QT72" s="74"/>
      <c r="QU72" s="74"/>
      <c r="QV72" s="74"/>
      <c r="QW72" s="74"/>
      <c r="QX72" s="74"/>
      <c r="QY72" s="74"/>
      <c r="QZ72" s="74"/>
      <c r="RA72" s="74"/>
      <c r="RB72" s="74"/>
      <c r="RC72" s="74"/>
      <c r="RD72" s="74"/>
      <c r="RE72" s="74"/>
      <c r="RF72" s="74"/>
      <c r="RG72" s="74"/>
      <c r="RH72" s="74"/>
      <c r="RI72" s="74"/>
      <c r="RJ72" s="74"/>
      <c r="RK72" s="74"/>
      <c r="RL72" s="74"/>
      <c r="RM72" s="74"/>
      <c r="RN72" s="74"/>
      <c r="RO72" s="74"/>
      <c r="RP72" s="74"/>
      <c r="RQ72" s="74"/>
      <c r="RR72" s="74"/>
      <c r="RS72" s="74"/>
      <c r="RT72" s="74"/>
      <c r="RU72" s="74"/>
      <c r="RV72" s="74"/>
      <c r="RW72" s="74"/>
      <c r="RX72" s="74"/>
      <c r="RY72" s="74"/>
      <c r="RZ72" s="74"/>
      <c r="SA72" s="74"/>
      <c r="SB72" s="74"/>
      <c r="SC72" s="74"/>
      <c r="SD72" s="74"/>
      <c r="SE72" s="74"/>
      <c r="SF72" s="74"/>
      <c r="SG72" s="74"/>
      <c r="SH72" s="74"/>
      <c r="SI72" s="74"/>
      <c r="SJ72" s="74"/>
      <c r="SK72" s="74"/>
      <c r="SL72" s="74"/>
      <c r="SM72" s="74"/>
      <c r="SN72" s="74"/>
      <c r="SO72" s="74"/>
      <c r="SP72" s="74"/>
      <c r="SQ72" s="74"/>
      <c r="SR72" s="74"/>
      <c r="SS72" s="74"/>
      <c r="ST72" s="74"/>
      <c r="SU72" s="74"/>
      <c r="SV72" s="74"/>
      <c r="SW72" s="74"/>
      <c r="SX72" s="74"/>
      <c r="SY72" s="74"/>
      <c r="SZ72" s="74"/>
      <c r="TA72" s="74"/>
      <c r="TB72" s="74"/>
      <c r="TC72" s="74"/>
      <c r="TD72" s="74"/>
      <c r="TE72" s="74"/>
      <c r="TF72" s="74"/>
      <c r="TG72" s="74"/>
      <c r="TH72" s="74"/>
      <c r="TI72" s="74"/>
      <c r="TJ72" s="74"/>
      <c r="TK72" s="74"/>
      <c r="TL72" s="74"/>
      <c r="TM72" s="74"/>
      <c r="TN72" s="74"/>
      <c r="TO72" s="74"/>
      <c r="TP72" s="74"/>
      <c r="TQ72" s="74"/>
      <c r="TR72" s="74"/>
      <c r="TS72" s="74"/>
      <c r="TT72" s="74"/>
      <c r="TU72" s="74"/>
      <c r="TV72" s="74"/>
      <c r="TW72" s="74"/>
      <c r="TX72" s="74"/>
      <c r="TY72" s="74"/>
      <c r="TZ72" s="74"/>
      <c r="UA72" s="74"/>
      <c r="UB72" s="74"/>
      <c r="UC72" s="74"/>
      <c r="UD72" s="74"/>
      <c r="UE72" s="74"/>
    </row>
    <row r="73" spans="1:551" s="101" customFormat="1" x14ac:dyDescent="0.25">
      <c r="A73" s="220"/>
      <c r="B73" s="74"/>
      <c r="C73" s="74"/>
      <c r="D73" s="74"/>
      <c r="E73" s="74"/>
      <c r="F73" s="74"/>
      <c r="G73" s="74"/>
      <c r="H73" s="74"/>
      <c r="I73" s="74"/>
      <c r="J73" s="74"/>
      <c r="K73" s="74"/>
      <c r="L73" s="74"/>
      <c r="M73" s="74"/>
      <c r="N73" s="74"/>
      <c r="O73" s="74"/>
      <c r="P73" s="74"/>
      <c r="Q73" s="74"/>
      <c r="R73" s="74"/>
      <c r="S73" s="74"/>
      <c r="T73" s="74"/>
      <c r="U73" s="74"/>
      <c r="V73" s="74"/>
      <c r="W73" s="74"/>
      <c r="X73" s="74"/>
      <c r="Y73" s="74"/>
      <c r="Z73" s="74"/>
      <c r="AA73" s="74"/>
      <c r="AB73" s="74"/>
      <c r="AC73" s="74"/>
      <c r="AD73" s="74"/>
      <c r="AE73" s="74"/>
      <c r="AF73" s="74"/>
      <c r="AG73" s="74"/>
      <c r="AH73" s="74"/>
      <c r="AI73" s="74"/>
      <c r="AJ73" s="74"/>
      <c r="AK73" s="74"/>
      <c r="AL73" s="74"/>
      <c r="AM73" s="74"/>
      <c r="AN73" s="74"/>
      <c r="AO73" s="74"/>
      <c r="AP73" s="74"/>
      <c r="AQ73" s="74"/>
      <c r="AR73" s="74"/>
      <c r="AS73" s="74"/>
      <c r="AT73" s="74"/>
      <c r="AU73" s="74"/>
      <c r="AV73" s="74"/>
      <c r="AW73" s="74"/>
      <c r="AX73" s="74"/>
      <c r="AY73" s="74"/>
      <c r="AZ73" s="74"/>
      <c r="BA73" s="74"/>
      <c r="BB73" s="74"/>
      <c r="BC73" s="74"/>
      <c r="BD73" s="74"/>
      <c r="BE73" s="74"/>
      <c r="BF73" s="74"/>
      <c r="BG73" s="74"/>
      <c r="BH73" s="74"/>
      <c r="BI73" s="74"/>
      <c r="BJ73" s="74"/>
      <c r="BK73" s="74"/>
      <c r="BL73" s="74"/>
      <c r="BM73" s="74"/>
      <c r="BN73" s="74"/>
      <c r="BO73" s="74"/>
      <c r="BP73" s="74"/>
      <c r="BQ73" s="74"/>
      <c r="BR73" s="74"/>
      <c r="BS73" s="74"/>
      <c r="BT73" s="74"/>
      <c r="BU73" s="74"/>
      <c r="BV73" s="74"/>
      <c r="BW73" s="74"/>
      <c r="BX73" s="74"/>
      <c r="BY73" s="74"/>
      <c r="BZ73" s="74"/>
      <c r="CA73" s="74"/>
      <c r="CB73" s="74"/>
      <c r="CC73" s="74"/>
      <c r="CD73" s="74"/>
      <c r="CE73" s="74"/>
      <c r="CF73" s="74"/>
      <c r="CG73" s="74"/>
      <c r="CH73" s="74"/>
      <c r="CI73" s="74"/>
      <c r="CJ73" s="74"/>
      <c r="CK73" s="74"/>
      <c r="CL73" s="74"/>
      <c r="CM73" s="74"/>
      <c r="CN73" s="74"/>
      <c r="CO73" s="74"/>
      <c r="CP73" s="74"/>
      <c r="CQ73" s="74"/>
      <c r="CR73" s="74"/>
      <c r="CS73" s="74"/>
      <c r="CT73" s="74"/>
      <c r="CU73" s="74"/>
      <c r="CV73" s="74"/>
      <c r="CW73" s="74"/>
      <c r="CX73" s="74"/>
      <c r="CY73" s="74"/>
      <c r="CZ73" s="74"/>
      <c r="DA73" s="74"/>
      <c r="DB73" s="74"/>
      <c r="DC73" s="74"/>
      <c r="DD73" s="74"/>
      <c r="DE73" s="74"/>
      <c r="DF73" s="74"/>
      <c r="DG73" s="74"/>
      <c r="DH73" s="74"/>
      <c r="DI73" s="74"/>
      <c r="DJ73" s="74"/>
      <c r="DK73" s="74"/>
      <c r="DL73" s="74"/>
      <c r="DM73" s="74"/>
      <c r="DN73" s="74"/>
      <c r="DO73" s="74"/>
      <c r="DP73" s="74"/>
      <c r="DQ73" s="74"/>
      <c r="DR73" s="74"/>
      <c r="DS73" s="74"/>
      <c r="DT73" s="74"/>
      <c r="DU73" s="74"/>
      <c r="DV73" s="74"/>
      <c r="DW73" s="74"/>
      <c r="DX73" s="74"/>
      <c r="DY73" s="74"/>
      <c r="DZ73" s="74"/>
      <c r="EA73" s="74"/>
      <c r="EB73" s="74"/>
      <c r="EC73" s="74"/>
      <c r="ED73" s="74"/>
      <c r="EE73" s="74"/>
      <c r="EF73" s="74"/>
      <c r="EG73" s="74"/>
      <c r="EH73" s="74"/>
      <c r="EI73" s="74"/>
      <c r="EJ73" s="74"/>
      <c r="EK73" s="74"/>
      <c r="EL73" s="74"/>
      <c r="EM73" s="74"/>
      <c r="EN73" s="74"/>
      <c r="EO73" s="74"/>
      <c r="EP73" s="74"/>
      <c r="EQ73" s="74"/>
      <c r="ER73" s="74"/>
      <c r="ES73" s="74"/>
      <c r="ET73" s="74"/>
      <c r="EU73" s="74"/>
      <c r="EV73" s="74"/>
      <c r="EW73" s="74"/>
      <c r="EX73" s="74"/>
      <c r="EY73" s="74"/>
      <c r="EZ73" s="74"/>
      <c r="FA73" s="74"/>
      <c r="FB73" s="74"/>
      <c r="FC73" s="74"/>
      <c r="FD73" s="74"/>
      <c r="FE73" s="74"/>
      <c r="FF73" s="74"/>
      <c r="FG73" s="74"/>
      <c r="FH73" s="74"/>
      <c r="FI73" s="74"/>
      <c r="FJ73" s="74"/>
      <c r="FK73" s="74"/>
      <c r="FL73" s="74"/>
      <c r="FM73" s="74"/>
      <c r="FN73" s="74"/>
      <c r="FO73" s="74"/>
      <c r="FP73" s="74"/>
      <c r="FQ73" s="74"/>
      <c r="FR73" s="74"/>
      <c r="FS73" s="74"/>
      <c r="FT73" s="74"/>
      <c r="FU73" s="74"/>
      <c r="FV73" s="74"/>
      <c r="FW73" s="74"/>
      <c r="FX73" s="74"/>
      <c r="FY73" s="74"/>
      <c r="FZ73" s="74"/>
      <c r="GA73" s="74"/>
      <c r="GB73" s="74"/>
      <c r="GC73" s="74"/>
      <c r="GD73" s="74"/>
      <c r="GE73" s="74"/>
      <c r="GF73" s="74"/>
      <c r="GG73" s="74"/>
      <c r="GH73" s="74"/>
      <c r="GI73" s="74"/>
      <c r="GJ73" s="74"/>
      <c r="GK73" s="74"/>
      <c r="GL73" s="74"/>
      <c r="GM73" s="74"/>
      <c r="GN73" s="74"/>
      <c r="GO73" s="74"/>
      <c r="GP73" s="74"/>
      <c r="GQ73" s="74"/>
      <c r="GR73" s="74"/>
      <c r="GS73" s="74"/>
      <c r="GT73" s="74"/>
      <c r="GU73" s="74"/>
      <c r="GV73" s="74"/>
      <c r="GW73" s="74"/>
      <c r="GX73" s="74"/>
      <c r="GY73" s="74"/>
      <c r="GZ73" s="74"/>
      <c r="HA73" s="74"/>
      <c r="HB73" s="74"/>
      <c r="HC73" s="74"/>
      <c r="HD73" s="74"/>
      <c r="HE73" s="74"/>
      <c r="HF73" s="74"/>
      <c r="HG73" s="74"/>
      <c r="HH73" s="74"/>
      <c r="HI73" s="74"/>
      <c r="HJ73" s="74"/>
      <c r="HK73" s="74"/>
      <c r="HL73" s="74"/>
      <c r="HM73" s="74"/>
      <c r="HN73" s="74"/>
      <c r="HO73" s="74"/>
      <c r="HP73" s="74"/>
      <c r="HQ73" s="74"/>
      <c r="HR73" s="74"/>
      <c r="HS73" s="74"/>
      <c r="HT73" s="74"/>
      <c r="HU73" s="74"/>
      <c r="HV73" s="74"/>
      <c r="HW73" s="74"/>
      <c r="HX73" s="74"/>
      <c r="HY73" s="74"/>
      <c r="HZ73" s="74"/>
      <c r="IA73" s="74"/>
      <c r="IB73" s="74"/>
      <c r="IC73" s="74"/>
      <c r="ID73" s="74"/>
      <c r="IE73" s="74"/>
      <c r="IF73" s="74"/>
      <c r="IG73" s="74"/>
      <c r="IH73" s="74"/>
      <c r="II73" s="74"/>
      <c r="IJ73" s="74"/>
      <c r="IK73" s="74"/>
      <c r="IL73" s="74"/>
      <c r="IM73" s="74"/>
      <c r="IN73" s="74"/>
      <c r="IO73" s="74"/>
      <c r="IP73" s="74"/>
      <c r="IQ73" s="74"/>
      <c r="IR73" s="74"/>
      <c r="IS73" s="74"/>
      <c r="IT73" s="74"/>
      <c r="IU73" s="74"/>
      <c r="IV73" s="74"/>
      <c r="IW73" s="74"/>
      <c r="IX73" s="74"/>
      <c r="IY73" s="74"/>
      <c r="IZ73" s="74"/>
      <c r="JA73" s="74"/>
      <c r="JB73" s="74"/>
      <c r="JC73" s="74"/>
      <c r="JD73" s="74"/>
      <c r="JE73" s="74"/>
      <c r="JF73" s="74"/>
      <c r="JG73" s="74"/>
      <c r="JH73" s="74"/>
      <c r="JI73" s="74"/>
      <c r="JJ73" s="74"/>
      <c r="JK73" s="74"/>
      <c r="JL73" s="74"/>
      <c r="JM73" s="74"/>
      <c r="JN73" s="74"/>
      <c r="JO73" s="74"/>
      <c r="JP73" s="74"/>
      <c r="JQ73" s="74"/>
      <c r="JR73" s="74"/>
      <c r="JS73" s="74"/>
      <c r="JT73" s="74"/>
      <c r="JU73" s="74"/>
      <c r="JV73" s="74"/>
      <c r="JW73" s="74"/>
      <c r="JX73" s="74"/>
      <c r="JY73" s="74"/>
      <c r="JZ73" s="74"/>
      <c r="KA73" s="74"/>
      <c r="KB73" s="74"/>
      <c r="KC73" s="74"/>
      <c r="KD73" s="74"/>
      <c r="KE73" s="74"/>
      <c r="KF73" s="74"/>
      <c r="KG73" s="74"/>
      <c r="KH73" s="74"/>
      <c r="KI73" s="74"/>
      <c r="KJ73" s="74"/>
      <c r="KK73" s="74"/>
      <c r="KL73" s="74"/>
      <c r="KM73" s="74"/>
      <c r="KN73" s="74"/>
      <c r="KO73" s="74"/>
      <c r="KP73" s="74"/>
      <c r="KQ73" s="74"/>
      <c r="KR73" s="74"/>
      <c r="KS73" s="74"/>
      <c r="KT73" s="74"/>
      <c r="KU73" s="74"/>
      <c r="KV73" s="74"/>
      <c r="KW73" s="74"/>
      <c r="KX73" s="74"/>
      <c r="KY73" s="74"/>
      <c r="KZ73" s="74"/>
      <c r="LA73" s="74"/>
      <c r="LB73" s="74"/>
      <c r="LC73" s="74"/>
      <c r="LD73" s="74"/>
      <c r="LE73" s="74"/>
      <c r="LF73" s="74"/>
      <c r="LG73" s="74"/>
      <c r="LH73" s="74"/>
      <c r="LI73" s="74"/>
      <c r="LJ73" s="74"/>
      <c r="LK73" s="74"/>
      <c r="LL73" s="74"/>
      <c r="LM73" s="74"/>
      <c r="LN73" s="74"/>
      <c r="LO73" s="74"/>
      <c r="LP73" s="74"/>
      <c r="LQ73" s="74"/>
      <c r="LR73" s="74"/>
      <c r="LS73" s="74"/>
      <c r="LT73" s="74"/>
      <c r="LU73" s="74"/>
      <c r="LV73" s="74"/>
      <c r="LW73" s="74"/>
      <c r="LX73" s="74"/>
      <c r="LY73" s="74"/>
      <c r="LZ73" s="74"/>
      <c r="MA73" s="74"/>
      <c r="MB73" s="74"/>
      <c r="MC73" s="74"/>
      <c r="MD73" s="74"/>
      <c r="ME73" s="74"/>
      <c r="MF73" s="74"/>
      <c r="MG73" s="74"/>
      <c r="MH73" s="74"/>
      <c r="MI73" s="74"/>
      <c r="MJ73" s="74"/>
      <c r="MK73" s="74"/>
      <c r="ML73" s="74"/>
      <c r="MM73" s="74"/>
      <c r="MN73" s="74"/>
      <c r="MO73" s="74"/>
      <c r="MP73" s="74"/>
      <c r="MQ73" s="74"/>
      <c r="MR73" s="74"/>
      <c r="MS73" s="74"/>
      <c r="MT73" s="74"/>
      <c r="MU73" s="74"/>
      <c r="MV73" s="74"/>
      <c r="MW73" s="74"/>
      <c r="MX73" s="74"/>
      <c r="MY73" s="74"/>
      <c r="MZ73" s="74"/>
      <c r="NA73" s="74"/>
      <c r="NB73" s="74"/>
      <c r="NC73" s="74"/>
      <c r="ND73" s="74"/>
      <c r="NE73" s="74"/>
      <c r="NF73" s="74"/>
      <c r="NG73" s="74"/>
      <c r="NH73" s="74"/>
      <c r="NI73" s="74"/>
      <c r="NJ73" s="74"/>
      <c r="NK73" s="74"/>
      <c r="NL73" s="74"/>
      <c r="NM73" s="74"/>
      <c r="NN73" s="74"/>
      <c r="NO73" s="74"/>
      <c r="NP73" s="74"/>
      <c r="NQ73" s="74"/>
      <c r="NR73" s="74"/>
      <c r="NS73" s="74"/>
      <c r="NT73" s="74"/>
      <c r="NU73" s="74"/>
      <c r="NV73" s="74"/>
      <c r="NW73" s="74"/>
      <c r="NX73" s="74"/>
      <c r="NY73" s="74"/>
      <c r="NZ73" s="74"/>
      <c r="OA73" s="74"/>
      <c r="OB73" s="74"/>
      <c r="OC73" s="74"/>
      <c r="OD73" s="74"/>
      <c r="OE73" s="74"/>
      <c r="OF73" s="74"/>
      <c r="OG73" s="74"/>
      <c r="OH73" s="74"/>
      <c r="OI73" s="74"/>
      <c r="OJ73" s="74"/>
      <c r="OK73" s="74"/>
      <c r="OL73" s="74"/>
      <c r="OM73" s="74"/>
      <c r="ON73" s="74"/>
      <c r="OO73" s="74"/>
      <c r="OP73" s="74"/>
      <c r="OQ73" s="74"/>
      <c r="OR73" s="74"/>
      <c r="OS73" s="74"/>
      <c r="OT73" s="74"/>
      <c r="OU73" s="74"/>
      <c r="OV73" s="74"/>
      <c r="OW73" s="74"/>
      <c r="OX73" s="74"/>
      <c r="OY73" s="74"/>
      <c r="OZ73" s="74"/>
      <c r="PA73" s="74"/>
      <c r="PB73" s="74"/>
      <c r="PC73" s="74"/>
      <c r="PD73" s="74"/>
      <c r="PE73" s="74"/>
      <c r="PF73" s="74"/>
      <c r="PG73" s="74"/>
      <c r="PH73" s="74"/>
      <c r="PI73" s="74"/>
      <c r="PJ73" s="74"/>
      <c r="PK73" s="74"/>
      <c r="PL73" s="74"/>
      <c r="PM73" s="74"/>
      <c r="PN73" s="74"/>
      <c r="PO73" s="74"/>
      <c r="PP73" s="74"/>
      <c r="PQ73" s="74"/>
      <c r="PR73" s="74"/>
      <c r="PS73" s="74"/>
      <c r="PT73" s="74"/>
      <c r="PU73" s="74"/>
      <c r="PV73" s="74"/>
      <c r="PW73" s="74"/>
      <c r="PX73" s="74"/>
      <c r="PY73" s="74"/>
      <c r="PZ73" s="74"/>
      <c r="QA73" s="74"/>
      <c r="QB73" s="74"/>
      <c r="QC73" s="74"/>
      <c r="QD73" s="74"/>
      <c r="QE73" s="74"/>
      <c r="QF73" s="74"/>
      <c r="QG73" s="74"/>
      <c r="QH73" s="74"/>
      <c r="QI73" s="74"/>
      <c r="QJ73" s="74"/>
      <c r="QK73" s="74"/>
      <c r="QL73" s="74"/>
      <c r="QM73" s="74"/>
      <c r="QN73" s="74"/>
      <c r="QO73" s="74"/>
      <c r="QP73" s="74"/>
      <c r="QQ73" s="74"/>
      <c r="QR73" s="74"/>
      <c r="QS73" s="74"/>
      <c r="QT73" s="74"/>
      <c r="QU73" s="74"/>
      <c r="QV73" s="74"/>
      <c r="QW73" s="74"/>
      <c r="QX73" s="74"/>
      <c r="QY73" s="74"/>
      <c r="QZ73" s="74"/>
      <c r="RA73" s="74"/>
      <c r="RB73" s="74"/>
      <c r="RC73" s="74"/>
      <c r="RD73" s="74"/>
      <c r="RE73" s="74"/>
      <c r="RF73" s="74"/>
      <c r="RG73" s="74"/>
      <c r="RH73" s="74"/>
      <c r="RI73" s="74"/>
      <c r="RJ73" s="74"/>
      <c r="RK73" s="74"/>
      <c r="RL73" s="74"/>
      <c r="RM73" s="74"/>
      <c r="RN73" s="74"/>
      <c r="RO73" s="74"/>
      <c r="RP73" s="74"/>
      <c r="RQ73" s="74"/>
      <c r="RR73" s="74"/>
      <c r="RS73" s="74"/>
      <c r="RT73" s="74"/>
      <c r="RU73" s="74"/>
      <c r="RV73" s="74"/>
      <c r="RW73" s="74"/>
      <c r="RX73" s="74"/>
      <c r="RY73" s="74"/>
      <c r="RZ73" s="74"/>
      <c r="SA73" s="74"/>
      <c r="SB73" s="74"/>
      <c r="SC73" s="74"/>
      <c r="SD73" s="74"/>
      <c r="SE73" s="74"/>
      <c r="SF73" s="74"/>
      <c r="SG73" s="74"/>
      <c r="SH73" s="74"/>
      <c r="SI73" s="74"/>
      <c r="SJ73" s="74"/>
      <c r="SK73" s="74"/>
      <c r="SL73" s="74"/>
      <c r="SM73" s="74"/>
      <c r="SN73" s="74"/>
      <c r="SO73" s="74"/>
      <c r="SP73" s="74"/>
      <c r="SQ73" s="74"/>
      <c r="SR73" s="74"/>
      <c r="SS73" s="74"/>
      <c r="ST73" s="74"/>
      <c r="SU73" s="74"/>
      <c r="SV73" s="74"/>
      <c r="SW73" s="74"/>
      <c r="SX73" s="74"/>
      <c r="SY73" s="74"/>
      <c r="SZ73" s="74"/>
      <c r="TA73" s="74"/>
      <c r="TB73" s="74"/>
      <c r="TC73" s="74"/>
      <c r="TD73" s="74"/>
      <c r="TE73" s="74"/>
      <c r="TF73" s="74"/>
      <c r="TG73" s="74"/>
      <c r="TH73" s="74"/>
      <c r="TI73" s="74"/>
      <c r="TJ73" s="74"/>
      <c r="TK73" s="74"/>
      <c r="TL73" s="74"/>
      <c r="TM73" s="74"/>
      <c r="TN73" s="74"/>
      <c r="TO73" s="74"/>
      <c r="TP73" s="74"/>
      <c r="TQ73" s="74"/>
      <c r="TR73" s="74"/>
      <c r="TS73" s="74"/>
      <c r="TT73" s="74"/>
      <c r="TU73" s="74"/>
      <c r="TV73" s="74"/>
      <c r="TW73" s="74"/>
      <c r="TX73" s="74"/>
      <c r="TY73" s="74"/>
      <c r="TZ73" s="74"/>
      <c r="UA73" s="74"/>
      <c r="UB73" s="74"/>
      <c r="UC73" s="74"/>
      <c r="UD73" s="74"/>
      <c r="UE73" s="74"/>
    </row>
    <row r="74" spans="1:551" s="101" customFormat="1" x14ac:dyDescent="0.25">
      <c r="A74" s="220"/>
      <c r="B74" s="74"/>
      <c r="C74" s="74"/>
      <c r="D74" s="74"/>
      <c r="E74" s="74"/>
      <c r="F74" s="74"/>
      <c r="G74" s="74"/>
      <c r="H74" s="74"/>
      <c r="I74" s="74"/>
      <c r="J74" s="74"/>
      <c r="K74" s="74"/>
      <c r="L74" s="74"/>
      <c r="M74" s="74"/>
      <c r="N74" s="74"/>
      <c r="O74" s="74"/>
      <c r="P74" s="74"/>
      <c r="Q74" s="74"/>
      <c r="R74" s="74"/>
      <c r="S74" s="74"/>
      <c r="T74" s="74"/>
      <c r="U74" s="74"/>
      <c r="V74" s="74"/>
      <c r="W74" s="74"/>
      <c r="X74" s="74"/>
      <c r="Y74" s="74"/>
      <c r="Z74" s="74"/>
      <c r="AA74" s="74"/>
      <c r="AB74" s="74"/>
      <c r="AC74" s="74"/>
      <c r="AD74" s="74"/>
      <c r="AE74" s="74"/>
      <c r="AF74" s="74"/>
      <c r="AG74" s="74"/>
      <c r="AH74" s="74"/>
      <c r="AI74" s="74"/>
      <c r="AJ74" s="74"/>
      <c r="AK74" s="74"/>
      <c r="AL74" s="74"/>
      <c r="AM74" s="74"/>
      <c r="AN74" s="74"/>
      <c r="AO74" s="74"/>
      <c r="AP74" s="74"/>
      <c r="AQ74" s="74"/>
      <c r="AR74" s="74"/>
      <c r="AS74" s="74"/>
      <c r="AT74" s="74"/>
      <c r="AU74" s="74"/>
      <c r="AV74" s="74"/>
      <c r="AW74" s="74"/>
      <c r="AX74" s="74"/>
      <c r="AY74" s="74"/>
      <c r="AZ74" s="74"/>
      <c r="BA74" s="74"/>
      <c r="BB74" s="74"/>
      <c r="BC74" s="74"/>
      <c r="BD74" s="74"/>
      <c r="BE74" s="74"/>
      <c r="BF74" s="74"/>
      <c r="BG74" s="74"/>
      <c r="BH74" s="74"/>
      <c r="BI74" s="74"/>
      <c r="BJ74" s="74"/>
      <c r="BK74" s="74"/>
      <c r="BL74" s="74"/>
      <c r="BM74" s="74"/>
      <c r="BN74" s="74"/>
      <c r="BO74" s="74"/>
      <c r="BP74" s="74"/>
      <c r="BQ74" s="74"/>
      <c r="BR74" s="74"/>
      <c r="BS74" s="74"/>
      <c r="BT74" s="74"/>
      <c r="BU74" s="74"/>
      <c r="BV74" s="74"/>
      <c r="BW74" s="74"/>
      <c r="BX74" s="74"/>
      <c r="BY74" s="74"/>
      <c r="BZ74" s="74"/>
      <c r="CA74" s="74"/>
      <c r="CB74" s="74"/>
      <c r="CC74" s="74"/>
      <c r="CD74" s="74"/>
      <c r="CE74" s="74"/>
      <c r="CF74" s="74"/>
      <c r="CG74" s="74"/>
      <c r="CH74" s="74"/>
      <c r="CI74" s="74"/>
      <c r="CJ74" s="74"/>
      <c r="CK74" s="74"/>
      <c r="CL74" s="74"/>
      <c r="CM74" s="74"/>
      <c r="CN74" s="74"/>
      <c r="CO74" s="74"/>
      <c r="CP74" s="74"/>
      <c r="CQ74" s="74"/>
      <c r="CR74" s="74"/>
      <c r="CS74" s="74"/>
      <c r="CT74" s="74"/>
      <c r="CU74" s="74"/>
      <c r="CV74" s="74"/>
      <c r="CW74" s="74"/>
      <c r="CX74" s="74"/>
      <c r="CY74" s="74"/>
      <c r="CZ74" s="74"/>
      <c r="DA74" s="74"/>
      <c r="DB74" s="74"/>
      <c r="DC74" s="74"/>
      <c r="DD74" s="74"/>
      <c r="DE74" s="74"/>
      <c r="DF74" s="74"/>
      <c r="DG74" s="74"/>
      <c r="DH74" s="74"/>
      <c r="DI74" s="74"/>
      <c r="DJ74" s="74"/>
      <c r="DK74" s="74"/>
      <c r="DL74" s="74"/>
      <c r="DM74" s="74"/>
      <c r="DN74" s="74"/>
      <c r="DO74" s="74"/>
      <c r="DP74" s="74"/>
      <c r="DQ74" s="74"/>
      <c r="DR74" s="74"/>
      <c r="DS74" s="74"/>
      <c r="DT74" s="74"/>
      <c r="DU74" s="74"/>
      <c r="DV74" s="74"/>
      <c r="DW74" s="74"/>
      <c r="DX74" s="74"/>
      <c r="DY74" s="74"/>
      <c r="DZ74" s="74"/>
      <c r="EA74" s="74"/>
      <c r="EB74" s="74"/>
      <c r="EC74" s="74"/>
      <c r="ED74" s="74"/>
      <c r="EE74" s="74"/>
      <c r="EF74" s="74"/>
      <c r="EG74" s="74"/>
      <c r="EH74" s="74"/>
      <c r="EI74" s="74"/>
      <c r="EJ74" s="74"/>
      <c r="EK74" s="74"/>
      <c r="EL74" s="74"/>
      <c r="EM74" s="74"/>
      <c r="EN74" s="74"/>
      <c r="EO74" s="74"/>
      <c r="EP74" s="74"/>
      <c r="EQ74" s="74"/>
      <c r="ER74" s="74"/>
      <c r="ES74" s="74"/>
      <c r="ET74" s="74"/>
      <c r="EU74" s="74"/>
      <c r="EV74" s="74"/>
      <c r="EW74" s="74"/>
      <c r="EX74" s="74"/>
      <c r="EY74" s="74"/>
      <c r="EZ74" s="74"/>
      <c r="FA74" s="74"/>
      <c r="FB74" s="74"/>
      <c r="FC74" s="74"/>
      <c r="FD74" s="74"/>
      <c r="FE74" s="74"/>
      <c r="FF74" s="74"/>
      <c r="FG74" s="74"/>
      <c r="FH74" s="74"/>
      <c r="FI74" s="74"/>
      <c r="FJ74" s="74"/>
      <c r="FK74" s="74"/>
      <c r="FL74" s="74"/>
      <c r="FM74" s="74"/>
      <c r="FN74" s="74"/>
      <c r="FO74" s="74"/>
      <c r="FP74" s="74"/>
      <c r="FQ74" s="74"/>
      <c r="FR74" s="74"/>
      <c r="FS74" s="74"/>
      <c r="FT74" s="74"/>
      <c r="FU74" s="74"/>
      <c r="FV74" s="74"/>
      <c r="FW74" s="74"/>
      <c r="FX74" s="74"/>
      <c r="FY74" s="74"/>
      <c r="FZ74" s="74"/>
      <c r="GA74" s="74"/>
      <c r="GB74" s="74"/>
      <c r="GC74" s="74"/>
      <c r="GD74" s="74"/>
      <c r="GE74" s="74"/>
      <c r="GF74" s="74"/>
      <c r="GG74" s="74"/>
      <c r="GH74" s="74"/>
      <c r="GI74" s="74"/>
      <c r="GJ74" s="74"/>
      <c r="GK74" s="74"/>
      <c r="GL74" s="74"/>
      <c r="GM74" s="74"/>
      <c r="GN74" s="74"/>
      <c r="GO74" s="74"/>
      <c r="GP74" s="74"/>
      <c r="GQ74" s="74"/>
      <c r="GR74" s="74"/>
      <c r="GS74" s="74"/>
      <c r="GT74" s="74"/>
      <c r="GU74" s="74"/>
      <c r="GV74" s="74"/>
      <c r="GW74" s="74"/>
      <c r="GX74" s="74"/>
      <c r="GY74" s="74"/>
      <c r="GZ74" s="74"/>
      <c r="HA74" s="74"/>
      <c r="HB74" s="74"/>
      <c r="HC74" s="74"/>
      <c r="HD74" s="74"/>
      <c r="HE74" s="74"/>
      <c r="HF74" s="74"/>
      <c r="HG74" s="74"/>
      <c r="HH74" s="74"/>
      <c r="HI74" s="74"/>
      <c r="HJ74" s="74"/>
      <c r="HK74" s="74"/>
      <c r="HL74" s="74"/>
      <c r="HM74" s="74"/>
      <c r="HN74" s="74"/>
      <c r="HO74" s="74"/>
      <c r="HP74" s="74"/>
      <c r="HQ74" s="74"/>
      <c r="HR74" s="74"/>
      <c r="HS74" s="74"/>
      <c r="HT74" s="74"/>
      <c r="HU74" s="74"/>
      <c r="HV74" s="74"/>
      <c r="HW74" s="74"/>
      <c r="HX74" s="74"/>
      <c r="HY74" s="74"/>
      <c r="HZ74" s="74"/>
      <c r="IA74" s="74"/>
      <c r="IB74" s="74"/>
      <c r="IC74" s="74"/>
      <c r="ID74" s="74"/>
      <c r="IE74" s="74"/>
      <c r="IF74" s="74"/>
      <c r="IG74" s="74"/>
      <c r="IH74" s="74"/>
      <c r="II74" s="74"/>
      <c r="IJ74" s="74"/>
      <c r="IK74" s="74"/>
      <c r="IL74" s="74"/>
      <c r="IM74" s="74"/>
      <c r="IN74" s="74"/>
      <c r="IO74" s="74"/>
      <c r="IP74" s="74"/>
      <c r="IQ74" s="74"/>
      <c r="IR74" s="74"/>
      <c r="IS74" s="74"/>
      <c r="IT74" s="74"/>
      <c r="IU74" s="74"/>
      <c r="IV74" s="74"/>
      <c r="IW74" s="74"/>
      <c r="IX74" s="74"/>
      <c r="IY74" s="74"/>
      <c r="IZ74" s="74"/>
      <c r="JA74" s="74"/>
      <c r="JB74" s="74"/>
      <c r="JC74" s="74"/>
      <c r="JD74" s="74"/>
      <c r="JE74" s="74"/>
      <c r="JF74" s="74"/>
      <c r="JG74" s="74"/>
      <c r="JH74" s="74"/>
      <c r="JI74" s="74"/>
      <c r="JJ74" s="74"/>
      <c r="JK74" s="74"/>
      <c r="JL74" s="74"/>
      <c r="JM74" s="74"/>
      <c r="JN74" s="74"/>
      <c r="JO74" s="74"/>
      <c r="JP74" s="74"/>
      <c r="JQ74" s="74"/>
      <c r="JR74" s="74"/>
      <c r="JS74" s="74"/>
      <c r="JT74" s="74"/>
      <c r="JU74" s="74"/>
      <c r="JV74" s="74"/>
      <c r="JW74" s="74"/>
      <c r="JX74" s="74"/>
      <c r="JY74" s="74"/>
      <c r="JZ74" s="74"/>
      <c r="KA74" s="74"/>
      <c r="KB74" s="74"/>
      <c r="KC74" s="74"/>
      <c r="KD74" s="74"/>
      <c r="KE74" s="74"/>
      <c r="KF74" s="74"/>
      <c r="KG74" s="74"/>
      <c r="KH74" s="74"/>
      <c r="KI74" s="74"/>
      <c r="KJ74" s="74"/>
      <c r="KK74" s="74"/>
      <c r="KL74" s="74"/>
      <c r="KM74" s="74"/>
      <c r="KN74" s="74"/>
      <c r="KO74" s="74"/>
      <c r="KP74" s="74"/>
      <c r="KQ74" s="74"/>
      <c r="KR74" s="74"/>
      <c r="KS74" s="74"/>
      <c r="KT74" s="74"/>
      <c r="KU74" s="74"/>
      <c r="KV74" s="74"/>
      <c r="KW74" s="74"/>
      <c r="KX74" s="74"/>
      <c r="KY74" s="74"/>
      <c r="KZ74" s="74"/>
      <c r="LA74" s="74"/>
      <c r="LB74" s="74"/>
      <c r="LC74" s="74"/>
      <c r="LD74" s="74"/>
      <c r="LE74" s="74"/>
      <c r="LF74" s="74"/>
      <c r="LG74" s="74"/>
      <c r="LH74" s="74"/>
      <c r="LI74" s="74"/>
      <c r="LJ74" s="74"/>
      <c r="LK74" s="74"/>
      <c r="LL74" s="74"/>
      <c r="LM74" s="74"/>
      <c r="LN74" s="74"/>
      <c r="LO74" s="74"/>
      <c r="LP74" s="74"/>
      <c r="LQ74" s="74"/>
      <c r="LR74" s="74"/>
      <c r="LS74" s="74"/>
      <c r="LT74" s="74"/>
      <c r="LU74" s="74"/>
      <c r="LV74" s="74"/>
      <c r="LW74" s="74"/>
      <c r="LX74" s="74"/>
      <c r="LY74" s="74"/>
      <c r="LZ74" s="74"/>
      <c r="MA74" s="74"/>
      <c r="MB74" s="74"/>
      <c r="MC74" s="74"/>
      <c r="MD74" s="74"/>
      <c r="ME74" s="74"/>
      <c r="MF74" s="74"/>
      <c r="MG74" s="74"/>
      <c r="MH74" s="74"/>
      <c r="MI74" s="74"/>
      <c r="MJ74" s="74"/>
      <c r="MK74" s="74"/>
      <c r="ML74" s="74"/>
      <c r="MM74" s="74"/>
      <c r="MN74" s="74"/>
      <c r="MO74" s="74"/>
      <c r="MP74" s="74"/>
      <c r="MQ74" s="74"/>
      <c r="MR74" s="74"/>
      <c r="MS74" s="74"/>
      <c r="MT74" s="74"/>
      <c r="MU74" s="74"/>
      <c r="MV74" s="74"/>
      <c r="MW74" s="74"/>
      <c r="MX74" s="74"/>
      <c r="MY74" s="74"/>
      <c r="MZ74" s="74"/>
      <c r="NA74" s="74"/>
      <c r="NB74" s="74"/>
      <c r="NC74" s="74"/>
      <c r="ND74" s="74"/>
      <c r="NE74" s="74"/>
      <c r="NF74" s="74"/>
      <c r="NG74" s="74"/>
      <c r="NH74" s="74"/>
      <c r="NI74" s="74"/>
      <c r="NJ74" s="74"/>
      <c r="NK74" s="74"/>
      <c r="NL74" s="74"/>
      <c r="NM74" s="74"/>
      <c r="NN74" s="74"/>
      <c r="NO74" s="74"/>
      <c r="NP74" s="74"/>
      <c r="NQ74" s="74"/>
      <c r="NR74" s="74"/>
      <c r="NS74" s="74"/>
      <c r="NT74" s="74"/>
      <c r="NU74" s="74"/>
      <c r="NV74" s="74"/>
      <c r="NW74" s="74"/>
      <c r="NX74" s="74"/>
      <c r="NY74" s="74"/>
      <c r="NZ74" s="74"/>
      <c r="OA74" s="74"/>
      <c r="OB74" s="74"/>
      <c r="OC74" s="74"/>
      <c r="OD74" s="74"/>
      <c r="OE74" s="74"/>
      <c r="OF74" s="74"/>
      <c r="OG74" s="74"/>
      <c r="OH74" s="74"/>
      <c r="OI74" s="74"/>
      <c r="OJ74" s="74"/>
      <c r="OK74" s="74"/>
      <c r="OL74" s="74"/>
      <c r="OM74" s="74"/>
      <c r="ON74" s="74"/>
      <c r="OO74" s="74"/>
      <c r="OP74" s="74"/>
      <c r="OQ74" s="74"/>
      <c r="OR74" s="74"/>
      <c r="OS74" s="74"/>
      <c r="OT74" s="74"/>
      <c r="OU74" s="74"/>
      <c r="OV74" s="74"/>
      <c r="OW74" s="74"/>
      <c r="OX74" s="74"/>
      <c r="OY74" s="74"/>
      <c r="OZ74" s="74"/>
      <c r="PA74" s="74"/>
      <c r="PB74" s="74"/>
      <c r="PC74" s="74"/>
      <c r="PD74" s="74"/>
      <c r="PE74" s="74"/>
      <c r="PF74" s="74"/>
      <c r="PG74" s="74"/>
      <c r="PH74" s="74"/>
      <c r="PI74" s="74"/>
      <c r="PJ74" s="74"/>
      <c r="PK74" s="74"/>
      <c r="PL74" s="74"/>
      <c r="PM74" s="74"/>
      <c r="PN74" s="74"/>
      <c r="PO74" s="74"/>
      <c r="PP74" s="74"/>
      <c r="PQ74" s="74"/>
      <c r="PR74" s="74"/>
      <c r="PS74" s="74"/>
      <c r="PT74" s="74"/>
      <c r="PU74" s="74"/>
      <c r="PV74" s="74"/>
      <c r="PW74" s="74"/>
      <c r="PX74" s="74"/>
      <c r="PY74" s="74"/>
      <c r="PZ74" s="74"/>
      <c r="QA74" s="74"/>
      <c r="QB74" s="74"/>
      <c r="QC74" s="74"/>
      <c r="QD74" s="74"/>
      <c r="QE74" s="74"/>
      <c r="QF74" s="74"/>
      <c r="QG74" s="74"/>
      <c r="QH74" s="74"/>
      <c r="QI74" s="74"/>
      <c r="QJ74" s="74"/>
      <c r="QK74" s="74"/>
      <c r="QL74" s="74"/>
      <c r="QM74" s="74"/>
      <c r="QN74" s="74"/>
      <c r="QO74" s="74"/>
      <c r="QP74" s="74"/>
      <c r="QQ74" s="74"/>
      <c r="QR74" s="74"/>
      <c r="QS74" s="74"/>
      <c r="QT74" s="74"/>
      <c r="QU74" s="74"/>
      <c r="QV74" s="74"/>
      <c r="QW74" s="74"/>
      <c r="QX74" s="74"/>
      <c r="QY74" s="74"/>
      <c r="QZ74" s="74"/>
      <c r="RA74" s="74"/>
      <c r="RB74" s="74"/>
      <c r="RC74" s="74"/>
      <c r="RD74" s="74"/>
      <c r="RE74" s="74"/>
      <c r="RF74" s="74"/>
      <c r="RG74" s="74"/>
      <c r="RH74" s="74"/>
      <c r="RI74" s="74"/>
      <c r="RJ74" s="74"/>
      <c r="RK74" s="74"/>
      <c r="RL74" s="74"/>
      <c r="RM74" s="74"/>
      <c r="RN74" s="74"/>
      <c r="RO74" s="74"/>
      <c r="RP74" s="74"/>
      <c r="RQ74" s="74"/>
      <c r="RR74" s="74"/>
      <c r="RS74" s="74"/>
      <c r="RT74" s="74"/>
      <c r="RU74" s="74"/>
      <c r="RV74" s="74"/>
      <c r="RW74" s="74"/>
      <c r="RX74" s="74"/>
      <c r="RY74" s="74"/>
      <c r="RZ74" s="74"/>
      <c r="SA74" s="74"/>
      <c r="SB74" s="74"/>
      <c r="SC74" s="74"/>
      <c r="SD74" s="74"/>
      <c r="SE74" s="74"/>
      <c r="SF74" s="74"/>
      <c r="SG74" s="74"/>
      <c r="SH74" s="74"/>
      <c r="SI74" s="74"/>
      <c r="SJ74" s="74"/>
      <c r="SK74" s="74"/>
      <c r="SL74" s="74"/>
      <c r="SM74" s="74"/>
      <c r="SN74" s="74"/>
      <c r="SO74" s="74"/>
      <c r="SP74" s="74"/>
      <c r="SQ74" s="74"/>
      <c r="SR74" s="74"/>
      <c r="SS74" s="74"/>
      <c r="ST74" s="74"/>
      <c r="SU74" s="74"/>
      <c r="SV74" s="74"/>
      <c r="SW74" s="74"/>
      <c r="SX74" s="74"/>
      <c r="SY74" s="74"/>
      <c r="SZ74" s="74"/>
      <c r="TA74" s="74"/>
      <c r="TB74" s="74"/>
      <c r="TC74" s="74"/>
      <c r="TD74" s="74"/>
      <c r="TE74" s="74"/>
      <c r="TF74" s="74"/>
      <c r="TG74" s="74"/>
      <c r="TH74" s="74"/>
      <c r="TI74" s="74"/>
      <c r="TJ74" s="74"/>
      <c r="TK74" s="74"/>
      <c r="TL74" s="74"/>
      <c r="TM74" s="74"/>
      <c r="TN74" s="74"/>
      <c r="TO74" s="74"/>
      <c r="TP74" s="74"/>
      <c r="TQ74" s="74"/>
      <c r="TR74" s="74"/>
      <c r="TS74" s="74"/>
      <c r="TT74" s="74"/>
      <c r="TU74" s="74"/>
      <c r="TV74" s="74"/>
      <c r="TW74" s="74"/>
      <c r="TX74" s="74"/>
      <c r="TY74" s="74"/>
      <c r="TZ74" s="74"/>
      <c r="UA74" s="74"/>
      <c r="UB74" s="74"/>
      <c r="UC74" s="74"/>
      <c r="UD74" s="74"/>
      <c r="UE74" s="74"/>
    </row>
    <row r="75" spans="1:551" x14ac:dyDescent="0.25">
      <c r="AQ75" s="74"/>
    </row>
    <row r="76" spans="1:551" x14ac:dyDescent="0.25">
      <c r="AQ76" s="74"/>
    </row>
    <row r="77" spans="1:551" x14ac:dyDescent="0.25">
      <c r="AQ77" s="74"/>
    </row>
    <row r="78" spans="1:551" s="101" customFormat="1" x14ac:dyDescent="0.25">
      <c r="A78" s="220"/>
      <c r="B78" s="74"/>
      <c r="C78" s="74"/>
      <c r="D78" s="74"/>
      <c r="E78" s="74"/>
      <c r="F78" s="74"/>
      <c r="G78" s="74"/>
      <c r="H78" s="74"/>
      <c r="I78" s="74"/>
      <c r="J78" s="74"/>
      <c r="K78" s="74"/>
      <c r="L78" s="74"/>
      <c r="M78" s="74"/>
      <c r="N78" s="74"/>
      <c r="O78" s="74"/>
      <c r="P78" s="74"/>
      <c r="Q78" s="74"/>
      <c r="R78" s="74"/>
      <c r="S78" s="74"/>
      <c r="T78" s="74"/>
      <c r="U78" s="74"/>
      <c r="V78" s="74"/>
      <c r="W78" s="74"/>
      <c r="X78" s="74"/>
      <c r="Y78" s="74"/>
      <c r="Z78" s="74"/>
      <c r="AA78" s="74"/>
      <c r="AB78" s="74"/>
      <c r="AC78" s="74"/>
      <c r="AD78" s="74"/>
      <c r="AE78" s="74"/>
      <c r="AF78" s="74"/>
      <c r="AG78" s="74"/>
      <c r="AH78" s="74"/>
      <c r="AI78" s="74"/>
      <c r="AJ78" s="74"/>
      <c r="AK78" s="74"/>
      <c r="AL78" s="74"/>
      <c r="AM78" s="74"/>
      <c r="AN78" s="74"/>
      <c r="AO78" s="74"/>
      <c r="AP78" s="74"/>
      <c r="AQ78" s="74"/>
      <c r="AR78" s="74"/>
      <c r="AS78" s="74"/>
      <c r="AT78" s="74"/>
      <c r="AU78" s="74"/>
      <c r="AV78" s="74"/>
      <c r="AW78" s="74"/>
      <c r="AX78" s="74"/>
      <c r="AY78" s="74"/>
      <c r="AZ78" s="74"/>
      <c r="BA78" s="74"/>
      <c r="BB78" s="74"/>
      <c r="BC78" s="74"/>
      <c r="BD78" s="74"/>
      <c r="BE78" s="74"/>
      <c r="BF78" s="74"/>
      <c r="BG78" s="74"/>
      <c r="BH78" s="74"/>
      <c r="BI78" s="74"/>
      <c r="BJ78" s="74"/>
      <c r="BK78" s="74"/>
      <c r="BL78" s="74"/>
      <c r="BM78" s="74"/>
      <c r="BN78" s="74"/>
      <c r="BO78" s="74"/>
      <c r="BP78" s="74"/>
      <c r="BQ78" s="74"/>
      <c r="BR78" s="74"/>
      <c r="BS78" s="74"/>
      <c r="BT78" s="74"/>
      <c r="BU78" s="74"/>
      <c r="BV78" s="74"/>
      <c r="BW78" s="74"/>
      <c r="BX78" s="74"/>
      <c r="BY78" s="74"/>
      <c r="BZ78" s="74"/>
      <c r="CA78" s="74"/>
      <c r="CB78" s="74"/>
      <c r="CC78" s="74"/>
      <c r="CD78" s="74"/>
      <c r="CE78" s="74"/>
      <c r="CF78" s="74"/>
      <c r="CG78" s="74"/>
      <c r="CH78" s="74"/>
      <c r="CI78" s="74"/>
      <c r="CJ78" s="74"/>
      <c r="CK78" s="74"/>
      <c r="CL78" s="74"/>
      <c r="CM78" s="74"/>
      <c r="CN78" s="74"/>
      <c r="CO78" s="74"/>
      <c r="CP78" s="74"/>
      <c r="CQ78" s="74"/>
      <c r="CR78" s="74"/>
      <c r="CS78" s="74"/>
      <c r="CT78" s="74"/>
      <c r="CU78" s="74"/>
      <c r="CV78" s="74"/>
      <c r="CW78" s="74"/>
      <c r="CX78" s="74"/>
      <c r="CY78" s="74"/>
      <c r="CZ78" s="74"/>
      <c r="DA78" s="74"/>
      <c r="DB78" s="74"/>
      <c r="DC78" s="74"/>
      <c r="DD78" s="74"/>
      <c r="DE78" s="74"/>
      <c r="DF78" s="74"/>
      <c r="DG78" s="74"/>
      <c r="DH78" s="74"/>
      <c r="DI78" s="74"/>
      <c r="DJ78" s="74"/>
      <c r="DK78" s="74"/>
      <c r="DL78" s="74"/>
      <c r="DM78" s="74"/>
      <c r="DN78" s="74"/>
      <c r="DO78" s="74"/>
      <c r="DP78" s="74"/>
      <c r="DQ78" s="74"/>
      <c r="DR78" s="74"/>
      <c r="DS78" s="74"/>
      <c r="DT78" s="74"/>
      <c r="DU78" s="74"/>
      <c r="DV78" s="74"/>
      <c r="DW78" s="74"/>
      <c r="DX78" s="74"/>
      <c r="DY78" s="74"/>
      <c r="DZ78" s="74"/>
      <c r="EA78" s="74"/>
      <c r="EB78" s="74"/>
      <c r="EC78" s="74"/>
      <c r="ED78" s="74"/>
      <c r="EE78" s="74"/>
      <c r="EF78" s="74"/>
      <c r="EG78" s="74"/>
      <c r="EH78" s="74"/>
      <c r="EI78" s="74"/>
      <c r="EJ78" s="74"/>
      <c r="EK78" s="74"/>
      <c r="EL78" s="74"/>
      <c r="EM78" s="74"/>
      <c r="EN78" s="74"/>
      <c r="EO78" s="74"/>
      <c r="EP78" s="74"/>
      <c r="EQ78" s="74"/>
      <c r="ER78" s="74"/>
      <c r="ES78" s="74"/>
      <c r="ET78" s="74"/>
      <c r="EU78" s="74"/>
      <c r="EV78" s="74"/>
      <c r="EW78" s="74"/>
      <c r="EX78" s="74"/>
      <c r="EY78" s="74"/>
      <c r="EZ78" s="74"/>
      <c r="FA78" s="74"/>
      <c r="FB78" s="74"/>
      <c r="FC78" s="74"/>
      <c r="FD78" s="74"/>
      <c r="FE78" s="74"/>
      <c r="FF78" s="74"/>
      <c r="FG78" s="74"/>
      <c r="FH78" s="74"/>
      <c r="FI78" s="74"/>
      <c r="FJ78" s="74"/>
      <c r="FK78" s="74"/>
      <c r="FL78" s="74"/>
      <c r="FM78" s="74"/>
      <c r="FN78" s="74"/>
      <c r="FO78" s="74"/>
      <c r="FP78" s="74"/>
      <c r="FQ78" s="74"/>
      <c r="FR78" s="74"/>
      <c r="FS78" s="74"/>
      <c r="FT78" s="74"/>
      <c r="FU78" s="74"/>
      <c r="FV78" s="74"/>
      <c r="FW78" s="74"/>
      <c r="FX78" s="74"/>
      <c r="FY78" s="74"/>
      <c r="FZ78" s="74"/>
      <c r="GA78" s="74"/>
      <c r="GB78" s="74"/>
      <c r="GC78" s="74"/>
      <c r="GD78" s="74"/>
      <c r="GE78" s="74"/>
      <c r="GF78" s="74"/>
      <c r="GG78" s="74"/>
      <c r="GH78" s="74"/>
      <c r="GI78" s="74"/>
      <c r="GJ78" s="74"/>
      <c r="GK78" s="74"/>
      <c r="GL78" s="74"/>
      <c r="GM78" s="74"/>
      <c r="GN78" s="74"/>
      <c r="GO78" s="74"/>
      <c r="GP78" s="74"/>
      <c r="GQ78" s="74"/>
      <c r="GR78" s="74"/>
      <c r="GS78" s="74"/>
      <c r="GT78" s="74"/>
      <c r="GU78" s="74"/>
      <c r="GV78" s="74"/>
      <c r="GW78" s="74"/>
      <c r="GX78" s="74"/>
      <c r="GY78" s="74"/>
      <c r="GZ78" s="74"/>
      <c r="HA78" s="74"/>
      <c r="HB78" s="74"/>
      <c r="HC78" s="74"/>
      <c r="HD78" s="74"/>
      <c r="HE78" s="74"/>
      <c r="HF78" s="74"/>
      <c r="HG78" s="74"/>
      <c r="HH78" s="74"/>
      <c r="HI78" s="74"/>
      <c r="HJ78" s="74"/>
      <c r="HK78" s="74"/>
      <c r="HL78" s="74"/>
      <c r="HM78" s="74"/>
      <c r="HN78" s="74"/>
      <c r="HO78" s="74"/>
      <c r="HP78" s="74"/>
      <c r="HQ78" s="74"/>
      <c r="HR78" s="74"/>
      <c r="HS78" s="74"/>
      <c r="HT78" s="74"/>
      <c r="HU78" s="74"/>
      <c r="HV78" s="74"/>
      <c r="HW78" s="74"/>
      <c r="HX78" s="74"/>
      <c r="HY78" s="74"/>
      <c r="HZ78" s="74"/>
      <c r="IA78" s="74"/>
      <c r="IB78" s="74"/>
      <c r="IC78" s="74"/>
      <c r="ID78" s="74"/>
      <c r="IE78" s="74"/>
      <c r="IF78" s="74"/>
      <c r="IG78" s="74"/>
      <c r="IH78" s="74"/>
      <c r="II78" s="74"/>
      <c r="IJ78" s="74"/>
      <c r="IK78" s="74"/>
      <c r="IL78" s="74"/>
      <c r="IM78" s="74"/>
      <c r="IN78" s="74"/>
      <c r="IO78" s="74"/>
      <c r="IP78" s="74"/>
      <c r="IQ78" s="74"/>
      <c r="IR78" s="74"/>
      <c r="IS78" s="74"/>
      <c r="IT78" s="74"/>
      <c r="IU78" s="74"/>
      <c r="IV78" s="74"/>
      <c r="IW78" s="74"/>
      <c r="IX78" s="74"/>
      <c r="IY78" s="74"/>
      <c r="IZ78" s="74"/>
      <c r="JA78" s="74"/>
      <c r="JB78" s="74"/>
      <c r="JC78" s="74"/>
      <c r="JD78" s="74"/>
      <c r="JE78" s="74"/>
      <c r="JF78" s="74"/>
      <c r="JG78" s="74"/>
      <c r="JH78" s="74"/>
      <c r="JI78" s="74"/>
      <c r="JJ78" s="74"/>
      <c r="JK78" s="74"/>
      <c r="JL78" s="74"/>
      <c r="JM78" s="74"/>
      <c r="JN78" s="74"/>
      <c r="JO78" s="74"/>
      <c r="JP78" s="74"/>
      <c r="JQ78" s="74"/>
      <c r="JR78" s="74"/>
      <c r="JS78" s="74"/>
      <c r="JT78" s="74"/>
      <c r="JU78" s="74"/>
      <c r="JV78" s="74"/>
      <c r="JW78" s="74"/>
      <c r="JX78" s="74"/>
      <c r="JY78" s="74"/>
      <c r="JZ78" s="74"/>
      <c r="KA78" s="74"/>
      <c r="KB78" s="74"/>
      <c r="KC78" s="74"/>
      <c r="KD78" s="74"/>
      <c r="KE78" s="74"/>
      <c r="KF78" s="74"/>
      <c r="KG78" s="74"/>
      <c r="KH78" s="74"/>
      <c r="KI78" s="74"/>
      <c r="KJ78" s="74"/>
      <c r="KK78" s="74"/>
      <c r="KL78" s="74"/>
      <c r="KM78" s="74"/>
      <c r="KN78" s="74"/>
      <c r="KO78" s="74"/>
      <c r="KP78" s="74"/>
      <c r="KQ78" s="74"/>
      <c r="KR78" s="74"/>
      <c r="KS78" s="74"/>
      <c r="KT78" s="74"/>
      <c r="KU78" s="74"/>
      <c r="KV78" s="74"/>
      <c r="KW78" s="74"/>
      <c r="KX78" s="74"/>
      <c r="KY78" s="74"/>
      <c r="KZ78" s="74"/>
      <c r="LA78" s="74"/>
      <c r="LB78" s="74"/>
      <c r="LC78" s="74"/>
      <c r="LD78" s="74"/>
      <c r="LE78" s="74"/>
      <c r="LF78" s="74"/>
      <c r="LG78" s="74"/>
      <c r="LH78" s="74"/>
      <c r="LI78" s="74"/>
      <c r="LJ78" s="74"/>
      <c r="LK78" s="74"/>
      <c r="LL78" s="74"/>
      <c r="LM78" s="74"/>
      <c r="LN78" s="74"/>
      <c r="LO78" s="74"/>
      <c r="LP78" s="74"/>
      <c r="LQ78" s="74"/>
      <c r="LR78" s="74"/>
      <c r="LS78" s="74"/>
      <c r="LT78" s="74"/>
      <c r="LU78" s="74"/>
      <c r="LV78" s="74"/>
      <c r="LW78" s="74"/>
      <c r="LX78" s="74"/>
      <c r="LY78" s="74"/>
      <c r="LZ78" s="74"/>
      <c r="MA78" s="74"/>
      <c r="MB78" s="74"/>
      <c r="MC78" s="74"/>
      <c r="MD78" s="74"/>
      <c r="ME78" s="74"/>
      <c r="MF78" s="74"/>
      <c r="MG78" s="74"/>
      <c r="MH78" s="74"/>
      <c r="MI78" s="74"/>
      <c r="MJ78" s="74"/>
      <c r="MK78" s="74"/>
      <c r="ML78" s="74"/>
      <c r="MM78" s="74"/>
      <c r="MN78" s="74"/>
      <c r="MO78" s="74"/>
      <c r="MP78" s="74"/>
      <c r="MQ78" s="74"/>
      <c r="MR78" s="74"/>
      <c r="MS78" s="74"/>
      <c r="MT78" s="74"/>
      <c r="MU78" s="74"/>
      <c r="MV78" s="74"/>
      <c r="MW78" s="74"/>
      <c r="MX78" s="74"/>
      <c r="MY78" s="74"/>
      <c r="MZ78" s="74"/>
      <c r="NA78" s="74"/>
      <c r="NB78" s="74"/>
      <c r="NC78" s="74"/>
      <c r="ND78" s="74"/>
      <c r="NE78" s="74"/>
      <c r="NF78" s="74"/>
      <c r="NG78" s="74"/>
      <c r="NH78" s="74"/>
      <c r="NI78" s="74"/>
      <c r="NJ78" s="74"/>
      <c r="NK78" s="74"/>
      <c r="NL78" s="74"/>
      <c r="NM78" s="74"/>
      <c r="NN78" s="74"/>
      <c r="NO78" s="74"/>
      <c r="NP78" s="74"/>
      <c r="NQ78" s="74"/>
      <c r="NR78" s="74"/>
      <c r="NS78" s="74"/>
      <c r="NT78" s="74"/>
      <c r="NU78" s="74"/>
      <c r="NV78" s="74"/>
      <c r="NW78" s="74"/>
      <c r="NX78" s="74"/>
      <c r="NY78" s="74"/>
      <c r="NZ78" s="74"/>
      <c r="OA78" s="74"/>
      <c r="OB78" s="74"/>
      <c r="OC78" s="74"/>
      <c r="OD78" s="74"/>
      <c r="OE78" s="74"/>
      <c r="OF78" s="74"/>
      <c r="OG78" s="74"/>
      <c r="OH78" s="74"/>
      <c r="OI78" s="74"/>
      <c r="OJ78" s="74"/>
      <c r="OK78" s="74"/>
      <c r="OL78" s="74"/>
      <c r="OM78" s="74"/>
      <c r="ON78" s="74"/>
      <c r="OO78" s="74"/>
      <c r="OP78" s="74"/>
      <c r="OQ78" s="74"/>
      <c r="OR78" s="74"/>
      <c r="OS78" s="74"/>
      <c r="OT78" s="74"/>
      <c r="OU78" s="74"/>
      <c r="OV78" s="74"/>
      <c r="OW78" s="74"/>
      <c r="OX78" s="74"/>
      <c r="OY78" s="74"/>
      <c r="OZ78" s="74"/>
      <c r="PA78" s="74"/>
      <c r="PB78" s="74"/>
      <c r="PC78" s="74"/>
      <c r="PD78" s="74"/>
      <c r="PE78" s="74"/>
      <c r="PF78" s="74"/>
      <c r="PG78" s="74"/>
      <c r="PH78" s="74"/>
      <c r="PI78" s="74"/>
      <c r="PJ78" s="74"/>
      <c r="PK78" s="74"/>
      <c r="PL78" s="74"/>
      <c r="PM78" s="74"/>
      <c r="PN78" s="74"/>
      <c r="PO78" s="74"/>
      <c r="PP78" s="74"/>
      <c r="PQ78" s="74"/>
      <c r="PR78" s="74"/>
      <c r="PS78" s="74"/>
      <c r="PT78" s="74"/>
      <c r="PU78" s="74"/>
      <c r="PV78" s="74"/>
      <c r="PW78" s="74"/>
      <c r="PX78" s="74"/>
      <c r="PY78" s="74"/>
      <c r="PZ78" s="74"/>
      <c r="QA78" s="74"/>
      <c r="QB78" s="74"/>
      <c r="QC78" s="74"/>
      <c r="QD78" s="74"/>
      <c r="QE78" s="74"/>
      <c r="QF78" s="74"/>
      <c r="QG78" s="74"/>
      <c r="QH78" s="74"/>
      <c r="QI78" s="74"/>
      <c r="QJ78" s="74"/>
      <c r="QK78" s="74"/>
      <c r="QL78" s="74"/>
      <c r="QM78" s="74"/>
      <c r="QN78" s="74"/>
      <c r="QO78" s="74"/>
      <c r="QP78" s="74"/>
      <c r="QQ78" s="74"/>
      <c r="QR78" s="74"/>
      <c r="QS78" s="74"/>
      <c r="QT78" s="74"/>
      <c r="QU78" s="74"/>
      <c r="QV78" s="74"/>
      <c r="QW78" s="74"/>
      <c r="QX78" s="74"/>
      <c r="QY78" s="74"/>
      <c r="QZ78" s="74"/>
      <c r="RA78" s="74"/>
      <c r="RB78" s="74"/>
      <c r="RC78" s="74"/>
      <c r="RD78" s="74"/>
      <c r="RE78" s="74"/>
      <c r="RF78" s="74"/>
      <c r="RG78" s="74"/>
      <c r="RH78" s="74"/>
      <c r="RI78" s="74"/>
      <c r="RJ78" s="74"/>
      <c r="RK78" s="74"/>
      <c r="RL78" s="74"/>
      <c r="RM78" s="74"/>
      <c r="RN78" s="74"/>
      <c r="RO78" s="74"/>
      <c r="RP78" s="74"/>
      <c r="RQ78" s="74"/>
      <c r="RR78" s="74"/>
      <c r="RS78" s="74"/>
      <c r="RT78" s="74"/>
      <c r="RU78" s="74"/>
      <c r="RV78" s="74"/>
      <c r="RW78" s="74"/>
      <c r="RX78" s="74"/>
      <c r="RY78" s="74"/>
      <c r="RZ78" s="74"/>
      <c r="SA78" s="74"/>
      <c r="SB78" s="74"/>
      <c r="SC78" s="74"/>
      <c r="SD78" s="74"/>
      <c r="SE78" s="74"/>
      <c r="SF78" s="74"/>
      <c r="SG78" s="74"/>
      <c r="SH78" s="74"/>
      <c r="SI78" s="74"/>
      <c r="SJ78" s="74"/>
      <c r="SK78" s="74"/>
      <c r="SL78" s="74"/>
      <c r="SM78" s="74"/>
      <c r="SN78" s="74"/>
      <c r="SO78" s="74"/>
      <c r="SP78" s="74"/>
      <c r="SQ78" s="74"/>
      <c r="SR78" s="74"/>
      <c r="SS78" s="74"/>
      <c r="ST78" s="74"/>
      <c r="SU78" s="74"/>
      <c r="SV78" s="74"/>
      <c r="SW78" s="74"/>
      <c r="SX78" s="74"/>
      <c r="SY78" s="74"/>
      <c r="SZ78" s="74"/>
      <c r="TA78" s="74"/>
      <c r="TB78" s="74"/>
      <c r="TC78" s="74"/>
      <c r="TD78" s="74"/>
      <c r="TE78" s="74"/>
      <c r="TF78" s="74"/>
      <c r="TG78" s="74"/>
      <c r="TH78" s="74"/>
      <c r="TI78" s="74"/>
      <c r="TJ78" s="74"/>
      <c r="TK78" s="74"/>
      <c r="TL78" s="74"/>
      <c r="TM78" s="74"/>
      <c r="TN78" s="74"/>
      <c r="TO78" s="74"/>
      <c r="TP78" s="74"/>
      <c r="TQ78" s="74"/>
      <c r="TR78" s="74"/>
      <c r="TS78" s="74"/>
      <c r="TT78" s="74"/>
      <c r="TU78" s="74"/>
      <c r="TV78" s="74"/>
      <c r="TW78" s="74"/>
      <c r="TX78" s="74"/>
      <c r="TY78" s="74"/>
      <c r="TZ78" s="74"/>
      <c r="UA78" s="74"/>
      <c r="UB78" s="74"/>
      <c r="UC78" s="74"/>
      <c r="UD78" s="74"/>
      <c r="UE78" s="74"/>
    </row>
    <row r="79" spans="1:551" s="101" customFormat="1" x14ac:dyDescent="0.25">
      <c r="A79" s="220"/>
      <c r="B79" s="74"/>
      <c r="C79" s="74"/>
      <c r="D79" s="74"/>
      <c r="E79" s="74"/>
      <c r="F79" s="74"/>
      <c r="G79" s="74"/>
      <c r="H79" s="74"/>
      <c r="I79" s="74"/>
      <c r="J79" s="74"/>
      <c r="K79" s="74"/>
      <c r="L79" s="74"/>
      <c r="M79" s="74"/>
      <c r="N79" s="74"/>
      <c r="O79" s="74"/>
      <c r="P79" s="74"/>
      <c r="Q79" s="74"/>
      <c r="R79" s="74"/>
      <c r="S79" s="74"/>
      <c r="T79" s="74"/>
      <c r="U79" s="74"/>
      <c r="V79" s="74"/>
      <c r="W79" s="74"/>
      <c r="X79" s="74"/>
      <c r="Y79" s="74"/>
      <c r="Z79" s="74"/>
      <c r="AA79" s="74"/>
      <c r="AB79" s="74"/>
      <c r="AC79" s="74"/>
      <c r="AD79" s="74"/>
      <c r="AE79" s="74"/>
      <c r="AF79" s="74"/>
      <c r="AG79" s="74"/>
      <c r="AH79" s="74"/>
      <c r="AI79" s="74"/>
      <c r="AJ79" s="74"/>
      <c r="AK79" s="74"/>
      <c r="AL79" s="74"/>
      <c r="AM79" s="74"/>
      <c r="AN79" s="74"/>
      <c r="AO79" s="74"/>
      <c r="AP79" s="74"/>
      <c r="AQ79" s="74"/>
      <c r="AR79" s="74"/>
      <c r="AS79" s="74"/>
      <c r="AT79" s="74"/>
      <c r="AU79" s="74"/>
      <c r="AV79" s="74"/>
      <c r="AW79" s="74"/>
      <c r="AX79" s="74"/>
      <c r="AY79" s="74"/>
      <c r="AZ79" s="74"/>
      <c r="BA79" s="74"/>
      <c r="BB79" s="74"/>
      <c r="BC79" s="74"/>
      <c r="BD79" s="74"/>
      <c r="BE79" s="74"/>
      <c r="BF79" s="74"/>
      <c r="BG79" s="74"/>
      <c r="BH79" s="74"/>
      <c r="BI79" s="74"/>
      <c r="BJ79" s="74"/>
      <c r="BK79" s="74"/>
      <c r="BL79" s="74"/>
      <c r="BM79" s="74"/>
      <c r="BN79" s="74"/>
      <c r="BO79" s="74"/>
      <c r="BP79" s="74"/>
      <c r="BQ79" s="74"/>
      <c r="BR79" s="74"/>
      <c r="BS79" s="74"/>
      <c r="BT79" s="74"/>
      <c r="BU79" s="74"/>
      <c r="BV79" s="74"/>
      <c r="BW79" s="74"/>
      <c r="BX79" s="74"/>
      <c r="BY79" s="74"/>
      <c r="BZ79" s="74"/>
      <c r="CA79" s="74"/>
      <c r="CB79" s="74"/>
      <c r="CC79" s="74"/>
      <c r="CD79" s="74"/>
      <c r="CE79" s="74"/>
      <c r="CF79" s="74"/>
      <c r="CG79" s="74"/>
      <c r="CH79" s="74"/>
      <c r="CI79" s="74"/>
      <c r="CJ79" s="74"/>
      <c r="CK79" s="74"/>
      <c r="CL79" s="74"/>
      <c r="CM79" s="74"/>
      <c r="CN79" s="74"/>
      <c r="CO79" s="74"/>
      <c r="CP79" s="74"/>
      <c r="CQ79" s="74"/>
      <c r="CR79" s="74"/>
      <c r="CS79" s="74"/>
      <c r="CT79" s="74"/>
      <c r="CU79" s="74"/>
      <c r="CV79" s="74"/>
      <c r="CW79" s="74"/>
      <c r="CX79" s="74"/>
      <c r="CY79" s="74"/>
      <c r="CZ79" s="74"/>
      <c r="DA79" s="74"/>
      <c r="DB79" s="74"/>
      <c r="DC79" s="74"/>
      <c r="DD79" s="74"/>
      <c r="DE79" s="74"/>
      <c r="DF79" s="74"/>
      <c r="DG79" s="74"/>
      <c r="DH79" s="74"/>
      <c r="DI79" s="74"/>
      <c r="DJ79" s="74"/>
      <c r="DK79" s="74"/>
      <c r="DL79" s="74"/>
      <c r="DM79" s="74"/>
      <c r="DN79" s="74"/>
      <c r="DO79" s="74"/>
      <c r="DP79" s="74"/>
      <c r="DQ79" s="74"/>
      <c r="DR79" s="74"/>
      <c r="DS79" s="74"/>
      <c r="DT79" s="74"/>
      <c r="DU79" s="74"/>
      <c r="DV79" s="74"/>
      <c r="DW79" s="74"/>
      <c r="DX79" s="74"/>
      <c r="DY79" s="74"/>
      <c r="DZ79" s="74"/>
      <c r="EA79" s="74"/>
      <c r="EB79" s="74"/>
      <c r="EC79" s="74"/>
      <c r="ED79" s="74"/>
      <c r="EE79" s="74"/>
      <c r="EF79" s="74"/>
      <c r="EG79" s="74"/>
      <c r="EH79" s="74"/>
      <c r="EI79" s="74"/>
      <c r="EJ79" s="74"/>
      <c r="EK79" s="74"/>
      <c r="EL79" s="74"/>
      <c r="EM79" s="74"/>
      <c r="EN79" s="74"/>
      <c r="EO79" s="74"/>
      <c r="EP79" s="74"/>
      <c r="EQ79" s="74"/>
      <c r="ER79" s="74"/>
      <c r="ES79" s="74"/>
      <c r="ET79" s="74"/>
      <c r="EU79" s="74"/>
      <c r="EV79" s="74"/>
      <c r="EW79" s="74"/>
      <c r="EX79" s="74"/>
      <c r="EY79" s="74"/>
      <c r="EZ79" s="74"/>
      <c r="FA79" s="74"/>
      <c r="FB79" s="74"/>
      <c r="FC79" s="74"/>
      <c r="FD79" s="74"/>
      <c r="FE79" s="74"/>
      <c r="FF79" s="74"/>
      <c r="FG79" s="74"/>
      <c r="FH79" s="74"/>
      <c r="FI79" s="74"/>
      <c r="FJ79" s="74"/>
      <c r="FK79" s="74"/>
      <c r="FL79" s="74"/>
      <c r="FM79" s="74"/>
      <c r="FN79" s="74"/>
      <c r="FO79" s="74"/>
      <c r="FP79" s="74"/>
      <c r="FQ79" s="74"/>
      <c r="FR79" s="74"/>
      <c r="FS79" s="74"/>
      <c r="FT79" s="74"/>
      <c r="FU79" s="74"/>
      <c r="FV79" s="74"/>
      <c r="FW79" s="74"/>
      <c r="FX79" s="74"/>
      <c r="FY79" s="74"/>
      <c r="FZ79" s="74"/>
      <c r="GA79" s="74"/>
      <c r="GB79" s="74"/>
      <c r="GC79" s="74"/>
      <c r="GD79" s="74"/>
      <c r="GE79" s="74"/>
      <c r="GF79" s="74"/>
      <c r="GG79" s="74"/>
      <c r="GH79" s="74"/>
      <c r="GI79" s="74"/>
      <c r="GJ79" s="74"/>
      <c r="GK79" s="74"/>
      <c r="GL79" s="74"/>
      <c r="GM79" s="74"/>
      <c r="GN79" s="74"/>
      <c r="GO79" s="74"/>
      <c r="GP79" s="74"/>
      <c r="GQ79" s="74"/>
      <c r="GR79" s="74"/>
      <c r="GS79" s="74"/>
      <c r="GT79" s="74"/>
      <c r="GU79" s="74"/>
      <c r="GV79" s="74"/>
      <c r="GW79" s="74"/>
      <c r="GX79" s="74"/>
      <c r="GY79" s="74"/>
      <c r="GZ79" s="74"/>
      <c r="HA79" s="74"/>
      <c r="HB79" s="74"/>
      <c r="HC79" s="74"/>
      <c r="HD79" s="74"/>
      <c r="HE79" s="74"/>
      <c r="HF79" s="74"/>
      <c r="HG79" s="74"/>
      <c r="HH79" s="74"/>
      <c r="HI79" s="74"/>
      <c r="HJ79" s="74"/>
      <c r="HK79" s="74"/>
      <c r="HL79" s="74"/>
      <c r="HM79" s="74"/>
      <c r="HN79" s="74"/>
      <c r="HO79" s="74"/>
      <c r="HP79" s="74"/>
      <c r="HQ79" s="74"/>
      <c r="HR79" s="74"/>
      <c r="HS79" s="74"/>
      <c r="HT79" s="74"/>
      <c r="HU79" s="74"/>
      <c r="HV79" s="74"/>
      <c r="HW79" s="74"/>
      <c r="HX79" s="74"/>
      <c r="HY79" s="74"/>
      <c r="HZ79" s="74"/>
      <c r="IA79" s="74"/>
      <c r="IB79" s="74"/>
      <c r="IC79" s="74"/>
      <c r="ID79" s="74"/>
      <c r="IE79" s="74"/>
      <c r="IF79" s="74"/>
      <c r="IG79" s="74"/>
      <c r="IH79" s="74"/>
      <c r="II79" s="74"/>
      <c r="IJ79" s="74"/>
      <c r="IK79" s="74"/>
      <c r="IL79" s="74"/>
      <c r="IM79" s="74"/>
      <c r="IN79" s="74"/>
      <c r="IO79" s="74"/>
      <c r="IP79" s="74"/>
      <c r="IQ79" s="74"/>
      <c r="IR79" s="74"/>
      <c r="IS79" s="74"/>
      <c r="IT79" s="74"/>
      <c r="IU79" s="74"/>
      <c r="IV79" s="74"/>
      <c r="IW79" s="74"/>
      <c r="IX79" s="74"/>
      <c r="IY79" s="74"/>
      <c r="IZ79" s="74"/>
      <c r="JA79" s="74"/>
      <c r="JB79" s="74"/>
      <c r="JC79" s="74"/>
      <c r="JD79" s="74"/>
      <c r="JE79" s="74"/>
      <c r="JF79" s="74"/>
      <c r="JG79" s="74"/>
      <c r="JH79" s="74"/>
      <c r="JI79" s="74"/>
      <c r="JJ79" s="74"/>
      <c r="JK79" s="74"/>
      <c r="JL79" s="74"/>
      <c r="JM79" s="74"/>
      <c r="JN79" s="74"/>
      <c r="JO79" s="74"/>
      <c r="JP79" s="74"/>
      <c r="JQ79" s="74"/>
      <c r="JR79" s="74"/>
      <c r="JS79" s="74"/>
      <c r="JT79" s="74"/>
      <c r="JU79" s="74"/>
      <c r="JV79" s="74"/>
      <c r="JW79" s="74"/>
      <c r="JX79" s="74"/>
      <c r="JY79" s="74"/>
      <c r="JZ79" s="74"/>
      <c r="KA79" s="74"/>
      <c r="KB79" s="74"/>
      <c r="KC79" s="74"/>
      <c r="KD79" s="74"/>
      <c r="KE79" s="74"/>
      <c r="KF79" s="74"/>
      <c r="KG79" s="74"/>
      <c r="KH79" s="74"/>
      <c r="KI79" s="74"/>
      <c r="KJ79" s="74"/>
      <c r="KK79" s="74"/>
      <c r="KL79" s="74"/>
      <c r="KM79" s="74"/>
      <c r="KN79" s="74"/>
      <c r="KO79" s="74"/>
      <c r="KP79" s="74"/>
      <c r="KQ79" s="74"/>
      <c r="KR79" s="74"/>
      <c r="KS79" s="74"/>
      <c r="KT79" s="74"/>
      <c r="KU79" s="74"/>
      <c r="KV79" s="74"/>
      <c r="KW79" s="74"/>
      <c r="KX79" s="74"/>
      <c r="KY79" s="74"/>
      <c r="KZ79" s="74"/>
      <c r="LA79" s="74"/>
      <c r="LB79" s="74"/>
      <c r="LC79" s="74"/>
      <c r="LD79" s="74"/>
      <c r="LE79" s="74"/>
      <c r="LF79" s="74"/>
      <c r="LG79" s="74"/>
      <c r="LH79" s="74"/>
      <c r="LI79" s="74"/>
      <c r="LJ79" s="74"/>
      <c r="LK79" s="74"/>
      <c r="LL79" s="74"/>
      <c r="LM79" s="74"/>
      <c r="LN79" s="74"/>
      <c r="LO79" s="74"/>
      <c r="LP79" s="74"/>
      <c r="LQ79" s="74"/>
      <c r="LR79" s="74"/>
      <c r="LS79" s="74"/>
      <c r="LT79" s="74"/>
      <c r="LU79" s="74"/>
      <c r="LV79" s="74"/>
      <c r="LW79" s="74"/>
      <c r="LX79" s="74"/>
      <c r="LY79" s="74"/>
      <c r="LZ79" s="74"/>
      <c r="MA79" s="74"/>
      <c r="MB79" s="74"/>
      <c r="MC79" s="74"/>
      <c r="MD79" s="74"/>
      <c r="ME79" s="74"/>
      <c r="MF79" s="74"/>
      <c r="MG79" s="74"/>
      <c r="MH79" s="74"/>
      <c r="MI79" s="74"/>
      <c r="MJ79" s="74"/>
      <c r="MK79" s="74"/>
      <c r="ML79" s="74"/>
      <c r="MM79" s="74"/>
      <c r="MN79" s="74"/>
      <c r="MO79" s="74"/>
      <c r="MP79" s="74"/>
      <c r="MQ79" s="74"/>
      <c r="MR79" s="74"/>
      <c r="MS79" s="74"/>
      <c r="MT79" s="74"/>
      <c r="MU79" s="74"/>
      <c r="MV79" s="74"/>
      <c r="MW79" s="74"/>
      <c r="MX79" s="74"/>
      <c r="MY79" s="74"/>
      <c r="MZ79" s="74"/>
      <c r="NA79" s="74"/>
      <c r="NB79" s="74"/>
      <c r="NC79" s="74"/>
      <c r="ND79" s="74"/>
      <c r="NE79" s="74"/>
      <c r="NF79" s="74"/>
      <c r="NG79" s="74"/>
      <c r="NH79" s="74"/>
      <c r="NI79" s="74"/>
      <c r="NJ79" s="74"/>
      <c r="NK79" s="74"/>
      <c r="NL79" s="74"/>
      <c r="NM79" s="74"/>
      <c r="NN79" s="74"/>
      <c r="NO79" s="74"/>
      <c r="NP79" s="74"/>
      <c r="NQ79" s="74"/>
      <c r="NR79" s="74"/>
      <c r="NS79" s="74"/>
      <c r="NT79" s="74"/>
      <c r="NU79" s="74"/>
      <c r="NV79" s="74"/>
      <c r="NW79" s="74"/>
      <c r="NX79" s="74"/>
      <c r="NY79" s="74"/>
      <c r="NZ79" s="74"/>
      <c r="OA79" s="74"/>
      <c r="OB79" s="74"/>
      <c r="OC79" s="74"/>
      <c r="OD79" s="74"/>
      <c r="OE79" s="74"/>
      <c r="OF79" s="74"/>
      <c r="OG79" s="74"/>
      <c r="OH79" s="74"/>
      <c r="OI79" s="74"/>
      <c r="OJ79" s="74"/>
      <c r="OK79" s="74"/>
      <c r="OL79" s="74"/>
      <c r="OM79" s="74"/>
      <c r="ON79" s="74"/>
      <c r="OO79" s="74"/>
      <c r="OP79" s="74"/>
      <c r="OQ79" s="74"/>
      <c r="OR79" s="74"/>
      <c r="OS79" s="74"/>
      <c r="OT79" s="74"/>
      <c r="OU79" s="74"/>
      <c r="OV79" s="74"/>
      <c r="OW79" s="74"/>
      <c r="OX79" s="74"/>
      <c r="OY79" s="74"/>
      <c r="OZ79" s="74"/>
      <c r="PA79" s="74"/>
      <c r="PB79" s="74"/>
      <c r="PC79" s="74"/>
      <c r="PD79" s="74"/>
      <c r="PE79" s="74"/>
      <c r="PF79" s="74"/>
      <c r="PG79" s="74"/>
      <c r="PH79" s="74"/>
      <c r="PI79" s="74"/>
      <c r="PJ79" s="74"/>
      <c r="PK79" s="74"/>
      <c r="PL79" s="74"/>
      <c r="PM79" s="74"/>
      <c r="PN79" s="74"/>
      <c r="PO79" s="74"/>
      <c r="PP79" s="74"/>
      <c r="PQ79" s="74"/>
      <c r="PR79" s="74"/>
      <c r="PS79" s="74"/>
      <c r="PT79" s="74"/>
      <c r="PU79" s="74"/>
      <c r="PV79" s="74"/>
      <c r="PW79" s="74"/>
      <c r="PX79" s="74"/>
      <c r="PY79" s="74"/>
      <c r="PZ79" s="74"/>
      <c r="QA79" s="74"/>
      <c r="QB79" s="74"/>
      <c r="QC79" s="74"/>
      <c r="QD79" s="74"/>
      <c r="QE79" s="74"/>
      <c r="QF79" s="74"/>
      <c r="QG79" s="74"/>
      <c r="QH79" s="74"/>
      <c r="QI79" s="74"/>
      <c r="QJ79" s="74"/>
      <c r="QK79" s="74"/>
      <c r="QL79" s="74"/>
      <c r="QM79" s="74"/>
      <c r="QN79" s="74"/>
      <c r="QO79" s="74"/>
      <c r="QP79" s="74"/>
      <c r="QQ79" s="74"/>
      <c r="QR79" s="74"/>
      <c r="QS79" s="74"/>
      <c r="QT79" s="74"/>
      <c r="QU79" s="74"/>
      <c r="QV79" s="74"/>
      <c r="QW79" s="74"/>
      <c r="QX79" s="74"/>
      <c r="QY79" s="74"/>
      <c r="QZ79" s="74"/>
      <c r="RA79" s="74"/>
      <c r="RB79" s="74"/>
      <c r="RC79" s="74"/>
      <c r="RD79" s="74"/>
      <c r="RE79" s="74"/>
      <c r="RF79" s="74"/>
      <c r="RG79" s="74"/>
      <c r="RH79" s="74"/>
      <c r="RI79" s="74"/>
      <c r="RJ79" s="74"/>
      <c r="RK79" s="74"/>
      <c r="RL79" s="74"/>
      <c r="RM79" s="74"/>
      <c r="RN79" s="74"/>
      <c r="RO79" s="74"/>
      <c r="RP79" s="74"/>
      <c r="RQ79" s="74"/>
      <c r="RR79" s="74"/>
      <c r="RS79" s="74"/>
      <c r="RT79" s="74"/>
      <c r="RU79" s="74"/>
      <c r="RV79" s="74"/>
      <c r="RW79" s="74"/>
      <c r="RX79" s="74"/>
      <c r="RY79" s="74"/>
      <c r="RZ79" s="74"/>
      <c r="SA79" s="74"/>
      <c r="SB79" s="74"/>
      <c r="SC79" s="74"/>
      <c r="SD79" s="74"/>
      <c r="SE79" s="74"/>
      <c r="SF79" s="74"/>
      <c r="SG79" s="74"/>
      <c r="SH79" s="74"/>
      <c r="SI79" s="74"/>
      <c r="SJ79" s="74"/>
      <c r="SK79" s="74"/>
      <c r="SL79" s="74"/>
      <c r="SM79" s="74"/>
      <c r="SN79" s="74"/>
      <c r="SO79" s="74"/>
      <c r="SP79" s="74"/>
      <c r="SQ79" s="74"/>
      <c r="SR79" s="74"/>
      <c r="SS79" s="74"/>
      <c r="ST79" s="74"/>
      <c r="SU79" s="74"/>
      <c r="SV79" s="74"/>
      <c r="SW79" s="74"/>
      <c r="SX79" s="74"/>
      <c r="SY79" s="74"/>
      <c r="SZ79" s="74"/>
      <c r="TA79" s="74"/>
      <c r="TB79" s="74"/>
      <c r="TC79" s="74"/>
      <c r="TD79" s="74"/>
      <c r="TE79" s="74"/>
      <c r="TF79" s="74"/>
      <c r="TG79" s="74"/>
      <c r="TH79" s="74"/>
      <c r="TI79" s="74"/>
      <c r="TJ79" s="74"/>
      <c r="TK79" s="74"/>
      <c r="TL79" s="74"/>
      <c r="TM79" s="74"/>
      <c r="TN79" s="74"/>
      <c r="TO79" s="74"/>
      <c r="TP79" s="74"/>
      <c r="TQ79" s="74"/>
      <c r="TR79" s="74"/>
      <c r="TS79" s="74"/>
      <c r="TT79" s="74"/>
      <c r="TU79" s="74"/>
      <c r="TV79" s="74"/>
      <c r="TW79" s="74"/>
      <c r="TX79" s="74"/>
      <c r="TY79" s="74"/>
      <c r="TZ79" s="74"/>
      <c r="UA79" s="74"/>
      <c r="UB79" s="74"/>
      <c r="UC79" s="74"/>
      <c r="UD79" s="74"/>
      <c r="UE79" s="74"/>
    </row>
    <row r="80" spans="1:551" s="101" customFormat="1" x14ac:dyDescent="0.25">
      <c r="A80" s="220"/>
      <c r="B80" s="74"/>
      <c r="C80" s="74"/>
      <c r="D80" s="74"/>
      <c r="E80" s="74"/>
      <c r="F80" s="74"/>
      <c r="G80" s="74"/>
      <c r="H80" s="74"/>
      <c r="I80" s="74"/>
      <c r="J80" s="74"/>
      <c r="K80" s="74"/>
      <c r="L80" s="74"/>
      <c r="M80" s="74"/>
      <c r="N80" s="74"/>
      <c r="O80" s="74"/>
      <c r="P80" s="74"/>
      <c r="Q80" s="74"/>
      <c r="R80" s="74"/>
      <c r="S80" s="74"/>
      <c r="T80" s="74"/>
      <c r="U80" s="74"/>
      <c r="V80" s="74"/>
      <c r="W80" s="74"/>
      <c r="X80" s="74"/>
      <c r="Y80" s="74"/>
      <c r="Z80" s="74"/>
      <c r="AA80" s="74"/>
      <c r="AB80" s="74"/>
      <c r="AC80" s="74"/>
      <c r="AD80" s="74"/>
      <c r="AE80" s="74"/>
      <c r="AF80" s="74"/>
      <c r="AG80" s="74"/>
      <c r="AH80" s="74"/>
      <c r="AI80" s="74"/>
      <c r="AJ80" s="74"/>
      <c r="AK80" s="74"/>
      <c r="AL80" s="74"/>
      <c r="AM80" s="74"/>
      <c r="AN80" s="74"/>
      <c r="AO80" s="74"/>
      <c r="AP80" s="74"/>
      <c r="AQ80" s="74"/>
      <c r="AR80" s="74"/>
      <c r="AS80" s="74"/>
      <c r="AT80" s="74"/>
      <c r="AU80" s="74"/>
      <c r="AV80" s="74"/>
      <c r="AW80" s="74"/>
      <c r="AX80" s="74"/>
      <c r="AY80" s="74"/>
      <c r="AZ80" s="74"/>
      <c r="BA80" s="74"/>
      <c r="BB80" s="74"/>
      <c r="BC80" s="74"/>
      <c r="BD80" s="74"/>
      <c r="BE80" s="74"/>
      <c r="BF80" s="74"/>
      <c r="BG80" s="74"/>
      <c r="BH80" s="74"/>
      <c r="BI80" s="74"/>
      <c r="BJ80" s="74"/>
      <c r="BK80" s="74"/>
      <c r="BL80" s="74"/>
      <c r="BM80" s="74"/>
      <c r="BN80" s="74"/>
      <c r="BO80" s="74"/>
      <c r="BP80" s="74"/>
      <c r="BQ80" s="74"/>
      <c r="BR80" s="74"/>
      <c r="BS80" s="74"/>
      <c r="BT80" s="74"/>
      <c r="BU80" s="74"/>
      <c r="BV80" s="74"/>
      <c r="BW80" s="74"/>
      <c r="BX80" s="74"/>
      <c r="BY80" s="74"/>
      <c r="BZ80" s="74"/>
      <c r="CA80" s="74"/>
      <c r="CB80" s="74"/>
      <c r="CC80" s="74"/>
      <c r="CD80" s="74"/>
      <c r="CE80" s="74"/>
      <c r="CF80" s="74"/>
      <c r="CG80" s="74"/>
      <c r="CH80" s="74"/>
      <c r="CI80" s="74"/>
      <c r="CJ80" s="74"/>
      <c r="CK80" s="74"/>
      <c r="CL80" s="74"/>
      <c r="CM80" s="74"/>
      <c r="CN80" s="74"/>
      <c r="CO80" s="74"/>
      <c r="CP80" s="74"/>
      <c r="CQ80" s="74"/>
      <c r="CR80" s="74"/>
      <c r="CS80" s="74"/>
      <c r="CT80" s="74"/>
      <c r="CU80" s="74"/>
      <c r="CV80" s="74"/>
      <c r="CW80" s="74"/>
      <c r="CX80" s="74"/>
      <c r="CY80" s="74"/>
      <c r="CZ80" s="74"/>
      <c r="DA80" s="74"/>
      <c r="DB80" s="74"/>
      <c r="DC80" s="74"/>
      <c r="DD80" s="74"/>
      <c r="DE80" s="74"/>
      <c r="DF80" s="74"/>
      <c r="DG80" s="74"/>
      <c r="DH80" s="74"/>
      <c r="DI80" s="74"/>
      <c r="DJ80" s="74"/>
      <c r="DK80" s="74"/>
      <c r="DL80" s="74"/>
      <c r="DM80" s="74"/>
      <c r="DN80" s="74"/>
      <c r="DO80" s="74"/>
      <c r="DP80" s="74"/>
      <c r="DQ80" s="74"/>
      <c r="DR80" s="74"/>
      <c r="DS80" s="74"/>
      <c r="DT80" s="74"/>
      <c r="DU80" s="74"/>
      <c r="DV80" s="74"/>
      <c r="DW80" s="74"/>
      <c r="DX80" s="74"/>
      <c r="DY80" s="74"/>
      <c r="DZ80" s="74"/>
      <c r="EA80" s="74"/>
      <c r="EB80" s="74"/>
      <c r="EC80" s="74"/>
      <c r="ED80" s="74"/>
      <c r="EE80" s="74"/>
      <c r="EF80" s="74"/>
      <c r="EG80" s="74"/>
      <c r="EH80" s="74"/>
      <c r="EI80" s="74"/>
      <c r="EJ80" s="74"/>
      <c r="EK80" s="74"/>
      <c r="EL80" s="74"/>
      <c r="EM80" s="74"/>
      <c r="EN80" s="74"/>
      <c r="EO80" s="74"/>
      <c r="EP80" s="74"/>
      <c r="EQ80" s="74"/>
      <c r="ER80" s="74"/>
      <c r="ES80" s="74"/>
      <c r="ET80" s="74"/>
      <c r="EU80" s="74"/>
      <c r="EV80" s="74"/>
      <c r="EW80" s="74"/>
      <c r="EX80" s="74"/>
      <c r="EY80" s="74"/>
      <c r="EZ80" s="74"/>
      <c r="FA80" s="74"/>
      <c r="FB80" s="74"/>
      <c r="FC80" s="74"/>
      <c r="FD80" s="74"/>
      <c r="FE80" s="74"/>
      <c r="FF80" s="74"/>
      <c r="FG80" s="74"/>
      <c r="FH80" s="74"/>
      <c r="FI80" s="74"/>
      <c r="FJ80" s="74"/>
      <c r="FK80" s="74"/>
      <c r="FL80" s="74"/>
      <c r="FM80" s="74"/>
      <c r="FN80" s="74"/>
      <c r="FO80" s="74"/>
      <c r="FP80" s="74"/>
      <c r="FQ80" s="74"/>
      <c r="FR80" s="74"/>
      <c r="FS80" s="74"/>
      <c r="FT80" s="74"/>
      <c r="FU80" s="74"/>
      <c r="FV80" s="74"/>
      <c r="FW80" s="74"/>
      <c r="FX80" s="74"/>
      <c r="FY80" s="74"/>
      <c r="FZ80" s="74"/>
      <c r="GA80" s="74"/>
      <c r="GB80" s="74"/>
      <c r="GC80" s="74"/>
      <c r="GD80" s="74"/>
      <c r="GE80" s="74"/>
      <c r="GF80" s="74"/>
      <c r="GG80" s="74"/>
      <c r="GH80" s="74"/>
      <c r="GI80" s="74"/>
      <c r="GJ80" s="74"/>
      <c r="GK80" s="74"/>
      <c r="GL80" s="74"/>
      <c r="GM80" s="74"/>
      <c r="GN80" s="74"/>
      <c r="GO80" s="74"/>
      <c r="GP80" s="74"/>
      <c r="GQ80" s="74"/>
      <c r="GR80" s="74"/>
      <c r="GS80" s="74"/>
      <c r="GT80" s="74"/>
      <c r="GU80" s="74"/>
      <c r="GV80" s="74"/>
      <c r="GW80" s="74"/>
      <c r="GX80" s="74"/>
      <c r="GY80" s="74"/>
      <c r="GZ80" s="74"/>
      <c r="HA80" s="74"/>
      <c r="HB80" s="74"/>
      <c r="HC80" s="74"/>
      <c r="HD80" s="74"/>
      <c r="HE80" s="74"/>
      <c r="HF80" s="74"/>
      <c r="HG80" s="74"/>
      <c r="HH80" s="74"/>
      <c r="HI80" s="74"/>
      <c r="HJ80" s="74"/>
      <c r="HK80" s="74"/>
      <c r="HL80" s="74"/>
      <c r="HM80" s="74"/>
      <c r="HN80" s="74"/>
      <c r="HO80" s="74"/>
      <c r="HP80" s="74"/>
      <c r="HQ80" s="74"/>
      <c r="HR80" s="74"/>
      <c r="HS80" s="74"/>
      <c r="HT80" s="74"/>
      <c r="HU80" s="74"/>
      <c r="HV80" s="74"/>
      <c r="HW80" s="74"/>
      <c r="HX80" s="74"/>
      <c r="HY80" s="74"/>
      <c r="HZ80" s="74"/>
      <c r="IA80" s="74"/>
      <c r="IB80" s="74"/>
      <c r="IC80" s="74"/>
      <c r="ID80" s="74"/>
      <c r="IE80" s="74"/>
      <c r="IF80" s="74"/>
      <c r="IG80" s="74"/>
      <c r="IH80" s="74"/>
      <c r="II80" s="74"/>
      <c r="IJ80" s="74"/>
      <c r="IK80" s="74"/>
      <c r="IL80" s="74"/>
      <c r="IM80" s="74"/>
      <c r="IN80" s="74"/>
      <c r="IO80" s="74"/>
      <c r="IP80" s="74"/>
      <c r="IQ80" s="74"/>
      <c r="IR80" s="74"/>
      <c r="IS80" s="74"/>
      <c r="IT80" s="74"/>
      <c r="IU80" s="74"/>
      <c r="IV80" s="74"/>
      <c r="IW80" s="74"/>
      <c r="IX80" s="74"/>
      <c r="IY80" s="74"/>
      <c r="IZ80" s="74"/>
      <c r="JA80" s="74"/>
      <c r="JB80" s="74"/>
      <c r="JC80" s="74"/>
      <c r="JD80" s="74"/>
      <c r="JE80" s="74"/>
      <c r="JF80" s="74"/>
      <c r="JG80" s="74"/>
      <c r="JH80" s="74"/>
      <c r="JI80" s="74"/>
      <c r="JJ80" s="74"/>
      <c r="JK80" s="74"/>
      <c r="JL80" s="74"/>
      <c r="JM80" s="74"/>
      <c r="JN80" s="74"/>
      <c r="JO80" s="74"/>
      <c r="JP80" s="74"/>
      <c r="JQ80" s="74"/>
      <c r="JR80" s="74"/>
      <c r="JS80" s="74"/>
      <c r="JT80" s="74"/>
      <c r="JU80" s="74"/>
      <c r="JV80" s="74"/>
      <c r="JW80" s="74"/>
      <c r="JX80" s="74"/>
      <c r="JY80" s="74"/>
      <c r="JZ80" s="74"/>
      <c r="KA80" s="74"/>
      <c r="KB80" s="74"/>
      <c r="KC80" s="74"/>
      <c r="KD80" s="74"/>
      <c r="KE80" s="74"/>
      <c r="KF80" s="74"/>
      <c r="KG80" s="74"/>
      <c r="KH80" s="74"/>
      <c r="KI80" s="74"/>
      <c r="KJ80" s="74"/>
      <c r="KK80" s="74"/>
      <c r="KL80" s="74"/>
      <c r="KM80" s="74"/>
      <c r="KN80" s="74"/>
      <c r="KO80" s="74"/>
      <c r="KP80" s="74"/>
      <c r="KQ80" s="74"/>
      <c r="KR80" s="74"/>
      <c r="KS80" s="74"/>
      <c r="KT80" s="74"/>
      <c r="KU80" s="74"/>
      <c r="KV80" s="74"/>
      <c r="KW80" s="74"/>
      <c r="KX80" s="74"/>
      <c r="KY80" s="74"/>
      <c r="KZ80" s="74"/>
      <c r="LA80" s="74"/>
      <c r="LB80" s="74"/>
      <c r="LC80" s="74"/>
      <c r="LD80" s="74"/>
      <c r="LE80" s="74"/>
      <c r="LF80" s="74"/>
      <c r="LG80" s="74"/>
      <c r="LH80" s="74"/>
      <c r="LI80" s="74"/>
      <c r="LJ80" s="74"/>
      <c r="LK80" s="74"/>
      <c r="LL80" s="74"/>
      <c r="LM80" s="74"/>
      <c r="LN80" s="74"/>
      <c r="LO80" s="74"/>
      <c r="LP80" s="74"/>
      <c r="LQ80" s="74"/>
      <c r="LR80" s="74"/>
      <c r="LS80" s="74"/>
      <c r="LT80" s="74"/>
      <c r="LU80" s="74"/>
      <c r="LV80" s="74"/>
      <c r="LW80" s="74"/>
      <c r="LX80" s="74"/>
      <c r="LY80" s="74"/>
      <c r="LZ80" s="74"/>
      <c r="MA80" s="74"/>
      <c r="MB80" s="74"/>
      <c r="MC80" s="74"/>
      <c r="MD80" s="74"/>
      <c r="ME80" s="74"/>
      <c r="MF80" s="74"/>
      <c r="MG80" s="74"/>
      <c r="MH80" s="74"/>
      <c r="MI80" s="74"/>
      <c r="MJ80" s="74"/>
      <c r="MK80" s="74"/>
      <c r="ML80" s="74"/>
      <c r="MM80" s="74"/>
      <c r="MN80" s="74"/>
      <c r="MO80" s="74"/>
      <c r="MP80" s="74"/>
      <c r="MQ80" s="74"/>
      <c r="MR80" s="74"/>
      <c r="MS80" s="74"/>
      <c r="MT80" s="74"/>
      <c r="MU80" s="74"/>
      <c r="MV80" s="74"/>
      <c r="MW80" s="74"/>
      <c r="MX80" s="74"/>
      <c r="MY80" s="74"/>
      <c r="MZ80" s="74"/>
      <c r="NA80" s="74"/>
      <c r="NB80" s="74"/>
      <c r="NC80" s="74"/>
      <c r="ND80" s="74"/>
      <c r="NE80" s="74"/>
      <c r="NF80" s="74"/>
      <c r="NG80" s="74"/>
      <c r="NH80" s="74"/>
      <c r="NI80" s="74"/>
      <c r="NJ80" s="74"/>
      <c r="NK80" s="74"/>
      <c r="NL80" s="74"/>
      <c r="NM80" s="74"/>
      <c r="NN80" s="74"/>
      <c r="NO80" s="74"/>
      <c r="NP80" s="74"/>
      <c r="NQ80" s="74"/>
      <c r="NR80" s="74"/>
      <c r="NS80" s="74"/>
      <c r="NT80" s="74"/>
      <c r="NU80" s="74"/>
      <c r="NV80" s="74"/>
      <c r="NW80" s="74"/>
      <c r="NX80" s="74"/>
      <c r="NY80" s="74"/>
      <c r="NZ80" s="74"/>
      <c r="OA80" s="74"/>
      <c r="OB80" s="74"/>
      <c r="OC80" s="74"/>
      <c r="OD80" s="74"/>
      <c r="OE80" s="74"/>
      <c r="OF80" s="74"/>
      <c r="OG80" s="74"/>
      <c r="OH80" s="74"/>
      <c r="OI80" s="74"/>
      <c r="OJ80" s="74"/>
      <c r="OK80" s="74"/>
      <c r="OL80" s="74"/>
      <c r="OM80" s="74"/>
      <c r="ON80" s="74"/>
      <c r="OO80" s="74"/>
      <c r="OP80" s="74"/>
      <c r="OQ80" s="74"/>
      <c r="OR80" s="74"/>
      <c r="OS80" s="74"/>
      <c r="OT80" s="74"/>
      <c r="OU80" s="74"/>
      <c r="OV80" s="74"/>
      <c r="OW80" s="74"/>
      <c r="OX80" s="74"/>
      <c r="OY80" s="74"/>
      <c r="OZ80" s="74"/>
      <c r="PA80" s="74"/>
      <c r="PB80" s="74"/>
      <c r="PC80" s="74"/>
      <c r="PD80" s="74"/>
      <c r="PE80" s="74"/>
      <c r="PF80" s="74"/>
      <c r="PG80" s="74"/>
      <c r="PH80" s="74"/>
      <c r="PI80" s="74"/>
      <c r="PJ80" s="74"/>
      <c r="PK80" s="74"/>
      <c r="PL80" s="74"/>
      <c r="PM80" s="74"/>
      <c r="PN80" s="74"/>
      <c r="PO80" s="74"/>
      <c r="PP80" s="74"/>
      <c r="PQ80" s="74"/>
      <c r="PR80" s="74"/>
      <c r="PS80" s="74"/>
      <c r="PT80" s="74"/>
      <c r="PU80" s="74"/>
      <c r="PV80" s="74"/>
      <c r="PW80" s="74"/>
      <c r="PX80" s="74"/>
      <c r="PY80" s="74"/>
      <c r="PZ80" s="74"/>
      <c r="QA80" s="74"/>
      <c r="QB80" s="74"/>
      <c r="QC80" s="74"/>
      <c r="QD80" s="74"/>
      <c r="QE80" s="74"/>
      <c r="QF80" s="74"/>
      <c r="QG80" s="74"/>
      <c r="QH80" s="74"/>
      <c r="QI80" s="74"/>
      <c r="QJ80" s="74"/>
      <c r="QK80" s="74"/>
      <c r="QL80" s="74"/>
      <c r="QM80" s="74"/>
      <c r="QN80" s="74"/>
      <c r="QO80" s="74"/>
      <c r="QP80" s="74"/>
      <c r="QQ80" s="74"/>
      <c r="QR80" s="74"/>
      <c r="QS80" s="74"/>
      <c r="QT80" s="74"/>
      <c r="QU80" s="74"/>
      <c r="QV80" s="74"/>
      <c r="QW80" s="74"/>
      <c r="QX80" s="74"/>
      <c r="QY80" s="74"/>
      <c r="QZ80" s="74"/>
      <c r="RA80" s="74"/>
      <c r="RB80" s="74"/>
      <c r="RC80" s="74"/>
      <c r="RD80" s="74"/>
      <c r="RE80" s="74"/>
      <c r="RF80" s="74"/>
      <c r="RG80" s="74"/>
      <c r="RH80" s="74"/>
      <c r="RI80" s="74"/>
      <c r="RJ80" s="74"/>
      <c r="RK80" s="74"/>
      <c r="RL80" s="74"/>
      <c r="RM80" s="74"/>
      <c r="RN80" s="74"/>
      <c r="RO80" s="74"/>
      <c r="RP80" s="74"/>
      <c r="RQ80" s="74"/>
      <c r="RR80" s="74"/>
      <c r="RS80" s="74"/>
      <c r="RT80" s="74"/>
      <c r="RU80" s="74"/>
      <c r="RV80" s="74"/>
      <c r="RW80" s="74"/>
      <c r="RX80" s="74"/>
      <c r="RY80" s="74"/>
      <c r="RZ80" s="74"/>
      <c r="SA80" s="74"/>
      <c r="SB80" s="74"/>
      <c r="SC80" s="74"/>
      <c r="SD80" s="74"/>
      <c r="SE80" s="74"/>
      <c r="SF80" s="74"/>
      <c r="SG80" s="74"/>
      <c r="SH80" s="74"/>
      <c r="SI80" s="74"/>
      <c r="SJ80" s="74"/>
      <c r="SK80" s="74"/>
      <c r="SL80" s="74"/>
      <c r="SM80" s="74"/>
      <c r="SN80" s="74"/>
      <c r="SO80" s="74"/>
      <c r="SP80" s="74"/>
      <c r="SQ80" s="74"/>
      <c r="SR80" s="74"/>
      <c r="SS80" s="74"/>
      <c r="ST80" s="74"/>
      <c r="SU80" s="74"/>
      <c r="SV80" s="74"/>
      <c r="SW80" s="74"/>
      <c r="SX80" s="74"/>
      <c r="SY80" s="74"/>
      <c r="SZ80" s="74"/>
      <c r="TA80" s="74"/>
      <c r="TB80" s="74"/>
      <c r="TC80" s="74"/>
      <c r="TD80" s="74"/>
      <c r="TE80" s="74"/>
      <c r="TF80" s="74"/>
      <c r="TG80" s="74"/>
      <c r="TH80" s="74"/>
      <c r="TI80" s="74"/>
      <c r="TJ80" s="74"/>
      <c r="TK80" s="74"/>
      <c r="TL80" s="74"/>
      <c r="TM80" s="74"/>
      <c r="TN80" s="74"/>
      <c r="TO80" s="74"/>
      <c r="TP80" s="74"/>
      <c r="TQ80" s="74"/>
      <c r="TR80" s="74"/>
      <c r="TS80" s="74"/>
      <c r="TT80" s="74"/>
      <c r="TU80" s="74"/>
      <c r="TV80" s="74"/>
      <c r="TW80" s="74"/>
      <c r="TX80" s="74"/>
      <c r="TY80" s="74"/>
      <c r="TZ80" s="74"/>
      <c r="UA80" s="74"/>
      <c r="UB80" s="74"/>
      <c r="UC80" s="74"/>
      <c r="UD80" s="74"/>
      <c r="UE80" s="74"/>
    </row>
    <row r="81" spans="1:551" s="101" customFormat="1" x14ac:dyDescent="0.25">
      <c r="A81" s="220"/>
      <c r="B81" s="74"/>
      <c r="C81" s="74"/>
      <c r="D81" s="74"/>
      <c r="E81" s="74"/>
      <c r="F81" s="74"/>
      <c r="G81" s="74"/>
      <c r="H81" s="74"/>
      <c r="I81" s="74"/>
      <c r="J81" s="74"/>
      <c r="K81" s="74"/>
      <c r="L81" s="74"/>
      <c r="M81" s="74"/>
      <c r="N81" s="74"/>
      <c r="O81" s="74"/>
      <c r="P81" s="74"/>
      <c r="Q81" s="74"/>
      <c r="R81" s="74"/>
      <c r="S81" s="74"/>
      <c r="T81" s="74"/>
      <c r="U81" s="74"/>
      <c r="V81" s="74"/>
      <c r="W81" s="74"/>
      <c r="X81" s="74"/>
      <c r="Y81" s="74"/>
      <c r="Z81" s="74"/>
      <c r="AA81" s="74"/>
      <c r="AB81" s="74"/>
      <c r="AC81" s="74"/>
      <c r="AD81" s="74"/>
      <c r="AE81" s="74"/>
      <c r="AF81" s="74"/>
      <c r="AG81" s="74"/>
      <c r="AH81" s="74"/>
      <c r="AI81" s="74"/>
      <c r="AJ81" s="74"/>
      <c r="AK81" s="74"/>
      <c r="AL81" s="74"/>
      <c r="AM81" s="74"/>
      <c r="AN81" s="74"/>
      <c r="AO81" s="74"/>
      <c r="AP81" s="74"/>
      <c r="AQ81" s="74"/>
      <c r="AR81" s="74"/>
      <c r="AS81" s="74"/>
      <c r="AT81" s="74"/>
      <c r="AU81" s="74"/>
      <c r="AV81" s="74"/>
      <c r="AW81" s="74"/>
      <c r="AX81" s="74"/>
      <c r="AY81" s="74"/>
      <c r="AZ81" s="74"/>
      <c r="BA81" s="74"/>
      <c r="BB81" s="74"/>
      <c r="BC81" s="74"/>
      <c r="BD81" s="74"/>
      <c r="BE81" s="74"/>
      <c r="BF81" s="74"/>
      <c r="BG81" s="74"/>
      <c r="BH81" s="74"/>
      <c r="BI81" s="74"/>
      <c r="BJ81" s="74"/>
      <c r="BK81" s="74"/>
      <c r="BL81" s="74"/>
      <c r="BM81" s="74"/>
      <c r="BN81" s="74"/>
      <c r="BO81" s="74"/>
      <c r="BP81" s="74"/>
      <c r="BQ81" s="74"/>
      <c r="BR81" s="74"/>
      <c r="BS81" s="74"/>
      <c r="BT81" s="74"/>
      <c r="BU81" s="74"/>
      <c r="BV81" s="74"/>
      <c r="BW81" s="74"/>
      <c r="BX81" s="74"/>
      <c r="BY81" s="74"/>
      <c r="BZ81" s="74"/>
      <c r="CA81" s="74"/>
      <c r="CB81" s="74"/>
      <c r="CC81" s="74"/>
      <c r="CD81" s="74"/>
      <c r="CE81" s="74"/>
      <c r="CF81" s="74"/>
      <c r="CG81" s="74"/>
      <c r="CH81" s="74"/>
      <c r="CI81" s="74"/>
      <c r="CJ81" s="74"/>
      <c r="CK81" s="74"/>
      <c r="CL81" s="74"/>
      <c r="CM81" s="74"/>
      <c r="CN81" s="74"/>
      <c r="CO81" s="74"/>
      <c r="CP81" s="74"/>
      <c r="CQ81" s="74"/>
      <c r="CR81" s="74"/>
      <c r="CS81" s="74"/>
      <c r="CT81" s="74"/>
      <c r="CU81" s="74"/>
      <c r="CV81" s="74"/>
      <c r="CW81" s="74"/>
      <c r="CX81" s="74"/>
      <c r="CY81" s="74"/>
      <c r="CZ81" s="74"/>
      <c r="DA81" s="74"/>
      <c r="DB81" s="74"/>
      <c r="DC81" s="74"/>
      <c r="DD81" s="74"/>
      <c r="DE81" s="74"/>
      <c r="DF81" s="74"/>
      <c r="DG81" s="74"/>
      <c r="DH81" s="74"/>
      <c r="DI81" s="74"/>
      <c r="DJ81" s="74"/>
      <c r="DK81" s="74"/>
      <c r="DL81" s="74"/>
      <c r="DM81" s="74"/>
      <c r="DN81" s="74"/>
      <c r="DO81" s="74"/>
      <c r="DP81" s="74"/>
      <c r="DQ81" s="74"/>
      <c r="DR81" s="74"/>
      <c r="DS81" s="74"/>
      <c r="DT81" s="74"/>
      <c r="DU81" s="74"/>
      <c r="DV81" s="74"/>
      <c r="DW81" s="74"/>
      <c r="DX81" s="74"/>
      <c r="DY81" s="74"/>
      <c r="DZ81" s="74"/>
      <c r="EA81" s="74"/>
      <c r="EB81" s="74"/>
      <c r="EC81" s="74"/>
      <c r="ED81" s="74"/>
      <c r="EE81" s="74"/>
      <c r="EF81" s="74"/>
      <c r="EG81" s="74"/>
      <c r="EH81" s="74"/>
      <c r="EI81" s="74"/>
      <c r="EJ81" s="74"/>
      <c r="EK81" s="74"/>
      <c r="EL81" s="74"/>
      <c r="EM81" s="74"/>
      <c r="EN81" s="74"/>
      <c r="EO81" s="74"/>
      <c r="EP81" s="74"/>
      <c r="EQ81" s="74"/>
      <c r="ER81" s="74"/>
      <c r="ES81" s="74"/>
      <c r="ET81" s="74"/>
      <c r="EU81" s="74"/>
      <c r="EV81" s="74"/>
      <c r="EW81" s="74"/>
      <c r="EX81" s="74"/>
      <c r="EY81" s="74"/>
      <c r="EZ81" s="74"/>
      <c r="FA81" s="74"/>
      <c r="FB81" s="74"/>
      <c r="FC81" s="74"/>
      <c r="FD81" s="74"/>
      <c r="FE81" s="74"/>
      <c r="FF81" s="74"/>
      <c r="FG81" s="74"/>
      <c r="FH81" s="74"/>
      <c r="FI81" s="74"/>
      <c r="FJ81" s="74"/>
      <c r="FK81" s="74"/>
      <c r="FL81" s="74"/>
      <c r="FM81" s="74"/>
      <c r="FN81" s="74"/>
      <c r="FO81" s="74"/>
      <c r="FP81" s="74"/>
      <c r="FQ81" s="74"/>
      <c r="FR81" s="74"/>
      <c r="FS81" s="74"/>
      <c r="FT81" s="74"/>
      <c r="FU81" s="74"/>
      <c r="FV81" s="74"/>
      <c r="FW81" s="74"/>
      <c r="FX81" s="74"/>
      <c r="FY81" s="74"/>
      <c r="FZ81" s="74"/>
      <c r="GA81" s="74"/>
      <c r="GB81" s="74"/>
      <c r="GC81" s="74"/>
      <c r="GD81" s="74"/>
      <c r="GE81" s="74"/>
      <c r="GF81" s="74"/>
      <c r="GG81" s="74"/>
      <c r="GH81" s="74"/>
      <c r="GI81" s="74"/>
      <c r="GJ81" s="74"/>
      <c r="GK81" s="74"/>
      <c r="GL81" s="74"/>
      <c r="GM81" s="74"/>
      <c r="GN81" s="74"/>
      <c r="GO81" s="74"/>
      <c r="GP81" s="74"/>
      <c r="GQ81" s="74"/>
      <c r="GR81" s="74"/>
      <c r="GS81" s="74"/>
      <c r="GT81" s="74"/>
      <c r="GU81" s="74"/>
      <c r="GV81" s="74"/>
      <c r="GW81" s="74"/>
      <c r="GX81" s="74"/>
      <c r="GY81" s="74"/>
      <c r="GZ81" s="74"/>
      <c r="HA81" s="74"/>
      <c r="HB81" s="74"/>
      <c r="HC81" s="74"/>
      <c r="HD81" s="74"/>
      <c r="HE81" s="74"/>
      <c r="HF81" s="74"/>
      <c r="HG81" s="74"/>
      <c r="HH81" s="74"/>
      <c r="HI81" s="74"/>
      <c r="HJ81" s="74"/>
      <c r="HK81" s="74"/>
      <c r="HL81" s="74"/>
      <c r="HM81" s="74"/>
      <c r="HN81" s="74"/>
      <c r="HO81" s="74"/>
      <c r="HP81" s="74"/>
      <c r="HQ81" s="74"/>
      <c r="HR81" s="74"/>
      <c r="HS81" s="74"/>
      <c r="HT81" s="74"/>
      <c r="HU81" s="74"/>
      <c r="HV81" s="74"/>
      <c r="HW81" s="74"/>
      <c r="HX81" s="74"/>
      <c r="HY81" s="74"/>
      <c r="HZ81" s="74"/>
      <c r="IA81" s="74"/>
      <c r="IB81" s="74"/>
      <c r="IC81" s="74"/>
      <c r="ID81" s="74"/>
      <c r="IE81" s="74"/>
      <c r="IF81" s="74"/>
      <c r="IG81" s="74"/>
      <c r="IH81" s="74"/>
      <c r="II81" s="74"/>
      <c r="IJ81" s="74"/>
      <c r="IK81" s="74"/>
      <c r="IL81" s="74"/>
      <c r="IM81" s="74"/>
      <c r="IN81" s="74"/>
      <c r="IO81" s="74"/>
      <c r="IP81" s="74"/>
      <c r="IQ81" s="74"/>
      <c r="IR81" s="74"/>
      <c r="IS81" s="74"/>
      <c r="IT81" s="74"/>
      <c r="IU81" s="74"/>
      <c r="IV81" s="74"/>
      <c r="IW81" s="74"/>
      <c r="IX81" s="74"/>
      <c r="IY81" s="74"/>
      <c r="IZ81" s="74"/>
      <c r="JA81" s="74"/>
      <c r="JB81" s="74"/>
      <c r="JC81" s="74"/>
      <c r="JD81" s="74"/>
      <c r="JE81" s="74"/>
      <c r="JF81" s="74"/>
      <c r="JG81" s="74"/>
      <c r="JH81" s="74"/>
      <c r="JI81" s="74"/>
      <c r="JJ81" s="74"/>
      <c r="JK81" s="74"/>
      <c r="JL81" s="74"/>
      <c r="JM81" s="74"/>
      <c r="JN81" s="74"/>
      <c r="JO81" s="74"/>
      <c r="JP81" s="74"/>
      <c r="JQ81" s="74"/>
      <c r="JR81" s="74"/>
      <c r="JS81" s="74"/>
      <c r="JT81" s="74"/>
      <c r="JU81" s="74"/>
      <c r="JV81" s="74"/>
      <c r="JW81" s="74"/>
      <c r="JX81" s="74"/>
      <c r="JY81" s="74"/>
      <c r="JZ81" s="74"/>
      <c r="KA81" s="74"/>
      <c r="KB81" s="74"/>
      <c r="KC81" s="74"/>
      <c r="KD81" s="74"/>
      <c r="KE81" s="74"/>
      <c r="KF81" s="74"/>
      <c r="KG81" s="74"/>
      <c r="KH81" s="74"/>
      <c r="KI81" s="74"/>
      <c r="KJ81" s="74"/>
      <c r="KK81" s="74"/>
      <c r="KL81" s="74"/>
      <c r="KM81" s="74"/>
      <c r="KN81" s="74"/>
      <c r="KO81" s="74"/>
      <c r="KP81" s="74"/>
      <c r="KQ81" s="74"/>
      <c r="KR81" s="74"/>
      <c r="KS81" s="74"/>
      <c r="KT81" s="74"/>
      <c r="KU81" s="74"/>
      <c r="KV81" s="74"/>
      <c r="KW81" s="74"/>
      <c r="KX81" s="74"/>
      <c r="KY81" s="74"/>
      <c r="KZ81" s="74"/>
      <c r="LA81" s="74"/>
      <c r="LB81" s="74"/>
      <c r="LC81" s="74"/>
      <c r="LD81" s="74"/>
      <c r="LE81" s="74"/>
      <c r="LF81" s="74"/>
      <c r="LG81" s="74"/>
      <c r="LH81" s="74"/>
      <c r="LI81" s="74"/>
      <c r="LJ81" s="74"/>
      <c r="LK81" s="74"/>
      <c r="LL81" s="74"/>
      <c r="LM81" s="74"/>
      <c r="LN81" s="74"/>
      <c r="LO81" s="74"/>
      <c r="LP81" s="74"/>
      <c r="LQ81" s="74"/>
      <c r="LR81" s="74"/>
      <c r="LS81" s="74"/>
      <c r="LT81" s="74"/>
      <c r="LU81" s="74"/>
      <c r="LV81" s="74"/>
      <c r="LW81" s="74"/>
      <c r="LX81" s="74"/>
      <c r="LY81" s="74"/>
      <c r="LZ81" s="74"/>
      <c r="MA81" s="74"/>
      <c r="MB81" s="74"/>
      <c r="MC81" s="74"/>
      <c r="MD81" s="74"/>
      <c r="ME81" s="74"/>
      <c r="MF81" s="74"/>
      <c r="MG81" s="74"/>
      <c r="MH81" s="74"/>
      <c r="MI81" s="74"/>
      <c r="MJ81" s="74"/>
      <c r="MK81" s="74"/>
      <c r="ML81" s="74"/>
      <c r="MM81" s="74"/>
      <c r="MN81" s="74"/>
      <c r="MO81" s="74"/>
      <c r="MP81" s="74"/>
      <c r="MQ81" s="74"/>
      <c r="MR81" s="74"/>
      <c r="MS81" s="74"/>
      <c r="MT81" s="74"/>
      <c r="MU81" s="74"/>
      <c r="MV81" s="74"/>
      <c r="MW81" s="74"/>
      <c r="MX81" s="74"/>
      <c r="MY81" s="74"/>
      <c r="MZ81" s="74"/>
      <c r="NA81" s="74"/>
      <c r="NB81" s="74"/>
      <c r="NC81" s="74"/>
      <c r="ND81" s="74"/>
      <c r="NE81" s="74"/>
      <c r="NF81" s="74"/>
      <c r="NG81" s="74"/>
      <c r="NH81" s="74"/>
      <c r="NI81" s="74"/>
      <c r="NJ81" s="74"/>
      <c r="NK81" s="74"/>
      <c r="NL81" s="74"/>
      <c r="NM81" s="74"/>
      <c r="NN81" s="74"/>
      <c r="NO81" s="74"/>
      <c r="NP81" s="74"/>
      <c r="NQ81" s="74"/>
      <c r="NR81" s="74"/>
      <c r="NS81" s="74"/>
      <c r="NT81" s="74"/>
      <c r="NU81" s="74"/>
      <c r="NV81" s="74"/>
      <c r="NW81" s="74"/>
      <c r="NX81" s="74"/>
      <c r="NY81" s="74"/>
      <c r="NZ81" s="74"/>
      <c r="OA81" s="74"/>
      <c r="OB81" s="74"/>
      <c r="OC81" s="74"/>
      <c r="OD81" s="74"/>
      <c r="OE81" s="74"/>
      <c r="OF81" s="74"/>
      <c r="OG81" s="74"/>
      <c r="OH81" s="74"/>
      <c r="OI81" s="74"/>
      <c r="OJ81" s="74"/>
      <c r="OK81" s="74"/>
      <c r="OL81" s="74"/>
      <c r="OM81" s="74"/>
      <c r="ON81" s="74"/>
      <c r="OO81" s="74"/>
      <c r="OP81" s="74"/>
      <c r="OQ81" s="74"/>
      <c r="OR81" s="74"/>
      <c r="OS81" s="74"/>
      <c r="OT81" s="74"/>
      <c r="OU81" s="74"/>
      <c r="OV81" s="74"/>
      <c r="OW81" s="74"/>
      <c r="OX81" s="74"/>
      <c r="OY81" s="74"/>
      <c r="OZ81" s="74"/>
      <c r="PA81" s="74"/>
      <c r="PB81" s="74"/>
      <c r="PC81" s="74"/>
      <c r="PD81" s="74"/>
      <c r="PE81" s="74"/>
      <c r="PF81" s="74"/>
      <c r="PG81" s="74"/>
      <c r="PH81" s="74"/>
      <c r="PI81" s="74"/>
      <c r="PJ81" s="74"/>
      <c r="PK81" s="74"/>
      <c r="PL81" s="74"/>
      <c r="PM81" s="74"/>
      <c r="PN81" s="74"/>
      <c r="PO81" s="74"/>
      <c r="PP81" s="74"/>
      <c r="PQ81" s="74"/>
      <c r="PR81" s="74"/>
      <c r="PS81" s="74"/>
      <c r="PT81" s="74"/>
      <c r="PU81" s="74"/>
      <c r="PV81" s="74"/>
      <c r="PW81" s="74"/>
      <c r="PX81" s="74"/>
      <c r="PY81" s="74"/>
      <c r="PZ81" s="74"/>
      <c r="QA81" s="74"/>
      <c r="QB81" s="74"/>
      <c r="QC81" s="74"/>
      <c r="QD81" s="74"/>
      <c r="QE81" s="74"/>
      <c r="QF81" s="74"/>
      <c r="QG81" s="74"/>
      <c r="QH81" s="74"/>
      <c r="QI81" s="74"/>
      <c r="QJ81" s="74"/>
      <c r="QK81" s="74"/>
      <c r="QL81" s="74"/>
      <c r="QM81" s="74"/>
      <c r="QN81" s="74"/>
      <c r="QO81" s="74"/>
      <c r="QP81" s="74"/>
      <c r="QQ81" s="74"/>
      <c r="QR81" s="74"/>
      <c r="QS81" s="74"/>
      <c r="QT81" s="74"/>
      <c r="QU81" s="74"/>
      <c r="QV81" s="74"/>
      <c r="QW81" s="74"/>
      <c r="QX81" s="74"/>
      <c r="QY81" s="74"/>
      <c r="QZ81" s="74"/>
      <c r="RA81" s="74"/>
      <c r="RB81" s="74"/>
      <c r="RC81" s="74"/>
      <c r="RD81" s="74"/>
      <c r="RE81" s="74"/>
      <c r="RF81" s="74"/>
      <c r="RG81" s="74"/>
      <c r="RH81" s="74"/>
      <c r="RI81" s="74"/>
      <c r="RJ81" s="74"/>
      <c r="RK81" s="74"/>
      <c r="RL81" s="74"/>
      <c r="RM81" s="74"/>
      <c r="RN81" s="74"/>
      <c r="RO81" s="74"/>
      <c r="RP81" s="74"/>
      <c r="RQ81" s="74"/>
      <c r="RR81" s="74"/>
      <c r="RS81" s="74"/>
      <c r="RT81" s="74"/>
      <c r="RU81" s="74"/>
      <c r="RV81" s="74"/>
      <c r="RW81" s="74"/>
      <c r="RX81" s="74"/>
      <c r="RY81" s="74"/>
      <c r="RZ81" s="74"/>
      <c r="SA81" s="74"/>
      <c r="SB81" s="74"/>
      <c r="SC81" s="74"/>
      <c r="SD81" s="74"/>
      <c r="SE81" s="74"/>
      <c r="SF81" s="74"/>
      <c r="SG81" s="74"/>
      <c r="SH81" s="74"/>
      <c r="SI81" s="74"/>
      <c r="SJ81" s="74"/>
      <c r="SK81" s="74"/>
      <c r="SL81" s="74"/>
      <c r="SM81" s="74"/>
      <c r="SN81" s="74"/>
      <c r="SO81" s="74"/>
      <c r="SP81" s="74"/>
      <c r="SQ81" s="74"/>
      <c r="SR81" s="74"/>
      <c r="SS81" s="74"/>
      <c r="ST81" s="74"/>
      <c r="SU81" s="74"/>
      <c r="SV81" s="74"/>
      <c r="SW81" s="74"/>
      <c r="SX81" s="74"/>
      <c r="SY81" s="74"/>
      <c r="SZ81" s="74"/>
      <c r="TA81" s="74"/>
      <c r="TB81" s="74"/>
      <c r="TC81" s="74"/>
      <c r="TD81" s="74"/>
      <c r="TE81" s="74"/>
      <c r="TF81" s="74"/>
      <c r="TG81" s="74"/>
      <c r="TH81" s="74"/>
      <c r="TI81" s="74"/>
      <c r="TJ81" s="74"/>
      <c r="TK81" s="74"/>
      <c r="TL81" s="74"/>
      <c r="TM81" s="74"/>
      <c r="TN81" s="74"/>
      <c r="TO81" s="74"/>
      <c r="TP81" s="74"/>
      <c r="TQ81" s="74"/>
      <c r="TR81" s="74"/>
      <c r="TS81" s="74"/>
      <c r="TT81" s="74"/>
      <c r="TU81" s="74"/>
      <c r="TV81" s="74"/>
      <c r="TW81" s="74"/>
      <c r="TX81" s="74"/>
      <c r="TY81" s="74"/>
      <c r="TZ81" s="74"/>
      <c r="UA81" s="74"/>
      <c r="UB81" s="74"/>
      <c r="UC81" s="74"/>
      <c r="UD81" s="74"/>
      <c r="UE81" s="74"/>
    </row>
    <row r="82" spans="1:551" s="101" customFormat="1" x14ac:dyDescent="0.25">
      <c r="A82" s="220"/>
      <c r="B82" s="74"/>
      <c r="C82" s="74"/>
      <c r="D82" s="74"/>
      <c r="E82" s="74"/>
      <c r="F82" s="74"/>
      <c r="G82" s="74"/>
      <c r="H82" s="74"/>
      <c r="I82" s="74"/>
      <c r="J82" s="74"/>
      <c r="K82" s="74"/>
      <c r="L82" s="74"/>
      <c r="M82" s="74"/>
      <c r="N82" s="74"/>
      <c r="O82" s="74"/>
      <c r="P82" s="74"/>
      <c r="Q82" s="74"/>
      <c r="R82" s="74"/>
      <c r="S82" s="74"/>
      <c r="T82" s="74"/>
      <c r="U82" s="74"/>
      <c r="V82" s="74"/>
      <c r="W82" s="74"/>
      <c r="X82" s="74"/>
      <c r="Y82" s="74"/>
      <c r="Z82" s="74"/>
      <c r="AA82" s="74"/>
      <c r="AB82" s="74"/>
      <c r="AC82" s="74"/>
      <c r="AD82" s="74"/>
      <c r="AE82" s="74"/>
      <c r="AF82" s="74"/>
      <c r="AG82" s="74"/>
      <c r="AH82" s="74"/>
      <c r="AI82" s="74"/>
      <c r="AJ82" s="74"/>
      <c r="AK82" s="74"/>
      <c r="AL82" s="74"/>
      <c r="AM82" s="74"/>
      <c r="AN82" s="74"/>
      <c r="AO82" s="74"/>
      <c r="AP82" s="74"/>
      <c r="AQ82" s="74"/>
      <c r="AR82" s="74"/>
      <c r="AS82" s="74"/>
      <c r="AT82" s="74"/>
      <c r="AU82" s="74"/>
      <c r="AV82" s="74"/>
      <c r="AW82" s="74"/>
      <c r="AX82" s="74"/>
      <c r="AY82" s="74"/>
      <c r="AZ82" s="74"/>
      <c r="BA82" s="74"/>
      <c r="BB82" s="74"/>
      <c r="BC82" s="74"/>
      <c r="BD82" s="74"/>
      <c r="BE82" s="74"/>
      <c r="BF82" s="74"/>
      <c r="BG82" s="74"/>
      <c r="BH82" s="74"/>
      <c r="BI82" s="74"/>
      <c r="BJ82" s="74"/>
      <c r="BK82" s="74"/>
      <c r="BL82" s="74"/>
      <c r="BM82" s="74"/>
      <c r="BN82" s="74"/>
      <c r="BO82" s="74"/>
      <c r="BP82" s="74"/>
      <c r="BQ82" s="74"/>
      <c r="BR82" s="74"/>
      <c r="BS82" s="74"/>
      <c r="BT82" s="74"/>
      <c r="BU82" s="74"/>
      <c r="BV82" s="74"/>
      <c r="BW82" s="74"/>
      <c r="BX82" s="74"/>
      <c r="BY82" s="74"/>
      <c r="BZ82" s="74"/>
      <c r="CA82" s="74"/>
      <c r="CB82" s="74"/>
      <c r="CC82" s="74"/>
      <c r="CD82" s="74"/>
      <c r="CE82" s="74"/>
      <c r="CF82" s="74"/>
      <c r="CG82" s="74"/>
      <c r="CH82" s="74"/>
      <c r="CI82" s="74"/>
      <c r="CJ82" s="74"/>
      <c r="CK82" s="74"/>
      <c r="CL82" s="74"/>
      <c r="CM82" s="74"/>
      <c r="CN82" s="74"/>
      <c r="CO82" s="74"/>
      <c r="CP82" s="74"/>
      <c r="CQ82" s="74"/>
      <c r="CR82" s="74"/>
      <c r="CS82" s="74"/>
      <c r="CT82" s="74"/>
      <c r="CU82" s="74"/>
      <c r="CV82" s="74"/>
      <c r="CW82" s="74"/>
      <c r="CX82" s="74"/>
      <c r="CY82" s="74"/>
      <c r="CZ82" s="74"/>
      <c r="DA82" s="74"/>
      <c r="DB82" s="74"/>
      <c r="DC82" s="74"/>
      <c r="DD82" s="74"/>
      <c r="DE82" s="74"/>
      <c r="DF82" s="74"/>
      <c r="DG82" s="74"/>
      <c r="DH82" s="74"/>
      <c r="DI82" s="74"/>
      <c r="DJ82" s="74"/>
      <c r="DK82" s="74"/>
      <c r="DL82" s="74"/>
      <c r="DM82" s="74"/>
      <c r="DN82" s="74"/>
      <c r="DO82" s="74"/>
      <c r="DP82" s="74"/>
      <c r="DQ82" s="74"/>
      <c r="DR82" s="74"/>
      <c r="DS82" s="74"/>
      <c r="DT82" s="74"/>
      <c r="DU82" s="74"/>
      <c r="DV82" s="74"/>
      <c r="DW82" s="74"/>
      <c r="DX82" s="74"/>
      <c r="DY82" s="74"/>
      <c r="DZ82" s="74"/>
      <c r="EA82" s="74"/>
      <c r="EB82" s="74"/>
      <c r="EC82" s="74"/>
      <c r="ED82" s="74"/>
      <c r="EE82" s="74"/>
      <c r="EF82" s="74"/>
      <c r="EG82" s="74"/>
      <c r="EH82" s="74"/>
      <c r="EI82" s="74"/>
      <c r="EJ82" s="74"/>
      <c r="EK82" s="74"/>
      <c r="EL82" s="74"/>
      <c r="EM82" s="74"/>
      <c r="EN82" s="74"/>
      <c r="EO82" s="74"/>
      <c r="EP82" s="74"/>
      <c r="EQ82" s="74"/>
      <c r="ER82" s="74"/>
      <c r="ES82" s="74"/>
      <c r="ET82" s="74"/>
      <c r="EU82" s="74"/>
      <c r="EV82" s="74"/>
      <c r="EW82" s="74"/>
      <c r="EX82" s="74"/>
      <c r="EY82" s="74"/>
      <c r="EZ82" s="74"/>
      <c r="FA82" s="74"/>
      <c r="FB82" s="74"/>
      <c r="FC82" s="74"/>
      <c r="FD82" s="74"/>
      <c r="FE82" s="74"/>
      <c r="FF82" s="74"/>
      <c r="FG82" s="74"/>
      <c r="FH82" s="74"/>
      <c r="FI82" s="74"/>
      <c r="FJ82" s="74"/>
      <c r="FK82" s="74"/>
      <c r="FL82" s="74"/>
      <c r="FM82" s="74"/>
      <c r="FN82" s="74"/>
      <c r="FO82" s="74"/>
      <c r="FP82" s="74"/>
      <c r="FQ82" s="74"/>
      <c r="FR82" s="74"/>
      <c r="FS82" s="74"/>
      <c r="FT82" s="74"/>
      <c r="FU82" s="74"/>
      <c r="FV82" s="74"/>
      <c r="FW82" s="74"/>
      <c r="FX82" s="74"/>
      <c r="FY82" s="74"/>
      <c r="FZ82" s="74"/>
      <c r="GA82" s="74"/>
      <c r="GB82" s="74"/>
      <c r="GC82" s="74"/>
      <c r="GD82" s="74"/>
      <c r="GE82" s="74"/>
      <c r="GF82" s="74"/>
      <c r="GG82" s="74"/>
      <c r="GH82" s="74"/>
      <c r="GI82" s="74"/>
      <c r="GJ82" s="74"/>
      <c r="GK82" s="74"/>
      <c r="GL82" s="74"/>
      <c r="GM82" s="74"/>
      <c r="GN82" s="74"/>
      <c r="GO82" s="74"/>
      <c r="GP82" s="74"/>
      <c r="GQ82" s="74"/>
      <c r="GR82" s="74"/>
      <c r="GS82" s="74"/>
      <c r="GT82" s="74"/>
      <c r="GU82" s="74"/>
      <c r="GV82" s="74"/>
      <c r="GW82" s="74"/>
      <c r="GX82" s="74"/>
      <c r="GY82" s="74"/>
      <c r="GZ82" s="74"/>
      <c r="HA82" s="74"/>
      <c r="HB82" s="74"/>
      <c r="HC82" s="74"/>
      <c r="HD82" s="74"/>
      <c r="HE82" s="74"/>
      <c r="HF82" s="74"/>
      <c r="HG82" s="74"/>
      <c r="HH82" s="74"/>
      <c r="HI82" s="74"/>
      <c r="HJ82" s="74"/>
      <c r="HK82" s="74"/>
      <c r="HL82" s="74"/>
      <c r="HM82" s="74"/>
      <c r="HN82" s="74"/>
      <c r="HO82" s="74"/>
      <c r="HP82" s="74"/>
      <c r="HQ82" s="74"/>
      <c r="HR82" s="74"/>
      <c r="HS82" s="74"/>
      <c r="HT82" s="74"/>
      <c r="HU82" s="74"/>
      <c r="HV82" s="74"/>
      <c r="HW82" s="74"/>
      <c r="HX82" s="74"/>
      <c r="HY82" s="74"/>
      <c r="HZ82" s="74"/>
      <c r="IA82" s="74"/>
      <c r="IB82" s="74"/>
      <c r="IC82" s="74"/>
      <c r="ID82" s="74"/>
      <c r="IE82" s="74"/>
      <c r="IF82" s="74"/>
      <c r="IG82" s="74"/>
      <c r="IH82" s="74"/>
      <c r="II82" s="74"/>
      <c r="IJ82" s="74"/>
      <c r="IK82" s="74"/>
      <c r="IL82" s="74"/>
      <c r="IM82" s="74"/>
      <c r="IN82" s="74"/>
      <c r="IO82" s="74"/>
      <c r="IP82" s="74"/>
      <c r="IQ82" s="74"/>
      <c r="IR82" s="74"/>
      <c r="IS82" s="74"/>
      <c r="IT82" s="74"/>
      <c r="IU82" s="74"/>
      <c r="IV82" s="74"/>
      <c r="IW82" s="74"/>
      <c r="IX82" s="74"/>
      <c r="IY82" s="74"/>
      <c r="IZ82" s="74"/>
      <c r="JA82" s="74"/>
      <c r="JB82" s="74"/>
      <c r="JC82" s="74"/>
      <c r="JD82" s="74"/>
      <c r="JE82" s="74"/>
      <c r="JF82" s="74"/>
      <c r="JG82" s="74"/>
      <c r="JH82" s="74"/>
      <c r="JI82" s="74"/>
      <c r="JJ82" s="74"/>
      <c r="JK82" s="74"/>
      <c r="JL82" s="74"/>
      <c r="JM82" s="74"/>
      <c r="JN82" s="74"/>
      <c r="JO82" s="74"/>
      <c r="JP82" s="74"/>
      <c r="JQ82" s="74"/>
      <c r="JR82" s="74"/>
      <c r="JS82" s="74"/>
      <c r="JT82" s="74"/>
      <c r="JU82" s="74"/>
      <c r="JV82" s="74"/>
      <c r="JW82" s="74"/>
      <c r="JX82" s="74"/>
      <c r="JY82" s="74"/>
      <c r="JZ82" s="74"/>
      <c r="KA82" s="74"/>
      <c r="KB82" s="74"/>
      <c r="KC82" s="74"/>
      <c r="KD82" s="74"/>
      <c r="KE82" s="74"/>
      <c r="KF82" s="74"/>
      <c r="KG82" s="74"/>
      <c r="KH82" s="74"/>
      <c r="KI82" s="74"/>
      <c r="KJ82" s="74"/>
      <c r="KK82" s="74"/>
      <c r="KL82" s="74"/>
      <c r="KM82" s="74"/>
      <c r="KN82" s="74"/>
      <c r="KO82" s="74"/>
      <c r="KP82" s="74"/>
      <c r="KQ82" s="74"/>
      <c r="KR82" s="74"/>
      <c r="KS82" s="74"/>
      <c r="KT82" s="74"/>
      <c r="KU82" s="74"/>
      <c r="KV82" s="74"/>
      <c r="KW82" s="74"/>
      <c r="KX82" s="74"/>
      <c r="KY82" s="74"/>
      <c r="KZ82" s="74"/>
      <c r="LA82" s="74"/>
      <c r="LB82" s="74"/>
      <c r="LC82" s="74"/>
      <c r="LD82" s="74"/>
      <c r="LE82" s="74"/>
      <c r="LF82" s="74"/>
      <c r="LG82" s="74"/>
      <c r="LH82" s="74"/>
      <c r="LI82" s="74"/>
      <c r="LJ82" s="74"/>
      <c r="LK82" s="74"/>
      <c r="LL82" s="74"/>
      <c r="LM82" s="74"/>
      <c r="LN82" s="74"/>
      <c r="LO82" s="74"/>
      <c r="LP82" s="74"/>
      <c r="LQ82" s="74"/>
      <c r="LR82" s="74"/>
      <c r="LS82" s="74"/>
      <c r="LT82" s="74"/>
      <c r="LU82" s="74"/>
      <c r="LV82" s="74"/>
      <c r="LW82" s="74"/>
      <c r="LX82" s="74"/>
      <c r="LY82" s="74"/>
      <c r="LZ82" s="74"/>
      <c r="MA82" s="74"/>
      <c r="MB82" s="74"/>
      <c r="MC82" s="74"/>
      <c r="MD82" s="74"/>
      <c r="ME82" s="74"/>
      <c r="MF82" s="74"/>
      <c r="MG82" s="74"/>
      <c r="MH82" s="74"/>
      <c r="MI82" s="74"/>
      <c r="MJ82" s="74"/>
      <c r="MK82" s="74"/>
      <c r="ML82" s="74"/>
      <c r="MM82" s="74"/>
      <c r="MN82" s="74"/>
      <c r="MO82" s="74"/>
      <c r="MP82" s="74"/>
      <c r="MQ82" s="74"/>
      <c r="MR82" s="74"/>
      <c r="MS82" s="74"/>
      <c r="MT82" s="74"/>
      <c r="MU82" s="74"/>
      <c r="MV82" s="74"/>
      <c r="MW82" s="74"/>
      <c r="MX82" s="74"/>
      <c r="MY82" s="74"/>
      <c r="MZ82" s="74"/>
      <c r="NA82" s="74"/>
      <c r="NB82" s="74"/>
      <c r="NC82" s="74"/>
      <c r="ND82" s="74"/>
      <c r="NE82" s="74"/>
      <c r="NF82" s="74"/>
      <c r="NG82" s="74"/>
      <c r="NH82" s="74"/>
      <c r="NI82" s="74"/>
      <c r="NJ82" s="74"/>
      <c r="NK82" s="74"/>
      <c r="NL82" s="74"/>
      <c r="NM82" s="74"/>
      <c r="NN82" s="74"/>
      <c r="NO82" s="74"/>
      <c r="NP82" s="74"/>
      <c r="NQ82" s="74"/>
      <c r="NR82" s="74"/>
      <c r="NS82" s="74"/>
      <c r="NT82" s="74"/>
      <c r="NU82" s="74"/>
      <c r="NV82" s="74"/>
      <c r="NW82" s="74"/>
      <c r="NX82" s="74"/>
      <c r="NY82" s="74"/>
      <c r="NZ82" s="74"/>
      <c r="OA82" s="74"/>
      <c r="OB82" s="74"/>
      <c r="OC82" s="74"/>
      <c r="OD82" s="74"/>
      <c r="OE82" s="74"/>
      <c r="OF82" s="74"/>
      <c r="OG82" s="74"/>
      <c r="OH82" s="74"/>
      <c r="OI82" s="74"/>
      <c r="OJ82" s="74"/>
      <c r="OK82" s="74"/>
      <c r="OL82" s="74"/>
      <c r="OM82" s="74"/>
      <c r="ON82" s="74"/>
      <c r="OO82" s="74"/>
      <c r="OP82" s="74"/>
      <c r="OQ82" s="74"/>
      <c r="OR82" s="74"/>
      <c r="OS82" s="74"/>
      <c r="OT82" s="74"/>
      <c r="OU82" s="74"/>
      <c r="OV82" s="74"/>
      <c r="OW82" s="74"/>
      <c r="OX82" s="74"/>
      <c r="OY82" s="74"/>
      <c r="OZ82" s="74"/>
      <c r="PA82" s="74"/>
      <c r="PB82" s="74"/>
      <c r="PC82" s="74"/>
      <c r="PD82" s="74"/>
      <c r="PE82" s="74"/>
      <c r="PF82" s="74"/>
      <c r="PG82" s="74"/>
      <c r="PH82" s="74"/>
      <c r="PI82" s="74"/>
      <c r="PJ82" s="74"/>
      <c r="PK82" s="74"/>
      <c r="PL82" s="74"/>
      <c r="PM82" s="74"/>
      <c r="PN82" s="74"/>
      <c r="PO82" s="74"/>
      <c r="PP82" s="74"/>
      <c r="PQ82" s="74"/>
      <c r="PR82" s="74"/>
      <c r="PS82" s="74"/>
      <c r="PT82" s="74"/>
      <c r="PU82" s="74"/>
      <c r="PV82" s="74"/>
      <c r="PW82" s="74"/>
      <c r="PX82" s="74"/>
      <c r="PY82" s="74"/>
      <c r="PZ82" s="74"/>
      <c r="QA82" s="74"/>
      <c r="QB82" s="74"/>
      <c r="QC82" s="74"/>
      <c r="QD82" s="74"/>
      <c r="QE82" s="74"/>
      <c r="QF82" s="74"/>
      <c r="QG82" s="74"/>
      <c r="QH82" s="74"/>
      <c r="QI82" s="74"/>
      <c r="QJ82" s="74"/>
      <c r="QK82" s="74"/>
      <c r="QL82" s="74"/>
      <c r="QM82" s="74"/>
      <c r="QN82" s="74"/>
      <c r="QO82" s="74"/>
      <c r="QP82" s="74"/>
      <c r="QQ82" s="74"/>
      <c r="QR82" s="74"/>
      <c r="QS82" s="74"/>
      <c r="QT82" s="74"/>
      <c r="QU82" s="74"/>
      <c r="QV82" s="74"/>
      <c r="QW82" s="74"/>
      <c r="QX82" s="74"/>
      <c r="QY82" s="74"/>
      <c r="QZ82" s="74"/>
      <c r="RA82" s="74"/>
      <c r="RB82" s="74"/>
      <c r="RC82" s="74"/>
      <c r="RD82" s="74"/>
      <c r="RE82" s="74"/>
      <c r="RF82" s="74"/>
      <c r="RG82" s="74"/>
      <c r="RH82" s="74"/>
      <c r="RI82" s="74"/>
      <c r="RJ82" s="74"/>
      <c r="RK82" s="74"/>
      <c r="RL82" s="74"/>
      <c r="RM82" s="74"/>
      <c r="RN82" s="74"/>
      <c r="RO82" s="74"/>
      <c r="RP82" s="74"/>
      <c r="RQ82" s="74"/>
      <c r="RR82" s="74"/>
      <c r="RS82" s="74"/>
      <c r="RT82" s="74"/>
      <c r="RU82" s="74"/>
      <c r="RV82" s="74"/>
      <c r="RW82" s="74"/>
      <c r="RX82" s="74"/>
      <c r="RY82" s="74"/>
      <c r="RZ82" s="74"/>
      <c r="SA82" s="74"/>
      <c r="SB82" s="74"/>
      <c r="SC82" s="74"/>
      <c r="SD82" s="74"/>
      <c r="SE82" s="74"/>
      <c r="SF82" s="74"/>
      <c r="SG82" s="74"/>
      <c r="SH82" s="74"/>
      <c r="SI82" s="74"/>
      <c r="SJ82" s="74"/>
      <c r="SK82" s="74"/>
      <c r="SL82" s="74"/>
      <c r="SM82" s="74"/>
      <c r="SN82" s="74"/>
      <c r="SO82" s="74"/>
      <c r="SP82" s="74"/>
      <c r="SQ82" s="74"/>
      <c r="SR82" s="74"/>
      <c r="SS82" s="74"/>
      <c r="ST82" s="74"/>
      <c r="SU82" s="74"/>
      <c r="SV82" s="74"/>
      <c r="SW82" s="74"/>
      <c r="SX82" s="74"/>
      <c r="SY82" s="74"/>
      <c r="SZ82" s="74"/>
      <c r="TA82" s="74"/>
      <c r="TB82" s="74"/>
      <c r="TC82" s="74"/>
      <c r="TD82" s="74"/>
      <c r="TE82" s="74"/>
      <c r="TF82" s="74"/>
      <c r="TG82" s="74"/>
      <c r="TH82" s="74"/>
      <c r="TI82" s="74"/>
      <c r="TJ82" s="74"/>
      <c r="TK82" s="74"/>
      <c r="TL82" s="74"/>
      <c r="TM82" s="74"/>
      <c r="TN82" s="74"/>
      <c r="TO82" s="74"/>
      <c r="TP82" s="74"/>
      <c r="TQ82" s="74"/>
      <c r="TR82" s="74"/>
      <c r="TS82" s="74"/>
      <c r="TT82" s="74"/>
      <c r="TU82" s="74"/>
      <c r="TV82" s="74"/>
      <c r="TW82" s="74"/>
      <c r="TX82" s="74"/>
      <c r="TY82" s="74"/>
      <c r="TZ82" s="74"/>
      <c r="UA82" s="74"/>
      <c r="UB82" s="74"/>
      <c r="UC82" s="74"/>
      <c r="UD82" s="74"/>
      <c r="UE82" s="74"/>
    </row>
    <row r="83" spans="1:551" s="101" customFormat="1" x14ac:dyDescent="0.25">
      <c r="A83" s="220"/>
      <c r="B83" s="74"/>
      <c r="C83" s="74"/>
      <c r="D83" s="74"/>
      <c r="E83" s="74"/>
      <c r="F83" s="74"/>
      <c r="G83" s="74"/>
      <c r="H83" s="74"/>
      <c r="I83" s="74"/>
      <c r="J83" s="74"/>
      <c r="K83" s="74"/>
      <c r="L83" s="74"/>
      <c r="M83" s="74"/>
      <c r="N83" s="74"/>
      <c r="O83" s="74"/>
      <c r="P83" s="74"/>
      <c r="Q83" s="74"/>
      <c r="R83" s="74"/>
      <c r="S83" s="74"/>
      <c r="T83" s="74"/>
      <c r="U83" s="74"/>
      <c r="V83" s="74"/>
      <c r="W83" s="74"/>
      <c r="X83" s="74"/>
      <c r="Y83" s="74"/>
      <c r="Z83" s="74"/>
      <c r="AA83" s="74"/>
      <c r="AB83" s="74"/>
      <c r="AC83" s="74"/>
      <c r="AD83" s="74"/>
      <c r="AE83" s="74"/>
      <c r="AF83" s="74"/>
      <c r="AG83" s="74"/>
      <c r="AH83" s="74"/>
      <c r="AI83" s="74"/>
      <c r="AJ83" s="74"/>
      <c r="AK83" s="74"/>
      <c r="AL83" s="74"/>
      <c r="AM83" s="74"/>
      <c r="AN83" s="74"/>
      <c r="AO83" s="74"/>
      <c r="AP83" s="74"/>
      <c r="AQ83" s="74"/>
      <c r="AR83" s="74"/>
      <c r="AS83" s="74"/>
      <c r="AT83" s="74"/>
      <c r="AU83" s="74"/>
      <c r="AV83" s="74"/>
      <c r="AW83" s="74"/>
      <c r="AX83" s="74"/>
      <c r="AY83" s="74"/>
      <c r="AZ83" s="74"/>
      <c r="BA83" s="74"/>
      <c r="BB83" s="74"/>
      <c r="BC83" s="74"/>
      <c r="BD83" s="74"/>
      <c r="BE83" s="74"/>
      <c r="BF83" s="74"/>
      <c r="BG83" s="74"/>
      <c r="BH83" s="74"/>
      <c r="BI83" s="74"/>
      <c r="BJ83" s="74"/>
      <c r="BK83" s="74"/>
      <c r="BL83" s="74"/>
      <c r="BM83" s="74"/>
      <c r="BN83" s="74"/>
      <c r="BO83" s="74"/>
      <c r="BP83" s="74"/>
      <c r="BQ83" s="74"/>
      <c r="BR83" s="74"/>
      <c r="BS83" s="74"/>
      <c r="BT83" s="74"/>
      <c r="BU83" s="74"/>
      <c r="BV83" s="74"/>
      <c r="BW83" s="74"/>
      <c r="BX83" s="74"/>
      <c r="BY83" s="74"/>
      <c r="BZ83" s="74"/>
      <c r="CA83" s="74"/>
      <c r="CB83" s="74"/>
      <c r="CC83" s="74"/>
      <c r="CD83" s="74"/>
      <c r="CE83" s="74"/>
      <c r="CF83" s="74"/>
      <c r="CG83" s="74"/>
      <c r="CH83" s="74"/>
      <c r="CI83" s="74"/>
      <c r="CJ83" s="74"/>
      <c r="CK83" s="74"/>
      <c r="CL83" s="74"/>
      <c r="CM83" s="74"/>
      <c r="CN83" s="74"/>
      <c r="CO83" s="74"/>
      <c r="CP83" s="74"/>
      <c r="CQ83" s="74"/>
      <c r="CR83" s="74"/>
      <c r="CS83" s="74"/>
      <c r="CT83" s="74"/>
      <c r="CU83" s="74"/>
      <c r="CV83" s="74"/>
      <c r="CW83" s="74"/>
      <c r="CX83" s="74"/>
      <c r="CY83" s="74"/>
      <c r="CZ83" s="74"/>
      <c r="DA83" s="74"/>
      <c r="DB83" s="74"/>
      <c r="DC83" s="74"/>
      <c r="DD83" s="74"/>
      <c r="DE83" s="74"/>
      <c r="DF83" s="74"/>
      <c r="DG83" s="74"/>
      <c r="DH83" s="74"/>
      <c r="DI83" s="74"/>
      <c r="DJ83" s="74"/>
      <c r="DK83" s="74"/>
      <c r="DL83" s="74"/>
      <c r="DM83" s="74"/>
      <c r="DN83" s="74"/>
      <c r="DO83" s="74"/>
      <c r="DP83" s="74"/>
      <c r="DQ83" s="74"/>
      <c r="DR83" s="74"/>
      <c r="DS83" s="74"/>
      <c r="DT83" s="74"/>
      <c r="DU83" s="74"/>
      <c r="DV83" s="74"/>
      <c r="DW83" s="74"/>
      <c r="DX83" s="74"/>
      <c r="DY83" s="74"/>
      <c r="DZ83" s="74"/>
      <c r="EA83" s="74"/>
      <c r="EB83" s="74"/>
      <c r="EC83" s="74"/>
      <c r="ED83" s="74"/>
      <c r="EE83" s="74"/>
      <c r="EF83" s="74"/>
      <c r="EG83" s="74"/>
      <c r="EH83" s="74"/>
      <c r="EI83" s="74"/>
      <c r="EJ83" s="74"/>
      <c r="EK83" s="74"/>
      <c r="EL83" s="74"/>
      <c r="EM83" s="74"/>
      <c r="EN83" s="74"/>
      <c r="EO83" s="74"/>
      <c r="EP83" s="74"/>
      <c r="EQ83" s="74"/>
      <c r="ER83" s="74"/>
      <c r="ES83" s="74"/>
      <c r="ET83" s="74"/>
      <c r="EU83" s="74"/>
      <c r="EV83" s="74"/>
      <c r="EW83" s="74"/>
      <c r="EX83" s="74"/>
      <c r="EY83" s="74"/>
      <c r="EZ83" s="74"/>
      <c r="FA83" s="74"/>
      <c r="FB83" s="74"/>
      <c r="FC83" s="74"/>
      <c r="FD83" s="74"/>
      <c r="FE83" s="74"/>
      <c r="FF83" s="74"/>
      <c r="FG83" s="74"/>
      <c r="FH83" s="74"/>
      <c r="FI83" s="74"/>
      <c r="FJ83" s="74"/>
      <c r="FK83" s="74"/>
      <c r="FL83" s="74"/>
      <c r="FM83" s="74"/>
      <c r="FN83" s="74"/>
      <c r="FO83" s="74"/>
      <c r="FP83" s="74"/>
      <c r="FQ83" s="74"/>
      <c r="FR83" s="74"/>
      <c r="FS83" s="74"/>
      <c r="FT83" s="74"/>
      <c r="FU83" s="74"/>
      <c r="FV83" s="74"/>
      <c r="FW83" s="74"/>
      <c r="FX83" s="74"/>
      <c r="FY83" s="74"/>
      <c r="FZ83" s="74"/>
      <c r="GA83" s="74"/>
      <c r="GB83" s="74"/>
      <c r="GC83" s="74"/>
      <c r="GD83" s="74"/>
      <c r="GE83" s="74"/>
      <c r="GF83" s="74"/>
      <c r="GG83" s="74"/>
      <c r="GH83" s="74"/>
      <c r="GI83" s="74"/>
      <c r="GJ83" s="74"/>
      <c r="GK83" s="74"/>
      <c r="GL83" s="74"/>
      <c r="GM83" s="74"/>
      <c r="GN83" s="74"/>
      <c r="GO83" s="74"/>
      <c r="GP83" s="74"/>
      <c r="GQ83" s="74"/>
      <c r="GR83" s="74"/>
      <c r="GS83" s="74"/>
      <c r="GT83" s="74"/>
      <c r="GU83" s="74"/>
      <c r="GV83" s="74"/>
      <c r="GW83" s="74"/>
      <c r="GX83" s="74"/>
      <c r="GY83" s="74"/>
      <c r="GZ83" s="74"/>
      <c r="HA83" s="74"/>
      <c r="HB83" s="74"/>
      <c r="HC83" s="74"/>
      <c r="HD83" s="74"/>
      <c r="HE83" s="74"/>
      <c r="HF83" s="74"/>
      <c r="HG83" s="74"/>
      <c r="HH83" s="74"/>
      <c r="HI83" s="74"/>
      <c r="HJ83" s="74"/>
      <c r="HK83" s="74"/>
      <c r="HL83" s="74"/>
      <c r="HM83" s="74"/>
      <c r="HN83" s="74"/>
      <c r="HO83" s="74"/>
      <c r="HP83" s="74"/>
      <c r="HQ83" s="74"/>
      <c r="HR83" s="74"/>
      <c r="HS83" s="74"/>
      <c r="HT83" s="74"/>
      <c r="HU83" s="74"/>
      <c r="HV83" s="74"/>
      <c r="HW83" s="74"/>
      <c r="HX83" s="74"/>
      <c r="HY83" s="74"/>
      <c r="HZ83" s="74"/>
      <c r="IA83" s="74"/>
      <c r="IB83" s="74"/>
      <c r="IC83" s="74"/>
      <c r="ID83" s="74"/>
      <c r="IE83" s="74"/>
      <c r="IF83" s="74"/>
      <c r="IG83" s="74"/>
      <c r="IH83" s="74"/>
      <c r="II83" s="74"/>
      <c r="IJ83" s="74"/>
      <c r="IK83" s="74"/>
      <c r="IL83" s="74"/>
      <c r="IM83" s="74"/>
      <c r="IN83" s="74"/>
      <c r="IO83" s="74"/>
      <c r="IP83" s="74"/>
      <c r="IQ83" s="74"/>
      <c r="IR83" s="74"/>
      <c r="IS83" s="74"/>
      <c r="IT83" s="74"/>
      <c r="IU83" s="74"/>
      <c r="IV83" s="74"/>
      <c r="IW83" s="74"/>
      <c r="IX83" s="74"/>
      <c r="IY83" s="74"/>
      <c r="IZ83" s="74"/>
      <c r="JA83" s="74"/>
      <c r="JB83" s="74"/>
      <c r="JC83" s="74"/>
      <c r="JD83" s="74"/>
      <c r="JE83" s="74"/>
      <c r="JF83" s="74"/>
      <c r="JG83" s="74"/>
      <c r="JH83" s="74"/>
      <c r="JI83" s="74"/>
      <c r="JJ83" s="74"/>
      <c r="JK83" s="74"/>
      <c r="JL83" s="74"/>
      <c r="JM83" s="74"/>
      <c r="JN83" s="74"/>
      <c r="JO83" s="74"/>
      <c r="JP83" s="74"/>
      <c r="JQ83" s="74"/>
      <c r="JR83" s="74"/>
      <c r="JS83" s="74"/>
      <c r="JT83" s="74"/>
      <c r="JU83" s="74"/>
      <c r="JV83" s="74"/>
      <c r="JW83" s="74"/>
      <c r="JX83" s="74"/>
      <c r="JY83" s="74"/>
      <c r="JZ83" s="74"/>
      <c r="KA83" s="74"/>
      <c r="KB83" s="74"/>
      <c r="KC83" s="74"/>
      <c r="KD83" s="74"/>
      <c r="KE83" s="74"/>
      <c r="KF83" s="74"/>
      <c r="KG83" s="74"/>
      <c r="KH83" s="74"/>
      <c r="KI83" s="74"/>
      <c r="KJ83" s="74"/>
      <c r="KK83" s="74"/>
      <c r="KL83" s="74"/>
      <c r="KM83" s="74"/>
      <c r="KN83" s="74"/>
      <c r="KO83" s="74"/>
      <c r="KP83" s="74"/>
      <c r="KQ83" s="74"/>
      <c r="KR83" s="74"/>
      <c r="KS83" s="74"/>
      <c r="KT83" s="74"/>
      <c r="KU83" s="74"/>
      <c r="KV83" s="74"/>
      <c r="KW83" s="74"/>
      <c r="KX83" s="74"/>
      <c r="KY83" s="74"/>
      <c r="KZ83" s="74"/>
      <c r="LA83" s="74"/>
      <c r="LB83" s="74"/>
      <c r="LC83" s="74"/>
      <c r="LD83" s="74"/>
      <c r="LE83" s="74"/>
      <c r="LF83" s="74"/>
      <c r="LG83" s="74"/>
      <c r="LH83" s="74"/>
      <c r="LI83" s="74"/>
      <c r="LJ83" s="74"/>
      <c r="LK83" s="74"/>
      <c r="LL83" s="74"/>
      <c r="LM83" s="74"/>
      <c r="LN83" s="74"/>
      <c r="LO83" s="74"/>
      <c r="LP83" s="74"/>
      <c r="LQ83" s="74"/>
      <c r="LR83" s="74"/>
      <c r="LS83" s="74"/>
      <c r="LT83" s="74"/>
      <c r="LU83" s="74"/>
      <c r="LV83" s="74"/>
      <c r="LW83" s="74"/>
      <c r="LX83" s="74"/>
      <c r="LY83" s="74"/>
      <c r="LZ83" s="74"/>
      <c r="MA83" s="74"/>
      <c r="MB83" s="74"/>
      <c r="MC83" s="74"/>
      <c r="MD83" s="74"/>
      <c r="ME83" s="74"/>
      <c r="MF83" s="74"/>
      <c r="MG83" s="74"/>
      <c r="MH83" s="74"/>
      <c r="MI83" s="74"/>
      <c r="MJ83" s="74"/>
      <c r="MK83" s="74"/>
      <c r="ML83" s="74"/>
      <c r="MM83" s="74"/>
      <c r="MN83" s="74"/>
      <c r="MO83" s="74"/>
      <c r="MP83" s="74"/>
      <c r="MQ83" s="74"/>
      <c r="MR83" s="74"/>
      <c r="MS83" s="74"/>
      <c r="MT83" s="74"/>
      <c r="MU83" s="74"/>
      <c r="MV83" s="74"/>
      <c r="MW83" s="74"/>
      <c r="MX83" s="74"/>
      <c r="MY83" s="74"/>
      <c r="MZ83" s="74"/>
      <c r="NA83" s="74"/>
      <c r="NB83" s="74"/>
      <c r="NC83" s="74"/>
      <c r="ND83" s="74"/>
      <c r="NE83" s="74"/>
      <c r="NF83" s="74"/>
      <c r="NG83" s="74"/>
      <c r="NH83" s="74"/>
      <c r="NI83" s="74"/>
      <c r="NJ83" s="74"/>
      <c r="NK83" s="74"/>
      <c r="NL83" s="74"/>
      <c r="NM83" s="74"/>
      <c r="NN83" s="74"/>
      <c r="NO83" s="74"/>
      <c r="NP83" s="74"/>
      <c r="NQ83" s="74"/>
      <c r="NR83" s="74"/>
      <c r="NS83" s="74"/>
      <c r="NT83" s="74"/>
      <c r="NU83" s="74"/>
      <c r="NV83" s="74"/>
      <c r="NW83" s="74"/>
      <c r="NX83" s="74"/>
      <c r="NY83" s="74"/>
      <c r="NZ83" s="74"/>
      <c r="OA83" s="74"/>
      <c r="OB83" s="74"/>
      <c r="OC83" s="74"/>
      <c r="OD83" s="74"/>
      <c r="OE83" s="74"/>
      <c r="OF83" s="74"/>
      <c r="OG83" s="74"/>
      <c r="OH83" s="74"/>
      <c r="OI83" s="74"/>
      <c r="OJ83" s="74"/>
      <c r="OK83" s="74"/>
      <c r="OL83" s="74"/>
      <c r="OM83" s="74"/>
      <c r="ON83" s="74"/>
      <c r="OO83" s="74"/>
      <c r="OP83" s="74"/>
      <c r="OQ83" s="74"/>
      <c r="OR83" s="74"/>
      <c r="OS83" s="74"/>
      <c r="OT83" s="74"/>
      <c r="OU83" s="74"/>
      <c r="OV83" s="74"/>
      <c r="OW83" s="74"/>
      <c r="OX83" s="74"/>
      <c r="OY83" s="74"/>
      <c r="OZ83" s="74"/>
      <c r="PA83" s="74"/>
      <c r="PB83" s="74"/>
      <c r="PC83" s="74"/>
      <c r="PD83" s="74"/>
      <c r="PE83" s="74"/>
      <c r="PF83" s="74"/>
      <c r="PG83" s="74"/>
      <c r="PH83" s="74"/>
      <c r="PI83" s="74"/>
      <c r="PJ83" s="74"/>
      <c r="PK83" s="74"/>
      <c r="PL83" s="74"/>
      <c r="PM83" s="74"/>
      <c r="PN83" s="74"/>
      <c r="PO83" s="74"/>
      <c r="PP83" s="74"/>
      <c r="PQ83" s="74"/>
      <c r="PR83" s="74"/>
      <c r="PS83" s="74"/>
      <c r="PT83" s="74"/>
      <c r="PU83" s="74"/>
      <c r="PV83" s="74"/>
      <c r="PW83" s="74"/>
      <c r="PX83" s="74"/>
      <c r="PY83" s="74"/>
      <c r="PZ83" s="74"/>
      <c r="QA83" s="74"/>
      <c r="QB83" s="74"/>
      <c r="QC83" s="74"/>
      <c r="QD83" s="74"/>
      <c r="QE83" s="74"/>
      <c r="QF83" s="74"/>
      <c r="QG83" s="74"/>
      <c r="QH83" s="74"/>
      <c r="QI83" s="74"/>
      <c r="QJ83" s="74"/>
      <c r="QK83" s="74"/>
      <c r="QL83" s="74"/>
      <c r="QM83" s="74"/>
      <c r="QN83" s="74"/>
      <c r="QO83" s="74"/>
      <c r="QP83" s="74"/>
      <c r="QQ83" s="74"/>
      <c r="QR83" s="74"/>
      <c r="QS83" s="74"/>
      <c r="QT83" s="74"/>
      <c r="QU83" s="74"/>
      <c r="QV83" s="74"/>
      <c r="QW83" s="74"/>
      <c r="QX83" s="74"/>
      <c r="QY83" s="74"/>
      <c r="QZ83" s="74"/>
      <c r="RA83" s="74"/>
      <c r="RB83" s="74"/>
      <c r="RC83" s="74"/>
      <c r="RD83" s="74"/>
      <c r="RE83" s="74"/>
      <c r="RF83" s="74"/>
      <c r="RG83" s="74"/>
      <c r="RH83" s="74"/>
      <c r="RI83" s="74"/>
      <c r="RJ83" s="74"/>
      <c r="RK83" s="74"/>
      <c r="RL83" s="74"/>
      <c r="RM83" s="74"/>
      <c r="RN83" s="74"/>
      <c r="RO83" s="74"/>
      <c r="RP83" s="74"/>
      <c r="RQ83" s="74"/>
      <c r="RR83" s="74"/>
      <c r="RS83" s="74"/>
      <c r="RT83" s="74"/>
      <c r="RU83" s="74"/>
      <c r="RV83" s="74"/>
      <c r="RW83" s="74"/>
      <c r="RX83" s="74"/>
      <c r="RY83" s="74"/>
      <c r="RZ83" s="74"/>
      <c r="SA83" s="74"/>
      <c r="SB83" s="74"/>
      <c r="SC83" s="74"/>
      <c r="SD83" s="74"/>
      <c r="SE83" s="74"/>
      <c r="SF83" s="74"/>
      <c r="SG83" s="74"/>
      <c r="SH83" s="74"/>
      <c r="SI83" s="74"/>
      <c r="SJ83" s="74"/>
      <c r="SK83" s="74"/>
      <c r="SL83" s="74"/>
      <c r="SM83" s="74"/>
      <c r="SN83" s="74"/>
      <c r="SO83" s="74"/>
      <c r="SP83" s="74"/>
      <c r="SQ83" s="74"/>
      <c r="SR83" s="74"/>
      <c r="SS83" s="74"/>
      <c r="ST83" s="74"/>
      <c r="SU83" s="74"/>
      <c r="SV83" s="74"/>
      <c r="SW83" s="74"/>
      <c r="SX83" s="74"/>
      <c r="SY83" s="74"/>
      <c r="SZ83" s="74"/>
      <c r="TA83" s="74"/>
      <c r="TB83" s="74"/>
      <c r="TC83" s="74"/>
      <c r="TD83" s="74"/>
      <c r="TE83" s="74"/>
      <c r="TF83" s="74"/>
      <c r="TG83" s="74"/>
      <c r="TH83" s="74"/>
      <c r="TI83" s="74"/>
      <c r="TJ83" s="74"/>
      <c r="TK83" s="74"/>
      <c r="TL83" s="74"/>
      <c r="TM83" s="74"/>
      <c r="TN83" s="74"/>
      <c r="TO83" s="74"/>
      <c r="TP83" s="74"/>
      <c r="TQ83" s="74"/>
      <c r="TR83" s="74"/>
      <c r="TS83" s="74"/>
      <c r="TT83" s="74"/>
      <c r="TU83" s="74"/>
      <c r="TV83" s="74"/>
      <c r="TW83" s="74"/>
      <c r="TX83" s="74"/>
      <c r="TY83" s="74"/>
      <c r="TZ83" s="74"/>
      <c r="UA83" s="74"/>
      <c r="UB83" s="74"/>
      <c r="UC83" s="74"/>
      <c r="UD83" s="74"/>
      <c r="UE83" s="74"/>
    </row>
    <row r="84" spans="1:551" s="101" customFormat="1" x14ac:dyDescent="0.25">
      <c r="A84" s="220"/>
      <c r="B84" s="74"/>
      <c r="C84" s="74"/>
      <c r="D84" s="74"/>
      <c r="E84" s="74"/>
      <c r="F84" s="74"/>
      <c r="G84" s="74"/>
      <c r="H84" s="74"/>
      <c r="I84" s="74"/>
      <c r="J84" s="74"/>
      <c r="K84" s="74"/>
      <c r="L84" s="74"/>
      <c r="M84" s="74"/>
      <c r="N84" s="74"/>
      <c r="O84" s="74"/>
      <c r="P84" s="74"/>
      <c r="Q84" s="74"/>
      <c r="R84" s="74"/>
      <c r="S84" s="74"/>
      <c r="T84" s="74"/>
      <c r="U84" s="74"/>
      <c r="V84" s="74"/>
      <c r="W84" s="74"/>
      <c r="X84" s="74"/>
      <c r="Y84" s="74"/>
      <c r="Z84" s="74"/>
      <c r="AA84" s="74"/>
      <c r="AB84" s="74"/>
      <c r="AC84" s="74"/>
      <c r="AD84" s="74"/>
      <c r="AE84" s="74"/>
      <c r="AF84" s="74"/>
      <c r="AG84" s="74"/>
      <c r="AH84" s="74"/>
      <c r="AI84" s="74"/>
      <c r="AJ84" s="74"/>
      <c r="AK84" s="74"/>
      <c r="AL84" s="74"/>
      <c r="AM84" s="74"/>
      <c r="AN84" s="74"/>
      <c r="AO84" s="74"/>
      <c r="AP84" s="74"/>
      <c r="AQ84" s="74"/>
      <c r="AR84" s="74"/>
      <c r="AS84" s="74"/>
      <c r="AT84" s="74"/>
      <c r="AU84" s="74"/>
      <c r="AV84" s="74"/>
      <c r="AW84" s="74"/>
      <c r="AX84" s="74"/>
      <c r="AY84" s="74"/>
      <c r="AZ84" s="74"/>
      <c r="BA84" s="74"/>
      <c r="BB84" s="74"/>
      <c r="BC84" s="74"/>
      <c r="BD84" s="74"/>
      <c r="BE84" s="74"/>
      <c r="BF84" s="74"/>
      <c r="BG84" s="74"/>
      <c r="BH84" s="74"/>
      <c r="BI84" s="74"/>
      <c r="BJ84" s="74"/>
      <c r="BK84" s="74"/>
      <c r="BL84" s="74"/>
      <c r="BM84" s="74"/>
      <c r="BN84" s="74"/>
      <c r="BO84" s="74"/>
      <c r="BP84" s="74"/>
      <c r="BQ84" s="74"/>
      <c r="BR84" s="74"/>
      <c r="BS84" s="74"/>
      <c r="BT84" s="74"/>
      <c r="BU84" s="74"/>
      <c r="BV84" s="74"/>
      <c r="BW84" s="74"/>
      <c r="BX84" s="74"/>
      <c r="BY84" s="74"/>
      <c r="BZ84" s="74"/>
      <c r="CA84" s="74"/>
      <c r="CB84" s="74"/>
      <c r="CC84" s="74"/>
      <c r="CD84" s="74"/>
      <c r="CE84" s="74"/>
      <c r="CF84" s="74"/>
      <c r="CG84" s="74"/>
      <c r="CH84" s="74"/>
      <c r="CI84" s="74"/>
      <c r="CJ84" s="74"/>
      <c r="CK84" s="74"/>
      <c r="CL84" s="74"/>
      <c r="CM84" s="74"/>
      <c r="CN84" s="74"/>
      <c r="CO84" s="74"/>
      <c r="CP84" s="74"/>
      <c r="CQ84" s="74"/>
      <c r="CR84" s="74"/>
      <c r="CS84" s="74"/>
      <c r="CT84" s="74"/>
      <c r="CU84" s="74"/>
      <c r="CV84" s="74"/>
      <c r="CW84" s="74"/>
      <c r="CX84" s="74"/>
      <c r="CY84" s="74"/>
      <c r="CZ84" s="74"/>
      <c r="DA84" s="74"/>
      <c r="DB84" s="74"/>
      <c r="DC84" s="74"/>
      <c r="DD84" s="74"/>
      <c r="DE84" s="74"/>
      <c r="DF84" s="74"/>
      <c r="DG84" s="74"/>
      <c r="DH84" s="74"/>
      <c r="DI84" s="74"/>
      <c r="DJ84" s="74"/>
      <c r="DK84" s="74"/>
      <c r="DL84" s="74"/>
      <c r="DM84" s="74"/>
      <c r="DN84" s="74"/>
      <c r="DO84" s="74"/>
      <c r="DP84" s="74"/>
      <c r="DQ84" s="74"/>
      <c r="DR84" s="74"/>
      <c r="DS84" s="74"/>
      <c r="DT84" s="74"/>
      <c r="DU84" s="74"/>
      <c r="DV84" s="74"/>
      <c r="DW84" s="74"/>
      <c r="DX84" s="74"/>
      <c r="DY84" s="74"/>
      <c r="DZ84" s="74"/>
      <c r="EA84" s="74"/>
      <c r="EB84" s="74"/>
      <c r="EC84" s="74"/>
      <c r="ED84" s="74"/>
      <c r="EE84" s="74"/>
      <c r="EF84" s="74"/>
      <c r="EG84" s="74"/>
      <c r="EH84" s="74"/>
      <c r="EI84" s="74"/>
      <c r="EJ84" s="74"/>
      <c r="EK84" s="74"/>
      <c r="EL84" s="74"/>
      <c r="EM84" s="74"/>
      <c r="EN84" s="74"/>
      <c r="EO84" s="74"/>
      <c r="EP84" s="74"/>
      <c r="EQ84" s="74"/>
      <c r="ER84" s="74"/>
      <c r="ES84" s="74"/>
      <c r="ET84" s="74"/>
      <c r="EU84" s="74"/>
      <c r="EV84" s="74"/>
      <c r="EW84" s="74"/>
      <c r="EX84" s="74"/>
      <c r="EY84" s="74"/>
      <c r="EZ84" s="74"/>
      <c r="FA84" s="74"/>
      <c r="FB84" s="74"/>
      <c r="FC84" s="74"/>
      <c r="FD84" s="74"/>
      <c r="FE84" s="74"/>
      <c r="FF84" s="74"/>
      <c r="FG84" s="74"/>
      <c r="FH84" s="74"/>
      <c r="FI84" s="74"/>
      <c r="FJ84" s="74"/>
      <c r="FK84" s="74"/>
      <c r="FL84" s="74"/>
      <c r="FM84" s="74"/>
      <c r="FN84" s="74"/>
      <c r="FO84" s="74"/>
      <c r="FP84" s="74"/>
      <c r="FQ84" s="74"/>
      <c r="FR84" s="74"/>
      <c r="FS84" s="74"/>
      <c r="FT84" s="74"/>
      <c r="FU84" s="74"/>
      <c r="FV84" s="74"/>
      <c r="FW84" s="74"/>
      <c r="FX84" s="74"/>
      <c r="FY84" s="74"/>
      <c r="FZ84" s="74"/>
      <c r="GA84" s="74"/>
      <c r="GB84" s="74"/>
      <c r="GC84" s="74"/>
      <c r="GD84" s="74"/>
      <c r="GE84" s="74"/>
      <c r="GF84" s="74"/>
      <c r="GG84" s="74"/>
      <c r="GH84" s="74"/>
      <c r="GI84" s="74"/>
      <c r="GJ84" s="74"/>
      <c r="GK84" s="74"/>
      <c r="GL84" s="74"/>
      <c r="GM84" s="74"/>
      <c r="GN84" s="74"/>
      <c r="GO84" s="74"/>
      <c r="GP84" s="74"/>
      <c r="GQ84" s="74"/>
      <c r="GR84" s="74"/>
      <c r="GS84" s="74"/>
      <c r="GT84" s="74"/>
      <c r="GU84" s="74"/>
      <c r="GV84" s="74"/>
      <c r="GW84" s="74"/>
      <c r="GX84" s="74"/>
      <c r="GY84" s="74"/>
      <c r="GZ84" s="74"/>
      <c r="HA84" s="74"/>
      <c r="HB84" s="74"/>
      <c r="HC84" s="74"/>
      <c r="HD84" s="74"/>
      <c r="HE84" s="74"/>
      <c r="HF84" s="74"/>
      <c r="HG84" s="74"/>
      <c r="HH84" s="74"/>
      <c r="HI84" s="74"/>
      <c r="HJ84" s="74"/>
      <c r="HK84" s="74"/>
      <c r="HL84" s="74"/>
      <c r="HM84" s="74"/>
      <c r="HN84" s="74"/>
      <c r="HO84" s="74"/>
      <c r="HP84" s="74"/>
      <c r="HQ84" s="74"/>
      <c r="HR84" s="74"/>
      <c r="HS84" s="74"/>
      <c r="HT84" s="74"/>
      <c r="HU84" s="74"/>
      <c r="HV84" s="74"/>
      <c r="HW84" s="74"/>
      <c r="HX84" s="74"/>
      <c r="HY84" s="74"/>
      <c r="HZ84" s="74"/>
      <c r="IA84" s="74"/>
      <c r="IB84" s="74"/>
      <c r="IC84" s="74"/>
      <c r="ID84" s="74"/>
      <c r="IE84" s="74"/>
      <c r="IF84" s="74"/>
      <c r="IG84" s="74"/>
      <c r="IH84" s="74"/>
      <c r="II84" s="74"/>
      <c r="IJ84" s="74"/>
      <c r="IK84" s="74"/>
      <c r="IL84" s="74"/>
      <c r="IM84" s="74"/>
      <c r="IN84" s="74"/>
      <c r="IO84" s="74"/>
      <c r="IP84" s="74"/>
      <c r="IQ84" s="74"/>
      <c r="IR84" s="74"/>
      <c r="IS84" s="74"/>
      <c r="IT84" s="74"/>
      <c r="IU84" s="74"/>
      <c r="IV84" s="74"/>
      <c r="IW84" s="74"/>
      <c r="IX84" s="74"/>
      <c r="IY84" s="74"/>
      <c r="IZ84" s="74"/>
      <c r="JA84" s="74"/>
      <c r="JB84" s="74"/>
      <c r="JC84" s="74"/>
      <c r="JD84" s="74"/>
      <c r="JE84" s="74"/>
      <c r="JF84" s="74"/>
      <c r="JG84" s="74"/>
      <c r="JH84" s="74"/>
      <c r="JI84" s="74"/>
      <c r="JJ84" s="74"/>
      <c r="JK84" s="74"/>
      <c r="JL84" s="74"/>
      <c r="JM84" s="74"/>
      <c r="JN84" s="74"/>
      <c r="JO84" s="74"/>
      <c r="JP84" s="74"/>
      <c r="JQ84" s="74"/>
      <c r="JR84" s="74"/>
      <c r="JS84" s="74"/>
      <c r="JT84" s="74"/>
      <c r="JU84" s="74"/>
      <c r="JV84" s="74"/>
      <c r="JW84" s="74"/>
      <c r="JX84" s="74"/>
      <c r="JY84" s="74"/>
      <c r="JZ84" s="74"/>
      <c r="KA84" s="74"/>
      <c r="KB84" s="74"/>
      <c r="KC84" s="74"/>
      <c r="KD84" s="74"/>
      <c r="KE84" s="74"/>
      <c r="KF84" s="74"/>
      <c r="KG84" s="74"/>
      <c r="KH84" s="74"/>
      <c r="KI84" s="74"/>
      <c r="KJ84" s="74"/>
      <c r="KK84" s="74"/>
      <c r="KL84" s="74"/>
      <c r="KM84" s="74"/>
      <c r="KN84" s="74"/>
      <c r="KO84" s="74"/>
      <c r="KP84" s="74"/>
      <c r="KQ84" s="74"/>
      <c r="KR84" s="74"/>
      <c r="KS84" s="74"/>
      <c r="KT84" s="74"/>
      <c r="KU84" s="74"/>
      <c r="KV84" s="74"/>
      <c r="KW84" s="74"/>
      <c r="KX84" s="74"/>
      <c r="KY84" s="74"/>
      <c r="KZ84" s="74"/>
      <c r="LA84" s="74"/>
      <c r="LB84" s="74"/>
      <c r="LC84" s="74"/>
      <c r="LD84" s="74"/>
      <c r="LE84" s="74"/>
      <c r="LF84" s="74"/>
      <c r="LG84" s="74"/>
      <c r="LH84" s="74"/>
      <c r="LI84" s="74"/>
      <c r="LJ84" s="74"/>
      <c r="LK84" s="74"/>
      <c r="LL84" s="74"/>
      <c r="LM84" s="74"/>
      <c r="LN84" s="74"/>
      <c r="LO84" s="74"/>
      <c r="LP84" s="74"/>
      <c r="LQ84" s="74"/>
      <c r="LR84" s="74"/>
      <c r="LS84" s="74"/>
      <c r="LT84" s="74"/>
      <c r="LU84" s="74"/>
      <c r="LV84" s="74"/>
      <c r="LW84" s="74"/>
      <c r="LX84" s="74"/>
      <c r="LY84" s="74"/>
      <c r="LZ84" s="74"/>
      <c r="MA84" s="74"/>
      <c r="MB84" s="74"/>
      <c r="MC84" s="74"/>
      <c r="MD84" s="74"/>
      <c r="ME84" s="74"/>
      <c r="MF84" s="74"/>
      <c r="MG84" s="74"/>
      <c r="MH84" s="74"/>
      <c r="MI84" s="74"/>
      <c r="MJ84" s="74"/>
      <c r="MK84" s="74"/>
      <c r="ML84" s="74"/>
      <c r="MM84" s="74"/>
      <c r="MN84" s="74"/>
      <c r="MO84" s="74"/>
      <c r="MP84" s="74"/>
      <c r="MQ84" s="74"/>
      <c r="MR84" s="74"/>
      <c r="MS84" s="74"/>
      <c r="MT84" s="74"/>
      <c r="MU84" s="74"/>
      <c r="MV84" s="74"/>
      <c r="MW84" s="74"/>
      <c r="MX84" s="74"/>
      <c r="MY84" s="74"/>
      <c r="MZ84" s="74"/>
      <c r="NA84" s="74"/>
      <c r="NB84" s="74"/>
      <c r="NC84" s="74"/>
      <c r="ND84" s="74"/>
      <c r="NE84" s="74"/>
      <c r="NF84" s="74"/>
      <c r="NG84" s="74"/>
      <c r="NH84" s="74"/>
      <c r="NI84" s="74"/>
      <c r="NJ84" s="74"/>
      <c r="NK84" s="74"/>
      <c r="NL84" s="74"/>
      <c r="NM84" s="74"/>
      <c r="NN84" s="74"/>
      <c r="NO84" s="74"/>
      <c r="NP84" s="74"/>
      <c r="NQ84" s="74"/>
      <c r="NR84" s="74"/>
      <c r="NS84" s="74"/>
      <c r="NT84" s="74"/>
      <c r="NU84" s="74"/>
      <c r="NV84" s="74"/>
      <c r="NW84" s="74"/>
      <c r="NX84" s="74"/>
      <c r="NY84" s="74"/>
      <c r="NZ84" s="74"/>
      <c r="OA84" s="74"/>
      <c r="OB84" s="74"/>
      <c r="OC84" s="74"/>
      <c r="OD84" s="74"/>
      <c r="OE84" s="74"/>
      <c r="OF84" s="74"/>
      <c r="OG84" s="74"/>
      <c r="OH84" s="74"/>
      <c r="OI84" s="74"/>
      <c r="OJ84" s="74"/>
      <c r="OK84" s="74"/>
      <c r="OL84" s="74"/>
      <c r="OM84" s="74"/>
      <c r="ON84" s="74"/>
      <c r="OO84" s="74"/>
      <c r="OP84" s="74"/>
      <c r="OQ84" s="74"/>
      <c r="OR84" s="74"/>
      <c r="OS84" s="74"/>
      <c r="OT84" s="74"/>
      <c r="OU84" s="74"/>
      <c r="OV84" s="74"/>
      <c r="OW84" s="74"/>
      <c r="OX84" s="74"/>
      <c r="OY84" s="74"/>
      <c r="OZ84" s="74"/>
      <c r="PA84" s="74"/>
      <c r="PB84" s="74"/>
      <c r="PC84" s="74"/>
      <c r="PD84" s="74"/>
      <c r="PE84" s="74"/>
      <c r="PF84" s="74"/>
      <c r="PG84" s="74"/>
      <c r="PH84" s="74"/>
      <c r="PI84" s="74"/>
      <c r="PJ84" s="74"/>
      <c r="PK84" s="74"/>
      <c r="PL84" s="74"/>
      <c r="PM84" s="74"/>
      <c r="PN84" s="74"/>
      <c r="PO84" s="74"/>
      <c r="PP84" s="74"/>
      <c r="PQ84" s="74"/>
      <c r="PR84" s="74"/>
      <c r="PS84" s="74"/>
      <c r="PT84" s="74"/>
      <c r="PU84" s="74"/>
      <c r="PV84" s="74"/>
      <c r="PW84" s="74"/>
      <c r="PX84" s="74"/>
      <c r="PY84" s="74"/>
      <c r="PZ84" s="74"/>
      <c r="QA84" s="74"/>
      <c r="QB84" s="74"/>
      <c r="QC84" s="74"/>
      <c r="QD84" s="74"/>
      <c r="QE84" s="74"/>
      <c r="QF84" s="74"/>
      <c r="QG84" s="74"/>
      <c r="QH84" s="74"/>
      <c r="QI84" s="74"/>
      <c r="QJ84" s="74"/>
      <c r="QK84" s="74"/>
      <c r="QL84" s="74"/>
      <c r="QM84" s="74"/>
      <c r="QN84" s="74"/>
      <c r="QO84" s="74"/>
      <c r="QP84" s="74"/>
      <c r="QQ84" s="74"/>
      <c r="QR84" s="74"/>
      <c r="QS84" s="74"/>
      <c r="QT84" s="74"/>
      <c r="QU84" s="74"/>
      <c r="QV84" s="74"/>
      <c r="QW84" s="74"/>
      <c r="QX84" s="74"/>
      <c r="QY84" s="74"/>
      <c r="QZ84" s="74"/>
      <c r="RA84" s="74"/>
      <c r="RB84" s="74"/>
      <c r="RC84" s="74"/>
      <c r="RD84" s="74"/>
      <c r="RE84" s="74"/>
      <c r="RF84" s="74"/>
      <c r="RG84" s="74"/>
      <c r="RH84" s="74"/>
      <c r="RI84" s="74"/>
      <c r="RJ84" s="74"/>
      <c r="RK84" s="74"/>
      <c r="RL84" s="74"/>
      <c r="RM84" s="74"/>
      <c r="RN84" s="74"/>
      <c r="RO84" s="74"/>
      <c r="RP84" s="74"/>
      <c r="RQ84" s="74"/>
      <c r="RR84" s="74"/>
      <c r="RS84" s="74"/>
      <c r="RT84" s="74"/>
      <c r="RU84" s="74"/>
      <c r="RV84" s="74"/>
      <c r="RW84" s="74"/>
      <c r="RX84" s="74"/>
      <c r="RY84" s="74"/>
      <c r="RZ84" s="74"/>
      <c r="SA84" s="74"/>
      <c r="SB84" s="74"/>
      <c r="SC84" s="74"/>
      <c r="SD84" s="74"/>
      <c r="SE84" s="74"/>
      <c r="SF84" s="74"/>
      <c r="SG84" s="74"/>
      <c r="SH84" s="74"/>
      <c r="SI84" s="74"/>
      <c r="SJ84" s="74"/>
      <c r="SK84" s="74"/>
      <c r="SL84" s="74"/>
      <c r="SM84" s="74"/>
      <c r="SN84" s="74"/>
      <c r="SO84" s="74"/>
      <c r="SP84" s="74"/>
      <c r="SQ84" s="74"/>
      <c r="SR84" s="74"/>
      <c r="SS84" s="74"/>
      <c r="ST84" s="74"/>
      <c r="SU84" s="74"/>
      <c r="SV84" s="74"/>
      <c r="SW84" s="74"/>
      <c r="SX84" s="74"/>
      <c r="SY84" s="74"/>
      <c r="SZ84" s="74"/>
      <c r="TA84" s="74"/>
      <c r="TB84" s="74"/>
      <c r="TC84" s="74"/>
      <c r="TD84" s="74"/>
      <c r="TE84" s="74"/>
      <c r="TF84" s="74"/>
      <c r="TG84" s="74"/>
      <c r="TH84" s="74"/>
      <c r="TI84" s="74"/>
      <c r="TJ84" s="74"/>
      <c r="TK84" s="74"/>
      <c r="TL84" s="74"/>
      <c r="TM84" s="74"/>
      <c r="TN84" s="74"/>
      <c r="TO84" s="74"/>
      <c r="TP84" s="74"/>
      <c r="TQ84" s="74"/>
      <c r="TR84" s="74"/>
      <c r="TS84" s="74"/>
      <c r="TT84" s="74"/>
      <c r="TU84" s="74"/>
      <c r="TV84" s="74"/>
      <c r="TW84" s="74"/>
      <c r="TX84" s="74"/>
      <c r="TY84" s="74"/>
      <c r="TZ84" s="74"/>
      <c r="UA84" s="74"/>
      <c r="UB84" s="74"/>
      <c r="UC84" s="74"/>
      <c r="UD84" s="74"/>
      <c r="UE84" s="74"/>
    </row>
    <row r="85" spans="1:551" s="101" customFormat="1" x14ac:dyDescent="0.25">
      <c r="A85" s="220"/>
      <c r="B85" s="74"/>
      <c r="C85" s="74"/>
      <c r="D85" s="74"/>
      <c r="E85" s="74"/>
      <c r="F85" s="74"/>
      <c r="G85" s="74"/>
      <c r="H85" s="74"/>
      <c r="I85" s="74"/>
      <c r="J85" s="74"/>
      <c r="K85" s="74"/>
      <c r="L85" s="74"/>
      <c r="M85" s="74"/>
      <c r="N85" s="74"/>
      <c r="O85" s="74"/>
      <c r="P85" s="74"/>
      <c r="Q85" s="74"/>
      <c r="R85" s="74"/>
      <c r="S85" s="74"/>
      <c r="T85" s="74"/>
      <c r="U85" s="74"/>
      <c r="V85" s="74"/>
      <c r="W85" s="74"/>
      <c r="X85" s="74"/>
      <c r="Y85" s="74"/>
      <c r="Z85" s="74"/>
      <c r="AA85" s="74"/>
      <c r="AB85" s="74"/>
      <c r="AC85" s="74"/>
      <c r="AD85" s="74"/>
      <c r="AE85" s="74"/>
      <c r="AF85" s="74"/>
      <c r="AG85" s="74"/>
      <c r="AH85" s="74"/>
      <c r="AI85" s="74"/>
      <c r="AJ85" s="74"/>
      <c r="AK85" s="74"/>
      <c r="AL85" s="74"/>
      <c r="AM85" s="74"/>
      <c r="AN85" s="74"/>
      <c r="AO85" s="74"/>
      <c r="AP85" s="74"/>
      <c r="AQ85" s="74"/>
      <c r="AR85" s="74"/>
      <c r="AS85" s="74"/>
      <c r="AT85" s="74"/>
      <c r="AU85" s="74"/>
      <c r="AV85" s="74"/>
      <c r="AW85" s="74"/>
      <c r="AX85" s="74"/>
      <c r="AY85" s="74"/>
      <c r="AZ85" s="74"/>
      <c r="BA85" s="74"/>
      <c r="BB85" s="74"/>
      <c r="BC85" s="74"/>
      <c r="BD85" s="74"/>
      <c r="BE85" s="74"/>
      <c r="BF85" s="74"/>
      <c r="BG85" s="74"/>
      <c r="BH85" s="74"/>
      <c r="BI85" s="74"/>
      <c r="BJ85" s="74"/>
      <c r="BK85" s="74"/>
      <c r="BL85" s="74"/>
      <c r="BM85" s="74"/>
      <c r="BN85" s="74"/>
      <c r="BO85" s="74"/>
      <c r="BP85" s="74"/>
      <c r="BQ85" s="74"/>
      <c r="BR85" s="74"/>
      <c r="BS85" s="74"/>
      <c r="BT85" s="74"/>
      <c r="BU85" s="74"/>
      <c r="BV85" s="74"/>
      <c r="BW85" s="74"/>
      <c r="BX85" s="74"/>
      <c r="BY85" s="74"/>
      <c r="BZ85" s="74"/>
      <c r="CA85" s="74"/>
      <c r="CB85" s="74"/>
      <c r="CC85" s="74"/>
      <c r="CD85" s="74"/>
      <c r="CE85" s="74"/>
      <c r="CF85" s="74"/>
      <c r="CG85" s="74"/>
      <c r="CH85" s="74"/>
      <c r="CI85" s="74"/>
      <c r="CJ85" s="74"/>
      <c r="CK85" s="74"/>
      <c r="CL85" s="74"/>
      <c r="CM85" s="74"/>
      <c r="CN85" s="74"/>
      <c r="CO85" s="74"/>
      <c r="CP85" s="74"/>
      <c r="CQ85" s="74"/>
      <c r="CR85" s="74"/>
      <c r="CS85" s="74"/>
      <c r="CT85" s="74"/>
      <c r="CU85" s="74"/>
      <c r="CV85" s="74"/>
      <c r="CW85" s="74"/>
      <c r="CX85" s="74"/>
      <c r="CY85" s="74"/>
      <c r="CZ85" s="74"/>
      <c r="DA85" s="74"/>
      <c r="DB85" s="74"/>
      <c r="DC85" s="74"/>
      <c r="DD85" s="74"/>
      <c r="DE85" s="74"/>
      <c r="DF85" s="74"/>
      <c r="DG85" s="74"/>
      <c r="DH85" s="74"/>
      <c r="DI85" s="74"/>
      <c r="DJ85" s="74"/>
      <c r="DK85" s="74"/>
      <c r="DL85" s="74"/>
      <c r="DM85" s="74"/>
      <c r="DN85" s="74"/>
      <c r="DO85" s="74"/>
      <c r="DP85" s="74"/>
      <c r="DQ85" s="74"/>
      <c r="DR85" s="74"/>
      <c r="DS85" s="74"/>
      <c r="DT85" s="74"/>
      <c r="DU85" s="74"/>
      <c r="DV85" s="74"/>
      <c r="DW85" s="74"/>
      <c r="DX85" s="74"/>
      <c r="DY85" s="74"/>
      <c r="DZ85" s="74"/>
      <c r="EA85" s="74"/>
      <c r="EB85" s="74"/>
      <c r="EC85" s="74"/>
      <c r="ED85" s="74"/>
      <c r="EE85" s="74"/>
      <c r="EF85" s="74"/>
      <c r="EG85" s="74"/>
      <c r="EH85" s="74"/>
      <c r="EI85" s="74"/>
      <c r="EJ85" s="74"/>
      <c r="EK85" s="74"/>
      <c r="EL85" s="74"/>
      <c r="EM85" s="74"/>
      <c r="EN85" s="74"/>
      <c r="EO85" s="74"/>
      <c r="EP85" s="74"/>
      <c r="EQ85" s="74"/>
      <c r="ER85" s="74"/>
      <c r="ES85" s="74"/>
      <c r="ET85" s="74"/>
      <c r="EU85" s="74"/>
      <c r="EV85" s="74"/>
      <c r="EW85" s="74"/>
      <c r="EX85" s="74"/>
      <c r="EY85" s="74"/>
      <c r="EZ85" s="74"/>
      <c r="FA85" s="74"/>
      <c r="FB85" s="74"/>
      <c r="FC85" s="74"/>
      <c r="FD85" s="74"/>
      <c r="FE85" s="74"/>
      <c r="FF85" s="74"/>
      <c r="FG85" s="74"/>
      <c r="FH85" s="74"/>
      <c r="FI85" s="74"/>
      <c r="FJ85" s="74"/>
      <c r="FK85" s="74"/>
      <c r="FL85" s="74"/>
      <c r="FM85" s="74"/>
      <c r="FN85" s="74"/>
      <c r="FO85" s="74"/>
      <c r="FP85" s="74"/>
      <c r="FQ85" s="74"/>
      <c r="FR85" s="74"/>
      <c r="FS85" s="74"/>
      <c r="FT85" s="74"/>
      <c r="FU85" s="74"/>
      <c r="FV85" s="74"/>
      <c r="FW85" s="74"/>
      <c r="FX85" s="74"/>
      <c r="FY85" s="74"/>
      <c r="FZ85" s="74"/>
      <c r="GA85" s="74"/>
      <c r="GB85" s="74"/>
      <c r="GC85" s="74"/>
      <c r="GD85" s="74"/>
      <c r="GE85" s="74"/>
      <c r="GF85" s="74"/>
      <c r="GG85" s="74"/>
      <c r="GH85" s="74"/>
      <c r="GI85" s="74"/>
      <c r="GJ85" s="74"/>
      <c r="GK85" s="74"/>
      <c r="GL85" s="74"/>
      <c r="GM85" s="74"/>
      <c r="GN85" s="74"/>
      <c r="GO85" s="74"/>
      <c r="GP85" s="74"/>
      <c r="GQ85" s="74"/>
      <c r="GR85" s="74"/>
      <c r="GS85" s="74"/>
      <c r="GT85" s="74"/>
      <c r="GU85" s="74"/>
      <c r="GV85" s="74"/>
      <c r="GW85" s="74"/>
      <c r="GX85" s="74"/>
      <c r="GY85" s="74"/>
      <c r="GZ85" s="74"/>
      <c r="HA85" s="74"/>
      <c r="HB85" s="74"/>
      <c r="HC85" s="74"/>
      <c r="HD85" s="74"/>
      <c r="HE85" s="74"/>
      <c r="HF85" s="74"/>
      <c r="HG85" s="74"/>
      <c r="HH85" s="74"/>
      <c r="HI85" s="74"/>
      <c r="HJ85" s="74"/>
      <c r="HK85" s="74"/>
      <c r="HL85" s="74"/>
      <c r="HM85" s="74"/>
      <c r="HN85" s="74"/>
      <c r="HO85" s="74"/>
      <c r="HP85" s="74"/>
      <c r="HQ85" s="74"/>
      <c r="HR85" s="74"/>
      <c r="HS85" s="74"/>
      <c r="HT85" s="74"/>
      <c r="HU85" s="74"/>
      <c r="HV85" s="74"/>
      <c r="HW85" s="74"/>
      <c r="HX85" s="74"/>
      <c r="HY85" s="74"/>
      <c r="HZ85" s="74"/>
      <c r="IA85" s="74"/>
      <c r="IB85" s="74"/>
      <c r="IC85" s="74"/>
      <c r="ID85" s="74"/>
      <c r="IE85" s="74"/>
      <c r="IF85" s="74"/>
      <c r="IG85" s="74"/>
      <c r="IH85" s="74"/>
      <c r="II85" s="74"/>
      <c r="IJ85" s="74"/>
      <c r="IK85" s="74"/>
      <c r="IL85" s="74"/>
      <c r="IM85" s="74"/>
      <c r="IN85" s="74"/>
      <c r="IO85" s="74"/>
      <c r="IP85" s="74"/>
      <c r="IQ85" s="74"/>
      <c r="IR85" s="74"/>
      <c r="IS85" s="74"/>
      <c r="IT85" s="74"/>
      <c r="IU85" s="74"/>
      <c r="IV85" s="74"/>
      <c r="IW85" s="74"/>
      <c r="IX85" s="74"/>
      <c r="IY85" s="74"/>
      <c r="IZ85" s="74"/>
      <c r="JA85" s="74"/>
      <c r="JB85" s="74"/>
      <c r="JC85" s="74"/>
      <c r="JD85" s="74"/>
      <c r="JE85" s="74"/>
      <c r="JF85" s="74"/>
      <c r="JG85" s="74"/>
      <c r="JH85" s="74"/>
      <c r="JI85" s="74"/>
      <c r="JJ85" s="74"/>
      <c r="JK85" s="74"/>
      <c r="JL85" s="74"/>
      <c r="JM85" s="74"/>
      <c r="JN85" s="74"/>
      <c r="JO85" s="74"/>
      <c r="JP85" s="74"/>
      <c r="JQ85" s="74"/>
      <c r="JR85" s="74"/>
      <c r="JS85" s="74"/>
      <c r="JT85" s="74"/>
      <c r="JU85" s="74"/>
      <c r="JV85" s="74"/>
      <c r="JW85" s="74"/>
      <c r="JX85" s="74"/>
      <c r="JY85" s="74"/>
      <c r="JZ85" s="74"/>
      <c r="KA85" s="74"/>
      <c r="KB85" s="74"/>
      <c r="KC85" s="74"/>
      <c r="KD85" s="74"/>
      <c r="KE85" s="74"/>
      <c r="KF85" s="74"/>
      <c r="KG85" s="74"/>
      <c r="KH85" s="74"/>
      <c r="KI85" s="74"/>
      <c r="KJ85" s="74"/>
      <c r="KK85" s="74"/>
      <c r="KL85" s="74"/>
      <c r="KM85" s="74"/>
      <c r="KN85" s="74"/>
      <c r="KO85" s="74"/>
      <c r="KP85" s="74"/>
      <c r="KQ85" s="74"/>
      <c r="KR85" s="74"/>
      <c r="KS85" s="74"/>
      <c r="KT85" s="74"/>
      <c r="KU85" s="74"/>
      <c r="KV85" s="74"/>
      <c r="KW85" s="74"/>
      <c r="KX85" s="74"/>
      <c r="KY85" s="74"/>
      <c r="KZ85" s="74"/>
      <c r="LA85" s="74"/>
      <c r="LB85" s="74"/>
      <c r="LC85" s="74"/>
      <c r="LD85" s="74"/>
      <c r="LE85" s="74"/>
      <c r="LF85" s="74"/>
      <c r="LG85" s="74"/>
      <c r="LH85" s="74"/>
      <c r="LI85" s="74"/>
      <c r="LJ85" s="74"/>
      <c r="LK85" s="74"/>
      <c r="LL85" s="74"/>
      <c r="LM85" s="74"/>
      <c r="LN85" s="74"/>
      <c r="LO85" s="74"/>
      <c r="LP85" s="74"/>
      <c r="LQ85" s="74"/>
      <c r="LR85" s="74"/>
      <c r="LS85" s="74"/>
      <c r="LT85" s="74"/>
      <c r="LU85" s="74"/>
      <c r="LV85" s="74"/>
      <c r="LW85" s="74"/>
      <c r="LX85" s="74"/>
      <c r="LY85" s="74"/>
      <c r="LZ85" s="74"/>
      <c r="MA85" s="74"/>
      <c r="MB85" s="74"/>
      <c r="MC85" s="74"/>
      <c r="MD85" s="74"/>
      <c r="ME85" s="74"/>
      <c r="MF85" s="74"/>
      <c r="MG85" s="74"/>
      <c r="MH85" s="74"/>
      <c r="MI85" s="74"/>
      <c r="MJ85" s="74"/>
      <c r="MK85" s="74"/>
      <c r="ML85" s="74"/>
      <c r="MM85" s="74"/>
      <c r="MN85" s="74"/>
      <c r="MO85" s="74"/>
      <c r="MP85" s="74"/>
      <c r="MQ85" s="74"/>
      <c r="MR85" s="74"/>
      <c r="MS85" s="74"/>
      <c r="MT85" s="74"/>
      <c r="MU85" s="74"/>
      <c r="MV85" s="74"/>
      <c r="MW85" s="74"/>
      <c r="MX85" s="74"/>
      <c r="MY85" s="74"/>
      <c r="MZ85" s="74"/>
      <c r="NA85" s="74"/>
      <c r="NB85" s="74"/>
      <c r="NC85" s="74"/>
      <c r="ND85" s="74"/>
      <c r="NE85" s="74"/>
      <c r="NF85" s="74"/>
      <c r="NG85" s="74"/>
      <c r="NH85" s="74"/>
      <c r="NI85" s="74"/>
      <c r="NJ85" s="74"/>
      <c r="NK85" s="74"/>
      <c r="NL85" s="74"/>
      <c r="NM85" s="74"/>
      <c r="NN85" s="74"/>
      <c r="NO85" s="74"/>
      <c r="NP85" s="74"/>
      <c r="NQ85" s="74"/>
      <c r="NR85" s="74"/>
      <c r="NS85" s="74"/>
      <c r="NT85" s="74"/>
      <c r="NU85" s="74"/>
      <c r="NV85" s="74"/>
      <c r="NW85" s="74"/>
      <c r="NX85" s="74"/>
      <c r="NY85" s="74"/>
      <c r="NZ85" s="74"/>
      <c r="OA85" s="74"/>
      <c r="OB85" s="74"/>
      <c r="OC85" s="74"/>
      <c r="OD85" s="74"/>
      <c r="OE85" s="74"/>
      <c r="OF85" s="74"/>
      <c r="OG85" s="74"/>
      <c r="OH85" s="74"/>
      <c r="OI85" s="74"/>
      <c r="OJ85" s="74"/>
      <c r="OK85" s="74"/>
      <c r="OL85" s="74"/>
      <c r="OM85" s="74"/>
      <c r="ON85" s="74"/>
      <c r="OO85" s="74"/>
      <c r="OP85" s="74"/>
      <c r="OQ85" s="74"/>
      <c r="OR85" s="74"/>
      <c r="OS85" s="74"/>
      <c r="OT85" s="74"/>
      <c r="OU85" s="74"/>
      <c r="OV85" s="74"/>
      <c r="OW85" s="74"/>
      <c r="OX85" s="74"/>
      <c r="OY85" s="74"/>
      <c r="OZ85" s="74"/>
      <c r="PA85" s="74"/>
      <c r="PB85" s="74"/>
      <c r="PC85" s="74"/>
      <c r="PD85" s="74"/>
      <c r="PE85" s="74"/>
      <c r="PF85" s="74"/>
      <c r="PG85" s="74"/>
      <c r="PH85" s="74"/>
      <c r="PI85" s="74"/>
      <c r="PJ85" s="74"/>
      <c r="PK85" s="74"/>
      <c r="PL85" s="74"/>
      <c r="PM85" s="74"/>
      <c r="PN85" s="74"/>
      <c r="PO85" s="74"/>
      <c r="PP85" s="74"/>
      <c r="PQ85" s="74"/>
      <c r="PR85" s="74"/>
      <c r="PS85" s="74"/>
      <c r="PT85" s="74"/>
      <c r="PU85" s="74"/>
      <c r="PV85" s="74"/>
      <c r="PW85" s="74"/>
      <c r="PX85" s="74"/>
      <c r="PY85" s="74"/>
      <c r="PZ85" s="74"/>
      <c r="QA85" s="74"/>
      <c r="QB85" s="74"/>
      <c r="QC85" s="74"/>
      <c r="QD85" s="74"/>
      <c r="QE85" s="74"/>
      <c r="QF85" s="74"/>
      <c r="QG85" s="74"/>
      <c r="QH85" s="74"/>
      <c r="QI85" s="74"/>
      <c r="QJ85" s="74"/>
      <c r="QK85" s="74"/>
      <c r="QL85" s="74"/>
      <c r="QM85" s="74"/>
      <c r="QN85" s="74"/>
      <c r="QO85" s="74"/>
      <c r="QP85" s="74"/>
      <c r="QQ85" s="74"/>
      <c r="QR85" s="74"/>
      <c r="QS85" s="74"/>
      <c r="QT85" s="74"/>
      <c r="QU85" s="74"/>
      <c r="QV85" s="74"/>
      <c r="QW85" s="74"/>
      <c r="QX85" s="74"/>
      <c r="QY85" s="74"/>
      <c r="QZ85" s="74"/>
      <c r="RA85" s="74"/>
      <c r="RB85" s="74"/>
      <c r="RC85" s="74"/>
      <c r="RD85" s="74"/>
      <c r="RE85" s="74"/>
      <c r="RF85" s="74"/>
      <c r="RG85" s="74"/>
      <c r="RH85" s="74"/>
      <c r="RI85" s="74"/>
      <c r="RJ85" s="74"/>
      <c r="RK85" s="74"/>
      <c r="RL85" s="74"/>
      <c r="RM85" s="74"/>
      <c r="RN85" s="74"/>
      <c r="RO85" s="74"/>
      <c r="RP85" s="74"/>
      <c r="RQ85" s="74"/>
      <c r="RR85" s="74"/>
      <c r="RS85" s="74"/>
      <c r="RT85" s="74"/>
      <c r="RU85" s="74"/>
      <c r="RV85" s="74"/>
      <c r="RW85" s="74"/>
      <c r="RX85" s="74"/>
      <c r="RY85" s="74"/>
      <c r="RZ85" s="74"/>
      <c r="SA85" s="74"/>
      <c r="SB85" s="74"/>
      <c r="SC85" s="74"/>
      <c r="SD85" s="74"/>
      <c r="SE85" s="74"/>
      <c r="SF85" s="74"/>
      <c r="SG85" s="74"/>
      <c r="SH85" s="74"/>
      <c r="SI85" s="74"/>
      <c r="SJ85" s="74"/>
      <c r="SK85" s="74"/>
      <c r="SL85" s="74"/>
      <c r="SM85" s="74"/>
      <c r="SN85" s="74"/>
      <c r="SO85" s="74"/>
      <c r="SP85" s="74"/>
      <c r="SQ85" s="74"/>
      <c r="SR85" s="74"/>
      <c r="SS85" s="74"/>
      <c r="ST85" s="74"/>
      <c r="SU85" s="74"/>
      <c r="SV85" s="74"/>
      <c r="SW85" s="74"/>
      <c r="SX85" s="74"/>
      <c r="SY85" s="74"/>
      <c r="SZ85" s="74"/>
      <c r="TA85" s="74"/>
      <c r="TB85" s="74"/>
      <c r="TC85" s="74"/>
      <c r="TD85" s="74"/>
      <c r="TE85" s="74"/>
      <c r="TF85" s="74"/>
      <c r="TG85" s="74"/>
      <c r="TH85" s="74"/>
      <c r="TI85" s="74"/>
      <c r="TJ85" s="74"/>
      <c r="TK85" s="74"/>
      <c r="TL85" s="74"/>
      <c r="TM85" s="74"/>
      <c r="TN85" s="74"/>
      <c r="TO85" s="74"/>
      <c r="TP85" s="74"/>
      <c r="TQ85" s="74"/>
      <c r="TR85" s="74"/>
      <c r="TS85" s="74"/>
      <c r="TT85" s="74"/>
      <c r="TU85" s="74"/>
      <c r="TV85" s="74"/>
      <c r="TW85" s="74"/>
      <c r="TX85" s="74"/>
      <c r="TY85" s="74"/>
      <c r="TZ85" s="74"/>
      <c r="UA85" s="74"/>
      <c r="UB85" s="74"/>
      <c r="UC85" s="74"/>
      <c r="UD85" s="74"/>
      <c r="UE85" s="74"/>
    </row>
    <row r="86" spans="1:551" s="101" customFormat="1" x14ac:dyDescent="0.25">
      <c r="A86" s="220"/>
      <c r="B86" s="74"/>
      <c r="C86" s="74"/>
      <c r="D86" s="74"/>
      <c r="E86" s="74"/>
      <c r="F86" s="74"/>
      <c r="G86" s="74"/>
      <c r="H86" s="74"/>
      <c r="I86" s="74"/>
      <c r="J86" s="74"/>
      <c r="K86" s="74"/>
      <c r="L86" s="74"/>
      <c r="M86" s="74"/>
      <c r="N86" s="74"/>
      <c r="O86" s="74"/>
      <c r="P86" s="74"/>
      <c r="Q86" s="74"/>
      <c r="R86" s="74"/>
      <c r="S86" s="74"/>
      <c r="T86" s="74"/>
      <c r="U86" s="74"/>
      <c r="V86" s="74"/>
      <c r="W86" s="74"/>
      <c r="X86" s="74"/>
      <c r="Y86" s="74"/>
      <c r="Z86" s="74"/>
      <c r="AA86" s="74"/>
      <c r="AB86" s="74"/>
      <c r="AC86" s="74"/>
      <c r="AD86" s="74"/>
      <c r="AE86" s="74"/>
      <c r="AF86" s="74"/>
      <c r="AG86" s="74"/>
      <c r="AH86" s="74"/>
      <c r="AI86" s="74"/>
      <c r="AJ86" s="74"/>
      <c r="AK86" s="74"/>
      <c r="AL86" s="74"/>
      <c r="AM86" s="74"/>
      <c r="AN86" s="74"/>
      <c r="AO86" s="74"/>
      <c r="AP86" s="74"/>
      <c r="AQ86" s="74"/>
      <c r="AR86" s="74"/>
      <c r="AS86" s="74"/>
      <c r="AT86" s="74"/>
      <c r="AU86" s="74"/>
      <c r="AV86" s="74"/>
      <c r="AW86" s="74"/>
      <c r="AX86" s="74"/>
      <c r="AY86" s="74"/>
      <c r="AZ86" s="74"/>
      <c r="BA86" s="74"/>
      <c r="BB86" s="74"/>
      <c r="BC86" s="74"/>
      <c r="BD86" s="74"/>
      <c r="BE86" s="74"/>
      <c r="BF86" s="74"/>
      <c r="BG86" s="74"/>
      <c r="BH86" s="74"/>
      <c r="BI86" s="74"/>
      <c r="BJ86" s="74"/>
      <c r="BK86" s="74"/>
      <c r="BL86" s="74"/>
      <c r="BM86" s="74"/>
      <c r="BN86" s="74"/>
      <c r="BO86" s="74"/>
      <c r="BP86" s="74"/>
      <c r="BQ86" s="74"/>
      <c r="BR86" s="74"/>
      <c r="BS86" s="74"/>
      <c r="BT86" s="74"/>
      <c r="BU86" s="74"/>
      <c r="BV86" s="74"/>
      <c r="BW86" s="74"/>
      <c r="BX86" s="74"/>
      <c r="BY86" s="74"/>
      <c r="BZ86" s="74"/>
      <c r="CA86" s="74"/>
      <c r="CB86" s="74"/>
      <c r="CC86" s="74"/>
      <c r="CD86" s="74"/>
      <c r="CE86" s="74"/>
      <c r="CF86" s="74"/>
      <c r="CG86" s="74"/>
      <c r="CH86" s="74"/>
      <c r="CI86" s="74"/>
      <c r="CJ86" s="74"/>
      <c r="CK86" s="74"/>
      <c r="CL86" s="74"/>
      <c r="CM86" s="74"/>
      <c r="CN86" s="74"/>
      <c r="CO86" s="74"/>
      <c r="CP86" s="74"/>
      <c r="CQ86" s="74"/>
      <c r="CR86" s="74"/>
      <c r="CS86" s="74"/>
      <c r="CT86" s="74"/>
      <c r="CU86" s="74"/>
      <c r="CV86" s="74"/>
      <c r="CW86" s="74"/>
      <c r="CX86" s="74"/>
      <c r="CY86" s="74"/>
      <c r="CZ86" s="74"/>
      <c r="DA86" s="74"/>
      <c r="DB86" s="74"/>
      <c r="DC86" s="74"/>
      <c r="DD86" s="74"/>
      <c r="DE86" s="74"/>
      <c r="DF86" s="74"/>
      <c r="DG86" s="74"/>
      <c r="DH86" s="74"/>
      <c r="DI86" s="74"/>
      <c r="DJ86" s="74"/>
      <c r="DK86" s="74"/>
      <c r="DL86" s="74"/>
      <c r="DM86" s="74"/>
      <c r="DN86" s="74"/>
      <c r="DO86" s="74"/>
      <c r="DP86" s="74"/>
      <c r="DQ86" s="74"/>
      <c r="DR86" s="74"/>
      <c r="DS86" s="74"/>
      <c r="DT86" s="74"/>
      <c r="DU86" s="74"/>
      <c r="DV86" s="74"/>
      <c r="DW86" s="74"/>
      <c r="DX86" s="74"/>
      <c r="DY86" s="74"/>
      <c r="DZ86" s="74"/>
      <c r="EA86" s="74"/>
      <c r="EB86" s="74"/>
      <c r="EC86" s="74"/>
      <c r="ED86" s="74"/>
      <c r="EE86" s="74"/>
      <c r="EF86" s="74"/>
      <c r="EG86" s="74"/>
      <c r="EH86" s="74"/>
      <c r="EI86" s="74"/>
      <c r="EJ86" s="74"/>
      <c r="EK86" s="74"/>
      <c r="EL86" s="74"/>
      <c r="EM86" s="74"/>
      <c r="EN86" s="74"/>
      <c r="EO86" s="74"/>
      <c r="EP86" s="74"/>
      <c r="EQ86" s="74"/>
      <c r="ER86" s="74"/>
      <c r="ES86" s="74"/>
      <c r="ET86" s="74"/>
      <c r="EU86" s="74"/>
      <c r="EV86" s="74"/>
      <c r="EW86" s="74"/>
      <c r="EX86" s="74"/>
      <c r="EY86" s="74"/>
      <c r="EZ86" s="74"/>
      <c r="FA86" s="74"/>
      <c r="FB86" s="74"/>
      <c r="FC86" s="74"/>
      <c r="FD86" s="74"/>
      <c r="FE86" s="74"/>
      <c r="FF86" s="74"/>
      <c r="FG86" s="74"/>
      <c r="FH86" s="74"/>
      <c r="FI86" s="74"/>
      <c r="FJ86" s="74"/>
      <c r="FK86" s="74"/>
      <c r="FL86" s="74"/>
      <c r="FM86" s="74"/>
      <c r="FN86" s="74"/>
      <c r="FO86" s="74"/>
      <c r="FP86" s="74"/>
      <c r="FQ86" s="74"/>
      <c r="FR86" s="74"/>
      <c r="FS86" s="74"/>
      <c r="FT86" s="74"/>
      <c r="FU86" s="74"/>
      <c r="FV86" s="74"/>
      <c r="FW86" s="74"/>
      <c r="FX86" s="74"/>
      <c r="FY86" s="74"/>
      <c r="FZ86" s="74"/>
      <c r="GA86" s="74"/>
      <c r="GB86" s="74"/>
      <c r="GC86" s="74"/>
      <c r="GD86" s="74"/>
      <c r="GE86" s="74"/>
      <c r="GF86" s="74"/>
      <c r="GG86" s="74"/>
      <c r="GH86" s="74"/>
      <c r="GI86" s="74"/>
      <c r="GJ86" s="74"/>
      <c r="GK86" s="74"/>
      <c r="GL86" s="74"/>
      <c r="GM86" s="74"/>
      <c r="GN86" s="74"/>
      <c r="GO86" s="74"/>
      <c r="GP86" s="74"/>
      <c r="GQ86" s="74"/>
      <c r="GR86" s="74"/>
      <c r="GS86" s="74"/>
      <c r="GT86" s="74"/>
      <c r="GU86" s="74"/>
      <c r="GV86" s="74"/>
      <c r="GW86" s="74"/>
      <c r="GX86" s="74"/>
      <c r="GY86" s="74"/>
      <c r="GZ86" s="74"/>
      <c r="HA86" s="74"/>
      <c r="HB86" s="74"/>
      <c r="HC86" s="74"/>
      <c r="HD86" s="74"/>
      <c r="HE86" s="74"/>
      <c r="HF86" s="74"/>
      <c r="HG86" s="74"/>
      <c r="HH86" s="74"/>
      <c r="HI86" s="74"/>
      <c r="HJ86" s="74"/>
      <c r="HK86" s="74"/>
      <c r="HL86" s="74"/>
      <c r="HM86" s="74"/>
      <c r="HN86" s="74"/>
      <c r="HO86" s="74"/>
      <c r="HP86" s="74"/>
      <c r="HQ86" s="74"/>
      <c r="HR86" s="74"/>
      <c r="HS86" s="74"/>
      <c r="HT86" s="74"/>
      <c r="HU86" s="74"/>
      <c r="HV86" s="74"/>
      <c r="HW86" s="74"/>
      <c r="HX86" s="74"/>
      <c r="HY86" s="74"/>
      <c r="HZ86" s="74"/>
      <c r="IA86" s="74"/>
      <c r="IB86" s="74"/>
      <c r="IC86" s="74"/>
      <c r="ID86" s="74"/>
      <c r="IE86" s="74"/>
      <c r="IF86" s="74"/>
      <c r="IG86" s="74"/>
      <c r="IH86" s="74"/>
      <c r="II86" s="74"/>
      <c r="IJ86" s="74"/>
      <c r="IK86" s="74"/>
      <c r="IL86" s="74"/>
      <c r="IM86" s="74"/>
      <c r="IN86" s="74"/>
      <c r="IO86" s="74"/>
      <c r="IP86" s="74"/>
      <c r="IQ86" s="74"/>
      <c r="IR86" s="74"/>
      <c r="IS86" s="74"/>
      <c r="IT86" s="74"/>
      <c r="IU86" s="74"/>
      <c r="IV86" s="74"/>
      <c r="IW86" s="74"/>
      <c r="IX86" s="74"/>
      <c r="IY86" s="74"/>
      <c r="IZ86" s="74"/>
      <c r="JA86" s="74"/>
      <c r="JB86" s="74"/>
      <c r="JC86" s="74"/>
      <c r="JD86" s="74"/>
      <c r="JE86" s="74"/>
      <c r="JF86" s="74"/>
      <c r="JG86" s="74"/>
      <c r="JH86" s="74"/>
      <c r="JI86" s="74"/>
      <c r="JJ86" s="74"/>
      <c r="JK86" s="74"/>
      <c r="JL86" s="74"/>
      <c r="JM86" s="74"/>
      <c r="JN86" s="74"/>
      <c r="JO86" s="74"/>
      <c r="JP86" s="74"/>
      <c r="JQ86" s="74"/>
      <c r="JR86" s="74"/>
      <c r="JS86" s="74"/>
      <c r="JT86" s="74"/>
      <c r="JU86" s="74"/>
      <c r="JV86" s="74"/>
      <c r="JW86" s="74"/>
      <c r="JX86" s="74"/>
      <c r="JY86" s="74"/>
      <c r="JZ86" s="74"/>
      <c r="KA86" s="74"/>
      <c r="KB86" s="74"/>
      <c r="KC86" s="74"/>
      <c r="KD86" s="74"/>
      <c r="KE86" s="74"/>
      <c r="KF86" s="74"/>
      <c r="KG86" s="74"/>
      <c r="KH86" s="74"/>
      <c r="KI86" s="74"/>
      <c r="KJ86" s="74"/>
      <c r="KK86" s="74"/>
      <c r="KL86" s="74"/>
      <c r="KM86" s="74"/>
      <c r="KN86" s="74"/>
      <c r="KO86" s="74"/>
      <c r="KP86" s="74"/>
      <c r="KQ86" s="74"/>
      <c r="KR86" s="74"/>
      <c r="KS86" s="74"/>
      <c r="KT86" s="74"/>
      <c r="KU86" s="74"/>
      <c r="KV86" s="74"/>
      <c r="KW86" s="74"/>
      <c r="KX86" s="74"/>
      <c r="KY86" s="74"/>
      <c r="KZ86" s="74"/>
      <c r="LA86" s="74"/>
      <c r="LB86" s="74"/>
      <c r="LC86" s="74"/>
      <c r="LD86" s="74"/>
      <c r="LE86" s="74"/>
      <c r="LF86" s="74"/>
      <c r="LG86" s="74"/>
      <c r="LH86" s="74"/>
      <c r="LI86" s="74"/>
      <c r="LJ86" s="74"/>
      <c r="LK86" s="74"/>
      <c r="LL86" s="74"/>
      <c r="LM86" s="74"/>
      <c r="LN86" s="74"/>
      <c r="LO86" s="74"/>
      <c r="LP86" s="74"/>
      <c r="LQ86" s="74"/>
      <c r="LR86" s="74"/>
      <c r="LS86" s="74"/>
      <c r="LT86" s="74"/>
      <c r="LU86" s="74"/>
      <c r="LV86" s="74"/>
      <c r="LW86" s="74"/>
      <c r="LX86" s="74"/>
      <c r="LY86" s="74"/>
      <c r="LZ86" s="74"/>
      <c r="MA86" s="74"/>
      <c r="MB86" s="74"/>
      <c r="MC86" s="74"/>
      <c r="MD86" s="74"/>
      <c r="ME86" s="74"/>
      <c r="MF86" s="74"/>
      <c r="MG86" s="74"/>
      <c r="MH86" s="74"/>
      <c r="MI86" s="74"/>
      <c r="MJ86" s="74"/>
      <c r="MK86" s="74"/>
      <c r="ML86" s="74"/>
      <c r="MM86" s="74"/>
      <c r="MN86" s="74"/>
      <c r="MO86" s="74"/>
      <c r="MP86" s="74"/>
      <c r="MQ86" s="74"/>
      <c r="MR86" s="74"/>
      <c r="MS86" s="74"/>
      <c r="MT86" s="74"/>
      <c r="MU86" s="74"/>
      <c r="MV86" s="74"/>
      <c r="MW86" s="74"/>
      <c r="MX86" s="74"/>
      <c r="MY86" s="74"/>
      <c r="MZ86" s="74"/>
      <c r="NA86" s="74"/>
      <c r="NB86" s="74"/>
      <c r="NC86" s="74"/>
      <c r="ND86" s="74"/>
      <c r="NE86" s="74"/>
      <c r="NF86" s="74"/>
      <c r="NG86" s="74"/>
      <c r="NH86" s="74"/>
      <c r="NI86" s="74"/>
      <c r="NJ86" s="74"/>
      <c r="NK86" s="74"/>
      <c r="NL86" s="74"/>
      <c r="NM86" s="74"/>
      <c r="NN86" s="74"/>
      <c r="NO86" s="74"/>
      <c r="NP86" s="74"/>
      <c r="NQ86" s="74"/>
      <c r="NR86" s="74"/>
      <c r="NS86" s="74"/>
      <c r="NT86" s="74"/>
      <c r="NU86" s="74"/>
      <c r="NV86" s="74"/>
      <c r="NW86" s="74"/>
      <c r="NX86" s="74"/>
      <c r="NY86" s="74"/>
      <c r="NZ86" s="74"/>
      <c r="OA86" s="74"/>
      <c r="OB86" s="74"/>
      <c r="OC86" s="74"/>
      <c r="OD86" s="74"/>
      <c r="OE86" s="74"/>
      <c r="OF86" s="74"/>
      <c r="OG86" s="74"/>
      <c r="OH86" s="74"/>
      <c r="OI86" s="74"/>
      <c r="OJ86" s="74"/>
      <c r="OK86" s="74"/>
      <c r="OL86" s="74"/>
      <c r="OM86" s="74"/>
      <c r="ON86" s="74"/>
      <c r="OO86" s="74"/>
      <c r="OP86" s="74"/>
      <c r="OQ86" s="74"/>
      <c r="OR86" s="74"/>
      <c r="OS86" s="74"/>
      <c r="OT86" s="74"/>
      <c r="OU86" s="74"/>
      <c r="OV86" s="74"/>
      <c r="OW86" s="74"/>
      <c r="OX86" s="74"/>
      <c r="OY86" s="74"/>
      <c r="OZ86" s="74"/>
      <c r="PA86" s="74"/>
      <c r="PB86" s="74"/>
      <c r="PC86" s="74"/>
      <c r="PD86" s="74"/>
      <c r="PE86" s="74"/>
      <c r="PF86" s="74"/>
      <c r="PG86" s="74"/>
      <c r="PH86" s="74"/>
      <c r="PI86" s="74"/>
      <c r="PJ86" s="74"/>
      <c r="PK86" s="74"/>
      <c r="PL86" s="74"/>
      <c r="PM86" s="74"/>
      <c r="PN86" s="74"/>
      <c r="PO86" s="74"/>
      <c r="PP86" s="74"/>
      <c r="PQ86" s="74"/>
      <c r="PR86" s="74"/>
      <c r="PS86" s="74"/>
      <c r="PT86" s="74"/>
      <c r="PU86" s="74"/>
      <c r="PV86" s="74"/>
      <c r="PW86" s="74"/>
      <c r="PX86" s="74"/>
      <c r="PY86" s="74"/>
      <c r="PZ86" s="74"/>
      <c r="QA86" s="74"/>
      <c r="QB86" s="74"/>
      <c r="QC86" s="74"/>
      <c r="QD86" s="74"/>
      <c r="QE86" s="74"/>
      <c r="QF86" s="74"/>
      <c r="QG86" s="74"/>
      <c r="QH86" s="74"/>
      <c r="QI86" s="74"/>
      <c r="QJ86" s="74"/>
      <c r="QK86" s="74"/>
      <c r="QL86" s="74"/>
      <c r="QM86" s="74"/>
      <c r="QN86" s="74"/>
      <c r="QO86" s="74"/>
      <c r="QP86" s="74"/>
      <c r="QQ86" s="74"/>
      <c r="QR86" s="74"/>
      <c r="QS86" s="74"/>
      <c r="QT86" s="74"/>
      <c r="QU86" s="74"/>
      <c r="QV86" s="74"/>
      <c r="QW86" s="74"/>
      <c r="QX86" s="74"/>
      <c r="QY86" s="74"/>
      <c r="QZ86" s="74"/>
      <c r="RA86" s="74"/>
      <c r="RB86" s="74"/>
      <c r="RC86" s="74"/>
      <c r="RD86" s="74"/>
      <c r="RE86" s="74"/>
      <c r="RF86" s="74"/>
      <c r="RG86" s="74"/>
      <c r="RH86" s="74"/>
      <c r="RI86" s="74"/>
      <c r="RJ86" s="74"/>
      <c r="RK86" s="74"/>
      <c r="RL86" s="74"/>
      <c r="RM86" s="74"/>
      <c r="RN86" s="74"/>
      <c r="RO86" s="74"/>
      <c r="RP86" s="74"/>
      <c r="RQ86" s="74"/>
      <c r="RR86" s="74"/>
      <c r="RS86" s="74"/>
      <c r="RT86" s="74"/>
      <c r="RU86" s="74"/>
      <c r="RV86" s="74"/>
      <c r="RW86" s="74"/>
      <c r="RX86" s="74"/>
      <c r="RY86" s="74"/>
      <c r="RZ86" s="74"/>
      <c r="SA86" s="74"/>
      <c r="SB86" s="74"/>
      <c r="SC86" s="74"/>
      <c r="SD86" s="74"/>
      <c r="SE86" s="74"/>
      <c r="SF86" s="74"/>
      <c r="SG86" s="74"/>
      <c r="SH86" s="74"/>
      <c r="SI86" s="74"/>
      <c r="SJ86" s="74"/>
      <c r="SK86" s="74"/>
      <c r="SL86" s="74"/>
      <c r="SM86" s="74"/>
      <c r="SN86" s="74"/>
      <c r="SO86" s="74"/>
      <c r="SP86" s="74"/>
      <c r="SQ86" s="74"/>
      <c r="SR86" s="74"/>
      <c r="SS86" s="74"/>
      <c r="ST86" s="74"/>
      <c r="SU86" s="74"/>
      <c r="SV86" s="74"/>
      <c r="SW86" s="74"/>
      <c r="SX86" s="74"/>
      <c r="SY86" s="74"/>
      <c r="SZ86" s="74"/>
      <c r="TA86" s="74"/>
      <c r="TB86" s="74"/>
      <c r="TC86" s="74"/>
      <c r="TD86" s="74"/>
      <c r="TE86" s="74"/>
      <c r="TF86" s="74"/>
      <c r="TG86" s="74"/>
      <c r="TH86" s="74"/>
      <c r="TI86" s="74"/>
      <c r="TJ86" s="74"/>
      <c r="TK86" s="74"/>
      <c r="TL86" s="74"/>
      <c r="TM86" s="74"/>
      <c r="TN86" s="74"/>
      <c r="TO86" s="74"/>
      <c r="TP86" s="74"/>
      <c r="TQ86" s="74"/>
      <c r="TR86" s="74"/>
      <c r="TS86" s="74"/>
      <c r="TT86" s="74"/>
      <c r="TU86" s="74"/>
      <c r="TV86" s="74"/>
      <c r="TW86" s="74"/>
      <c r="TX86" s="74"/>
      <c r="TY86" s="74"/>
      <c r="TZ86" s="74"/>
      <c r="UA86" s="74"/>
      <c r="UB86" s="74"/>
      <c r="UC86" s="74"/>
      <c r="UD86" s="74"/>
      <c r="UE86" s="74"/>
    </row>
    <row r="87" spans="1:551" x14ac:dyDescent="0.25">
      <c r="AQ87" s="74"/>
    </row>
    <row r="88" spans="1:551" x14ac:dyDescent="0.25">
      <c r="AQ88" s="74"/>
    </row>
    <row r="89" spans="1:551" x14ac:dyDescent="0.25">
      <c r="AQ89" s="74"/>
    </row>
    <row r="90" spans="1:551" x14ac:dyDescent="0.25">
      <c r="AQ90" s="74"/>
    </row>
    <row r="91" spans="1:551" x14ac:dyDescent="0.25">
      <c r="AQ91" s="74"/>
    </row>
    <row r="92" spans="1:551" x14ac:dyDescent="0.25">
      <c r="AQ92" s="74"/>
    </row>
    <row r="93" spans="1:551" x14ac:dyDescent="0.25">
      <c r="AQ93" s="74"/>
    </row>
    <row r="94" spans="1:551" x14ac:dyDescent="0.25">
      <c r="AQ94" s="74"/>
    </row>
    <row r="95" spans="1:551" x14ac:dyDescent="0.25">
      <c r="AQ95" s="74"/>
    </row>
    <row r="96" spans="1:551" x14ac:dyDescent="0.25">
      <c r="AQ96" s="74"/>
    </row>
    <row r="97" spans="43:43" x14ac:dyDescent="0.25">
      <c r="AQ97" s="74"/>
    </row>
    <row r="98" spans="43:43" x14ac:dyDescent="0.25">
      <c r="AQ98" s="74"/>
    </row>
    <row r="99" spans="43:43" x14ac:dyDescent="0.25">
      <c r="AQ99" s="74"/>
    </row>
    <row r="100" spans="43:43" x14ac:dyDescent="0.25">
      <c r="AQ100" s="74"/>
    </row>
    <row r="101" spans="43:43" x14ac:dyDescent="0.25">
      <c r="AQ101" s="74"/>
    </row>
    <row r="102" spans="43:43" x14ac:dyDescent="0.25">
      <c r="AQ102" s="74"/>
    </row>
    <row r="103" spans="43:43" x14ac:dyDescent="0.25">
      <c r="AQ103" s="74"/>
    </row>
    <row r="104" spans="43:43" x14ac:dyDescent="0.25">
      <c r="AQ104" s="74"/>
    </row>
    <row r="105" spans="43:43" x14ac:dyDescent="0.25">
      <c r="AQ105" s="74"/>
    </row>
    <row r="106" spans="43:43" x14ac:dyDescent="0.25">
      <c r="AQ106" s="74"/>
    </row>
    <row r="107" spans="43:43" x14ac:dyDescent="0.25">
      <c r="AQ107" s="74"/>
    </row>
    <row r="108" spans="43:43" x14ac:dyDescent="0.25">
      <c r="AQ108" s="74"/>
    </row>
    <row r="109" spans="43:43" x14ac:dyDescent="0.25">
      <c r="AQ109" s="74"/>
    </row>
    <row r="110" spans="43:43" x14ac:dyDescent="0.25">
      <c r="AQ110" s="74"/>
    </row>
    <row r="111" spans="43:43" x14ac:dyDescent="0.25">
      <c r="AQ111" s="74"/>
    </row>
    <row r="112" spans="43:43" x14ac:dyDescent="0.25">
      <c r="AQ112" s="74"/>
    </row>
    <row r="113" spans="43:43" x14ac:dyDescent="0.25">
      <c r="AQ113" s="74"/>
    </row>
    <row r="114" spans="43:43" x14ac:dyDescent="0.25">
      <c r="AQ114" s="74"/>
    </row>
    <row r="115" spans="43:43" x14ac:dyDescent="0.25">
      <c r="AQ115" s="74"/>
    </row>
    <row r="116" spans="43:43" x14ac:dyDescent="0.25">
      <c r="AQ116" s="74"/>
    </row>
    <row r="117" spans="43:43" x14ac:dyDescent="0.25">
      <c r="AQ117" s="74"/>
    </row>
    <row r="118" spans="43:43" x14ac:dyDescent="0.25">
      <c r="AQ118" s="74"/>
    </row>
    <row r="119" spans="43:43" x14ac:dyDescent="0.25">
      <c r="AQ119" s="74"/>
    </row>
    <row r="120" spans="43:43" x14ac:dyDescent="0.25">
      <c r="AQ120" s="74"/>
    </row>
    <row r="121" spans="43:43" x14ac:dyDescent="0.25">
      <c r="AQ121" s="74"/>
    </row>
    <row r="122" spans="43:43" x14ac:dyDescent="0.25">
      <c r="AQ122" s="74"/>
    </row>
    <row r="123" spans="43:43" x14ac:dyDescent="0.25">
      <c r="AQ123" s="74"/>
    </row>
    <row r="124" spans="43:43" x14ac:dyDescent="0.25">
      <c r="AQ124" s="74"/>
    </row>
    <row r="125" spans="43:43" x14ac:dyDescent="0.25">
      <c r="AQ125" s="74"/>
    </row>
    <row r="126" spans="43:43" x14ac:dyDescent="0.25">
      <c r="AQ126" s="74"/>
    </row>
    <row r="127" spans="43:43" x14ac:dyDescent="0.25">
      <c r="AQ127" s="74"/>
    </row>
    <row r="128" spans="43:43" x14ac:dyDescent="0.25">
      <c r="AQ128" s="74"/>
    </row>
    <row r="129" spans="43:43" x14ac:dyDescent="0.25">
      <c r="AQ129" s="74"/>
    </row>
    <row r="130" spans="43:43" x14ac:dyDescent="0.25">
      <c r="AQ130" s="74"/>
    </row>
    <row r="131" spans="43:43" x14ac:dyDescent="0.25">
      <c r="AQ131" s="74"/>
    </row>
    <row r="132" spans="43:43" x14ac:dyDescent="0.25">
      <c r="AQ132" s="74"/>
    </row>
    <row r="133" spans="43:43" x14ac:dyDescent="0.25">
      <c r="AQ133" s="74"/>
    </row>
    <row r="134" spans="43:43" x14ac:dyDescent="0.25">
      <c r="AQ134" s="74"/>
    </row>
    <row r="135" spans="43:43" x14ac:dyDescent="0.25">
      <c r="AQ135" s="74"/>
    </row>
    <row r="136" spans="43:43" x14ac:dyDescent="0.25">
      <c r="AQ136" s="74"/>
    </row>
    <row r="137" spans="43:43" x14ac:dyDescent="0.25">
      <c r="AQ137" s="74"/>
    </row>
    <row r="138" spans="43:43" x14ac:dyDescent="0.25">
      <c r="AQ138" s="74"/>
    </row>
    <row r="139" spans="43:43" x14ac:dyDescent="0.25">
      <c r="AQ139" s="74"/>
    </row>
    <row r="140" spans="43:43" x14ac:dyDescent="0.25">
      <c r="AQ140" s="74"/>
    </row>
    <row r="141" spans="43:43" x14ac:dyDescent="0.25">
      <c r="AQ141" s="74"/>
    </row>
    <row r="142" spans="43:43" x14ac:dyDescent="0.25">
      <c r="AQ142" s="74"/>
    </row>
    <row r="143" spans="43:43" x14ac:dyDescent="0.25">
      <c r="AQ143" s="74"/>
    </row>
    <row r="144" spans="43:43" x14ac:dyDescent="0.25">
      <c r="AQ144" s="74"/>
    </row>
    <row r="145" spans="43:43" x14ac:dyDescent="0.25">
      <c r="AQ145" s="74"/>
    </row>
    <row r="146" spans="43:43" x14ac:dyDescent="0.25">
      <c r="AQ146" s="74"/>
    </row>
    <row r="147" spans="43:43" x14ac:dyDescent="0.25">
      <c r="AQ147" s="74"/>
    </row>
    <row r="148" spans="43:43" x14ac:dyDescent="0.25">
      <c r="AQ148" s="74"/>
    </row>
    <row r="149" spans="43:43" x14ac:dyDescent="0.25">
      <c r="AQ149" s="74"/>
    </row>
    <row r="150" spans="43:43" x14ac:dyDescent="0.25">
      <c r="AQ150" s="74"/>
    </row>
    <row r="151" spans="43:43" x14ac:dyDescent="0.25">
      <c r="AQ151" s="74"/>
    </row>
    <row r="152" spans="43:43" x14ac:dyDescent="0.25">
      <c r="AQ152" s="74"/>
    </row>
    <row r="153" spans="43:43" x14ac:dyDescent="0.25">
      <c r="AQ153" s="74"/>
    </row>
    <row r="154" spans="43:43" x14ac:dyDescent="0.25">
      <c r="AQ154" s="74"/>
    </row>
    <row r="155" spans="43:43" x14ac:dyDescent="0.25">
      <c r="AQ155" s="74"/>
    </row>
    <row r="156" spans="43:43" x14ac:dyDescent="0.25">
      <c r="AQ156" s="74"/>
    </row>
    <row r="157" spans="43:43" x14ac:dyDescent="0.25">
      <c r="AQ157" s="74"/>
    </row>
    <row r="158" spans="43:43" x14ac:dyDescent="0.25">
      <c r="AQ158" s="74"/>
    </row>
    <row r="159" spans="43:43" x14ac:dyDescent="0.25">
      <c r="AQ159" s="74"/>
    </row>
    <row r="160" spans="43:43" x14ac:dyDescent="0.25">
      <c r="AQ160" s="74"/>
    </row>
    <row r="161" spans="43:43" x14ac:dyDescent="0.25">
      <c r="AQ161" s="74"/>
    </row>
    <row r="162" spans="43:43" x14ac:dyDescent="0.25">
      <c r="AQ162" s="74"/>
    </row>
    <row r="163" spans="43:43" x14ac:dyDescent="0.25">
      <c r="AQ163" s="74"/>
    </row>
    <row r="164" spans="43:43" x14ac:dyDescent="0.25">
      <c r="AQ164" s="74"/>
    </row>
    <row r="165" spans="43:43" x14ac:dyDescent="0.25">
      <c r="AQ165" s="74"/>
    </row>
    <row r="166" spans="43:43" x14ac:dyDescent="0.25">
      <c r="AQ166" s="74"/>
    </row>
    <row r="167" spans="43:43" x14ac:dyDescent="0.25">
      <c r="AQ167" s="74"/>
    </row>
    <row r="168" spans="43:43" x14ac:dyDescent="0.25">
      <c r="AQ168" s="74"/>
    </row>
    <row r="169" spans="43:43" x14ac:dyDescent="0.25">
      <c r="AQ169" s="74"/>
    </row>
    <row r="170" spans="43:43" x14ac:dyDescent="0.25">
      <c r="AQ170" s="74"/>
    </row>
    <row r="171" spans="43:43" x14ac:dyDescent="0.25">
      <c r="AQ171" s="74"/>
    </row>
    <row r="172" spans="43:43" x14ac:dyDescent="0.25">
      <c r="AQ172" s="74"/>
    </row>
    <row r="173" spans="43:43" x14ac:dyDescent="0.25">
      <c r="AQ173" s="74"/>
    </row>
    <row r="174" spans="43:43" x14ac:dyDescent="0.25">
      <c r="AQ174" s="74"/>
    </row>
    <row r="175" spans="43:43" x14ac:dyDescent="0.25">
      <c r="AQ175" s="74"/>
    </row>
    <row r="176" spans="43:43" x14ac:dyDescent="0.25">
      <c r="AQ176" s="74"/>
    </row>
    <row r="177" spans="43:43" x14ac:dyDescent="0.25">
      <c r="AQ177" s="74"/>
    </row>
    <row r="178" spans="43:43" x14ac:dyDescent="0.25">
      <c r="AQ178" s="74"/>
    </row>
    <row r="179" spans="43:43" x14ac:dyDescent="0.25">
      <c r="AQ179" s="74"/>
    </row>
    <row r="180" spans="43:43" x14ac:dyDescent="0.25">
      <c r="AQ180" s="74"/>
    </row>
    <row r="181" spans="43:43" x14ac:dyDescent="0.25">
      <c r="AQ181" s="74"/>
    </row>
    <row r="182" spans="43:43" x14ac:dyDescent="0.25">
      <c r="AQ182" s="74"/>
    </row>
    <row r="183" spans="43:43" x14ac:dyDescent="0.25">
      <c r="AQ183" s="74"/>
    </row>
    <row r="184" spans="43:43" x14ac:dyDescent="0.25">
      <c r="AQ184" s="74"/>
    </row>
    <row r="185" spans="43:43" x14ac:dyDescent="0.25">
      <c r="AQ185" s="74"/>
    </row>
    <row r="186" spans="43:43" x14ac:dyDescent="0.25">
      <c r="AQ186" s="74"/>
    </row>
    <row r="187" spans="43:43" x14ac:dyDescent="0.25">
      <c r="AQ187" s="74"/>
    </row>
    <row r="188" spans="43:43" x14ac:dyDescent="0.25">
      <c r="AQ188" s="74"/>
    </row>
    <row r="189" spans="43:43" x14ac:dyDescent="0.25">
      <c r="AQ189" s="74"/>
    </row>
    <row r="190" spans="43:43" x14ac:dyDescent="0.25">
      <c r="AQ190" s="74"/>
    </row>
    <row r="191" spans="43:43" x14ac:dyDescent="0.25">
      <c r="AQ191" s="74"/>
    </row>
    <row r="192" spans="43:43" x14ac:dyDescent="0.25">
      <c r="AQ192" s="74"/>
    </row>
    <row r="193" spans="43:43" x14ac:dyDescent="0.25">
      <c r="AQ193" s="74"/>
    </row>
    <row r="194" spans="43:43" x14ac:dyDescent="0.25">
      <c r="AQ194" s="74"/>
    </row>
    <row r="195" spans="43:43" x14ac:dyDescent="0.25">
      <c r="AQ195" s="74"/>
    </row>
    <row r="196" spans="43:43" x14ac:dyDescent="0.25">
      <c r="AQ196" s="74"/>
    </row>
    <row r="197" spans="43:43" x14ac:dyDescent="0.25">
      <c r="AQ197" s="74"/>
    </row>
    <row r="198" spans="43:43" x14ac:dyDescent="0.25">
      <c r="AQ198" s="74"/>
    </row>
    <row r="199" spans="43:43" x14ac:dyDescent="0.25">
      <c r="AQ199" s="74"/>
    </row>
    <row r="200" spans="43:43" x14ac:dyDescent="0.25">
      <c r="AQ200" s="74"/>
    </row>
    <row r="201" spans="43:43" x14ac:dyDescent="0.25">
      <c r="AQ201" s="74"/>
    </row>
    <row r="202" spans="43:43" x14ac:dyDescent="0.25">
      <c r="AQ202" s="74"/>
    </row>
    <row r="203" spans="43:43" x14ac:dyDescent="0.25">
      <c r="AQ203" s="74"/>
    </row>
    <row r="204" spans="43:43" x14ac:dyDescent="0.25">
      <c r="AQ204" s="74"/>
    </row>
    <row r="205" spans="43:43" x14ac:dyDescent="0.25">
      <c r="AQ205" s="74"/>
    </row>
    <row r="206" spans="43:43" x14ac:dyDescent="0.25">
      <c r="AQ206" s="74"/>
    </row>
    <row r="207" spans="43:43" x14ac:dyDescent="0.25">
      <c r="AQ207" s="74"/>
    </row>
    <row r="208" spans="43:43" x14ac:dyDescent="0.25">
      <c r="AQ208" s="74"/>
    </row>
    <row r="209" spans="43:43" x14ac:dyDescent="0.25">
      <c r="AQ209" s="74"/>
    </row>
    <row r="210" spans="43:43" x14ac:dyDescent="0.25">
      <c r="AQ210" s="74"/>
    </row>
    <row r="211" spans="43:43" x14ac:dyDescent="0.25">
      <c r="AQ211" s="74"/>
    </row>
    <row r="212" spans="43:43" x14ac:dyDescent="0.25">
      <c r="AQ212" s="74"/>
    </row>
    <row r="213" spans="43:43" x14ac:dyDescent="0.25">
      <c r="AQ213" s="74"/>
    </row>
    <row r="214" spans="43:43" x14ac:dyDescent="0.25">
      <c r="AQ214" s="74"/>
    </row>
    <row r="215" spans="43:43" x14ac:dyDescent="0.25">
      <c r="AQ215" s="74"/>
    </row>
    <row r="216" spans="43:43" x14ac:dyDescent="0.25">
      <c r="AQ216" s="74"/>
    </row>
    <row r="217" spans="43:43" x14ac:dyDescent="0.25">
      <c r="AQ217" s="74"/>
    </row>
    <row r="218" spans="43:43" x14ac:dyDescent="0.25">
      <c r="AQ218" s="74"/>
    </row>
    <row r="219" spans="43:43" x14ac:dyDescent="0.25">
      <c r="AQ219" s="74"/>
    </row>
    <row r="220" spans="43:43" x14ac:dyDescent="0.25">
      <c r="AQ220" s="74"/>
    </row>
    <row r="221" spans="43:43" x14ac:dyDescent="0.25">
      <c r="AQ221" s="74"/>
    </row>
    <row r="222" spans="43:43" x14ac:dyDescent="0.25">
      <c r="AQ222" s="74"/>
    </row>
    <row r="223" spans="43:43" x14ac:dyDescent="0.25">
      <c r="AQ223" s="74"/>
    </row>
    <row r="224" spans="43:43" x14ac:dyDescent="0.25">
      <c r="AQ224" s="74"/>
    </row>
    <row r="225" spans="43:43" x14ac:dyDescent="0.25">
      <c r="AQ225" s="74"/>
    </row>
    <row r="226" spans="43:43" x14ac:dyDescent="0.25">
      <c r="AQ226" s="74"/>
    </row>
    <row r="227" spans="43:43" x14ac:dyDescent="0.25">
      <c r="AQ227" s="74"/>
    </row>
    <row r="228" spans="43:43" x14ac:dyDescent="0.25">
      <c r="AQ228" s="74"/>
    </row>
    <row r="229" spans="43:43" x14ac:dyDescent="0.25">
      <c r="AQ229" s="74"/>
    </row>
    <row r="230" spans="43:43" x14ac:dyDescent="0.25">
      <c r="AQ230" s="74"/>
    </row>
    <row r="231" spans="43:43" x14ac:dyDescent="0.25">
      <c r="AQ231" s="74"/>
    </row>
    <row r="232" spans="43:43" x14ac:dyDescent="0.25">
      <c r="AQ232" s="74"/>
    </row>
    <row r="233" spans="43:43" x14ac:dyDescent="0.25">
      <c r="AQ233" s="74"/>
    </row>
    <row r="234" spans="43:43" x14ac:dyDescent="0.25">
      <c r="AQ234" s="74"/>
    </row>
    <row r="235" spans="43:43" x14ac:dyDescent="0.25">
      <c r="AQ235" s="74"/>
    </row>
    <row r="236" spans="43:43" x14ac:dyDescent="0.25">
      <c r="AQ236" s="74"/>
    </row>
    <row r="237" spans="43:43" x14ac:dyDescent="0.25">
      <c r="AQ237" s="74"/>
    </row>
    <row r="238" spans="43:43" x14ac:dyDescent="0.25">
      <c r="AQ238" s="74"/>
    </row>
    <row r="239" spans="43:43" x14ac:dyDescent="0.25">
      <c r="AQ239" s="74"/>
    </row>
    <row r="240" spans="43:43" x14ac:dyDescent="0.25">
      <c r="AQ240" s="74"/>
    </row>
    <row r="241" spans="43:43" x14ac:dyDescent="0.25">
      <c r="AQ241" s="74"/>
    </row>
    <row r="242" spans="43:43" x14ac:dyDescent="0.25">
      <c r="AQ242" s="74"/>
    </row>
    <row r="243" spans="43:43" x14ac:dyDescent="0.25">
      <c r="AQ243" s="74"/>
    </row>
    <row r="244" spans="43:43" x14ac:dyDescent="0.25">
      <c r="AQ244" s="74"/>
    </row>
    <row r="245" spans="43:43" x14ac:dyDescent="0.25">
      <c r="AQ245" s="74"/>
    </row>
    <row r="246" spans="43:43" x14ac:dyDescent="0.25">
      <c r="AQ246" s="74"/>
    </row>
    <row r="247" spans="43:43" x14ac:dyDescent="0.25">
      <c r="AQ247" s="74"/>
    </row>
    <row r="248" spans="43:43" x14ac:dyDescent="0.25">
      <c r="AQ248" s="74"/>
    </row>
    <row r="249" spans="43:43" x14ac:dyDescent="0.25">
      <c r="AQ249" s="74"/>
    </row>
    <row r="250" spans="43:43" x14ac:dyDescent="0.25">
      <c r="AQ250" s="74"/>
    </row>
    <row r="251" spans="43:43" x14ac:dyDescent="0.25">
      <c r="AQ251" s="74"/>
    </row>
    <row r="252" spans="43:43" x14ac:dyDescent="0.25">
      <c r="AQ252" s="74"/>
    </row>
    <row r="253" spans="43:43" x14ac:dyDescent="0.25">
      <c r="AQ253" s="74"/>
    </row>
    <row r="254" spans="43:43" x14ac:dyDescent="0.25">
      <c r="AQ254" s="74"/>
    </row>
    <row r="255" spans="43:43" x14ac:dyDescent="0.25">
      <c r="AQ255" s="74"/>
    </row>
    <row r="256" spans="43:43" x14ac:dyDescent="0.25">
      <c r="AQ256" s="74"/>
    </row>
    <row r="257" spans="43:43" x14ac:dyDescent="0.25">
      <c r="AQ257" s="74"/>
    </row>
    <row r="258" spans="43:43" x14ac:dyDescent="0.25">
      <c r="AQ258" s="74"/>
    </row>
    <row r="259" spans="43:43" x14ac:dyDescent="0.25">
      <c r="AQ259" s="74"/>
    </row>
    <row r="260" spans="43:43" x14ac:dyDescent="0.25">
      <c r="AQ260" s="74"/>
    </row>
    <row r="261" spans="43:43" x14ac:dyDescent="0.25">
      <c r="AQ261" s="74"/>
    </row>
    <row r="262" spans="43:43" x14ac:dyDescent="0.25">
      <c r="AQ262" s="74"/>
    </row>
    <row r="263" spans="43:43" x14ac:dyDescent="0.25">
      <c r="AQ263" s="74"/>
    </row>
    <row r="264" spans="43:43" x14ac:dyDescent="0.25">
      <c r="AQ264" s="74"/>
    </row>
    <row r="265" spans="43:43" x14ac:dyDescent="0.25">
      <c r="AQ265" s="74"/>
    </row>
    <row r="266" spans="43:43" x14ac:dyDescent="0.25">
      <c r="AQ266" s="74"/>
    </row>
    <row r="267" spans="43:43" x14ac:dyDescent="0.25">
      <c r="AQ267" s="74"/>
    </row>
    <row r="268" spans="43:43" x14ac:dyDescent="0.25">
      <c r="AQ268" s="74"/>
    </row>
    <row r="269" spans="43:43" x14ac:dyDescent="0.25">
      <c r="AQ269" s="74"/>
    </row>
    <row r="270" spans="43:43" x14ac:dyDescent="0.25">
      <c r="AQ270" s="74"/>
    </row>
    <row r="271" spans="43:43" x14ac:dyDescent="0.25">
      <c r="AQ271" s="74"/>
    </row>
    <row r="272" spans="43:43" x14ac:dyDescent="0.25">
      <c r="AQ272" s="74"/>
    </row>
    <row r="273" spans="43:43" x14ac:dyDescent="0.25">
      <c r="AQ273" s="74"/>
    </row>
    <row r="274" spans="43:43" x14ac:dyDescent="0.25">
      <c r="AQ274" s="74"/>
    </row>
    <row r="275" spans="43:43" x14ac:dyDescent="0.25">
      <c r="AQ275" s="74"/>
    </row>
    <row r="276" spans="43:43" x14ac:dyDescent="0.25">
      <c r="AQ276" s="74"/>
    </row>
    <row r="277" spans="43:43" x14ac:dyDescent="0.25">
      <c r="AQ277" s="74"/>
    </row>
    <row r="278" spans="43:43" x14ac:dyDescent="0.25">
      <c r="AQ278" s="74"/>
    </row>
    <row r="279" spans="43:43" x14ac:dyDescent="0.25">
      <c r="AQ279" s="74"/>
    </row>
    <row r="280" spans="43:43" x14ac:dyDescent="0.25">
      <c r="AQ280" s="74"/>
    </row>
    <row r="281" spans="43:43" x14ac:dyDescent="0.25">
      <c r="AQ281" s="74"/>
    </row>
    <row r="282" spans="43:43" x14ac:dyDescent="0.25">
      <c r="AQ282" s="74"/>
    </row>
    <row r="283" spans="43:43" x14ac:dyDescent="0.25">
      <c r="AQ283" s="74"/>
    </row>
    <row r="284" spans="43:43" x14ac:dyDescent="0.25">
      <c r="AQ284" s="74"/>
    </row>
    <row r="285" spans="43:43" x14ac:dyDescent="0.25">
      <c r="AQ285" s="74"/>
    </row>
    <row r="286" spans="43:43" x14ac:dyDescent="0.25">
      <c r="AQ286" s="74"/>
    </row>
    <row r="287" spans="43:43" x14ac:dyDescent="0.25">
      <c r="AQ287" s="74"/>
    </row>
    <row r="288" spans="43:43" x14ac:dyDescent="0.25">
      <c r="AQ288" s="74"/>
    </row>
    <row r="289" spans="43:43" x14ac:dyDescent="0.25">
      <c r="AQ289" s="74"/>
    </row>
    <row r="290" spans="43:43" x14ac:dyDescent="0.25">
      <c r="AQ290" s="74"/>
    </row>
    <row r="291" spans="43:43" x14ac:dyDescent="0.25">
      <c r="AQ291" s="74"/>
    </row>
    <row r="292" spans="43:43" x14ac:dyDescent="0.25">
      <c r="AQ292" s="74"/>
    </row>
    <row r="293" spans="43:43" x14ac:dyDescent="0.25">
      <c r="AQ293" s="74"/>
    </row>
    <row r="294" spans="43:43" x14ac:dyDescent="0.25">
      <c r="AQ294" s="74"/>
    </row>
    <row r="295" spans="43:43" x14ac:dyDescent="0.25">
      <c r="AQ295" s="74"/>
    </row>
    <row r="296" spans="43:43" x14ac:dyDescent="0.25">
      <c r="AQ296" s="74"/>
    </row>
    <row r="297" spans="43:43" x14ac:dyDescent="0.25">
      <c r="AQ297" s="74"/>
    </row>
    <row r="298" spans="43:43" x14ac:dyDescent="0.25">
      <c r="AQ298" s="74"/>
    </row>
    <row r="299" spans="43:43" x14ac:dyDescent="0.25">
      <c r="AQ299" s="74"/>
    </row>
    <row r="300" spans="43:43" x14ac:dyDescent="0.25">
      <c r="AQ300" s="74"/>
    </row>
    <row r="301" spans="43:43" x14ac:dyDescent="0.25">
      <c r="AQ301" s="74"/>
    </row>
    <row r="302" spans="43:43" x14ac:dyDescent="0.25">
      <c r="AQ302" s="74"/>
    </row>
    <row r="303" spans="43:43" x14ac:dyDescent="0.25">
      <c r="AQ303" s="74"/>
    </row>
    <row r="304" spans="43:43" x14ac:dyDescent="0.25">
      <c r="AQ304" s="74"/>
    </row>
    <row r="305" spans="43:43" x14ac:dyDescent="0.25">
      <c r="AQ305" s="74"/>
    </row>
    <row r="306" spans="43:43" x14ac:dyDescent="0.25">
      <c r="AQ306" s="74"/>
    </row>
    <row r="307" spans="43:43" x14ac:dyDescent="0.25">
      <c r="AQ307" s="74"/>
    </row>
    <row r="308" spans="43:43" x14ac:dyDescent="0.25">
      <c r="AQ308" s="74"/>
    </row>
    <row r="309" spans="43:43" x14ac:dyDescent="0.25">
      <c r="AQ309" s="74"/>
    </row>
    <row r="310" spans="43:43" x14ac:dyDescent="0.25">
      <c r="AQ310" s="74"/>
    </row>
    <row r="311" spans="43:43" x14ac:dyDescent="0.25">
      <c r="AQ311" s="74"/>
    </row>
    <row r="312" spans="43:43" x14ac:dyDescent="0.25">
      <c r="AQ312" s="74"/>
    </row>
    <row r="313" spans="43:43" x14ac:dyDescent="0.25">
      <c r="AQ313" s="74"/>
    </row>
    <row r="314" spans="43:43" x14ac:dyDescent="0.25">
      <c r="AQ314" s="74"/>
    </row>
    <row r="315" spans="43:43" x14ac:dyDescent="0.25">
      <c r="AQ315" s="74"/>
    </row>
    <row r="316" spans="43:43" x14ac:dyDescent="0.25">
      <c r="AQ316" s="74"/>
    </row>
    <row r="317" spans="43:43" x14ac:dyDescent="0.25">
      <c r="AQ317" s="74"/>
    </row>
    <row r="318" spans="43:43" x14ac:dyDescent="0.25">
      <c r="AQ318" s="74"/>
    </row>
    <row r="319" spans="43:43" x14ac:dyDescent="0.25">
      <c r="AQ319" s="74"/>
    </row>
    <row r="320" spans="43:43" x14ac:dyDescent="0.25">
      <c r="AQ320" s="74"/>
    </row>
    <row r="321" spans="43:43" x14ac:dyDescent="0.25">
      <c r="AQ321" s="74"/>
    </row>
    <row r="322" spans="43:43" x14ac:dyDescent="0.25">
      <c r="AQ322" s="74"/>
    </row>
    <row r="323" spans="43:43" x14ac:dyDescent="0.25">
      <c r="AQ323" s="74"/>
    </row>
    <row r="324" spans="43:43" x14ac:dyDescent="0.25">
      <c r="AQ324" s="74"/>
    </row>
    <row r="325" spans="43:43" x14ac:dyDescent="0.25">
      <c r="AQ325" s="74"/>
    </row>
    <row r="326" spans="43:43" x14ac:dyDescent="0.25">
      <c r="AQ326" s="74"/>
    </row>
    <row r="327" spans="43:43" x14ac:dyDescent="0.25">
      <c r="AQ327" s="74"/>
    </row>
    <row r="328" spans="43:43" x14ac:dyDescent="0.25">
      <c r="AQ328" s="74"/>
    </row>
    <row r="329" spans="43:43" x14ac:dyDescent="0.25">
      <c r="AQ329" s="74"/>
    </row>
    <row r="330" spans="43:43" x14ac:dyDescent="0.25">
      <c r="AQ330" s="74"/>
    </row>
    <row r="331" spans="43:43" x14ac:dyDescent="0.25">
      <c r="AQ331" s="74"/>
    </row>
    <row r="332" spans="43:43" x14ac:dyDescent="0.25">
      <c r="AQ332" s="74"/>
    </row>
    <row r="333" spans="43:43" x14ac:dyDescent="0.25">
      <c r="AQ333" s="74"/>
    </row>
    <row r="334" spans="43:43" x14ac:dyDescent="0.25">
      <c r="AQ334" s="74"/>
    </row>
    <row r="335" spans="43:43" x14ac:dyDescent="0.25">
      <c r="AQ335" s="74"/>
    </row>
    <row r="336" spans="43:43" x14ac:dyDescent="0.25">
      <c r="AQ336" s="74"/>
    </row>
    <row r="337" spans="43:43" x14ac:dyDescent="0.25">
      <c r="AQ337" s="74"/>
    </row>
    <row r="338" spans="43:43" x14ac:dyDescent="0.25">
      <c r="AQ338" s="74"/>
    </row>
    <row r="339" spans="43:43" x14ac:dyDescent="0.25">
      <c r="AQ339" s="74"/>
    </row>
    <row r="340" spans="43:43" x14ac:dyDescent="0.25">
      <c r="AQ340" s="74"/>
    </row>
    <row r="341" spans="43:43" x14ac:dyDescent="0.25">
      <c r="AQ341" s="74"/>
    </row>
    <row r="342" spans="43:43" x14ac:dyDescent="0.25">
      <c r="AQ342" s="74"/>
    </row>
    <row r="343" spans="43:43" x14ac:dyDescent="0.25">
      <c r="AQ343" s="74"/>
    </row>
    <row r="344" spans="43:43" x14ac:dyDescent="0.25">
      <c r="AQ344" s="74"/>
    </row>
    <row r="345" spans="43:43" x14ac:dyDescent="0.25">
      <c r="AQ345" s="74"/>
    </row>
    <row r="346" spans="43:43" x14ac:dyDescent="0.25">
      <c r="AQ346" s="74"/>
    </row>
    <row r="347" spans="43:43" x14ac:dyDescent="0.25">
      <c r="AQ347" s="74"/>
    </row>
    <row r="348" spans="43:43" x14ac:dyDescent="0.25">
      <c r="AQ348" s="74"/>
    </row>
    <row r="349" spans="43:43" x14ac:dyDescent="0.25">
      <c r="AQ349" s="74"/>
    </row>
    <row r="350" spans="43:43" x14ac:dyDescent="0.25">
      <c r="AQ350" s="74"/>
    </row>
    <row r="351" spans="43:43" x14ac:dyDescent="0.25">
      <c r="AQ351" s="74"/>
    </row>
    <row r="352" spans="43:43" x14ac:dyDescent="0.25">
      <c r="AQ352" s="74"/>
    </row>
    <row r="353" spans="43:43" x14ac:dyDescent="0.25">
      <c r="AQ353" s="74"/>
    </row>
    <row r="354" spans="43:43" x14ac:dyDescent="0.25">
      <c r="AQ354" s="74"/>
    </row>
    <row r="355" spans="43:43" x14ac:dyDescent="0.25">
      <c r="AQ355" s="74"/>
    </row>
    <row r="356" spans="43:43" x14ac:dyDescent="0.25">
      <c r="AQ356" s="74"/>
    </row>
    <row r="357" spans="43:43" x14ac:dyDescent="0.25">
      <c r="AQ357" s="74"/>
    </row>
    <row r="358" spans="43:43" x14ac:dyDescent="0.25">
      <c r="AQ358" s="74"/>
    </row>
    <row r="359" spans="43:43" x14ac:dyDescent="0.25">
      <c r="AQ359" s="74"/>
    </row>
    <row r="360" spans="43:43" x14ac:dyDescent="0.25">
      <c r="AQ360" s="74"/>
    </row>
    <row r="361" spans="43:43" x14ac:dyDescent="0.25">
      <c r="AQ361" s="74"/>
    </row>
    <row r="362" spans="43:43" x14ac:dyDescent="0.25">
      <c r="AQ362" s="74"/>
    </row>
    <row r="363" spans="43:43" x14ac:dyDescent="0.25">
      <c r="AQ363" s="74"/>
    </row>
    <row r="364" spans="43:43" x14ac:dyDescent="0.25">
      <c r="AQ364" s="74"/>
    </row>
    <row r="365" spans="43:43" x14ac:dyDescent="0.25">
      <c r="AQ365" s="74"/>
    </row>
    <row r="366" spans="43:43" x14ac:dyDescent="0.25">
      <c r="AQ366" s="74"/>
    </row>
    <row r="367" spans="43:43" x14ac:dyDescent="0.25">
      <c r="AQ367" s="74"/>
    </row>
    <row r="368" spans="43:43" x14ac:dyDescent="0.25">
      <c r="AQ368" s="74"/>
    </row>
    <row r="369" spans="43:43" x14ac:dyDescent="0.25">
      <c r="AQ369" s="74"/>
    </row>
    <row r="370" spans="43:43" x14ac:dyDescent="0.25">
      <c r="AQ370" s="74"/>
    </row>
    <row r="371" spans="43:43" x14ac:dyDescent="0.25">
      <c r="AQ371" s="74"/>
    </row>
    <row r="372" spans="43:43" x14ac:dyDescent="0.25">
      <c r="AQ372" s="74"/>
    </row>
    <row r="373" spans="43:43" x14ac:dyDescent="0.25">
      <c r="AQ373" s="74"/>
    </row>
    <row r="374" spans="43:43" x14ac:dyDescent="0.25">
      <c r="AQ374" s="74"/>
    </row>
    <row r="375" spans="43:43" x14ac:dyDescent="0.25">
      <c r="AQ375" s="74"/>
    </row>
    <row r="376" spans="43:43" x14ac:dyDescent="0.25">
      <c r="AQ376" s="74"/>
    </row>
    <row r="377" spans="43:43" x14ac:dyDescent="0.25">
      <c r="AQ377" s="74"/>
    </row>
    <row r="378" spans="43:43" x14ac:dyDescent="0.25">
      <c r="AQ378" s="74"/>
    </row>
    <row r="379" spans="43:43" x14ac:dyDescent="0.25">
      <c r="AQ379" s="74"/>
    </row>
    <row r="380" spans="43:43" x14ac:dyDescent="0.25">
      <c r="AQ380" s="74"/>
    </row>
    <row r="381" spans="43:43" x14ac:dyDescent="0.25">
      <c r="AQ381" s="74"/>
    </row>
    <row r="382" spans="43:43" x14ac:dyDescent="0.25">
      <c r="AQ382" s="74"/>
    </row>
    <row r="383" spans="43:43" x14ac:dyDescent="0.25">
      <c r="AQ383" s="74"/>
    </row>
    <row r="384" spans="43:43" x14ac:dyDescent="0.25">
      <c r="AQ384" s="74"/>
    </row>
    <row r="385" spans="43:43" x14ac:dyDescent="0.25">
      <c r="AQ385" s="74"/>
    </row>
    <row r="386" spans="43:43" x14ac:dyDescent="0.25">
      <c r="AQ386" s="74"/>
    </row>
    <row r="387" spans="43:43" x14ac:dyDescent="0.25">
      <c r="AQ387" s="74"/>
    </row>
    <row r="388" spans="43:43" x14ac:dyDescent="0.25">
      <c r="AQ388" s="74"/>
    </row>
    <row r="389" spans="43:43" x14ac:dyDescent="0.25">
      <c r="AQ389" s="74"/>
    </row>
    <row r="390" spans="43:43" x14ac:dyDescent="0.25">
      <c r="AQ390" s="74"/>
    </row>
    <row r="391" spans="43:43" x14ac:dyDescent="0.25">
      <c r="AQ391" s="74"/>
    </row>
    <row r="392" spans="43:43" x14ac:dyDescent="0.25">
      <c r="AQ392" s="74"/>
    </row>
    <row r="393" spans="43:43" x14ac:dyDescent="0.25">
      <c r="AQ393" s="74"/>
    </row>
    <row r="394" spans="43:43" x14ac:dyDescent="0.25">
      <c r="AQ394" s="74"/>
    </row>
    <row r="395" spans="43:43" x14ac:dyDescent="0.25">
      <c r="AQ395" s="74"/>
    </row>
    <row r="396" spans="43:43" x14ac:dyDescent="0.25">
      <c r="AQ396" s="74"/>
    </row>
    <row r="397" spans="43:43" x14ac:dyDescent="0.25">
      <c r="AQ397" s="74"/>
    </row>
    <row r="398" spans="43:43" x14ac:dyDescent="0.25">
      <c r="AQ398" s="74"/>
    </row>
    <row r="399" spans="43:43" x14ac:dyDescent="0.25">
      <c r="AQ399" s="74"/>
    </row>
    <row r="400" spans="43:43" x14ac:dyDescent="0.25">
      <c r="AQ400" s="74"/>
    </row>
    <row r="401" spans="43:43" x14ac:dyDescent="0.25">
      <c r="AQ401" s="74"/>
    </row>
  </sheetData>
  <sortState ref="D4:AR69">
    <sortCondition descending="1" ref="AQ4:AQ69"/>
  </sortState>
  <pageMargins left="0.7" right="0.7" top="0.75" bottom="0.75" header="0.3" footer="0.3"/>
  <pageSetup orientation="portrait" r:id="rId1"/>
  <drawing r:id="rId2"/>
  <legacyDrawing r:id="rId3"/>
  <controls>
    <mc:AlternateContent xmlns:mc="http://schemas.openxmlformats.org/markup-compatibility/2006">
      <mc:Choice Requires="x14">
        <control shapeId="12289" r:id="rId4" name="bStartHere_back4">
          <controlPr defaultSize="0" autoLine="0" r:id="rId5">
            <anchor moveWithCells="1">
              <from>
                <xdr:col>0</xdr:col>
                <xdr:colOff>104775</xdr:colOff>
                <xdr:row>4</xdr:row>
                <xdr:rowOff>57150</xdr:rowOff>
              </from>
              <to>
                <xdr:col>0</xdr:col>
                <xdr:colOff>1200150</xdr:colOff>
                <xdr:row>7</xdr:row>
                <xdr:rowOff>9525</xdr:rowOff>
              </to>
            </anchor>
          </controlPr>
        </control>
      </mc:Choice>
      <mc:Fallback>
        <control shapeId="12289" r:id="rId4" name="bStartHere_back4"/>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00B050"/>
  </sheetPr>
  <dimension ref="A1:U33"/>
  <sheetViews>
    <sheetView zoomScale="80" zoomScaleNormal="80" workbookViewId="0">
      <selection activeCell="J27" sqref="J27"/>
    </sheetView>
  </sheetViews>
  <sheetFormatPr defaultRowHeight="15" x14ac:dyDescent="0.25"/>
  <cols>
    <col min="1" max="1" width="19" style="220" customWidth="1"/>
    <col min="3" max="3" width="16.5703125" bestFit="1" customWidth="1"/>
    <col min="13" max="13" width="16.140625" customWidth="1"/>
    <col min="14" max="14" width="12.28515625" customWidth="1"/>
    <col min="15" max="15" width="12.42578125" customWidth="1"/>
    <col min="16" max="16" width="14.5703125" customWidth="1"/>
    <col min="17" max="17" width="15.5703125" customWidth="1"/>
    <col min="18" max="18" width="13.85546875" customWidth="1"/>
  </cols>
  <sheetData>
    <row r="1" spans="3:21" ht="16.5" thickBot="1" x14ac:dyDescent="0.3">
      <c r="M1" s="366" t="s">
        <v>217</v>
      </c>
      <c r="N1" s="367"/>
      <c r="O1" s="367"/>
      <c r="P1" s="367"/>
      <c r="Q1" s="367"/>
      <c r="R1" s="367"/>
      <c r="S1" s="367"/>
      <c r="T1" s="367"/>
      <c r="U1" s="368"/>
    </row>
    <row r="2" spans="3:21" ht="15.75" thickBot="1" x14ac:dyDescent="0.3">
      <c r="C2" s="192" t="s">
        <v>226</v>
      </c>
      <c r="D2" s="193" t="s">
        <v>365</v>
      </c>
      <c r="M2" s="369" t="s">
        <v>227</v>
      </c>
      <c r="N2" s="370"/>
      <c r="O2" s="370"/>
      <c r="P2" s="370"/>
      <c r="Q2" s="370"/>
      <c r="R2" s="370"/>
      <c r="S2" s="370"/>
      <c r="T2" s="370"/>
      <c r="U2" s="371"/>
    </row>
    <row r="3" spans="3:21" ht="14.45" customHeight="1" thickBot="1" x14ac:dyDescent="0.3">
      <c r="C3" s="247" t="s">
        <v>91</v>
      </c>
      <c r="D3" s="247" t="s">
        <v>230</v>
      </c>
      <c r="E3" s="199" t="s">
        <v>231</v>
      </c>
      <c r="F3" s="199"/>
      <c r="G3" s="199" t="s">
        <v>232</v>
      </c>
      <c r="H3" s="199"/>
      <c r="I3" s="199" t="s">
        <v>233</v>
      </c>
      <c r="J3" s="200"/>
      <c r="M3" s="372"/>
      <c r="N3" s="373"/>
      <c r="O3" s="373"/>
      <c r="P3" s="373"/>
      <c r="Q3" s="373"/>
      <c r="R3" s="373"/>
      <c r="S3" s="373"/>
      <c r="T3" s="373"/>
      <c r="U3" s="374"/>
    </row>
    <row r="4" spans="3:21" ht="15" customHeight="1" thickBot="1" x14ac:dyDescent="0.3">
      <c r="C4" s="100"/>
      <c r="D4" s="3"/>
      <c r="E4" s="201" t="s">
        <v>368</v>
      </c>
      <c r="F4" s="201" t="s">
        <v>64</v>
      </c>
      <c r="G4" s="202" t="s">
        <v>368</v>
      </c>
      <c r="H4" s="202" t="s">
        <v>64</v>
      </c>
      <c r="I4" s="201" t="s">
        <v>368</v>
      </c>
      <c r="J4" s="203" t="s">
        <v>64</v>
      </c>
      <c r="M4" s="375" t="s">
        <v>228</v>
      </c>
      <c r="N4" s="376"/>
      <c r="O4" s="376"/>
      <c r="P4" s="376"/>
      <c r="Q4" s="376"/>
      <c r="R4" s="376"/>
      <c r="S4" s="376"/>
      <c r="T4" s="376"/>
      <c r="U4" s="377"/>
    </row>
    <row r="5" spans="3:21" x14ac:dyDescent="0.25">
      <c r="C5" s="100" t="s">
        <v>369</v>
      </c>
      <c r="D5" s="204">
        <v>9</v>
      </c>
      <c r="E5" s="62">
        <v>0</v>
      </c>
      <c r="F5" s="194">
        <v>1</v>
      </c>
      <c r="G5" s="204">
        <v>0</v>
      </c>
      <c r="H5" s="205">
        <v>1</v>
      </c>
      <c r="I5" s="3">
        <v>3</v>
      </c>
      <c r="J5" s="195">
        <v>0.67</v>
      </c>
      <c r="M5" s="369" t="s">
        <v>229</v>
      </c>
      <c r="N5" s="370"/>
      <c r="O5" s="370"/>
      <c r="P5" s="370"/>
      <c r="Q5" s="370"/>
      <c r="R5" s="370"/>
      <c r="S5" s="370"/>
      <c r="T5" s="370"/>
      <c r="U5" s="371"/>
    </row>
    <row r="6" spans="3:21" ht="32.450000000000003" customHeight="1" thickBot="1" x14ac:dyDescent="0.3">
      <c r="C6" s="100" t="s">
        <v>370</v>
      </c>
      <c r="D6" s="204">
        <v>0</v>
      </c>
      <c r="E6" s="62">
        <v>0</v>
      </c>
      <c r="F6" s="194">
        <v>1</v>
      </c>
      <c r="G6" s="204">
        <v>0</v>
      </c>
      <c r="H6" s="205">
        <v>1</v>
      </c>
      <c r="I6" s="3">
        <v>0</v>
      </c>
      <c r="J6" s="195">
        <v>1</v>
      </c>
      <c r="M6" s="378"/>
      <c r="N6" s="379"/>
      <c r="O6" s="379"/>
      <c r="P6" s="379"/>
      <c r="Q6" s="379"/>
      <c r="R6" s="379"/>
      <c r="S6" s="379"/>
      <c r="T6" s="379"/>
      <c r="U6" s="380"/>
    </row>
    <row r="7" spans="3:21" x14ac:dyDescent="0.25">
      <c r="C7" s="206" t="s">
        <v>371</v>
      </c>
      <c r="D7" s="207">
        <v>0</v>
      </c>
      <c r="E7" s="62">
        <v>0</v>
      </c>
      <c r="F7" s="194">
        <v>1</v>
      </c>
      <c r="G7" s="207">
        <v>0</v>
      </c>
      <c r="H7" s="208">
        <v>1</v>
      </c>
      <c r="I7" s="3">
        <v>0</v>
      </c>
      <c r="J7" s="195">
        <v>1</v>
      </c>
    </row>
    <row r="8" spans="3:21" x14ac:dyDescent="0.25">
      <c r="C8" s="206" t="s">
        <v>372</v>
      </c>
      <c r="D8" s="207">
        <v>0</v>
      </c>
      <c r="E8" s="62">
        <v>0</v>
      </c>
      <c r="F8" s="194">
        <v>1</v>
      </c>
      <c r="G8" s="207">
        <v>0</v>
      </c>
      <c r="H8" s="208">
        <v>1</v>
      </c>
      <c r="I8" s="3">
        <v>0</v>
      </c>
      <c r="J8" s="195">
        <v>1</v>
      </c>
    </row>
    <row r="9" spans="3:21" x14ac:dyDescent="0.25">
      <c r="C9" s="206" t="s">
        <v>373</v>
      </c>
      <c r="D9" s="207">
        <v>2</v>
      </c>
      <c r="E9" s="62">
        <v>0</v>
      </c>
      <c r="F9" s="194">
        <v>1</v>
      </c>
      <c r="G9" s="207">
        <v>0</v>
      </c>
      <c r="H9" s="208">
        <v>1</v>
      </c>
      <c r="I9" s="3">
        <v>1</v>
      </c>
      <c r="J9" s="195">
        <v>0.5</v>
      </c>
    </row>
    <row r="10" spans="3:21" ht="15.75" thickBot="1" x14ac:dyDescent="0.3">
      <c r="C10" s="209" t="s">
        <v>374</v>
      </c>
      <c r="D10" s="210">
        <v>7</v>
      </c>
      <c r="E10" s="211">
        <v>0</v>
      </c>
      <c r="F10" s="197">
        <v>1</v>
      </c>
      <c r="G10" s="210">
        <v>0</v>
      </c>
      <c r="H10" s="212">
        <v>1</v>
      </c>
      <c r="I10" s="196">
        <v>2</v>
      </c>
      <c r="J10" s="198">
        <v>0.71</v>
      </c>
    </row>
    <row r="14" spans="3:21" ht="15.75" thickBot="1" x14ac:dyDescent="0.3"/>
    <row r="15" spans="3:21" x14ac:dyDescent="0.25">
      <c r="L15" s="381" t="s">
        <v>244</v>
      </c>
      <c r="M15" s="384" t="s">
        <v>254</v>
      </c>
      <c r="N15" s="386" t="s">
        <v>255</v>
      </c>
      <c r="O15" s="386" t="s">
        <v>256</v>
      </c>
      <c r="P15" s="227" t="s">
        <v>257</v>
      </c>
      <c r="Q15" s="227" t="s">
        <v>244</v>
      </c>
      <c r="R15" s="386" t="s">
        <v>259</v>
      </c>
    </row>
    <row r="16" spans="3:21" ht="15.75" thickBot="1" x14ac:dyDescent="0.3">
      <c r="L16" s="382"/>
      <c r="M16" s="385"/>
      <c r="N16" s="387"/>
      <c r="O16" s="387"/>
      <c r="P16" s="228" t="s">
        <v>258</v>
      </c>
      <c r="Q16" s="228" t="s">
        <v>118</v>
      </c>
      <c r="R16" s="387"/>
    </row>
    <row r="17" spans="12:20" ht="16.5" thickBot="1" x14ac:dyDescent="0.3">
      <c r="L17" s="382"/>
      <c r="M17" s="232" t="s">
        <v>49</v>
      </c>
      <c r="N17" s="229">
        <f>D7</f>
        <v>0</v>
      </c>
      <c r="O17" s="229">
        <f>G7</f>
        <v>0</v>
      </c>
      <c r="P17" s="230">
        <f>IF(N17=0,100%,(N17-O17)/N17)</f>
        <v>1</v>
      </c>
      <c r="Q17" s="229" t="s">
        <v>260</v>
      </c>
      <c r="R17" s="231">
        <v>0</v>
      </c>
    </row>
    <row r="18" spans="12:20" ht="22.15" customHeight="1" thickBot="1" x14ac:dyDescent="0.3">
      <c r="L18" s="382"/>
      <c r="M18" s="232" t="s">
        <v>50</v>
      </c>
      <c r="N18" s="229">
        <f>D8</f>
        <v>0</v>
      </c>
      <c r="O18" s="229">
        <f>G8</f>
        <v>0</v>
      </c>
      <c r="P18" s="230">
        <f t="shared" ref="P18:P20" si="0">IF(N18=0,100%,(N18-O18)/N18)</f>
        <v>1</v>
      </c>
      <c r="Q18" s="229" t="s">
        <v>261</v>
      </c>
      <c r="R18" s="231">
        <v>0</v>
      </c>
    </row>
    <row r="19" spans="12:20" ht="30.75" thickBot="1" x14ac:dyDescent="0.3">
      <c r="L19" s="382"/>
      <c r="M19" s="232" t="s">
        <v>262</v>
      </c>
      <c r="N19" s="229">
        <f>D9</f>
        <v>2</v>
      </c>
      <c r="O19" s="229">
        <f>G9</f>
        <v>0</v>
      </c>
      <c r="P19" s="230">
        <f t="shared" si="0"/>
        <v>1</v>
      </c>
      <c r="Q19" s="229" t="s">
        <v>263</v>
      </c>
      <c r="R19" s="229" t="s">
        <v>264</v>
      </c>
    </row>
    <row r="20" spans="12:20" ht="30.75" thickBot="1" x14ac:dyDescent="0.3">
      <c r="L20" s="383"/>
      <c r="M20" s="232" t="s">
        <v>265</v>
      </c>
      <c r="N20" s="229">
        <f>D10</f>
        <v>7</v>
      </c>
      <c r="O20" s="229">
        <f>G10</f>
        <v>0</v>
      </c>
      <c r="P20" s="230">
        <f t="shared" si="0"/>
        <v>1</v>
      </c>
      <c r="Q20" s="229" t="s">
        <v>266</v>
      </c>
      <c r="R20" s="229" t="s">
        <v>264</v>
      </c>
    </row>
    <row r="22" spans="12:20" ht="15.75" thickBot="1" x14ac:dyDescent="0.3"/>
    <row r="23" spans="12:20" ht="28.9" customHeight="1" x14ac:dyDescent="0.25">
      <c r="L23" s="381" t="s">
        <v>231</v>
      </c>
      <c r="M23" s="384" t="s">
        <v>254</v>
      </c>
      <c r="N23" s="386" t="s">
        <v>255</v>
      </c>
      <c r="O23" s="386" t="s">
        <v>256</v>
      </c>
      <c r="P23" s="227" t="s">
        <v>257</v>
      </c>
      <c r="Q23" s="227" t="s">
        <v>267</v>
      </c>
      <c r="R23" s="386" t="s">
        <v>259</v>
      </c>
    </row>
    <row r="24" spans="12:20" ht="15.75" thickBot="1" x14ac:dyDescent="0.3">
      <c r="L24" s="382"/>
      <c r="M24" s="385"/>
      <c r="N24" s="387"/>
      <c r="O24" s="387"/>
      <c r="P24" s="228" t="s">
        <v>258</v>
      </c>
      <c r="Q24" s="228" t="s">
        <v>118</v>
      </c>
      <c r="R24" s="387"/>
    </row>
    <row r="25" spans="12:20" ht="30.75" thickBot="1" x14ac:dyDescent="0.3">
      <c r="L25" s="382"/>
      <c r="M25" s="232" t="s">
        <v>49</v>
      </c>
      <c r="N25" s="229">
        <f>D7</f>
        <v>0</v>
      </c>
      <c r="O25" s="229">
        <f>E7</f>
        <v>0</v>
      </c>
      <c r="P25" s="230">
        <f>IF(N25=0,100%,(N25-O25)/N25)</f>
        <v>1</v>
      </c>
      <c r="Q25" s="229" t="s">
        <v>268</v>
      </c>
      <c r="R25" s="231" t="s">
        <v>264</v>
      </c>
    </row>
    <row r="26" spans="12:20" ht="30.75" thickBot="1" x14ac:dyDescent="0.3">
      <c r="L26" s="382"/>
      <c r="M26" s="232" t="s">
        <v>50</v>
      </c>
      <c r="N26" s="229">
        <f t="shared" ref="N26:N28" si="1">D8</f>
        <v>0</v>
      </c>
      <c r="O26" s="229">
        <f>E8</f>
        <v>0</v>
      </c>
      <c r="P26" s="230">
        <f t="shared" ref="P26:P28" si="2">IF(N26=0,100%,(N26-O26)/N26)</f>
        <v>1</v>
      </c>
      <c r="Q26" s="229" t="s">
        <v>268</v>
      </c>
      <c r="R26" s="231" t="s">
        <v>264</v>
      </c>
      <c r="T26" s="74"/>
    </row>
    <row r="27" spans="12:20" ht="30.75" thickBot="1" x14ac:dyDescent="0.3">
      <c r="L27" s="382"/>
      <c r="M27" s="232" t="s">
        <v>262</v>
      </c>
      <c r="N27" s="229">
        <f t="shared" si="1"/>
        <v>2</v>
      </c>
      <c r="O27" s="229">
        <f>E9</f>
        <v>0</v>
      </c>
      <c r="P27" s="230">
        <f t="shared" si="2"/>
        <v>1</v>
      </c>
      <c r="Q27" s="229" t="s">
        <v>269</v>
      </c>
      <c r="R27" s="229" t="s">
        <v>264</v>
      </c>
      <c r="T27" s="74"/>
    </row>
    <row r="28" spans="12:20" ht="30.6" customHeight="1" thickBot="1" x14ac:dyDescent="0.3">
      <c r="L28" s="383"/>
      <c r="M28" s="232" t="s">
        <v>265</v>
      </c>
      <c r="N28" s="229">
        <f t="shared" si="1"/>
        <v>7</v>
      </c>
      <c r="O28" s="229">
        <f>E10</f>
        <v>0</v>
      </c>
      <c r="P28" s="230">
        <f t="shared" si="2"/>
        <v>1</v>
      </c>
      <c r="Q28" s="229" t="s">
        <v>270</v>
      </c>
      <c r="R28" s="229" t="s">
        <v>264</v>
      </c>
      <c r="T28" s="74"/>
    </row>
    <row r="33" spans="20:20" x14ac:dyDescent="0.25">
      <c r="T33" s="274"/>
    </row>
  </sheetData>
  <mergeCells count="14">
    <mergeCell ref="M1:U1"/>
    <mergeCell ref="M2:U3"/>
    <mergeCell ref="M4:U4"/>
    <mergeCell ref="M5:U6"/>
    <mergeCell ref="L23:L28"/>
    <mergeCell ref="M15:M16"/>
    <mergeCell ref="N15:N16"/>
    <mergeCell ref="O15:O16"/>
    <mergeCell ref="R15:R16"/>
    <mergeCell ref="L15:L20"/>
    <mergeCell ref="M23:M24"/>
    <mergeCell ref="N23:N24"/>
    <mergeCell ref="O23:O24"/>
    <mergeCell ref="R23:R24"/>
  </mergeCells>
  <pageMargins left="0.7" right="0.7" top="0.75" bottom="0.75" header="0.3" footer="0.3"/>
  <pageSetup orientation="portrait" r:id="rId1"/>
  <drawing r:id="rId2"/>
  <legacyDrawing r:id="rId3"/>
  <controls>
    <mc:AlternateContent xmlns:mc="http://schemas.openxmlformats.org/markup-compatibility/2006">
      <mc:Choice Requires="x14">
        <control shapeId="13313" r:id="rId4" name="bStartHere_back5">
          <controlPr defaultSize="0" autoLine="0" r:id="rId5">
            <anchor moveWithCells="1">
              <from>
                <xdr:col>0</xdr:col>
                <xdr:colOff>171450</xdr:colOff>
                <xdr:row>0</xdr:row>
                <xdr:rowOff>57150</xdr:rowOff>
              </from>
              <to>
                <xdr:col>0</xdr:col>
                <xdr:colOff>1257300</xdr:colOff>
                <xdr:row>3</xdr:row>
                <xdr:rowOff>85725</xdr:rowOff>
              </to>
            </anchor>
          </controlPr>
        </control>
      </mc:Choice>
      <mc:Fallback>
        <control shapeId="13313" r:id="rId4" name="bStartHere_back5"/>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00B050"/>
  </sheetPr>
  <dimension ref="A1:AC52"/>
  <sheetViews>
    <sheetView topLeftCell="A37" zoomScale="85" zoomScaleNormal="85" workbookViewId="0">
      <selection activeCell="P62" sqref="P62"/>
    </sheetView>
  </sheetViews>
  <sheetFormatPr defaultColWidth="9.140625" defaultRowHeight="15" x14ac:dyDescent="0.25"/>
  <cols>
    <col min="1" max="1" width="19" style="220" customWidth="1"/>
    <col min="2" max="2" width="11" style="39" customWidth="1"/>
    <col min="3" max="3" width="1" style="36" customWidth="1"/>
    <col min="4" max="9" width="12" style="43" customWidth="1"/>
    <col min="10" max="10" width="1.140625" style="40" customWidth="1"/>
    <col min="11" max="11" width="13.140625" style="43" customWidth="1"/>
    <col min="12" max="12" width="11" style="43" customWidth="1"/>
    <col min="13" max="13" width="12" style="43" customWidth="1"/>
    <col min="14" max="14" width="12" style="44" customWidth="1"/>
    <col min="15" max="15" width="1.140625" style="40" customWidth="1"/>
    <col min="16" max="16" width="13.140625" style="69" customWidth="1"/>
    <col min="17" max="17" width="11" style="69" customWidth="1"/>
    <col min="18" max="19" width="12" style="69" customWidth="1"/>
    <col min="20" max="20" width="1.140625" style="118" customWidth="1"/>
    <col min="21" max="21" width="13.7109375" style="125" customWidth="1"/>
    <col min="22" max="22" width="11" style="125" customWidth="1"/>
    <col min="23" max="24" width="12" style="125" customWidth="1"/>
    <col min="25" max="25" width="1.140625" style="118" customWidth="1"/>
    <col min="26" max="26" width="13.140625" style="119" customWidth="1"/>
    <col min="27" max="27" width="11" style="119" customWidth="1"/>
    <col min="28" max="29" width="12" style="119" customWidth="1"/>
    <col min="30" max="16384" width="9.140625" style="15"/>
  </cols>
  <sheetData>
    <row r="1" spans="1:29" x14ac:dyDescent="0.25">
      <c r="B1" s="237"/>
      <c r="C1" s="238"/>
      <c r="D1" s="239"/>
      <c r="E1" s="239"/>
      <c r="F1" s="239"/>
      <c r="G1" s="239"/>
      <c r="H1" s="239"/>
      <c r="I1" s="239"/>
      <c r="J1" s="240"/>
      <c r="K1" s="239"/>
      <c r="L1" s="239"/>
      <c r="M1" s="239"/>
      <c r="N1" s="241"/>
      <c r="O1" s="240"/>
      <c r="P1" s="242"/>
      <c r="Q1" s="242"/>
      <c r="R1" s="242"/>
      <c r="S1" s="242"/>
      <c r="T1" s="121"/>
      <c r="U1" s="243"/>
      <c r="V1" s="243"/>
      <c r="W1" s="243"/>
      <c r="X1" s="243"/>
      <c r="Y1" s="121"/>
      <c r="Z1" s="244"/>
      <c r="AA1" s="244"/>
      <c r="AB1" s="244"/>
      <c r="AC1" s="244"/>
    </row>
    <row r="2" spans="1:29" x14ac:dyDescent="0.25">
      <c r="B2" s="237"/>
      <c r="C2" s="238"/>
      <c r="D2" s="239"/>
      <c r="E2" s="239"/>
      <c r="F2" s="239"/>
      <c r="G2" s="239"/>
      <c r="H2" s="239"/>
      <c r="I2" s="239"/>
      <c r="J2" s="240"/>
      <c r="K2" s="239"/>
      <c r="L2" s="239"/>
      <c r="M2" s="239"/>
      <c r="N2" s="241"/>
      <c r="O2" s="240"/>
      <c r="P2" s="242"/>
      <c r="Q2" s="242"/>
      <c r="R2" s="242"/>
      <c r="S2" s="242"/>
      <c r="T2" s="121"/>
      <c r="U2" s="243"/>
      <c r="V2" s="243"/>
      <c r="W2" s="243"/>
      <c r="X2" s="243"/>
      <c r="Y2" s="121"/>
      <c r="Z2" s="244"/>
      <c r="AA2" s="244"/>
      <c r="AB2" s="244"/>
      <c r="AC2" s="244"/>
    </row>
    <row r="3" spans="1:29" x14ac:dyDescent="0.25">
      <c r="B3" s="237"/>
      <c r="C3" s="238"/>
      <c r="D3" s="239"/>
      <c r="E3" s="239"/>
      <c r="F3" s="239"/>
      <c r="G3" s="239"/>
      <c r="H3" s="239"/>
      <c r="I3" s="239"/>
      <c r="J3" s="240"/>
      <c r="K3" s="239"/>
      <c r="L3" s="239"/>
      <c r="M3" s="239"/>
      <c r="N3" s="241"/>
      <c r="O3" s="240"/>
      <c r="P3" s="242"/>
      <c r="Q3" s="242"/>
      <c r="R3" s="242"/>
      <c r="S3" s="242"/>
      <c r="T3" s="121"/>
      <c r="U3" s="243"/>
      <c r="V3" s="243"/>
      <c r="W3" s="243"/>
      <c r="X3" s="243"/>
      <c r="Y3" s="121"/>
      <c r="Z3" s="244"/>
      <c r="AA3" s="244"/>
      <c r="AB3" s="244"/>
      <c r="AC3" s="244"/>
    </row>
    <row r="4" spans="1:29" s="112" customFormat="1" ht="48" customHeight="1" x14ac:dyDescent="0.25">
      <c r="A4" s="220"/>
      <c r="B4" s="106" t="s">
        <v>103</v>
      </c>
      <c r="C4" s="106" t="s">
        <v>104</v>
      </c>
      <c r="D4" s="107" t="s">
        <v>114</v>
      </c>
      <c r="E4" s="108" t="s">
        <v>105</v>
      </c>
      <c r="F4" s="108" t="s">
        <v>106</v>
      </c>
      <c r="G4" s="108" t="s">
        <v>107</v>
      </c>
      <c r="H4" s="108" t="s">
        <v>108</v>
      </c>
      <c r="I4" s="108" t="s">
        <v>109</v>
      </c>
      <c r="J4" s="108" t="s">
        <v>110</v>
      </c>
      <c r="K4" s="107" t="s">
        <v>169</v>
      </c>
      <c r="L4" s="108" t="s">
        <v>111</v>
      </c>
      <c r="M4" s="108" t="s">
        <v>112</v>
      </c>
      <c r="N4" s="109" t="s">
        <v>113</v>
      </c>
      <c r="O4" s="108" t="s">
        <v>126</v>
      </c>
      <c r="P4" s="110" t="s">
        <v>64</v>
      </c>
      <c r="Q4" s="111" t="s">
        <v>127</v>
      </c>
      <c r="R4" s="111" t="s">
        <v>128</v>
      </c>
      <c r="S4" s="111" t="s">
        <v>129</v>
      </c>
      <c r="T4" s="122" t="s">
        <v>163</v>
      </c>
      <c r="U4" s="107" t="s">
        <v>170</v>
      </c>
      <c r="V4" s="122" t="s">
        <v>160</v>
      </c>
      <c r="W4" s="122" t="s">
        <v>161</v>
      </c>
      <c r="X4" s="122" t="s">
        <v>162</v>
      </c>
      <c r="Y4" s="122" t="s">
        <v>168</v>
      </c>
      <c r="Z4" s="123" t="s">
        <v>164</v>
      </c>
      <c r="AA4" s="124" t="s">
        <v>165</v>
      </c>
      <c r="AB4" s="124" t="s">
        <v>166</v>
      </c>
      <c r="AC4" s="124" t="s">
        <v>167</v>
      </c>
    </row>
    <row r="5" spans="1:29" s="117" customFormat="1" ht="30.6" customHeight="1" x14ac:dyDescent="0.25">
      <c r="A5" s="220"/>
      <c r="B5" s="113"/>
      <c r="C5" s="113"/>
      <c r="D5" s="114" t="s">
        <v>71</v>
      </c>
      <c r="E5" s="114" t="s">
        <v>99</v>
      </c>
      <c r="F5" s="114" t="s">
        <v>100</v>
      </c>
      <c r="G5" s="114" t="s">
        <v>101</v>
      </c>
      <c r="H5" s="115" t="s">
        <v>102</v>
      </c>
      <c r="I5" s="114" t="s">
        <v>0</v>
      </c>
      <c r="J5" s="114"/>
      <c r="K5" s="114" t="s">
        <v>99</v>
      </c>
      <c r="L5" s="114" t="s">
        <v>100</v>
      </c>
      <c r="M5" s="114" t="s">
        <v>101</v>
      </c>
      <c r="N5" s="115" t="s">
        <v>102</v>
      </c>
      <c r="O5" s="107"/>
      <c r="P5" s="116" t="s">
        <v>99</v>
      </c>
      <c r="Q5" s="116" t="s">
        <v>100</v>
      </c>
      <c r="R5" s="116" t="s">
        <v>101</v>
      </c>
      <c r="S5" s="116" t="s">
        <v>102</v>
      </c>
      <c r="T5" s="121"/>
      <c r="U5" s="121" t="s">
        <v>99</v>
      </c>
      <c r="V5" s="121" t="s">
        <v>100</v>
      </c>
      <c r="W5" s="121" t="s">
        <v>101</v>
      </c>
      <c r="X5" s="121" t="s">
        <v>102</v>
      </c>
      <c r="Y5" s="121"/>
      <c r="Z5" s="121" t="s">
        <v>99</v>
      </c>
      <c r="AA5" s="121" t="s">
        <v>100</v>
      </c>
      <c r="AB5" s="121" t="s">
        <v>101</v>
      </c>
      <c r="AC5" s="121" t="s">
        <v>102</v>
      </c>
    </row>
    <row r="6" spans="1:29" ht="19.5" hidden="1" customHeight="1" x14ac:dyDescent="0.25">
      <c r="B6" s="37" t="s">
        <v>98</v>
      </c>
      <c r="C6" s="48"/>
      <c r="D6" s="41"/>
      <c r="E6" s="41"/>
      <c r="F6" s="41"/>
      <c r="G6" s="41"/>
      <c r="H6" s="41"/>
      <c r="I6" s="41"/>
      <c r="J6" s="42"/>
      <c r="O6" s="42"/>
      <c r="U6" s="119"/>
      <c r="V6" s="119"/>
      <c r="W6" s="119"/>
      <c r="X6" s="119"/>
    </row>
    <row r="7" spans="1:29" ht="19.5" hidden="1" customHeight="1" x14ac:dyDescent="0.25">
      <c r="B7" s="38" t="s">
        <v>97</v>
      </c>
      <c r="C7" s="48"/>
      <c r="D7" s="45"/>
      <c r="E7" s="45"/>
      <c r="F7" s="45"/>
      <c r="G7" s="45"/>
      <c r="H7" s="45"/>
      <c r="I7" s="45"/>
      <c r="J7" s="42"/>
      <c r="K7" s="46"/>
      <c r="L7" s="46"/>
      <c r="M7" s="46"/>
      <c r="N7" s="47"/>
      <c r="O7" s="42"/>
      <c r="P7" s="70"/>
      <c r="Q7" s="70"/>
      <c r="R7" s="70"/>
      <c r="S7" s="70"/>
      <c r="U7" s="120"/>
      <c r="V7" s="120"/>
      <c r="W7" s="120"/>
      <c r="X7" s="120"/>
      <c r="Z7" s="120"/>
      <c r="AA7" s="120"/>
      <c r="AB7" s="120"/>
      <c r="AC7" s="120"/>
    </row>
    <row r="8" spans="1:29" ht="19.5" hidden="1" customHeight="1" x14ac:dyDescent="0.25">
      <c r="B8" s="37" t="s">
        <v>73</v>
      </c>
      <c r="C8" s="48"/>
      <c r="D8" s="41">
        <v>0</v>
      </c>
      <c r="E8" s="41">
        <v>10</v>
      </c>
      <c r="F8" s="41">
        <v>8</v>
      </c>
      <c r="G8" s="41">
        <v>1</v>
      </c>
      <c r="H8" s="41">
        <v>0</v>
      </c>
      <c r="I8" s="41">
        <f>SUM(D8:H8)</f>
        <v>19</v>
      </c>
      <c r="J8" s="42"/>
      <c r="K8" s="43">
        <v>1</v>
      </c>
      <c r="L8" s="43">
        <v>0</v>
      </c>
      <c r="M8" s="43">
        <v>0</v>
      </c>
      <c r="N8" s="44">
        <v>0</v>
      </c>
      <c r="O8" s="42"/>
      <c r="P8" s="69">
        <f t="shared" ref="P8:P17" si="0">IF(E8&gt;0,(E8-K8)/E8,100%)</f>
        <v>0.9</v>
      </c>
      <c r="Q8" s="69">
        <f t="shared" ref="Q8:Q17" si="1">IF(F8&gt;0,(F8-L8)/F8,100%)</f>
        <v>1</v>
      </c>
      <c r="R8" s="69">
        <f t="shared" ref="R8:R17" si="2">IF(G8&gt;0,(G8-M8)/G8,100%)</f>
        <v>1</v>
      </c>
      <c r="S8" s="69">
        <f t="shared" ref="S8:S17" si="3">IF(H8&gt;0,(H8-N8)/H8,100%)</f>
        <v>1</v>
      </c>
    </row>
    <row r="9" spans="1:29" hidden="1" x14ac:dyDescent="0.25">
      <c r="B9" s="37" t="s">
        <v>74</v>
      </c>
      <c r="C9" s="48"/>
      <c r="D9" s="41">
        <v>1</v>
      </c>
      <c r="E9" s="41">
        <v>16</v>
      </c>
      <c r="F9" s="41">
        <v>8</v>
      </c>
      <c r="G9" s="41">
        <v>0</v>
      </c>
      <c r="H9" s="41">
        <v>0</v>
      </c>
      <c r="I9" s="41">
        <f t="shared" ref="I9:I52" si="4">SUM(D9:H9)</f>
        <v>25</v>
      </c>
      <c r="J9" s="42"/>
      <c r="K9" s="43">
        <v>0</v>
      </c>
      <c r="L9" s="43">
        <v>1</v>
      </c>
      <c r="M9" s="43">
        <v>0</v>
      </c>
      <c r="N9" s="44">
        <v>0</v>
      </c>
      <c r="O9" s="42"/>
      <c r="P9" s="69">
        <f t="shared" si="0"/>
        <v>1</v>
      </c>
      <c r="Q9" s="69">
        <f t="shared" si="1"/>
        <v>0.875</v>
      </c>
      <c r="R9" s="69">
        <f t="shared" si="2"/>
        <v>1</v>
      </c>
      <c r="S9" s="69">
        <f t="shared" si="3"/>
        <v>1</v>
      </c>
    </row>
    <row r="10" spans="1:29" hidden="1" x14ac:dyDescent="0.25">
      <c r="B10" s="37" t="s">
        <v>96</v>
      </c>
      <c r="C10" s="48"/>
      <c r="D10" s="41">
        <v>0</v>
      </c>
      <c r="E10" s="41">
        <v>10</v>
      </c>
      <c r="F10" s="41">
        <v>7</v>
      </c>
      <c r="G10" s="41">
        <v>0</v>
      </c>
      <c r="H10" s="41">
        <v>0</v>
      </c>
      <c r="I10" s="41">
        <f t="shared" si="4"/>
        <v>17</v>
      </c>
      <c r="J10" s="42"/>
      <c r="K10" s="43">
        <v>0</v>
      </c>
      <c r="L10" s="43">
        <v>0</v>
      </c>
      <c r="M10" s="43">
        <v>0</v>
      </c>
      <c r="N10" s="44">
        <v>0</v>
      </c>
      <c r="O10" s="42"/>
      <c r="P10" s="69">
        <f t="shared" si="0"/>
        <v>1</v>
      </c>
      <c r="Q10" s="69">
        <f t="shared" si="1"/>
        <v>1</v>
      </c>
      <c r="R10" s="69">
        <f t="shared" si="2"/>
        <v>1</v>
      </c>
      <c r="S10" s="69">
        <f t="shared" si="3"/>
        <v>1</v>
      </c>
    </row>
    <row r="11" spans="1:29" hidden="1" x14ac:dyDescent="0.25">
      <c r="B11" s="39" t="s">
        <v>154</v>
      </c>
      <c r="D11" s="43">
        <v>0</v>
      </c>
      <c r="E11" s="43">
        <v>10</v>
      </c>
      <c r="F11" s="43">
        <v>5</v>
      </c>
      <c r="G11" s="43">
        <v>0</v>
      </c>
      <c r="H11" s="43">
        <v>0</v>
      </c>
      <c r="I11" s="41">
        <f t="shared" si="4"/>
        <v>15</v>
      </c>
      <c r="K11" s="43">
        <v>0</v>
      </c>
      <c r="L11" s="43">
        <v>0</v>
      </c>
      <c r="M11" s="43">
        <v>0</v>
      </c>
      <c r="N11" s="44">
        <v>0</v>
      </c>
      <c r="P11" s="69">
        <f t="shared" si="0"/>
        <v>1</v>
      </c>
      <c r="Q11" s="69">
        <f t="shared" si="1"/>
        <v>1</v>
      </c>
      <c r="R11" s="69">
        <f t="shared" si="2"/>
        <v>1</v>
      </c>
      <c r="S11" s="69">
        <f t="shared" si="3"/>
        <v>1</v>
      </c>
    </row>
    <row r="12" spans="1:29" hidden="1" x14ac:dyDescent="0.25">
      <c r="B12" s="39" t="s">
        <v>156</v>
      </c>
      <c r="D12" s="43">
        <v>0</v>
      </c>
      <c r="E12" s="43">
        <v>25</v>
      </c>
      <c r="F12" s="43">
        <v>6</v>
      </c>
      <c r="G12" s="43">
        <v>1</v>
      </c>
      <c r="H12" s="43">
        <v>0</v>
      </c>
      <c r="I12" s="41">
        <f t="shared" si="4"/>
        <v>32</v>
      </c>
      <c r="K12" s="43">
        <v>0</v>
      </c>
      <c r="L12" s="43">
        <v>0</v>
      </c>
      <c r="M12" s="43">
        <v>0</v>
      </c>
      <c r="N12" s="44">
        <v>0</v>
      </c>
      <c r="P12" s="69">
        <f t="shared" si="0"/>
        <v>1</v>
      </c>
      <c r="Q12" s="69">
        <f t="shared" si="1"/>
        <v>1</v>
      </c>
      <c r="R12" s="69">
        <f t="shared" si="2"/>
        <v>1</v>
      </c>
      <c r="S12" s="69">
        <f t="shared" si="3"/>
        <v>1</v>
      </c>
    </row>
    <row r="13" spans="1:29" hidden="1" x14ac:dyDescent="0.25">
      <c r="B13" s="39" t="s">
        <v>158</v>
      </c>
      <c r="D13" s="43">
        <v>0</v>
      </c>
      <c r="E13" s="43">
        <v>19</v>
      </c>
      <c r="F13" s="43">
        <v>2</v>
      </c>
      <c r="G13" s="43">
        <v>0</v>
      </c>
      <c r="H13" s="43">
        <v>0</v>
      </c>
      <c r="I13" s="41">
        <f t="shared" si="4"/>
        <v>21</v>
      </c>
      <c r="K13" s="43">
        <v>0</v>
      </c>
      <c r="L13" s="43">
        <v>0</v>
      </c>
      <c r="M13" s="43">
        <v>0</v>
      </c>
      <c r="N13" s="44">
        <v>0</v>
      </c>
      <c r="P13" s="69">
        <f t="shared" si="0"/>
        <v>1</v>
      </c>
      <c r="Q13" s="69">
        <f t="shared" si="1"/>
        <v>1</v>
      </c>
      <c r="R13" s="69">
        <f t="shared" si="2"/>
        <v>1</v>
      </c>
      <c r="S13" s="69">
        <f t="shared" si="3"/>
        <v>1</v>
      </c>
      <c r="U13" s="125">
        <v>5</v>
      </c>
      <c r="V13" s="125">
        <v>1</v>
      </c>
      <c r="W13" s="125">
        <v>0</v>
      </c>
      <c r="X13" s="125">
        <v>0</v>
      </c>
      <c r="Z13" s="119">
        <f t="shared" ref="Z13:AC17" si="5">IF(E13&gt;0,(E13-U13)/E13,100%)</f>
        <v>0.73684210526315785</v>
      </c>
      <c r="AA13" s="119">
        <f t="shared" si="5"/>
        <v>0.5</v>
      </c>
      <c r="AB13" s="119">
        <f t="shared" si="5"/>
        <v>1</v>
      </c>
      <c r="AC13" s="119">
        <f t="shared" si="5"/>
        <v>1</v>
      </c>
    </row>
    <row r="14" spans="1:29" hidden="1" x14ac:dyDescent="0.25">
      <c r="B14" s="39" t="s">
        <v>171</v>
      </c>
      <c r="D14" s="43">
        <v>0</v>
      </c>
      <c r="E14" s="43">
        <v>19</v>
      </c>
      <c r="F14" s="43">
        <v>3</v>
      </c>
      <c r="G14" s="43">
        <v>0</v>
      </c>
      <c r="H14" s="43">
        <v>0</v>
      </c>
      <c r="I14" s="41">
        <f t="shared" si="4"/>
        <v>22</v>
      </c>
      <c r="K14" s="43">
        <v>0</v>
      </c>
      <c r="L14" s="43">
        <v>0</v>
      </c>
      <c r="M14" s="43">
        <v>0</v>
      </c>
      <c r="N14" s="44">
        <v>0</v>
      </c>
      <c r="P14" s="69">
        <f t="shared" si="0"/>
        <v>1</v>
      </c>
      <c r="Q14" s="69">
        <f t="shared" si="1"/>
        <v>1</v>
      </c>
      <c r="R14" s="69">
        <f t="shared" si="2"/>
        <v>1</v>
      </c>
      <c r="S14" s="69">
        <f t="shared" si="3"/>
        <v>1</v>
      </c>
      <c r="U14" s="125">
        <v>1</v>
      </c>
      <c r="V14" s="125">
        <v>1</v>
      </c>
      <c r="W14" s="125">
        <v>0</v>
      </c>
      <c r="X14" s="125">
        <v>0</v>
      </c>
      <c r="Z14" s="119">
        <f t="shared" si="5"/>
        <v>0.94736842105263153</v>
      </c>
      <c r="AA14" s="119">
        <f t="shared" si="5"/>
        <v>0.66666666666666663</v>
      </c>
      <c r="AB14" s="119">
        <f t="shared" si="5"/>
        <v>1</v>
      </c>
      <c r="AC14" s="119">
        <f t="shared" si="5"/>
        <v>1</v>
      </c>
    </row>
    <row r="15" spans="1:29" hidden="1" x14ac:dyDescent="0.25">
      <c r="B15" s="39" t="s">
        <v>173</v>
      </c>
      <c r="D15" s="43">
        <v>0</v>
      </c>
      <c r="E15" s="43">
        <v>13</v>
      </c>
      <c r="F15" s="43">
        <v>6</v>
      </c>
      <c r="G15" s="43">
        <v>0</v>
      </c>
      <c r="H15" s="43">
        <v>0</v>
      </c>
      <c r="I15" s="41">
        <f t="shared" si="4"/>
        <v>19</v>
      </c>
      <c r="K15" s="43">
        <v>0</v>
      </c>
      <c r="L15" s="43">
        <v>0</v>
      </c>
      <c r="M15" s="43">
        <v>0</v>
      </c>
      <c r="N15" s="44">
        <v>0</v>
      </c>
      <c r="P15" s="69">
        <f t="shared" si="0"/>
        <v>1</v>
      </c>
      <c r="Q15" s="69">
        <f t="shared" si="1"/>
        <v>1</v>
      </c>
      <c r="R15" s="69">
        <f t="shared" si="2"/>
        <v>1</v>
      </c>
      <c r="S15" s="69">
        <f t="shared" si="3"/>
        <v>1</v>
      </c>
      <c r="U15" s="125">
        <v>0</v>
      </c>
      <c r="V15" s="125">
        <v>2</v>
      </c>
      <c r="W15" s="125">
        <v>0</v>
      </c>
      <c r="X15" s="125">
        <v>0</v>
      </c>
      <c r="Z15" s="119">
        <f t="shared" si="5"/>
        <v>1</v>
      </c>
      <c r="AA15" s="119">
        <f t="shared" si="5"/>
        <v>0.66666666666666663</v>
      </c>
      <c r="AB15" s="119">
        <f t="shared" si="5"/>
        <v>1</v>
      </c>
      <c r="AC15" s="119">
        <f t="shared" si="5"/>
        <v>1</v>
      </c>
    </row>
    <row r="16" spans="1:29" hidden="1" x14ac:dyDescent="0.25">
      <c r="B16" s="39" t="s">
        <v>175</v>
      </c>
      <c r="D16" s="43">
        <v>0</v>
      </c>
      <c r="E16" s="43">
        <v>6</v>
      </c>
      <c r="F16" s="43">
        <v>4</v>
      </c>
      <c r="G16" s="43">
        <v>0</v>
      </c>
      <c r="H16" s="43">
        <v>0</v>
      </c>
      <c r="I16" s="41">
        <f t="shared" si="4"/>
        <v>10</v>
      </c>
      <c r="K16" s="43">
        <v>0</v>
      </c>
      <c r="L16" s="43">
        <v>0</v>
      </c>
      <c r="M16" s="43">
        <v>0</v>
      </c>
      <c r="N16" s="44">
        <v>0</v>
      </c>
      <c r="P16" s="69">
        <f t="shared" si="0"/>
        <v>1</v>
      </c>
      <c r="Q16" s="69">
        <f t="shared" si="1"/>
        <v>1</v>
      </c>
      <c r="R16" s="69">
        <f t="shared" si="2"/>
        <v>1</v>
      </c>
      <c r="S16" s="69">
        <f t="shared" si="3"/>
        <v>1</v>
      </c>
      <c r="U16" s="125">
        <v>0</v>
      </c>
      <c r="V16" s="125">
        <v>1</v>
      </c>
      <c r="W16" s="125">
        <v>0</v>
      </c>
      <c r="X16" s="125">
        <v>0</v>
      </c>
      <c r="Z16" s="119">
        <f t="shared" si="5"/>
        <v>1</v>
      </c>
      <c r="AA16" s="119">
        <f t="shared" si="5"/>
        <v>0.75</v>
      </c>
      <c r="AB16" s="119">
        <f t="shared" si="5"/>
        <v>1</v>
      </c>
      <c r="AC16" s="119">
        <f t="shared" si="5"/>
        <v>1</v>
      </c>
    </row>
    <row r="17" spans="2:29" hidden="1" x14ac:dyDescent="0.25">
      <c r="B17" s="39" t="s">
        <v>176</v>
      </c>
      <c r="D17" s="43">
        <v>0</v>
      </c>
      <c r="E17" s="43">
        <v>7</v>
      </c>
      <c r="F17" s="43">
        <v>7</v>
      </c>
      <c r="G17" s="43">
        <v>0</v>
      </c>
      <c r="H17" s="43">
        <v>0</v>
      </c>
      <c r="I17" s="41">
        <f t="shared" ref="I17" si="6">SUM(D17:H17)</f>
        <v>14</v>
      </c>
      <c r="K17" s="43">
        <v>0</v>
      </c>
      <c r="L17" s="43">
        <v>0</v>
      </c>
      <c r="M17" s="43">
        <v>0</v>
      </c>
      <c r="N17" s="44">
        <v>0</v>
      </c>
      <c r="P17" s="69">
        <f t="shared" si="0"/>
        <v>1</v>
      </c>
      <c r="Q17" s="69">
        <f t="shared" si="1"/>
        <v>1</v>
      </c>
      <c r="R17" s="69">
        <f t="shared" si="2"/>
        <v>1</v>
      </c>
      <c r="S17" s="69">
        <f t="shared" si="3"/>
        <v>1</v>
      </c>
      <c r="U17" s="125">
        <v>0</v>
      </c>
      <c r="V17" s="125">
        <v>1</v>
      </c>
      <c r="W17" s="125">
        <v>0</v>
      </c>
      <c r="X17" s="125">
        <v>0</v>
      </c>
      <c r="Z17" s="119">
        <f t="shared" si="5"/>
        <v>1</v>
      </c>
      <c r="AA17" s="119">
        <f t="shared" si="5"/>
        <v>0.8571428571428571</v>
      </c>
      <c r="AB17" s="119">
        <f t="shared" si="5"/>
        <v>1</v>
      </c>
      <c r="AC17" s="119">
        <f t="shared" si="5"/>
        <v>1</v>
      </c>
    </row>
    <row r="18" spans="2:29" hidden="1" x14ac:dyDescent="0.25">
      <c r="B18" s="39" t="s">
        <v>177</v>
      </c>
      <c r="D18" s="43">
        <v>0</v>
      </c>
      <c r="E18" s="43">
        <v>8</v>
      </c>
      <c r="F18" s="43">
        <v>5</v>
      </c>
      <c r="G18" s="43">
        <v>0</v>
      </c>
      <c r="H18" s="43">
        <v>0</v>
      </c>
      <c r="I18" s="41">
        <f t="shared" si="4"/>
        <v>13</v>
      </c>
      <c r="K18" s="43">
        <v>0</v>
      </c>
      <c r="L18" s="43">
        <v>0</v>
      </c>
      <c r="M18" s="43">
        <v>0</v>
      </c>
      <c r="N18" s="44">
        <v>0</v>
      </c>
      <c r="P18" s="69">
        <f t="shared" ref="P18" si="7">IF(E18&gt;0,(E18-K18)/E18,100%)</f>
        <v>1</v>
      </c>
      <c r="Q18" s="69">
        <f t="shared" ref="Q18" si="8">IF(F18&gt;0,(F18-L18)/F18,100%)</f>
        <v>1</v>
      </c>
      <c r="R18" s="69">
        <f t="shared" ref="R18" si="9">IF(G18&gt;0,(G18-M18)/G18,100%)</f>
        <v>1</v>
      </c>
      <c r="S18" s="69">
        <f t="shared" ref="S18" si="10">IF(H18&gt;0,(H18-N18)/H18,100%)</f>
        <v>1</v>
      </c>
      <c r="U18" s="125">
        <v>0</v>
      </c>
      <c r="V18" s="125">
        <v>2</v>
      </c>
      <c r="W18" s="125">
        <v>0</v>
      </c>
      <c r="X18" s="125">
        <v>0</v>
      </c>
      <c r="Z18" s="119">
        <f t="shared" ref="Z18" si="11">IF(E18&gt;0,(E18-U18)/E18,100%)</f>
        <v>1</v>
      </c>
      <c r="AA18" s="119">
        <f t="shared" ref="AA18" si="12">IF(F18&gt;0,(F18-V18)/F18,100%)</f>
        <v>0.6</v>
      </c>
      <c r="AB18" s="119">
        <f t="shared" ref="AB18" si="13">IF(G18&gt;0,(G18-W18)/G18,100%)</f>
        <v>1</v>
      </c>
      <c r="AC18" s="119">
        <f t="shared" ref="AC18" si="14">IF(H18&gt;0,(H18-X18)/H18,100%)</f>
        <v>1</v>
      </c>
    </row>
    <row r="19" spans="2:29" hidden="1" x14ac:dyDescent="0.25">
      <c r="B19" s="39" t="s">
        <v>186</v>
      </c>
      <c r="D19" s="43">
        <v>0</v>
      </c>
      <c r="E19" s="43">
        <v>8</v>
      </c>
      <c r="F19" s="43">
        <v>7</v>
      </c>
      <c r="G19" s="43">
        <v>0</v>
      </c>
      <c r="H19" s="43">
        <v>0</v>
      </c>
      <c r="I19" s="41">
        <f t="shared" si="4"/>
        <v>15</v>
      </c>
      <c r="K19" s="43">
        <v>0</v>
      </c>
      <c r="L19" s="43">
        <v>1</v>
      </c>
      <c r="M19" s="43">
        <v>0</v>
      </c>
      <c r="N19" s="44">
        <v>0</v>
      </c>
      <c r="P19" s="69">
        <f t="shared" ref="P19" si="15">IF(E19&gt;0,(E19-K19)/E19,100%)</f>
        <v>1</v>
      </c>
      <c r="Q19" s="69">
        <f t="shared" ref="Q19" si="16">IF(F19&gt;0,(F19-L19)/F19,100%)</f>
        <v>0.8571428571428571</v>
      </c>
      <c r="R19" s="69">
        <f t="shared" ref="R19" si="17">IF(G19&gt;0,(G19-M19)/G19,100%)</f>
        <v>1</v>
      </c>
      <c r="S19" s="69">
        <f t="shared" ref="S19" si="18">IF(H19&gt;0,(H19-N19)/H19,100%)</f>
        <v>1</v>
      </c>
      <c r="U19" s="125">
        <v>1</v>
      </c>
      <c r="V19" s="125">
        <v>1</v>
      </c>
      <c r="W19" s="125">
        <v>0</v>
      </c>
      <c r="X19" s="125">
        <v>0</v>
      </c>
      <c r="Z19" s="119">
        <f t="shared" ref="Z19" si="19">IF(E19&gt;0,(E19-U19)/E19,100%)</f>
        <v>0.875</v>
      </c>
      <c r="AA19" s="119">
        <f t="shared" ref="AA19" si="20">IF(F19&gt;0,(F19-V19)/F19,100%)</f>
        <v>0.8571428571428571</v>
      </c>
      <c r="AB19" s="119">
        <f t="shared" ref="AB19" si="21">IF(G19&gt;0,(G19-W19)/G19,100%)</f>
        <v>1</v>
      </c>
      <c r="AC19" s="119">
        <f t="shared" ref="AC19" si="22">IF(H19&gt;0,(H19-X19)/H19,100%)</f>
        <v>1</v>
      </c>
    </row>
    <row r="20" spans="2:29" hidden="1" x14ac:dyDescent="0.25">
      <c r="B20" s="39" t="s">
        <v>196</v>
      </c>
      <c r="D20" s="43">
        <v>0</v>
      </c>
      <c r="E20" s="43">
        <v>12</v>
      </c>
      <c r="F20" s="43">
        <v>10</v>
      </c>
      <c r="G20" s="43">
        <v>1</v>
      </c>
      <c r="H20" s="43">
        <v>0</v>
      </c>
      <c r="I20" s="41">
        <f t="shared" si="4"/>
        <v>23</v>
      </c>
      <c r="K20" s="43">
        <v>0</v>
      </c>
      <c r="L20" s="43">
        <v>0</v>
      </c>
      <c r="M20" s="43">
        <v>0</v>
      </c>
      <c r="N20" s="44">
        <v>0</v>
      </c>
      <c r="P20" s="69">
        <f t="shared" ref="P20" si="23">IF(E20&gt;0,(E20-K20)/E20,100%)</f>
        <v>1</v>
      </c>
      <c r="Q20" s="69">
        <f t="shared" ref="Q20" si="24">IF(F20&gt;0,(F20-L20)/F20,100%)</f>
        <v>1</v>
      </c>
      <c r="R20" s="69">
        <f t="shared" ref="R20" si="25">IF(G20&gt;0,(G20-M20)/G20,100%)</f>
        <v>1</v>
      </c>
      <c r="S20" s="69">
        <f t="shared" ref="S20" si="26">IF(H20&gt;0,(H20-N20)/H20,100%)</f>
        <v>1</v>
      </c>
      <c r="U20" s="125">
        <v>1</v>
      </c>
      <c r="V20" s="125">
        <v>7</v>
      </c>
      <c r="W20" s="125">
        <v>0</v>
      </c>
      <c r="X20" s="125">
        <v>0</v>
      </c>
      <c r="Z20" s="119">
        <f t="shared" ref="Z20" si="27">IF(E20&gt;0,(E20-U20)/E20,100%)</f>
        <v>0.91666666666666663</v>
      </c>
      <c r="AA20" s="119">
        <f t="shared" ref="AA20" si="28">IF(F20&gt;0,(F20-V20)/F20,100%)</f>
        <v>0.3</v>
      </c>
      <c r="AB20" s="119">
        <f t="shared" ref="AB20" si="29">IF(G20&gt;0,(G20-W20)/G20,100%)</f>
        <v>1</v>
      </c>
      <c r="AC20" s="119">
        <f t="shared" ref="AC20" si="30">IF(H20&gt;0,(H20-X20)/H20,100%)</f>
        <v>1</v>
      </c>
    </row>
    <row r="21" spans="2:29" hidden="1" x14ac:dyDescent="0.25">
      <c r="B21" s="39" t="s">
        <v>201</v>
      </c>
      <c r="D21" s="43">
        <v>0</v>
      </c>
      <c r="E21" s="43">
        <v>9</v>
      </c>
      <c r="F21" s="43">
        <v>2</v>
      </c>
      <c r="G21" s="43">
        <v>0</v>
      </c>
      <c r="H21" s="43">
        <v>0</v>
      </c>
      <c r="I21" s="41">
        <f t="shared" si="4"/>
        <v>11</v>
      </c>
      <c r="K21" s="43">
        <v>3</v>
      </c>
      <c r="L21" s="43">
        <v>1</v>
      </c>
      <c r="M21" s="43">
        <v>0</v>
      </c>
      <c r="N21" s="44">
        <v>0</v>
      </c>
      <c r="P21" s="69">
        <f t="shared" ref="P21:P22" si="31">IF(E21&gt;0,(E21-K21)/E21,100%)</f>
        <v>0.66666666666666663</v>
      </c>
      <c r="Q21" s="69">
        <f t="shared" ref="Q21:Q22" si="32">IF(F21&gt;0,(F21-L21)/F21,100%)</f>
        <v>0.5</v>
      </c>
      <c r="R21" s="69">
        <f t="shared" ref="R21:R22" si="33">IF(G21&gt;0,(G21-M21)/G21,100%)</f>
        <v>1</v>
      </c>
      <c r="S21" s="69">
        <f t="shared" ref="S21:S22" si="34">IF(H21&gt;0,(H21-N21)/H21,100%)</f>
        <v>1</v>
      </c>
      <c r="Z21" s="119">
        <f t="shared" ref="Z21:Z22" si="35">IF(E21&gt;0,(E21-U21)/E21,100%)</f>
        <v>1</v>
      </c>
      <c r="AA21" s="119">
        <f t="shared" ref="AA21:AA22" si="36">IF(F21&gt;0,(F21-V21)/F21,100%)</f>
        <v>1</v>
      </c>
      <c r="AB21" s="119">
        <f t="shared" ref="AB21:AB22" si="37">IF(G21&gt;0,(G21-W21)/G21,100%)</f>
        <v>1</v>
      </c>
      <c r="AC21" s="119">
        <f t="shared" ref="AC21:AC22" si="38">IF(H21&gt;0,(H21-X21)/H21,100%)</f>
        <v>1</v>
      </c>
    </row>
    <row r="22" spans="2:29" hidden="1" x14ac:dyDescent="0.25">
      <c r="B22" s="39" t="s">
        <v>203</v>
      </c>
      <c r="D22" s="43">
        <v>0</v>
      </c>
      <c r="E22" s="43">
        <v>7</v>
      </c>
      <c r="F22" s="43">
        <v>9</v>
      </c>
      <c r="G22" s="43">
        <v>0</v>
      </c>
      <c r="H22" s="43">
        <v>0</v>
      </c>
      <c r="I22" s="41">
        <f t="shared" si="4"/>
        <v>16</v>
      </c>
      <c r="K22" s="43">
        <v>0</v>
      </c>
      <c r="L22" s="43">
        <v>0</v>
      </c>
      <c r="M22" s="43">
        <v>0</v>
      </c>
      <c r="N22" s="44">
        <v>0</v>
      </c>
      <c r="P22" s="69">
        <f t="shared" si="31"/>
        <v>1</v>
      </c>
      <c r="Q22" s="69">
        <f t="shared" si="32"/>
        <v>1</v>
      </c>
      <c r="R22" s="69">
        <f t="shared" si="33"/>
        <v>1</v>
      </c>
      <c r="S22" s="69">
        <f t="shared" si="34"/>
        <v>1</v>
      </c>
      <c r="U22" s="125">
        <v>1</v>
      </c>
      <c r="V22" s="125">
        <v>4</v>
      </c>
      <c r="W22" s="125">
        <v>0</v>
      </c>
      <c r="X22" s="125">
        <v>0</v>
      </c>
      <c r="Z22" s="119">
        <f t="shared" si="35"/>
        <v>0.8571428571428571</v>
      </c>
      <c r="AA22" s="119">
        <f t="shared" si="36"/>
        <v>0.55555555555555558</v>
      </c>
      <c r="AB22" s="119">
        <f t="shared" si="37"/>
        <v>1</v>
      </c>
      <c r="AC22" s="119">
        <f t="shared" si="38"/>
        <v>1</v>
      </c>
    </row>
    <row r="23" spans="2:29" hidden="1" x14ac:dyDescent="0.25">
      <c r="B23" s="39" t="s">
        <v>205</v>
      </c>
      <c r="D23" s="43">
        <v>0</v>
      </c>
      <c r="E23" s="43">
        <v>5</v>
      </c>
      <c r="F23" s="43">
        <v>0</v>
      </c>
      <c r="G23" s="43">
        <v>0</v>
      </c>
      <c r="H23" s="43">
        <v>0</v>
      </c>
      <c r="I23" s="41">
        <f t="shared" si="4"/>
        <v>5</v>
      </c>
      <c r="K23" s="43">
        <v>1</v>
      </c>
      <c r="L23" s="43">
        <v>0</v>
      </c>
      <c r="M23" s="43">
        <v>0</v>
      </c>
      <c r="N23" s="44">
        <v>0</v>
      </c>
      <c r="P23" s="69">
        <f t="shared" ref="P23:P24" si="39">IF(E23&gt;0,(E23-K23)/E23,100%)</f>
        <v>0.8</v>
      </c>
      <c r="Q23" s="69">
        <f t="shared" ref="Q23:Q24" si="40">IF(F23&gt;0,(F23-L23)/F23,100%)</f>
        <v>1</v>
      </c>
      <c r="R23" s="69">
        <f t="shared" ref="R23:R24" si="41">IF(G23&gt;0,(G23-M23)/G23,100%)</f>
        <v>1</v>
      </c>
      <c r="S23" s="69">
        <f t="shared" ref="S23:S24" si="42">IF(H23&gt;0,(H23-N23)/H23,100%)</f>
        <v>1</v>
      </c>
      <c r="U23" s="125">
        <v>1</v>
      </c>
      <c r="V23" s="125">
        <v>0</v>
      </c>
      <c r="W23" s="125">
        <v>0</v>
      </c>
      <c r="X23" s="125">
        <v>0</v>
      </c>
      <c r="Z23" s="119">
        <f t="shared" ref="Z23:Z24" si="43">IF(E23&gt;0,(E23-U23)/E23,100%)</f>
        <v>0.8</v>
      </c>
      <c r="AA23" s="119">
        <f t="shared" ref="AA23:AA24" si="44">IF(F23&gt;0,(F23-V23)/F23,100%)</f>
        <v>1</v>
      </c>
      <c r="AB23" s="119">
        <f t="shared" ref="AB23:AB24" si="45">IF(G23&gt;0,(G23-W23)/G23,100%)</f>
        <v>1</v>
      </c>
      <c r="AC23" s="119">
        <f t="shared" ref="AC23:AC24" si="46">IF(H23&gt;0,(H23-X23)/H23,100%)</f>
        <v>1</v>
      </c>
    </row>
    <row r="24" spans="2:29" hidden="1" x14ac:dyDescent="0.25">
      <c r="B24" s="39" t="s">
        <v>209</v>
      </c>
      <c r="D24" s="43">
        <v>0</v>
      </c>
      <c r="E24" s="43">
        <v>0</v>
      </c>
      <c r="F24" s="43">
        <v>2</v>
      </c>
      <c r="G24" s="43">
        <v>0</v>
      </c>
      <c r="H24" s="43">
        <v>0</v>
      </c>
      <c r="I24" s="41">
        <f t="shared" si="4"/>
        <v>2</v>
      </c>
      <c r="K24" s="43">
        <v>0</v>
      </c>
      <c r="L24" s="43">
        <v>0</v>
      </c>
      <c r="M24" s="43">
        <v>0</v>
      </c>
      <c r="N24" s="44">
        <v>0</v>
      </c>
      <c r="P24" s="69">
        <f t="shared" si="39"/>
        <v>1</v>
      </c>
      <c r="Q24" s="69">
        <f t="shared" si="40"/>
        <v>1</v>
      </c>
      <c r="R24" s="69">
        <f t="shared" si="41"/>
        <v>1</v>
      </c>
      <c r="S24" s="69">
        <f t="shared" si="42"/>
        <v>1</v>
      </c>
      <c r="U24" s="125">
        <v>0</v>
      </c>
      <c r="V24" s="125">
        <v>0</v>
      </c>
      <c r="W24" s="125">
        <v>0</v>
      </c>
      <c r="X24" s="125">
        <v>0</v>
      </c>
      <c r="Z24" s="119">
        <f t="shared" si="43"/>
        <v>1</v>
      </c>
      <c r="AA24" s="119">
        <f t="shared" si="44"/>
        <v>1</v>
      </c>
      <c r="AB24" s="119">
        <f t="shared" si="45"/>
        <v>1</v>
      </c>
      <c r="AC24" s="119">
        <f t="shared" si="46"/>
        <v>1</v>
      </c>
    </row>
    <row r="25" spans="2:29" hidden="1" x14ac:dyDescent="0.25">
      <c r="B25" s="39" t="s">
        <v>215</v>
      </c>
      <c r="D25" s="43">
        <v>0</v>
      </c>
      <c r="E25" s="43">
        <f>7</f>
        <v>7</v>
      </c>
      <c r="F25" s="43">
        <v>1</v>
      </c>
      <c r="G25" s="43">
        <v>0</v>
      </c>
      <c r="H25" s="43">
        <v>0</v>
      </c>
      <c r="I25" s="41">
        <f t="shared" si="4"/>
        <v>8</v>
      </c>
    </row>
    <row r="26" spans="2:29" hidden="1" x14ac:dyDescent="0.25">
      <c r="B26" s="39" t="s">
        <v>225</v>
      </c>
      <c r="D26" s="43">
        <v>0</v>
      </c>
      <c r="E26" s="43">
        <f>'Insight Tickets table'!D10</f>
        <v>7</v>
      </c>
      <c r="F26" s="43">
        <f>'Insight Tickets table'!D9</f>
        <v>2</v>
      </c>
      <c r="G26" s="43">
        <f>'Insight Tickets table'!D8</f>
        <v>0</v>
      </c>
      <c r="H26" s="43">
        <f>'Insight Tickets table'!D7</f>
        <v>0</v>
      </c>
      <c r="I26" s="41">
        <f t="shared" si="4"/>
        <v>9</v>
      </c>
    </row>
    <row r="27" spans="2:29" hidden="1" x14ac:dyDescent="0.25">
      <c r="B27" s="39" t="s">
        <v>283</v>
      </c>
      <c r="D27" s="43">
        <f>0</f>
        <v>0</v>
      </c>
      <c r="E27" s="43">
        <v>5</v>
      </c>
      <c r="F27" s="43">
        <v>1</v>
      </c>
      <c r="G27" s="43">
        <v>0</v>
      </c>
      <c r="H27" s="43">
        <v>0</v>
      </c>
      <c r="I27" s="41">
        <f t="shared" si="4"/>
        <v>6</v>
      </c>
    </row>
    <row r="28" spans="2:29" x14ac:dyDescent="0.25">
      <c r="B28" s="39" t="s">
        <v>282</v>
      </c>
      <c r="D28" s="43">
        <v>0</v>
      </c>
      <c r="E28" s="43">
        <v>8</v>
      </c>
      <c r="F28" s="43">
        <v>2</v>
      </c>
      <c r="G28" s="43">
        <v>0</v>
      </c>
      <c r="H28" s="43">
        <v>0</v>
      </c>
      <c r="I28" s="41">
        <f t="shared" si="4"/>
        <v>10</v>
      </c>
    </row>
    <row r="29" spans="2:29" x14ac:dyDescent="0.25">
      <c r="B29" s="39" t="s">
        <v>286</v>
      </c>
      <c r="D29" s="43">
        <f>0</f>
        <v>0</v>
      </c>
      <c r="E29" s="43">
        <v>5</v>
      </c>
      <c r="F29" s="43">
        <v>2</v>
      </c>
      <c r="G29" s="43">
        <v>0</v>
      </c>
      <c r="H29" s="43">
        <v>0</v>
      </c>
      <c r="I29" s="41">
        <f t="shared" si="4"/>
        <v>7</v>
      </c>
    </row>
    <row r="30" spans="2:29" x14ac:dyDescent="0.25">
      <c r="B30" s="39" t="s">
        <v>287</v>
      </c>
      <c r="D30" s="43">
        <v>0</v>
      </c>
      <c r="E30" s="43">
        <v>4</v>
      </c>
      <c r="F30" s="43">
        <v>1</v>
      </c>
      <c r="G30" s="43">
        <v>0</v>
      </c>
      <c r="H30" s="43">
        <v>0</v>
      </c>
      <c r="I30" s="41">
        <f t="shared" si="4"/>
        <v>5</v>
      </c>
    </row>
    <row r="31" spans="2:29" x14ac:dyDescent="0.25">
      <c r="B31" s="39" t="s">
        <v>288</v>
      </c>
      <c r="E31" s="43">
        <v>5</v>
      </c>
      <c r="F31" s="43">
        <v>0</v>
      </c>
      <c r="G31" s="43">
        <v>0</v>
      </c>
      <c r="H31" s="43">
        <v>0</v>
      </c>
      <c r="I31" s="41">
        <f t="shared" si="4"/>
        <v>5</v>
      </c>
    </row>
    <row r="32" spans="2:29" x14ac:dyDescent="0.25">
      <c r="B32" s="39" t="s">
        <v>291</v>
      </c>
      <c r="D32" s="43">
        <f>0</f>
        <v>0</v>
      </c>
      <c r="E32" s="43">
        <f>0</f>
        <v>0</v>
      </c>
      <c r="F32" s="43">
        <f>0</f>
        <v>0</v>
      </c>
      <c r="G32" s="43">
        <f>0</f>
        <v>0</v>
      </c>
      <c r="H32" s="43">
        <f>0</f>
        <v>0</v>
      </c>
      <c r="I32" s="43">
        <f>0</f>
        <v>0</v>
      </c>
    </row>
    <row r="33" spans="2:9" x14ac:dyDescent="0.25">
      <c r="B33" s="39" t="s">
        <v>292</v>
      </c>
      <c r="D33" s="43">
        <v>0</v>
      </c>
      <c r="E33" s="43">
        <v>5</v>
      </c>
      <c r="F33" s="43">
        <v>1</v>
      </c>
      <c r="G33" s="43">
        <v>0</v>
      </c>
      <c r="H33" s="43">
        <v>0</v>
      </c>
      <c r="I33" s="41">
        <f t="shared" si="4"/>
        <v>6</v>
      </c>
    </row>
    <row r="34" spans="2:9" x14ac:dyDescent="0.25">
      <c r="B34" s="39" t="s">
        <v>294</v>
      </c>
      <c r="D34" s="43">
        <f>0</f>
        <v>0</v>
      </c>
      <c r="E34" s="43">
        <f>3</f>
        <v>3</v>
      </c>
      <c r="F34" s="43">
        <f>0</f>
        <v>0</v>
      </c>
      <c r="G34" s="43">
        <f>0</f>
        <v>0</v>
      </c>
      <c r="H34" s="43">
        <f>0</f>
        <v>0</v>
      </c>
      <c r="I34" s="41">
        <f t="shared" si="4"/>
        <v>3</v>
      </c>
    </row>
    <row r="35" spans="2:9" x14ac:dyDescent="0.25">
      <c r="B35" s="39" t="s">
        <v>297</v>
      </c>
      <c r="D35" s="43">
        <f>0</f>
        <v>0</v>
      </c>
      <c r="E35" s="43">
        <f>4</f>
        <v>4</v>
      </c>
      <c r="F35" s="43">
        <f>0</f>
        <v>0</v>
      </c>
      <c r="G35" s="43">
        <f>0</f>
        <v>0</v>
      </c>
      <c r="H35" s="43">
        <f>0</f>
        <v>0</v>
      </c>
      <c r="I35" s="41">
        <f t="shared" si="4"/>
        <v>4</v>
      </c>
    </row>
    <row r="36" spans="2:9" x14ac:dyDescent="0.25">
      <c r="B36" s="39" t="s">
        <v>299</v>
      </c>
      <c r="D36" s="43">
        <f>0</f>
        <v>0</v>
      </c>
      <c r="E36" s="43">
        <f>5</f>
        <v>5</v>
      </c>
      <c r="F36" s="43">
        <f>0</f>
        <v>0</v>
      </c>
      <c r="G36" s="43">
        <f>0</f>
        <v>0</v>
      </c>
      <c r="H36" s="43">
        <f>0</f>
        <v>0</v>
      </c>
      <c r="I36" s="41">
        <f t="shared" si="4"/>
        <v>5</v>
      </c>
    </row>
    <row r="37" spans="2:9" x14ac:dyDescent="0.25">
      <c r="B37" s="39" t="s">
        <v>300</v>
      </c>
      <c r="D37" s="43">
        <f>0</f>
        <v>0</v>
      </c>
      <c r="E37" s="43">
        <v>5</v>
      </c>
      <c r="F37" s="43">
        <v>2</v>
      </c>
      <c r="G37" s="43">
        <v>0</v>
      </c>
      <c r="H37" s="43">
        <v>0</v>
      </c>
      <c r="I37" s="41">
        <f t="shared" si="4"/>
        <v>7</v>
      </c>
    </row>
    <row r="38" spans="2:9" x14ac:dyDescent="0.25">
      <c r="B38" s="39" t="s">
        <v>314</v>
      </c>
      <c r="D38" s="43">
        <f>0</f>
        <v>0</v>
      </c>
      <c r="E38" s="43">
        <f>'Insight Tickets table'!D10</f>
        <v>7</v>
      </c>
      <c r="F38" s="43">
        <f>'Insight Tickets table'!D9</f>
        <v>2</v>
      </c>
      <c r="G38" s="43">
        <f>0</f>
        <v>0</v>
      </c>
      <c r="H38" s="43">
        <f>0</f>
        <v>0</v>
      </c>
      <c r="I38" s="41">
        <f t="shared" si="4"/>
        <v>9</v>
      </c>
    </row>
    <row r="39" spans="2:9" x14ac:dyDescent="0.25">
      <c r="B39" s="39" t="s">
        <v>317</v>
      </c>
      <c r="D39" s="43">
        <f>0</f>
        <v>0</v>
      </c>
      <c r="E39" s="43">
        <v>2</v>
      </c>
      <c r="F39" s="43">
        <v>2</v>
      </c>
      <c r="G39" s="43">
        <v>0</v>
      </c>
      <c r="H39" s="43">
        <v>0</v>
      </c>
      <c r="I39" s="41">
        <f t="shared" si="4"/>
        <v>4</v>
      </c>
    </row>
    <row r="40" spans="2:9" x14ac:dyDescent="0.25">
      <c r="B40" s="39" t="s">
        <v>318</v>
      </c>
      <c r="D40" s="43">
        <f>0</f>
        <v>0</v>
      </c>
      <c r="E40" s="43">
        <v>2</v>
      </c>
      <c r="F40" s="43">
        <v>3</v>
      </c>
      <c r="G40" s="43">
        <v>0</v>
      </c>
      <c r="H40" s="43">
        <v>0</v>
      </c>
      <c r="I40" s="41">
        <f t="shared" si="4"/>
        <v>5</v>
      </c>
    </row>
    <row r="41" spans="2:9" x14ac:dyDescent="0.25">
      <c r="B41" s="39" t="s">
        <v>320</v>
      </c>
      <c r="D41" s="43">
        <v>0</v>
      </c>
      <c r="E41" s="43">
        <v>5</v>
      </c>
      <c r="F41" s="43">
        <v>3</v>
      </c>
      <c r="G41" s="43">
        <v>0</v>
      </c>
      <c r="H41" s="43">
        <v>0</v>
      </c>
      <c r="I41" s="41">
        <v>8</v>
      </c>
    </row>
    <row r="42" spans="2:9" x14ac:dyDescent="0.25">
      <c r="B42" s="284" t="s">
        <v>327</v>
      </c>
      <c r="D42" s="43">
        <f>0</f>
        <v>0</v>
      </c>
      <c r="E42" s="43">
        <f>0</f>
        <v>0</v>
      </c>
      <c r="F42" s="43">
        <f>0</f>
        <v>0</v>
      </c>
      <c r="G42" s="43">
        <f>0</f>
        <v>0</v>
      </c>
      <c r="H42" s="43">
        <f>0</f>
        <v>0</v>
      </c>
      <c r="I42" s="41">
        <f t="shared" si="4"/>
        <v>0</v>
      </c>
    </row>
    <row r="43" spans="2:9" x14ac:dyDescent="0.25">
      <c r="B43" s="39" t="s">
        <v>330</v>
      </c>
      <c r="D43" s="43">
        <f>0</f>
        <v>0</v>
      </c>
      <c r="E43" s="43">
        <f>3</f>
        <v>3</v>
      </c>
      <c r="F43" s="43">
        <f>0</f>
        <v>0</v>
      </c>
      <c r="G43" s="43">
        <f>0</f>
        <v>0</v>
      </c>
      <c r="H43" s="43">
        <f>0</f>
        <v>0</v>
      </c>
      <c r="I43" s="41">
        <f t="shared" si="4"/>
        <v>3</v>
      </c>
    </row>
    <row r="44" spans="2:9" x14ac:dyDescent="0.25">
      <c r="B44" s="39" t="s">
        <v>365</v>
      </c>
      <c r="D44" s="43">
        <f>0</f>
        <v>0</v>
      </c>
      <c r="E44" s="43">
        <f>'Insight Tickets table'!D10</f>
        <v>7</v>
      </c>
      <c r="F44" s="43">
        <f>2</f>
        <v>2</v>
      </c>
      <c r="G44" s="43">
        <f>0</f>
        <v>0</v>
      </c>
      <c r="H44" s="43">
        <f>0</f>
        <v>0</v>
      </c>
      <c r="I44" s="41">
        <f t="shared" si="4"/>
        <v>9</v>
      </c>
    </row>
    <row r="45" spans="2:9" x14ac:dyDescent="0.25">
      <c r="D45" s="43">
        <f>0</f>
        <v>0</v>
      </c>
      <c r="I45" s="41">
        <f t="shared" si="4"/>
        <v>0</v>
      </c>
    </row>
    <row r="46" spans="2:9" x14ac:dyDescent="0.25">
      <c r="D46" s="43">
        <f>0</f>
        <v>0</v>
      </c>
      <c r="I46" s="41">
        <f t="shared" si="4"/>
        <v>0</v>
      </c>
    </row>
    <row r="47" spans="2:9" x14ac:dyDescent="0.25">
      <c r="D47" s="43">
        <f>0</f>
        <v>0</v>
      </c>
      <c r="I47" s="41">
        <f t="shared" si="4"/>
        <v>0</v>
      </c>
    </row>
    <row r="48" spans="2:9" x14ac:dyDescent="0.25">
      <c r="D48" s="43">
        <f>0</f>
        <v>0</v>
      </c>
      <c r="I48" s="41">
        <f t="shared" si="4"/>
        <v>0</v>
      </c>
    </row>
    <row r="49" spans="4:9" x14ac:dyDescent="0.25">
      <c r="D49" s="43">
        <f>0</f>
        <v>0</v>
      </c>
      <c r="I49" s="41">
        <f t="shared" si="4"/>
        <v>0</v>
      </c>
    </row>
    <row r="50" spans="4:9" x14ac:dyDescent="0.25">
      <c r="D50" s="43">
        <f>0</f>
        <v>0</v>
      </c>
      <c r="I50" s="41">
        <f t="shared" si="4"/>
        <v>0</v>
      </c>
    </row>
    <row r="51" spans="4:9" x14ac:dyDescent="0.25">
      <c r="D51" s="43">
        <f>0</f>
        <v>0</v>
      </c>
      <c r="I51" s="41">
        <f t="shared" si="4"/>
        <v>0</v>
      </c>
    </row>
    <row r="52" spans="4:9" x14ac:dyDescent="0.25">
      <c r="D52" s="43">
        <f>0</f>
        <v>0</v>
      </c>
      <c r="I52" s="41">
        <f t="shared" si="4"/>
        <v>0</v>
      </c>
    </row>
  </sheetData>
  <pageMargins left="0.7" right="0.7" top="0.75" bottom="0.75" header="0.3" footer="0.3"/>
  <pageSetup orientation="portrait" r:id="rId1"/>
  <drawing r:id="rId2"/>
  <legacyDrawing r:id="rId3"/>
  <controls>
    <mc:AlternateContent xmlns:mc="http://schemas.openxmlformats.org/markup-compatibility/2006">
      <mc:Choice Requires="x14">
        <control shapeId="2050" r:id="rId4" name="bStartHere_back6">
          <controlPr defaultSize="0" autoLine="0" r:id="rId5">
            <anchor moveWithCells="1">
              <from>
                <xdr:col>0</xdr:col>
                <xdr:colOff>123825</xdr:colOff>
                <xdr:row>0</xdr:row>
                <xdr:rowOff>171450</xdr:rowOff>
              </from>
              <to>
                <xdr:col>0</xdr:col>
                <xdr:colOff>1209675</xdr:colOff>
                <xdr:row>3</xdr:row>
                <xdr:rowOff>219075</xdr:rowOff>
              </to>
            </anchor>
          </controlPr>
        </control>
      </mc:Choice>
      <mc:Fallback>
        <control shapeId="2050" r:id="rId4" name="bStartHere_back6"/>
      </mc:Fallback>
    </mc:AlternateContent>
  </controls>
  <tableParts count="1">
    <tablePart r:id="rId6"/>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00B050"/>
  </sheetPr>
  <dimension ref="A1:N50"/>
  <sheetViews>
    <sheetView zoomScale="95" zoomScaleNormal="95" workbookViewId="0">
      <pane xSplit="12" ySplit="13" topLeftCell="M57" activePane="bottomRight" state="frozen"/>
      <selection activeCell="B31" sqref="B31"/>
      <selection pane="topRight" activeCell="B31" sqref="B31"/>
      <selection pane="bottomLeft" activeCell="B31" sqref="B31"/>
      <selection pane="bottomRight" activeCell="H75" sqref="H75"/>
    </sheetView>
  </sheetViews>
  <sheetFormatPr defaultRowHeight="15" x14ac:dyDescent="0.25"/>
  <cols>
    <col min="1" max="1" width="19" style="220" customWidth="1"/>
    <col min="2" max="8" width="24" customWidth="1"/>
    <col min="11" max="11" width="10.7109375" bestFit="1" customWidth="1"/>
    <col min="12" max="12" width="14.85546875" bestFit="1" customWidth="1"/>
  </cols>
  <sheetData>
    <row r="1" spans="1:14" s="74" customFormat="1" x14ac:dyDescent="0.25">
      <c r="A1" s="220"/>
    </row>
    <row r="2" spans="1:14" s="74" customFormat="1" x14ac:dyDescent="0.25">
      <c r="A2" s="220"/>
    </row>
    <row r="3" spans="1:14" s="74" customFormat="1" x14ac:dyDescent="0.25">
      <c r="A3" s="220"/>
    </row>
    <row r="4" spans="1:14" ht="15.75" thickBot="1" x14ac:dyDescent="0.3">
      <c r="B4" s="390" t="s">
        <v>130</v>
      </c>
      <c r="C4" s="390"/>
      <c r="D4" s="391" t="s">
        <v>131</v>
      </c>
      <c r="E4" s="391"/>
      <c r="F4" s="391"/>
      <c r="G4" s="391"/>
      <c r="H4" s="75"/>
      <c r="I4" s="75"/>
      <c r="J4" s="75"/>
      <c r="K4" s="75"/>
      <c r="L4" s="75"/>
      <c r="M4" s="75"/>
      <c r="N4" s="75"/>
    </row>
    <row r="5" spans="1:14" ht="15.75" thickBot="1" x14ac:dyDescent="0.3">
      <c r="B5" s="390" t="s">
        <v>132</v>
      </c>
      <c r="C5" s="390"/>
      <c r="D5" s="391" t="s">
        <v>146</v>
      </c>
      <c r="E5" s="391"/>
      <c r="F5" s="391"/>
      <c r="G5" s="391"/>
      <c r="H5" s="75"/>
      <c r="I5" s="75"/>
      <c r="J5" s="388" t="s">
        <v>133</v>
      </c>
      <c r="K5" s="389"/>
      <c r="L5" s="76"/>
      <c r="M5" s="75"/>
      <c r="N5" s="75"/>
    </row>
    <row r="6" spans="1:14" ht="15.75" thickTop="1" x14ac:dyDescent="0.25">
      <c r="B6" s="390" t="s">
        <v>134</v>
      </c>
      <c r="C6" s="390"/>
      <c r="D6" s="391" t="s">
        <v>135</v>
      </c>
      <c r="E6" s="391"/>
      <c r="F6" s="391"/>
      <c r="G6" s="391"/>
      <c r="H6" s="75"/>
      <c r="I6" s="75"/>
      <c r="J6" s="77" t="s">
        <v>136</v>
      </c>
      <c r="K6" s="126">
        <v>699.8</v>
      </c>
      <c r="L6" s="78" t="s">
        <v>137</v>
      </c>
      <c r="M6" s="75"/>
      <c r="N6" s="75"/>
    </row>
    <row r="7" spans="1:14" ht="15.75" thickBot="1" x14ac:dyDescent="0.3">
      <c r="B7" s="390" t="s">
        <v>138</v>
      </c>
      <c r="C7" s="390"/>
      <c r="D7" s="391" t="s">
        <v>147</v>
      </c>
      <c r="E7" s="391"/>
      <c r="F7" s="391"/>
      <c r="G7" s="391"/>
      <c r="H7" s="75"/>
      <c r="I7" s="75"/>
      <c r="J7" s="79" t="s">
        <v>139</v>
      </c>
      <c r="K7" s="103">
        <f>K6/1000</f>
        <v>0.69979999999999998</v>
      </c>
      <c r="L7" s="80" t="s">
        <v>140</v>
      </c>
      <c r="M7" s="75"/>
      <c r="N7" s="75"/>
    </row>
    <row r="8" spans="1:14" x14ac:dyDescent="0.25">
      <c r="B8" s="390"/>
      <c r="C8" s="390"/>
      <c r="D8" s="391"/>
      <c r="E8" s="391"/>
      <c r="F8" s="391"/>
      <c r="G8" s="391"/>
      <c r="H8" s="75"/>
      <c r="I8" s="75"/>
      <c r="J8" s="75"/>
      <c r="K8" s="75"/>
      <c r="L8" s="75"/>
      <c r="M8" s="75"/>
      <c r="N8" s="75"/>
    </row>
    <row r="9" spans="1:14" x14ac:dyDescent="0.25">
      <c r="B9" s="390" t="s">
        <v>141</v>
      </c>
      <c r="C9" s="390"/>
      <c r="D9" s="391" t="s">
        <v>142</v>
      </c>
      <c r="E9" s="391"/>
      <c r="F9" s="391"/>
      <c r="G9" s="391"/>
      <c r="H9" s="75"/>
      <c r="I9" s="75"/>
      <c r="J9" s="75" t="s">
        <v>149</v>
      </c>
      <c r="K9" s="75"/>
      <c r="L9" s="75"/>
      <c r="M9" s="75"/>
      <c r="N9" s="75"/>
    </row>
    <row r="10" spans="1:14" x14ac:dyDescent="0.25">
      <c r="B10" s="390" t="s">
        <v>143</v>
      </c>
      <c r="C10" s="390"/>
      <c r="D10" s="391" t="s">
        <v>150</v>
      </c>
      <c r="E10" s="391"/>
      <c r="F10" s="391"/>
      <c r="G10" s="391"/>
      <c r="H10" s="75"/>
      <c r="I10" s="75"/>
      <c r="J10" s="75"/>
      <c r="K10" s="75"/>
      <c r="L10" s="75"/>
      <c r="M10" s="75"/>
      <c r="N10" s="75"/>
    </row>
    <row r="11" spans="1:14" ht="15.75" thickBot="1" x14ac:dyDescent="0.3">
      <c r="B11" s="392" t="s">
        <v>144</v>
      </c>
      <c r="C11" s="393"/>
      <c r="D11" s="394"/>
      <c r="E11" s="394"/>
      <c r="F11" s="394"/>
      <c r="G11" s="394"/>
      <c r="H11" s="81"/>
      <c r="I11" s="81"/>
      <c r="J11" s="81"/>
      <c r="K11" s="81"/>
      <c r="L11" s="81"/>
      <c r="M11" s="81"/>
      <c r="N11" s="81"/>
    </row>
    <row r="12" spans="1:14" ht="15.75" thickTop="1" x14ac:dyDescent="0.25">
      <c r="B12" s="74"/>
      <c r="C12" s="92" t="s">
        <v>148</v>
      </c>
      <c r="D12" s="82"/>
      <c r="E12" s="82"/>
      <c r="F12" s="82"/>
      <c r="G12" s="82"/>
      <c r="H12" s="83"/>
    </row>
    <row r="13" spans="1:14" ht="30" x14ac:dyDescent="0.25">
      <c r="B13" s="88" t="s">
        <v>51</v>
      </c>
      <c r="C13" s="89" t="s">
        <v>130</v>
      </c>
      <c r="D13" s="90" t="s">
        <v>145</v>
      </c>
      <c r="E13" s="90" t="s">
        <v>134</v>
      </c>
      <c r="F13" s="90" t="s">
        <v>138</v>
      </c>
      <c r="G13" s="90" t="s">
        <v>141</v>
      </c>
      <c r="H13" s="91" t="s">
        <v>143</v>
      </c>
    </row>
    <row r="14" spans="1:14" s="74" customFormat="1" hidden="1" x14ac:dyDescent="0.25">
      <c r="A14" s="220"/>
      <c r="B14" s="74" t="s">
        <v>159</v>
      </c>
      <c r="C14" s="84">
        <v>1.43</v>
      </c>
      <c r="D14" s="81"/>
      <c r="E14" s="85"/>
      <c r="F14" s="81"/>
      <c r="G14" s="93">
        <f>C14+E14</f>
        <v>1.43</v>
      </c>
      <c r="H14" s="87">
        <v>15</v>
      </c>
    </row>
    <row r="15" spans="1:14" hidden="1" x14ac:dyDescent="0.25">
      <c r="B15" s="75" t="s">
        <v>74</v>
      </c>
      <c r="C15" s="84">
        <v>1.46</v>
      </c>
      <c r="D15" s="81"/>
      <c r="E15" s="81"/>
      <c r="F15" s="81"/>
      <c r="G15" s="93">
        <f t="shared" ref="G15:G19" si="0">C15+E15</f>
        <v>1.46</v>
      </c>
      <c r="H15" s="87">
        <v>15</v>
      </c>
    </row>
    <row r="16" spans="1:14" hidden="1" x14ac:dyDescent="0.25">
      <c r="B16" s="75" t="s">
        <v>96</v>
      </c>
      <c r="C16" s="84">
        <v>1.57</v>
      </c>
      <c r="D16" s="81"/>
      <c r="E16" s="81"/>
      <c r="F16" s="81"/>
      <c r="G16" s="93">
        <f t="shared" si="0"/>
        <v>1.57</v>
      </c>
      <c r="H16" s="87">
        <v>15</v>
      </c>
    </row>
    <row r="17" spans="1:14" x14ac:dyDescent="0.25">
      <c r="B17" s="75" t="s">
        <v>154</v>
      </c>
      <c r="C17" s="84">
        <v>1.76</v>
      </c>
      <c r="D17" s="81"/>
      <c r="E17" s="81"/>
      <c r="F17" s="81"/>
      <c r="G17" s="93">
        <f t="shared" si="0"/>
        <v>1.76</v>
      </c>
      <c r="H17" s="87">
        <v>15</v>
      </c>
    </row>
    <row r="18" spans="1:14" x14ac:dyDescent="0.25">
      <c r="B18" s="75" t="s">
        <v>156</v>
      </c>
      <c r="C18" s="104">
        <v>1.99</v>
      </c>
      <c r="D18" s="74"/>
      <c r="E18" s="74"/>
      <c r="F18" s="74"/>
      <c r="G18" s="86">
        <f t="shared" si="0"/>
        <v>1.99</v>
      </c>
      <c r="H18" s="87">
        <v>15</v>
      </c>
    </row>
    <row r="19" spans="1:14" x14ac:dyDescent="0.25">
      <c r="B19" s="75" t="s">
        <v>158</v>
      </c>
      <c r="C19" s="104">
        <v>2.02</v>
      </c>
      <c r="D19" s="74"/>
      <c r="E19" s="74"/>
      <c r="F19" s="74"/>
      <c r="G19" s="86">
        <f t="shared" si="0"/>
        <v>2.02</v>
      </c>
      <c r="H19" s="105">
        <v>15</v>
      </c>
    </row>
    <row r="20" spans="1:14" x14ac:dyDescent="0.25">
      <c r="B20" s="72" t="s">
        <v>171</v>
      </c>
      <c r="C20" s="104">
        <v>2.1</v>
      </c>
      <c r="D20" s="72"/>
      <c r="E20" s="72"/>
      <c r="F20" s="72"/>
      <c r="G20" s="86">
        <f t="shared" ref="G20" si="1">C20+E20</f>
        <v>2.1</v>
      </c>
      <c r="H20" s="105">
        <v>15</v>
      </c>
    </row>
    <row r="21" spans="1:14" x14ac:dyDescent="0.25">
      <c r="B21" s="75" t="s">
        <v>173</v>
      </c>
      <c r="C21" s="104">
        <v>2.15</v>
      </c>
      <c r="D21" s="75"/>
      <c r="E21" s="75"/>
      <c r="F21" s="75"/>
      <c r="G21" s="86">
        <f t="shared" ref="G21" si="2">C21+E21</f>
        <v>2.15</v>
      </c>
      <c r="H21" s="105">
        <v>15</v>
      </c>
      <c r="I21" s="73"/>
      <c r="J21" s="72"/>
      <c r="K21" s="71"/>
      <c r="L21" s="71"/>
      <c r="M21" s="71"/>
      <c r="N21" s="71"/>
    </row>
    <row r="22" spans="1:14" x14ac:dyDescent="0.25">
      <c r="B22" s="75" t="s">
        <v>175</v>
      </c>
      <c r="C22" s="104">
        <v>2.3199999999999998</v>
      </c>
      <c r="D22" s="75"/>
      <c r="E22" s="75"/>
      <c r="F22" s="75"/>
      <c r="G22" s="86">
        <f t="shared" ref="G22" si="3">C22+E22</f>
        <v>2.3199999999999998</v>
      </c>
      <c r="H22" s="105">
        <v>15</v>
      </c>
      <c r="I22" s="73"/>
      <c r="J22" s="72"/>
      <c r="K22" s="71"/>
      <c r="L22" s="71"/>
      <c r="M22" s="71"/>
      <c r="N22" s="71"/>
    </row>
    <row r="23" spans="1:14" s="74" customFormat="1" hidden="1" x14ac:dyDescent="0.25">
      <c r="A23" s="220"/>
      <c r="B23" s="75" t="s">
        <v>176</v>
      </c>
      <c r="C23" s="104">
        <v>2.4300000000000002</v>
      </c>
      <c r="D23" s="75"/>
      <c r="E23" s="75"/>
      <c r="F23" s="75"/>
      <c r="G23" s="86">
        <f t="shared" ref="G23:G25" si="4">C23+E23</f>
        <v>2.4300000000000002</v>
      </c>
      <c r="H23" s="105">
        <v>15</v>
      </c>
      <c r="I23" s="76"/>
      <c r="J23" s="75"/>
    </row>
    <row r="24" spans="1:14" hidden="1" x14ac:dyDescent="0.25">
      <c r="B24" s="75" t="s">
        <v>177</v>
      </c>
      <c r="C24" s="72">
        <v>2.78</v>
      </c>
      <c r="D24" s="72"/>
      <c r="E24" s="72"/>
      <c r="F24" s="72"/>
      <c r="G24" s="86">
        <f t="shared" si="4"/>
        <v>2.78</v>
      </c>
      <c r="H24" s="105">
        <v>15</v>
      </c>
      <c r="I24" s="73"/>
      <c r="J24" s="72"/>
      <c r="K24" s="71"/>
      <c r="L24" s="71"/>
      <c r="M24" s="71"/>
      <c r="N24" s="71"/>
    </row>
    <row r="25" spans="1:14" hidden="1" x14ac:dyDescent="0.25">
      <c r="B25" s="75" t="s">
        <v>190</v>
      </c>
      <c r="C25" s="72">
        <v>3.13</v>
      </c>
      <c r="D25" s="72"/>
      <c r="E25" s="72"/>
      <c r="F25" s="72"/>
      <c r="G25" s="86">
        <f t="shared" si="4"/>
        <v>3.13</v>
      </c>
      <c r="H25" s="105">
        <v>15</v>
      </c>
      <c r="I25" s="73"/>
      <c r="J25" s="72"/>
      <c r="K25" s="71"/>
      <c r="L25" s="71"/>
      <c r="M25" s="71"/>
      <c r="N25" s="71"/>
    </row>
    <row r="26" spans="1:14" hidden="1" x14ac:dyDescent="0.25">
      <c r="B26" s="75" t="s">
        <v>192</v>
      </c>
      <c r="C26" s="75">
        <v>2.89</v>
      </c>
      <c r="D26" s="75"/>
      <c r="E26" s="75"/>
      <c r="F26" s="75"/>
      <c r="G26" s="86">
        <f t="shared" ref="G26:G27" si="5">C26+E26</f>
        <v>2.89</v>
      </c>
      <c r="H26" s="105">
        <v>15</v>
      </c>
      <c r="I26" s="73"/>
      <c r="J26" s="72"/>
      <c r="K26" s="71"/>
      <c r="L26" s="71"/>
      <c r="M26" s="71"/>
      <c r="N26" s="71"/>
    </row>
    <row r="27" spans="1:14" hidden="1" x14ac:dyDescent="0.25">
      <c r="B27" s="75" t="s">
        <v>200</v>
      </c>
      <c r="C27" s="75">
        <v>3.73</v>
      </c>
      <c r="D27" s="75"/>
      <c r="E27" s="75"/>
      <c r="F27" s="75"/>
      <c r="G27" s="86">
        <f t="shared" si="5"/>
        <v>3.73</v>
      </c>
      <c r="H27" s="105">
        <v>15</v>
      </c>
      <c r="I27" s="73"/>
      <c r="J27" s="72"/>
    </row>
    <row r="28" spans="1:14" s="74" customFormat="1" hidden="1" x14ac:dyDescent="0.25">
      <c r="A28" s="220"/>
      <c r="B28" s="75" t="s">
        <v>202</v>
      </c>
      <c r="C28" s="75">
        <v>3.94</v>
      </c>
      <c r="D28" s="75"/>
      <c r="E28" s="75"/>
      <c r="F28" s="75"/>
      <c r="G28" s="86">
        <f t="shared" ref="G28" si="6">C28+E28</f>
        <v>3.94</v>
      </c>
      <c r="H28" s="105">
        <v>15</v>
      </c>
      <c r="I28" s="76"/>
      <c r="J28" s="75"/>
    </row>
    <row r="29" spans="1:14" hidden="1" x14ac:dyDescent="0.25">
      <c r="B29" s="75" t="s">
        <v>205</v>
      </c>
      <c r="C29" s="75">
        <v>3.55</v>
      </c>
      <c r="D29" s="71"/>
      <c r="E29" s="71"/>
      <c r="F29" s="71"/>
      <c r="G29" s="72">
        <f t="shared" ref="G29:G43" si="7">C29+E29</f>
        <v>3.55</v>
      </c>
      <c r="H29" s="148">
        <v>15</v>
      </c>
      <c r="I29" s="73"/>
      <c r="J29" s="72"/>
    </row>
    <row r="30" spans="1:14" hidden="1" x14ac:dyDescent="0.25">
      <c r="B30" s="75" t="s">
        <v>209</v>
      </c>
      <c r="C30" s="75">
        <v>3.78</v>
      </c>
      <c r="D30" s="71"/>
      <c r="E30" s="71"/>
      <c r="F30" s="71"/>
      <c r="G30" s="72">
        <f t="shared" si="7"/>
        <v>3.78</v>
      </c>
      <c r="H30" s="150">
        <v>15</v>
      </c>
      <c r="I30" s="73"/>
      <c r="J30" s="72"/>
    </row>
    <row r="31" spans="1:14" hidden="1" x14ac:dyDescent="0.25">
      <c r="B31" s="75" t="s">
        <v>214</v>
      </c>
      <c r="C31" s="71">
        <f>4.37</f>
        <v>4.37</v>
      </c>
      <c r="D31" s="71"/>
      <c r="E31" s="71"/>
      <c r="F31" s="71"/>
      <c r="G31" s="75">
        <f t="shared" si="7"/>
        <v>4.37</v>
      </c>
      <c r="H31" s="71">
        <f>15</f>
        <v>15</v>
      </c>
      <c r="I31" s="73"/>
      <c r="J31" s="72"/>
    </row>
    <row r="32" spans="1:14" hidden="1" x14ac:dyDescent="0.25">
      <c r="B32" s="75" t="s">
        <v>225</v>
      </c>
      <c r="C32" s="71">
        <f>4.42</f>
        <v>4.42</v>
      </c>
      <c r="D32" s="71"/>
      <c r="E32" s="71"/>
      <c r="F32" s="71"/>
      <c r="G32" s="75">
        <f t="shared" si="7"/>
        <v>4.42</v>
      </c>
      <c r="H32" s="71">
        <f>15</f>
        <v>15</v>
      </c>
      <c r="I32" s="73"/>
      <c r="J32" s="71"/>
    </row>
    <row r="33" spans="2:10" x14ac:dyDescent="0.25">
      <c r="B33" s="75" t="s">
        <v>283</v>
      </c>
      <c r="C33" s="71">
        <v>4.13</v>
      </c>
      <c r="D33" s="71"/>
      <c r="E33" s="71"/>
      <c r="F33" s="71"/>
      <c r="G33" s="75">
        <f t="shared" si="7"/>
        <v>4.13</v>
      </c>
      <c r="H33" s="71">
        <f>15</f>
        <v>15</v>
      </c>
      <c r="I33" s="73"/>
      <c r="J33" s="71"/>
    </row>
    <row r="34" spans="2:10" x14ac:dyDescent="0.25">
      <c r="B34" s="75" t="s">
        <v>282</v>
      </c>
      <c r="C34" s="71">
        <v>4.68</v>
      </c>
      <c r="D34" s="71"/>
      <c r="E34" s="71"/>
      <c r="F34" s="71"/>
      <c r="G34" s="75">
        <f t="shared" si="7"/>
        <v>4.68</v>
      </c>
      <c r="H34" s="71">
        <f>15</f>
        <v>15</v>
      </c>
      <c r="I34" s="73"/>
      <c r="J34" s="71"/>
    </row>
    <row r="35" spans="2:10" x14ac:dyDescent="0.25">
      <c r="B35" s="75" t="s">
        <v>286</v>
      </c>
      <c r="C35" s="71">
        <f>4.87</f>
        <v>4.87</v>
      </c>
      <c r="D35" s="71"/>
      <c r="E35" s="71"/>
      <c r="F35" s="71"/>
      <c r="G35" s="75">
        <f t="shared" si="7"/>
        <v>4.87</v>
      </c>
      <c r="H35" s="74">
        <f>15</f>
        <v>15</v>
      </c>
      <c r="I35" s="73"/>
      <c r="J35" s="71"/>
    </row>
    <row r="36" spans="2:10" x14ac:dyDescent="0.25">
      <c r="B36" s="75" t="s">
        <v>287</v>
      </c>
      <c r="C36" s="260">
        <f>5.1</f>
        <v>5.0999999999999996</v>
      </c>
      <c r="G36" s="75">
        <f t="shared" si="7"/>
        <v>5.0999999999999996</v>
      </c>
      <c r="H36" s="74">
        <f>15</f>
        <v>15</v>
      </c>
      <c r="I36" s="73"/>
      <c r="J36" s="71"/>
    </row>
    <row r="37" spans="2:10" x14ac:dyDescent="0.25">
      <c r="B37" s="75" t="s">
        <v>288</v>
      </c>
      <c r="C37">
        <f>5.25</f>
        <v>5.25</v>
      </c>
      <c r="G37" s="75">
        <f t="shared" si="7"/>
        <v>5.25</v>
      </c>
      <c r="H37" s="74">
        <f>15</f>
        <v>15</v>
      </c>
      <c r="I37" s="73"/>
    </row>
    <row r="38" spans="2:10" x14ac:dyDescent="0.25">
      <c r="B38" s="75" t="s">
        <v>291</v>
      </c>
      <c r="C38">
        <f>5.44</f>
        <v>5.44</v>
      </c>
      <c r="G38" s="75">
        <f t="shared" si="7"/>
        <v>5.44</v>
      </c>
      <c r="H38" s="74">
        <f>15</f>
        <v>15</v>
      </c>
      <c r="I38" s="73"/>
    </row>
    <row r="39" spans="2:10" x14ac:dyDescent="0.25">
      <c r="B39" s="75" t="s">
        <v>292</v>
      </c>
      <c r="C39">
        <f>5.58</f>
        <v>5.58</v>
      </c>
      <c r="G39" s="75">
        <f t="shared" si="7"/>
        <v>5.58</v>
      </c>
      <c r="H39" s="74">
        <f>15</f>
        <v>15</v>
      </c>
      <c r="I39" s="73"/>
    </row>
    <row r="40" spans="2:10" x14ac:dyDescent="0.25">
      <c r="B40" s="75" t="s">
        <v>294</v>
      </c>
      <c r="C40">
        <f>5.9</f>
        <v>5.9</v>
      </c>
      <c r="G40" s="75">
        <f t="shared" si="7"/>
        <v>5.9</v>
      </c>
      <c r="H40" s="74">
        <f>15</f>
        <v>15</v>
      </c>
    </row>
    <row r="41" spans="2:10" x14ac:dyDescent="0.25">
      <c r="B41" s="75" t="s">
        <v>297</v>
      </c>
      <c r="C41" s="260">
        <f>6</f>
        <v>6</v>
      </c>
      <c r="G41" s="265">
        <f t="shared" si="7"/>
        <v>6</v>
      </c>
      <c r="H41" s="74">
        <f>15</f>
        <v>15</v>
      </c>
    </row>
    <row r="42" spans="2:10" x14ac:dyDescent="0.25">
      <c r="B42" s="75" t="s">
        <v>299</v>
      </c>
      <c r="C42">
        <f>6.32</f>
        <v>6.32</v>
      </c>
      <c r="G42" s="265">
        <f t="shared" si="7"/>
        <v>6.32</v>
      </c>
      <c r="H42" s="74">
        <f>15</f>
        <v>15</v>
      </c>
    </row>
    <row r="43" spans="2:10" x14ac:dyDescent="0.25">
      <c r="B43" s="75" t="s">
        <v>300</v>
      </c>
      <c r="C43">
        <f>6.5</f>
        <v>6.5</v>
      </c>
      <c r="G43" s="265">
        <f t="shared" si="7"/>
        <v>6.5</v>
      </c>
      <c r="H43" s="74">
        <f>15</f>
        <v>15</v>
      </c>
    </row>
    <row r="44" spans="2:10" x14ac:dyDescent="0.25">
      <c r="B44" s="75" t="s">
        <v>314</v>
      </c>
      <c r="C44">
        <f>6.47</f>
        <v>6.47</v>
      </c>
      <c r="G44" s="265">
        <f t="shared" ref="G44:G50" si="8">C44+E44</f>
        <v>6.47</v>
      </c>
      <c r="H44" s="74">
        <f>15</f>
        <v>15</v>
      </c>
    </row>
    <row r="45" spans="2:10" x14ac:dyDescent="0.25">
      <c r="B45" s="75" t="s">
        <v>317</v>
      </c>
      <c r="C45">
        <f>6.48</f>
        <v>6.48</v>
      </c>
      <c r="G45" s="265">
        <f t="shared" si="8"/>
        <v>6.48</v>
      </c>
      <c r="H45" s="74">
        <f>15</f>
        <v>15</v>
      </c>
    </row>
    <row r="46" spans="2:10" x14ac:dyDescent="0.25">
      <c r="B46" s="75" t="s">
        <v>318</v>
      </c>
      <c r="C46">
        <f>6.49</f>
        <v>6.49</v>
      </c>
      <c r="G46" s="265">
        <f t="shared" si="8"/>
        <v>6.49</v>
      </c>
      <c r="H46" s="74">
        <f>15</f>
        <v>15</v>
      </c>
    </row>
    <row r="47" spans="2:10" x14ac:dyDescent="0.25">
      <c r="B47" s="75" t="s">
        <v>320</v>
      </c>
      <c r="C47" s="260">
        <f>6.551</f>
        <v>6.5510000000000002</v>
      </c>
      <c r="G47" s="265">
        <f t="shared" si="8"/>
        <v>6.5510000000000002</v>
      </c>
      <c r="H47" s="74">
        <f>15</f>
        <v>15</v>
      </c>
    </row>
    <row r="48" spans="2:10" x14ac:dyDescent="0.25">
      <c r="B48" s="75" t="s">
        <v>327</v>
      </c>
      <c r="C48">
        <f>6.64</f>
        <v>6.64</v>
      </c>
      <c r="G48" s="265">
        <f t="shared" si="8"/>
        <v>6.64</v>
      </c>
      <c r="H48" s="74">
        <f>15</f>
        <v>15</v>
      </c>
    </row>
    <row r="49" spans="2:8" x14ac:dyDescent="0.25">
      <c r="B49" s="75" t="s">
        <v>330</v>
      </c>
      <c r="C49">
        <f>6.69</f>
        <v>6.69</v>
      </c>
      <c r="G49" s="265">
        <f t="shared" si="8"/>
        <v>6.69</v>
      </c>
      <c r="H49" s="74">
        <f>15</f>
        <v>15</v>
      </c>
    </row>
    <row r="50" spans="2:8" x14ac:dyDescent="0.25">
      <c r="B50" s="75" t="s">
        <v>365</v>
      </c>
      <c r="C50">
        <f>6.83</f>
        <v>6.83</v>
      </c>
      <c r="G50" s="265">
        <f t="shared" si="8"/>
        <v>6.83</v>
      </c>
      <c r="H50" s="74">
        <f>15</f>
        <v>15</v>
      </c>
    </row>
  </sheetData>
  <mergeCells count="17">
    <mergeCell ref="B4:C4"/>
    <mergeCell ref="D4:G4"/>
    <mergeCell ref="B5:C5"/>
    <mergeCell ref="D5:G5"/>
    <mergeCell ref="B11:C11"/>
    <mergeCell ref="D11:G11"/>
    <mergeCell ref="B7:C7"/>
    <mergeCell ref="D7:G7"/>
    <mergeCell ref="B8:C8"/>
    <mergeCell ref="D8:G8"/>
    <mergeCell ref="B9:C9"/>
    <mergeCell ref="D9:G9"/>
    <mergeCell ref="J5:K5"/>
    <mergeCell ref="B6:C6"/>
    <mergeCell ref="D6:G6"/>
    <mergeCell ref="B10:C10"/>
    <mergeCell ref="D10:G10"/>
  </mergeCells>
  <pageMargins left="0.7" right="0.7" top="0.75" bottom="0.75" header="0.3" footer="0.3"/>
  <pageSetup orientation="portrait" r:id="rId1"/>
  <drawing r:id="rId2"/>
  <legacyDrawing r:id="rId3"/>
  <controls>
    <mc:AlternateContent xmlns:mc="http://schemas.openxmlformats.org/markup-compatibility/2006">
      <mc:Choice Requires="x14">
        <control shapeId="15361" r:id="rId4" name="bStartHere_back7">
          <controlPr defaultSize="0" autoLine="0" r:id="rId5">
            <anchor moveWithCells="1">
              <from>
                <xdr:col>0</xdr:col>
                <xdr:colOff>95250</xdr:colOff>
                <xdr:row>0</xdr:row>
                <xdr:rowOff>57150</xdr:rowOff>
              </from>
              <to>
                <xdr:col>0</xdr:col>
                <xdr:colOff>1181100</xdr:colOff>
                <xdr:row>3</xdr:row>
                <xdr:rowOff>114300</xdr:rowOff>
              </to>
            </anchor>
          </controlPr>
        </control>
      </mc:Choice>
      <mc:Fallback>
        <control shapeId="15361" r:id="rId4" name="bStartHere_back7"/>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tabColor rgb="FF00B050"/>
  </sheetPr>
  <dimension ref="C1:X6011"/>
  <sheetViews>
    <sheetView topLeftCell="L10" workbookViewId="0">
      <selection activeCell="S21" sqref="S21"/>
    </sheetView>
  </sheetViews>
  <sheetFormatPr defaultColWidth="8.85546875" defaultRowHeight="15" x14ac:dyDescent="0.25"/>
  <cols>
    <col min="1" max="1" width="2.85546875" style="158" customWidth="1"/>
    <col min="2" max="2" width="2.5703125" style="158" customWidth="1"/>
    <col min="3" max="3" width="14.5703125" style="158" customWidth="1"/>
    <col min="4" max="4" width="14.28515625" style="158" customWidth="1"/>
    <col min="5" max="5" width="15.5703125" style="158" customWidth="1"/>
    <col min="6" max="6" width="13.28515625" style="158" customWidth="1"/>
    <col min="7" max="7" width="15.28515625" style="158" customWidth="1"/>
    <col min="8" max="8" width="17.28515625" style="158" customWidth="1"/>
    <col min="9" max="9" width="14.42578125" style="158" customWidth="1"/>
    <col min="10" max="10" width="20.140625" style="158" customWidth="1"/>
    <col min="11" max="11" width="22.140625" style="158" customWidth="1"/>
    <col min="12" max="12" width="24" style="158" customWidth="1"/>
    <col min="13" max="13" width="14.7109375" style="158" customWidth="1"/>
    <col min="14" max="14" width="22" style="158" customWidth="1"/>
    <col min="15" max="15" width="28.140625" style="158" customWidth="1"/>
    <col min="16" max="16" width="23.85546875" style="158" customWidth="1"/>
    <col min="17" max="17" width="21.7109375" style="158" bestFit="1" customWidth="1"/>
    <col min="18" max="18" width="8.85546875" style="158"/>
    <col min="19" max="19" width="43.28515625" style="158" bestFit="1" customWidth="1"/>
    <col min="20" max="20" width="16.28515625" style="158" customWidth="1"/>
    <col min="21" max="21" width="8.85546875" style="158"/>
    <col min="22" max="22" width="15.28515625" style="158" customWidth="1"/>
    <col min="23" max="23" width="13.85546875" style="158" bestFit="1" customWidth="1"/>
    <col min="24" max="24" width="16" style="158" bestFit="1" customWidth="1"/>
    <col min="25" max="16384" width="8.85546875" style="158"/>
  </cols>
  <sheetData>
    <row r="1" spans="3:24" ht="15.75" thickBot="1" x14ac:dyDescent="0.3"/>
    <row r="2" spans="3:24" x14ac:dyDescent="0.25">
      <c r="C2" s="397" t="s">
        <v>326</v>
      </c>
      <c r="D2" s="397"/>
      <c r="E2" s="397"/>
      <c r="F2" s="397"/>
      <c r="G2" s="397"/>
      <c r="H2" s="397"/>
      <c r="I2" s="397"/>
      <c r="J2" s="397"/>
      <c r="K2" s="397"/>
      <c r="L2" s="397"/>
      <c r="M2" s="397"/>
      <c r="N2" s="397"/>
      <c r="O2" s="397"/>
      <c r="P2" s="397"/>
      <c r="Q2" s="397"/>
      <c r="V2" s="279" t="s">
        <v>334</v>
      </c>
    </row>
    <row r="3" spans="3:24" ht="15.75" thickBot="1" x14ac:dyDescent="0.3">
      <c r="C3" s="397"/>
      <c r="D3" s="397"/>
      <c r="E3" s="397"/>
      <c r="F3" s="397"/>
      <c r="G3" s="397"/>
      <c r="H3" s="397"/>
      <c r="I3" s="397"/>
      <c r="J3" s="397"/>
      <c r="K3" s="397"/>
      <c r="L3" s="397"/>
      <c r="M3" s="397"/>
      <c r="N3" s="397"/>
      <c r="O3" s="397"/>
      <c r="P3" s="397"/>
      <c r="Q3" s="397"/>
      <c r="V3" s="280">
        <f>SUM(F6:F15)/1024</f>
        <v>0.30923828124999997</v>
      </c>
    </row>
    <row r="4" spans="3:24" ht="15.75" thickBot="1" x14ac:dyDescent="0.3"/>
    <row r="5" spans="3:24" ht="31.15" customHeight="1" thickBot="1" x14ac:dyDescent="0.3">
      <c r="C5" s="259" t="s">
        <v>375</v>
      </c>
      <c r="D5" s="74" t="s">
        <v>376</v>
      </c>
      <c r="E5" s="74" t="s">
        <v>377</v>
      </c>
      <c r="F5" s="74" t="s">
        <v>130</v>
      </c>
      <c r="G5" s="74" t="s">
        <v>378</v>
      </c>
      <c r="H5" s="74" t="s">
        <v>379</v>
      </c>
      <c r="I5" s="74" t="s">
        <v>380</v>
      </c>
      <c r="J5" s="74" t="s">
        <v>381</v>
      </c>
      <c r="K5" s="74" t="s">
        <v>382</v>
      </c>
      <c r="L5" s="74" t="s">
        <v>383</v>
      </c>
      <c r="M5" s="74" t="s">
        <v>384</v>
      </c>
      <c r="N5" s="74" t="s">
        <v>385</v>
      </c>
      <c r="O5" s="74" t="s">
        <v>386</v>
      </c>
      <c r="P5" s="74" t="s">
        <v>387</v>
      </c>
      <c r="Q5" s="74" t="s">
        <v>388</v>
      </c>
      <c r="S5" s="395" t="s">
        <v>322</v>
      </c>
      <c r="T5" s="396"/>
      <c r="V5" s="282" t="s">
        <v>331</v>
      </c>
      <c r="W5" s="282" t="s">
        <v>332</v>
      </c>
      <c r="X5" s="282" t="s">
        <v>333</v>
      </c>
    </row>
    <row r="6" spans="3:24" ht="31.5" thickBot="1" x14ac:dyDescent="0.3">
      <c r="C6" s="74" t="s">
        <v>14420</v>
      </c>
      <c r="D6" s="74" t="s">
        <v>14421</v>
      </c>
      <c r="E6" s="74"/>
      <c r="F6" s="74">
        <v>42.24</v>
      </c>
      <c r="G6" s="74"/>
      <c r="H6" s="74"/>
      <c r="I6" s="74" t="s">
        <v>391</v>
      </c>
      <c r="J6" s="74"/>
      <c r="K6" s="74">
        <v>102.4</v>
      </c>
      <c r="L6" s="74">
        <v>92.16</v>
      </c>
      <c r="M6" s="74"/>
      <c r="N6" s="74" t="s">
        <v>392</v>
      </c>
      <c r="O6" s="74" t="s">
        <v>402</v>
      </c>
      <c r="P6" s="74" t="s">
        <v>14422</v>
      </c>
      <c r="Q6" s="74" t="s">
        <v>14423</v>
      </c>
      <c r="S6" s="276" t="s">
        <v>14420</v>
      </c>
      <c r="T6" s="285">
        <v>42.24</v>
      </c>
      <c r="V6" s="286">
        <f>SUM(Table3[Mailbox Size])/1024</f>
        <v>6.8308789062508035</v>
      </c>
      <c r="W6" s="286">
        <f>0</f>
        <v>0</v>
      </c>
      <c r="X6" s="278">
        <f>15</f>
        <v>15</v>
      </c>
    </row>
    <row r="7" spans="3:24" ht="16.5" thickBot="1" x14ac:dyDescent="0.3">
      <c r="C7" s="74" t="s">
        <v>9069</v>
      </c>
      <c r="D7" s="74" t="s">
        <v>9070</v>
      </c>
      <c r="E7" s="74"/>
      <c r="F7" s="74">
        <v>38.79</v>
      </c>
      <c r="G7" s="74"/>
      <c r="H7" s="74"/>
      <c r="I7" s="74" t="s">
        <v>391</v>
      </c>
      <c r="J7" s="74"/>
      <c r="K7" s="74">
        <v>102.4</v>
      </c>
      <c r="L7" s="74">
        <v>92.16</v>
      </c>
      <c r="M7" s="74"/>
      <c r="N7" s="74" t="s">
        <v>392</v>
      </c>
      <c r="O7" s="74" t="s">
        <v>402</v>
      </c>
      <c r="P7" s="74" t="s">
        <v>9071</v>
      </c>
      <c r="Q7" s="74" t="s">
        <v>9072</v>
      </c>
      <c r="S7" s="276" t="s">
        <v>9069</v>
      </c>
      <c r="T7" s="285">
        <v>38.79</v>
      </c>
    </row>
    <row r="8" spans="3:24" ht="31.5" thickBot="1" x14ac:dyDescent="0.3">
      <c r="C8" s="74" t="s">
        <v>7342</v>
      </c>
      <c r="D8" s="74" t="s">
        <v>7343</v>
      </c>
      <c r="E8" s="74"/>
      <c r="F8" s="74">
        <v>31.51</v>
      </c>
      <c r="G8" s="74"/>
      <c r="H8" s="74"/>
      <c r="I8" s="74" t="s">
        <v>391</v>
      </c>
      <c r="J8" s="74"/>
      <c r="K8" s="74">
        <v>102.4</v>
      </c>
      <c r="L8" s="74">
        <v>92.16</v>
      </c>
      <c r="M8" s="74"/>
      <c r="N8" s="74" t="s">
        <v>392</v>
      </c>
      <c r="O8" s="74" t="s">
        <v>402</v>
      </c>
      <c r="P8" s="74" t="s">
        <v>7344</v>
      </c>
      <c r="Q8" s="74" t="s">
        <v>7345</v>
      </c>
      <c r="S8" s="276" t="s">
        <v>7342</v>
      </c>
      <c r="T8" s="285">
        <v>31.51</v>
      </c>
    </row>
    <row r="9" spans="3:24" ht="46.5" thickBot="1" x14ac:dyDescent="0.3">
      <c r="C9" s="74" t="s">
        <v>6960</v>
      </c>
      <c r="D9" s="74" t="s">
        <v>6961</v>
      </c>
      <c r="E9" s="74"/>
      <c r="F9" s="74">
        <v>31.17</v>
      </c>
      <c r="G9" s="74"/>
      <c r="H9" s="74"/>
      <c r="I9" s="74" t="s">
        <v>391</v>
      </c>
      <c r="J9" s="74"/>
      <c r="K9" s="74">
        <v>102.4</v>
      </c>
      <c r="L9" s="74">
        <v>92.16</v>
      </c>
      <c r="M9" s="74"/>
      <c r="N9" s="74" t="s">
        <v>392</v>
      </c>
      <c r="O9" s="74" t="s">
        <v>402</v>
      </c>
      <c r="P9" s="74" t="s">
        <v>6962</v>
      </c>
      <c r="Q9" s="74" t="s">
        <v>6963</v>
      </c>
      <c r="S9" s="276" t="s">
        <v>6960</v>
      </c>
      <c r="T9" s="285">
        <v>31.17</v>
      </c>
      <c r="V9" s="277" t="s">
        <v>323</v>
      </c>
      <c r="W9" s="277" t="s">
        <v>324</v>
      </c>
      <c r="X9" s="277" t="s">
        <v>325</v>
      </c>
    </row>
    <row r="10" spans="3:24" ht="31.5" thickBot="1" x14ac:dyDescent="0.3">
      <c r="C10" s="74" t="s">
        <v>5749</v>
      </c>
      <c r="D10" s="74" t="s">
        <v>5750</v>
      </c>
      <c r="E10" s="74"/>
      <c r="F10" s="74">
        <v>30.25</v>
      </c>
      <c r="G10" s="74"/>
      <c r="H10" s="74"/>
      <c r="I10" s="74" t="s">
        <v>391</v>
      </c>
      <c r="J10" s="74"/>
      <c r="K10" s="74">
        <v>102.4</v>
      </c>
      <c r="L10" s="74">
        <v>92.16</v>
      </c>
      <c r="M10" s="74"/>
      <c r="N10" s="74" t="s">
        <v>392</v>
      </c>
      <c r="O10" s="74" t="s">
        <v>402</v>
      </c>
      <c r="P10" s="74" t="s">
        <v>5751</v>
      </c>
      <c r="Q10" s="74" t="s">
        <v>5752</v>
      </c>
      <c r="S10" s="276" t="s">
        <v>5749</v>
      </c>
      <c r="T10" s="285">
        <v>30.25</v>
      </c>
      <c r="V10" s="281">
        <f>COUNTIF(Table3[Mailbox Size],"&gt;5.00")</f>
        <v>365</v>
      </c>
      <c r="W10" s="281">
        <f>COUNTIF(Table3[Mailbox Size],"&gt;10.00")</f>
        <v>192</v>
      </c>
      <c r="X10" s="281">
        <f>COUNTIF(Table3[Mailbox Size],"&gt;20.00")</f>
        <v>52</v>
      </c>
    </row>
    <row r="11" spans="3:24" ht="16.5" thickBot="1" x14ac:dyDescent="0.3">
      <c r="C11" s="74" t="s">
        <v>13432</v>
      </c>
      <c r="D11" s="74" t="s">
        <v>13433</v>
      </c>
      <c r="E11" s="74"/>
      <c r="F11" s="74">
        <v>29.61</v>
      </c>
      <c r="G11" s="74"/>
      <c r="H11" s="74"/>
      <c r="I11" s="74" t="s">
        <v>391</v>
      </c>
      <c r="J11" s="74"/>
      <c r="K11" s="74">
        <v>102.4</v>
      </c>
      <c r="L11" s="74">
        <v>92.16</v>
      </c>
      <c r="M11" s="74"/>
      <c r="N11" s="74" t="s">
        <v>392</v>
      </c>
      <c r="O11" s="74" t="s">
        <v>402</v>
      </c>
      <c r="P11" s="74" t="s">
        <v>13434</v>
      </c>
      <c r="Q11" s="74" t="s">
        <v>13435</v>
      </c>
      <c r="S11" s="276" t="s">
        <v>13432</v>
      </c>
      <c r="T11" s="285">
        <v>29.61</v>
      </c>
    </row>
    <row r="12" spans="3:24" ht="16.5" thickBot="1" x14ac:dyDescent="0.3">
      <c r="C12" s="74" t="s">
        <v>17327</v>
      </c>
      <c r="D12" s="74" t="s">
        <v>17328</v>
      </c>
      <c r="E12" s="74"/>
      <c r="F12" s="74">
        <v>28.47</v>
      </c>
      <c r="G12" s="74"/>
      <c r="H12" s="74"/>
      <c r="I12" s="74" t="s">
        <v>391</v>
      </c>
      <c r="J12" s="74"/>
      <c r="K12" s="74">
        <v>102.4</v>
      </c>
      <c r="L12" s="74">
        <v>92.16</v>
      </c>
      <c r="M12" s="74"/>
      <c r="N12" s="74" t="s">
        <v>392</v>
      </c>
      <c r="O12" s="74" t="s">
        <v>402</v>
      </c>
      <c r="P12" s="74" t="s">
        <v>17329</v>
      </c>
      <c r="Q12" s="74" t="s">
        <v>17330</v>
      </c>
      <c r="S12" s="276" t="s">
        <v>17327</v>
      </c>
      <c r="T12" s="285">
        <v>28.47</v>
      </c>
    </row>
    <row r="13" spans="3:24" ht="31.5" thickBot="1" x14ac:dyDescent="0.3">
      <c r="C13" s="74" t="s">
        <v>5975</v>
      </c>
      <c r="D13" s="74" t="s">
        <v>5976</v>
      </c>
      <c r="E13" s="74"/>
      <c r="F13" s="74">
        <v>28.43</v>
      </c>
      <c r="G13" s="74"/>
      <c r="H13" s="74"/>
      <c r="I13" s="74" t="s">
        <v>391</v>
      </c>
      <c r="J13" s="74"/>
      <c r="K13" s="74">
        <v>102.4</v>
      </c>
      <c r="L13" s="74">
        <v>92.16</v>
      </c>
      <c r="M13" s="74"/>
      <c r="N13" s="74" t="s">
        <v>392</v>
      </c>
      <c r="O13" s="74" t="s">
        <v>402</v>
      </c>
      <c r="P13" s="74" t="s">
        <v>5977</v>
      </c>
      <c r="Q13" s="74" t="s">
        <v>5978</v>
      </c>
      <c r="S13" s="276" t="s">
        <v>5975</v>
      </c>
      <c r="T13" s="285">
        <v>28.43</v>
      </c>
    </row>
    <row r="14" spans="3:24" ht="31.5" thickBot="1" x14ac:dyDescent="0.3">
      <c r="C14" s="74" t="s">
        <v>16339</v>
      </c>
      <c r="D14" s="74" t="s">
        <v>16340</v>
      </c>
      <c r="E14" s="74"/>
      <c r="F14" s="74">
        <v>28.33</v>
      </c>
      <c r="G14" s="74"/>
      <c r="H14" s="74"/>
      <c r="I14" s="74" t="s">
        <v>391</v>
      </c>
      <c r="J14" s="74"/>
      <c r="K14" s="74">
        <v>102.4</v>
      </c>
      <c r="L14" s="74">
        <v>92.16</v>
      </c>
      <c r="M14" s="74"/>
      <c r="N14" s="74" t="s">
        <v>392</v>
      </c>
      <c r="O14" s="74" t="s">
        <v>402</v>
      </c>
      <c r="P14" s="74" t="s">
        <v>16341</v>
      </c>
      <c r="Q14" s="74" t="s">
        <v>16342</v>
      </c>
      <c r="S14" s="276" t="s">
        <v>16339</v>
      </c>
      <c r="T14" s="285">
        <v>28.33</v>
      </c>
    </row>
    <row r="15" spans="3:24" ht="16.5" thickBot="1" x14ac:dyDescent="0.3">
      <c r="C15" s="74" t="s">
        <v>11252</v>
      </c>
      <c r="D15" s="74" t="s">
        <v>11253</v>
      </c>
      <c r="E15" s="74"/>
      <c r="F15" s="74">
        <v>27.86</v>
      </c>
      <c r="G15" s="74"/>
      <c r="H15" s="74"/>
      <c r="I15" s="74" t="s">
        <v>391</v>
      </c>
      <c r="J15" s="74"/>
      <c r="K15" s="74">
        <v>102.4</v>
      </c>
      <c r="L15" s="74">
        <v>92.16</v>
      </c>
      <c r="M15" s="74"/>
      <c r="N15" s="74" t="s">
        <v>392</v>
      </c>
      <c r="O15" s="74" t="s">
        <v>402</v>
      </c>
      <c r="P15" s="74" t="s">
        <v>11254</v>
      </c>
      <c r="Q15" s="74" t="s">
        <v>11255</v>
      </c>
      <c r="S15" s="276" t="s">
        <v>11252</v>
      </c>
      <c r="T15" s="285">
        <v>27.86</v>
      </c>
    </row>
    <row r="16" spans="3:24" x14ac:dyDescent="0.25">
      <c r="C16" s="74" t="s">
        <v>11285</v>
      </c>
      <c r="D16" s="74" t="s">
        <v>11286</v>
      </c>
      <c r="E16" s="74"/>
      <c r="F16" s="74">
        <v>27.68</v>
      </c>
      <c r="G16" s="74"/>
      <c r="H16" s="74"/>
      <c r="I16" s="74" t="s">
        <v>391</v>
      </c>
      <c r="J16" s="74"/>
      <c r="K16" s="74">
        <v>102.4</v>
      </c>
      <c r="L16" s="74">
        <v>92.16</v>
      </c>
      <c r="M16" s="74"/>
      <c r="N16" s="74" t="s">
        <v>392</v>
      </c>
      <c r="O16" s="74" t="s">
        <v>402</v>
      </c>
      <c r="P16" s="74" t="s">
        <v>11287</v>
      </c>
      <c r="Q16" s="74" t="s">
        <v>11288</v>
      </c>
    </row>
    <row r="17" spans="3:17" x14ac:dyDescent="0.25">
      <c r="C17" s="74" t="s">
        <v>11664</v>
      </c>
      <c r="D17" s="74" t="s">
        <v>11665</v>
      </c>
      <c r="E17" s="74"/>
      <c r="F17" s="74">
        <v>27.28</v>
      </c>
      <c r="G17" s="74"/>
      <c r="H17" s="74"/>
      <c r="I17" s="74" t="s">
        <v>391</v>
      </c>
      <c r="J17" s="74"/>
      <c r="K17" s="74">
        <v>102.4</v>
      </c>
      <c r="L17" s="74">
        <v>92.16</v>
      </c>
      <c r="M17" s="74"/>
      <c r="N17" s="74" t="s">
        <v>392</v>
      </c>
      <c r="O17" s="74" t="s">
        <v>402</v>
      </c>
      <c r="P17" s="74" t="s">
        <v>11666</v>
      </c>
      <c r="Q17" s="74" t="s">
        <v>11667</v>
      </c>
    </row>
    <row r="18" spans="3:17" x14ac:dyDescent="0.25">
      <c r="C18" s="74" t="s">
        <v>16677</v>
      </c>
      <c r="D18" s="74" t="s">
        <v>16678</v>
      </c>
      <c r="E18" s="74"/>
      <c r="F18" s="74">
        <v>27.1</v>
      </c>
      <c r="G18" s="74"/>
      <c r="H18" s="74"/>
      <c r="I18" s="74" t="s">
        <v>391</v>
      </c>
      <c r="J18" s="74"/>
      <c r="K18" s="74">
        <v>102.4</v>
      </c>
      <c r="L18" s="74">
        <v>92.16</v>
      </c>
      <c r="M18" s="74"/>
      <c r="N18" s="74" t="s">
        <v>392</v>
      </c>
      <c r="O18" s="74" t="s">
        <v>402</v>
      </c>
      <c r="P18" s="74" t="s">
        <v>16679</v>
      </c>
      <c r="Q18" s="74" t="s">
        <v>16680</v>
      </c>
    </row>
    <row r="19" spans="3:17" x14ac:dyDescent="0.25">
      <c r="C19" s="74" t="s">
        <v>18538</v>
      </c>
      <c r="D19" s="74" t="s">
        <v>18539</v>
      </c>
      <c r="E19" s="74"/>
      <c r="F19" s="74">
        <v>26.8</v>
      </c>
      <c r="G19" s="74"/>
      <c r="H19" s="74"/>
      <c r="I19" s="74" t="s">
        <v>391</v>
      </c>
      <c r="J19" s="74"/>
      <c r="K19" s="74">
        <v>102.4</v>
      </c>
      <c r="L19" s="74">
        <v>92.16</v>
      </c>
      <c r="M19" s="74"/>
      <c r="N19" s="74" t="s">
        <v>392</v>
      </c>
      <c r="O19" s="74" t="s">
        <v>402</v>
      </c>
      <c r="P19" s="74" t="s">
        <v>18540</v>
      </c>
      <c r="Q19" s="74" t="s">
        <v>18541</v>
      </c>
    </row>
    <row r="20" spans="3:17" x14ac:dyDescent="0.25">
      <c r="C20" s="74" t="s">
        <v>9897</v>
      </c>
      <c r="D20" s="74" t="s">
        <v>9898</v>
      </c>
      <c r="E20" s="74"/>
      <c r="F20" s="74">
        <v>26.02</v>
      </c>
      <c r="G20" s="74"/>
      <c r="H20" s="74"/>
      <c r="I20" s="74" t="s">
        <v>391</v>
      </c>
      <c r="J20" s="74"/>
      <c r="K20" s="74">
        <v>102.4</v>
      </c>
      <c r="L20" s="74">
        <v>92.16</v>
      </c>
      <c r="M20" s="74"/>
      <c r="N20" s="74" t="s">
        <v>392</v>
      </c>
      <c r="O20" s="74" t="s">
        <v>402</v>
      </c>
      <c r="P20" s="74" t="s">
        <v>9899</v>
      </c>
      <c r="Q20" s="74" t="s">
        <v>9900</v>
      </c>
    </row>
    <row r="21" spans="3:17" x14ac:dyDescent="0.25">
      <c r="C21" s="74" t="s">
        <v>18341</v>
      </c>
      <c r="D21" s="74" t="s">
        <v>18342</v>
      </c>
      <c r="E21" s="74"/>
      <c r="F21" s="74">
        <v>23.41</v>
      </c>
      <c r="G21" s="74"/>
      <c r="H21" s="74"/>
      <c r="I21" s="74" t="s">
        <v>391</v>
      </c>
      <c r="J21" s="74"/>
      <c r="K21" s="74">
        <v>102.4</v>
      </c>
      <c r="L21" s="74">
        <v>92.16</v>
      </c>
      <c r="M21" s="74"/>
      <c r="N21" s="74" t="s">
        <v>392</v>
      </c>
      <c r="O21" s="74" t="s">
        <v>402</v>
      </c>
      <c r="P21" s="74" t="s">
        <v>18343</v>
      </c>
      <c r="Q21" s="74" t="s">
        <v>18344</v>
      </c>
    </row>
    <row r="22" spans="3:17" x14ac:dyDescent="0.25">
      <c r="C22" s="74" t="s">
        <v>6850</v>
      </c>
      <c r="D22" s="74" t="s">
        <v>6851</v>
      </c>
      <c r="E22" s="74"/>
      <c r="F22" s="74">
        <v>23.38</v>
      </c>
      <c r="G22" s="74"/>
      <c r="H22" s="74"/>
      <c r="I22" s="74" t="s">
        <v>391</v>
      </c>
      <c r="J22" s="74"/>
      <c r="K22" s="74">
        <v>102.4</v>
      </c>
      <c r="L22" s="74">
        <v>92.16</v>
      </c>
      <c r="M22" s="74"/>
      <c r="N22" s="74" t="s">
        <v>392</v>
      </c>
      <c r="O22" s="74" t="s">
        <v>402</v>
      </c>
      <c r="P22" s="74" t="s">
        <v>6852</v>
      </c>
      <c r="Q22" s="74" t="s">
        <v>6853</v>
      </c>
    </row>
    <row r="23" spans="3:17" x14ac:dyDescent="0.25">
      <c r="C23" s="74" t="s">
        <v>11784</v>
      </c>
      <c r="D23" s="74" t="s">
        <v>11785</v>
      </c>
      <c r="E23" s="74"/>
      <c r="F23" s="74">
        <v>23.38</v>
      </c>
      <c r="G23" s="74"/>
      <c r="H23" s="74"/>
      <c r="I23" s="74" t="s">
        <v>391</v>
      </c>
      <c r="J23" s="74"/>
      <c r="K23" s="74">
        <v>102.4</v>
      </c>
      <c r="L23" s="74">
        <v>92.16</v>
      </c>
      <c r="M23" s="74"/>
      <c r="N23" s="74" t="s">
        <v>392</v>
      </c>
      <c r="O23" s="74" t="s">
        <v>402</v>
      </c>
      <c r="P23" s="74" t="s">
        <v>11786</v>
      </c>
      <c r="Q23" s="74" t="s">
        <v>11787</v>
      </c>
    </row>
    <row r="24" spans="3:17" x14ac:dyDescent="0.25">
      <c r="C24" s="74" t="s">
        <v>8624</v>
      </c>
      <c r="D24" s="74" t="s">
        <v>8625</v>
      </c>
      <c r="E24" s="74"/>
      <c r="F24" s="74">
        <v>23.3</v>
      </c>
      <c r="G24" s="74"/>
      <c r="H24" s="74"/>
      <c r="I24" s="74" t="s">
        <v>391</v>
      </c>
      <c r="J24" s="74"/>
      <c r="K24" s="74">
        <v>102.4</v>
      </c>
      <c r="L24" s="74">
        <v>92.16</v>
      </c>
      <c r="M24" s="74"/>
      <c r="N24" s="74" t="s">
        <v>392</v>
      </c>
      <c r="O24" s="74" t="s">
        <v>402</v>
      </c>
      <c r="P24" s="74" t="s">
        <v>8626</v>
      </c>
      <c r="Q24" s="74" t="s">
        <v>8627</v>
      </c>
    </row>
    <row r="25" spans="3:17" x14ac:dyDescent="0.25">
      <c r="C25" s="74" t="s">
        <v>9020</v>
      </c>
      <c r="D25" s="74" t="s">
        <v>9021</v>
      </c>
      <c r="E25" s="74"/>
      <c r="F25" s="74">
        <v>23.24</v>
      </c>
      <c r="G25" s="74"/>
      <c r="H25" s="74"/>
      <c r="I25" s="74" t="s">
        <v>391</v>
      </c>
      <c r="J25" s="74"/>
      <c r="K25" s="74">
        <v>102.4</v>
      </c>
      <c r="L25" s="74">
        <v>92.16</v>
      </c>
      <c r="M25" s="74"/>
      <c r="N25" s="74" t="s">
        <v>392</v>
      </c>
      <c r="O25" s="74" t="s">
        <v>402</v>
      </c>
      <c r="P25" s="74" t="s">
        <v>9022</v>
      </c>
      <c r="Q25" s="74" t="s">
        <v>9023</v>
      </c>
    </row>
    <row r="26" spans="3:17" x14ac:dyDescent="0.25">
      <c r="C26" s="74" t="s">
        <v>4938</v>
      </c>
      <c r="D26" s="74" t="s">
        <v>4939</v>
      </c>
      <c r="E26" s="74"/>
      <c r="F26" s="74">
        <v>23.23</v>
      </c>
      <c r="G26" s="74"/>
      <c r="H26" s="74"/>
      <c r="I26" s="74" t="s">
        <v>391</v>
      </c>
      <c r="J26" s="74"/>
      <c r="K26" s="74">
        <v>102.4</v>
      </c>
      <c r="L26" s="74">
        <v>92.16</v>
      </c>
      <c r="M26" s="74"/>
      <c r="N26" s="74" t="s">
        <v>392</v>
      </c>
      <c r="O26" s="74" t="s">
        <v>402</v>
      </c>
      <c r="P26" s="74" t="s">
        <v>4940</v>
      </c>
      <c r="Q26" s="74" t="s">
        <v>4941</v>
      </c>
    </row>
    <row r="27" spans="3:17" x14ac:dyDescent="0.25">
      <c r="C27" s="74" t="s">
        <v>17013</v>
      </c>
      <c r="D27" s="74" t="s">
        <v>17014</v>
      </c>
      <c r="E27" s="74"/>
      <c r="F27" s="74">
        <v>23.16</v>
      </c>
      <c r="G27" s="74"/>
      <c r="H27" s="74"/>
      <c r="I27" s="74" t="s">
        <v>391</v>
      </c>
      <c r="J27" s="74"/>
      <c r="K27" s="74">
        <v>102.4</v>
      </c>
      <c r="L27" s="74">
        <v>92.16</v>
      </c>
      <c r="M27" s="74"/>
      <c r="N27" s="74" t="s">
        <v>392</v>
      </c>
      <c r="O27" s="74" t="s">
        <v>402</v>
      </c>
      <c r="P27" s="74" t="s">
        <v>17015</v>
      </c>
      <c r="Q27" s="74" t="s">
        <v>17016</v>
      </c>
    </row>
    <row r="28" spans="3:17" x14ac:dyDescent="0.25">
      <c r="C28" s="74" t="s">
        <v>17112</v>
      </c>
      <c r="D28" s="74" t="s">
        <v>17113</v>
      </c>
      <c r="E28" s="74"/>
      <c r="F28" s="74">
        <v>22.79</v>
      </c>
      <c r="G28" s="74"/>
      <c r="H28" s="74"/>
      <c r="I28" s="74" t="s">
        <v>391</v>
      </c>
      <c r="J28" s="74"/>
      <c r="K28" s="74">
        <v>102.4</v>
      </c>
      <c r="L28" s="74">
        <v>92.16</v>
      </c>
      <c r="M28" s="74"/>
      <c r="N28" s="74" t="s">
        <v>392</v>
      </c>
      <c r="O28" s="74" t="s">
        <v>402</v>
      </c>
      <c r="P28" s="74" t="s">
        <v>17114</v>
      </c>
      <c r="Q28" s="74" t="s">
        <v>17115</v>
      </c>
    </row>
    <row r="29" spans="3:17" x14ac:dyDescent="0.25">
      <c r="C29" s="74" t="s">
        <v>1244</v>
      </c>
      <c r="D29" s="74" t="s">
        <v>1245</v>
      </c>
      <c r="E29" s="74"/>
      <c r="F29" s="74">
        <v>22.77</v>
      </c>
      <c r="G29" s="74"/>
      <c r="H29" s="74"/>
      <c r="I29" s="74" t="s">
        <v>391</v>
      </c>
      <c r="J29" s="74"/>
      <c r="K29" s="74">
        <v>102.4</v>
      </c>
      <c r="L29" s="74">
        <v>92.16</v>
      </c>
      <c r="M29" s="74"/>
      <c r="N29" s="74" t="s">
        <v>392</v>
      </c>
      <c r="O29" s="74" t="s">
        <v>402</v>
      </c>
      <c r="P29" s="74" t="s">
        <v>1246</v>
      </c>
      <c r="Q29" s="74" t="s">
        <v>1247</v>
      </c>
    </row>
    <row r="30" spans="3:17" x14ac:dyDescent="0.25">
      <c r="C30" s="74" t="s">
        <v>7465</v>
      </c>
      <c r="D30" s="74" t="s">
        <v>7466</v>
      </c>
      <c r="E30" s="74"/>
      <c r="F30" s="74">
        <v>22.44</v>
      </c>
      <c r="G30" s="74"/>
      <c r="H30" s="74"/>
      <c r="I30" s="74" t="s">
        <v>391</v>
      </c>
      <c r="J30" s="74"/>
      <c r="K30" s="74">
        <v>102.4</v>
      </c>
      <c r="L30" s="74">
        <v>92.16</v>
      </c>
      <c r="M30" s="74"/>
      <c r="N30" s="74" t="s">
        <v>392</v>
      </c>
      <c r="O30" s="74" t="s">
        <v>402</v>
      </c>
      <c r="P30" s="74" t="s">
        <v>7467</v>
      </c>
      <c r="Q30" s="74" t="s">
        <v>7468</v>
      </c>
    </row>
    <row r="31" spans="3:17" x14ac:dyDescent="0.25">
      <c r="C31" s="74" t="s">
        <v>19590</v>
      </c>
      <c r="D31" s="74" t="s">
        <v>19591</v>
      </c>
      <c r="E31" s="74"/>
      <c r="F31" s="74">
        <v>21.97</v>
      </c>
      <c r="G31" s="74"/>
      <c r="H31" s="74"/>
      <c r="I31" s="74" t="s">
        <v>391</v>
      </c>
      <c r="J31" s="74"/>
      <c r="K31" s="74">
        <v>102.4</v>
      </c>
      <c r="L31" s="74">
        <v>92.16</v>
      </c>
      <c r="M31" s="74"/>
      <c r="N31" s="74" t="s">
        <v>392</v>
      </c>
      <c r="O31" s="74" t="s">
        <v>402</v>
      </c>
      <c r="P31" s="74" t="s">
        <v>19592</v>
      </c>
      <c r="Q31" s="74" t="s">
        <v>19593</v>
      </c>
    </row>
    <row r="32" spans="3:17" x14ac:dyDescent="0.25">
      <c r="C32" s="74" t="s">
        <v>2083</v>
      </c>
      <c r="D32" s="74" t="s">
        <v>2084</v>
      </c>
      <c r="E32" s="74"/>
      <c r="F32" s="74">
        <v>21.89</v>
      </c>
      <c r="G32" s="74"/>
      <c r="H32" s="74"/>
      <c r="I32" s="74" t="s">
        <v>391</v>
      </c>
      <c r="J32" s="74"/>
      <c r="K32" s="74">
        <v>102.4</v>
      </c>
      <c r="L32" s="74">
        <v>92.16</v>
      </c>
      <c r="M32" s="74"/>
      <c r="N32" s="74" t="s">
        <v>392</v>
      </c>
      <c r="O32" s="74" t="s">
        <v>402</v>
      </c>
      <c r="P32" s="74" t="s">
        <v>2085</v>
      </c>
      <c r="Q32" s="74" t="s">
        <v>2086</v>
      </c>
    </row>
    <row r="33" spans="3:17" x14ac:dyDescent="0.25">
      <c r="C33" s="74" t="s">
        <v>15702</v>
      </c>
      <c r="D33" s="74" t="s">
        <v>15703</v>
      </c>
      <c r="E33" s="74"/>
      <c r="F33" s="74">
        <v>21.83</v>
      </c>
      <c r="G33" s="74"/>
      <c r="H33" s="74"/>
      <c r="I33" s="74" t="s">
        <v>391</v>
      </c>
      <c r="J33" s="74"/>
      <c r="K33" s="74">
        <v>102.4</v>
      </c>
      <c r="L33" s="74">
        <v>92.16</v>
      </c>
      <c r="M33" s="74"/>
      <c r="N33" s="74" t="s">
        <v>392</v>
      </c>
      <c r="O33" s="74" t="s">
        <v>402</v>
      </c>
      <c r="P33" s="74" t="s">
        <v>15704</v>
      </c>
      <c r="Q33" s="74" t="s">
        <v>15705</v>
      </c>
    </row>
    <row r="34" spans="3:17" x14ac:dyDescent="0.25">
      <c r="C34" s="74" t="s">
        <v>9390</v>
      </c>
      <c r="D34" s="74" t="s">
        <v>9391</v>
      </c>
      <c r="E34" s="74"/>
      <c r="F34" s="74">
        <v>21.72</v>
      </c>
      <c r="G34" s="74"/>
      <c r="H34" s="74"/>
      <c r="I34" s="74" t="s">
        <v>391</v>
      </c>
      <c r="J34" s="74"/>
      <c r="K34" s="74">
        <v>102.4</v>
      </c>
      <c r="L34" s="74">
        <v>92.16</v>
      </c>
      <c r="M34" s="74"/>
      <c r="N34" s="74" t="s">
        <v>392</v>
      </c>
      <c r="O34" s="74" t="s">
        <v>402</v>
      </c>
      <c r="P34" s="74" t="s">
        <v>9392</v>
      </c>
      <c r="Q34" s="74" t="s">
        <v>9393</v>
      </c>
    </row>
    <row r="35" spans="3:17" x14ac:dyDescent="0.25">
      <c r="C35" s="74" t="s">
        <v>4426</v>
      </c>
      <c r="D35" s="74" t="s">
        <v>4427</v>
      </c>
      <c r="E35" s="74"/>
      <c r="F35" s="74">
        <v>21.45</v>
      </c>
      <c r="G35" s="74"/>
      <c r="H35" s="74"/>
      <c r="I35" s="74" t="s">
        <v>391</v>
      </c>
      <c r="J35" s="74"/>
      <c r="K35" s="74">
        <v>102.4</v>
      </c>
      <c r="L35" s="74">
        <v>92.16</v>
      </c>
      <c r="M35" s="74"/>
      <c r="N35" s="74" t="s">
        <v>392</v>
      </c>
      <c r="O35" s="74" t="s">
        <v>402</v>
      </c>
      <c r="P35" s="74" t="s">
        <v>4428</v>
      </c>
      <c r="Q35" s="74" t="s">
        <v>4429</v>
      </c>
    </row>
    <row r="36" spans="3:17" x14ac:dyDescent="0.25">
      <c r="C36" s="74" t="s">
        <v>7832</v>
      </c>
      <c r="D36" s="74" t="s">
        <v>7833</v>
      </c>
      <c r="E36" s="74"/>
      <c r="F36" s="74">
        <v>21.29</v>
      </c>
      <c r="G36" s="74"/>
      <c r="H36" s="74"/>
      <c r="I36" s="74" t="s">
        <v>391</v>
      </c>
      <c r="J36" s="74"/>
      <c r="K36" s="74">
        <v>102.4</v>
      </c>
      <c r="L36" s="74">
        <v>92.16</v>
      </c>
      <c r="M36" s="74"/>
      <c r="N36" s="74" t="s">
        <v>392</v>
      </c>
      <c r="O36" s="74" t="s">
        <v>402</v>
      </c>
      <c r="P36" s="74" t="s">
        <v>7834</v>
      </c>
      <c r="Q36" s="74" t="s">
        <v>7835</v>
      </c>
    </row>
    <row r="37" spans="3:17" x14ac:dyDescent="0.25">
      <c r="C37" s="74" t="s">
        <v>19821</v>
      </c>
      <c r="D37" s="74" t="s">
        <v>19822</v>
      </c>
      <c r="E37" s="74"/>
      <c r="F37" s="74">
        <v>21.27</v>
      </c>
      <c r="G37" s="74"/>
      <c r="H37" s="74"/>
      <c r="I37" s="74" t="s">
        <v>391</v>
      </c>
      <c r="J37" s="74"/>
      <c r="K37" s="74">
        <v>102.4</v>
      </c>
      <c r="L37" s="74">
        <v>92.16</v>
      </c>
      <c r="M37" s="74"/>
      <c r="N37" s="74" t="s">
        <v>392</v>
      </c>
      <c r="O37" s="74" t="s">
        <v>402</v>
      </c>
      <c r="P37" s="74" t="s">
        <v>19823</v>
      </c>
      <c r="Q37" s="74" t="s">
        <v>19824</v>
      </c>
    </row>
    <row r="38" spans="3:17" x14ac:dyDescent="0.25">
      <c r="C38" s="74" t="s">
        <v>18249</v>
      </c>
      <c r="D38" s="74" t="s">
        <v>18250</v>
      </c>
      <c r="E38" s="74"/>
      <c r="F38" s="74">
        <v>21.15</v>
      </c>
      <c r="G38" s="74"/>
      <c r="H38" s="74"/>
      <c r="I38" s="74" t="s">
        <v>391</v>
      </c>
      <c r="J38" s="74"/>
      <c r="K38" s="74">
        <v>102.4</v>
      </c>
      <c r="L38" s="74">
        <v>92.16</v>
      </c>
      <c r="M38" s="74"/>
      <c r="N38" s="74" t="s">
        <v>392</v>
      </c>
      <c r="O38" s="74" t="s">
        <v>402</v>
      </c>
      <c r="P38" s="74" t="s">
        <v>18251</v>
      </c>
      <c r="Q38" s="74" t="s">
        <v>18252</v>
      </c>
    </row>
    <row r="39" spans="3:17" x14ac:dyDescent="0.25">
      <c r="C39" s="74" t="s">
        <v>15390</v>
      </c>
      <c r="D39" s="74" t="s">
        <v>15391</v>
      </c>
      <c r="E39" s="74"/>
      <c r="F39" s="74">
        <v>21.05</v>
      </c>
      <c r="G39" s="74"/>
      <c r="H39" s="74"/>
      <c r="I39" s="74" t="s">
        <v>391</v>
      </c>
      <c r="J39" s="74"/>
      <c r="K39" s="74">
        <v>102.4</v>
      </c>
      <c r="L39" s="74">
        <v>92.16</v>
      </c>
      <c r="M39" s="74"/>
      <c r="N39" s="74" t="s">
        <v>392</v>
      </c>
      <c r="O39" s="74" t="s">
        <v>402</v>
      </c>
      <c r="P39" s="74" t="s">
        <v>15392</v>
      </c>
      <c r="Q39" s="74" t="s">
        <v>15393</v>
      </c>
    </row>
    <row r="40" spans="3:17" x14ac:dyDescent="0.25">
      <c r="C40" s="74" t="s">
        <v>2788</v>
      </c>
      <c r="D40" s="74" t="s">
        <v>2789</v>
      </c>
      <c r="E40" s="74"/>
      <c r="F40" s="74">
        <v>21</v>
      </c>
      <c r="G40" s="74"/>
      <c r="H40" s="74"/>
      <c r="I40" s="74" t="s">
        <v>391</v>
      </c>
      <c r="J40" s="74"/>
      <c r="K40" s="74">
        <v>102.4</v>
      </c>
      <c r="L40" s="74">
        <v>92.16</v>
      </c>
      <c r="M40" s="74"/>
      <c r="N40" s="74" t="s">
        <v>392</v>
      </c>
      <c r="O40" s="74" t="s">
        <v>402</v>
      </c>
      <c r="P40" s="74" t="s">
        <v>2790</v>
      </c>
      <c r="Q40" s="74" t="s">
        <v>2791</v>
      </c>
    </row>
    <row r="41" spans="3:17" x14ac:dyDescent="0.25">
      <c r="C41" s="74" t="s">
        <v>14220</v>
      </c>
      <c r="D41" s="74" t="s">
        <v>14221</v>
      </c>
      <c r="E41" s="74"/>
      <c r="F41" s="74">
        <v>21</v>
      </c>
      <c r="G41" s="74"/>
      <c r="H41" s="74"/>
      <c r="I41" s="74" t="s">
        <v>391</v>
      </c>
      <c r="J41" s="74"/>
      <c r="K41" s="74">
        <v>102.4</v>
      </c>
      <c r="L41" s="74">
        <v>92.16</v>
      </c>
      <c r="M41" s="74"/>
      <c r="N41" s="74" t="s">
        <v>392</v>
      </c>
      <c r="O41" s="74" t="s">
        <v>402</v>
      </c>
      <c r="P41" s="74" t="s">
        <v>14222</v>
      </c>
      <c r="Q41" s="74" t="s">
        <v>14223</v>
      </c>
    </row>
    <row r="42" spans="3:17" x14ac:dyDescent="0.25">
      <c r="C42" s="74" t="s">
        <v>17691</v>
      </c>
      <c r="D42" s="74" t="s">
        <v>17692</v>
      </c>
      <c r="E42" s="74"/>
      <c r="F42" s="74">
        <v>20.91</v>
      </c>
      <c r="G42" s="74"/>
      <c r="H42" s="74"/>
      <c r="I42" s="74" t="s">
        <v>391</v>
      </c>
      <c r="J42" s="74"/>
      <c r="K42" s="74">
        <v>102.4</v>
      </c>
      <c r="L42" s="74">
        <v>92.16</v>
      </c>
      <c r="M42" s="74"/>
      <c r="N42" s="74" t="s">
        <v>392</v>
      </c>
      <c r="O42" s="74" t="s">
        <v>402</v>
      </c>
      <c r="P42" s="74" t="s">
        <v>17693</v>
      </c>
      <c r="Q42" s="74" t="s">
        <v>17694</v>
      </c>
    </row>
    <row r="43" spans="3:17" x14ac:dyDescent="0.25">
      <c r="C43" s="74" t="s">
        <v>2781</v>
      </c>
      <c r="D43" s="74" t="s">
        <v>2782</v>
      </c>
      <c r="E43" s="74"/>
      <c r="F43" s="74">
        <v>20.73</v>
      </c>
      <c r="G43" s="74"/>
      <c r="H43" s="74"/>
      <c r="I43" s="74" t="s">
        <v>391</v>
      </c>
      <c r="J43" s="74"/>
      <c r="K43" s="74">
        <v>102.4</v>
      </c>
      <c r="L43" s="74">
        <v>92.16</v>
      </c>
      <c r="M43" s="74"/>
      <c r="N43" s="74" t="s">
        <v>392</v>
      </c>
      <c r="O43" s="74" t="s">
        <v>402</v>
      </c>
      <c r="P43" s="74" t="s">
        <v>2783</v>
      </c>
      <c r="Q43" s="74" t="s">
        <v>2784</v>
      </c>
    </row>
    <row r="44" spans="3:17" x14ac:dyDescent="0.25">
      <c r="C44" s="74" t="s">
        <v>10103</v>
      </c>
      <c r="D44" s="74" t="s">
        <v>10104</v>
      </c>
      <c r="E44" s="74"/>
      <c r="F44" s="74">
        <v>20.73</v>
      </c>
      <c r="G44" s="74"/>
      <c r="H44" s="74"/>
      <c r="I44" s="74" t="s">
        <v>391</v>
      </c>
      <c r="J44" s="74"/>
      <c r="K44" s="74">
        <v>102.4</v>
      </c>
      <c r="L44" s="74">
        <v>92.16</v>
      </c>
      <c r="M44" s="74"/>
      <c r="N44" s="74" t="s">
        <v>392</v>
      </c>
      <c r="O44" s="74" t="s">
        <v>402</v>
      </c>
      <c r="P44" s="74" t="s">
        <v>10105</v>
      </c>
      <c r="Q44" s="74" t="s">
        <v>10106</v>
      </c>
    </row>
    <row r="45" spans="3:17" x14ac:dyDescent="0.25">
      <c r="C45" s="74" t="s">
        <v>7706</v>
      </c>
      <c r="D45" s="74" t="s">
        <v>7707</v>
      </c>
      <c r="E45" s="74"/>
      <c r="F45" s="74">
        <v>20.65</v>
      </c>
      <c r="G45" s="74"/>
      <c r="H45" s="74"/>
      <c r="I45" s="74" t="s">
        <v>391</v>
      </c>
      <c r="J45" s="74"/>
      <c r="K45" s="74">
        <v>102.4</v>
      </c>
      <c r="L45" s="74">
        <v>92.16</v>
      </c>
      <c r="M45" s="74"/>
      <c r="N45" s="74" t="s">
        <v>392</v>
      </c>
      <c r="O45" s="74" t="s">
        <v>402</v>
      </c>
      <c r="P45" s="74" t="s">
        <v>7708</v>
      </c>
      <c r="Q45" s="74" t="s">
        <v>7709</v>
      </c>
    </row>
    <row r="46" spans="3:17" x14ac:dyDescent="0.25">
      <c r="C46" s="74" t="s">
        <v>2549</v>
      </c>
      <c r="D46" s="74" t="s">
        <v>2550</v>
      </c>
      <c r="E46" s="74"/>
      <c r="F46" s="74">
        <v>20.63</v>
      </c>
      <c r="G46" s="74"/>
      <c r="H46" s="74"/>
      <c r="I46" s="74" t="s">
        <v>391</v>
      </c>
      <c r="J46" s="74"/>
      <c r="K46" s="74">
        <v>102.4</v>
      </c>
      <c r="L46" s="74">
        <v>92.16</v>
      </c>
      <c r="M46" s="74"/>
      <c r="N46" s="74" t="s">
        <v>392</v>
      </c>
      <c r="O46" s="74" t="s">
        <v>402</v>
      </c>
      <c r="P46" s="74" t="s">
        <v>2551</v>
      </c>
      <c r="Q46" s="74" t="s">
        <v>2552</v>
      </c>
    </row>
    <row r="47" spans="3:17" x14ac:dyDescent="0.25">
      <c r="C47" s="74" t="s">
        <v>5971</v>
      </c>
      <c r="D47" s="74" t="s">
        <v>5972</v>
      </c>
      <c r="E47" s="74"/>
      <c r="F47" s="74">
        <v>20.61</v>
      </c>
      <c r="G47" s="74"/>
      <c r="H47" s="74"/>
      <c r="I47" s="74" t="s">
        <v>391</v>
      </c>
      <c r="J47" s="74"/>
      <c r="K47" s="74">
        <v>102.4</v>
      </c>
      <c r="L47" s="74">
        <v>92.16</v>
      </c>
      <c r="M47" s="74"/>
      <c r="N47" s="74" t="s">
        <v>392</v>
      </c>
      <c r="O47" s="74" t="s">
        <v>402</v>
      </c>
      <c r="P47" s="74" t="s">
        <v>5973</v>
      </c>
      <c r="Q47" s="74" t="s">
        <v>5974</v>
      </c>
    </row>
    <row r="48" spans="3:17" x14ac:dyDescent="0.25">
      <c r="C48" s="74" t="s">
        <v>4238</v>
      </c>
      <c r="D48" s="74" t="s">
        <v>4239</v>
      </c>
      <c r="E48" s="74"/>
      <c r="F48" s="74">
        <v>20.55</v>
      </c>
      <c r="G48" s="74"/>
      <c r="H48" s="74"/>
      <c r="I48" s="74" t="s">
        <v>391</v>
      </c>
      <c r="J48" s="74"/>
      <c r="K48" s="74">
        <v>102.4</v>
      </c>
      <c r="L48" s="74">
        <v>92.16</v>
      </c>
      <c r="M48" s="74"/>
      <c r="N48" s="74" t="s">
        <v>392</v>
      </c>
      <c r="O48" s="74" t="s">
        <v>402</v>
      </c>
      <c r="P48" s="74" t="s">
        <v>4240</v>
      </c>
      <c r="Q48" s="74" t="s">
        <v>4241</v>
      </c>
    </row>
    <row r="49" spans="3:17" x14ac:dyDescent="0.25">
      <c r="C49" s="74" t="s">
        <v>6175</v>
      </c>
      <c r="D49" s="74" t="s">
        <v>6176</v>
      </c>
      <c r="E49" s="74"/>
      <c r="F49" s="74">
        <v>20.55</v>
      </c>
      <c r="G49" s="74"/>
      <c r="H49" s="74"/>
      <c r="I49" s="74" t="s">
        <v>391</v>
      </c>
      <c r="J49" s="74"/>
      <c r="K49" s="74">
        <v>102.4</v>
      </c>
      <c r="L49" s="74">
        <v>92.16</v>
      </c>
      <c r="M49" s="74"/>
      <c r="N49" s="74" t="s">
        <v>392</v>
      </c>
      <c r="O49" s="74" t="s">
        <v>402</v>
      </c>
      <c r="P49" s="74" t="s">
        <v>6177</v>
      </c>
      <c r="Q49" s="74" t="s">
        <v>6178</v>
      </c>
    </row>
    <row r="50" spans="3:17" x14ac:dyDescent="0.25">
      <c r="C50" s="74" t="s">
        <v>16152</v>
      </c>
      <c r="D50" s="74" t="s">
        <v>16153</v>
      </c>
      <c r="E50" s="74"/>
      <c r="F50" s="74">
        <v>20.52</v>
      </c>
      <c r="G50" s="74"/>
      <c r="H50" s="74"/>
      <c r="I50" s="74" t="s">
        <v>391</v>
      </c>
      <c r="J50" s="74"/>
      <c r="K50" s="74">
        <v>102.4</v>
      </c>
      <c r="L50" s="74">
        <v>92.16</v>
      </c>
      <c r="M50" s="74"/>
      <c r="N50" s="74" t="s">
        <v>392</v>
      </c>
      <c r="O50" s="74" t="s">
        <v>402</v>
      </c>
      <c r="P50" s="74" t="s">
        <v>16154</v>
      </c>
      <c r="Q50" s="74" t="s">
        <v>16155</v>
      </c>
    </row>
    <row r="51" spans="3:17" x14ac:dyDescent="0.25">
      <c r="C51" s="74" t="s">
        <v>10158</v>
      </c>
      <c r="D51" s="74" t="s">
        <v>10159</v>
      </c>
      <c r="E51" s="74"/>
      <c r="F51" s="74">
        <v>20.47</v>
      </c>
      <c r="G51" s="74"/>
      <c r="H51" s="74"/>
      <c r="I51" s="74" t="s">
        <v>391</v>
      </c>
      <c r="J51" s="74"/>
      <c r="K51" s="74">
        <v>102.4</v>
      </c>
      <c r="L51" s="74">
        <v>92.16</v>
      </c>
      <c r="M51" s="74"/>
      <c r="N51" s="74" t="s">
        <v>392</v>
      </c>
      <c r="O51" s="74" t="s">
        <v>402</v>
      </c>
      <c r="P51" s="74" t="s">
        <v>10160</v>
      </c>
      <c r="Q51" s="74" t="s">
        <v>10161</v>
      </c>
    </row>
    <row r="52" spans="3:17" x14ac:dyDescent="0.25">
      <c r="C52" s="74" t="s">
        <v>5204</v>
      </c>
      <c r="D52" s="74" t="s">
        <v>5205</v>
      </c>
      <c r="E52" s="74"/>
      <c r="F52" s="74">
        <v>20.43</v>
      </c>
      <c r="G52" s="74"/>
      <c r="H52" s="74"/>
      <c r="I52" s="74" t="s">
        <v>391</v>
      </c>
      <c r="J52" s="74"/>
      <c r="K52" s="74">
        <v>102.4</v>
      </c>
      <c r="L52" s="74">
        <v>92.16</v>
      </c>
      <c r="M52" s="74"/>
      <c r="N52" s="74" t="s">
        <v>392</v>
      </c>
      <c r="O52" s="74" t="s">
        <v>402</v>
      </c>
      <c r="P52" s="74" t="s">
        <v>5206</v>
      </c>
      <c r="Q52" s="74" t="s">
        <v>5207</v>
      </c>
    </row>
    <row r="53" spans="3:17" x14ac:dyDescent="0.25">
      <c r="C53" s="74" t="s">
        <v>17438</v>
      </c>
      <c r="D53" s="74" t="s">
        <v>17439</v>
      </c>
      <c r="E53" s="74"/>
      <c r="F53" s="74">
        <v>20.41</v>
      </c>
      <c r="G53" s="74"/>
      <c r="H53" s="74"/>
      <c r="I53" s="74" t="s">
        <v>391</v>
      </c>
      <c r="J53" s="74"/>
      <c r="K53" s="74">
        <v>102.4</v>
      </c>
      <c r="L53" s="74">
        <v>92.16</v>
      </c>
      <c r="M53" s="74"/>
      <c r="N53" s="74" t="s">
        <v>392</v>
      </c>
      <c r="O53" s="74" t="s">
        <v>402</v>
      </c>
      <c r="P53" s="74" t="s">
        <v>17440</v>
      </c>
      <c r="Q53" s="74" t="s">
        <v>17441</v>
      </c>
    </row>
    <row r="54" spans="3:17" x14ac:dyDescent="0.25">
      <c r="C54" s="74" t="s">
        <v>17265</v>
      </c>
      <c r="D54" s="74" t="s">
        <v>17266</v>
      </c>
      <c r="E54" s="74"/>
      <c r="F54" s="74">
        <v>20.39</v>
      </c>
      <c r="G54" s="74"/>
      <c r="H54" s="74"/>
      <c r="I54" s="74" t="s">
        <v>391</v>
      </c>
      <c r="J54" s="74"/>
      <c r="K54" s="74">
        <v>102.4</v>
      </c>
      <c r="L54" s="74">
        <v>92.16</v>
      </c>
      <c r="M54" s="74"/>
      <c r="N54" s="74" t="s">
        <v>392</v>
      </c>
      <c r="O54" s="74" t="s">
        <v>402</v>
      </c>
      <c r="P54" s="74" t="s">
        <v>17267</v>
      </c>
      <c r="Q54" s="74" t="s">
        <v>17268</v>
      </c>
    </row>
    <row r="55" spans="3:17" x14ac:dyDescent="0.25">
      <c r="C55" s="74" t="s">
        <v>19006</v>
      </c>
      <c r="D55" s="74" t="s">
        <v>19007</v>
      </c>
      <c r="E55" s="74"/>
      <c r="F55" s="74">
        <v>20.21</v>
      </c>
      <c r="G55" s="74"/>
      <c r="H55" s="74"/>
      <c r="I55" s="74" t="s">
        <v>391</v>
      </c>
      <c r="J55" s="74"/>
      <c r="K55" s="74">
        <v>102.4</v>
      </c>
      <c r="L55" s="74">
        <v>92.16</v>
      </c>
      <c r="M55" s="74"/>
      <c r="N55" s="74" t="s">
        <v>392</v>
      </c>
      <c r="O55" s="74" t="s">
        <v>402</v>
      </c>
      <c r="P55" s="74" t="s">
        <v>19008</v>
      </c>
      <c r="Q55" s="74" t="s">
        <v>19009</v>
      </c>
    </row>
    <row r="56" spans="3:17" x14ac:dyDescent="0.25">
      <c r="C56" s="74" t="s">
        <v>16516</v>
      </c>
      <c r="D56" s="74" t="s">
        <v>16517</v>
      </c>
      <c r="E56" s="74"/>
      <c r="F56" s="74">
        <v>20.079999999999998</v>
      </c>
      <c r="G56" s="74"/>
      <c r="H56" s="74"/>
      <c r="I56" s="74" t="s">
        <v>391</v>
      </c>
      <c r="J56" s="74"/>
      <c r="K56" s="74">
        <v>102.4</v>
      </c>
      <c r="L56" s="74">
        <v>92.16</v>
      </c>
      <c r="M56" s="74"/>
      <c r="N56" s="74" t="s">
        <v>392</v>
      </c>
      <c r="O56" s="74" t="s">
        <v>402</v>
      </c>
      <c r="P56" s="74" t="s">
        <v>16518</v>
      </c>
      <c r="Q56" s="74" t="s">
        <v>16519</v>
      </c>
    </row>
    <row r="57" spans="3:17" x14ac:dyDescent="0.25">
      <c r="C57" s="74" t="s">
        <v>12185</v>
      </c>
      <c r="D57" s="74" t="s">
        <v>12186</v>
      </c>
      <c r="E57" s="74"/>
      <c r="F57" s="74">
        <v>20.03</v>
      </c>
      <c r="G57" s="74"/>
      <c r="H57" s="74"/>
      <c r="I57" s="74" t="s">
        <v>391</v>
      </c>
      <c r="J57" s="74"/>
      <c r="K57" s="74">
        <v>102.4</v>
      </c>
      <c r="L57" s="74">
        <v>92.16</v>
      </c>
      <c r="M57" s="74"/>
      <c r="N57" s="74" t="s">
        <v>392</v>
      </c>
      <c r="O57" s="74" t="s">
        <v>402</v>
      </c>
      <c r="P57" s="74" t="s">
        <v>12187</v>
      </c>
      <c r="Q57" s="74" t="s">
        <v>12188</v>
      </c>
    </row>
    <row r="58" spans="3:17" x14ac:dyDescent="0.25">
      <c r="C58" s="74" t="s">
        <v>7569</v>
      </c>
      <c r="D58" s="74" t="s">
        <v>7570</v>
      </c>
      <c r="E58" s="74"/>
      <c r="F58" s="74">
        <v>19.97</v>
      </c>
      <c r="G58" s="74"/>
      <c r="H58" s="74"/>
      <c r="I58" s="74" t="s">
        <v>391</v>
      </c>
      <c r="J58" s="74"/>
      <c r="K58" s="74">
        <v>102.4</v>
      </c>
      <c r="L58" s="74">
        <v>92.16</v>
      </c>
      <c r="M58" s="74"/>
      <c r="N58" s="74" t="s">
        <v>392</v>
      </c>
      <c r="O58" s="74" t="s">
        <v>402</v>
      </c>
      <c r="P58" s="74" t="s">
        <v>7571</v>
      </c>
      <c r="Q58" s="74" t="s">
        <v>7572</v>
      </c>
    </row>
    <row r="59" spans="3:17" x14ac:dyDescent="0.25">
      <c r="C59" s="74" t="s">
        <v>6305</v>
      </c>
      <c r="D59" s="74" t="s">
        <v>6306</v>
      </c>
      <c r="E59" s="74"/>
      <c r="F59" s="74">
        <v>19.96</v>
      </c>
      <c r="G59" s="74"/>
      <c r="H59" s="74"/>
      <c r="I59" s="74" t="s">
        <v>391</v>
      </c>
      <c r="J59" s="74"/>
      <c r="K59" s="74">
        <v>102.4</v>
      </c>
      <c r="L59" s="74">
        <v>92.16</v>
      </c>
      <c r="M59" s="74"/>
      <c r="N59" s="74" t="s">
        <v>392</v>
      </c>
      <c r="O59" s="74" t="s">
        <v>402</v>
      </c>
      <c r="P59" s="74" t="s">
        <v>6307</v>
      </c>
      <c r="Q59" s="74" t="s">
        <v>6308</v>
      </c>
    </row>
    <row r="60" spans="3:17" x14ac:dyDescent="0.25">
      <c r="C60" s="74" t="s">
        <v>9543</v>
      </c>
      <c r="D60" s="74" t="s">
        <v>9544</v>
      </c>
      <c r="E60" s="74"/>
      <c r="F60" s="74">
        <v>19.920000000000002</v>
      </c>
      <c r="G60" s="74"/>
      <c r="H60" s="74"/>
      <c r="I60" s="74" t="s">
        <v>391</v>
      </c>
      <c r="J60" s="74"/>
      <c r="K60" s="74">
        <v>102.4</v>
      </c>
      <c r="L60" s="74">
        <v>92.16</v>
      </c>
      <c r="M60" s="74"/>
      <c r="N60" s="74" t="s">
        <v>392</v>
      </c>
      <c r="O60" s="74" t="s">
        <v>402</v>
      </c>
      <c r="P60" s="74" t="s">
        <v>9545</v>
      </c>
      <c r="Q60" s="74" t="s">
        <v>9546</v>
      </c>
    </row>
    <row r="61" spans="3:17" x14ac:dyDescent="0.25">
      <c r="C61" s="74" t="s">
        <v>17843</v>
      </c>
      <c r="D61" s="74" t="s">
        <v>17844</v>
      </c>
      <c r="E61" s="74"/>
      <c r="F61" s="74">
        <v>19.73</v>
      </c>
      <c r="G61" s="74"/>
      <c r="H61" s="74"/>
      <c r="I61" s="74" t="s">
        <v>391</v>
      </c>
      <c r="J61" s="74"/>
      <c r="K61" s="74">
        <v>102.4</v>
      </c>
      <c r="L61" s="74">
        <v>92.16</v>
      </c>
      <c r="M61" s="74"/>
      <c r="N61" s="74" t="s">
        <v>392</v>
      </c>
      <c r="O61" s="74" t="s">
        <v>402</v>
      </c>
      <c r="P61" s="74" t="s">
        <v>17845</v>
      </c>
      <c r="Q61" s="74" t="s">
        <v>17846</v>
      </c>
    </row>
    <row r="62" spans="3:17" x14ac:dyDescent="0.25">
      <c r="C62" s="74" t="s">
        <v>17373</v>
      </c>
      <c r="D62" s="74" t="s">
        <v>17374</v>
      </c>
      <c r="E62" s="74"/>
      <c r="F62" s="74">
        <v>19.68</v>
      </c>
      <c r="G62" s="74"/>
      <c r="H62" s="74"/>
      <c r="I62" s="74" t="s">
        <v>391</v>
      </c>
      <c r="J62" s="74"/>
      <c r="K62" s="74">
        <v>102.4</v>
      </c>
      <c r="L62" s="74">
        <v>92.16</v>
      </c>
      <c r="M62" s="74"/>
      <c r="N62" s="74" t="s">
        <v>392</v>
      </c>
      <c r="O62" s="74" t="s">
        <v>402</v>
      </c>
      <c r="P62" s="74" t="s">
        <v>17375</v>
      </c>
      <c r="Q62" s="74" t="s">
        <v>17376</v>
      </c>
    </row>
    <row r="63" spans="3:17" x14ac:dyDescent="0.25">
      <c r="C63" s="74" t="s">
        <v>5074</v>
      </c>
      <c r="D63" s="74" t="s">
        <v>5075</v>
      </c>
      <c r="E63" s="74"/>
      <c r="F63" s="74">
        <v>19.47</v>
      </c>
      <c r="G63" s="74"/>
      <c r="H63" s="74"/>
      <c r="I63" s="74" t="s">
        <v>391</v>
      </c>
      <c r="J63" s="74"/>
      <c r="K63" s="74">
        <v>102.4</v>
      </c>
      <c r="L63" s="74">
        <v>92.16</v>
      </c>
      <c r="M63" s="74"/>
      <c r="N63" s="74" t="s">
        <v>392</v>
      </c>
      <c r="O63" s="74" t="s">
        <v>402</v>
      </c>
      <c r="P63" s="74" t="s">
        <v>5076</v>
      </c>
      <c r="Q63" s="74" t="s">
        <v>5077</v>
      </c>
    </row>
    <row r="64" spans="3:17" x14ac:dyDescent="0.25">
      <c r="C64" s="74" t="s">
        <v>10019</v>
      </c>
      <c r="D64" s="74" t="s">
        <v>10020</v>
      </c>
      <c r="E64" s="74"/>
      <c r="F64" s="74">
        <v>19.440000000000001</v>
      </c>
      <c r="G64" s="74"/>
      <c r="H64" s="74"/>
      <c r="I64" s="74" t="s">
        <v>391</v>
      </c>
      <c r="J64" s="74"/>
      <c r="K64" s="74">
        <v>102.4</v>
      </c>
      <c r="L64" s="74">
        <v>92.16</v>
      </c>
      <c r="M64" s="74"/>
      <c r="N64" s="74" t="s">
        <v>392</v>
      </c>
      <c r="O64" s="74" t="s">
        <v>402</v>
      </c>
      <c r="P64" s="74" t="s">
        <v>10021</v>
      </c>
      <c r="Q64" s="74" t="s">
        <v>10022</v>
      </c>
    </row>
    <row r="65" spans="3:17" x14ac:dyDescent="0.25">
      <c r="C65" s="74" t="s">
        <v>2904</v>
      </c>
      <c r="D65" s="74" t="s">
        <v>2905</v>
      </c>
      <c r="E65" s="74"/>
      <c r="F65" s="74">
        <v>19.3</v>
      </c>
      <c r="G65" s="74"/>
      <c r="H65" s="74"/>
      <c r="I65" s="74" t="s">
        <v>391</v>
      </c>
      <c r="J65" s="74"/>
      <c r="K65" s="74">
        <v>102.4</v>
      </c>
      <c r="L65" s="74">
        <v>92.16</v>
      </c>
      <c r="M65" s="74"/>
      <c r="N65" s="74" t="s">
        <v>392</v>
      </c>
      <c r="O65" s="74" t="s">
        <v>402</v>
      </c>
      <c r="P65" s="74" t="s">
        <v>2906</v>
      </c>
      <c r="Q65" s="74" t="s">
        <v>2907</v>
      </c>
    </row>
    <row r="66" spans="3:17" x14ac:dyDescent="0.25">
      <c r="C66" s="158" t="s">
        <v>2580</v>
      </c>
      <c r="D66" s="158" t="s">
        <v>2581</v>
      </c>
      <c r="F66" s="158">
        <v>19.2</v>
      </c>
      <c r="I66" s="158" t="s">
        <v>391</v>
      </c>
      <c r="K66" s="158">
        <v>102.4</v>
      </c>
      <c r="L66" s="158">
        <v>92.16</v>
      </c>
      <c r="N66" s="158" t="s">
        <v>392</v>
      </c>
      <c r="O66" s="158" t="s">
        <v>402</v>
      </c>
      <c r="P66" s="158" t="s">
        <v>2582</v>
      </c>
      <c r="Q66" s="158" t="s">
        <v>2583</v>
      </c>
    </row>
    <row r="67" spans="3:17" x14ac:dyDescent="0.25">
      <c r="C67" s="74" t="s">
        <v>5002</v>
      </c>
      <c r="D67" s="74" t="s">
        <v>5003</v>
      </c>
      <c r="E67" s="74"/>
      <c r="F67" s="74">
        <v>19.12</v>
      </c>
      <c r="G67" s="74"/>
      <c r="H67" s="74"/>
      <c r="I67" s="74" t="s">
        <v>391</v>
      </c>
      <c r="J67" s="74"/>
      <c r="K67" s="74">
        <v>102.4</v>
      </c>
      <c r="L67" s="74">
        <v>92.16</v>
      </c>
      <c r="M67" s="74"/>
      <c r="N67" s="74" t="s">
        <v>392</v>
      </c>
      <c r="O67" s="74" t="s">
        <v>402</v>
      </c>
      <c r="P67" s="74" t="s">
        <v>5004</v>
      </c>
      <c r="Q67" s="74" t="s">
        <v>5005</v>
      </c>
    </row>
    <row r="68" spans="3:17" x14ac:dyDescent="0.25">
      <c r="C68" s="74" t="s">
        <v>4069</v>
      </c>
      <c r="D68" s="74" t="s">
        <v>4070</v>
      </c>
      <c r="E68" s="74"/>
      <c r="F68" s="74">
        <v>19.09</v>
      </c>
      <c r="G68" s="74"/>
      <c r="H68" s="74"/>
      <c r="I68" s="74" t="s">
        <v>391</v>
      </c>
      <c r="J68" s="74"/>
      <c r="K68" s="74">
        <v>102.4</v>
      </c>
      <c r="L68" s="74">
        <v>92.16</v>
      </c>
      <c r="M68" s="74"/>
      <c r="N68" s="74" t="s">
        <v>392</v>
      </c>
      <c r="O68" s="74" t="s">
        <v>402</v>
      </c>
      <c r="P68" s="74" t="s">
        <v>4071</v>
      </c>
      <c r="Q68" s="74" t="s">
        <v>4072</v>
      </c>
    </row>
    <row r="69" spans="3:17" x14ac:dyDescent="0.25">
      <c r="C69" s="74" t="s">
        <v>1449</v>
      </c>
      <c r="D69" s="74" t="s">
        <v>1450</v>
      </c>
      <c r="E69" s="74"/>
      <c r="F69" s="74">
        <v>19.079999999999998</v>
      </c>
      <c r="G69" s="74"/>
      <c r="H69" s="74"/>
      <c r="I69" s="74" t="s">
        <v>391</v>
      </c>
      <c r="J69" s="74"/>
      <c r="K69" s="74">
        <v>102.4</v>
      </c>
      <c r="L69" s="74">
        <v>92.16</v>
      </c>
      <c r="M69" s="74"/>
      <c r="N69" s="74" t="s">
        <v>392</v>
      </c>
      <c r="O69" s="74" t="s">
        <v>402</v>
      </c>
      <c r="P69" s="74" t="s">
        <v>1451</v>
      </c>
      <c r="Q69" s="74" t="s">
        <v>1452</v>
      </c>
    </row>
    <row r="70" spans="3:17" x14ac:dyDescent="0.25">
      <c r="C70" s="74" t="s">
        <v>1169</v>
      </c>
      <c r="D70" s="74" t="s">
        <v>1170</v>
      </c>
      <c r="E70" s="74"/>
      <c r="F70" s="74">
        <v>19.07</v>
      </c>
      <c r="G70" s="74"/>
      <c r="H70" s="74"/>
      <c r="I70" s="74" t="s">
        <v>391</v>
      </c>
      <c r="J70" s="74"/>
      <c r="K70" s="74">
        <v>102.4</v>
      </c>
      <c r="L70" s="74">
        <v>92.16</v>
      </c>
      <c r="M70" s="74"/>
      <c r="N70" s="74" t="s">
        <v>392</v>
      </c>
      <c r="O70" s="74" t="s">
        <v>402</v>
      </c>
      <c r="P70" s="74" t="s">
        <v>1171</v>
      </c>
      <c r="Q70" s="74" t="s">
        <v>1172</v>
      </c>
    </row>
    <row r="71" spans="3:17" x14ac:dyDescent="0.25">
      <c r="C71" s="74" t="s">
        <v>20896</v>
      </c>
      <c r="D71" s="74" t="s">
        <v>20897</v>
      </c>
      <c r="E71" s="74"/>
      <c r="F71" s="74">
        <v>19.03</v>
      </c>
      <c r="G71" s="74"/>
      <c r="H71" s="74"/>
      <c r="I71" s="74" t="s">
        <v>391</v>
      </c>
      <c r="J71" s="74"/>
      <c r="K71" s="74">
        <v>102.4</v>
      </c>
      <c r="L71" s="74">
        <v>92.16</v>
      </c>
      <c r="M71" s="74"/>
      <c r="N71" s="74" t="s">
        <v>392</v>
      </c>
      <c r="O71" s="74" t="s">
        <v>402</v>
      </c>
      <c r="P71" s="74" t="s">
        <v>20898</v>
      </c>
      <c r="Q71" s="74" t="s">
        <v>20899</v>
      </c>
    </row>
    <row r="72" spans="3:17" x14ac:dyDescent="0.25">
      <c r="C72" s="74" t="s">
        <v>13511</v>
      </c>
      <c r="D72" s="74" t="s">
        <v>13512</v>
      </c>
      <c r="E72" s="74"/>
      <c r="F72" s="74">
        <v>19.010000000000002</v>
      </c>
      <c r="G72" s="74"/>
      <c r="H72" s="74"/>
      <c r="I72" s="74" t="s">
        <v>391</v>
      </c>
      <c r="J72" s="74"/>
      <c r="K72" s="74">
        <v>102.4</v>
      </c>
      <c r="L72" s="74">
        <v>92.16</v>
      </c>
      <c r="M72" s="74"/>
      <c r="N72" s="74" t="s">
        <v>392</v>
      </c>
      <c r="O72" s="74" t="s">
        <v>402</v>
      </c>
      <c r="P72" s="74" t="s">
        <v>13513</v>
      </c>
      <c r="Q72" s="74" t="s">
        <v>13514</v>
      </c>
    </row>
    <row r="73" spans="3:17" x14ac:dyDescent="0.25">
      <c r="C73" s="74" t="s">
        <v>3831</v>
      </c>
      <c r="D73" s="74" t="s">
        <v>3832</v>
      </c>
      <c r="E73" s="74" t="s">
        <v>391</v>
      </c>
      <c r="F73" s="74">
        <v>18.84</v>
      </c>
      <c r="G73" s="74"/>
      <c r="H73" s="74"/>
      <c r="I73" s="74" t="s">
        <v>391</v>
      </c>
      <c r="J73" s="74"/>
      <c r="K73" s="74">
        <v>102.4</v>
      </c>
      <c r="L73" s="74">
        <v>92.16</v>
      </c>
      <c r="M73" s="74"/>
      <c r="N73" s="74" t="s">
        <v>392</v>
      </c>
      <c r="O73" s="74" t="s">
        <v>393</v>
      </c>
      <c r="P73" s="74" t="s">
        <v>3833</v>
      </c>
      <c r="Q73" s="74" t="s">
        <v>3834</v>
      </c>
    </row>
    <row r="74" spans="3:17" x14ac:dyDescent="0.25">
      <c r="C74" s="74" t="s">
        <v>13030</v>
      </c>
      <c r="D74" s="74" t="s">
        <v>13031</v>
      </c>
      <c r="E74" s="74"/>
      <c r="F74" s="74">
        <v>18.829999999999998</v>
      </c>
      <c r="G74" s="74"/>
      <c r="H74" s="74"/>
      <c r="I74" s="74" t="s">
        <v>391</v>
      </c>
      <c r="J74" s="74"/>
      <c r="K74" s="74">
        <v>102.4</v>
      </c>
      <c r="L74" s="74">
        <v>92.16</v>
      </c>
      <c r="M74" s="74"/>
      <c r="N74" s="74" t="s">
        <v>392</v>
      </c>
      <c r="O74" s="74" t="s">
        <v>402</v>
      </c>
      <c r="P74" s="74" t="s">
        <v>13032</v>
      </c>
      <c r="Q74" s="74" t="s">
        <v>13033</v>
      </c>
    </row>
    <row r="75" spans="3:17" x14ac:dyDescent="0.25">
      <c r="C75" s="74" t="s">
        <v>11223</v>
      </c>
      <c r="D75" s="74" t="s">
        <v>11224</v>
      </c>
      <c r="E75" s="74"/>
      <c r="F75" s="74">
        <v>18.8</v>
      </c>
      <c r="G75" s="74"/>
      <c r="H75" s="74"/>
      <c r="I75" s="74" t="s">
        <v>391</v>
      </c>
      <c r="J75" s="74"/>
      <c r="K75" s="74">
        <v>102.4</v>
      </c>
      <c r="L75" s="74">
        <v>92.16</v>
      </c>
      <c r="M75" s="74"/>
      <c r="N75" s="74" t="s">
        <v>392</v>
      </c>
      <c r="O75" s="74" t="s">
        <v>402</v>
      </c>
      <c r="P75" s="74" t="s">
        <v>11225</v>
      </c>
      <c r="Q75" s="74" t="s">
        <v>11226</v>
      </c>
    </row>
    <row r="76" spans="3:17" x14ac:dyDescent="0.25">
      <c r="C76" s="74" t="s">
        <v>16163</v>
      </c>
      <c r="D76" s="74" t="s">
        <v>16164</v>
      </c>
      <c r="E76" s="74"/>
      <c r="F76" s="74">
        <v>18.79</v>
      </c>
      <c r="G76" s="74"/>
      <c r="H76" s="74"/>
      <c r="I76" s="74" t="s">
        <v>391</v>
      </c>
      <c r="J76" s="74"/>
      <c r="K76" s="74">
        <v>102.4</v>
      </c>
      <c r="L76" s="74">
        <v>92.16</v>
      </c>
      <c r="M76" s="74"/>
      <c r="N76" s="74" t="s">
        <v>392</v>
      </c>
      <c r="O76" s="74" t="s">
        <v>402</v>
      </c>
      <c r="P76" s="74" t="s">
        <v>16165</v>
      </c>
      <c r="Q76" s="74" t="s">
        <v>16166</v>
      </c>
    </row>
    <row r="77" spans="3:17" x14ac:dyDescent="0.25">
      <c r="C77" s="74" t="s">
        <v>16494</v>
      </c>
      <c r="D77" s="74" t="s">
        <v>16495</v>
      </c>
      <c r="E77" s="74"/>
      <c r="F77" s="74">
        <v>18.79</v>
      </c>
      <c r="G77" s="74"/>
      <c r="H77" s="74"/>
      <c r="I77" s="74" t="s">
        <v>391</v>
      </c>
      <c r="J77" s="74"/>
      <c r="K77" s="74">
        <v>102.4</v>
      </c>
      <c r="L77" s="74">
        <v>92.16</v>
      </c>
      <c r="M77" s="74"/>
      <c r="N77" s="74" t="s">
        <v>392</v>
      </c>
      <c r="O77" s="74" t="s">
        <v>402</v>
      </c>
      <c r="P77" s="74" t="s">
        <v>16496</v>
      </c>
      <c r="Q77" s="74" t="s">
        <v>16497</v>
      </c>
    </row>
    <row r="78" spans="3:17" x14ac:dyDescent="0.25">
      <c r="C78" s="74" t="s">
        <v>12093</v>
      </c>
      <c r="D78" s="74" t="s">
        <v>12094</v>
      </c>
      <c r="E78" s="74"/>
      <c r="F78" s="74">
        <v>18.690000000000001</v>
      </c>
      <c r="G78" s="74"/>
      <c r="H78" s="74"/>
      <c r="I78" s="74" t="s">
        <v>391</v>
      </c>
      <c r="J78" s="74"/>
      <c r="K78" s="74">
        <v>102.4</v>
      </c>
      <c r="L78" s="74">
        <v>92.16</v>
      </c>
      <c r="M78" s="74"/>
      <c r="N78" s="74" t="s">
        <v>392</v>
      </c>
      <c r="O78" s="74" t="s">
        <v>402</v>
      </c>
      <c r="P78" s="74" t="s">
        <v>12095</v>
      </c>
      <c r="Q78" s="74" t="s">
        <v>12096</v>
      </c>
    </row>
    <row r="79" spans="3:17" x14ac:dyDescent="0.25">
      <c r="C79" s="74" t="s">
        <v>5017</v>
      </c>
      <c r="D79" s="74" t="s">
        <v>5018</v>
      </c>
      <c r="E79" s="74"/>
      <c r="F79" s="74">
        <v>18.62</v>
      </c>
      <c r="G79" s="74"/>
      <c r="H79" s="74"/>
      <c r="I79" s="74" t="s">
        <v>391</v>
      </c>
      <c r="J79" s="74"/>
      <c r="K79" s="74">
        <v>102.4</v>
      </c>
      <c r="L79" s="74">
        <v>92.16</v>
      </c>
      <c r="M79" s="74"/>
      <c r="N79" s="74" t="s">
        <v>392</v>
      </c>
      <c r="O79" s="74" t="s">
        <v>402</v>
      </c>
      <c r="P79" s="74" t="s">
        <v>5019</v>
      </c>
      <c r="Q79" s="74" t="s">
        <v>5020</v>
      </c>
    </row>
    <row r="80" spans="3:17" x14ac:dyDescent="0.25">
      <c r="C80" s="74" t="s">
        <v>16144</v>
      </c>
      <c r="D80" s="74" t="s">
        <v>16145</v>
      </c>
      <c r="E80" s="74"/>
      <c r="F80" s="74">
        <v>18.41</v>
      </c>
      <c r="G80" s="74"/>
      <c r="H80" s="74"/>
      <c r="I80" s="74" t="s">
        <v>391</v>
      </c>
      <c r="J80" s="74"/>
      <c r="K80" s="74">
        <v>102.4</v>
      </c>
      <c r="L80" s="74">
        <v>92.16</v>
      </c>
      <c r="M80" s="74"/>
      <c r="N80" s="74" t="s">
        <v>392</v>
      </c>
      <c r="O80" s="74" t="s">
        <v>402</v>
      </c>
      <c r="P80" s="74" t="s">
        <v>16146</v>
      </c>
      <c r="Q80" s="74" t="s">
        <v>16147</v>
      </c>
    </row>
    <row r="81" spans="3:17" x14ac:dyDescent="0.25">
      <c r="C81" s="74" t="s">
        <v>16673</v>
      </c>
      <c r="D81" s="74" t="s">
        <v>16674</v>
      </c>
      <c r="E81" s="74"/>
      <c r="F81" s="74">
        <v>18.41</v>
      </c>
      <c r="G81" s="74"/>
      <c r="H81" s="74"/>
      <c r="I81" s="74" t="s">
        <v>391</v>
      </c>
      <c r="J81" s="74"/>
      <c r="K81" s="74">
        <v>102.4</v>
      </c>
      <c r="L81" s="74">
        <v>92.16</v>
      </c>
      <c r="M81" s="74"/>
      <c r="N81" s="74" t="s">
        <v>392</v>
      </c>
      <c r="O81" s="74" t="s">
        <v>402</v>
      </c>
      <c r="P81" s="74" t="s">
        <v>16675</v>
      </c>
      <c r="Q81" s="74" t="s">
        <v>16676</v>
      </c>
    </row>
    <row r="82" spans="3:17" x14ac:dyDescent="0.25">
      <c r="C82" s="74" t="s">
        <v>8983</v>
      </c>
      <c r="D82" s="74" t="s">
        <v>8984</v>
      </c>
      <c r="E82" s="74"/>
      <c r="F82" s="74">
        <v>18.38</v>
      </c>
      <c r="G82" s="74"/>
      <c r="H82" s="74"/>
      <c r="I82" s="74" t="s">
        <v>391</v>
      </c>
      <c r="J82" s="74"/>
      <c r="K82" s="74">
        <v>102.4</v>
      </c>
      <c r="L82" s="74">
        <v>92.16</v>
      </c>
      <c r="M82" s="74"/>
      <c r="N82" s="74" t="s">
        <v>392</v>
      </c>
      <c r="O82" s="74" t="s">
        <v>402</v>
      </c>
      <c r="P82" s="74" t="s">
        <v>8985</v>
      </c>
      <c r="Q82" s="74" t="s">
        <v>8986</v>
      </c>
    </row>
    <row r="83" spans="3:17" x14ac:dyDescent="0.25">
      <c r="C83" s="74" t="s">
        <v>20057</v>
      </c>
      <c r="D83" s="74" t="s">
        <v>20058</v>
      </c>
      <c r="E83" s="74"/>
      <c r="F83" s="74">
        <v>18.32</v>
      </c>
      <c r="G83" s="74"/>
      <c r="H83" s="74"/>
      <c r="I83" s="74" t="s">
        <v>391</v>
      </c>
      <c r="J83" s="74"/>
      <c r="K83" s="74">
        <v>102.4</v>
      </c>
      <c r="L83" s="74">
        <v>92.16</v>
      </c>
      <c r="M83" s="74"/>
      <c r="N83" s="74" t="s">
        <v>392</v>
      </c>
      <c r="O83" s="74" t="s">
        <v>402</v>
      </c>
      <c r="P83" s="74" t="s">
        <v>20059</v>
      </c>
      <c r="Q83" s="74" t="s">
        <v>20060</v>
      </c>
    </row>
    <row r="84" spans="3:17" x14ac:dyDescent="0.25">
      <c r="C84" s="74" t="s">
        <v>19857</v>
      </c>
      <c r="D84" s="74" t="s">
        <v>19858</v>
      </c>
      <c r="E84" s="74"/>
      <c r="F84" s="74">
        <v>18.28</v>
      </c>
      <c r="G84" s="74"/>
      <c r="H84" s="74"/>
      <c r="I84" s="74" t="s">
        <v>391</v>
      </c>
      <c r="J84" s="74"/>
      <c r="K84" s="74">
        <v>102.4</v>
      </c>
      <c r="L84" s="74">
        <v>92.16</v>
      </c>
      <c r="M84" s="74"/>
      <c r="N84" s="74" t="s">
        <v>392</v>
      </c>
      <c r="O84" s="74" t="s">
        <v>402</v>
      </c>
      <c r="P84" s="74" t="s">
        <v>19859</v>
      </c>
      <c r="Q84" s="74" t="s">
        <v>19860</v>
      </c>
    </row>
    <row r="85" spans="3:17" x14ac:dyDescent="0.25">
      <c r="C85" s="74" t="s">
        <v>8864</v>
      </c>
      <c r="D85" s="74" t="s">
        <v>8865</v>
      </c>
      <c r="E85" s="74"/>
      <c r="F85" s="74">
        <v>18.190000000000001</v>
      </c>
      <c r="G85" s="74"/>
      <c r="H85" s="74"/>
      <c r="I85" s="74" t="s">
        <v>391</v>
      </c>
      <c r="J85" s="74"/>
      <c r="K85" s="74">
        <v>102.4</v>
      </c>
      <c r="L85" s="74">
        <v>92.16</v>
      </c>
      <c r="M85" s="74"/>
      <c r="N85" s="74" t="s">
        <v>392</v>
      </c>
      <c r="O85" s="74" t="s">
        <v>402</v>
      </c>
      <c r="P85" s="74" t="s">
        <v>8866</v>
      </c>
      <c r="Q85" s="74" t="s">
        <v>8867</v>
      </c>
    </row>
    <row r="86" spans="3:17" x14ac:dyDescent="0.25">
      <c r="C86" s="74" t="s">
        <v>5331</v>
      </c>
      <c r="D86" s="74" t="s">
        <v>5332</v>
      </c>
      <c r="E86" s="74"/>
      <c r="F86" s="74">
        <v>18.16</v>
      </c>
      <c r="G86" s="74"/>
      <c r="H86" s="74"/>
      <c r="I86" s="74" t="s">
        <v>391</v>
      </c>
      <c r="J86" s="74"/>
      <c r="K86" s="74">
        <v>102.4</v>
      </c>
      <c r="L86" s="74">
        <v>92.16</v>
      </c>
      <c r="M86" s="74"/>
      <c r="N86" s="74" t="s">
        <v>392</v>
      </c>
      <c r="O86" s="74" t="s">
        <v>402</v>
      </c>
      <c r="P86" s="74" t="s">
        <v>5333</v>
      </c>
      <c r="Q86" s="74" t="s">
        <v>5334</v>
      </c>
    </row>
    <row r="87" spans="3:17" x14ac:dyDescent="0.25">
      <c r="C87" s="74" t="s">
        <v>5070</v>
      </c>
      <c r="D87" s="74" t="s">
        <v>5071</v>
      </c>
      <c r="E87" s="74"/>
      <c r="F87" s="74">
        <v>17.98</v>
      </c>
      <c r="G87" s="74"/>
      <c r="H87" s="74"/>
      <c r="I87" s="74" t="s">
        <v>391</v>
      </c>
      <c r="J87" s="74"/>
      <c r="K87" s="74">
        <v>102.4</v>
      </c>
      <c r="L87" s="74">
        <v>92.16</v>
      </c>
      <c r="M87" s="74"/>
      <c r="N87" s="74" t="s">
        <v>392</v>
      </c>
      <c r="O87" s="74" t="s">
        <v>402</v>
      </c>
      <c r="P87" s="74" t="s">
        <v>5072</v>
      </c>
      <c r="Q87" s="74" t="s">
        <v>5073</v>
      </c>
    </row>
    <row r="88" spans="3:17" x14ac:dyDescent="0.25">
      <c r="C88" s="74" t="s">
        <v>16857</v>
      </c>
      <c r="D88" s="74" t="s">
        <v>16858</v>
      </c>
      <c r="E88" s="74"/>
      <c r="F88" s="74">
        <v>17.98</v>
      </c>
      <c r="G88" s="74"/>
      <c r="H88" s="74"/>
      <c r="I88" s="74" t="s">
        <v>391</v>
      </c>
      <c r="J88" s="74"/>
      <c r="K88" s="74">
        <v>102.4</v>
      </c>
      <c r="L88" s="74">
        <v>92.16</v>
      </c>
      <c r="M88" s="74"/>
      <c r="N88" s="74" t="s">
        <v>392</v>
      </c>
      <c r="O88" s="74" t="s">
        <v>402</v>
      </c>
      <c r="P88" s="74" t="s">
        <v>16859</v>
      </c>
      <c r="Q88" s="74" t="s">
        <v>16860</v>
      </c>
    </row>
    <row r="89" spans="3:17" x14ac:dyDescent="0.25">
      <c r="C89" s="74" t="s">
        <v>6733</v>
      </c>
      <c r="D89" s="74" t="s">
        <v>6734</v>
      </c>
      <c r="E89" s="74"/>
      <c r="F89" s="74">
        <v>17.87</v>
      </c>
      <c r="G89" s="74"/>
      <c r="H89" s="74"/>
      <c r="I89" s="74" t="s">
        <v>391</v>
      </c>
      <c r="J89" s="74"/>
      <c r="K89" s="74">
        <v>102.4</v>
      </c>
      <c r="L89" s="74">
        <v>92.16</v>
      </c>
      <c r="M89" s="74"/>
      <c r="N89" s="74" t="s">
        <v>392</v>
      </c>
      <c r="O89" s="74" t="s">
        <v>402</v>
      </c>
      <c r="P89" s="74" t="s">
        <v>6735</v>
      </c>
      <c r="Q89" s="74" t="s">
        <v>6736</v>
      </c>
    </row>
    <row r="90" spans="3:17" x14ac:dyDescent="0.25">
      <c r="C90" s="74" t="s">
        <v>17399</v>
      </c>
      <c r="D90" s="74" t="s">
        <v>17400</v>
      </c>
      <c r="E90" s="74"/>
      <c r="F90" s="74">
        <v>17.829999999999998</v>
      </c>
      <c r="G90" s="74"/>
      <c r="H90" s="74"/>
      <c r="I90" s="74" t="s">
        <v>391</v>
      </c>
      <c r="J90" s="74"/>
      <c r="K90" s="74">
        <v>102.4</v>
      </c>
      <c r="L90" s="74">
        <v>92.16</v>
      </c>
      <c r="M90" s="74"/>
      <c r="N90" s="74" t="s">
        <v>392</v>
      </c>
      <c r="O90" s="74" t="s">
        <v>402</v>
      </c>
      <c r="P90" s="74" t="s">
        <v>17401</v>
      </c>
      <c r="Q90" s="74" t="s">
        <v>17402</v>
      </c>
    </row>
    <row r="91" spans="3:17" x14ac:dyDescent="0.25">
      <c r="C91" s="74" t="s">
        <v>19978</v>
      </c>
      <c r="D91" s="74" t="s">
        <v>19979</v>
      </c>
      <c r="E91" s="74"/>
      <c r="F91" s="74">
        <v>17.7</v>
      </c>
      <c r="G91" s="74"/>
      <c r="H91" s="74"/>
      <c r="I91" s="74" t="s">
        <v>391</v>
      </c>
      <c r="J91" s="74"/>
      <c r="K91" s="74">
        <v>102.4</v>
      </c>
      <c r="L91" s="74">
        <v>92.16</v>
      </c>
      <c r="M91" s="74"/>
      <c r="N91" s="74" t="s">
        <v>392</v>
      </c>
      <c r="O91" s="74" t="s">
        <v>402</v>
      </c>
      <c r="P91" s="74" t="s">
        <v>19980</v>
      </c>
      <c r="Q91" s="74" t="s">
        <v>19981</v>
      </c>
    </row>
    <row r="92" spans="3:17" x14ac:dyDescent="0.25">
      <c r="C92" s="74" t="s">
        <v>7702</v>
      </c>
      <c r="D92" s="74" t="s">
        <v>7703</v>
      </c>
      <c r="E92" s="74"/>
      <c r="F92" s="74">
        <v>17.559999999999999</v>
      </c>
      <c r="G92" s="74"/>
      <c r="H92" s="74"/>
      <c r="I92" s="74" t="s">
        <v>391</v>
      </c>
      <c r="J92" s="74"/>
      <c r="K92" s="74">
        <v>102.4</v>
      </c>
      <c r="L92" s="74">
        <v>92.16</v>
      </c>
      <c r="M92" s="74"/>
      <c r="N92" s="74" t="s">
        <v>392</v>
      </c>
      <c r="O92" s="74" t="s">
        <v>402</v>
      </c>
      <c r="P92" s="74" t="s">
        <v>7704</v>
      </c>
      <c r="Q92" s="74" t="s">
        <v>7705</v>
      </c>
    </row>
    <row r="93" spans="3:17" x14ac:dyDescent="0.25">
      <c r="C93" s="74" t="s">
        <v>12080</v>
      </c>
      <c r="D93" s="74" t="s">
        <v>12081</v>
      </c>
      <c r="E93" s="74"/>
      <c r="F93" s="74">
        <v>17.559999999999999</v>
      </c>
      <c r="G93" s="74"/>
      <c r="H93" s="74"/>
      <c r="I93" s="74" t="s">
        <v>391</v>
      </c>
      <c r="J93" s="74"/>
      <c r="K93" s="74">
        <v>102.4</v>
      </c>
      <c r="L93" s="74">
        <v>92.16</v>
      </c>
      <c r="M93" s="74"/>
      <c r="N93" s="74" t="s">
        <v>392</v>
      </c>
      <c r="O93" s="74" t="s">
        <v>402</v>
      </c>
      <c r="P93" s="74" t="s">
        <v>12082</v>
      </c>
      <c r="Q93" s="74" t="s">
        <v>12083</v>
      </c>
    </row>
    <row r="94" spans="3:17" x14ac:dyDescent="0.25">
      <c r="C94" s="74" t="s">
        <v>4448</v>
      </c>
      <c r="D94" s="74" t="s">
        <v>4449</v>
      </c>
      <c r="E94" s="74"/>
      <c r="F94" s="74">
        <v>17.47</v>
      </c>
      <c r="G94" s="74"/>
      <c r="H94" s="74"/>
      <c r="I94" s="74" t="s">
        <v>391</v>
      </c>
      <c r="J94" s="74"/>
      <c r="K94" s="74">
        <v>102.4</v>
      </c>
      <c r="L94" s="74">
        <v>92.16</v>
      </c>
      <c r="M94" s="74"/>
      <c r="N94" s="74" t="s">
        <v>392</v>
      </c>
      <c r="O94" s="74" t="s">
        <v>402</v>
      </c>
      <c r="P94" s="74" t="s">
        <v>4450</v>
      </c>
      <c r="Q94" s="74" t="s">
        <v>4451</v>
      </c>
    </row>
    <row r="95" spans="3:17" x14ac:dyDescent="0.25">
      <c r="C95" s="74" t="s">
        <v>14279</v>
      </c>
      <c r="D95" s="74" t="s">
        <v>14280</v>
      </c>
      <c r="E95" s="74"/>
      <c r="F95" s="74">
        <v>17.420000000000002</v>
      </c>
      <c r="G95" s="74"/>
      <c r="H95" s="74"/>
      <c r="I95" s="74" t="s">
        <v>391</v>
      </c>
      <c r="J95" s="74"/>
      <c r="K95" s="74">
        <v>102.4</v>
      </c>
      <c r="L95" s="74">
        <v>92.16</v>
      </c>
      <c r="M95" s="74"/>
      <c r="N95" s="74" t="s">
        <v>392</v>
      </c>
      <c r="O95" s="74" t="s">
        <v>402</v>
      </c>
      <c r="P95" s="74" t="s">
        <v>14281</v>
      </c>
      <c r="Q95" s="74" t="s">
        <v>14282</v>
      </c>
    </row>
    <row r="96" spans="3:17" x14ac:dyDescent="0.25">
      <c r="C96" s="74" t="s">
        <v>11138</v>
      </c>
      <c r="D96" s="74" t="s">
        <v>11139</v>
      </c>
      <c r="E96" s="74"/>
      <c r="F96" s="74">
        <v>17.3</v>
      </c>
      <c r="G96" s="74"/>
      <c r="H96" s="74"/>
      <c r="I96" s="74" t="s">
        <v>391</v>
      </c>
      <c r="J96" s="74"/>
      <c r="K96" s="74">
        <v>102.4</v>
      </c>
      <c r="L96" s="74">
        <v>92.16</v>
      </c>
      <c r="M96" s="74"/>
      <c r="N96" s="74" t="s">
        <v>392</v>
      </c>
      <c r="O96" s="74" t="s">
        <v>402</v>
      </c>
      <c r="P96" s="74" t="s">
        <v>11140</v>
      </c>
      <c r="Q96" s="74" t="s">
        <v>11141</v>
      </c>
    </row>
    <row r="97" spans="3:17" x14ac:dyDescent="0.25">
      <c r="C97" s="74" t="s">
        <v>9436</v>
      </c>
      <c r="D97" s="74" t="s">
        <v>9437</v>
      </c>
      <c r="E97" s="74"/>
      <c r="F97" s="74">
        <v>17.23</v>
      </c>
      <c r="G97" s="74"/>
      <c r="H97" s="74"/>
      <c r="I97" s="74" t="s">
        <v>391</v>
      </c>
      <c r="J97" s="74"/>
      <c r="K97" s="74">
        <v>102.4</v>
      </c>
      <c r="L97" s="74">
        <v>92.16</v>
      </c>
      <c r="M97" s="74"/>
      <c r="N97" s="74" t="s">
        <v>392</v>
      </c>
      <c r="O97" s="74" t="s">
        <v>402</v>
      </c>
      <c r="P97" s="74" t="s">
        <v>9438</v>
      </c>
      <c r="Q97" s="74" t="s">
        <v>9439</v>
      </c>
    </row>
    <row r="98" spans="3:17" x14ac:dyDescent="0.25">
      <c r="C98" s="74" t="s">
        <v>18051</v>
      </c>
      <c r="D98" s="74" t="s">
        <v>18052</v>
      </c>
      <c r="E98" s="74"/>
      <c r="F98" s="74">
        <v>17.149999999999999</v>
      </c>
      <c r="G98" s="74"/>
      <c r="H98" s="74"/>
      <c r="I98" s="74" t="s">
        <v>391</v>
      </c>
      <c r="J98" s="74"/>
      <c r="K98" s="74">
        <v>102.4</v>
      </c>
      <c r="L98" s="74">
        <v>92.16</v>
      </c>
      <c r="M98" s="74"/>
      <c r="N98" s="74" t="s">
        <v>392</v>
      </c>
      <c r="O98" s="74" t="s">
        <v>402</v>
      </c>
      <c r="P98" s="74" t="s">
        <v>5640</v>
      </c>
      <c r="Q98" s="74" t="s">
        <v>18053</v>
      </c>
    </row>
    <row r="99" spans="3:17" x14ac:dyDescent="0.25">
      <c r="C99" s="74" t="s">
        <v>8176</v>
      </c>
      <c r="D99" s="74" t="s">
        <v>8177</v>
      </c>
      <c r="E99" s="74"/>
      <c r="F99" s="74">
        <v>17</v>
      </c>
      <c r="G99" s="74"/>
      <c r="H99" s="74"/>
      <c r="I99" s="74" t="s">
        <v>391</v>
      </c>
      <c r="J99" s="74"/>
      <c r="K99" s="74">
        <v>102.4</v>
      </c>
      <c r="L99" s="74">
        <v>92.16</v>
      </c>
      <c r="M99" s="74"/>
      <c r="N99" s="74" t="s">
        <v>392</v>
      </c>
      <c r="O99" s="74" t="s">
        <v>402</v>
      </c>
      <c r="P99" s="74" t="s">
        <v>8178</v>
      </c>
      <c r="Q99" s="74" t="s">
        <v>8179</v>
      </c>
    </row>
    <row r="100" spans="3:17" x14ac:dyDescent="0.25">
      <c r="C100" s="74" t="s">
        <v>17235</v>
      </c>
      <c r="D100" s="74" t="s">
        <v>17236</v>
      </c>
      <c r="E100" s="74"/>
      <c r="F100" s="74">
        <v>17</v>
      </c>
      <c r="G100" s="74"/>
      <c r="H100" s="74"/>
      <c r="I100" s="74" t="s">
        <v>391</v>
      </c>
      <c r="J100" s="74"/>
      <c r="K100" s="74">
        <v>102.4</v>
      </c>
      <c r="L100" s="74">
        <v>92.16</v>
      </c>
      <c r="M100" s="74"/>
      <c r="N100" s="74" t="s">
        <v>392</v>
      </c>
      <c r="O100" s="74" t="s">
        <v>402</v>
      </c>
      <c r="P100" s="74" t="s">
        <v>17237</v>
      </c>
      <c r="Q100" s="74" t="s">
        <v>17238</v>
      </c>
    </row>
    <row r="101" spans="3:17" x14ac:dyDescent="0.25">
      <c r="C101" s="74" t="s">
        <v>18086</v>
      </c>
      <c r="D101" s="74" t="s">
        <v>18087</v>
      </c>
      <c r="E101" s="74"/>
      <c r="F101" s="74">
        <v>16.77</v>
      </c>
      <c r="G101" s="74"/>
      <c r="H101" s="74"/>
      <c r="I101" s="74" t="s">
        <v>391</v>
      </c>
      <c r="J101" s="74"/>
      <c r="K101" s="74">
        <v>102.4</v>
      </c>
      <c r="L101" s="74">
        <v>92.16</v>
      </c>
      <c r="M101" s="74"/>
      <c r="N101" s="74" t="s">
        <v>392</v>
      </c>
      <c r="O101" s="74" t="s">
        <v>402</v>
      </c>
      <c r="P101" s="74" t="s">
        <v>18088</v>
      </c>
      <c r="Q101" s="74" t="s">
        <v>18089</v>
      </c>
    </row>
    <row r="102" spans="3:17" x14ac:dyDescent="0.25">
      <c r="C102" s="74" t="s">
        <v>7866</v>
      </c>
      <c r="D102" s="74" t="s">
        <v>7867</v>
      </c>
      <c r="E102" s="74"/>
      <c r="F102" s="74">
        <v>16.66</v>
      </c>
      <c r="G102" s="74"/>
      <c r="H102" s="74"/>
      <c r="I102" s="74" t="s">
        <v>391</v>
      </c>
      <c r="J102" s="74"/>
      <c r="K102" s="74">
        <v>102.4</v>
      </c>
      <c r="L102" s="74">
        <v>92.16</v>
      </c>
      <c r="M102" s="74"/>
      <c r="N102" s="74" t="s">
        <v>392</v>
      </c>
      <c r="O102" s="74" t="s">
        <v>402</v>
      </c>
      <c r="P102" s="74" t="s">
        <v>7868</v>
      </c>
      <c r="Q102" s="74" t="s">
        <v>7869</v>
      </c>
    </row>
    <row r="103" spans="3:17" x14ac:dyDescent="0.25">
      <c r="C103" s="74" t="s">
        <v>11187</v>
      </c>
      <c r="D103" s="74" t="s">
        <v>11188</v>
      </c>
      <c r="E103" s="74"/>
      <c r="F103" s="74">
        <v>16.62</v>
      </c>
      <c r="G103" s="74"/>
      <c r="H103" s="74"/>
      <c r="I103" s="74" t="s">
        <v>391</v>
      </c>
      <c r="J103" s="74"/>
      <c r="K103" s="74">
        <v>102.4</v>
      </c>
      <c r="L103" s="74">
        <v>92.16</v>
      </c>
      <c r="M103" s="74"/>
      <c r="N103" s="74" t="s">
        <v>392</v>
      </c>
      <c r="O103" s="74" t="s">
        <v>402</v>
      </c>
      <c r="P103" s="74" t="s">
        <v>11189</v>
      </c>
      <c r="Q103" s="74" t="s">
        <v>11190</v>
      </c>
    </row>
    <row r="104" spans="3:17" x14ac:dyDescent="0.25">
      <c r="C104" s="74" t="s">
        <v>16170</v>
      </c>
      <c r="D104" s="74" t="s">
        <v>16171</v>
      </c>
      <c r="E104" s="74"/>
      <c r="F104" s="74">
        <v>16.62</v>
      </c>
      <c r="G104" s="74"/>
      <c r="H104" s="74"/>
      <c r="I104" s="74" t="s">
        <v>391</v>
      </c>
      <c r="J104" s="74"/>
      <c r="K104" s="74">
        <v>102.4</v>
      </c>
      <c r="L104" s="74">
        <v>92.16</v>
      </c>
      <c r="M104" s="74"/>
      <c r="N104" s="74" t="s">
        <v>392</v>
      </c>
      <c r="O104" s="74" t="s">
        <v>402</v>
      </c>
      <c r="P104" s="74" t="s">
        <v>16172</v>
      </c>
      <c r="Q104" s="74" t="s">
        <v>16173</v>
      </c>
    </row>
    <row r="105" spans="3:17" x14ac:dyDescent="0.25">
      <c r="C105" s="74" t="s">
        <v>20209</v>
      </c>
      <c r="D105" s="74" t="s">
        <v>20210</v>
      </c>
      <c r="E105" s="74"/>
      <c r="F105" s="74">
        <v>16.579999999999998</v>
      </c>
      <c r="G105" s="74"/>
      <c r="H105" s="74"/>
      <c r="I105" s="74" t="s">
        <v>391</v>
      </c>
      <c r="J105" s="74"/>
      <c r="K105" s="74">
        <v>102.4</v>
      </c>
      <c r="L105" s="74">
        <v>92.16</v>
      </c>
      <c r="M105" s="74"/>
      <c r="N105" s="74" t="s">
        <v>392</v>
      </c>
      <c r="O105" s="74" t="s">
        <v>402</v>
      </c>
      <c r="P105" s="74" t="s">
        <v>20211</v>
      </c>
      <c r="Q105" s="74" t="s">
        <v>20212</v>
      </c>
    </row>
    <row r="106" spans="3:17" x14ac:dyDescent="0.25">
      <c r="C106" s="74" t="s">
        <v>20151</v>
      </c>
      <c r="D106" s="74" t="s">
        <v>20152</v>
      </c>
      <c r="E106" s="74"/>
      <c r="F106" s="74">
        <v>16.54</v>
      </c>
      <c r="G106" s="74"/>
      <c r="H106" s="74"/>
      <c r="I106" s="74" t="s">
        <v>391</v>
      </c>
      <c r="J106" s="74"/>
      <c r="K106" s="74">
        <v>102.4</v>
      </c>
      <c r="L106" s="74">
        <v>92.16</v>
      </c>
      <c r="M106" s="74"/>
      <c r="N106" s="74" t="s">
        <v>392</v>
      </c>
      <c r="O106" s="74" t="s">
        <v>402</v>
      </c>
      <c r="P106" s="74" t="s">
        <v>20153</v>
      </c>
      <c r="Q106" s="74" t="s">
        <v>20154</v>
      </c>
    </row>
    <row r="107" spans="3:17" x14ac:dyDescent="0.25">
      <c r="C107" s="74" t="s">
        <v>5031</v>
      </c>
      <c r="D107" s="74" t="s">
        <v>5032</v>
      </c>
      <c r="E107" s="74"/>
      <c r="F107" s="74">
        <v>16.34</v>
      </c>
      <c r="G107" s="74"/>
      <c r="H107" s="74"/>
      <c r="I107" s="74" t="s">
        <v>391</v>
      </c>
      <c r="J107" s="74"/>
      <c r="K107" s="74">
        <v>102.4</v>
      </c>
      <c r="L107" s="74">
        <v>92.16</v>
      </c>
      <c r="M107" s="74"/>
      <c r="N107" s="74" t="s">
        <v>392</v>
      </c>
      <c r="O107" s="74" t="s">
        <v>402</v>
      </c>
      <c r="P107" s="74" t="s">
        <v>5033</v>
      </c>
      <c r="Q107" s="74" t="s">
        <v>5034</v>
      </c>
    </row>
    <row r="108" spans="3:17" x14ac:dyDescent="0.25">
      <c r="C108" s="74" t="s">
        <v>6183</v>
      </c>
      <c r="D108" s="74" t="s">
        <v>6184</v>
      </c>
      <c r="E108" s="74"/>
      <c r="F108" s="74">
        <v>16.2</v>
      </c>
      <c r="G108" s="74"/>
      <c r="H108" s="74"/>
      <c r="I108" s="74" t="s">
        <v>391</v>
      </c>
      <c r="J108" s="74"/>
      <c r="K108" s="74">
        <v>102.4</v>
      </c>
      <c r="L108" s="74">
        <v>92.16</v>
      </c>
      <c r="M108" s="74"/>
      <c r="N108" s="74" t="s">
        <v>392</v>
      </c>
      <c r="O108" s="74" t="s">
        <v>402</v>
      </c>
      <c r="P108" s="74" t="s">
        <v>6185</v>
      </c>
      <c r="Q108" s="74" t="s">
        <v>6186</v>
      </c>
    </row>
    <row r="109" spans="3:17" x14ac:dyDescent="0.25">
      <c r="C109" s="74" t="s">
        <v>16346</v>
      </c>
      <c r="D109" s="74" t="s">
        <v>16347</v>
      </c>
      <c r="E109" s="74"/>
      <c r="F109" s="74">
        <v>16.010000000000002</v>
      </c>
      <c r="G109" s="74"/>
      <c r="H109" s="74"/>
      <c r="I109" s="74" t="s">
        <v>391</v>
      </c>
      <c r="J109" s="74"/>
      <c r="K109" s="74">
        <v>102.4</v>
      </c>
      <c r="L109" s="74">
        <v>92.16</v>
      </c>
      <c r="M109" s="74"/>
      <c r="N109" s="74" t="s">
        <v>392</v>
      </c>
      <c r="O109" s="74" t="s">
        <v>402</v>
      </c>
      <c r="P109" s="74" t="s">
        <v>16348</v>
      </c>
      <c r="Q109" s="74" t="s">
        <v>16349</v>
      </c>
    </row>
    <row r="110" spans="3:17" x14ac:dyDescent="0.25">
      <c r="C110" s="74" t="s">
        <v>21135</v>
      </c>
      <c r="D110" s="74" t="s">
        <v>21136</v>
      </c>
      <c r="E110" s="74"/>
      <c r="F110" s="74">
        <v>15.92</v>
      </c>
      <c r="G110" s="74"/>
      <c r="H110" s="74"/>
      <c r="I110" s="74" t="s">
        <v>391</v>
      </c>
      <c r="J110" s="74"/>
      <c r="K110" s="74">
        <v>102.4</v>
      </c>
      <c r="L110" s="74">
        <v>92.16</v>
      </c>
      <c r="M110" s="74"/>
      <c r="N110" s="74" t="s">
        <v>392</v>
      </c>
      <c r="O110" s="74" t="s">
        <v>402</v>
      </c>
      <c r="P110" s="74" t="s">
        <v>21137</v>
      </c>
      <c r="Q110" s="74" t="s">
        <v>21138</v>
      </c>
    </row>
    <row r="111" spans="3:17" x14ac:dyDescent="0.25">
      <c r="C111" s="74" t="s">
        <v>15363</v>
      </c>
      <c r="D111" s="74" t="s">
        <v>15364</v>
      </c>
      <c r="E111" s="74"/>
      <c r="F111" s="74">
        <v>15.88</v>
      </c>
      <c r="G111" s="74"/>
      <c r="H111" s="74"/>
      <c r="I111" s="74" t="s">
        <v>391</v>
      </c>
      <c r="J111" s="74"/>
      <c r="K111" s="74">
        <v>102.4</v>
      </c>
      <c r="L111" s="74">
        <v>92.16</v>
      </c>
      <c r="M111" s="74"/>
      <c r="N111" s="74" t="s">
        <v>392</v>
      </c>
      <c r="O111" s="74" t="s">
        <v>402</v>
      </c>
      <c r="P111" s="74" t="s">
        <v>15365</v>
      </c>
      <c r="Q111" s="74" t="s">
        <v>15366</v>
      </c>
    </row>
    <row r="112" spans="3:17" x14ac:dyDescent="0.25">
      <c r="C112" s="74" t="s">
        <v>7694</v>
      </c>
      <c r="D112" s="74" t="s">
        <v>7695</v>
      </c>
      <c r="E112" s="74"/>
      <c r="F112" s="74">
        <v>15.75</v>
      </c>
      <c r="G112" s="74"/>
      <c r="H112" s="74"/>
      <c r="I112" s="74" t="s">
        <v>391</v>
      </c>
      <c r="J112" s="74"/>
      <c r="K112" s="74">
        <v>102.4</v>
      </c>
      <c r="L112" s="74">
        <v>92.16</v>
      </c>
      <c r="M112" s="74"/>
      <c r="N112" s="74" t="s">
        <v>392</v>
      </c>
      <c r="O112" s="74" t="s">
        <v>402</v>
      </c>
      <c r="P112" s="74" t="s">
        <v>7696</v>
      </c>
      <c r="Q112" s="74" t="s">
        <v>7697</v>
      </c>
    </row>
    <row r="113" spans="3:17" x14ac:dyDescent="0.25">
      <c r="C113" s="74" t="s">
        <v>6267</v>
      </c>
      <c r="D113" s="74" t="s">
        <v>6268</v>
      </c>
      <c r="E113" s="74"/>
      <c r="F113" s="74">
        <v>15.7</v>
      </c>
      <c r="G113" s="74"/>
      <c r="H113" s="74"/>
      <c r="I113" s="74" t="s">
        <v>391</v>
      </c>
      <c r="J113" s="74"/>
      <c r="K113" s="74">
        <v>102.4</v>
      </c>
      <c r="L113" s="74">
        <v>92.16</v>
      </c>
      <c r="M113" s="74"/>
      <c r="N113" s="74" t="s">
        <v>392</v>
      </c>
      <c r="O113" s="74" t="s">
        <v>402</v>
      </c>
      <c r="P113" s="74" t="s">
        <v>6269</v>
      </c>
      <c r="Q113" s="74" t="s">
        <v>6270</v>
      </c>
    </row>
    <row r="114" spans="3:17" x14ac:dyDescent="0.25">
      <c r="C114" s="74" t="s">
        <v>19451</v>
      </c>
      <c r="D114" s="74" t="s">
        <v>19452</v>
      </c>
      <c r="E114" s="74"/>
      <c r="F114" s="74">
        <v>15.7</v>
      </c>
      <c r="G114" s="74"/>
      <c r="H114" s="74"/>
      <c r="I114" s="74" t="s">
        <v>391</v>
      </c>
      <c r="J114" s="74"/>
      <c r="K114" s="74">
        <v>102.4</v>
      </c>
      <c r="L114" s="74">
        <v>92.16</v>
      </c>
      <c r="M114" s="74"/>
      <c r="N114" s="74" t="s">
        <v>392</v>
      </c>
      <c r="O114" s="74" t="s">
        <v>402</v>
      </c>
      <c r="P114" s="74" t="s">
        <v>19453</v>
      </c>
      <c r="Q114" s="74" t="s">
        <v>19454</v>
      </c>
    </row>
    <row r="115" spans="3:17" x14ac:dyDescent="0.25">
      <c r="C115" s="74" t="s">
        <v>632</v>
      </c>
      <c r="D115" s="74" t="s">
        <v>633</v>
      </c>
      <c r="E115" s="74"/>
      <c r="F115" s="74">
        <v>15.62</v>
      </c>
      <c r="G115" s="74"/>
      <c r="H115" s="74"/>
      <c r="I115" s="74" t="s">
        <v>391</v>
      </c>
      <c r="J115" s="74"/>
      <c r="K115" s="74">
        <v>102.4</v>
      </c>
      <c r="L115" s="74">
        <v>92.16</v>
      </c>
      <c r="M115" s="74"/>
      <c r="N115" s="74" t="s">
        <v>392</v>
      </c>
      <c r="O115" s="74" t="s">
        <v>402</v>
      </c>
      <c r="P115" s="74" t="s">
        <v>634</v>
      </c>
      <c r="Q115" s="74" t="s">
        <v>635</v>
      </c>
    </row>
    <row r="116" spans="3:17" x14ac:dyDescent="0.25">
      <c r="C116" s="74" t="s">
        <v>14044</v>
      </c>
      <c r="D116" s="74" t="s">
        <v>14045</v>
      </c>
      <c r="E116" s="74"/>
      <c r="F116" s="74">
        <v>15.62</v>
      </c>
      <c r="G116" s="74"/>
      <c r="H116" s="74"/>
      <c r="I116" s="74" t="s">
        <v>391</v>
      </c>
      <c r="J116" s="74"/>
      <c r="K116" s="74">
        <v>102.4</v>
      </c>
      <c r="L116" s="74">
        <v>92.16</v>
      </c>
      <c r="M116" s="74"/>
      <c r="N116" s="74" t="s">
        <v>392</v>
      </c>
      <c r="O116" s="74" t="s">
        <v>402</v>
      </c>
      <c r="P116" s="74" t="s">
        <v>14046</v>
      </c>
      <c r="Q116" s="74" t="s">
        <v>14047</v>
      </c>
    </row>
    <row r="117" spans="3:17" x14ac:dyDescent="0.25">
      <c r="C117" s="74" t="s">
        <v>17828</v>
      </c>
      <c r="D117" s="74" t="s">
        <v>17829</v>
      </c>
      <c r="E117" s="74"/>
      <c r="F117" s="74">
        <v>15.4</v>
      </c>
      <c r="G117" s="74"/>
      <c r="H117" s="74"/>
      <c r="I117" s="74" t="s">
        <v>391</v>
      </c>
      <c r="J117" s="74"/>
      <c r="K117" s="74">
        <v>102.4</v>
      </c>
      <c r="L117" s="74">
        <v>92.16</v>
      </c>
      <c r="M117" s="74"/>
      <c r="N117" s="74" t="s">
        <v>392</v>
      </c>
      <c r="O117" s="74" t="s">
        <v>402</v>
      </c>
      <c r="P117" s="74" t="s">
        <v>17830</v>
      </c>
      <c r="Q117" s="74" t="s">
        <v>17831</v>
      </c>
    </row>
    <row r="118" spans="3:17" x14ac:dyDescent="0.25">
      <c r="C118" s="74" t="s">
        <v>455</v>
      </c>
      <c r="D118" s="74" t="s">
        <v>456</v>
      </c>
      <c r="E118" s="74"/>
      <c r="F118" s="74">
        <v>15.38</v>
      </c>
      <c r="G118" s="74"/>
      <c r="H118" s="74"/>
      <c r="I118" s="74" t="s">
        <v>391</v>
      </c>
      <c r="J118" s="74"/>
      <c r="K118" s="74">
        <v>102.4</v>
      </c>
      <c r="L118" s="74">
        <v>92.16</v>
      </c>
      <c r="M118" s="74"/>
      <c r="N118" s="74" t="s">
        <v>392</v>
      </c>
      <c r="O118" s="74" t="s">
        <v>402</v>
      </c>
      <c r="P118" s="74" t="s">
        <v>457</v>
      </c>
      <c r="Q118" s="74" t="s">
        <v>458</v>
      </c>
    </row>
    <row r="119" spans="3:17" x14ac:dyDescent="0.25">
      <c r="C119" s="74" t="s">
        <v>1530</v>
      </c>
      <c r="D119" s="74" t="s">
        <v>1531</v>
      </c>
      <c r="E119" s="74"/>
      <c r="F119" s="74">
        <v>15.34</v>
      </c>
      <c r="G119" s="74"/>
      <c r="H119" s="74"/>
      <c r="I119" s="74" t="s">
        <v>391</v>
      </c>
      <c r="J119" s="74"/>
      <c r="K119" s="74">
        <v>102.4</v>
      </c>
      <c r="L119" s="74">
        <v>92.16</v>
      </c>
      <c r="M119" s="74"/>
      <c r="N119" s="74" t="s">
        <v>392</v>
      </c>
      <c r="O119" s="74" t="s">
        <v>402</v>
      </c>
      <c r="P119" s="74" t="s">
        <v>1532</v>
      </c>
      <c r="Q119" s="74" t="s">
        <v>1533</v>
      </c>
    </row>
    <row r="120" spans="3:17" x14ac:dyDescent="0.25">
      <c r="C120" s="74" t="s">
        <v>9103</v>
      </c>
      <c r="D120" s="74" t="s">
        <v>9104</v>
      </c>
      <c r="E120" s="74"/>
      <c r="F120" s="74">
        <v>15.24</v>
      </c>
      <c r="G120" s="74"/>
      <c r="H120" s="74"/>
      <c r="I120" s="74" t="s">
        <v>391</v>
      </c>
      <c r="J120" s="74"/>
      <c r="K120" s="74">
        <v>102.4</v>
      </c>
      <c r="L120" s="74">
        <v>92.16</v>
      </c>
      <c r="M120" s="74"/>
      <c r="N120" s="74" t="s">
        <v>392</v>
      </c>
      <c r="O120" s="74" t="s">
        <v>402</v>
      </c>
      <c r="P120" s="74" t="s">
        <v>9105</v>
      </c>
      <c r="Q120" s="74" t="s">
        <v>9106</v>
      </c>
    </row>
    <row r="121" spans="3:17" x14ac:dyDescent="0.25">
      <c r="C121" s="74" t="s">
        <v>15216</v>
      </c>
      <c r="D121" s="74" t="s">
        <v>15217</v>
      </c>
      <c r="E121" s="74"/>
      <c r="F121" s="74">
        <v>15.09</v>
      </c>
      <c r="G121" s="74"/>
      <c r="H121" s="74"/>
      <c r="I121" s="74" t="s">
        <v>391</v>
      </c>
      <c r="J121" s="74"/>
      <c r="K121" s="74">
        <v>102.4</v>
      </c>
      <c r="L121" s="74">
        <v>92.16</v>
      </c>
      <c r="M121" s="74"/>
      <c r="N121" s="74" t="s">
        <v>392</v>
      </c>
      <c r="O121" s="74" t="s">
        <v>402</v>
      </c>
      <c r="P121" s="74" t="s">
        <v>15218</v>
      </c>
      <c r="Q121" s="74" t="s">
        <v>15219</v>
      </c>
    </row>
    <row r="122" spans="3:17" x14ac:dyDescent="0.25">
      <c r="C122" s="74" t="s">
        <v>10416</v>
      </c>
      <c r="D122" s="74" t="s">
        <v>10417</v>
      </c>
      <c r="E122" s="74"/>
      <c r="F122" s="74">
        <v>15</v>
      </c>
      <c r="G122" s="74"/>
      <c r="H122" s="74"/>
      <c r="I122" s="74" t="s">
        <v>391</v>
      </c>
      <c r="J122" s="74"/>
      <c r="K122" s="74">
        <v>102.4</v>
      </c>
      <c r="L122" s="74">
        <v>92.16</v>
      </c>
      <c r="M122" s="74"/>
      <c r="N122" s="74" t="s">
        <v>392</v>
      </c>
      <c r="O122" s="74" t="s">
        <v>402</v>
      </c>
      <c r="P122" s="74" t="s">
        <v>10418</v>
      </c>
      <c r="Q122" s="74" t="s">
        <v>10419</v>
      </c>
    </row>
    <row r="123" spans="3:17" x14ac:dyDescent="0.25">
      <c r="C123" s="158" t="s">
        <v>15070</v>
      </c>
      <c r="D123" s="158" t="s">
        <v>15071</v>
      </c>
      <c r="F123" s="158">
        <v>14.96</v>
      </c>
      <c r="I123" s="158" t="s">
        <v>391</v>
      </c>
      <c r="K123" s="158">
        <v>102.4</v>
      </c>
      <c r="L123" s="158">
        <v>92.16</v>
      </c>
      <c r="N123" s="158" t="s">
        <v>392</v>
      </c>
      <c r="O123" s="158" t="s">
        <v>402</v>
      </c>
      <c r="P123" s="158" t="s">
        <v>15072</v>
      </c>
      <c r="Q123" s="158" t="s">
        <v>15073</v>
      </c>
    </row>
    <row r="124" spans="3:17" x14ac:dyDescent="0.25">
      <c r="C124" s="74" t="s">
        <v>6870</v>
      </c>
      <c r="D124" s="74" t="s">
        <v>6871</v>
      </c>
      <c r="E124" s="74"/>
      <c r="F124" s="74">
        <v>14.82</v>
      </c>
      <c r="G124" s="74"/>
      <c r="H124" s="74"/>
      <c r="I124" s="74" t="s">
        <v>391</v>
      </c>
      <c r="J124" s="74"/>
      <c r="K124" s="74">
        <v>102.4</v>
      </c>
      <c r="L124" s="74">
        <v>92.16</v>
      </c>
      <c r="M124" s="74"/>
      <c r="N124" s="74" t="s">
        <v>392</v>
      </c>
      <c r="O124" s="74" t="s">
        <v>402</v>
      </c>
      <c r="P124" s="74" t="s">
        <v>6872</v>
      </c>
      <c r="Q124" s="74" t="s">
        <v>6873</v>
      </c>
    </row>
    <row r="125" spans="3:17" x14ac:dyDescent="0.25">
      <c r="C125" s="74" t="s">
        <v>16816</v>
      </c>
      <c r="D125" s="74" t="s">
        <v>16817</v>
      </c>
      <c r="E125" s="74" t="s">
        <v>391</v>
      </c>
      <c r="F125" s="74">
        <v>14.77</v>
      </c>
      <c r="G125" s="74"/>
      <c r="H125" s="74"/>
      <c r="I125" s="74" t="s">
        <v>391</v>
      </c>
      <c r="J125" s="74"/>
      <c r="K125" s="74">
        <v>102.4</v>
      </c>
      <c r="L125" s="74">
        <v>92.16</v>
      </c>
      <c r="M125" s="74"/>
      <c r="N125" s="74" t="s">
        <v>392</v>
      </c>
      <c r="O125" s="74" t="s">
        <v>402</v>
      </c>
      <c r="P125" s="74" t="s">
        <v>16818</v>
      </c>
      <c r="Q125" s="74" t="s">
        <v>16819</v>
      </c>
    </row>
    <row r="126" spans="3:17" x14ac:dyDescent="0.25">
      <c r="C126" s="74" t="s">
        <v>10741</v>
      </c>
      <c r="D126" s="74" t="s">
        <v>10742</v>
      </c>
      <c r="E126" s="74"/>
      <c r="F126" s="74">
        <v>14.65</v>
      </c>
      <c r="G126" s="74"/>
      <c r="H126" s="74"/>
      <c r="I126" s="74" t="s">
        <v>391</v>
      </c>
      <c r="J126" s="74"/>
      <c r="K126" s="74">
        <v>102.4</v>
      </c>
      <c r="L126" s="74">
        <v>92.16</v>
      </c>
      <c r="M126" s="74"/>
      <c r="N126" s="74" t="s">
        <v>392</v>
      </c>
      <c r="O126" s="74" t="s">
        <v>402</v>
      </c>
      <c r="P126" s="74" t="s">
        <v>10743</v>
      </c>
      <c r="Q126" s="74" t="s">
        <v>10744</v>
      </c>
    </row>
    <row r="127" spans="3:17" x14ac:dyDescent="0.25">
      <c r="C127" s="74" t="s">
        <v>2207</v>
      </c>
      <c r="D127" s="74" t="s">
        <v>2208</v>
      </c>
      <c r="E127" s="74"/>
      <c r="F127" s="74">
        <v>14.64</v>
      </c>
      <c r="G127" s="74"/>
      <c r="H127" s="74"/>
      <c r="I127" s="74" t="s">
        <v>391</v>
      </c>
      <c r="J127" s="74"/>
      <c r="K127" s="74">
        <v>102.4</v>
      </c>
      <c r="L127" s="74">
        <v>92.16</v>
      </c>
      <c r="M127" s="74"/>
      <c r="N127" s="74" t="s">
        <v>392</v>
      </c>
      <c r="O127" s="74" t="s">
        <v>402</v>
      </c>
      <c r="P127" s="74" t="s">
        <v>2209</v>
      </c>
      <c r="Q127" s="74" t="s">
        <v>2210</v>
      </c>
    </row>
    <row r="128" spans="3:17" x14ac:dyDescent="0.25">
      <c r="C128" s="74" t="s">
        <v>11155</v>
      </c>
      <c r="D128" s="74" t="s">
        <v>11156</v>
      </c>
      <c r="E128" s="74"/>
      <c r="F128" s="74">
        <v>14.56</v>
      </c>
      <c r="G128" s="74"/>
      <c r="H128" s="74"/>
      <c r="I128" s="74" t="s">
        <v>391</v>
      </c>
      <c r="J128" s="74"/>
      <c r="K128" s="74">
        <v>102.4</v>
      </c>
      <c r="L128" s="74">
        <v>92.16</v>
      </c>
      <c r="M128" s="74"/>
      <c r="N128" s="74" t="s">
        <v>392</v>
      </c>
      <c r="O128" s="74" t="s">
        <v>402</v>
      </c>
      <c r="P128" s="74" t="s">
        <v>11157</v>
      </c>
      <c r="Q128" s="74" t="s">
        <v>11158</v>
      </c>
    </row>
    <row r="129" spans="3:17" x14ac:dyDescent="0.25">
      <c r="C129" s="74" t="s">
        <v>6452</v>
      </c>
      <c r="D129" s="74" t="s">
        <v>6453</v>
      </c>
      <c r="E129" s="74"/>
      <c r="F129" s="74">
        <v>14.53</v>
      </c>
      <c r="G129" s="74"/>
      <c r="H129" s="74"/>
      <c r="I129" s="74" t="s">
        <v>391</v>
      </c>
      <c r="J129" s="74"/>
      <c r="K129" s="74">
        <v>102.4</v>
      </c>
      <c r="L129" s="74">
        <v>92.16</v>
      </c>
      <c r="M129" s="74"/>
      <c r="N129" s="74" t="s">
        <v>392</v>
      </c>
      <c r="O129" s="74" t="s">
        <v>402</v>
      </c>
      <c r="P129" s="74" t="s">
        <v>6454</v>
      </c>
      <c r="Q129" s="74" t="s">
        <v>6455</v>
      </c>
    </row>
    <row r="130" spans="3:17" x14ac:dyDescent="0.25">
      <c r="C130" s="74" t="s">
        <v>13100</v>
      </c>
      <c r="D130" s="74" t="s">
        <v>13101</v>
      </c>
      <c r="E130" s="74"/>
      <c r="F130" s="74">
        <v>14.42</v>
      </c>
      <c r="G130" s="74"/>
      <c r="H130" s="74"/>
      <c r="I130" s="74" t="s">
        <v>391</v>
      </c>
      <c r="J130" s="74"/>
      <c r="K130" s="74">
        <v>102.4</v>
      </c>
      <c r="L130" s="74">
        <v>92.16</v>
      </c>
      <c r="M130" s="74"/>
      <c r="N130" s="74" t="s">
        <v>392</v>
      </c>
      <c r="O130" s="74" t="s">
        <v>402</v>
      </c>
      <c r="P130" s="74" t="s">
        <v>13102</v>
      </c>
      <c r="Q130" s="74" t="s">
        <v>13103</v>
      </c>
    </row>
    <row r="131" spans="3:17" x14ac:dyDescent="0.25">
      <c r="C131" s="74" t="s">
        <v>14691</v>
      </c>
      <c r="D131" s="74" t="s">
        <v>14692</v>
      </c>
      <c r="E131" s="74"/>
      <c r="F131" s="74">
        <v>14.38</v>
      </c>
      <c r="G131" s="74"/>
      <c r="H131" s="74"/>
      <c r="I131" s="74" t="s">
        <v>391</v>
      </c>
      <c r="J131" s="74"/>
      <c r="K131" s="74">
        <v>102.4</v>
      </c>
      <c r="L131" s="74">
        <v>92.16</v>
      </c>
      <c r="M131" s="74"/>
      <c r="N131" s="74" t="s">
        <v>392</v>
      </c>
      <c r="O131" s="74" t="s">
        <v>402</v>
      </c>
      <c r="P131" s="74" t="s">
        <v>14693</v>
      </c>
      <c r="Q131" s="74" t="s">
        <v>14694</v>
      </c>
    </row>
    <row r="132" spans="3:17" x14ac:dyDescent="0.25">
      <c r="C132" s="74" t="s">
        <v>11159</v>
      </c>
      <c r="D132" s="74" t="s">
        <v>11160</v>
      </c>
      <c r="E132" s="74"/>
      <c r="F132" s="74">
        <v>14.2</v>
      </c>
      <c r="G132" s="74"/>
      <c r="H132" s="74"/>
      <c r="I132" s="74" t="s">
        <v>391</v>
      </c>
      <c r="J132" s="74"/>
      <c r="K132" s="74">
        <v>102.4</v>
      </c>
      <c r="L132" s="74">
        <v>92.16</v>
      </c>
      <c r="M132" s="74"/>
      <c r="N132" s="74" t="s">
        <v>392</v>
      </c>
      <c r="O132" s="74" t="s">
        <v>402</v>
      </c>
      <c r="P132" s="74" t="s">
        <v>11161</v>
      </c>
      <c r="Q132" s="74" t="s">
        <v>11162</v>
      </c>
    </row>
    <row r="133" spans="3:17" x14ac:dyDescent="0.25">
      <c r="C133" s="74" t="s">
        <v>13978</v>
      </c>
      <c r="D133" s="74" t="s">
        <v>13979</v>
      </c>
      <c r="E133" s="74"/>
      <c r="F133" s="74">
        <v>14.12</v>
      </c>
      <c r="G133" s="74"/>
      <c r="H133" s="74"/>
      <c r="I133" s="74" t="s">
        <v>391</v>
      </c>
      <c r="J133" s="74"/>
      <c r="K133" s="74">
        <v>102.4</v>
      </c>
      <c r="L133" s="74">
        <v>92.16</v>
      </c>
      <c r="M133" s="74"/>
      <c r="N133" s="74" t="s">
        <v>392</v>
      </c>
      <c r="O133" s="74" t="s">
        <v>402</v>
      </c>
      <c r="P133" s="74" t="s">
        <v>13980</v>
      </c>
      <c r="Q133" s="74" t="s">
        <v>13981</v>
      </c>
    </row>
    <row r="134" spans="3:17" x14ac:dyDescent="0.25">
      <c r="C134" s="74" t="s">
        <v>7418</v>
      </c>
      <c r="D134" s="74" t="s">
        <v>7419</v>
      </c>
      <c r="E134" s="74"/>
      <c r="F134" s="74">
        <v>13.97</v>
      </c>
      <c r="G134" s="74"/>
      <c r="H134" s="74"/>
      <c r="I134" s="74" t="s">
        <v>391</v>
      </c>
      <c r="J134" s="74"/>
      <c r="K134" s="74">
        <v>102.4</v>
      </c>
      <c r="L134" s="74">
        <v>92.16</v>
      </c>
      <c r="M134" s="74"/>
      <c r="N134" s="74" t="s">
        <v>392</v>
      </c>
      <c r="O134" s="74" t="s">
        <v>402</v>
      </c>
      <c r="P134" s="74" t="s">
        <v>7420</v>
      </c>
      <c r="Q134" s="74" t="s">
        <v>7421</v>
      </c>
    </row>
    <row r="135" spans="3:17" x14ac:dyDescent="0.25">
      <c r="C135" s="74" t="s">
        <v>4767</v>
      </c>
      <c r="D135" s="74" t="s">
        <v>4768</v>
      </c>
      <c r="E135" s="74"/>
      <c r="F135" s="74">
        <v>13.79</v>
      </c>
      <c r="G135" s="74"/>
      <c r="H135" s="74"/>
      <c r="I135" s="74" t="s">
        <v>391</v>
      </c>
      <c r="J135" s="74"/>
      <c r="K135" s="74">
        <v>102.4</v>
      </c>
      <c r="L135" s="74">
        <v>92.16</v>
      </c>
      <c r="M135" s="74"/>
      <c r="N135" s="74" t="s">
        <v>392</v>
      </c>
      <c r="O135" s="74" t="s">
        <v>402</v>
      </c>
      <c r="P135" s="74" t="s">
        <v>4769</v>
      </c>
      <c r="Q135" s="74" t="s">
        <v>4770</v>
      </c>
    </row>
    <row r="136" spans="3:17" x14ac:dyDescent="0.25">
      <c r="C136" s="74" t="s">
        <v>16019</v>
      </c>
      <c r="D136" s="74" t="s">
        <v>16020</v>
      </c>
      <c r="E136" s="74" t="s">
        <v>391</v>
      </c>
      <c r="F136" s="74">
        <v>13.79</v>
      </c>
      <c r="G136" s="74"/>
      <c r="H136" s="74"/>
      <c r="I136" s="74" t="s">
        <v>391</v>
      </c>
      <c r="J136" s="74"/>
      <c r="K136" s="74">
        <v>102.4</v>
      </c>
      <c r="L136" s="74">
        <v>92.16</v>
      </c>
      <c r="M136" s="74"/>
      <c r="N136" s="74" t="s">
        <v>392</v>
      </c>
      <c r="O136" s="74" t="s">
        <v>393</v>
      </c>
      <c r="P136" s="74"/>
      <c r="Q136" s="74" t="s">
        <v>16021</v>
      </c>
    </row>
    <row r="137" spans="3:17" x14ac:dyDescent="0.25">
      <c r="C137" s="74" t="s">
        <v>6222</v>
      </c>
      <c r="D137" s="74" t="s">
        <v>6223</v>
      </c>
      <c r="E137" s="74"/>
      <c r="F137" s="74">
        <v>13.65</v>
      </c>
      <c r="G137" s="74"/>
      <c r="H137" s="74"/>
      <c r="I137" s="74" t="s">
        <v>391</v>
      </c>
      <c r="J137" s="74"/>
      <c r="K137" s="74">
        <v>102.4</v>
      </c>
      <c r="L137" s="74">
        <v>92.16</v>
      </c>
      <c r="M137" s="74"/>
      <c r="N137" s="74" t="s">
        <v>392</v>
      </c>
      <c r="O137" s="74" t="s">
        <v>402</v>
      </c>
      <c r="P137" s="74" t="s">
        <v>6224</v>
      </c>
      <c r="Q137" s="74" t="s">
        <v>6225</v>
      </c>
    </row>
    <row r="138" spans="3:17" x14ac:dyDescent="0.25">
      <c r="C138" s="74" t="s">
        <v>10219</v>
      </c>
      <c r="D138" s="74" t="s">
        <v>10220</v>
      </c>
      <c r="E138" s="74"/>
      <c r="F138" s="74">
        <v>13.62</v>
      </c>
      <c r="G138" s="74"/>
      <c r="H138" s="74"/>
      <c r="I138" s="74" t="s">
        <v>391</v>
      </c>
      <c r="J138" s="74"/>
      <c r="K138" s="74">
        <v>102.4</v>
      </c>
      <c r="L138" s="74">
        <v>92.16</v>
      </c>
      <c r="M138" s="74"/>
      <c r="N138" s="74" t="s">
        <v>392</v>
      </c>
      <c r="O138" s="74" t="s">
        <v>402</v>
      </c>
      <c r="P138" s="74" t="s">
        <v>10221</v>
      </c>
      <c r="Q138" s="74" t="s">
        <v>10222</v>
      </c>
    </row>
    <row r="139" spans="3:17" x14ac:dyDescent="0.25">
      <c r="C139" s="74" t="s">
        <v>4033</v>
      </c>
      <c r="D139" s="74" t="s">
        <v>4034</v>
      </c>
      <c r="E139" s="74"/>
      <c r="F139" s="74">
        <v>13.44</v>
      </c>
      <c r="G139" s="74"/>
      <c r="H139" s="74"/>
      <c r="I139" s="74" t="s">
        <v>391</v>
      </c>
      <c r="J139" s="74"/>
      <c r="K139" s="74">
        <v>102.4</v>
      </c>
      <c r="L139" s="74">
        <v>92.16</v>
      </c>
      <c r="M139" s="74"/>
      <c r="N139" s="74" t="s">
        <v>392</v>
      </c>
      <c r="O139" s="74" t="s">
        <v>402</v>
      </c>
      <c r="P139" s="74" t="s">
        <v>4035</v>
      </c>
      <c r="Q139" s="74" t="s">
        <v>4036</v>
      </c>
    </row>
    <row r="140" spans="3:17" x14ac:dyDescent="0.25">
      <c r="C140" s="74" t="s">
        <v>8669</v>
      </c>
      <c r="D140" s="74" t="s">
        <v>8670</v>
      </c>
      <c r="E140" s="74"/>
      <c r="F140" s="74">
        <v>13.4</v>
      </c>
      <c r="G140" s="74"/>
      <c r="H140" s="74"/>
      <c r="I140" s="74" t="s">
        <v>391</v>
      </c>
      <c r="J140" s="74"/>
      <c r="K140" s="74">
        <v>102.4</v>
      </c>
      <c r="L140" s="74">
        <v>92.16</v>
      </c>
      <c r="M140" s="74"/>
      <c r="N140" s="74" t="s">
        <v>392</v>
      </c>
      <c r="O140" s="74" t="s">
        <v>402</v>
      </c>
      <c r="P140" s="74" t="s">
        <v>8671</v>
      </c>
      <c r="Q140" s="74" t="s">
        <v>8672</v>
      </c>
    </row>
    <row r="141" spans="3:17" x14ac:dyDescent="0.25">
      <c r="C141" s="74" t="s">
        <v>17273</v>
      </c>
      <c r="D141" s="74" t="s">
        <v>17274</v>
      </c>
      <c r="E141" s="74"/>
      <c r="F141" s="74">
        <v>13.35</v>
      </c>
      <c r="G141" s="74"/>
      <c r="H141" s="74"/>
      <c r="I141" s="74" t="s">
        <v>391</v>
      </c>
      <c r="J141" s="74"/>
      <c r="K141" s="74">
        <v>102.4</v>
      </c>
      <c r="L141" s="74">
        <v>92.16</v>
      </c>
      <c r="M141" s="74"/>
      <c r="N141" s="74" t="s">
        <v>392</v>
      </c>
      <c r="O141" s="74" t="s">
        <v>402</v>
      </c>
      <c r="P141" s="74" t="s">
        <v>17275</v>
      </c>
      <c r="Q141" s="74" t="s">
        <v>17276</v>
      </c>
    </row>
    <row r="142" spans="3:17" x14ac:dyDescent="0.25">
      <c r="C142" s="74" t="s">
        <v>19042</v>
      </c>
      <c r="D142" s="74" t="s">
        <v>19043</v>
      </c>
      <c r="E142" s="74"/>
      <c r="F142" s="74">
        <v>13.33</v>
      </c>
      <c r="G142" s="74"/>
      <c r="H142" s="74"/>
      <c r="I142" s="74" t="s">
        <v>391</v>
      </c>
      <c r="J142" s="74"/>
      <c r="K142" s="74">
        <v>102.4</v>
      </c>
      <c r="L142" s="74">
        <v>92.16</v>
      </c>
      <c r="M142" s="74"/>
      <c r="N142" s="74" t="s">
        <v>392</v>
      </c>
      <c r="O142" s="74" t="s">
        <v>402</v>
      </c>
      <c r="P142" s="74" t="s">
        <v>19044</v>
      </c>
      <c r="Q142" s="74" t="s">
        <v>19045</v>
      </c>
    </row>
    <row r="143" spans="3:17" x14ac:dyDescent="0.25">
      <c r="C143" s="74" t="s">
        <v>17991</v>
      </c>
      <c r="D143" s="74" t="s">
        <v>17992</v>
      </c>
      <c r="E143" s="74"/>
      <c r="F143" s="74">
        <v>13.16</v>
      </c>
      <c r="G143" s="74"/>
      <c r="H143" s="74"/>
      <c r="I143" s="74" t="s">
        <v>391</v>
      </c>
      <c r="J143" s="74"/>
      <c r="K143" s="74">
        <v>102.4</v>
      </c>
      <c r="L143" s="74">
        <v>92.16</v>
      </c>
      <c r="M143" s="74"/>
      <c r="N143" s="74" t="s">
        <v>392</v>
      </c>
      <c r="O143" s="74" t="s">
        <v>402</v>
      </c>
      <c r="P143" s="74" t="s">
        <v>16161</v>
      </c>
      <c r="Q143" s="74" t="s">
        <v>17993</v>
      </c>
    </row>
    <row r="144" spans="3:17" x14ac:dyDescent="0.25">
      <c r="C144" s="74" t="s">
        <v>18637</v>
      </c>
      <c r="D144" s="74" t="s">
        <v>18638</v>
      </c>
      <c r="E144" s="74"/>
      <c r="F144" s="74">
        <v>13.02</v>
      </c>
      <c r="G144" s="74"/>
      <c r="H144" s="74"/>
      <c r="I144" s="74" t="s">
        <v>391</v>
      </c>
      <c r="J144" s="74"/>
      <c r="K144" s="74">
        <v>102.4</v>
      </c>
      <c r="L144" s="74">
        <v>92.16</v>
      </c>
      <c r="M144" s="74"/>
      <c r="N144" s="74" t="s">
        <v>392</v>
      </c>
      <c r="O144" s="74" t="s">
        <v>402</v>
      </c>
      <c r="P144" s="74" t="s">
        <v>18639</v>
      </c>
      <c r="Q144" s="74" t="s">
        <v>18640</v>
      </c>
    </row>
    <row r="145" spans="3:17" x14ac:dyDescent="0.25">
      <c r="C145" s="74" t="s">
        <v>18135</v>
      </c>
      <c r="D145" s="74" t="s">
        <v>18136</v>
      </c>
      <c r="E145" s="74"/>
      <c r="F145" s="74">
        <v>12.76</v>
      </c>
      <c r="G145" s="74"/>
      <c r="H145" s="74"/>
      <c r="I145" s="74" t="s">
        <v>391</v>
      </c>
      <c r="J145" s="74"/>
      <c r="K145" s="74">
        <v>102.4</v>
      </c>
      <c r="L145" s="74">
        <v>92.16</v>
      </c>
      <c r="M145" s="74"/>
      <c r="N145" s="74" t="s">
        <v>392</v>
      </c>
      <c r="O145" s="74" t="s">
        <v>402</v>
      </c>
      <c r="P145" s="74" t="s">
        <v>18137</v>
      </c>
      <c r="Q145" s="74" t="s">
        <v>18138</v>
      </c>
    </row>
    <row r="146" spans="3:17" x14ac:dyDescent="0.25">
      <c r="C146" s="74" t="s">
        <v>6458</v>
      </c>
      <c r="D146" s="74" t="s">
        <v>6459</v>
      </c>
      <c r="E146" s="74"/>
      <c r="F146" s="74">
        <v>12.73</v>
      </c>
      <c r="G146" s="74"/>
      <c r="H146" s="74"/>
      <c r="I146" s="74" t="s">
        <v>391</v>
      </c>
      <c r="J146" s="74"/>
      <c r="K146" s="74">
        <v>102.4</v>
      </c>
      <c r="L146" s="74">
        <v>92.16</v>
      </c>
      <c r="M146" s="74"/>
      <c r="N146" s="74" t="s">
        <v>392</v>
      </c>
      <c r="O146" s="74" t="s">
        <v>402</v>
      </c>
      <c r="P146" s="74" t="s">
        <v>6460</v>
      </c>
      <c r="Q146" s="74" t="s">
        <v>6461</v>
      </c>
    </row>
    <row r="147" spans="3:17" x14ac:dyDescent="0.25">
      <c r="C147" s="74" t="s">
        <v>6773</v>
      </c>
      <c r="D147" s="74" t="s">
        <v>6774</v>
      </c>
      <c r="E147" s="74"/>
      <c r="F147" s="74">
        <v>12.62</v>
      </c>
      <c r="G147" s="74"/>
      <c r="H147" s="74"/>
      <c r="I147" s="74" t="s">
        <v>391</v>
      </c>
      <c r="J147" s="74"/>
      <c r="K147" s="74">
        <v>102.4</v>
      </c>
      <c r="L147" s="74">
        <v>92.16</v>
      </c>
      <c r="M147" s="74"/>
      <c r="N147" s="74" t="s">
        <v>392</v>
      </c>
      <c r="O147" s="74" t="s">
        <v>402</v>
      </c>
      <c r="P147" s="74" t="s">
        <v>6775</v>
      </c>
      <c r="Q147" s="74" t="s">
        <v>6776</v>
      </c>
    </row>
    <row r="148" spans="3:17" x14ac:dyDescent="0.25">
      <c r="C148" s="74" t="s">
        <v>19988</v>
      </c>
      <c r="D148" s="74" t="s">
        <v>19989</v>
      </c>
      <c r="E148" s="74"/>
      <c r="F148" s="74">
        <v>12.6</v>
      </c>
      <c r="G148" s="74"/>
      <c r="H148" s="74"/>
      <c r="I148" s="74" t="s">
        <v>391</v>
      </c>
      <c r="J148" s="74"/>
      <c r="K148" s="74">
        <v>102.4</v>
      </c>
      <c r="L148" s="74">
        <v>92.16</v>
      </c>
      <c r="M148" s="74"/>
      <c r="N148" s="74" t="s">
        <v>392</v>
      </c>
      <c r="O148" s="74" t="s">
        <v>402</v>
      </c>
      <c r="P148" s="74" t="s">
        <v>19990</v>
      </c>
      <c r="Q148" s="74" t="s">
        <v>19991</v>
      </c>
    </row>
    <row r="149" spans="3:17" x14ac:dyDescent="0.25">
      <c r="C149" s="74" t="s">
        <v>1445</v>
      </c>
      <c r="D149" s="74" t="s">
        <v>1446</v>
      </c>
      <c r="E149" s="74"/>
      <c r="F149" s="74">
        <v>12.53</v>
      </c>
      <c r="G149" s="74"/>
      <c r="H149" s="74"/>
      <c r="I149" s="74" t="s">
        <v>391</v>
      </c>
      <c r="J149" s="74"/>
      <c r="K149" s="74">
        <v>102.4</v>
      </c>
      <c r="L149" s="74">
        <v>92.16</v>
      </c>
      <c r="M149" s="74"/>
      <c r="N149" s="74" t="s">
        <v>392</v>
      </c>
      <c r="O149" s="74" t="s">
        <v>402</v>
      </c>
      <c r="P149" s="74" t="s">
        <v>1447</v>
      </c>
      <c r="Q149" s="74" t="s">
        <v>1448</v>
      </c>
    </row>
    <row r="150" spans="3:17" x14ac:dyDescent="0.25">
      <c r="C150" s="74" t="s">
        <v>7043</v>
      </c>
      <c r="D150" s="74" t="s">
        <v>7044</v>
      </c>
      <c r="E150" s="74"/>
      <c r="F150" s="74">
        <v>12.49</v>
      </c>
      <c r="G150" s="74"/>
      <c r="H150" s="74"/>
      <c r="I150" s="74" t="s">
        <v>391</v>
      </c>
      <c r="J150" s="74"/>
      <c r="K150" s="74">
        <v>102.4</v>
      </c>
      <c r="L150" s="74">
        <v>92.16</v>
      </c>
      <c r="M150" s="74"/>
      <c r="N150" s="74" t="s">
        <v>392</v>
      </c>
      <c r="O150" s="74" t="s">
        <v>402</v>
      </c>
      <c r="P150" s="74" t="s">
        <v>7045</v>
      </c>
      <c r="Q150" s="74" t="s">
        <v>7046</v>
      </c>
    </row>
    <row r="151" spans="3:17" x14ac:dyDescent="0.25">
      <c r="C151" s="74" t="s">
        <v>4234</v>
      </c>
      <c r="D151" s="74" t="s">
        <v>4235</v>
      </c>
      <c r="E151" s="74"/>
      <c r="F151" s="74">
        <v>12.36</v>
      </c>
      <c r="G151" s="74"/>
      <c r="H151" s="74"/>
      <c r="I151" s="74" t="s">
        <v>391</v>
      </c>
      <c r="J151" s="74"/>
      <c r="K151" s="74">
        <v>102.4</v>
      </c>
      <c r="L151" s="74">
        <v>92.16</v>
      </c>
      <c r="M151" s="74"/>
      <c r="N151" s="74" t="s">
        <v>392</v>
      </c>
      <c r="O151" s="74" t="s">
        <v>402</v>
      </c>
      <c r="P151" s="74" t="s">
        <v>4236</v>
      </c>
      <c r="Q151" s="74" t="s">
        <v>4237</v>
      </c>
    </row>
    <row r="152" spans="3:17" x14ac:dyDescent="0.25">
      <c r="C152" s="74" t="s">
        <v>6400</v>
      </c>
      <c r="D152" s="74" t="s">
        <v>6401</v>
      </c>
      <c r="E152" s="74"/>
      <c r="F152" s="74">
        <v>12.34</v>
      </c>
      <c r="G152" s="74"/>
      <c r="H152" s="74"/>
      <c r="I152" s="74" t="s">
        <v>391</v>
      </c>
      <c r="J152" s="74"/>
      <c r="K152" s="74">
        <v>102.4</v>
      </c>
      <c r="L152" s="74">
        <v>92.16</v>
      </c>
      <c r="M152" s="74"/>
      <c r="N152" s="74" t="s">
        <v>392</v>
      </c>
      <c r="O152" s="74" t="s">
        <v>402</v>
      </c>
      <c r="P152" s="74" t="s">
        <v>6402</v>
      </c>
      <c r="Q152" s="74" t="s">
        <v>6403</v>
      </c>
    </row>
    <row r="153" spans="3:17" x14ac:dyDescent="0.25">
      <c r="C153" s="74" t="s">
        <v>7371</v>
      </c>
      <c r="D153" s="74" t="s">
        <v>7372</v>
      </c>
      <c r="E153" s="74"/>
      <c r="F153" s="74">
        <v>12.24</v>
      </c>
      <c r="G153" s="74"/>
      <c r="H153" s="74"/>
      <c r="I153" s="74" t="s">
        <v>391</v>
      </c>
      <c r="J153" s="74"/>
      <c r="K153" s="74">
        <v>102.4</v>
      </c>
      <c r="L153" s="74">
        <v>92.16</v>
      </c>
      <c r="M153" s="74"/>
      <c r="N153" s="74" t="s">
        <v>392</v>
      </c>
      <c r="O153" s="74" t="s">
        <v>402</v>
      </c>
      <c r="P153" s="74" t="s">
        <v>7373</v>
      </c>
      <c r="Q153" s="74" t="s">
        <v>7374</v>
      </c>
    </row>
    <row r="154" spans="3:17" x14ac:dyDescent="0.25">
      <c r="C154" s="74" t="s">
        <v>14231</v>
      </c>
      <c r="D154" s="74" t="s">
        <v>14232</v>
      </c>
      <c r="E154" s="74"/>
      <c r="F154" s="74">
        <v>12.16</v>
      </c>
      <c r="G154" s="74"/>
      <c r="H154" s="74"/>
      <c r="I154" s="74" t="s">
        <v>391</v>
      </c>
      <c r="J154" s="74"/>
      <c r="K154" s="74">
        <v>102.4</v>
      </c>
      <c r="L154" s="74">
        <v>92.16</v>
      </c>
      <c r="M154" s="74"/>
      <c r="N154" s="74" t="s">
        <v>392</v>
      </c>
      <c r="O154" s="74" t="s">
        <v>402</v>
      </c>
      <c r="P154" s="74" t="s">
        <v>14233</v>
      </c>
      <c r="Q154" s="74" t="s">
        <v>14234</v>
      </c>
    </row>
    <row r="155" spans="3:17" x14ac:dyDescent="0.25">
      <c r="C155" s="74" t="s">
        <v>16255</v>
      </c>
      <c r="D155" s="74" t="s">
        <v>16256</v>
      </c>
      <c r="E155" s="74"/>
      <c r="F155" s="74">
        <v>11.97</v>
      </c>
      <c r="G155" s="74"/>
      <c r="H155" s="74"/>
      <c r="I155" s="74" t="s">
        <v>391</v>
      </c>
      <c r="J155" s="74"/>
      <c r="K155" s="74">
        <v>102.4</v>
      </c>
      <c r="L155" s="74">
        <v>92.16</v>
      </c>
      <c r="M155" s="74"/>
      <c r="N155" s="74" t="s">
        <v>392</v>
      </c>
      <c r="O155" s="74" t="s">
        <v>402</v>
      </c>
      <c r="P155" s="74" t="s">
        <v>16257</v>
      </c>
      <c r="Q155" s="74" t="s">
        <v>16258</v>
      </c>
    </row>
    <row r="156" spans="3:17" x14ac:dyDescent="0.25">
      <c r="C156" s="74" t="s">
        <v>13810</v>
      </c>
      <c r="D156" s="74" t="s">
        <v>13811</v>
      </c>
      <c r="E156" s="74"/>
      <c r="F156" s="74">
        <v>11.9</v>
      </c>
      <c r="G156" s="74"/>
      <c r="H156" s="74"/>
      <c r="I156" s="74" t="s">
        <v>391</v>
      </c>
      <c r="J156" s="74"/>
      <c r="K156" s="74">
        <v>102.4</v>
      </c>
      <c r="L156" s="74">
        <v>92.16</v>
      </c>
      <c r="M156" s="74"/>
      <c r="N156" s="74" t="s">
        <v>392</v>
      </c>
      <c r="O156" s="74" t="s">
        <v>402</v>
      </c>
      <c r="P156" s="74" t="s">
        <v>13812</v>
      </c>
      <c r="Q156" s="74" t="s">
        <v>13813</v>
      </c>
    </row>
    <row r="157" spans="3:17" x14ac:dyDescent="0.25">
      <c r="C157" s="74" t="s">
        <v>17606</v>
      </c>
      <c r="D157" s="74" t="s">
        <v>17607</v>
      </c>
      <c r="E157" s="74"/>
      <c r="F157" s="74">
        <v>11.9</v>
      </c>
      <c r="G157" s="74"/>
      <c r="H157" s="74"/>
      <c r="I157" s="74" t="s">
        <v>391</v>
      </c>
      <c r="J157" s="74"/>
      <c r="K157" s="74">
        <v>102.4</v>
      </c>
      <c r="L157" s="74">
        <v>92.16</v>
      </c>
      <c r="M157" s="74"/>
      <c r="N157" s="74" t="s">
        <v>392</v>
      </c>
      <c r="O157" s="74" t="s">
        <v>402</v>
      </c>
      <c r="P157" s="74" t="s">
        <v>17608</v>
      </c>
      <c r="Q157" s="74" t="s">
        <v>17609</v>
      </c>
    </row>
    <row r="158" spans="3:17" x14ac:dyDescent="0.25">
      <c r="C158" s="74" t="s">
        <v>7698</v>
      </c>
      <c r="D158" s="74" t="s">
        <v>7699</v>
      </c>
      <c r="E158" s="74"/>
      <c r="F158" s="74">
        <v>11.77</v>
      </c>
      <c r="G158" s="74"/>
      <c r="H158" s="74"/>
      <c r="I158" s="74" t="s">
        <v>391</v>
      </c>
      <c r="J158" s="74"/>
      <c r="K158" s="74">
        <v>102.4</v>
      </c>
      <c r="L158" s="74">
        <v>92.16</v>
      </c>
      <c r="M158" s="74"/>
      <c r="N158" s="74" t="s">
        <v>392</v>
      </c>
      <c r="O158" s="74" t="s">
        <v>402</v>
      </c>
      <c r="P158" s="74" t="s">
        <v>7700</v>
      </c>
      <c r="Q158" s="74" t="s">
        <v>7701</v>
      </c>
    </row>
    <row r="159" spans="3:17" x14ac:dyDescent="0.25">
      <c r="C159" s="74" t="s">
        <v>4022</v>
      </c>
      <c r="D159" s="74" t="s">
        <v>4023</v>
      </c>
      <c r="E159" s="74"/>
      <c r="F159" s="74">
        <v>11.76</v>
      </c>
      <c r="G159" s="74"/>
      <c r="H159" s="74"/>
      <c r="I159" s="74" t="s">
        <v>391</v>
      </c>
      <c r="J159" s="74"/>
      <c r="K159" s="74">
        <v>102.4</v>
      </c>
      <c r="L159" s="74">
        <v>92.16</v>
      </c>
      <c r="M159" s="74"/>
      <c r="N159" s="74" t="s">
        <v>392</v>
      </c>
      <c r="O159" s="74" t="s">
        <v>402</v>
      </c>
      <c r="P159" s="74" t="s">
        <v>4024</v>
      </c>
      <c r="Q159" s="74" t="s">
        <v>4025</v>
      </c>
    </row>
    <row r="160" spans="3:17" x14ac:dyDescent="0.25">
      <c r="C160" s="74" t="s">
        <v>9755</v>
      </c>
      <c r="D160" s="74" t="s">
        <v>9756</v>
      </c>
      <c r="E160" s="74"/>
      <c r="F160" s="74">
        <v>11.74</v>
      </c>
      <c r="G160" s="74"/>
      <c r="H160" s="74"/>
      <c r="I160" s="74" t="s">
        <v>391</v>
      </c>
      <c r="J160" s="74"/>
      <c r="K160" s="74">
        <v>102.4</v>
      </c>
      <c r="L160" s="74">
        <v>92.16</v>
      </c>
      <c r="M160" s="74"/>
      <c r="N160" s="74" t="s">
        <v>392</v>
      </c>
      <c r="O160" s="74" t="s">
        <v>402</v>
      </c>
      <c r="P160" s="74" t="s">
        <v>9757</v>
      </c>
      <c r="Q160" s="74" t="s">
        <v>9758</v>
      </c>
    </row>
    <row r="161" spans="3:17" x14ac:dyDescent="0.25">
      <c r="C161" s="74" t="s">
        <v>13856</v>
      </c>
      <c r="D161" s="74" t="s">
        <v>13857</v>
      </c>
      <c r="E161" s="74"/>
      <c r="F161" s="74">
        <v>11.74</v>
      </c>
      <c r="G161" s="74"/>
      <c r="H161" s="74"/>
      <c r="I161" s="74" t="s">
        <v>391</v>
      </c>
      <c r="J161" s="74"/>
      <c r="K161" s="74">
        <v>102.4</v>
      </c>
      <c r="L161" s="74">
        <v>92.16</v>
      </c>
      <c r="M161" s="74"/>
      <c r="N161" s="74" t="s">
        <v>392</v>
      </c>
      <c r="O161" s="74" t="s">
        <v>402</v>
      </c>
      <c r="P161" s="74" t="s">
        <v>13858</v>
      </c>
      <c r="Q161" s="74" t="s">
        <v>13859</v>
      </c>
    </row>
    <row r="162" spans="3:17" x14ac:dyDescent="0.25">
      <c r="C162" s="74" t="s">
        <v>20904</v>
      </c>
      <c r="D162" s="74" t="s">
        <v>20905</v>
      </c>
      <c r="E162" s="74"/>
      <c r="F162" s="74">
        <v>11.64</v>
      </c>
      <c r="G162" s="74"/>
      <c r="H162" s="74"/>
      <c r="I162" s="74" t="s">
        <v>391</v>
      </c>
      <c r="J162" s="74"/>
      <c r="K162" s="74">
        <v>102.4</v>
      </c>
      <c r="L162" s="74">
        <v>92.16</v>
      </c>
      <c r="M162" s="74"/>
      <c r="N162" s="74" t="s">
        <v>392</v>
      </c>
      <c r="O162" s="74" t="s">
        <v>402</v>
      </c>
      <c r="P162" s="74" t="s">
        <v>20906</v>
      </c>
      <c r="Q162" s="74" t="s">
        <v>20907</v>
      </c>
    </row>
    <row r="163" spans="3:17" x14ac:dyDescent="0.25">
      <c r="C163" s="74" t="s">
        <v>7211</v>
      </c>
      <c r="D163" s="74" t="s">
        <v>7212</v>
      </c>
      <c r="E163" s="74"/>
      <c r="F163" s="74">
        <v>11.63</v>
      </c>
      <c r="G163" s="74"/>
      <c r="H163" s="74"/>
      <c r="I163" s="74" t="s">
        <v>391</v>
      </c>
      <c r="J163" s="74"/>
      <c r="K163" s="74">
        <v>102.4</v>
      </c>
      <c r="L163" s="74">
        <v>92.16</v>
      </c>
      <c r="M163" s="74"/>
      <c r="N163" s="74" t="s">
        <v>392</v>
      </c>
      <c r="O163" s="74" t="s">
        <v>402</v>
      </c>
      <c r="P163" s="74" t="s">
        <v>7213</v>
      </c>
      <c r="Q163" s="74" t="s">
        <v>7214</v>
      </c>
    </row>
    <row r="164" spans="3:17" x14ac:dyDescent="0.25">
      <c r="C164" s="74" t="s">
        <v>2584</v>
      </c>
      <c r="D164" s="74" t="s">
        <v>2585</v>
      </c>
      <c r="E164" s="74"/>
      <c r="F164" s="74">
        <v>11.52</v>
      </c>
      <c r="G164" s="74"/>
      <c r="H164" s="74"/>
      <c r="I164" s="74" t="s">
        <v>391</v>
      </c>
      <c r="J164" s="74"/>
      <c r="K164" s="74">
        <v>102.4</v>
      </c>
      <c r="L164" s="74">
        <v>92.16</v>
      </c>
      <c r="M164" s="74"/>
      <c r="N164" s="74" t="s">
        <v>392</v>
      </c>
      <c r="O164" s="74" t="s">
        <v>402</v>
      </c>
      <c r="P164" s="74" t="s">
        <v>2586</v>
      </c>
      <c r="Q164" s="74" t="s">
        <v>2587</v>
      </c>
    </row>
    <row r="165" spans="3:17" x14ac:dyDescent="0.25">
      <c r="C165" s="74" t="s">
        <v>1950</v>
      </c>
      <c r="D165" s="74" t="s">
        <v>1951</v>
      </c>
      <c r="E165" s="74"/>
      <c r="F165" s="74">
        <v>11.5</v>
      </c>
      <c r="G165" s="74"/>
      <c r="H165" s="74"/>
      <c r="I165" s="74" t="s">
        <v>391</v>
      </c>
      <c r="J165" s="74"/>
      <c r="K165" s="74">
        <v>102.4</v>
      </c>
      <c r="L165" s="74">
        <v>92.16</v>
      </c>
      <c r="M165" s="74"/>
      <c r="N165" s="74" t="s">
        <v>392</v>
      </c>
      <c r="O165" s="74" t="s">
        <v>402</v>
      </c>
      <c r="P165" s="74" t="s">
        <v>1952</v>
      </c>
      <c r="Q165" s="74" t="s">
        <v>1953</v>
      </c>
    </row>
    <row r="166" spans="3:17" x14ac:dyDescent="0.25">
      <c r="C166" s="74" t="s">
        <v>9837</v>
      </c>
      <c r="D166" s="74" t="s">
        <v>9838</v>
      </c>
      <c r="E166" s="74"/>
      <c r="F166" s="74">
        <v>11.43</v>
      </c>
      <c r="G166" s="74"/>
      <c r="H166" s="74"/>
      <c r="I166" s="74" t="s">
        <v>391</v>
      </c>
      <c r="J166" s="74"/>
      <c r="K166" s="74">
        <v>102.4</v>
      </c>
      <c r="L166" s="74">
        <v>92.16</v>
      </c>
      <c r="M166" s="74"/>
      <c r="N166" s="74" t="s">
        <v>392</v>
      </c>
      <c r="O166" s="74" t="s">
        <v>402</v>
      </c>
      <c r="P166" s="74" t="s">
        <v>9839</v>
      </c>
      <c r="Q166" s="74" t="s">
        <v>9840</v>
      </c>
    </row>
    <row r="167" spans="3:17" x14ac:dyDescent="0.25">
      <c r="C167" s="74" t="s">
        <v>17501</v>
      </c>
      <c r="D167" s="74" t="s">
        <v>17502</v>
      </c>
      <c r="E167" s="74" t="s">
        <v>391</v>
      </c>
      <c r="F167" s="74">
        <v>11.37</v>
      </c>
      <c r="G167" s="74"/>
      <c r="H167" s="74"/>
      <c r="I167" s="74" t="s">
        <v>391</v>
      </c>
      <c r="J167" s="74"/>
      <c r="K167" s="74">
        <v>102.4</v>
      </c>
      <c r="L167" s="74">
        <v>92.16</v>
      </c>
      <c r="M167" s="74"/>
      <c r="N167" s="74" t="s">
        <v>392</v>
      </c>
      <c r="O167" s="74" t="s">
        <v>393</v>
      </c>
      <c r="P167" s="74"/>
      <c r="Q167" s="74" t="s">
        <v>17503</v>
      </c>
    </row>
    <row r="168" spans="3:17" x14ac:dyDescent="0.25">
      <c r="C168" s="74" t="s">
        <v>13709</v>
      </c>
      <c r="D168" s="74" t="s">
        <v>13710</v>
      </c>
      <c r="E168" s="74"/>
      <c r="F168" s="74">
        <v>11.33</v>
      </c>
      <c r="G168" s="74"/>
      <c r="H168" s="74"/>
      <c r="I168" s="74" t="s">
        <v>391</v>
      </c>
      <c r="J168" s="74"/>
      <c r="K168" s="74">
        <v>102.4</v>
      </c>
      <c r="L168" s="74">
        <v>92.16</v>
      </c>
      <c r="M168" s="74"/>
      <c r="N168" s="74" t="s">
        <v>392</v>
      </c>
      <c r="O168" s="74" t="s">
        <v>402</v>
      </c>
      <c r="P168" s="74" t="s">
        <v>13711</v>
      </c>
      <c r="Q168" s="74" t="s">
        <v>13712</v>
      </c>
    </row>
    <row r="169" spans="3:17" x14ac:dyDescent="0.25">
      <c r="C169" s="74" t="s">
        <v>19101</v>
      </c>
      <c r="D169" s="74" t="s">
        <v>19102</v>
      </c>
      <c r="E169" s="74"/>
      <c r="F169" s="74">
        <v>11.32</v>
      </c>
      <c r="G169" s="74"/>
      <c r="H169" s="74"/>
      <c r="I169" s="74" t="s">
        <v>391</v>
      </c>
      <c r="J169" s="74"/>
      <c r="K169" s="74">
        <v>102.4</v>
      </c>
      <c r="L169" s="74">
        <v>92.16</v>
      </c>
      <c r="M169" s="74"/>
      <c r="N169" s="74" t="s">
        <v>392</v>
      </c>
      <c r="O169" s="74" t="s">
        <v>402</v>
      </c>
      <c r="P169" s="74" t="s">
        <v>19103</v>
      </c>
      <c r="Q169" s="74" t="s">
        <v>19104</v>
      </c>
    </row>
    <row r="170" spans="3:17" x14ac:dyDescent="0.25">
      <c r="C170" s="74" t="s">
        <v>13961</v>
      </c>
      <c r="D170" s="74" t="s">
        <v>13962</v>
      </c>
      <c r="E170" s="74" t="s">
        <v>391</v>
      </c>
      <c r="F170" s="74">
        <v>11.22</v>
      </c>
      <c r="G170" s="74"/>
      <c r="H170" s="74"/>
      <c r="I170" s="74" t="s">
        <v>391</v>
      </c>
      <c r="J170" s="74"/>
      <c r="K170" s="74">
        <v>102.4</v>
      </c>
      <c r="L170" s="74">
        <v>92.16</v>
      </c>
      <c r="M170" s="74"/>
      <c r="N170" s="74" t="s">
        <v>392</v>
      </c>
      <c r="O170" s="74" t="s">
        <v>393</v>
      </c>
      <c r="P170" s="74"/>
      <c r="Q170" s="74" t="s">
        <v>13963</v>
      </c>
    </row>
    <row r="171" spans="3:17" x14ac:dyDescent="0.25">
      <c r="C171" s="74" t="s">
        <v>4138</v>
      </c>
      <c r="D171" s="74" t="s">
        <v>4139</v>
      </c>
      <c r="E171" s="74"/>
      <c r="F171" s="74">
        <v>11.12</v>
      </c>
      <c r="G171" s="74"/>
      <c r="H171" s="74"/>
      <c r="I171" s="74" t="s">
        <v>391</v>
      </c>
      <c r="J171" s="74"/>
      <c r="K171" s="74">
        <v>102.4</v>
      </c>
      <c r="L171" s="74">
        <v>92.16</v>
      </c>
      <c r="M171" s="74"/>
      <c r="N171" s="74" t="s">
        <v>392</v>
      </c>
      <c r="O171" s="74" t="s">
        <v>402</v>
      </c>
      <c r="P171" s="74" t="s">
        <v>4140</v>
      </c>
      <c r="Q171" s="74" t="s">
        <v>4141</v>
      </c>
    </row>
    <row r="172" spans="3:17" x14ac:dyDescent="0.25">
      <c r="C172" s="74" t="s">
        <v>14845</v>
      </c>
      <c r="D172" s="74" t="s">
        <v>14846</v>
      </c>
      <c r="E172" s="74"/>
      <c r="F172" s="74">
        <v>11.1</v>
      </c>
      <c r="G172" s="74"/>
      <c r="H172" s="74"/>
      <c r="I172" s="74" t="s">
        <v>391</v>
      </c>
      <c r="J172" s="74"/>
      <c r="K172" s="74">
        <v>102.4</v>
      </c>
      <c r="L172" s="74">
        <v>92.16</v>
      </c>
      <c r="M172" s="74"/>
      <c r="N172" s="74" t="s">
        <v>392</v>
      </c>
      <c r="O172" s="74" t="s">
        <v>402</v>
      </c>
      <c r="P172" s="74" t="s">
        <v>14847</v>
      </c>
      <c r="Q172" s="74" t="s">
        <v>14848</v>
      </c>
    </row>
    <row r="173" spans="3:17" x14ac:dyDescent="0.25">
      <c r="C173" s="74" t="s">
        <v>3723</v>
      </c>
      <c r="D173" s="74" t="s">
        <v>3724</v>
      </c>
      <c r="E173" s="74"/>
      <c r="F173" s="74">
        <v>11.06</v>
      </c>
      <c r="G173" s="74"/>
      <c r="H173" s="74"/>
      <c r="I173" s="74" t="s">
        <v>391</v>
      </c>
      <c r="J173" s="74"/>
      <c r="K173" s="74">
        <v>102.4</v>
      </c>
      <c r="L173" s="74">
        <v>92.16</v>
      </c>
      <c r="M173" s="74"/>
      <c r="N173" s="74" t="s">
        <v>392</v>
      </c>
      <c r="O173" s="74" t="s">
        <v>402</v>
      </c>
      <c r="P173" s="74" t="s">
        <v>3725</v>
      </c>
      <c r="Q173" s="74" t="s">
        <v>3726</v>
      </c>
    </row>
    <row r="174" spans="3:17" x14ac:dyDescent="0.25">
      <c r="C174" s="74" t="s">
        <v>9922</v>
      </c>
      <c r="D174" s="74" t="s">
        <v>9923</v>
      </c>
      <c r="E174" s="74"/>
      <c r="F174" s="74">
        <v>10.95</v>
      </c>
      <c r="G174" s="74"/>
      <c r="H174" s="74"/>
      <c r="I174" s="74" t="s">
        <v>391</v>
      </c>
      <c r="J174" s="74"/>
      <c r="K174" s="74">
        <v>102.4</v>
      </c>
      <c r="L174" s="74">
        <v>92.16</v>
      </c>
      <c r="M174" s="74"/>
      <c r="N174" s="74" t="s">
        <v>392</v>
      </c>
      <c r="O174" s="74" t="s">
        <v>402</v>
      </c>
      <c r="P174" s="74" t="s">
        <v>9924</v>
      </c>
      <c r="Q174" s="74" t="s">
        <v>9925</v>
      </c>
    </row>
    <row r="175" spans="3:17" x14ac:dyDescent="0.25">
      <c r="C175" s="74" t="s">
        <v>21155</v>
      </c>
      <c r="D175" s="74" t="s">
        <v>21156</v>
      </c>
      <c r="E175" s="74"/>
      <c r="F175" s="74">
        <v>10.95</v>
      </c>
      <c r="G175" s="74"/>
      <c r="H175" s="74"/>
      <c r="I175" s="74" t="s">
        <v>391</v>
      </c>
      <c r="J175" s="74"/>
      <c r="K175" s="74">
        <v>102.4</v>
      </c>
      <c r="L175" s="74">
        <v>92.16</v>
      </c>
      <c r="M175" s="74"/>
      <c r="N175" s="74" t="s">
        <v>392</v>
      </c>
      <c r="O175" s="74" t="s">
        <v>402</v>
      </c>
      <c r="P175" s="74" t="s">
        <v>21157</v>
      </c>
      <c r="Q175" s="74" t="s">
        <v>21158</v>
      </c>
    </row>
    <row r="176" spans="3:17" x14ac:dyDescent="0.25">
      <c r="C176" s="74" t="s">
        <v>5254</v>
      </c>
      <c r="D176" s="74" t="s">
        <v>5255</v>
      </c>
      <c r="E176" s="74"/>
      <c r="F176" s="74">
        <v>10.89</v>
      </c>
      <c r="G176" s="74"/>
      <c r="H176" s="74"/>
      <c r="I176" s="74" t="s">
        <v>391</v>
      </c>
      <c r="J176" s="74"/>
      <c r="K176" s="74">
        <v>102.4</v>
      </c>
      <c r="L176" s="74">
        <v>92.16</v>
      </c>
      <c r="M176" s="74"/>
      <c r="N176" s="74" t="s">
        <v>392</v>
      </c>
      <c r="O176" s="74" t="s">
        <v>402</v>
      </c>
      <c r="P176" s="74" t="s">
        <v>5256</v>
      </c>
      <c r="Q176" s="74" t="s">
        <v>5257</v>
      </c>
    </row>
    <row r="177" spans="3:17" x14ac:dyDescent="0.25">
      <c r="C177" s="74" t="s">
        <v>2396</v>
      </c>
      <c r="D177" s="74" t="s">
        <v>2397</v>
      </c>
      <c r="E177" s="74"/>
      <c r="F177" s="74">
        <v>10.87</v>
      </c>
      <c r="G177" s="74"/>
      <c r="H177" s="74"/>
      <c r="I177" s="74" t="s">
        <v>391</v>
      </c>
      <c r="J177" s="74"/>
      <c r="K177" s="74">
        <v>102.4</v>
      </c>
      <c r="L177" s="74">
        <v>92.16</v>
      </c>
      <c r="M177" s="74"/>
      <c r="N177" s="74" t="s">
        <v>392</v>
      </c>
      <c r="O177" s="74" t="s">
        <v>402</v>
      </c>
      <c r="P177" s="74" t="s">
        <v>2398</v>
      </c>
      <c r="Q177" s="74" t="s">
        <v>2399</v>
      </c>
    </row>
    <row r="178" spans="3:17" x14ac:dyDescent="0.25">
      <c r="C178" s="74" t="s">
        <v>640</v>
      </c>
      <c r="D178" s="74" t="s">
        <v>641</v>
      </c>
      <c r="E178" s="74"/>
      <c r="F178" s="74">
        <v>10.86</v>
      </c>
      <c r="G178" s="74"/>
      <c r="H178" s="74"/>
      <c r="I178" s="74" t="s">
        <v>391</v>
      </c>
      <c r="J178" s="74"/>
      <c r="K178" s="74">
        <v>102.4</v>
      </c>
      <c r="L178" s="74">
        <v>92.16</v>
      </c>
      <c r="M178" s="74"/>
      <c r="N178" s="74" t="s">
        <v>392</v>
      </c>
      <c r="O178" s="74" t="s">
        <v>402</v>
      </c>
      <c r="P178" s="74" t="s">
        <v>642</v>
      </c>
      <c r="Q178" s="74" t="s">
        <v>643</v>
      </c>
    </row>
    <row r="179" spans="3:17" x14ac:dyDescent="0.25">
      <c r="C179" s="74" t="s">
        <v>11972</v>
      </c>
      <c r="D179" s="74" t="s">
        <v>11973</v>
      </c>
      <c r="E179" s="74"/>
      <c r="F179" s="74">
        <v>10.83</v>
      </c>
      <c r="G179" s="74"/>
      <c r="H179" s="74"/>
      <c r="I179" s="74" t="s">
        <v>391</v>
      </c>
      <c r="J179" s="74"/>
      <c r="K179" s="74">
        <v>102.4</v>
      </c>
      <c r="L179" s="74">
        <v>92.16</v>
      </c>
      <c r="M179" s="74"/>
      <c r="N179" s="74" t="s">
        <v>392</v>
      </c>
      <c r="O179" s="74" t="s">
        <v>402</v>
      </c>
      <c r="P179" s="74" t="s">
        <v>11974</v>
      </c>
      <c r="Q179" s="74" t="s">
        <v>11975</v>
      </c>
    </row>
    <row r="180" spans="3:17" x14ac:dyDescent="0.25">
      <c r="C180" s="74" t="s">
        <v>3036</v>
      </c>
      <c r="D180" s="74" t="s">
        <v>3037</v>
      </c>
      <c r="E180" s="74"/>
      <c r="F180" s="74">
        <v>10.8</v>
      </c>
      <c r="G180" s="74"/>
      <c r="H180" s="74"/>
      <c r="I180" s="74" t="s">
        <v>391</v>
      </c>
      <c r="J180" s="74"/>
      <c r="K180" s="74">
        <v>102.4</v>
      </c>
      <c r="L180" s="74">
        <v>92.16</v>
      </c>
      <c r="M180" s="74"/>
      <c r="N180" s="74" t="s">
        <v>392</v>
      </c>
      <c r="O180" s="74" t="s">
        <v>402</v>
      </c>
      <c r="P180" s="74" t="s">
        <v>3038</v>
      </c>
      <c r="Q180" s="74" t="s">
        <v>3039</v>
      </c>
    </row>
    <row r="181" spans="3:17" x14ac:dyDescent="0.25">
      <c r="C181" s="74" t="s">
        <v>7960</v>
      </c>
      <c r="D181" s="74" t="s">
        <v>7961</v>
      </c>
      <c r="E181" s="74"/>
      <c r="F181" s="74">
        <v>10.77</v>
      </c>
      <c r="G181" s="74"/>
      <c r="H181" s="74"/>
      <c r="I181" s="74" t="s">
        <v>391</v>
      </c>
      <c r="J181" s="74"/>
      <c r="K181" s="74">
        <v>102.4</v>
      </c>
      <c r="L181" s="74">
        <v>92.16</v>
      </c>
      <c r="M181" s="74"/>
      <c r="N181" s="74" t="s">
        <v>392</v>
      </c>
      <c r="O181" s="74" t="s">
        <v>402</v>
      </c>
      <c r="P181" s="74" t="s">
        <v>7962</v>
      </c>
      <c r="Q181" s="74" t="s">
        <v>7963</v>
      </c>
    </row>
    <row r="182" spans="3:17" x14ac:dyDescent="0.25">
      <c r="C182" s="74" t="s">
        <v>4685</v>
      </c>
      <c r="D182" s="74" t="s">
        <v>4686</v>
      </c>
      <c r="E182" s="74"/>
      <c r="F182" s="74">
        <v>10.71</v>
      </c>
      <c r="G182" s="74"/>
      <c r="H182" s="74"/>
      <c r="I182" s="74" t="s">
        <v>391</v>
      </c>
      <c r="J182" s="74"/>
      <c r="K182" s="74">
        <v>102.4</v>
      </c>
      <c r="L182" s="74">
        <v>92.16</v>
      </c>
      <c r="M182" s="74"/>
      <c r="N182" s="74" t="s">
        <v>392</v>
      </c>
      <c r="O182" s="74" t="s">
        <v>402</v>
      </c>
      <c r="P182" s="74" t="s">
        <v>4687</v>
      </c>
      <c r="Q182" s="74" t="s">
        <v>4688</v>
      </c>
    </row>
    <row r="183" spans="3:17" x14ac:dyDescent="0.25">
      <c r="C183" s="74" t="s">
        <v>14369</v>
      </c>
      <c r="D183" s="74" t="s">
        <v>14370</v>
      </c>
      <c r="E183" s="74"/>
      <c r="F183" s="74">
        <v>10.7</v>
      </c>
      <c r="G183" s="74"/>
      <c r="H183" s="74"/>
      <c r="I183" s="74" t="s">
        <v>391</v>
      </c>
      <c r="J183" s="74"/>
      <c r="K183" s="74">
        <v>102.4</v>
      </c>
      <c r="L183" s="74">
        <v>92.16</v>
      </c>
      <c r="M183" s="74"/>
      <c r="N183" s="74" t="s">
        <v>392</v>
      </c>
      <c r="O183" s="74" t="s">
        <v>402</v>
      </c>
      <c r="P183" s="74" t="s">
        <v>14371</v>
      </c>
      <c r="Q183" s="74" t="s">
        <v>14372</v>
      </c>
    </row>
    <row r="184" spans="3:17" x14ac:dyDescent="0.25">
      <c r="C184" s="74" t="s">
        <v>14726</v>
      </c>
      <c r="D184" s="74" t="s">
        <v>14727</v>
      </c>
      <c r="E184" s="74"/>
      <c r="F184" s="74">
        <v>10.69</v>
      </c>
      <c r="G184" s="74"/>
      <c r="H184" s="74"/>
      <c r="I184" s="74" t="s">
        <v>391</v>
      </c>
      <c r="J184" s="74"/>
      <c r="K184" s="74">
        <v>102.4</v>
      </c>
      <c r="L184" s="74">
        <v>92.16</v>
      </c>
      <c r="M184" s="74"/>
      <c r="N184" s="74" t="s">
        <v>392</v>
      </c>
      <c r="O184" s="74" t="s">
        <v>402</v>
      </c>
      <c r="P184" s="74" t="s">
        <v>14728</v>
      </c>
      <c r="Q184" s="74" t="s">
        <v>14729</v>
      </c>
    </row>
    <row r="185" spans="3:17" x14ac:dyDescent="0.25">
      <c r="C185" s="74" t="s">
        <v>2817</v>
      </c>
      <c r="D185" s="74" t="s">
        <v>2818</v>
      </c>
      <c r="E185" s="74"/>
      <c r="F185" s="74">
        <v>10.59</v>
      </c>
      <c r="G185" s="74"/>
      <c r="H185" s="74"/>
      <c r="I185" s="74" t="s">
        <v>391</v>
      </c>
      <c r="J185" s="74"/>
      <c r="K185" s="74">
        <v>102.4</v>
      </c>
      <c r="L185" s="74">
        <v>92.16</v>
      </c>
      <c r="M185" s="74"/>
      <c r="N185" s="74" t="s">
        <v>392</v>
      </c>
      <c r="O185" s="74" t="s">
        <v>402</v>
      </c>
      <c r="P185" s="74" t="s">
        <v>2819</v>
      </c>
      <c r="Q185" s="74" t="s">
        <v>2820</v>
      </c>
    </row>
    <row r="186" spans="3:17" x14ac:dyDescent="0.25">
      <c r="C186" s="74" t="s">
        <v>9957</v>
      </c>
      <c r="D186" s="74" t="s">
        <v>9958</v>
      </c>
      <c r="E186" s="74"/>
      <c r="F186" s="74">
        <v>10.57</v>
      </c>
      <c r="G186" s="74"/>
      <c r="H186" s="74"/>
      <c r="I186" s="74" t="s">
        <v>391</v>
      </c>
      <c r="J186" s="74"/>
      <c r="K186" s="74">
        <v>102.4</v>
      </c>
      <c r="L186" s="74">
        <v>92.16</v>
      </c>
      <c r="M186" s="74"/>
      <c r="N186" s="74" t="s">
        <v>392</v>
      </c>
      <c r="O186" s="74" t="s">
        <v>402</v>
      </c>
      <c r="P186" s="74" t="s">
        <v>9959</v>
      </c>
      <c r="Q186" s="74" t="s">
        <v>9960</v>
      </c>
    </row>
    <row r="187" spans="3:17" x14ac:dyDescent="0.25">
      <c r="C187" s="74" t="s">
        <v>17585</v>
      </c>
      <c r="D187" s="74" t="s">
        <v>17586</v>
      </c>
      <c r="E187" s="74"/>
      <c r="F187" s="74">
        <v>10.49</v>
      </c>
      <c r="G187" s="74"/>
      <c r="H187" s="74"/>
      <c r="I187" s="74" t="s">
        <v>391</v>
      </c>
      <c r="J187" s="74"/>
      <c r="K187" s="74">
        <v>102.4</v>
      </c>
      <c r="L187" s="74">
        <v>92.16</v>
      </c>
      <c r="M187" s="74"/>
      <c r="N187" s="74" t="s">
        <v>392</v>
      </c>
      <c r="O187" s="74" t="s">
        <v>402</v>
      </c>
      <c r="P187" s="74" t="s">
        <v>17587</v>
      </c>
      <c r="Q187" s="74" t="s">
        <v>17588</v>
      </c>
    </row>
    <row r="188" spans="3:17" x14ac:dyDescent="0.25">
      <c r="C188" s="74" t="s">
        <v>13901</v>
      </c>
      <c r="D188" s="74" t="s">
        <v>13902</v>
      </c>
      <c r="E188" s="74"/>
      <c r="F188" s="74">
        <v>10.48</v>
      </c>
      <c r="G188" s="74"/>
      <c r="H188" s="74"/>
      <c r="I188" s="74" t="s">
        <v>391</v>
      </c>
      <c r="J188" s="74"/>
      <c r="K188" s="74">
        <v>102.4</v>
      </c>
      <c r="L188" s="74">
        <v>92.16</v>
      </c>
      <c r="M188" s="74"/>
      <c r="N188" s="74" t="s">
        <v>392</v>
      </c>
      <c r="O188" s="74" t="s">
        <v>402</v>
      </c>
      <c r="P188" s="74" t="s">
        <v>13903</v>
      </c>
      <c r="Q188" s="74" t="s">
        <v>13904</v>
      </c>
    </row>
    <row r="189" spans="3:17" x14ac:dyDescent="0.25">
      <c r="C189" s="74" t="s">
        <v>8136</v>
      </c>
      <c r="D189" s="74" t="s">
        <v>8137</v>
      </c>
      <c r="E189" s="74"/>
      <c r="F189" s="74">
        <v>10.42</v>
      </c>
      <c r="G189" s="74"/>
      <c r="H189" s="74"/>
      <c r="I189" s="74" t="s">
        <v>391</v>
      </c>
      <c r="J189" s="74"/>
      <c r="K189" s="74">
        <v>102.4</v>
      </c>
      <c r="L189" s="74">
        <v>92.16</v>
      </c>
      <c r="M189" s="74"/>
      <c r="N189" s="74" t="s">
        <v>392</v>
      </c>
      <c r="O189" s="74" t="s">
        <v>402</v>
      </c>
      <c r="P189" s="74" t="s">
        <v>8138</v>
      </c>
      <c r="Q189" s="74" t="s">
        <v>8139</v>
      </c>
    </row>
    <row r="190" spans="3:17" x14ac:dyDescent="0.25">
      <c r="C190" s="74" t="s">
        <v>5346</v>
      </c>
      <c r="D190" s="74" t="s">
        <v>5347</v>
      </c>
      <c r="E190" s="74" t="s">
        <v>391</v>
      </c>
      <c r="F190" s="74">
        <v>10.39</v>
      </c>
      <c r="G190" s="74"/>
      <c r="H190" s="74"/>
      <c r="I190" s="74" t="s">
        <v>391</v>
      </c>
      <c r="J190" s="74"/>
      <c r="K190" s="74">
        <v>102.4</v>
      </c>
      <c r="L190" s="74">
        <v>92.16</v>
      </c>
      <c r="M190" s="74"/>
      <c r="N190" s="74" t="s">
        <v>392</v>
      </c>
      <c r="O190" s="74" t="s">
        <v>393</v>
      </c>
      <c r="P190" s="74" t="s">
        <v>5348</v>
      </c>
      <c r="Q190" s="74" t="s">
        <v>5349</v>
      </c>
    </row>
    <row r="191" spans="3:17" x14ac:dyDescent="0.25">
      <c r="C191" s="74" t="s">
        <v>9057</v>
      </c>
      <c r="D191" s="74" t="s">
        <v>9058</v>
      </c>
      <c r="E191" s="74"/>
      <c r="F191" s="74">
        <v>10.35</v>
      </c>
      <c r="G191" s="74"/>
      <c r="H191" s="74"/>
      <c r="I191" s="74" t="s">
        <v>391</v>
      </c>
      <c r="J191" s="74"/>
      <c r="K191" s="74">
        <v>102.4</v>
      </c>
      <c r="L191" s="74">
        <v>92.16</v>
      </c>
      <c r="M191" s="74"/>
      <c r="N191" s="74" t="s">
        <v>392</v>
      </c>
      <c r="O191" s="74" t="s">
        <v>402</v>
      </c>
      <c r="P191" s="74" t="s">
        <v>9059</v>
      </c>
      <c r="Q191" s="74" t="s">
        <v>9060</v>
      </c>
    </row>
    <row r="192" spans="3:17" x14ac:dyDescent="0.25">
      <c r="C192" s="74" t="s">
        <v>6429</v>
      </c>
      <c r="D192" s="74" t="s">
        <v>6430</v>
      </c>
      <c r="E192" s="74"/>
      <c r="F192" s="74">
        <v>10.34</v>
      </c>
      <c r="G192" s="74"/>
      <c r="H192" s="74"/>
      <c r="I192" s="74" t="s">
        <v>391</v>
      </c>
      <c r="J192" s="74"/>
      <c r="K192" s="74">
        <v>102.4</v>
      </c>
      <c r="L192" s="74">
        <v>92.16</v>
      </c>
      <c r="M192" s="74"/>
      <c r="N192" s="74" t="s">
        <v>392</v>
      </c>
      <c r="O192" s="74" t="s">
        <v>402</v>
      </c>
      <c r="P192" s="74" t="s">
        <v>6431</v>
      </c>
      <c r="Q192" s="74" t="s">
        <v>6432</v>
      </c>
    </row>
    <row r="193" spans="3:17" x14ac:dyDescent="0.25">
      <c r="C193" s="74" t="s">
        <v>10242</v>
      </c>
      <c r="D193" s="74" t="s">
        <v>10243</v>
      </c>
      <c r="E193" s="74"/>
      <c r="F193" s="74">
        <v>10.28</v>
      </c>
      <c r="G193" s="74"/>
      <c r="H193" s="74"/>
      <c r="I193" s="74" t="s">
        <v>391</v>
      </c>
      <c r="J193" s="74"/>
      <c r="K193" s="74">
        <v>102.4</v>
      </c>
      <c r="L193" s="74">
        <v>92.16</v>
      </c>
      <c r="M193" s="74"/>
      <c r="N193" s="74" t="s">
        <v>392</v>
      </c>
      <c r="O193" s="74" t="s">
        <v>402</v>
      </c>
      <c r="P193" s="74" t="s">
        <v>10244</v>
      </c>
      <c r="Q193" s="74" t="s">
        <v>10245</v>
      </c>
    </row>
    <row r="194" spans="3:17" x14ac:dyDescent="0.25">
      <c r="C194" s="74" t="s">
        <v>2848</v>
      </c>
      <c r="D194" s="74" t="s">
        <v>2849</v>
      </c>
      <c r="E194" s="74"/>
      <c r="F194" s="74">
        <v>10.17</v>
      </c>
      <c r="G194" s="74"/>
      <c r="H194" s="74"/>
      <c r="I194" s="74" t="s">
        <v>391</v>
      </c>
      <c r="J194" s="74"/>
      <c r="K194" s="74">
        <v>102.4</v>
      </c>
      <c r="L194" s="74">
        <v>92.16</v>
      </c>
      <c r="M194" s="74"/>
      <c r="N194" s="74" t="s">
        <v>392</v>
      </c>
      <c r="O194" s="74" t="s">
        <v>402</v>
      </c>
      <c r="P194" s="74" t="s">
        <v>2850</v>
      </c>
      <c r="Q194" s="74" t="s">
        <v>2851</v>
      </c>
    </row>
    <row r="195" spans="3:17" x14ac:dyDescent="0.25">
      <c r="C195" s="74" t="s">
        <v>10896</v>
      </c>
      <c r="D195" s="74" t="s">
        <v>10897</v>
      </c>
      <c r="E195" s="74"/>
      <c r="F195" s="74">
        <v>10.14</v>
      </c>
      <c r="G195" s="74"/>
      <c r="H195" s="74"/>
      <c r="I195" s="74" t="s">
        <v>391</v>
      </c>
      <c r="J195" s="74"/>
      <c r="K195" s="74">
        <v>102.4</v>
      </c>
      <c r="L195" s="74">
        <v>92.16</v>
      </c>
      <c r="M195" s="74"/>
      <c r="N195" s="74" t="s">
        <v>392</v>
      </c>
      <c r="O195" s="74" t="s">
        <v>402</v>
      </c>
      <c r="P195" s="74" t="s">
        <v>10898</v>
      </c>
      <c r="Q195" s="74" t="s">
        <v>10899</v>
      </c>
    </row>
    <row r="196" spans="3:17" x14ac:dyDescent="0.25">
      <c r="C196" s="74" t="s">
        <v>7610</v>
      </c>
      <c r="D196" s="74" t="s">
        <v>7611</v>
      </c>
      <c r="E196" s="74"/>
      <c r="F196" s="74">
        <v>10.11</v>
      </c>
      <c r="G196" s="74"/>
      <c r="H196" s="74"/>
      <c r="I196" s="74" t="s">
        <v>391</v>
      </c>
      <c r="J196" s="74"/>
      <c r="K196" s="74">
        <v>102.4</v>
      </c>
      <c r="L196" s="74">
        <v>92.16</v>
      </c>
      <c r="M196" s="74"/>
      <c r="N196" s="74" t="s">
        <v>392</v>
      </c>
      <c r="O196" s="74" t="s">
        <v>402</v>
      </c>
      <c r="P196" s="74" t="s">
        <v>7612</v>
      </c>
      <c r="Q196" s="74" t="s">
        <v>7613</v>
      </c>
    </row>
    <row r="197" spans="3:17" x14ac:dyDescent="0.25">
      <c r="C197" s="74" t="s">
        <v>14975</v>
      </c>
      <c r="D197" s="74" t="s">
        <v>14976</v>
      </c>
      <c r="E197" s="74"/>
      <c r="F197" s="74">
        <v>10.11</v>
      </c>
      <c r="G197" s="74"/>
      <c r="H197" s="74"/>
      <c r="I197" s="74" t="s">
        <v>391</v>
      </c>
      <c r="J197" s="74"/>
      <c r="K197" s="74">
        <v>102.4</v>
      </c>
      <c r="L197" s="74">
        <v>92.16</v>
      </c>
      <c r="M197" s="74"/>
      <c r="N197" s="74" t="s">
        <v>392</v>
      </c>
      <c r="O197" s="74" t="s">
        <v>402</v>
      </c>
      <c r="P197" s="74" t="s">
        <v>14977</v>
      </c>
      <c r="Q197" s="74" t="s">
        <v>14978</v>
      </c>
    </row>
    <row r="198" spans="3:17" x14ac:dyDescent="0.25">
      <c r="C198" s="74" t="s">
        <v>3395</v>
      </c>
      <c r="D198" s="74" t="s">
        <v>3396</v>
      </c>
      <c r="E198" s="74"/>
      <c r="F198" s="74">
        <v>10</v>
      </c>
      <c r="G198" s="74"/>
      <c r="H198" s="74"/>
      <c r="I198" s="74" t="s">
        <v>391</v>
      </c>
      <c r="J198" s="74"/>
      <c r="K198" s="74">
        <v>102.4</v>
      </c>
      <c r="L198" s="74">
        <v>92.16</v>
      </c>
      <c r="M198" s="74"/>
      <c r="N198" s="74" t="s">
        <v>392</v>
      </c>
      <c r="O198" s="74" t="s">
        <v>402</v>
      </c>
      <c r="P198" s="74" t="s">
        <v>3397</v>
      </c>
      <c r="Q198" s="74" t="s">
        <v>3398</v>
      </c>
    </row>
    <row r="199" spans="3:17" x14ac:dyDescent="0.25">
      <c r="C199" s="74" t="s">
        <v>11850</v>
      </c>
      <c r="D199" s="74" t="s">
        <v>11851</v>
      </c>
      <c r="E199" s="74"/>
      <c r="F199" s="74">
        <v>10</v>
      </c>
      <c r="G199" s="74"/>
      <c r="H199" s="74"/>
      <c r="I199" s="74" t="s">
        <v>391</v>
      </c>
      <c r="J199" s="74"/>
      <c r="K199" s="74">
        <v>102.4</v>
      </c>
      <c r="L199" s="74">
        <v>92.16</v>
      </c>
      <c r="M199" s="74"/>
      <c r="N199" s="74" t="s">
        <v>392</v>
      </c>
      <c r="O199" s="74" t="s">
        <v>402</v>
      </c>
      <c r="P199" s="74" t="s">
        <v>11852</v>
      </c>
      <c r="Q199" s="74" t="s">
        <v>11853</v>
      </c>
    </row>
    <row r="200" spans="3:17" x14ac:dyDescent="0.25">
      <c r="C200" s="158" t="s">
        <v>6004</v>
      </c>
      <c r="D200" s="158" t="s">
        <v>6005</v>
      </c>
      <c r="F200" s="158">
        <v>9.9600000000000009</v>
      </c>
      <c r="I200" s="158" t="s">
        <v>391</v>
      </c>
      <c r="K200" s="158">
        <v>102.4</v>
      </c>
      <c r="L200" s="158">
        <v>92.16</v>
      </c>
      <c r="N200" s="158" t="s">
        <v>392</v>
      </c>
      <c r="O200" s="158" t="s">
        <v>402</v>
      </c>
      <c r="P200" s="158" t="s">
        <v>6006</v>
      </c>
      <c r="Q200" s="158" t="s">
        <v>6007</v>
      </c>
    </row>
    <row r="201" spans="3:17" x14ac:dyDescent="0.25">
      <c r="C201" s="74" t="s">
        <v>4990</v>
      </c>
      <c r="D201" s="74" t="s">
        <v>4991</v>
      </c>
      <c r="E201" s="74"/>
      <c r="F201" s="74">
        <v>9.94</v>
      </c>
      <c r="G201" s="74"/>
      <c r="H201" s="74"/>
      <c r="I201" s="74" t="s">
        <v>391</v>
      </c>
      <c r="J201" s="74"/>
      <c r="K201" s="74">
        <v>102.4</v>
      </c>
      <c r="L201" s="74">
        <v>92.16</v>
      </c>
      <c r="M201" s="74"/>
      <c r="N201" s="74" t="s">
        <v>392</v>
      </c>
      <c r="O201" s="74" t="s">
        <v>402</v>
      </c>
      <c r="P201" s="74" t="s">
        <v>4992</v>
      </c>
      <c r="Q201" s="74" t="s">
        <v>4993</v>
      </c>
    </row>
    <row r="202" spans="3:17" x14ac:dyDescent="0.25">
      <c r="C202" s="74" t="s">
        <v>11053</v>
      </c>
      <c r="D202" s="74" t="s">
        <v>11054</v>
      </c>
      <c r="E202" s="74"/>
      <c r="F202" s="74">
        <v>9.93</v>
      </c>
      <c r="G202" s="74"/>
      <c r="H202" s="74"/>
      <c r="I202" s="74" t="s">
        <v>391</v>
      </c>
      <c r="J202" s="74"/>
      <c r="K202" s="74">
        <v>102.4</v>
      </c>
      <c r="L202" s="74">
        <v>92.16</v>
      </c>
      <c r="M202" s="74"/>
      <c r="N202" s="74" t="s">
        <v>392</v>
      </c>
      <c r="O202" s="74" t="s">
        <v>402</v>
      </c>
      <c r="P202" s="74" t="s">
        <v>11055</v>
      </c>
      <c r="Q202" s="74" t="s">
        <v>11056</v>
      </c>
    </row>
    <row r="203" spans="3:17" x14ac:dyDescent="0.25">
      <c r="C203" s="74" t="s">
        <v>19012</v>
      </c>
      <c r="D203" s="74" t="s">
        <v>19013</v>
      </c>
      <c r="E203" s="74" t="s">
        <v>391</v>
      </c>
      <c r="F203" s="74">
        <v>9.9</v>
      </c>
      <c r="G203" s="74"/>
      <c r="H203" s="74"/>
      <c r="I203" s="74" t="s">
        <v>391</v>
      </c>
      <c r="J203" s="74"/>
      <c r="K203" s="74">
        <v>102.4</v>
      </c>
      <c r="L203" s="74">
        <v>92.16</v>
      </c>
      <c r="M203" s="74"/>
      <c r="N203" s="74" t="s">
        <v>392</v>
      </c>
      <c r="O203" s="74" t="s">
        <v>402</v>
      </c>
      <c r="P203" s="74" t="s">
        <v>19014</v>
      </c>
      <c r="Q203" s="74" t="s">
        <v>19015</v>
      </c>
    </row>
    <row r="204" spans="3:17" x14ac:dyDescent="0.25">
      <c r="C204" s="74" t="s">
        <v>10722</v>
      </c>
      <c r="D204" s="74" t="s">
        <v>10723</v>
      </c>
      <c r="E204" s="74"/>
      <c r="F204" s="74">
        <v>9.89</v>
      </c>
      <c r="G204" s="74"/>
      <c r="H204" s="74"/>
      <c r="I204" s="74" t="s">
        <v>391</v>
      </c>
      <c r="J204" s="74"/>
      <c r="K204" s="74">
        <v>102.4</v>
      </c>
      <c r="L204" s="74">
        <v>92.16</v>
      </c>
      <c r="M204" s="74"/>
      <c r="N204" s="74" t="s">
        <v>392</v>
      </c>
      <c r="O204" s="74" t="s">
        <v>402</v>
      </c>
      <c r="P204" s="74" t="s">
        <v>10724</v>
      </c>
      <c r="Q204" s="74" t="s">
        <v>10725</v>
      </c>
    </row>
    <row r="205" spans="3:17" x14ac:dyDescent="0.25">
      <c r="C205" s="74" t="s">
        <v>15262</v>
      </c>
      <c r="D205" s="74" t="s">
        <v>15263</v>
      </c>
      <c r="E205" s="74"/>
      <c r="F205" s="74">
        <v>9.86</v>
      </c>
      <c r="G205" s="74"/>
      <c r="H205" s="74"/>
      <c r="I205" s="74" t="s">
        <v>391</v>
      </c>
      <c r="J205" s="74"/>
      <c r="K205" s="74">
        <v>102.4</v>
      </c>
      <c r="L205" s="74">
        <v>92.16</v>
      </c>
      <c r="M205" s="74"/>
      <c r="N205" s="74" t="s">
        <v>392</v>
      </c>
      <c r="O205" s="74" t="s">
        <v>402</v>
      </c>
      <c r="P205" s="74" t="s">
        <v>15264</v>
      </c>
      <c r="Q205" s="74" t="s">
        <v>15265</v>
      </c>
    </row>
    <row r="206" spans="3:17" x14ac:dyDescent="0.25">
      <c r="C206" s="74" t="s">
        <v>13257</v>
      </c>
      <c r="D206" s="74" t="s">
        <v>13258</v>
      </c>
      <c r="E206" s="74"/>
      <c r="F206" s="74">
        <v>9.7799999999999994</v>
      </c>
      <c r="G206" s="74"/>
      <c r="H206" s="74"/>
      <c r="I206" s="74" t="s">
        <v>391</v>
      </c>
      <c r="J206" s="74"/>
      <c r="K206" s="74">
        <v>102.4</v>
      </c>
      <c r="L206" s="74">
        <v>92.16</v>
      </c>
      <c r="M206" s="74"/>
      <c r="N206" s="74" t="s">
        <v>392</v>
      </c>
      <c r="O206" s="74" t="s">
        <v>402</v>
      </c>
      <c r="P206" s="74" t="s">
        <v>13259</v>
      </c>
      <c r="Q206" s="74" t="s">
        <v>13260</v>
      </c>
    </row>
    <row r="207" spans="3:17" x14ac:dyDescent="0.25">
      <c r="C207" s="74" t="s">
        <v>7039</v>
      </c>
      <c r="D207" s="74" t="s">
        <v>7040</v>
      </c>
      <c r="E207" s="74"/>
      <c r="F207" s="74">
        <v>9.6999999999999993</v>
      </c>
      <c r="G207" s="74"/>
      <c r="H207" s="74"/>
      <c r="I207" s="74" t="s">
        <v>391</v>
      </c>
      <c r="J207" s="74"/>
      <c r="K207" s="74">
        <v>102.4</v>
      </c>
      <c r="L207" s="74">
        <v>92.16</v>
      </c>
      <c r="M207" s="74"/>
      <c r="N207" s="74" t="s">
        <v>392</v>
      </c>
      <c r="O207" s="74" t="s">
        <v>402</v>
      </c>
      <c r="P207" s="74" t="s">
        <v>7041</v>
      </c>
      <c r="Q207" s="74" t="s">
        <v>7042</v>
      </c>
    </row>
    <row r="208" spans="3:17" x14ac:dyDescent="0.25">
      <c r="C208" s="74" t="s">
        <v>10866</v>
      </c>
      <c r="D208" s="74" t="s">
        <v>10867</v>
      </c>
      <c r="E208" s="74"/>
      <c r="F208" s="74">
        <v>9.66</v>
      </c>
      <c r="G208" s="74"/>
      <c r="H208" s="74"/>
      <c r="I208" s="74" t="s">
        <v>391</v>
      </c>
      <c r="J208" s="74"/>
      <c r="K208" s="74">
        <v>102.4</v>
      </c>
      <c r="L208" s="74">
        <v>92.16</v>
      </c>
      <c r="M208" s="74"/>
      <c r="N208" s="74" t="s">
        <v>392</v>
      </c>
      <c r="O208" s="74" t="s">
        <v>402</v>
      </c>
      <c r="P208" s="74" t="s">
        <v>10868</v>
      </c>
      <c r="Q208" s="74" t="s">
        <v>10869</v>
      </c>
    </row>
    <row r="209" spans="3:17" x14ac:dyDescent="0.25">
      <c r="C209" s="74" t="s">
        <v>14289</v>
      </c>
      <c r="D209" s="74" t="s">
        <v>14290</v>
      </c>
      <c r="E209" s="74"/>
      <c r="F209" s="74">
        <v>9.66</v>
      </c>
      <c r="G209" s="74"/>
      <c r="H209" s="74"/>
      <c r="I209" s="74" t="s">
        <v>391</v>
      </c>
      <c r="J209" s="74"/>
      <c r="K209" s="74">
        <v>102.4</v>
      </c>
      <c r="L209" s="74">
        <v>92.16</v>
      </c>
      <c r="M209" s="74"/>
      <c r="N209" s="74" t="s">
        <v>392</v>
      </c>
      <c r="O209" s="74" t="s">
        <v>402</v>
      </c>
      <c r="P209" s="74" t="s">
        <v>14291</v>
      </c>
      <c r="Q209" s="74" t="s">
        <v>14292</v>
      </c>
    </row>
    <row r="210" spans="3:17" x14ac:dyDescent="0.25">
      <c r="C210" s="74" t="s">
        <v>2444</v>
      </c>
      <c r="D210" s="74" t="s">
        <v>2445</v>
      </c>
      <c r="E210" s="74"/>
      <c r="F210" s="74">
        <v>9.51</v>
      </c>
      <c r="G210" s="74"/>
      <c r="H210" s="74"/>
      <c r="I210" s="74" t="s">
        <v>391</v>
      </c>
      <c r="J210" s="74"/>
      <c r="K210" s="74">
        <v>102.4</v>
      </c>
      <c r="L210" s="74">
        <v>92.16</v>
      </c>
      <c r="M210" s="74"/>
      <c r="N210" s="74" t="s">
        <v>392</v>
      </c>
      <c r="O210" s="74" t="s">
        <v>402</v>
      </c>
      <c r="P210" s="74" t="s">
        <v>2446</v>
      </c>
      <c r="Q210" s="74" t="s">
        <v>2447</v>
      </c>
    </row>
    <row r="211" spans="3:17" x14ac:dyDescent="0.25">
      <c r="C211" s="74" t="s">
        <v>14521</v>
      </c>
      <c r="D211" s="74" t="s">
        <v>14522</v>
      </c>
      <c r="E211" s="74"/>
      <c r="F211" s="74">
        <v>9.51</v>
      </c>
      <c r="G211" s="74"/>
      <c r="H211" s="74"/>
      <c r="I211" s="74" t="s">
        <v>391</v>
      </c>
      <c r="J211" s="74"/>
      <c r="K211" s="74">
        <v>102.4</v>
      </c>
      <c r="L211" s="74">
        <v>92.16</v>
      </c>
      <c r="M211" s="74"/>
      <c r="N211" s="74" t="s">
        <v>392</v>
      </c>
      <c r="O211" s="74" t="s">
        <v>402</v>
      </c>
      <c r="P211" s="74" t="s">
        <v>14523</v>
      </c>
      <c r="Q211" s="74" t="s">
        <v>14524</v>
      </c>
    </row>
    <row r="212" spans="3:17" x14ac:dyDescent="0.25">
      <c r="C212" s="74" t="s">
        <v>7386</v>
      </c>
      <c r="D212" s="74" t="s">
        <v>7387</v>
      </c>
      <c r="E212" s="74"/>
      <c r="F212" s="74">
        <v>9.41</v>
      </c>
      <c r="G212" s="74"/>
      <c r="H212" s="74"/>
      <c r="I212" s="74" t="s">
        <v>391</v>
      </c>
      <c r="J212" s="74"/>
      <c r="K212" s="74">
        <v>102.4</v>
      </c>
      <c r="L212" s="74">
        <v>92.16</v>
      </c>
      <c r="M212" s="74"/>
      <c r="N212" s="74" t="s">
        <v>392</v>
      </c>
      <c r="O212" s="74" t="s">
        <v>402</v>
      </c>
      <c r="P212" s="74" t="s">
        <v>7388</v>
      </c>
      <c r="Q212" s="74" t="s">
        <v>7389</v>
      </c>
    </row>
    <row r="213" spans="3:17" x14ac:dyDescent="0.25">
      <c r="C213" s="74" t="s">
        <v>21121</v>
      </c>
      <c r="D213" s="74" t="s">
        <v>21122</v>
      </c>
      <c r="E213" s="74"/>
      <c r="F213" s="74">
        <v>9.36</v>
      </c>
      <c r="G213" s="74"/>
      <c r="H213" s="74"/>
      <c r="I213" s="74" t="s">
        <v>391</v>
      </c>
      <c r="J213" s="74"/>
      <c r="K213" s="74">
        <v>102.4</v>
      </c>
      <c r="L213" s="74">
        <v>92.16</v>
      </c>
      <c r="M213" s="74"/>
      <c r="N213" s="74" t="s">
        <v>392</v>
      </c>
      <c r="O213" s="74" t="s">
        <v>402</v>
      </c>
      <c r="P213" s="74" t="s">
        <v>21123</v>
      </c>
      <c r="Q213" s="74" t="s">
        <v>21124</v>
      </c>
    </row>
    <row r="214" spans="3:17" x14ac:dyDescent="0.25">
      <c r="C214" s="74" t="s">
        <v>13867</v>
      </c>
      <c r="D214" s="74" t="s">
        <v>13868</v>
      </c>
      <c r="E214" s="74"/>
      <c r="F214" s="74">
        <v>9.35</v>
      </c>
      <c r="G214" s="74"/>
      <c r="H214" s="74"/>
      <c r="I214" s="74" t="s">
        <v>391</v>
      </c>
      <c r="J214" s="74"/>
      <c r="K214" s="74">
        <v>102.4</v>
      </c>
      <c r="L214" s="74">
        <v>92.16</v>
      </c>
      <c r="M214" s="74"/>
      <c r="N214" s="74" t="s">
        <v>392</v>
      </c>
      <c r="O214" s="74" t="s">
        <v>402</v>
      </c>
      <c r="P214" s="74" t="s">
        <v>13869</v>
      </c>
      <c r="Q214" s="74" t="s">
        <v>13870</v>
      </c>
    </row>
    <row r="215" spans="3:17" x14ac:dyDescent="0.25">
      <c r="C215" s="74" t="s">
        <v>2829</v>
      </c>
      <c r="D215" s="74" t="s">
        <v>2830</v>
      </c>
      <c r="E215" s="74"/>
      <c r="F215" s="74">
        <v>9.2899999999999991</v>
      </c>
      <c r="G215" s="74"/>
      <c r="H215" s="74"/>
      <c r="I215" s="74" t="s">
        <v>391</v>
      </c>
      <c r="J215" s="74"/>
      <c r="K215" s="74">
        <v>102.4</v>
      </c>
      <c r="L215" s="74">
        <v>92.16</v>
      </c>
      <c r="M215" s="74"/>
      <c r="N215" s="74" t="s">
        <v>392</v>
      </c>
      <c r="O215" s="74" t="s">
        <v>402</v>
      </c>
      <c r="P215" s="74" t="s">
        <v>2831</v>
      </c>
      <c r="Q215" s="74" t="s">
        <v>2832</v>
      </c>
    </row>
    <row r="216" spans="3:17" x14ac:dyDescent="0.25">
      <c r="C216" s="74" t="s">
        <v>4126</v>
      </c>
      <c r="D216" s="74" t="s">
        <v>4127</v>
      </c>
      <c r="E216" s="74"/>
      <c r="F216" s="74">
        <v>9.24</v>
      </c>
      <c r="G216" s="74"/>
      <c r="H216" s="74"/>
      <c r="I216" s="74" t="s">
        <v>391</v>
      </c>
      <c r="J216" s="74"/>
      <c r="K216" s="74">
        <v>102.4</v>
      </c>
      <c r="L216" s="74">
        <v>92.16</v>
      </c>
      <c r="M216" s="74"/>
      <c r="N216" s="74" t="s">
        <v>392</v>
      </c>
      <c r="O216" s="74" t="s">
        <v>402</v>
      </c>
      <c r="P216" s="74" t="s">
        <v>4128</v>
      </c>
      <c r="Q216" s="74" t="s">
        <v>4129</v>
      </c>
    </row>
    <row r="217" spans="3:17" x14ac:dyDescent="0.25">
      <c r="C217" s="158" t="s">
        <v>21188</v>
      </c>
      <c r="D217" s="158" t="s">
        <v>21189</v>
      </c>
      <c r="F217" s="158">
        <v>9.23</v>
      </c>
      <c r="I217" s="158" t="s">
        <v>391</v>
      </c>
      <c r="K217" s="158">
        <v>102.4</v>
      </c>
      <c r="L217" s="158">
        <v>92.16</v>
      </c>
      <c r="N217" s="158" t="s">
        <v>392</v>
      </c>
      <c r="O217" s="158" t="s">
        <v>402</v>
      </c>
      <c r="P217" s="158" t="s">
        <v>21190</v>
      </c>
      <c r="Q217" s="158" t="s">
        <v>21191</v>
      </c>
    </row>
    <row r="218" spans="3:17" x14ac:dyDescent="0.25">
      <c r="C218" s="74" t="s">
        <v>8929</v>
      </c>
      <c r="D218" s="74" t="s">
        <v>8930</v>
      </c>
      <c r="E218" s="74"/>
      <c r="F218" s="74">
        <v>9.11</v>
      </c>
      <c r="G218" s="74"/>
      <c r="H218" s="74"/>
      <c r="I218" s="74" t="s">
        <v>391</v>
      </c>
      <c r="J218" s="74"/>
      <c r="K218" s="74">
        <v>102.4</v>
      </c>
      <c r="L218" s="74">
        <v>92.16</v>
      </c>
      <c r="M218" s="74"/>
      <c r="N218" s="74" t="s">
        <v>392</v>
      </c>
      <c r="O218" s="74" t="s">
        <v>402</v>
      </c>
      <c r="P218" s="74" t="s">
        <v>8931</v>
      </c>
      <c r="Q218" s="74" t="s">
        <v>8932</v>
      </c>
    </row>
    <row r="219" spans="3:17" x14ac:dyDescent="0.25">
      <c r="C219" s="74" t="s">
        <v>16420</v>
      </c>
      <c r="D219" s="74" t="s">
        <v>16421</v>
      </c>
      <c r="E219" s="74"/>
      <c r="F219" s="74">
        <v>9.01</v>
      </c>
      <c r="G219" s="74"/>
      <c r="H219" s="74"/>
      <c r="I219" s="74" t="s">
        <v>391</v>
      </c>
      <c r="J219" s="74"/>
      <c r="K219" s="74">
        <v>102.4</v>
      </c>
      <c r="L219" s="74">
        <v>92.16</v>
      </c>
      <c r="M219" s="74"/>
      <c r="N219" s="74" t="s">
        <v>392</v>
      </c>
      <c r="O219" s="74" t="s">
        <v>402</v>
      </c>
      <c r="P219" s="74" t="s">
        <v>16422</v>
      </c>
      <c r="Q219" s="74" t="s">
        <v>16423</v>
      </c>
    </row>
    <row r="220" spans="3:17" x14ac:dyDescent="0.25">
      <c r="C220" s="74" t="s">
        <v>10998</v>
      </c>
      <c r="D220" s="74" t="s">
        <v>10999</v>
      </c>
      <c r="E220" s="74"/>
      <c r="F220" s="74">
        <v>8.98</v>
      </c>
      <c r="G220" s="74"/>
      <c r="H220" s="74"/>
      <c r="I220" s="74" t="s">
        <v>391</v>
      </c>
      <c r="J220" s="74"/>
      <c r="K220" s="74">
        <v>102.4</v>
      </c>
      <c r="L220" s="74">
        <v>92.16</v>
      </c>
      <c r="M220" s="74"/>
      <c r="N220" s="74" t="s">
        <v>392</v>
      </c>
      <c r="O220" s="74" t="s">
        <v>402</v>
      </c>
      <c r="P220" s="74" t="s">
        <v>11000</v>
      </c>
      <c r="Q220" s="74" t="s">
        <v>11001</v>
      </c>
    </row>
    <row r="221" spans="3:17" x14ac:dyDescent="0.25">
      <c r="C221" s="74" t="s">
        <v>3493</v>
      </c>
      <c r="D221" s="74" t="s">
        <v>3494</v>
      </c>
      <c r="E221" s="74"/>
      <c r="F221" s="74">
        <v>8.9499999999999993</v>
      </c>
      <c r="G221" s="74"/>
      <c r="H221" s="74"/>
      <c r="I221" s="74" t="s">
        <v>391</v>
      </c>
      <c r="J221" s="74"/>
      <c r="K221" s="74">
        <v>102.4</v>
      </c>
      <c r="L221" s="74">
        <v>92.16</v>
      </c>
      <c r="M221" s="74"/>
      <c r="N221" s="74" t="s">
        <v>392</v>
      </c>
      <c r="O221" s="74" t="s">
        <v>402</v>
      </c>
      <c r="P221" s="74" t="s">
        <v>3495</v>
      </c>
      <c r="Q221" s="74" t="s">
        <v>3496</v>
      </c>
    </row>
    <row r="222" spans="3:17" x14ac:dyDescent="0.25">
      <c r="C222" s="74" t="s">
        <v>2376</v>
      </c>
      <c r="D222" s="74" t="s">
        <v>2377</v>
      </c>
      <c r="E222" s="74"/>
      <c r="F222" s="74">
        <v>8.93</v>
      </c>
      <c r="G222" s="74"/>
      <c r="H222" s="74"/>
      <c r="I222" s="74" t="s">
        <v>391</v>
      </c>
      <c r="J222" s="74"/>
      <c r="K222" s="74">
        <v>102.4</v>
      </c>
      <c r="L222" s="74">
        <v>92.16</v>
      </c>
      <c r="M222" s="74"/>
      <c r="N222" s="74" t="s">
        <v>392</v>
      </c>
      <c r="O222" s="74" t="s">
        <v>402</v>
      </c>
      <c r="P222" s="74" t="s">
        <v>2378</v>
      </c>
      <c r="Q222" s="74" t="s">
        <v>2379</v>
      </c>
    </row>
    <row r="223" spans="3:17" x14ac:dyDescent="0.25">
      <c r="C223" s="74" t="s">
        <v>17395</v>
      </c>
      <c r="D223" s="74" t="s">
        <v>17396</v>
      </c>
      <c r="E223" s="74"/>
      <c r="F223" s="74">
        <v>8.8699999999999992</v>
      </c>
      <c r="G223" s="74"/>
      <c r="H223" s="74"/>
      <c r="I223" s="74" t="s">
        <v>391</v>
      </c>
      <c r="J223" s="74"/>
      <c r="K223" s="74">
        <v>102.4</v>
      </c>
      <c r="L223" s="74">
        <v>92.16</v>
      </c>
      <c r="M223" s="74"/>
      <c r="N223" s="74" t="s">
        <v>392</v>
      </c>
      <c r="O223" s="74" t="s">
        <v>402</v>
      </c>
      <c r="P223" s="74" t="s">
        <v>17397</v>
      </c>
      <c r="Q223" s="74" t="s">
        <v>17398</v>
      </c>
    </row>
    <row r="224" spans="3:17" x14ac:dyDescent="0.25">
      <c r="C224" s="74" t="s">
        <v>18863</v>
      </c>
      <c r="D224" s="74" t="s">
        <v>18864</v>
      </c>
      <c r="E224" s="74"/>
      <c r="F224" s="74">
        <v>8.84</v>
      </c>
      <c r="G224" s="74"/>
      <c r="H224" s="74"/>
      <c r="I224" s="74" t="s">
        <v>391</v>
      </c>
      <c r="J224" s="74"/>
      <c r="K224" s="74">
        <v>102.4</v>
      </c>
      <c r="L224" s="74">
        <v>92.16</v>
      </c>
      <c r="M224" s="74"/>
      <c r="N224" s="74" t="s">
        <v>392</v>
      </c>
      <c r="O224" s="74" t="s">
        <v>402</v>
      </c>
      <c r="P224" s="74" t="s">
        <v>18865</v>
      </c>
      <c r="Q224" s="74" t="s">
        <v>18866</v>
      </c>
    </row>
    <row r="225" spans="3:17" x14ac:dyDescent="0.25">
      <c r="C225" s="74" t="s">
        <v>19244</v>
      </c>
      <c r="D225" s="74" t="s">
        <v>19245</v>
      </c>
      <c r="E225" s="74"/>
      <c r="F225" s="74">
        <v>8.84</v>
      </c>
      <c r="G225" s="74"/>
      <c r="H225" s="74"/>
      <c r="I225" s="74" t="s">
        <v>391</v>
      </c>
      <c r="J225" s="74"/>
      <c r="K225" s="74">
        <v>102.4</v>
      </c>
      <c r="L225" s="74">
        <v>92.16</v>
      </c>
      <c r="M225" s="74"/>
      <c r="N225" s="74" t="s">
        <v>392</v>
      </c>
      <c r="O225" s="74" t="s">
        <v>402</v>
      </c>
      <c r="P225" s="74" t="s">
        <v>19246</v>
      </c>
      <c r="Q225" s="74" t="s">
        <v>19247</v>
      </c>
    </row>
    <row r="226" spans="3:17" x14ac:dyDescent="0.25">
      <c r="C226" s="74" t="s">
        <v>15973</v>
      </c>
      <c r="D226" s="74" t="s">
        <v>15974</v>
      </c>
      <c r="E226" s="74"/>
      <c r="F226" s="74">
        <v>8.83</v>
      </c>
      <c r="G226" s="74"/>
      <c r="H226" s="74"/>
      <c r="I226" s="74" t="s">
        <v>391</v>
      </c>
      <c r="J226" s="74"/>
      <c r="K226" s="74">
        <v>102.4</v>
      </c>
      <c r="L226" s="74">
        <v>92.16</v>
      </c>
      <c r="M226" s="74"/>
      <c r="N226" s="74" t="s">
        <v>392</v>
      </c>
      <c r="O226" s="74" t="s">
        <v>402</v>
      </c>
      <c r="P226" s="74" t="s">
        <v>15975</v>
      </c>
      <c r="Q226" s="74" t="s">
        <v>15976</v>
      </c>
    </row>
    <row r="227" spans="3:17" x14ac:dyDescent="0.25">
      <c r="C227" s="74" t="s">
        <v>2448</v>
      </c>
      <c r="D227" s="74" t="s">
        <v>2449</v>
      </c>
      <c r="E227" s="74"/>
      <c r="F227" s="74">
        <v>8.7899999999999991</v>
      </c>
      <c r="G227" s="74"/>
      <c r="H227" s="74"/>
      <c r="I227" s="74" t="s">
        <v>391</v>
      </c>
      <c r="J227" s="74"/>
      <c r="K227" s="74">
        <v>102.4</v>
      </c>
      <c r="L227" s="74">
        <v>92.16</v>
      </c>
      <c r="M227" s="74"/>
      <c r="N227" s="74" t="s">
        <v>392</v>
      </c>
      <c r="O227" s="74" t="s">
        <v>402</v>
      </c>
      <c r="P227" s="74" t="s">
        <v>2450</v>
      </c>
      <c r="Q227" s="74" t="s">
        <v>2451</v>
      </c>
    </row>
    <row r="228" spans="3:17" x14ac:dyDescent="0.25">
      <c r="C228" s="74" t="s">
        <v>1240</v>
      </c>
      <c r="D228" s="74" t="s">
        <v>1241</v>
      </c>
      <c r="E228" s="74"/>
      <c r="F228" s="74">
        <v>8.74</v>
      </c>
      <c r="G228" s="74"/>
      <c r="H228" s="74"/>
      <c r="I228" s="74" t="s">
        <v>391</v>
      </c>
      <c r="J228" s="74"/>
      <c r="K228" s="74">
        <v>102.4</v>
      </c>
      <c r="L228" s="74">
        <v>92.16</v>
      </c>
      <c r="M228" s="74"/>
      <c r="N228" s="74" t="s">
        <v>392</v>
      </c>
      <c r="O228" s="74" t="s">
        <v>402</v>
      </c>
      <c r="P228" s="74" t="s">
        <v>1242</v>
      </c>
      <c r="Q228" s="74" t="s">
        <v>1243</v>
      </c>
    </row>
    <row r="229" spans="3:17" x14ac:dyDescent="0.25">
      <c r="C229" s="74" t="s">
        <v>9284</v>
      </c>
      <c r="D229" s="74" t="s">
        <v>9285</v>
      </c>
      <c r="E229" s="74" t="s">
        <v>391</v>
      </c>
      <c r="F229" s="74">
        <v>8.7100000000000009</v>
      </c>
      <c r="G229" s="74"/>
      <c r="H229" s="74"/>
      <c r="I229" s="74" t="s">
        <v>391</v>
      </c>
      <c r="J229" s="74"/>
      <c r="K229" s="74">
        <v>102.4</v>
      </c>
      <c r="L229" s="74">
        <v>92.16</v>
      </c>
      <c r="M229" s="74"/>
      <c r="N229" s="74" t="s">
        <v>392</v>
      </c>
      <c r="O229" s="74" t="s">
        <v>402</v>
      </c>
      <c r="P229" s="74" t="s">
        <v>9286</v>
      </c>
      <c r="Q229" s="74" t="s">
        <v>9287</v>
      </c>
    </row>
    <row r="230" spans="3:17" x14ac:dyDescent="0.25">
      <c r="C230" s="74" t="s">
        <v>14625</v>
      </c>
      <c r="D230" s="74" t="s">
        <v>14626</v>
      </c>
      <c r="E230" s="74"/>
      <c r="F230" s="74">
        <v>8.6999999999999993</v>
      </c>
      <c r="G230" s="74"/>
      <c r="H230" s="74"/>
      <c r="I230" s="74" t="s">
        <v>391</v>
      </c>
      <c r="J230" s="74"/>
      <c r="K230" s="74">
        <v>102.4</v>
      </c>
      <c r="L230" s="74">
        <v>92.16</v>
      </c>
      <c r="M230" s="74"/>
      <c r="N230" s="74" t="s">
        <v>392</v>
      </c>
      <c r="O230" s="74" t="s">
        <v>402</v>
      </c>
      <c r="P230" s="74" t="s">
        <v>14627</v>
      </c>
      <c r="Q230" s="74" t="s">
        <v>14628</v>
      </c>
    </row>
    <row r="231" spans="3:17" x14ac:dyDescent="0.25">
      <c r="C231" s="74" t="s">
        <v>19487</v>
      </c>
      <c r="D231" s="74" t="s">
        <v>19488</v>
      </c>
      <c r="E231" s="74"/>
      <c r="F231" s="74">
        <v>8.69</v>
      </c>
      <c r="G231" s="74"/>
      <c r="H231" s="74"/>
      <c r="I231" s="74" t="s">
        <v>391</v>
      </c>
      <c r="J231" s="74"/>
      <c r="K231" s="74">
        <v>102.4</v>
      </c>
      <c r="L231" s="74">
        <v>92.16</v>
      </c>
      <c r="M231" s="74"/>
      <c r="N231" s="74" t="s">
        <v>392</v>
      </c>
      <c r="O231" s="74" t="s">
        <v>402</v>
      </c>
      <c r="P231" s="74" t="s">
        <v>19489</v>
      </c>
      <c r="Q231" s="74" t="s">
        <v>19490</v>
      </c>
    </row>
    <row r="232" spans="3:17" x14ac:dyDescent="0.25">
      <c r="C232" s="74" t="s">
        <v>18071</v>
      </c>
      <c r="D232" s="74" t="s">
        <v>18072</v>
      </c>
      <c r="E232" s="74"/>
      <c r="F232" s="74">
        <v>8.68</v>
      </c>
      <c r="G232" s="74"/>
      <c r="H232" s="74"/>
      <c r="I232" s="74" t="s">
        <v>391</v>
      </c>
      <c r="J232" s="74"/>
      <c r="K232" s="74">
        <v>102.4</v>
      </c>
      <c r="L232" s="74">
        <v>92.16</v>
      </c>
      <c r="M232" s="74"/>
      <c r="N232" s="74" t="s">
        <v>392</v>
      </c>
      <c r="O232" s="74" t="s">
        <v>402</v>
      </c>
      <c r="P232" s="74" t="s">
        <v>18073</v>
      </c>
      <c r="Q232" s="74" t="s">
        <v>18074</v>
      </c>
    </row>
    <row r="233" spans="3:17" x14ac:dyDescent="0.25">
      <c r="C233" s="74" t="s">
        <v>17246</v>
      </c>
      <c r="D233" s="74" t="s">
        <v>17247</v>
      </c>
      <c r="E233" s="74" t="s">
        <v>391</v>
      </c>
      <c r="F233" s="74">
        <v>8.65</v>
      </c>
      <c r="G233" s="74"/>
      <c r="H233" s="74"/>
      <c r="I233" s="74" t="s">
        <v>391</v>
      </c>
      <c r="J233" s="74"/>
      <c r="K233" s="74">
        <v>102.4</v>
      </c>
      <c r="L233" s="74">
        <v>92.16</v>
      </c>
      <c r="M233" s="74"/>
      <c r="N233" s="74" t="s">
        <v>392</v>
      </c>
      <c r="O233" s="74" t="s">
        <v>393</v>
      </c>
      <c r="P233" s="74"/>
      <c r="Q233" s="74" t="s">
        <v>17248</v>
      </c>
    </row>
    <row r="234" spans="3:17" x14ac:dyDescent="0.25">
      <c r="C234" s="74" t="s">
        <v>8048</v>
      </c>
      <c r="D234" s="74" t="s">
        <v>8049</v>
      </c>
      <c r="E234" s="74"/>
      <c r="F234" s="74">
        <v>8.6300000000000008</v>
      </c>
      <c r="G234" s="74"/>
      <c r="H234" s="74"/>
      <c r="I234" s="74" t="s">
        <v>391</v>
      </c>
      <c r="J234" s="74"/>
      <c r="K234" s="74">
        <v>102.4</v>
      </c>
      <c r="L234" s="74">
        <v>92.16</v>
      </c>
      <c r="M234" s="74"/>
      <c r="N234" s="74" t="s">
        <v>392</v>
      </c>
      <c r="O234" s="74" t="s">
        <v>402</v>
      </c>
      <c r="P234" s="74" t="s">
        <v>8050</v>
      </c>
      <c r="Q234" s="74" t="s">
        <v>8051</v>
      </c>
    </row>
    <row r="235" spans="3:17" x14ac:dyDescent="0.25">
      <c r="C235" s="74" t="s">
        <v>4245</v>
      </c>
      <c r="D235" s="74" t="s">
        <v>4246</v>
      </c>
      <c r="E235" s="74"/>
      <c r="F235" s="74">
        <v>8.58</v>
      </c>
      <c r="G235" s="74"/>
      <c r="H235" s="74"/>
      <c r="I235" s="74" t="s">
        <v>391</v>
      </c>
      <c r="J235" s="74"/>
      <c r="K235" s="74">
        <v>102.4</v>
      </c>
      <c r="L235" s="74">
        <v>92.16</v>
      </c>
      <c r="M235" s="74"/>
      <c r="N235" s="74" t="s">
        <v>392</v>
      </c>
      <c r="O235" s="74" t="s">
        <v>402</v>
      </c>
      <c r="P235" s="74" t="s">
        <v>4247</v>
      </c>
      <c r="Q235" s="74" t="s">
        <v>4248</v>
      </c>
    </row>
    <row r="236" spans="3:17" x14ac:dyDescent="0.25">
      <c r="C236" s="74" t="s">
        <v>3453</v>
      </c>
      <c r="D236" s="74" t="s">
        <v>3454</v>
      </c>
      <c r="E236" s="74"/>
      <c r="F236" s="74">
        <v>8.5299999999999994</v>
      </c>
      <c r="G236" s="74"/>
      <c r="H236" s="74"/>
      <c r="I236" s="74" t="s">
        <v>391</v>
      </c>
      <c r="J236" s="74"/>
      <c r="K236" s="74">
        <v>102.4</v>
      </c>
      <c r="L236" s="74">
        <v>92.16</v>
      </c>
      <c r="M236" s="74"/>
      <c r="N236" s="74" t="s">
        <v>392</v>
      </c>
      <c r="O236" s="74" t="s">
        <v>402</v>
      </c>
      <c r="P236" s="74" t="s">
        <v>3455</v>
      </c>
      <c r="Q236" s="74" t="s">
        <v>3456</v>
      </c>
    </row>
    <row r="237" spans="3:17" x14ac:dyDescent="0.25">
      <c r="C237" s="74" t="s">
        <v>6874</v>
      </c>
      <c r="D237" s="74" t="s">
        <v>6875</v>
      </c>
      <c r="E237" s="74"/>
      <c r="F237" s="74">
        <v>8.51</v>
      </c>
      <c r="G237" s="74"/>
      <c r="H237" s="74"/>
      <c r="I237" s="74" t="s">
        <v>391</v>
      </c>
      <c r="J237" s="74"/>
      <c r="K237" s="74">
        <v>102.4</v>
      </c>
      <c r="L237" s="74">
        <v>92.16</v>
      </c>
      <c r="M237" s="74"/>
      <c r="N237" s="74" t="s">
        <v>392</v>
      </c>
      <c r="O237" s="74" t="s">
        <v>402</v>
      </c>
      <c r="P237" s="74" t="s">
        <v>6876</v>
      </c>
      <c r="Q237" s="74" t="s">
        <v>6877</v>
      </c>
    </row>
    <row r="238" spans="3:17" x14ac:dyDescent="0.25">
      <c r="C238" s="74" t="s">
        <v>14285</v>
      </c>
      <c r="D238" s="74" t="s">
        <v>14286</v>
      </c>
      <c r="E238" s="74"/>
      <c r="F238" s="74">
        <v>8.42</v>
      </c>
      <c r="G238" s="74">
        <v>15</v>
      </c>
      <c r="H238" s="74"/>
      <c r="I238" s="74" t="s">
        <v>391</v>
      </c>
      <c r="J238" s="74"/>
      <c r="K238" s="74">
        <v>102.4</v>
      </c>
      <c r="L238" s="74">
        <v>92.16</v>
      </c>
      <c r="M238" s="74"/>
      <c r="N238" s="74" t="s">
        <v>392</v>
      </c>
      <c r="O238" s="74" t="s">
        <v>402</v>
      </c>
      <c r="P238" s="74" t="s">
        <v>14287</v>
      </c>
      <c r="Q238" s="74" t="s">
        <v>14288</v>
      </c>
    </row>
    <row r="239" spans="3:17" x14ac:dyDescent="0.25">
      <c r="C239" s="74" t="s">
        <v>19390</v>
      </c>
      <c r="D239" s="74" t="s">
        <v>19391</v>
      </c>
      <c r="E239" s="74"/>
      <c r="F239" s="74">
        <v>8.42</v>
      </c>
      <c r="G239" s="74"/>
      <c r="H239" s="74"/>
      <c r="I239" s="74" t="s">
        <v>391</v>
      </c>
      <c r="J239" s="74"/>
      <c r="K239" s="74">
        <v>102.4</v>
      </c>
      <c r="L239" s="74">
        <v>92.16</v>
      </c>
      <c r="M239" s="74"/>
      <c r="N239" s="74" t="s">
        <v>392</v>
      </c>
      <c r="O239" s="74" t="s">
        <v>402</v>
      </c>
      <c r="P239" s="74" t="s">
        <v>19392</v>
      </c>
      <c r="Q239" s="74" t="s">
        <v>19393</v>
      </c>
    </row>
    <row r="240" spans="3:17" x14ac:dyDescent="0.25">
      <c r="C240" s="74" t="s">
        <v>1551</v>
      </c>
      <c r="D240" s="74" t="s">
        <v>1552</v>
      </c>
      <c r="E240" s="74"/>
      <c r="F240" s="74">
        <v>8.39</v>
      </c>
      <c r="G240" s="74"/>
      <c r="H240" s="74"/>
      <c r="I240" s="74" t="s">
        <v>391</v>
      </c>
      <c r="J240" s="74"/>
      <c r="K240" s="74">
        <v>102.4</v>
      </c>
      <c r="L240" s="74">
        <v>92.16</v>
      </c>
      <c r="M240" s="74"/>
      <c r="N240" s="74" t="s">
        <v>392</v>
      </c>
      <c r="O240" s="74" t="s">
        <v>402</v>
      </c>
      <c r="P240" s="74" t="s">
        <v>1553</v>
      </c>
      <c r="Q240" s="74" t="s">
        <v>1554</v>
      </c>
    </row>
    <row r="241" spans="3:17" x14ac:dyDescent="0.25">
      <c r="C241" s="74" t="s">
        <v>7503</v>
      </c>
      <c r="D241" s="74" t="s">
        <v>7504</v>
      </c>
      <c r="E241" s="74"/>
      <c r="F241" s="74">
        <v>8.3800000000000008</v>
      </c>
      <c r="G241" s="74"/>
      <c r="H241" s="74"/>
      <c r="I241" s="74" t="s">
        <v>391</v>
      </c>
      <c r="J241" s="74"/>
      <c r="K241" s="74">
        <v>102.4</v>
      </c>
      <c r="L241" s="74">
        <v>92.16</v>
      </c>
      <c r="M241" s="74"/>
      <c r="N241" s="74" t="s">
        <v>392</v>
      </c>
      <c r="O241" s="74" t="s">
        <v>402</v>
      </c>
      <c r="P241" s="74" t="s">
        <v>7505</v>
      </c>
      <c r="Q241" s="74" t="s">
        <v>7506</v>
      </c>
    </row>
    <row r="242" spans="3:17" x14ac:dyDescent="0.25">
      <c r="C242" s="74" t="s">
        <v>17335</v>
      </c>
      <c r="D242" s="74" t="s">
        <v>17336</v>
      </c>
      <c r="E242" s="74"/>
      <c r="F242" s="74">
        <v>8.3800000000000008</v>
      </c>
      <c r="G242" s="74"/>
      <c r="H242" s="74"/>
      <c r="I242" s="74" t="s">
        <v>391</v>
      </c>
      <c r="J242" s="74"/>
      <c r="K242" s="74">
        <v>102.4</v>
      </c>
      <c r="L242" s="74">
        <v>92.16</v>
      </c>
      <c r="M242" s="74"/>
      <c r="N242" s="74" t="s">
        <v>392</v>
      </c>
      <c r="O242" s="74" t="s">
        <v>402</v>
      </c>
      <c r="P242" s="74" t="s">
        <v>17337</v>
      </c>
      <c r="Q242" s="74" t="s">
        <v>17338</v>
      </c>
    </row>
    <row r="243" spans="3:17" x14ac:dyDescent="0.25">
      <c r="C243" s="74" t="s">
        <v>2749</v>
      </c>
      <c r="D243" s="74" t="s">
        <v>2750</v>
      </c>
      <c r="E243" s="74"/>
      <c r="F243" s="74">
        <v>8.3699999999999992</v>
      </c>
      <c r="G243" s="74"/>
      <c r="H243" s="74"/>
      <c r="I243" s="74" t="s">
        <v>391</v>
      </c>
      <c r="J243" s="74"/>
      <c r="K243" s="74">
        <v>102.4</v>
      </c>
      <c r="L243" s="74">
        <v>92.16</v>
      </c>
      <c r="M243" s="74"/>
      <c r="N243" s="74" t="s">
        <v>392</v>
      </c>
      <c r="O243" s="74" t="s">
        <v>402</v>
      </c>
      <c r="P243" s="74" t="s">
        <v>2751</v>
      </c>
      <c r="Q243" s="74" t="s">
        <v>2752</v>
      </c>
    </row>
    <row r="244" spans="3:17" x14ac:dyDescent="0.25">
      <c r="C244" s="74" t="s">
        <v>13552</v>
      </c>
      <c r="D244" s="74" t="s">
        <v>13553</v>
      </c>
      <c r="E244" s="74"/>
      <c r="F244" s="74">
        <v>8.2799999999999994</v>
      </c>
      <c r="G244" s="74"/>
      <c r="H244" s="74"/>
      <c r="I244" s="74" t="s">
        <v>391</v>
      </c>
      <c r="J244" s="74"/>
      <c r="K244" s="74">
        <v>102.4</v>
      </c>
      <c r="L244" s="74">
        <v>92.16</v>
      </c>
      <c r="M244" s="74"/>
      <c r="N244" s="74" t="s">
        <v>392</v>
      </c>
      <c r="O244" s="74" t="s">
        <v>402</v>
      </c>
      <c r="P244" s="74" t="s">
        <v>13554</v>
      </c>
      <c r="Q244" s="74" t="s">
        <v>13555</v>
      </c>
    </row>
    <row r="245" spans="3:17" x14ac:dyDescent="0.25">
      <c r="C245" s="74" t="s">
        <v>15820</v>
      </c>
      <c r="D245" s="74" t="s">
        <v>15821</v>
      </c>
      <c r="E245" s="74"/>
      <c r="F245" s="74">
        <v>8.2200000000000006</v>
      </c>
      <c r="G245" s="74"/>
      <c r="H245" s="74"/>
      <c r="I245" s="74" t="s">
        <v>391</v>
      </c>
      <c r="J245" s="74"/>
      <c r="K245" s="74">
        <v>102.4</v>
      </c>
      <c r="L245" s="74">
        <v>92.16</v>
      </c>
      <c r="M245" s="74"/>
      <c r="N245" s="74" t="s">
        <v>392</v>
      </c>
      <c r="O245" s="74" t="s">
        <v>402</v>
      </c>
      <c r="P245" s="74" t="s">
        <v>15822</v>
      </c>
      <c r="Q245" s="74" t="s">
        <v>15823</v>
      </c>
    </row>
    <row r="246" spans="3:17" x14ac:dyDescent="0.25">
      <c r="C246" s="74" t="s">
        <v>13918</v>
      </c>
      <c r="D246" s="74" t="s">
        <v>13919</v>
      </c>
      <c r="E246" s="74"/>
      <c r="F246" s="74">
        <v>8.14</v>
      </c>
      <c r="G246" s="74"/>
      <c r="H246" s="74"/>
      <c r="I246" s="74" t="s">
        <v>391</v>
      </c>
      <c r="J246" s="74"/>
      <c r="K246" s="74">
        <v>102.4</v>
      </c>
      <c r="L246" s="74">
        <v>92.16</v>
      </c>
      <c r="M246" s="74"/>
      <c r="N246" s="74" t="s">
        <v>392</v>
      </c>
      <c r="O246" s="74" t="s">
        <v>402</v>
      </c>
      <c r="P246" s="74" t="s">
        <v>13920</v>
      </c>
      <c r="Q246" s="74" t="s">
        <v>13921</v>
      </c>
    </row>
    <row r="247" spans="3:17" x14ac:dyDescent="0.25">
      <c r="C247" s="74" t="s">
        <v>18370</v>
      </c>
      <c r="D247" s="74" t="s">
        <v>18371</v>
      </c>
      <c r="E247" s="74"/>
      <c r="F247" s="74">
        <v>8.14</v>
      </c>
      <c r="G247" s="74"/>
      <c r="H247" s="74"/>
      <c r="I247" s="74" t="s">
        <v>391</v>
      </c>
      <c r="J247" s="74"/>
      <c r="K247" s="74">
        <v>102.4</v>
      </c>
      <c r="L247" s="74">
        <v>92.16</v>
      </c>
      <c r="M247" s="74"/>
      <c r="N247" s="74" t="s">
        <v>392</v>
      </c>
      <c r="O247" s="74" t="s">
        <v>402</v>
      </c>
      <c r="P247" s="74" t="s">
        <v>18372</v>
      </c>
      <c r="Q247" s="74" t="s">
        <v>18373</v>
      </c>
    </row>
    <row r="248" spans="3:17" x14ac:dyDescent="0.25">
      <c r="C248" s="74" t="s">
        <v>3082</v>
      </c>
      <c r="D248" s="74" t="s">
        <v>3083</v>
      </c>
      <c r="E248" s="74"/>
      <c r="F248" s="74">
        <v>8.09</v>
      </c>
      <c r="G248" s="74"/>
      <c r="H248" s="74"/>
      <c r="I248" s="74" t="s">
        <v>391</v>
      </c>
      <c r="J248" s="74"/>
      <c r="K248" s="74">
        <v>102.4</v>
      </c>
      <c r="L248" s="74">
        <v>92.16</v>
      </c>
      <c r="M248" s="74"/>
      <c r="N248" s="74" t="s">
        <v>392</v>
      </c>
      <c r="O248" s="74" t="s">
        <v>402</v>
      </c>
      <c r="P248" s="74" t="s">
        <v>3084</v>
      </c>
      <c r="Q248" s="74" t="s">
        <v>3085</v>
      </c>
    </row>
    <row r="249" spans="3:17" x14ac:dyDescent="0.25">
      <c r="C249" s="74" t="s">
        <v>6444</v>
      </c>
      <c r="D249" s="74" t="s">
        <v>6445</v>
      </c>
      <c r="E249" s="74"/>
      <c r="F249" s="74">
        <v>8.08</v>
      </c>
      <c r="G249" s="74"/>
      <c r="H249" s="74"/>
      <c r="I249" s="74" t="s">
        <v>391</v>
      </c>
      <c r="J249" s="74"/>
      <c r="K249" s="74">
        <v>102.4</v>
      </c>
      <c r="L249" s="74">
        <v>92.16</v>
      </c>
      <c r="M249" s="74"/>
      <c r="N249" s="74" t="s">
        <v>392</v>
      </c>
      <c r="O249" s="74" t="s">
        <v>402</v>
      </c>
      <c r="P249" s="74" t="s">
        <v>6446</v>
      </c>
      <c r="Q249" s="74" t="s">
        <v>6447</v>
      </c>
    </row>
    <row r="250" spans="3:17" x14ac:dyDescent="0.25">
      <c r="C250" s="74" t="s">
        <v>3745</v>
      </c>
      <c r="D250" s="74" t="s">
        <v>3746</v>
      </c>
      <c r="E250" s="74"/>
      <c r="F250" s="74">
        <v>7.92</v>
      </c>
      <c r="G250" s="74"/>
      <c r="H250" s="74"/>
      <c r="I250" s="74" t="s">
        <v>391</v>
      </c>
      <c r="J250" s="74"/>
      <c r="K250" s="74">
        <v>102.4</v>
      </c>
      <c r="L250" s="74">
        <v>92.16</v>
      </c>
      <c r="M250" s="74"/>
      <c r="N250" s="74" t="s">
        <v>392</v>
      </c>
      <c r="O250" s="74" t="s">
        <v>402</v>
      </c>
      <c r="P250" s="74" t="s">
        <v>3747</v>
      </c>
      <c r="Q250" s="74" t="s">
        <v>3748</v>
      </c>
    </row>
    <row r="251" spans="3:17" x14ac:dyDescent="0.25">
      <c r="C251" s="74" t="s">
        <v>14687</v>
      </c>
      <c r="D251" s="74" t="s">
        <v>14688</v>
      </c>
      <c r="E251" s="74"/>
      <c r="F251" s="74">
        <v>7.88</v>
      </c>
      <c r="G251" s="74"/>
      <c r="H251" s="74"/>
      <c r="I251" s="74" t="s">
        <v>391</v>
      </c>
      <c r="J251" s="74"/>
      <c r="K251" s="74">
        <v>102.4</v>
      </c>
      <c r="L251" s="74">
        <v>92.16</v>
      </c>
      <c r="M251" s="74"/>
      <c r="N251" s="74" t="s">
        <v>392</v>
      </c>
      <c r="O251" s="74" t="s">
        <v>402</v>
      </c>
      <c r="P251" s="74" t="s">
        <v>14689</v>
      </c>
      <c r="Q251" s="74" t="s">
        <v>14690</v>
      </c>
    </row>
    <row r="252" spans="3:17" x14ac:dyDescent="0.25">
      <c r="C252" s="74" t="s">
        <v>11698</v>
      </c>
      <c r="D252" s="74" t="s">
        <v>11699</v>
      </c>
      <c r="E252" s="74"/>
      <c r="F252" s="74">
        <v>7.87</v>
      </c>
      <c r="G252" s="74"/>
      <c r="H252" s="74"/>
      <c r="I252" s="74" t="s">
        <v>391</v>
      </c>
      <c r="J252" s="74"/>
      <c r="K252" s="74">
        <v>102.4</v>
      </c>
      <c r="L252" s="74">
        <v>92.16</v>
      </c>
      <c r="M252" s="74"/>
      <c r="N252" s="74" t="s">
        <v>392</v>
      </c>
      <c r="O252" s="74" t="s">
        <v>402</v>
      </c>
      <c r="P252" s="74" t="s">
        <v>11700</v>
      </c>
      <c r="Q252" s="74" t="s">
        <v>11701</v>
      </c>
    </row>
    <row r="253" spans="3:17" x14ac:dyDescent="0.25">
      <c r="C253" s="74" t="s">
        <v>10041</v>
      </c>
      <c r="D253" s="74" t="s">
        <v>10042</v>
      </c>
      <c r="E253" s="74"/>
      <c r="F253" s="74">
        <v>7.83</v>
      </c>
      <c r="G253" s="74"/>
      <c r="H253" s="74"/>
      <c r="I253" s="74" t="s">
        <v>391</v>
      </c>
      <c r="J253" s="74"/>
      <c r="K253" s="74">
        <v>102.4</v>
      </c>
      <c r="L253" s="74">
        <v>92.16</v>
      </c>
      <c r="M253" s="74"/>
      <c r="N253" s="74" t="s">
        <v>392</v>
      </c>
      <c r="O253" s="74" t="s">
        <v>402</v>
      </c>
      <c r="P253" s="74" t="s">
        <v>10043</v>
      </c>
      <c r="Q253" s="74" t="s">
        <v>10044</v>
      </c>
    </row>
    <row r="254" spans="3:17" x14ac:dyDescent="0.25">
      <c r="C254" s="74" t="s">
        <v>15942</v>
      </c>
      <c r="D254" s="74" t="s">
        <v>15943</v>
      </c>
      <c r="E254" s="74"/>
      <c r="F254" s="74">
        <v>7.82</v>
      </c>
      <c r="G254" s="74"/>
      <c r="H254" s="74"/>
      <c r="I254" s="74" t="s">
        <v>391</v>
      </c>
      <c r="J254" s="74"/>
      <c r="K254" s="74">
        <v>102.4</v>
      </c>
      <c r="L254" s="74">
        <v>92.16</v>
      </c>
      <c r="M254" s="74"/>
      <c r="N254" s="74" t="s">
        <v>392</v>
      </c>
      <c r="O254" s="74" t="s">
        <v>402</v>
      </c>
      <c r="P254" s="74" t="s">
        <v>15944</v>
      </c>
      <c r="Q254" s="74" t="s">
        <v>15945</v>
      </c>
    </row>
    <row r="255" spans="3:17" x14ac:dyDescent="0.25">
      <c r="C255" s="74" t="s">
        <v>10876</v>
      </c>
      <c r="D255" s="74" t="s">
        <v>10877</v>
      </c>
      <c r="E255" s="74"/>
      <c r="F255" s="74">
        <v>7.74</v>
      </c>
      <c r="G255" s="74"/>
      <c r="H255" s="74"/>
      <c r="I255" s="74" t="s">
        <v>391</v>
      </c>
      <c r="J255" s="74"/>
      <c r="K255" s="74">
        <v>102.4</v>
      </c>
      <c r="L255" s="74">
        <v>92.16</v>
      </c>
      <c r="M255" s="74"/>
      <c r="N255" s="74" t="s">
        <v>392</v>
      </c>
      <c r="O255" s="74" t="s">
        <v>402</v>
      </c>
      <c r="P255" s="74" t="s">
        <v>10878</v>
      </c>
      <c r="Q255" s="74" t="s">
        <v>10879</v>
      </c>
    </row>
    <row r="256" spans="3:17" x14ac:dyDescent="0.25">
      <c r="C256" s="74" t="s">
        <v>7035</v>
      </c>
      <c r="D256" s="74" t="s">
        <v>7036</v>
      </c>
      <c r="E256" s="74"/>
      <c r="F256" s="74">
        <v>7.71</v>
      </c>
      <c r="G256" s="74"/>
      <c r="H256" s="74"/>
      <c r="I256" s="74" t="s">
        <v>391</v>
      </c>
      <c r="J256" s="74"/>
      <c r="K256" s="74">
        <v>102.4</v>
      </c>
      <c r="L256" s="74">
        <v>92.16</v>
      </c>
      <c r="M256" s="74"/>
      <c r="N256" s="74" t="s">
        <v>392</v>
      </c>
      <c r="O256" s="74" t="s">
        <v>402</v>
      </c>
      <c r="P256" s="74" t="s">
        <v>7037</v>
      </c>
      <c r="Q256" s="74" t="s">
        <v>7038</v>
      </c>
    </row>
    <row r="257" spans="3:17" x14ac:dyDescent="0.25">
      <c r="C257" s="74" t="s">
        <v>7683</v>
      </c>
      <c r="D257" s="74" t="s">
        <v>7684</v>
      </c>
      <c r="E257" s="74"/>
      <c r="F257" s="74">
        <v>7.71</v>
      </c>
      <c r="G257" s="74"/>
      <c r="H257" s="74"/>
      <c r="I257" s="74" t="s">
        <v>391</v>
      </c>
      <c r="J257" s="74"/>
      <c r="K257" s="74">
        <v>102.4</v>
      </c>
      <c r="L257" s="74">
        <v>92.16</v>
      </c>
      <c r="M257" s="74"/>
      <c r="N257" s="74" t="s">
        <v>392</v>
      </c>
      <c r="O257" s="74" t="s">
        <v>402</v>
      </c>
      <c r="P257" s="74" t="s">
        <v>7685</v>
      </c>
      <c r="Q257" s="74" t="s">
        <v>7686</v>
      </c>
    </row>
    <row r="258" spans="3:17" x14ac:dyDescent="0.25">
      <c r="C258" s="74" t="s">
        <v>2986</v>
      </c>
      <c r="D258" s="74" t="s">
        <v>2987</v>
      </c>
      <c r="E258" s="74"/>
      <c r="F258" s="74">
        <v>7.68</v>
      </c>
      <c r="G258" s="74"/>
      <c r="H258" s="74"/>
      <c r="I258" s="74" t="s">
        <v>391</v>
      </c>
      <c r="J258" s="74"/>
      <c r="K258" s="74">
        <v>102.4</v>
      </c>
      <c r="L258" s="74">
        <v>92.16</v>
      </c>
      <c r="M258" s="74"/>
      <c r="N258" s="74" t="s">
        <v>392</v>
      </c>
      <c r="O258" s="74" t="s">
        <v>402</v>
      </c>
      <c r="P258" s="74" t="s">
        <v>2988</v>
      </c>
      <c r="Q258" s="74" t="s">
        <v>2989</v>
      </c>
    </row>
    <row r="259" spans="3:17" x14ac:dyDescent="0.25">
      <c r="C259" s="74" t="s">
        <v>16900</v>
      </c>
      <c r="D259" s="74" t="s">
        <v>16901</v>
      </c>
      <c r="E259" s="74"/>
      <c r="F259" s="74">
        <v>7.62</v>
      </c>
      <c r="G259" s="74"/>
      <c r="H259" s="74"/>
      <c r="I259" s="74" t="s">
        <v>391</v>
      </c>
      <c r="J259" s="74"/>
      <c r="K259" s="74">
        <v>102.4</v>
      </c>
      <c r="L259" s="74">
        <v>92.16</v>
      </c>
      <c r="M259" s="74"/>
      <c r="N259" s="74" t="s">
        <v>392</v>
      </c>
      <c r="O259" s="74" t="s">
        <v>402</v>
      </c>
      <c r="P259" s="74" t="s">
        <v>16902</v>
      </c>
      <c r="Q259" s="74" t="s">
        <v>16903</v>
      </c>
    </row>
    <row r="260" spans="3:17" x14ac:dyDescent="0.25">
      <c r="C260" s="74" t="s">
        <v>18047</v>
      </c>
      <c r="D260" s="74" t="s">
        <v>18048</v>
      </c>
      <c r="E260" s="74"/>
      <c r="F260" s="74">
        <v>7.6</v>
      </c>
      <c r="G260" s="74"/>
      <c r="H260" s="74"/>
      <c r="I260" s="74" t="s">
        <v>391</v>
      </c>
      <c r="J260" s="74"/>
      <c r="K260" s="74">
        <v>102.4</v>
      </c>
      <c r="L260" s="74">
        <v>92.16</v>
      </c>
      <c r="M260" s="74"/>
      <c r="N260" s="74" t="s">
        <v>392</v>
      </c>
      <c r="O260" s="74" t="s">
        <v>402</v>
      </c>
      <c r="P260" s="74" t="s">
        <v>18049</v>
      </c>
      <c r="Q260" s="74" t="s">
        <v>18050</v>
      </c>
    </row>
    <row r="261" spans="3:17" x14ac:dyDescent="0.25">
      <c r="C261" s="74" t="s">
        <v>9031</v>
      </c>
      <c r="D261" s="74" t="s">
        <v>9032</v>
      </c>
      <c r="E261" s="74"/>
      <c r="F261" s="74">
        <v>7.57</v>
      </c>
      <c r="G261" s="74"/>
      <c r="H261" s="74"/>
      <c r="I261" s="74" t="s">
        <v>391</v>
      </c>
      <c r="J261" s="74"/>
      <c r="K261" s="74">
        <v>102.4</v>
      </c>
      <c r="L261" s="74">
        <v>92.16</v>
      </c>
      <c r="M261" s="74"/>
      <c r="N261" s="74" t="s">
        <v>392</v>
      </c>
      <c r="O261" s="74" t="s">
        <v>402</v>
      </c>
      <c r="P261" s="74" t="s">
        <v>9033</v>
      </c>
      <c r="Q261" s="74" t="s">
        <v>9034</v>
      </c>
    </row>
    <row r="262" spans="3:17" x14ac:dyDescent="0.25">
      <c r="C262" s="74" t="s">
        <v>18120</v>
      </c>
      <c r="D262" s="74" t="s">
        <v>18121</v>
      </c>
      <c r="E262" s="74"/>
      <c r="F262" s="74">
        <v>7.54</v>
      </c>
      <c r="G262" s="74"/>
      <c r="H262" s="74"/>
      <c r="I262" s="74" t="s">
        <v>391</v>
      </c>
      <c r="J262" s="74"/>
      <c r="K262" s="74">
        <v>102.4</v>
      </c>
      <c r="L262" s="74">
        <v>92.16</v>
      </c>
      <c r="M262" s="74"/>
      <c r="N262" s="74" t="s">
        <v>392</v>
      </c>
      <c r="O262" s="74" t="s">
        <v>402</v>
      </c>
      <c r="P262" s="74" t="s">
        <v>18122</v>
      </c>
      <c r="Q262" s="74" t="s">
        <v>18123</v>
      </c>
    </row>
    <row r="263" spans="3:17" x14ac:dyDescent="0.25">
      <c r="C263" s="74" t="s">
        <v>2436</v>
      </c>
      <c r="D263" s="74" t="s">
        <v>2437</v>
      </c>
      <c r="E263" s="74"/>
      <c r="F263" s="74">
        <v>7.53</v>
      </c>
      <c r="G263" s="74"/>
      <c r="H263" s="74"/>
      <c r="I263" s="74" t="s">
        <v>391</v>
      </c>
      <c r="J263" s="74"/>
      <c r="K263" s="74">
        <v>102.4</v>
      </c>
      <c r="L263" s="74">
        <v>92.16</v>
      </c>
      <c r="M263" s="74"/>
      <c r="N263" s="74" t="s">
        <v>392</v>
      </c>
      <c r="O263" s="74" t="s">
        <v>402</v>
      </c>
      <c r="P263" s="74" t="s">
        <v>2438</v>
      </c>
      <c r="Q263" s="74" t="s">
        <v>2439</v>
      </c>
    </row>
    <row r="264" spans="3:17" x14ac:dyDescent="0.25">
      <c r="C264" s="74" t="s">
        <v>19118</v>
      </c>
      <c r="D264" s="74" t="s">
        <v>19119</v>
      </c>
      <c r="E264" s="74"/>
      <c r="F264" s="74">
        <v>7.49</v>
      </c>
      <c r="G264" s="74"/>
      <c r="H264" s="74"/>
      <c r="I264" s="74" t="s">
        <v>391</v>
      </c>
      <c r="J264" s="74"/>
      <c r="K264" s="74">
        <v>102.4</v>
      </c>
      <c r="L264" s="74">
        <v>92.16</v>
      </c>
      <c r="M264" s="74"/>
      <c r="N264" s="74" t="s">
        <v>392</v>
      </c>
      <c r="O264" s="74" t="s">
        <v>402</v>
      </c>
      <c r="P264" s="74" t="s">
        <v>19120</v>
      </c>
      <c r="Q264" s="74" t="s">
        <v>19121</v>
      </c>
    </row>
    <row r="265" spans="3:17" x14ac:dyDescent="0.25">
      <c r="C265" s="74" t="s">
        <v>18262</v>
      </c>
      <c r="D265" s="74" t="s">
        <v>18263</v>
      </c>
      <c r="E265" s="74"/>
      <c r="F265" s="74">
        <v>7.48</v>
      </c>
      <c r="G265" s="74"/>
      <c r="H265" s="74"/>
      <c r="I265" s="74" t="s">
        <v>391</v>
      </c>
      <c r="J265" s="74"/>
      <c r="K265" s="74">
        <v>102.4</v>
      </c>
      <c r="L265" s="74">
        <v>92.16</v>
      </c>
      <c r="M265" s="74"/>
      <c r="N265" s="74" t="s">
        <v>392</v>
      </c>
      <c r="O265" s="74" t="s">
        <v>402</v>
      </c>
      <c r="P265" s="74" t="s">
        <v>18264</v>
      </c>
      <c r="Q265" s="74" t="s">
        <v>18265</v>
      </c>
    </row>
    <row r="266" spans="3:17" x14ac:dyDescent="0.25">
      <c r="C266" s="74" t="s">
        <v>568</v>
      </c>
      <c r="D266" s="74" t="s">
        <v>569</v>
      </c>
      <c r="E266" s="74"/>
      <c r="F266" s="74">
        <v>7.42</v>
      </c>
      <c r="G266" s="74"/>
      <c r="H266" s="74"/>
      <c r="I266" s="74" t="s">
        <v>391</v>
      </c>
      <c r="J266" s="74"/>
      <c r="K266" s="74">
        <v>102.4</v>
      </c>
      <c r="L266" s="74">
        <v>92.16</v>
      </c>
      <c r="M266" s="74"/>
      <c r="N266" s="74" t="s">
        <v>392</v>
      </c>
      <c r="O266" s="74" t="s">
        <v>402</v>
      </c>
      <c r="P266" s="74" t="s">
        <v>570</v>
      </c>
      <c r="Q266" s="74" t="s">
        <v>571</v>
      </c>
    </row>
    <row r="267" spans="3:17" x14ac:dyDescent="0.25">
      <c r="C267" s="74" t="s">
        <v>20807</v>
      </c>
      <c r="D267" s="74" t="s">
        <v>20808</v>
      </c>
      <c r="E267" s="74"/>
      <c r="F267" s="74">
        <v>7.38</v>
      </c>
      <c r="G267" s="74"/>
      <c r="H267" s="74"/>
      <c r="I267" s="74" t="s">
        <v>391</v>
      </c>
      <c r="J267" s="74"/>
      <c r="K267" s="74">
        <v>102.4</v>
      </c>
      <c r="L267" s="74">
        <v>92.16</v>
      </c>
      <c r="M267" s="74"/>
      <c r="N267" s="74" t="s">
        <v>392</v>
      </c>
      <c r="O267" s="74" t="s">
        <v>402</v>
      </c>
      <c r="P267" s="74" t="s">
        <v>20809</v>
      </c>
      <c r="Q267" s="74" t="s">
        <v>20810</v>
      </c>
    </row>
    <row r="268" spans="3:17" x14ac:dyDescent="0.25">
      <c r="C268" s="74" t="s">
        <v>13096</v>
      </c>
      <c r="D268" s="74" t="s">
        <v>13097</v>
      </c>
      <c r="E268" s="74"/>
      <c r="F268" s="74">
        <v>7.36</v>
      </c>
      <c r="G268" s="74"/>
      <c r="H268" s="74"/>
      <c r="I268" s="74" t="s">
        <v>391</v>
      </c>
      <c r="J268" s="74"/>
      <c r="K268" s="74">
        <v>102.4</v>
      </c>
      <c r="L268" s="74">
        <v>92.16</v>
      </c>
      <c r="M268" s="74"/>
      <c r="N268" s="74" t="s">
        <v>392</v>
      </c>
      <c r="O268" s="74" t="s">
        <v>402</v>
      </c>
      <c r="P268" s="74" t="s">
        <v>13098</v>
      </c>
      <c r="Q268" s="74" t="s">
        <v>13099</v>
      </c>
    </row>
    <row r="269" spans="3:17" x14ac:dyDescent="0.25">
      <c r="C269" s="74" t="s">
        <v>10192</v>
      </c>
      <c r="D269" s="74" t="s">
        <v>10193</v>
      </c>
      <c r="E269" s="74"/>
      <c r="F269" s="74">
        <v>7.31</v>
      </c>
      <c r="G269" s="74"/>
      <c r="H269" s="74"/>
      <c r="I269" s="74" t="s">
        <v>391</v>
      </c>
      <c r="J269" s="74"/>
      <c r="K269" s="74">
        <v>102.4</v>
      </c>
      <c r="L269" s="74">
        <v>92.16</v>
      </c>
      <c r="M269" s="74"/>
      <c r="N269" s="74" t="s">
        <v>392</v>
      </c>
      <c r="O269" s="74" t="s">
        <v>402</v>
      </c>
      <c r="P269" s="74" t="s">
        <v>10194</v>
      </c>
      <c r="Q269" s="74" t="s">
        <v>10195</v>
      </c>
    </row>
    <row r="270" spans="3:17" x14ac:dyDescent="0.25">
      <c r="C270" s="74" t="s">
        <v>15725</v>
      </c>
      <c r="D270" s="74" t="s">
        <v>15726</v>
      </c>
      <c r="E270" s="74"/>
      <c r="F270" s="74">
        <v>7.3</v>
      </c>
      <c r="G270" s="74"/>
      <c r="H270" s="74"/>
      <c r="I270" s="74" t="s">
        <v>391</v>
      </c>
      <c r="J270" s="74"/>
      <c r="K270" s="74">
        <v>102.4</v>
      </c>
      <c r="L270" s="74">
        <v>92.16</v>
      </c>
      <c r="M270" s="74"/>
      <c r="N270" s="74" t="s">
        <v>392</v>
      </c>
      <c r="O270" s="74" t="s">
        <v>402</v>
      </c>
      <c r="P270" s="74" t="s">
        <v>15727</v>
      </c>
      <c r="Q270" s="74" t="s">
        <v>15728</v>
      </c>
    </row>
    <row r="271" spans="3:17" x14ac:dyDescent="0.25">
      <c r="C271" s="74" t="s">
        <v>9914</v>
      </c>
      <c r="D271" s="74" t="s">
        <v>9915</v>
      </c>
      <c r="E271" s="74"/>
      <c r="F271" s="74">
        <v>7.15</v>
      </c>
      <c r="G271" s="74"/>
      <c r="H271" s="74"/>
      <c r="I271" s="74" t="s">
        <v>391</v>
      </c>
      <c r="J271" s="74"/>
      <c r="K271" s="74">
        <v>102.4</v>
      </c>
      <c r="L271" s="74">
        <v>92.16</v>
      </c>
      <c r="M271" s="74"/>
      <c r="N271" s="74" t="s">
        <v>392</v>
      </c>
      <c r="O271" s="74" t="s">
        <v>402</v>
      </c>
      <c r="P271" s="74" t="s">
        <v>9916</v>
      </c>
      <c r="Q271" s="74" t="s">
        <v>9917</v>
      </c>
    </row>
    <row r="272" spans="3:17" x14ac:dyDescent="0.25">
      <c r="C272" s="74" t="s">
        <v>11843</v>
      </c>
      <c r="D272" s="74" t="s">
        <v>11844</v>
      </c>
      <c r="E272" s="74"/>
      <c r="F272" s="74">
        <v>7.15</v>
      </c>
      <c r="G272" s="74"/>
      <c r="H272" s="74"/>
      <c r="I272" s="74" t="s">
        <v>391</v>
      </c>
      <c r="J272" s="74"/>
      <c r="K272" s="74">
        <v>102.4</v>
      </c>
      <c r="L272" s="74">
        <v>92.16</v>
      </c>
      <c r="M272" s="74"/>
      <c r="N272" s="74" t="s">
        <v>392</v>
      </c>
      <c r="O272" s="74" t="s">
        <v>402</v>
      </c>
      <c r="P272" s="74" t="s">
        <v>11845</v>
      </c>
      <c r="Q272" s="74" t="s">
        <v>11846</v>
      </c>
    </row>
    <row r="273" spans="3:17" x14ac:dyDescent="0.25">
      <c r="C273" s="74" t="s">
        <v>10294</v>
      </c>
      <c r="D273" s="74" t="s">
        <v>10295</v>
      </c>
      <c r="E273" s="74"/>
      <c r="F273" s="74">
        <v>7.13</v>
      </c>
      <c r="G273" s="74"/>
      <c r="H273" s="74"/>
      <c r="I273" s="74" t="s">
        <v>391</v>
      </c>
      <c r="J273" s="74"/>
      <c r="K273" s="74">
        <v>102.4</v>
      </c>
      <c r="L273" s="74">
        <v>92.16</v>
      </c>
      <c r="M273" s="74"/>
      <c r="N273" s="74" t="s">
        <v>392</v>
      </c>
      <c r="O273" s="74" t="s">
        <v>402</v>
      </c>
      <c r="P273" s="74" t="s">
        <v>10296</v>
      </c>
      <c r="Q273" s="74" t="s">
        <v>10297</v>
      </c>
    </row>
    <row r="274" spans="3:17" x14ac:dyDescent="0.25">
      <c r="C274" s="74" t="s">
        <v>14435</v>
      </c>
      <c r="D274" s="74" t="s">
        <v>14436</v>
      </c>
      <c r="E274" s="74"/>
      <c r="F274" s="74">
        <v>7.13</v>
      </c>
      <c r="G274" s="74"/>
      <c r="H274" s="74"/>
      <c r="I274" s="74" t="s">
        <v>391</v>
      </c>
      <c r="J274" s="74"/>
      <c r="K274" s="74"/>
      <c r="L274" s="74"/>
      <c r="M274" s="74"/>
      <c r="N274" s="74" t="s">
        <v>392</v>
      </c>
      <c r="O274" s="74" t="s">
        <v>402</v>
      </c>
      <c r="P274" s="74" t="s">
        <v>14437</v>
      </c>
      <c r="Q274" s="74" t="s">
        <v>14438</v>
      </c>
    </row>
    <row r="275" spans="3:17" x14ac:dyDescent="0.25">
      <c r="C275" s="74" t="s">
        <v>2030</v>
      </c>
      <c r="D275" s="74" t="s">
        <v>2031</v>
      </c>
      <c r="E275" s="74"/>
      <c r="F275" s="74">
        <v>7.12</v>
      </c>
      <c r="G275" s="74"/>
      <c r="H275" s="74"/>
      <c r="I275" s="74" t="s">
        <v>391</v>
      </c>
      <c r="J275" s="74"/>
      <c r="K275" s="74">
        <v>102.4</v>
      </c>
      <c r="L275" s="74">
        <v>92.16</v>
      </c>
      <c r="M275" s="74"/>
      <c r="N275" s="74" t="s">
        <v>392</v>
      </c>
      <c r="O275" s="74" t="s">
        <v>402</v>
      </c>
      <c r="P275" s="74" t="s">
        <v>2032</v>
      </c>
      <c r="Q275" s="74" t="s">
        <v>2033</v>
      </c>
    </row>
    <row r="276" spans="3:17" x14ac:dyDescent="0.25">
      <c r="C276" s="74" t="s">
        <v>7870</v>
      </c>
      <c r="D276" s="74" t="s">
        <v>7871</v>
      </c>
      <c r="E276" s="74"/>
      <c r="F276" s="74">
        <v>7.12</v>
      </c>
      <c r="G276" s="74"/>
      <c r="H276" s="74"/>
      <c r="I276" s="74" t="s">
        <v>391</v>
      </c>
      <c r="J276" s="74"/>
      <c r="K276" s="74">
        <v>102.4</v>
      </c>
      <c r="L276" s="74">
        <v>92.16</v>
      </c>
      <c r="M276" s="74"/>
      <c r="N276" s="74" t="s">
        <v>392</v>
      </c>
      <c r="O276" s="74" t="s">
        <v>402</v>
      </c>
      <c r="P276" s="74" t="s">
        <v>7872</v>
      </c>
      <c r="Q276" s="74" t="s">
        <v>7873</v>
      </c>
    </row>
    <row r="277" spans="3:17" x14ac:dyDescent="0.25">
      <c r="C277" s="74" t="s">
        <v>1191</v>
      </c>
      <c r="D277" s="74" t="s">
        <v>1192</v>
      </c>
      <c r="E277" s="74"/>
      <c r="F277" s="74">
        <v>7.1</v>
      </c>
      <c r="G277" s="74"/>
      <c r="H277" s="74"/>
      <c r="I277" s="74" t="s">
        <v>391</v>
      </c>
      <c r="J277" s="74"/>
      <c r="K277" s="74">
        <v>102.4</v>
      </c>
      <c r="L277" s="74">
        <v>92.16</v>
      </c>
      <c r="M277" s="74"/>
      <c r="N277" s="74" t="s">
        <v>392</v>
      </c>
      <c r="O277" s="74" t="s">
        <v>402</v>
      </c>
      <c r="P277" s="74" t="s">
        <v>1193</v>
      </c>
      <c r="Q277" s="74" t="s">
        <v>1194</v>
      </c>
    </row>
    <row r="278" spans="3:17" x14ac:dyDescent="0.25">
      <c r="C278" s="74" t="s">
        <v>3100</v>
      </c>
      <c r="D278" s="74" t="s">
        <v>3101</v>
      </c>
      <c r="E278" s="74"/>
      <c r="F278" s="74">
        <v>7.09</v>
      </c>
      <c r="G278" s="74"/>
      <c r="H278" s="74"/>
      <c r="I278" s="74" t="s">
        <v>391</v>
      </c>
      <c r="J278" s="74"/>
      <c r="K278" s="74">
        <v>102.4</v>
      </c>
      <c r="L278" s="74">
        <v>92.16</v>
      </c>
      <c r="M278" s="74"/>
      <c r="N278" s="74" t="s">
        <v>392</v>
      </c>
      <c r="O278" s="74" t="s">
        <v>402</v>
      </c>
      <c r="P278" s="74" t="s">
        <v>3102</v>
      </c>
      <c r="Q278" s="74" t="s">
        <v>3103</v>
      </c>
    </row>
    <row r="279" spans="3:17" x14ac:dyDescent="0.25">
      <c r="C279" s="74" t="s">
        <v>1760</v>
      </c>
      <c r="D279" s="74" t="s">
        <v>1761</v>
      </c>
      <c r="E279" s="74"/>
      <c r="F279" s="74">
        <v>7.05</v>
      </c>
      <c r="G279" s="74"/>
      <c r="H279" s="74"/>
      <c r="I279" s="74" t="s">
        <v>391</v>
      </c>
      <c r="J279" s="74"/>
      <c r="K279" s="74">
        <v>102.4</v>
      </c>
      <c r="L279" s="74">
        <v>92.16</v>
      </c>
      <c r="M279" s="74"/>
      <c r="N279" s="74" t="s">
        <v>392</v>
      </c>
      <c r="O279" s="74" t="s">
        <v>402</v>
      </c>
      <c r="P279" s="74" t="s">
        <v>1762</v>
      </c>
      <c r="Q279" s="74" t="s">
        <v>1763</v>
      </c>
    </row>
    <row r="280" spans="3:17" x14ac:dyDescent="0.25">
      <c r="C280" s="74" t="s">
        <v>14495</v>
      </c>
      <c r="D280" s="74" t="s">
        <v>14496</v>
      </c>
      <c r="E280" s="74"/>
      <c r="F280" s="74">
        <v>7.05</v>
      </c>
      <c r="G280" s="74"/>
      <c r="H280" s="74"/>
      <c r="I280" s="74" t="s">
        <v>391</v>
      </c>
      <c r="J280" s="74"/>
      <c r="K280" s="74">
        <v>102.4</v>
      </c>
      <c r="L280" s="74">
        <v>92.16</v>
      </c>
      <c r="M280" s="74"/>
      <c r="N280" s="74" t="s">
        <v>392</v>
      </c>
      <c r="O280" s="74" t="s">
        <v>402</v>
      </c>
      <c r="P280" s="74" t="s">
        <v>14497</v>
      </c>
      <c r="Q280" s="74" t="s">
        <v>14498</v>
      </c>
    </row>
    <row r="281" spans="3:17" x14ac:dyDescent="0.25">
      <c r="C281" s="74" t="s">
        <v>8108</v>
      </c>
      <c r="D281" s="74" t="s">
        <v>8109</v>
      </c>
      <c r="E281" s="74"/>
      <c r="F281" s="74">
        <v>7.01</v>
      </c>
      <c r="G281" s="74"/>
      <c r="H281" s="74"/>
      <c r="I281" s="74" t="s">
        <v>391</v>
      </c>
      <c r="J281" s="74"/>
      <c r="K281" s="74">
        <v>102.4</v>
      </c>
      <c r="L281" s="74">
        <v>92.16</v>
      </c>
      <c r="M281" s="74"/>
      <c r="N281" s="74" t="s">
        <v>392</v>
      </c>
      <c r="O281" s="74" t="s">
        <v>402</v>
      </c>
      <c r="P281" s="74" t="s">
        <v>8110</v>
      </c>
      <c r="Q281" s="74" t="s">
        <v>8111</v>
      </c>
    </row>
    <row r="282" spans="3:17" x14ac:dyDescent="0.25">
      <c r="C282" s="74" t="s">
        <v>14545</v>
      </c>
      <c r="D282" s="74" t="s">
        <v>14546</v>
      </c>
      <c r="E282" s="74"/>
      <c r="F282" s="74">
        <v>7.01</v>
      </c>
      <c r="G282" s="74"/>
      <c r="H282" s="74"/>
      <c r="I282" s="74" t="s">
        <v>391</v>
      </c>
      <c r="J282" s="74"/>
      <c r="K282" s="74">
        <v>102.4</v>
      </c>
      <c r="L282" s="74">
        <v>92.16</v>
      </c>
      <c r="M282" s="74"/>
      <c r="N282" s="74" t="s">
        <v>392</v>
      </c>
      <c r="O282" s="74" t="s">
        <v>402</v>
      </c>
      <c r="P282" s="74" t="s">
        <v>14547</v>
      </c>
      <c r="Q282" s="74" t="s">
        <v>14548</v>
      </c>
    </row>
    <row r="283" spans="3:17" x14ac:dyDescent="0.25">
      <c r="C283" s="74" t="s">
        <v>5006</v>
      </c>
      <c r="D283" s="74" t="s">
        <v>5007</v>
      </c>
      <c r="E283" s="74"/>
      <c r="F283" s="74">
        <v>7</v>
      </c>
      <c r="G283" s="74"/>
      <c r="H283" s="74"/>
      <c r="I283" s="74" t="s">
        <v>391</v>
      </c>
      <c r="J283" s="74"/>
      <c r="K283" s="74">
        <v>102.4</v>
      </c>
      <c r="L283" s="74">
        <v>92.16</v>
      </c>
      <c r="M283" s="74"/>
      <c r="N283" s="74" t="s">
        <v>392</v>
      </c>
      <c r="O283" s="74" t="s">
        <v>402</v>
      </c>
      <c r="P283" s="74" t="s">
        <v>5008</v>
      </c>
      <c r="Q283" s="74" t="s">
        <v>5009</v>
      </c>
    </row>
    <row r="284" spans="3:17" x14ac:dyDescent="0.25">
      <c r="C284" s="74" t="s">
        <v>9065</v>
      </c>
      <c r="D284" s="74" t="s">
        <v>9066</v>
      </c>
      <c r="E284" s="74"/>
      <c r="F284" s="74">
        <v>7</v>
      </c>
      <c r="G284" s="74"/>
      <c r="H284" s="74"/>
      <c r="I284" s="74" t="s">
        <v>391</v>
      </c>
      <c r="J284" s="74"/>
      <c r="K284" s="74">
        <v>102.4</v>
      </c>
      <c r="L284" s="74">
        <v>92.16</v>
      </c>
      <c r="M284" s="74"/>
      <c r="N284" s="74" t="s">
        <v>392</v>
      </c>
      <c r="O284" s="74" t="s">
        <v>402</v>
      </c>
      <c r="P284" s="74" t="s">
        <v>9067</v>
      </c>
      <c r="Q284" s="74" t="s">
        <v>9068</v>
      </c>
    </row>
    <row r="285" spans="3:17" x14ac:dyDescent="0.25">
      <c r="C285" s="74" t="s">
        <v>964</v>
      </c>
      <c r="D285" s="74" t="s">
        <v>965</v>
      </c>
      <c r="E285" s="74"/>
      <c r="F285" s="74">
        <v>6.97</v>
      </c>
      <c r="G285" s="74"/>
      <c r="H285" s="74"/>
      <c r="I285" s="74" t="s">
        <v>391</v>
      </c>
      <c r="J285" s="74"/>
      <c r="K285" s="74">
        <v>102.4</v>
      </c>
      <c r="L285" s="74">
        <v>92.16</v>
      </c>
      <c r="M285" s="74"/>
      <c r="N285" s="74" t="s">
        <v>392</v>
      </c>
      <c r="O285" s="74" t="s">
        <v>402</v>
      </c>
      <c r="P285" s="74" t="s">
        <v>966</v>
      </c>
      <c r="Q285" s="74" t="s">
        <v>967</v>
      </c>
    </row>
    <row r="286" spans="3:17" x14ac:dyDescent="0.25">
      <c r="C286" s="74" t="s">
        <v>15317</v>
      </c>
      <c r="D286" s="74" t="s">
        <v>15318</v>
      </c>
      <c r="E286" s="74"/>
      <c r="F286" s="74">
        <v>6.96</v>
      </c>
      <c r="G286" s="74"/>
      <c r="H286" s="74"/>
      <c r="I286" s="74" t="s">
        <v>391</v>
      </c>
      <c r="J286" s="74"/>
      <c r="K286" s="74">
        <v>102.4</v>
      </c>
      <c r="L286" s="74">
        <v>92.16</v>
      </c>
      <c r="M286" s="74"/>
      <c r="N286" s="74" t="s">
        <v>392</v>
      </c>
      <c r="O286" s="74" t="s">
        <v>402</v>
      </c>
      <c r="P286" s="74" t="s">
        <v>15319</v>
      </c>
      <c r="Q286" s="74" t="s">
        <v>15320</v>
      </c>
    </row>
    <row r="287" spans="3:17" x14ac:dyDescent="0.25">
      <c r="C287" s="74" t="s">
        <v>18463</v>
      </c>
      <c r="D287" s="74" t="s">
        <v>18464</v>
      </c>
      <c r="E287" s="74"/>
      <c r="F287" s="74">
        <v>6.96</v>
      </c>
      <c r="G287" s="74"/>
      <c r="H287" s="74"/>
      <c r="I287" s="74" t="s">
        <v>391</v>
      </c>
      <c r="J287" s="74"/>
      <c r="K287" s="74">
        <v>102.4</v>
      </c>
      <c r="L287" s="74">
        <v>92.16</v>
      </c>
      <c r="M287" s="74"/>
      <c r="N287" s="74" t="s">
        <v>392</v>
      </c>
      <c r="O287" s="74" t="s">
        <v>402</v>
      </c>
      <c r="P287" s="74" t="s">
        <v>18465</v>
      </c>
      <c r="Q287" s="74" t="s">
        <v>18466</v>
      </c>
    </row>
    <row r="288" spans="3:17" x14ac:dyDescent="0.25">
      <c r="C288" s="74" t="s">
        <v>4515</v>
      </c>
      <c r="D288" s="74" t="s">
        <v>4516</v>
      </c>
      <c r="E288" s="74" t="s">
        <v>391</v>
      </c>
      <c r="F288" s="74">
        <v>6.92</v>
      </c>
      <c r="G288" s="74"/>
      <c r="H288" s="74"/>
      <c r="I288" s="74" t="s">
        <v>391</v>
      </c>
      <c r="J288" s="74"/>
      <c r="K288" s="74">
        <v>102.4</v>
      </c>
      <c r="L288" s="74">
        <v>92.16</v>
      </c>
      <c r="M288" s="74"/>
      <c r="N288" s="74" t="s">
        <v>392</v>
      </c>
      <c r="O288" s="74" t="s">
        <v>393</v>
      </c>
      <c r="P288" s="74"/>
      <c r="Q288" s="74" t="s">
        <v>4517</v>
      </c>
    </row>
    <row r="289" spans="3:17" x14ac:dyDescent="0.25">
      <c r="C289" s="158" t="s">
        <v>21274</v>
      </c>
      <c r="D289" s="158" t="s">
        <v>21275</v>
      </c>
      <c r="F289" s="158">
        <v>6.86</v>
      </c>
      <c r="I289" s="158" t="s">
        <v>391</v>
      </c>
      <c r="K289" s="158">
        <v>102.4</v>
      </c>
      <c r="L289" s="158">
        <v>92.16</v>
      </c>
      <c r="N289" s="158" t="s">
        <v>392</v>
      </c>
      <c r="O289" s="158" t="s">
        <v>402</v>
      </c>
      <c r="P289" s="158" t="s">
        <v>21276</v>
      </c>
      <c r="Q289" s="158" t="s">
        <v>21277</v>
      </c>
    </row>
    <row r="290" spans="3:17" x14ac:dyDescent="0.25">
      <c r="C290" s="74" t="s">
        <v>6008</v>
      </c>
      <c r="D290" s="74" t="s">
        <v>6009</v>
      </c>
      <c r="E290" s="74"/>
      <c r="F290" s="74">
        <v>6.83</v>
      </c>
      <c r="G290" s="74"/>
      <c r="H290" s="74"/>
      <c r="I290" s="74" t="s">
        <v>391</v>
      </c>
      <c r="J290" s="74"/>
      <c r="K290" s="74">
        <v>102.4</v>
      </c>
      <c r="L290" s="74">
        <v>92.16</v>
      </c>
      <c r="M290" s="74"/>
      <c r="N290" s="74" t="s">
        <v>392</v>
      </c>
      <c r="O290" s="74" t="s">
        <v>402</v>
      </c>
      <c r="P290" s="74" t="s">
        <v>6010</v>
      </c>
      <c r="Q290" s="74" t="s">
        <v>6011</v>
      </c>
    </row>
    <row r="291" spans="3:17" x14ac:dyDescent="0.25">
      <c r="C291" s="74" t="s">
        <v>12370</v>
      </c>
      <c r="D291" s="74" t="s">
        <v>12371</v>
      </c>
      <c r="E291" s="74"/>
      <c r="F291" s="74">
        <v>6.81</v>
      </c>
      <c r="G291" s="74"/>
      <c r="H291" s="74"/>
      <c r="I291" s="74" t="s">
        <v>391</v>
      </c>
      <c r="J291" s="74"/>
      <c r="K291" s="74">
        <v>102.4</v>
      </c>
      <c r="L291" s="74">
        <v>92.16</v>
      </c>
      <c r="M291" s="74"/>
      <c r="N291" s="74" t="s">
        <v>392</v>
      </c>
      <c r="O291" s="74" t="s">
        <v>402</v>
      </c>
      <c r="P291" s="74" t="s">
        <v>12372</v>
      </c>
      <c r="Q291" s="74" t="s">
        <v>12373</v>
      </c>
    </row>
    <row r="292" spans="3:17" x14ac:dyDescent="0.25">
      <c r="C292" s="74" t="s">
        <v>1842</v>
      </c>
      <c r="D292" s="74" t="s">
        <v>1843</v>
      </c>
      <c r="E292" s="74"/>
      <c r="F292" s="74">
        <v>6.75</v>
      </c>
      <c r="G292" s="74"/>
      <c r="H292" s="74"/>
      <c r="I292" s="74" t="s">
        <v>391</v>
      </c>
      <c r="J292" s="74"/>
      <c r="K292" s="74">
        <v>102.4</v>
      </c>
      <c r="L292" s="74">
        <v>92.16</v>
      </c>
      <c r="M292" s="74"/>
      <c r="N292" s="74" t="s">
        <v>392</v>
      </c>
      <c r="O292" s="74" t="s">
        <v>402</v>
      </c>
      <c r="P292" s="74" t="s">
        <v>1844</v>
      </c>
      <c r="Q292" s="74" t="s">
        <v>1845</v>
      </c>
    </row>
    <row r="293" spans="3:17" x14ac:dyDescent="0.25">
      <c r="C293" s="74" t="s">
        <v>17342</v>
      </c>
      <c r="D293" s="74" t="s">
        <v>17343</v>
      </c>
      <c r="E293" s="74"/>
      <c r="F293" s="74">
        <v>6.69</v>
      </c>
      <c r="G293" s="74"/>
      <c r="H293" s="74"/>
      <c r="I293" s="74" t="s">
        <v>391</v>
      </c>
      <c r="J293" s="74"/>
      <c r="K293" s="74">
        <v>102.4</v>
      </c>
      <c r="L293" s="74">
        <v>92.16</v>
      </c>
      <c r="M293" s="74"/>
      <c r="N293" s="74" t="s">
        <v>392</v>
      </c>
      <c r="O293" s="74" t="s">
        <v>402</v>
      </c>
      <c r="P293" s="74" t="s">
        <v>17344</v>
      </c>
      <c r="Q293" s="74" t="s">
        <v>17345</v>
      </c>
    </row>
    <row r="294" spans="3:17" x14ac:dyDescent="0.25">
      <c r="C294" s="74" t="s">
        <v>11142</v>
      </c>
      <c r="D294" s="74" t="s">
        <v>11143</v>
      </c>
      <c r="E294" s="74"/>
      <c r="F294" s="74">
        <v>6.67</v>
      </c>
      <c r="G294" s="74"/>
      <c r="H294" s="74"/>
      <c r="I294" s="74" t="s">
        <v>391</v>
      </c>
      <c r="J294" s="74"/>
      <c r="K294" s="74">
        <v>102.4</v>
      </c>
      <c r="L294" s="74">
        <v>92.16</v>
      </c>
      <c r="M294" s="74"/>
      <c r="N294" s="74" t="s">
        <v>392</v>
      </c>
      <c r="O294" s="74" t="s">
        <v>402</v>
      </c>
      <c r="P294" s="74" t="s">
        <v>11144</v>
      </c>
      <c r="Q294" s="74" t="s">
        <v>11145</v>
      </c>
    </row>
    <row r="295" spans="3:17" x14ac:dyDescent="0.25">
      <c r="C295" s="74" t="s">
        <v>13246</v>
      </c>
      <c r="D295" s="74" t="s">
        <v>13247</v>
      </c>
      <c r="E295" s="74"/>
      <c r="F295" s="74">
        <v>6.67</v>
      </c>
      <c r="G295" s="74"/>
      <c r="H295" s="74"/>
      <c r="I295" s="74" t="s">
        <v>391</v>
      </c>
      <c r="J295" s="74"/>
      <c r="K295" s="74">
        <v>102.4</v>
      </c>
      <c r="L295" s="74">
        <v>92.16</v>
      </c>
      <c r="M295" s="74"/>
      <c r="N295" s="74" t="s">
        <v>392</v>
      </c>
      <c r="O295" s="74" t="s">
        <v>402</v>
      </c>
      <c r="P295" s="74" t="s">
        <v>13248</v>
      </c>
      <c r="Q295" s="74" t="s">
        <v>13249</v>
      </c>
    </row>
    <row r="296" spans="3:17" x14ac:dyDescent="0.25">
      <c r="C296" s="74" t="s">
        <v>2541</v>
      </c>
      <c r="D296" s="74" t="s">
        <v>2542</v>
      </c>
      <c r="E296" s="74"/>
      <c r="F296" s="74">
        <v>6.62</v>
      </c>
      <c r="G296" s="74"/>
      <c r="H296" s="74"/>
      <c r="I296" s="74" t="s">
        <v>391</v>
      </c>
      <c r="J296" s="74"/>
      <c r="K296" s="74">
        <v>102.4</v>
      </c>
      <c r="L296" s="74">
        <v>92.16</v>
      </c>
      <c r="M296" s="74"/>
      <c r="N296" s="74" t="s">
        <v>392</v>
      </c>
      <c r="O296" s="74" t="s">
        <v>402</v>
      </c>
      <c r="P296" s="74" t="s">
        <v>2543</v>
      </c>
      <c r="Q296" s="74" t="s">
        <v>2544</v>
      </c>
    </row>
    <row r="297" spans="3:17" x14ac:dyDescent="0.25">
      <c r="C297" s="74" t="s">
        <v>4168</v>
      </c>
      <c r="D297" s="74" t="s">
        <v>4169</v>
      </c>
      <c r="E297" s="74"/>
      <c r="F297" s="74">
        <v>6.62</v>
      </c>
      <c r="G297" s="74"/>
      <c r="H297" s="74"/>
      <c r="I297" s="74" t="s">
        <v>391</v>
      </c>
      <c r="J297" s="74"/>
      <c r="K297" s="74">
        <v>102.4</v>
      </c>
      <c r="L297" s="74">
        <v>92.16</v>
      </c>
      <c r="M297" s="74"/>
      <c r="N297" s="74" t="s">
        <v>392</v>
      </c>
      <c r="O297" s="74" t="s">
        <v>402</v>
      </c>
      <c r="P297" s="74" t="s">
        <v>4170</v>
      </c>
      <c r="Q297" s="74" t="s">
        <v>4171</v>
      </c>
    </row>
    <row r="298" spans="3:17" x14ac:dyDescent="0.25">
      <c r="C298" s="74" t="s">
        <v>5159</v>
      </c>
      <c r="D298" s="74" t="s">
        <v>5160</v>
      </c>
      <c r="E298" s="74"/>
      <c r="F298" s="74">
        <v>6.58</v>
      </c>
      <c r="G298" s="74"/>
      <c r="H298" s="74"/>
      <c r="I298" s="74" t="s">
        <v>391</v>
      </c>
      <c r="J298" s="74"/>
      <c r="K298" s="74">
        <v>102.4</v>
      </c>
      <c r="L298" s="74">
        <v>92.16</v>
      </c>
      <c r="M298" s="74"/>
      <c r="N298" s="74" t="s">
        <v>392</v>
      </c>
      <c r="O298" s="74" t="s">
        <v>402</v>
      </c>
      <c r="P298" s="74" t="s">
        <v>5161</v>
      </c>
      <c r="Q298" s="74" t="s">
        <v>5162</v>
      </c>
    </row>
    <row r="299" spans="3:17" x14ac:dyDescent="0.25">
      <c r="C299" s="74" t="s">
        <v>14461</v>
      </c>
      <c r="D299" s="74" t="s">
        <v>14462</v>
      </c>
      <c r="E299" s="74"/>
      <c r="F299" s="74">
        <v>6.58</v>
      </c>
      <c r="G299" s="74"/>
      <c r="H299" s="74"/>
      <c r="I299" s="74" t="s">
        <v>391</v>
      </c>
      <c r="J299" s="74"/>
      <c r="K299" s="74">
        <v>102.4</v>
      </c>
      <c r="L299" s="74">
        <v>92.16</v>
      </c>
      <c r="M299" s="74"/>
      <c r="N299" s="74" t="s">
        <v>392</v>
      </c>
      <c r="O299" s="74" t="s">
        <v>402</v>
      </c>
      <c r="P299" s="74" t="s">
        <v>14463</v>
      </c>
      <c r="Q299" s="74" t="s">
        <v>14464</v>
      </c>
    </row>
    <row r="300" spans="3:17" x14ac:dyDescent="0.25">
      <c r="C300" s="74" t="s">
        <v>2870</v>
      </c>
      <c r="D300" s="74" t="s">
        <v>2871</v>
      </c>
      <c r="E300" s="74"/>
      <c r="F300" s="74">
        <v>6.57</v>
      </c>
      <c r="G300" s="74"/>
      <c r="H300" s="74"/>
      <c r="I300" s="74" t="s">
        <v>391</v>
      </c>
      <c r="J300" s="74"/>
      <c r="K300" s="74">
        <v>102.4</v>
      </c>
      <c r="L300" s="74">
        <v>92.16</v>
      </c>
      <c r="M300" s="74"/>
      <c r="N300" s="74" t="s">
        <v>392</v>
      </c>
      <c r="O300" s="74" t="s">
        <v>402</v>
      </c>
      <c r="P300" s="74" t="s">
        <v>2872</v>
      </c>
      <c r="Q300" s="74" t="s">
        <v>2873</v>
      </c>
    </row>
    <row r="301" spans="3:17" x14ac:dyDescent="0.25">
      <c r="C301" s="74" t="s">
        <v>16908</v>
      </c>
      <c r="D301" s="74" t="s">
        <v>16909</v>
      </c>
      <c r="E301" s="74"/>
      <c r="F301" s="74">
        <v>6.51</v>
      </c>
      <c r="G301" s="74"/>
      <c r="H301" s="74"/>
      <c r="I301" s="74" t="s">
        <v>391</v>
      </c>
      <c r="J301" s="74"/>
      <c r="K301" s="74">
        <v>102.4</v>
      </c>
      <c r="L301" s="74">
        <v>92.16</v>
      </c>
      <c r="M301" s="74"/>
      <c r="N301" s="74" t="s">
        <v>392</v>
      </c>
      <c r="O301" s="74" t="s">
        <v>402</v>
      </c>
      <c r="P301" s="74" t="s">
        <v>16910</v>
      </c>
      <c r="Q301" s="74" t="s">
        <v>16911</v>
      </c>
    </row>
    <row r="302" spans="3:17" x14ac:dyDescent="0.25">
      <c r="C302" s="74" t="s">
        <v>19397</v>
      </c>
      <c r="D302" s="74" t="s">
        <v>19398</v>
      </c>
      <c r="E302" s="74"/>
      <c r="F302" s="74">
        <v>6.5</v>
      </c>
      <c r="G302" s="74"/>
      <c r="H302" s="74"/>
      <c r="I302" s="74" t="s">
        <v>391</v>
      </c>
      <c r="J302" s="74"/>
      <c r="K302" s="74">
        <v>102.4</v>
      </c>
      <c r="L302" s="74">
        <v>92.16</v>
      </c>
      <c r="M302" s="74"/>
      <c r="N302" s="74" t="s">
        <v>392</v>
      </c>
      <c r="O302" s="74" t="s">
        <v>402</v>
      </c>
      <c r="P302" s="74" t="s">
        <v>19399</v>
      </c>
      <c r="Q302" s="74" t="s">
        <v>19400</v>
      </c>
    </row>
    <row r="303" spans="3:17" x14ac:dyDescent="0.25">
      <c r="C303" s="74" t="s">
        <v>4415</v>
      </c>
      <c r="D303" s="74" t="s">
        <v>4416</v>
      </c>
      <c r="E303" s="74"/>
      <c r="F303" s="74">
        <v>6.48</v>
      </c>
      <c r="G303" s="74"/>
      <c r="H303" s="74"/>
      <c r="I303" s="74" t="s">
        <v>391</v>
      </c>
      <c r="J303" s="74"/>
      <c r="K303" s="74">
        <v>102.4</v>
      </c>
      <c r="L303" s="74">
        <v>92.16</v>
      </c>
      <c r="M303" s="74"/>
      <c r="N303" s="74" t="s">
        <v>392</v>
      </c>
      <c r="O303" s="74" t="s">
        <v>402</v>
      </c>
      <c r="P303" s="74" t="s">
        <v>4417</v>
      </c>
      <c r="Q303" s="74" t="s">
        <v>4418</v>
      </c>
    </row>
    <row r="304" spans="3:17" x14ac:dyDescent="0.25">
      <c r="C304" s="74" t="s">
        <v>10272</v>
      </c>
      <c r="D304" s="74" t="s">
        <v>10273</v>
      </c>
      <c r="E304" s="74"/>
      <c r="F304" s="74">
        <v>6.48</v>
      </c>
      <c r="G304" s="74"/>
      <c r="H304" s="74"/>
      <c r="I304" s="74" t="s">
        <v>391</v>
      </c>
      <c r="J304" s="74"/>
      <c r="K304" s="74">
        <v>102.4</v>
      </c>
      <c r="L304" s="74">
        <v>92.16</v>
      </c>
      <c r="M304" s="74"/>
      <c r="N304" s="74" t="s">
        <v>392</v>
      </c>
      <c r="O304" s="74" t="s">
        <v>402</v>
      </c>
      <c r="P304" s="74" t="s">
        <v>10274</v>
      </c>
      <c r="Q304" s="74" t="s">
        <v>10275</v>
      </c>
    </row>
    <row r="305" spans="3:17" x14ac:dyDescent="0.25">
      <c r="C305" s="74" t="s">
        <v>13041</v>
      </c>
      <c r="D305" s="74" t="s">
        <v>13042</v>
      </c>
      <c r="E305" s="74"/>
      <c r="F305" s="74">
        <v>6.44</v>
      </c>
      <c r="G305" s="74"/>
      <c r="H305" s="74"/>
      <c r="I305" s="74" t="s">
        <v>391</v>
      </c>
      <c r="J305" s="74"/>
      <c r="K305" s="74">
        <v>102.4</v>
      </c>
      <c r="L305" s="74">
        <v>92.16</v>
      </c>
      <c r="M305" s="74"/>
      <c r="N305" s="74" t="s">
        <v>392</v>
      </c>
      <c r="O305" s="74" t="s">
        <v>402</v>
      </c>
      <c r="P305" s="74" t="s">
        <v>13043</v>
      </c>
      <c r="Q305" s="74" t="s">
        <v>13044</v>
      </c>
    </row>
    <row r="306" spans="3:17" x14ac:dyDescent="0.25">
      <c r="C306" s="74" t="s">
        <v>20038</v>
      </c>
      <c r="D306" s="74" t="s">
        <v>20039</v>
      </c>
      <c r="E306" s="74"/>
      <c r="F306" s="74">
        <v>6.41</v>
      </c>
      <c r="G306" s="74"/>
      <c r="H306" s="74"/>
      <c r="I306" s="74" t="s">
        <v>391</v>
      </c>
      <c r="J306" s="74"/>
      <c r="K306" s="74">
        <v>102.4</v>
      </c>
      <c r="L306" s="74">
        <v>92.16</v>
      </c>
      <c r="M306" s="74"/>
      <c r="N306" s="74" t="s">
        <v>392</v>
      </c>
      <c r="O306" s="74" t="s">
        <v>402</v>
      </c>
      <c r="P306" s="74" t="s">
        <v>20040</v>
      </c>
      <c r="Q306" s="74" t="s">
        <v>20041</v>
      </c>
    </row>
    <row r="307" spans="3:17" x14ac:dyDescent="0.25">
      <c r="C307" s="74" t="s">
        <v>9241</v>
      </c>
      <c r="D307" s="74" t="s">
        <v>9242</v>
      </c>
      <c r="E307" s="74"/>
      <c r="F307" s="74">
        <v>6.34</v>
      </c>
      <c r="G307" s="74"/>
      <c r="H307" s="74"/>
      <c r="I307" s="74" t="s">
        <v>391</v>
      </c>
      <c r="J307" s="74"/>
      <c r="K307" s="74">
        <v>102.4</v>
      </c>
      <c r="L307" s="74">
        <v>92.16</v>
      </c>
      <c r="M307" s="74"/>
      <c r="N307" s="74" t="s">
        <v>392</v>
      </c>
      <c r="O307" s="74" t="s">
        <v>402</v>
      </c>
      <c r="P307" s="74" t="s">
        <v>9243</v>
      </c>
      <c r="Q307" s="74" t="s">
        <v>9244</v>
      </c>
    </row>
    <row r="308" spans="3:17" x14ac:dyDescent="0.25">
      <c r="C308" s="74" t="s">
        <v>8933</v>
      </c>
      <c r="D308" s="74" t="s">
        <v>8934</v>
      </c>
      <c r="E308" s="74"/>
      <c r="F308" s="74">
        <v>6.3</v>
      </c>
      <c r="G308" s="74"/>
      <c r="H308" s="74"/>
      <c r="I308" s="74" t="s">
        <v>391</v>
      </c>
      <c r="J308" s="74"/>
      <c r="K308" s="74">
        <v>102.4</v>
      </c>
      <c r="L308" s="74">
        <v>92.16</v>
      </c>
      <c r="M308" s="74"/>
      <c r="N308" s="74" t="s">
        <v>392</v>
      </c>
      <c r="O308" s="74" t="s">
        <v>402</v>
      </c>
      <c r="P308" s="74" t="s">
        <v>8935</v>
      </c>
      <c r="Q308" s="74" t="s">
        <v>8936</v>
      </c>
    </row>
    <row r="309" spans="3:17" x14ac:dyDescent="0.25">
      <c r="C309" s="74" t="s">
        <v>6107</v>
      </c>
      <c r="D309" s="74" t="s">
        <v>6108</v>
      </c>
      <c r="E309" s="74"/>
      <c r="F309" s="74">
        <v>6.28</v>
      </c>
      <c r="G309" s="74"/>
      <c r="H309" s="74"/>
      <c r="I309" s="74" t="s">
        <v>391</v>
      </c>
      <c r="J309" s="74"/>
      <c r="K309" s="74">
        <v>102.4</v>
      </c>
      <c r="L309" s="74">
        <v>92.16</v>
      </c>
      <c r="M309" s="74"/>
      <c r="N309" s="74" t="s">
        <v>392</v>
      </c>
      <c r="O309" s="74" t="s">
        <v>402</v>
      </c>
      <c r="P309" s="74" t="s">
        <v>6109</v>
      </c>
      <c r="Q309" s="74" t="s">
        <v>6110</v>
      </c>
    </row>
    <row r="310" spans="3:17" x14ac:dyDescent="0.25">
      <c r="C310" s="74" t="s">
        <v>7203</v>
      </c>
      <c r="D310" s="74" t="s">
        <v>7204</v>
      </c>
      <c r="E310" s="74"/>
      <c r="F310" s="74">
        <v>6.2</v>
      </c>
      <c r="G310" s="74"/>
      <c r="H310" s="74"/>
      <c r="I310" s="74" t="s">
        <v>391</v>
      </c>
      <c r="J310" s="74"/>
      <c r="K310" s="74">
        <v>102.4</v>
      </c>
      <c r="L310" s="74">
        <v>92.16</v>
      </c>
      <c r="M310" s="74"/>
      <c r="N310" s="74" t="s">
        <v>392</v>
      </c>
      <c r="O310" s="74" t="s">
        <v>402</v>
      </c>
      <c r="P310" s="74" t="s">
        <v>7205</v>
      </c>
      <c r="Q310" s="74" t="s">
        <v>7206</v>
      </c>
    </row>
    <row r="311" spans="3:17" x14ac:dyDescent="0.25">
      <c r="C311" s="74" t="s">
        <v>2353</v>
      </c>
      <c r="D311" s="74" t="s">
        <v>2354</v>
      </c>
      <c r="E311" s="74"/>
      <c r="F311" s="74">
        <v>6.16</v>
      </c>
      <c r="G311" s="74"/>
      <c r="H311" s="74"/>
      <c r="I311" s="74" t="s">
        <v>391</v>
      </c>
      <c r="J311" s="74"/>
      <c r="K311" s="74">
        <v>102.4</v>
      </c>
      <c r="L311" s="74">
        <v>92.16</v>
      </c>
      <c r="M311" s="74"/>
      <c r="N311" s="74" t="s">
        <v>392</v>
      </c>
      <c r="O311" s="74" t="s">
        <v>402</v>
      </c>
      <c r="P311" s="74" t="s">
        <v>2355</v>
      </c>
      <c r="Q311" s="74" t="s">
        <v>2356</v>
      </c>
    </row>
    <row r="312" spans="3:17" x14ac:dyDescent="0.25">
      <c r="C312" s="74" t="s">
        <v>18057</v>
      </c>
      <c r="D312" s="74" t="s">
        <v>18058</v>
      </c>
      <c r="E312" s="74"/>
      <c r="F312" s="74">
        <v>6.16</v>
      </c>
      <c r="G312" s="74"/>
      <c r="H312" s="74"/>
      <c r="I312" s="74" t="s">
        <v>391</v>
      </c>
      <c r="J312" s="74"/>
      <c r="K312" s="74">
        <v>102.4</v>
      </c>
      <c r="L312" s="74">
        <v>92.16</v>
      </c>
      <c r="M312" s="74"/>
      <c r="N312" s="74" t="s">
        <v>392</v>
      </c>
      <c r="O312" s="74" t="s">
        <v>402</v>
      </c>
      <c r="P312" s="74" t="s">
        <v>18059</v>
      </c>
      <c r="Q312" s="74" t="s">
        <v>18060</v>
      </c>
    </row>
    <row r="313" spans="3:17" x14ac:dyDescent="0.25">
      <c r="C313" s="74" t="s">
        <v>12970</v>
      </c>
      <c r="D313" s="74" t="s">
        <v>12971</v>
      </c>
      <c r="E313" s="74"/>
      <c r="F313" s="74">
        <v>6.14</v>
      </c>
      <c r="G313" s="74"/>
      <c r="H313" s="74"/>
      <c r="I313" s="74" t="s">
        <v>391</v>
      </c>
      <c r="J313" s="74"/>
      <c r="K313" s="74">
        <v>102.4</v>
      </c>
      <c r="L313" s="74">
        <v>92.16</v>
      </c>
      <c r="M313" s="74"/>
      <c r="N313" s="74" t="s">
        <v>392</v>
      </c>
      <c r="O313" s="74" t="s">
        <v>402</v>
      </c>
      <c r="P313" s="74" t="s">
        <v>12972</v>
      </c>
      <c r="Q313" s="74" t="s">
        <v>12973</v>
      </c>
    </row>
    <row r="314" spans="3:17" x14ac:dyDescent="0.25">
      <c r="C314" s="74" t="s">
        <v>1540</v>
      </c>
      <c r="D314" s="74" t="s">
        <v>1541</v>
      </c>
      <c r="E314" s="74"/>
      <c r="F314" s="74">
        <v>6.13</v>
      </c>
      <c r="G314" s="74"/>
      <c r="H314" s="74"/>
      <c r="I314" s="74" t="s">
        <v>391</v>
      </c>
      <c r="J314" s="74"/>
      <c r="K314" s="74">
        <v>102.4</v>
      </c>
      <c r="L314" s="74">
        <v>92.16</v>
      </c>
      <c r="M314" s="74"/>
      <c r="N314" s="74" t="s">
        <v>392</v>
      </c>
      <c r="O314" s="74" t="s">
        <v>402</v>
      </c>
      <c r="P314" s="74" t="s">
        <v>1542</v>
      </c>
      <c r="Q314" s="74" t="s">
        <v>1543</v>
      </c>
    </row>
    <row r="315" spans="3:17" x14ac:dyDescent="0.25">
      <c r="C315" s="74" t="s">
        <v>7964</v>
      </c>
      <c r="D315" s="74" t="s">
        <v>7965</v>
      </c>
      <c r="E315" s="74"/>
      <c r="F315" s="74">
        <v>6.1</v>
      </c>
      <c r="G315" s="74"/>
      <c r="H315" s="74"/>
      <c r="I315" s="74" t="s">
        <v>391</v>
      </c>
      <c r="J315" s="74"/>
      <c r="K315" s="74">
        <v>102.4</v>
      </c>
      <c r="L315" s="74">
        <v>92.16</v>
      </c>
      <c r="M315" s="74"/>
      <c r="N315" s="74" t="s">
        <v>392</v>
      </c>
      <c r="O315" s="74" t="s">
        <v>402</v>
      </c>
      <c r="P315" s="74" t="s">
        <v>7966</v>
      </c>
      <c r="Q315" s="74" t="s">
        <v>7967</v>
      </c>
    </row>
    <row r="316" spans="3:17" x14ac:dyDescent="0.25">
      <c r="C316" s="74" t="s">
        <v>10532</v>
      </c>
      <c r="D316" s="74" t="s">
        <v>10533</v>
      </c>
      <c r="E316" s="74"/>
      <c r="F316" s="74">
        <v>6.08</v>
      </c>
      <c r="G316" s="74"/>
      <c r="H316" s="74"/>
      <c r="I316" s="74" t="s">
        <v>391</v>
      </c>
      <c r="J316" s="74"/>
      <c r="K316" s="74">
        <v>102.4</v>
      </c>
      <c r="L316" s="74">
        <v>92.16</v>
      </c>
      <c r="M316" s="74"/>
      <c r="N316" s="74" t="s">
        <v>392</v>
      </c>
      <c r="O316" s="74" t="s">
        <v>402</v>
      </c>
      <c r="P316" s="74" t="s">
        <v>10534</v>
      </c>
      <c r="Q316" s="74" t="s">
        <v>10535</v>
      </c>
    </row>
    <row r="317" spans="3:17" x14ac:dyDescent="0.25">
      <c r="C317" s="74" t="s">
        <v>11039</v>
      </c>
      <c r="D317" s="74" t="s">
        <v>11040</v>
      </c>
      <c r="E317" s="74"/>
      <c r="F317" s="74">
        <v>6.08</v>
      </c>
      <c r="G317" s="74"/>
      <c r="H317" s="74"/>
      <c r="I317" s="74" t="s">
        <v>391</v>
      </c>
      <c r="J317" s="74"/>
      <c r="K317" s="74">
        <v>102.4</v>
      </c>
      <c r="L317" s="74">
        <v>92.16</v>
      </c>
      <c r="M317" s="74"/>
      <c r="N317" s="74" t="s">
        <v>392</v>
      </c>
      <c r="O317" s="74" t="s">
        <v>402</v>
      </c>
      <c r="P317" s="74" t="s">
        <v>11041</v>
      </c>
      <c r="Q317" s="74" t="s">
        <v>11042</v>
      </c>
    </row>
    <row r="318" spans="3:17" x14ac:dyDescent="0.25">
      <c r="C318" s="74" t="s">
        <v>13037</v>
      </c>
      <c r="D318" s="74" t="s">
        <v>13038</v>
      </c>
      <c r="E318" s="74"/>
      <c r="F318" s="74">
        <v>6.05</v>
      </c>
      <c r="G318" s="74"/>
      <c r="H318" s="74"/>
      <c r="I318" s="74" t="s">
        <v>391</v>
      </c>
      <c r="J318" s="74"/>
      <c r="K318" s="74">
        <v>102.4</v>
      </c>
      <c r="L318" s="74">
        <v>92.16</v>
      </c>
      <c r="M318" s="74"/>
      <c r="N318" s="74" t="s">
        <v>392</v>
      </c>
      <c r="O318" s="74" t="s">
        <v>402</v>
      </c>
      <c r="P318" s="74" t="s">
        <v>13039</v>
      </c>
      <c r="Q318" s="74" t="s">
        <v>13040</v>
      </c>
    </row>
    <row r="319" spans="3:17" x14ac:dyDescent="0.25">
      <c r="C319" s="74" t="s">
        <v>12610</v>
      </c>
      <c r="D319" s="74" t="s">
        <v>12611</v>
      </c>
      <c r="E319" s="74"/>
      <c r="F319" s="74">
        <v>6.02</v>
      </c>
      <c r="G319" s="74"/>
      <c r="H319" s="74"/>
      <c r="I319" s="74" t="s">
        <v>391</v>
      </c>
      <c r="J319" s="74"/>
      <c r="K319" s="74">
        <v>102.4</v>
      </c>
      <c r="L319" s="74">
        <v>92.16</v>
      </c>
      <c r="M319" s="74"/>
      <c r="N319" s="74" t="s">
        <v>392</v>
      </c>
      <c r="O319" s="74" t="s">
        <v>402</v>
      </c>
      <c r="P319" s="74" t="s">
        <v>12612</v>
      </c>
      <c r="Q319" s="74" t="s">
        <v>12613</v>
      </c>
    </row>
    <row r="320" spans="3:17" x14ac:dyDescent="0.25">
      <c r="C320" s="74" t="s">
        <v>20539</v>
      </c>
      <c r="D320" s="74" t="s">
        <v>20540</v>
      </c>
      <c r="E320" s="74"/>
      <c r="F320" s="74">
        <v>6</v>
      </c>
      <c r="G320" s="74"/>
      <c r="H320" s="74"/>
      <c r="I320" s="74" t="s">
        <v>391</v>
      </c>
      <c r="J320" s="74"/>
      <c r="K320" s="74">
        <v>102.4</v>
      </c>
      <c r="L320" s="74">
        <v>92.16</v>
      </c>
      <c r="M320" s="74"/>
      <c r="N320" s="74" t="s">
        <v>392</v>
      </c>
      <c r="O320" s="74" t="s">
        <v>402</v>
      </c>
      <c r="P320" s="74" t="s">
        <v>20541</v>
      </c>
      <c r="Q320" s="74" t="s">
        <v>20542</v>
      </c>
    </row>
    <row r="321" spans="3:17" x14ac:dyDescent="0.25">
      <c r="C321" s="74" t="s">
        <v>14199</v>
      </c>
      <c r="D321" s="74" t="s">
        <v>14200</v>
      </c>
      <c r="E321" s="74"/>
      <c r="F321" s="74">
        <v>5.95</v>
      </c>
      <c r="G321" s="74"/>
      <c r="H321" s="74"/>
      <c r="I321" s="74" t="s">
        <v>391</v>
      </c>
      <c r="J321" s="74"/>
      <c r="K321" s="74">
        <v>102.4</v>
      </c>
      <c r="L321" s="74">
        <v>92.16</v>
      </c>
      <c r="M321" s="74"/>
      <c r="N321" s="74" t="s">
        <v>392</v>
      </c>
      <c r="O321" s="74" t="s">
        <v>402</v>
      </c>
      <c r="P321" s="74" t="s">
        <v>14201</v>
      </c>
      <c r="Q321" s="74" t="s">
        <v>14202</v>
      </c>
    </row>
    <row r="322" spans="3:17" x14ac:dyDescent="0.25">
      <c r="C322" s="74" t="s">
        <v>1907</v>
      </c>
      <c r="D322" s="74" t="s">
        <v>1908</v>
      </c>
      <c r="E322" s="74"/>
      <c r="F322" s="74">
        <v>5.94</v>
      </c>
      <c r="G322" s="74"/>
      <c r="H322" s="74"/>
      <c r="I322" s="74" t="s">
        <v>391</v>
      </c>
      <c r="J322" s="74"/>
      <c r="K322" s="74">
        <v>102.4</v>
      </c>
      <c r="L322" s="74">
        <v>92.16</v>
      </c>
      <c r="M322" s="74"/>
      <c r="N322" s="74" t="s">
        <v>392</v>
      </c>
      <c r="O322" s="74" t="s">
        <v>402</v>
      </c>
      <c r="P322" s="74" t="s">
        <v>1909</v>
      </c>
      <c r="Q322" s="74" t="s">
        <v>1910</v>
      </c>
    </row>
    <row r="323" spans="3:17" x14ac:dyDescent="0.25">
      <c r="C323" s="74" t="s">
        <v>5949</v>
      </c>
      <c r="D323" s="74" t="s">
        <v>5950</v>
      </c>
      <c r="E323" s="74"/>
      <c r="F323" s="74">
        <v>5.88</v>
      </c>
      <c r="G323" s="74"/>
      <c r="H323" s="74"/>
      <c r="I323" s="74" t="s">
        <v>391</v>
      </c>
      <c r="J323" s="74"/>
      <c r="K323" s="74">
        <v>102.4</v>
      </c>
      <c r="L323" s="74">
        <v>92.16</v>
      </c>
      <c r="M323" s="74"/>
      <c r="N323" s="74" t="s">
        <v>392</v>
      </c>
      <c r="O323" s="74" t="s">
        <v>402</v>
      </c>
      <c r="P323" s="74" t="s">
        <v>5951</v>
      </c>
      <c r="Q323" s="74" t="s">
        <v>5952</v>
      </c>
    </row>
    <row r="324" spans="3:17" x14ac:dyDescent="0.25">
      <c r="C324" s="74" t="s">
        <v>10486</v>
      </c>
      <c r="D324" s="74" t="s">
        <v>10487</v>
      </c>
      <c r="E324" s="74"/>
      <c r="F324" s="74">
        <v>5.88</v>
      </c>
      <c r="G324" s="74"/>
      <c r="H324" s="74"/>
      <c r="I324" s="74" t="s">
        <v>391</v>
      </c>
      <c r="J324" s="74"/>
      <c r="K324" s="74">
        <v>102.4</v>
      </c>
      <c r="L324" s="74">
        <v>92.16</v>
      </c>
      <c r="M324" s="74"/>
      <c r="N324" s="74" t="s">
        <v>392</v>
      </c>
      <c r="O324" s="74" t="s">
        <v>402</v>
      </c>
      <c r="P324" s="74" t="s">
        <v>10488</v>
      </c>
      <c r="Q324" s="74" t="s">
        <v>10489</v>
      </c>
    </row>
    <row r="325" spans="3:17" x14ac:dyDescent="0.25">
      <c r="C325" s="74" t="s">
        <v>7410</v>
      </c>
      <c r="D325" s="74" t="s">
        <v>7411</v>
      </c>
      <c r="E325" s="74"/>
      <c r="F325" s="74">
        <v>5.86</v>
      </c>
      <c r="G325" s="74"/>
      <c r="H325" s="74"/>
      <c r="I325" s="74" t="s">
        <v>391</v>
      </c>
      <c r="J325" s="74"/>
      <c r="K325" s="74">
        <v>102.4</v>
      </c>
      <c r="L325" s="74">
        <v>92.16</v>
      </c>
      <c r="M325" s="74"/>
      <c r="N325" s="74" t="s">
        <v>392</v>
      </c>
      <c r="O325" s="74" t="s">
        <v>402</v>
      </c>
      <c r="P325" s="74" t="s">
        <v>7412</v>
      </c>
      <c r="Q325" s="74" t="s">
        <v>7413</v>
      </c>
    </row>
    <row r="326" spans="3:17" x14ac:dyDescent="0.25">
      <c r="C326" s="74" t="s">
        <v>1699</v>
      </c>
      <c r="D326" s="74" t="s">
        <v>1700</v>
      </c>
      <c r="E326" s="74"/>
      <c r="F326" s="74">
        <v>5.82</v>
      </c>
      <c r="G326" s="74"/>
      <c r="H326" s="74"/>
      <c r="I326" s="74" t="s">
        <v>391</v>
      </c>
      <c r="J326" s="74"/>
      <c r="K326" s="74">
        <v>102.4</v>
      </c>
      <c r="L326" s="74">
        <v>92.16</v>
      </c>
      <c r="M326" s="74"/>
      <c r="N326" s="74" t="s">
        <v>392</v>
      </c>
      <c r="O326" s="74" t="s">
        <v>402</v>
      </c>
      <c r="P326" s="74" t="s">
        <v>1701</v>
      </c>
      <c r="Q326" s="74" t="s">
        <v>1702</v>
      </c>
    </row>
    <row r="327" spans="3:17" x14ac:dyDescent="0.25">
      <c r="C327" s="74" t="s">
        <v>7180</v>
      </c>
      <c r="D327" s="74" t="s">
        <v>7181</v>
      </c>
      <c r="E327" s="74"/>
      <c r="F327" s="74">
        <v>5.82</v>
      </c>
      <c r="G327" s="74"/>
      <c r="H327" s="74"/>
      <c r="I327" s="74" t="s">
        <v>391</v>
      </c>
      <c r="J327" s="74"/>
      <c r="K327" s="74">
        <v>102.4</v>
      </c>
      <c r="L327" s="74">
        <v>92.16</v>
      </c>
      <c r="M327" s="74"/>
      <c r="N327" s="74" t="s">
        <v>392</v>
      </c>
      <c r="O327" s="74" t="s">
        <v>402</v>
      </c>
      <c r="P327" s="74" t="s">
        <v>7182</v>
      </c>
      <c r="Q327" s="74" t="s">
        <v>7183</v>
      </c>
    </row>
    <row r="328" spans="3:17" x14ac:dyDescent="0.25">
      <c r="C328" s="74" t="s">
        <v>19407</v>
      </c>
      <c r="D328" s="74" t="s">
        <v>19408</v>
      </c>
      <c r="E328" s="74"/>
      <c r="F328" s="74">
        <v>5.79</v>
      </c>
      <c r="G328" s="74"/>
      <c r="H328" s="74"/>
      <c r="I328" s="74" t="s">
        <v>391</v>
      </c>
      <c r="J328" s="74"/>
      <c r="K328" s="74">
        <v>102.4</v>
      </c>
      <c r="L328" s="74">
        <v>92.16</v>
      </c>
      <c r="M328" s="74"/>
      <c r="N328" s="74" t="s">
        <v>392</v>
      </c>
      <c r="O328" s="74" t="s">
        <v>402</v>
      </c>
      <c r="P328" s="74" t="s">
        <v>19409</v>
      </c>
      <c r="Q328" s="74" t="s">
        <v>19410</v>
      </c>
    </row>
    <row r="329" spans="3:17" x14ac:dyDescent="0.25">
      <c r="C329" s="74" t="s">
        <v>7248</v>
      </c>
      <c r="D329" s="74" t="s">
        <v>7249</v>
      </c>
      <c r="E329" s="74" t="s">
        <v>391</v>
      </c>
      <c r="F329" s="74">
        <v>5.76</v>
      </c>
      <c r="G329" s="74"/>
      <c r="H329" s="74"/>
      <c r="I329" s="74" t="s">
        <v>391</v>
      </c>
      <c r="J329" s="74"/>
      <c r="K329" s="74">
        <v>102.4</v>
      </c>
      <c r="L329" s="74">
        <v>92.16</v>
      </c>
      <c r="M329" s="74"/>
      <c r="N329" s="74" t="s">
        <v>392</v>
      </c>
      <c r="O329" s="74" t="s">
        <v>393</v>
      </c>
      <c r="P329" s="74"/>
      <c r="Q329" s="74" t="s">
        <v>7250</v>
      </c>
    </row>
    <row r="330" spans="3:17" x14ac:dyDescent="0.25">
      <c r="C330" s="74" t="s">
        <v>3661</v>
      </c>
      <c r="D330" s="74" t="s">
        <v>3662</v>
      </c>
      <c r="E330" s="74"/>
      <c r="F330" s="74">
        <v>5.69</v>
      </c>
      <c r="G330" s="74"/>
      <c r="H330" s="74"/>
      <c r="I330" s="74" t="s">
        <v>391</v>
      </c>
      <c r="J330" s="74"/>
      <c r="K330" s="74">
        <v>102.4</v>
      </c>
      <c r="L330" s="74">
        <v>92.16</v>
      </c>
      <c r="M330" s="74"/>
      <c r="N330" s="74" t="s">
        <v>392</v>
      </c>
      <c r="O330" s="74" t="s">
        <v>402</v>
      </c>
      <c r="P330" s="74" t="s">
        <v>3663</v>
      </c>
      <c r="Q330" s="74" t="s">
        <v>3664</v>
      </c>
    </row>
    <row r="331" spans="3:17" x14ac:dyDescent="0.25">
      <c r="C331" s="74" t="s">
        <v>4613</v>
      </c>
      <c r="D331" s="74" t="s">
        <v>4614</v>
      </c>
      <c r="E331" s="74"/>
      <c r="F331" s="74">
        <v>5.66</v>
      </c>
      <c r="G331" s="74"/>
      <c r="H331" s="74"/>
      <c r="I331" s="74" t="s">
        <v>391</v>
      </c>
      <c r="J331" s="74"/>
      <c r="K331" s="74">
        <v>102.4</v>
      </c>
      <c r="L331" s="74">
        <v>92.16</v>
      </c>
      <c r="M331" s="74"/>
      <c r="N331" s="74" t="s">
        <v>392</v>
      </c>
      <c r="O331" s="74" t="s">
        <v>402</v>
      </c>
      <c r="P331" s="74" t="s">
        <v>4615</v>
      </c>
      <c r="Q331" s="74" t="s">
        <v>4616</v>
      </c>
    </row>
    <row r="332" spans="3:17" x14ac:dyDescent="0.25">
      <c r="C332" s="74" t="s">
        <v>18826</v>
      </c>
      <c r="D332" s="74" t="s">
        <v>18827</v>
      </c>
      <c r="E332" s="74"/>
      <c r="F332" s="74">
        <v>5.65</v>
      </c>
      <c r="G332" s="74"/>
      <c r="H332" s="74"/>
      <c r="I332" s="74" t="s">
        <v>391</v>
      </c>
      <c r="J332" s="74"/>
      <c r="K332" s="74">
        <v>102.4</v>
      </c>
      <c r="L332" s="74">
        <v>92.16</v>
      </c>
      <c r="M332" s="74"/>
      <c r="N332" s="74" t="s">
        <v>392</v>
      </c>
      <c r="O332" s="74" t="s">
        <v>402</v>
      </c>
      <c r="P332" s="74" t="s">
        <v>18828</v>
      </c>
      <c r="Q332" s="74" t="s">
        <v>18829</v>
      </c>
    </row>
    <row r="333" spans="3:17" x14ac:dyDescent="0.25">
      <c r="C333" s="74" t="s">
        <v>8769</v>
      </c>
      <c r="D333" s="74" t="s">
        <v>8770</v>
      </c>
      <c r="E333" s="74"/>
      <c r="F333" s="74">
        <v>5.62</v>
      </c>
      <c r="G333" s="74"/>
      <c r="H333" s="74"/>
      <c r="I333" s="74" t="s">
        <v>391</v>
      </c>
      <c r="J333" s="74"/>
      <c r="K333" s="74">
        <v>102.4</v>
      </c>
      <c r="L333" s="74">
        <v>92.16</v>
      </c>
      <c r="M333" s="74"/>
      <c r="N333" s="74" t="s">
        <v>392</v>
      </c>
      <c r="O333" s="74" t="s">
        <v>402</v>
      </c>
      <c r="P333" s="74" t="s">
        <v>8771</v>
      </c>
      <c r="Q333" s="74" t="s">
        <v>8772</v>
      </c>
    </row>
    <row r="334" spans="3:17" x14ac:dyDescent="0.25">
      <c r="C334" s="74" t="s">
        <v>18676</v>
      </c>
      <c r="D334" s="74" t="s">
        <v>18677</v>
      </c>
      <c r="E334" s="74"/>
      <c r="F334" s="74">
        <v>5.56</v>
      </c>
      <c r="G334" s="74"/>
      <c r="H334" s="74"/>
      <c r="I334" s="74" t="s">
        <v>391</v>
      </c>
      <c r="J334" s="74"/>
      <c r="K334" s="74">
        <v>102.4</v>
      </c>
      <c r="L334" s="74">
        <v>92.16</v>
      </c>
      <c r="M334" s="74"/>
      <c r="N334" s="74" t="s">
        <v>392</v>
      </c>
      <c r="O334" s="74" t="s">
        <v>402</v>
      </c>
      <c r="P334" s="74" t="s">
        <v>18678</v>
      </c>
      <c r="Q334" s="74" t="s">
        <v>18679</v>
      </c>
    </row>
    <row r="335" spans="3:17" x14ac:dyDescent="0.25">
      <c r="C335" s="74" t="s">
        <v>20608</v>
      </c>
      <c r="D335" s="74" t="s">
        <v>20609</v>
      </c>
      <c r="E335" s="74"/>
      <c r="F335" s="74">
        <v>5.55</v>
      </c>
      <c r="G335" s="74"/>
      <c r="H335" s="74"/>
      <c r="I335" s="74" t="s">
        <v>391</v>
      </c>
      <c r="J335" s="74"/>
      <c r="K335" s="74">
        <v>102.4</v>
      </c>
      <c r="L335" s="74">
        <v>92.16</v>
      </c>
      <c r="M335" s="74"/>
      <c r="N335" s="74" t="s">
        <v>392</v>
      </c>
      <c r="O335" s="74" t="s">
        <v>402</v>
      </c>
      <c r="P335" s="74" t="s">
        <v>20610</v>
      </c>
      <c r="Q335" s="74" t="s">
        <v>20611</v>
      </c>
    </row>
    <row r="336" spans="3:17" x14ac:dyDescent="0.25">
      <c r="C336" s="74" t="s">
        <v>6289</v>
      </c>
      <c r="D336" s="74" t="s">
        <v>6290</v>
      </c>
      <c r="E336" s="74"/>
      <c r="F336" s="74">
        <v>5.54</v>
      </c>
      <c r="G336" s="74"/>
      <c r="H336" s="74"/>
      <c r="I336" s="74" t="s">
        <v>391</v>
      </c>
      <c r="J336" s="74"/>
      <c r="K336" s="74">
        <v>102.4</v>
      </c>
      <c r="L336" s="74">
        <v>92.16</v>
      </c>
      <c r="M336" s="74"/>
      <c r="N336" s="74" t="s">
        <v>392</v>
      </c>
      <c r="O336" s="74" t="s">
        <v>402</v>
      </c>
      <c r="P336" s="74" t="s">
        <v>6291</v>
      </c>
      <c r="Q336" s="74" t="s">
        <v>6292</v>
      </c>
    </row>
    <row r="337" spans="3:17" x14ac:dyDescent="0.25">
      <c r="C337" s="74" t="s">
        <v>17350</v>
      </c>
      <c r="D337" s="74" t="s">
        <v>17351</v>
      </c>
      <c r="E337" s="74"/>
      <c r="F337" s="74">
        <v>5.54</v>
      </c>
      <c r="G337" s="74"/>
      <c r="H337" s="74"/>
      <c r="I337" s="74" t="s">
        <v>391</v>
      </c>
      <c r="J337" s="74"/>
      <c r="K337" s="74">
        <v>102.4</v>
      </c>
      <c r="L337" s="74">
        <v>92.16</v>
      </c>
      <c r="M337" s="74"/>
      <c r="N337" s="74" t="s">
        <v>392</v>
      </c>
      <c r="O337" s="74" t="s">
        <v>402</v>
      </c>
      <c r="P337" s="74" t="s">
        <v>17352</v>
      </c>
      <c r="Q337" s="74" t="s">
        <v>17353</v>
      </c>
    </row>
    <row r="338" spans="3:17" x14ac:dyDescent="0.25">
      <c r="C338" s="74" t="s">
        <v>18224</v>
      </c>
      <c r="D338" s="74" t="s">
        <v>18225</v>
      </c>
      <c r="E338" s="74"/>
      <c r="F338" s="74">
        <v>5.52</v>
      </c>
      <c r="G338" s="74"/>
      <c r="H338" s="74"/>
      <c r="I338" s="74" t="s">
        <v>391</v>
      </c>
      <c r="J338" s="74"/>
      <c r="K338" s="74">
        <v>102.4</v>
      </c>
      <c r="L338" s="74">
        <v>92.16</v>
      </c>
      <c r="M338" s="74"/>
      <c r="N338" s="74" t="s">
        <v>392</v>
      </c>
      <c r="O338" s="74" t="s">
        <v>402</v>
      </c>
      <c r="P338" s="74" t="s">
        <v>18226</v>
      </c>
      <c r="Q338" s="74" t="s">
        <v>18227</v>
      </c>
    </row>
    <row r="339" spans="3:17" x14ac:dyDescent="0.25">
      <c r="C339" s="74" t="s">
        <v>6374</v>
      </c>
      <c r="D339" s="74" t="s">
        <v>6375</v>
      </c>
      <c r="E339" s="74"/>
      <c r="F339" s="74">
        <v>5.46</v>
      </c>
      <c r="G339" s="74"/>
      <c r="H339" s="74"/>
      <c r="I339" s="74" t="s">
        <v>391</v>
      </c>
      <c r="J339" s="74"/>
      <c r="K339" s="74">
        <v>102.4</v>
      </c>
      <c r="L339" s="74">
        <v>92.16</v>
      </c>
      <c r="M339" s="74"/>
      <c r="N339" s="74" t="s">
        <v>392</v>
      </c>
      <c r="O339" s="74" t="s">
        <v>402</v>
      </c>
      <c r="P339" s="74" t="s">
        <v>6376</v>
      </c>
      <c r="Q339" s="74" t="s">
        <v>6377</v>
      </c>
    </row>
    <row r="340" spans="3:17" x14ac:dyDescent="0.25">
      <c r="C340" s="74" t="s">
        <v>10122</v>
      </c>
      <c r="D340" s="74" t="s">
        <v>10123</v>
      </c>
      <c r="E340" s="74"/>
      <c r="F340" s="74">
        <v>5.46</v>
      </c>
      <c r="G340" s="74"/>
      <c r="H340" s="74"/>
      <c r="I340" s="74" t="s">
        <v>391</v>
      </c>
      <c r="J340" s="74"/>
      <c r="K340" s="74">
        <v>102.4</v>
      </c>
      <c r="L340" s="74">
        <v>92.16</v>
      </c>
      <c r="M340" s="74"/>
      <c r="N340" s="74" t="s">
        <v>392</v>
      </c>
      <c r="O340" s="74" t="s">
        <v>402</v>
      </c>
      <c r="P340" s="74" t="s">
        <v>10124</v>
      </c>
      <c r="Q340" s="74" t="s">
        <v>10125</v>
      </c>
    </row>
    <row r="341" spans="3:17" x14ac:dyDescent="0.25">
      <c r="C341" s="74" t="s">
        <v>16872</v>
      </c>
      <c r="D341" s="74" t="s">
        <v>16873</v>
      </c>
      <c r="E341" s="74"/>
      <c r="F341" s="74">
        <v>5.45</v>
      </c>
      <c r="G341" s="74"/>
      <c r="H341" s="74"/>
      <c r="I341" s="74" t="s">
        <v>391</v>
      </c>
      <c r="J341" s="74"/>
      <c r="K341" s="74">
        <v>102.4</v>
      </c>
      <c r="L341" s="74">
        <v>92.16</v>
      </c>
      <c r="M341" s="74"/>
      <c r="N341" s="74" t="s">
        <v>392</v>
      </c>
      <c r="O341" s="74" t="s">
        <v>402</v>
      </c>
      <c r="P341" s="74" t="s">
        <v>16874</v>
      </c>
      <c r="Q341" s="74" t="s">
        <v>16875</v>
      </c>
    </row>
    <row r="342" spans="3:17" x14ac:dyDescent="0.25">
      <c r="C342" s="74" t="s">
        <v>20827</v>
      </c>
      <c r="D342" s="74" t="s">
        <v>20828</v>
      </c>
      <c r="E342" s="74"/>
      <c r="F342" s="74">
        <v>5.45</v>
      </c>
      <c r="G342" s="74"/>
      <c r="H342" s="74"/>
      <c r="I342" s="74" t="s">
        <v>391</v>
      </c>
      <c r="J342" s="74"/>
      <c r="K342" s="74">
        <v>102.4</v>
      </c>
      <c r="L342" s="74">
        <v>92.16</v>
      </c>
      <c r="M342" s="74"/>
      <c r="N342" s="74" t="s">
        <v>392</v>
      </c>
      <c r="O342" s="74" t="s">
        <v>402</v>
      </c>
      <c r="P342" s="74" t="s">
        <v>20829</v>
      </c>
      <c r="Q342" s="74" t="s">
        <v>20830</v>
      </c>
    </row>
    <row r="343" spans="3:17" x14ac:dyDescent="0.25">
      <c r="C343" s="74" t="s">
        <v>4783</v>
      </c>
      <c r="D343" s="74" t="s">
        <v>4784</v>
      </c>
      <c r="E343" s="74"/>
      <c r="F343" s="74">
        <v>5.44</v>
      </c>
      <c r="G343" s="74"/>
      <c r="H343" s="74"/>
      <c r="I343" s="74" t="s">
        <v>391</v>
      </c>
      <c r="J343" s="74"/>
      <c r="K343" s="74">
        <v>102.4</v>
      </c>
      <c r="L343" s="74">
        <v>92.16</v>
      </c>
      <c r="M343" s="74"/>
      <c r="N343" s="74" t="s">
        <v>392</v>
      </c>
      <c r="O343" s="74" t="s">
        <v>402</v>
      </c>
      <c r="P343" s="74" t="s">
        <v>4785</v>
      </c>
      <c r="Q343" s="74" t="s">
        <v>4786</v>
      </c>
    </row>
    <row r="344" spans="3:17" x14ac:dyDescent="0.25">
      <c r="C344" s="74" t="s">
        <v>11706</v>
      </c>
      <c r="D344" s="74" t="s">
        <v>11707</v>
      </c>
      <c r="E344" s="74"/>
      <c r="F344" s="74">
        <v>5.44</v>
      </c>
      <c r="G344" s="74"/>
      <c r="H344" s="74"/>
      <c r="I344" s="74" t="s">
        <v>391</v>
      </c>
      <c r="J344" s="74"/>
      <c r="K344" s="74">
        <v>102.4</v>
      </c>
      <c r="L344" s="74">
        <v>92.16</v>
      </c>
      <c r="M344" s="74"/>
      <c r="N344" s="74" t="s">
        <v>392</v>
      </c>
      <c r="O344" s="74" t="s">
        <v>402</v>
      </c>
      <c r="P344" s="74" t="s">
        <v>11708</v>
      </c>
      <c r="Q344" s="74" t="s">
        <v>11709</v>
      </c>
    </row>
    <row r="345" spans="3:17" x14ac:dyDescent="0.25">
      <c r="C345" s="74" t="s">
        <v>13806</v>
      </c>
      <c r="D345" s="74" t="s">
        <v>13807</v>
      </c>
      <c r="E345" s="74"/>
      <c r="F345" s="74">
        <v>5.44</v>
      </c>
      <c r="G345" s="74"/>
      <c r="H345" s="74"/>
      <c r="I345" s="74" t="s">
        <v>391</v>
      </c>
      <c r="J345" s="74"/>
      <c r="K345" s="74">
        <v>102.4</v>
      </c>
      <c r="L345" s="74">
        <v>92.16</v>
      </c>
      <c r="M345" s="74"/>
      <c r="N345" s="74" t="s">
        <v>392</v>
      </c>
      <c r="O345" s="74" t="s">
        <v>402</v>
      </c>
      <c r="P345" s="74" t="s">
        <v>13808</v>
      </c>
      <c r="Q345" s="74" t="s">
        <v>13809</v>
      </c>
    </row>
    <row r="346" spans="3:17" x14ac:dyDescent="0.25">
      <c r="C346" s="74" t="s">
        <v>17839</v>
      </c>
      <c r="D346" s="74" t="s">
        <v>17840</v>
      </c>
      <c r="E346" s="74"/>
      <c r="F346" s="74">
        <v>5.42</v>
      </c>
      <c r="G346" s="74"/>
      <c r="H346" s="74"/>
      <c r="I346" s="74" t="s">
        <v>391</v>
      </c>
      <c r="J346" s="74"/>
      <c r="K346" s="74">
        <v>102.4</v>
      </c>
      <c r="L346" s="74">
        <v>92.16</v>
      </c>
      <c r="M346" s="74"/>
      <c r="N346" s="74" t="s">
        <v>392</v>
      </c>
      <c r="O346" s="74" t="s">
        <v>402</v>
      </c>
      <c r="P346" s="74" t="s">
        <v>17841</v>
      </c>
      <c r="Q346" s="74" t="s">
        <v>17842</v>
      </c>
    </row>
    <row r="347" spans="3:17" x14ac:dyDescent="0.25">
      <c r="C347" s="74" t="s">
        <v>5186</v>
      </c>
      <c r="D347" s="74" t="s">
        <v>5187</v>
      </c>
      <c r="E347" s="74"/>
      <c r="F347" s="74">
        <v>5.38</v>
      </c>
      <c r="G347" s="74"/>
      <c r="H347" s="74"/>
      <c r="I347" s="74" t="s">
        <v>391</v>
      </c>
      <c r="J347" s="74"/>
      <c r="K347" s="74">
        <v>102.4</v>
      </c>
      <c r="L347" s="74">
        <v>92.16</v>
      </c>
      <c r="M347" s="74"/>
      <c r="N347" s="74" t="s">
        <v>392</v>
      </c>
      <c r="O347" s="74" t="s">
        <v>402</v>
      </c>
      <c r="P347" s="74" t="s">
        <v>5188</v>
      </c>
      <c r="Q347" s="74" t="s">
        <v>5189</v>
      </c>
    </row>
    <row r="348" spans="3:17" x14ac:dyDescent="0.25">
      <c r="C348" s="74" t="s">
        <v>12889</v>
      </c>
      <c r="D348" s="74" t="s">
        <v>12890</v>
      </c>
      <c r="E348" s="74"/>
      <c r="F348" s="74">
        <v>5.38</v>
      </c>
      <c r="G348" s="74"/>
      <c r="H348" s="74"/>
      <c r="I348" s="74" t="s">
        <v>391</v>
      </c>
      <c r="J348" s="74"/>
      <c r="K348" s="74">
        <v>102.4</v>
      </c>
      <c r="L348" s="74">
        <v>92.16</v>
      </c>
      <c r="M348" s="74"/>
      <c r="N348" s="74" t="s">
        <v>392</v>
      </c>
      <c r="O348" s="74" t="s">
        <v>402</v>
      </c>
      <c r="P348" s="74" t="s">
        <v>12891</v>
      </c>
      <c r="Q348" s="74" t="s">
        <v>12892</v>
      </c>
    </row>
    <row r="349" spans="3:17" x14ac:dyDescent="0.25">
      <c r="C349" s="74" t="s">
        <v>2410</v>
      </c>
      <c r="D349" s="74" t="s">
        <v>2411</v>
      </c>
      <c r="E349" s="74"/>
      <c r="F349" s="74">
        <v>5.37</v>
      </c>
      <c r="G349" s="74"/>
      <c r="H349" s="74"/>
      <c r="I349" s="74" t="s">
        <v>391</v>
      </c>
      <c r="J349" s="74"/>
      <c r="K349" s="74">
        <v>102.4</v>
      </c>
      <c r="L349" s="74">
        <v>92.16</v>
      </c>
      <c r="M349" s="74"/>
      <c r="N349" s="74" t="s">
        <v>392</v>
      </c>
      <c r="O349" s="74" t="s">
        <v>402</v>
      </c>
      <c r="P349" s="74" t="s">
        <v>2412</v>
      </c>
      <c r="Q349" s="74" t="s">
        <v>2413</v>
      </c>
    </row>
    <row r="350" spans="3:17" x14ac:dyDescent="0.25">
      <c r="C350" s="74" t="s">
        <v>13462</v>
      </c>
      <c r="D350" s="74" t="s">
        <v>13463</v>
      </c>
      <c r="E350" s="74"/>
      <c r="F350" s="74">
        <v>5.37</v>
      </c>
      <c r="G350" s="74"/>
      <c r="H350" s="74"/>
      <c r="I350" s="74" t="s">
        <v>391</v>
      </c>
      <c r="J350" s="74"/>
      <c r="K350" s="74">
        <v>102.4</v>
      </c>
      <c r="L350" s="74">
        <v>92.16</v>
      </c>
      <c r="M350" s="74"/>
      <c r="N350" s="74" t="s">
        <v>392</v>
      </c>
      <c r="O350" s="74" t="s">
        <v>402</v>
      </c>
      <c r="P350" s="74" t="s">
        <v>13464</v>
      </c>
      <c r="Q350" s="74" t="s">
        <v>13465</v>
      </c>
    </row>
    <row r="351" spans="3:17" x14ac:dyDescent="0.25">
      <c r="C351" s="74" t="s">
        <v>3771</v>
      </c>
      <c r="D351" s="74" t="s">
        <v>3772</v>
      </c>
      <c r="E351" s="74"/>
      <c r="F351" s="74">
        <v>5.35</v>
      </c>
      <c r="G351" s="74"/>
      <c r="H351" s="74"/>
      <c r="I351" s="74" t="s">
        <v>391</v>
      </c>
      <c r="J351" s="74"/>
      <c r="K351" s="74">
        <v>102.4</v>
      </c>
      <c r="L351" s="74">
        <v>92.16</v>
      </c>
      <c r="M351" s="74"/>
      <c r="N351" s="74" t="s">
        <v>392</v>
      </c>
      <c r="O351" s="74" t="s">
        <v>402</v>
      </c>
      <c r="P351" s="74" t="s">
        <v>3773</v>
      </c>
      <c r="Q351" s="74" t="s">
        <v>3774</v>
      </c>
    </row>
    <row r="352" spans="3:17" x14ac:dyDescent="0.25">
      <c r="C352" s="74" t="s">
        <v>11456</v>
      </c>
      <c r="D352" s="74" t="s">
        <v>11457</v>
      </c>
      <c r="E352" s="74"/>
      <c r="F352" s="74">
        <v>5.34</v>
      </c>
      <c r="G352" s="74"/>
      <c r="H352" s="74"/>
      <c r="I352" s="74" t="s">
        <v>391</v>
      </c>
      <c r="J352" s="74"/>
      <c r="K352" s="74">
        <v>102.4</v>
      </c>
      <c r="L352" s="74">
        <v>92.16</v>
      </c>
      <c r="M352" s="74"/>
      <c r="N352" s="74" t="s">
        <v>392</v>
      </c>
      <c r="O352" s="74" t="s">
        <v>402</v>
      </c>
      <c r="P352" s="74" t="s">
        <v>11458</v>
      </c>
      <c r="Q352" s="74" t="s">
        <v>11459</v>
      </c>
    </row>
    <row r="353" spans="3:17" x14ac:dyDescent="0.25">
      <c r="C353" s="74" t="s">
        <v>6436</v>
      </c>
      <c r="D353" s="74" t="s">
        <v>6437</v>
      </c>
      <c r="E353" s="74"/>
      <c r="F353" s="74">
        <v>5.32</v>
      </c>
      <c r="G353" s="74"/>
      <c r="H353" s="74"/>
      <c r="I353" s="74" t="s">
        <v>391</v>
      </c>
      <c r="J353" s="74"/>
      <c r="K353" s="74">
        <v>102.4</v>
      </c>
      <c r="L353" s="74">
        <v>92.16</v>
      </c>
      <c r="M353" s="74"/>
      <c r="N353" s="74" t="s">
        <v>392</v>
      </c>
      <c r="O353" s="74" t="s">
        <v>402</v>
      </c>
      <c r="P353" s="74" t="s">
        <v>6438</v>
      </c>
      <c r="Q353" s="74" t="s">
        <v>6439</v>
      </c>
    </row>
    <row r="354" spans="3:17" x14ac:dyDescent="0.25">
      <c r="C354" s="74" t="s">
        <v>741</v>
      </c>
      <c r="D354" s="74" t="s">
        <v>742</v>
      </c>
      <c r="E354" s="74"/>
      <c r="F354" s="74">
        <v>5.3</v>
      </c>
      <c r="G354" s="74"/>
      <c r="H354" s="74"/>
      <c r="I354" s="74" t="s">
        <v>391</v>
      </c>
      <c r="J354" s="74"/>
      <c r="K354" s="74">
        <v>102.4</v>
      </c>
      <c r="L354" s="74">
        <v>92.16</v>
      </c>
      <c r="M354" s="74"/>
      <c r="N354" s="74" t="s">
        <v>392</v>
      </c>
      <c r="O354" s="74" t="s">
        <v>402</v>
      </c>
      <c r="P354" s="74" t="s">
        <v>743</v>
      </c>
      <c r="Q354" s="74" t="s">
        <v>744</v>
      </c>
    </row>
    <row r="355" spans="3:17" x14ac:dyDescent="0.25">
      <c r="C355" s="74" t="s">
        <v>11839</v>
      </c>
      <c r="D355" s="74" t="s">
        <v>11840</v>
      </c>
      <c r="E355" s="74"/>
      <c r="F355" s="74">
        <v>5.29</v>
      </c>
      <c r="G355" s="74"/>
      <c r="H355" s="74"/>
      <c r="I355" s="74" t="s">
        <v>391</v>
      </c>
      <c r="J355" s="74"/>
      <c r="K355" s="74">
        <v>102.4</v>
      </c>
      <c r="L355" s="74">
        <v>92.16</v>
      </c>
      <c r="M355" s="74"/>
      <c r="N355" s="74" t="s">
        <v>392</v>
      </c>
      <c r="O355" s="74" t="s">
        <v>402</v>
      </c>
      <c r="P355" s="74" t="s">
        <v>11841</v>
      </c>
      <c r="Q355" s="74" t="s">
        <v>11842</v>
      </c>
    </row>
    <row r="356" spans="3:17" x14ac:dyDescent="0.25">
      <c r="C356" s="74" t="s">
        <v>3908</v>
      </c>
      <c r="D356" s="74" t="s">
        <v>3909</v>
      </c>
      <c r="E356" s="74"/>
      <c r="F356" s="74">
        <v>5.27</v>
      </c>
      <c r="G356" s="74"/>
      <c r="H356" s="74"/>
      <c r="I356" s="74" t="s">
        <v>391</v>
      </c>
      <c r="J356" s="74"/>
      <c r="K356" s="74">
        <v>102.4</v>
      </c>
      <c r="L356" s="74">
        <v>92.16</v>
      </c>
      <c r="M356" s="74"/>
      <c r="N356" s="74" t="s">
        <v>392</v>
      </c>
      <c r="O356" s="74" t="s">
        <v>402</v>
      </c>
      <c r="P356" s="74" t="s">
        <v>3910</v>
      </c>
      <c r="Q356" s="74" t="s">
        <v>3911</v>
      </c>
    </row>
    <row r="357" spans="3:17" x14ac:dyDescent="0.25">
      <c r="C357" s="74" t="s">
        <v>18560</v>
      </c>
      <c r="D357" s="74" t="s">
        <v>18561</v>
      </c>
      <c r="E357" s="74"/>
      <c r="F357" s="74">
        <v>5.27</v>
      </c>
      <c r="G357" s="74"/>
      <c r="H357" s="74"/>
      <c r="I357" s="74" t="s">
        <v>391</v>
      </c>
      <c r="J357" s="74"/>
      <c r="K357" s="74">
        <v>102.4</v>
      </c>
      <c r="L357" s="74">
        <v>92.16</v>
      </c>
      <c r="M357" s="74"/>
      <c r="N357" s="74" t="s">
        <v>392</v>
      </c>
      <c r="O357" s="74" t="s">
        <v>402</v>
      </c>
      <c r="P357" s="74" t="s">
        <v>18562</v>
      </c>
      <c r="Q357" s="74" t="s">
        <v>18563</v>
      </c>
    </row>
    <row r="358" spans="3:17" x14ac:dyDescent="0.25">
      <c r="C358" s="74" t="s">
        <v>7334</v>
      </c>
      <c r="D358" s="74" t="s">
        <v>7335</v>
      </c>
      <c r="E358" s="74"/>
      <c r="F358" s="74">
        <v>5.26</v>
      </c>
      <c r="G358" s="74"/>
      <c r="H358" s="74"/>
      <c r="I358" s="74" t="s">
        <v>391</v>
      </c>
      <c r="J358" s="74"/>
      <c r="K358" s="74">
        <v>102.4</v>
      </c>
      <c r="L358" s="74">
        <v>92.16</v>
      </c>
      <c r="M358" s="74"/>
      <c r="N358" s="74" t="s">
        <v>392</v>
      </c>
      <c r="O358" s="74" t="s">
        <v>402</v>
      </c>
      <c r="P358" s="74" t="s">
        <v>7336</v>
      </c>
      <c r="Q358" s="74" t="s">
        <v>7337</v>
      </c>
    </row>
    <row r="359" spans="3:17" x14ac:dyDescent="0.25">
      <c r="C359" s="74" t="s">
        <v>8905</v>
      </c>
      <c r="D359" s="74" t="s">
        <v>8906</v>
      </c>
      <c r="E359" s="74"/>
      <c r="F359" s="74">
        <v>5.23</v>
      </c>
      <c r="G359" s="74"/>
      <c r="H359" s="74"/>
      <c r="I359" s="74" t="s">
        <v>391</v>
      </c>
      <c r="J359" s="74"/>
      <c r="K359" s="74">
        <v>102.4</v>
      </c>
      <c r="L359" s="74">
        <v>92.16</v>
      </c>
      <c r="M359" s="74"/>
      <c r="N359" s="74" t="s">
        <v>392</v>
      </c>
      <c r="O359" s="74" t="s">
        <v>402</v>
      </c>
      <c r="P359" s="74" t="s">
        <v>8907</v>
      </c>
      <c r="Q359" s="74" t="s">
        <v>8908</v>
      </c>
    </row>
    <row r="360" spans="3:17" x14ac:dyDescent="0.25">
      <c r="C360" s="74" t="s">
        <v>7195</v>
      </c>
      <c r="D360" s="74" t="s">
        <v>7196</v>
      </c>
      <c r="E360" s="74"/>
      <c r="F360" s="74">
        <v>5.22</v>
      </c>
      <c r="G360" s="74"/>
      <c r="H360" s="74"/>
      <c r="I360" s="74" t="s">
        <v>391</v>
      </c>
      <c r="J360" s="74"/>
      <c r="K360" s="74">
        <v>102.4</v>
      </c>
      <c r="L360" s="74">
        <v>92.16</v>
      </c>
      <c r="M360" s="74"/>
      <c r="N360" s="74" t="s">
        <v>392</v>
      </c>
      <c r="O360" s="74" t="s">
        <v>402</v>
      </c>
      <c r="P360" s="74" t="s">
        <v>7197</v>
      </c>
      <c r="Q360" s="74" t="s">
        <v>7198</v>
      </c>
    </row>
    <row r="361" spans="3:17" x14ac:dyDescent="0.25">
      <c r="C361" s="74" t="s">
        <v>9725</v>
      </c>
      <c r="D361" s="74" t="s">
        <v>9726</v>
      </c>
      <c r="E361" s="74"/>
      <c r="F361" s="74">
        <v>5.18</v>
      </c>
      <c r="G361" s="74"/>
      <c r="H361" s="74"/>
      <c r="I361" s="74" t="s">
        <v>391</v>
      </c>
      <c r="J361" s="74"/>
      <c r="K361" s="74">
        <v>102.4</v>
      </c>
      <c r="L361" s="74">
        <v>92.16</v>
      </c>
      <c r="M361" s="74"/>
      <c r="N361" s="74" t="s">
        <v>392</v>
      </c>
      <c r="O361" s="74" t="s">
        <v>402</v>
      </c>
      <c r="P361" s="74" t="s">
        <v>9727</v>
      </c>
      <c r="Q361" s="74" t="s">
        <v>9728</v>
      </c>
    </row>
    <row r="362" spans="3:17" x14ac:dyDescent="0.25">
      <c r="C362" s="74" t="s">
        <v>19441</v>
      </c>
      <c r="D362" s="74" t="s">
        <v>19442</v>
      </c>
      <c r="E362" s="74"/>
      <c r="F362" s="74">
        <v>5.18</v>
      </c>
      <c r="G362" s="74"/>
      <c r="H362" s="74"/>
      <c r="I362" s="74" t="s">
        <v>391</v>
      </c>
      <c r="J362" s="74"/>
      <c r="K362" s="74">
        <v>102.4</v>
      </c>
      <c r="L362" s="74">
        <v>92.16</v>
      </c>
      <c r="M362" s="74"/>
      <c r="N362" s="74" t="s">
        <v>392</v>
      </c>
      <c r="O362" s="74" t="s">
        <v>402</v>
      </c>
      <c r="P362" s="74" t="s">
        <v>19443</v>
      </c>
      <c r="Q362" s="74" t="s">
        <v>19444</v>
      </c>
    </row>
    <row r="363" spans="3:17" x14ac:dyDescent="0.25">
      <c r="C363" s="74" t="s">
        <v>18501</v>
      </c>
      <c r="D363" s="74" t="s">
        <v>18502</v>
      </c>
      <c r="E363" s="74"/>
      <c r="F363" s="74">
        <v>5.15</v>
      </c>
      <c r="G363" s="74"/>
      <c r="H363" s="74"/>
      <c r="I363" s="74" t="s">
        <v>391</v>
      </c>
      <c r="J363" s="74"/>
      <c r="K363" s="74">
        <v>102.4</v>
      </c>
      <c r="L363" s="74">
        <v>92.16</v>
      </c>
      <c r="M363" s="74"/>
      <c r="N363" s="74" t="s">
        <v>392</v>
      </c>
      <c r="O363" s="74" t="s">
        <v>402</v>
      </c>
      <c r="P363" s="74" t="s">
        <v>18503</v>
      </c>
      <c r="Q363" s="74" t="s">
        <v>18504</v>
      </c>
    </row>
    <row r="364" spans="3:17" x14ac:dyDescent="0.25">
      <c r="C364" s="74" t="s">
        <v>4164</v>
      </c>
      <c r="D364" s="74" t="s">
        <v>4165</v>
      </c>
      <c r="E364" s="74"/>
      <c r="F364" s="74">
        <v>5.09</v>
      </c>
      <c r="G364" s="74"/>
      <c r="H364" s="74"/>
      <c r="I364" s="74" t="s">
        <v>391</v>
      </c>
      <c r="J364" s="74"/>
      <c r="K364" s="74">
        <v>102.4</v>
      </c>
      <c r="L364" s="74">
        <v>92.16</v>
      </c>
      <c r="M364" s="74"/>
      <c r="N364" s="74" t="s">
        <v>392</v>
      </c>
      <c r="O364" s="74" t="s">
        <v>402</v>
      </c>
      <c r="P364" s="74" t="s">
        <v>4166</v>
      </c>
      <c r="Q364" s="74" t="s">
        <v>4167</v>
      </c>
    </row>
    <row r="365" spans="3:17" x14ac:dyDescent="0.25">
      <c r="C365" s="74" t="s">
        <v>5705</v>
      </c>
      <c r="D365" s="74" t="s">
        <v>5706</v>
      </c>
      <c r="E365" s="74"/>
      <c r="F365" s="74">
        <v>5.09</v>
      </c>
      <c r="G365" s="74"/>
      <c r="H365" s="74"/>
      <c r="I365" s="74" t="s">
        <v>391</v>
      </c>
      <c r="J365" s="74"/>
      <c r="K365" s="74">
        <v>102.4</v>
      </c>
      <c r="L365" s="74">
        <v>92.16</v>
      </c>
      <c r="M365" s="74"/>
      <c r="N365" s="74" t="s">
        <v>392</v>
      </c>
      <c r="O365" s="74" t="s">
        <v>402</v>
      </c>
      <c r="P365" s="74" t="s">
        <v>5707</v>
      </c>
      <c r="Q365" s="74" t="s">
        <v>5708</v>
      </c>
    </row>
    <row r="366" spans="3:17" x14ac:dyDescent="0.25">
      <c r="C366" s="74" t="s">
        <v>14416</v>
      </c>
      <c r="D366" s="74" t="s">
        <v>14417</v>
      </c>
      <c r="E366" s="74"/>
      <c r="F366" s="74">
        <v>5.08</v>
      </c>
      <c r="G366" s="74"/>
      <c r="H366" s="74"/>
      <c r="I366" s="74" t="s">
        <v>391</v>
      </c>
      <c r="J366" s="74"/>
      <c r="K366" s="74">
        <v>102.4</v>
      </c>
      <c r="L366" s="74">
        <v>92.16</v>
      </c>
      <c r="M366" s="74"/>
      <c r="N366" s="74" t="s">
        <v>392</v>
      </c>
      <c r="O366" s="74" t="s">
        <v>402</v>
      </c>
      <c r="P366" s="74" t="s">
        <v>14418</v>
      </c>
      <c r="Q366" s="74" t="s">
        <v>14419</v>
      </c>
    </row>
    <row r="367" spans="3:17" x14ac:dyDescent="0.25">
      <c r="C367" s="74" t="s">
        <v>9085</v>
      </c>
      <c r="D367" s="74" t="s">
        <v>9086</v>
      </c>
      <c r="E367" s="74"/>
      <c r="F367" s="74">
        <v>5.07</v>
      </c>
      <c r="G367" s="74"/>
      <c r="H367" s="74"/>
      <c r="I367" s="74" t="s">
        <v>391</v>
      </c>
      <c r="J367" s="74"/>
      <c r="K367" s="74">
        <v>102.4</v>
      </c>
      <c r="L367" s="74">
        <v>92.16</v>
      </c>
      <c r="M367" s="74"/>
      <c r="N367" s="74" t="s">
        <v>392</v>
      </c>
      <c r="O367" s="74" t="s">
        <v>402</v>
      </c>
      <c r="P367" s="74" t="s">
        <v>9087</v>
      </c>
      <c r="Q367" s="74" t="s">
        <v>9088</v>
      </c>
    </row>
    <row r="368" spans="3:17" x14ac:dyDescent="0.25">
      <c r="C368" s="74" t="s">
        <v>5339</v>
      </c>
      <c r="D368" s="74" t="s">
        <v>5340</v>
      </c>
      <c r="E368" s="74"/>
      <c r="F368" s="74">
        <v>5.05</v>
      </c>
      <c r="G368" s="74"/>
      <c r="H368" s="74"/>
      <c r="I368" s="74" t="s">
        <v>391</v>
      </c>
      <c r="J368" s="74"/>
      <c r="K368" s="74">
        <v>102.4</v>
      </c>
      <c r="L368" s="74">
        <v>92.16</v>
      </c>
      <c r="M368" s="74"/>
      <c r="N368" s="74" t="s">
        <v>392</v>
      </c>
      <c r="O368" s="74" t="s">
        <v>402</v>
      </c>
      <c r="P368" s="74" t="s">
        <v>5341</v>
      </c>
      <c r="Q368" s="74" t="s">
        <v>5342</v>
      </c>
    </row>
    <row r="369" spans="3:17" x14ac:dyDescent="0.25">
      <c r="C369" s="74" t="s">
        <v>13317</v>
      </c>
      <c r="D369" s="74" t="s">
        <v>13318</v>
      </c>
      <c r="E369" s="74"/>
      <c r="F369" s="74">
        <v>5.01</v>
      </c>
      <c r="G369" s="74"/>
      <c r="H369" s="74"/>
      <c r="I369" s="74" t="s">
        <v>391</v>
      </c>
      <c r="J369" s="74"/>
      <c r="K369" s="74">
        <v>102.4</v>
      </c>
      <c r="L369" s="74">
        <v>92.16</v>
      </c>
      <c r="M369" s="74"/>
      <c r="N369" s="74" t="s">
        <v>392</v>
      </c>
      <c r="O369" s="74" t="s">
        <v>402</v>
      </c>
      <c r="P369" s="74" t="s">
        <v>13319</v>
      </c>
      <c r="Q369" s="74" t="s">
        <v>13320</v>
      </c>
    </row>
    <row r="370" spans="3:17" x14ac:dyDescent="0.25">
      <c r="C370" s="74" t="s">
        <v>18542</v>
      </c>
      <c r="D370" s="74" t="s">
        <v>18543</v>
      </c>
      <c r="E370" s="74"/>
      <c r="F370" s="74">
        <v>5.01</v>
      </c>
      <c r="G370" s="74"/>
      <c r="H370" s="74"/>
      <c r="I370" s="74" t="s">
        <v>391</v>
      </c>
      <c r="J370" s="74"/>
      <c r="K370" s="74">
        <v>102.4</v>
      </c>
      <c r="L370" s="74">
        <v>92.16</v>
      </c>
      <c r="M370" s="74"/>
      <c r="N370" s="74" t="s">
        <v>392</v>
      </c>
      <c r="O370" s="74" t="s">
        <v>402</v>
      </c>
      <c r="P370" s="74" t="s">
        <v>18544</v>
      </c>
      <c r="Q370" s="74" t="s">
        <v>18545</v>
      </c>
    </row>
    <row r="371" spans="3:17" x14ac:dyDescent="0.25">
      <c r="C371" s="74" t="s">
        <v>9863</v>
      </c>
      <c r="D371" s="74" t="s">
        <v>9864</v>
      </c>
      <c r="E371" s="74"/>
      <c r="F371" s="74">
        <v>5</v>
      </c>
      <c r="G371" s="74"/>
      <c r="H371" s="74"/>
      <c r="I371" s="74" t="s">
        <v>391</v>
      </c>
      <c r="J371" s="74"/>
      <c r="K371" s="74">
        <v>102.4</v>
      </c>
      <c r="L371" s="74">
        <v>92.16</v>
      </c>
      <c r="M371" s="74"/>
      <c r="N371" s="74" t="s">
        <v>392</v>
      </c>
      <c r="O371" s="74" t="s">
        <v>402</v>
      </c>
      <c r="P371" s="74" t="s">
        <v>9865</v>
      </c>
      <c r="Q371" s="74" t="s">
        <v>9866</v>
      </c>
    </row>
    <row r="372" spans="3:17" x14ac:dyDescent="0.25">
      <c r="C372" s="74" t="s">
        <v>7156</v>
      </c>
      <c r="D372" s="74" t="s">
        <v>7157</v>
      </c>
      <c r="E372" s="74"/>
      <c r="F372" s="74">
        <v>4.97</v>
      </c>
      <c r="G372" s="74"/>
      <c r="H372" s="74"/>
      <c r="I372" s="74" t="s">
        <v>391</v>
      </c>
      <c r="J372" s="74"/>
      <c r="K372" s="74">
        <v>102.4</v>
      </c>
      <c r="L372" s="74">
        <v>92.16</v>
      </c>
      <c r="M372" s="74"/>
      <c r="N372" s="74" t="s">
        <v>392</v>
      </c>
      <c r="O372" s="74" t="s">
        <v>402</v>
      </c>
      <c r="P372" s="74" t="s">
        <v>7158</v>
      </c>
      <c r="Q372" s="74" t="s">
        <v>7159</v>
      </c>
    </row>
    <row r="373" spans="3:17" x14ac:dyDescent="0.25">
      <c r="C373" s="74" t="s">
        <v>14377</v>
      </c>
      <c r="D373" s="74" t="s">
        <v>14378</v>
      </c>
      <c r="E373" s="74"/>
      <c r="F373" s="74">
        <v>4.97</v>
      </c>
      <c r="G373" s="74"/>
      <c r="H373" s="74"/>
      <c r="I373" s="74" t="s">
        <v>391</v>
      </c>
      <c r="J373" s="74"/>
      <c r="K373" s="74">
        <v>102.4</v>
      </c>
      <c r="L373" s="74">
        <v>92.16</v>
      </c>
      <c r="M373" s="74"/>
      <c r="N373" s="74" t="s">
        <v>392</v>
      </c>
      <c r="O373" s="74" t="s">
        <v>402</v>
      </c>
      <c r="P373" s="74" t="s">
        <v>14379</v>
      </c>
      <c r="Q373" s="74" t="s">
        <v>14380</v>
      </c>
    </row>
    <row r="374" spans="3:17" x14ac:dyDescent="0.25">
      <c r="C374" s="74" t="s">
        <v>472</v>
      </c>
      <c r="D374" s="74" t="s">
        <v>473</v>
      </c>
      <c r="E374" s="74"/>
      <c r="F374" s="74">
        <v>4.93</v>
      </c>
      <c r="G374" s="74"/>
      <c r="H374" s="74"/>
      <c r="I374" s="74" t="s">
        <v>391</v>
      </c>
      <c r="J374" s="74"/>
      <c r="K374" s="74">
        <v>102.4</v>
      </c>
      <c r="L374" s="74">
        <v>92.16</v>
      </c>
      <c r="M374" s="74"/>
      <c r="N374" s="74" t="s">
        <v>392</v>
      </c>
      <c r="O374" s="74" t="s">
        <v>402</v>
      </c>
      <c r="P374" s="74" t="s">
        <v>474</v>
      </c>
      <c r="Q374" s="74" t="s">
        <v>475</v>
      </c>
    </row>
    <row r="375" spans="3:17" x14ac:dyDescent="0.25">
      <c r="C375" s="74" t="s">
        <v>19147</v>
      </c>
      <c r="D375" s="74" t="s">
        <v>19148</v>
      </c>
      <c r="E375" s="74"/>
      <c r="F375" s="74">
        <v>4.93</v>
      </c>
      <c r="G375" s="74"/>
      <c r="H375" s="74"/>
      <c r="I375" s="74" t="s">
        <v>391</v>
      </c>
      <c r="J375" s="74"/>
      <c r="K375" s="74">
        <v>102.4</v>
      </c>
      <c r="L375" s="74">
        <v>92.16</v>
      </c>
      <c r="M375" s="74"/>
      <c r="N375" s="74" t="s">
        <v>392</v>
      </c>
      <c r="O375" s="74" t="s">
        <v>402</v>
      </c>
      <c r="P375" s="74" t="s">
        <v>19149</v>
      </c>
      <c r="Q375" s="74" t="s">
        <v>19150</v>
      </c>
    </row>
    <row r="376" spans="3:17" x14ac:dyDescent="0.25">
      <c r="C376" s="74" t="s">
        <v>5757</v>
      </c>
      <c r="D376" s="74" t="s">
        <v>5758</v>
      </c>
      <c r="E376" s="74"/>
      <c r="F376" s="74">
        <v>4.92</v>
      </c>
      <c r="G376" s="74"/>
      <c r="H376" s="74"/>
      <c r="I376" s="74" t="s">
        <v>391</v>
      </c>
      <c r="J376" s="74"/>
      <c r="K376" s="74">
        <v>102.4</v>
      </c>
      <c r="L376" s="74">
        <v>92.16</v>
      </c>
      <c r="M376" s="74"/>
      <c r="N376" s="74" t="s">
        <v>392</v>
      </c>
      <c r="O376" s="74" t="s">
        <v>402</v>
      </c>
      <c r="P376" s="74" t="s">
        <v>5759</v>
      </c>
      <c r="Q376" s="74" t="s">
        <v>5760</v>
      </c>
    </row>
    <row r="377" spans="3:17" x14ac:dyDescent="0.25">
      <c r="C377" s="74" t="s">
        <v>13863</v>
      </c>
      <c r="D377" s="74" t="s">
        <v>13864</v>
      </c>
      <c r="E377" s="74"/>
      <c r="F377" s="74">
        <v>4.92</v>
      </c>
      <c r="G377" s="74"/>
      <c r="H377" s="74"/>
      <c r="I377" s="74" t="s">
        <v>391</v>
      </c>
      <c r="J377" s="74"/>
      <c r="K377" s="74">
        <v>102.4</v>
      </c>
      <c r="L377" s="74">
        <v>92.16</v>
      </c>
      <c r="M377" s="74"/>
      <c r="N377" s="74" t="s">
        <v>392</v>
      </c>
      <c r="O377" s="74" t="s">
        <v>402</v>
      </c>
      <c r="P377" s="74" t="s">
        <v>13865</v>
      </c>
      <c r="Q377" s="74" t="s">
        <v>13866</v>
      </c>
    </row>
    <row r="378" spans="3:17" x14ac:dyDescent="0.25">
      <c r="C378" s="74" t="s">
        <v>17975</v>
      </c>
      <c r="D378" s="74" t="s">
        <v>17976</v>
      </c>
      <c r="E378" s="74"/>
      <c r="F378" s="74">
        <v>4.92</v>
      </c>
      <c r="G378" s="74"/>
      <c r="H378" s="74"/>
      <c r="I378" s="74" t="s">
        <v>391</v>
      </c>
      <c r="J378" s="74"/>
      <c r="K378" s="74">
        <v>102.4</v>
      </c>
      <c r="L378" s="74">
        <v>92.16</v>
      </c>
      <c r="M378" s="74"/>
      <c r="N378" s="74" t="s">
        <v>392</v>
      </c>
      <c r="O378" s="74" t="s">
        <v>402</v>
      </c>
      <c r="P378" s="74" t="s">
        <v>17977</v>
      </c>
      <c r="Q378" s="74" t="s">
        <v>17978</v>
      </c>
    </row>
    <row r="379" spans="3:17" x14ac:dyDescent="0.25">
      <c r="C379" s="74" t="s">
        <v>15355</v>
      </c>
      <c r="D379" s="74" t="s">
        <v>15356</v>
      </c>
      <c r="E379" s="74"/>
      <c r="F379" s="74">
        <v>4.8899999999999997</v>
      </c>
      <c r="G379" s="74"/>
      <c r="H379" s="74"/>
      <c r="I379" s="74" t="s">
        <v>391</v>
      </c>
      <c r="J379" s="74"/>
      <c r="K379" s="74">
        <v>102.4</v>
      </c>
      <c r="L379" s="74">
        <v>92.16</v>
      </c>
      <c r="M379" s="74"/>
      <c r="N379" s="74" t="s">
        <v>392</v>
      </c>
      <c r="O379" s="74" t="s">
        <v>402</v>
      </c>
      <c r="P379" s="74" t="s">
        <v>15357</v>
      </c>
      <c r="Q379" s="74" t="s">
        <v>15358</v>
      </c>
    </row>
    <row r="380" spans="3:17" x14ac:dyDescent="0.25">
      <c r="C380" s="74" t="s">
        <v>866</v>
      </c>
      <c r="D380" s="74" t="s">
        <v>867</v>
      </c>
      <c r="E380" s="74"/>
      <c r="F380" s="74">
        <v>4.87</v>
      </c>
      <c r="G380" s="74"/>
      <c r="H380" s="74"/>
      <c r="I380" s="74" t="s">
        <v>391</v>
      </c>
      <c r="J380" s="74"/>
      <c r="K380" s="74">
        <v>102.4</v>
      </c>
      <c r="L380" s="74">
        <v>92.16</v>
      </c>
      <c r="M380" s="74"/>
      <c r="N380" s="74" t="s">
        <v>392</v>
      </c>
      <c r="O380" s="74" t="s">
        <v>402</v>
      </c>
      <c r="P380" s="74" t="s">
        <v>868</v>
      </c>
      <c r="Q380" s="74" t="s">
        <v>869</v>
      </c>
    </row>
    <row r="381" spans="3:17" x14ac:dyDescent="0.25">
      <c r="C381" s="74" t="s">
        <v>2253</v>
      </c>
      <c r="D381" s="74" t="s">
        <v>2254</v>
      </c>
      <c r="E381" s="74"/>
      <c r="F381" s="74">
        <v>4.87</v>
      </c>
      <c r="G381" s="74"/>
      <c r="H381" s="74"/>
      <c r="I381" s="74" t="s">
        <v>391</v>
      </c>
      <c r="J381" s="74"/>
      <c r="K381" s="74">
        <v>102.4</v>
      </c>
      <c r="L381" s="74">
        <v>92.16</v>
      </c>
      <c r="M381" s="74"/>
      <c r="N381" s="74" t="s">
        <v>392</v>
      </c>
      <c r="O381" s="74" t="s">
        <v>402</v>
      </c>
      <c r="P381" s="74" t="s">
        <v>2255</v>
      </c>
      <c r="Q381" s="74" t="s">
        <v>2256</v>
      </c>
    </row>
    <row r="382" spans="3:17" x14ac:dyDescent="0.25">
      <c r="C382" s="74" t="s">
        <v>5486</v>
      </c>
      <c r="D382" s="74" t="s">
        <v>5487</v>
      </c>
      <c r="E382" s="74"/>
      <c r="F382" s="74">
        <v>4.8600000000000003</v>
      </c>
      <c r="G382" s="74"/>
      <c r="H382" s="74"/>
      <c r="I382" s="74" t="s">
        <v>391</v>
      </c>
      <c r="J382" s="74"/>
      <c r="K382" s="74">
        <v>102.4</v>
      </c>
      <c r="L382" s="74">
        <v>92.16</v>
      </c>
      <c r="M382" s="74"/>
      <c r="N382" s="74" t="s">
        <v>392</v>
      </c>
      <c r="O382" s="74" t="s">
        <v>402</v>
      </c>
      <c r="P382" s="74" t="s">
        <v>5488</v>
      </c>
      <c r="Q382" s="74" t="s">
        <v>5489</v>
      </c>
    </row>
    <row r="383" spans="3:17" x14ac:dyDescent="0.25">
      <c r="C383" s="74" t="s">
        <v>20543</v>
      </c>
      <c r="D383" s="74" t="s">
        <v>20544</v>
      </c>
      <c r="E383" s="74"/>
      <c r="F383" s="74">
        <v>4.8499999999999996</v>
      </c>
      <c r="G383" s="74"/>
      <c r="H383" s="74"/>
      <c r="I383" s="74" t="s">
        <v>391</v>
      </c>
      <c r="J383" s="74"/>
      <c r="K383" s="74">
        <v>102.4</v>
      </c>
      <c r="L383" s="74">
        <v>92.16</v>
      </c>
      <c r="M383" s="74"/>
      <c r="N383" s="74" t="s">
        <v>392</v>
      </c>
      <c r="O383" s="74" t="s">
        <v>402</v>
      </c>
      <c r="P383" s="74" t="s">
        <v>20545</v>
      </c>
      <c r="Q383" s="74" t="s">
        <v>20546</v>
      </c>
    </row>
    <row r="384" spans="3:17" x14ac:dyDescent="0.25">
      <c r="C384" s="74" t="s">
        <v>5130</v>
      </c>
      <c r="D384" s="74" t="s">
        <v>5131</v>
      </c>
      <c r="E384" s="74"/>
      <c r="F384" s="74">
        <v>4.8099999999999996</v>
      </c>
      <c r="G384" s="74"/>
      <c r="H384" s="74"/>
      <c r="I384" s="74" t="s">
        <v>391</v>
      </c>
      <c r="J384" s="74"/>
      <c r="K384" s="74">
        <v>102.4</v>
      </c>
      <c r="L384" s="74">
        <v>92.16</v>
      </c>
      <c r="M384" s="74"/>
      <c r="N384" s="74" t="s">
        <v>392</v>
      </c>
      <c r="O384" s="74" t="s">
        <v>402</v>
      </c>
      <c r="P384" s="74" t="s">
        <v>5132</v>
      </c>
      <c r="Q384" s="74" t="s">
        <v>5133</v>
      </c>
    </row>
    <row r="385" spans="3:17" x14ac:dyDescent="0.25">
      <c r="C385" s="74" t="s">
        <v>14534</v>
      </c>
      <c r="D385" s="74" t="s">
        <v>14535</v>
      </c>
      <c r="E385" s="74"/>
      <c r="F385" s="74">
        <v>4.8099999999999996</v>
      </c>
      <c r="G385" s="74"/>
      <c r="H385" s="74"/>
      <c r="I385" s="74" t="s">
        <v>391</v>
      </c>
      <c r="J385" s="74"/>
      <c r="K385" s="74">
        <v>102.4</v>
      </c>
      <c r="L385" s="74">
        <v>92.16</v>
      </c>
      <c r="M385" s="74"/>
      <c r="N385" s="74" t="s">
        <v>392</v>
      </c>
      <c r="O385" s="74" t="s">
        <v>402</v>
      </c>
      <c r="P385" s="74" t="s">
        <v>14536</v>
      </c>
      <c r="Q385" s="74" t="s">
        <v>14537</v>
      </c>
    </row>
    <row r="386" spans="3:17" x14ac:dyDescent="0.25">
      <c r="C386" s="74" t="s">
        <v>10107</v>
      </c>
      <c r="D386" s="74" t="s">
        <v>10108</v>
      </c>
      <c r="E386" s="74"/>
      <c r="F386" s="74">
        <v>4.78</v>
      </c>
      <c r="G386" s="74"/>
      <c r="H386" s="74"/>
      <c r="I386" s="74" t="s">
        <v>391</v>
      </c>
      <c r="J386" s="74"/>
      <c r="K386" s="74">
        <v>102.4</v>
      </c>
      <c r="L386" s="74">
        <v>92.16</v>
      </c>
      <c r="M386" s="74"/>
      <c r="N386" s="74" t="s">
        <v>392</v>
      </c>
      <c r="O386" s="74" t="s">
        <v>402</v>
      </c>
      <c r="P386" s="74" t="s">
        <v>10109</v>
      </c>
      <c r="Q386" s="74" t="s">
        <v>10110</v>
      </c>
    </row>
    <row r="387" spans="3:17" x14ac:dyDescent="0.25">
      <c r="C387" s="74" t="s">
        <v>16944</v>
      </c>
      <c r="D387" s="74" t="s">
        <v>16945</v>
      </c>
      <c r="E387" s="74"/>
      <c r="F387" s="74">
        <v>4.78</v>
      </c>
      <c r="G387" s="74"/>
      <c r="H387" s="74"/>
      <c r="I387" s="74" t="s">
        <v>391</v>
      </c>
      <c r="J387" s="74"/>
      <c r="K387" s="74">
        <v>102.4</v>
      </c>
      <c r="L387" s="74">
        <v>92.16</v>
      </c>
      <c r="M387" s="74"/>
      <c r="N387" s="74" t="s">
        <v>392</v>
      </c>
      <c r="O387" s="74" t="s">
        <v>402</v>
      </c>
      <c r="P387" s="74" t="s">
        <v>16946</v>
      </c>
      <c r="Q387" s="74" t="s">
        <v>16947</v>
      </c>
    </row>
    <row r="388" spans="3:17" x14ac:dyDescent="0.25">
      <c r="C388" s="74" t="s">
        <v>13284</v>
      </c>
      <c r="D388" s="74" t="s">
        <v>13285</v>
      </c>
      <c r="E388" s="74"/>
      <c r="F388" s="74">
        <v>4.7699999999999996</v>
      </c>
      <c r="G388" s="74"/>
      <c r="H388" s="74"/>
      <c r="I388" s="74" t="s">
        <v>391</v>
      </c>
      <c r="J388" s="74"/>
      <c r="K388" s="74">
        <v>102.4</v>
      </c>
      <c r="L388" s="74">
        <v>92.16</v>
      </c>
      <c r="M388" s="74"/>
      <c r="N388" s="74" t="s">
        <v>392</v>
      </c>
      <c r="O388" s="74" t="s">
        <v>402</v>
      </c>
      <c r="P388" s="74" t="s">
        <v>13286</v>
      </c>
      <c r="Q388" s="74" t="s">
        <v>13287</v>
      </c>
    </row>
    <row r="389" spans="3:17" x14ac:dyDescent="0.25">
      <c r="C389" s="74" t="s">
        <v>19579</v>
      </c>
      <c r="D389" s="74" t="s">
        <v>19580</v>
      </c>
      <c r="E389" s="74"/>
      <c r="F389" s="74">
        <v>4.7300000000000004</v>
      </c>
      <c r="G389" s="74"/>
      <c r="H389" s="74"/>
      <c r="I389" s="74" t="s">
        <v>391</v>
      </c>
      <c r="J389" s="74"/>
      <c r="K389" s="74">
        <v>102.4</v>
      </c>
      <c r="L389" s="74">
        <v>92.16</v>
      </c>
      <c r="M389" s="74"/>
      <c r="N389" s="74" t="s">
        <v>392</v>
      </c>
      <c r="O389" s="74" t="s">
        <v>402</v>
      </c>
      <c r="P389" s="74" t="s">
        <v>19581</v>
      </c>
      <c r="Q389" s="74" t="s">
        <v>19582</v>
      </c>
    </row>
    <row r="390" spans="3:17" x14ac:dyDescent="0.25">
      <c r="C390" s="74" t="s">
        <v>8602</v>
      </c>
      <c r="D390" s="74" t="s">
        <v>8603</v>
      </c>
      <c r="E390" s="74"/>
      <c r="F390" s="74">
        <v>4.72</v>
      </c>
      <c r="G390" s="74"/>
      <c r="H390" s="74"/>
      <c r="I390" s="74" t="s">
        <v>391</v>
      </c>
      <c r="J390" s="74"/>
      <c r="K390" s="74">
        <v>102.4</v>
      </c>
      <c r="L390" s="74">
        <v>92.16</v>
      </c>
      <c r="M390" s="74"/>
      <c r="N390" s="74" t="s">
        <v>392</v>
      </c>
      <c r="O390" s="74" t="s">
        <v>402</v>
      </c>
      <c r="P390" s="74" t="s">
        <v>8604</v>
      </c>
      <c r="Q390" s="74" t="s">
        <v>8605</v>
      </c>
    </row>
    <row r="391" spans="3:17" x14ac:dyDescent="0.25">
      <c r="C391" s="74" t="s">
        <v>9146</v>
      </c>
      <c r="D391" s="74" t="s">
        <v>9147</v>
      </c>
      <c r="E391" s="74"/>
      <c r="F391" s="74">
        <v>4.72</v>
      </c>
      <c r="G391" s="74"/>
      <c r="H391" s="74"/>
      <c r="I391" s="74" t="s">
        <v>391</v>
      </c>
      <c r="J391" s="74"/>
      <c r="K391" s="74">
        <v>102.4</v>
      </c>
      <c r="L391" s="74">
        <v>92.16</v>
      </c>
      <c r="M391" s="74"/>
      <c r="N391" s="74" t="s">
        <v>392</v>
      </c>
      <c r="O391" s="74" t="s">
        <v>402</v>
      </c>
      <c r="P391" s="74" t="s">
        <v>9148</v>
      </c>
      <c r="Q391" s="74" t="s">
        <v>9149</v>
      </c>
    </row>
    <row r="392" spans="3:17" x14ac:dyDescent="0.25">
      <c r="C392" s="74" t="s">
        <v>15900</v>
      </c>
      <c r="D392" s="74" t="s">
        <v>15901</v>
      </c>
      <c r="E392" s="74"/>
      <c r="F392" s="74">
        <v>4.71</v>
      </c>
      <c r="G392" s="74"/>
      <c r="H392" s="74"/>
      <c r="I392" s="74" t="s">
        <v>391</v>
      </c>
      <c r="J392" s="74"/>
      <c r="K392" s="74">
        <v>102.4</v>
      </c>
      <c r="L392" s="74">
        <v>92.16</v>
      </c>
      <c r="M392" s="74"/>
      <c r="N392" s="74" t="s">
        <v>392</v>
      </c>
      <c r="O392" s="74" t="s">
        <v>402</v>
      </c>
      <c r="P392" s="74" t="s">
        <v>15902</v>
      </c>
      <c r="Q392" s="74" t="s">
        <v>15903</v>
      </c>
    </row>
    <row r="393" spans="3:17" x14ac:dyDescent="0.25">
      <c r="C393" s="74" t="s">
        <v>20082</v>
      </c>
      <c r="D393" s="74" t="s">
        <v>20083</v>
      </c>
      <c r="E393" s="74"/>
      <c r="F393" s="74">
        <v>4.71</v>
      </c>
      <c r="G393" s="74"/>
      <c r="H393" s="74"/>
      <c r="I393" s="74" t="s">
        <v>391</v>
      </c>
      <c r="J393" s="74"/>
      <c r="K393" s="74">
        <v>102.4</v>
      </c>
      <c r="L393" s="74">
        <v>92.16</v>
      </c>
      <c r="M393" s="74"/>
      <c r="N393" s="74" t="s">
        <v>392</v>
      </c>
      <c r="O393" s="74" t="s">
        <v>402</v>
      </c>
      <c r="P393" s="74" t="s">
        <v>20084</v>
      </c>
      <c r="Q393" s="74" t="s">
        <v>20085</v>
      </c>
    </row>
    <row r="394" spans="3:17" x14ac:dyDescent="0.25">
      <c r="C394" s="74" t="s">
        <v>1946</v>
      </c>
      <c r="D394" s="74" t="s">
        <v>1947</v>
      </c>
      <c r="E394" s="74"/>
      <c r="F394" s="74">
        <v>4.7</v>
      </c>
      <c r="G394" s="74"/>
      <c r="H394" s="74"/>
      <c r="I394" s="74" t="s">
        <v>391</v>
      </c>
      <c r="J394" s="74"/>
      <c r="K394" s="74">
        <v>102.4</v>
      </c>
      <c r="L394" s="74">
        <v>92.16</v>
      </c>
      <c r="M394" s="74"/>
      <c r="N394" s="74" t="s">
        <v>392</v>
      </c>
      <c r="O394" s="74" t="s">
        <v>402</v>
      </c>
      <c r="P394" s="74" t="s">
        <v>1948</v>
      </c>
      <c r="Q394" s="74" t="s">
        <v>1949</v>
      </c>
    </row>
    <row r="395" spans="3:17" x14ac:dyDescent="0.25">
      <c r="C395" s="74" t="s">
        <v>13933</v>
      </c>
      <c r="D395" s="74" t="s">
        <v>13934</v>
      </c>
      <c r="E395" s="74"/>
      <c r="F395" s="74">
        <v>4.7</v>
      </c>
      <c r="G395" s="74"/>
      <c r="H395" s="74"/>
      <c r="I395" s="74" t="s">
        <v>391</v>
      </c>
      <c r="J395" s="74"/>
      <c r="K395" s="74">
        <v>102.4</v>
      </c>
      <c r="L395" s="74">
        <v>92.16</v>
      </c>
      <c r="M395" s="74"/>
      <c r="N395" s="74" t="s">
        <v>392</v>
      </c>
      <c r="O395" s="74" t="s">
        <v>402</v>
      </c>
      <c r="P395" s="74" t="s">
        <v>13935</v>
      </c>
      <c r="Q395" s="74" t="s">
        <v>13936</v>
      </c>
    </row>
    <row r="396" spans="3:17" x14ac:dyDescent="0.25">
      <c r="C396" s="74" t="s">
        <v>4718</v>
      </c>
      <c r="D396" s="74" t="s">
        <v>4719</v>
      </c>
      <c r="E396" s="74"/>
      <c r="F396" s="74">
        <v>4.6900000000000004</v>
      </c>
      <c r="G396" s="74"/>
      <c r="H396" s="74"/>
      <c r="I396" s="74" t="s">
        <v>391</v>
      </c>
      <c r="J396" s="74"/>
      <c r="K396" s="74">
        <v>102.4</v>
      </c>
      <c r="L396" s="74">
        <v>92.16</v>
      </c>
      <c r="M396" s="74"/>
      <c r="N396" s="74" t="s">
        <v>392</v>
      </c>
      <c r="O396" s="74" t="s">
        <v>402</v>
      </c>
      <c r="P396" s="74" t="s">
        <v>4720</v>
      </c>
      <c r="Q396" s="74" t="s">
        <v>4721</v>
      </c>
    </row>
    <row r="397" spans="3:17" x14ac:dyDescent="0.25">
      <c r="C397" s="74" t="s">
        <v>18734</v>
      </c>
      <c r="D397" s="74" t="s">
        <v>18735</v>
      </c>
      <c r="E397" s="74"/>
      <c r="F397" s="74">
        <v>4.68</v>
      </c>
      <c r="G397" s="74"/>
      <c r="H397" s="74"/>
      <c r="I397" s="74" t="s">
        <v>391</v>
      </c>
      <c r="J397" s="74"/>
      <c r="K397" s="74">
        <v>102.4</v>
      </c>
      <c r="L397" s="74">
        <v>92.16</v>
      </c>
      <c r="M397" s="74"/>
      <c r="N397" s="74" t="s">
        <v>392</v>
      </c>
      <c r="O397" s="74" t="s">
        <v>402</v>
      </c>
      <c r="P397" s="74" t="s">
        <v>18736</v>
      </c>
      <c r="Q397" s="74" t="s">
        <v>18737</v>
      </c>
    </row>
    <row r="398" spans="3:17" x14ac:dyDescent="0.25">
      <c r="C398" s="74" t="s">
        <v>18788</v>
      </c>
      <c r="D398" s="74" t="s">
        <v>18789</v>
      </c>
      <c r="E398" s="74"/>
      <c r="F398" s="74">
        <v>4.68</v>
      </c>
      <c r="G398" s="74"/>
      <c r="H398" s="74"/>
      <c r="I398" s="74" t="s">
        <v>391</v>
      </c>
      <c r="J398" s="74"/>
      <c r="K398" s="74">
        <v>102.4</v>
      </c>
      <c r="L398" s="74">
        <v>92.16</v>
      </c>
      <c r="M398" s="74"/>
      <c r="N398" s="74" t="s">
        <v>392</v>
      </c>
      <c r="O398" s="74" t="s">
        <v>402</v>
      </c>
      <c r="P398" s="74" t="s">
        <v>18790</v>
      </c>
      <c r="Q398" s="74" t="s">
        <v>18791</v>
      </c>
    </row>
    <row r="399" spans="3:17" x14ac:dyDescent="0.25">
      <c r="C399" s="74" t="s">
        <v>21109</v>
      </c>
      <c r="D399" s="74" t="s">
        <v>21110</v>
      </c>
      <c r="E399" s="74"/>
      <c r="F399" s="74">
        <v>4.68</v>
      </c>
      <c r="G399" s="74"/>
      <c r="H399" s="74"/>
      <c r="I399" s="74" t="s">
        <v>391</v>
      </c>
      <c r="J399" s="74"/>
      <c r="K399" s="74">
        <v>102.4</v>
      </c>
      <c r="L399" s="74">
        <v>92.16</v>
      </c>
      <c r="M399" s="74"/>
      <c r="N399" s="74" t="s">
        <v>392</v>
      </c>
      <c r="O399" s="74" t="s">
        <v>402</v>
      </c>
      <c r="P399" s="74" t="s">
        <v>21111</v>
      </c>
      <c r="Q399" s="74" t="s">
        <v>21112</v>
      </c>
    </row>
    <row r="400" spans="3:17" x14ac:dyDescent="0.25">
      <c r="C400" s="74" t="s">
        <v>10501</v>
      </c>
      <c r="D400" s="74" t="s">
        <v>10502</v>
      </c>
      <c r="E400" s="74"/>
      <c r="F400" s="74">
        <v>4.6500000000000004</v>
      </c>
      <c r="G400" s="74"/>
      <c r="H400" s="74"/>
      <c r="I400" s="74" t="s">
        <v>391</v>
      </c>
      <c r="J400" s="74"/>
      <c r="K400" s="74">
        <v>102.4</v>
      </c>
      <c r="L400" s="74">
        <v>92.16</v>
      </c>
      <c r="M400" s="74"/>
      <c r="N400" s="74" t="s">
        <v>392</v>
      </c>
      <c r="O400" s="74" t="s">
        <v>402</v>
      </c>
      <c r="P400" s="74" t="s">
        <v>10503</v>
      </c>
      <c r="Q400" s="74" t="s">
        <v>10504</v>
      </c>
    </row>
    <row r="401" spans="3:17" x14ac:dyDescent="0.25">
      <c r="C401" s="74" t="s">
        <v>20191</v>
      </c>
      <c r="D401" s="74" t="s">
        <v>20192</v>
      </c>
      <c r="E401" s="74"/>
      <c r="F401" s="74">
        <v>4.6399999999999997</v>
      </c>
      <c r="G401" s="74"/>
      <c r="H401" s="74"/>
      <c r="I401" s="74" t="s">
        <v>391</v>
      </c>
      <c r="J401" s="74"/>
      <c r="K401" s="74">
        <v>102.4</v>
      </c>
      <c r="L401" s="74">
        <v>92.16</v>
      </c>
      <c r="M401" s="74"/>
      <c r="N401" s="74" t="s">
        <v>392</v>
      </c>
      <c r="O401" s="74" t="s">
        <v>402</v>
      </c>
      <c r="P401" s="74" t="s">
        <v>20193</v>
      </c>
      <c r="Q401" s="74" t="s">
        <v>20194</v>
      </c>
    </row>
    <row r="402" spans="3:17" x14ac:dyDescent="0.25">
      <c r="C402" s="74" t="s">
        <v>15155</v>
      </c>
      <c r="D402" s="74" t="s">
        <v>15156</v>
      </c>
      <c r="E402" s="74"/>
      <c r="F402" s="74">
        <v>4.62</v>
      </c>
      <c r="G402" s="74"/>
      <c r="H402" s="74"/>
      <c r="I402" s="74" t="s">
        <v>391</v>
      </c>
      <c r="J402" s="74"/>
      <c r="K402" s="74">
        <v>102.4</v>
      </c>
      <c r="L402" s="74">
        <v>92.16</v>
      </c>
      <c r="M402" s="74"/>
      <c r="N402" s="74" t="s">
        <v>392</v>
      </c>
      <c r="O402" s="74" t="s">
        <v>402</v>
      </c>
      <c r="P402" s="74" t="s">
        <v>15157</v>
      </c>
      <c r="Q402" s="74" t="s">
        <v>15158</v>
      </c>
    </row>
    <row r="403" spans="3:17" x14ac:dyDescent="0.25">
      <c r="C403" s="74" t="s">
        <v>15329</v>
      </c>
      <c r="D403" s="74" t="s">
        <v>15330</v>
      </c>
      <c r="E403" s="74"/>
      <c r="F403" s="74">
        <v>4.62</v>
      </c>
      <c r="G403" s="74"/>
      <c r="H403" s="74"/>
      <c r="I403" s="74" t="s">
        <v>391</v>
      </c>
      <c r="J403" s="74"/>
      <c r="K403" s="74">
        <v>102.4</v>
      </c>
      <c r="L403" s="74">
        <v>92.16</v>
      </c>
      <c r="M403" s="74"/>
      <c r="N403" s="74" t="s">
        <v>392</v>
      </c>
      <c r="O403" s="74" t="s">
        <v>402</v>
      </c>
      <c r="P403" s="74" t="s">
        <v>15331</v>
      </c>
      <c r="Q403" s="74" t="s">
        <v>15332</v>
      </c>
    </row>
    <row r="404" spans="3:17" x14ac:dyDescent="0.25">
      <c r="C404" s="74" t="s">
        <v>3485</v>
      </c>
      <c r="D404" s="74" t="s">
        <v>3486</v>
      </c>
      <c r="E404" s="74"/>
      <c r="F404" s="74">
        <v>4.6100000000000003</v>
      </c>
      <c r="G404" s="74"/>
      <c r="H404" s="74"/>
      <c r="I404" s="74" t="s">
        <v>391</v>
      </c>
      <c r="J404" s="74"/>
      <c r="K404" s="74">
        <v>102.4</v>
      </c>
      <c r="L404" s="74">
        <v>92.16</v>
      </c>
      <c r="M404" s="74"/>
      <c r="N404" s="74" t="s">
        <v>392</v>
      </c>
      <c r="O404" s="74" t="s">
        <v>402</v>
      </c>
      <c r="P404" s="74" t="s">
        <v>3487</v>
      </c>
      <c r="Q404" s="74" t="s">
        <v>3488</v>
      </c>
    </row>
    <row r="405" spans="3:17" x14ac:dyDescent="0.25">
      <c r="C405" s="74" t="s">
        <v>21105</v>
      </c>
      <c r="D405" s="74" t="s">
        <v>21106</v>
      </c>
      <c r="E405" s="74"/>
      <c r="F405" s="74">
        <v>4.5999999999999996</v>
      </c>
      <c r="G405" s="74"/>
      <c r="H405" s="74"/>
      <c r="I405" s="74" t="s">
        <v>391</v>
      </c>
      <c r="J405" s="74"/>
      <c r="K405" s="74">
        <v>102.4</v>
      </c>
      <c r="L405" s="74">
        <v>92.16</v>
      </c>
      <c r="M405" s="74"/>
      <c r="N405" s="74" t="s">
        <v>392</v>
      </c>
      <c r="O405" s="74" t="s">
        <v>402</v>
      </c>
      <c r="P405" s="74" t="s">
        <v>21107</v>
      </c>
      <c r="Q405" s="74" t="s">
        <v>21108</v>
      </c>
    </row>
    <row r="406" spans="3:17" x14ac:dyDescent="0.25">
      <c r="C406" s="74" t="s">
        <v>9685</v>
      </c>
      <c r="D406" s="74" t="s">
        <v>9686</v>
      </c>
      <c r="E406" s="74"/>
      <c r="F406" s="74">
        <v>4.59</v>
      </c>
      <c r="G406" s="74"/>
      <c r="H406" s="74"/>
      <c r="I406" s="74" t="s">
        <v>391</v>
      </c>
      <c r="J406" s="74"/>
      <c r="K406" s="74">
        <v>102.4</v>
      </c>
      <c r="L406" s="74">
        <v>92.16</v>
      </c>
      <c r="M406" s="74"/>
      <c r="N406" s="74" t="s">
        <v>392</v>
      </c>
      <c r="O406" s="74" t="s">
        <v>402</v>
      </c>
      <c r="P406" s="74" t="s">
        <v>9687</v>
      </c>
      <c r="Q406" s="74" t="s">
        <v>9688</v>
      </c>
    </row>
    <row r="407" spans="3:17" x14ac:dyDescent="0.25">
      <c r="C407" s="74" t="s">
        <v>19132</v>
      </c>
      <c r="D407" s="74" t="s">
        <v>19133</v>
      </c>
      <c r="E407" s="74"/>
      <c r="F407" s="74">
        <v>4.59</v>
      </c>
      <c r="G407" s="74"/>
      <c r="H407" s="74"/>
      <c r="I407" s="74" t="s">
        <v>391</v>
      </c>
      <c r="J407" s="74"/>
      <c r="K407" s="74">
        <v>102.4</v>
      </c>
      <c r="L407" s="74">
        <v>92.16</v>
      </c>
      <c r="M407" s="74"/>
      <c r="N407" s="74" t="s">
        <v>392</v>
      </c>
      <c r="O407" s="74" t="s">
        <v>402</v>
      </c>
      <c r="P407" s="74" t="s">
        <v>19134</v>
      </c>
      <c r="Q407" s="74" t="s">
        <v>19135</v>
      </c>
    </row>
    <row r="408" spans="3:17" x14ac:dyDescent="0.25">
      <c r="C408" s="74" t="s">
        <v>5088</v>
      </c>
      <c r="D408" s="74" t="s">
        <v>5089</v>
      </c>
      <c r="E408" s="74"/>
      <c r="F408" s="74">
        <v>4.55</v>
      </c>
      <c r="G408" s="74"/>
      <c r="H408" s="74"/>
      <c r="I408" s="74" t="s">
        <v>391</v>
      </c>
      <c r="J408" s="74"/>
      <c r="K408" s="74">
        <v>102.4</v>
      </c>
      <c r="L408" s="74">
        <v>92.16</v>
      </c>
      <c r="M408" s="74"/>
      <c r="N408" s="74" t="s">
        <v>392</v>
      </c>
      <c r="O408" s="74" t="s">
        <v>402</v>
      </c>
      <c r="P408" s="74" t="s">
        <v>5090</v>
      </c>
      <c r="Q408" s="74" t="s">
        <v>5091</v>
      </c>
    </row>
    <row r="409" spans="3:17" x14ac:dyDescent="0.25">
      <c r="C409" s="74" t="s">
        <v>16820</v>
      </c>
      <c r="D409" s="74" t="s">
        <v>16821</v>
      </c>
      <c r="E409" s="74"/>
      <c r="F409" s="74">
        <v>4.55</v>
      </c>
      <c r="G409" s="74"/>
      <c r="H409" s="74"/>
      <c r="I409" s="74" t="s">
        <v>391</v>
      </c>
      <c r="J409" s="74"/>
      <c r="K409" s="74">
        <v>102.4</v>
      </c>
      <c r="L409" s="74">
        <v>92.16</v>
      </c>
      <c r="M409" s="74"/>
      <c r="N409" s="74" t="s">
        <v>392</v>
      </c>
      <c r="O409" s="74" t="s">
        <v>402</v>
      </c>
      <c r="P409" s="74" t="s">
        <v>16822</v>
      </c>
      <c r="Q409" s="74" t="s">
        <v>16823</v>
      </c>
    </row>
    <row r="410" spans="3:17" x14ac:dyDescent="0.25">
      <c r="C410" s="74" t="s">
        <v>13079</v>
      </c>
      <c r="D410" s="74" t="s">
        <v>13080</v>
      </c>
      <c r="E410" s="74"/>
      <c r="F410" s="74">
        <v>4.53</v>
      </c>
      <c r="G410" s="74"/>
      <c r="H410" s="74"/>
      <c r="I410" s="74" t="s">
        <v>391</v>
      </c>
      <c r="J410" s="74"/>
      <c r="K410" s="74">
        <v>102.4</v>
      </c>
      <c r="L410" s="74">
        <v>92.16</v>
      </c>
      <c r="M410" s="74"/>
      <c r="N410" s="74" t="s">
        <v>392</v>
      </c>
      <c r="O410" s="74" t="s">
        <v>402</v>
      </c>
      <c r="P410" s="74" t="s">
        <v>13081</v>
      </c>
      <c r="Q410" s="74" t="s">
        <v>13082</v>
      </c>
    </row>
    <row r="411" spans="3:17" x14ac:dyDescent="0.25">
      <c r="C411" s="74" t="s">
        <v>5302</v>
      </c>
      <c r="D411" s="74" t="s">
        <v>5303</v>
      </c>
      <c r="E411" s="74"/>
      <c r="F411" s="74">
        <v>4.51</v>
      </c>
      <c r="G411" s="74"/>
      <c r="H411" s="74"/>
      <c r="I411" s="74" t="s">
        <v>391</v>
      </c>
      <c r="J411" s="74"/>
      <c r="K411" s="74">
        <v>102.4</v>
      </c>
      <c r="L411" s="74">
        <v>92.16</v>
      </c>
      <c r="M411" s="74"/>
      <c r="N411" s="74" t="s">
        <v>392</v>
      </c>
      <c r="O411" s="74" t="s">
        <v>402</v>
      </c>
      <c r="P411" s="74" t="s">
        <v>5304</v>
      </c>
      <c r="Q411" s="74" t="s">
        <v>5305</v>
      </c>
    </row>
    <row r="412" spans="3:17" x14ac:dyDescent="0.25">
      <c r="C412" s="74" t="s">
        <v>10949</v>
      </c>
      <c r="D412" s="74" t="s">
        <v>10950</v>
      </c>
      <c r="E412" s="74"/>
      <c r="F412" s="74">
        <v>4.51</v>
      </c>
      <c r="G412" s="74"/>
      <c r="H412" s="74"/>
      <c r="I412" s="74" t="s">
        <v>391</v>
      </c>
      <c r="J412" s="74"/>
      <c r="K412" s="74">
        <v>102.4</v>
      </c>
      <c r="L412" s="74">
        <v>92.16</v>
      </c>
      <c r="M412" s="74"/>
      <c r="N412" s="74" t="s">
        <v>392</v>
      </c>
      <c r="O412" s="74" t="s">
        <v>402</v>
      </c>
      <c r="P412" s="74" t="s">
        <v>10951</v>
      </c>
      <c r="Q412" s="74" t="s">
        <v>10952</v>
      </c>
    </row>
    <row r="413" spans="3:17" x14ac:dyDescent="0.25">
      <c r="C413" s="74" t="s">
        <v>18061</v>
      </c>
      <c r="D413" s="74" t="s">
        <v>18062</v>
      </c>
      <c r="E413" s="74"/>
      <c r="F413" s="74">
        <v>4.51</v>
      </c>
      <c r="G413" s="74"/>
      <c r="H413" s="74"/>
      <c r="I413" s="74" t="s">
        <v>391</v>
      </c>
      <c r="J413" s="74"/>
      <c r="K413" s="74">
        <v>102.4</v>
      </c>
      <c r="L413" s="74">
        <v>92.16</v>
      </c>
      <c r="M413" s="74"/>
      <c r="N413" s="74" t="s">
        <v>392</v>
      </c>
      <c r="O413" s="74" t="s">
        <v>402</v>
      </c>
      <c r="P413" s="74" t="s">
        <v>18063</v>
      </c>
      <c r="Q413" s="74" t="s">
        <v>18064</v>
      </c>
    </row>
    <row r="414" spans="3:17" x14ac:dyDescent="0.25">
      <c r="C414" s="74" t="s">
        <v>8334</v>
      </c>
      <c r="D414" s="74" t="s">
        <v>8335</v>
      </c>
      <c r="E414" s="74"/>
      <c r="F414" s="74">
        <v>4.5</v>
      </c>
      <c r="G414" s="74"/>
      <c r="H414" s="74"/>
      <c r="I414" s="74" t="s">
        <v>391</v>
      </c>
      <c r="J414" s="74"/>
      <c r="K414" s="74">
        <v>102.4</v>
      </c>
      <c r="L414" s="74">
        <v>92.16</v>
      </c>
      <c r="M414" s="74"/>
      <c r="N414" s="74" t="s">
        <v>392</v>
      </c>
      <c r="O414" s="74" t="s">
        <v>402</v>
      </c>
      <c r="P414" s="74" t="s">
        <v>8336</v>
      </c>
      <c r="Q414" s="74" t="s">
        <v>8337</v>
      </c>
    </row>
    <row r="415" spans="3:17" x14ac:dyDescent="0.25">
      <c r="C415" s="74" t="s">
        <v>17074</v>
      </c>
      <c r="D415" s="74" t="s">
        <v>17075</v>
      </c>
      <c r="E415" s="74"/>
      <c r="F415" s="74">
        <v>4.49</v>
      </c>
      <c r="G415" s="74"/>
      <c r="H415" s="74"/>
      <c r="I415" s="74" t="s">
        <v>391</v>
      </c>
      <c r="J415" s="74"/>
      <c r="K415" s="74">
        <v>102.4</v>
      </c>
      <c r="L415" s="74">
        <v>92.16</v>
      </c>
      <c r="M415" s="74"/>
      <c r="N415" s="74" t="s">
        <v>392</v>
      </c>
      <c r="O415" s="74" t="s">
        <v>402</v>
      </c>
      <c r="P415" s="74" t="s">
        <v>17076</v>
      </c>
      <c r="Q415" s="74" t="s">
        <v>17077</v>
      </c>
    </row>
    <row r="416" spans="3:17" x14ac:dyDescent="0.25">
      <c r="C416" s="74" t="s">
        <v>17085</v>
      </c>
      <c r="D416" s="74" t="s">
        <v>17086</v>
      </c>
      <c r="E416" s="74"/>
      <c r="F416" s="74">
        <v>4.49</v>
      </c>
      <c r="G416" s="74"/>
      <c r="H416" s="74"/>
      <c r="I416" s="74" t="s">
        <v>391</v>
      </c>
      <c r="J416" s="74"/>
      <c r="K416" s="74">
        <v>102.4</v>
      </c>
      <c r="L416" s="74">
        <v>92.16</v>
      </c>
      <c r="M416" s="74"/>
      <c r="N416" s="74" t="s">
        <v>392</v>
      </c>
      <c r="O416" s="74" t="s">
        <v>402</v>
      </c>
      <c r="P416" s="74" t="s">
        <v>17087</v>
      </c>
      <c r="Q416" s="74" t="s">
        <v>17088</v>
      </c>
    </row>
    <row r="417" spans="3:17" x14ac:dyDescent="0.25">
      <c r="C417" s="74" t="s">
        <v>5363</v>
      </c>
      <c r="D417" s="74" t="s">
        <v>5364</v>
      </c>
      <c r="E417" s="74"/>
      <c r="F417" s="74">
        <v>4.47</v>
      </c>
      <c r="G417" s="74"/>
      <c r="H417" s="74"/>
      <c r="I417" s="74" t="s">
        <v>391</v>
      </c>
      <c r="J417" s="74"/>
      <c r="K417" s="74">
        <v>102.4</v>
      </c>
      <c r="L417" s="74">
        <v>92.16</v>
      </c>
      <c r="M417" s="74"/>
      <c r="N417" s="74" t="s">
        <v>392</v>
      </c>
      <c r="O417" s="74" t="s">
        <v>402</v>
      </c>
      <c r="P417" s="74" t="s">
        <v>5365</v>
      </c>
      <c r="Q417" s="74" t="s">
        <v>5366</v>
      </c>
    </row>
    <row r="418" spans="3:17" x14ac:dyDescent="0.25">
      <c r="C418" s="74" t="s">
        <v>10737</v>
      </c>
      <c r="D418" s="74" t="s">
        <v>10738</v>
      </c>
      <c r="E418" s="74"/>
      <c r="F418" s="74">
        <v>4.46</v>
      </c>
      <c r="G418" s="74"/>
      <c r="H418" s="74"/>
      <c r="I418" s="74" t="s">
        <v>391</v>
      </c>
      <c r="J418" s="74"/>
      <c r="K418" s="74">
        <v>102.4</v>
      </c>
      <c r="L418" s="74">
        <v>92.16</v>
      </c>
      <c r="M418" s="74"/>
      <c r="N418" s="74" t="s">
        <v>392</v>
      </c>
      <c r="O418" s="74" t="s">
        <v>402</v>
      </c>
      <c r="P418" s="74" t="s">
        <v>10739</v>
      </c>
      <c r="Q418" s="74" t="s">
        <v>10740</v>
      </c>
    </row>
    <row r="419" spans="3:17" x14ac:dyDescent="0.25">
      <c r="C419" s="74" t="s">
        <v>6218</v>
      </c>
      <c r="D419" s="74" t="s">
        <v>6219</v>
      </c>
      <c r="E419" s="74"/>
      <c r="F419" s="74">
        <v>4.45</v>
      </c>
      <c r="G419" s="74"/>
      <c r="H419" s="74"/>
      <c r="I419" s="74" t="s">
        <v>391</v>
      </c>
      <c r="J419" s="74"/>
      <c r="K419" s="74">
        <v>102.4</v>
      </c>
      <c r="L419" s="74">
        <v>92.16</v>
      </c>
      <c r="M419" s="74"/>
      <c r="N419" s="74" t="s">
        <v>392</v>
      </c>
      <c r="O419" s="74" t="s">
        <v>402</v>
      </c>
      <c r="P419" s="74" t="s">
        <v>6220</v>
      </c>
      <c r="Q419" s="74" t="s">
        <v>6221</v>
      </c>
    </row>
    <row r="420" spans="3:17" x14ac:dyDescent="0.25">
      <c r="C420" s="74" t="s">
        <v>8875</v>
      </c>
      <c r="D420" s="74" t="s">
        <v>8876</v>
      </c>
      <c r="E420" s="74" t="s">
        <v>391</v>
      </c>
      <c r="F420" s="74">
        <v>4.4400000000000004</v>
      </c>
      <c r="G420" s="74"/>
      <c r="H420" s="74"/>
      <c r="I420" s="74" t="s">
        <v>391</v>
      </c>
      <c r="J420" s="74"/>
      <c r="K420" s="74">
        <v>102.4</v>
      </c>
      <c r="L420" s="74">
        <v>92.16</v>
      </c>
      <c r="M420" s="74"/>
      <c r="N420" s="74" t="s">
        <v>392</v>
      </c>
      <c r="O420" s="74" t="s">
        <v>393</v>
      </c>
      <c r="P420" s="74" t="s">
        <v>8877</v>
      </c>
      <c r="Q420" s="74" t="s">
        <v>8878</v>
      </c>
    </row>
    <row r="421" spans="3:17" x14ac:dyDescent="0.25">
      <c r="C421" s="74" t="s">
        <v>2332</v>
      </c>
      <c r="D421" s="74" t="s">
        <v>2333</v>
      </c>
      <c r="E421" s="74"/>
      <c r="F421" s="74">
        <v>4.3899999999999997</v>
      </c>
      <c r="G421" s="74"/>
      <c r="H421" s="74"/>
      <c r="I421" s="74" t="s">
        <v>391</v>
      </c>
      <c r="J421" s="74"/>
      <c r="K421" s="74">
        <v>102.4</v>
      </c>
      <c r="L421" s="74">
        <v>92.16</v>
      </c>
      <c r="M421" s="74"/>
      <c r="N421" s="74" t="s">
        <v>392</v>
      </c>
      <c r="O421" s="74" t="s">
        <v>402</v>
      </c>
      <c r="P421" s="74" t="s">
        <v>2334</v>
      </c>
      <c r="Q421" s="74" t="s">
        <v>2335</v>
      </c>
    </row>
    <row r="422" spans="3:17" x14ac:dyDescent="0.25">
      <c r="C422" s="74" t="s">
        <v>3186</v>
      </c>
      <c r="D422" s="74" t="s">
        <v>3187</v>
      </c>
      <c r="E422" s="74"/>
      <c r="F422" s="74">
        <v>4.3600000000000003</v>
      </c>
      <c r="G422" s="74"/>
      <c r="H422" s="74"/>
      <c r="I422" s="74" t="s">
        <v>391</v>
      </c>
      <c r="J422" s="74"/>
      <c r="K422" s="74">
        <v>102.4</v>
      </c>
      <c r="L422" s="74">
        <v>92.16</v>
      </c>
      <c r="M422" s="74"/>
      <c r="N422" s="74" t="s">
        <v>392</v>
      </c>
      <c r="O422" s="74" t="s">
        <v>402</v>
      </c>
      <c r="P422" s="74" t="s">
        <v>3188</v>
      </c>
      <c r="Q422" s="74" t="s">
        <v>3189</v>
      </c>
    </row>
    <row r="423" spans="3:17" x14ac:dyDescent="0.25">
      <c r="C423" s="74" t="s">
        <v>8648</v>
      </c>
      <c r="D423" s="74" t="s">
        <v>8649</v>
      </c>
      <c r="E423" s="74"/>
      <c r="F423" s="74">
        <v>4.3600000000000003</v>
      </c>
      <c r="G423" s="74"/>
      <c r="H423" s="74"/>
      <c r="I423" s="74" t="s">
        <v>391</v>
      </c>
      <c r="J423" s="74"/>
      <c r="K423" s="74">
        <v>102.4</v>
      </c>
      <c r="L423" s="74">
        <v>92.16</v>
      </c>
      <c r="M423" s="74"/>
      <c r="N423" s="74" t="s">
        <v>392</v>
      </c>
      <c r="O423" s="74" t="s">
        <v>402</v>
      </c>
      <c r="P423" s="74" t="s">
        <v>8650</v>
      </c>
      <c r="Q423" s="74" t="s">
        <v>8651</v>
      </c>
    </row>
    <row r="424" spans="3:17" x14ac:dyDescent="0.25">
      <c r="C424" s="74" t="s">
        <v>20654</v>
      </c>
      <c r="D424" s="74" t="s">
        <v>20655</v>
      </c>
      <c r="E424" s="74"/>
      <c r="F424" s="74">
        <v>4.3499999999999996</v>
      </c>
      <c r="G424" s="74"/>
      <c r="H424" s="74"/>
      <c r="I424" s="74" t="s">
        <v>391</v>
      </c>
      <c r="J424" s="74"/>
      <c r="K424" s="74">
        <v>102.4</v>
      </c>
      <c r="L424" s="74">
        <v>92.16</v>
      </c>
      <c r="M424" s="74"/>
      <c r="N424" s="74" t="s">
        <v>392</v>
      </c>
      <c r="O424" s="74" t="s">
        <v>402</v>
      </c>
      <c r="P424" s="74" t="s">
        <v>20656</v>
      </c>
      <c r="Q424" s="74" t="s">
        <v>20657</v>
      </c>
    </row>
    <row r="425" spans="3:17" x14ac:dyDescent="0.25">
      <c r="C425" s="74" t="s">
        <v>655</v>
      </c>
      <c r="D425" s="74" t="s">
        <v>656</v>
      </c>
      <c r="E425" s="74"/>
      <c r="F425" s="74">
        <v>4.34</v>
      </c>
      <c r="G425" s="74"/>
      <c r="H425" s="74"/>
      <c r="I425" s="74" t="s">
        <v>391</v>
      </c>
      <c r="J425" s="74"/>
      <c r="K425" s="74">
        <v>102.4</v>
      </c>
      <c r="L425" s="74">
        <v>92.16</v>
      </c>
      <c r="M425" s="74"/>
      <c r="N425" s="74" t="s">
        <v>392</v>
      </c>
      <c r="O425" s="74" t="s">
        <v>402</v>
      </c>
      <c r="P425" s="74" t="s">
        <v>657</v>
      </c>
      <c r="Q425" s="74" t="s">
        <v>658</v>
      </c>
    </row>
    <row r="426" spans="3:17" x14ac:dyDescent="0.25">
      <c r="C426" s="74" t="s">
        <v>2900</v>
      </c>
      <c r="D426" s="74" t="s">
        <v>2901</v>
      </c>
      <c r="E426" s="74"/>
      <c r="F426" s="74">
        <v>4.32</v>
      </c>
      <c r="G426" s="74"/>
      <c r="H426" s="74"/>
      <c r="I426" s="74" t="s">
        <v>391</v>
      </c>
      <c r="J426" s="74"/>
      <c r="K426" s="74">
        <v>102.4</v>
      </c>
      <c r="L426" s="74">
        <v>92.16</v>
      </c>
      <c r="M426" s="74"/>
      <c r="N426" s="74" t="s">
        <v>392</v>
      </c>
      <c r="O426" s="74" t="s">
        <v>402</v>
      </c>
      <c r="P426" s="74" t="s">
        <v>2902</v>
      </c>
      <c r="Q426" s="74" t="s">
        <v>2903</v>
      </c>
    </row>
    <row r="427" spans="3:17" x14ac:dyDescent="0.25">
      <c r="C427" s="74" t="s">
        <v>19839</v>
      </c>
      <c r="D427" s="74" t="s">
        <v>19840</v>
      </c>
      <c r="E427" s="74"/>
      <c r="F427" s="74">
        <v>4.3</v>
      </c>
      <c r="G427" s="74"/>
      <c r="H427" s="74"/>
      <c r="I427" s="74" t="s">
        <v>391</v>
      </c>
      <c r="J427" s="74"/>
      <c r="K427" s="74">
        <v>102.4</v>
      </c>
      <c r="L427" s="74">
        <v>92.16</v>
      </c>
      <c r="M427" s="74"/>
      <c r="N427" s="74" t="s">
        <v>392</v>
      </c>
      <c r="O427" s="74" t="s">
        <v>402</v>
      </c>
      <c r="P427" s="74" t="s">
        <v>19841</v>
      </c>
      <c r="Q427" s="74" t="s">
        <v>19842</v>
      </c>
    </row>
    <row r="428" spans="3:17" x14ac:dyDescent="0.25">
      <c r="C428" s="74" t="s">
        <v>12150</v>
      </c>
      <c r="D428" s="74" t="s">
        <v>12151</v>
      </c>
      <c r="E428" s="74"/>
      <c r="F428" s="74">
        <v>4.29</v>
      </c>
      <c r="G428" s="74"/>
      <c r="H428" s="74"/>
      <c r="I428" s="74" t="s">
        <v>391</v>
      </c>
      <c r="J428" s="74"/>
      <c r="K428" s="74">
        <v>102.4</v>
      </c>
      <c r="L428" s="74">
        <v>92.16</v>
      </c>
      <c r="M428" s="74"/>
      <c r="N428" s="74" t="s">
        <v>392</v>
      </c>
      <c r="O428" s="74" t="s">
        <v>402</v>
      </c>
      <c r="P428" s="74" t="s">
        <v>12152</v>
      </c>
      <c r="Q428" s="74" t="s">
        <v>12153</v>
      </c>
    </row>
    <row r="429" spans="3:17" x14ac:dyDescent="0.25">
      <c r="C429" s="74" t="s">
        <v>15809</v>
      </c>
      <c r="D429" s="74" t="s">
        <v>15810</v>
      </c>
      <c r="E429" s="74"/>
      <c r="F429" s="74">
        <v>4.28</v>
      </c>
      <c r="G429" s="74"/>
      <c r="H429" s="74"/>
      <c r="I429" s="74" t="s">
        <v>391</v>
      </c>
      <c r="J429" s="74"/>
      <c r="K429" s="74">
        <v>102.4</v>
      </c>
      <c r="L429" s="74">
        <v>92.16</v>
      </c>
      <c r="M429" s="74"/>
      <c r="N429" s="74" t="s">
        <v>392</v>
      </c>
      <c r="O429" s="74" t="s">
        <v>402</v>
      </c>
      <c r="P429" s="74" t="s">
        <v>15811</v>
      </c>
      <c r="Q429" s="74" t="s">
        <v>15812</v>
      </c>
    </row>
    <row r="430" spans="3:17" x14ac:dyDescent="0.25">
      <c r="C430" s="74" t="s">
        <v>15374</v>
      </c>
      <c r="D430" s="74" t="s">
        <v>15375</v>
      </c>
      <c r="E430" s="74"/>
      <c r="F430" s="74">
        <v>4.2699999999999996</v>
      </c>
      <c r="G430" s="74"/>
      <c r="H430" s="74"/>
      <c r="I430" s="74" t="s">
        <v>391</v>
      </c>
      <c r="J430" s="74"/>
      <c r="K430" s="74">
        <v>102.4</v>
      </c>
      <c r="L430" s="74">
        <v>92.16</v>
      </c>
      <c r="M430" s="74"/>
      <c r="N430" s="74" t="s">
        <v>392</v>
      </c>
      <c r="O430" s="74" t="s">
        <v>402</v>
      </c>
      <c r="P430" s="74" t="s">
        <v>15376</v>
      </c>
      <c r="Q430" s="74" t="s">
        <v>15377</v>
      </c>
    </row>
    <row r="431" spans="3:17" x14ac:dyDescent="0.25">
      <c r="C431" s="74" t="s">
        <v>15824</v>
      </c>
      <c r="D431" s="74" t="s">
        <v>15825</v>
      </c>
      <c r="E431" s="74"/>
      <c r="F431" s="74">
        <v>4.2699999999999996</v>
      </c>
      <c r="G431" s="74"/>
      <c r="H431" s="74"/>
      <c r="I431" s="74" t="s">
        <v>391</v>
      </c>
      <c r="J431" s="74"/>
      <c r="K431" s="74">
        <v>102.4</v>
      </c>
      <c r="L431" s="74">
        <v>92.16</v>
      </c>
      <c r="M431" s="74"/>
      <c r="N431" s="74" t="s">
        <v>392</v>
      </c>
      <c r="O431" s="74" t="s">
        <v>402</v>
      </c>
      <c r="P431" s="74" t="s">
        <v>15826</v>
      </c>
      <c r="Q431" s="74" t="s">
        <v>15827</v>
      </c>
    </row>
    <row r="432" spans="3:17" x14ac:dyDescent="0.25">
      <c r="C432" s="74" t="s">
        <v>857</v>
      </c>
      <c r="D432" s="74" t="s">
        <v>858</v>
      </c>
      <c r="E432" s="74"/>
      <c r="F432" s="74">
        <v>4.24</v>
      </c>
      <c r="G432" s="74"/>
      <c r="H432" s="74"/>
      <c r="I432" s="74" t="s">
        <v>391</v>
      </c>
      <c r="J432" s="74"/>
      <c r="K432" s="74">
        <v>102.4</v>
      </c>
      <c r="L432" s="74">
        <v>92.16</v>
      </c>
      <c r="M432" s="74"/>
      <c r="N432" s="74" t="s">
        <v>392</v>
      </c>
      <c r="O432" s="74" t="s">
        <v>402</v>
      </c>
      <c r="P432" s="74" t="s">
        <v>859</v>
      </c>
      <c r="Q432" s="74" t="s">
        <v>860</v>
      </c>
    </row>
    <row r="433" spans="3:17" x14ac:dyDescent="0.25">
      <c r="C433" s="74" t="s">
        <v>11420</v>
      </c>
      <c r="D433" s="74" t="s">
        <v>11421</v>
      </c>
      <c r="E433" s="74"/>
      <c r="F433" s="74">
        <v>4.24</v>
      </c>
      <c r="G433" s="74"/>
      <c r="H433" s="74"/>
      <c r="I433" s="74" t="s">
        <v>391</v>
      </c>
      <c r="J433" s="74"/>
      <c r="K433" s="74">
        <v>102.4</v>
      </c>
      <c r="L433" s="74">
        <v>92.16</v>
      </c>
      <c r="M433" s="74"/>
      <c r="N433" s="74" t="s">
        <v>392</v>
      </c>
      <c r="O433" s="74" t="s">
        <v>402</v>
      </c>
      <c r="P433" s="74" t="s">
        <v>11422</v>
      </c>
      <c r="Q433" s="74" t="s">
        <v>11423</v>
      </c>
    </row>
    <row r="434" spans="3:17" x14ac:dyDescent="0.25">
      <c r="C434" s="74" t="s">
        <v>14062</v>
      </c>
      <c r="D434" s="74" t="s">
        <v>14063</v>
      </c>
      <c r="E434" s="74"/>
      <c r="F434" s="74">
        <v>4.24</v>
      </c>
      <c r="G434" s="74"/>
      <c r="H434" s="74"/>
      <c r="I434" s="74" t="s">
        <v>391</v>
      </c>
      <c r="J434" s="74"/>
      <c r="K434" s="74">
        <v>102.4</v>
      </c>
      <c r="L434" s="74">
        <v>92.16</v>
      </c>
      <c r="M434" s="74"/>
      <c r="N434" s="74" t="s">
        <v>392</v>
      </c>
      <c r="O434" s="74" t="s">
        <v>402</v>
      </c>
      <c r="P434" s="74" t="s">
        <v>14064</v>
      </c>
      <c r="Q434" s="74" t="s">
        <v>14065</v>
      </c>
    </row>
    <row r="435" spans="3:17" x14ac:dyDescent="0.25">
      <c r="C435" s="74" t="s">
        <v>7530</v>
      </c>
      <c r="D435" s="74" t="s">
        <v>7531</v>
      </c>
      <c r="E435" s="74"/>
      <c r="F435" s="74">
        <v>4.22</v>
      </c>
      <c r="G435" s="74"/>
      <c r="H435" s="74"/>
      <c r="I435" s="74" t="s">
        <v>391</v>
      </c>
      <c r="J435" s="74"/>
      <c r="K435" s="74">
        <v>102.4</v>
      </c>
      <c r="L435" s="74">
        <v>92.16</v>
      </c>
      <c r="M435" s="74"/>
      <c r="N435" s="74" t="s">
        <v>392</v>
      </c>
      <c r="O435" s="74" t="s">
        <v>402</v>
      </c>
      <c r="P435" s="74" t="s">
        <v>7532</v>
      </c>
      <c r="Q435" s="74" t="s">
        <v>7533</v>
      </c>
    </row>
    <row r="436" spans="3:17" x14ac:dyDescent="0.25">
      <c r="C436" s="74" t="s">
        <v>14852</v>
      </c>
      <c r="D436" s="74" t="s">
        <v>14853</v>
      </c>
      <c r="E436" s="74"/>
      <c r="F436" s="74">
        <v>4.21</v>
      </c>
      <c r="G436" s="74"/>
      <c r="H436" s="74"/>
      <c r="I436" s="74" t="s">
        <v>391</v>
      </c>
      <c r="J436" s="74"/>
      <c r="K436" s="74">
        <v>102.4</v>
      </c>
      <c r="L436" s="74">
        <v>92.16</v>
      </c>
      <c r="M436" s="74"/>
      <c r="N436" s="74" t="s">
        <v>392</v>
      </c>
      <c r="O436" s="74" t="s">
        <v>402</v>
      </c>
      <c r="P436" s="74" t="s">
        <v>14854</v>
      </c>
      <c r="Q436" s="74" t="s">
        <v>14855</v>
      </c>
    </row>
    <row r="437" spans="3:17" x14ac:dyDescent="0.25">
      <c r="C437" s="74" t="s">
        <v>4337</v>
      </c>
      <c r="D437" s="74" t="s">
        <v>4338</v>
      </c>
      <c r="E437" s="74"/>
      <c r="F437" s="74">
        <v>4.2</v>
      </c>
      <c r="G437" s="74"/>
      <c r="H437" s="74"/>
      <c r="I437" s="74" t="s">
        <v>391</v>
      </c>
      <c r="J437" s="74"/>
      <c r="K437" s="74">
        <v>102.4</v>
      </c>
      <c r="L437" s="74">
        <v>92.16</v>
      </c>
      <c r="M437" s="74"/>
      <c r="N437" s="74" t="s">
        <v>392</v>
      </c>
      <c r="O437" s="74" t="s">
        <v>402</v>
      </c>
      <c r="P437" s="74" t="s">
        <v>4339</v>
      </c>
      <c r="Q437" s="74" t="s">
        <v>4340</v>
      </c>
    </row>
    <row r="438" spans="3:17" x14ac:dyDescent="0.25">
      <c r="C438" s="74" t="s">
        <v>15428</v>
      </c>
      <c r="D438" s="74" t="s">
        <v>15429</v>
      </c>
      <c r="E438" s="74"/>
      <c r="F438" s="74">
        <v>4.18</v>
      </c>
      <c r="G438" s="74"/>
      <c r="H438" s="74"/>
      <c r="I438" s="74" t="s">
        <v>391</v>
      </c>
      <c r="J438" s="74"/>
      <c r="K438" s="74">
        <v>102.4</v>
      </c>
      <c r="L438" s="74">
        <v>92.16</v>
      </c>
      <c r="M438" s="74"/>
      <c r="N438" s="74" t="s">
        <v>392</v>
      </c>
      <c r="O438" s="74" t="s">
        <v>402</v>
      </c>
      <c r="P438" s="74" t="s">
        <v>15430</v>
      </c>
      <c r="Q438" s="74" t="s">
        <v>15431</v>
      </c>
    </row>
    <row r="439" spans="3:17" x14ac:dyDescent="0.25">
      <c r="C439" s="74" t="s">
        <v>3051</v>
      </c>
      <c r="D439" s="74" t="s">
        <v>3052</v>
      </c>
      <c r="E439" s="74"/>
      <c r="F439" s="74">
        <v>4.1500000000000004</v>
      </c>
      <c r="G439" s="74"/>
      <c r="H439" s="74"/>
      <c r="I439" s="74" t="s">
        <v>391</v>
      </c>
      <c r="J439" s="74"/>
      <c r="K439" s="74">
        <v>102.4</v>
      </c>
      <c r="L439" s="74">
        <v>92.16</v>
      </c>
      <c r="M439" s="74"/>
      <c r="N439" s="74" t="s">
        <v>392</v>
      </c>
      <c r="O439" s="74" t="s">
        <v>402</v>
      </c>
      <c r="P439" s="74" t="s">
        <v>3053</v>
      </c>
      <c r="Q439" s="74" t="s">
        <v>3054</v>
      </c>
    </row>
    <row r="440" spans="3:17" x14ac:dyDescent="0.25">
      <c r="C440" s="74" t="s">
        <v>7515</v>
      </c>
      <c r="D440" s="74" t="s">
        <v>7516</v>
      </c>
      <c r="E440" s="74"/>
      <c r="F440" s="74">
        <v>4.12</v>
      </c>
      <c r="G440" s="74"/>
      <c r="H440" s="74"/>
      <c r="I440" s="74" t="s">
        <v>391</v>
      </c>
      <c r="J440" s="74"/>
      <c r="K440" s="74">
        <v>102.4</v>
      </c>
      <c r="L440" s="74">
        <v>92.16</v>
      </c>
      <c r="M440" s="74"/>
      <c r="N440" s="74" t="s">
        <v>392</v>
      </c>
      <c r="O440" s="74" t="s">
        <v>402</v>
      </c>
      <c r="P440" s="74" t="s">
        <v>7517</v>
      </c>
      <c r="Q440" s="74" t="s">
        <v>7518</v>
      </c>
    </row>
    <row r="441" spans="3:17" x14ac:dyDescent="0.25">
      <c r="C441" s="74" t="s">
        <v>13504</v>
      </c>
      <c r="D441" s="74" t="s">
        <v>13505</v>
      </c>
      <c r="E441" s="74"/>
      <c r="F441" s="74">
        <v>4.12</v>
      </c>
      <c r="G441" s="74"/>
      <c r="H441" s="74"/>
      <c r="I441" s="74" t="s">
        <v>391</v>
      </c>
      <c r="J441" s="74"/>
      <c r="K441" s="74">
        <v>102.4</v>
      </c>
      <c r="L441" s="74">
        <v>92.16</v>
      </c>
      <c r="M441" s="74"/>
      <c r="N441" s="74" t="s">
        <v>392</v>
      </c>
      <c r="O441" s="74" t="s">
        <v>402</v>
      </c>
      <c r="P441" s="74" t="s">
        <v>13506</v>
      </c>
      <c r="Q441" s="74" t="s">
        <v>13507</v>
      </c>
    </row>
    <row r="442" spans="3:17" x14ac:dyDescent="0.25">
      <c r="C442" s="74" t="s">
        <v>3693</v>
      </c>
      <c r="D442" s="74" t="s">
        <v>3694</v>
      </c>
      <c r="E442" s="74"/>
      <c r="F442" s="74">
        <v>4.1100000000000003</v>
      </c>
      <c r="G442" s="74"/>
      <c r="H442" s="74"/>
      <c r="I442" s="74" t="s">
        <v>391</v>
      </c>
      <c r="J442" s="74"/>
      <c r="K442" s="74">
        <v>102.4</v>
      </c>
      <c r="L442" s="74">
        <v>92.16</v>
      </c>
      <c r="M442" s="74"/>
      <c r="N442" s="74" t="s">
        <v>392</v>
      </c>
      <c r="O442" s="74" t="s">
        <v>402</v>
      </c>
      <c r="P442" s="74" t="s">
        <v>3695</v>
      </c>
      <c r="Q442" s="74" t="s">
        <v>3696</v>
      </c>
    </row>
    <row r="443" spans="3:17" x14ac:dyDescent="0.25">
      <c r="C443" s="74" t="s">
        <v>11179</v>
      </c>
      <c r="D443" s="74" t="s">
        <v>11180</v>
      </c>
      <c r="E443" s="74"/>
      <c r="F443" s="74">
        <v>4.1100000000000003</v>
      </c>
      <c r="G443" s="74"/>
      <c r="H443" s="74"/>
      <c r="I443" s="74" t="s">
        <v>391</v>
      </c>
      <c r="J443" s="74"/>
      <c r="K443" s="74">
        <v>102.4</v>
      </c>
      <c r="L443" s="74">
        <v>92.16</v>
      </c>
      <c r="M443" s="74"/>
      <c r="N443" s="74" t="s">
        <v>392</v>
      </c>
      <c r="O443" s="74" t="s">
        <v>402</v>
      </c>
      <c r="P443" s="74" t="s">
        <v>11181</v>
      </c>
      <c r="Q443" s="74" t="s">
        <v>11182</v>
      </c>
    </row>
    <row r="444" spans="3:17" x14ac:dyDescent="0.25">
      <c r="C444" s="74" t="s">
        <v>4073</v>
      </c>
      <c r="D444" s="74" t="s">
        <v>4074</v>
      </c>
      <c r="E444" s="74"/>
      <c r="F444" s="74">
        <v>4.0999999999999996</v>
      </c>
      <c r="G444" s="74"/>
      <c r="H444" s="74"/>
      <c r="I444" s="74" t="s">
        <v>391</v>
      </c>
      <c r="J444" s="74"/>
      <c r="K444" s="74">
        <v>102.4</v>
      </c>
      <c r="L444" s="74">
        <v>92.16</v>
      </c>
      <c r="M444" s="74"/>
      <c r="N444" s="74" t="s">
        <v>392</v>
      </c>
      <c r="O444" s="74" t="s">
        <v>402</v>
      </c>
      <c r="P444" s="74" t="s">
        <v>4075</v>
      </c>
      <c r="Q444" s="74" t="s">
        <v>4076</v>
      </c>
    </row>
    <row r="445" spans="3:17" x14ac:dyDescent="0.25">
      <c r="C445" s="74" t="s">
        <v>991</v>
      </c>
      <c r="D445" s="74" t="s">
        <v>992</v>
      </c>
      <c r="E445" s="74"/>
      <c r="F445" s="74">
        <v>4.08</v>
      </c>
      <c r="G445" s="74"/>
      <c r="H445" s="74"/>
      <c r="I445" s="74" t="s">
        <v>391</v>
      </c>
      <c r="J445" s="74"/>
      <c r="K445" s="74">
        <v>102.4</v>
      </c>
      <c r="L445" s="74">
        <v>92.16</v>
      </c>
      <c r="M445" s="74"/>
      <c r="N445" s="74" t="s">
        <v>392</v>
      </c>
      <c r="O445" s="74" t="s">
        <v>402</v>
      </c>
      <c r="P445" s="74" t="s">
        <v>993</v>
      </c>
      <c r="Q445" s="74" t="s">
        <v>994</v>
      </c>
    </row>
    <row r="446" spans="3:17" x14ac:dyDescent="0.25">
      <c r="C446" s="74" t="s">
        <v>17984</v>
      </c>
      <c r="D446" s="74" t="s">
        <v>17985</v>
      </c>
      <c r="E446" s="74"/>
      <c r="F446" s="74">
        <v>4.08</v>
      </c>
      <c r="G446" s="74"/>
      <c r="H446" s="74"/>
      <c r="I446" s="74" t="s">
        <v>391</v>
      </c>
      <c r="J446" s="74"/>
      <c r="K446" s="74">
        <v>102.4</v>
      </c>
      <c r="L446" s="74">
        <v>92.16</v>
      </c>
      <c r="M446" s="74"/>
      <c r="N446" s="74" t="s">
        <v>392</v>
      </c>
      <c r="O446" s="74" t="s">
        <v>402</v>
      </c>
      <c r="P446" s="74" t="s">
        <v>17986</v>
      </c>
      <c r="Q446" s="74" t="s">
        <v>17987</v>
      </c>
    </row>
    <row r="447" spans="3:17" x14ac:dyDescent="0.25">
      <c r="C447" s="74" t="s">
        <v>12713</v>
      </c>
      <c r="D447" s="74" t="s">
        <v>12714</v>
      </c>
      <c r="E447" s="74"/>
      <c r="F447" s="74">
        <v>4.07</v>
      </c>
      <c r="G447" s="74"/>
      <c r="H447" s="74"/>
      <c r="I447" s="74" t="s">
        <v>391</v>
      </c>
      <c r="J447" s="74"/>
      <c r="K447" s="74">
        <v>102.4</v>
      </c>
      <c r="L447" s="74">
        <v>92.16</v>
      </c>
      <c r="M447" s="74"/>
      <c r="N447" s="74" t="s">
        <v>392</v>
      </c>
      <c r="O447" s="74" t="s">
        <v>402</v>
      </c>
      <c r="P447" s="74" t="s">
        <v>12715</v>
      </c>
      <c r="Q447" s="74" t="s">
        <v>12716</v>
      </c>
    </row>
    <row r="448" spans="3:17" x14ac:dyDescent="0.25">
      <c r="C448" s="74" t="s">
        <v>10888</v>
      </c>
      <c r="D448" s="74" t="s">
        <v>10889</v>
      </c>
      <c r="E448" s="74"/>
      <c r="F448" s="74">
        <v>4.05</v>
      </c>
      <c r="G448" s="74"/>
      <c r="H448" s="74"/>
      <c r="I448" s="74" t="s">
        <v>391</v>
      </c>
      <c r="J448" s="74"/>
      <c r="K448" s="74">
        <v>102.4</v>
      </c>
      <c r="L448" s="74">
        <v>92.16</v>
      </c>
      <c r="M448" s="74"/>
      <c r="N448" s="74" t="s">
        <v>392</v>
      </c>
      <c r="O448" s="74" t="s">
        <v>402</v>
      </c>
      <c r="P448" s="74" t="s">
        <v>10890</v>
      </c>
      <c r="Q448" s="74" t="s">
        <v>10891</v>
      </c>
    </row>
    <row r="449" spans="3:17" x14ac:dyDescent="0.25">
      <c r="C449" s="74" t="s">
        <v>1900</v>
      </c>
      <c r="D449" s="74" t="s">
        <v>1901</v>
      </c>
      <c r="E449" s="74"/>
      <c r="F449" s="74">
        <v>4.04</v>
      </c>
      <c r="G449" s="74"/>
      <c r="H449" s="74"/>
      <c r="I449" s="74" t="s">
        <v>391</v>
      </c>
      <c r="J449" s="74"/>
      <c r="K449" s="74">
        <v>102.4</v>
      </c>
      <c r="L449" s="74">
        <v>92.16</v>
      </c>
      <c r="M449" s="74"/>
      <c r="N449" s="74" t="s">
        <v>392</v>
      </c>
      <c r="O449" s="74" t="s">
        <v>402</v>
      </c>
      <c r="P449" s="74" t="s">
        <v>1902</v>
      </c>
      <c r="Q449" s="74" t="s">
        <v>1903</v>
      </c>
    </row>
    <row r="450" spans="3:17" x14ac:dyDescent="0.25">
      <c r="C450" s="74" t="s">
        <v>12140</v>
      </c>
      <c r="D450" s="74" t="s">
        <v>12141</v>
      </c>
      <c r="E450" s="74"/>
      <c r="F450" s="74">
        <v>4.03</v>
      </c>
      <c r="G450" s="74"/>
      <c r="H450" s="74"/>
      <c r="I450" s="74" t="s">
        <v>391</v>
      </c>
      <c r="J450" s="74"/>
      <c r="K450" s="74">
        <v>102.4</v>
      </c>
      <c r="L450" s="74">
        <v>92.16</v>
      </c>
      <c r="M450" s="74"/>
      <c r="N450" s="74" t="s">
        <v>392</v>
      </c>
      <c r="O450" s="74" t="s">
        <v>402</v>
      </c>
      <c r="P450" s="74" t="s">
        <v>12142</v>
      </c>
      <c r="Q450" s="74" t="s">
        <v>12143</v>
      </c>
    </row>
    <row r="451" spans="3:17" x14ac:dyDescent="0.25">
      <c r="C451" s="74" t="s">
        <v>17514</v>
      </c>
      <c r="D451" s="74" t="s">
        <v>17515</v>
      </c>
      <c r="E451" s="74"/>
      <c r="F451" s="74">
        <v>4.03</v>
      </c>
      <c r="G451" s="74"/>
      <c r="H451" s="74"/>
      <c r="I451" s="74" t="s">
        <v>391</v>
      </c>
      <c r="J451" s="74"/>
      <c r="K451" s="74">
        <v>102.4</v>
      </c>
      <c r="L451" s="74">
        <v>92.16</v>
      </c>
      <c r="M451" s="74"/>
      <c r="N451" s="74" t="s">
        <v>392</v>
      </c>
      <c r="O451" s="74" t="s">
        <v>402</v>
      </c>
      <c r="P451" s="74" t="s">
        <v>17516</v>
      </c>
      <c r="Q451" s="74" t="s">
        <v>17517</v>
      </c>
    </row>
    <row r="452" spans="3:17" x14ac:dyDescent="0.25">
      <c r="C452" s="74" t="s">
        <v>1644</v>
      </c>
      <c r="D452" s="74" t="s">
        <v>1645</v>
      </c>
      <c r="E452" s="74"/>
      <c r="F452" s="74">
        <v>4.0199999999999996</v>
      </c>
      <c r="G452" s="74"/>
      <c r="H452" s="74"/>
      <c r="I452" s="74" t="s">
        <v>391</v>
      </c>
      <c r="J452" s="74"/>
      <c r="K452" s="74">
        <v>102.4</v>
      </c>
      <c r="L452" s="74">
        <v>92.16</v>
      </c>
      <c r="M452" s="74"/>
      <c r="N452" s="74" t="s">
        <v>392</v>
      </c>
      <c r="O452" s="74" t="s">
        <v>402</v>
      </c>
      <c r="P452" s="74" t="s">
        <v>1646</v>
      </c>
      <c r="Q452" s="74" t="s">
        <v>1647</v>
      </c>
    </row>
    <row r="453" spans="3:17" x14ac:dyDescent="0.25">
      <c r="C453" s="74" t="s">
        <v>6964</v>
      </c>
      <c r="D453" s="74" t="s">
        <v>6965</v>
      </c>
      <c r="E453" s="74"/>
      <c r="F453" s="74">
        <v>4.0199999999999996</v>
      </c>
      <c r="G453" s="74"/>
      <c r="H453" s="74"/>
      <c r="I453" s="74" t="s">
        <v>391</v>
      </c>
      <c r="J453" s="74"/>
      <c r="K453" s="74">
        <v>102.4</v>
      </c>
      <c r="L453" s="74">
        <v>92.16</v>
      </c>
      <c r="M453" s="74"/>
      <c r="N453" s="74" t="s">
        <v>392</v>
      </c>
      <c r="O453" s="74" t="s">
        <v>402</v>
      </c>
      <c r="P453" s="74" t="s">
        <v>6966</v>
      </c>
      <c r="Q453" s="74" t="s">
        <v>6967</v>
      </c>
    </row>
    <row r="454" spans="3:17" x14ac:dyDescent="0.25">
      <c r="C454" s="74" t="s">
        <v>7004</v>
      </c>
      <c r="D454" s="74" t="s">
        <v>7005</v>
      </c>
      <c r="E454" s="74"/>
      <c r="F454" s="74">
        <v>4.0199999999999996</v>
      </c>
      <c r="G454" s="74"/>
      <c r="H454" s="74"/>
      <c r="I454" s="74" t="s">
        <v>391</v>
      </c>
      <c r="J454" s="74"/>
      <c r="K454" s="74">
        <v>102.4</v>
      </c>
      <c r="L454" s="74">
        <v>92.16</v>
      </c>
      <c r="M454" s="74"/>
      <c r="N454" s="74" t="s">
        <v>392</v>
      </c>
      <c r="O454" s="74" t="s">
        <v>402</v>
      </c>
      <c r="P454" s="74" t="s">
        <v>7006</v>
      </c>
      <c r="Q454" s="74" t="s">
        <v>7007</v>
      </c>
    </row>
    <row r="455" spans="3:17" x14ac:dyDescent="0.25">
      <c r="C455" s="74" t="s">
        <v>19105</v>
      </c>
      <c r="D455" s="74" t="s">
        <v>19106</v>
      </c>
      <c r="E455" s="74"/>
      <c r="F455" s="74">
        <v>4.0199999999999996</v>
      </c>
      <c r="G455" s="74"/>
      <c r="H455" s="74"/>
      <c r="I455" s="74" t="s">
        <v>391</v>
      </c>
      <c r="J455" s="74"/>
      <c r="K455" s="74">
        <v>102.4</v>
      </c>
      <c r="L455" s="74">
        <v>92.16</v>
      </c>
      <c r="M455" s="74"/>
      <c r="N455" s="74" t="s">
        <v>392</v>
      </c>
      <c r="O455" s="74" t="s">
        <v>402</v>
      </c>
      <c r="P455" s="74" t="s">
        <v>19107</v>
      </c>
      <c r="Q455" s="74" t="s">
        <v>19108</v>
      </c>
    </row>
    <row r="456" spans="3:17" x14ac:dyDescent="0.25">
      <c r="C456" s="74" t="s">
        <v>6666</v>
      </c>
      <c r="D456" s="74" t="s">
        <v>6667</v>
      </c>
      <c r="E456" s="74"/>
      <c r="F456" s="74">
        <v>4.01</v>
      </c>
      <c r="G456" s="74"/>
      <c r="H456" s="74"/>
      <c r="I456" s="74" t="s">
        <v>391</v>
      </c>
      <c r="J456" s="74"/>
      <c r="K456" s="74">
        <v>102.4</v>
      </c>
      <c r="L456" s="74">
        <v>92.16</v>
      </c>
      <c r="M456" s="74"/>
      <c r="N456" s="74" t="s">
        <v>392</v>
      </c>
      <c r="O456" s="74" t="s">
        <v>402</v>
      </c>
      <c r="P456" s="74" t="s">
        <v>6668</v>
      </c>
      <c r="Q456" s="74" t="s">
        <v>6669</v>
      </c>
    </row>
    <row r="457" spans="3:17" x14ac:dyDescent="0.25">
      <c r="C457" s="74" t="s">
        <v>1651</v>
      </c>
      <c r="D457" s="74" t="s">
        <v>1652</v>
      </c>
      <c r="E457" s="74"/>
      <c r="F457" s="74">
        <v>4</v>
      </c>
      <c r="G457" s="74"/>
      <c r="H457" s="74"/>
      <c r="I457" s="74" t="s">
        <v>391</v>
      </c>
      <c r="J457" s="74"/>
      <c r="K457" s="74">
        <v>102.4</v>
      </c>
      <c r="L457" s="74">
        <v>92.16</v>
      </c>
      <c r="M457" s="74"/>
      <c r="N457" s="74" t="s">
        <v>392</v>
      </c>
      <c r="O457" s="74" t="s">
        <v>402</v>
      </c>
      <c r="P457" s="74" t="s">
        <v>1653</v>
      </c>
      <c r="Q457" s="74" t="s">
        <v>1654</v>
      </c>
    </row>
    <row r="458" spans="3:17" x14ac:dyDescent="0.25">
      <c r="C458" s="74" t="s">
        <v>9661</v>
      </c>
      <c r="D458" s="74" t="s">
        <v>9662</v>
      </c>
      <c r="E458" s="74"/>
      <c r="F458" s="74">
        <v>4</v>
      </c>
      <c r="G458" s="74"/>
      <c r="H458" s="74"/>
      <c r="I458" s="74" t="s">
        <v>391</v>
      </c>
      <c r="J458" s="74"/>
      <c r="K458" s="74">
        <v>102.4</v>
      </c>
      <c r="L458" s="74">
        <v>92.16</v>
      </c>
      <c r="M458" s="74"/>
      <c r="N458" s="74" t="s">
        <v>392</v>
      </c>
      <c r="O458" s="74" t="s">
        <v>402</v>
      </c>
      <c r="P458" s="74" t="s">
        <v>9663</v>
      </c>
      <c r="Q458" s="74" t="s">
        <v>9664</v>
      </c>
    </row>
    <row r="459" spans="3:17" x14ac:dyDescent="0.25">
      <c r="C459" s="74" t="s">
        <v>14718</v>
      </c>
      <c r="D459" s="74" t="s">
        <v>14719</v>
      </c>
      <c r="E459" s="74"/>
      <c r="F459" s="74">
        <v>4</v>
      </c>
      <c r="G459" s="74"/>
      <c r="H459" s="74"/>
      <c r="I459" s="74" t="s">
        <v>391</v>
      </c>
      <c r="J459" s="74"/>
      <c r="K459" s="74">
        <v>102.4</v>
      </c>
      <c r="L459" s="74">
        <v>92.16</v>
      </c>
      <c r="M459" s="74"/>
      <c r="N459" s="74" t="s">
        <v>392</v>
      </c>
      <c r="O459" s="74" t="s">
        <v>402</v>
      </c>
      <c r="P459" s="74" t="s">
        <v>14720</v>
      </c>
      <c r="Q459" s="74" t="s">
        <v>14721</v>
      </c>
    </row>
    <row r="460" spans="3:17" x14ac:dyDescent="0.25">
      <c r="C460" s="74" t="s">
        <v>20442</v>
      </c>
      <c r="D460" s="74" t="s">
        <v>20443</v>
      </c>
      <c r="E460" s="74"/>
      <c r="F460" s="74">
        <v>4</v>
      </c>
      <c r="G460" s="74"/>
      <c r="H460" s="74"/>
      <c r="I460" s="74" t="s">
        <v>391</v>
      </c>
      <c r="J460" s="74"/>
      <c r="K460" s="74">
        <v>102.4</v>
      </c>
      <c r="L460" s="74">
        <v>92.16</v>
      </c>
      <c r="M460" s="74"/>
      <c r="N460" s="74" t="s">
        <v>392</v>
      </c>
      <c r="O460" s="74" t="s">
        <v>402</v>
      </c>
      <c r="P460" s="74" t="s">
        <v>20444</v>
      </c>
      <c r="Q460" s="74" t="s">
        <v>20445</v>
      </c>
    </row>
    <row r="461" spans="3:17" x14ac:dyDescent="0.25">
      <c r="C461" s="74" t="s">
        <v>6701</v>
      </c>
      <c r="D461" s="74" t="s">
        <v>6702</v>
      </c>
      <c r="E461" s="74"/>
      <c r="F461" s="74">
        <v>3.99</v>
      </c>
      <c r="G461" s="74"/>
      <c r="H461" s="74"/>
      <c r="I461" s="74" t="s">
        <v>391</v>
      </c>
      <c r="J461" s="74"/>
      <c r="K461" s="74">
        <v>102.4</v>
      </c>
      <c r="L461" s="74">
        <v>92.16</v>
      </c>
      <c r="M461" s="74"/>
      <c r="N461" s="74" t="s">
        <v>392</v>
      </c>
      <c r="O461" s="74" t="s">
        <v>402</v>
      </c>
      <c r="P461" s="74" t="s">
        <v>6703</v>
      </c>
      <c r="Q461" s="74" t="s">
        <v>6704</v>
      </c>
    </row>
    <row r="462" spans="3:17" x14ac:dyDescent="0.25">
      <c r="C462" s="74" t="s">
        <v>7311</v>
      </c>
      <c r="D462" s="74" t="s">
        <v>7312</v>
      </c>
      <c r="E462" s="74"/>
      <c r="F462" s="74">
        <v>3.99</v>
      </c>
      <c r="G462" s="74"/>
      <c r="H462" s="74"/>
      <c r="I462" s="74" t="s">
        <v>391</v>
      </c>
      <c r="J462" s="74"/>
      <c r="K462" s="74">
        <v>102.4</v>
      </c>
      <c r="L462" s="74">
        <v>92.16</v>
      </c>
      <c r="M462" s="74"/>
      <c r="N462" s="74" t="s">
        <v>392</v>
      </c>
      <c r="O462" s="74" t="s">
        <v>402</v>
      </c>
      <c r="P462" s="74" t="s">
        <v>7313</v>
      </c>
      <c r="Q462" s="74" t="s">
        <v>7314</v>
      </c>
    </row>
    <row r="463" spans="3:17" x14ac:dyDescent="0.25">
      <c r="C463" s="74" t="s">
        <v>9806</v>
      </c>
      <c r="D463" s="74" t="s">
        <v>9807</v>
      </c>
      <c r="E463" s="74"/>
      <c r="F463" s="74">
        <v>3.99</v>
      </c>
      <c r="G463" s="74"/>
      <c r="H463" s="74"/>
      <c r="I463" s="74" t="s">
        <v>391</v>
      </c>
      <c r="J463" s="74"/>
      <c r="K463" s="74">
        <v>102.4</v>
      </c>
      <c r="L463" s="74">
        <v>92.16</v>
      </c>
      <c r="M463" s="74"/>
      <c r="N463" s="74" t="s">
        <v>392</v>
      </c>
      <c r="O463" s="74" t="s">
        <v>402</v>
      </c>
      <c r="P463" s="74" t="s">
        <v>9808</v>
      </c>
      <c r="Q463" s="74" t="s">
        <v>9809</v>
      </c>
    </row>
    <row r="464" spans="3:17" x14ac:dyDescent="0.25">
      <c r="C464" s="74" t="s">
        <v>813</v>
      </c>
      <c r="D464" s="74" t="s">
        <v>814</v>
      </c>
      <c r="E464" s="74"/>
      <c r="F464" s="74">
        <v>3.98</v>
      </c>
      <c r="G464" s="74"/>
      <c r="H464" s="74"/>
      <c r="I464" s="74" t="s">
        <v>391</v>
      </c>
      <c r="J464" s="74"/>
      <c r="K464" s="74">
        <v>102.4</v>
      </c>
      <c r="L464" s="74">
        <v>92.16</v>
      </c>
      <c r="M464" s="74"/>
      <c r="N464" s="74" t="s">
        <v>392</v>
      </c>
      <c r="O464" s="74" t="s">
        <v>402</v>
      </c>
      <c r="P464" s="74" t="s">
        <v>815</v>
      </c>
      <c r="Q464" s="74" t="s">
        <v>816</v>
      </c>
    </row>
    <row r="465" spans="3:17" x14ac:dyDescent="0.25">
      <c r="C465" s="74" t="s">
        <v>19069</v>
      </c>
      <c r="D465" s="74" t="s">
        <v>19070</v>
      </c>
      <c r="E465" s="74"/>
      <c r="F465" s="74">
        <v>3.98</v>
      </c>
      <c r="G465" s="74"/>
      <c r="H465" s="74"/>
      <c r="I465" s="74" t="s">
        <v>391</v>
      </c>
      <c r="J465" s="74"/>
      <c r="K465" s="74">
        <v>102.4</v>
      </c>
      <c r="L465" s="74">
        <v>92.16</v>
      </c>
      <c r="M465" s="74"/>
      <c r="N465" s="74" t="s">
        <v>392</v>
      </c>
      <c r="O465" s="74" t="s">
        <v>402</v>
      </c>
      <c r="P465" s="74" t="s">
        <v>19071</v>
      </c>
      <c r="Q465" s="74" t="s">
        <v>19072</v>
      </c>
    </row>
    <row r="466" spans="3:17" x14ac:dyDescent="0.25">
      <c r="C466" s="74" t="s">
        <v>2267</v>
      </c>
      <c r="D466" s="74" t="s">
        <v>2268</v>
      </c>
      <c r="E466" s="74"/>
      <c r="F466" s="74">
        <v>3.96</v>
      </c>
      <c r="G466" s="74"/>
      <c r="H466" s="74"/>
      <c r="I466" s="74" t="s">
        <v>391</v>
      </c>
      <c r="J466" s="74"/>
      <c r="K466" s="74">
        <v>102.4</v>
      </c>
      <c r="L466" s="74">
        <v>92.16</v>
      </c>
      <c r="M466" s="74"/>
      <c r="N466" s="74" t="s">
        <v>392</v>
      </c>
      <c r="O466" s="74" t="s">
        <v>402</v>
      </c>
      <c r="P466" s="74" t="s">
        <v>2269</v>
      </c>
      <c r="Q466" s="74" t="s">
        <v>2270</v>
      </c>
    </row>
    <row r="467" spans="3:17" x14ac:dyDescent="0.25">
      <c r="C467" s="74" t="s">
        <v>16396</v>
      </c>
      <c r="D467" s="74" t="s">
        <v>16397</v>
      </c>
      <c r="E467" s="74"/>
      <c r="F467" s="74">
        <v>3.94</v>
      </c>
      <c r="G467" s="74"/>
      <c r="H467" s="74"/>
      <c r="I467" s="74" t="s">
        <v>391</v>
      </c>
      <c r="J467" s="74"/>
      <c r="K467" s="74">
        <v>102.4</v>
      </c>
      <c r="L467" s="74">
        <v>92.16</v>
      </c>
      <c r="M467" s="74"/>
      <c r="N467" s="74" t="s">
        <v>392</v>
      </c>
      <c r="O467" s="74" t="s">
        <v>402</v>
      </c>
      <c r="P467" s="74" t="s">
        <v>16398</v>
      </c>
      <c r="Q467" s="74" t="s">
        <v>16399</v>
      </c>
    </row>
    <row r="468" spans="3:17" x14ac:dyDescent="0.25">
      <c r="C468" s="74" t="s">
        <v>6759</v>
      </c>
      <c r="D468" s="74" t="s">
        <v>6760</v>
      </c>
      <c r="E468" s="74"/>
      <c r="F468" s="74">
        <v>3.93</v>
      </c>
      <c r="G468" s="74"/>
      <c r="H468" s="74"/>
      <c r="I468" s="74" t="s">
        <v>391</v>
      </c>
      <c r="J468" s="74"/>
      <c r="K468" s="74">
        <v>102.4</v>
      </c>
      <c r="L468" s="74">
        <v>92.16</v>
      </c>
      <c r="M468" s="74"/>
      <c r="N468" s="74" t="s">
        <v>392</v>
      </c>
      <c r="O468" s="74" t="s">
        <v>402</v>
      </c>
      <c r="P468" s="74" t="s">
        <v>6761</v>
      </c>
      <c r="Q468" s="74" t="s">
        <v>6762</v>
      </c>
    </row>
    <row r="469" spans="3:17" x14ac:dyDescent="0.25">
      <c r="C469" s="74" t="s">
        <v>3582</v>
      </c>
      <c r="D469" s="74" t="s">
        <v>3583</v>
      </c>
      <c r="E469" s="74"/>
      <c r="F469" s="74">
        <v>3.92</v>
      </c>
      <c r="G469" s="74"/>
      <c r="H469" s="74"/>
      <c r="I469" s="74" t="s">
        <v>391</v>
      </c>
      <c r="J469" s="74"/>
      <c r="K469" s="74">
        <v>102.4</v>
      </c>
      <c r="L469" s="74">
        <v>92.16</v>
      </c>
      <c r="M469" s="74"/>
      <c r="N469" s="74" t="s">
        <v>392</v>
      </c>
      <c r="O469" s="74" t="s">
        <v>402</v>
      </c>
      <c r="P469" s="74" t="s">
        <v>3584</v>
      </c>
      <c r="Q469" s="74" t="s">
        <v>3585</v>
      </c>
    </row>
    <row r="470" spans="3:17" x14ac:dyDescent="0.25">
      <c r="C470" s="74" t="s">
        <v>5327</v>
      </c>
      <c r="D470" s="74" t="s">
        <v>5328</v>
      </c>
      <c r="E470" s="74"/>
      <c r="F470" s="74">
        <v>3.92</v>
      </c>
      <c r="G470" s="74"/>
      <c r="H470" s="74"/>
      <c r="I470" s="74" t="s">
        <v>391</v>
      </c>
      <c r="J470" s="74"/>
      <c r="K470" s="74">
        <v>102.4</v>
      </c>
      <c r="L470" s="74">
        <v>92.16</v>
      </c>
      <c r="M470" s="74"/>
      <c r="N470" s="74" t="s">
        <v>392</v>
      </c>
      <c r="O470" s="74" t="s">
        <v>402</v>
      </c>
      <c r="P470" s="74" t="s">
        <v>5329</v>
      </c>
      <c r="Q470" s="74" t="s">
        <v>5330</v>
      </c>
    </row>
    <row r="471" spans="3:17" x14ac:dyDescent="0.25">
      <c r="C471" s="74" t="s">
        <v>6293</v>
      </c>
      <c r="D471" s="74" t="s">
        <v>6294</v>
      </c>
      <c r="E471" s="74"/>
      <c r="F471" s="74">
        <v>3.92</v>
      </c>
      <c r="G471" s="74"/>
      <c r="H471" s="74"/>
      <c r="I471" s="74" t="s">
        <v>391</v>
      </c>
      <c r="J471" s="74"/>
      <c r="K471" s="74">
        <v>102.4</v>
      </c>
      <c r="L471" s="74">
        <v>92.16</v>
      </c>
      <c r="M471" s="74"/>
      <c r="N471" s="74" t="s">
        <v>392</v>
      </c>
      <c r="O471" s="74" t="s">
        <v>402</v>
      </c>
      <c r="P471" s="74" t="s">
        <v>6295</v>
      </c>
      <c r="Q471" s="74" t="s">
        <v>6296</v>
      </c>
    </row>
    <row r="472" spans="3:17" x14ac:dyDescent="0.25">
      <c r="C472" s="74" t="s">
        <v>12249</v>
      </c>
      <c r="D472" s="74" t="s">
        <v>12250</v>
      </c>
      <c r="E472" s="74"/>
      <c r="F472" s="74">
        <v>3.91</v>
      </c>
      <c r="G472" s="74"/>
      <c r="H472" s="74"/>
      <c r="I472" s="74" t="s">
        <v>391</v>
      </c>
      <c r="J472" s="74"/>
      <c r="K472" s="74">
        <v>102.4</v>
      </c>
      <c r="L472" s="74">
        <v>92.16</v>
      </c>
      <c r="M472" s="74"/>
      <c r="N472" s="74" t="s">
        <v>392</v>
      </c>
      <c r="O472" s="74" t="s">
        <v>402</v>
      </c>
      <c r="P472" s="74" t="s">
        <v>12251</v>
      </c>
      <c r="Q472" s="74" t="s">
        <v>12252</v>
      </c>
    </row>
    <row r="473" spans="3:17" x14ac:dyDescent="0.25">
      <c r="C473" s="74" t="s">
        <v>1037</v>
      </c>
      <c r="D473" s="74" t="s">
        <v>1038</v>
      </c>
      <c r="E473" s="74"/>
      <c r="F473" s="74">
        <v>3.89</v>
      </c>
      <c r="G473" s="74"/>
      <c r="H473" s="74"/>
      <c r="I473" s="74" t="s">
        <v>391</v>
      </c>
      <c r="J473" s="74"/>
      <c r="K473" s="74">
        <v>102.4</v>
      </c>
      <c r="L473" s="74">
        <v>92.16</v>
      </c>
      <c r="M473" s="74"/>
      <c r="N473" s="74" t="s">
        <v>392</v>
      </c>
      <c r="O473" s="74" t="s">
        <v>402</v>
      </c>
      <c r="P473" s="74" t="s">
        <v>1039</v>
      </c>
      <c r="Q473" s="74" t="s">
        <v>1040</v>
      </c>
    </row>
    <row r="474" spans="3:17" x14ac:dyDescent="0.25">
      <c r="C474" s="74" t="s">
        <v>5335</v>
      </c>
      <c r="D474" s="74" t="s">
        <v>5336</v>
      </c>
      <c r="E474" s="74"/>
      <c r="F474" s="74">
        <v>3.88</v>
      </c>
      <c r="G474" s="74"/>
      <c r="H474" s="74"/>
      <c r="I474" s="74" t="s">
        <v>391</v>
      </c>
      <c r="J474" s="74"/>
      <c r="K474" s="74">
        <v>102.4</v>
      </c>
      <c r="L474" s="74">
        <v>92.16</v>
      </c>
      <c r="M474" s="74"/>
      <c r="N474" s="74" t="s">
        <v>392</v>
      </c>
      <c r="O474" s="74" t="s">
        <v>402</v>
      </c>
      <c r="P474" s="74" t="s">
        <v>5337</v>
      </c>
      <c r="Q474" s="74" t="s">
        <v>5338</v>
      </c>
    </row>
    <row r="475" spans="3:17" x14ac:dyDescent="0.25">
      <c r="C475" s="74" t="s">
        <v>6281</v>
      </c>
      <c r="D475" s="74" t="s">
        <v>6282</v>
      </c>
      <c r="E475" s="74"/>
      <c r="F475" s="74">
        <v>3.88</v>
      </c>
      <c r="G475" s="74"/>
      <c r="H475" s="74"/>
      <c r="I475" s="74" t="s">
        <v>391</v>
      </c>
      <c r="J475" s="74"/>
      <c r="K475" s="74">
        <v>102.4</v>
      </c>
      <c r="L475" s="74">
        <v>92.16</v>
      </c>
      <c r="M475" s="74"/>
      <c r="N475" s="74" t="s">
        <v>392</v>
      </c>
      <c r="O475" s="74" t="s">
        <v>402</v>
      </c>
      <c r="P475" s="74" t="s">
        <v>6283</v>
      </c>
      <c r="Q475" s="74" t="s">
        <v>6284</v>
      </c>
    </row>
    <row r="476" spans="3:17" x14ac:dyDescent="0.25">
      <c r="C476" s="74" t="s">
        <v>19734</v>
      </c>
      <c r="D476" s="74" t="s">
        <v>19735</v>
      </c>
      <c r="E476" s="74"/>
      <c r="F476" s="74">
        <v>3.88</v>
      </c>
      <c r="G476" s="74"/>
      <c r="H476" s="74"/>
      <c r="I476" s="74" t="s">
        <v>391</v>
      </c>
      <c r="J476" s="74"/>
      <c r="K476" s="74">
        <v>102.4</v>
      </c>
      <c r="L476" s="74">
        <v>92.16</v>
      </c>
      <c r="M476" s="74"/>
      <c r="N476" s="74" t="s">
        <v>392</v>
      </c>
      <c r="O476" s="74" t="s">
        <v>402</v>
      </c>
      <c r="P476" s="74" t="s">
        <v>19736</v>
      </c>
      <c r="Q476" s="74" t="s">
        <v>19737</v>
      </c>
    </row>
    <row r="477" spans="3:17" x14ac:dyDescent="0.25">
      <c r="C477" s="74" t="s">
        <v>12270</v>
      </c>
      <c r="D477" s="74" t="s">
        <v>12271</v>
      </c>
      <c r="E477" s="74"/>
      <c r="F477" s="74">
        <v>3.87</v>
      </c>
      <c r="G477" s="74"/>
      <c r="H477" s="74"/>
      <c r="I477" s="74" t="s">
        <v>391</v>
      </c>
      <c r="J477" s="74"/>
      <c r="K477" s="74">
        <v>102.4</v>
      </c>
      <c r="L477" s="74">
        <v>92.16</v>
      </c>
      <c r="M477" s="74"/>
      <c r="N477" s="74" t="s">
        <v>392</v>
      </c>
      <c r="O477" s="74" t="s">
        <v>402</v>
      </c>
      <c r="P477" s="74" t="s">
        <v>12272</v>
      </c>
      <c r="Q477" s="74" t="s">
        <v>12273</v>
      </c>
    </row>
    <row r="478" spans="3:17" x14ac:dyDescent="0.25">
      <c r="C478" s="74" t="s">
        <v>20675</v>
      </c>
      <c r="D478" s="74" t="s">
        <v>20676</v>
      </c>
      <c r="E478" s="74"/>
      <c r="F478" s="74">
        <v>3.83</v>
      </c>
      <c r="G478" s="74"/>
      <c r="H478" s="74"/>
      <c r="I478" s="74" t="s">
        <v>391</v>
      </c>
      <c r="J478" s="74"/>
      <c r="K478" s="74">
        <v>102.4</v>
      </c>
      <c r="L478" s="74">
        <v>92.16</v>
      </c>
      <c r="M478" s="74"/>
      <c r="N478" s="74" t="s">
        <v>392</v>
      </c>
      <c r="O478" s="74" t="s">
        <v>402</v>
      </c>
      <c r="P478" s="74" t="s">
        <v>20677</v>
      </c>
      <c r="Q478" s="74" t="s">
        <v>20678</v>
      </c>
    </row>
    <row r="479" spans="3:17" x14ac:dyDescent="0.25">
      <c r="C479" s="74" t="s">
        <v>19254</v>
      </c>
      <c r="D479" s="74" t="s">
        <v>19255</v>
      </c>
      <c r="E479" s="74"/>
      <c r="F479" s="74">
        <v>3.82</v>
      </c>
      <c r="G479" s="74"/>
      <c r="H479" s="74"/>
      <c r="I479" s="74" t="s">
        <v>391</v>
      </c>
      <c r="J479" s="74"/>
      <c r="K479" s="74">
        <v>102.4</v>
      </c>
      <c r="L479" s="74">
        <v>92.16</v>
      </c>
      <c r="M479" s="74"/>
      <c r="N479" s="74" t="s">
        <v>392</v>
      </c>
      <c r="O479" s="74" t="s">
        <v>402</v>
      </c>
      <c r="P479" s="74" t="s">
        <v>19256</v>
      </c>
      <c r="Q479" s="74" t="s">
        <v>19257</v>
      </c>
    </row>
    <row r="480" spans="3:17" x14ac:dyDescent="0.25">
      <c r="C480" s="74" t="s">
        <v>20703</v>
      </c>
      <c r="D480" s="74" t="s">
        <v>20704</v>
      </c>
      <c r="E480" s="74"/>
      <c r="F480" s="74">
        <v>3.82</v>
      </c>
      <c r="G480" s="74"/>
      <c r="H480" s="74"/>
      <c r="I480" s="74" t="s">
        <v>391</v>
      </c>
      <c r="J480" s="74"/>
      <c r="K480" s="74">
        <v>102.4</v>
      </c>
      <c r="L480" s="74">
        <v>92.16</v>
      </c>
      <c r="M480" s="74"/>
      <c r="N480" s="74" t="s">
        <v>392</v>
      </c>
      <c r="O480" s="74" t="s">
        <v>402</v>
      </c>
      <c r="P480" s="74" t="s">
        <v>20705</v>
      </c>
      <c r="Q480" s="74" t="s">
        <v>20706</v>
      </c>
    </row>
    <row r="481" spans="3:17" x14ac:dyDescent="0.25">
      <c r="C481" s="74" t="s">
        <v>6635</v>
      </c>
      <c r="D481" s="74" t="s">
        <v>6636</v>
      </c>
      <c r="E481" s="74"/>
      <c r="F481" s="74">
        <v>3.81</v>
      </c>
      <c r="G481" s="74"/>
      <c r="H481" s="74"/>
      <c r="I481" s="74" t="s">
        <v>391</v>
      </c>
      <c r="J481" s="74"/>
      <c r="K481" s="74">
        <v>102.4</v>
      </c>
      <c r="L481" s="74">
        <v>92.16</v>
      </c>
      <c r="M481" s="74"/>
      <c r="N481" s="74" t="s">
        <v>392</v>
      </c>
      <c r="O481" s="74" t="s">
        <v>402</v>
      </c>
      <c r="P481" s="74" t="s">
        <v>6637</v>
      </c>
      <c r="Q481" s="74" t="s">
        <v>6638</v>
      </c>
    </row>
    <row r="482" spans="3:17" x14ac:dyDescent="0.25">
      <c r="C482" s="74" t="s">
        <v>9383</v>
      </c>
      <c r="D482" s="74" t="s">
        <v>9384</v>
      </c>
      <c r="E482" s="74"/>
      <c r="F482" s="74">
        <v>3.8</v>
      </c>
      <c r="G482" s="74"/>
      <c r="H482" s="74"/>
      <c r="I482" s="74" t="s">
        <v>391</v>
      </c>
      <c r="J482" s="74"/>
      <c r="K482" s="74">
        <v>102.4</v>
      </c>
      <c r="L482" s="74">
        <v>92.16</v>
      </c>
      <c r="M482" s="74"/>
      <c r="N482" s="74" t="s">
        <v>392</v>
      </c>
      <c r="O482" s="74" t="s">
        <v>402</v>
      </c>
      <c r="P482" s="74" t="s">
        <v>9385</v>
      </c>
      <c r="Q482" s="74" t="s">
        <v>9386</v>
      </c>
    </row>
    <row r="483" spans="3:17" x14ac:dyDescent="0.25">
      <c r="C483" s="74" t="s">
        <v>14088</v>
      </c>
      <c r="D483" s="74" t="s">
        <v>14089</v>
      </c>
      <c r="E483" s="74"/>
      <c r="F483" s="74">
        <v>3.8</v>
      </c>
      <c r="G483" s="74"/>
      <c r="H483" s="74"/>
      <c r="I483" s="74" t="s">
        <v>391</v>
      </c>
      <c r="J483" s="74"/>
      <c r="K483" s="74">
        <v>102.4</v>
      </c>
      <c r="L483" s="74">
        <v>92.16</v>
      </c>
      <c r="M483" s="74"/>
      <c r="N483" s="74" t="s">
        <v>392</v>
      </c>
      <c r="O483" s="74" t="s">
        <v>402</v>
      </c>
      <c r="P483" s="74" t="s">
        <v>14090</v>
      </c>
      <c r="Q483" s="74" t="s">
        <v>14091</v>
      </c>
    </row>
    <row r="484" spans="3:17" x14ac:dyDescent="0.25">
      <c r="C484" s="74" t="s">
        <v>17224</v>
      </c>
      <c r="D484" s="74" t="s">
        <v>17225</v>
      </c>
      <c r="E484" s="74"/>
      <c r="F484" s="74">
        <v>3.77</v>
      </c>
      <c r="G484" s="74"/>
      <c r="H484" s="74"/>
      <c r="I484" s="74" t="s">
        <v>391</v>
      </c>
      <c r="J484" s="74"/>
      <c r="K484" s="74">
        <v>102.4</v>
      </c>
      <c r="L484" s="74">
        <v>92.16</v>
      </c>
      <c r="M484" s="74"/>
      <c r="N484" s="74" t="s">
        <v>392</v>
      </c>
      <c r="O484" s="74" t="s">
        <v>402</v>
      </c>
      <c r="P484" s="74" t="s">
        <v>17226</v>
      </c>
      <c r="Q484" s="74" t="s">
        <v>17227</v>
      </c>
    </row>
    <row r="485" spans="3:17" x14ac:dyDescent="0.25">
      <c r="C485" s="74" t="s">
        <v>8749</v>
      </c>
      <c r="D485" s="74" t="s">
        <v>8750</v>
      </c>
      <c r="E485" s="74"/>
      <c r="F485" s="74">
        <v>3.76</v>
      </c>
      <c r="G485" s="74"/>
      <c r="H485" s="74"/>
      <c r="I485" s="74" t="s">
        <v>391</v>
      </c>
      <c r="J485" s="74"/>
      <c r="K485" s="74">
        <v>102.4</v>
      </c>
      <c r="L485" s="74">
        <v>92.16</v>
      </c>
      <c r="M485" s="74"/>
      <c r="N485" s="74" t="s">
        <v>392</v>
      </c>
      <c r="O485" s="74" t="s">
        <v>402</v>
      </c>
      <c r="P485" s="74" t="s">
        <v>8751</v>
      </c>
      <c r="Q485" s="74" t="s">
        <v>8752</v>
      </c>
    </row>
    <row r="486" spans="3:17" x14ac:dyDescent="0.25">
      <c r="C486" s="74" t="s">
        <v>1767</v>
      </c>
      <c r="D486" s="74" t="s">
        <v>1768</v>
      </c>
      <c r="E486" s="74"/>
      <c r="F486" s="74">
        <v>3.75</v>
      </c>
      <c r="G486" s="74"/>
      <c r="H486" s="74"/>
      <c r="I486" s="74" t="s">
        <v>391</v>
      </c>
      <c r="J486" s="74"/>
      <c r="K486" s="74">
        <v>102.4</v>
      </c>
      <c r="L486" s="74">
        <v>92.16</v>
      </c>
      <c r="M486" s="74"/>
      <c r="N486" s="74" t="s">
        <v>392</v>
      </c>
      <c r="O486" s="74" t="s">
        <v>402</v>
      </c>
      <c r="P486" s="74" t="s">
        <v>1769</v>
      </c>
      <c r="Q486" s="74" t="s">
        <v>1770</v>
      </c>
    </row>
    <row r="487" spans="3:17" x14ac:dyDescent="0.25">
      <c r="C487" s="74" t="s">
        <v>5137</v>
      </c>
      <c r="D487" s="74" t="s">
        <v>5138</v>
      </c>
      <c r="E487" s="74"/>
      <c r="F487" s="74">
        <v>3.74</v>
      </c>
      <c r="G487" s="74"/>
      <c r="H487" s="74"/>
      <c r="I487" s="74" t="s">
        <v>391</v>
      </c>
      <c r="J487" s="74"/>
      <c r="K487" s="74">
        <v>102.4</v>
      </c>
      <c r="L487" s="74">
        <v>92.16</v>
      </c>
      <c r="M487" s="74"/>
      <c r="N487" s="74" t="s">
        <v>392</v>
      </c>
      <c r="O487" s="74" t="s">
        <v>402</v>
      </c>
      <c r="P487" s="74" t="s">
        <v>5139</v>
      </c>
      <c r="Q487" s="74" t="s">
        <v>5140</v>
      </c>
    </row>
    <row r="488" spans="3:17" x14ac:dyDescent="0.25">
      <c r="C488" s="74" t="s">
        <v>12454</v>
      </c>
      <c r="D488" s="74" t="s">
        <v>12455</v>
      </c>
      <c r="E488" s="74"/>
      <c r="F488" s="74">
        <v>3.73</v>
      </c>
      <c r="G488" s="74"/>
      <c r="H488" s="74"/>
      <c r="I488" s="74" t="s">
        <v>391</v>
      </c>
      <c r="J488" s="74"/>
      <c r="K488" s="74">
        <v>102.4</v>
      </c>
      <c r="L488" s="74">
        <v>92.16</v>
      </c>
      <c r="M488" s="74"/>
      <c r="N488" s="74" t="s">
        <v>392</v>
      </c>
      <c r="O488" s="74" t="s">
        <v>402</v>
      </c>
      <c r="P488" s="74" t="s">
        <v>12456</v>
      </c>
      <c r="Q488" s="74" t="s">
        <v>12457</v>
      </c>
    </row>
    <row r="489" spans="3:17" x14ac:dyDescent="0.25">
      <c r="C489" s="74" t="s">
        <v>10045</v>
      </c>
      <c r="D489" s="74" t="s">
        <v>10046</v>
      </c>
      <c r="E489" s="74"/>
      <c r="F489" s="74">
        <v>3.71</v>
      </c>
      <c r="G489" s="74"/>
      <c r="H489" s="74"/>
      <c r="I489" s="74" t="s">
        <v>391</v>
      </c>
      <c r="J489" s="74"/>
      <c r="K489" s="74">
        <v>102.4</v>
      </c>
      <c r="L489" s="74">
        <v>92.16</v>
      </c>
      <c r="M489" s="74"/>
      <c r="N489" s="74" t="s">
        <v>392</v>
      </c>
      <c r="O489" s="74" t="s">
        <v>402</v>
      </c>
      <c r="P489" s="74" t="s">
        <v>10047</v>
      </c>
      <c r="Q489" s="74" t="s">
        <v>10048</v>
      </c>
    </row>
    <row r="490" spans="3:17" x14ac:dyDescent="0.25">
      <c r="C490" s="158" t="s">
        <v>21217</v>
      </c>
      <c r="D490" s="158" t="s">
        <v>21218</v>
      </c>
      <c r="E490" s="158" t="s">
        <v>391</v>
      </c>
      <c r="F490" s="158">
        <v>3.71</v>
      </c>
      <c r="I490" s="158" t="s">
        <v>391</v>
      </c>
      <c r="K490" s="158">
        <v>102.4</v>
      </c>
      <c r="L490" s="158">
        <v>92.16</v>
      </c>
      <c r="N490" s="158" t="s">
        <v>392</v>
      </c>
      <c r="O490" s="158" t="s">
        <v>402</v>
      </c>
      <c r="P490" s="158" t="s">
        <v>21219</v>
      </c>
      <c r="Q490" s="158" t="s">
        <v>21220</v>
      </c>
    </row>
    <row r="491" spans="3:17" x14ac:dyDescent="0.25">
      <c r="C491" s="74" t="s">
        <v>687</v>
      </c>
      <c r="D491" s="74" t="s">
        <v>688</v>
      </c>
      <c r="E491" s="74"/>
      <c r="F491" s="74">
        <v>3.69</v>
      </c>
      <c r="G491" s="74"/>
      <c r="H491" s="74"/>
      <c r="I491" s="74" t="s">
        <v>391</v>
      </c>
      <c r="J491" s="74"/>
      <c r="K491" s="74">
        <v>102.4</v>
      </c>
      <c r="L491" s="74">
        <v>92.16</v>
      </c>
      <c r="M491" s="74"/>
      <c r="N491" s="74" t="s">
        <v>392</v>
      </c>
      <c r="O491" s="74" t="s">
        <v>402</v>
      </c>
      <c r="P491" s="74" t="s">
        <v>689</v>
      </c>
      <c r="Q491" s="74" t="s">
        <v>690</v>
      </c>
    </row>
    <row r="492" spans="3:17" x14ac:dyDescent="0.25">
      <c r="C492" s="74" t="s">
        <v>17024</v>
      </c>
      <c r="D492" s="74" t="s">
        <v>17025</v>
      </c>
      <c r="E492" s="74"/>
      <c r="F492" s="74">
        <v>3.69</v>
      </c>
      <c r="G492" s="74"/>
      <c r="H492" s="74"/>
      <c r="I492" s="74" t="s">
        <v>391</v>
      </c>
      <c r="J492" s="74"/>
      <c r="K492" s="74">
        <v>102.4</v>
      </c>
      <c r="L492" s="74">
        <v>92.16</v>
      </c>
      <c r="M492" s="74"/>
      <c r="N492" s="74" t="s">
        <v>392</v>
      </c>
      <c r="O492" s="74" t="s">
        <v>402</v>
      </c>
      <c r="P492" s="74" t="s">
        <v>17026</v>
      </c>
      <c r="Q492" s="74" t="s">
        <v>17027</v>
      </c>
    </row>
    <row r="493" spans="3:17" x14ac:dyDescent="0.25">
      <c r="C493" s="74" t="s">
        <v>19548</v>
      </c>
      <c r="D493" s="74" t="s">
        <v>19549</v>
      </c>
      <c r="E493" s="74"/>
      <c r="F493" s="74">
        <v>3.69</v>
      </c>
      <c r="G493" s="74"/>
      <c r="H493" s="74"/>
      <c r="I493" s="74" t="s">
        <v>391</v>
      </c>
      <c r="J493" s="74"/>
      <c r="K493" s="74">
        <v>102.4</v>
      </c>
      <c r="L493" s="74">
        <v>92.16</v>
      </c>
      <c r="M493" s="74"/>
      <c r="N493" s="74" t="s">
        <v>392</v>
      </c>
      <c r="O493" s="74" t="s">
        <v>402</v>
      </c>
      <c r="P493" s="74" t="s">
        <v>19550</v>
      </c>
      <c r="Q493" s="74" t="s">
        <v>19551</v>
      </c>
    </row>
    <row r="494" spans="3:17" x14ac:dyDescent="0.25">
      <c r="C494" s="74" t="s">
        <v>19741</v>
      </c>
      <c r="D494" s="74" t="s">
        <v>19742</v>
      </c>
      <c r="E494" s="74"/>
      <c r="F494" s="74">
        <v>3.69</v>
      </c>
      <c r="G494" s="74"/>
      <c r="H494" s="74"/>
      <c r="I494" s="74" t="s">
        <v>391</v>
      </c>
      <c r="J494" s="74"/>
      <c r="K494" s="74">
        <v>102.4</v>
      </c>
      <c r="L494" s="74">
        <v>92.16</v>
      </c>
      <c r="M494" s="74"/>
      <c r="N494" s="74" t="s">
        <v>392</v>
      </c>
      <c r="O494" s="74" t="s">
        <v>402</v>
      </c>
      <c r="P494" s="74" t="s">
        <v>19743</v>
      </c>
      <c r="Q494" s="74" t="s">
        <v>19744</v>
      </c>
    </row>
    <row r="495" spans="3:17" x14ac:dyDescent="0.25">
      <c r="C495" s="74" t="s">
        <v>7511</v>
      </c>
      <c r="D495" s="74" t="s">
        <v>7512</v>
      </c>
      <c r="E495" s="74"/>
      <c r="F495" s="74">
        <v>3.68</v>
      </c>
      <c r="G495" s="74"/>
      <c r="H495" s="74"/>
      <c r="I495" s="74" t="s">
        <v>391</v>
      </c>
      <c r="J495" s="74"/>
      <c r="K495" s="74">
        <v>102.4</v>
      </c>
      <c r="L495" s="74">
        <v>92.16</v>
      </c>
      <c r="M495" s="74"/>
      <c r="N495" s="74" t="s">
        <v>392</v>
      </c>
      <c r="O495" s="74" t="s">
        <v>402</v>
      </c>
      <c r="P495" s="74" t="s">
        <v>7513</v>
      </c>
      <c r="Q495" s="74" t="s">
        <v>7514</v>
      </c>
    </row>
    <row r="496" spans="3:17" x14ac:dyDescent="0.25">
      <c r="C496" s="74" t="s">
        <v>15813</v>
      </c>
      <c r="D496" s="74" t="s">
        <v>15814</v>
      </c>
      <c r="E496" s="74"/>
      <c r="F496" s="74">
        <v>3.67</v>
      </c>
      <c r="G496" s="74"/>
      <c r="H496" s="74"/>
      <c r="I496" s="74" t="s">
        <v>391</v>
      </c>
      <c r="J496" s="74"/>
      <c r="K496" s="74">
        <v>102.4</v>
      </c>
      <c r="L496" s="74">
        <v>92.16</v>
      </c>
      <c r="M496" s="74"/>
      <c r="N496" s="74" t="s">
        <v>392</v>
      </c>
      <c r="O496" s="74" t="s">
        <v>402</v>
      </c>
      <c r="P496" s="74" t="s">
        <v>15815</v>
      </c>
      <c r="Q496" s="74" t="s">
        <v>15816</v>
      </c>
    </row>
    <row r="497" spans="3:17" x14ac:dyDescent="0.25">
      <c r="C497" s="74" t="s">
        <v>12482</v>
      </c>
      <c r="D497" s="74" t="s">
        <v>12483</v>
      </c>
      <c r="E497" s="74"/>
      <c r="F497" s="74">
        <v>3.66</v>
      </c>
      <c r="G497" s="74"/>
      <c r="H497" s="74"/>
      <c r="I497" s="74" t="s">
        <v>391</v>
      </c>
      <c r="J497" s="74"/>
      <c r="K497" s="74">
        <v>102.4</v>
      </c>
      <c r="L497" s="74">
        <v>92.16</v>
      </c>
      <c r="M497" s="74"/>
      <c r="N497" s="74" t="s">
        <v>392</v>
      </c>
      <c r="O497" s="74" t="s">
        <v>402</v>
      </c>
      <c r="P497" s="74" t="s">
        <v>12484</v>
      </c>
      <c r="Q497" s="74" t="s">
        <v>12485</v>
      </c>
    </row>
    <row r="498" spans="3:17" x14ac:dyDescent="0.25">
      <c r="C498" s="74" t="s">
        <v>5039</v>
      </c>
      <c r="D498" s="74" t="s">
        <v>5040</v>
      </c>
      <c r="E498" s="74"/>
      <c r="F498" s="74">
        <v>3.65</v>
      </c>
      <c r="G498" s="74"/>
      <c r="H498" s="74"/>
      <c r="I498" s="74" t="s">
        <v>391</v>
      </c>
      <c r="J498" s="74"/>
      <c r="K498" s="74">
        <v>102.4</v>
      </c>
      <c r="L498" s="74">
        <v>92.16</v>
      </c>
      <c r="M498" s="74"/>
      <c r="N498" s="74" t="s">
        <v>392</v>
      </c>
      <c r="O498" s="74" t="s">
        <v>402</v>
      </c>
      <c r="P498" s="74" t="s">
        <v>5041</v>
      </c>
      <c r="Q498" s="74" t="s">
        <v>5042</v>
      </c>
    </row>
    <row r="499" spans="3:17" x14ac:dyDescent="0.25">
      <c r="C499" s="74" t="s">
        <v>14558</v>
      </c>
      <c r="D499" s="74" t="s">
        <v>14559</v>
      </c>
      <c r="E499" s="74"/>
      <c r="F499" s="74">
        <v>3.64</v>
      </c>
      <c r="G499" s="74"/>
      <c r="H499" s="74"/>
      <c r="I499" s="74" t="s">
        <v>391</v>
      </c>
      <c r="J499" s="74"/>
      <c r="K499" s="74">
        <v>102.4</v>
      </c>
      <c r="L499" s="74">
        <v>92.16</v>
      </c>
      <c r="M499" s="74"/>
      <c r="N499" s="74" t="s">
        <v>392</v>
      </c>
      <c r="O499" s="74" t="s">
        <v>402</v>
      </c>
      <c r="P499" s="74" t="s">
        <v>14560</v>
      </c>
      <c r="Q499" s="74" t="s">
        <v>14561</v>
      </c>
    </row>
    <row r="500" spans="3:17" x14ac:dyDescent="0.25">
      <c r="C500" s="74" t="s">
        <v>20945</v>
      </c>
      <c r="D500" s="74" t="s">
        <v>20946</v>
      </c>
      <c r="E500" s="74"/>
      <c r="F500" s="74">
        <v>3.64</v>
      </c>
      <c r="G500" s="74"/>
      <c r="H500" s="74"/>
      <c r="I500" s="74" t="s">
        <v>391</v>
      </c>
      <c r="J500" s="74"/>
      <c r="K500" s="74">
        <v>102.4</v>
      </c>
      <c r="L500" s="74">
        <v>92.16</v>
      </c>
      <c r="M500" s="74"/>
      <c r="N500" s="74" t="s">
        <v>392</v>
      </c>
      <c r="O500" s="74" t="s">
        <v>402</v>
      </c>
      <c r="P500" s="74" t="s">
        <v>20947</v>
      </c>
      <c r="Q500" s="74" t="s">
        <v>20948</v>
      </c>
    </row>
    <row r="501" spans="3:17" x14ac:dyDescent="0.25">
      <c r="C501" s="74" t="s">
        <v>6440</v>
      </c>
      <c r="D501" s="74" t="s">
        <v>6441</v>
      </c>
      <c r="E501" s="74"/>
      <c r="F501" s="74">
        <v>3.62</v>
      </c>
      <c r="G501" s="74"/>
      <c r="H501" s="74"/>
      <c r="I501" s="74" t="s">
        <v>391</v>
      </c>
      <c r="J501" s="74"/>
      <c r="K501" s="74">
        <v>102.4</v>
      </c>
      <c r="L501" s="74">
        <v>92.16</v>
      </c>
      <c r="M501" s="74"/>
      <c r="N501" s="74" t="s">
        <v>392</v>
      </c>
      <c r="O501" s="74" t="s">
        <v>402</v>
      </c>
      <c r="P501" s="74" t="s">
        <v>6442</v>
      </c>
      <c r="Q501" s="74" t="s">
        <v>6443</v>
      </c>
    </row>
    <row r="502" spans="3:17" x14ac:dyDescent="0.25">
      <c r="C502" s="74" t="s">
        <v>19211</v>
      </c>
      <c r="D502" s="74" t="s">
        <v>19212</v>
      </c>
      <c r="E502" s="74"/>
      <c r="F502" s="74">
        <v>3.62</v>
      </c>
      <c r="G502" s="74"/>
      <c r="H502" s="74"/>
      <c r="I502" s="74" t="s">
        <v>391</v>
      </c>
      <c r="J502" s="74"/>
      <c r="K502" s="74">
        <v>102.4</v>
      </c>
      <c r="L502" s="74">
        <v>92.16</v>
      </c>
      <c r="M502" s="74"/>
      <c r="N502" s="74" t="s">
        <v>392</v>
      </c>
      <c r="O502" s="74" t="s">
        <v>402</v>
      </c>
      <c r="P502" s="74" t="s">
        <v>19213</v>
      </c>
      <c r="Q502" s="74" t="s">
        <v>19214</v>
      </c>
    </row>
    <row r="503" spans="3:17" x14ac:dyDescent="0.25">
      <c r="C503" s="74" t="s">
        <v>6096</v>
      </c>
      <c r="D503" s="74" t="s">
        <v>6097</v>
      </c>
      <c r="E503" s="74"/>
      <c r="F503" s="74">
        <v>3.61</v>
      </c>
      <c r="G503" s="74"/>
      <c r="H503" s="74"/>
      <c r="I503" s="74" t="s">
        <v>391</v>
      </c>
      <c r="J503" s="74"/>
      <c r="K503" s="74">
        <v>102.4</v>
      </c>
      <c r="L503" s="74">
        <v>92.16</v>
      </c>
      <c r="M503" s="74"/>
      <c r="N503" s="74" t="s">
        <v>392</v>
      </c>
      <c r="O503" s="74" t="s">
        <v>402</v>
      </c>
      <c r="P503" s="74" t="s">
        <v>6098</v>
      </c>
      <c r="Q503" s="74" t="s">
        <v>6099</v>
      </c>
    </row>
    <row r="504" spans="3:17" x14ac:dyDescent="0.25">
      <c r="C504" s="74" t="s">
        <v>4287</v>
      </c>
      <c r="D504" s="74" t="s">
        <v>4288</v>
      </c>
      <c r="E504" s="74"/>
      <c r="F504" s="74">
        <v>3.6</v>
      </c>
      <c r="G504" s="74"/>
      <c r="H504" s="74"/>
      <c r="I504" s="74" t="s">
        <v>391</v>
      </c>
      <c r="J504" s="74"/>
      <c r="K504" s="74">
        <v>102.4</v>
      </c>
      <c r="L504" s="74">
        <v>92.16</v>
      </c>
      <c r="M504" s="74"/>
      <c r="N504" s="74" t="s">
        <v>392</v>
      </c>
      <c r="O504" s="74" t="s">
        <v>402</v>
      </c>
      <c r="P504" s="74" t="s">
        <v>4289</v>
      </c>
      <c r="Q504" s="74" t="s">
        <v>4290</v>
      </c>
    </row>
    <row r="505" spans="3:17" x14ac:dyDescent="0.25">
      <c r="C505" s="74" t="s">
        <v>21131</v>
      </c>
      <c r="D505" s="74" t="s">
        <v>21132</v>
      </c>
      <c r="E505" s="74"/>
      <c r="F505" s="74">
        <v>3.59</v>
      </c>
      <c r="G505" s="74"/>
      <c r="H505" s="74"/>
      <c r="I505" s="74" t="s">
        <v>391</v>
      </c>
      <c r="J505" s="74"/>
      <c r="K505" s="74">
        <v>102.4</v>
      </c>
      <c r="L505" s="74">
        <v>92.16</v>
      </c>
      <c r="M505" s="74"/>
      <c r="N505" s="74" t="s">
        <v>392</v>
      </c>
      <c r="O505" s="74" t="s">
        <v>402</v>
      </c>
      <c r="P505" s="74" t="s">
        <v>21133</v>
      </c>
      <c r="Q505" s="74" t="s">
        <v>21134</v>
      </c>
    </row>
    <row r="506" spans="3:17" x14ac:dyDescent="0.25">
      <c r="C506" s="74" t="s">
        <v>15946</v>
      </c>
      <c r="D506" s="74" t="s">
        <v>15947</v>
      </c>
      <c r="E506" s="74"/>
      <c r="F506" s="74">
        <v>3.58</v>
      </c>
      <c r="G506" s="74"/>
      <c r="H506" s="74"/>
      <c r="I506" s="74" t="s">
        <v>391</v>
      </c>
      <c r="J506" s="74"/>
      <c r="K506" s="74">
        <v>102.4</v>
      </c>
      <c r="L506" s="74">
        <v>92.16</v>
      </c>
      <c r="M506" s="74"/>
      <c r="N506" s="74" t="s">
        <v>392</v>
      </c>
      <c r="O506" s="74" t="s">
        <v>402</v>
      </c>
      <c r="P506" s="74" t="s">
        <v>15948</v>
      </c>
      <c r="Q506" s="74" t="s">
        <v>15949</v>
      </c>
    </row>
    <row r="507" spans="3:17" x14ac:dyDescent="0.25">
      <c r="C507" s="74" t="s">
        <v>13764</v>
      </c>
      <c r="D507" s="74" t="s">
        <v>13765</v>
      </c>
      <c r="E507" s="74"/>
      <c r="F507" s="74">
        <v>3.57</v>
      </c>
      <c r="G507" s="74"/>
      <c r="H507" s="74"/>
      <c r="I507" s="74" t="s">
        <v>391</v>
      </c>
      <c r="J507" s="74"/>
      <c r="K507" s="74">
        <v>102.4</v>
      </c>
      <c r="L507" s="74">
        <v>92.16</v>
      </c>
      <c r="M507" s="74"/>
      <c r="N507" s="74" t="s">
        <v>392</v>
      </c>
      <c r="O507" s="74" t="s">
        <v>402</v>
      </c>
      <c r="P507" s="74" t="s">
        <v>13766</v>
      </c>
      <c r="Q507" s="74" t="s">
        <v>13767</v>
      </c>
    </row>
    <row r="508" spans="3:17" x14ac:dyDescent="0.25">
      <c r="C508" s="74" t="s">
        <v>16446</v>
      </c>
      <c r="D508" s="74" t="s">
        <v>16447</v>
      </c>
      <c r="E508" s="74"/>
      <c r="F508" s="74">
        <v>3.57</v>
      </c>
      <c r="G508" s="74"/>
      <c r="H508" s="74"/>
      <c r="I508" s="74" t="s">
        <v>391</v>
      </c>
      <c r="J508" s="74"/>
      <c r="K508" s="74">
        <v>102.4</v>
      </c>
      <c r="L508" s="74">
        <v>92.16</v>
      </c>
      <c r="M508" s="74"/>
      <c r="N508" s="74" t="s">
        <v>392</v>
      </c>
      <c r="O508" s="74" t="s">
        <v>402</v>
      </c>
      <c r="P508" s="74" t="s">
        <v>16448</v>
      </c>
      <c r="Q508" s="74" t="s">
        <v>16449</v>
      </c>
    </row>
    <row r="509" spans="3:17" x14ac:dyDescent="0.25">
      <c r="C509" s="74" t="s">
        <v>2597</v>
      </c>
      <c r="D509" s="74" t="s">
        <v>2598</v>
      </c>
      <c r="E509" s="74"/>
      <c r="F509" s="74">
        <v>3.56</v>
      </c>
      <c r="G509" s="74"/>
      <c r="H509" s="74"/>
      <c r="I509" s="74" t="s">
        <v>391</v>
      </c>
      <c r="J509" s="74"/>
      <c r="K509" s="74">
        <v>102.4</v>
      </c>
      <c r="L509" s="74">
        <v>92.16</v>
      </c>
      <c r="M509" s="74"/>
      <c r="N509" s="74" t="s">
        <v>392</v>
      </c>
      <c r="O509" s="74" t="s">
        <v>402</v>
      </c>
      <c r="P509" s="74" t="s">
        <v>2599</v>
      </c>
      <c r="Q509" s="74" t="s">
        <v>2600</v>
      </c>
    </row>
    <row r="510" spans="3:17" x14ac:dyDescent="0.25">
      <c r="C510" s="74" t="s">
        <v>17458</v>
      </c>
      <c r="D510" s="74" t="s">
        <v>17459</v>
      </c>
      <c r="E510" s="74" t="s">
        <v>391</v>
      </c>
      <c r="F510" s="74">
        <v>3.56</v>
      </c>
      <c r="G510" s="74"/>
      <c r="H510" s="74"/>
      <c r="I510" s="74" t="s">
        <v>391</v>
      </c>
      <c r="J510" s="74"/>
      <c r="K510" s="74">
        <v>102.4</v>
      </c>
      <c r="L510" s="74">
        <v>92.16</v>
      </c>
      <c r="M510" s="74"/>
      <c r="N510" s="74" t="s">
        <v>392</v>
      </c>
      <c r="O510" s="74" t="s">
        <v>393</v>
      </c>
      <c r="P510" s="74" t="s">
        <v>17460</v>
      </c>
      <c r="Q510" s="74" t="s">
        <v>17461</v>
      </c>
    </row>
    <row r="511" spans="3:17" x14ac:dyDescent="0.25">
      <c r="C511" s="74" t="s">
        <v>20750</v>
      </c>
      <c r="D511" s="74" t="s">
        <v>20751</v>
      </c>
      <c r="E511" s="74"/>
      <c r="F511" s="74">
        <v>3.56</v>
      </c>
      <c r="G511" s="74"/>
      <c r="H511" s="74"/>
      <c r="I511" s="74" t="s">
        <v>391</v>
      </c>
      <c r="J511" s="74"/>
      <c r="K511" s="74">
        <v>102.4</v>
      </c>
      <c r="L511" s="74">
        <v>92.16</v>
      </c>
      <c r="M511" s="74"/>
      <c r="N511" s="74" t="s">
        <v>392</v>
      </c>
      <c r="O511" s="74" t="s">
        <v>402</v>
      </c>
      <c r="P511" s="74" t="s">
        <v>20752</v>
      </c>
      <c r="Q511" s="74" t="s">
        <v>20753</v>
      </c>
    </row>
    <row r="512" spans="3:17" x14ac:dyDescent="0.25">
      <c r="C512" s="74" t="s">
        <v>10763</v>
      </c>
      <c r="D512" s="74" t="s">
        <v>10764</v>
      </c>
      <c r="E512" s="74"/>
      <c r="F512" s="74">
        <v>3.55</v>
      </c>
      <c r="G512" s="74"/>
      <c r="H512" s="74"/>
      <c r="I512" s="74" t="s">
        <v>391</v>
      </c>
      <c r="J512" s="74"/>
      <c r="K512" s="74">
        <v>102.4</v>
      </c>
      <c r="L512" s="74">
        <v>92.16</v>
      </c>
      <c r="M512" s="74"/>
      <c r="N512" s="74" t="s">
        <v>392</v>
      </c>
      <c r="O512" s="74" t="s">
        <v>402</v>
      </c>
      <c r="P512" s="74" t="s">
        <v>10765</v>
      </c>
      <c r="Q512" s="74" t="s">
        <v>10766</v>
      </c>
    </row>
    <row r="513" spans="3:17" x14ac:dyDescent="0.25">
      <c r="C513" s="74" t="s">
        <v>8991</v>
      </c>
      <c r="D513" s="74" t="s">
        <v>8992</v>
      </c>
      <c r="E513" s="74"/>
      <c r="F513" s="74">
        <v>3.54</v>
      </c>
      <c r="G513" s="74"/>
      <c r="H513" s="74"/>
      <c r="I513" s="74" t="s">
        <v>391</v>
      </c>
      <c r="J513" s="74"/>
      <c r="K513" s="74">
        <v>102.4</v>
      </c>
      <c r="L513" s="74">
        <v>92.16</v>
      </c>
      <c r="M513" s="74"/>
      <c r="N513" s="74" t="s">
        <v>392</v>
      </c>
      <c r="O513" s="74" t="s">
        <v>402</v>
      </c>
      <c r="P513" s="74" t="s">
        <v>8993</v>
      </c>
      <c r="Q513" s="74" t="s">
        <v>8994</v>
      </c>
    </row>
    <row r="514" spans="3:17" x14ac:dyDescent="0.25">
      <c r="C514" s="74" t="s">
        <v>20786</v>
      </c>
      <c r="D514" s="74" t="s">
        <v>20787</v>
      </c>
      <c r="E514" s="74"/>
      <c r="F514" s="74">
        <v>3.52</v>
      </c>
      <c r="G514" s="74"/>
      <c r="H514" s="74"/>
      <c r="I514" s="74" t="s">
        <v>391</v>
      </c>
      <c r="J514" s="74"/>
      <c r="K514" s="74">
        <v>102.4</v>
      </c>
      <c r="L514" s="74">
        <v>92.16</v>
      </c>
      <c r="M514" s="74"/>
      <c r="N514" s="74" t="s">
        <v>392</v>
      </c>
      <c r="O514" s="74" t="s">
        <v>402</v>
      </c>
      <c r="P514" s="74" t="s">
        <v>20788</v>
      </c>
      <c r="Q514" s="74" t="s">
        <v>20789</v>
      </c>
    </row>
    <row r="515" spans="3:17" x14ac:dyDescent="0.25">
      <c r="C515" s="74" t="s">
        <v>5713</v>
      </c>
      <c r="D515" s="74" t="s">
        <v>5714</v>
      </c>
      <c r="E515" s="74"/>
      <c r="F515" s="74">
        <v>3.51</v>
      </c>
      <c r="G515" s="74"/>
      <c r="H515" s="74"/>
      <c r="I515" s="74" t="s">
        <v>391</v>
      </c>
      <c r="J515" s="74"/>
      <c r="K515" s="74">
        <v>102.4</v>
      </c>
      <c r="L515" s="74">
        <v>92.16</v>
      </c>
      <c r="M515" s="74"/>
      <c r="N515" s="74" t="s">
        <v>392</v>
      </c>
      <c r="O515" s="74" t="s">
        <v>402</v>
      </c>
      <c r="P515" s="74" t="s">
        <v>5715</v>
      </c>
      <c r="Q515" s="74" t="s">
        <v>5716</v>
      </c>
    </row>
    <row r="516" spans="3:17" x14ac:dyDescent="0.25">
      <c r="C516" s="74" t="s">
        <v>9833</v>
      </c>
      <c r="D516" s="74" t="s">
        <v>9834</v>
      </c>
      <c r="E516" s="74"/>
      <c r="F516" s="74">
        <v>3.51</v>
      </c>
      <c r="G516" s="74"/>
      <c r="H516" s="74"/>
      <c r="I516" s="74" t="s">
        <v>391</v>
      </c>
      <c r="J516" s="74"/>
      <c r="K516" s="74">
        <v>102.4</v>
      </c>
      <c r="L516" s="74">
        <v>92.16</v>
      </c>
      <c r="M516" s="74"/>
      <c r="N516" s="74" t="s">
        <v>392</v>
      </c>
      <c r="O516" s="74" t="s">
        <v>402</v>
      </c>
      <c r="P516" s="74" t="s">
        <v>9835</v>
      </c>
      <c r="Q516" s="74" t="s">
        <v>9836</v>
      </c>
    </row>
    <row r="517" spans="3:17" x14ac:dyDescent="0.25">
      <c r="C517" s="74" t="s">
        <v>7938</v>
      </c>
      <c r="D517" s="74" t="s">
        <v>7939</v>
      </c>
      <c r="E517" s="74"/>
      <c r="F517" s="74">
        <v>3.5</v>
      </c>
      <c r="G517" s="74"/>
      <c r="H517" s="74"/>
      <c r="I517" s="74" t="s">
        <v>391</v>
      </c>
      <c r="J517" s="74"/>
      <c r="K517" s="74">
        <v>102.4</v>
      </c>
      <c r="L517" s="74">
        <v>92.16</v>
      </c>
      <c r="M517" s="74"/>
      <c r="N517" s="74" t="s">
        <v>392</v>
      </c>
      <c r="O517" s="74" t="s">
        <v>402</v>
      </c>
      <c r="P517" s="74" t="s">
        <v>7940</v>
      </c>
      <c r="Q517" s="74" t="s">
        <v>7941</v>
      </c>
    </row>
    <row r="518" spans="3:17" x14ac:dyDescent="0.25">
      <c r="C518" s="74" t="s">
        <v>18716</v>
      </c>
      <c r="D518" s="74" t="s">
        <v>18717</v>
      </c>
      <c r="E518" s="74"/>
      <c r="F518" s="74">
        <v>3.48</v>
      </c>
      <c r="G518" s="74"/>
      <c r="H518" s="74"/>
      <c r="I518" s="74" t="s">
        <v>391</v>
      </c>
      <c r="J518" s="74"/>
      <c r="K518" s="74">
        <v>102.4</v>
      </c>
      <c r="L518" s="74">
        <v>92.16</v>
      </c>
      <c r="M518" s="74"/>
      <c r="N518" s="74" t="s">
        <v>392</v>
      </c>
      <c r="O518" s="74" t="s">
        <v>402</v>
      </c>
      <c r="P518" s="74" t="s">
        <v>18718</v>
      </c>
      <c r="Q518" s="74" t="s">
        <v>18719</v>
      </c>
    </row>
    <row r="519" spans="3:17" x14ac:dyDescent="0.25">
      <c r="C519" s="74" t="s">
        <v>2878</v>
      </c>
      <c r="D519" s="74" t="s">
        <v>2879</v>
      </c>
      <c r="E519" s="74"/>
      <c r="F519" s="74">
        <v>3.47</v>
      </c>
      <c r="G519" s="74"/>
      <c r="H519" s="74"/>
      <c r="I519" s="74" t="s">
        <v>391</v>
      </c>
      <c r="J519" s="74"/>
      <c r="K519" s="74">
        <v>102.4</v>
      </c>
      <c r="L519" s="74">
        <v>92.16</v>
      </c>
      <c r="M519" s="74"/>
      <c r="N519" s="74" t="s">
        <v>392</v>
      </c>
      <c r="O519" s="74" t="s">
        <v>402</v>
      </c>
      <c r="P519" s="74" t="s">
        <v>2880</v>
      </c>
      <c r="Q519" s="74" t="s">
        <v>2881</v>
      </c>
    </row>
    <row r="520" spans="3:17" x14ac:dyDescent="0.25">
      <c r="C520" s="74" t="s">
        <v>6974</v>
      </c>
      <c r="D520" s="74" t="s">
        <v>6975</v>
      </c>
      <c r="E520" s="74"/>
      <c r="F520" s="74">
        <v>3.45</v>
      </c>
      <c r="G520" s="74"/>
      <c r="H520" s="74"/>
      <c r="I520" s="74" t="s">
        <v>391</v>
      </c>
      <c r="J520" s="74"/>
      <c r="K520" s="74">
        <v>102.4</v>
      </c>
      <c r="L520" s="74">
        <v>92.16</v>
      </c>
      <c r="M520" s="74"/>
      <c r="N520" s="74" t="s">
        <v>392</v>
      </c>
      <c r="O520" s="74" t="s">
        <v>402</v>
      </c>
      <c r="P520" s="74" t="s">
        <v>6976</v>
      </c>
      <c r="Q520" s="74" t="s">
        <v>6977</v>
      </c>
    </row>
    <row r="521" spans="3:17" x14ac:dyDescent="0.25">
      <c r="C521" s="74" t="s">
        <v>13183</v>
      </c>
      <c r="D521" s="74" t="s">
        <v>13184</v>
      </c>
      <c r="E521" s="74"/>
      <c r="F521" s="74">
        <v>3.45</v>
      </c>
      <c r="G521" s="74"/>
      <c r="H521" s="74"/>
      <c r="I521" s="74" t="s">
        <v>391</v>
      </c>
      <c r="J521" s="74"/>
      <c r="K521" s="74">
        <v>102.4</v>
      </c>
      <c r="L521" s="74">
        <v>92.16</v>
      </c>
      <c r="M521" s="74"/>
      <c r="N521" s="74" t="s">
        <v>392</v>
      </c>
      <c r="O521" s="74" t="s">
        <v>402</v>
      </c>
      <c r="P521" s="74" t="s">
        <v>13185</v>
      </c>
      <c r="Q521" s="74" t="s">
        <v>13186</v>
      </c>
    </row>
    <row r="522" spans="3:17" x14ac:dyDescent="0.25">
      <c r="C522" s="74" t="s">
        <v>13818</v>
      </c>
      <c r="D522" s="74" t="s">
        <v>13819</v>
      </c>
      <c r="E522" s="74"/>
      <c r="F522" s="74">
        <v>3.45</v>
      </c>
      <c r="G522" s="74"/>
      <c r="H522" s="74"/>
      <c r="I522" s="74" t="s">
        <v>391</v>
      </c>
      <c r="J522" s="74"/>
      <c r="K522" s="74">
        <v>102.4</v>
      </c>
      <c r="L522" s="74">
        <v>92.16</v>
      </c>
      <c r="M522" s="74"/>
      <c r="N522" s="74" t="s">
        <v>392</v>
      </c>
      <c r="O522" s="74" t="s">
        <v>402</v>
      </c>
      <c r="P522" s="74" t="s">
        <v>3829</v>
      </c>
      <c r="Q522" s="74" t="s">
        <v>13820</v>
      </c>
    </row>
    <row r="523" spans="3:17" x14ac:dyDescent="0.25">
      <c r="C523" s="74" t="s">
        <v>18206</v>
      </c>
      <c r="D523" s="74" t="s">
        <v>18207</v>
      </c>
      <c r="E523" s="74"/>
      <c r="F523" s="74">
        <v>3.45</v>
      </c>
      <c r="G523" s="74"/>
      <c r="H523" s="74"/>
      <c r="I523" s="74" t="s">
        <v>391</v>
      </c>
      <c r="J523" s="74"/>
      <c r="K523" s="74">
        <v>102.4</v>
      </c>
      <c r="L523" s="74">
        <v>92.16</v>
      </c>
      <c r="M523" s="74"/>
      <c r="N523" s="74" t="s">
        <v>392</v>
      </c>
      <c r="O523" s="74" t="s">
        <v>402</v>
      </c>
      <c r="P523" s="74" t="s">
        <v>18208</v>
      </c>
      <c r="Q523" s="74" t="s">
        <v>18209</v>
      </c>
    </row>
    <row r="524" spans="3:17" x14ac:dyDescent="0.25">
      <c r="C524" s="74" t="s">
        <v>11688</v>
      </c>
      <c r="D524" s="74" t="s">
        <v>11689</v>
      </c>
      <c r="E524" s="74"/>
      <c r="F524" s="74">
        <v>3.44</v>
      </c>
      <c r="G524" s="74"/>
      <c r="H524" s="74"/>
      <c r="I524" s="74" t="s">
        <v>391</v>
      </c>
      <c r="J524" s="74"/>
      <c r="K524" s="74">
        <v>102.4</v>
      </c>
      <c r="L524" s="74">
        <v>92.16</v>
      </c>
      <c r="M524" s="74"/>
      <c r="N524" s="74" t="s">
        <v>392</v>
      </c>
      <c r="O524" s="74" t="s">
        <v>402</v>
      </c>
      <c r="P524" s="74" t="s">
        <v>11690</v>
      </c>
      <c r="Q524" s="74" t="s">
        <v>11691</v>
      </c>
    </row>
    <row r="525" spans="3:17" x14ac:dyDescent="0.25">
      <c r="C525" s="74" t="s">
        <v>14549</v>
      </c>
      <c r="D525" s="74" t="s">
        <v>14550</v>
      </c>
      <c r="E525" s="74"/>
      <c r="F525" s="74">
        <v>3.44</v>
      </c>
      <c r="G525" s="74"/>
      <c r="H525" s="74"/>
      <c r="I525" s="74" t="s">
        <v>391</v>
      </c>
      <c r="J525" s="74"/>
      <c r="K525" s="74">
        <v>102.4</v>
      </c>
      <c r="L525" s="74">
        <v>92.16</v>
      </c>
      <c r="M525" s="74"/>
      <c r="N525" s="74" t="s">
        <v>392</v>
      </c>
      <c r="O525" s="74" t="s">
        <v>402</v>
      </c>
      <c r="P525" s="74" t="s">
        <v>14551</v>
      </c>
      <c r="Q525" s="74" t="s">
        <v>14552</v>
      </c>
    </row>
    <row r="526" spans="3:17" x14ac:dyDescent="0.25">
      <c r="C526" s="74" t="s">
        <v>15969</v>
      </c>
      <c r="D526" s="74" t="s">
        <v>15970</v>
      </c>
      <c r="E526" s="74"/>
      <c r="F526" s="74">
        <v>3.44</v>
      </c>
      <c r="G526" s="74"/>
      <c r="H526" s="74"/>
      <c r="I526" s="74" t="s">
        <v>391</v>
      </c>
      <c r="J526" s="74"/>
      <c r="K526" s="74">
        <v>102.4</v>
      </c>
      <c r="L526" s="74">
        <v>92.16</v>
      </c>
      <c r="M526" s="74"/>
      <c r="N526" s="74" t="s">
        <v>392</v>
      </c>
      <c r="O526" s="74" t="s">
        <v>402</v>
      </c>
      <c r="P526" s="74" t="s">
        <v>15971</v>
      </c>
      <c r="Q526" s="74" t="s">
        <v>15972</v>
      </c>
    </row>
    <row r="527" spans="3:17" x14ac:dyDescent="0.25">
      <c r="C527" s="74" t="s">
        <v>2013</v>
      </c>
      <c r="D527" s="74" t="s">
        <v>2014</v>
      </c>
      <c r="E527" s="74"/>
      <c r="F527" s="74">
        <v>3.43</v>
      </c>
      <c r="G527" s="74"/>
      <c r="H527" s="74"/>
      <c r="I527" s="74" t="s">
        <v>391</v>
      </c>
      <c r="J527" s="74"/>
      <c r="K527" s="74">
        <v>102.4</v>
      </c>
      <c r="L527" s="74">
        <v>92.16</v>
      </c>
      <c r="M527" s="74"/>
      <c r="N527" s="74" t="s">
        <v>392</v>
      </c>
      <c r="O527" s="74" t="s">
        <v>402</v>
      </c>
      <c r="P527" s="74" t="s">
        <v>2015</v>
      </c>
      <c r="Q527" s="74" t="s">
        <v>2016</v>
      </c>
    </row>
    <row r="528" spans="3:17" x14ac:dyDescent="0.25">
      <c r="C528" s="74" t="s">
        <v>6953</v>
      </c>
      <c r="D528" s="74" t="s">
        <v>6954</v>
      </c>
      <c r="E528" s="74"/>
      <c r="F528" s="74">
        <v>3.43</v>
      </c>
      <c r="G528" s="74"/>
      <c r="H528" s="74"/>
      <c r="I528" s="74" t="s">
        <v>391</v>
      </c>
      <c r="J528" s="74"/>
      <c r="K528" s="74">
        <v>102.4</v>
      </c>
      <c r="L528" s="74">
        <v>92.16</v>
      </c>
      <c r="M528" s="74"/>
      <c r="N528" s="74" t="s">
        <v>392</v>
      </c>
      <c r="O528" s="74" t="s">
        <v>402</v>
      </c>
      <c r="P528" s="74" t="s">
        <v>6955</v>
      </c>
      <c r="Q528" s="74" t="s">
        <v>6956</v>
      </c>
    </row>
    <row r="529" spans="3:17" x14ac:dyDescent="0.25">
      <c r="C529" s="74" t="s">
        <v>10511</v>
      </c>
      <c r="D529" s="74" t="s">
        <v>10512</v>
      </c>
      <c r="E529" s="74"/>
      <c r="F529" s="74">
        <v>3.43</v>
      </c>
      <c r="G529" s="74"/>
      <c r="H529" s="74"/>
      <c r="I529" s="74" t="s">
        <v>391</v>
      </c>
      <c r="J529" s="74"/>
      <c r="K529" s="74">
        <v>102.4</v>
      </c>
      <c r="L529" s="74">
        <v>92.16</v>
      </c>
      <c r="M529" s="74"/>
      <c r="N529" s="74" t="s">
        <v>392</v>
      </c>
      <c r="O529" s="74" t="s">
        <v>402</v>
      </c>
      <c r="P529" s="74" t="s">
        <v>10513</v>
      </c>
      <c r="Q529" s="74" t="s">
        <v>10514</v>
      </c>
    </row>
    <row r="530" spans="3:17" x14ac:dyDescent="0.25">
      <c r="C530" s="74" t="s">
        <v>1870</v>
      </c>
      <c r="D530" s="74" t="s">
        <v>1871</v>
      </c>
      <c r="E530" s="74"/>
      <c r="F530" s="74">
        <v>3.42</v>
      </c>
      <c r="G530" s="74"/>
      <c r="H530" s="74"/>
      <c r="I530" s="74" t="s">
        <v>391</v>
      </c>
      <c r="J530" s="74"/>
      <c r="K530" s="74">
        <v>102.4</v>
      </c>
      <c r="L530" s="74">
        <v>92.16</v>
      </c>
      <c r="M530" s="74"/>
      <c r="N530" s="74" t="s">
        <v>392</v>
      </c>
      <c r="O530" s="74" t="s">
        <v>402</v>
      </c>
      <c r="P530" s="74" t="s">
        <v>1872</v>
      </c>
      <c r="Q530" s="74" t="s">
        <v>1873</v>
      </c>
    </row>
    <row r="531" spans="3:17" x14ac:dyDescent="0.25">
      <c r="C531" s="74" t="s">
        <v>3864</v>
      </c>
      <c r="D531" s="74" t="s">
        <v>3865</v>
      </c>
      <c r="E531" s="74"/>
      <c r="F531" s="74">
        <v>3.42</v>
      </c>
      <c r="G531" s="74"/>
      <c r="H531" s="74"/>
      <c r="I531" s="74" t="s">
        <v>391</v>
      </c>
      <c r="J531" s="74"/>
      <c r="K531" s="74">
        <v>102.4</v>
      </c>
      <c r="L531" s="74">
        <v>92.16</v>
      </c>
      <c r="M531" s="74"/>
      <c r="N531" s="74" t="s">
        <v>392</v>
      </c>
      <c r="O531" s="74" t="s">
        <v>402</v>
      </c>
      <c r="P531" s="74" t="s">
        <v>3866</v>
      </c>
      <c r="Q531" s="74" t="s">
        <v>3867</v>
      </c>
    </row>
    <row r="532" spans="3:17" x14ac:dyDescent="0.25">
      <c r="C532" s="74" t="s">
        <v>18292</v>
      </c>
      <c r="D532" s="74" t="s">
        <v>18293</v>
      </c>
      <c r="E532" s="74"/>
      <c r="F532" s="74">
        <v>3.42</v>
      </c>
      <c r="G532" s="74"/>
      <c r="H532" s="74"/>
      <c r="I532" s="74" t="s">
        <v>391</v>
      </c>
      <c r="J532" s="74"/>
      <c r="K532" s="74">
        <v>102.4</v>
      </c>
      <c r="L532" s="74">
        <v>92.16</v>
      </c>
      <c r="M532" s="74"/>
      <c r="N532" s="74" t="s">
        <v>392</v>
      </c>
      <c r="O532" s="74" t="s">
        <v>402</v>
      </c>
      <c r="P532" s="74" t="s">
        <v>18294</v>
      </c>
      <c r="Q532" s="74" t="s">
        <v>18295</v>
      </c>
    </row>
    <row r="533" spans="3:17" x14ac:dyDescent="0.25">
      <c r="C533" s="74" t="s">
        <v>3749</v>
      </c>
      <c r="D533" s="74" t="s">
        <v>3750</v>
      </c>
      <c r="E533" s="74"/>
      <c r="F533" s="74">
        <v>3.41</v>
      </c>
      <c r="G533" s="74"/>
      <c r="H533" s="74"/>
      <c r="I533" s="74" t="s">
        <v>391</v>
      </c>
      <c r="J533" s="74"/>
      <c r="K533" s="74">
        <v>102.4</v>
      </c>
      <c r="L533" s="74">
        <v>92.16</v>
      </c>
      <c r="M533" s="74"/>
      <c r="N533" s="74" t="s">
        <v>392</v>
      </c>
      <c r="O533" s="74" t="s">
        <v>402</v>
      </c>
      <c r="P533" s="74" t="s">
        <v>3751</v>
      </c>
      <c r="Q533" s="74" t="s">
        <v>3752</v>
      </c>
    </row>
    <row r="534" spans="3:17" x14ac:dyDescent="0.25">
      <c r="C534" s="74" t="s">
        <v>6614</v>
      </c>
      <c r="D534" s="74" t="s">
        <v>6615</v>
      </c>
      <c r="E534" s="74"/>
      <c r="F534" s="74">
        <v>3.4</v>
      </c>
      <c r="G534" s="74"/>
      <c r="H534" s="74"/>
      <c r="I534" s="74" t="s">
        <v>391</v>
      </c>
      <c r="J534" s="74"/>
      <c r="K534" s="74">
        <v>102.4</v>
      </c>
      <c r="L534" s="74">
        <v>92.16</v>
      </c>
      <c r="M534" s="74"/>
      <c r="N534" s="74" t="s">
        <v>392</v>
      </c>
      <c r="O534" s="74" t="s">
        <v>402</v>
      </c>
      <c r="P534" s="74" t="s">
        <v>6616</v>
      </c>
      <c r="Q534" s="74" t="s">
        <v>6617</v>
      </c>
    </row>
    <row r="535" spans="3:17" x14ac:dyDescent="0.25">
      <c r="C535" s="74" t="s">
        <v>9985</v>
      </c>
      <c r="D535" s="74" t="s">
        <v>9986</v>
      </c>
      <c r="E535" s="74"/>
      <c r="F535" s="74">
        <v>3.4</v>
      </c>
      <c r="G535" s="74"/>
      <c r="H535" s="74"/>
      <c r="I535" s="74" t="s">
        <v>391</v>
      </c>
      <c r="J535" s="74"/>
      <c r="K535" s="74">
        <v>102.4</v>
      </c>
      <c r="L535" s="74">
        <v>92.16</v>
      </c>
      <c r="M535" s="74"/>
      <c r="N535" s="74" t="s">
        <v>392</v>
      </c>
      <c r="O535" s="74" t="s">
        <v>402</v>
      </c>
      <c r="P535" s="74" t="s">
        <v>9987</v>
      </c>
      <c r="Q535" s="74" t="s">
        <v>9988</v>
      </c>
    </row>
    <row r="536" spans="3:17" x14ac:dyDescent="0.25">
      <c r="C536" s="74" t="s">
        <v>15977</v>
      </c>
      <c r="D536" s="74" t="s">
        <v>15978</v>
      </c>
      <c r="E536" s="74"/>
      <c r="F536" s="74">
        <v>3.4</v>
      </c>
      <c r="G536" s="74"/>
      <c r="H536" s="74"/>
      <c r="I536" s="74" t="s">
        <v>391</v>
      </c>
      <c r="J536" s="74"/>
      <c r="K536" s="74">
        <v>102.4</v>
      </c>
      <c r="L536" s="74">
        <v>92.16</v>
      </c>
      <c r="M536" s="74"/>
      <c r="N536" s="74" t="s">
        <v>392</v>
      </c>
      <c r="O536" s="74" t="s">
        <v>402</v>
      </c>
      <c r="P536" s="74" t="s">
        <v>15979</v>
      </c>
      <c r="Q536" s="74" t="s">
        <v>15980</v>
      </c>
    </row>
    <row r="537" spans="3:17" x14ac:dyDescent="0.25">
      <c r="C537" s="74" t="s">
        <v>6752</v>
      </c>
      <c r="D537" s="74" t="s">
        <v>6753</v>
      </c>
      <c r="E537" s="74"/>
      <c r="F537" s="74">
        <v>3.39</v>
      </c>
      <c r="G537" s="74"/>
      <c r="H537" s="74"/>
      <c r="I537" s="74" t="s">
        <v>391</v>
      </c>
      <c r="J537" s="74"/>
      <c r="K537" s="74">
        <v>102.4</v>
      </c>
      <c r="L537" s="74">
        <v>92.16</v>
      </c>
      <c r="M537" s="74"/>
      <c r="N537" s="74" t="s">
        <v>392</v>
      </c>
      <c r="O537" s="74" t="s">
        <v>402</v>
      </c>
      <c r="P537" s="74" t="s">
        <v>6754</v>
      </c>
      <c r="Q537" s="74" t="s">
        <v>6755</v>
      </c>
    </row>
    <row r="538" spans="3:17" x14ac:dyDescent="0.25">
      <c r="C538" s="74" t="s">
        <v>11321</v>
      </c>
      <c r="D538" s="74" t="s">
        <v>11322</v>
      </c>
      <c r="E538" s="74"/>
      <c r="F538" s="74">
        <v>3.39</v>
      </c>
      <c r="G538" s="74"/>
      <c r="H538" s="74"/>
      <c r="I538" s="74" t="s">
        <v>391</v>
      </c>
      <c r="J538" s="74"/>
      <c r="K538" s="74">
        <v>102.4</v>
      </c>
      <c r="L538" s="74">
        <v>92.16</v>
      </c>
      <c r="M538" s="74"/>
      <c r="N538" s="74" t="s">
        <v>392</v>
      </c>
      <c r="O538" s="74" t="s">
        <v>402</v>
      </c>
      <c r="P538" s="74" t="s">
        <v>11323</v>
      </c>
      <c r="Q538" s="74" t="s">
        <v>11324</v>
      </c>
    </row>
    <row r="539" spans="3:17" x14ac:dyDescent="0.25">
      <c r="C539" s="74" t="s">
        <v>2346</v>
      </c>
      <c r="D539" s="74" t="s">
        <v>2347</v>
      </c>
      <c r="E539" s="74"/>
      <c r="F539" s="74">
        <v>3.38</v>
      </c>
      <c r="G539" s="74"/>
      <c r="H539" s="74"/>
      <c r="I539" s="74" t="s">
        <v>391</v>
      </c>
      <c r="J539" s="74"/>
      <c r="K539" s="74">
        <v>102.4</v>
      </c>
      <c r="L539" s="74">
        <v>92.16</v>
      </c>
      <c r="M539" s="74"/>
      <c r="N539" s="74" t="s">
        <v>392</v>
      </c>
      <c r="O539" s="74" t="s">
        <v>402</v>
      </c>
      <c r="P539" s="74" t="s">
        <v>2348</v>
      </c>
      <c r="Q539" s="74" t="s">
        <v>2349</v>
      </c>
    </row>
    <row r="540" spans="3:17" x14ac:dyDescent="0.25">
      <c r="C540" s="74" t="s">
        <v>16985</v>
      </c>
      <c r="D540" s="74" t="s">
        <v>16986</v>
      </c>
      <c r="E540" s="74"/>
      <c r="F540" s="74">
        <v>3.38</v>
      </c>
      <c r="G540" s="74"/>
      <c r="H540" s="74"/>
      <c r="I540" s="74" t="s">
        <v>391</v>
      </c>
      <c r="J540" s="74"/>
      <c r="K540" s="74">
        <v>102.4</v>
      </c>
      <c r="L540" s="74">
        <v>92.16</v>
      </c>
      <c r="M540" s="74"/>
      <c r="N540" s="74" t="s">
        <v>392</v>
      </c>
      <c r="O540" s="74" t="s">
        <v>402</v>
      </c>
      <c r="P540" s="74" t="s">
        <v>16987</v>
      </c>
      <c r="Q540" s="74" t="s">
        <v>16988</v>
      </c>
    </row>
    <row r="541" spans="3:17" x14ac:dyDescent="0.25">
      <c r="C541" s="74" t="s">
        <v>19054</v>
      </c>
      <c r="D541" s="74" t="s">
        <v>19055</v>
      </c>
      <c r="E541" s="74"/>
      <c r="F541" s="74">
        <v>3.37</v>
      </c>
      <c r="G541" s="74"/>
      <c r="H541" s="74"/>
      <c r="I541" s="74" t="s">
        <v>391</v>
      </c>
      <c r="J541" s="74"/>
      <c r="K541" s="74">
        <v>102.4</v>
      </c>
      <c r="L541" s="74">
        <v>92.16</v>
      </c>
      <c r="M541" s="74"/>
      <c r="N541" s="74" t="s">
        <v>392</v>
      </c>
      <c r="O541" s="74" t="s">
        <v>402</v>
      </c>
      <c r="P541" s="74" t="s">
        <v>19056</v>
      </c>
      <c r="Q541" s="74" t="s">
        <v>19057</v>
      </c>
    </row>
    <row r="542" spans="3:17" x14ac:dyDescent="0.25">
      <c r="C542" s="74" t="s">
        <v>11057</v>
      </c>
      <c r="D542" s="74" t="s">
        <v>11058</v>
      </c>
      <c r="E542" s="74"/>
      <c r="F542" s="74">
        <v>3.36</v>
      </c>
      <c r="G542" s="74"/>
      <c r="H542" s="74"/>
      <c r="I542" s="74" t="s">
        <v>391</v>
      </c>
      <c r="J542" s="74"/>
      <c r="K542" s="74">
        <v>102.4</v>
      </c>
      <c r="L542" s="74">
        <v>92.16</v>
      </c>
      <c r="M542" s="74"/>
      <c r="N542" s="74" t="s">
        <v>392</v>
      </c>
      <c r="O542" s="74" t="s">
        <v>402</v>
      </c>
      <c r="P542" s="74" t="s">
        <v>11059</v>
      </c>
      <c r="Q542" s="74" t="s">
        <v>11060</v>
      </c>
    </row>
    <row r="543" spans="3:17" x14ac:dyDescent="0.25">
      <c r="C543" s="74" t="s">
        <v>11240</v>
      </c>
      <c r="D543" s="74" t="s">
        <v>11241</v>
      </c>
      <c r="E543" s="74"/>
      <c r="F543" s="74">
        <v>3.35</v>
      </c>
      <c r="G543" s="74"/>
      <c r="H543" s="74"/>
      <c r="I543" s="74" t="s">
        <v>391</v>
      </c>
      <c r="J543" s="74"/>
      <c r="K543" s="74">
        <v>102.4</v>
      </c>
      <c r="L543" s="74">
        <v>92.16</v>
      </c>
      <c r="M543" s="74"/>
      <c r="N543" s="74" t="s">
        <v>392</v>
      </c>
      <c r="O543" s="74" t="s">
        <v>402</v>
      </c>
      <c r="P543" s="74" t="s">
        <v>11242</v>
      </c>
      <c r="Q543" s="74" t="s">
        <v>11243</v>
      </c>
    </row>
    <row r="544" spans="3:17" x14ac:dyDescent="0.25">
      <c r="C544" s="74" t="s">
        <v>13832</v>
      </c>
      <c r="D544" s="74" t="s">
        <v>13833</v>
      </c>
      <c r="E544" s="74"/>
      <c r="F544" s="74">
        <v>3.35</v>
      </c>
      <c r="G544" s="74"/>
      <c r="H544" s="74"/>
      <c r="I544" s="74" t="s">
        <v>391</v>
      </c>
      <c r="J544" s="74"/>
      <c r="K544" s="74">
        <v>102.4</v>
      </c>
      <c r="L544" s="74">
        <v>92.16</v>
      </c>
      <c r="M544" s="74"/>
      <c r="N544" s="74" t="s">
        <v>392</v>
      </c>
      <c r="O544" s="74" t="s">
        <v>402</v>
      </c>
      <c r="P544" s="74" t="s">
        <v>13834</v>
      </c>
      <c r="Q544" s="74" t="s">
        <v>13835</v>
      </c>
    </row>
    <row r="545" spans="3:17" x14ac:dyDescent="0.25">
      <c r="C545" s="74" t="s">
        <v>20924</v>
      </c>
      <c r="D545" s="74" t="s">
        <v>20925</v>
      </c>
      <c r="E545" s="74"/>
      <c r="F545" s="74">
        <v>3.35</v>
      </c>
      <c r="G545" s="74"/>
      <c r="H545" s="74"/>
      <c r="I545" s="74" t="s">
        <v>391</v>
      </c>
      <c r="J545" s="74"/>
      <c r="K545" s="74">
        <v>102.4</v>
      </c>
      <c r="L545" s="74">
        <v>92.16</v>
      </c>
      <c r="M545" s="74"/>
      <c r="N545" s="74" t="s">
        <v>392</v>
      </c>
      <c r="O545" s="74" t="s">
        <v>402</v>
      </c>
      <c r="P545" s="74" t="s">
        <v>20926</v>
      </c>
      <c r="Q545" s="74" t="s">
        <v>20927</v>
      </c>
    </row>
    <row r="546" spans="3:17" x14ac:dyDescent="0.25">
      <c r="C546" s="74" t="s">
        <v>771</v>
      </c>
      <c r="D546" s="74" t="s">
        <v>772</v>
      </c>
      <c r="E546" s="74"/>
      <c r="F546" s="74">
        <v>3.33</v>
      </c>
      <c r="G546" s="74"/>
      <c r="H546" s="74"/>
      <c r="I546" s="74" t="s">
        <v>391</v>
      </c>
      <c r="J546" s="74"/>
      <c r="K546" s="74">
        <v>102.4</v>
      </c>
      <c r="L546" s="74">
        <v>92.16</v>
      </c>
      <c r="M546" s="74"/>
      <c r="N546" s="74" t="s">
        <v>392</v>
      </c>
      <c r="O546" s="74" t="s">
        <v>402</v>
      </c>
      <c r="P546" s="74" t="s">
        <v>773</v>
      </c>
      <c r="Q546" s="74" t="s">
        <v>774</v>
      </c>
    </row>
    <row r="547" spans="3:17" x14ac:dyDescent="0.25">
      <c r="C547" s="74" t="s">
        <v>6518</v>
      </c>
      <c r="D547" s="74" t="s">
        <v>6519</v>
      </c>
      <c r="E547" s="74"/>
      <c r="F547" s="74">
        <v>3.33</v>
      </c>
      <c r="G547" s="74"/>
      <c r="H547" s="74"/>
      <c r="I547" s="74" t="s">
        <v>391</v>
      </c>
      <c r="J547" s="74"/>
      <c r="K547" s="74">
        <v>102.4</v>
      </c>
      <c r="L547" s="74">
        <v>92.16</v>
      </c>
      <c r="M547" s="74"/>
      <c r="N547" s="74" t="s">
        <v>392</v>
      </c>
      <c r="O547" s="74" t="s">
        <v>402</v>
      </c>
      <c r="P547" s="74" t="s">
        <v>6520</v>
      </c>
      <c r="Q547" s="74" t="s">
        <v>6521</v>
      </c>
    </row>
    <row r="548" spans="3:17" x14ac:dyDescent="0.25">
      <c r="C548" s="74" t="s">
        <v>8201</v>
      </c>
      <c r="D548" s="74" t="s">
        <v>8202</v>
      </c>
      <c r="E548" s="74"/>
      <c r="F548" s="74">
        <v>3.33</v>
      </c>
      <c r="G548" s="74"/>
      <c r="H548" s="74"/>
      <c r="I548" s="74" t="s">
        <v>391</v>
      </c>
      <c r="J548" s="74"/>
      <c r="K548" s="74">
        <v>102.4</v>
      </c>
      <c r="L548" s="74">
        <v>92.16</v>
      </c>
      <c r="M548" s="74"/>
      <c r="N548" s="74" t="s">
        <v>392</v>
      </c>
      <c r="O548" s="74" t="s">
        <v>402</v>
      </c>
      <c r="P548" s="74" t="s">
        <v>8203</v>
      </c>
      <c r="Q548" s="74" t="s">
        <v>8204</v>
      </c>
    </row>
    <row r="549" spans="3:17" x14ac:dyDescent="0.25">
      <c r="C549" s="74" t="s">
        <v>10350</v>
      </c>
      <c r="D549" s="74" t="s">
        <v>10351</v>
      </c>
      <c r="E549" s="74"/>
      <c r="F549" s="74">
        <v>3.33</v>
      </c>
      <c r="G549" s="74"/>
      <c r="H549" s="74"/>
      <c r="I549" s="74" t="s">
        <v>391</v>
      </c>
      <c r="J549" s="74"/>
      <c r="K549" s="74">
        <v>102.4</v>
      </c>
      <c r="L549" s="74">
        <v>92.16</v>
      </c>
      <c r="M549" s="74"/>
      <c r="N549" s="74" t="s">
        <v>392</v>
      </c>
      <c r="O549" s="74" t="s">
        <v>402</v>
      </c>
      <c r="P549" s="74" t="s">
        <v>10352</v>
      </c>
      <c r="Q549" s="74" t="s">
        <v>10353</v>
      </c>
    </row>
    <row r="550" spans="3:17" x14ac:dyDescent="0.25">
      <c r="C550" s="74" t="s">
        <v>10823</v>
      </c>
      <c r="D550" s="74" t="s">
        <v>10824</v>
      </c>
      <c r="E550" s="74"/>
      <c r="F550" s="74">
        <v>3.33</v>
      </c>
      <c r="G550" s="74"/>
      <c r="H550" s="74"/>
      <c r="I550" s="74" t="s">
        <v>391</v>
      </c>
      <c r="J550" s="74"/>
      <c r="K550" s="74">
        <v>102.4</v>
      </c>
      <c r="L550" s="74">
        <v>92.16</v>
      </c>
      <c r="M550" s="74"/>
      <c r="N550" s="74" t="s">
        <v>392</v>
      </c>
      <c r="O550" s="74" t="s">
        <v>402</v>
      </c>
      <c r="P550" s="74" t="s">
        <v>10825</v>
      </c>
      <c r="Q550" s="74" t="s">
        <v>10826</v>
      </c>
    </row>
    <row r="551" spans="3:17" x14ac:dyDescent="0.25">
      <c r="C551" s="74" t="s">
        <v>18900</v>
      </c>
      <c r="D551" s="74" t="s">
        <v>18901</v>
      </c>
      <c r="E551" s="74" t="s">
        <v>391</v>
      </c>
      <c r="F551" s="74">
        <v>3.33</v>
      </c>
      <c r="G551" s="74"/>
      <c r="H551" s="74"/>
      <c r="I551" s="74" t="s">
        <v>391</v>
      </c>
      <c r="J551" s="74"/>
      <c r="K551" s="74">
        <v>102.4</v>
      </c>
      <c r="L551" s="74">
        <v>92.16</v>
      </c>
      <c r="M551" s="74"/>
      <c r="N551" s="74" t="s">
        <v>392</v>
      </c>
      <c r="O551" s="74" t="s">
        <v>393</v>
      </c>
      <c r="P551" s="74" t="s">
        <v>18902</v>
      </c>
      <c r="Q551" s="74" t="s">
        <v>18903</v>
      </c>
    </row>
    <row r="552" spans="3:17" x14ac:dyDescent="0.25">
      <c r="C552" s="74" t="s">
        <v>9885</v>
      </c>
      <c r="D552" s="74" t="s">
        <v>9886</v>
      </c>
      <c r="E552" s="74"/>
      <c r="F552" s="74">
        <v>3.32</v>
      </c>
      <c r="G552" s="74"/>
      <c r="H552" s="74"/>
      <c r="I552" s="74" t="s">
        <v>391</v>
      </c>
      <c r="J552" s="74"/>
      <c r="K552" s="74">
        <v>102.4</v>
      </c>
      <c r="L552" s="74">
        <v>92.16</v>
      </c>
      <c r="M552" s="74"/>
      <c r="N552" s="74" t="s">
        <v>392</v>
      </c>
      <c r="O552" s="74" t="s">
        <v>402</v>
      </c>
      <c r="P552" s="74" t="s">
        <v>9887</v>
      </c>
      <c r="Q552" s="74" t="s">
        <v>9888</v>
      </c>
    </row>
    <row r="553" spans="3:17" x14ac:dyDescent="0.25">
      <c r="C553" s="74" t="s">
        <v>17756</v>
      </c>
      <c r="D553" s="74" t="s">
        <v>17757</v>
      </c>
      <c r="E553" s="74"/>
      <c r="F553" s="74">
        <v>3.32</v>
      </c>
      <c r="G553" s="74"/>
      <c r="H553" s="74"/>
      <c r="I553" s="74" t="s">
        <v>391</v>
      </c>
      <c r="J553" s="74"/>
      <c r="K553" s="74">
        <v>102.4</v>
      </c>
      <c r="L553" s="74">
        <v>92.16</v>
      </c>
      <c r="M553" s="74"/>
      <c r="N553" s="74" t="s">
        <v>392</v>
      </c>
      <c r="O553" s="74" t="s">
        <v>402</v>
      </c>
      <c r="P553" s="74" t="s">
        <v>17758</v>
      </c>
      <c r="Q553" s="74" t="s">
        <v>17759</v>
      </c>
    </row>
    <row r="554" spans="3:17" x14ac:dyDescent="0.25">
      <c r="C554" s="74" t="s">
        <v>6690</v>
      </c>
      <c r="D554" s="74" t="s">
        <v>6691</v>
      </c>
      <c r="E554" s="74"/>
      <c r="F554" s="74">
        <v>3.31</v>
      </c>
      <c r="G554" s="74"/>
      <c r="H554" s="74"/>
      <c r="I554" s="74" t="s">
        <v>391</v>
      </c>
      <c r="J554" s="74"/>
      <c r="K554" s="74">
        <v>102.4</v>
      </c>
      <c r="L554" s="74">
        <v>92.16</v>
      </c>
      <c r="M554" s="74"/>
      <c r="N554" s="74" t="s">
        <v>392</v>
      </c>
      <c r="O554" s="74" t="s">
        <v>402</v>
      </c>
      <c r="P554" s="74" t="s">
        <v>6692</v>
      </c>
      <c r="Q554" s="74" t="s">
        <v>6693</v>
      </c>
    </row>
    <row r="555" spans="3:17" x14ac:dyDescent="0.25">
      <c r="C555" s="74" t="s">
        <v>14667</v>
      </c>
      <c r="D555" s="74" t="s">
        <v>14668</v>
      </c>
      <c r="E555" s="74"/>
      <c r="F555" s="74">
        <v>3.31</v>
      </c>
      <c r="G555" s="74"/>
      <c r="H555" s="74"/>
      <c r="I555" s="74" t="s">
        <v>391</v>
      </c>
      <c r="J555" s="74"/>
      <c r="K555" s="74">
        <v>102.4</v>
      </c>
      <c r="L555" s="74">
        <v>92.16</v>
      </c>
      <c r="M555" s="74"/>
      <c r="N555" s="74" t="s">
        <v>392</v>
      </c>
      <c r="O555" s="74" t="s">
        <v>402</v>
      </c>
      <c r="P555" s="74" t="s">
        <v>14669</v>
      </c>
      <c r="Q555" s="74" t="s">
        <v>14670</v>
      </c>
    </row>
    <row r="556" spans="3:17" x14ac:dyDescent="0.25">
      <c r="C556" s="74" t="s">
        <v>12196</v>
      </c>
      <c r="D556" s="74" t="s">
        <v>12197</v>
      </c>
      <c r="E556" s="74"/>
      <c r="F556" s="74">
        <v>3.3</v>
      </c>
      <c r="G556" s="74"/>
      <c r="H556" s="74"/>
      <c r="I556" s="74" t="s">
        <v>391</v>
      </c>
      <c r="J556" s="74"/>
      <c r="K556" s="74">
        <v>102.4</v>
      </c>
      <c r="L556" s="74">
        <v>92.16</v>
      </c>
      <c r="M556" s="74"/>
      <c r="N556" s="74" t="s">
        <v>392</v>
      </c>
      <c r="O556" s="74" t="s">
        <v>402</v>
      </c>
      <c r="P556" s="74" t="s">
        <v>12198</v>
      </c>
      <c r="Q556" s="74" t="s">
        <v>12199</v>
      </c>
    </row>
    <row r="557" spans="3:17" x14ac:dyDescent="0.25">
      <c r="C557" s="74" t="s">
        <v>20046</v>
      </c>
      <c r="D557" s="74" t="s">
        <v>20047</v>
      </c>
      <c r="E557" s="74"/>
      <c r="F557" s="74">
        <v>3.3</v>
      </c>
      <c r="G557" s="74"/>
      <c r="H557" s="74"/>
      <c r="I557" s="74" t="s">
        <v>391</v>
      </c>
      <c r="J557" s="74"/>
      <c r="K557" s="74">
        <v>102.4</v>
      </c>
      <c r="L557" s="74">
        <v>92.16</v>
      </c>
      <c r="M557" s="74"/>
      <c r="N557" s="74" t="s">
        <v>392</v>
      </c>
      <c r="O557" s="74" t="s">
        <v>402</v>
      </c>
      <c r="P557" s="74" t="s">
        <v>20048</v>
      </c>
      <c r="Q557" s="74" t="s">
        <v>20049</v>
      </c>
    </row>
    <row r="558" spans="3:17" x14ac:dyDescent="0.25">
      <c r="C558" s="74" t="s">
        <v>20662</v>
      </c>
      <c r="D558" s="74" t="s">
        <v>20663</v>
      </c>
      <c r="E558" s="74"/>
      <c r="F558" s="74">
        <v>3.3</v>
      </c>
      <c r="G558" s="74"/>
      <c r="H558" s="74"/>
      <c r="I558" s="74" t="s">
        <v>391</v>
      </c>
      <c r="J558" s="74"/>
      <c r="K558" s="74">
        <v>102.4</v>
      </c>
      <c r="L558" s="74">
        <v>92.16</v>
      </c>
      <c r="M558" s="74"/>
      <c r="N558" s="74" t="s">
        <v>392</v>
      </c>
      <c r="O558" s="74" t="s">
        <v>402</v>
      </c>
      <c r="P558" s="74" t="s">
        <v>20664</v>
      </c>
      <c r="Q558" s="74" t="s">
        <v>20665</v>
      </c>
    </row>
    <row r="559" spans="3:17" x14ac:dyDescent="0.25">
      <c r="C559" s="74" t="s">
        <v>12842</v>
      </c>
      <c r="D559" s="74" t="s">
        <v>12843</v>
      </c>
      <c r="E559" s="74"/>
      <c r="F559" s="74">
        <v>3.29</v>
      </c>
      <c r="G559" s="74"/>
      <c r="H559" s="74"/>
      <c r="I559" s="74" t="s">
        <v>391</v>
      </c>
      <c r="J559" s="74"/>
      <c r="K559" s="74">
        <v>102.4</v>
      </c>
      <c r="L559" s="74">
        <v>92.16</v>
      </c>
      <c r="M559" s="74"/>
      <c r="N559" s="74" t="s">
        <v>392</v>
      </c>
      <c r="O559" s="74" t="s">
        <v>402</v>
      </c>
      <c r="P559" s="74" t="s">
        <v>12844</v>
      </c>
      <c r="Q559" s="74" t="s">
        <v>12845</v>
      </c>
    </row>
    <row r="560" spans="3:17" x14ac:dyDescent="0.25">
      <c r="C560" s="74" t="s">
        <v>3194</v>
      </c>
      <c r="D560" s="74" t="s">
        <v>3195</v>
      </c>
      <c r="E560" s="74"/>
      <c r="F560" s="74">
        <v>3.28</v>
      </c>
      <c r="G560" s="74"/>
      <c r="H560" s="74"/>
      <c r="I560" s="74" t="s">
        <v>391</v>
      </c>
      <c r="J560" s="74"/>
      <c r="K560" s="74">
        <v>102.4</v>
      </c>
      <c r="L560" s="74">
        <v>92.16</v>
      </c>
      <c r="M560" s="74"/>
      <c r="N560" s="74" t="s">
        <v>392</v>
      </c>
      <c r="O560" s="74" t="s">
        <v>402</v>
      </c>
      <c r="P560" s="74" t="s">
        <v>3196</v>
      </c>
      <c r="Q560" s="74" t="s">
        <v>3197</v>
      </c>
    </row>
    <row r="561" spans="3:17" x14ac:dyDescent="0.25">
      <c r="C561" s="74" t="s">
        <v>5523</v>
      </c>
      <c r="D561" s="74" t="s">
        <v>5524</v>
      </c>
      <c r="E561" s="74"/>
      <c r="F561" s="74">
        <v>3.27</v>
      </c>
      <c r="G561" s="74"/>
      <c r="H561" s="74"/>
      <c r="I561" s="74" t="s">
        <v>391</v>
      </c>
      <c r="J561" s="74"/>
      <c r="K561" s="74">
        <v>102.4</v>
      </c>
      <c r="L561" s="74">
        <v>92.16</v>
      </c>
      <c r="M561" s="74"/>
      <c r="N561" s="74" t="s">
        <v>392</v>
      </c>
      <c r="O561" s="74" t="s">
        <v>402</v>
      </c>
      <c r="P561" s="74" t="s">
        <v>5525</v>
      </c>
      <c r="Q561" s="74" t="s">
        <v>5526</v>
      </c>
    </row>
    <row r="562" spans="3:17" x14ac:dyDescent="0.25">
      <c r="C562" s="74" t="s">
        <v>8518</v>
      </c>
      <c r="D562" s="74" t="s">
        <v>8519</v>
      </c>
      <c r="E562" s="74"/>
      <c r="F562" s="74">
        <v>3.27</v>
      </c>
      <c r="G562" s="74"/>
      <c r="H562" s="74"/>
      <c r="I562" s="74" t="s">
        <v>391</v>
      </c>
      <c r="J562" s="74"/>
      <c r="K562" s="74">
        <v>102.4</v>
      </c>
      <c r="L562" s="74">
        <v>92.16</v>
      </c>
      <c r="M562" s="74"/>
      <c r="N562" s="74" t="s">
        <v>392</v>
      </c>
      <c r="O562" s="74" t="s">
        <v>402</v>
      </c>
      <c r="P562" s="74" t="s">
        <v>8520</v>
      </c>
      <c r="Q562" s="74" t="s">
        <v>8521</v>
      </c>
    </row>
    <row r="563" spans="3:17" x14ac:dyDescent="0.25">
      <c r="C563" s="74" t="s">
        <v>9711</v>
      </c>
      <c r="D563" s="74" t="s">
        <v>9712</v>
      </c>
      <c r="E563" s="74"/>
      <c r="F563" s="74">
        <v>3.25</v>
      </c>
      <c r="G563" s="74"/>
      <c r="H563" s="74"/>
      <c r="I563" s="74" t="s">
        <v>391</v>
      </c>
      <c r="J563" s="74"/>
      <c r="K563" s="74">
        <v>102.4</v>
      </c>
      <c r="L563" s="74">
        <v>92.16</v>
      </c>
      <c r="M563" s="74"/>
      <c r="N563" s="74" t="s">
        <v>392</v>
      </c>
      <c r="O563" s="74" t="s">
        <v>402</v>
      </c>
      <c r="P563" s="74" t="s">
        <v>9713</v>
      </c>
      <c r="Q563" s="74" t="s">
        <v>9714</v>
      </c>
    </row>
    <row r="564" spans="3:17" x14ac:dyDescent="0.25">
      <c r="C564" s="74" t="s">
        <v>9721</v>
      </c>
      <c r="D564" s="74" t="s">
        <v>9722</v>
      </c>
      <c r="E564" s="74"/>
      <c r="F564" s="74">
        <v>3.24</v>
      </c>
      <c r="G564" s="74"/>
      <c r="H564" s="74"/>
      <c r="I564" s="74" t="s">
        <v>391</v>
      </c>
      <c r="J564" s="74"/>
      <c r="K564" s="74">
        <v>102.4</v>
      </c>
      <c r="L564" s="74">
        <v>92.16</v>
      </c>
      <c r="M564" s="74"/>
      <c r="N564" s="74" t="s">
        <v>392</v>
      </c>
      <c r="O564" s="74" t="s">
        <v>402</v>
      </c>
      <c r="P564" s="74" t="s">
        <v>9723</v>
      </c>
      <c r="Q564" s="74" t="s">
        <v>9724</v>
      </c>
    </row>
    <row r="565" spans="3:17" x14ac:dyDescent="0.25">
      <c r="C565" s="74" t="s">
        <v>13964</v>
      </c>
      <c r="D565" s="74" t="s">
        <v>13965</v>
      </c>
      <c r="E565" s="74"/>
      <c r="F565" s="74">
        <v>3.24</v>
      </c>
      <c r="G565" s="74"/>
      <c r="H565" s="74"/>
      <c r="I565" s="74" t="s">
        <v>391</v>
      </c>
      <c r="J565" s="74"/>
      <c r="K565" s="74">
        <v>102.4</v>
      </c>
      <c r="L565" s="74">
        <v>92.16</v>
      </c>
      <c r="M565" s="74"/>
      <c r="N565" s="74" t="s">
        <v>392</v>
      </c>
      <c r="O565" s="74" t="s">
        <v>402</v>
      </c>
      <c r="P565" s="74" t="s">
        <v>13966</v>
      </c>
      <c r="Q565" s="74" t="s">
        <v>13967</v>
      </c>
    </row>
    <row r="566" spans="3:17" x14ac:dyDescent="0.25">
      <c r="C566" s="74" t="s">
        <v>17451</v>
      </c>
      <c r="D566" s="74" t="s">
        <v>17452</v>
      </c>
      <c r="E566" s="74"/>
      <c r="F566" s="74">
        <v>3.24</v>
      </c>
      <c r="G566" s="74"/>
      <c r="H566" s="74"/>
      <c r="I566" s="74" t="s">
        <v>391</v>
      </c>
      <c r="J566" s="74"/>
      <c r="K566" s="74">
        <v>102.4</v>
      </c>
      <c r="L566" s="74">
        <v>92.16</v>
      </c>
      <c r="M566" s="74"/>
      <c r="N566" s="74" t="s">
        <v>392</v>
      </c>
      <c r="O566" s="74" t="s">
        <v>402</v>
      </c>
      <c r="P566" s="74" t="s">
        <v>17453</v>
      </c>
      <c r="Q566" s="74" t="s">
        <v>17454</v>
      </c>
    </row>
    <row r="567" spans="3:17" x14ac:dyDescent="0.25">
      <c r="C567" s="74" t="s">
        <v>1207</v>
      </c>
      <c r="D567" s="74" t="s">
        <v>1208</v>
      </c>
      <c r="E567" s="74"/>
      <c r="F567" s="74">
        <v>3.22</v>
      </c>
      <c r="G567" s="74"/>
      <c r="H567" s="74"/>
      <c r="I567" s="74" t="s">
        <v>391</v>
      </c>
      <c r="J567" s="74"/>
      <c r="K567" s="74">
        <v>102.4</v>
      </c>
      <c r="L567" s="74">
        <v>92.16</v>
      </c>
      <c r="M567" s="74"/>
      <c r="N567" s="74" t="s">
        <v>392</v>
      </c>
      <c r="O567" s="74" t="s">
        <v>402</v>
      </c>
      <c r="P567" s="74" t="s">
        <v>1209</v>
      </c>
      <c r="Q567" s="74" t="s">
        <v>1210</v>
      </c>
    </row>
    <row r="568" spans="3:17" x14ac:dyDescent="0.25">
      <c r="C568" s="74" t="s">
        <v>18228</v>
      </c>
      <c r="D568" s="74" t="s">
        <v>18229</v>
      </c>
      <c r="E568" s="74"/>
      <c r="F568" s="74">
        <v>3.21</v>
      </c>
      <c r="G568" s="74"/>
      <c r="H568" s="74"/>
      <c r="I568" s="74" t="s">
        <v>391</v>
      </c>
      <c r="J568" s="74"/>
      <c r="K568" s="74">
        <v>102.4</v>
      </c>
      <c r="L568" s="74">
        <v>92.16</v>
      </c>
      <c r="M568" s="74"/>
      <c r="N568" s="74" t="s">
        <v>392</v>
      </c>
      <c r="O568" s="74" t="s">
        <v>402</v>
      </c>
      <c r="P568" s="74" t="s">
        <v>18230</v>
      </c>
      <c r="Q568" s="74" t="s">
        <v>18231</v>
      </c>
    </row>
    <row r="569" spans="3:17" x14ac:dyDescent="0.25">
      <c r="C569" s="74" t="s">
        <v>8244</v>
      </c>
      <c r="D569" s="74" t="s">
        <v>8245</v>
      </c>
      <c r="E569" s="74"/>
      <c r="F569" s="74">
        <v>3.2</v>
      </c>
      <c r="G569" s="74"/>
      <c r="H569" s="74"/>
      <c r="I569" s="74" t="s">
        <v>391</v>
      </c>
      <c r="J569" s="74"/>
      <c r="K569" s="74">
        <v>102.4</v>
      </c>
      <c r="L569" s="74">
        <v>92.16</v>
      </c>
      <c r="M569" s="74"/>
      <c r="N569" s="74" t="s">
        <v>392</v>
      </c>
      <c r="O569" s="74" t="s">
        <v>402</v>
      </c>
      <c r="P569" s="74" t="s">
        <v>8246</v>
      </c>
      <c r="Q569" s="74" t="s">
        <v>8247</v>
      </c>
    </row>
    <row r="570" spans="3:17" x14ac:dyDescent="0.25">
      <c r="C570" s="74" t="s">
        <v>10070</v>
      </c>
      <c r="D570" s="74" t="s">
        <v>10071</v>
      </c>
      <c r="E570" s="74"/>
      <c r="F570" s="74">
        <v>3.18</v>
      </c>
      <c r="G570" s="74"/>
      <c r="H570" s="74"/>
      <c r="I570" s="74" t="s">
        <v>391</v>
      </c>
      <c r="J570" s="74"/>
      <c r="K570" s="74">
        <v>102.4</v>
      </c>
      <c r="L570" s="74">
        <v>92.16</v>
      </c>
      <c r="M570" s="74"/>
      <c r="N570" s="74" t="s">
        <v>392</v>
      </c>
      <c r="O570" s="74" t="s">
        <v>402</v>
      </c>
      <c r="P570" s="74" t="s">
        <v>10072</v>
      </c>
      <c r="Q570" s="74" t="s">
        <v>10073</v>
      </c>
    </row>
    <row r="571" spans="3:17" x14ac:dyDescent="0.25">
      <c r="C571" s="74" t="s">
        <v>12812</v>
      </c>
      <c r="D571" s="74" t="s">
        <v>12813</v>
      </c>
      <c r="E571" s="74"/>
      <c r="F571" s="74">
        <v>3.18</v>
      </c>
      <c r="G571" s="74"/>
      <c r="H571" s="74"/>
      <c r="I571" s="74" t="s">
        <v>391</v>
      </c>
      <c r="J571" s="74"/>
      <c r="K571" s="74">
        <v>102.4</v>
      </c>
      <c r="L571" s="74">
        <v>92.16</v>
      </c>
      <c r="M571" s="74"/>
      <c r="N571" s="74" t="s">
        <v>392</v>
      </c>
      <c r="O571" s="74" t="s">
        <v>402</v>
      </c>
      <c r="P571" s="74" t="s">
        <v>12814</v>
      </c>
      <c r="Q571" s="74" t="s">
        <v>12815</v>
      </c>
    </row>
    <row r="572" spans="3:17" x14ac:dyDescent="0.25">
      <c r="C572" s="74" t="s">
        <v>10177</v>
      </c>
      <c r="D572" s="74" t="s">
        <v>10178</v>
      </c>
      <c r="E572" s="74"/>
      <c r="F572" s="74">
        <v>3.17</v>
      </c>
      <c r="G572" s="74"/>
      <c r="H572" s="74"/>
      <c r="I572" s="74" t="s">
        <v>391</v>
      </c>
      <c r="J572" s="74"/>
      <c r="K572" s="74">
        <v>102.4</v>
      </c>
      <c r="L572" s="74">
        <v>92.16</v>
      </c>
      <c r="M572" s="74"/>
      <c r="N572" s="74" t="s">
        <v>392</v>
      </c>
      <c r="O572" s="74" t="s">
        <v>402</v>
      </c>
      <c r="P572" s="74" t="s">
        <v>10179</v>
      </c>
      <c r="Q572" s="74" t="s">
        <v>10180</v>
      </c>
    </row>
    <row r="573" spans="3:17" x14ac:dyDescent="0.25">
      <c r="C573" s="74" t="s">
        <v>9265</v>
      </c>
      <c r="D573" s="74" t="s">
        <v>9266</v>
      </c>
      <c r="E573" s="74"/>
      <c r="F573" s="74">
        <v>3.16</v>
      </c>
      <c r="G573" s="74"/>
      <c r="H573" s="74"/>
      <c r="I573" s="74" t="s">
        <v>391</v>
      </c>
      <c r="J573" s="74"/>
      <c r="K573" s="74">
        <v>102.4</v>
      </c>
      <c r="L573" s="74">
        <v>92.16</v>
      </c>
      <c r="M573" s="74"/>
      <c r="N573" s="74" t="s">
        <v>392</v>
      </c>
      <c r="O573" s="74" t="s">
        <v>402</v>
      </c>
      <c r="P573" s="74" t="s">
        <v>9267</v>
      </c>
      <c r="Q573" s="74" t="s">
        <v>9268</v>
      </c>
    </row>
    <row r="574" spans="3:17" x14ac:dyDescent="0.25">
      <c r="C574" s="74" t="s">
        <v>4283</v>
      </c>
      <c r="D574" s="74" t="s">
        <v>4284</v>
      </c>
      <c r="E574" s="74"/>
      <c r="F574" s="74">
        <v>3.15</v>
      </c>
      <c r="G574" s="74"/>
      <c r="H574" s="74"/>
      <c r="I574" s="74" t="s">
        <v>391</v>
      </c>
      <c r="J574" s="74"/>
      <c r="K574" s="74">
        <v>102.4</v>
      </c>
      <c r="L574" s="74">
        <v>92.16</v>
      </c>
      <c r="M574" s="74"/>
      <c r="N574" s="74" t="s">
        <v>392</v>
      </c>
      <c r="O574" s="74" t="s">
        <v>402</v>
      </c>
      <c r="P574" s="74" t="s">
        <v>4285</v>
      </c>
      <c r="Q574" s="74" t="s">
        <v>4286</v>
      </c>
    </row>
    <row r="575" spans="3:17" x14ac:dyDescent="0.25">
      <c r="C575" s="74" t="s">
        <v>9759</v>
      </c>
      <c r="D575" s="74" t="s">
        <v>9760</v>
      </c>
      <c r="E575" s="74"/>
      <c r="F575" s="74">
        <v>3.15</v>
      </c>
      <c r="G575" s="74"/>
      <c r="H575" s="74"/>
      <c r="I575" s="74" t="s">
        <v>391</v>
      </c>
      <c r="J575" s="74"/>
      <c r="K575" s="74">
        <v>102.4</v>
      </c>
      <c r="L575" s="74">
        <v>92.16</v>
      </c>
      <c r="M575" s="74"/>
      <c r="N575" s="74" t="s">
        <v>392</v>
      </c>
      <c r="O575" s="74" t="s">
        <v>402</v>
      </c>
      <c r="P575" s="74" t="s">
        <v>9761</v>
      </c>
      <c r="Q575" s="74" t="s">
        <v>9762</v>
      </c>
    </row>
    <row r="576" spans="3:17" x14ac:dyDescent="0.25">
      <c r="C576" s="74" t="s">
        <v>5871</v>
      </c>
      <c r="D576" s="74" t="s">
        <v>5872</v>
      </c>
      <c r="E576" s="74"/>
      <c r="F576" s="74">
        <v>3.14</v>
      </c>
      <c r="G576" s="74"/>
      <c r="H576" s="74"/>
      <c r="I576" s="74" t="s">
        <v>391</v>
      </c>
      <c r="J576" s="74"/>
      <c r="K576" s="74">
        <v>102.4</v>
      </c>
      <c r="L576" s="74">
        <v>92.16</v>
      </c>
      <c r="M576" s="74"/>
      <c r="N576" s="74" t="s">
        <v>392</v>
      </c>
      <c r="O576" s="74" t="s">
        <v>402</v>
      </c>
      <c r="P576" s="74" t="s">
        <v>5873</v>
      </c>
      <c r="Q576" s="74" t="s">
        <v>5874</v>
      </c>
    </row>
    <row r="577" spans="3:17" x14ac:dyDescent="0.25">
      <c r="C577" s="74" t="s">
        <v>7660</v>
      </c>
      <c r="D577" s="74" t="s">
        <v>7661</v>
      </c>
      <c r="E577" s="74"/>
      <c r="F577" s="74">
        <v>3.14</v>
      </c>
      <c r="G577" s="74"/>
      <c r="H577" s="74"/>
      <c r="I577" s="74" t="s">
        <v>391</v>
      </c>
      <c r="J577" s="74"/>
      <c r="K577" s="74">
        <v>102.4</v>
      </c>
      <c r="L577" s="74">
        <v>92.16</v>
      </c>
      <c r="M577" s="74"/>
      <c r="N577" s="74" t="s">
        <v>392</v>
      </c>
      <c r="O577" s="74" t="s">
        <v>402</v>
      </c>
      <c r="P577" s="74" t="s">
        <v>7662</v>
      </c>
      <c r="Q577" s="74" t="s">
        <v>7663</v>
      </c>
    </row>
    <row r="578" spans="3:17" x14ac:dyDescent="0.25">
      <c r="C578" s="74" t="s">
        <v>1084</v>
      </c>
      <c r="D578" s="74" t="s">
        <v>1085</v>
      </c>
      <c r="E578" s="74"/>
      <c r="F578" s="74">
        <v>3.13</v>
      </c>
      <c r="G578" s="74"/>
      <c r="H578" s="74"/>
      <c r="I578" s="74" t="s">
        <v>391</v>
      </c>
      <c r="J578" s="74"/>
      <c r="K578" s="74">
        <v>102.4</v>
      </c>
      <c r="L578" s="74">
        <v>92.16</v>
      </c>
      <c r="M578" s="74"/>
      <c r="N578" s="74" t="s">
        <v>392</v>
      </c>
      <c r="O578" s="74" t="s">
        <v>402</v>
      </c>
      <c r="P578" s="74" t="s">
        <v>1086</v>
      </c>
      <c r="Q578" s="74" t="s">
        <v>1087</v>
      </c>
    </row>
    <row r="579" spans="3:17" x14ac:dyDescent="0.25">
      <c r="C579" s="74" t="s">
        <v>7020</v>
      </c>
      <c r="D579" s="74" t="s">
        <v>7021</v>
      </c>
      <c r="E579" s="74"/>
      <c r="F579" s="74">
        <v>3.13</v>
      </c>
      <c r="G579" s="74"/>
      <c r="H579" s="74"/>
      <c r="I579" s="74" t="s">
        <v>391</v>
      </c>
      <c r="J579" s="74"/>
      <c r="K579" s="74">
        <v>102.4</v>
      </c>
      <c r="L579" s="74">
        <v>92.16</v>
      </c>
      <c r="M579" s="74"/>
      <c r="N579" s="74" t="s">
        <v>392</v>
      </c>
      <c r="O579" s="74" t="s">
        <v>402</v>
      </c>
      <c r="P579" s="74" t="s">
        <v>7022</v>
      </c>
      <c r="Q579" s="74" t="s">
        <v>7023</v>
      </c>
    </row>
    <row r="580" spans="3:17" x14ac:dyDescent="0.25">
      <c r="C580" s="74" t="s">
        <v>9211</v>
      </c>
      <c r="D580" s="74" t="s">
        <v>9212</v>
      </c>
      <c r="E580" s="74"/>
      <c r="F580" s="74">
        <v>3.11</v>
      </c>
      <c r="G580" s="74"/>
      <c r="H580" s="74"/>
      <c r="I580" s="74" t="s">
        <v>391</v>
      </c>
      <c r="J580" s="74"/>
      <c r="K580" s="74">
        <v>102.4</v>
      </c>
      <c r="L580" s="74">
        <v>92.16</v>
      </c>
      <c r="M580" s="74"/>
      <c r="N580" s="74" t="s">
        <v>392</v>
      </c>
      <c r="O580" s="74" t="s">
        <v>402</v>
      </c>
      <c r="P580" s="74" t="s">
        <v>9213</v>
      </c>
      <c r="Q580" s="74" t="s">
        <v>9214</v>
      </c>
    </row>
    <row r="581" spans="3:17" x14ac:dyDescent="0.25">
      <c r="C581" s="74" t="s">
        <v>18777</v>
      </c>
      <c r="D581" s="74" t="s">
        <v>18778</v>
      </c>
      <c r="E581" s="74"/>
      <c r="F581" s="74">
        <v>3.11</v>
      </c>
      <c r="G581" s="74"/>
      <c r="H581" s="74"/>
      <c r="I581" s="74" t="s">
        <v>391</v>
      </c>
      <c r="J581" s="74"/>
      <c r="K581" s="74">
        <v>102.4</v>
      </c>
      <c r="L581" s="74">
        <v>92.16</v>
      </c>
      <c r="M581" s="74"/>
      <c r="N581" s="74" t="s">
        <v>392</v>
      </c>
      <c r="O581" s="74" t="s">
        <v>402</v>
      </c>
      <c r="P581" s="74" t="s">
        <v>18779</v>
      </c>
      <c r="Q581" s="74" t="s">
        <v>18780</v>
      </c>
    </row>
    <row r="582" spans="3:17" x14ac:dyDescent="0.25">
      <c r="C582" s="74" t="s">
        <v>14235</v>
      </c>
      <c r="D582" s="74" t="s">
        <v>14236</v>
      </c>
      <c r="E582" s="74"/>
      <c r="F582" s="74">
        <v>3.1</v>
      </c>
      <c r="G582" s="74"/>
      <c r="H582" s="74"/>
      <c r="I582" s="74" t="s">
        <v>391</v>
      </c>
      <c r="J582" s="74"/>
      <c r="K582" s="74">
        <v>102.4</v>
      </c>
      <c r="L582" s="74">
        <v>92.16</v>
      </c>
      <c r="M582" s="74"/>
      <c r="N582" s="74" t="s">
        <v>392</v>
      </c>
      <c r="O582" s="74" t="s">
        <v>402</v>
      </c>
      <c r="P582" s="74" t="s">
        <v>14237</v>
      </c>
      <c r="Q582" s="74" t="s">
        <v>14238</v>
      </c>
    </row>
    <row r="583" spans="3:17" x14ac:dyDescent="0.25">
      <c r="C583" s="74" t="s">
        <v>7587</v>
      </c>
      <c r="D583" s="74" t="s">
        <v>7588</v>
      </c>
      <c r="E583" s="74"/>
      <c r="F583" s="74">
        <v>3.09</v>
      </c>
      <c r="G583" s="74"/>
      <c r="H583" s="74"/>
      <c r="I583" s="74" t="s">
        <v>391</v>
      </c>
      <c r="J583" s="74"/>
      <c r="K583" s="74">
        <v>102.4</v>
      </c>
      <c r="L583" s="74">
        <v>92.16</v>
      </c>
      <c r="M583" s="74"/>
      <c r="N583" s="74" t="s">
        <v>392</v>
      </c>
      <c r="O583" s="74" t="s">
        <v>402</v>
      </c>
      <c r="P583" s="74" t="s">
        <v>7589</v>
      </c>
      <c r="Q583" s="74" t="s">
        <v>7590</v>
      </c>
    </row>
    <row r="584" spans="3:17" x14ac:dyDescent="0.25">
      <c r="C584" s="74" t="s">
        <v>19352</v>
      </c>
      <c r="D584" s="74" t="s">
        <v>19353</v>
      </c>
      <c r="E584" s="74"/>
      <c r="F584" s="74">
        <v>3.08</v>
      </c>
      <c r="G584" s="74"/>
      <c r="H584" s="74"/>
      <c r="I584" s="74" t="s">
        <v>391</v>
      </c>
      <c r="J584" s="74"/>
      <c r="K584" s="74">
        <v>102.4</v>
      </c>
      <c r="L584" s="74">
        <v>92.16</v>
      </c>
      <c r="M584" s="74"/>
      <c r="N584" s="74" t="s">
        <v>392</v>
      </c>
      <c r="O584" s="74" t="s">
        <v>402</v>
      </c>
      <c r="P584" s="74" t="s">
        <v>19354</v>
      </c>
      <c r="Q584" s="74" t="s">
        <v>19355</v>
      </c>
    </row>
    <row r="585" spans="3:17" x14ac:dyDescent="0.25">
      <c r="C585" s="74" t="s">
        <v>17706</v>
      </c>
      <c r="D585" s="74" t="s">
        <v>17707</v>
      </c>
      <c r="E585" s="74"/>
      <c r="F585" s="74">
        <v>3.06</v>
      </c>
      <c r="G585" s="74"/>
      <c r="H585" s="74"/>
      <c r="I585" s="74" t="s">
        <v>391</v>
      </c>
      <c r="J585" s="74"/>
      <c r="K585" s="74">
        <v>102.4</v>
      </c>
      <c r="L585" s="74">
        <v>92.16</v>
      </c>
      <c r="M585" s="74"/>
      <c r="N585" s="74" t="s">
        <v>392</v>
      </c>
      <c r="O585" s="74" t="s">
        <v>402</v>
      </c>
      <c r="P585" s="74" t="s">
        <v>17708</v>
      </c>
      <c r="Q585" s="74" t="s">
        <v>17709</v>
      </c>
    </row>
    <row r="586" spans="3:17" x14ac:dyDescent="0.25">
      <c r="C586" s="74" t="s">
        <v>6484</v>
      </c>
      <c r="D586" s="74" t="s">
        <v>6485</v>
      </c>
      <c r="E586" s="74"/>
      <c r="F586" s="74">
        <v>3.05</v>
      </c>
      <c r="G586" s="74"/>
      <c r="H586" s="74"/>
      <c r="I586" s="74" t="s">
        <v>391</v>
      </c>
      <c r="J586" s="74"/>
      <c r="K586" s="74">
        <v>102.4</v>
      </c>
      <c r="L586" s="74">
        <v>92.16</v>
      </c>
      <c r="M586" s="74"/>
      <c r="N586" s="74" t="s">
        <v>392</v>
      </c>
      <c r="O586" s="74" t="s">
        <v>402</v>
      </c>
      <c r="P586" s="74" t="s">
        <v>6486</v>
      </c>
      <c r="Q586" s="74" t="s">
        <v>6487</v>
      </c>
    </row>
    <row r="587" spans="3:17" x14ac:dyDescent="0.25">
      <c r="C587" s="74" t="s">
        <v>20688</v>
      </c>
      <c r="D587" s="74" t="s">
        <v>20689</v>
      </c>
      <c r="E587" s="74"/>
      <c r="F587" s="74">
        <v>3.05</v>
      </c>
      <c r="G587" s="74"/>
      <c r="H587" s="74"/>
      <c r="I587" s="74" t="s">
        <v>391</v>
      </c>
      <c r="J587" s="74"/>
      <c r="K587" s="74">
        <v>102.4</v>
      </c>
      <c r="L587" s="74">
        <v>92.16</v>
      </c>
      <c r="M587" s="74"/>
      <c r="N587" s="74" t="s">
        <v>392</v>
      </c>
      <c r="O587" s="74" t="s">
        <v>402</v>
      </c>
      <c r="P587" s="74" t="s">
        <v>20690</v>
      </c>
      <c r="Q587" s="74" t="s">
        <v>20691</v>
      </c>
    </row>
    <row r="588" spans="3:17" x14ac:dyDescent="0.25">
      <c r="C588" s="74" t="s">
        <v>17430</v>
      </c>
      <c r="D588" s="74" t="s">
        <v>17431</v>
      </c>
      <c r="E588" s="74"/>
      <c r="F588" s="74">
        <v>3.03</v>
      </c>
      <c r="G588" s="74"/>
      <c r="H588" s="74"/>
      <c r="I588" s="74" t="s">
        <v>391</v>
      </c>
      <c r="J588" s="74"/>
      <c r="K588" s="74">
        <v>102.4</v>
      </c>
      <c r="L588" s="74">
        <v>92.16</v>
      </c>
      <c r="M588" s="74"/>
      <c r="N588" s="74" t="s">
        <v>392</v>
      </c>
      <c r="O588" s="74" t="s">
        <v>402</v>
      </c>
      <c r="P588" s="74" t="s">
        <v>17432</v>
      </c>
      <c r="Q588" s="74" t="s">
        <v>17433</v>
      </c>
    </row>
    <row r="589" spans="3:17" x14ac:dyDescent="0.25">
      <c r="C589" s="74" t="s">
        <v>10037</v>
      </c>
      <c r="D589" s="74" t="s">
        <v>10038</v>
      </c>
      <c r="E589" s="74"/>
      <c r="F589" s="74">
        <v>3.01</v>
      </c>
      <c r="G589" s="74"/>
      <c r="H589" s="74"/>
      <c r="I589" s="74" t="s">
        <v>391</v>
      </c>
      <c r="J589" s="74"/>
      <c r="K589" s="74">
        <v>102.4</v>
      </c>
      <c r="L589" s="74">
        <v>92.16</v>
      </c>
      <c r="M589" s="74"/>
      <c r="N589" s="74" t="s">
        <v>392</v>
      </c>
      <c r="O589" s="74" t="s">
        <v>402</v>
      </c>
      <c r="P589" s="74" t="s">
        <v>10039</v>
      </c>
      <c r="Q589" s="74" t="s">
        <v>10040</v>
      </c>
    </row>
    <row r="590" spans="3:17" x14ac:dyDescent="0.25">
      <c r="C590" s="158" t="s">
        <v>9531</v>
      </c>
      <c r="D590" s="158" t="s">
        <v>9532</v>
      </c>
      <c r="F590" s="158">
        <v>2.99</v>
      </c>
      <c r="I590" s="158" t="s">
        <v>391</v>
      </c>
      <c r="K590" s="158">
        <v>102.4</v>
      </c>
      <c r="L590" s="158">
        <v>92.16</v>
      </c>
      <c r="N590" s="158" t="s">
        <v>392</v>
      </c>
      <c r="O590" s="158" t="s">
        <v>402</v>
      </c>
      <c r="P590" s="158" t="s">
        <v>9533</v>
      </c>
      <c r="Q590" s="158" t="s">
        <v>9534</v>
      </c>
    </row>
    <row r="591" spans="3:17" x14ac:dyDescent="0.25">
      <c r="C591" s="74" t="s">
        <v>12055</v>
      </c>
      <c r="D591" s="74" t="s">
        <v>12056</v>
      </c>
      <c r="E591" s="74"/>
      <c r="F591" s="74">
        <v>2.98</v>
      </c>
      <c r="G591" s="74"/>
      <c r="H591" s="74"/>
      <c r="I591" s="74" t="s">
        <v>391</v>
      </c>
      <c r="J591" s="74"/>
      <c r="K591" s="74">
        <v>102.4</v>
      </c>
      <c r="L591" s="74">
        <v>92.16</v>
      </c>
      <c r="M591" s="74"/>
      <c r="N591" s="74" t="s">
        <v>392</v>
      </c>
      <c r="O591" s="74" t="s">
        <v>402</v>
      </c>
      <c r="P591" s="74" t="s">
        <v>12057</v>
      </c>
      <c r="Q591" s="74" t="s">
        <v>12058</v>
      </c>
    </row>
    <row r="592" spans="3:17" x14ac:dyDescent="0.25">
      <c r="C592" s="74" t="s">
        <v>4979</v>
      </c>
      <c r="D592" s="74" t="s">
        <v>4980</v>
      </c>
      <c r="E592" s="74"/>
      <c r="F592" s="74">
        <v>2.97</v>
      </c>
      <c r="G592" s="74"/>
      <c r="H592" s="74"/>
      <c r="I592" s="74" t="s">
        <v>391</v>
      </c>
      <c r="J592" s="74"/>
      <c r="K592" s="74">
        <v>102.4</v>
      </c>
      <c r="L592" s="74">
        <v>92.16</v>
      </c>
      <c r="M592" s="74"/>
      <c r="N592" s="74" t="s">
        <v>392</v>
      </c>
      <c r="O592" s="74" t="s">
        <v>402</v>
      </c>
      <c r="P592" s="74" t="s">
        <v>4981</v>
      </c>
      <c r="Q592" s="74" t="s">
        <v>4982</v>
      </c>
    </row>
    <row r="593" spans="3:17" x14ac:dyDescent="0.25">
      <c r="C593" s="74" t="s">
        <v>5220</v>
      </c>
      <c r="D593" s="74" t="s">
        <v>5221</v>
      </c>
      <c r="E593" s="74"/>
      <c r="F593" s="74">
        <v>2.97</v>
      </c>
      <c r="G593" s="74"/>
      <c r="H593" s="74"/>
      <c r="I593" s="74" t="s">
        <v>391</v>
      </c>
      <c r="J593" s="74"/>
      <c r="K593" s="74">
        <v>102.4</v>
      </c>
      <c r="L593" s="74">
        <v>92.16</v>
      </c>
      <c r="M593" s="74"/>
      <c r="N593" s="74" t="s">
        <v>392</v>
      </c>
      <c r="O593" s="74" t="s">
        <v>402</v>
      </c>
      <c r="P593" s="74" t="s">
        <v>5222</v>
      </c>
      <c r="Q593" s="74" t="s">
        <v>5223</v>
      </c>
    </row>
    <row r="594" spans="3:17" x14ac:dyDescent="0.25">
      <c r="C594" s="74" t="s">
        <v>9767</v>
      </c>
      <c r="D594" s="74" t="s">
        <v>9768</v>
      </c>
      <c r="E594" s="74"/>
      <c r="F594" s="74">
        <v>2.97</v>
      </c>
      <c r="G594" s="74"/>
      <c r="H594" s="74"/>
      <c r="I594" s="74" t="s">
        <v>391</v>
      </c>
      <c r="J594" s="74"/>
      <c r="K594" s="74">
        <v>102.4</v>
      </c>
      <c r="L594" s="74">
        <v>92.16</v>
      </c>
      <c r="M594" s="74"/>
      <c r="N594" s="74" t="s">
        <v>392</v>
      </c>
      <c r="O594" s="74" t="s">
        <v>402</v>
      </c>
      <c r="P594" s="74" t="s">
        <v>9769</v>
      </c>
      <c r="Q594" s="74" t="s">
        <v>9770</v>
      </c>
    </row>
    <row r="595" spans="3:17" x14ac:dyDescent="0.25">
      <c r="C595" s="74" t="s">
        <v>11337</v>
      </c>
      <c r="D595" s="74" t="s">
        <v>11338</v>
      </c>
      <c r="E595" s="74"/>
      <c r="F595" s="74">
        <v>2.97</v>
      </c>
      <c r="G595" s="74"/>
      <c r="H595" s="74"/>
      <c r="I595" s="74" t="s">
        <v>391</v>
      </c>
      <c r="J595" s="74"/>
      <c r="K595" s="74">
        <v>102.4</v>
      </c>
      <c r="L595" s="74">
        <v>92.16</v>
      </c>
      <c r="M595" s="74"/>
      <c r="N595" s="74" t="s">
        <v>392</v>
      </c>
      <c r="O595" s="74" t="s">
        <v>402</v>
      </c>
      <c r="P595" s="74" t="s">
        <v>11339</v>
      </c>
      <c r="Q595" s="74" t="s">
        <v>11340</v>
      </c>
    </row>
    <row r="596" spans="3:17" x14ac:dyDescent="0.25">
      <c r="C596" s="74" t="s">
        <v>19817</v>
      </c>
      <c r="D596" s="74" t="s">
        <v>19818</v>
      </c>
      <c r="E596" s="74"/>
      <c r="F596" s="74">
        <v>2.97</v>
      </c>
      <c r="G596" s="74"/>
      <c r="H596" s="74"/>
      <c r="I596" s="74" t="s">
        <v>391</v>
      </c>
      <c r="J596" s="74"/>
      <c r="K596" s="74">
        <v>102.4</v>
      </c>
      <c r="L596" s="74">
        <v>92.16</v>
      </c>
      <c r="M596" s="74"/>
      <c r="N596" s="74" t="s">
        <v>392</v>
      </c>
      <c r="O596" s="74" t="s">
        <v>402</v>
      </c>
      <c r="P596" s="74" t="s">
        <v>19819</v>
      </c>
      <c r="Q596" s="74" t="s">
        <v>19820</v>
      </c>
    </row>
    <row r="597" spans="3:17" x14ac:dyDescent="0.25">
      <c r="C597" s="74" t="s">
        <v>3297</v>
      </c>
      <c r="D597" s="74" t="s">
        <v>3298</v>
      </c>
      <c r="E597" s="74"/>
      <c r="F597" s="74">
        <v>2.96</v>
      </c>
      <c r="G597" s="74"/>
      <c r="H597" s="74"/>
      <c r="I597" s="74" t="s">
        <v>391</v>
      </c>
      <c r="J597" s="74"/>
      <c r="K597" s="74">
        <v>102.4</v>
      </c>
      <c r="L597" s="74">
        <v>92.16</v>
      </c>
      <c r="M597" s="74"/>
      <c r="N597" s="74" t="s">
        <v>392</v>
      </c>
      <c r="O597" s="74" t="s">
        <v>402</v>
      </c>
      <c r="P597" s="74" t="s">
        <v>3299</v>
      </c>
      <c r="Q597" s="74" t="s">
        <v>3300</v>
      </c>
    </row>
    <row r="598" spans="3:17" x14ac:dyDescent="0.25">
      <c r="C598" s="74" t="s">
        <v>7558</v>
      </c>
      <c r="D598" s="74" t="s">
        <v>7559</v>
      </c>
      <c r="E598" s="74"/>
      <c r="F598" s="74">
        <v>2.96</v>
      </c>
      <c r="G598" s="74"/>
      <c r="H598" s="74"/>
      <c r="I598" s="74" t="s">
        <v>391</v>
      </c>
      <c r="J598" s="74"/>
      <c r="K598" s="74">
        <v>102.4</v>
      </c>
      <c r="L598" s="74">
        <v>92.16</v>
      </c>
      <c r="M598" s="74"/>
      <c r="N598" s="74" t="s">
        <v>392</v>
      </c>
      <c r="O598" s="74" t="s">
        <v>402</v>
      </c>
      <c r="P598" s="74" t="s">
        <v>7560</v>
      </c>
      <c r="Q598" s="74" t="s">
        <v>7561</v>
      </c>
    </row>
    <row r="599" spans="3:17" x14ac:dyDescent="0.25">
      <c r="C599" s="74" t="s">
        <v>8919</v>
      </c>
      <c r="D599" s="74" t="s">
        <v>8920</v>
      </c>
      <c r="E599" s="74"/>
      <c r="F599" s="74">
        <v>2.96</v>
      </c>
      <c r="G599" s="74"/>
      <c r="H599" s="74"/>
      <c r="I599" s="74" t="s">
        <v>391</v>
      </c>
      <c r="J599" s="74"/>
      <c r="K599" s="74">
        <v>102.4</v>
      </c>
      <c r="L599" s="74">
        <v>92.16</v>
      </c>
      <c r="M599" s="74"/>
      <c r="N599" s="74" t="s">
        <v>392</v>
      </c>
      <c r="O599" s="74" t="s">
        <v>402</v>
      </c>
      <c r="P599" s="74" t="s">
        <v>8921</v>
      </c>
      <c r="Q599" s="74" t="s">
        <v>8922</v>
      </c>
    </row>
    <row r="600" spans="3:17" x14ac:dyDescent="0.25">
      <c r="C600" s="74" t="s">
        <v>1993</v>
      </c>
      <c r="D600" s="74" t="s">
        <v>1994</v>
      </c>
      <c r="E600" s="74"/>
      <c r="F600" s="74">
        <v>2.94</v>
      </c>
      <c r="G600" s="74"/>
      <c r="H600" s="74"/>
      <c r="I600" s="74" t="s">
        <v>391</v>
      </c>
      <c r="J600" s="74"/>
      <c r="K600" s="74">
        <v>102.4</v>
      </c>
      <c r="L600" s="74">
        <v>92.16</v>
      </c>
      <c r="M600" s="74"/>
      <c r="N600" s="74" t="s">
        <v>392</v>
      </c>
      <c r="O600" s="74" t="s">
        <v>402</v>
      </c>
      <c r="P600" s="74" t="s">
        <v>1995</v>
      </c>
      <c r="Q600" s="74" t="s">
        <v>1996</v>
      </c>
    </row>
    <row r="601" spans="3:17" x14ac:dyDescent="0.25">
      <c r="C601" s="74" t="s">
        <v>5482</v>
      </c>
      <c r="D601" s="74" t="s">
        <v>5483</v>
      </c>
      <c r="E601" s="74"/>
      <c r="F601" s="74">
        <v>2.93</v>
      </c>
      <c r="G601" s="74"/>
      <c r="H601" s="74"/>
      <c r="I601" s="74" t="s">
        <v>391</v>
      </c>
      <c r="J601" s="74"/>
      <c r="K601" s="74">
        <v>102.4</v>
      </c>
      <c r="L601" s="74">
        <v>92.16</v>
      </c>
      <c r="M601" s="74"/>
      <c r="N601" s="74" t="s">
        <v>392</v>
      </c>
      <c r="O601" s="74" t="s">
        <v>402</v>
      </c>
      <c r="P601" s="74" t="s">
        <v>5484</v>
      </c>
      <c r="Q601" s="74" t="s">
        <v>5485</v>
      </c>
    </row>
    <row r="602" spans="3:17" x14ac:dyDescent="0.25">
      <c r="C602" s="74" t="s">
        <v>4499</v>
      </c>
      <c r="D602" s="74" t="s">
        <v>4500</v>
      </c>
      <c r="E602" s="74"/>
      <c r="F602" s="74">
        <v>2.91</v>
      </c>
      <c r="G602" s="74"/>
      <c r="H602" s="74"/>
      <c r="I602" s="74" t="s">
        <v>391</v>
      </c>
      <c r="J602" s="74"/>
      <c r="K602" s="74">
        <v>102.4</v>
      </c>
      <c r="L602" s="74">
        <v>92.16</v>
      </c>
      <c r="M602" s="74"/>
      <c r="N602" s="74" t="s">
        <v>392</v>
      </c>
      <c r="O602" s="74" t="s">
        <v>402</v>
      </c>
      <c r="P602" s="74" t="s">
        <v>4501</v>
      </c>
      <c r="Q602" s="74" t="s">
        <v>4502</v>
      </c>
    </row>
    <row r="603" spans="3:17" x14ac:dyDescent="0.25">
      <c r="C603" s="74" t="s">
        <v>9981</v>
      </c>
      <c r="D603" s="74" t="s">
        <v>9982</v>
      </c>
      <c r="E603" s="74"/>
      <c r="F603" s="74">
        <v>2.91</v>
      </c>
      <c r="G603" s="74"/>
      <c r="H603" s="74"/>
      <c r="I603" s="74" t="s">
        <v>391</v>
      </c>
      <c r="J603" s="74"/>
      <c r="K603" s="74">
        <v>102.4</v>
      </c>
      <c r="L603" s="74">
        <v>92.16</v>
      </c>
      <c r="M603" s="74"/>
      <c r="N603" s="74" t="s">
        <v>392</v>
      </c>
      <c r="O603" s="74" t="s">
        <v>402</v>
      </c>
      <c r="P603" s="74" t="s">
        <v>9983</v>
      </c>
      <c r="Q603" s="74" t="s">
        <v>9984</v>
      </c>
    </row>
    <row r="604" spans="3:17" x14ac:dyDescent="0.25">
      <c r="C604" s="74" t="s">
        <v>11710</v>
      </c>
      <c r="D604" s="74" t="s">
        <v>11711</v>
      </c>
      <c r="E604" s="74"/>
      <c r="F604" s="74">
        <v>2.9</v>
      </c>
      <c r="G604" s="74"/>
      <c r="H604" s="74"/>
      <c r="I604" s="74" t="s">
        <v>391</v>
      </c>
      <c r="J604" s="74"/>
      <c r="K604" s="74">
        <v>102.4</v>
      </c>
      <c r="L604" s="74">
        <v>92.16</v>
      </c>
      <c r="M604" s="74"/>
      <c r="N604" s="74" t="s">
        <v>392</v>
      </c>
      <c r="O604" s="74" t="s">
        <v>402</v>
      </c>
      <c r="P604" s="74" t="s">
        <v>11712</v>
      </c>
      <c r="Q604" s="74" t="s">
        <v>11713</v>
      </c>
    </row>
    <row r="605" spans="3:17" x14ac:dyDescent="0.25">
      <c r="C605" s="74" t="s">
        <v>19558</v>
      </c>
      <c r="D605" s="74" t="s">
        <v>19559</v>
      </c>
      <c r="E605" s="74"/>
      <c r="F605" s="74">
        <v>2.9</v>
      </c>
      <c r="G605" s="74"/>
      <c r="H605" s="74"/>
      <c r="I605" s="74" t="s">
        <v>391</v>
      </c>
      <c r="J605" s="74"/>
      <c r="K605" s="74">
        <v>102.4</v>
      </c>
      <c r="L605" s="74">
        <v>92.16</v>
      </c>
      <c r="M605" s="74"/>
      <c r="N605" s="74" t="s">
        <v>392</v>
      </c>
      <c r="O605" s="74" t="s">
        <v>402</v>
      </c>
      <c r="P605" s="74" t="s">
        <v>19560</v>
      </c>
      <c r="Q605" s="74" t="s">
        <v>19561</v>
      </c>
    </row>
    <row r="606" spans="3:17" x14ac:dyDescent="0.25">
      <c r="C606" s="74" t="s">
        <v>19712</v>
      </c>
      <c r="D606" s="74" t="s">
        <v>19713</v>
      </c>
      <c r="E606" s="74"/>
      <c r="F606" s="74">
        <v>2.9</v>
      </c>
      <c r="G606" s="74"/>
      <c r="H606" s="74"/>
      <c r="I606" s="74" t="s">
        <v>391</v>
      </c>
      <c r="J606" s="74"/>
      <c r="K606" s="74">
        <v>102.4</v>
      </c>
      <c r="L606" s="74">
        <v>92.16</v>
      </c>
      <c r="M606" s="74"/>
      <c r="N606" s="74" t="s">
        <v>392</v>
      </c>
      <c r="O606" s="74" t="s">
        <v>402</v>
      </c>
      <c r="P606" s="74" t="s">
        <v>19714</v>
      </c>
      <c r="Q606" s="74" t="s">
        <v>19715</v>
      </c>
    </row>
    <row r="607" spans="3:17" x14ac:dyDescent="0.25">
      <c r="C607" s="74" t="s">
        <v>9967</v>
      </c>
      <c r="D607" s="74" t="s">
        <v>9968</v>
      </c>
      <c r="E607" s="74"/>
      <c r="F607" s="74">
        <v>2.89</v>
      </c>
      <c r="G607" s="74"/>
      <c r="H607" s="74"/>
      <c r="I607" s="74" t="s">
        <v>391</v>
      </c>
      <c r="J607" s="74"/>
      <c r="K607" s="74">
        <v>102.4</v>
      </c>
      <c r="L607" s="74">
        <v>92.16</v>
      </c>
      <c r="M607" s="74"/>
      <c r="N607" s="74" t="s">
        <v>392</v>
      </c>
      <c r="O607" s="74" t="s">
        <v>402</v>
      </c>
      <c r="P607" s="74" t="s">
        <v>9969</v>
      </c>
      <c r="Q607" s="74" t="s">
        <v>9970</v>
      </c>
    </row>
    <row r="608" spans="3:17" x14ac:dyDescent="0.25">
      <c r="C608" s="74" t="s">
        <v>14181</v>
      </c>
      <c r="D608" s="74" t="s">
        <v>14182</v>
      </c>
      <c r="E608" s="74"/>
      <c r="F608" s="74">
        <v>2.89</v>
      </c>
      <c r="G608" s="74"/>
      <c r="H608" s="74"/>
      <c r="I608" s="74" t="s">
        <v>391</v>
      </c>
      <c r="J608" s="74"/>
      <c r="K608" s="74">
        <v>102.4</v>
      </c>
      <c r="L608" s="74">
        <v>92.16</v>
      </c>
      <c r="M608" s="74"/>
      <c r="N608" s="74" t="s">
        <v>392</v>
      </c>
      <c r="O608" s="74" t="s">
        <v>402</v>
      </c>
      <c r="P608" s="74" t="s">
        <v>14183</v>
      </c>
      <c r="Q608" s="74" t="s">
        <v>14184</v>
      </c>
    </row>
    <row r="609" spans="3:17" x14ac:dyDescent="0.25">
      <c r="C609" s="74" t="s">
        <v>19171</v>
      </c>
      <c r="D609" s="74" t="s">
        <v>19172</v>
      </c>
      <c r="E609" s="74"/>
      <c r="F609" s="74">
        <v>2.89</v>
      </c>
      <c r="G609" s="74"/>
      <c r="H609" s="74"/>
      <c r="I609" s="74" t="s">
        <v>391</v>
      </c>
      <c r="J609" s="74"/>
      <c r="K609" s="74">
        <v>102.4</v>
      </c>
      <c r="L609" s="74">
        <v>92.16</v>
      </c>
      <c r="M609" s="74"/>
      <c r="N609" s="74" t="s">
        <v>392</v>
      </c>
      <c r="O609" s="74" t="s">
        <v>402</v>
      </c>
      <c r="P609" s="74" t="s">
        <v>19173</v>
      </c>
      <c r="Q609" s="74" t="s">
        <v>19174</v>
      </c>
    </row>
    <row r="610" spans="3:17" x14ac:dyDescent="0.25">
      <c r="C610" s="74" t="s">
        <v>13369</v>
      </c>
      <c r="D610" s="74" t="s">
        <v>13370</v>
      </c>
      <c r="E610" s="74"/>
      <c r="F610" s="74">
        <v>2.88</v>
      </c>
      <c r="G610" s="74"/>
      <c r="H610" s="74"/>
      <c r="I610" s="74" t="s">
        <v>391</v>
      </c>
      <c r="J610" s="74"/>
      <c r="K610" s="74">
        <v>102.4</v>
      </c>
      <c r="L610" s="74">
        <v>92.16</v>
      </c>
      <c r="M610" s="74"/>
      <c r="N610" s="74" t="s">
        <v>392</v>
      </c>
      <c r="O610" s="74" t="s">
        <v>402</v>
      </c>
      <c r="P610" s="74" t="s">
        <v>13371</v>
      </c>
      <c r="Q610" s="74" t="s">
        <v>13372</v>
      </c>
    </row>
    <row r="611" spans="3:17" x14ac:dyDescent="0.25">
      <c r="C611" s="74" t="s">
        <v>9024</v>
      </c>
      <c r="D611" s="74" t="s">
        <v>9025</v>
      </c>
      <c r="E611" s="74"/>
      <c r="F611" s="74">
        <v>2.87</v>
      </c>
      <c r="G611" s="74"/>
      <c r="H611" s="74"/>
      <c r="I611" s="74" t="s">
        <v>391</v>
      </c>
      <c r="J611" s="74"/>
      <c r="K611" s="74">
        <v>102.4</v>
      </c>
      <c r="L611" s="74">
        <v>92.16</v>
      </c>
      <c r="M611" s="74"/>
      <c r="N611" s="74" t="s">
        <v>392</v>
      </c>
      <c r="O611" s="74" t="s">
        <v>402</v>
      </c>
      <c r="P611" s="74" t="s">
        <v>9026</v>
      </c>
      <c r="Q611" s="74" t="s">
        <v>9027</v>
      </c>
    </row>
    <row r="612" spans="3:17" x14ac:dyDescent="0.25">
      <c r="C612" s="74" t="s">
        <v>9504</v>
      </c>
      <c r="D612" s="74" t="s">
        <v>9505</v>
      </c>
      <c r="E612" s="74"/>
      <c r="F612" s="74">
        <v>2.87</v>
      </c>
      <c r="G612" s="74"/>
      <c r="H612" s="74"/>
      <c r="I612" s="74" t="s">
        <v>391</v>
      </c>
      <c r="J612" s="74"/>
      <c r="K612" s="74">
        <v>102.4</v>
      </c>
      <c r="L612" s="74">
        <v>92.16</v>
      </c>
      <c r="M612" s="74"/>
      <c r="N612" s="74" t="s">
        <v>392</v>
      </c>
      <c r="O612" s="74" t="s">
        <v>402</v>
      </c>
      <c r="P612" s="74" t="s">
        <v>9506</v>
      </c>
      <c r="Q612" s="74" t="s">
        <v>9507</v>
      </c>
    </row>
    <row r="613" spans="3:17" x14ac:dyDescent="0.25">
      <c r="C613" s="74" t="s">
        <v>9535</v>
      </c>
      <c r="D613" s="74" t="s">
        <v>9536</v>
      </c>
      <c r="E613" s="74"/>
      <c r="F613" s="74">
        <v>2.87</v>
      </c>
      <c r="G613" s="74"/>
      <c r="H613" s="74"/>
      <c r="I613" s="74" t="s">
        <v>391</v>
      </c>
      <c r="J613" s="74"/>
      <c r="K613" s="74">
        <v>102.4</v>
      </c>
      <c r="L613" s="74">
        <v>92.16</v>
      </c>
      <c r="M613" s="74"/>
      <c r="N613" s="74" t="s">
        <v>392</v>
      </c>
      <c r="O613" s="74" t="s">
        <v>402</v>
      </c>
      <c r="P613" s="74" t="s">
        <v>9537</v>
      </c>
      <c r="Q613" s="74" t="s">
        <v>9538</v>
      </c>
    </row>
    <row r="614" spans="3:17" x14ac:dyDescent="0.25">
      <c r="C614" s="74" t="s">
        <v>15793</v>
      </c>
      <c r="D614" s="74" t="s">
        <v>15794</v>
      </c>
      <c r="E614" s="74"/>
      <c r="F614" s="74">
        <v>2.87</v>
      </c>
      <c r="G614" s="74"/>
      <c r="H614" s="74"/>
      <c r="I614" s="74" t="s">
        <v>391</v>
      </c>
      <c r="J614" s="74"/>
      <c r="K614" s="74">
        <v>102.4</v>
      </c>
      <c r="L614" s="74">
        <v>92.16</v>
      </c>
      <c r="M614" s="74"/>
      <c r="N614" s="74" t="s">
        <v>392</v>
      </c>
      <c r="O614" s="74" t="s">
        <v>402</v>
      </c>
      <c r="P614" s="74" t="s">
        <v>15795</v>
      </c>
      <c r="Q614" s="74" t="s">
        <v>15796</v>
      </c>
    </row>
    <row r="615" spans="3:17" x14ac:dyDescent="0.25">
      <c r="C615" s="74" t="s">
        <v>20757</v>
      </c>
      <c r="D615" s="74" t="s">
        <v>20758</v>
      </c>
      <c r="E615" s="74"/>
      <c r="F615" s="74">
        <v>2.87</v>
      </c>
      <c r="G615" s="74"/>
      <c r="H615" s="74"/>
      <c r="I615" s="74" t="s">
        <v>391</v>
      </c>
      <c r="J615" s="74"/>
      <c r="K615" s="74">
        <v>102.4</v>
      </c>
      <c r="L615" s="74">
        <v>92.16</v>
      </c>
      <c r="M615" s="74"/>
      <c r="N615" s="74" t="s">
        <v>392</v>
      </c>
      <c r="O615" s="74" t="s">
        <v>402</v>
      </c>
      <c r="P615" s="74" t="s">
        <v>20759</v>
      </c>
      <c r="Q615" s="74" t="s">
        <v>20760</v>
      </c>
    </row>
    <row r="616" spans="3:17" x14ac:dyDescent="0.25">
      <c r="C616" s="74" t="s">
        <v>8285</v>
      </c>
      <c r="D616" s="74" t="s">
        <v>8286</v>
      </c>
      <c r="E616" s="74"/>
      <c r="F616" s="74">
        <v>2.86</v>
      </c>
      <c r="G616" s="74"/>
      <c r="H616" s="74"/>
      <c r="I616" s="74" t="s">
        <v>391</v>
      </c>
      <c r="J616" s="74"/>
      <c r="K616" s="74">
        <v>102.4</v>
      </c>
      <c r="L616" s="74">
        <v>92.16</v>
      </c>
      <c r="M616" s="74"/>
      <c r="N616" s="74" t="s">
        <v>392</v>
      </c>
      <c r="O616" s="74" t="s">
        <v>402</v>
      </c>
      <c r="P616" s="74" t="s">
        <v>8287</v>
      </c>
      <c r="Q616" s="74" t="s">
        <v>8288</v>
      </c>
    </row>
    <row r="617" spans="3:17" x14ac:dyDescent="0.25">
      <c r="C617" s="74" t="s">
        <v>15925</v>
      </c>
      <c r="D617" s="74" t="s">
        <v>15926</v>
      </c>
      <c r="E617" s="74"/>
      <c r="F617" s="74">
        <v>2.86</v>
      </c>
      <c r="G617" s="74"/>
      <c r="H617" s="74"/>
      <c r="I617" s="74" t="s">
        <v>391</v>
      </c>
      <c r="J617" s="74"/>
      <c r="K617" s="74">
        <v>102.4</v>
      </c>
      <c r="L617" s="74">
        <v>92.16</v>
      </c>
      <c r="M617" s="74"/>
      <c r="N617" s="74" t="s">
        <v>392</v>
      </c>
      <c r="O617" s="74" t="s">
        <v>402</v>
      </c>
      <c r="P617" s="74" t="s">
        <v>15927</v>
      </c>
      <c r="Q617" s="74" t="s">
        <v>15928</v>
      </c>
    </row>
    <row r="618" spans="3:17" x14ac:dyDescent="0.25">
      <c r="C618" s="74" t="s">
        <v>17673</v>
      </c>
      <c r="D618" s="74" t="s">
        <v>17674</v>
      </c>
      <c r="E618" s="74"/>
      <c r="F618" s="74">
        <v>2.86</v>
      </c>
      <c r="G618" s="74"/>
      <c r="H618" s="74"/>
      <c r="I618" s="74" t="s">
        <v>391</v>
      </c>
      <c r="J618" s="74"/>
      <c r="K618" s="74">
        <v>102.4</v>
      </c>
      <c r="L618" s="74">
        <v>92.16</v>
      </c>
      <c r="M618" s="74"/>
      <c r="N618" s="74" t="s">
        <v>392</v>
      </c>
      <c r="O618" s="74" t="s">
        <v>402</v>
      </c>
      <c r="P618" s="74" t="s">
        <v>17675</v>
      </c>
      <c r="Q618" s="74" t="s">
        <v>17676</v>
      </c>
    </row>
    <row r="619" spans="3:17" x14ac:dyDescent="0.25">
      <c r="C619" s="158" t="s">
        <v>20003</v>
      </c>
      <c r="D619" s="158" t="s">
        <v>20004</v>
      </c>
      <c r="F619" s="158">
        <v>2.83</v>
      </c>
      <c r="I619" s="158" t="s">
        <v>391</v>
      </c>
      <c r="K619" s="158">
        <v>102.4</v>
      </c>
      <c r="L619" s="158">
        <v>92.16</v>
      </c>
      <c r="N619" s="158" t="s">
        <v>392</v>
      </c>
      <c r="O619" s="158" t="s">
        <v>402</v>
      </c>
      <c r="P619" s="158" t="s">
        <v>20005</v>
      </c>
      <c r="Q619" s="158" t="s">
        <v>20006</v>
      </c>
    </row>
    <row r="620" spans="3:17" x14ac:dyDescent="0.25">
      <c r="C620" s="74" t="s">
        <v>19719</v>
      </c>
      <c r="D620" s="74" t="s">
        <v>19720</v>
      </c>
      <c r="E620" s="74"/>
      <c r="F620" s="74">
        <v>2.79</v>
      </c>
      <c r="G620" s="74"/>
      <c r="H620" s="74"/>
      <c r="I620" s="74" t="s">
        <v>391</v>
      </c>
      <c r="J620" s="74"/>
      <c r="K620" s="74">
        <v>102.4</v>
      </c>
      <c r="L620" s="74">
        <v>92.16</v>
      </c>
      <c r="M620" s="74"/>
      <c r="N620" s="74" t="s">
        <v>392</v>
      </c>
      <c r="O620" s="74" t="s">
        <v>402</v>
      </c>
      <c r="P620" s="74" t="s">
        <v>19721</v>
      </c>
      <c r="Q620" s="74" t="s">
        <v>19722</v>
      </c>
    </row>
    <row r="621" spans="3:17" x14ac:dyDescent="0.25">
      <c r="C621" s="74" t="s">
        <v>20213</v>
      </c>
      <c r="D621" s="74" t="s">
        <v>20214</v>
      </c>
      <c r="E621" s="74"/>
      <c r="F621" s="74">
        <v>2.78</v>
      </c>
      <c r="G621" s="74"/>
      <c r="H621" s="74"/>
      <c r="I621" s="74" t="s">
        <v>391</v>
      </c>
      <c r="J621" s="74"/>
      <c r="K621" s="74">
        <v>102.4</v>
      </c>
      <c r="L621" s="74">
        <v>92.16</v>
      </c>
      <c r="M621" s="74"/>
      <c r="N621" s="74" t="s">
        <v>392</v>
      </c>
      <c r="O621" s="74" t="s">
        <v>402</v>
      </c>
      <c r="P621" s="74" t="s">
        <v>20215</v>
      </c>
      <c r="Q621" s="74" t="s">
        <v>20216</v>
      </c>
    </row>
    <row r="622" spans="3:17" x14ac:dyDescent="0.25">
      <c r="C622" s="74" t="s">
        <v>11750</v>
      </c>
      <c r="D622" s="74" t="s">
        <v>11751</v>
      </c>
      <c r="E622" s="74"/>
      <c r="F622" s="74">
        <v>2.77</v>
      </c>
      <c r="G622" s="74"/>
      <c r="H622" s="74"/>
      <c r="I622" s="74" t="s">
        <v>391</v>
      </c>
      <c r="J622" s="74"/>
      <c r="K622" s="74">
        <v>102.4</v>
      </c>
      <c r="L622" s="74">
        <v>92.16</v>
      </c>
      <c r="M622" s="74"/>
      <c r="N622" s="74" t="s">
        <v>392</v>
      </c>
      <c r="O622" s="74" t="s">
        <v>402</v>
      </c>
      <c r="P622" s="74" t="s">
        <v>11752</v>
      </c>
      <c r="Q622" s="74" t="s">
        <v>11753</v>
      </c>
    </row>
    <row r="623" spans="3:17" x14ac:dyDescent="0.25">
      <c r="C623" s="74" t="s">
        <v>17684</v>
      </c>
      <c r="D623" s="74" t="s">
        <v>17685</v>
      </c>
      <c r="E623" s="74"/>
      <c r="F623" s="74">
        <v>2.77</v>
      </c>
      <c r="G623" s="74"/>
      <c r="H623" s="74"/>
      <c r="I623" s="74" t="s">
        <v>391</v>
      </c>
      <c r="J623" s="74"/>
      <c r="K623" s="74">
        <v>102.4</v>
      </c>
      <c r="L623" s="74">
        <v>92.16</v>
      </c>
      <c r="M623" s="74"/>
      <c r="N623" s="74" t="s">
        <v>392</v>
      </c>
      <c r="O623" s="74" t="s">
        <v>402</v>
      </c>
      <c r="P623" s="74" t="s">
        <v>17686</v>
      </c>
      <c r="Q623" s="74" t="s">
        <v>17687</v>
      </c>
    </row>
    <row r="624" spans="3:17" x14ac:dyDescent="0.25">
      <c r="C624" s="74" t="s">
        <v>8253</v>
      </c>
      <c r="D624" s="74" t="s">
        <v>8254</v>
      </c>
      <c r="E624" s="74"/>
      <c r="F624" s="74">
        <v>2.76</v>
      </c>
      <c r="G624" s="74"/>
      <c r="H624" s="74"/>
      <c r="I624" s="74" t="s">
        <v>391</v>
      </c>
      <c r="J624" s="74"/>
      <c r="K624" s="74">
        <v>102.4</v>
      </c>
      <c r="L624" s="74">
        <v>92.16</v>
      </c>
      <c r="M624" s="74"/>
      <c r="N624" s="74" t="s">
        <v>392</v>
      </c>
      <c r="O624" s="74" t="s">
        <v>402</v>
      </c>
      <c r="P624" s="74" t="s">
        <v>8255</v>
      </c>
      <c r="Q624" s="74" t="s">
        <v>8256</v>
      </c>
    </row>
    <row r="625" spans="3:17" x14ac:dyDescent="0.25">
      <c r="C625" s="74" t="s">
        <v>12341</v>
      </c>
      <c r="D625" s="74" t="s">
        <v>12342</v>
      </c>
      <c r="E625" s="74"/>
      <c r="F625" s="74">
        <v>2.75</v>
      </c>
      <c r="G625" s="74"/>
      <c r="H625" s="74"/>
      <c r="I625" s="74" t="s">
        <v>391</v>
      </c>
      <c r="J625" s="74"/>
      <c r="K625" s="74">
        <v>102.4</v>
      </c>
      <c r="L625" s="74">
        <v>92.16</v>
      </c>
      <c r="M625" s="74"/>
      <c r="N625" s="74" t="s">
        <v>392</v>
      </c>
      <c r="O625" s="74" t="s">
        <v>402</v>
      </c>
      <c r="P625" s="74" t="s">
        <v>12343</v>
      </c>
      <c r="Q625" s="74" t="s">
        <v>12344</v>
      </c>
    </row>
    <row r="626" spans="3:17" x14ac:dyDescent="0.25">
      <c r="C626" s="74" t="s">
        <v>647</v>
      </c>
      <c r="D626" s="74" t="s">
        <v>648</v>
      </c>
      <c r="E626" s="74"/>
      <c r="F626" s="74">
        <v>2.73</v>
      </c>
      <c r="G626" s="74"/>
      <c r="H626" s="74"/>
      <c r="I626" s="74" t="s">
        <v>391</v>
      </c>
      <c r="J626" s="74"/>
      <c r="K626" s="74">
        <v>102.4</v>
      </c>
      <c r="L626" s="74">
        <v>92.16</v>
      </c>
      <c r="M626" s="74"/>
      <c r="N626" s="74" t="s">
        <v>392</v>
      </c>
      <c r="O626" s="74" t="s">
        <v>402</v>
      </c>
      <c r="P626" s="74" t="s">
        <v>649</v>
      </c>
      <c r="Q626" s="74" t="s">
        <v>650</v>
      </c>
    </row>
    <row r="627" spans="3:17" x14ac:dyDescent="0.25">
      <c r="C627" s="74" t="s">
        <v>14739</v>
      </c>
      <c r="D627" s="74" t="s">
        <v>14740</v>
      </c>
      <c r="E627" s="74"/>
      <c r="F627" s="74">
        <v>2.73</v>
      </c>
      <c r="G627" s="74"/>
      <c r="H627" s="74"/>
      <c r="I627" s="74" t="s">
        <v>391</v>
      </c>
      <c r="J627" s="74"/>
      <c r="K627" s="74">
        <v>102.4</v>
      </c>
      <c r="L627" s="74">
        <v>92.16</v>
      </c>
      <c r="M627" s="74"/>
      <c r="N627" s="74" t="s">
        <v>392</v>
      </c>
      <c r="O627" s="74" t="s">
        <v>402</v>
      </c>
      <c r="P627" s="74" t="s">
        <v>14741</v>
      </c>
      <c r="Q627" s="74" t="s">
        <v>14742</v>
      </c>
    </row>
    <row r="628" spans="3:17" x14ac:dyDescent="0.25">
      <c r="C628" s="74" t="s">
        <v>9561</v>
      </c>
      <c r="D628" s="74" t="s">
        <v>9562</v>
      </c>
      <c r="E628" s="74"/>
      <c r="F628" s="74">
        <v>2.72</v>
      </c>
      <c r="G628" s="74"/>
      <c r="H628" s="74"/>
      <c r="I628" s="74" t="s">
        <v>391</v>
      </c>
      <c r="J628" s="74"/>
      <c r="K628" s="74">
        <v>102.4</v>
      </c>
      <c r="L628" s="74">
        <v>92.16</v>
      </c>
      <c r="M628" s="74"/>
      <c r="N628" s="74" t="s">
        <v>392</v>
      </c>
      <c r="O628" s="74" t="s">
        <v>402</v>
      </c>
      <c r="P628" s="74" t="s">
        <v>9563</v>
      </c>
      <c r="Q628" s="74" t="s">
        <v>9564</v>
      </c>
    </row>
    <row r="629" spans="3:17" x14ac:dyDescent="0.25">
      <c r="C629" s="74" t="s">
        <v>13740</v>
      </c>
      <c r="D629" s="74" t="s">
        <v>13741</v>
      </c>
      <c r="E629" s="74"/>
      <c r="F629" s="74">
        <v>2.72</v>
      </c>
      <c r="G629" s="74"/>
      <c r="H629" s="74"/>
      <c r="I629" s="74" t="s">
        <v>391</v>
      </c>
      <c r="J629" s="74"/>
      <c r="K629" s="74">
        <v>102.4</v>
      </c>
      <c r="L629" s="74">
        <v>92.16</v>
      </c>
      <c r="M629" s="74"/>
      <c r="N629" s="74" t="s">
        <v>392</v>
      </c>
      <c r="O629" s="74" t="s">
        <v>402</v>
      </c>
      <c r="P629" s="74" t="s">
        <v>13742</v>
      </c>
      <c r="Q629" s="74" t="s">
        <v>13743</v>
      </c>
    </row>
    <row r="630" spans="3:17" x14ac:dyDescent="0.25">
      <c r="C630" s="74" t="s">
        <v>5692</v>
      </c>
      <c r="D630" s="74" t="s">
        <v>5693</v>
      </c>
      <c r="E630" s="74"/>
      <c r="F630" s="74">
        <v>2.71</v>
      </c>
      <c r="G630" s="74"/>
      <c r="H630" s="74"/>
      <c r="I630" s="74" t="s">
        <v>391</v>
      </c>
      <c r="J630" s="74"/>
      <c r="K630" s="74">
        <v>102.4</v>
      </c>
      <c r="L630" s="74">
        <v>92.16</v>
      </c>
      <c r="M630" s="74"/>
      <c r="N630" s="74" t="s">
        <v>392</v>
      </c>
      <c r="O630" s="74" t="s">
        <v>402</v>
      </c>
      <c r="P630" s="74" t="s">
        <v>5694</v>
      </c>
      <c r="Q630" s="74" t="s">
        <v>5695</v>
      </c>
    </row>
    <row r="631" spans="3:17" x14ac:dyDescent="0.25">
      <c r="C631" s="74" t="s">
        <v>9320</v>
      </c>
      <c r="D631" s="74" t="s">
        <v>9321</v>
      </c>
      <c r="E631" s="74" t="s">
        <v>391</v>
      </c>
      <c r="F631" s="74">
        <v>2.71</v>
      </c>
      <c r="G631" s="74"/>
      <c r="H631" s="74"/>
      <c r="I631" s="74" t="s">
        <v>391</v>
      </c>
      <c r="J631" s="74"/>
      <c r="K631" s="74">
        <v>102.4</v>
      </c>
      <c r="L631" s="74">
        <v>92.16</v>
      </c>
      <c r="M631" s="74"/>
      <c r="N631" s="74" t="s">
        <v>392</v>
      </c>
      <c r="O631" s="74" t="s">
        <v>393</v>
      </c>
      <c r="P631" s="74"/>
      <c r="Q631" s="74" t="s">
        <v>9322</v>
      </c>
    </row>
    <row r="632" spans="3:17" x14ac:dyDescent="0.25">
      <c r="C632" s="74" t="s">
        <v>11131</v>
      </c>
      <c r="D632" s="74" t="s">
        <v>11132</v>
      </c>
      <c r="E632" s="74"/>
      <c r="F632" s="74">
        <v>2.71</v>
      </c>
      <c r="G632" s="74"/>
      <c r="H632" s="74"/>
      <c r="I632" s="74" t="s">
        <v>391</v>
      </c>
      <c r="J632" s="74"/>
      <c r="K632" s="74">
        <v>102.4</v>
      </c>
      <c r="L632" s="74">
        <v>92.16</v>
      </c>
      <c r="M632" s="74"/>
      <c r="N632" s="74" t="s">
        <v>392</v>
      </c>
      <c r="O632" s="74" t="s">
        <v>402</v>
      </c>
      <c r="P632" s="74" t="s">
        <v>11133</v>
      </c>
      <c r="Q632" s="74" t="s">
        <v>11134</v>
      </c>
    </row>
    <row r="633" spans="3:17" x14ac:dyDescent="0.25">
      <c r="C633" s="74" t="s">
        <v>2637</v>
      </c>
      <c r="D633" s="74" t="s">
        <v>2638</v>
      </c>
      <c r="E633" s="74"/>
      <c r="F633" s="74">
        <v>2.68</v>
      </c>
      <c r="G633" s="74"/>
      <c r="H633" s="74"/>
      <c r="I633" s="74" t="s">
        <v>391</v>
      </c>
      <c r="J633" s="74"/>
      <c r="K633" s="74">
        <v>102.4</v>
      </c>
      <c r="L633" s="74">
        <v>92.16</v>
      </c>
      <c r="M633" s="74"/>
      <c r="N633" s="74" t="s">
        <v>392</v>
      </c>
      <c r="O633" s="74" t="s">
        <v>402</v>
      </c>
      <c r="P633" s="74" t="s">
        <v>2639</v>
      </c>
      <c r="Q633" s="74" t="s">
        <v>2640</v>
      </c>
    </row>
    <row r="634" spans="3:17" x14ac:dyDescent="0.25">
      <c r="C634" s="74" t="s">
        <v>4253</v>
      </c>
      <c r="D634" s="74" t="s">
        <v>4254</v>
      </c>
      <c r="E634" s="74"/>
      <c r="F634" s="74">
        <v>2.66</v>
      </c>
      <c r="G634" s="74"/>
      <c r="H634" s="74"/>
      <c r="I634" s="74" t="s">
        <v>391</v>
      </c>
      <c r="J634" s="74"/>
      <c r="K634" s="74">
        <v>102.4</v>
      </c>
      <c r="L634" s="74">
        <v>92.16</v>
      </c>
      <c r="M634" s="74"/>
      <c r="N634" s="74" t="s">
        <v>392</v>
      </c>
      <c r="O634" s="74" t="s">
        <v>402</v>
      </c>
      <c r="P634" s="74" t="s">
        <v>4255</v>
      </c>
      <c r="Q634" s="74" t="s">
        <v>4256</v>
      </c>
    </row>
    <row r="635" spans="3:17" x14ac:dyDescent="0.25">
      <c r="C635" s="74" t="s">
        <v>8679</v>
      </c>
      <c r="D635" s="74" t="s">
        <v>8680</v>
      </c>
      <c r="E635" s="74"/>
      <c r="F635" s="74">
        <v>2.66</v>
      </c>
      <c r="G635" s="74"/>
      <c r="H635" s="74"/>
      <c r="I635" s="74" t="s">
        <v>391</v>
      </c>
      <c r="J635" s="74"/>
      <c r="K635" s="74">
        <v>102.4</v>
      </c>
      <c r="L635" s="74">
        <v>92.16</v>
      </c>
      <c r="M635" s="74"/>
      <c r="N635" s="74" t="s">
        <v>392</v>
      </c>
      <c r="O635" s="74" t="s">
        <v>402</v>
      </c>
      <c r="P635" s="74" t="s">
        <v>8681</v>
      </c>
      <c r="Q635" s="74" t="s">
        <v>8682</v>
      </c>
    </row>
    <row r="636" spans="3:17" x14ac:dyDescent="0.25">
      <c r="C636" s="74" t="s">
        <v>18131</v>
      </c>
      <c r="D636" s="74" t="s">
        <v>18132</v>
      </c>
      <c r="E636" s="74"/>
      <c r="F636" s="74">
        <v>2.65</v>
      </c>
      <c r="G636" s="74"/>
      <c r="H636" s="74"/>
      <c r="I636" s="74" t="s">
        <v>391</v>
      </c>
      <c r="J636" s="74"/>
      <c r="K636" s="74">
        <v>102.4</v>
      </c>
      <c r="L636" s="74">
        <v>92.16</v>
      </c>
      <c r="M636" s="74"/>
      <c r="N636" s="74" t="s">
        <v>392</v>
      </c>
      <c r="O636" s="74" t="s">
        <v>402</v>
      </c>
      <c r="P636" s="74" t="s">
        <v>18133</v>
      </c>
      <c r="Q636" s="74" t="s">
        <v>18134</v>
      </c>
    </row>
    <row r="637" spans="3:17" x14ac:dyDescent="0.25">
      <c r="C637" s="74" t="s">
        <v>12780</v>
      </c>
      <c r="D637" s="74" t="s">
        <v>12781</v>
      </c>
      <c r="E637" s="74"/>
      <c r="F637" s="74">
        <v>2.64</v>
      </c>
      <c r="G637" s="74"/>
      <c r="H637" s="74"/>
      <c r="I637" s="74" t="s">
        <v>391</v>
      </c>
      <c r="J637" s="74"/>
      <c r="K637" s="74">
        <v>102.4</v>
      </c>
      <c r="L637" s="74">
        <v>92.16</v>
      </c>
      <c r="M637" s="74"/>
      <c r="N637" s="74" t="s">
        <v>392</v>
      </c>
      <c r="O637" s="74" t="s">
        <v>402</v>
      </c>
      <c r="P637" s="74" t="s">
        <v>12782</v>
      </c>
      <c r="Q637" s="74" t="s">
        <v>12783</v>
      </c>
    </row>
    <row r="638" spans="3:17" x14ac:dyDescent="0.25">
      <c r="C638" s="74" t="s">
        <v>11083</v>
      </c>
      <c r="D638" s="74" t="s">
        <v>11084</v>
      </c>
      <c r="E638" s="74"/>
      <c r="F638" s="74">
        <v>2.63</v>
      </c>
      <c r="G638" s="74"/>
      <c r="H638" s="74"/>
      <c r="I638" s="74" t="s">
        <v>391</v>
      </c>
      <c r="J638" s="74"/>
      <c r="K638" s="74">
        <v>102.4</v>
      </c>
      <c r="L638" s="74">
        <v>92.16</v>
      </c>
      <c r="M638" s="74"/>
      <c r="N638" s="74" t="s">
        <v>392</v>
      </c>
      <c r="O638" s="74" t="s">
        <v>402</v>
      </c>
      <c r="P638" s="74" t="s">
        <v>11085</v>
      </c>
      <c r="Q638" s="74" t="s">
        <v>11086</v>
      </c>
    </row>
    <row r="639" spans="3:17" x14ac:dyDescent="0.25">
      <c r="C639" s="74" t="s">
        <v>10081</v>
      </c>
      <c r="D639" s="74" t="s">
        <v>10082</v>
      </c>
      <c r="E639" s="74"/>
      <c r="F639" s="74">
        <v>2.62</v>
      </c>
      <c r="G639" s="74"/>
      <c r="H639" s="74"/>
      <c r="I639" s="74" t="s">
        <v>391</v>
      </c>
      <c r="J639" s="74"/>
      <c r="K639" s="74">
        <v>102.4</v>
      </c>
      <c r="L639" s="74">
        <v>92.16</v>
      </c>
      <c r="M639" s="74"/>
      <c r="N639" s="74" t="s">
        <v>392</v>
      </c>
      <c r="O639" s="74" t="s">
        <v>402</v>
      </c>
      <c r="P639" s="74" t="s">
        <v>10083</v>
      </c>
      <c r="Q639" s="74" t="s">
        <v>10084</v>
      </c>
    </row>
    <row r="640" spans="3:17" x14ac:dyDescent="0.25">
      <c r="C640" s="74" t="s">
        <v>11993</v>
      </c>
      <c r="D640" s="74" t="s">
        <v>11994</v>
      </c>
      <c r="E640" s="74"/>
      <c r="F640" s="74">
        <v>2.62</v>
      </c>
      <c r="G640" s="74"/>
      <c r="H640" s="74"/>
      <c r="I640" s="74" t="s">
        <v>391</v>
      </c>
      <c r="J640" s="74"/>
      <c r="K640" s="74">
        <v>102.4</v>
      </c>
      <c r="L640" s="74">
        <v>92.16</v>
      </c>
      <c r="M640" s="74"/>
      <c r="N640" s="74" t="s">
        <v>392</v>
      </c>
      <c r="O640" s="74" t="s">
        <v>402</v>
      </c>
      <c r="P640" s="74" t="s">
        <v>11995</v>
      </c>
      <c r="Q640" s="74" t="s">
        <v>11996</v>
      </c>
    </row>
    <row r="641" spans="3:17" x14ac:dyDescent="0.25">
      <c r="C641" s="74" t="s">
        <v>13753</v>
      </c>
      <c r="D641" s="74" t="s">
        <v>13754</v>
      </c>
      <c r="E641" s="74"/>
      <c r="F641" s="74">
        <v>2.62</v>
      </c>
      <c r="G641" s="74"/>
      <c r="H641" s="74"/>
      <c r="I641" s="74" t="s">
        <v>391</v>
      </c>
      <c r="J641" s="74"/>
      <c r="K641" s="74">
        <v>102.4</v>
      </c>
      <c r="L641" s="74">
        <v>92.16</v>
      </c>
      <c r="M641" s="74"/>
      <c r="N641" s="74" t="s">
        <v>392</v>
      </c>
      <c r="O641" s="74" t="s">
        <v>402</v>
      </c>
      <c r="P641" s="74" t="s">
        <v>13755</v>
      </c>
      <c r="Q641" s="74" t="s">
        <v>13756</v>
      </c>
    </row>
    <row r="642" spans="3:17" x14ac:dyDescent="0.25">
      <c r="C642" s="74" t="s">
        <v>13219</v>
      </c>
      <c r="D642" s="74" t="s">
        <v>13220</v>
      </c>
      <c r="E642" s="74"/>
      <c r="F642" s="74">
        <v>2.61</v>
      </c>
      <c r="G642" s="74"/>
      <c r="H642" s="74"/>
      <c r="I642" s="74" t="s">
        <v>391</v>
      </c>
      <c r="J642" s="74"/>
      <c r="K642" s="74">
        <v>102.4</v>
      </c>
      <c r="L642" s="74">
        <v>92.16</v>
      </c>
      <c r="M642" s="74"/>
      <c r="N642" s="74" t="s">
        <v>392</v>
      </c>
      <c r="O642" s="74" t="s">
        <v>402</v>
      </c>
      <c r="P642" s="74" t="s">
        <v>13221</v>
      </c>
      <c r="Q642" s="74" t="s">
        <v>13222</v>
      </c>
    </row>
    <row r="643" spans="3:17" x14ac:dyDescent="0.25">
      <c r="C643" s="158" t="s">
        <v>21289</v>
      </c>
      <c r="D643" s="158" t="s">
        <v>21290</v>
      </c>
      <c r="F643" s="158">
        <v>2.61</v>
      </c>
      <c r="I643" s="158" t="s">
        <v>391</v>
      </c>
      <c r="K643" s="158">
        <v>102.4</v>
      </c>
      <c r="L643" s="158">
        <v>92.16</v>
      </c>
      <c r="N643" s="158" t="s">
        <v>392</v>
      </c>
      <c r="O643" s="158" t="s">
        <v>402</v>
      </c>
      <c r="P643" s="158" t="s">
        <v>21291</v>
      </c>
      <c r="Q643" s="158" t="s">
        <v>21292</v>
      </c>
    </row>
    <row r="644" spans="3:17" x14ac:dyDescent="0.25">
      <c r="C644" s="74" t="s">
        <v>7594</v>
      </c>
      <c r="D644" s="74" t="s">
        <v>7595</v>
      </c>
      <c r="E644" s="74" t="s">
        <v>391</v>
      </c>
      <c r="F644" s="74">
        <v>2.6</v>
      </c>
      <c r="G644" s="74"/>
      <c r="H644" s="74"/>
      <c r="I644" s="74" t="s">
        <v>391</v>
      </c>
      <c r="J644" s="74"/>
      <c r="K644" s="74">
        <v>102.4</v>
      </c>
      <c r="L644" s="74">
        <v>92.16</v>
      </c>
      <c r="M644" s="74"/>
      <c r="N644" s="74" t="s">
        <v>392</v>
      </c>
      <c r="O644" s="74" t="s">
        <v>393</v>
      </c>
      <c r="P644" s="74"/>
      <c r="Q644" s="74" t="s">
        <v>7595</v>
      </c>
    </row>
    <row r="645" spans="3:17" x14ac:dyDescent="0.25">
      <c r="C645" s="74" t="s">
        <v>9918</v>
      </c>
      <c r="D645" s="74" t="s">
        <v>9919</v>
      </c>
      <c r="E645" s="74"/>
      <c r="F645" s="74">
        <v>2.59</v>
      </c>
      <c r="G645" s="74"/>
      <c r="H645" s="74"/>
      <c r="I645" s="74" t="s">
        <v>391</v>
      </c>
      <c r="J645" s="74"/>
      <c r="K645" s="74">
        <v>102.4</v>
      </c>
      <c r="L645" s="74">
        <v>92.16</v>
      </c>
      <c r="M645" s="74"/>
      <c r="N645" s="74" t="s">
        <v>392</v>
      </c>
      <c r="O645" s="74" t="s">
        <v>402</v>
      </c>
      <c r="P645" s="74" t="s">
        <v>9920</v>
      </c>
      <c r="Q645" s="74" t="s">
        <v>9921</v>
      </c>
    </row>
    <row r="646" spans="3:17" x14ac:dyDescent="0.25">
      <c r="C646" s="74" t="s">
        <v>13828</v>
      </c>
      <c r="D646" s="74" t="s">
        <v>13829</v>
      </c>
      <c r="E646" s="74"/>
      <c r="F646" s="74">
        <v>2.59</v>
      </c>
      <c r="G646" s="74"/>
      <c r="H646" s="74"/>
      <c r="I646" s="74" t="s">
        <v>391</v>
      </c>
      <c r="J646" s="74"/>
      <c r="K646" s="74">
        <v>102.4</v>
      </c>
      <c r="L646" s="74">
        <v>92.16</v>
      </c>
      <c r="M646" s="74"/>
      <c r="N646" s="74" t="s">
        <v>392</v>
      </c>
      <c r="O646" s="74" t="s">
        <v>402</v>
      </c>
      <c r="P646" s="74" t="s">
        <v>13830</v>
      </c>
      <c r="Q646" s="74" t="s">
        <v>13831</v>
      </c>
    </row>
    <row r="647" spans="3:17" x14ac:dyDescent="0.25">
      <c r="C647" s="74" t="s">
        <v>16283</v>
      </c>
      <c r="D647" s="74" t="s">
        <v>16284</v>
      </c>
      <c r="E647" s="74"/>
      <c r="F647" s="74">
        <v>2.59</v>
      </c>
      <c r="G647" s="74"/>
      <c r="H647" s="74"/>
      <c r="I647" s="74" t="s">
        <v>391</v>
      </c>
      <c r="J647" s="74"/>
      <c r="K647" s="74">
        <v>102.4</v>
      </c>
      <c r="L647" s="74">
        <v>92.16</v>
      </c>
      <c r="M647" s="74"/>
      <c r="N647" s="74" t="s">
        <v>392</v>
      </c>
      <c r="O647" s="74" t="s">
        <v>402</v>
      </c>
      <c r="P647" s="74" t="s">
        <v>16285</v>
      </c>
      <c r="Q647" s="74" t="s">
        <v>16286</v>
      </c>
    </row>
    <row r="648" spans="3:17" x14ac:dyDescent="0.25">
      <c r="C648" s="74" t="s">
        <v>19562</v>
      </c>
      <c r="D648" s="74" t="s">
        <v>19563</v>
      </c>
      <c r="E648" s="74"/>
      <c r="F648" s="74">
        <v>2.58</v>
      </c>
      <c r="G648" s="74"/>
      <c r="H648" s="74"/>
      <c r="I648" s="74" t="s">
        <v>391</v>
      </c>
      <c r="J648" s="74"/>
      <c r="K648" s="74">
        <v>102.4</v>
      </c>
      <c r="L648" s="74">
        <v>92.16</v>
      </c>
      <c r="M648" s="74"/>
      <c r="N648" s="74" t="s">
        <v>392</v>
      </c>
      <c r="O648" s="74" t="s">
        <v>402</v>
      </c>
      <c r="P648" s="74" t="s">
        <v>19564</v>
      </c>
      <c r="Q648" s="74" t="s">
        <v>19565</v>
      </c>
    </row>
    <row r="649" spans="3:17" x14ac:dyDescent="0.25">
      <c r="C649" s="74" t="s">
        <v>17881</v>
      </c>
      <c r="D649" s="74" t="s">
        <v>17882</v>
      </c>
      <c r="E649" s="74"/>
      <c r="F649" s="74">
        <v>2.57</v>
      </c>
      <c r="G649" s="74"/>
      <c r="H649" s="74"/>
      <c r="I649" s="74" t="s">
        <v>391</v>
      </c>
      <c r="J649" s="74"/>
      <c r="K649" s="74">
        <v>102.4</v>
      </c>
      <c r="L649" s="74">
        <v>92.16</v>
      </c>
      <c r="M649" s="74"/>
      <c r="N649" s="74" t="s">
        <v>392</v>
      </c>
      <c r="O649" s="74" t="s">
        <v>402</v>
      </c>
      <c r="P649" s="74" t="s">
        <v>17883</v>
      </c>
      <c r="Q649" s="74" t="s">
        <v>17884</v>
      </c>
    </row>
    <row r="650" spans="3:17" x14ac:dyDescent="0.25">
      <c r="C650" s="74" t="s">
        <v>4539</v>
      </c>
      <c r="D650" s="74" t="s">
        <v>4540</v>
      </c>
      <c r="E650" s="74"/>
      <c r="F650" s="74">
        <v>2.5499999999999998</v>
      </c>
      <c r="G650" s="74"/>
      <c r="H650" s="74"/>
      <c r="I650" s="74" t="s">
        <v>391</v>
      </c>
      <c r="J650" s="74"/>
      <c r="K650" s="74">
        <v>102.4</v>
      </c>
      <c r="L650" s="74">
        <v>92.16</v>
      </c>
      <c r="M650" s="74"/>
      <c r="N650" s="74" t="s">
        <v>392</v>
      </c>
      <c r="O650" s="74" t="s">
        <v>402</v>
      </c>
      <c r="P650" s="74" t="s">
        <v>4541</v>
      </c>
      <c r="Q650" s="74" t="s">
        <v>4542</v>
      </c>
    </row>
    <row r="651" spans="3:17" x14ac:dyDescent="0.25">
      <c r="C651" s="74" t="s">
        <v>6152</v>
      </c>
      <c r="D651" s="74" t="s">
        <v>6153</v>
      </c>
      <c r="E651" s="74"/>
      <c r="F651" s="74">
        <v>2.5499999999999998</v>
      </c>
      <c r="G651" s="74"/>
      <c r="H651" s="74"/>
      <c r="I651" s="74" t="s">
        <v>391</v>
      </c>
      <c r="J651" s="74"/>
      <c r="K651" s="74">
        <v>102.4</v>
      </c>
      <c r="L651" s="74">
        <v>92.16</v>
      </c>
      <c r="M651" s="74"/>
      <c r="N651" s="74" t="s">
        <v>392</v>
      </c>
      <c r="O651" s="74" t="s">
        <v>402</v>
      </c>
      <c r="P651" s="74" t="s">
        <v>6154</v>
      </c>
      <c r="Q651" s="74" t="s">
        <v>6155</v>
      </c>
    </row>
    <row r="652" spans="3:17" x14ac:dyDescent="0.25">
      <c r="C652" s="74" t="s">
        <v>6387</v>
      </c>
      <c r="D652" s="74" t="s">
        <v>6388</v>
      </c>
      <c r="E652" s="74"/>
      <c r="F652" s="74">
        <v>2.5499999999999998</v>
      </c>
      <c r="G652" s="74"/>
      <c r="H652" s="74"/>
      <c r="I652" s="74" t="s">
        <v>391</v>
      </c>
      <c r="J652" s="74"/>
      <c r="K652" s="74">
        <v>102.4</v>
      </c>
      <c r="L652" s="74">
        <v>92.16</v>
      </c>
      <c r="M652" s="74"/>
      <c r="N652" s="74" t="s">
        <v>392</v>
      </c>
      <c r="O652" s="74" t="s">
        <v>402</v>
      </c>
      <c r="P652" s="74" t="s">
        <v>6389</v>
      </c>
      <c r="Q652" s="74" t="s">
        <v>6390</v>
      </c>
    </row>
    <row r="653" spans="3:17" x14ac:dyDescent="0.25">
      <c r="C653" s="74" t="s">
        <v>7096</v>
      </c>
      <c r="D653" s="74" t="s">
        <v>7097</v>
      </c>
      <c r="E653" s="74"/>
      <c r="F653" s="74">
        <v>2.5499999999999998</v>
      </c>
      <c r="G653" s="74"/>
      <c r="H653" s="74"/>
      <c r="I653" s="74" t="s">
        <v>391</v>
      </c>
      <c r="J653" s="74"/>
      <c r="K653" s="74">
        <v>102.4</v>
      </c>
      <c r="L653" s="74">
        <v>92.16</v>
      </c>
      <c r="M653" s="74"/>
      <c r="N653" s="74" t="s">
        <v>392</v>
      </c>
      <c r="O653" s="74" t="s">
        <v>402</v>
      </c>
      <c r="P653" s="74" t="s">
        <v>7098</v>
      </c>
      <c r="Q653" s="74" t="s">
        <v>7099</v>
      </c>
    </row>
    <row r="654" spans="3:17" x14ac:dyDescent="0.25">
      <c r="C654" s="74" t="s">
        <v>16187</v>
      </c>
      <c r="D654" s="74" t="s">
        <v>16188</v>
      </c>
      <c r="E654" s="74"/>
      <c r="F654" s="74">
        <v>2.5499999999999998</v>
      </c>
      <c r="G654" s="74"/>
      <c r="H654" s="74"/>
      <c r="I654" s="74" t="s">
        <v>391</v>
      </c>
      <c r="J654" s="74"/>
      <c r="K654" s="74">
        <v>102.4</v>
      </c>
      <c r="L654" s="74">
        <v>92.16</v>
      </c>
      <c r="M654" s="74"/>
      <c r="N654" s="74" t="s">
        <v>392</v>
      </c>
      <c r="O654" s="74" t="s">
        <v>402</v>
      </c>
      <c r="P654" s="74" t="s">
        <v>16189</v>
      </c>
      <c r="Q654" s="74" t="s">
        <v>16190</v>
      </c>
    </row>
    <row r="655" spans="3:17" x14ac:dyDescent="0.25">
      <c r="C655" s="74" t="s">
        <v>14073</v>
      </c>
      <c r="D655" s="74" t="s">
        <v>14074</v>
      </c>
      <c r="E655" s="74"/>
      <c r="F655" s="74">
        <v>2.54</v>
      </c>
      <c r="G655" s="74"/>
      <c r="H655" s="74"/>
      <c r="I655" s="74" t="s">
        <v>391</v>
      </c>
      <c r="J655" s="74"/>
      <c r="K655" s="74">
        <v>102.4</v>
      </c>
      <c r="L655" s="74">
        <v>92.16</v>
      </c>
      <c r="M655" s="74"/>
      <c r="N655" s="74" t="s">
        <v>392</v>
      </c>
      <c r="O655" s="74" t="s">
        <v>402</v>
      </c>
      <c r="P655" s="74" t="s">
        <v>14075</v>
      </c>
      <c r="Q655" s="74" t="s">
        <v>14076</v>
      </c>
    </row>
    <row r="656" spans="3:17" x14ac:dyDescent="0.25">
      <c r="C656" s="74" t="s">
        <v>15321</v>
      </c>
      <c r="D656" s="74" t="s">
        <v>15322</v>
      </c>
      <c r="E656" s="74"/>
      <c r="F656" s="74">
        <v>2.54</v>
      </c>
      <c r="G656" s="74"/>
      <c r="H656" s="74"/>
      <c r="I656" s="74" t="s">
        <v>391</v>
      </c>
      <c r="J656" s="74"/>
      <c r="K656" s="74">
        <v>102.4</v>
      </c>
      <c r="L656" s="74">
        <v>92.16</v>
      </c>
      <c r="M656" s="74"/>
      <c r="N656" s="74" t="s">
        <v>392</v>
      </c>
      <c r="O656" s="74" t="s">
        <v>402</v>
      </c>
      <c r="P656" s="74" t="s">
        <v>15323</v>
      </c>
      <c r="Q656" s="74" t="s">
        <v>15324</v>
      </c>
    </row>
    <row r="657" spans="3:17" x14ac:dyDescent="0.25">
      <c r="C657" s="74" t="s">
        <v>12752</v>
      </c>
      <c r="D657" s="74" t="s">
        <v>12753</v>
      </c>
      <c r="E657" s="74"/>
      <c r="F657" s="74">
        <v>2.5299999999999998</v>
      </c>
      <c r="G657" s="74"/>
      <c r="H657" s="74"/>
      <c r="I657" s="74" t="s">
        <v>391</v>
      </c>
      <c r="J657" s="74"/>
      <c r="K657" s="74">
        <v>102.4</v>
      </c>
      <c r="L657" s="74">
        <v>92.16</v>
      </c>
      <c r="M657" s="74"/>
      <c r="N657" s="74" t="s">
        <v>392</v>
      </c>
      <c r="O657" s="74" t="s">
        <v>402</v>
      </c>
      <c r="P657" s="74" t="s">
        <v>12754</v>
      </c>
      <c r="Q657" s="74" t="s">
        <v>12755</v>
      </c>
    </row>
    <row r="658" spans="3:17" x14ac:dyDescent="0.25">
      <c r="C658" s="74" t="s">
        <v>13534</v>
      </c>
      <c r="D658" s="74" t="s">
        <v>13535</v>
      </c>
      <c r="E658" s="74"/>
      <c r="F658" s="74">
        <v>2.52</v>
      </c>
      <c r="G658" s="74"/>
      <c r="H658" s="74"/>
      <c r="I658" s="74" t="s">
        <v>391</v>
      </c>
      <c r="J658" s="74"/>
      <c r="K658" s="74">
        <v>102.4</v>
      </c>
      <c r="L658" s="74">
        <v>92.16</v>
      </c>
      <c r="M658" s="74"/>
      <c r="N658" s="74" t="s">
        <v>392</v>
      </c>
      <c r="O658" s="74" t="s">
        <v>402</v>
      </c>
      <c r="P658" s="74" t="s">
        <v>13536</v>
      </c>
      <c r="Q658" s="74" t="s">
        <v>13537</v>
      </c>
    </row>
    <row r="659" spans="3:17" x14ac:dyDescent="0.25">
      <c r="C659" s="74" t="s">
        <v>14203</v>
      </c>
      <c r="D659" s="74" t="s">
        <v>14204</v>
      </c>
      <c r="E659" s="74"/>
      <c r="F659" s="74">
        <v>2.52</v>
      </c>
      <c r="G659" s="74"/>
      <c r="H659" s="74"/>
      <c r="I659" s="74" t="s">
        <v>391</v>
      </c>
      <c r="J659" s="74"/>
      <c r="K659" s="74">
        <v>102.4</v>
      </c>
      <c r="L659" s="74">
        <v>92.16</v>
      </c>
      <c r="M659" s="74"/>
      <c r="N659" s="74" t="s">
        <v>392</v>
      </c>
      <c r="O659" s="74" t="s">
        <v>402</v>
      </c>
      <c r="P659" s="74" t="s">
        <v>14205</v>
      </c>
      <c r="Q659" s="74" t="s">
        <v>14206</v>
      </c>
    </row>
    <row r="660" spans="3:17" x14ac:dyDescent="0.25">
      <c r="C660" s="74" t="s">
        <v>18010</v>
      </c>
      <c r="D660" s="74" t="s">
        <v>18011</v>
      </c>
      <c r="E660" s="74"/>
      <c r="F660" s="74">
        <v>2.5099999999999998</v>
      </c>
      <c r="G660" s="74"/>
      <c r="H660" s="74"/>
      <c r="I660" s="74" t="s">
        <v>391</v>
      </c>
      <c r="J660" s="74"/>
      <c r="K660" s="74">
        <v>102.4</v>
      </c>
      <c r="L660" s="74">
        <v>92.16</v>
      </c>
      <c r="M660" s="74"/>
      <c r="N660" s="74" t="s">
        <v>392</v>
      </c>
      <c r="O660" s="74" t="s">
        <v>402</v>
      </c>
      <c r="P660" s="74" t="s">
        <v>18012</v>
      </c>
      <c r="Q660" s="74" t="s">
        <v>18013</v>
      </c>
    </row>
    <row r="661" spans="3:17" x14ac:dyDescent="0.25">
      <c r="C661" s="74" t="s">
        <v>11637</v>
      </c>
      <c r="D661" s="74" t="s">
        <v>11638</v>
      </c>
      <c r="E661" s="74"/>
      <c r="F661" s="74">
        <v>2.5</v>
      </c>
      <c r="G661" s="74"/>
      <c r="H661" s="74"/>
      <c r="I661" s="74" t="s">
        <v>391</v>
      </c>
      <c r="J661" s="74"/>
      <c r="K661" s="74">
        <v>102.4</v>
      </c>
      <c r="L661" s="74">
        <v>92.16</v>
      </c>
      <c r="M661" s="74"/>
      <c r="N661" s="74" t="s">
        <v>392</v>
      </c>
      <c r="O661" s="74" t="s">
        <v>402</v>
      </c>
      <c r="P661" s="74" t="s">
        <v>11639</v>
      </c>
      <c r="Q661" s="74" t="s">
        <v>11640</v>
      </c>
    </row>
    <row r="662" spans="3:17" x14ac:dyDescent="0.25">
      <c r="C662" s="74" t="s">
        <v>1091</v>
      </c>
      <c r="D662" s="74" t="s">
        <v>1092</v>
      </c>
      <c r="E662" s="74"/>
      <c r="F662" s="74">
        <v>2.4900000000000002</v>
      </c>
      <c r="G662" s="74"/>
      <c r="H662" s="74"/>
      <c r="I662" s="74" t="s">
        <v>391</v>
      </c>
      <c r="J662" s="74"/>
      <c r="K662" s="74">
        <v>102.4</v>
      </c>
      <c r="L662" s="74">
        <v>92.16</v>
      </c>
      <c r="M662" s="74"/>
      <c r="N662" s="74" t="s">
        <v>392</v>
      </c>
      <c r="O662" s="74" t="s">
        <v>402</v>
      </c>
      <c r="P662" s="74" t="s">
        <v>1093</v>
      </c>
      <c r="Q662" s="74" t="s">
        <v>1094</v>
      </c>
    </row>
    <row r="663" spans="3:17" x14ac:dyDescent="0.25">
      <c r="C663" s="74" t="s">
        <v>4341</v>
      </c>
      <c r="D663" s="74" t="s">
        <v>4342</v>
      </c>
      <c r="E663" s="74"/>
      <c r="F663" s="74">
        <v>2.4900000000000002</v>
      </c>
      <c r="G663" s="74"/>
      <c r="H663" s="74"/>
      <c r="I663" s="74" t="s">
        <v>391</v>
      </c>
      <c r="J663" s="74"/>
      <c r="K663" s="74">
        <v>102.4</v>
      </c>
      <c r="L663" s="74">
        <v>92.16</v>
      </c>
      <c r="M663" s="74"/>
      <c r="N663" s="74" t="s">
        <v>392</v>
      </c>
      <c r="O663" s="74" t="s">
        <v>402</v>
      </c>
      <c r="P663" s="74" t="s">
        <v>4343</v>
      </c>
      <c r="Q663" s="74" t="s">
        <v>4344</v>
      </c>
    </row>
    <row r="664" spans="3:17" x14ac:dyDescent="0.25">
      <c r="C664" s="74" t="s">
        <v>20424</v>
      </c>
      <c r="D664" s="74" t="s">
        <v>20425</v>
      </c>
      <c r="E664" s="74"/>
      <c r="F664" s="74">
        <v>2.4900000000000002</v>
      </c>
      <c r="G664" s="74"/>
      <c r="H664" s="74"/>
      <c r="I664" s="74" t="s">
        <v>391</v>
      </c>
      <c r="J664" s="74"/>
      <c r="K664" s="74">
        <v>102.4</v>
      </c>
      <c r="L664" s="74">
        <v>92.16</v>
      </c>
      <c r="M664" s="74"/>
      <c r="N664" s="74" t="s">
        <v>392</v>
      </c>
      <c r="O664" s="74" t="s">
        <v>402</v>
      </c>
      <c r="P664" s="74" t="s">
        <v>20426</v>
      </c>
      <c r="Q664" s="74" t="s">
        <v>20427</v>
      </c>
    </row>
    <row r="665" spans="3:17" x14ac:dyDescent="0.25">
      <c r="C665" s="74" t="s">
        <v>14698</v>
      </c>
      <c r="D665" s="74" t="s">
        <v>14699</v>
      </c>
      <c r="E665" s="74"/>
      <c r="F665" s="74">
        <v>2.48</v>
      </c>
      <c r="G665" s="74"/>
      <c r="H665" s="74"/>
      <c r="I665" s="74" t="s">
        <v>391</v>
      </c>
      <c r="J665" s="74"/>
      <c r="K665" s="74">
        <v>102.4</v>
      </c>
      <c r="L665" s="74">
        <v>92.16</v>
      </c>
      <c r="M665" s="74"/>
      <c r="N665" s="74" t="s">
        <v>392</v>
      </c>
      <c r="O665" s="74" t="s">
        <v>402</v>
      </c>
      <c r="P665" s="74" t="s">
        <v>14700</v>
      </c>
      <c r="Q665" s="74" t="s">
        <v>14701</v>
      </c>
    </row>
    <row r="666" spans="3:17" x14ac:dyDescent="0.25">
      <c r="C666" s="74" t="s">
        <v>16531</v>
      </c>
      <c r="D666" s="74" t="s">
        <v>16532</v>
      </c>
      <c r="E666" s="74"/>
      <c r="F666" s="74">
        <v>2.48</v>
      </c>
      <c r="G666" s="74"/>
      <c r="H666" s="74"/>
      <c r="I666" s="74" t="s">
        <v>391</v>
      </c>
      <c r="J666" s="74"/>
      <c r="K666" s="74">
        <v>102.4</v>
      </c>
      <c r="L666" s="74">
        <v>92.16</v>
      </c>
      <c r="M666" s="74"/>
      <c r="N666" s="74" t="s">
        <v>392</v>
      </c>
      <c r="O666" s="74" t="s">
        <v>402</v>
      </c>
      <c r="P666" s="74" t="s">
        <v>16533</v>
      </c>
      <c r="Q666" s="74" t="s">
        <v>16534</v>
      </c>
    </row>
    <row r="667" spans="3:17" x14ac:dyDescent="0.25">
      <c r="C667" s="74" t="s">
        <v>1411</v>
      </c>
      <c r="D667" s="74" t="s">
        <v>1412</v>
      </c>
      <c r="E667" s="74"/>
      <c r="F667" s="74">
        <v>2.46</v>
      </c>
      <c r="G667" s="74"/>
      <c r="H667" s="74"/>
      <c r="I667" s="74" t="s">
        <v>391</v>
      </c>
      <c r="J667" s="74"/>
      <c r="K667" s="74">
        <v>102.4</v>
      </c>
      <c r="L667" s="74">
        <v>92.16</v>
      </c>
      <c r="M667" s="74"/>
      <c r="N667" s="74" t="s">
        <v>392</v>
      </c>
      <c r="O667" s="74" t="s">
        <v>402</v>
      </c>
      <c r="P667" s="74" t="s">
        <v>1413</v>
      </c>
      <c r="Q667" s="74" t="s">
        <v>1414</v>
      </c>
    </row>
    <row r="668" spans="3:17" x14ac:dyDescent="0.25">
      <c r="C668" s="74" t="s">
        <v>2978</v>
      </c>
      <c r="D668" s="74" t="s">
        <v>2979</v>
      </c>
      <c r="E668" s="74"/>
      <c r="F668" s="74">
        <v>2.46</v>
      </c>
      <c r="G668" s="74"/>
      <c r="H668" s="74"/>
      <c r="I668" s="74" t="s">
        <v>391</v>
      </c>
      <c r="J668" s="74"/>
      <c r="K668" s="74">
        <v>102.4</v>
      </c>
      <c r="L668" s="74">
        <v>92.16</v>
      </c>
      <c r="M668" s="74"/>
      <c r="N668" s="74" t="s">
        <v>392</v>
      </c>
      <c r="O668" s="74" t="s">
        <v>402</v>
      </c>
      <c r="P668" s="74" t="s">
        <v>2980</v>
      </c>
      <c r="Q668" s="74" t="s">
        <v>2981</v>
      </c>
    </row>
    <row r="669" spans="3:17" x14ac:dyDescent="0.25">
      <c r="C669" s="74" t="s">
        <v>8937</v>
      </c>
      <c r="D669" s="74" t="s">
        <v>8938</v>
      </c>
      <c r="E669" s="74"/>
      <c r="F669" s="74">
        <v>2.46</v>
      </c>
      <c r="G669" s="74"/>
      <c r="H669" s="74"/>
      <c r="I669" s="74" t="s">
        <v>391</v>
      </c>
      <c r="J669" s="74"/>
      <c r="K669" s="74">
        <v>102.4</v>
      </c>
      <c r="L669" s="74">
        <v>92.16</v>
      </c>
      <c r="M669" s="74"/>
      <c r="N669" s="74" t="s">
        <v>392</v>
      </c>
      <c r="O669" s="74" t="s">
        <v>402</v>
      </c>
      <c r="P669" s="74" t="s">
        <v>8939</v>
      </c>
      <c r="Q669" s="74" t="s">
        <v>8940</v>
      </c>
    </row>
    <row r="670" spans="3:17" x14ac:dyDescent="0.25">
      <c r="C670" s="74" t="s">
        <v>2060</v>
      </c>
      <c r="D670" s="74" t="s">
        <v>2061</v>
      </c>
      <c r="E670" s="74"/>
      <c r="F670" s="74">
        <v>2.4500000000000002</v>
      </c>
      <c r="G670" s="74"/>
      <c r="H670" s="74"/>
      <c r="I670" s="74" t="s">
        <v>391</v>
      </c>
      <c r="J670" s="74"/>
      <c r="K670" s="74">
        <v>102.4</v>
      </c>
      <c r="L670" s="74">
        <v>92.16</v>
      </c>
      <c r="M670" s="74"/>
      <c r="N670" s="74" t="s">
        <v>392</v>
      </c>
      <c r="O670" s="74" t="s">
        <v>402</v>
      </c>
      <c r="P670" s="74" t="s">
        <v>2062</v>
      </c>
      <c r="Q670" s="74" t="s">
        <v>2063</v>
      </c>
    </row>
    <row r="671" spans="3:17" x14ac:dyDescent="0.25">
      <c r="C671" s="74" t="s">
        <v>20217</v>
      </c>
      <c r="D671" s="74" t="s">
        <v>20218</v>
      </c>
      <c r="E671" s="74"/>
      <c r="F671" s="74">
        <v>2.4500000000000002</v>
      </c>
      <c r="G671" s="74"/>
      <c r="H671" s="74"/>
      <c r="I671" s="74" t="s">
        <v>391</v>
      </c>
      <c r="J671" s="74"/>
      <c r="K671" s="74">
        <v>102.4</v>
      </c>
      <c r="L671" s="74">
        <v>92.16</v>
      </c>
      <c r="M671" s="74"/>
      <c r="N671" s="74" t="s">
        <v>392</v>
      </c>
      <c r="O671" s="74" t="s">
        <v>402</v>
      </c>
      <c r="P671" s="74" t="s">
        <v>20219</v>
      </c>
      <c r="Q671" s="74" t="s">
        <v>20220</v>
      </c>
    </row>
    <row r="672" spans="3:17" x14ac:dyDescent="0.25">
      <c r="C672" s="74" t="s">
        <v>3783</v>
      </c>
      <c r="D672" s="74" t="s">
        <v>3784</v>
      </c>
      <c r="E672" s="74"/>
      <c r="F672" s="74">
        <v>2.44</v>
      </c>
      <c r="G672" s="74"/>
      <c r="H672" s="74"/>
      <c r="I672" s="74" t="s">
        <v>391</v>
      </c>
      <c r="J672" s="74"/>
      <c r="K672" s="74">
        <v>102.4</v>
      </c>
      <c r="L672" s="74">
        <v>92.16</v>
      </c>
      <c r="M672" s="74"/>
      <c r="N672" s="74" t="s">
        <v>392</v>
      </c>
      <c r="O672" s="74" t="s">
        <v>402</v>
      </c>
      <c r="P672" s="74" t="s">
        <v>3785</v>
      </c>
      <c r="Q672" s="74" t="s">
        <v>3786</v>
      </c>
    </row>
    <row r="673" spans="3:17" x14ac:dyDescent="0.25">
      <c r="C673" s="74" t="s">
        <v>12349</v>
      </c>
      <c r="D673" s="74" t="s">
        <v>12350</v>
      </c>
      <c r="E673" s="74"/>
      <c r="F673" s="74">
        <v>2.44</v>
      </c>
      <c r="G673" s="74"/>
      <c r="H673" s="74"/>
      <c r="I673" s="74" t="s">
        <v>391</v>
      </c>
      <c r="J673" s="74"/>
      <c r="K673" s="74">
        <v>102.4</v>
      </c>
      <c r="L673" s="74">
        <v>92.16</v>
      </c>
      <c r="M673" s="74"/>
      <c r="N673" s="74" t="s">
        <v>392</v>
      </c>
      <c r="O673" s="74" t="s">
        <v>402</v>
      </c>
      <c r="P673" s="74" t="s">
        <v>12351</v>
      </c>
      <c r="Q673" s="74" t="s">
        <v>12352</v>
      </c>
    </row>
    <row r="674" spans="3:17" x14ac:dyDescent="0.25">
      <c r="C674" s="74" t="s">
        <v>16595</v>
      </c>
      <c r="D674" s="74" t="s">
        <v>16596</v>
      </c>
      <c r="E674" s="74"/>
      <c r="F674" s="74">
        <v>2.44</v>
      </c>
      <c r="G674" s="74"/>
      <c r="H674" s="74"/>
      <c r="I674" s="74" t="s">
        <v>391</v>
      </c>
      <c r="J674" s="74"/>
      <c r="K674" s="74">
        <v>102.4</v>
      </c>
      <c r="L674" s="74">
        <v>92.16</v>
      </c>
      <c r="M674" s="74"/>
      <c r="N674" s="74" t="s">
        <v>392</v>
      </c>
      <c r="O674" s="74" t="s">
        <v>402</v>
      </c>
      <c r="P674" s="74" t="s">
        <v>16597</v>
      </c>
      <c r="Q674" s="74" t="s">
        <v>16598</v>
      </c>
    </row>
    <row r="675" spans="3:17" x14ac:dyDescent="0.25">
      <c r="C675" s="74" t="s">
        <v>18094</v>
      </c>
      <c r="D675" s="74" t="s">
        <v>18095</v>
      </c>
      <c r="E675" s="74"/>
      <c r="F675" s="74">
        <v>2.44</v>
      </c>
      <c r="G675" s="74"/>
      <c r="H675" s="74"/>
      <c r="I675" s="74" t="s">
        <v>391</v>
      </c>
      <c r="J675" s="74"/>
      <c r="K675" s="74">
        <v>102.4</v>
      </c>
      <c r="L675" s="74">
        <v>92.16</v>
      </c>
      <c r="M675" s="74"/>
      <c r="N675" s="74" t="s">
        <v>392</v>
      </c>
      <c r="O675" s="74" t="s">
        <v>402</v>
      </c>
      <c r="P675" s="74" t="s">
        <v>18096</v>
      </c>
      <c r="Q675" s="74" t="s">
        <v>18097</v>
      </c>
    </row>
    <row r="676" spans="3:17" x14ac:dyDescent="0.25">
      <c r="C676" s="74" t="s">
        <v>13881</v>
      </c>
      <c r="D676" s="74" t="s">
        <v>13882</v>
      </c>
      <c r="E676" s="74"/>
      <c r="F676" s="74">
        <v>2.42</v>
      </c>
      <c r="G676" s="74"/>
      <c r="H676" s="74"/>
      <c r="I676" s="74" t="s">
        <v>391</v>
      </c>
      <c r="J676" s="74"/>
      <c r="K676" s="74">
        <v>102.4</v>
      </c>
      <c r="L676" s="74">
        <v>92.16</v>
      </c>
      <c r="M676" s="74"/>
      <c r="N676" s="74" t="s">
        <v>392</v>
      </c>
      <c r="O676" s="74" t="s">
        <v>402</v>
      </c>
      <c r="P676" s="74" t="s">
        <v>13883</v>
      </c>
      <c r="Q676" s="74" t="s">
        <v>13884</v>
      </c>
    </row>
    <row r="677" spans="3:17" x14ac:dyDescent="0.25">
      <c r="C677" s="74" t="s">
        <v>14825</v>
      </c>
      <c r="D677" s="74" t="s">
        <v>14826</v>
      </c>
      <c r="E677" s="74"/>
      <c r="F677" s="74">
        <v>2.42</v>
      </c>
      <c r="G677" s="74"/>
      <c r="H677" s="74"/>
      <c r="I677" s="74" t="s">
        <v>391</v>
      </c>
      <c r="J677" s="74"/>
      <c r="K677" s="74">
        <v>102.4</v>
      </c>
      <c r="L677" s="74">
        <v>92.16</v>
      </c>
      <c r="M677" s="74"/>
      <c r="N677" s="74" t="s">
        <v>392</v>
      </c>
      <c r="O677" s="74" t="s">
        <v>402</v>
      </c>
      <c r="P677" s="74" t="s">
        <v>14827</v>
      </c>
      <c r="Q677" s="74" t="s">
        <v>14828</v>
      </c>
    </row>
    <row r="678" spans="3:17" x14ac:dyDescent="0.25">
      <c r="C678" s="74" t="s">
        <v>14403</v>
      </c>
      <c r="D678" s="74" t="s">
        <v>14404</v>
      </c>
      <c r="E678" s="74"/>
      <c r="F678" s="74">
        <v>2.41</v>
      </c>
      <c r="G678" s="74"/>
      <c r="H678" s="74"/>
      <c r="I678" s="74" t="s">
        <v>391</v>
      </c>
      <c r="J678" s="74"/>
      <c r="K678" s="74">
        <v>102.4</v>
      </c>
      <c r="L678" s="74">
        <v>92.16</v>
      </c>
      <c r="M678" s="74"/>
      <c r="N678" s="74" t="s">
        <v>392</v>
      </c>
      <c r="O678" s="74" t="s">
        <v>402</v>
      </c>
      <c r="P678" s="74" t="s">
        <v>14405</v>
      </c>
      <c r="Q678" s="74" t="s">
        <v>14406</v>
      </c>
    </row>
    <row r="679" spans="3:17" x14ac:dyDescent="0.25">
      <c r="C679" s="74" t="s">
        <v>17391</v>
      </c>
      <c r="D679" s="74" t="s">
        <v>17392</v>
      </c>
      <c r="E679" s="74"/>
      <c r="F679" s="74">
        <v>2.41</v>
      </c>
      <c r="G679" s="74"/>
      <c r="H679" s="74"/>
      <c r="I679" s="74" t="s">
        <v>391</v>
      </c>
      <c r="J679" s="74"/>
      <c r="K679" s="74">
        <v>102.4</v>
      </c>
      <c r="L679" s="74">
        <v>92.16</v>
      </c>
      <c r="M679" s="74"/>
      <c r="N679" s="74" t="s">
        <v>392</v>
      </c>
      <c r="O679" s="74" t="s">
        <v>402</v>
      </c>
      <c r="P679" s="74" t="s">
        <v>17393</v>
      </c>
      <c r="Q679" s="74" t="s">
        <v>17394</v>
      </c>
    </row>
    <row r="680" spans="3:17" x14ac:dyDescent="0.25">
      <c r="C680" s="74" t="s">
        <v>20126</v>
      </c>
      <c r="D680" s="74" t="s">
        <v>20127</v>
      </c>
      <c r="E680" s="74"/>
      <c r="F680" s="74">
        <v>2.41</v>
      </c>
      <c r="G680" s="74"/>
      <c r="H680" s="74"/>
      <c r="I680" s="74" t="s">
        <v>391</v>
      </c>
      <c r="J680" s="74"/>
      <c r="K680" s="74">
        <v>102.4</v>
      </c>
      <c r="L680" s="74">
        <v>92.16</v>
      </c>
      <c r="M680" s="74"/>
      <c r="N680" s="74" t="s">
        <v>392</v>
      </c>
      <c r="O680" s="74" t="s">
        <v>402</v>
      </c>
      <c r="P680" s="74" t="s">
        <v>20128</v>
      </c>
      <c r="Q680" s="74" t="s">
        <v>20129</v>
      </c>
    </row>
    <row r="681" spans="3:17" x14ac:dyDescent="0.25">
      <c r="C681" s="74" t="s">
        <v>13597</v>
      </c>
      <c r="D681" s="74" t="s">
        <v>13598</v>
      </c>
      <c r="E681" s="74"/>
      <c r="F681" s="74">
        <v>2.39</v>
      </c>
      <c r="G681" s="74"/>
      <c r="H681" s="74"/>
      <c r="I681" s="74" t="s">
        <v>391</v>
      </c>
      <c r="J681" s="74"/>
      <c r="K681" s="74">
        <v>102.4</v>
      </c>
      <c r="L681" s="74">
        <v>92.16</v>
      </c>
      <c r="M681" s="74"/>
      <c r="N681" s="74" t="s">
        <v>392</v>
      </c>
      <c r="O681" s="74" t="s">
        <v>402</v>
      </c>
      <c r="P681" s="74" t="s">
        <v>13599</v>
      </c>
      <c r="Q681" s="74" t="s">
        <v>13600</v>
      </c>
    </row>
    <row r="682" spans="3:17" x14ac:dyDescent="0.25">
      <c r="C682" s="74" t="s">
        <v>7727</v>
      </c>
      <c r="D682" s="74" t="s">
        <v>7728</v>
      </c>
      <c r="E682" s="74"/>
      <c r="F682" s="74">
        <v>2.38</v>
      </c>
      <c r="G682" s="74"/>
      <c r="H682" s="74"/>
      <c r="I682" s="74" t="s">
        <v>391</v>
      </c>
      <c r="J682" s="74"/>
      <c r="K682" s="74">
        <v>102.4</v>
      </c>
      <c r="L682" s="74">
        <v>92.16</v>
      </c>
      <c r="M682" s="74"/>
      <c r="N682" s="74" t="s">
        <v>392</v>
      </c>
      <c r="O682" s="74" t="s">
        <v>402</v>
      </c>
      <c r="P682" s="74" t="s">
        <v>7729</v>
      </c>
      <c r="Q682" s="74" t="s">
        <v>7730</v>
      </c>
    </row>
    <row r="683" spans="3:17" x14ac:dyDescent="0.25">
      <c r="C683" s="74" t="s">
        <v>9576</v>
      </c>
      <c r="D683" s="74" t="s">
        <v>9577</v>
      </c>
      <c r="E683" s="74"/>
      <c r="F683" s="74">
        <v>2.38</v>
      </c>
      <c r="G683" s="74"/>
      <c r="H683" s="74"/>
      <c r="I683" s="74" t="s">
        <v>391</v>
      </c>
      <c r="J683" s="74"/>
      <c r="K683" s="74">
        <v>102.4</v>
      </c>
      <c r="L683" s="74">
        <v>92.16</v>
      </c>
      <c r="M683" s="74"/>
      <c r="N683" s="74" t="s">
        <v>392</v>
      </c>
      <c r="O683" s="74" t="s">
        <v>402</v>
      </c>
      <c r="P683" s="74" t="s">
        <v>9578</v>
      </c>
      <c r="Q683" s="74" t="s">
        <v>9579</v>
      </c>
    </row>
    <row r="684" spans="3:17" x14ac:dyDescent="0.25">
      <c r="C684" s="74" t="s">
        <v>11951</v>
      </c>
      <c r="D684" s="74" t="s">
        <v>11952</v>
      </c>
      <c r="E684" s="74"/>
      <c r="F684" s="74">
        <v>2.38</v>
      </c>
      <c r="G684" s="74"/>
      <c r="H684" s="74"/>
      <c r="I684" s="74" t="s">
        <v>391</v>
      </c>
      <c r="J684" s="74"/>
      <c r="K684" s="74">
        <v>102.4</v>
      </c>
      <c r="L684" s="74">
        <v>92.16</v>
      </c>
      <c r="M684" s="74"/>
      <c r="N684" s="74" t="s">
        <v>392</v>
      </c>
      <c r="O684" s="74" t="s">
        <v>402</v>
      </c>
      <c r="P684" s="74" t="s">
        <v>11953</v>
      </c>
      <c r="Q684" s="74" t="s">
        <v>11954</v>
      </c>
    </row>
    <row r="685" spans="3:17" x14ac:dyDescent="0.25">
      <c r="C685" s="74" t="s">
        <v>18609</v>
      </c>
      <c r="D685" s="74" t="s">
        <v>18610</v>
      </c>
      <c r="E685" s="74"/>
      <c r="F685" s="74">
        <v>2.38</v>
      </c>
      <c r="G685" s="74"/>
      <c r="H685" s="74"/>
      <c r="I685" s="74" t="s">
        <v>391</v>
      </c>
      <c r="J685" s="74"/>
      <c r="K685" s="74">
        <v>102.4</v>
      </c>
      <c r="L685" s="74">
        <v>92.16</v>
      </c>
      <c r="M685" s="74"/>
      <c r="N685" s="74" t="s">
        <v>392</v>
      </c>
      <c r="O685" s="74" t="s">
        <v>402</v>
      </c>
      <c r="P685" s="74" t="s">
        <v>18611</v>
      </c>
      <c r="Q685" s="74" t="s">
        <v>18612</v>
      </c>
    </row>
    <row r="686" spans="3:17" x14ac:dyDescent="0.25">
      <c r="C686" s="74" t="s">
        <v>3078</v>
      </c>
      <c r="D686" s="74" t="s">
        <v>3079</v>
      </c>
      <c r="E686" s="74"/>
      <c r="F686" s="74">
        <v>2.37</v>
      </c>
      <c r="G686" s="74"/>
      <c r="H686" s="74"/>
      <c r="I686" s="74" t="s">
        <v>391</v>
      </c>
      <c r="J686" s="74"/>
      <c r="K686" s="74">
        <v>102.4</v>
      </c>
      <c r="L686" s="74">
        <v>92.16</v>
      </c>
      <c r="M686" s="74"/>
      <c r="N686" s="74" t="s">
        <v>392</v>
      </c>
      <c r="O686" s="74" t="s">
        <v>402</v>
      </c>
      <c r="P686" s="74" t="s">
        <v>3080</v>
      </c>
      <c r="Q686" s="74" t="s">
        <v>3081</v>
      </c>
    </row>
    <row r="687" spans="3:17" x14ac:dyDescent="0.25">
      <c r="C687" s="74" t="s">
        <v>17381</v>
      </c>
      <c r="D687" s="74" t="s">
        <v>17382</v>
      </c>
      <c r="E687" s="74"/>
      <c r="F687" s="74">
        <v>2.37</v>
      </c>
      <c r="G687" s="74"/>
      <c r="H687" s="74"/>
      <c r="I687" s="74" t="s">
        <v>391</v>
      </c>
      <c r="J687" s="74"/>
      <c r="K687" s="74">
        <v>102.4</v>
      </c>
      <c r="L687" s="74">
        <v>92.16</v>
      </c>
      <c r="M687" s="74"/>
      <c r="N687" s="74" t="s">
        <v>392</v>
      </c>
      <c r="O687" s="74" t="s">
        <v>402</v>
      </c>
      <c r="P687" s="74" t="s">
        <v>17383</v>
      </c>
      <c r="Q687" s="74" t="s">
        <v>17384</v>
      </c>
    </row>
    <row r="688" spans="3:17" x14ac:dyDescent="0.25">
      <c r="C688" s="74" t="s">
        <v>5096</v>
      </c>
      <c r="D688" s="74" t="s">
        <v>5097</v>
      </c>
      <c r="E688" s="74"/>
      <c r="F688" s="74">
        <v>2.36</v>
      </c>
      <c r="G688" s="74"/>
      <c r="H688" s="74"/>
      <c r="I688" s="74" t="s">
        <v>391</v>
      </c>
      <c r="J688" s="74"/>
      <c r="K688" s="74">
        <v>102.4</v>
      </c>
      <c r="L688" s="74">
        <v>92.16</v>
      </c>
      <c r="M688" s="74"/>
      <c r="N688" s="74" t="s">
        <v>392</v>
      </c>
      <c r="O688" s="74" t="s">
        <v>402</v>
      </c>
      <c r="P688" s="74" t="s">
        <v>5098</v>
      </c>
      <c r="Q688" s="74" t="s">
        <v>5099</v>
      </c>
    </row>
    <row r="689" spans="3:17" x14ac:dyDescent="0.25">
      <c r="C689" s="74" t="s">
        <v>13821</v>
      </c>
      <c r="D689" s="74" t="s">
        <v>13822</v>
      </c>
      <c r="E689" s="74"/>
      <c r="F689" s="74">
        <v>2.36</v>
      </c>
      <c r="G689" s="74"/>
      <c r="H689" s="74"/>
      <c r="I689" s="74" t="s">
        <v>391</v>
      </c>
      <c r="J689" s="74"/>
      <c r="K689" s="74">
        <v>102.4</v>
      </c>
      <c r="L689" s="74">
        <v>92.16</v>
      </c>
      <c r="M689" s="74"/>
      <c r="N689" s="74" t="s">
        <v>392</v>
      </c>
      <c r="O689" s="74" t="s">
        <v>402</v>
      </c>
      <c r="P689" s="74" t="s">
        <v>13823</v>
      </c>
      <c r="Q689" s="74" t="s">
        <v>13824</v>
      </c>
    </row>
    <row r="690" spans="3:17" x14ac:dyDescent="0.25">
      <c r="C690" s="74" t="s">
        <v>20034</v>
      </c>
      <c r="D690" s="74" t="s">
        <v>20035</v>
      </c>
      <c r="E690" s="74"/>
      <c r="F690" s="74">
        <v>2.36</v>
      </c>
      <c r="G690" s="74"/>
      <c r="H690" s="74"/>
      <c r="I690" s="74" t="s">
        <v>391</v>
      </c>
      <c r="J690" s="74"/>
      <c r="K690" s="74">
        <v>102.4</v>
      </c>
      <c r="L690" s="74">
        <v>92.16</v>
      </c>
      <c r="M690" s="74"/>
      <c r="N690" s="74" t="s">
        <v>392</v>
      </c>
      <c r="O690" s="74" t="s">
        <v>402</v>
      </c>
      <c r="P690" s="74" t="s">
        <v>20036</v>
      </c>
      <c r="Q690" s="74" t="s">
        <v>20037</v>
      </c>
    </row>
    <row r="691" spans="3:17" x14ac:dyDescent="0.25">
      <c r="C691" s="74" t="s">
        <v>5791</v>
      </c>
      <c r="D691" s="74" t="s">
        <v>5792</v>
      </c>
      <c r="E691" s="74"/>
      <c r="F691" s="74">
        <v>2.35</v>
      </c>
      <c r="G691" s="74"/>
      <c r="H691" s="74"/>
      <c r="I691" s="74" t="s">
        <v>391</v>
      </c>
      <c r="J691" s="74"/>
      <c r="K691" s="74">
        <v>102.4</v>
      </c>
      <c r="L691" s="74">
        <v>92.16</v>
      </c>
      <c r="M691" s="74"/>
      <c r="N691" s="74" t="s">
        <v>392</v>
      </c>
      <c r="O691" s="74" t="s">
        <v>402</v>
      </c>
      <c r="P691" s="74" t="s">
        <v>5793</v>
      </c>
      <c r="Q691" s="74" t="s">
        <v>5794</v>
      </c>
    </row>
    <row r="692" spans="3:17" x14ac:dyDescent="0.25">
      <c r="C692" s="74" t="s">
        <v>11478</v>
      </c>
      <c r="D692" s="74" t="s">
        <v>11479</v>
      </c>
      <c r="E692" s="74"/>
      <c r="F692" s="74">
        <v>2.35</v>
      </c>
      <c r="G692" s="74"/>
      <c r="H692" s="74"/>
      <c r="I692" s="74" t="s">
        <v>391</v>
      </c>
      <c r="J692" s="74"/>
      <c r="K692" s="74">
        <v>102.4</v>
      </c>
      <c r="L692" s="74">
        <v>92.16</v>
      </c>
      <c r="M692" s="74"/>
      <c r="N692" s="74" t="s">
        <v>392</v>
      </c>
      <c r="O692" s="74" t="s">
        <v>402</v>
      </c>
      <c r="P692" s="74" t="s">
        <v>11480</v>
      </c>
      <c r="Q692" s="74" t="s">
        <v>11481</v>
      </c>
    </row>
    <row r="693" spans="3:17" x14ac:dyDescent="0.25">
      <c r="C693" s="74" t="s">
        <v>14454</v>
      </c>
      <c r="D693" s="74" t="s">
        <v>14455</v>
      </c>
      <c r="E693" s="74"/>
      <c r="F693" s="74">
        <v>2.35</v>
      </c>
      <c r="G693" s="74"/>
      <c r="H693" s="74"/>
      <c r="I693" s="74" t="s">
        <v>391</v>
      </c>
      <c r="J693" s="74"/>
      <c r="K693" s="74">
        <v>102.4</v>
      </c>
      <c r="L693" s="74">
        <v>92.16</v>
      </c>
      <c r="M693" s="74"/>
      <c r="N693" s="74" t="s">
        <v>392</v>
      </c>
      <c r="O693" s="74" t="s">
        <v>402</v>
      </c>
      <c r="P693" s="74" t="s">
        <v>14456</v>
      </c>
      <c r="Q693" s="74" t="s">
        <v>14457</v>
      </c>
    </row>
    <row r="694" spans="3:17" x14ac:dyDescent="0.25">
      <c r="C694" s="74" t="s">
        <v>16022</v>
      </c>
      <c r="D694" s="74" t="s">
        <v>16023</v>
      </c>
      <c r="E694" s="74"/>
      <c r="F694" s="74">
        <v>2.33</v>
      </c>
      <c r="G694" s="74"/>
      <c r="H694" s="74"/>
      <c r="I694" s="74" t="s">
        <v>391</v>
      </c>
      <c r="J694" s="74"/>
      <c r="K694" s="74">
        <v>102.4</v>
      </c>
      <c r="L694" s="74">
        <v>92.16</v>
      </c>
      <c r="M694" s="74"/>
      <c r="N694" s="74" t="s">
        <v>392</v>
      </c>
      <c r="O694" s="74" t="s">
        <v>402</v>
      </c>
      <c r="P694" s="74" t="s">
        <v>16024</v>
      </c>
      <c r="Q694" s="74" t="s">
        <v>16025</v>
      </c>
    </row>
    <row r="695" spans="3:17" x14ac:dyDescent="0.25">
      <c r="C695" s="74" t="s">
        <v>6525</v>
      </c>
      <c r="D695" s="74" t="s">
        <v>6526</v>
      </c>
      <c r="E695" s="74"/>
      <c r="F695" s="74">
        <v>2.3199999999999998</v>
      </c>
      <c r="G695" s="74"/>
      <c r="H695" s="74"/>
      <c r="I695" s="74" t="s">
        <v>391</v>
      </c>
      <c r="J695" s="74"/>
      <c r="K695" s="74">
        <v>102.4</v>
      </c>
      <c r="L695" s="74">
        <v>92.16</v>
      </c>
      <c r="M695" s="74"/>
      <c r="N695" s="74" t="s">
        <v>392</v>
      </c>
      <c r="O695" s="74" t="s">
        <v>402</v>
      </c>
      <c r="P695" s="74" t="s">
        <v>6527</v>
      </c>
      <c r="Q695" s="74" t="s">
        <v>6528</v>
      </c>
    </row>
    <row r="696" spans="3:17" x14ac:dyDescent="0.25">
      <c r="C696" s="74" t="s">
        <v>9943</v>
      </c>
      <c r="D696" s="74" t="s">
        <v>9944</v>
      </c>
      <c r="E696" s="74"/>
      <c r="F696" s="74">
        <v>2.3199999999999998</v>
      </c>
      <c r="G696" s="74"/>
      <c r="H696" s="74"/>
      <c r="I696" s="74" t="s">
        <v>391</v>
      </c>
      <c r="J696" s="74"/>
      <c r="K696" s="74">
        <v>102.4</v>
      </c>
      <c r="L696" s="74">
        <v>92.16</v>
      </c>
      <c r="M696" s="74"/>
      <c r="N696" s="74" t="s">
        <v>392</v>
      </c>
      <c r="O696" s="74" t="s">
        <v>402</v>
      </c>
      <c r="P696" s="74" t="s">
        <v>9945</v>
      </c>
      <c r="Q696" s="74" t="s">
        <v>9946</v>
      </c>
    </row>
    <row r="697" spans="3:17" x14ac:dyDescent="0.25">
      <c r="C697" s="74" t="s">
        <v>16812</v>
      </c>
      <c r="D697" s="74" t="s">
        <v>16813</v>
      </c>
      <c r="E697" s="74"/>
      <c r="F697" s="74">
        <v>2.3199999999999998</v>
      </c>
      <c r="G697" s="74"/>
      <c r="H697" s="74"/>
      <c r="I697" s="74" t="s">
        <v>391</v>
      </c>
      <c r="J697" s="74"/>
      <c r="K697" s="74">
        <v>102.4</v>
      </c>
      <c r="L697" s="74">
        <v>92.16</v>
      </c>
      <c r="M697" s="74"/>
      <c r="N697" s="74" t="s">
        <v>392</v>
      </c>
      <c r="O697" s="74" t="s">
        <v>402</v>
      </c>
      <c r="P697" s="74" t="s">
        <v>16814</v>
      </c>
      <c r="Q697" s="74" t="s">
        <v>16815</v>
      </c>
    </row>
    <row r="698" spans="3:17" x14ac:dyDescent="0.25">
      <c r="C698" s="74" t="s">
        <v>19326</v>
      </c>
      <c r="D698" s="74" t="s">
        <v>19327</v>
      </c>
      <c r="E698" s="74"/>
      <c r="F698" s="74">
        <v>2.31</v>
      </c>
      <c r="G698" s="74"/>
      <c r="H698" s="74"/>
      <c r="I698" s="74" t="s">
        <v>391</v>
      </c>
      <c r="J698" s="74"/>
      <c r="K698" s="74">
        <v>102.4</v>
      </c>
      <c r="L698" s="74">
        <v>92.16</v>
      </c>
      <c r="M698" s="74"/>
      <c r="N698" s="74" t="s">
        <v>392</v>
      </c>
      <c r="O698" s="74" t="s">
        <v>402</v>
      </c>
      <c r="P698" s="74" t="s">
        <v>19328</v>
      </c>
      <c r="Q698" s="74" t="s">
        <v>19329</v>
      </c>
    </row>
    <row r="699" spans="3:17" x14ac:dyDescent="0.25">
      <c r="C699" s="74" t="s">
        <v>10942</v>
      </c>
      <c r="D699" s="74" t="s">
        <v>10943</v>
      </c>
      <c r="E699" s="74"/>
      <c r="F699" s="74">
        <v>2.2999999999999998</v>
      </c>
      <c r="G699" s="74"/>
      <c r="H699" s="74"/>
      <c r="I699" s="74" t="s">
        <v>391</v>
      </c>
      <c r="J699" s="74"/>
      <c r="K699" s="74">
        <v>102.4</v>
      </c>
      <c r="L699" s="74">
        <v>92.16</v>
      </c>
      <c r="M699" s="74"/>
      <c r="N699" s="74" t="s">
        <v>392</v>
      </c>
      <c r="O699" s="74" t="s">
        <v>402</v>
      </c>
      <c r="P699" s="74" t="s">
        <v>10944</v>
      </c>
      <c r="Q699" s="74" t="s">
        <v>10945</v>
      </c>
    </row>
    <row r="700" spans="3:17" x14ac:dyDescent="0.25">
      <c r="C700" s="74" t="s">
        <v>16958</v>
      </c>
      <c r="D700" s="74" t="s">
        <v>16959</v>
      </c>
      <c r="E700" s="74"/>
      <c r="F700" s="74">
        <v>2.2999999999999998</v>
      </c>
      <c r="G700" s="74"/>
      <c r="H700" s="74"/>
      <c r="I700" s="74" t="s">
        <v>391</v>
      </c>
      <c r="J700" s="74"/>
      <c r="K700" s="74">
        <v>102.4</v>
      </c>
      <c r="L700" s="74">
        <v>92.16</v>
      </c>
      <c r="M700" s="74"/>
      <c r="N700" s="74" t="s">
        <v>392</v>
      </c>
      <c r="O700" s="74" t="s">
        <v>402</v>
      </c>
      <c r="P700" s="74" t="s">
        <v>16960</v>
      </c>
      <c r="Q700" s="74" t="s">
        <v>16961</v>
      </c>
    </row>
    <row r="701" spans="3:17" x14ac:dyDescent="0.25">
      <c r="C701" s="74" t="s">
        <v>1896</v>
      </c>
      <c r="D701" s="74" t="s">
        <v>1897</v>
      </c>
      <c r="E701" s="74"/>
      <c r="F701" s="74">
        <v>2.29</v>
      </c>
      <c r="G701" s="74"/>
      <c r="H701" s="74"/>
      <c r="I701" s="74" t="s">
        <v>391</v>
      </c>
      <c r="J701" s="74"/>
      <c r="K701" s="74">
        <v>102.4</v>
      </c>
      <c r="L701" s="74">
        <v>92.16</v>
      </c>
      <c r="M701" s="74"/>
      <c r="N701" s="74" t="s">
        <v>392</v>
      </c>
      <c r="O701" s="74" t="s">
        <v>402</v>
      </c>
      <c r="P701" s="74" t="s">
        <v>1898</v>
      </c>
      <c r="Q701" s="74" t="s">
        <v>1899</v>
      </c>
    </row>
    <row r="702" spans="3:17" x14ac:dyDescent="0.25">
      <c r="C702" s="74" t="s">
        <v>12206</v>
      </c>
      <c r="D702" s="74" t="s">
        <v>12207</v>
      </c>
      <c r="E702" s="74"/>
      <c r="F702" s="74">
        <v>2.29</v>
      </c>
      <c r="G702" s="74"/>
      <c r="H702" s="74"/>
      <c r="I702" s="74" t="s">
        <v>391</v>
      </c>
      <c r="J702" s="74"/>
      <c r="K702" s="74">
        <v>102.4</v>
      </c>
      <c r="L702" s="74">
        <v>92.16</v>
      </c>
      <c r="M702" s="74"/>
      <c r="N702" s="74" t="s">
        <v>392</v>
      </c>
      <c r="O702" s="74" t="s">
        <v>402</v>
      </c>
      <c r="P702" s="74" t="s">
        <v>12208</v>
      </c>
      <c r="Q702" s="74" t="s">
        <v>12209</v>
      </c>
    </row>
    <row r="703" spans="3:17" x14ac:dyDescent="0.25">
      <c r="C703" s="74" t="s">
        <v>20547</v>
      </c>
      <c r="D703" s="74" t="s">
        <v>20548</v>
      </c>
      <c r="E703" s="74"/>
      <c r="F703" s="74">
        <v>2.29</v>
      </c>
      <c r="G703" s="74"/>
      <c r="H703" s="74"/>
      <c r="I703" s="74" t="s">
        <v>391</v>
      </c>
      <c r="J703" s="74"/>
      <c r="K703" s="74">
        <v>102.4</v>
      </c>
      <c r="L703" s="74">
        <v>92.16</v>
      </c>
      <c r="M703" s="74"/>
      <c r="N703" s="74" t="s">
        <v>392</v>
      </c>
      <c r="O703" s="74" t="s">
        <v>402</v>
      </c>
      <c r="P703" s="74" t="s">
        <v>20549</v>
      </c>
      <c r="Q703" s="74" t="s">
        <v>20550</v>
      </c>
    </row>
    <row r="704" spans="3:17" x14ac:dyDescent="0.25">
      <c r="C704" s="74" t="s">
        <v>14663</v>
      </c>
      <c r="D704" s="74" t="s">
        <v>14664</v>
      </c>
      <c r="E704" s="74"/>
      <c r="F704" s="74">
        <v>2.2799999999999998</v>
      </c>
      <c r="G704" s="74"/>
      <c r="H704" s="74"/>
      <c r="I704" s="74" t="s">
        <v>391</v>
      </c>
      <c r="J704" s="74"/>
      <c r="K704" s="74">
        <v>102.4</v>
      </c>
      <c r="L704" s="74">
        <v>92.16</v>
      </c>
      <c r="M704" s="74"/>
      <c r="N704" s="74" t="s">
        <v>392</v>
      </c>
      <c r="O704" s="74" t="s">
        <v>402</v>
      </c>
      <c r="P704" s="74" t="s">
        <v>14665</v>
      </c>
      <c r="Q704" s="74" t="s">
        <v>14666</v>
      </c>
    </row>
    <row r="705" spans="3:17" x14ac:dyDescent="0.25">
      <c r="C705" s="74" t="s">
        <v>4624</v>
      </c>
      <c r="D705" s="74" t="s">
        <v>4625</v>
      </c>
      <c r="E705" s="74"/>
      <c r="F705" s="74">
        <v>2.27</v>
      </c>
      <c r="G705" s="74"/>
      <c r="H705" s="74"/>
      <c r="I705" s="74" t="s">
        <v>391</v>
      </c>
      <c r="J705" s="74"/>
      <c r="K705" s="74">
        <v>102.4</v>
      </c>
      <c r="L705" s="74">
        <v>92.16</v>
      </c>
      <c r="M705" s="74"/>
      <c r="N705" s="74" t="s">
        <v>392</v>
      </c>
      <c r="O705" s="74" t="s">
        <v>402</v>
      </c>
      <c r="P705" s="74" t="s">
        <v>4626</v>
      </c>
      <c r="Q705" s="74" t="s">
        <v>4627</v>
      </c>
    </row>
    <row r="706" spans="3:17" x14ac:dyDescent="0.25">
      <c r="C706" s="74" t="s">
        <v>9248</v>
      </c>
      <c r="D706" s="74" t="s">
        <v>9249</v>
      </c>
      <c r="E706" s="74"/>
      <c r="F706" s="74">
        <v>2.27</v>
      </c>
      <c r="G706" s="74"/>
      <c r="H706" s="74"/>
      <c r="I706" s="74" t="s">
        <v>391</v>
      </c>
      <c r="J706" s="74"/>
      <c r="K706" s="74">
        <v>102.4</v>
      </c>
      <c r="L706" s="74">
        <v>92.16</v>
      </c>
      <c r="M706" s="74"/>
      <c r="N706" s="74" t="s">
        <v>392</v>
      </c>
      <c r="O706" s="74" t="s">
        <v>402</v>
      </c>
      <c r="P706" s="74" t="s">
        <v>9250</v>
      </c>
      <c r="Q706" s="74" t="s">
        <v>9251</v>
      </c>
    </row>
    <row r="707" spans="3:17" x14ac:dyDescent="0.25">
      <c r="C707" s="74" t="s">
        <v>20873</v>
      </c>
      <c r="D707" s="74" t="s">
        <v>20874</v>
      </c>
      <c r="E707" s="74"/>
      <c r="F707" s="74">
        <v>2.27</v>
      </c>
      <c r="G707" s="74"/>
      <c r="H707" s="74"/>
      <c r="I707" s="74" t="s">
        <v>391</v>
      </c>
      <c r="J707" s="74"/>
      <c r="K707" s="74">
        <v>102.4</v>
      </c>
      <c r="L707" s="74">
        <v>92.16</v>
      </c>
      <c r="M707" s="74"/>
      <c r="N707" s="74" t="s">
        <v>392</v>
      </c>
      <c r="O707" s="74" t="s">
        <v>402</v>
      </c>
      <c r="P707" s="74" t="s">
        <v>20875</v>
      </c>
      <c r="Q707" s="74" t="s">
        <v>20876</v>
      </c>
    </row>
    <row r="708" spans="3:17" x14ac:dyDescent="0.25">
      <c r="C708" s="74" t="s">
        <v>3775</v>
      </c>
      <c r="D708" s="74" t="s">
        <v>3776</v>
      </c>
      <c r="E708" s="74"/>
      <c r="F708" s="74">
        <v>2.2599999999999998</v>
      </c>
      <c r="G708" s="74"/>
      <c r="H708" s="74"/>
      <c r="I708" s="74" t="s">
        <v>391</v>
      </c>
      <c r="J708" s="74"/>
      <c r="K708" s="74">
        <v>102.4</v>
      </c>
      <c r="L708" s="74">
        <v>92.16</v>
      </c>
      <c r="M708" s="74"/>
      <c r="N708" s="74" t="s">
        <v>392</v>
      </c>
      <c r="O708" s="74" t="s">
        <v>402</v>
      </c>
      <c r="P708" s="74" t="s">
        <v>3777</v>
      </c>
      <c r="Q708" s="74" t="s">
        <v>3778</v>
      </c>
    </row>
    <row r="709" spans="3:17" x14ac:dyDescent="0.25">
      <c r="C709" s="74" t="s">
        <v>6000</v>
      </c>
      <c r="D709" s="74" t="s">
        <v>6001</v>
      </c>
      <c r="E709" s="74"/>
      <c r="F709" s="74">
        <v>2.2599999999999998</v>
      </c>
      <c r="G709" s="74"/>
      <c r="H709" s="74"/>
      <c r="I709" s="74" t="s">
        <v>391</v>
      </c>
      <c r="J709" s="74"/>
      <c r="K709" s="74">
        <v>102.4</v>
      </c>
      <c r="L709" s="74">
        <v>92.16</v>
      </c>
      <c r="M709" s="74"/>
      <c r="N709" s="74" t="s">
        <v>392</v>
      </c>
      <c r="O709" s="74" t="s">
        <v>402</v>
      </c>
      <c r="P709" s="74" t="s">
        <v>6002</v>
      </c>
      <c r="Q709" s="74" t="s">
        <v>6003</v>
      </c>
    </row>
    <row r="710" spans="3:17" x14ac:dyDescent="0.25">
      <c r="C710" s="74" t="s">
        <v>6891</v>
      </c>
      <c r="D710" s="74" t="s">
        <v>6892</v>
      </c>
      <c r="E710" s="74"/>
      <c r="F710" s="74">
        <v>2.2599999999999998</v>
      </c>
      <c r="G710" s="74"/>
      <c r="H710" s="74"/>
      <c r="I710" s="74" t="s">
        <v>391</v>
      </c>
      <c r="J710" s="74"/>
      <c r="K710" s="74">
        <v>102.4</v>
      </c>
      <c r="L710" s="74">
        <v>92.16</v>
      </c>
      <c r="M710" s="74"/>
      <c r="N710" s="74" t="s">
        <v>392</v>
      </c>
      <c r="O710" s="74" t="s">
        <v>402</v>
      </c>
      <c r="P710" s="74" t="s">
        <v>6893</v>
      </c>
      <c r="Q710" s="74" t="s">
        <v>6894</v>
      </c>
    </row>
    <row r="711" spans="3:17" x14ac:dyDescent="0.25">
      <c r="C711" s="74" t="s">
        <v>10162</v>
      </c>
      <c r="D711" s="74" t="s">
        <v>10163</v>
      </c>
      <c r="E711" s="74"/>
      <c r="F711" s="74">
        <v>2.2599999999999998</v>
      </c>
      <c r="G711" s="74"/>
      <c r="H711" s="74"/>
      <c r="I711" s="74" t="s">
        <v>391</v>
      </c>
      <c r="J711" s="74"/>
      <c r="K711" s="74">
        <v>102.4</v>
      </c>
      <c r="L711" s="74">
        <v>92.16</v>
      </c>
      <c r="M711" s="74"/>
      <c r="N711" s="74" t="s">
        <v>392</v>
      </c>
      <c r="O711" s="74" t="s">
        <v>402</v>
      </c>
      <c r="P711" s="74" t="s">
        <v>10164</v>
      </c>
      <c r="Q711" s="74" t="s">
        <v>10165</v>
      </c>
    </row>
    <row r="712" spans="3:17" x14ac:dyDescent="0.25">
      <c r="C712" s="74" t="s">
        <v>15325</v>
      </c>
      <c r="D712" s="74" t="s">
        <v>15326</v>
      </c>
      <c r="E712" s="74"/>
      <c r="F712" s="74">
        <v>2.2599999999999998</v>
      </c>
      <c r="G712" s="74"/>
      <c r="H712" s="74"/>
      <c r="I712" s="74" t="s">
        <v>391</v>
      </c>
      <c r="J712" s="74"/>
      <c r="K712" s="74">
        <v>102.4</v>
      </c>
      <c r="L712" s="74">
        <v>92.16</v>
      </c>
      <c r="M712" s="74"/>
      <c r="N712" s="74" t="s">
        <v>392</v>
      </c>
      <c r="O712" s="74" t="s">
        <v>402</v>
      </c>
      <c r="P712" s="74" t="s">
        <v>15327</v>
      </c>
      <c r="Q712" s="74" t="s">
        <v>15328</v>
      </c>
    </row>
    <row r="713" spans="3:17" x14ac:dyDescent="0.25">
      <c r="C713" s="74" t="s">
        <v>16830</v>
      </c>
      <c r="D713" s="74" t="s">
        <v>16831</v>
      </c>
      <c r="E713" s="74"/>
      <c r="F713" s="74">
        <v>2.2599999999999998</v>
      </c>
      <c r="G713" s="74"/>
      <c r="H713" s="74"/>
      <c r="I713" s="74" t="s">
        <v>391</v>
      </c>
      <c r="J713" s="74"/>
      <c r="K713" s="74">
        <v>102.4</v>
      </c>
      <c r="L713" s="74">
        <v>92.16</v>
      </c>
      <c r="M713" s="74"/>
      <c r="N713" s="74" t="s">
        <v>392</v>
      </c>
      <c r="O713" s="74" t="s">
        <v>402</v>
      </c>
      <c r="P713" s="74" t="s">
        <v>16832</v>
      </c>
      <c r="Q713" s="74" t="s">
        <v>16833</v>
      </c>
    </row>
    <row r="714" spans="3:17" x14ac:dyDescent="0.25">
      <c r="C714" s="74" t="s">
        <v>17925</v>
      </c>
      <c r="D714" s="74" t="s">
        <v>17926</v>
      </c>
      <c r="E714" s="74"/>
      <c r="F714" s="74">
        <v>2.2599999999999998</v>
      </c>
      <c r="G714" s="74"/>
      <c r="H714" s="74"/>
      <c r="I714" s="74" t="s">
        <v>391</v>
      </c>
      <c r="J714" s="74"/>
      <c r="K714" s="74">
        <v>102.4</v>
      </c>
      <c r="L714" s="74">
        <v>92.16</v>
      </c>
      <c r="M714" s="74"/>
      <c r="N714" s="74" t="s">
        <v>392</v>
      </c>
      <c r="O714" s="74" t="s">
        <v>402</v>
      </c>
      <c r="P714" s="74" t="s">
        <v>17927</v>
      </c>
      <c r="Q714" s="74" t="s">
        <v>17928</v>
      </c>
    </row>
    <row r="715" spans="3:17" x14ac:dyDescent="0.25">
      <c r="C715" s="74" t="s">
        <v>5246</v>
      </c>
      <c r="D715" s="74" t="s">
        <v>5247</v>
      </c>
      <c r="E715" s="74"/>
      <c r="F715" s="74">
        <v>2.25</v>
      </c>
      <c r="G715" s="74"/>
      <c r="H715" s="74"/>
      <c r="I715" s="74" t="s">
        <v>391</v>
      </c>
      <c r="J715" s="74"/>
      <c r="K715" s="74">
        <v>102.4</v>
      </c>
      <c r="L715" s="74">
        <v>92.16</v>
      </c>
      <c r="M715" s="74"/>
      <c r="N715" s="74" t="s">
        <v>392</v>
      </c>
      <c r="O715" s="74" t="s">
        <v>402</v>
      </c>
      <c r="P715" s="74" t="s">
        <v>5248</v>
      </c>
      <c r="Q715" s="74" t="s">
        <v>5249</v>
      </c>
    </row>
    <row r="716" spans="3:17" x14ac:dyDescent="0.25">
      <c r="C716" s="74" t="s">
        <v>20847</v>
      </c>
      <c r="D716" s="74" t="s">
        <v>20848</v>
      </c>
      <c r="E716" s="74"/>
      <c r="F716" s="74">
        <v>2.25</v>
      </c>
      <c r="G716" s="74"/>
      <c r="H716" s="74"/>
      <c r="I716" s="74" t="s">
        <v>391</v>
      </c>
      <c r="J716" s="74"/>
      <c r="K716" s="74">
        <v>102.4</v>
      </c>
      <c r="L716" s="74">
        <v>92.16</v>
      </c>
      <c r="M716" s="74"/>
      <c r="N716" s="74" t="s">
        <v>392</v>
      </c>
      <c r="O716" s="74" t="s">
        <v>402</v>
      </c>
      <c r="P716" s="74" t="s">
        <v>20849</v>
      </c>
      <c r="Q716" s="74" t="s">
        <v>20850</v>
      </c>
    </row>
    <row r="717" spans="3:17" x14ac:dyDescent="0.25">
      <c r="C717" s="74" t="s">
        <v>11887</v>
      </c>
      <c r="D717" s="74" t="s">
        <v>11888</v>
      </c>
      <c r="E717" s="74"/>
      <c r="F717" s="74">
        <v>2.2400000000000002</v>
      </c>
      <c r="G717" s="74"/>
      <c r="H717" s="74"/>
      <c r="I717" s="74" t="s">
        <v>391</v>
      </c>
      <c r="J717" s="74"/>
      <c r="K717" s="74">
        <v>102.4</v>
      </c>
      <c r="L717" s="74">
        <v>92.16</v>
      </c>
      <c r="M717" s="74"/>
      <c r="N717" s="74" t="s">
        <v>392</v>
      </c>
      <c r="O717" s="74" t="s">
        <v>402</v>
      </c>
      <c r="P717" s="74" t="s">
        <v>11889</v>
      </c>
      <c r="Q717" s="74" t="s">
        <v>11890</v>
      </c>
    </row>
    <row r="718" spans="3:17" x14ac:dyDescent="0.25">
      <c r="C718" s="74" t="s">
        <v>19154</v>
      </c>
      <c r="D718" s="74" t="s">
        <v>19155</v>
      </c>
      <c r="E718" s="74"/>
      <c r="F718" s="74">
        <v>2.2400000000000002</v>
      </c>
      <c r="G718" s="74"/>
      <c r="H718" s="74"/>
      <c r="I718" s="74" t="s">
        <v>391</v>
      </c>
      <c r="J718" s="74"/>
      <c r="K718" s="74">
        <v>102.4</v>
      </c>
      <c r="L718" s="74">
        <v>92.16</v>
      </c>
      <c r="M718" s="74"/>
      <c r="N718" s="74" t="s">
        <v>392</v>
      </c>
      <c r="O718" s="74" t="s">
        <v>402</v>
      </c>
      <c r="P718" s="74" t="s">
        <v>19156</v>
      </c>
      <c r="Q718" s="74" t="s">
        <v>19157</v>
      </c>
    </row>
    <row r="719" spans="3:17" x14ac:dyDescent="0.25">
      <c r="C719" s="74" t="s">
        <v>12530</v>
      </c>
      <c r="D719" s="74" t="s">
        <v>12531</v>
      </c>
      <c r="E719" s="74"/>
      <c r="F719" s="74">
        <v>2.23</v>
      </c>
      <c r="G719" s="74"/>
      <c r="H719" s="74"/>
      <c r="I719" s="74" t="s">
        <v>391</v>
      </c>
      <c r="J719" s="74"/>
      <c r="K719" s="74">
        <v>102.4</v>
      </c>
      <c r="L719" s="74">
        <v>92.16</v>
      </c>
      <c r="M719" s="74"/>
      <c r="N719" s="74" t="s">
        <v>392</v>
      </c>
      <c r="O719" s="74" t="s">
        <v>402</v>
      </c>
      <c r="P719" s="74" t="s">
        <v>12532</v>
      </c>
      <c r="Q719" s="74" t="s">
        <v>12533</v>
      </c>
    </row>
    <row r="720" spans="3:17" x14ac:dyDescent="0.25">
      <c r="C720" s="74" t="s">
        <v>5035</v>
      </c>
      <c r="D720" s="74" t="s">
        <v>5036</v>
      </c>
      <c r="E720" s="74"/>
      <c r="F720" s="74">
        <v>2.2200000000000002</v>
      </c>
      <c r="G720" s="74"/>
      <c r="H720" s="74"/>
      <c r="I720" s="74" t="s">
        <v>391</v>
      </c>
      <c r="J720" s="74"/>
      <c r="K720" s="74">
        <v>102.4</v>
      </c>
      <c r="L720" s="74">
        <v>92.16</v>
      </c>
      <c r="M720" s="74"/>
      <c r="N720" s="74" t="s">
        <v>392</v>
      </c>
      <c r="O720" s="74" t="s">
        <v>402</v>
      </c>
      <c r="P720" s="74" t="s">
        <v>5037</v>
      </c>
      <c r="Q720" s="74" t="s">
        <v>5038</v>
      </c>
    </row>
    <row r="721" spans="3:17" x14ac:dyDescent="0.25">
      <c r="C721" s="74" t="s">
        <v>14811</v>
      </c>
      <c r="D721" s="74" t="s">
        <v>14812</v>
      </c>
      <c r="E721" s="74"/>
      <c r="F721" s="74">
        <v>2.2200000000000002</v>
      </c>
      <c r="G721" s="74"/>
      <c r="H721" s="74"/>
      <c r="I721" s="74" t="s">
        <v>391</v>
      </c>
      <c r="J721" s="74"/>
      <c r="K721" s="74">
        <v>102.4</v>
      </c>
      <c r="L721" s="74">
        <v>92.16</v>
      </c>
      <c r="M721" s="74"/>
      <c r="N721" s="74" t="s">
        <v>392</v>
      </c>
      <c r="O721" s="74" t="s">
        <v>402</v>
      </c>
      <c r="P721" s="74" t="s">
        <v>14813</v>
      </c>
      <c r="Q721" s="74" t="s">
        <v>14814</v>
      </c>
    </row>
    <row r="722" spans="3:17" x14ac:dyDescent="0.25">
      <c r="C722" s="74" t="s">
        <v>8889</v>
      </c>
      <c r="D722" s="74" t="s">
        <v>8890</v>
      </c>
      <c r="E722" s="74"/>
      <c r="F722" s="74">
        <v>2.2000000000000002</v>
      </c>
      <c r="G722" s="74"/>
      <c r="H722" s="74"/>
      <c r="I722" s="74" t="s">
        <v>391</v>
      </c>
      <c r="J722" s="74"/>
      <c r="K722" s="74">
        <v>102.4</v>
      </c>
      <c r="L722" s="74">
        <v>92.16</v>
      </c>
      <c r="M722" s="74"/>
      <c r="N722" s="74" t="s">
        <v>392</v>
      </c>
      <c r="O722" s="74" t="s">
        <v>402</v>
      </c>
      <c r="P722" s="74" t="s">
        <v>8891</v>
      </c>
      <c r="Q722" s="74" t="s">
        <v>8892</v>
      </c>
    </row>
    <row r="723" spans="3:17" x14ac:dyDescent="0.25">
      <c r="C723" s="74" t="s">
        <v>10935</v>
      </c>
      <c r="D723" s="74" t="s">
        <v>10936</v>
      </c>
      <c r="E723" s="74"/>
      <c r="F723" s="74">
        <v>2.2000000000000002</v>
      </c>
      <c r="G723" s="74"/>
      <c r="H723" s="74"/>
      <c r="I723" s="74" t="s">
        <v>391</v>
      </c>
      <c r="J723" s="74"/>
      <c r="K723" s="74">
        <v>102.4</v>
      </c>
      <c r="L723" s="74">
        <v>92.16</v>
      </c>
      <c r="M723" s="74"/>
      <c r="N723" s="74" t="s">
        <v>392</v>
      </c>
      <c r="O723" s="74" t="s">
        <v>402</v>
      </c>
      <c r="P723" s="74" t="s">
        <v>10937</v>
      </c>
      <c r="Q723" s="74" t="s">
        <v>10938</v>
      </c>
    </row>
    <row r="724" spans="3:17" x14ac:dyDescent="0.25">
      <c r="C724" s="74" t="s">
        <v>14329</v>
      </c>
      <c r="D724" s="74" t="s">
        <v>14330</v>
      </c>
      <c r="E724" s="74"/>
      <c r="F724" s="74">
        <v>2.2000000000000002</v>
      </c>
      <c r="G724" s="74"/>
      <c r="H724" s="74"/>
      <c r="I724" s="74" t="s">
        <v>391</v>
      </c>
      <c r="J724" s="74"/>
      <c r="K724" s="74">
        <v>102.4</v>
      </c>
      <c r="L724" s="74">
        <v>92.16</v>
      </c>
      <c r="M724" s="74"/>
      <c r="N724" s="74" t="s">
        <v>392</v>
      </c>
      <c r="O724" s="74" t="s">
        <v>402</v>
      </c>
      <c r="P724" s="74" t="s">
        <v>14331</v>
      </c>
      <c r="Q724" s="74" t="s">
        <v>14332</v>
      </c>
    </row>
    <row r="725" spans="3:17" x14ac:dyDescent="0.25">
      <c r="C725" s="74" t="s">
        <v>9829</v>
      </c>
      <c r="D725" s="74" t="s">
        <v>9830</v>
      </c>
      <c r="E725" s="74"/>
      <c r="F725" s="74">
        <v>2.19</v>
      </c>
      <c r="G725" s="74"/>
      <c r="H725" s="74"/>
      <c r="I725" s="74" t="s">
        <v>391</v>
      </c>
      <c r="J725" s="74"/>
      <c r="K725" s="74">
        <v>102.4</v>
      </c>
      <c r="L725" s="74">
        <v>92.16</v>
      </c>
      <c r="M725" s="74"/>
      <c r="N725" s="74" t="s">
        <v>392</v>
      </c>
      <c r="O725" s="74" t="s">
        <v>402</v>
      </c>
      <c r="P725" s="74" t="s">
        <v>9831</v>
      </c>
      <c r="Q725" s="74" t="s">
        <v>9832</v>
      </c>
    </row>
    <row r="726" spans="3:17" x14ac:dyDescent="0.25">
      <c r="C726" s="74" t="s">
        <v>15019</v>
      </c>
      <c r="D726" s="74" t="s">
        <v>15020</v>
      </c>
      <c r="E726" s="74"/>
      <c r="F726" s="74">
        <v>2.19</v>
      </c>
      <c r="G726" s="74"/>
      <c r="H726" s="74"/>
      <c r="I726" s="74" t="s">
        <v>391</v>
      </c>
      <c r="J726" s="74"/>
      <c r="K726" s="74">
        <v>102.4</v>
      </c>
      <c r="L726" s="74">
        <v>92.16</v>
      </c>
      <c r="M726" s="74"/>
      <c r="N726" s="74" t="s">
        <v>392</v>
      </c>
      <c r="O726" s="74" t="s">
        <v>402</v>
      </c>
      <c r="P726" s="74" t="s">
        <v>15021</v>
      </c>
      <c r="Q726" s="74" t="s">
        <v>15022</v>
      </c>
    </row>
    <row r="727" spans="3:17" x14ac:dyDescent="0.25">
      <c r="C727" s="74" t="s">
        <v>8144</v>
      </c>
      <c r="D727" s="74" t="s">
        <v>8145</v>
      </c>
      <c r="E727" s="74"/>
      <c r="F727" s="74">
        <v>2.1800000000000002</v>
      </c>
      <c r="G727" s="74"/>
      <c r="H727" s="74"/>
      <c r="I727" s="74" t="s">
        <v>391</v>
      </c>
      <c r="J727" s="74"/>
      <c r="K727" s="74">
        <v>102.4</v>
      </c>
      <c r="L727" s="74">
        <v>92.16</v>
      </c>
      <c r="M727" s="74"/>
      <c r="N727" s="74" t="s">
        <v>392</v>
      </c>
      <c r="O727" s="74" t="s">
        <v>402</v>
      </c>
      <c r="P727" s="74" t="s">
        <v>8146</v>
      </c>
      <c r="Q727" s="74" t="s">
        <v>8147</v>
      </c>
    </row>
    <row r="728" spans="3:17" x14ac:dyDescent="0.25">
      <c r="C728" s="74" t="s">
        <v>8471</v>
      </c>
      <c r="D728" s="74" t="s">
        <v>8472</v>
      </c>
      <c r="E728" s="74"/>
      <c r="F728" s="74">
        <v>2.1800000000000002</v>
      </c>
      <c r="G728" s="74"/>
      <c r="H728" s="74"/>
      <c r="I728" s="74" t="s">
        <v>391</v>
      </c>
      <c r="J728" s="74"/>
      <c r="K728" s="74">
        <v>102.4</v>
      </c>
      <c r="L728" s="74">
        <v>92.16</v>
      </c>
      <c r="M728" s="74"/>
      <c r="N728" s="74" t="s">
        <v>392</v>
      </c>
      <c r="O728" s="74" t="s">
        <v>402</v>
      </c>
      <c r="P728" s="74" t="s">
        <v>8473</v>
      </c>
      <c r="Q728" s="74" t="s">
        <v>8474</v>
      </c>
    </row>
    <row r="729" spans="3:17" x14ac:dyDescent="0.25">
      <c r="C729" s="74" t="s">
        <v>18596</v>
      </c>
      <c r="D729" s="74" t="s">
        <v>18597</v>
      </c>
      <c r="E729" s="74"/>
      <c r="F729" s="74">
        <v>2.1800000000000002</v>
      </c>
      <c r="G729" s="74"/>
      <c r="H729" s="74"/>
      <c r="I729" s="74" t="s">
        <v>391</v>
      </c>
      <c r="J729" s="74"/>
      <c r="K729" s="74">
        <v>102.4</v>
      </c>
      <c r="L729" s="74">
        <v>92.16</v>
      </c>
      <c r="M729" s="74"/>
      <c r="N729" s="74" t="s">
        <v>392</v>
      </c>
      <c r="O729" s="74" t="s">
        <v>402</v>
      </c>
      <c r="P729" s="74" t="s">
        <v>18598</v>
      </c>
      <c r="Q729" s="74" t="s">
        <v>18599</v>
      </c>
    </row>
    <row r="730" spans="3:17" x14ac:dyDescent="0.25">
      <c r="C730" s="74" t="s">
        <v>8184</v>
      </c>
      <c r="D730" s="74" t="s">
        <v>8185</v>
      </c>
      <c r="E730" s="74"/>
      <c r="F730" s="74">
        <v>2.17</v>
      </c>
      <c r="G730" s="74"/>
      <c r="H730" s="74"/>
      <c r="I730" s="74" t="s">
        <v>391</v>
      </c>
      <c r="J730" s="74"/>
      <c r="K730" s="74">
        <v>102.4</v>
      </c>
      <c r="L730" s="74">
        <v>92.16</v>
      </c>
      <c r="M730" s="74"/>
      <c r="N730" s="74" t="s">
        <v>392</v>
      </c>
      <c r="O730" s="74" t="s">
        <v>402</v>
      </c>
      <c r="P730" s="74" t="s">
        <v>8186</v>
      </c>
      <c r="Q730" s="74" t="s">
        <v>8187</v>
      </c>
    </row>
    <row r="731" spans="3:17" x14ac:dyDescent="0.25">
      <c r="C731" s="74" t="s">
        <v>10892</v>
      </c>
      <c r="D731" s="74" t="s">
        <v>10893</v>
      </c>
      <c r="E731" s="74"/>
      <c r="F731" s="74">
        <v>2.17</v>
      </c>
      <c r="G731" s="74"/>
      <c r="H731" s="74"/>
      <c r="I731" s="74" t="s">
        <v>391</v>
      </c>
      <c r="J731" s="74"/>
      <c r="K731" s="74">
        <v>102.4</v>
      </c>
      <c r="L731" s="74">
        <v>92.16</v>
      </c>
      <c r="M731" s="74"/>
      <c r="N731" s="74" t="s">
        <v>392</v>
      </c>
      <c r="O731" s="74" t="s">
        <v>402</v>
      </c>
      <c r="P731" s="74" t="s">
        <v>10894</v>
      </c>
      <c r="Q731" s="74" t="s">
        <v>10895</v>
      </c>
    </row>
    <row r="732" spans="3:17" x14ac:dyDescent="0.25">
      <c r="C732" s="74" t="s">
        <v>15167</v>
      </c>
      <c r="D732" s="74" t="s">
        <v>15168</v>
      </c>
      <c r="E732" s="74"/>
      <c r="F732" s="74">
        <v>2.17</v>
      </c>
      <c r="G732" s="74"/>
      <c r="H732" s="74"/>
      <c r="I732" s="74" t="s">
        <v>391</v>
      </c>
      <c r="J732" s="74"/>
      <c r="K732" s="74">
        <v>102.4</v>
      </c>
      <c r="L732" s="74">
        <v>92.16</v>
      </c>
      <c r="M732" s="74"/>
      <c r="N732" s="74" t="s">
        <v>392</v>
      </c>
      <c r="O732" s="74" t="s">
        <v>402</v>
      </c>
      <c r="P732" s="74" t="s">
        <v>15169</v>
      </c>
      <c r="Q732" s="74" t="s">
        <v>15170</v>
      </c>
    </row>
    <row r="733" spans="3:17" x14ac:dyDescent="0.25">
      <c r="C733" s="74" t="s">
        <v>17702</v>
      </c>
      <c r="D733" s="74" t="s">
        <v>17703</v>
      </c>
      <c r="E733" s="74"/>
      <c r="F733" s="74">
        <v>2.17</v>
      </c>
      <c r="G733" s="74"/>
      <c r="H733" s="74"/>
      <c r="I733" s="74" t="s">
        <v>391</v>
      </c>
      <c r="J733" s="74"/>
      <c r="K733" s="74">
        <v>102.4</v>
      </c>
      <c r="L733" s="74">
        <v>92.16</v>
      </c>
      <c r="M733" s="74"/>
      <c r="N733" s="74" t="s">
        <v>392</v>
      </c>
      <c r="O733" s="74" t="s">
        <v>402</v>
      </c>
      <c r="P733" s="74" t="s">
        <v>17704</v>
      </c>
      <c r="Q733" s="74" t="s">
        <v>17705</v>
      </c>
    </row>
    <row r="734" spans="3:17" x14ac:dyDescent="0.25">
      <c r="C734" s="74" t="s">
        <v>13416</v>
      </c>
      <c r="D734" s="74" t="s">
        <v>13417</v>
      </c>
      <c r="E734" s="74"/>
      <c r="F734" s="74">
        <v>2.15</v>
      </c>
      <c r="G734" s="74"/>
      <c r="H734" s="74"/>
      <c r="I734" s="74" t="s">
        <v>391</v>
      </c>
      <c r="J734" s="74"/>
      <c r="K734" s="74">
        <v>102.4</v>
      </c>
      <c r="L734" s="74">
        <v>92.16</v>
      </c>
      <c r="M734" s="74"/>
      <c r="N734" s="74" t="s">
        <v>392</v>
      </c>
      <c r="O734" s="74" t="s">
        <v>402</v>
      </c>
      <c r="P734" s="74" t="s">
        <v>13418</v>
      </c>
      <c r="Q734" s="74" t="s">
        <v>13419</v>
      </c>
    </row>
    <row r="735" spans="3:17" x14ac:dyDescent="0.25">
      <c r="C735" s="74" t="s">
        <v>16239</v>
      </c>
      <c r="D735" s="74" t="s">
        <v>16240</v>
      </c>
      <c r="E735" s="74"/>
      <c r="F735" s="74">
        <v>2.15</v>
      </c>
      <c r="G735" s="74"/>
      <c r="H735" s="74"/>
      <c r="I735" s="74" t="s">
        <v>391</v>
      </c>
      <c r="J735" s="74"/>
      <c r="K735" s="74">
        <v>102.4</v>
      </c>
      <c r="L735" s="74">
        <v>92.16</v>
      </c>
      <c r="M735" s="74"/>
      <c r="N735" s="74" t="s">
        <v>392</v>
      </c>
      <c r="O735" s="74" t="s">
        <v>402</v>
      </c>
      <c r="P735" s="74" t="s">
        <v>16241</v>
      </c>
      <c r="Q735" s="74" t="s">
        <v>16242</v>
      </c>
    </row>
    <row r="736" spans="3:17" x14ac:dyDescent="0.25">
      <c r="C736" s="74" t="s">
        <v>17028</v>
      </c>
      <c r="D736" s="74" t="s">
        <v>17029</v>
      </c>
      <c r="E736" s="74"/>
      <c r="F736" s="74">
        <v>2.15</v>
      </c>
      <c r="G736" s="74"/>
      <c r="H736" s="74"/>
      <c r="I736" s="74" t="s">
        <v>391</v>
      </c>
      <c r="J736" s="74"/>
      <c r="K736" s="74">
        <v>102.4</v>
      </c>
      <c r="L736" s="74">
        <v>92.16</v>
      </c>
      <c r="M736" s="74"/>
      <c r="N736" s="74" t="s">
        <v>392</v>
      </c>
      <c r="O736" s="74" t="s">
        <v>402</v>
      </c>
      <c r="P736" s="74" t="s">
        <v>17030</v>
      </c>
      <c r="Q736" s="74" t="s">
        <v>17031</v>
      </c>
    </row>
    <row r="737" spans="3:17" x14ac:dyDescent="0.25">
      <c r="C737" s="74" t="s">
        <v>17105</v>
      </c>
      <c r="D737" s="74" t="s">
        <v>17106</v>
      </c>
      <c r="E737" s="74"/>
      <c r="F737" s="74">
        <v>2.15</v>
      </c>
      <c r="G737" s="74"/>
      <c r="H737" s="74"/>
      <c r="I737" s="74" t="s">
        <v>391</v>
      </c>
      <c r="J737" s="74"/>
      <c r="K737" s="74">
        <v>102.4</v>
      </c>
      <c r="L737" s="74">
        <v>92.16</v>
      </c>
      <c r="M737" s="74"/>
      <c r="N737" s="74" t="s">
        <v>392</v>
      </c>
      <c r="O737" s="74" t="s">
        <v>402</v>
      </c>
      <c r="P737" s="74" t="s">
        <v>17107</v>
      </c>
      <c r="Q737" s="74" t="s">
        <v>17108</v>
      </c>
    </row>
    <row r="738" spans="3:17" x14ac:dyDescent="0.25">
      <c r="C738" s="158" t="s">
        <v>21213</v>
      </c>
      <c r="D738" s="158" t="s">
        <v>21214</v>
      </c>
      <c r="F738" s="158">
        <v>2.15</v>
      </c>
      <c r="I738" s="158" t="s">
        <v>391</v>
      </c>
      <c r="K738" s="158">
        <v>102.4</v>
      </c>
      <c r="L738" s="158">
        <v>92.16</v>
      </c>
      <c r="N738" s="158" t="s">
        <v>392</v>
      </c>
      <c r="O738" s="158" t="s">
        <v>402</v>
      </c>
      <c r="P738" s="158" t="s">
        <v>21215</v>
      </c>
      <c r="Q738" s="158" t="s">
        <v>21216</v>
      </c>
    </row>
    <row r="739" spans="3:17" x14ac:dyDescent="0.25">
      <c r="C739" s="74" t="s">
        <v>19295</v>
      </c>
      <c r="D739" s="74" t="s">
        <v>19296</v>
      </c>
      <c r="E739" s="74"/>
      <c r="F739" s="74">
        <v>2.14</v>
      </c>
      <c r="G739" s="74"/>
      <c r="H739" s="74"/>
      <c r="I739" s="74" t="s">
        <v>391</v>
      </c>
      <c r="J739" s="74"/>
      <c r="K739" s="74">
        <v>102.4</v>
      </c>
      <c r="L739" s="74">
        <v>92.16</v>
      </c>
      <c r="M739" s="74"/>
      <c r="N739" s="74" t="s">
        <v>392</v>
      </c>
      <c r="O739" s="74" t="s">
        <v>402</v>
      </c>
      <c r="P739" s="74" t="s">
        <v>19297</v>
      </c>
      <c r="Q739" s="74" t="s">
        <v>19298</v>
      </c>
    </row>
    <row r="740" spans="3:17" x14ac:dyDescent="0.25">
      <c r="C740" s="74" t="s">
        <v>10759</v>
      </c>
      <c r="D740" s="74" t="s">
        <v>10760</v>
      </c>
      <c r="E740" s="74"/>
      <c r="F740" s="74">
        <v>2.13</v>
      </c>
      <c r="G740" s="74"/>
      <c r="H740" s="74"/>
      <c r="I740" s="74" t="s">
        <v>391</v>
      </c>
      <c r="J740" s="74"/>
      <c r="K740" s="74">
        <v>102.4</v>
      </c>
      <c r="L740" s="74">
        <v>92.16</v>
      </c>
      <c r="M740" s="74"/>
      <c r="N740" s="74" t="s">
        <v>392</v>
      </c>
      <c r="O740" s="74" t="s">
        <v>402</v>
      </c>
      <c r="P740" s="74" t="s">
        <v>10761</v>
      </c>
      <c r="Q740" s="74" t="s">
        <v>10762</v>
      </c>
    </row>
    <row r="741" spans="3:17" x14ac:dyDescent="0.25">
      <c r="C741" s="74" t="s">
        <v>11191</v>
      </c>
      <c r="D741" s="74" t="s">
        <v>11192</v>
      </c>
      <c r="E741" s="74"/>
      <c r="F741" s="74">
        <v>2.12</v>
      </c>
      <c r="G741" s="74"/>
      <c r="H741" s="74"/>
      <c r="I741" s="74" t="s">
        <v>391</v>
      </c>
      <c r="J741" s="74"/>
      <c r="K741" s="74">
        <v>102.4</v>
      </c>
      <c r="L741" s="74">
        <v>92.16</v>
      </c>
      <c r="M741" s="74"/>
      <c r="N741" s="74" t="s">
        <v>392</v>
      </c>
      <c r="O741" s="74" t="s">
        <v>402</v>
      </c>
      <c r="P741" s="74" t="s">
        <v>11193</v>
      </c>
      <c r="Q741" s="74" t="s">
        <v>11194</v>
      </c>
    </row>
    <row r="742" spans="3:17" x14ac:dyDescent="0.25">
      <c r="C742" s="74" t="s">
        <v>16379</v>
      </c>
      <c r="D742" s="74" t="s">
        <v>16380</v>
      </c>
      <c r="E742" s="74"/>
      <c r="F742" s="74">
        <v>2.12</v>
      </c>
      <c r="G742" s="74"/>
      <c r="H742" s="74"/>
      <c r="I742" s="74" t="s">
        <v>391</v>
      </c>
      <c r="J742" s="74"/>
      <c r="K742" s="74">
        <v>102.4</v>
      </c>
      <c r="L742" s="74">
        <v>92.16</v>
      </c>
      <c r="M742" s="74"/>
      <c r="N742" s="74" t="s">
        <v>392</v>
      </c>
      <c r="O742" s="74" t="s">
        <v>402</v>
      </c>
      <c r="P742" s="74" t="s">
        <v>16381</v>
      </c>
      <c r="Q742" s="74" t="s">
        <v>16382</v>
      </c>
    </row>
    <row r="743" spans="3:17" x14ac:dyDescent="0.25">
      <c r="C743" s="74" t="s">
        <v>5381</v>
      </c>
      <c r="D743" s="74" t="s">
        <v>5382</v>
      </c>
      <c r="E743" s="74"/>
      <c r="F743" s="74">
        <v>2.11</v>
      </c>
      <c r="G743" s="74"/>
      <c r="H743" s="74"/>
      <c r="I743" s="74" t="s">
        <v>391</v>
      </c>
      <c r="J743" s="74"/>
      <c r="K743" s="74">
        <v>102.4</v>
      </c>
      <c r="L743" s="74">
        <v>92.16</v>
      </c>
      <c r="M743" s="74"/>
      <c r="N743" s="74" t="s">
        <v>392</v>
      </c>
      <c r="O743" s="74" t="s">
        <v>402</v>
      </c>
      <c r="P743" s="74" t="s">
        <v>5383</v>
      </c>
      <c r="Q743" s="74" t="s">
        <v>5384</v>
      </c>
    </row>
    <row r="744" spans="3:17" x14ac:dyDescent="0.25">
      <c r="C744" s="74" t="s">
        <v>6050</v>
      </c>
      <c r="D744" s="74" t="s">
        <v>6051</v>
      </c>
      <c r="E744" s="74"/>
      <c r="F744" s="74">
        <v>2.11</v>
      </c>
      <c r="G744" s="74"/>
      <c r="H744" s="74"/>
      <c r="I744" s="74" t="s">
        <v>391</v>
      </c>
      <c r="J744" s="74"/>
      <c r="K744" s="74">
        <v>102.4</v>
      </c>
      <c r="L744" s="74">
        <v>92.16</v>
      </c>
      <c r="M744" s="74"/>
      <c r="N744" s="74" t="s">
        <v>392</v>
      </c>
      <c r="O744" s="74" t="s">
        <v>402</v>
      </c>
      <c r="P744" s="74" t="s">
        <v>6052</v>
      </c>
      <c r="Q744" s="74" t="s">
        <v>6053</v>
      </c>
    </row>
    <row r="745" spans="3:17" x14ac:dyDescent="0.25">
      <c r="C745" s="74" t="s">
        <v>11108</v>
      </c>
      <c r="D745" s="74" t="s">
        <v>11109</v>
      </c>
      <c r="E745" s="74"/>
      <c r="F745" s="74">
        <v>2.11</v>
      </c>
      <c r="G745" s="74"/>
      <c r="H745" s="74"/>
      <c r="I745" s="74" t="s">
        <v>391</v>
      </c>
      <c r="J745" s="74"/>
      <c r="K745" s="74">
        <v>102.4</v>
      </c>
      <c r="L745" s="74">
        <v>92.16</v>
      </c>
      <c r="M745" s="74"/>
      <c r="N745" s="74" t="s">
        <v>392</v>
      </c>
      <c r="O745" s="74" t="s">
        <v>402</v>
      </c>
      <c r="P745" s="74" t="s">
        <v>11110</v>
      </c>
      <c r="Q745" s="74" t="s">
        <v>11111</v>
      </c>
    </row>
    <row r="746" spans="3:17" x14ac:dyDescent="0.25">
      <c r="C746" s="74" t="s">
        <v>15721</v>
      </c>
      <c r="D746" s="74" t="s">
        <v>15722</v>
      </c>
      <c r="E746" s="74"/>
      <c r="F746" s="74">
        <v>2.11</v>
      </c>
      <c r="G746" s="74"/>
      <c r="H746" s="74"/>
      <c r="I746" s="74" t="s">
        <v>391</v>
      </c>
      <c r="J746" s="74"/>
      <c r="K746" s="74">
        <v>102.4</v>
      </c>
      <c r="L746" s="74">
        <v>92.16</v>
      </c>
      <c r="M746" s="74"/>
      <c r="N746" s="74" t="s">
        <v>392</v>
      </c>
      <c r="O746" s="74" t="s">
        <v>402</v>
      </c>
      <c r="P746" s="74" t="s">
        <v>15723</v>
      </c>
      <c r="Q746" s="74" t="s">
        <v>15724</v>
      </c>
    </row>
    <row r="747" spans="3:17" x14ac:dyDescent="0.25">
      <c r="C747" s="74" t="s">
        <v>12697</v>
      </c>
      <c r="D747" s="74" t="s">
        <v>12698</v>
      </c>
      <c r="E747" s="74"/>
      <c r="F747" s="74">
        <v>2.1</v>
      </c>
      <c r="G747" s="74"/>
      <c r="H747" s="74"/>
      <c r="I747" s="74" t="s">
        <v>391</v>
      </c>
      <c r="J747" s="74"/>
      <c r="K747" s="74">
        <v>102.4</v>
      </c>
      <c r="L747" s="74">
        <v>92.16</v>
      </c>
      <c r="M747" s="74"/>
      <c r="N747" s="74" t="s">
        <v>392</v>
      </c>
      <c r="O747" s="74" t="s">
        <v>402</v>
      </c>
      <c r="P747" s="74" t="s">
        <v>12699</v>
      </c>
      <c r="Q747" s="74" t="s">
        <v>12700</v>
      </c>
    </row>
    <row r="748" spans="3:17" x14ac:dyDescent="0.25">
      <c r="C748" s="74" t="s">
        <v>13075</v>
      </c>
      <c r="D748" s="74" t="s">
        <v>13076</v>
      </c>
      <c r="E748" s="74"/>
      <c r="F748" s="74">
        <v>2.1</v>
      </c>
      <c r="G748" s="74"/>
      <c r="H748" s="74"/>
      <c r="I748" s="74" t="s">
        <v>391</v>
      </c>
      <c r="J748" s="74"/>
      <c r="K748" s="74">
        <v>102.4</v>
      </c>
      <c r="L748" s="74">
        <v>92.16</v>
      </c>
      <c r="M748" s="74"/>
      <c r="N748" s="74" t="s">
        <v>392</v>
      </c>
      <c r="O748" s="74" t="s">
        <v>402</v>
      </c>
      <c r="P748" s="74" t="s">
        <v>13077</v>
      </c>
      <c r="Q748" s="74" t="s">
        <v>13078</v>
      </c>
    </row>
    <row r="749" spans="3:17" x14ac:dyDescent="0.25">
      <c r="C749" s="74" t="s">
        <v>14635</v>
      </c>
      <c r="D749" s="74" t="s">
        <v>14636</v>
      </c>
      <c r="E749" s="74"/>
      <c r="F749" s="74">
        <v>2.1</v>
      </c>
      <c r="G749" s="74"/>
      <c r="H749" s="74"/>
      <c r="I749" s="74" t="s">
        <v>391</v>
      </c>
      <c r="J749" s="74"/>
      <c r="K749" s="74">
        <v>102.4</v>
      </c>
      <c r="L749" s="74">
        <v>92.16</v>
      </c>
      <c r="M749" s="74"/>
      <c r="N749" s="74" t="s">
        <v>392</v>
      </c>
      <c r="O749" s="74" t="s">
        <v>402</v>
      </c>
      <c r="P749" s="74" t="s">
        <v>14637</v>
      </c>
      <c r="Q749" s="74" t="s">
        <v>14638</v>
      </c>
    </row>
    <row r="750" spans="3:17" x14ac:dyDescent="0.25">
      <c r="C750" s="74" t="s">
        <v>17035</v>
      </c>
      <c r="D750" s="74" t="s">
        <v>17036</v>
      </c>
      <c r="E750" s="74"/>
      <c r="F750" s="74">
        <v>2.1</v>
      </c>
      <c r="G750" s="74"/>
      <c r="H750" s="74"/>
      <c r="I750" s="74" t="s">
        <v>391</v>
      </c>
      <c r="J750" s="74"/>
      <c r="K750" s="74">
        <v>102.4</v>
      </c>
      <c r="L750" s="74">
        <v>92.16</v>
      </c>
      <c r="M750" s="74"/>
      <c r="N750" s="74" t="s">
        <v>392</v>
      </c>
      <c r="O750" s="74" t="s">
        <v>402</v>
      </c>
      <c r="P750" s="74" t="s">
        <v>17037</v>
      </c>
      <c r="Q750" s="74" t="s">
        <v>17038</v>
      </c>
    </row>
    <row r="751" spans="3:17" x14ac:dyDescent="0.25">
      <c r="C751" s="74" t="s">
        <v>4752</v>
      </c>
      <c r="D751" s="74" t="s">
        <v>4753</v>
      </c>
      <c r="E751" s="74"/>
      <c r="F751" s="74">
        <v>2.09</v>
      </c>
      <c r="G751" s="74"/>
      <c r="H751" s="74"/>
      <c r="I751" s="74" t="s">
        <v>391</v>
      </c>
      <c r="J751" s="74"/>
      <c r="K751" s="74">
        <v>102.4</v>
      </c>
      <c r="L751" s="74">
        <v>92.16</v>
      </c>
      <c r="M751" s="74"/>
      <c r="N751" s="74" t="s">
        <v>392</v>
      </c>
      <c r="O751" s="74" t="s">
        <v>402</v>
      </c>
      <c r="P751" s="74" t="s">
        <v>4754</v>
      </c>
      <c r="Q751" s="74" t="s">
        <v>4755</v>
      </c>
    </row>
    <row r="752" spans="3:17" x14ac:dyDescent="0.25">
      <c r="C752" s="74" t="s">
        <v>8306</v>
      </c>
      <c r="D752" s="74" t="s">
        <v>8307</v>
      </c>
      <c r="E752" s="74"/>
      <c r="F752" s="74">
        <v>2.09</v>
      </c>
      <c r="G752" s="74"/>
      <c r="H752" s="74"/>
      <c r="I752" s="74" t="s">
        <v>391</v>
      </c>
      <c r="J752" s="74"/>
      <c r="K752" s="74">
        <v>102.4</v>
      </c>
      <c r="L752" s="74">
        <v>92.16</v>
      </c>
      <c r="M752" s="74"/>
      <c r="N752" s="74" t="s">
        <v>392</v>
      </c>
      <c r="O752" s="74" t="s">
        <v>402</v>
      </c>
      <c r="P752" s="74" t="s">
        <v>8308</v>
      </c>
      <c r="Q752" s="74" t="s">
        <v>8309</v>
      </c>
    </row>
    <row r="753" spans="3:17" x14ac:dyDescent="0.25">
      <c r="C753" s="74" t="s">
        <v>13068</v>
      </c>
      <c r="D753" s="74" t="s">
        <v>13069</v>
      </c>
      <c r="E753" s="74"/>
      <c r="F753" s="74">
        <v>2.08</v>
      </c>
      <c r="G753" s="74"/>
      <c r="H753" s="74"/>
      <c r="I753" s="74" t="s">
        <v>391</v>
      </c>
      <c r="J753" s="74"/>
      <c r="K753" s="74">
        <v>102.4</v>
      </c>
      <c r="L753" s="74">
        <v>92.16</v>
      </c>
      <c r="M753" s="74"/>
      <c r="N753" s="74" t="s">
        <v>392</v>
      </c>
      <c r="O753" s="74" t="s">
        <v>402</v>
      </c>
      <c r="P753" s="74" t="s">
        <v>13070</v>
      </c>
      <c r="Q753" s="74" t="s">
        <v>13071</v>
      </c>
    </row>
    <row r="754" spans="3:17" x14ac:dyDescent="0.25">
      <c r="C754" s="74" t="s">
        <v>14615</v>
      </c>
      <c r="D754" s="74" t="s">
        <v>14616</v>
      </c>
      <c r="E754" s="74"/>
      <c r="F754" s="74">
        <v>2.0699999999999998</v>
      </c>
      <c r="G754" s="74"/>
      <c r="H754" s="74"/>
      <c r="I754" s="74" t="s">
        <v>391</v>
      </c>
      <c r="J754" s="74"/>
      <c r="K754" s="74">
        <v>102.4</v>
      </c>
      <c r="L754" s="74">
        <v>92.16</v>
      </c>
      <c r="M754" s="74"/>
      <c r="N754" s="74" t="s">
        <v>392</v>
      </c>
      <c r="O754" s="74" t="s">
        <v>402</v>
      </c>
      <c r="P754" s="74" t="s">
        <v>14617</v>
      </c>
      <c r="Q754" s="74" t="s">
        <v>14618</v>
      </c>
    </row>
    <row r="755" spans="3:17" x14ac:dyDescent="0.25">
      <c r="C755" s="74" t="s">
        <v>20695</v>
      </c>
      <c r="D755" s="74" t="s">
        <v>20696</v>
      </c>
      <c r="E755" s="74"/>
      <c r="F755" s="74">
        <v>2.0699999999999998</v>
      </c>
      <c r="G755" s="74"/>
      <c r="H755" s="74"/>
      <c r="I755" s="74" t="s">
        <v>391</v>
      </c>
      <c r="J755" s="74"/>
      <c r="K755" s="74">
        <v>102.4</v>
      </c>
      <c r="L755" s="74">
        <v>92.16</v>
      </c>
      <c r="M755" s="74"/>
      <c r="N755" s="74" t="s">
        <v>392</v>
      </c>
      <c r="O755" s="74" t="s">
        <v>402</v>
      </c>
      <c r="P755" s="74" t="s">
        <v>20697</v>
      </c>
      <c r="Q755" s="74" t="s">
        <v>20698</v>
      </c>
    </row>
    <row r="756" spans="3:17" x14ac:dyDescent="0.25">
      <c r="C756" s="74" t="s">
        <v>21101</v>
      </c>
      <c r="D756" s="74" t="s">
        <v>21102</v>
      </c>
      <c r="E756" s="74"/>
      <c r="F756" s="74">
        <v>2.0699999999999998</v>
      </c>
      <c r="G756" s="74"/>
      <c r="H756" s="74"/>
      <c r="I756" s="74" t="s">
        <v>391</v>
      </c>
      <c r="J756" s="74"/>
      <c r="K756" s="74">
        <v>102.4</v>
      </c>
      <c r="L756" s="74">
        <v>92.16</v>
      </c>
      <c r="M756" s="74"/>
      <c r="N756" s="74" t="s">
        <v>392</v>
      </c>
      <c r="O756" s="74" t="s">
        <v>402</v>
      </c>
      <c r="P756" s="74" t="s">
        <v>21103</v>
      </c>
      <c r="Q756" s="74" t="s">
        <v>21104</v>
      </c>
    </row>
    <row r="757" spans="3:17" x14ac:dyDescent="0.25">
      <c r="C757" s="74" t="s">
        <v>13655</v>
      </c>
      <c r="D757" s="74" t="s">
        <v>13656</v>
      </c>
      <c r="E757" s="74"/>
      <c r="F757" s="74">
        <v>2.06</v>
      </c>
      <c r="G757" s="74"/>
      <c r="H757" s="74"/>
      <c r="I757" s="74" t="s">
        <v>391</v>
      </c>
      <c r="J757" s="74"/>
      <c r="K757" s="74">
        <v>102.4</v>
      </c>
      <c r="L757" s="74">
        <v>92.16</v>
      </c>
      <c r="M757" s="74"/>
      <c r="N757" s="74" t="s">
        <v>392</v>
      </c>
      <c r="O757" s="74" t="s">
        <v>402</v>
      </c>
      <c r="P757" s="74" t="s">
        <v>13657</v>
      </c>
      <c r="Q757" s="74" t="s">
        <v>13658</v>
      </c>
    </row>
    <row r="758" spans="3:17" x14ac:dyDescent="0.25">
      <c r="C758" s="74" t="s">
        <v>3198</v>
      </c>
      <c r="D758" s="74" t="s">
        <v>3199</v>
      </c>
      <c r="E758" s="74"/>
      <c r="F758" s="74">
        <v>2.0499999999999998</v>
      </c>
      <c r="G758" s="74"/>
      <c r="H758" s="74"/>
      <c r="I758" s="74" t="s">
        <v>391</v>
      </c>
      <c r="J758" s="74"/>
      <c r="K758" s="74">
        <v>102.4</v>
      </c>
      <c r="L758" s="74">
        <v>92.16</v>
      </c>
      <c r="M758" s="74"/>
      <c r="N758" s="74" t="s">
        <v>392</v>
      </c>
      <c r="O758" s="74" t="s">
        <v>402</v>
      </c>
      <c r="P758" s="74" t="s">
        <v>3200</v>
      </c>
      <c r="Q758" s="74" t="s">
        <v>3201</v>
      </c>
    </row>
    <row r="759" spans="3:17" x14ac:dyDescent="0.25">
      <c r="C759" s="74" t="s">
        <v>4678</v>
      </c>
      <c r="D759" s="74" t="s">
        <v>4679</v>
      </c>
      <c r="E759" s="74"/>
      <c r="F759" s="74">
        <v>2.04</v>
      </c>
      <c r="G759" s="74"/>
      <c r="H759" s="74"/>
      <c r="I759" s="74" t="s">
        <v>391</v>
      </c>
      <c r="J759" s="74"/>
      <c r="K759" s="74">
        <v>102.4</v>
      </c>
      <c r="L759" s="74">
        <v>92.16</v>
      </c>
      <c r="M759" s="74"/>
      <c r="N759" s="74" t="s">
        <v>392</v>
      </c>
      <c r="O759" s="74" t="s">
        <v>402</v>
      </c>
      <c r="P759" s="74" t="s">
        <v>4680</v>
      </c>
      <c r="Q759" s="74" t="s">
        <v>4681</v>
      </c>
    </row>
    <row r="760" spans="3:17" x14ac:dyDescent="0.25">
      <c r="C760" s="74" t="s">
        <v>11303</v>
      </c>
      <c r="D760" s="74" t="s">
        <v>11304</v>
      </c>
      <c r="E760" s="74"/>
      <c r="F760" s="74">
        <v>2.04</v>
      </c>
      <c r="G760" s="74"/>
      <c r="H760" s="74"/>
      <c r="I760" s="74" t="s">
        <v>391</v>
      </c>
      <c r="J760" s="74"/>
      <c r="K760" s="74">
        <v>102.4</v>
      </c>
      <c r="L760" s="74">
        <v>92.16</v>
      </c>
      <c r="M760" s="74"/>
      <c r="N760" s="74" t="s">
        <v>392</v>
      </c>
      <c r="O760" s="74" t="s">
        <v>402</v>
      </c>
      <c r="P760" s="74" t="s">
        <v>11305</v>
      </c>
      <c r="Q760" s="74" t="s">
        <v>11306</v>
      </c>
    </row>
    <row r="761" spans="3:17" x14ac:dyDescent="0.25">
      <c r="C761" s="74" t="s">
        <v>4329</v>
      </c>
      <c r="D761" s="74" t="s">
        <v>4330</v>
      </c>
      <c r="E761" s="74"/>
      <c r="F761" s="74">
        <v>2.0299999999999998</v>
      </c>
      <c r="G761" s="74"/>
      <c r="H761" s="74"/>
      <c r="I761" s="74" t="s">
        <v>391</v>
      </c>
      <c r="J761" s="74"/>
      <c r="K761" s="74">
        <v>102.4</v>
      </c>
      <c r="L761" s="74">
        <v>92.16</v>
      </c>
      <c r="M761" s="74"/>
      <c r="N761" s="74" t="s">
        <v>392</v>
      </c>
      <c r="O761" s="74" t="s">
        <v>402</v>
      </c>
      <c r="P761" s="74" t="s">
        <v>4331</v>
      </c>
      <c r="Q761" s="74" t="s">
        <v>4332</v>
      </c>
    </row>
    <row r="762" spans="3:17" x14ac:dyDescent="0.25">
      <c r="C762" s="74" t="s">
        <v>18253</v>
      </c>
      <c r="D762" s="74" t="s">
        <v>18254</v>
      </c>
      <c r="E762" s="74"/>
      <c r="F762" s="74">
        <v>2.0299999999999998</v>
      </c>
      <c r="G762" s="74"/>
      <c r="H762" s="74"/>
      <c r="I762" s="74" t="s">
        <v>391</v>
      </c>
      <c r="J762" s="74"/>
      <c r="K762" s="74">
        <v>102.4</v>
      </c>
      <c r="L762" s="74">
        <v>92.16</v>
      </c>
      <c r="M762" s="74"/>
      <c r="N762" s="74" t="s">
        <v>392</v>
      </c>
      <c r="O762" s="74" t="s">
        <v>402</v>
      </c>
      <c r="P762" s="74" t="s">
        <v>18255</v>
      </c>
      <c r="Q762" s="74" t="s">
        <v>18256</v>
      </c>
    </row>
    <row r="763" spans="3:17" x14ac:dyDescent="0.25">
      <c r="C763" s="74" t="s">
        <v>11068</v>
      </c>
      <c r="D763" s="74" t="s">
        <v>11069</v>
      </c>
      <c r="E763" s="74"/>
      <c r="F763" s="74">
        <v>2.02</v>
      </c>
      <c r="G763" s="74"/>
      <c r="H763" s="74"/>
      <c r="I763" s="74" t="s">
        <v>391</v>
      </c>
      <c r="J763" s="74"/>
      <c r="K763" s="74">
        <v>102.4</v>
      </c>
      <c r="L763" s="74">
        <v>92.16</v>
      </c>
      <c r="M763" s="74"/>
      <c r="N763" s="74" t="s">
        <v>392</v>
      </c>
      <c r="O763" s="74" t="s">
        <v>402</v>
      </c>
      <c r="P763" s="74" t="s">
        <v>11070</v>
      </c>
      <c r="Q763" s="74" t="s">
        <v>11071</v>
      </c>
    </row>
    <row r="764" spans="3:17" x14ac:dyDescent="0.25">
      <c r="C764" s="74" t="s">
        <v>18425</v>
      </c>
      <c r="D764" s="74" t="s">
        <v>18426</v>
      </c>
      <c r="E764" s="74"/>
      <c r="F764" s="74">
        <v>2.02</v>
      </c>
      <c r="G764" s="74"/>
      <c r="H764" s="74"/>
      <c r="I764" s="74" t="s">
        <v>391</v>
      </c>
      <c r="J764" s="74"/>
      <c r="K764" s="74">
        <v>102.4</v>
      </c>
      <c r="L764" s="74">
        <v>92.16</v>
      </c>
      <c r="M764" s="74"/>
      <c r="N764" s="74" t="s">
        <v>392</v>
      </c>
      <c r="O764" s="74" t="s">
        <v>402</v>
      </c>
      <c r="P764" s="74" t="s">
        <v>18427</v>
      </c>
      <c r="Q764" s="74" t="s">
        <v>18428</v>
      </c>
    </row>
    <row r="765" spans="3:17" x14ac:dyDescent="0.25">
      <c r="C765" s="74" t="s">
        <v>10478</v>
      </c>
      <c r="D765" s="74" t="s">
        <v>10479</v>
      </c>
      <c r="E765" s="74"/>
      <c r="F765" s="74">
        <v>2.0099999999999998</v>
      </c>
      <c r="G765" s="74"/>
      <c r="H765" s="74"/>
      <c r="I765" s="74" t="s">
        <v>391</v>
      </c>
      <c r="J765" s="74"/>
      <c r="K765" s="74">
        <v>102.4</v>
      </c>
      <c r="L765" s="74">
        <v>92.16</v>
      </c>
      <c r="M765" s="74"/>
      <c r="N765" s="74" t="s">
        <v>392</v>
      </c>
      <c r="O765" s="74" t="s">
        <v>402</v>
      </c>
      <c r="P765" s="74" t="s">
        <v>10480</v>
      </c>
      <c r="Q765" s="74" t="s">
        <v>10481</v>
      </c>
    </row>
    <row r="766" spans="3:17" x14ac:dyDescent="0.25">
      <c r="C766" s="74" t="s">
        <v>17388</v>
      </c>
      <c r="D766" s="74" t="s">
        <v>17389</v>
      </c>
      <c r="E766" s="74" t="s">
        <v>391</v>
      </c>
      <c r="F766" s="74">
        <v>2.0099999999999998</v>
      </c>
      <c r="G766" s="74"/>
      <c r="H766" s="74"/>
      <c r="I766" s="74" t="s">
        <v>391</v>
      </c>
      <c r="J766" s="74"/>
      <c r="K766" s="74">
        <v>102.4</v>
      </c>
      <c r="L766" s="74">
        <v>92.16</v>
      </c>
      <c r="M766" s="74"/>
      <c r="N766" s="74" t="s">
        <v>392</v>
      </c>
      <c r="O766" s="74" t="s">
        <v>393</v>
      </c>
      <c r="P766" s="74"/>
      <c r="Q766" s="74" t="s">
        <v>17390</v>
      </c>
    </row>
    <row r="767" spans="3:17" x14ac:dyDescent="0.25">
      <c r="C767" s="74" t="s">
        <v>4015</v>
      </c>
      <c r="D767" s="74" t="s">
        <v>4016</v>
      </c>
      <c r="E767" s="74"/>
      <c r="F767" s="74">
        <v>2</v>
      </c>
      <c r="G767" s="74"/>
      <c r="H767" s="74"/>
      <c r="I767" s="74" t="s">
        <v>391</v>
      </c>
      <c r="J767" s="74"/>
      <c r="K767" s="74">
        <v>102.4</v>
      </c>
      <c r="L767" s="74">
        <v>92.16</v>
      </c>
      <c r="M767" s="74"/>
      <c r="N767" s="74" t="s">
        <v>392</v>
      </c>
      <c r="O767" s="74" t="s">
        <v>402</v>
      </c>
      <c r="P767" s="74" t="s">
        <v>4017</v>
      </c>
      <c r="Q767" s="74" t="s">
        <v>4018</v>
      </c>
    </row>
    <row r="768" spans="3:17" x14ac:dyDescent="0.25">
      <c r="C768" s="74" t="s">
        <v>10026</v>
      </c>
      <c r="D768" s="74" t="s">
        <v>10027</v>
      </c>
      <c r="E768" s="74"/>
      <c r="F768" s="74">
        <v>2</v>
      </c>
      <c r="G768" s="74"/>
      <c r="H768" s="74"/>
      <c r="I768" s="74" t="s">
        <v>391</v>
      </c>
      <c r="J768" s="74"/>
      <c r="K768" s="74">
        <v>102.4</v>
      </c>
      <c r="L768" s="74">
        <v>92.16</v>
      </c>
      <c r="M768" s="74"/>
      <c r="N768" s="74" t="s">
        <v>392</v>
      </c>
      <c r="O768" s="74" t="s">
        <v>402</v>
      </c>
      <c r="P768" s="74" t="s">
        <v>10028</v>
      </c>
      <c r="Q768" s="74" t="s">
        <v>10029</v>
      </c>
    </row>
    <row r="769" spans="3:17" x14ac:dyDescent="0.25">
      <c r="C769" s="74" t="s">
        <v>19810</v>
      </c>
      <c r="D769" s="74" t="s">
        <v>19811</v>
      </c>
      <c r="E769" s="74"/>
      <c r="F769" s="74">
        <v>2</v>
      </c>
      <c r="G769" s="74"/>
      <c r="H769" s="74"/>
      <c r="I769" s="74" t="s">
        <v>391</v>
      </c>
      <c r="J769" s="74"/>
      <c r="K769" s="74">
        <v>102.4</v>
      </c>
      <c r="L769" s="74">
        <v>92.16</v>
      </c>
      <c r="M769" s="74"/>
      <c r="N769" s="74" t="s">
        <v>392</v>
      </c>
      <c r="O769" s="74" t="s">
        <v>402</v>
      </c>
      <c r="P769" s="74" t="s">
        <v>19812</v>
      </c>
      <c r="Q769" s="74" t="s">
        <v>19813</v>
      </c>
    </row>
    <row r="770" spans="3:17" x14ac:dyDescent="0.25">
      <c r="C770" s="74" t="s">
        <v>2174</v>
      </c>
      <c r="D770" s="74" t="s">
        <v>2175</v>
      </c>
      <c r="E770" s="74"/>
      <c r="F770" s="74">
        <v>1.99</v>
      </c>
      <c r="G770" s="74"/>
      <c r="H770" s="74"/>
      <c r="I770" s="74" t="s">
        <v>391</v>
      </c>
      <c r="J770" s="74"/>
      <c r="K770" s="74">
        <v>102.4</v>
      </c>
      <c r="L770" s="74">
        <v>92.16</v>
      </c>
      <c r="M770" s="74"/>
      <c r="N770" s="74" t="s">
        <v>392</v>
      </c>
      <c r="O770" s="74" t="s">
        <v>402</v>
      </c>
      <c r="P770" s="74" t="s">
        <v>2176</v>
      </c>
      <c r="Q770" s="74" t="s">
        <v>2177</v>
      </c>
    </row>
    <row r="771" spans="3:17" x14ac:dyDescent="0.25">
      <c r="C771" s="74" t="s">
        <v>3352</v>
      </c>
      <c r="D771" s="74" t="s">
        <v>3353</v>
      </c>
      <c r="E771" s="74"/>
      <c r="F771" s="74">
        <v>1.99</v>
      </c>
      <c r="G771" s="74"/>
      <c r="H771" s="74"/>
      <c r="I771" s="74" t="s">
        <v>391</v>
      </c>
      <c r="J771" s="74"/>
      <c r="K771" s="74">
        <v>102.4</v>
      </c>
      <c r="L771" s="74">
        <v>92.16</v>
      </c>
      <c r="M771" s="74"/>
      <c r="N771" s="74" t="s">
        <v>392</v>
      </c>
      <c r="O771" s="74" t="s">
        <v>402</v>
      </c>
      <c r="P771" s="74" t="s">
        <v>3354</v>
      </c>
      <c r="Q771" s="74" t="s">
        <v>3355</v>
      </c>
    </row>
    <row r="772" spans="3:17" x14ac:dyDescent="0.25">
      <c r="C772" s="74" t="s">
        <v>5081</v>
      </c>
      <c r="D772" s="74" t="s">
        <v>5082</v>
      </c>
      <c r="E772" s="74"/>
      <c r="F772" s="74">
        <v>1.99</v>
      </c>
      <c r="G772" s="74"/>
      <c r="H772" s="74"/>
      <c r="I772" s="74" t="s">
        <v>391</v>
      </c>
      <c r="J772" s="74"/>
      <c r="K772" s="74">
        <v>102.4</v>
      </c>
      <c r="L772" s="74">
        <v>92.16</v>
      </c>
      <c r="M772" s="74"/>
      <c r="N772" s="74" t="s">
        <v>392</v>
      </c>
      <c r="O772" s="74" t="s">
        <v>402</v>
      </c>
      <c r="P772" s="74" t="s">
        <v>5083</v>
      </c>
      <c r="Q772" s="74" t="s">
        <v>5084</v>
      </c>
    </row>
    <row r="773" spans="3:17" x14ac:dyDescent="0.25">
      <c r="C773" s="74" t="s">
        <v>6084</v>
      </c>
      <c r="D773" s="74" t="s">
        <v>6085</v>
      </c>
      <c r="E773" s="74"/>
      <c r="F773" s="74">
        <v>1.99</v>
      </c>
      <c r="G773" s="74"/>
      <c r="H773" s="74"/>
      <c r="I773" s="74" t="s">
        <v>391</v>
      </c>
      <c r="J773" s="74"/>
      <c r="K773" s="74">
        <v>102.4</v>
      </c>
      <c r="L773" s="74">
        <v>92.16</v>
      </c>
      <c r="M773" s="74"/>
      <c r="N773" s="74" t="s">
        <v>392</v>
      </c>
      <c r="O773" s="74" t="s">
        <v>402</v>
      </c>
      <c r="P773" s="74" t="s">
        <v>6086</v>
      </c>
      <c r="Q773" s="74" t="s">
        <v>6087</v>
      </c>
    </row>
    <row r="774" spans="3:17" x14ac:dyDescent="0.25">
      <c r="C774" s="74" t="s">
        <v>8313</v>
      </c>
      <c r="D774" s="74" t="s">
        <v>8314</v>
      </c>
      <c r="E774" s="74"/>
      <c r="F774" s="74">
        <v>1.99</v>
      </c>
      <c r="G774" s="74"/>
      <c r="H774" s="74"/>
      <c r="I774" s="74" t="s">
        <v>391</v>
      </c>
      <c r="J774" s="74"/>
      <c r="K774" s="74">
        <v>102.4</v>
      </c>
      <c r="L774" s="74">
        <v>92.16</v>
      </c>
      <c r="M774" s="74"/>
      <c r="N774" s="74" t="s">
        <v>392</v>
      </c>
      <c r="O774" s="74" t="s">
        <v>402</v>
      </c>
      <c r="P774" s="74" t="s">
        <v>8315</v>
      </c>
      <c r="Q774" s="74" t="s">
        <v>8316</v>
      </c>
    </row>
    <row r="775" spans="3:17" x14ac:dyDescent="0.25">
      <c r="C775" s="74" t="s">
        <v>9619</v>
      </c>
      <c r="D775" s="74" t="s">
        <v>9620</v>
      </c>
      <c r="E775" s="74"/>
      <c r="F775" s="74">
        <v>1.99</v>
      </c>
      <c r="G775" s="74"/>
      <c r="H775" s="74"/>
      <c r="I775" s="74" t="s">
        <v>391</v>
      </c>
      <c r="J775" s="74"/>
      <c r="K775" s="74">
        <v>102.4</v>
      </c>
      <c r="L775" s="74">
        <v>92.16</v>
      </c>
      <c r="M775" s="74"/>
      <c r="N775" s="74" t="s">
        <v>392</v>
      </c>
      <c r="O775" s="74" t="s">
        <v>402</v>
      </c>
      <c r="P775" s="74" t="s">
        <v>9621</v>
      </c>
      <c r="Q775" s="74" t="s">
        <v>9622</v>
      </c>
    </row>
    <row r="776" spans="3:17" x14ac:dyDescent="0.25">
      <c r="C776" s="74" t="s">
        <v>7445</v>
      </c>
      <c r="D776" s="74" t="s">
        <v>7446</v>
      </c>
      <c r="E776" s="74"/>
      <c r="F776" s="74">
        <v>1.98</v>
      </c>
      <c r="G776" s="74"/>
      <c r="H776" s="74"/>
      <c r="I776" s="74" t="s">
        <v>391</v>
      </c>
      <c r="J776" s="74"/>
      <c r="K776" s="74">
        <v>102.4</v>
      </c>
      <c r="L776" s="74">
        <v>92.16</v>
      </c>
      <c r="M776" s="74"/>
      <c r="N776" s="74" t="s">
        <v>392</v>
      </c>
      <c r="O776" s="74" t="s">
        <v>402</v>
      </c>
      <c r="P776" s="74" t="s">
        <v>7447</v>
      </c>
      <c r="Q776" s="74" t="s">
        <v>7448</v>
      </c>
    </row>
    <row r="777" spans="3:17" x14ac:dyDescent="0.25">
      <c r="C777" s="74" t="s">
        <v>10114</v>
      </c>
      <c r="D777" s="74" t="s">
        <v>10115</v>
      </c>
      <c r="E777" s="74"/>
      <c r="F777" s="74">
        <v>1.98</v>
      </c>
      <c r="G777" s="74"/>
      <c r="H777" s="74"/>
      <c r="I777" s="74" t="s">
        <v>391</v>
      </c>
      <c r="J777" s="74"/>
      <c r="K777" s="74">
        <v>102.4</v>
      </c>
      <c r="L777" s="74">
        <v>92.16</v>
      </c>
      <c r="M777" s="74"/>
      <c r="N777" s="74" t="s">
        <v>392</v>
      </c>
      <c r="O777" s="74" t="s">
        <v>402</v>
      </c>
      <c r="P777" s="74" t="s">
        <v>10116</v>
      </c>
      <c r="Q777" s="74" t="s">
        <v>10117</v>
      </c>
    </row>
    <row r="778" spans="3:17" x14ac:dyDescent="0.25">
      <c r="C778" s="74" t="s">
        <v>15579</v>
      </c>
      <c r="D778" s="74" t="s">
        <v>15580</v>
      </c>
      <c r="E778" s="74"/>
      <c r="F778" s="74">
        <v>1.98</v>
      </c>
      <c r="G778" s="74"/>
      <c r="H778" s="74"/>
      <c r="I778" s="74" t="s">
        <v>391</v>
      </c>
      <c r="J778" s="74"/>
      <c r="K778" s="74">
        <v>102.4</v>
      </c>
      <c r="L778" s="74">
        <v>92.16</v>
      </c>
      <c r="M778" s="74"/>
      <c r="N778" s="74" t="s">
        <v>392</v>
      </c>
      <c r="O778" s="74" t="s">
        <v>402</v>
      </c>
      <c r="P778" s="74" t="s">
        <v>15581</v>
      </c>
      <c r="Q778" s="74" t="s">
        <v>15582</v>
      </c>
    </row>
    <row r="779" spans="3:17" x14ac:dyDescent="0.25">
      <c r="C779" s="74" t="s">
        <v>11566</v>
      </c>
      <c r="D779" s="74" t="s">
        <v>11567</v>
      </c>
      <c r="E779" s="74"/>
      <c r="F779" s="74">
        <v>1.97</v>
      </c>
      <c r="G779" s="74"/>
      <c r="H779" s="74"/>
      <c r="I779" s="74" t="s">
        <v>391</v>
      </c>
      <c r="J779" s="74"/>
      <c r="K779" s="74">
        <v>102.4</v>
      </c>
      <c r="L779" s="74">
        <v>92.16</v>
      </c>
      <c r="M779" s="74"/>
      <c r="N779" s="74" t="s">
        <v>392</v>
      </c>
      <c r="O779" s="74" t="s">
        <v>402</v>
      </c>
      <c r="P779" s="74" t="s">
        <v>11568</v>
      </c>
      <c r="Q779" s="74" t="s">
        <v>11569</v>
      </c>
    </row>
    <row r="780" spans="3:17" x14ac:dyDescent="0.25">
      <c r="C780" s="74" t="s">
        <v>12906</v>
      </c>
      <c r="D780" s="74" t="s">
        <v>12907</v>
      </c>
      <c r="E780" s="74"/>
      <c r="F780" s="74">
        <v>1.96</v>
      </c>
      <c r="G780" s="74"/>
      <c r="H780" s="74"/>
      <c r="I780" s="74" t="s">
        <v>391</v>
      </c>
      <c r="J780" s="74"/>
      <c r="K780" s="74">
        <v>102.4</v>
      </c>
      <c r="L780" s="74">
        <v>92.16</v>
      </c>
      <c r="M780" s="74"/>
      <c r="N780" s="74" t="s">
        <v>392</v>
      </c>
      <c r="O780" s="74" t="s">
        <v>402</v>
      </c>
      <c r="P780" s="74" t="s">
        <v>12908</v>
      </c>
      <c r="Q780" s="74" t="s">
        <v>12909</v>
      </c>
    </row>
    <row r="781" spans="3:17" x14ac:dyDescent="0.25">
      <c r="C781" s="74" t="s">
        <v>7315</v>
      </c>
      <c r="D781" s="74" t="s">
        <v>7316</v>
      </c>
      <c r="E781" s="74"/>
      <c r="F781" s="74">
        <v>1.95</v>
      </c>
      <c r="G781" s="74"/>
      <c r="H781" s="74"/>
      <c r="I781" s="74" t="s">
        <v>391</v>
      </c>
      <c r="J781" s="74"/>
      <c r="K781" s="74">
        <v>102.4</v>
      </c>
      <c r="L781" s="74">
        <v>92.16</v>
      </c>
      <c r="M781" s="74"/>
      <c r="N781" s="74" t="s">
        <v>392</v>
      </c>
      <c r="O781" s="74" t="s">
        <v>402</v>
      </c>
      <c r="P781" s="74" t="s">
        <v>7317</v>
      </c>
      <c r="Q781" s="74" t="s">
        <v>7318</v>
      </c>
    </row>
    <row r="782" spans="3:17" x14ac:dyDescent="0.25">
      <c r="C782" s="74" t="s">
        <v>17526</v>
      </c>
      <c r="D782" s="74" t="s">
        <v>17527</v>
      </c>
      <c r="E782" s="74"/>
      <c r="F782" s="74">
        <v>1.94</v>
      </c>
      <c r="G782" s="74"/>
      <c r="H782" s="74"/>
      <c r="I782" s="74" t="s">
        <v>391</v>
      </c>
      <c r="J782" s="74"/>
      <c r="K782" s="74">
        <v>102.4</v>
      </c>
      <c r="L782" s="74">
        <v>92.16</v>
      </c>
      <c r="M782" s="74"/>
      <c r="N782" s="74" t="s">
        <v>392</v>
      </c>
      <c r="O782" s="74" t="s">
        <v>402</v>
      </c>
      <c r="P782" s="74" t="s">
        <v>17528</v>
      </c>
      <c r="Q782" s="74" t="s">
        <v>17529</v>
      </c>
    </row>
    <row r="783" spans="3:17" x14ac:dyDescent="0.25">
      <c r="C783" s="74" t="s">
        <v>1199</v>
      </c>
      <c r="D783" s="74" t="s">
        <v>1200</v>
      </c>
      <c r="E783" s="74"/>
      <c r="F783" s="74">
        <v>1.93</v>
      </c>
      <c r="G783" s="74"/>
      <c r="H783" s="74"/>
      <c r="I783" s="74" t="s">
        <v>391</v>
      </c>
      <c r="J783" s="74"/>
      <c r="K783" s="74">
        <v>102.4</v>
      </c>
      <c r="L783" s="74">
        <v>92.16</v>
      </c>
      <c r="M783" s="74"/>
      <c r="N783" s="74" t="s">
        <v>392</v>
      </c>
      <c r="O783" s="74" t="s">
        <v>402</v>
      </c>
      <c r="P783" s="74" t="s">
        <v>1201</v>
      </c>
      <c r="Q783" s="74" t="s">
        <v>1202</v>
      </c>
    </row>
    <row r="784" spans="3:17" x14ac:dyDescent="0.25">
      <c r="C784" s="74" t="s">
        <v>14293</v>
      </c>
      <c r="D784" s="74" t="s">
        <v>14294</v>
      </c>
      <c r="E784" s="74"/>
      <c r="F784" s="74">
        <v>1.93</v>
      </c>
      <c r="G784" s="74"/>
      <c r="H784" s="74"/>
      <c r="I784" s="74" t="s">
        <v>391</v>
      </c>
      <c r="J784" s="74"/>
      <c r="K784" s="74">
        <v>102.4</v>
      </c>
      <c r="L784" s="74">
        <v>92.16</v>
      </c>
      <c r="M784" s="74"/>
      <c r="N784" s="74" t="s">
        <v>392</v>
      </c>
      <c r="O784" s="74" t="s">
        <v>402</v>
      </c>
      <c r="P784" s="74" t="s">
        <v>14295</v>
      </c>
      <c r="Q784" s="74" t="s">
        <v>14296</v>
      </c>
    </row>
    <row r="785" spans="3:17" x14ac:dyDescent="0.25">
      <c r="C785" s="74" t="s">
        <v>16000</v>
      </c>
      <c r="D785" s="74" t="s">
        <v>16001</v>
      </c>
      <c r="E785" s="74"/>
      <c r="F785" s="74">
        <v>1.93</v>
      </c>
      <c r="G785" s="74"/>
      <c r="H785" s="74"/>
      <c r="I785" s="74" t="s">
        <v>391</v>
      </c>
      <c r="J785" s="74"/>
      <c r="K785" s="74">
        <v>102.4</v>
      </c>
      <c r="L785" s="74">
        <v>92.16</v>
      </c>
      <c r="M785" s="74"/>
      <c r="N785" s="74" t="s">
        <v>392</v>
      </c>
      <c r="O785" s="74" t="s">
        <v>402</v>
      </c>
      <c r="P785" s="74" t="s">
        <v>16002</v>
      </c>
      <c r="Q785" s="74" t="s">
        <v>16003</v>
      </c>
    </row>
    <row r="786" spans="3:17" x14ac:dyDescent="0.25">
      <c r="C786" s="74" t="s">
        <v>17269</v>
      </c>
      <c r="D786" s="74" t="s">
        <v>17270</v>
      </c>
      <c r="E786" s="74"/>
      <c r="F786" s="74">
        <v>1.93</v>
      </c>
      <c r="G786" s="74"/>
      <c r="H786" s="74"/>
      <c r="I786" s="74" t="s">
        <v>391</v>
      </c>
      <c r="J786" s="74"/>
      <c r="K786" s="74">
        <v>102.4</v>
      </c>
      <c r="L786" s="74">
        <v>92.16</v>
      </c>
      <c r="M786" s="74"/>
      <c r="N786" s="74" t="s">
        <v>392</v>
      </c>
      <c r="O786" s="74" t="s">
        <v>402</v>
      </c>
      <c r="P786" s="74" t="s">
        <v>17271</v>
      </c>
      <c r="Q786" s="74" t="s">
        <v>17272</v>
      </c>
    </row>
    <row r="787" spans="3:17" x14ac:dyDescent="0.25">
      <c r="C787" s="74" t="s">
        <v>7100</v>
      </c>
      <c r="D787" s="74" t="s">
        <v>7101</v>
      </c>
      <c r="E787" s="74"/>
      <c r="F787" s="74">
        <v>1.92</v>
      </c>
      <c r="G787" s="74"/>
      <c r="H787" s="74"/>
      <c r="I787" s="74" t="s">
        <v>391</v>
      </c>
      <c r="J787" s="74"/>
      <c r="K787" s="74">
        <v>102.4</v>
      </c>
      <c r="L787" s="74">
        <v>92.16</v>
      </c>
      <c r="M787" s="74"/>
      <c r="N787" s="74" t="s">
        <v>392</v>
      </c>
      <c r="O787" s="74" t="s">
        <v>402</v>
      </c>
      <c r="P787" s="74" t="s">
        <v>7102</v>
      </c>
      <c r="Q787" s="74" t="s">
        <v>7103</v>
      </c>
    </row>
    <row r="788" spans="3:17" x14ac:dyDescent="0.25">
      <c r="C788" s="74" t="s">
        <v>11544</v>
      </c>
      <c r="D788" s="74" t="s">
        <v>11545</v>
      </c>
      <c r="E788" s="74"/>
      <c r="F788" s="74">
        <v>1.92</v>
      </c>
      <c r="G788" s="74"/>
      <c r="H788" s="74"/>
      <c r="I788" s="74" t="s">
        <v>391</v>
      </c>
      <c r="J788" s="74"/>
      <c r="K788" s="74">
        <v>102.4</v>
      </c>
      <c r="L788" s="74">
        <v>92.16</v>
      </c>
      <c r="M788" s="74"/>
      <c r="N788" s="74" t="s">
        <v>392</v>
      </c>
      <c r="O788" s="74" t="s">
        <v>402</v>
      </c>
      <c r="P788" s="74" t="s">
        <v>11546</v>
      </c>
      <c r="Q788" s="74" t="s">
        <v>11547</v>
      </c>
    </row>
    <row r="789" spans="3:17" x14ac:dyDescent="0.25">
      <c r="C789" s="74" t="s">
        <v>11341</v>
      </c>
      <c r="D789" s="74" t="s">
        <v>11342</v>
      </c>
      <c r="E789" s="74"/>
      <c r="F789" s="74">
        <v>1.91</v>
      </c>
      <c r="G789" s="74"/>
      <c r="H789" s="74"/>
      <c r="I789" s="74" t="s">
        <v>391</v>
      </c>
      <c r="J789" s="74"/>
      <c r="K789" s="74">
        <v>102.4</v>
      </c>
      <c r="L789" s="74">
        <v>92.16</v>
      </c>
      <c r="M789" s="74"/>
      <c r="N789" s="74" t="s">
        <v>392</v>
      </c>
      <c r="O789" s="74" t="s">
        <v>402</v>
      </c>
      <c r="P789" s="74" t="s">
        <v>11343</v>
      </c>
      <c r="Q789" s="74" t="s">
        <v>11344</v>
      </c>
    </row>
    <row r="790" spans="3:17" x14ac:dyDescent="0.25">
      <c r="C790" s="74" t="s">
        <v>12852</v>
      </c>
      <c r="D790" s="74" t="s">
        <v>12853</v>
      </c>
      <c r="E790" s="74"/>
      <c r="F790" s="74">
        <v>1.91</v>
      </c>
      <c r="G790" s="74"/>
      <c r="H790" s="74"/>
      <c r="I790" s="74" t="s">
        <v>391</v>
      </c>
      <c r="J790" s="74"/>
      <c r="K790" s="74">
        <v>102.4</v>
      </c>
      <c r="L790" s="74">
        <v>92.16</v>
      </c>
      <c r="M790" s="74"/>
      <c r="N790" s="74" t="s">
        <v>392</v>
      </c>
      <c r="O790" s="74" t="s">
        <v>402</v>
      </c>
      <c r="P790" s="74" t="s">
        <v>12854</v>
      </c>
      <c r="Q790" s="74" t="s">
        <v>12855</v>
      </c>
    </row>
    <row r="791" spans="3:17" x14ac:dyDescent="0.25">
      <c r="C791" s="74" t="s">
        <v>15098</v>
      </c>
      <c r="D791" s="74" t="s">
        <v>15099</v>
      </c>
      <c r="E791" s="74"/>
      <c r="F791" s="74">
        <v>1.91</v>
      </c>
      <c r="G791" s="74"/>
      <c r="H791" s="74"/>
      <c r="I791" s="74" t="s">
        <v>391</v>
      </c>
      <c r="J791" s="74"/>
      <c r="K791" s="74">
        <v>102.4</v>
      </c>
      <c r="L791" s="74">
        <v>92.16</v>
      </c>
      <c r="M791" s="74"/>
      <c r="N791" s="74" t="s">
        <v>392</v>
      </c>
      <c r="O791" s="74" t="s">
        <v>402</v>
      </c>
      <c r="P791" s="74" t="s">
        <v>15100</v>
      </c>
      <c r="Q791" s="74" t="s">
        <v>15101</v>
      </c>
    </row>
    <row r="792" spans="3:17" x14ac:dyDescent="0.25">
      <c r="C792" s="74" t="s">
        <v>15275</v>
      </c>
      <c r="D792" s="74" t="s">
        <v>15276</v>
      </c>
      <c r="E792" s="74"/>
      <c r="F792" s="74">
        <v>1.9</v>
      </c>
      <c r="G792" s="74"/>
      <c r="H792" s="74"/>
      <c r="I792" s="74" t="s">
        <v>391</v>
      </c>
      <c r="J792" s="74"/>
      <c r="K792" s="74">
        <v>102.4</v>
      </c>
      <c r="L792" s="74">
        <v>92.16</v>
      </c>
      <c r="M792" s="74"/>
      <c r="N792" s="74" t="s">
        <v>392</v>
      </c>
      <c r="O792" s="74" t="s">
        <v>402</v>
      </c>
      <c r="P792" s="74" t="s">
        <v>15277</v>
      </c>
      <c r="Q792" s="74" t="s">
        <v>15278</v>
      </c>
    </row>
    <row r="793" spans="3:17" x14ac:dyDescent="0.25">
      <c r="C793" s="74" t="s">
        <v>19634</v>
      </c>
      <c r="D793" s="74" t="s">
        <v>19635</v>
      </c>
      <c r="E793" s="74"/>
      <c r="F793" s="74">
        <v>1.9</v>
      </c>
      <c r="G793" s="74"/>
      <c r="H793" s="74"/>
      <c r="I793" s="74" t="s">
        <v>391</v>
      </c>
      <c r="J793" s="74"/>
      <c r="K793" s="74">
        <v>102.4</v>
      </c>
      <c r="L793" s="74">
        <v>92.16</v>
      </c>
      <c r="M793" s="74"/>
      <c r="N793" s="74" t="s">
        <v>392</v>
      </c>
      <c r="O793" s="74" t="s">
        <v>402</v>
      </c>
      <c r="P793" s="74" t="s">
        <v>19636</v>
      </c>
      <c r="Q793" s="74" t="s">
        <v>19637</v>
      </c>
    </row>
    <row r="794" spans="3:17" x14ac:dyDescent="0.25">
      <c r="C794" s="74" t="s">
        <v>3246</v>
      </c>
      <c r="D794" s="74" t="s">
        <v>3247</v>
      </c>
      <c r="E794" s="74"/>
      <c r="F794" s="74">
        <v>1.89</v>
      </c>
      <c r="G794" s="74"/>
      <c r="H794" s="74"/>
      <c r="I794" s="74" t="s">
        <v>391</v>
      </c>
      <c r="J794" s="74"/>
      <c r="K794" s="74">
        <v>102.4</v>
      </c>
      <c r="L794" s="74">
        <v>92.16</v>
      </c>
      <c r="M794" s="74"/>
      <c r="N794" s="74" t="s">
        <v>392</v>
      </c>
      <c r="O794" s="74" t="s">
        <v>402</v>
      </c>
      <c r="P794" s="74" t="s">
        <v>3248</v>
      </c>
      <c r="Q794" s="74" t="s">
        <v>3249</v>
      </c>
    </row>
    <row r="795" spans="3:17" x14ac:dyDescent="0.25">
      <c r="C795" s="74" t="s">
        <v>8052</v>
      </c>
      <c r="D795" s="74" t="s">
        <v>8053</v>
      </c>
      <c r="E795" s="74"/>
      <c r="F795" s="74">
        <v>1.89</v>
      </c>
      <c r="G795" s="74"/>
      <c r="H795" s="74"/>
      <c r="I795" s="74" t="s">
        <v>391</v>
      </c>
      <c r="J795" s="74"/>
      <c r="K795" s="74">
        <v>102.4</v>
      </c>
      <c r="L795" s="74">
        <v>92.16</v>
      </c>
      <c r="M795" s="74"/>
      <c r="N795" s="74" t="s">
        <v>392</v>
      </c>
      <c r="O795" s="74" t="s">
        <v>402</v>
      </c>
      <c r="P795" s="74" t="s">
        <v>8054</v>
      </c>
      <c r="Q795" s="74" t="s">
        <v>8055</v>
      </c>
    </row>
    <row r="796" spans="3:17" x14ac:dyDescent="0.25">
      <c r="C796" s="74" t="s">
        <v>8791</v>
      </c>
      <c r="D796" s="74" t="s">
        <v>8792</v>
      </c>
      <c r="E796" s="74"/>
      <c r="F796" s="74">
        <v>1.89</v>
      </c>
      <c r="G796" s="74"/>
      <c r="H796" s="74"/>
      <c r="I796" s="74" t="s">
        <v>391</v>
      </c>
      <c r="J796" s="74"/>
      <c r="K796" s="74">
        <v>102.4</v>
      </c>
      <c r="L796" s="74">
        <v>92.16</v>
      </c>
      <c r="M796" s="74"/>
      <c r="N796" s="74" t="s">
        <v>392</v>
      </c>
      <c r="O796" s="74" t="s">
        <v>402</v>
      </c>
      <c r="P796" s="74" t="s">
        <v>8793</v>
      </c>
      <c r="Q796" s="74" t="s">
        <v>8794</v>
      </c>
    </row>
    <row r="797" spans="3:17" x14ac:dyDescent="0.25">
      <c r="C797" s="74" t="s">
        <v>18296</v>
      </c>
      <c r="D797" s="74" t="s">
        <v>18297</v>
      </c>
      <c r="E797" s="74"/>
      <c r="F797" s="74">
        <v>1.89</v>
      </c>
      <c r="G797" s="74"/>
      <c r="H797" s="74"/>
      <c r="I797" s="74" t="s">
        <v>391</v>
      </c>
      <c r="J797" s="74"/>
      <c r="K797" s="74">
        <v>102.4</v>
      </c>
      <c r="L797" s="74">
        <v>92.16</v>
      </c>
      <c r="M797" s="74"/>
      <c r="N797" s="74" t="s">
        <v>392</v>
      </c>
      <c r="O797" s="74" t="s">
        <v>402</v>
      </c>
      <c r="P797" s="74" t="s">
        <v>18298</v>
      </c>
      <c r="Q797" s="74" t="s">
        <v>18299</v>
      </c>
    </row>
    <row r="798" spans="3:17" x14ac:dyDescent="0.25">
      <c r="C798" s="74" t="s">
        <v>787</v>
      </c>
      <c r="D798" s="74" t="s">
        <v>788</v>
      </c>
      <c r="E798" s="74"/>
      <c r="F798" s="74">
        <v>1.88</v>
      </c>
      <c r="G798" s="74"/>
      <c r="H798" s="74"/>
      <c r="I798" s="74" t="s">
        <v>391</v>
      </c>
      <c r="J798" s="74"/>
      <c r="K798" s="74">
        <v>102.4</v>
      </c>
      <c r="L798" s="74">
        <v>92.16</v>
      </c>
      <c r="M798" s="74"/>
      <c r="N798" s="74" t="s">
        <v>392</v>
      </c>
      <c r="O798" s="74" t="s">
        <v>402</v>
      </c>
      <c r="P798" s="74" t="s">
        <v>789</v>
      </c>
      <c r="Q798" s="74" t="s">
        <v>790</v>
      </c>
    </row>
    <row r="799" spans="3:17" x14ac:dyDescent="0.25">
      <c r="C799" s="74" t="s">
        <v>5805</v>
      </c>
      <c r="D799" s="74" t="s">
        <v>5806</v>
      </c>
      <c r="E799" s="74"/>
      <c r="F799" s="74">
        <v>1.88</v>
      </c>
      <c r="G799" s="74"/>
      <c r="H799" s="74"/>
      <c r="I799" s="74" t="s">
        <v>391</v>
      </c>
      <c r="J799" s="74"/>
      <c r="K799" s="74">
        <v>102.4</v>
      </c>
      <c r="L799" s="74">
        <v>92.16</v>
      </c>
      <c r="M799" s="74"/>
      <c r="N799" s="74" t="s">
        <v>392</v>
      </c>
      <c r="O799" s="74" t="s">
        <v>402</v>
      </c>
      <c r="P799" s="74" t="s">
        <v>5807</v>
      </c>
      <c r="Q799" s="74" t="s">
        <v>5808</v>
      </c>
    </row>
    <row r="800" spans="3:17" x14ac:dyDescent="0.25">
      <c r="C800" s="74" t="s">
        <v>9227</v>
      </c>
      <c r="D800" s="74" t="s">
        <v>9228</v>
      </c>
      <c r="E800" s="74" t="s">
        <v>391</v>
      </c>
      <c r="F800" s="74">
        <v>1.88</v>
      </c>
      <c r="G800" s="74"/>
      <c r="H800" s="74"/>
      <c r="I800" s="74" t="s">
        <v>391</v>
      </c>
      <c r="J800" s="74"/>
      <c r="K800" s="74">
        <v>102.4</v>
      </c>
      <c r="L800" s="74">
        <v>92.16</v>
      </c>
      <c r="M800" s="74"/>
      <c r="N800" s="74" t="s">
        <v>392</v>
      </c>
      <c r="O800" s="74" t="s">
        <v>393</v>
      </c>
      <c r="P800" s="74" t="s">
        <v>9229</v>
      </c>
      <c r="Q800" s="74" t="s">
        <v>9230</v>
      </c>
    </row>
    <row r="801" spans="3:17" x14ac:dyDescent="0.25">
      <c r="C801" s="74" t="s">
        <v>10085</v>
      </c>
      <c r="D801" s="74" t="s">
        <v>10086</v>
      </c>
      <c r="E801" s="74" t="s">
        <v>391</v>
      </c>
      <c r="F801" s="74">
        <v>1.88</v>
      </c>
      <c r="G801" s="74"/>
      <c r="H801" s="74"/>
      <c r="I801" s="74" t="s">
        <v>391</v>
      </c>
      <c r="J801" s="74"/>
      <c r="K801" s="74">
        <v>102.4</v>
      </c>
      <c r="L801" s="74">
        <v>92.16</v>
      </c>
      <c r="M801" s="74"/>
      <c r="N801" s="74" t="s">
        <v>392</v>
      </c>
      <c r="O801" s="74" t="s">
        <v>393</v>
      </c>
      <c r="P801" s="74" t="s">
        <v>10087</v>
      </c>
      <c r="Q801" s="74" t="s">
        <v>10088</v>
      </c>
    </row>
    <row r="802" spans="3:17" x14ac:dyDescent="0.25">
      <c r="C802" s="74" t="s">
        <v>14952</v>
      </c>
      <c r="D802" s="74" t="s">
        <v>14953</v>
      </c>
      <c r="E802" s="74"/>
      <c r="F802" s="74">
        <v>1.88</v>
      </c>
      <c r="G802" s="74"/>
      <c r="H802" s="74"/>
      <c r="I802" s="74" t="s">
        <v>391</v>
      </c>
      <c r="J802" s="74"/>
      <c r="K802" s="74">
        <v>102.4</v>
      </c>
      <c r="L802" s="74">
        <v>92.16</v>
      </c>
      <c r="M802" s="74"/>
      <c r="N802" s="74" t="s">
        <v>392</v>
      </c>
      <c r="O802" s="74" t="s">
        <v>402</v>
      </c>
      <c r="P802" s="74" t="s">
        <v>14954</v>
      </c>
      <c r="Q802" s="74" t="s">
        <v>14955</v>
      </c>
    </row>
    <row r="803" spans="3:17" x14ac:dyDescent="0.25">
      <c r="C803" s="74" t="s">
        <v>2310</v>
      </c>
      <c r="D803" s="74" t="s">
        <v>2311</v>
      </c>
      <c r="E803" s="74"/>
      <c r="F803" s="74">
        <v>1.87</v>
      </c>
      <c r="G803" s="74"/>
      <c r="H803" s="74"/>
      <c r="I803" s="74" t="s">
        <v>391</v>
      </c>
      <c r="J803" s="74"/>
      <c r="K803" s="74">
        <v>102.4</v>
      </c>
      <c r="L803" s="74">
        <v>92.16</v>
      </c>
      <c r="M803" s="74"/>
      <c r="N803" s="74" t="s">
        <v>392</v>
      </c>
      <c r="O803" s="74" t="s">
        <v>402</v>
      </c>
      <c r="P803" s="74" t="s">
        <v>2312</v>
      </c>
      <c r="Q803" s="74" t="s">
        <v>2313</v>
      </c>
    </row>
    <row r="804" spans="3:17" x14ac:dyDescent="0.25">
      <c r="C804" s="74" t="s">
        <v>12038</v>
      </c>
      <c r="D804" s="74" t="s">
        <v>12039</v>
      </c>
      <c r="E804" s="74"/>
      <c r="F804" s="74">
        <v>1.87</v>
      </c>
      <c r="G804" s="74"/>
      <c r="H804" s="74"/>
      <c r="I804" s="74" t="s">
        <v>391</v>
      </c>
      <c r="J804" s="74"/>
      <c r="K804" s="74">
        <v>102.4</v>
      </c>
      <c r="L804" s="74">
        <v>92.16</v>
      </c>
      <c r="M804" s="74"/>
      <c r="N804" s="74" t="s">
        <v>392</v>
      </c>
      <c r="O804" s="74" t="s">
        <v>402</v>
      </c>
      <c r="P804" s="74" t="s">
        <v>12040</v>
      </c>
      <c r="Q804" s="74" t="s">
        <v>12041</v>
      </c>
    </row>
    <row r="805" spans="3:17" x14ac:dyDescent="0.25">
      <c r="C805" s="74" t="s">
        <v>12832</v>
      </c>
      <c r="D805" s="74" t="s">
        <v>12833</v>
      </c>
      <c r="E805" s="74"/>
      <c r="F805" s="74">
        <v>1.87</v>
      </c>
      <c r="G805" s="74"/>
      <c r="H805" s="74"/>
      <c r="I805" s="74" t="s">
        <v>391</v>
      </c>
      <c r="J805" s="74"/>
      <c r="K805" s="74">
        <v>102.4</v>
      </c>
      <c r="L805" s="74">
        <v>92.16</v>
      </c>
      <c r="M805" s="74"/>
      <c r="N805" s="74" t="s">
        <v>392</v>
      </c>
      <c r="O805" s="74" t="s">
        <v>402</v>
      </c>
      <c r="P805" s="74" t="s">
        <v>12834</v>
      </c>
      <c r="Q805" s="74" t="s">
        <v>12835</v>
      </c>
    </row>
    <row r="806" spans="3:17" x14ac:dyDescent="0.25">
      <c r="C806" s="74" t="s">
        <v>13469</v>
      </c>
      <c r="D806" s="74" t="s">
        <v>13470</v>
      </c>
      <c r="E806" s="74"/>
      <c r="F806" s="74">
        <v>1.87</v>
      </c>
      <c r="G806" s="74"/>
      <c r="H806" s="74"/>
      <c r="I806" s="74" t="s">
        <v>391</v>
      </c>
      <c r="J806" s="74"/>
      <c r="K806" s="74">
        <v>102.4</v>
      </c>
      <c r="L806" s="74">
        <v>92.16</v>
      </c>
      <c r="M806" s="74"/>
      <c r="N806" s="74" t="s">
        <v>392</v>
      </c>
      <c r="O806" s="74" t="s">
        <v>402</v>
      </c>
      <c r="P806" s="74" t="s">
        <v>13471</v>
      </c>
      <c r="Q806" s="74" t="s">
        <v>13472</v>
      </c>
    </row>
    <row r="807" spans="3:17" x14ac:dyDescent="0.25">
      <c r="C807" s="74" t="s">
        <v>3592</v>
      </c>
      <c r="D807" s="74" t="s">
        <v>3593</v>
      </c>
      <c r="E807" s="74"/>
      <c r="F807" s="74">
        <v>1.86</v>
      </c>
      <c r="G807" s="74"/>
      <c r="H807" s="74"/>
      <c r="I807" s="74" t="s">
        <v>391</v>
      </c>
      <c r="J807" s="74"/>
      <c r="K807" s="74">
        <v>102.4</v>
      </c>
      <c r="L807" s="74">
        <v>92.16</v>
      </c>
      <c r="M807" s="74"/>
      <c r="N807" s="74" t="s">
        <v>392</v>
      </c>
      <c r="O807" s="74" t="s">
        <v>402</v>
      </c>
      <c r="P807" s="74" t="s">
        <v>3594</v>
      </c>
      <c r="Q807" s="74" t="s">
        <v>3595</v>
      </c>
    </row>
    <row r="808" spans="3:17" x14ac:dyDescent="0.25">
      <c r="C808" s="74" t="s">
        <v>7919</v>
      </c>
      <c r="D808" s="74" t="s">
        <v>7920</v>
      </c>
      <c r="E808" s="74"/>
      <c r="F808" s="74">
        <v>1.86</v>
      </c>
      <c r="G808" s="74"/>
      <c r="H808" s="74"/>
      <c r="I808" s="74" t="s">
        <v>391</v>
      </c>
      <c r="J808" s="74"/>
      <c r="K808" s="74">
        <v>102.4</v>
      </c>
      <c r="L808" s="74">
        <v>92.16</v>
      </c>
      <c r="M808" s="74"/>
      <c r="N808" s="74" t="s">
        <v>392</v>
      </c>
      <c r="O808" s="74" t="s">
        <v>402</v>
      </c>
      <c r="P808" s="74" t="s">
        <v>7921</v>
      </c>
      <c r="Q808" s="74" t="s">
        <v>7922</v>
      </c>
    </row>
    <row r="809" spans="3:17" x14ac:dyDescent="0.25">
      <c r="C809" s="74" t="s">
        <v>12622</v>
      </c>
      <c r="D809" s="74" t="s">
        <v>12623</v>
      </c>
      <c r="E809" s="74"/>
      <c r="F809" s="74">
        <v>1.85</v>
      </c>
      <c r="G809" s="74"/>
      <c r="H809" s="74"/>
      <c r="I809" s="74" t="s">
        <v>391</v>
      </c>
      <c r="J809" s="74"/>
      <c r="K809" s="74">
        <v>102.4</v>
      </c>
      <c r="L809" s="74">
        <v>92.16</v>
      </c>
      <c r="M809" s="74"/>
      <c r="N809" s="74" t="s">
        <v>392</v>
      </c>
      <c r="O809" s="74" t="s">
        <v>402</v>
      </c>
      <c r="P809" s="74" t="s">
        <v>12624</v>
      </c>
      <c r="Q809" s="74" t="s">
        <v>12625</v>
      </c>
    </row>
    <row r="810" spans="3:17" x14ac:dyDescent="0.25">
      <c r="C810" s="74" t="s">
        <v>14154</v>
      </c>
      <c r="D810" s="74" t="s">
        <v>14155</v>
      </c>
      <c r="E810" s="74"/>
      <c r="F810" s="74">
        <v>1.85</v>
      </c>
      <c r="G810" s="74"/>
      <c r="H810" s="74"/>
      <c r="I810" s="74" t="s">
        <v>391</v>
      </c>
      <c r="J810" s="74"/>
      <c r="K810" s="74">
        <v>102.4</v>
      </c>
      <c r="L810" s="74">
        <v>92.16</v>
      </c>
      <c r="M810" s="74"/>
      <c r="N810" s="74" t="s">
        <v>392</v>
      </c>
      <c r="O810" s="74" t="s">
        <v>402</v>
      </c>
      <c r="P810" s="74" t="s">
        <v>14156</v>
      </c>
      <c r="Q810" s="74" t="s">
        <v>14157</v>
      </c>
    </row>
    <row r="811" spans="3:17" x14ac:dyDescent="0.25">
      <c r="C811" s="158" t="s">
        <v>5323</v>
      </c>
      <c r="D811" s="158" t="s">
        <v>5324</v>
      </c>
      <c r="F811" s="158">
        <v>1.84</v>
      </c>
      <c r="I811" s="158" t="s">
        <v>391</v>
      </c>
      <c r="K811" s="158">
        <v>102.4</v>
      </c>
      <c r="L811" s="158">
        <v>92.16</v>
      </c>
      <c r="N811" s="158" t="s">
        <v>392</v>
      </c>
      <c r="O811" s="158" t="s">
        <v>402</v>
      </c>
      <c r="P811" s="158" t="s">
        <v>5325</v>
      </c>
      <c r="Q811" s="158" t="s">
        <v>5326</v>
      </c>
    </row>
    <row r="812" spans="3:17" x14ac:dyDescent="0.25">
      <c r="C812" s="74" t="s">
        <v>6596</v>
      </c>
      <c r="D812" s="74" t="s">
        <v>6597</v>
      </c>
      <c r="E812" s="74"/>
      <c r="F812" s="74">
        <v>1.84</v>
      </c>
      <c r="G812" s="74"/>
      <c r="H812" s="74"/>
      <c r="I812" s="74" t="s">
        <v>391</v>
      </c>
      <c r="J812" s="74"/>
      <c r="K812" s="74">
        <v>102.4</v>
      </c>
      <c r="L812" s="74">
        <v>92.16</v>
      </c>
      <c r="M812" s="74"/>
      <c r="N812" s="74" t="s">
        <v>392</v>
      </c>
      <c r="O812" s="74" t="s">
        <v>402</v>
      </c>
      <c r="P812" s="74" t="s">
        <v>6598</v>
      </c>
      <c r="Q812" s="74" t="s">
        <v>6599</v>
      </c>
    </row>
    <row r="813" spans="3:17" x14ac:dyDescent="0.25">
      <c r="C813" s="74" t="s">
        <v>7690</v>
      </c>
      <c r="D813" s="74" t="s">
        <v>7691</v>
      </c>
      <c r="E813" s="74"/>
      <c r="F813" s="74">
        <v>1.84</v>
      </c>
      <c r="G813" s="74"/>
      <c r="H813" s="74"/>
      <c r="I813" s="74" t="s">
        <v>391</v>
      </c>
      <c r="J813" s="74"/>
      <c r="K813" s="74">
        <v>102.4</v>
      </c>
      <c r="L813" s="74">
        <v>92.16</v>
      </c>
      <c r="M813" s="74"/>
      <c r="N813" s="74" t="s">
        <v>392</v>
      </c>
      <c r="O813" s="74" t="s">
        <v>402</v>
      </c>
      <c r="P813" s="74" t="s">
        <v>7692</v>
      </c>
      <c r="Q813" s="74" t="s">
        <v>7693</v>
      </c>
    </row>
    <row r="814" spans="3:17" x14ac:dyDescent="0.25">
      <c r="C814" s="74" t="s">
        <v>6314</v>
      </c>
      <c r="D814" s="74" t="s">
        <v>6315</v>
      </c>
      <c r="E814" s="74"/>
      <c r="F814" s="74">
        <v>1.83</v>
      </c>
      <c r="G814" s="74"/>
      <c r="H814" s="74"/>
      <c r="I814" s="74" t="s">
        <v>391</v>
      </c>
      <c r="J814" s="74"/>
      <c r="K814" s="74">
        <v>102.4</v>
      </c>
      <c r="L814" s="74">
        <v>92.16</v>
      </c>
      <c r="M814" s="74"/>
      <c r="N814" s="74" t="s">
        <v>392</v>
      </c>
      <c r="O814" s="74" t="s">
        <v>402</v>
      </c>
      <c r="P814" s="74" t="s">
        <v>6316</v>
      </c>
      <c r="Q814" s="74" t="s">
        <v>6317</v>
      </c>
    </row>
    <row r="815" spans="3:17" x14ac:dyDescent="0.25">
      <c r="C815" s="74" t="s">
        <v>11773</v>
      </c>
      <c r="D815" s="74" t="s">
        <v>11774</v>
      </c>
      <c r="E815" s="74" t="s">
        <v>391</v>
      </c>
      <c r="F815" s="74">
        <v>1.83</v>
      </c>
      <c r="G815" s="74"/>
      <c r="H815" s="74"/>
      <c r="I815" s="74" t="s">
        <v>391</v>
      </c>
      <c r="J815" s="74"/>
      <c r="K815" s="74">
        <v>102.4</v>
      </c>
      <c r="L815" s="74">
        <v>92.16</v>
      </c>
      <c r="M815" s="74"/>
      <c r="N815" s="74" t="s">
        <v>392</v>
      </c>
      <c r="O815" s="74" t="s">
        <v>393</v>
      </c>
      <c r="P815" s="74" t="s">
        <v>11775</v>
      </c>
      <c r="Q815" s="74" t="s">
        <v>11776</v>
      </c>
    </row>
    <row r="816" spans="3:17" x14ac:dyDescent="0.25">
      <c r="C816" s="74" t="s">
        <v>2271</v>
      </c>
      <c r="D816" s="74" t="s">
        <v>2272</v>
      </c>
      <c r="E816" s="74"/>
      <c r="F816" s="74">
        <v>1.82</v>
      </c>
      <c r="G816" s="74"/>
      <c r="H816" s="74"/>
      <c r="I816" s="74" t="s">
        <v>391</v>
      </c>
      <c r="J816" s="74"/>
      <c r="K816" s="74">
        <v>102.4</v>
      </c>
      <c r="L816" s="74">
        <v>92.16</v>
      </c>
      <c r="M816" s="74"/>
      <c r="N816" s="74" t="s">
        <v>392</v>
      </c>
      <c r="O816" s="74" t="s">
        <v>402</v>
      </c>
      <c r="P816" s="74" t="s">
        <v>2273</v>
      </c>
      <c r="Q816" s="74" t="s">
        <v>2274</v>
      </c>
    </row>
    <row r="817" spans="3:17" x14ac:dyDescent="0.25">
      <c r="C817" s="74" t="s">
        <v>14340</v>
      </c>
      <c r="D817" s="74" t="s">
        <v>14341</v>
      </c>
      <c r="E817" s="74"/>
      <c r="F817" s="74">
        <v>1.82</v>
      </c>
      <c r="G817" s="74"/>
      <c r="H817" s="74"/>
      <c r="I817" s="74" t="s">
        <v>391</v>
      </c>
      <c r="J817" s="74"/>
      <c r="K817" s="74">
        <v>102.4</v>
      </c>
      <c r="L817" s="74">
        <v>92.16</v>
      </c>
      <c r="M817" s="74"/>
      <c r="N817" s="74" t="s">
        <v>392</v>
      </c>
      <c r="O817" s="74" t="s">
        <v>402</v>
      </c>
      <c r="P817" s="74" t="s">
        <v>14342</v>
      </c>
      <c r="Q817" s="74" t="s">
        <v>14343</v>
      </c>
    </row>
    <row r="818" spans="3:17" x14ac:dyDescent="0.25">
      <c r="C818" s="74" t="s">
        <v>1457</v>
      </c>
      <c r="D818" s="74" t="s">
        <v>1458</v>
      </c>
      <c r="E818" s="74"/>
      <c r="F818" s="74">
        <v>1.81</v>
      </c>
      <c r="G818" s="74"/>
      <c r="H818" s="74"/>
      <c r="I818" s="74" t="s">
        <v>391</v>
      </c>
      <c r="J818" s="74"/>
      <c r="K818" s="74">
        <v>102.4</v>
      </c>
      <c r="L818" s="74">
        <v>92.16</v>
      </c>
      <c r="M818" s="74"/>
      <c r="N818" s="74" t="s">
        <v>392</v>
      </c>
      <c r="O818" s="74" t="s">
        <v>402</v>
      </c>
      <c r="P818" s="74" t="s">
        <v>1459</v>
      </c>
      <c r="Q818" s="74" t="s">
        <v>1460</v>
      </c>
    </row>
    <row r="819" spans="3:17" x14ac:dyDescent="0.25">
      <c r="C819" s="74" t="s">
        <v>5468</v>
      </c>
      <c r="D819" s="74" t="s">
        <v>5469</v>
      </c>
      <c r="E819" s="74"/>
      <c r="F819" s="74">
        <v>1.81</v>
      </c>
      <c r="G819" s="74"/>
      <c r="H819" s="74"/>
      <c r="I819" s="74" t="s">
        <v>391</v>
      </c>
      <c r="J819" s="74"/>
      <c r="K819" s="74">
        <v>102.4</v>
      </c>
      <c r="L819" s="74">
        <v>92.16</v>
      </c>
      <c r="M819" s="74"/>
      <c r="N819" s="74" t="s">
        <v>392</v>
      </c>
      <c r="O819" s="74" t="s">
        <v>402</v>
      </c>
      <c r="P819" s="74" t="s">
        <v>5470</v>
      </c>
      <c r="Q819" s="74" t="s">
        <v>5471</v>
      </c>
    </row>
    <row r="820" spans="3:17" x14ac:dyDescent="0.25">
      <c r="C820" s="74" t="s">
        <v>7836</v>
      </c>
      <c r="D820" s="74" t="s">
        <v>7837</v>
      </c>
      <c r="E820" s="74"/>
      <c r="F820" s="74">
        <v>1.81</v>
      </c>
      <c r="G820" s="74"/>
      <c r="H820" s="74"/>
      <c r="I820" s="74" t="s">
        <v>391</v>
      </c>
      <c r="J820" s="74"/>
      <c r="K820" s="74">
        <v>102.4</v>
      </c>
      <c r="L820" s="74">
        <v>92.16</v>
      </c>
      <c r="M820" s="74"/>
      <c r="N820" s="74" t="s">
        <v>392</v>
      </c>
      <c r="O820" s="74" t="s">
        <v>402</v>
      </c>
      <c r="P820" s="74" t="s">
        <v>7838</v>
      </c>
      <c r="Q820" s="74" t="s">
        <v>7839</v>
      </c>
    </row>
    <row r="821" spans="3:17" x14ac:dyDescent="0.25">
      <c r="C821" s="74" t="s">
        <v>9273</v>
      </c>
      <c r="D821" s="74" t="s">
        <v>9274</v>
      </c>
      <c r="E821" s="74"/>
      <c r="F821" s="74">
        <v>1.81</v>
      </c>
      <c r="G821" s="74"/>
      <c r="H821" s="74"/>
      <c r="I821" s="74" t="s">
        <v>391</v>
      </c>
      <c r="J821" s="74"/>
      <c r="K821" s="74">
        <v>102.4</v>
      </c>
      <c r="L821" s="74">
        <v>92.16</v>
      </c>
      <c r="M821" s="74"/>
      <c r="N821" s="74" t="s">
        <v>392</v>
      </c>
      <c r="O821" s="74" t="s">
        <v>402</v>
      </c>
      <c r="P821" s="74" t="s">
        <v>9275</v>
      </c>
      <c r="Q821" s="74" t="s">
        <v>9276</v>
      </c>
    </row>
    <row r="822" spans="3:17" x14ac:dyDescent="0.25">
      <c r="C822" s="74" t="s">
        <v>16117</v>
      </c>
      <c r="D822" s="74" t="s">
        <v>16118</v>
      </c>
      <c r="E822" s="74"/>
      <c r="F822" s="74">
        <v>1.81</v>
      </c>
      <c r="G822" s="74"/>
      <c r="H822" s="74"/>
      <c r="I822" s="74" t="s">
        <v>391</v>
      </c>
      <c r="J822" s="74"/>
      <c r="K822" s="74">
        <v>102.4</v>
      </c>
      <c r="L822" s="74">
        <v>92.16</v>
      </c>
      <c r="M822" s="74"/>
      <c r="N822" s="74" t="s">
        <v>392</v>
      </c>
      <c r="O822" s="74" t="s">
        <v>402</v>
      </c>
      <c r="P822" s="74" t="s">
        <v>16119</v>
      </c>
      <c r="Q822" s="74" t="s">
        <v>16120</v>
      </c>
    </row>
    <row r="823" spans="3:17" x14ac:dyDescent="0.25">
      <c r="C823" s="74" t="s">
        <v>18877</v>
      </c>
      <c r="D823" s="74" t="s">
        <v>18878</v>
      </c>
      <c r="E823" s="74"/>
      <c r="F823" s="74">
        <v>1.81</v>
      </c>
      <c r="G823" s="74"/>
      <c r="H823" s="74"/>
      <c r="I823" s="74" t="s">
        <v>391</v>
      </c>
      <c r="J823" s="74"/>
      <c r="K823" s="74">
        <v>102.4</v>
      </c>
      <c r="L823" s="74">
        <v>92.16</v>
      </c>
      <c r="M823" s="74"/>
      <c r="N823" s="74" t="s">
        <v>392</v>
      </c>
      <c r="O823" s="74" t="s">
        <v>402</v>
      </c>
      <c r="P823" s="74" t="s">
        <v>18879</v>
      </c>
      <c r="Q823" s="74" t="s">
        <v>18880</v>
      </c>
    </row>
    <row r="824" spans="3:17" x14ac:dyDescent="0.25">
      <c r="C824" s="74" t="s">
        <v>17929</v>
      </c>
      <c r="D824" s="74" t="s">
        <v>17930</v>
      </c>
      <c r="E824" s="74"/>
      <c r="F824" s="74">
        <v>1.8</v>
      </c>
      <c r="G824" s="74"/>
      <c r="H824" s="74"/>
      <c r="I824" s="74" t="s">
        <v>391</v>
      </c>
      <c r="J824" s="74"/>
      <c r="K824" s="74">
        <v>102.4</v>
      </c>
      <c r="L824" s="74">
        <v>92.16</v>
      </c>
      <c r="M824" s="74"/>
      <c r="N824" s="74" t="s">
        <v>392</v>
      </c>
      <c r="O824" s="74" t="s">
        <v>402</v>
      </c>
      <c r="P824" s="74" t="s">
        <v>17931</v>
      </c>
      <c r="Q824" s="74" t="s">
        <v>17932</v>
      </c>
    </row>
    <row r="825" spans="3:17" x14ac:dyDescent="0.25">
      <c r="C825" s="74" t="s">
        <v>21039</v>
      </c>
      <c r="D825" s="74" t="s">
        <v>21040</v>
      </c>
      <c r="E825" s="74"/>
      <c r="F825" s="74">
        <v>1.8</v>
      </c>
      <c r="G825" s="74"/>
      <c r="H825" s="74"/>
      <c r="I825" s="74" t="s">
        <v>391</v>
      </c>
      <c r="J825" s="74"/>
      <c r="K825" s="74">
        <v>102.4</v>
      </c>
      <c r="L825" s="74">
        <v>92.16</v>
      </c>
      <c r="M825" s="74"/>
      <c r="N825" s="74" t="s">
        <v>392</v>
      </c>
      <c r="O825" s="74" t="s">
        <v>402</v>
      </c>
      <c r="P825" s="74" t="s">
        <v>21041</v>
      </c>
      <c r="Q825" s="74" t="s">
        <v>21042</v>
      </c>
    </row>
    <row r="826" spans="3:17" x14ac:dyDescent="0.25">
      <c r="C826" s="74" t="s">
        <v>7319</v>
      </c>
      <c r="D826" s="74" t="s">
        <v>7320</v>
      </c>
      <c r="E826" s="74"/>
      <c r="F826" s="74">
        <v>1.79</v>
      </c>
      <c r="G826" s="74"/>
      <c r="H826" s="74"/>
      <c r="I826" s="74" t="s">
        <v>391</v>
      </c>
      <c r="J826" s="74"/>
      <c r="K826" s="74">
        <v>102.4</v>
      </c>
      <c r="L826" s="74">
        <v>92.16</v>
      </c>
      <c r="M826" s="74"/>
      <c r="N826" s="74" t="s">
        <v>392</v>
      </c>
      <c r="O826" s="74" t="s">
        <v>402</v>
      </c>
      <c r="P826" s="74" t="s">
        <v>7321</v>
      </c>
      <c r="Q826" s="74" t="s">
        <v>7322</v>
      </c>
    </row>
    <row r="827" spans="3:17" x14ac:dyDescent="0.25">
      <c r="C827" s="74" t="s">
        <v>11104</v>
      </c>
      <c r="D827" s="74" t="s">
        <v>11105</v>
      </c>
      <c r="E827" s="74"/>
      <c r="F827" s="74">
        <v>1.79</v>
      </c>
      <c r="G827" s="74"/>
      <c r="H827" s="74"/>
      <c r="I827" s="74" t="s">
        <v>391</v>
      </c>
      <c r="J827" s="74"/>
      <c r="K827" s="74">
        <v>102.4</v>
      </c>
      <c r="L827" s="74">
        <v>92.16</v>
      </c>
      <c r="M827" s="74"/>
      <c r="N827" s="74" t="s">
        <v>392</v>
      </c>
      <c r="O827" s="74" t="s">
        <v>402</v>
      </c>
      <c r="P827" s="74" t="s">
        <v>11106</v>
      </c>
      <c r="Q827" s="74" t="s">
        <v>11107</v>
      </c>
    </row>
    <row r="828" spans="3:17" x14ac:dyDescent="0.25">
      <c r="C828" s="74" t="s">
        <v>14593</v>
      </c>
      <c r="D828" s="74" t="s">
        <v>14594</v>
      </c>
      <c r="E828" s="74"/>
      <c r="F828" s="74">
        <v>1.79</v>
      </c>
      <c r="G828" s="74"/>
      <c r="H828" s="74"/>
      <c r="I828" s="74" t="s">
        <v>391</v>
      </c>
      <c r="J828" s="74"/>
      <c r="K828" s="74">
        <v>102.4</v>
      </c>
      <c r="L828" s="74">
        <v>92.16</v>
      </c>
      <c r="M828" s="74"/>
      <c r="N828" s="74" t="s">
        <v>392</v>
      </c>
      <c r="O828" s="74" t="s">
        <v>402</v>
      </c>
      <c r="P828" s="74" t="s">
        <v>14595</v>
      </c>
      <c r="Q828" s="74" t="s">
        <v>14596</v>
      </c>
    </row>
    <row r="829" spans="3:17" x14ac:dyDescent="0.25">
      <c r="C829" s="74" t="s">
        <v>14711</v>
      </c>
      <c r="D829" s="74" t="s">
        <v>14712</v>
      </c>
      <c r="E829" s="74"/>
      <c r="F829" s="74">
        <v>1.79</v>
      </c>
      <c r="G829" s="74"/>
      <c r="H829" s="74"/>
      <c r="I829" s="74" t="s">
        <v>391</v>
      </c>
      <c r="J829" s="74"/>
      <c r="K829" s="74">
        <v>102.4</v>
      </c>
      <c r="L829" s="74">
        <v>92.16</v>
      </c>
      <c r="M829" s="74"/>
      <c r="N829" s="74" t="s">
        <v>392</v>
      </c>
      <c r="O829" s="74" t="s">
        <v>402</v>
      </c>
      <c r="P829" s="74" t="s">
        <v>14713</v>
      </c>
      <c r="Q829" s="74" t="s">
        <v>14714</v>
      </c>
    </row>
    <row r="830" spans="3:17" x14ac:dyDescent="0.25">
      <c r="C830" s="74" t="s">
        <v>16194</v>
      </c>
      <c r="D830" s="74" t="s">
        <v>16195</v>
      </c>
      <c r="E830" s="74"/>
      <c r="F830" s="74">
        <v>1.79</v>
      </c>
      <c r="G830" s="74"/>
      <c r="H830" s="74"/>
      <c r="I830" s="74" t="s">
        <v>391</v>
      </c>
      <c r="J830" s="74"/>
      <c r="K830" s="74">
        <v>102.4</v>
      </c>
      <c r="L830" s="74">
        <v>92.16</v>
      </c>
      <c r="M830" s="74"/>
      <c r="N830" s="74" t="s">
        <v>392</v>
      </c>
      <c r="O830" s="74" t="s">
        <v>402</v>
      </c>
      <c r="P830" s="74" t="s">
        <v>16196</v>
      </c>
      <c r="Q830" s="74" t="s">
        <v>16197</v>
      </c>
    </row>
    <row r="831" spans="3:17" x14ac:dyDescent="0.25">
      <c r="C831" s="74" t="s">
        <v>16738</v>
      </c>
      <c r="D831" s="74" t="s">
        <v>16739</v>
      </c>
      <c r="E831" s="74"/>
      <c r="F831" s="74">
        <v>1.79</v>
      </c>
      <c r="G831" s="74"/>
      <c r="H831" s="74"/>
      <c r="I831" s="74" t="s">
        <v>391</v>
      </c>
      <c r="J831" s="74"/>
      <c r="K831" s="74">
        <v>102.4</v>
      </c>
      <c r="L831" s="74">
        <v>92.16</v>
      </c>
      <c r="M831" s="74"/>
      <c r="N831" s="74" t="s">
        <v>392</v>
      </c>
      <c r="O831" s="74" t="s">
        <v>402</v>
      </c>
      <c r="P831" s="74" t="s">
        <v>16740</v>
      </c>
      <c r="Q831" s="74" t="s">
        <v>16741</v>
      </c>
    </row>
    <row r="832" spans="3:17" x14ac:dyDescent="0.25">
      <c r="C832" s="158" t="s">
        <v>1312</v>
      </c>
      <c r="D832" s="158" t="s">
        <v>1313</v>
      </c>
      <c r="E832" s="158" t="s">
        <v>391</v>
      </c>
      <c r="F832" s="158">
        <v>1.78</v>
      </c>
      <c r="I832" s="158" t="s">
        <v>391</v>
      </c>
      <c r="K832" s="158">
        <v>102.4</v>
      </c>
      <c r="L832" s="158">
        <v>92.16</v>
      </c>
      <c r="N832" s="158" t="s">
        <v>392</v>
      </c>
      <c r="O832" s="158" t="s">
        <v>402</v>
      </c>
      <c r="P832" s="158" t="s">
        <v>1314</v>
      </c>
      <c r="Q832" s="158" t="s">
        <v>1315</v>
      </c>
    </row>
    <row r="833" spans="3:17" x14ac:dyDescent="0.25">
      <c r="C833" s="74" t="s">
        <v>16424</v>
      </c>
      <c r="D833" s="74" t="s">
        <v>16425</v>
      </c>
      <c r="E833" s="74" t="s">
        <v>391</v>
      </c>
      <c r="F833" s="74">
        <v>1.78</v>
      </c>
      <c r="G833" s="74"/>
      <c r="H833" s="74"/>
      <c r="I833" s="74" t="s">
        <v>391</v>
      </c>
      <c r="J833" s="74"/>
      <c r="K833" s="74">
        <v>102.4</v>
      </c>
      <c r="L833" s="74">
        <v>92.16</v>
      </c>
      <c r="M833" s="74"/>
      <c r="N833" s="74" t="s">
        <v>392</v>
      </c>
      <c r="O833" s="74" t="s">
        <v>393</v>
      </c>
      <c r="P833" s="74"/>
      <c r="Q833" s="74" t="s">
        <v>16426</v>
      </c>
    </row>
    <row r="834" spans="3:17" x14ac:dyDescent="0.25">
      <c r="C834" s="74" t="s">
        <v>19726</v>
      </c>
      <c r="D834" s="74" t="s">
        <v>19727</v>
      </c>
      <c r="E834" s="74"/>
      <c r="F834" s="74">
        <v>1.78</v>
      </c>
      <c r="G834" s="74"/>
      <c r="H834" s="74"/>
      <c r="I834" s="74" t="s">
        <v>391</v>
      </c>
      <c r="J834" s="74"/>
      <c r="K834" s="74">
        <v>102.4</v>
      </c>
      <c r="L834" s="74">
        <v>92.16</v>
      </c>
      <c r="M834" s="74"/>
      <c r="N834" s="74" t="s">
        <v>392</v>
      </c>
      <c r="O834" s="74" t="s">
        <v>402</v>
      </c>
      <c r="P834" s="74" t="s">
        <v>19728</v>
      </c>
      <c r="Q834" s="74" t="s">
        <v>19729</v>
      </c>
    </row>
    <row r="835" spans="3:17" x14ac:dyDescent="0.25">
      <c r="C835" s="74" t="s">
        <v>3839</v>
      </c>
      <c r="D835" s="74" t="s">
        <v>3840</v>
      </c>
      <c r="E835" s="74"/>
      <c r="F835" s="74">
        <v>1.77</v>
      </c>
      <c r="G835" s="74"/>
      <c r="H835" s="74"/>
      <c r="I835" s="74" t="s">
        <v>391</v>
      </c>
      <c r="J835" s="74"/>
      <c r="K835" s="74">
        <v>102.4</v>
      </c>
      <c r="L835" s="74">
        <v>92.16</v>
      </c>
      <c r="M835" s="74"/>
      <c r="N835" s="74" t="s">
        <v>392</v>
      </c>
      <c r="O835" s="74" t="s">
        <v>402</v>
      </c>
      <c r="P835" s="74" t="s">
        <v>3841</v>
      </c>
      <c r="Q835" s="74" t="s">
        <v>3842</v>
      </c>
    </row>
    <row r="836" spans="3:17" x14ac:dyDescent="0.25">
      <c r="C836" s="74" t="s">
        <v>12388</v>
      </c>
      <c r="D836" s="74" t="s">
        <v>12389</v>
      </c>
      <c r="E836" s="74"/>
      <c r="F836" s="74">
        <v>1.77</v>
      </c>
      <c r="G836" s="74"/>
      <c r="H836" s="74"/>
      <c r="I836" s="74" t="s">
        <v>391</v>
      </c>
      <c r="J836" s="74"/>
      <c r="K836" s="74">
        <v>102.4</v>
      </c>
      <c r="L836" s="74">
        <v>92.16</v>
      </c>
      <c r="M836" s="74"/>
      <c r="N836" s="74" t="s">
        <v>392</v>
      </c>
      <c r="O836" s="74" t="s">
        <v>402</v>
      </c>
      <c r="P836" s="74" t="s">
        <v>12390</v>
      </c>
      <c r="Q836" s="74" t="s">
        <v>12391</v>
      </c>
    </row>
    <row r="837" spans="3:17" x14ac:dyDescent="0.25">
      <c r="C837" s="74" t="s">
        <v>5242</v>
      </c>
      <c r="D837" s="74" t="s">
        <v>5243</v>
      </c>
      <c r="E837" s="74"/>
      <c r="F837" s="74">
        <v>1.75</v>
      </c>
      <c r="G837" s="74"/>
      <c r="H837" s="74"/>
      <c r="I837" s="74" t="s">
        <v>391</v>
      </c>
      <c r="J837" s="74"/>
      <c r="K837" s="74">
        <v>102.4</v>
      </c>
      <c r="L837" s="74">
        <v>92.16</v>
      </c>
      <c r="M837" s="74"/>
      <c r="N837" s="74" t="s">
        <v>392</v>
      </c>
      <c r="O837" s="74" t="s">
        <v>402</v>
      </c>
      <c r="P837" s="74" t="s">
        <v>5244</v>
      </c>
      <c r="Q837" s="74" t="s">
        <v>5245</v>
      </c>
    </row>
    <row r="838" spans="3:17" x14ac:dyDescent="0.25">
      <c r="C838" s="74" t="s">
        <v>13412</v>
      </c>
      <c r="D838" s="74" t="s">
        <v>13413</v>
      </c>
      <c r="E838" s="74"/>
      <c r="F838" s="74">
        <v>1.75</v>
      </c>
      <c r="G838" s="74"/>
      <c r="H838" s="74"/>
      <c r="I838" s="74" t="s">
        <v>391</v>
      </c>
      <c r="J838" s="74"/>
      <c r="K838" s="74">
        <v>102.4</v>
      </c>
      <c r="L838" s="74">
        <v>92.16</v>
      </c>
      <c r="M838" s="74"/>
      <c r="N838" s="74" t="s">
        <v>392</v>
      </c>
      <c r="O838" s="74" t="s">
        <v>402</v>
      </c>
      <c r="P838" s="74" t="s">
        <v>13414</v>
      </c>
      <c r="Q838" s="74" t="s">
        <v>13415</v>
      </c>
    </row>
    <row r="839" spans="3:17" x14ac:dyDescent="0.25">
      <c r="C839" s="74" t="s">
        <v>2813</v>
      </c>
      <c r="D839" s="74" t="s">
        <v>2814</v>
      </c>
      <c r="E839" s="74" t="s">
        <v>391</v>
      </c>
      <c r="F839" s="74">
        <v>1.74</v>
      </c>
      <c r="G839" s="74"/>
      <c r="H839" s="74"/>
      <c r="I839" s="74" t="s">
        <v>391</v>
      </c>
      <c r="J839" s="74"/>
      <c r="K839" s="74">
        <v>102.4</v>
      </c>
      <c r="L839" s="74">
        <v>92.16</v>
      </c>
      <c r="M839" s="74"/>
      <c r="N839" s="74" t="s">
        <v>392</v>
      </c>
      <c r="O839" s="74" t="s">
        <v>393</v>
      </c>
      <c r="P839" s="74" t="s">
        <v>2815</v>
      </c>
      <c r="Q839" s="74" t="s">
        <v>2816</v>
      </c>
    </row>
    <row r="840" spans="3:17" x14ac:dyDescent="0.25">
      <c r="C840" s="74" t="s">
        <v>3311</v>
      </c>
      <c r="D840" s="74" t="s">
        <v>3312</v>
      </c>
      <c r="E840" s="74"/>
      <c r="F840" s="74">
        <v>1.74</v>
      </c>
      <c r="G840" s="74"/>
      <c r="H840" s="74"/>
      <c r="I840" s="74" t="s">
        <v>391</v>
      </c>
      <c r="J840" s="74"/>
      <c r="K840" s="74">
        <v>102.4</v>
      </c>
      <c r="L840" s="74">
        <v>92.16</v>
      </c>
      <c r="M840" s="74"/>
      <c r="N840" s="74" t="s">
        <v>392</v>
      </c>
      <c r="O840" s="74" t="s">
        <v>402</v>
      </c>
      <c r="P840" s="74" t="s">
        <v>3313</v>
      </c>
      <c r="Q840" s="74" t="s">
        <v>3314</v>
      </c>
    </row>
    <row r="841" spans="3:17" x14ac:dyDescent="0.25">
      <c r="C841" s="74" t="s">
        <v>10089</v>
      </c>
      <c r="D841" s="74" t="s">
        <v>10090</v>
      </c>
      <c r="E841" s="74"/>
      <c r="F841" s="74">
        <v>1.74</v>
      </c>
      <c r="G841" s="74"/>
      <c r="H841" s="74"/>
      <c r="I841" s="74" t="s">
        <v>391</v>
      </c>
      <c r="J841" s="74"/>
      <c r="K841" s="74">
        <v>102.4</v>
      </c>
      <c r="L841" s="74">
        <v>92.16</v>
      </c>
      <c r="M841" s="74"/>
      <c r="N841" s="74" t="s">
        <v>392</v>
      </c>
      <c r="O841" s="74" t="s">
        <v>402</v>
      </c>
      <c r="P841" s="74" t="s">
        <v>10091</v>
      </c>
      <c r="Q841" s="74" t="s">
        <v>10092</v>
      </c>
    </row>
    <row r="842" spans="3:17" x14ac:dyDescent="0.25">
      <c r="C842" s="74" t="s">
        <v>16356</v>
      </c>
      <c r="D842" s="74" t="s">
        <v>16357</v>
      </c>
      <c r="E842" s="74" t="s">
        <v>391</v>
      </c>
      <c r="F842" s="74">
        <v>1.74</v>
      </c>
      <c r="G842" s="74"/>
      <c r="H842" s="74"/>
      <c r="I842" s="74" t="s">
        <v>391</v>
      </c>
      <c r="J842" s="74"/>
      <c r="K842" s="74">
        <v>102.4</v>
      </c>
      <c r="L842" s="74">
        <v>92.16</v>
      </c>
      <c r="M842" s="74"/>
      <c r="N842" s="74" t="s">
        <v>392</v>
      </c>
      <c r="O842" s="74" t="s">
        <v>393</v>
      </c>
      <c r="P842" s="74" t="s">
        <v>16358</v>
      </c>
      <c r="Q842" s="74" t="s">
        <v>16359</v>
      </c>
    </row>
    <row r="843" spans="3:17" x14ac:dyDescent="0.25">
      <c r="C843" s="74" t="s">
        <v>19125</v>
      </c>
      <c r="D843" s="74" t="s">
        <v>19126</v>
      </c>
      <c r="E843" s="74"/>
      <c r="F843" s="74">
        <v>1.74</v>
      </c>
      <c r="G843" s="74"/>
      <c r="H843" s="74"/>
      <c r="I843" s="74" t="s">
        <v>391</v>
      </c>
      <c r="J843" s="74"/>
      <c r="K843" s="74">
        <v>102.4</v>
      </c>
      <c r="L843" s="74">
        <v>92.16</v>
      </c>
      <c r="M843" s="74"/>
      <c r="N843" s="74" t="s">
        <v>392</v>
      </c>
      <c r="O843" s="74" t="s">
        <v>402</v>
      </c>
      <c r="P843" s="74" t="s">
        <v>19127</v>
      </c>
      <c r="Q843" s="74" t="s">
        <v>19128</v>
      </c>
    </row>
    <row r="844" spans="3:17" x14ac:dyDescent="0.25">
      <c r="C844" s="74" t="s">
        <v>1308</v>
      </c>
      <c r="D844" s="74" t="s">
        <v>1309</v>
      </c>
      <c r="E844" s="74"/>
      <c r="F844" s="74">
        <v>1.73</v>
      </c>
      <c r="G844" s="74"/>
      <c r="H844" s="74"/>
      <c r="I844" s="74" t="s">
        <v>391</v>
      </c>
      <c r="J844" s="74"/>
      <c r="K844" s="74">
        <v>102.4</v>
      </c>
      <c r="L844" s="74">
        <v>92.16</v>
      </c>
      <c r="M844" s="74"/>
      <c r="N844" s="74" t="s">
        <v>392</v>
      </c>
      <c r="O844" s="74" t="s">
        <v>402</v>
      </c>
      <c r="P844" s="74" t="s">
        <v>1310</v>
      </c>
      <c r="Q844" s="74" t="s">
        <v>1311</v>
      </c>
    </row>
    <row r="845" spans="3:17" x14ac:dyDescent="0.25">
      <c r="C845" s="74" t="s">
        <v>10681</v>
      </c>
      <c r="D845" s="74" t="s">
        <v>10682</v>
      </c>
      <c r="E845" s="74"/>
      <c r="F845" s="74">
        <v>1.73</v>
      </c>
      <c r="G845" s="74"/>
      <c r="H845" s="74"/>
      <c r="I845" s="74" t="s">
        <v>391</v>
      </c>
      <c r="J845" s="74"/>
      <c r="K845" s="74">
        <v>102.4</v>
      </c>
      <c r="L845" s="74">
        <v>92.16</v>
      </c>
      <c r="M845" s="74"/>
      <c r="N845" s="74" t="s">
        <v>392</v>
      </c>
      <c r="O845" s="74" t="s">
        <v>402</v>
      </c>
      <c r="P845" s="74" t="s">
        <v>10683</v>
      </c>
      <c r="Q845" s="74" t="s">
        <v>10684</v>
      </c>
    </row>
    <row r="846" spans="3:17" x14ac:dyDescent="0.25">
      <c r="C846" s="74" t="s">
        <v>20970</v>
      </c>
      <c r="D846" s="74" t="s">
        <v>20971</v>
      </c>
      <c r="E846" s="74"/>
      <c r="F846" s="74">
        <v>1.73</v>
      </c>
      <c r="G846" s="74"/>
      <c r="H846" s="74"/>
      <c r="I846" s="74" t="s">
        <v>391</v>
      </c>
      <c r="J846" s="74"/>
      <c r="K846" s="74">
        <v>102.4</v>
      </c>
      <c r="L846" s="74">
        <v>92.16</v>
      </c>
      <c r="M846" s="74"/>
      <c r="N846" s="74" t="s">
        <v>392</v>
      </c>
      <c r="O846" s="74" t="s">
        <v>402</v>
      </c>
      <c r="P846" s="74" t="s">
        <v>20972</v>
      </c>
      <c r="Q846" s="74" t="s">
        <v>20973</v>
      </c>
    </row>
    <row r="847" spans="3:17" x14ac:dyDescent="0.25">
      <c r="C847" s="74" t="s">
        <v>5266</v>
      </c>
      <c r="D847" s="74" t="s">
        <v>5267</v>
      </c>
      <c r="E847" s="74"/>
      <c r="F847" s="74">
        <v>1.72</v>
      </c>
      <c r="G847" s="74"/>
      <c r="H847" s="74"/>
      <c r="I847" s="74" t="s">
        <v>391</v>
      </c>
      <c r="J847" s="74"/>
      <c r="K847" s="74">
        <v>102.4</v>
      </c>
      <c r="L847" s="74">
        <v>92.16</v>
      </c>
      <c r="M847" s="74"/>
      <c r="N847" s="74" t="s">
        <v>392</v>
      </c>
      <c r="O847" s="74" t="s">
        <v>402</v>
      </c>
      <c r="P847" s="74" t="s">
        <v>5268</v>
      </c>
      <c r="Q847" s="74" t="s">
        <v>5269</v>
      </c>
    </row>
    <row r="848" spans="3:17" x14ac:dyDescent="0.25">
      <c r="C848" s="74" t="s">
        <v>10062</v>
      </c>
      <c r="D848" s="74" t="s">
        <v>10063</v>
      </c>
      <c r="E848" s="74"/>
      <c r="F848" s="74">
        <v>1.72</v>
      </c>
      <c r="G848" s="74"/>
      <c r="H848" s="74"/>
      <c r="I848" s="74" t="s">
        <v>391</v>
      </c>
      <c r="J848" s="74"/>
      <c r="K848" s="74">
        <v>102.4</v>
      </c>
      <c r="L848" s="74">
        <v>92.16</v>
      </c>
      <c r="M848" s="74"/>
      <c r="N848" s="74" t="s">
        <v>392</v>
      </c>
      <c r="O848" s="74" t="s">
        <v>402</v>
      </c>
      <c r="P848" s="74" t="s">
        <v>10064</v>
      </c>
      <c r="Q848" s="74" t="s">
        <v>10065</v>
      </c>
    </row>
    <row r="849" spans="3:17" x14ac:dyDescent="0.25">
      <c r="C849" s="74" t="s">
        <v>18040</v>
      </c>
      <c r="D849" s="74" t="s">
        <v>18041</v>
      </c>
      <c r="E849" s="74"/>
      <c r="F849" s="74">
        <v>1.72</v>
      </c>
      <c r="G849" s="74"/>
      <c r="H849" s="74"/>
      <c r="I849" s="74" t="s">
        <v>391</v>
      </c>
      <c r="J849" s="74"/>
      <c r="K849" s="74">
        <v>102.4</v>
      </c>
      <c r="L849" s="74">
        <v>92.16</v>
      </c>
      <c r="M849" s="74"/>
      <c r="N849" s="74" t="s">
        <v>392</v>
      </c>
      <c r="O849" s="74" t="s">
        <v>402</v>
      </c>
      <c r="P849" s="74" t="s">
        <v>18042</v>
      </c>
      <c r="Q849" s="74" t="s">
        <v>18043</v>
      </c>
    </row>
    <row r="850" spans="3:17" x14ac:dyDescent="0.25">
      <c r="C850" s="74" t="s">
        <v>2181</v>
      </c>
      <c r="D850" s="74" t="s">
        <v>2182</v>
      </c>
      <c r="E850" s="74"/>
      <c r="F850" s="74">
        <v>1.71</v>
      </c>
      <c r="G850" s="74"/>
      <c r="H850" s="74"/>
      <c r="I850" s="74" t="s">
        <v>391</v>
      </c>
      <c r="J850" s="74"/>
      <c r="K850" s="74">
        <v>102.4</v>
      </c>
      <c r="L850" s="74">
        <v>92.16</v>
      </c>
      <c r="M850" s="74"/>
      <c r="N850" s="74" t="s">
        <v>392</v>
      </c>
      <c r="O850" s="74" t="s">
        <v>402</v>
      </c>
      <c r="P850" s="74" t="s">
        <v>2183</v>
      </c>
      <c r="Q850" s="74" t="s">
        <v>2184</v>
      </c>
    </row>
    <row r="851" spans="3:17" x14ac:dyDescent="0.25">
      <c r="C851" s="74" t="s">
        <v>3857</v>
      </c>
      <c r="D851" s="74" t="s">
        <v>3858</v>
      </c>
      <c r="E851" s="74"/>
      <c r="F851" s="74">
        <v>1.71</v>
      </c>
      <c r="G851" s="74"/>
      <c r="H851" s="74"/>
      <c r="I851" s="74" t="s">
        <v>391</v>
      </c>
      <c r="J851" s="74"/>
      <c r="K851" s="74">
        <v>102.4</v>
      </c>
      <c r="L851" s="74">
        <v>92.16</v>
      </c>
      <c r="M851" s="74"/>
      <c r="N851" s="74" t="s">
        <v>392</v>
      </c>
      <c r="O851" s="74" t="s">
        <v>402</v>
      </c>
      <c r="P851" s="74" t="s">
        <v>3859</v>
      </c>
      <c r="Q851" s="74" t="s">
        <v>3860</v>
      </c>
    </row>
    <row r="852" spans="3:17" x14ac:dyDescent="0.25">
      <c r="C852" s="74" t="s">
        <v>5123</v>
      </c>
      <c r="D852" s="74" t="s">
        <v>5124</v>
      </c>
      <c r="E852" s="74"/>
      <c r="F852" s="74">
        <v>1.71</v>
      </c>
      <c r="G852" s="74"/>
      <c r="H852" s="74"/>
      <c r="I852" s="74" t="s">
        <v>391</v>
      </c>
      <c r="J852" s="74"/>
      <c r="K852" s="74">
        <v>102.4</v>
      </c>
      <c r="L852" s="74">
        <v>92.16</v>
      </c>
      <c r="M852" s="74"/>
      <c r="N852" s="74" t="s">
        <v>392</v>
      </c>
      <c r="O852" s="74" t="s">
        <v>402</v>
      </c>
      <c r="P852" s="74" t="s">
        <v>5125</v>
      </c>
      <c r="Q852" s="74" t="s">
        <v>5126</v>
      </c>
    </row>
    <row r="853" spans="3:17" x14ac:dyDescent="0.25">
      <c r="C853" s="74" t="s">
        <v>9818</v>
      </c>
      <c r="D853" s="74" t="s">
        <v>9819</v>
      </c>
      <c r="E853" s="74"/>
      <c r="F853" s="74">
        <v>1.7</v>
      </c>
      <c r="G853" s="74"/>
      <c r="H853" s="74"/>
      <c r="I853" s="74" t="s">
        <v>391</v>
      </c>
      <c r="J853" s="74"/>
      <c r="K853" s="74">
        <v>102.4</v>
      </c>
      <c r="L853" s="74">
        <v>92.16</v>
      </c>
      <c r="M853" s="74"/>
      <c r="N853" s="74" t="s">
        <v>392</v>
      </c>
      <c r="O853" s="74" t="s">
        <v>402</v>
      </c>
      <c r="P853" s="74" t="s">
        <v>9820</v>
      </c>
      <c r="Q853" s="74" t="s">
        <v>9821</v>
      </c>
    </row>
    <row r="854" spans="3:17" x14ac:dyDescent="0.25">
      <c r="C854" s="74" t="s">
        <v>1474</v>
      </c>
      <c r="D854" s="74" t="s">
        <v>1475</v>
      </c>
      <c r="E854" s="74"/>
      <c r="F854" s="74">
        <v>1.69</v>
      </c>
      <c r="G854" s="74"/>
      <c r="H854" s="74"/>
      <c r="I854" s="74" t="s">
        <v>391</v>
      </c>
      <c r="J854" s="74"/>
      <c r="K854" s="74">
        <v>102.4</v>
      </c>
      <c r="L854" s="74">
        <v>92.16</v>
      </c>
      <c r="M854" s="74"/>
      <c r="N854" s="74" t="s">
        <v>392</v>
      </c>
      <c r="O854" s="74" t="s">
        <v>402</v>
      </c>
      <c r="P854" s="74" t="s">
        <v>1476</v>
      </c>
      <c r="Q854" s="74" t="s">
        <v>1477</v>
      </c>
    </row>
    <row r="855" spans="3:17" x14ac:dyDescent="0.25">
      <c r="C855" s="74" t="s">
        <v>3928</v>
      </c>
      <c r="D855" s="74" t="s">
        <v>3929</v>
      </c>
      <c r="E855" s="74"/>
      <c r="F855" s="74">
        <v>1.69</v>
      </c>
      <c r="G855" s="74"/>
      <c r="H855" s="74"/>
      <c r="I855" s="74" t="s">
        <v>391</v>
      </c>
      <c r="J855" s="74"/>
      <c r="K855" s="74">
        <v>102.4</v>
      </c>
      <c r="L855" s="74">
        <v>92.16</v>
      </c>
      <c r="M855" s="74"/>
      <c r="N855" s="74" t="s">
        <v>392</v>
      </c>
      <c r="O855" s="74" t="s">
        <v>402</v>
      </c>
      <c r="P855" s="74" t="s">
        <v>3930</v>
      </c>
      <c r="Q855" s="74" t="s">
        <v>3931</v>
      </c>
    </row>
    <row r="856" spans="3:17" x14ac:dyDescent="0.25">
      <c r="C856" s="74" t="s">
        <v>8464</v>
      </c>
      <c r="D856" s="74" t="s">
        <v>8465</v>
      </c>
      <c r="E856" s="74"/>
      <c r="F856" s="74">
        <v>1.69</v>
      </c>
      <c r="G856" s="74"/>
      <c r="H856" s="74"/>
      <c r="I856" s="74" t="s">
        <v>391</v>
      </c>
      <c r="J856" s="74"/>
      <c r="K856" s="74">
        <v>102.4</v>
      </c>
      <c r="L856" s="74">
        <v>92.16</v>
      </c>
      <c r="M856" s="74"/>
      <c r="N856" s="74" t="s">
        <v>392</v>
      </c>
      <c r="O856" s="74" t="s">
        <v>402</v>
      </c>
      <c r="P856" s="74" t="s">
        <v>8466</v>
      </c>
      <c r="Q856" s="74" t="s">
        <v>8467</v>
      </c>
    </row>
    <row r="857" spans="3:17" x14ac:dyDescent="0.25">
      <c r="C857" s="74" t="s">
        <v>9500</v>
      </c>
      <c r="D857" s="74" t="s">
        <v>9501</v>
      </c>
      <c r="E857" s="74"/>
      <c r="F857" s="74">
        <v>1.69</v>
      </c>
      <c r="G857" s="74"/>
      <c r="H857" s="74"/>
      <c r="I857" s="74" t="s">
        <v>391</v>
      </c>
      <c r="J857" s="74"/>
      <c r="K857" s="74">
        <v>102.4</v>
      </c>
      <c r="L857" s="74">
        <v>92.16</v>
      </c>
      <c r="M857" s="74"/>
      <c r="N857" s="74" t="s">
        <v>392</v>
      </c>
      <c r="O857" s="74" t="s">
        <v>402</v>
      </c>
      <c r="P857" s="74" t="s">
        <v>9502</v>
      </c>
      <c r="Q857" s="74" t="s">
        <v>9503</v>
      </c>
    </row>
    <row r="858" spans="3:17" x14ac:dyDescent="0.25">
      <c r="C858" s="74" t="s">
        <v>9732</v>
      </c>
      <c r="D858" s="74" t="s">
        <v>9733</v>
      </c>
      <c r="E858" s="74"/>
      <c r="F858" s="74">
        <v>1.69</v>
      </c>
      <c r="G858" s="74"/>
      <c r="H858" s="74"/>
      <c r="I858" s="74" t="s">
        <v>391</v>
      </c>
      <c r="J858" s="74"/>
      <c r="K858" s="74">
        <v>102.4</v>
      </c>
      <c r="L858" s="74">
        <v>92.16</v>
      </c>
      <c r="M858" s="74"/>
      <c r="N858" s="74" t="s">
        <v>392</v>
      </c>
      <c r="O858" s="74" t="s">
        <v>402</v>
      </c>
      <c r="P858" s="74" t="s">
        <v>9734</v>
      </c>
      <c r="Q858" s="74" t="s">
        <v>9735</v>
      </c>
    </row>
    <row r="859" spans="3:17" x14ac:dyDescent="0.25">
      <c r="C859" s="74" t="s">
        <v>13885</v>
      </c>
      <c r="D859" s="74" t="s">
        <v>13886</v>
      </c>
      <c r="E859" s="74"/>
      <c r="F859" s="74">
        <v>1.69</v>
      </c>
      <c r="G859" s="74"/>
      <c r="H859" s="74"/>
      <c r="I859" s="74" t="s">
        <v>391</v>
      </c>
      <c r="J859" s="74"/>
      <c r="K859" s="74">
        <v>102.4</v>
      </c>
      <c r="L859" s="74">
        <v>92.16</v>
      </c>
      <c r="M859" s="74"/>
      <c r="N859" s="74" t="s">
        <v>392</v>
      </c>
      <c r="O859" s="74" t="s">
        <v>402</v>
      </c>
      <c r="P859" s="74" t="s">
        <v>13887</v>
      </c>
      <c r="Q859" s="74" t="s">
        <v>13888</v>
      </c>
    </row>
    <row r="860" spans="3:17" x14ac:dyDescent="0.25">
      <c r="C860" s="74" t="s">
        <v>17832</v>
      </c>
      <c r="D860" s="74" t="s">
        <v>17833</v>
      </c>
      <c r="E860" s="74"/>
      <c r="F860" s="74">
        <v>1.69</v>
      </c>
      <c r="G860" s="74"/>
      <c r="H860" s="74"/>
      <c r="I860" s="74" t="s">
        <v>391</v>
      </c>
      <c r="J860" s="74"/>
      <c r="K860" s="74">
        <v>102.4</v>
      </c>
      <c r="L860" s="74">
        <v>92.16</v>
      </c>
      <c r="M860" s="74"/>
      <c r="N860" s="74" t="s">
        <v>392</v>
      </c>
      <c r="O860" s="74" t="s">
        <v>402</v>
      </c>
      <c r="P860" s="74" t="s">
        <v>17834</v>
      </c>
      <c r="Q860" s="74" t="s">
        <v>17835</v>
      </c>
    </row>
    <row r="861" spans="3:17" x14ac:dyDescent="0.25">
      <c r="C861" s="74" t="s">
        <v>1626</v>
      </c>
      <c r="D861" s="74" t="s">
        <v>1627</v>
      </c>
      <c r="E861" s="74"/>
      <c r="F861" s="74">
        <v>1.67</v>
      </c>
      <c r="G861" s="74"/>
      <c r="H861" s="74"/>
      <c r="I861" s="74" t="s">
        <v>391</v>
      </c>
      <c r="J861" s="74"/>
      <c r="K861" s="74">
        <v>102.4</v>
      </c>
      <c r="L861" s="74">
        <v>92.16</v>
      </c>
      <c r="M861" s="74"/>
      <c r="N861" s="74" t="s">
        <v>392</v>
      </c>
      <c r="O861" s="74" t="s">
        <v>402</v>
      </c>
      <c r="P861" s="74" t="s">
        <v>1628</v>
      </c>
      <c r="Q861" s="74" t="s">
        <v>1629</v>
      </c>
    </row>
    <row r="862" spans="3:17" x14ac:dyDescent="0.25">
      <c r="C862" s="74" t="s">
        <v>2694</v>
      </c>
      <c r="D862" s="74" t="s">
        <v>2695</v>
      </c>
      <c r="E862" s="74"/>
      <c r="F862" s="74">
        <v>1.67</v>
      </c>
      <c r="G862" s="74"/>
      <c r="H862" s="74"/>
      <c r="I862" s="74" t="s">
        <v>391</v>
      </c>
      <c r="J862" s="74"/>
      <c r="K862" s="74">
        <v>102.4</v>
      </c>
      <c r="L862" s="74">
        <v>92.16</v>
      </c>
      <c r="M862" s="74"/>
      <c r="N862" s="74" t="s">
        <v>392</v>
      </c>
      <c r="O862" s="74" t="s">
        <v>402</v>
      </c>
      <c r="P862" s="74" t="s">
        <v>2696</v>
      </c>
      <c r="Q862" s="74" t="s">
        <v>2697</v>
      </c>
    </row>
    <row r="863" spans="3:17" x14ac:dyDescent="0.25">
      <c r="C863" s="74" t="s">
        <v>9747</v>
      </c>
      <c r="D863" s="74" t="s">
        <v>9748</v>
      </c>
      <c r="E863" s="74"/>
      <c r="F863" s="74">
        <v>1.67</v>
      </c>
      <c r="G863" s="74"/>
      <c r="H863" s="74"/>
      <c r="I863" s="74" t="s">
        <v>391</v>
      </c>
      <c r="J863" s="74"/>
      <c r="K863" s="74">
        <v>102.4</v>
      </c>
      <c r="L863" s="74">
        <v>92.16</v>
      </c>
      <c r="M863" s="74"/>
      <c r="N863" s="74" t="s">
        <v>392</v>
      </c>
      <c r="O863" s="74" t="s">
        <v>402</v>
      </c>
      <c r="P863" s="74" t="s">
        <v>9749</v>
      </c>
      <c r="Q863" s="74" t="s">
        <v>9750</v>
      </c>
    </row>
    <row r="864" spans="3:17" x14ac:dyDescent="0.25">
      <c r="C864" s="74" t="s">
        <v>1825</v>
      </c>
      <c r="D864" s="74" t="s">
        <v>1826</v>
      </c>
      <c r="E864" s="74"/>
      <c r="F864" s="74">
        <v>1.66</v>
      </c>
      <c r="G864" s="74"/>
      <c r="H864" s="74"/>
      <c r="I864" s="74" t="s">
        <v>391</v>
      </c>
      <c r="J864" s="74"/>
      <c r="K864" s="74">
        <v>102.4</v>
      </c>
      <c r="L864" s="74">
        <v>92.16</v>
      </c>
      <c r="M864" s="74"/>
      <c r="N864" s="74" t="s">
        <v>392</v>
      </c>
      <c r="O864" s="74" t="s">
        <v>402</v>
      </c>
      <c r="P864" s="74" t="s">
        <v>1827</v>
      </c>
      <c r="Q864" s="74" t="s">
        <v>1828</v>
      </c>
    </row>
    <row r="865" spans="3:17" x14ac:dyDescent="0.25">
      <c r="C865" s="74" t="s">
        <v>6235</v>
      </c>
      <c r="D865" s="74" t="s">
        <v>6236</v>
      </c>
      <c r="E865" s="74"/>
      <c r="F865" s="74">
        <v>1.66</v>
      </c>
      <c r="G865" s="74"/>
      <c r="H865" s="74"/>
      <c r="I865" s="74" t="s">
        <v>391</v>
      </c>
      <c r="J865" s="74"/>
      <c r="K865" s="74">
        <v>102.4</v>
      </c>
      <c r="L865" s="74">
        <v>92.16</v>
      </c>
      <c r="M865" s="74"/>
      <c r="N865" s="74" t="s">
        <v>392</v>
      </c>
      <c r="O865" s="74" t="s">
        <v>402</v>
      </c>
      <c r="P865" s="74" t="s">
        <v>6237</v>
      </c>
      <c r="Q865" s="74" t="s">
        <v>6238</v>
      </c>
    </row>
    <row r="866" spans="3:17" x14ac:dyDescent="0.25">
      <c r="C866" s="74" t="s">
        <v>8035</v>
      </c>
      <c r="D866" s="74" t="s">
        <v>8036</v>
      </c>
      <c r="E866" s="74"/>
      <c r="F866" s="74">
        <v>1.66</v>
      </c>
      <c r="G866" s="74"/>
      <c r="H866" s="74"/>
      <c r="I866" s="74" t="s">
        <v>391</v>
      </c>
      <c r="J866" s="74"/>
      <c r="K866" s="74">
        <v>102.4</v>
      </c>
      <c r="L866" s="74">
        <v>92.16</v>
      </c>
      <c r="M866" s="74"/>
      <c r="N866" s="74" t="s">
        <v>392</v>
      </c>
      <c r="O866" s="74" t="s">
        <v>402</v>
      </c>
      <c r="P866" s="74" t="s">
        <v>8037</v>
      </c>
      <c r="Q866" s="74" t="s">
        <v>8038</v>
      </c>
    </row>
    <row r="867" spans="3:17" x14ac:dyDescent="0.25">
      <c r="C867" s="74" t="s">
        <v>16177</v>
      </c>
      <c r="D867" s="74" t="s">
        <v>16178</v>
      </c>
      <c r="E867" s="74"/>
      <c r="F867" s="74">
        <v>1.66</v>
      </c>
      <c r="G867" s="74"/>
      <c r="H867" s="74"/>
      <c r="I867" s="74" t="s">
        <v>391</v>
      </c>
      <c r="J867" s="74"/>
      <c r="K867" s="74">
        <v>102.4</v>
      </c>
      <c r="L867" s="74">
        <v>92.16</v>
      </c>
      <c r="M867" s="74"/>
      <c r="N867" s="74" t="s">
        <v>392</v>
      </c>
      <c r="O867" s="74" t="s">
        <v>402</v>
      </c>
      <c r="P867" s="74" t="s">
        <v>16179</v>
      </c>
      <c r="Q867" s="74" t="s">
        <v>16180</v>
      </c>
    </row>
    <row r="868" spans="3:17" x14ac:dyDescent="0.25">
      <c r="C868" s="74" t="s">
        <v>4628</v>
      </c>
      <c r="D868" s="74" t="s">
        <v>4629</v>
      </c>
      <c r="E868" s="74"/>
      <c r="F868" s="74">
        <v>1.65</v>
      </c>
      <c r="G868" s="74"/>
      <c r="H868" s="74"/>
      <c r="I868" s="74" t="s">
        <v>391</v>
      </c>
      <c r="J868" s="74"/>
      <c r="K868" s="74">
        <v>102.4</v>
      </c>
      <c r="L868" s="74">
        <v>92.16</v>
      </c>
      <c r="M868" s="74"/>
      <c r="N868" s="74" t="s">
        <v>392</v>
      </c>
      <c r="O868" s="74" t="s">
        <v>402</v>
      </c>
      <c r="P868" s="74" t="s">
        <v>4630</v>
      </c>
      <c r="Q868" s="74" t="s">
        <v>4631</v>
      </c>
    </row>
    <row r="869" spans="3:17" x14ac:dyDescent="0.25">
      <c r="C869" s="74" t="s">
        <v>4821</v>
      </c>
      <c r="D869" s="74" t="s">
        <v>4822</v>
      </c>
      <c r="E869" s="74"/>
      <c r="F869" s="74">
        <v>1.65</v>
      </c>
      <c r="G869" s="74"/>
      <c r="H869" s="74"/>
      <c r="I869" s="74" t="s">
        <v>391</v>
      </c>
      <c r="J869" s="74"/>
      <c r="K869" s="74">
        <v>102.4</v>
      </c>
      <c r="L869" s="74">
        <v>92.16</v>
      </c>
      <c r="M869" s="74"/>
      <c r="N869" s="74" t="s">
        <v>392</v>
      </c>
      <c r="O869" s="74" t="s">
        <v>402</v>
      </c>
      <c r="P869" s="74" t="s">
        <v>4823</v>
      </c>
      <c r="Q869" s="74" t="s">
        <v>4824</v>
      </c>
    </row>
    <row r="870" spans="3:17" x14ac:dyDescent="0.25">
      <c r="C870" s="74" t="s">
        <v>5850</v>
      </c>
      <c r="D870" s="74" t="s">
        <v>5851</v>
      </c>
      <c r="E870" s="74"/>
      <c r="F870" s="74">
        <v>1.65</v>
      </c>
      <c r="G870" s="74"/>
      <c r="H870" s="74"/>
      <c r="I870" s="74" t="s">
        <v>391</v>
      </c>
      <c r="J870" s="74"/>
      <c r="K870" s="74">
        <v>102.4</v>
      </c>
      <c r="L870" s="74">
        <v>92.16</v>
      </c>
      <c r="M870" s="74"/>
      <c r="N870" s="74" t="s">
        <v>392</v>
      </c>
      <c r="O870" s="74" t="s">
        <v>402</v>
      </c>
      <c r="P870" s="74" t="s">
        <v>5852</v>
      </c>
      <c r="Q870" s="74" t="s">
        <v>5853</v>
      </c>
    </row>
    <row r="871" spans="3:17" x14ac:dyDescent="0.25">
      <c r="C871" s="74" t="s">
        <v>19730</v>
      </c>
      <c r="D871" s="74" t="s">
        <v>19731</v>
      </c>
      <c r="E871" s="74"/>
      <c r="F871" s="74">
        <v>1.65</v>
      </c>
      <c r="G871" s="74"/>
      <c r="H871" s="74"/>
      <c r="I871" s="74" t="s">
        <v>391</v>
      </c>
      <c r="J871" s="74"/>
      <c r="K871" s="74">
        <v>102.4</v>
      </c>
      <c r="L871" s="74">
        <v>92.16</v>
      </c>
      <c r="M871" s="74"/>
      <c r="N871" s="74" t="s">
        <v>392</v>
      </c>
      <c r="O871" s="74" t="s">
        <v>402</v>
      </c>
      <c r="P871" s="74" t="s">
        <v>19732</v>
      </c>
      <c r="Q871" s="74" t="s">
        <v>19733</v>
      </c>
    </row>
    <row r="872" spans="3:17" x14ac:dyDescent="0.25">
      <c r="C872" s="74" t="s">
        <v>4422</v>
      </c>
      <c r="D872" s="74" t="s">
        <v>4423</v>
      </c>
      <c r="E872" s="74"/>
      <c r="F872" s="74">
        <v>1.64</v>
      </c>
      <c r="G872" s="74"/>
      <c r="H872" s="74"/>
      <c r="I872" s="74" t="s">
        <v>391</v>
      </c>
      <c r="J872" s="74"/>
      <c r="K872" s="74">
        <v>102.4</v>
      </c>
      <c r="L872" s="74">
        <v>92.16</v>
      </c>
      <c r="M872" s="74"/>
      <c r="N872" s="74" t="s">
        <v>392</v>
      </c>
      <c r="O872" s="74" t="s">
        <v>402</v>
      </c>
      <c r="P872" s="74" t="s">
        <v>4424</v>
      </c>
      <c r="Q872" s="74" t="s">
        <v>4425</v>
      </c>
    </row>
    <row r="873" spans="3:17" x14ac:dyDescent="0.25">
      <c r="C873" s="74" t="s">
        <v>5913</v>
      </c>
      <c r="D873" s="74" t="s">
        <v>5914</v>
      </c>
      <c r="E873" s="74"/>
      <c r="F873" s="74">
        <v>1.64</v>
      </c>
      <c r="G873" s="74"/>
      <c r="H873" s="74"/>
      <c r="I873" s="74" t="s">
        <v>391</v>
      </c>
      <c r="J873" s="74"/>
      <c r="K873" s="74">
        <v>102.4</v>
      </c>
      <c r="L873" s="74">
        <v>92.16</v>
      </c>
      <c r="M873" s="74"/>
      <c r="N873" s="74" t="s">
        <v>392</v>
      </c>
      <c r="O873" s="74" t="s">
        <v>402</v>
      </c>
      <c r="P873" s="74" t="s">
        <v>5915</v>
      </c>
      <c r="Q873" s="74" t="s">
        <v>5916</v>
      </c>
    </row>
    <row r="874" spans="3:17" x14ac:dyDescent="0.25">
      <c r="C874" s="74" t="s">
        <v>6785</v>
      </c>
      <c r="D874" s="74" t="s">
        <v>6786</v>
      </c>
      <c r="E874" s="74"/>
      <c r="F874" s="74">
        <v>1.64</v>
      </c>
      <c r="G874" s="74"/>
      <c r="H874" s="74"/>
      <c r="I874" s="74" t="s">
        <v>391</v>
      </c>
      <c r="J874" s="74"/>
      <c r="K874" s="74">
        <v>102.4</v>
      </c>
      <c r="L874" s="74">
        <v>92.16</v>
      </c>
      <c r="M874" s="74"/>
      <c r="N874" s="74" t="s">
        <v>392</v>
      </c>
      <c r="O874" s="74" t="s">
        <v>402</v>
      </c>
      <c r="P874" s="74" t="s">
        <v>6787</v>
      </c>
      <c r="Q874" s="74" t="s">
        <v>6788</v>
      </c>
    </row>
    <row r="875" spans="3:17" x14ac:dyDescent="0.25">
      <c r="C875" s="74" t="s">
        <v>17059</v>
      </c>
      <c r="D875" s="74" t="s">
        <v>17060</v>
      </c>
      <c r="E875" s="74"/>
      <c r="F875" s="74">
        <v>1.64</v>
      </c>
      <c r="G875" s="74"/>
      <c r="H875" s="74"/>
      <c r="I875" s="74" t="s">
        <v>391</v>
      </c>
      <c r="J875" s="74"/>
      <c r="K875" s="74">
        <v>102.4</v>
      </c>
      <c r="L875" s="74">
        <v>92.16</v>
      </c>
      <c r="M875" s="74"/>
      <c r="N875" s="74" t="s">
        <v>392</v>
      </c>
      <c r="O875" s="74" t="s">
        <v>402</v>
      </c>
      <c r="P875" s="74" t="s">
        <v>17061</v>
      </c>
      <c r="Q875" s="74" t="s">
        <v>17062</v>
      </c>
    </row>
    <row r="876" spans="3:17" x14ac:dyDescent="0.25">
      <c r="C876" s="74" t="s">
        <v>3376</v>
      </c>
      <c r="D876" s="74" t="s">
        <v>3377</v>
      </c>
      <c r="E876" s="74"/>
      <c r="F876" s="74">
        <v>1.63</v>
      </c>
      <c r="G876" s="74"/>
      <c r="H876" s="74"/>
      <c r="I876" s="74" t="s">
        <v>391</v>
      </c>
      <c r="J876" s="74"/>
      <c r="K876" s="74">
        <v>102.4</v>
      </c>
      <c r="L876" s="74">
        <v>92.16</v>
      </c>
      <c r="M876" s="74"/>
      <c r="N876" s="74" t="s">
        <v>392</v>
      </c>
      <c r="O876" s="74" t="s">
        <v>402</v>
      </c>
      <c r="P876" s="74" t="s">
        <v>3378</v>
      </c>
      <c r="Q876" s="74" t="s">
        <v>3379</v>
      </c>
    </row>
    <row r="877" spans="3:17" x14ac:dyDescent="0.25">
      <c r="C877" s="74" t="s">
        <v>5066</v>
      </c>
      <c r="D877" s="74" t="s">
        <v>5067</v>
      </c>
      <c r="E877" s="74"/>
      <c r="F877" s="74">
        <v>1.63</v>
      </c>
      <c r="G877" s="74"/>
      <c r="H877" s="74"/>
      <c r="I877" s="74" t="s">
        <v>391</v>
      </c>
      <c r="J877" s="74"/>
      <c r="K877" s="74">
        <v>102.4</v>
      </c>
      <c r="L877" s="74">
        <v>92.16</v>
      </c>
      <c r="M877" s="74"/>
      <c r="N877" s="74" t="s">
        <v>392</v>
      </c>
      <c r="O877" s="74" t="s">
        <v>402</v>
      </c>
      <c r="P877" s="74" t="s">
        <v>5068</v>
      </c>
      <c r="Q877" s="74" t="s">
        <v>5069</v>
      </c>
    </row>
    <row r="878" spans="3:17" x14ac:dyDescent="0.25">
      <c r="C878" s="74" t="s">
        <v>6214</v>
      </c>
      <c r="D878" s="74" t="s">
        <v>6215</v>
      </c>
      <c r="E878" s="74"/>
      <c r="F878" s="74">
        <v>1.63</v>
      </c>
      <c r="G878" s="74"/>
      <c r="H878" s="74"/>
      <c r="I878" s="74" t="s">
        <v>391</v>
      </c>
      <c r="J878" s="74"/>
      <c r="K878" s="74">
        <v>102.4</v>
      </c>
      <c r="L878" s="74">
        <v>92.16</v>
      </c>
      <c r="M878" s="74"/>
      <c r="N878" s="74" t="s">
        <v>392</v>
      </c>
      <c r="O878" s="74" t="s">
        <v>402</v>
      </c>
      <c r="P878" s="74" t="s">
        <v>6216</v>
      </c>
      <c r="Q878" s="74" t="s">
        <v>6217</v>
      </c>
    </row>
    <row r="879" spans="3:17" x14ac:dyDescent="0.25">
      <c r="C879" s="74" t="s">
        <v>17901</v>
      </c>
      <c r="D879" s="74" t="s">
        <v>17902</v>
      </c>
      <c r="E879" s="74" t="s">
        <v>391</v>
      </c>
      <c r="F879" s="74">
        <v>1.63</v>
      </c>
      <c r="G879" s="74"/>
      <c r="H879" s="74"/>
      <c r="I879" s="74" t="s">
        <v>391</v>
      </c>
      <c r="J879" s="74"/>
      <c r="K879" s="74">
        <v>102.4</v>
      </c>
      <c r="L879" s="74">
        <v>92.16</v>
      </c>
      <c r="M879" s="74"/>
      <c r="N879" s="74" t="s">
        <v>392</v>
      </c>
      <c r="O879" s="74" t="s">
        <v>402</v>
      </c>
      <c r="P879" s="74" t="s">
        <v>17903</v>
      </c>
      <c r="Q879" s="74" t="s">
        <v>17904</v>
      </c>
    </row>
    <row r="880" spans="3:17" x14ac:dyDescent="0.25">
      <c r="C880" s="74" t="s">
        <v>7507</v>
      </c>
      <c r="D880" s="74" t="s">
        <v>7508</v>
      </c>
      <c r="E880" s="74" t="s">
        <v>391</v>
      </c>
      <c r="F880" s="74">
        <v>1.62</v>
      </c>
      <c r="G880" s="74"/>
      <c r="H880" s="74"/>
      <c r="I880" s="74" t="s">
        <v>391</v>
      </c>
      <c r="J880" s="74"/>
      <c r="K880" s="74">
        <v>102.4</v>
      </c>
      <c r="L880" s="74">
        <v>92.16</v>
      </c>
      <c r="M880" s="74"/>
      <c r="N880" s="74" t="s">
        <v>392</v>
      </c>
      <c r="O880" s="74" t="s">
        <v>402</v>
      </c>
      <c r="P880" s="74" t="s">
        <v>7509</v>
      </c>
      <c r="Q880" s="74" t="s">
        <v>7510</v>
      </c>
    </row>
    <row r="881" spans="3:17" x14ac:dyDescent="0.25">
      <c r="C881" s="74" t="s">
        <v>8961</v>
      </c>
      <c r="D881" s="74" t="s">
        <v>8962</v>
      </c>
      <c r="E881" s="74"/>
      <c r="F881" s="74">
        <v>1.62</v>
      </c>
      <c r="G881" s="74"/>
      <c r="H881" s="74"/>
      <c r="I881" s="74" t="s">
        <v>391</v>
      </c>
      <c r="J881" s="74"/>
      <c r="K881" s="74">
        <v>102.4</v>
      </c>
      <c r="L881" s="74">
        <v>92.16</v>
      </c>
      <c r="M881" s="74"/>
      <c r="N881" s="74" t="s">
        <v>392</v>
      </c>
      <c r="O881" s="74" t="s">
        <v>402</v>
      </c>
      <c r="P881" s="74" t="s">
        <v>8963</v>
      </c>
      <c r="Q881" s="74" t="s">
        <v>8964</v>
      </c>
    </row>
    <row r="882" spans="3:17" x14ac:dyDescent="0.25">
      <c r="C882" s="74" t="s">
        <v>18696</v>
      </c>
      <c r="D882" s="74" t="s">
        <v>18697</v>
      </c>
      <c r="E882" s="74" t="s">
        <v>391</v>
      </c>
      <c r="F882" s="74">
        <v>1.62</v>
      </c>
      <c r="G882" s="74"/>
      <c r="H882" s="74"/>
      <c r="I882" s="74" t="s">
        <v>391</v>
      </c>
      <c r="J882" s="74"/>
      <c r="K882" s="74">
        <v>102.4</v>
      </c>
      <c r="L882" s="74">
        <v>92.16</v>
      </c>
      <c r="M882" s="74"/>
      <c r="N882" s="74" t="s">
        <v>392</v>
      </c>
      <c r="O882" s="74" t="s">
        <v>393</v>
      </c>
      <c r="P882" s="74" t="s">
        <v>18698</v>
      </c>
      <c r="Q882" s="74" t="s">
        <v>18699</v>
      </c>
    </row>
    <row r="883" spans="3:17" x14ac:dyDescent="0.25">
      <c r="C883" s="74" t="s">
        <v>2246</v>
      </c>
      <c r="D883" s="74" t="s">
        <v>2247</v>
      </c>
      <c r="E883" s="74"/>
      <c r="F883" s="74">
        <v>1.61</v>
      </c>
      <c r="G883" s="74"/>
      <c r="H883" s="74"/>
      <c r="I883" s="74" t="s">
        <v>391</v>
      </c>
      <c r="J883" s="74"/>
      <c r="K883" s="74">
        <v>102.4</v>
      </c>
      <c r="L883" s="74">
        <v>92.16</v>
      </c>
      <c r="M883" s="74"/>
      <c r="N883" s="74" t="s">
        <v>392</v>
      </c>
      <c r="O883" s="74" t="s">
        <v>402</v>
      </c>
      <c r="P883" s="74" t="s">
        <v>2248</v>
      </c>
      <c r="Q883" s="74" t="s">
        <v>2249</v>
      </c>
    </row>
    <row r="884" spans="3:17" x14ac:dyDescent="0.25">
      <c r="C884" s="74" t="s">
        <v>4007</v>
      </c>
      <c r="D884" s="74" t="s">
        <v>4008</v>
      </c>
      <c r="E884" s="74"/>
      <c r="F884" s="74">
        <v>1.61</v>
      </c>
      <c r="G884" s="74"/>
      <c r="H884" s="74"/>
      <c r="I884" s="74" t="s">
        <v>391</v>
      </c>
      <c r="J884" s="74"/>
      <c r="K884" s="74">
        <v>102.4</v>
      </c>
      <c r="L884" s="74">
        <v>92.16</v>
      </c>
      <c r="M884" s="74"/>
      <c r="N884" s="74" t="s">
        <v>392</v>
      </c>
      <c r="O884" s="74" t="s">
        <v>402</v>
      </c>
      <c r="P884" s="74" t="s">
        <v>4009</v>
      </c>
      <c r="Q884" s="74" t="s">
        <v>4010</v>
      </c>
    </row>
    <row r="885" spans="3:17" x14ac:dyDescent="0.25">
      <c r="C885" s="74" t="s">
        <v>3762</v>
      </c>
      <c r="D885" s="74" t="s">
        <v>3763</v>
      </c>
      <c r="E885" s="74" t="s">
        <v>391</v>
      </c>
      <c r="F885" s="74">
        <v>1.6</v>
      </c>
      <c r="G885" s="74"/>
      <c r="H885" s="74"/>
      <c r="I885" s="74" t="s">
        <v>391</v>
      </c>
      <c r="J885" s="74"/>
      <c r="K885" s="74">
        <v>102.4</v>
      </c>
      <c r="L885" s="74">
        <v>92.16</v>
      </c>
      <c r="M885" s="74"/>
      <c r="N885" s="74" t="s">
        <v>392</v>
      </c>
      <c r="O885" s="74" t="s">
        <v>393</v>
      </c>
      <c r="P885" s="74" t="s">
        <v>3764</v>
      </c>
      <c r="Q885" s="74" t="s">
        <v>3765</v>
      </c>
    </row>
    <row r="886" spans="3:17" x14ac:dyDescent="0.25">
      <c r="C886" s="74" t="s">
        <v>5402</v>
      </c>
      <c r="D886" s="74" t="s">
        <v>5403</v>
      </c>
      <c r="E886" s="74"/>
      <c r="F886" s="74">
        <v>1.6</v>
      </c>
      <c r="G886" s="74"/>
      <c r="H886" s="74"/>
      <c r="I886" s="74" t="s">
        <v>391</v>
      </c>
      <c r="J886" s="74"/>
      <c r="K886" s="74">
        <v>102.4</v>
      </c>
      <c r="L886" s="74">
        <v>92.16</v>
      </c>
      <c r="M886" s="74"/>
      <c r="N886" s="74" t="s">
        <v>392</v>
      </c>
      <c r="O886" s="74" t="s">
        <v>402</v>
      </c>
      <c r="P886" s="74" t="s">
        <v>5404</v>
      </c>
      <c r="Q886" s="74" t="s">
        <v>5405</v>
      </c>
    </row>
    <row r="887" spans="3:17" x14ac:dyDescent="0.25">
      <c r="C887" s="74" t="s">
        <v>9796</v>
      </c>
      <c r="D887" s="74" t="s">
        <v>9797</v>
      </c>
      <c r="E887" s="74"/>
      <c r="F887" s="74">
        <v>1.6</v>
      </c>
      <c r="G887" s="74"/>
      <c r="H887" s="74"/>
      <c r="I887" s="74" t="s">
        <v>391</v>
      </c>
      <c r="J887" s="74"/>
      <c r="K887" s="74">
        <v>102.4</v>
      </c>
      <c r="L887" s="74">
        <v>92.16</v>
      </c>
      <c r="M887" s="74"/>
      <c r="N887" s="74" t="s">
        <v>392</v>
      </c>
      <c r="O887" s="74" t="s">
        <v>402</v>
      </c>
      <c r="P887" s="74" t="s">
        <v>9798</v>
      </c>
      <c r="Q887" s="74" t="s">
        <v>9799</v>
      </c>
    </row>
    <row r="888" spans="3:17" x14ac:dyDescent="0.25">
      <c r="C888" s="74" t="s">
        <v>12741</v>
      </c>
      <c r="D888" s="74" t="s">
        <v>12742</v>
      </c>
      <c r="E888" s="74"/>
      <c r="F888" s="74">
        <v>1.6</v>
      </c>
      <c r="G888" s="74"/>
      <c r="H888" s="74"/>
      <c r="I888" s="74" t="s">
        <v>391</v>
      </c>
      <c r="J888" s="74"/>
      <c r="K888" s="74">
        <v>102.4</v>
      </c>
      <c r="L888" s="74">
        <v>92.16</v>
      </c>
      <c r="M888" s="74"/>
      <c r="N888" s="74" t="s">
        <v>392</v>
      </c>
      <c r="O888" s="74" t="s">
        <v>402</v>
      </c>
      <c r="P888" s="74" t="s">
        <v>12743</v>
      </c>
      <c r="Q888" s="74" t="s">
        <v>12744</v>
      </c>
    </row>
    <row r="889" spans="3:17" x14ac:dyDescent="0.25">
      <c r="C889" s="74" t="s">
        <v>15471</v>
      </c>
      <c r="D889" s="74" t="s">
        <v>15472</v>
      </c>
      <c r="E889" s="74"/>
      <c r="F889" s="74">
        <v>1.59</v>
      </c>
      <c r="G889" s="74"/>
      <c r="H889" s="74"/>
      <c r="I889" s="74" t="s">
        <v>391</v>
      </c>
      <c r="J889" s="74"/>
      <c r="K889" s="74">
        <v>102.4</v>
      </c>
      <c r="L889" s="74">
        <v>92.16</v>
      </c>
      <c r="M889" s="74"/>
      <c r="N889" s="74" t="s">
        <v>392</v>
      </c>
      <c r="O889" s="74" t="s">
        <v>402</v>
      </c>
      <c r="P889" s="74" t="s">
        <v>15473</v>
      </c>
      <c r="Q889" s="74" t="s">
        <v>15474</v>
      </c>
    </row>
    <row r="890" spans="3:17" x14ac:dyDescent="0.25">
      <c r="C890" s="74" t="s">
        <v>19523</v>
      </c>
      <c r="D890" s="74" t="s">
        <v>19524</v>
      </c>
      <c r="E890" s="74"/>
      <c r="F890" s="74">
        <v>1.59</v>
      </c>
      <c r="G890" s="74"/>
      <c r="H890" s="74"/>
      <c r="I890" s="74" t="s">
        <v>391</v>
      </c>
      <c r="J890" s="74"/>
      <c r="K890" s="74">
        <v>102.4</v>
      </c>
      <c r="L890" s="74">
        <v>92.16</v>
      </c>
      <c r="M890" s="74"/>
      <c r="N890" s="74" t="s">
        <v>392</v>
      </c>
      <c r="O890" s="74" t="s">
        <v>402</v>
      </c>
      <c r="P890" s="74" t="s">
        <v>19525</v>
      </c>
      <c r="Q890" s="74" t="s">
        <v>19526</v>
      </c>
    </row>
    <row r="891" spans="3:17" x14ac:dyDescent="0.25">
      <c r="C891" s="74" t="s">
        <v>6336</v>
      </c>
      <c r="D891" s="74" t="s">
        <v>6337</v>
      </c>
      <c r="E891" s="74"/>
      <c r="F891" s="74">
        <v>1.58</v>
      </c>
      <c r="G891" s="74"/>
      <c r="H891" s="74"/>
      <c r="I891" s="74" t="s">
        <v>391</v>
      </c>
      <c r="J891" s="74"/>
      <c r="K891" s="74">
        <v>102.4</v>
      </c>
      <c r="L891" s="74">
        <v>92.16</v>
      </c>
      <c r="M891" s="74"/>
      <c r="N891" s="74" t="s">
        <v>392</v>
      </c>
      <c r="O891" s="74" t="s">
        <v>402</v>
      </c>
      <c r="P891" s="74" t="s">
        <v>6338</v>
      </c>
      <c r="Q891" s="74" t="s">
        <v>6339</v>
      </c>
    </row>
    <row r="892" spans="3:17" x14ac:dyDescent="0.25">
      <c r="C892" s="74" t="s">
        <v>4029</v>
      </c>
      <c r="D892" s="74" t="s">
        <v>4030</v>
      </c>
      <c r="E892" s="74"/>
      <c r="F892" s="74">
        <v>1.57</v>
      </c>
      <c r="G892" s="74"/>
      <c r="H892" s="74"/>
      <c r="I892" s="74" t="s">
        <v>391</v>
      </c>
      <c r="J892" s="74"/>
      <c r="K892" s="74">
        <v>102.4</v>
      </c>
      <c r="L892" s="74">
        <v>92.16</v>
      </c>
      <c r="M892" s="74"/>
      <c r="N892" s="74" t="s">
        <v>392</v>
      </c>
      <c r="O892" s="74" t="s">
        <v>402</v>
      </c>
      <c r="P892" s="74" t="s">
        <v>4031</v>
      </c>
      <c r="Q892" s="74" t="s">
        <v>4032</v>
      </c>
    </row>
    <row r="893" spans="3:17" x14ac:dyDescent="0.25">
      <c r="C893" s="74" t="s">
        <v>16655</v>
      </c>
      <c r="D893" s="74" t="s">
        <v>16656</v>
      </c>
      <c r="E893" s="74"/>
      <c r="F893" s="74">
        <v>1.57</v>
      </c>
      <c r="G893" s="74"/>
      <c r="H893" s="74"/>
      <c r="I893" s="74" t="s">
        <v>391</v>
      </c>
      <c r="J893" s="74"/>
      <c r="K893" s="74">
        <v>102.4</v>
      </c>
      <c r="L893" s="74">
        <v>92.16</v>
      </c>
      <c r="M893" s="74"/>
      <c r="N893" s="74" t="s">
        <v>392</v>
      </c>
      <c r="O893" s="74" t="s">
        <v>402</v>
      </c>
      <c r="P893" s="74" t="s">
        <v>16657</v>
      </c>
      <c r="Q893" s="74" t="s">
        <v>16658</v>
      </c>
    </row>
    <row r="894" spans="3:17" x14ac:dyDescent="0.25">
      <c r="C894" s="74" t="s">
        <v>20198</v>
      </c>
      <c r="D894" s="74" t="s">
        <v>20199</v>
      </c>
      <c r="E894" s="74"/>
      <c r="F894" s="74">
        <v>1.57</v>
      </c>
      <c r="G894" s="74"/>
      <c r="H894" s="74"/>
      <c r="I894" s="74" t="s">
        <v>391</v>
      </c>
      <c r="J894" s="74"/>
      <c r="K894" s="74">
        <v>102.4</v>
      </c>
      <c r="L894" s="74">
        <v>92.16</v>
      </c>
      <c r="M894" s="74"/>
      <c r="N894" s="74" t="s">
        <v>392</v>
      </c>
      <c r="O894" s="74" t="s">
        <v>402</v>
      </c>
      <c r="P894" s="74" t="s">
        <v>20200</v>
      </c>
      <c r="Q894" s="74" t="s">
        <v>20201</v>
      </c>
    </row>
    <row r="895" spans="3:17" x14ac:dyDescent="0.25">
      <c r="C895" s="74" t="s">
        <v>6821</v>
      </c>
      <c r="D895" s="74" t="s">
        <v>6822</v>
      </c>
      <c r="E895" s="74"/>
      <c r="F895" s="74">
        <v>1.56</v>
      </c>
      <c r="G895" s="74"/>
      <c r="H895" s="74"/>
      <c r="I895" s="74" t="s">
        <v>391</v>
      </c>
      <c r="J895" s="74"/>
      <c r="K895" s="74">
        <v>102.4</v>
      </c>
      <c r="L895" s="74">
        <v>92.16</v>
      </c>
      <c r="M895" s="74"/>
      <c r="N895" s="74" t="s">
        <v>392</v>
      </c>
      <c r="O895" s="74" t="s">
        <v>402</v>
      </c>
      <c r="P895" s="74" t="s">
        <v>6823</v>
      </c>
      <c r="Q895" s="74" t="s">
        <v>6824</v>
      </c>
    </row>
    <row r="896" spans="3:17" x14ac:dyDescent="0.25">
      <c r="C896" s="74" t="s">
        <v>10859</v>
      </c>
      <c r="D896" s="74" t="s">
        <v>10860</v>
      </c>
      <c r="E896" s="74"/>
      <c r="F896" s="74">
        <v>1.56</v>
      </c>
      <c r="G896" s="74"/>
      <c r="H896" s="74"/>
      <c r="I896" s="74" t="s">
        <v>391</v>
      </c>
      <c r="J896" s="74"/>
      <c r="K896" s="74">
        <v>102.4</v>
      </c>
      <c r="L896" s="74">
        <v>92.16</v>
      </c>
      <c r="M896" s="74"/>
      <c r="N896" s="74" t="s">
        <v>392</v>
      </c>
      <c r="O896" s="74" t="s">
        <v>402</v>
      </c>
      <c r="P896" s="74" t="s">
        <v>10861</v>
      </c>
      <c r="Q896" s="74" t="s">
        <v>10862</v>
      </c>
    </row>
    <row r="897" spans="3:17" x14ac:dyDescent="0.25">
      <c r="C897" s="74" t="s">
        <v>11559</v>
      </c>
      <c r="D897" s="74" t="s">
        <v>11560</v>
      </c>
      <c r="E897" s="74"/>
      <c r="F897" s="74">
        <v>1.56</v>
      </c>
      <c r="G897" s="74"/>
      <c r="H897" s="74"/>
      <c r="I897" s="74" t="s">
        <v>391</v>
      </c>
      <c r="J897" s="74"/>
      <c r="K897" s="74">
        <v>102.4</v>
      </c>
      <c r="L897" s="74">
        <v>92.16</v>
      </c>
      <c r="M897" s="74"/>
      <c r="N897" s="74" t="s">
        <v>392</v>
      </c>
      <c r="O897" s="74" t="s">
        <v>402</v>
      </c>
      <c r="P897" s="74" t="s">
        <v>11561</v>
      </c>
      <c r="Q897" s="74" t="s">
        <v>11562</v>
      </c>
    </row>
    <row r="898" spans="3:17" x14ac:dyDescent="0.25">
      <c r="C898" s="74" t="s">
        <v>13268</v>
      </c>
      <c r="D898" s="74" t="s">
        <v>13269</v>
      </c>
      <c r="E898" s="74"/>
      <c r="F898" s="74">
        <v>1.56</v>
      </c>
      <c r="G898" s="74"/>
      <c r="H898" s="74"/>
      <c r="I898" s="74" t="s">
        <v>391</v>
      </c>
      <c r="J898" s="74"/>
      <c r="K898" s="74">
        <v>102.4</v>
      </c>
      <c r="L898" s="74">
        <v>92.16</v>
      </c>
      <c r="M898" s="74"/>
      <c r="N898" s="74" t="s">
        <v>392</v>
      </c>
      <c r="O898" s="74" t="s">
        <v>402</v>
      </c>
      <c r="P898" s="74" t="s">
        <v>13270</v>
      </c>
      <c r="Q898" s="74" t="s">
        <v>13271</v>
      </c>
    </row>
    <row r="899" spans="3:17" x14ac:dyDescent="0.25">
      <c r="C899" s="74" t="s">
        <v>18436</v>
      </c>
      <c r="D899" s="74" t="s">
        <v>18437</v>
      </c>
      <c r="E899" s="74"/>
      <c r="F899" s="74">
        <v>1.56</v>
      </c>
      <c r="G899" s="74"/>
      <c r="H899" s="74"/>
      <c r="I899" s="74" t="s">
        <v>391</v>
      </c>
      <c r="J899" s="74"/>
      <c r="K899" s="74">
        <v>102.4</v>
      </c>
      <c r="L899" s="74">
        <v>92.16</v>
      </c>
      <c r="M899" s="74"/>
      <c r="N899" s="74" t="s">
        <v>392</v>
      </c>
      <c r="O899" s="74" t="s">
        <v>402</v>
      </c>
      <c r="P899" s="74" t="s">
        <v>18438</v>
      </c>
      <c r="Q899" s="74" t="s">
        <v>18439</v>
      </c>
    </row>
    <row r="900" spans="3:17" x14ac:dyDescent="0.25">
      <c r="C900" s="74" t="s">
        <v>6694</v>
      </c>
      <c r="D900" s="74" t="s">
        <v>6695</v>
      </c>
      <c r="E900" s="74"/>
      <c r="F900" s="74">
        <v>1.55</v>
      </c>
      <c r="G900" s="74"/>
      <c r="H900" s="74"/>
      <c r="I900" s="74" t="s">
        <v>391</v>
      </c>
      <c r="J900" s="74"/>
      <c r="K900" s="74">
        <v>102.4</v>
      </c>
      <c r="L900" s="74">
        <v>92.16</v>
      </c>
      <c r="M900" s="74"/>
      <c r="N900" s="74" t="s">
        <v>392</v>
      </c>
      <c r="O900" s="74" t="s">
        <v>402</v>
      </c>
      <c r="P900" s="74" t="s">
        <v>6696</v>
      </c>
      <c r="Q900" s="74" t="s">
        <v>6697</v>
      </c>
    </row>
    <row r="901" spans="3:17" x14ac:dyDescent="0.25">
      <c r="C901" s="74" t="s">
        <v>10188</v>
      </c>
      <c r="D901" s="74" t="s">
        <v>10189</v>
      </c>
      <c r="E901" s="74"/>
      <c r="F901" s="74">
        <v>1.55</v>
      </c>
      <c r="G901" s="74"/>
      <c r="H901" s="74"/>
      <c r="I901" s="74" t="s">
        <v>391</v>
      </c>
      <c r="J901" s="74"/>
      <c r="K901" s="74">
        <v>102.4</v>
      </c>
      <c r="L901" s="74">
        <v>92.16</v>
      </c>
      <c r="M901" s="74"/>
      <c r="N901" s="74" t="s">
        <v>392</v>
      </c>
      <c r="O901" s="74" t="s">
        <v>402</v>
      </c>
      <c r="P901" s="74" t="s">
        <v>10190</v>
      </c>
      <c r="Q901" s="74" t="s">
        <v>10191</v>
      </c>
    </row>
    <row r="902" spans="3:17" x14ac:dyDescent="0.25">
      <c r="C902" s="74" t="s">
        <v>14424</v>
      </c>
      <c r="D902" s="74" t="s">
        <v>14425</v>
      </c>
      <c r="E902" s="74"/>
      <c r="F902" s="74">
        <v>1.55</v>
      </c>
      <c r="G902" s="74"/>
      <c r="H902" s="74"/>
      <c r="I902" s="74" t="s">
        <v>391</v>
      </c>
      <c r="J902" s="74"/>
      <c r="K902" s="74">
        <v>102.4</v>
      </c>
      <c r="L902" s="74">
        <v>92.16</v>
      </c>
      <c r="M902" s="74"/>
      <c r="N902" s="74" t="s">
        <v>392</v>
      </c>
      <c r="O902" s="74" t="s">
        <v>402</v>
      </c>
      <c r="P902" s="74" t="s">
        <v>14426</v>
      </c>
      <c r="Q902" s="74" t="s">
        <v>14427</v>
      </c>
    </row>
    <row r="903" spans="3:17" x14ac:dyDescent="0.25">
      <c r="C903" s="74" t="s">
        <v>17549</v>
      </c>
      <c r="D903" s="74" t="s">
        <v>17550</v>
      </c>
      <c r="E903" s="74" t="s">
        <v>391</v>
      </c>
      <c r="F903" s="74">
        <v>1.55</v>
      </c>
      <c r="G903" s="74"/>
      <c r="H903" s="74"/>
      <c r="I903" s="74" t="s">
        <v>391</v>
      </c>
      <c r="J903" s="74"/>
      <c r="K903" s="74">
        <v>102.4</v>
      </c>
      <c r="L903" s="74">
        <v>92.16</v>
      </c>
      <c r="M903" s="74"/>
      <c r="N903" s="74" t="s">
        <v>392</v>
      </c>
      <c r="O903" s="74" t="s">
        <v>393</v>
      </c>
      <c r="P903" s="74"/>
      <c r="Q903" s="74" t="s">
        <v>17551</v>
      </c>
    </row>
    <row r="904" spans="3:17" x14ac:dyDescent="0.25">
      <c r="C904" s="74" t="s">
        <v>19843</v>
      </c>
      <c r="D904" s="74" t="s">
        <v>19844</v>
      </c>
      <c r="E904" s="74"/>
      <c r="F904" s="74">
        <v>1.54</v>
      </c>
      <c r="G904" s="74"/>
      <c r="H904" s="74"/>
      <c r="I904" s="74" t="s">
        <v>391</v>
      </c>
      <c r="J904" s="74"/>
      <c r="K904" s="74">
        <v>102.4</v>
      </c>
      <c r="L904" s="74">
        <v>92.16</v>
      </c>
      <c r="M904" s="74"/>
      <c r="N904" s="74" t="s">
        <v>392</v>
      </c>
      <c r="O904" s="74" t="s">
        <v>402</v>
      </c>
      <c r="P904" s="74" t="s">
        <v>19845</v>
      </c>
      <c r="Q904" s="74" t="s">
        <v>19846</v>
      </c>
    </row>
    <row r="905" spans="3:17" x14ac:dyDescent="0.25">
      <c r="C905" s="74" t="s">
        <v>10033</v>
      </c>
      <c r="D905" s="74" t="s">
        <v>10034</v>
      </c>
      <c r="E905" s="74"/>
      <c r="F905" s="74">
        <v>1.53</v>
      </c>
      <c r="G905" s="74"/>
      <c r="H905" s="74"/>
      <c r="I905" s="74" t="s">
        <v>391</v>
      </c>
      <c r="J905" s="74"/>
      <c r="K905" s="74">
        <v>102.4</v>
      </c>
      <c r="L905" s="74">
        <v>92.16</v>
      </c>
      <c r="M905" s="74"/>
      <c r="N905" s="74" t="s">
        <v>392</v>
      </c>
      <c r="O905" s="74" t="s">
        <v>402</v>
      </c>
      <c r="P905" s="74" t="s">
        <v>10035</v>
      </c>
      <c r="Q905" s="74" t="s">
        <v>10036</v>
      </c>
    </row>
    <row r="906" spans="3:17" x14ac:dyDescent="0.25">
      <c r="C906" s="74" t="s">
        <v>19690</v>
      </c>
      <c r="D906" s="74" t="s">
        <v>19691</v>
      </c>
      <c r="E906" s="74"/>
      <c r="F906" s="74">
        <v>1.53</v>
      </c>
      <c r="G906" s="74"/>
      <c r="H906" s="74"/>
      <c r="I906" s="74" t="s">
        <v>391</v>
      </c>
      <c r="J906" s="74"/>
      <c r="K906" s="74">
        <v>102.4</v>
      </c>
      <c r="L906" s="74">
        <v>92.16</v>
      </c>
      <c r="M906" s="74"/>
      <c r="N906" s="74" t="s">
        <v>392</v>
      </c>
      <c r="O906" s="74" t="s">
        <v>402</v>
      </c>
      <c r="P906" s="74" t="s">
        <v>19692</v>
      </c>
      <c r="Q906" s="74" t="s">
        <v>19693</v>
      </c>
    </row>
    <row r="907" spans="3:17" x14ac:dyDescent="0.25">
      <c r="C907" s="74" t="s">
        <v>20042</v>
      </c>
      <c r="D907" s="74" t="s">
        <v>20043</v>
      </c>
      <c r="E907" s="74"/>
      <c r="F907" s="74">
        <v>1.53</v>
      </c>
      <c r="G907" s="74"/>
      <c r="H907" s="74"/>
      <c r="I907" s="74" t="s">
        <v>391</v>
      </c>
      <c r="J907" s="74"/>
      <c r="K907" s="74">
        <v>102.4</v>
      </c>
      <c r="L907" s="74">
        <v>92.16</v>
      </c>
      <c r="M907" s="74"/>
      <c r="N907" s="74" t="s">
        <v>392</v>
      </c>
      <c r="O907" s="74" t="s">
        <v>402</v>
      </c>
      <c r="P907" s="74" t="s">
        <v>20044</v>
      </c>
      <c r="Q907" s="74" t="s">
        <v>20045</v>
      </c>
    </row>
    <row r="908" spans="3:17" x14ac:dyDescent="0.25">
      <c r="C908" s="74" t="s">
        <v>3402</v>
      </c>
      <c r="D908" s="74" t="s">
        <v>3403</v>
      </c>
      <c r="E908" s="74"/>
      <c r="F908" s="74">
        <v>1.52</v>
      </c>
      <c r="G908" s="74"/>
      <c r="H908" s="74"/>
      <c r="I908" s="74" t="s">
        <v>391</v>
      </c>
      <c r="J908" s="74"/>
      <c r="K908" s="74">
        <v>102.4</v>
      </c>
      <c r="L908" s="74">
        <v>92.16</v>
      </c>
      <c r="M908" s="74"/>
      <c r="N908" s="74" t="s">
        <v>392</v>
      </c>
      <c r="O908" s="74" t="s">
        <v>402</v>
      </c>
      <c r="P908" s="74" t="s">
        <v>3404</v>
      </c>
      <c r="Q908" s="74" t="s">
        <v>3405</v>
      </c>
    </row>
    <row r="909" spans="3:17" x14ac:dyDescent="0.25">
      <c r="C909" s="74" t="s">
        <v>9335</v>
      </c>
      <c r="D909" s="74" t="s">
        <v>9336</v>
      </c>
      <c r="E909" s="74"/>
      <c r="F909" s="74">
        <v>1.52</v>
      </c>
      <c r="G909" s="74"/>
      <c r="H909" s="74"/>
      <c r="I909" s="74" t="s">
        <v>391</v>
      </c>
      <c r="J909" s="74"/>
      <c r="K909" s="74">
        <v>102.4</v>
      </c>
      <c r="L909" s="74">
        <v>92.16</v>
      </c>
      <c r="M909" s="74"/>
      <c r="N909" s="74" t="s">
        <v>392</v>
      </c>
      <c r="O909" s="74" t="s">
        <v>402</v>
      </c>
      <c r="P909" s="74" t="s">
        <v>9337</v>
      </c>
      <c r="Q909" s="74" t="s">
        <v>9338</v>
      </c>
    </row>
    <row r="910" spans="3:17" x14ac:dyDescent="0.25">
      <c r="C910" s="74" t="s">
        <v>10276</v>
      </c>
      <c r="D910" s="74" t="s">
        <v>10277</v>
      </c>
      <c r="E910" s="74"/>
      <c r="F910" s="74">
        <v>1.52</v>
      </c>
      <c r="G910" s="74"/>
      <c r="H910" s="74"/>
      <c r="I910" s="74" t="s">
        <v>391</v>
      </c>
      <c r="J910" s="74"/>
      <c r="K910" s="74">
        <v>102.4</v>
      </c>
      <c r="L910" s="74">
        <v>92.16</v>
      </c>
      <c r="M910" s="74"/>
      <c r="N910" s="74" t="s">
        <v>392</v>
      </c>
      <c r="O910" s="74" t="s">
        <v>402</v>
      </c>
      <c r="P910" s="74" t="s">
        <v>10278</v>
      </c>
      <c r="Q910" s="74" t="s">
        <v>10279</v>
      </c>
    </row>
    <row r="911" spans="3:17" x14ac:dyDescent="0.25">
      <c r="C911" s="74" t="s">
        <v>17070</v>
      </c>
      <c r="D911" s="74" t="s">
        <v>17071</v>
      </c>
      <c r="E911" s="74"/>
      <c r="F911" s="74">
        <v>1.52</v>
      </c>
      <c r="G911" s="74"/>
      <c r="H911" s="74"/>
      <c r="I911" s="74" t="s">
        <v>391</v>
      </c>
      <c r="J911" s="74"/>
      <c r="K911" s="74">
        <v>102.4</v>
      </c>
      <c r="L911" s="74">
        <v>92.16</v>
      </c>
      <c r="M911" s="74"/>
      <c r="N911" s="74" t="s">
        <v>392</v>
      </c>
      <c r="O911" s="74" t="s">
        <v>402</v>
      </c>
      <c r="P911" s="74" t="s">
        <v>17072</v>
      </c>
      <c r="Q911" s="74" t="s">
        <v>17073</v>
      </c>
    </row>
    <row r="912" spans="3:17" x14ac:dyDescent="0.25">
      <c r="C912" s="74" t="s">
        <v>2167</v>
      </c>
      <c r="D912" s="74" t="s">
        <v>2168</v>
      </c>
      <c r="E912" s="74"/>
      <c r="F912" s="74">
        <v>1.51</v>
      </c>
      <c r="G912" s="74"/>
      <c r="H912" s="74"/>
      <c r="I912" s="74" t="s">
        <v>391</v>
      </c>
      <c r="J912" s="74"/>
      <c r="K912" s="74">
        <v>102.4</v>
      </c>
      <c r="L912" s="74">
        <v>92.16</v>
      </c>
      <c r="M912" s="74"/>
      <c r="N912" s="74" t="s">
        <v>392</v>
      </c>
      <c r="O912" s="74" t="s">
        <v>402</v>
      </c>
      <c r="P912" s="74" t="s">
        <v>2169</v>
      </c>
      <c r="Q912" s="74" t="s">
        <v>2170</v>
      </c>
    </row>
    <row r="913" spans="3:17" x14ac:dyDescent="0.25">
      <c r="C913" s="74" t="s">
        <v>2760</v>
      </c>
      <c r="D913" s="74" t="s">
        <v>2761</v>
      </c>
      <c r="E913" s="74"/>
      <c r="F913" s="74">
        <v>1.51</v>
      </c>
      <c r="G913" s="74"/>
      <c r="H913" s="74"/>
      <c r="I913" s="74" t="s">
        <v>391</v>
      </c>
      <c r="J913" s="74"/>
      <c r="K913" s="74">
        <v>102.4</v>
      </c>
      <c r="L913" s="74">
        <v>92.16</v>
      </c>
      <c r="M913" s="74"/>
      <c r="N913" s="74" t="s">
        <v>392</v>
      </c>
      <c r="O913" s="74" t="s">
        <v>402</v>
      </c>
      <c r="P913" s="74" t="s">
        <v>2762</v>
      </c>
      <c r="Q913" s="74" t="s">
        <v>2763</v>
      </c>
    </row>
    <row r="914" spans="3:17" x14ac:dyDescent="0.25">
      <c r="C914" s="74" t="s">
        <v>9188</v>
      </c>
      <c r="D914" s="74" t="s">
        <v>9189</v>
      </c>
      <c r="E914" s="74"/>
      <c r="F914" s="74">
        <v>1.51</v>
      </c>
      <c r="G914" s="74"/>
      <c r="H914" s="74"/>
      <c r="I914" s="74" t="s">
        <v>391</v>
      </c>
      <c r="J914" s="74"/>
      <c r="K914" s="74">
        <v>102.4</v>
      </c>
      <c r="L914" s="74">
        <v>92.16</v>
      </c>
      <c r="M914" s="74"/>
      <c r="N914" s="74" t="s">
        <v>392</v>
      </c>
      <c r="O914" s="74" t="s">
        <v>402</v>
      </c>
      <c r="P914" s="74" t="s">
        <v>9190</v>
      </c>
      <c r="Q914" s="74" t="s">
        <v>9191</v>
      </c>
    </row>
    <row r="915" spans="3:17" x14ac:dyDescent="0.25">
      <c r="C915" s="74" t="s">
        <v>18429</v>
      </c>
      <c r="D915" s="74" t="s">
        <v>18430</v>
      </c>
      <c r="E915" s="74"/>
      <c r="F915" s="74">
        <v>1.51</v>
      </c>
      <c r="G915" s="74"/>
      <c r="H915" s="74"/>
      <c r="I915" s="74" t="s">
        <v>391</v>
      </c>
      <c r="J915" s="74"/>
      <c r="K915" s="74">
        <v>102.4</v>
      </c>
      <c r="L915" s="74">
        <v>92.16</v>
      </c>
      <c r="M915" s="74"/>
      <c r="N915" s="74" t="s">
        <v>392</v>
      </c>
      <c r="O915" s="74" t="s">
        <v>402</v>
      </c>
      <c r="P915" s="74" t="s">
        <v>18431</v>
      </c>
      <c r="Q915" s="74" t="s">
        <v>18432</v>
      </c>
    </row>
    <row r="916" spans="3:17" x14ac:dyDescent="0.25">
      <c r="C916" s="74" t="s">
        <v>21139</v>
      </c>
      <c r="D916" s="74" t="s">
        <v>21140</v>
      </c>
      <c r="E916" s="74"/>
      <c r="F916" s="74">
        <v>1.51</v>
      </c>
      <c r="G916" s="74"/>
      <c r="H916" s="74"/>
      <c r="I916" s="74" t="s">
        <v>391</v>
      </c>
      <c r="J916" s="74"/>
      <c r="K916" s="74">
        <v>102.4</v>
      </c>
      <c r="L916" s="74">
        <v>92.16</v>
      </c>
      <c r="M916" s="74"/>
      <c r="N916" s="74" t="s">
        <v>392</v>
      </c>
      <c r="O916" s="74" t="s">
        <v>402</v>
      </c>
      <c r="P916" s="74" t="s">
        <v>21141</v>
      </c>
      <c r="Q916" s="74" t="s">
        <v>21142</v>
      </c>
    </row>
    <row r="917" spans="3:17" x14ac:dyDescent="0.25">
      <c r="C917" s="74" t="s">
        <v>10323</v>
      </c>
      <c r="D917" s="74" t="s">
        <v>10324</v>
      </c>
      <c r="E917" s="74"/>
      <c r="F917" s="74">
        <v>1.5</v>
      </c>
      <c r="G917" s="74"/>
      <c r="H917" s="74"/>
      <c r="I917" s="74" t="s">
        <v>391</v>
      </c>
      <c r="J917" s="74"/>
      <c r="K917" s="74">
        <v>102.4</v>
      </c>
      <c r="L917" s="74">
        <v>92.16</v>
      </c>
      <c r="M917" s="74"/>
      <c r="N917" s="74" t="s">
        <v>392</v>
      </c>
      <c r="O917" s="74" t="s">
        <v>402</v>
      </c>
      <c r="P917" s="74" t="s">
        <v>10325</v>
      </c>
      <c r="Q917" s="74" t="s">
        <v>10326</v>
      </c>
    </row>
    <row r="918" spans="3:17" x14ac:dyDescent="0.25">
      <c r="C918" s="74" t="s">
        <v>11291</v>
      </c>
      <c r="D918" s="74" t="s">
        <v>11292</v>
      </c>
      <c r="E918" s="74"/>
      <c r="F918" s="74">
        <v>1.5</v>
      </c>
      <c r="G918" s="74"/>
      <c r="H918" s="74"/>
      <c r="I918" s="74" t="s">
        <v>391</v>
      </c>
      <c r="J918" s="74"/>
      <c r="K918" s="74">
        <v>102.4</v>
      </c>
      <c r="L918" s="74">
        <v>92.16</v>
      </c>
      <c r="M918" s="74"/>
      <c r="N918" s="74" t="s">
        <v>392</v>
      </c>
      <c r="O918" s="74" t="s">
        <v>402</v>
      </c>
      <c r="P918" s="74" t="s">
        <v>11293</v>
      </c>
      <c r="Q918" s="74" t="s">
        <v>11294</v>
      </c>
    </row>
    <row r="919" spans="3:17" x14ac:dyDescent="0.25">
      <c r="C919" s="74" t="s">
        <v>10077</v>
      </c>
      <c r="D919" s="74" t="s">
        <v>10078</v>
      </c>
      <c r="E919" s="74"/>
      <c r="F919" s="74">
        <v>1.49</v>
      </c>
      <c r="G919" s="74"/>
      <c r="H919" s="74"/>
      <c r="I919" s="74" t="s">
        <v>391</v>
      </c>
      <c r="J919" s="74"/>
      <c r="K919" s="74">
        <v>102.4</v>
      </c>
      <c r="L919" s="74">
        <v>92.16</v>
      </c>
      <c r="M919" s="74"/>
      <c r="N919" s="74" t="s">
        <v>392</v>
      </c>
      <c r="O919" s="74" t="s">
        <v>402</v>
      </c>
      <c r="P919" s="74" t="s">
        <v>10079</v>
      </c>
      <c r="Q919" s="74" t="s">
        <v>10080</v>
      </c>
    </row>
    <row r="920" spans="3:17" x14ac:dyDescent="0.25">
      <c r="C920" s="74" t="s">
        <v>18527</v>
      </c>
      <c r="D920" s="74" t="s">
        <v>18528</v>
      </c>
      <c r="E920" s="74"/>
      <c r="F920" s="74">
        <v>1.49</v>
      </c>
      <c r="G920" s="74"/>
      <c r="H920" s="74"/>
      <c r="I920" s="74" t="s">
        <v>391</v>
      </c>
      <c r="J920" s="74"/>
      <c r="K920" s="74">
        <v>102.4</v>
      </c>
      <c r="L920" s="74">
        <v>92.16</v>
      </c>
      <c r="M920" s="74"/>
      <c r="N920" s="74" t="s">
        <v>392</v>
      </c>
      <c r="O920" s="74" t="s">
        <v>402</v>
      </c>
      <c r="P920" s="74" t="s">
        <v>18529</v>
      </c>
      <c r="Q920" s="74" t="s">
        <v>18530</v>
      </c>
    </row>
    <row r="921" spans="3:17" x14ac:dyDescent="0.25">
      <c r="C921" s="74" t="s">
        <v>3787</v>
      </c>
      <c r="D921" s="74" t="s">
        <v>3788</v>
      </c>
      <c r="E921" s="74"/>
      <c r="F921" s="74">
        <v>1.48</v>
      </c>
      <c r="G921" s="74"/>
      <c r="H921" s="74"/>
      <c r="I921" s="74" t="s">
        <v>391</v>
      </c>
      <c r="J921" s="74"/>
      <c r="K921" s="74">
        <v>102.4</v>
      </c>
      <c r="L921" s="74">
        <v>92.16</v>
      </c>
      <c r="M921" s="74"/>
      <c r="N921" s="74" t="s">
        <v>392</v>
      </c>
      <c r="O921" s="74" t="s">
        <v>402</v>
      </c>
      <c r="P921" s="74" t="s">
        <v>3789</v>
      </c>
      <c r="Q921" s="74" t="s">
        <v>3790</v>
      </c>
    </row>
    <row r="922" spans="3:17" x14ac:dyDescent="0.25">
      <c r="C922" s="74" t="s">
        <v>7573</v>
      </c>
      <c r="D922" s="74" t="s">
        <v>7574</v>
      </c>
      <c r="E922" s="74"/>
      <c r="F922" s="74">
        <v>1.47</v>
      </c>
      <c r="G922" s="74"/>
      <c r="H922" s="74"/>
      <c r="I922" s="74" t="s">
        <v>391</v>
      </c>
      <c r="J922" s="74"/>
      <c r="K922" s="74">
        <v>102.4</v>
      </c>
      <c r="L922" s="74">
        <v>92.16</v>
      </c>
      <c r="M922" s="74"/>
      <c r="N922" s="74" t="s">
        <v>392</v>
      </c>
      <c r="O922" s="74" t="s">
        <v>402</v>
      </c>
      <c r="P922" s="74" t="s">
        <v>7575</v>
      </c>
      <c r="Q922" s="74" t="s">
        <v>7576</v>
      </c>
    </row>
    <row r="923" spans="3:17" x14ac:dyDescent="0.25">
      <c r="C923" s="74" t="s">
        <v>11146</v>
      </c>
      <c r="D923" s="74" t="s">
        <v>11147</v>
      </c>
      <c r="E923" s="74"/>
      <c r="F923" s="74">
        <v>1.47</v>
      </c>
      <c r="G923" s="74"/>
      <c r="H923" s="74"/>
      <c r="I923" s="74" t="s">
        <v>391</v>
      </c>
      <c r="J923" s="74"/>
      <c r="K923" s="74">
        <v>102.4</v>
      </c>
      <c r="L923" s="74">
        <v>92.16</v>
      </c>
      <c r="M923" s="74"/>
      <c r="N923" s="74" t="s">
        <v>392</v>
      </c>
      <c r="O923" s="74" t="s">
        <v>402</v>
      </c>
      <c r="P923" s="74" t="s">
        <v>11148</v>
      </c>
      <c r="Q923" s="74" t="s">
        <v>11149</v>
      </c>
    </row>
    <row r="924" spans="3:17" x14ac:dyDescent="0.25">
      <c r="C924" s="74" t="s">
        <v>13685</v>
      </c>
      <c r="D924" s="74" t="s">
        <v>13686</v>
      </c>
      <c r="E924" s="74"/>
      <c r="F924" s="74">
        <v>1.47</v>
      </c>
      <c r="G924" s="74"/>
      <c r="H924" s="74"/>
      <c r="I924" s="74" t="s">
        <v>391</v>
      </c>
      <c r="J924" s="74"/>
      <c r="K924" s="74">
        <v>102.4</v>
      </c>
      <c r="L924" s="74">
        <v>92.16</v>
      </c>
      <c r="M924" s="74"/>
      <c r="N924" s="74" t="s">
        <v>392</v>
      </c>
      <c r="O924" s="74" t="s">
        <v>402</v>
      </c>
      <c r="P924" s="74" t="s">
        <v>13687</v>
      </c>
      <c r="Q924" s="74" t="s">
        <v>13688</v>
      </c>
    </row>
    <row r="925" spans="3:17" x14ac:dyDescent="0.25">
      <c r="C925" s="74" t="s">
        <v>16975</v>
      </c>
      <c r="D925" s="74" t="s">
        <v>16976</v>
      </c>
      <c r="E925" s="74"/>
      <c r="F925" s="74">
        <v>1.47</v>
      </c>
      <c r="G925" s="74"/>
      <c r="H925" s="74"/>
      <c r="I925" s="74" t="s">
        <v>391</v>
      </c>
      <c r="J925" s="74"/>
      <c r="K925" s="74">
        <v>102.4</v>
      </c>
      <c r="L925" s="74">
        <v>92.16</v>
      </c>
      <c r="M925" s="74"/>
      <c r="N925" s="74" t="s">
        <v>392</v>
      </c>
      <c r="O925" s="74" t="s">
        <v>402</v>
      </c>
      <c r="P925" s="74" t="s">
        <v>16977</v>
      </c>
      <c r="Q925" s="74" t="s">
        <v>16978</v>
      </c>
    </row>
    <row r="926" spans="3:17" x14ac:dyDescent="0.25">
      <c r="C926" s="74" t="s">
        <v>17569</v>
      </c>
      <c r="D926" s="74" t="s">
        <v>17570</v>
      </c>
      <c r="E926" s="74"/>
      <c r="F926" s="74">
        <v>1.47</v>
      </c>
      <c r="G926" s="74"/>
      <c r="H926" s="74"/>
      <c r="I926" s="74" t="s">
        <v>391</v>
      </c>
      <c r="J926" s="74"/>
      <c r="K926" s="74">
        <v>102.4</v>
      </c>
      <c r="L926" s="74">
        <v>92.16</v>
      </c>
      <c r="M926" s="74"/>
      <c r="N926" s="74" t="s">
        <v>392</v>
      </c>
      <c r="O926" s="74" t="s">
        <v>402</v>
      </c>
      <c r="P926" s="74" t="s">
        <v>17571</v>
      </c>
      <c r="Q926" s="74" t="s">
        <v>17572</v>
      </c>
    </row>
    <row r="927" spans="3:17" x14ac:dyDescent="0.25">
      <c r="C927" s="74" t="s">
        <v>19802</v>
      </c>
      <c r="D927" s="74" t="s">
        <v>19803</v>
      </c>
      <c r="E927" s="74"/>
      <c r="F927" s="74">
        <v>1.47</v>
      </c>
      <c r="G927" s="74"/>
      <c r="H927" s="74"/>
      <c r="I927" s="74" t="s">
        <v>391</v>
      </c>
      <c r="J927" s="74"/>
      <c r="K927" s="74">
        <v>102.4</v>
      </c>
      <c r="L927" s="74">
        <v>92.16</v>
      </c>
      <c r="M927" s="74"/>
      <c r="N927" s="74" t="s">
        <v>392</v>
      </c>
      <c r="O927" s="74" t="s">
        <v>402</v>
      </c>
      <c r="P927" s="74" t="s">
        <v>19804</v>
      </c>
      <c r="Q927" s="74" t="s">
        <v>19805</v>
      </c>
    </row>
    <row r="928" spans="3:17" x14ac:dyDescent="0.25">
      <c r="C928" s="74" t="s">
        <v>13408</v>
      </c>
      <c r="D928" s="74" t="s">
        <v>13409</v>
      </c>
      <c r="E928" s="74"/>
      <c r="F928" s="74">
        <v>1.46</v>
      </c>
      <c r="G928" s="74"/>
      <c r="H928" s="74"/>
      <c r="I928" s="74" t="s">
        <v>391</v>
      </c>
      <c r="J928" s="74"/>
      <c r="K928" s="74">
        <v>102.4</v>
      </c>
      <c r="L928" s="74">
        <v>92.16</v>
      </c>
      <c r="M928" s="74"/>
      <c r="N928" s="74" t="s">
        <v>392</v>
      </c>
      <c r="O928" s="74" t="s">
        <v>402</v>
      </c>
      <c r="P928" s="74" t="s">
        <v>13410</v>
      </c>
      <c r="Q928" s="74" t="s">
        <v>13411</v>
      </c>
    </row>
    <row r="929" spans="3:17" x14ac:dyDescent="0.25">
      <c r="C929" s="74" t="s">
        <v>18661</v>
      </c>
      <c r="D929" s="74" t="s">
        <v>18662</v>
      </c>
      <c r="E929" s="74"/>
      <c r="F929" s="74">
        <v>1.46</v>
      </c>
      <c r="G929" s="74"/>
      <c r="H929" s="74"/>
      <c r="I929" s="74" t="s">
        <v>391</v>
      </c>
      <c r="J929" s="74"/>
      <c r="K929" s="74">
        <v>102.4</v>
      </c>
      <c r="L929" s="74">
        <v>92.16</v>
      </c>
      <c r="M929" s="74"/>
      <c r="N929" s="74" t="s">
        <v>392</v>
      </c>
      <c r="O929" s="74" t="s">
        <v>402</v>
      </c>
      <c r="P929" s="74" t="s">
        <v>18663</v>
      </c>
      <c r="Q929" s="74" t="s">
        <v>18664</v>
      </c>
    </row>
    <row r="930" spans="3:17" x14ac:dyDescent="0.25">
      <c r="C930" s="74" t="s">
        <v>6210</v>
      </c>
      <c r="D930" s="74" t="s">
        <v>6211</v>
      </c>
      <c r="E930" s="74"/>
      <c r="F930" s="74">
        <v>1.45</v>
      </c>
      <c r="G930" s="74"/>
      <c r="H930" s="74"/>
      <c r="I930" s="74" t="s">
        <v>391</v>
      </c>
      <c r="J930" s="74"/>
      <c r="K930" s="74">
        <v>102.4</v>
      </c>
      <c r="L930" s="74">
        <v>92.16</v>
      </c>
      <c r="M930" s="74"/>
      <c r="N930" s="74" t="s">
        <v>392</v>
      </c>
      <c r="O930" s="74" t="s">
        <v>402</v>
      </c>
      <c r="P930" s="74" t="s">
        <v>6212</v>
      </c>
      <c r="Q930" s="74" t="s">
        <v>6213</v>
      </c>
    </row>
    <row r="931" spans="3:17" x14ac:dyDescent="0.25">
      <c r="C931" s="74" t="s">
        <v>15031</v>
      </c>
      <c r="D931" s="74" t="s">
        <v>15032</v>
      </c>
      <c r="E931" s="74"/>
      <c r="F931" s="74">
        <v>1.45</v>
      </c>
      <c r="G931" s="74"/>
      <c r="H931" s="74"/>
      <c r="I931" s="74" t="s">
        <v>391</v>
      </c>
      <c r="J931" s="74"/>
      <c r="K931" s="74">
        <v>102.4</v>
      </c>
      <c r="L931" s="74">
        <v>92.16</v>
      </c>
      <c r="M931" s="74"/>
      <c r="N931" s="74" t="s">
        <v>392</v>
      </c>
      <c r="O931" s="74" t="s">
        <v>402</v>
      </c>
      <c r="P931" s="74" t="s">
        <v>15033</v>
      </c>
      <c r="Q931" s="74" t="s">
        <v>15034</v>
      </c>
    </row>
    <row r="932" spans="3:17" x14ac:dyDescent="0.25">
      <c r="C932" s="74" t="s">
        <v>17410</v>
      </c>
      <c r="D932" s="74" t="s">
        <v>17411</v>
      </c>
      <c r="E932" s="74"/>
      <c r="F932" s="74">
        <v>1.45</v>
      </c>
      <c r="G932" s="74"/>
      <c r="H932" s="74"/>
      <c r="I932" s="74" t="s">
        <v>391</v>
      </c>
      <c r="J932" s="74"/>
      <c r="K932" s="74">
        <v>102.4</v>
      </c>
      <c r="L932" s="74">
        <v>92.16</v>
      </c>
      <c r="M932" s="74"/>
      <c r="N932" s="74" t="s">
        <v>392</v>
      </c>
      <c r="O932" s="74" t="s">
        <v>402</v>
      </c>
      <c r="P932" s="74" t="s">
        <v>17412</v>
      </c>
      <c r="Q932" s="74" t="s">
        <v>17413</v>
      </c>
    </row>
    <row r="933" spans="3:17" x14ac:dyDescent="0.25">
      <c r="C933" s="74" t="s">
        <v>9631</v>
      </c>
      <c r="D933" s="74" t="s">
        <v>9632</v>
      </c>
      <c r="E933" s="74"/>
      <c r="F933" s="74">
        <v>1.44</v>
      </c>
      <c r="G933" s="74"/>
      <c r="H933" s="74"/>
      <c r="I933" s="74" t="s">
        <v>391</v>
      </c>
      <c r="J933" s="74"/>
      <c r="K933" s="74">
        <v>102.4</v>
      </c>
      <c r="L933" s="74">
        <v>92.16</v>
      </c>
      <c r="M933" s="74"/>
      <c r="N933" s="74" t="s">
        <v>392</v>
      </c>
      <c r="O933" s="74" t="s">
        <v>402</v>
      </c>
      <c r="P933" s="74" t="s">
        <v>9633</v>
      </c>
      <c r="Q933" s="74" t="s">
        <v>9634</v>
      </c>
    </row>
    <row r="934" spans="3:17" x14ac:dyDescent="0.25">
      <c r="C934" s="74" t="s">
        <v>10338</v>
      </c>
      <c r="D934" s="74" t="s">
        <v>10339</v>
      </c>
      <c r="E934" s="74"/>
      <c r="F934" s="74">
        <v>1.44</v>
      </c>
      <c r="G934" s="74"/>
      <c r="H934" s="74"/>
      <c r="I934" s="74" t="s">
        <v>391</v>
      </c>
      <c r="J934" s="74"/>
      <c r="K934" s="74">
        <v>102.4</v>
      </c>
      <c r="L934" s="74">
        <v>92.16</v>
      </c>
      <c r="M934" s="74"/>
      <c r="N934" s="74" t="s">
        <v>392</v>
      </c>
      <c r="O934" s="74" t="s">
        <v>402</v>
      </c>
      <c r="P934" s="74" t="s">
        <v>10340</v>
      </c>
      <c r="Q934" s="74" t="s">
        <v>10341</v>
      </c>
    </row>
    <row r="935" spans="3:17" x14ac:dyDescent="0.25">
      <c r="C935" s="74" t="s">
        <v>10974</v>
      </c>
      <c r="D935" s="74" t="s">
        <v>10975</v>
      </c>
      <c r="E935" s="74"/>
      <c r="F935" s="74">
        <v>1.44</v>
      </c>
      <c r="G935" s="74"/>
      <c r="H935" s="74"/>
      <c r="I935" s="74" t="s">
        <v>391</v>
      </c>
      <c r="J935" s="74"/>
      <c r="K935" s="74">
        <v>102.4</v>
      </c>
      <c r="L935" s="74">
        <v>92.16</v>
      </c>
      <c r="M935" s="74"/>
      <c r="N935" s="74" t="s">
        <v>392</v>
      </c>
      <c r="O935" s="74" t="s">
        <v>402</v>
      </c>
      <c r="P935" s="74" t="s">
        <v>10976</v>
      </c>
      <c r="Q935" s="74" t="s">
        <v>10977</v>
      </c>
    </row>
    <row r="936" spans="3:17" x14ac:dyDescent="0.25">
      <c r="C936" s="74" t="s">
        <v>6914</v>
      </c>
      <c r="D936" s="74" t="s">
        <v>6915</v>
      </c>
      <c r="E936" s="74"/>
      <c r="F936" s="74">
        <v>1.43</v>
      </c>
      <c r="G936" s="74"/>
      <c r="H936" s="74"/>
      <c r="I936" s="74" t="s">
        <v>391</v>
      </c>
      <c r="J936" s="74"/>
      <c r="K936" s="74">
        <v>102.4</v>
      </c>
      <c r="L936" s="74">
        <v>92.16</v>
      </c>
      <c r="M936" s="74"/>
      <c r="N936" s="74" t="s">
        <v>392</v>
      </c>
      <c r="O936" s="74" t="s">
        <v>402</v>
      </c>
      <c r="P936" s="74" t="s">
        <v>6916</v>
      </c>
      <c r="Q936" s="74" t="s">
        <v>6917</v>
      </c>
    </row>
    <row r="937" spans="3:17" x14ac:dyDescent="0.25">
      <c r="C937" s="74" t="s">
        <v>13768</v>
      </c>
      <c r="D937" s="74" t="s">
        <v>13769</v>
      </c>
      <c r="E937" s="74"/>
      <c r="F937" s="74">
        <v>1.43</v>
      </c>
      <c r="G937" s="74"/>
      <c r="H937" s="74"/>
      <c r="I937" s="74" t="s">
        <v>391</v>
      </c>
      <c r="J937" s="74"/>
      <c r="K937" s="74">
        <v>102.4</v>
      </c>
      <c r="L937" s="74">
        <v>92.16</v>
      </c>
      <c r="M937" s="74"/>
      <c r="N937" s="74" t="s">
        <v>392</v>
      </c>
      <c r="O937" s="74" t="s">
        <v>402</v>
      </c>
      <c r="P937" s="74" t="s">
        <v>13770</v>
      </c>
      <c r="Q937" s="74" t="s">
        <v>13771</v>
      </c>
    </row>
    <row r="938" spans="3:17" x14ac:dyDescent="0.25">
      <c r="C938" s="74" t="s">
        <v>15337</v>
      </c>
      <c r="D938" s="74" t="s">
        <v>15338</v>
      </c>
      <c r="E938" s="74"/>
      <c r="F938" s="74">
        <v>1.43</v>
      </c>
      <c r="G938" s="74"/>
      <c r="H938" s="74"/>
      <c r="I938" s="74" t="s">
        <v>391</v>
      </c>
      <c r="J938" s="74"/>
      <c r="K938" s="74">
        <v>102.4</v>
      </c>
      <c r="L938" s="74">
        <v>92.16</v>
      </c>
      <c r="M938" s="74"/>
      <c r="N938" s="74" t="s">
        <v>392</v>
      </c>
      <c r="O938" s="74" t="s">
        <v>402</v>
      </c>
      <c r="P938" s="74" t="s">
        <v>15339</v>
      </c>
      <c r="Q938" s="74" t="s">
        <v>15340</v>
      </c>
    </row>
    <row r="939" spans="3:17" x14ac:dyDescent="0.25">
      <c r="C939" s="74" t="s">
        <v>15879</v>
      </c>
      <c r="D939" s="74" t="s">
        <v>15880</v>
      </c>
      <c r="E939" s="74"/>
      <c r="F939" s="74">
        <v>1.43</v>
      </c>
      <c r="G939" s="74"/>
      <c r="H939" s="74"/>
      <c r="I939" s="74" t="s">
        <v>391</v>
      </c>
      <c r="J939" s="74"/>
      <c r="K939" s="74">
        <v>102.4</v>
      </c>
      <c r="L939" s="74">
        <v>92.16</v>
      </c>
      <c r="M939" s="74"/>
      <c r="N939" s="74" t="s">
        <v>392</v>
      </c>
      <c r="O939" s="74" t="s">
        <v>402</v>
      </c>
      <c r="P939" s="74" t="s">
        <v>15881</v>
      </c>
      <c r="Q939" s="74" t="s">
        <v>15882</v>
      </c>
    </row>
    <row r="940" spans="3:17" x14ac:dyDescent="0.25">
      <c r="C940" s="74" t="s">
        <v>18969</v>
      </c>
      <c r="D940" s="74" t="s">
        <v>18970</v>
      </c>
      <c r="E940" s="74"/>
      <c r="F940" s="74">
        <v>1.43</v>
      </c>
      <c r="G940" s="74"/>
      <c r="H940" s="74"/>
      <c r="I940" s="74" t="s">
        <v>391</v>
      </c>
      <c r="J940" s="74"/>
      <c r="K940" s="74">
        <v>102.4</v>
      </c>
      <c r="L940" s="74">
        <v>92.16</v>
      </c>
      <c r="M940" s="74"/>
      <c r="N940" s="74" t="s">
        <v>392</v>
      </c>
      <c r="O940" s="74" t="s">
        <v>402</v>
      </c>
      <c r="P940" s="74" t="s">
        <v>10418</v>
      </c>
      <c r="Q940" s="74" t="s">
        <v>18971</v>
      </c>
    </row>
    <row r="941" spans="3:17" x14ac:dyDescent="0.25">
      <c r="C941" s="74" t="s">
        <v>6621</v>
      </c>
      <c r="D941" s="74" t="s">
        <v>6622</v>
      </c>
      <c r="E941" s="74"/>
      <c r="F941" s="74">
        <v>1.42</v>
      </c>
      <c r="G941" s="74"/>
      <c r="H941" s="74"/>
      <c r="I941" s="74" t="s">
        <v>391</v>
      </c>
      <c r="J941" s="74"/>
      <c r="K941" s="74">
        <v>102.4</v>
      </c>
      <c r="L941" s="74">
        <v>92.16</v>
      </c>
      <c r="M941" s="74"/>
      <c r="N941" s="74" t="s">
        <v>392</v>
      </c>
      <c r="O941" s="74" t="s">
        <v>402</v>
      </c>
      <c r="P941" s="74" t="s">
        <v>6623</v>
      </c>
      <c r="Q941" s="74" t="s">
        <v>6624</v>
      </c>
    </row>
    <row r="942" spans="3:17" x14ac:dyDescent="0.25">
      <c r="C942" s="74" t="s">
        <v>9856</v>
      </c>
      <c r="D942" s="74" t="s">
        <v>9857</v>
      </c>
      <c r="E942" s="74"/>
      <c r="F942" s="74">
        <v>1.42</v>
      </c>
      <c r="G942" s="74"/>
      <c r="H942" s="74"/>
      <c r="I942" s="74" t="s">
        <v>391</v>
      </c>
      <c r="J942" s="74"/>
      <c r="K942" s="74">
        <v>102.4</v>
      </c>
      <c r="L942" s="74">
        <v>92.16</v>
      </c>
      <c r="M942" s="74"/>
      <c r="N942" s="74" t="s">
        <v>392</v>
      </c>
      <c r="O942" s="74" t="s">
        <v>402</v>
      </c>
      <c r="P942" s="74" t="s">
        <v>9858</v>
      </c>
      <c r="Q942" s="74" t="s">
        <v>9859</v>
      </c>
    </row>
    <row r="943" spans="3:17" x14ac:dyDescent="0.25">
      <c r="C943" s="74" t="s">
        <v>18079</v>
      </c>
      <c r="D943" s="74" t="s">
        <v>18080</v>
      </c>
      <c r="E943" s="74"/>
      <c r="F943" s="74">
        <v>1.42</v>
      </c>
      <c r="G943" s="74"/>
      <c r="H943" s="74"/>
      <c r="I943" s="74" t="s">
        <v>391</v>
      </c>
      <c r="J943" s="74"/>
      <c r="K943" s="74">
        <v>102.4</v>
      </c>
      <c r="L943" s="74">
        <v>92.16</v>
      </c>
      <c r="M943" s="74"/>
      <c r="N943" s="74" t="s">
        <v>392</v>
      </c>
      <c r="O943" s="74" t="s">
        <v>402</v>
      </c>
      <c r="P943" s="74" t="s">
        <v>18081</v>
      </c>
      <c r="Q943" s="74" t="s">
        <v>18082</v>
      </c>
    </row>
    <row r="944" spans="3:17" x14ac:dyDescent="0.25">
      <c r="C944" s="74" t="s">
        <v>2572</v>
      </c>
      <c r="D944" s="74" t="s">
        <v>2573</v>
      </c>
      <c r="E944" s="74"/>
      <c r="F944" s="74">
        <v>1.41</v>
      </c>
      <c r="G944" s="74"/>
      <c r="H944" s="74"/>
      <c r="I944" s="74" t="s">
        <v>391</v>
      </c>
      <c r="J944" s="74"/>
      <c r="K944" s="74">
        <v>102.4</v>
      </c>
      <c r="L944" s="74">
        <v>92.16</v>
      </c>
      <c r="M944" s="74"/>
      <c r="N944" s="74" t="s">
        <v>392</v>
      </c>
      <c r="O944" s="74" t="s">
        <v>402</v>
      </c>
      <c r="P944" s="74" t="s">
        <v>2574</v>
      </c>
      <c r="Q944" s="74" t="s">
        <v>2575</v>
      </c>
    </row>
    <row r="945" spans="3:17" x14ac:dyDescent="0.25">
      <c r="C945" s="74" t="s">
        <v>12256</v>
      </c>
      <c r="D945" s="74" t="s">
        <v>12257</v>
      </c>
      <c r="E945" s="74"/>
      <c r="F945" s="74">
        <v>1.41</v>
      </c>
      <c r="G945" s="74"/>
      <c r="H945" s="74"/>
      <c r="I945" s="74" t="s">
        <v>391</v>
      </c>
      <c r="J945" s="74"/>
      <c r="K945" s="74">
        <v>102.4</v>
      </c>
      <c r="L945" s="74">
        <v>92.16</v>
      </c>
      <c r="M945" s="74"/>
      <c r="N945" s="74" t="s">
        <v>392</v>
      </c>
      <c r="O945" s="74" t="s">
        <v>402</v>
      </c>
      <c r="P945" s="74" t="s">
        <v>12258</v>
      </c>
      <c r="Q945" s="74" t="s">
        <v>12259</v>
      </c>
    </row>
    <row r="946" spans="3:17" x14ac:dyDescent="0.25">
      <c r="C946" s="74" t="s">
        <v>10118</v>
      </c>
      <c r="D946" s="74" t="s">
        <v>10119</v>
      </c>
      <c r="E946" s="74"/>
      <c r="F946" s="74">
        <v>1.4</v>
      </c>
      <c r="G946" s="74"/>
      <c r="H946" s="74"/>
      <c r="I946" s="74" t="s">
        <v>391</v>
      </c>
      <c r="J946" s="74"/>
      <c r="K946" s="74">
        <v>102.4</v>
      </c>
      <c r="L946" s="74">
        <v>92.16</v>
      </c>
      <c r="M946" s="74"/>
      <c r="N946" s="74" t="s">
        <v>392</v>
      </c>
      <c r="O946" s="74" t="s">
        <v>402</v>
      </c>
      <c r="P946" s="74" t="s">
        <v>10120</v>
      </c>
      <c r="Q946" s="74" t="s">
        <v>10121</v>
      </c>
    </row>
    <row r="947" spans="3:17" x14ac:dyDescent="0.25">
      <c r="C947" s="74" t="s">
        <v>18345</v>
      </c>
      <c r="D947" s="74" t="s">
        <v>18346</v>
      </c>
      <c r="E947" s="74"/>
      <c r="F947" s="74">
        <v>1.39</v>
      </c>
      <c r="G947" s="74"/>
      <c r="H947" s="74"/>
      <c r="I947" s="74" t="s">
        <v>391</v>
      </c>
      <c r="J947" s="74"/>
      <c r="K947" s="74">
        <v>102.4</v>
      </c>
      <c r="L947" s="74">
        <v>92.16</v>
      </c>
      <c r="M947" s="74"/>
      <c r="N947" s="74" t="s">
        <v>392</v>
      </c>
      <c r="O947" s="74" t="s">
        <v>402</v>
      </c>
      <c r="P947" s="74" t="s">
        <v>18347</v>
      </c>
      <c r="Q947" s="74" t="s">
        <v>18348</v>
      </c>
    </row>
    <row r="948" spans="3:17" x14ac:dyDescent="0.25">
      <c r="C948" s="74" t="s">
        <v>3963</v>
      </c>
      <c r="D948" s="74" t="s">
        <v>3964</v>
      </c>
      <c r="E948" s="74"/>
      <c r="F948" s="74">
        <v>1.38</v>
      </c>
      <c r="G948" s="74"/>
      <c r="H948" s="74"/>
      <c r="I948" s="74" t="s">
        <v>391</v>
      </c>
      <c r="J948" s="74"/>
      <c r="K948" s="74">
        <v>102.4</v>
      </c>
      <c r="L948" s="74">
        <v>92.16</v>
      </c>
      <c r="M948" s="74"/>
      <c r="N948" s="74" t="s">
        <v>392</v>
      </c>
      <c r="O948" s="74" t="s">
        <v>402</v>
      </c>
      <c r="P948" s="74" t="s">
        <v>3965</v>
      </c>
      <c r="Q948" s="74" t="s">
        <v>3966</v>
      </c>
    </row>
    <row r="949" spans="3:17" x14ac:dyDescent="0.25">
      <c r="C949" s="74" t="s">
        <v>18741</v>
      </c>
      <c r="D949" s="74" t="s">
        <v>18742</v>
      </c>
      <c r="E949" s="74"/>
      <c r="F949" s="74">
        <v>1.38</v>
      </c>
      <c r="G949" s="74"/>
      <c r="H949" s="74"/>
      <c r="I949" s="74" t="s">
        <v>391</v>
      </c>
      <c r="J949" s="74"/>
      <c r="K949" s="74">
        <v>102.4</v>
      </c>
      <c r="L949" s="74">
        <v>92.16</v>
      </c>
      <c r="M949" s="74"/>
      <c r="N949" s="74" t="s">
        <v>392</v>
      </c>
      <c r="O949" s="74" t="s">
        <v>402</v>
      </c>
      <c r="P949" s="74" t="s">
        <v>18743</v>
      </c>
      <c r="Q949" s="74" t="s">
        <v>18744</v>
      </c>
    </row>
    <row r="950" spans="3:17" x14ac:dyDescent="0.25">
      <c r="C950" s="74" t="s">
        <v>20782</v>
      </c>
      <c r="D950" s="74" t="s">
        <v>20783</v>
      </c>
      <c r="E950" s="74"/>
      <c r="F950" s="74">
        <v>1.38</v>
      </c>
      <c r="G950" s="74"/>
      <c r="H950" s="74"/>
      <c r="I950" s="74" t="s">
        <v>391</v>
      </c>
      <c r="J950" s="74"/>
      <c r="K950" s="74">
        <v>102.4</v>
      </c>
      <c r="L950" s="74">
        <v>92.16</v>
      </c>
      <c r="M950" s="74"/>
      <c r="N950" s="74" t="s">
        <v>392</v>
      </c>
      <c r="O950" s="74" t="s">
        <v>402</v>
      </c>
      <c r="P950" s="74" t="s">
        <v>20784</v>
      </c>
      <c r="Q950" s="74" t="s">
        <v>20785</v>
      </c>
    </row>
    <row r="951" spans="3:17" x14ac:dyDescent="0.25">
      <c r="C951" s="74" t="s">
        <v>2531</v>
      </c>
      <c r="D951" s="74" t="s">
        <v>2532</v>
      </c>
      <c r="E951" s="74"/>
      <c r="F951" s="74">
        <v>1.37</v>
      </c>
      <c r="G951" s="74"/>
      <c r="H951" s="74"/>
      <c r="I951" s="74" t="s">
        <v>391</v>
      </c>
      <c r="J951" s="74"/>
      <c r="K951" s="74">
        <v>102.4</v>
      </c>
      <c r="L951" s="74">
        <v>92.16</v>
      </c>
      <c r="M951" s="74"/>
      <c r="N951" s="74" t="s">
        <v>392</v>
      </c>
      <c r="O951" s="74" t="s">
        <v>402</v>
      </c>
      <c r="P951" s="74" t="s">
        <v>2533</v>
      </c>
      <c r="Q951" s="74" t="s">
        <v>2534</v>
      </c>
    </row>
    <row r="952" spans="3:17" x14ac:dyDescent="0.25">
      <c r="C952" s="74" t="s">
        <v>6982</v>
      </c>
      <c r="D952" s="74" t="s">
        <v>6983</v>
      </c>
      <c r="E952" s="74"/>
      <c r="F952" s="74">
        <v>1.37</v>
      </c>
      <c r="G952" s="74"/>
      <c r="H952" s="74"/>
      <c r="I952" s="74" t="s">
        <v>391</v>
      </c>
      <c r="J952" s="74"/>
      <c r="K952" s="74">
        <v>102.4</v>
      </c>
      <c r="L952" s="74">
        <v>92.16</v>
      </c>
      <c r="M952" s="74"/>
      <c r="N952" s="74" t="s">
        <v>392</v>
      </c>
      <c r="O952" s="74" t="s">
        <v>402</v>
      </c>
      <c r="P952" s="74" t="s">
        <v>6984</v>
      </c>
      <c r="Q952" s="74" t="s">
        <v>6985</v>
      </c>
    </row>
    <row r="953" spans="3:17" x14ac:dyDescent="0.25">
      <c r="C953" s="74" t="s">
        <v>13280</v>
      </c>
      <c r="D953" s="74" t="s">
        <v>13281</v>
      </c>
      <c r="E953" s="74" t="s">
        <v>391</v>
      </c>
      <c r="F953" s="74">
        <v>1.37</v>
      </c>
      <c r="G953" s="74"/>
      <c r="H953" s="74"/>
      <c r="I953" s="74" t="s">
        <v>391</v>
      </c>
      <c r="J953" s="74"/>
      <c r="K953" s="74">
        <v>102.4</v>
      </c>
      <c r="L953" s="74">
        <v>92.16</v>
      </c>
      <c r="M953" s="74"/>
      <c r="N953" s="74" t="s">
        <v>392</v>
      </c>
      <c r="O953" s="74" t="s">
        <v>402</v>
      </c>
      <c r="P953" s="74" t="s">
        <v>13282</v>
      </c>
      <c r="Q953" s="74" t="s">
        <v>13283</v>
      </c>
    </row>
    <row r="954" spans="3:17" x14ac:dyDescent="0.25">
      <c r="C954" s="74" t="s">
        <v>18272</v>
      </c>
      <c r="D954" s="74" t="s">
        <v>18273</v>
      </c>
      <c r="E954" s="74" t="s">
        <v>391</v>
      </c>
      <c r="F954" s="74">
        <v>1.37</v>
      </c>
      <c r="G954" s="74"/>
      <c r="H954" s="74"/>
      <c r="I954" s="74" t="s">
        <v>391</v>
      </c>
      <c r="J954" s="74"/>
      <c r="K954" s="74">
        <v>102.4</v>
      </c>
      <c r="L954" s="74">
        <v>92.16</v>
      </c>
      <c r="M954" s="74"/>
      <c r="N954" s="74" t="s">
        <v>392</v>
      </c>
      <c r="O954" s="74" t="s">
        <v>393</v>
      </c>
      <c r="P954" s="74" t="s">
        <v>18274</v>
      </c>
      <c r="Q954" s="74" t="s">
        <v>18275</v>
      </c>
    </row>
    <row r="955" spans="3:17" x14ac:dyDescent="0.25">
      <c r="C955" s="74" t="s">
        <v>9635</v>
      </c>
      <c r="D955" s="74" t="s">
        <v>9636</v>
      </c>
      <c r="E955" s="74"/>
      <c r="F955" s="74">
        <v>1.36</v>
      </c>
      <c r="G955" s="74"/>
      <c r="H955" s="74"/>
      <c r="I955" s="74" t="s">
        <v>391</v>
      </c>
      <c r="J955" s="74"/>
      <c r="K955" s="74">
        <v>102.4</v>
      </c>
      <c r="L955" s="74">
        <v>92.16</v>
      </c>
      <c r="M955" s="74"/>
      <c r="N955" s="74" t="s">
        <v>392</v>
      </c>
      <c r="O955" s="74" t="s">
        <v>402</v>
      </c>
      <c r="P955" s="74" t="s">
        <v>9637</v>
      </c>
      <c r="Q955" s="74" t="s">
        <v>9638</v>
      </c>
    </row>
    <row r="956" spans="3:17" x14ac:dyDescent="0.25">
      <c r="C956" s="74" t="s">
        <v>17892</v>
      </c>
      <c r="D956" s="74" t="s">
        <v>17893</v>
      </c>
      <c r="E956" s="74" t="s">
        <v>391</v>
      </c>
      <c r="F956" s="74">
        <v>1.36</v>
      </c>
      <c r="G956" s="74"/>
      <c r="H956" s="74"/>
      <c r="I956" s="74" t="s">
        <v>391</v>
      </c>
      <c r="J956" s="74"/>
      <c r="K956" s="74">
        <v>102.4</v>
      </c>
      <c r="L956" s="74">
        <v>92.16</v>
      </c>
      <c r="M956" s="74"/>
      <c r="N956" s="74" t="s">
        <v>392</v>
      </c>
      <c r="O956" s="74" t="s">
        <v>393</v>
      </c>
      <c r="P956" s="74" t="s">
        <v>17894</v>
      </c>
      <c r="Q956" s="74" t="s">
        <v>17895</v>
      </c>
    </row>
    <row r="957" spans="3:17" x14ac:dyDescent="0.25">
      <c r="C957" s="74" t="s">
        <v>19198</v>
      </c>
      <c r="D957" s="74" t="s">
        <v>19199</v>
      </c>
      <c r="E957" s="74"/>
      <c r="F957" s="74">
        <v>1.36</v>
      </c>
      <c r="G957" s="74"/>
      <c r="H957" s="74"/>
      <c r="I957" s="74" t="s">
        <v>391</v>
      </c>
      <c r="J957" s="74"/>
      <c r="K957" s="74">
        <v>102.4</v>
      </c>
      <c r="L957" s="74">
        <v>92.16</v>
      </c>
      <c r="M957" s="74"/>
      <c r="N957" s="74" t="s">
        <v>392</v>
      </c>
      <c r="O957" s="74" t="s">
        <v>402</v>
      </c>
      <c r="P957" s="74" t="s">
        <v>19200</v>
      </c>
      <c r="Q957" s="74" t="s">
        <v>19201</v>
      </c>
    </row>
    <row r="958" spans="3:17" x14ac:dyDescent="0.25">
      <c r="C958" s="74" t="s">
        <v>7304</v>
      </c>
      <c r="D958" s="74" t="s">
        <v>7305</v>
      </c>
      <c r="E958" s="74"/>
      <c r="F958" s="74">
        <v>1.35</v>
      </c>
      <c r="G958" s="74">
        <v>5</v>
      </c>
      <c r="H958" s="74"/>
      <c r="I958" s="74" t="s">
        <v>391</v>
      </c>
      <c r="J958" s="74"/>
      <c r="K958" s="74">
        <v>102.4</v>
      </c>
      <c r="L958" s="74">
        <v>92.16</v>
      </c>
      <c r="M958" s="74"/>
      <c r="N958" s="74" t="s">
        <v>392</v>
      </c>
      <c r="O958" s="74" t="s">
        <v>402</v>
      </c>
      <c r="P958" s="74" t="s">
        <v>7306</v>
      </c>
      <c r="Q958" s="74" t="s">
        <v>7307</v>
      </c>
    </row>
    <row r="959" spans="3:17" x14ac:dyDescent="0.25">
      <c r="C959" s="74" t="s">
        <v>15932</v>
      </c>
      <c r="D959" s="74" t="s">
        <v>15933</v>
      </c>
      <c r="E959" s="74"/>
      <c r="F959" s="74">
        <v>1.35</v>
      </c>
      <c r="G959" s="74"/>
      <c r="H959" s="74"/>
      <c r="I959" s="74" t="s">
        <v>391</v>
      </c>
      <c r="J959" s="74"/>
      <c r="K959" s="74">
        <v>102.4</v>
      </c>
      <c r="L959" s="74">
        <v>92.16</v>
      </c>
      <c r="M959" s="74"/>
      <c r="N959" s="74" t="s">
        <v>392</v>
      </c>
      <c r="O959" s="74" t="s">
        <v>402</v>
      </c>
      <c r="P959" s="74" t="s">
        <v>15934</v>
      </c>
      <c r="Q959" s="74" t="s">
        <v>15935</v>
      </c>
    </row>
    <row r="960" spans="3:17" x14ac:dyDescent="0.25">
      <c r="C960" s="74" t="s">
        <v>17874</v>
      </c>
      <c r="D960" s="74" t="s">
        <v>17875</v>
      </c>
      <c r="E960" s="74"/>
      <c r="F960" s="74">
        <v>1.35</v>
      </c>
      <c r="G960" s="74"/>
      <c r="H960" s="74"/>
      <c r="I960" s="74" t="s">
        <v>391</v>
      </c>
      <c r="J960" s="74"/>
      <c r="K960" s="74">
        <v>102.4</v>
      </c>
      <c r="L960" s="74">
        <v>92.16</v>
      </c>
      <c r="M960" s="74"/>
      <c r="N960" s="74" t="s">
        <v>392</v>
      </c>
      <c r="O960" s="74" t="s">
        <v>402</v>
      </c>
      <c r="P960" s="74" t="s">
        <v>17876</v>
      </c>
      <c r="Q960" s="74" t="s">
        <v>17877</v>
      </c>
    </row>
    <row r="961" spans="3:17" x14ac:dyDescent="0.25">
      <c r="C961" s="74" t="s">
        <v>20778</v>
      </c>
      <c r="D961" s="74" t="s">
        <v>20779</v>
      </c>
      <c r="E961" s="74"/>
      <c r="F961" s="74">
        <v>1.35</v>
      </c>
      <c r="G961" s="74"/>
      <c r="H961" s="74"/>
      <c r="I961" s="74" t="s">
        <v>391</v>
      </c>
      <c r="J961" s="74"/>
      <c r="K961" s="74">
        <v>102.4</v>
      </c>
      <c r="L961" s="74">
        <v>92.16</v>
      </c>
      <c r="M961" s="74"/>
      <c r="N961" s="74" t="s">
        <v>392</v>
      </c>
      <c r="O961" s="74" t="s">
        <v>402</v>
      </c>
      <c r="P961" s="74" t="s">
        <v>20780</v>
      </c>
      <c r="Q961" s="74" t="s">
        <v>20781</v>
      </c>
    </row>
    <row r="962" spans="3:17" x14ac:dyDescent="0.25">
      <c r="C962" s="74" t="s">
        <v>438</v>
      </c>
      <c r="D962" s="74" t="s">
        <v>439</v>
      </c>
      <c r="E962" s="74"/>
      <c r="F962" s="74">
        <v>1.34</v>
      </c>
      <c r="G962" s="74"/>
      <c r="H962" s="74"/>
      <c r="I962" s="74" t="s">
        <v>391</v>
      </c>
      <c r="J962" s="74"/>
      <c r="K962" s="74">
        <v>102.4</v>
      </c>
      <c r="L962" s="74">
        <v>92.16</v>
      </c>
      <c r="M962" s="74"/>
      <c r="N962" s="74" t="s">
        <v>392</v>
      </c>
      <c r="O962" s="74" t="s">
        <v>402</v>
      </c>
      <c r="P962" s="74" t="s">
        <v>440</v>
      </c>
      <c r="Q962" s="74" t="s">
        <v>441</v>
      </c>
    </row>
    <row r="963" spans="3:17" x14ac:dyDescent="0.25">
      <c r="C963" s="74" t="s">
        <v>12174</v>
      </c>
      <c r="D963" s="74" t="s">
        <v>12175</v>
      </c>
      <c r="E963" s="74"/>
      <c r="F963" s="74">
        <v>1.34</v>
      </c>
      <c r="G963" s="74"/>
      <c r="H963" s="74"/>
      <c r="I963" s="74" t="s">
        <v>391</v>
      </c>
      <c r="J963" s="74"/>
      <c r="K963" s="74">
        <v>102.4</v>
      </c>
      <c r="L963" s="74">
        <v>92.16</v>
      </c>
      <c r="M963" s="74"/>
      <c r="N963" s="74" t="s">
        <v>392</v>
      </c>
      <c r="O963" s="74" t="s">
        <v>402</v>
      </c>
      <c r="P963" s="74" t="s">
        <v>12176</v>
      </c>
      <c r="Q963" s="74" t="s">
        <v>12177</v>
      </c>
    </row>
    <row r="964" spans="3:17" x14ac:dyDescent="0.25">
      <c r="C964" s="74" t="s">
        <v>14141</v>
      </c>
      <c r="D964" s="74" t="s">
        <v>14142</v>
      </c>
      <c r="E964" s="74"/>
      <c r="F964" s="74">
        <v>1.34</v>
      </c>
      <c r="G964" s="74"/>
      <c r="H964" s="74"/>
      <c r="I964" s="74" t="s">
        <v>391</v>
      </c>
      <c r="J964" s="74"/>
      <c r="K964" s="74">
        <v>102.4</v>
      </c>
      <c r="L964" s="74">
        <v>92.16</v>
      </c>
      <c r="M964" s="74"/>
      <c r="N964" s="74" t="s">
        <v>392</v>
      </c>
      <c r="O964" s="74" t="s">
        <v>402</v>
      </c>
      <c r="P964" s="74" t="s">
        <v>14143</v>
      </c>
      <c r="Q964" s="74" t="s">
        <v>14144</v>
      </c>
    </row>
    <row r="965" spans="3:17" x14ac:dyDescent="0.25">
      <c r="C965" s="74" t="s">
        <v>14395</v>
      </c>
      <c r="D965" s="74" t="s">
        <v>14396</v>
      </c>
      <c r="E965" s="74"/>
      <c r="F965" s="74">
        <v>1.34</v>
      </c>
      <c r="G965" s="74"/>
      <c r="H965" s="74"/>
      <c r="I965" s="74" t="s">
        <v>391</v>
      </c>
      <c r="J965" s="74"/>
      <c r="K965" s="74">
        <v>102.4</v>
      </c>
      <c r="L965" s="74">
        <v>92.16</v>
      </c>
      <c r="M965" s="74"/>
      <c r="N965" s="74" t="s">
        <v>392</v>
      </c>
      <c r="O965" s="74" t="s">
        <v>402</v>
      </c>
      <c r="P965" s="74" t="s">
        <v>14397</v>
      </c>
      <c r="Q965" s="74" t="s">
        <v>14398</v>
      </c>
    </row>
    <row r="966" spans="3:17" x14ac:dyDescent="0.25">
      <c r="C966" s="74" t="s">
        <v>16211</v>
      </c>
      <c r="D966" s="74" t="s">
        <v>16212</v>
      </c>
      <c r="E966" s="74"/>
      <c r="F966" s="74">
        <v>1.34</v>
      </c>
      <c r="G966" s="74"/>
      <c r="H966" s="74"/>
      <c r="I966" s="74" t="s">
        <v>391</v>
      </c>
      <c r="J966" s="74"/>
      <c r="K966" s="74">
        <v>102.4</v>
      </c>
      <c r="L966" s="74">
        <v>92.16</v>
      </c>
      <c r="M966" s="74"/>
      <c r="N966" s="74" t="s">
        <v>392</v>
      </c>
      <c r="O966" s="74" t="s">
        <v>402</v>
      </c>
      <c r="P966" s="74" t="s">
        <v>16213</v>
      </c>
      <c r="Q966" s="74" t="s">
        <v>16214</v>
      </c>
    </row>
    <row r="967" spans="3:17" x14ac:dyDescent="0.25">
      <c r="C967" s="74" t="s">
        <v>20438</v>
      </c>
      <c r="D967" s="74" t="s">
        <v>20439</v>
      </c>
      <c r="E967" s="74"/>
      <c r="F967" s="74">
        <v>1.34</v>
      </c>
      <c r="G967" s="74"/>
      <c r="H967" s="74"/>
      <c r="I967" s="74" t="s">
        <v>391</v>
      </c>
      <c r="J967" s="74"/>
      <c r="K967" s="74">
        <v>102.4</v>
      </c>
      <c r="L967" s="74">
        <v>92.16</v>
      </c>
      <c r="M967" s="74"/>
      <c r="N967" s="74" t="s">
        <v>392</v>
      </c>
      <c r="O967" s="74" t="s">
        <v>402</v>
      </c>
      <c r="P967" s="74" t="s">
        <v>20440</v>
      </c>
      <c r="Q967" s="74" t="s">
        <v>20441</v>
      </c>
    </row>
    <row r="968" spans="3:17" x14ac:dyDescent="0.25">
      <c r="C968" s="74" t="s">
        <v>2243</v>
      </c>
      <c r="D968" s="74" t="s">
        <v>2244</v>
      </c>
      <c r="E968" s="74" t="s">
        <v>391</v>
      </c>
      <c r="F968" s="74">
        <v>1.33</v>
      </c>
      <c r="G968" s="74"/>
      <c r="H968" s="74"/>
      <c r="I968" s="74" t="s">
        <v>391</v>
      </c>
      <c r="J968" s="74"/>
      <c r="K968" s="74">
        <v>102.4</v>
      </c>
      <c r="L968" s="74">
        <v>92.16</v>
      </c>
      <c r="M968" s="74"/>
      <c r="N968" s="74" t="s">
        <v>392</v>
      </c>
      <c r="O968" s="74" t="s">
        <v>393</v>
      </c>
      <c r="P968" s="74"/>
      <c r="Q968" s="74" t="s">
        <v>2245</v>
      </c>
    </row>
    <row r="969" spans="3:17" x14ac:dyDescent="0.25">
      <c r="C969" s="74" t="s">
        <v>4736</v>
      </c>
      <c r="D969" s="74" t="s">
        <v>4737</v>
      </c>
      <c r="E969" s="74"/>
      <c r="F969" s="74">
        <v>1.33</v>
      </c>
      <c r="G969" s="74"/>
      <c r="H969" s="74"/>
      <c r="I969" s="74" t="s">
        <v>391</v>
      </c>
      <c r="J969" s="74"/>
      <c r="K969" s="74">
        <v>102.4</v>
      </c>
      <c r="L969" s="74">
        <v>92.16</v>
      </c>
      <c r="M969" s="74"/>
      <c r="N969" s="74" t="s">
        <v>392</v>
      </c>
      <c r="O969" s="74" t="s">
        <v>402</v>
      </c>
      <c r="P969" s="74" t="s">
        <v>4738</v>
      </c>
      <c r="Q969" s="74" t="s">
        <v>4739</v>
      </c>
    </row>
    <row r="970" spans="3:17" x14ac:dyDescent="0.25">
      <c r="C970" s="74" t="s">
        <v>6904</v>
      </c>
      <c r="D970" s="74" t="s">
        <v>6905</v>
      </c>
      <c r="E970" s="74"/>
      <c r="F970" s="74">
        <v>1.33</v>
      </c>
      <c r="G970" s="74"/>
      <c r="H970" s="74"/>
      <c r="I970" s="74" t="s">
        <v>391</v>
      </c>
      <c r="J970" s="74"/>
      <c r="K970" s="74">
        <v>102.4</v>
      </c>
      <c r="L970" s="74">
        <v>92.16</v>
      </c>
      <c r="M970" s="74"/>
      <c r="N970" s="74" t="s">
        <v>392</v>
      </c>
      <c r="O970" s="74" t="s">
        <v>402</v>
      </c>
      <c r="P970" s="74" t="s">
        <v>6906</v>
      </c>
      <c r="Q970" s="74" t="s">
        <v>6907</v>
      </c>
    </row>
    <row r="971" spans="3:17" x14ac:dyDescent="0.25">
      <c r="C971" s="74" t="s">
        <v>13484</v>
      </c>
      <c r="D971" s="74" t="s">
        <v>13485</v>
      </c>
      <c r="E971" s="74"/>
      <c r="F971" s="74">
        <v>1.33</v>
      </c>
      <c r="G971" s="74"/>
      <c r="H971" s="74"/>
      <c r="I971" s="74" t="s">
        <v>391</v>
      </c>
      <c r="J971" s="74"/>
      <c r="K971" s="74">
        <v>102.4</v>
      </c>
      <c r="L971" s="74">
        <v>92.16</v>
      </c>
      <c r="M971" s="74"/>
      <c r="N971" s="74" t="s">
        <v>392</v>
      </c>
      <c r="O971" s="74" t="s">
        <v>402</v>
      </c>
      <c r="P971" s="74" t="s">
        <v>13486</v>
      </c>
      <c r="Q971" s="74" t="s">
        <v>13487</v>
      </c>
    </row>
    <row r="972" spans="3:17" x14ac:dyDescent="0.25">
      <c r="C972" s="74" t="s">
        <v>19333</v>
      </c>
      <c r="D972" s="74" t="s">
        <v>19334</v>
      </c>
      <c r="E972" s="74"/>
      <c r="F972" s="74">
        <v>1.33</v>
      </c>
      <c r="G972" s="74"/>
      <c r="H972" s="74"/>
      <c r="I972" s="74" t="s">
        <v>391</v>
      </c>
      <c r="J972" s="74"/>
      <c r="K972" s="74">
        <v>102.4</v>
      </c>
      <c r="L972" s="74">
        <v>92.16</v>
      </c>
      <c r="M972" s="74"/>
      <c r="N972" s="74" t="s">
        <v>392</v>
      </c>
      <c r="O972" s="74" t="s">
        <v>402</v>
      </c>
      <c r="P972" s="74" t="s">
        <v>19335</v>
      </c>
      <c r="Q972" s="74" t="s">
        <v>19336</v>
      </c>
    </row>
    <row r="973" spans="3:17" x14ac:dyDescent="0.25">
      <c r="C973" s="74" t="s">
        <v>1714</v>
      </c>
      <c r="D973" s="74" t="s">
        <v>1715</v>
      </c>
      <c r="E973" s="74"/>
      <c r="F973" s="74">
        <v>1.32</v>
      </c>
      <c r="G973" s="74"/>
      <c r="H973" s="74"/>
      <c r="I973" s="74" t="s">
        <v>391</v>
      </c>
      <c r="J973" s="74"/>
      <c r="K973" s="74">
        <v>102.4</v>
      </c>
      <c r="L973" s="74">
        <v>92.16</v>
      </c>
      <c r="M973" s="74"/>
      <c r="N973" s="74" t="s">
        <v>392</v>
      </c>
      <c r="O973" s="74" t="s">
        <v>402</v>
      </c>
      <c r="P973" s="74" t="s">
        <v>1716</v>
      </c>
      <c r="Q973" s="74" t="s">
        <v>1717</v>
      </c>
    </row>
    <row r="974" spans="3:17" x14ac:dyDescent="0.25">
      <c r="C974" s="74" t="s">
        <v>3457</v>
      </c>
      <c r="D974" s="74" t="s">
        <v>3458</v>
      </c>
      <c r="E974" s="74"/>
      <c r="F974" s="74">
        <v>1.32</v>
      </c>
      <c r="G974" s="74"/>
      <c r="H974" s="74"/>
      <c r="I974" s="74" t="s">
        <v>391</v>
      </c>
      <c r="J974" s="74"/>
      <c r="K974" s="74">
        <v>102.4</v>
      </c>
      <c r="L974" s="74">
        <v>92.16</v>
      </c>
      <c r="M974" s="74"/>
      <c r="N974" s="74" t="s">
        <v>392</v>
      </c>
      <c r="O974" s="74" t="s">
        <v>402</v>
      </c>
      <c r="P974" s="74" t="s">
        <v>3459</v>
      </c>
      <c r="Q974" s="74" t="s">
        <v>3460</v>
      </c>
    </row>
    <row r="975" spans="3:17" x14ac:dyDescent="0.25">
      <c r="C975" s="74" t="s">
        <v>3845</v>
      </c>
      <c r="D975" s="74" t="s">
        <v>3846</v>
      </c>
      <c r="E975" s="74"/>
      <c r="F975" s="74">
        <v>1.32</v>
      </c>
      <c r="G975" s="74"/>
      <c r="H975" s="74"/>
      <c r="I975" s="74" t="s">
        <v>391</v>
      </c>
      <c r="J975" s="74"/>
      <c r="K975" s="74">
        <v>102.4</v>
      </c>
      <c r="L975" s="74">
        <v>92.16</v>
      </c>
      <c r="M975" s="74"/>
      <c r="N975" s="74" t="s">
        <v>392</v>
      </c>
      <c r="O975" s="74" t="s">
        <v>402</v>
      </c>
      <c r="P975" s="74" t="s">
        <v>3847</v>
      </c>
      <c r="Q975" s="74" t="s">
        <v>3848</v>
      </c>
    </row>
    <row r="976" spans="3:17" x14ac:dyDescent="0.25">
      <c r="C976" s="74" t="s">
        <v>13988</v>
      </c>
      <c r="D976" s="74" t="s">
        <v>13989</v>
      </c>
      <c r="E976" s="74"/>
      <c r="F976" s="74">
        <v>1.32</v>
      </c>
      <c r="G976" s="74"/>
      <c r="H976" s="74"/>
      <c r="I976" s="74" t="s">
        <v>391</v>
      </c>
      <c r="J976" s="74"/>
      <c r="K976" s="74">
        <v>102.4</v>
      </c>
      <c r="L976" s="74">
        <v>92.16</v>
      </c>
      <c r="M976" s="74"/>
      <c r="N976" s="74" t="s">
        <v>392</v>
      </c>
      <c r="O976" s="74" t="s">
        <v>402</v>
      </c>
      <c r="P976" s="74" t="s">
        <v>13990</v>
      </c>
      <c r="Q976" s="74" t="s">
        <v>13991</v>
      </c>
    </row>
    <row r="977" spans="3:17" x14ac:dyDescent="0.25">
      <c r="C977" s="74" t="s">
        <v>1680</v>
      </c>
      <c r="D977" s="74" t="s">
        <v>1681</v>
      </c>
      <c r="E977" s="74"/>
      <c r="F977" s="74">
        <v>1.31</v>
      </c>
      <c r="G977" s="74"/>
      <c r="H977" s="74"/>
      <c r="I977" s="74" t="s">
        <v>391</v>
      </c>
      <c r="J977" s="74"/>
      <c r="K977" s="74">
        <v>102.4</v>
      </c>
      <c r="L977" s="74">
        <v>92.16</v>
      </c>
      <c r="M977" s="74"/>
      <c r="N977" s="74" t="s">
        <v>392</v>
      </c>
      <c r="O977" s="74" t="s">
        <v>402</v>
      </c>
      <c r="P977" s="74" t="s">
        <v>1682</v>
      </c>
      <c r="Q977" s="74" t="s">
        <v>1683</v>
      </c>
    </row>
    <row r="978" spans="3:17" x14ac:dyDescent="0.25">
      <c r="C978" s="74" t="s">
        <v>2050</v>
      </c>
      <c r="D978" s="74" t="s">
        <v>2051</v>
      </c>
      <c r="E978" s="74"/>
      <c r="F978" s="74">
        <v>1.31</v>
      </c>
      <c r="G978" s="74"/>
      <c r="H978" s="74"/>
      <c r="I978" s="74" t="s">
        <v>391</v>
      </c>
      <c r="J978" s="74"/>
      <c r="K978" s="74">
        <v>102.4</v>
      </c>
      <c r="L978" s="74">
        <v>92.16</v>
      </c>
      <c r="M978" s="74"/>
      <c r="N978" s="74" t="s">
        <v>392</v>
      </c>
      <c r="O978" s="74" t="s">
        <v>402</v>
      </c>
      <c r="P978" s="74" t="s">
        <v>2052</v>
      </c>
      <c r="Q978" s="74" t="s">
        <v>2053</v>
      </c>
    </row>
    <row r="979" spans="3:17" x14ac:dyDescent="0.25">
      <c r="C979" s="74" t="s">
        <v>16301</v>
      </c>
      <c r="D979" s="74" t="s">
        <v>16302</v>
      </c>
      <c r="E979" s="74"/>
      <c r="F979" s="74">
        <v>1.31</v>
      </c>
      <c r="G979" s="74"/>
      <c r="H979" s="74"/>
      <c r="I979" s="74" t="s">
        <v>391</v>
      </c>
      <c r="J979" s="74"/>
      <c r="K979" s="74">
        <v>102.4</v>
      </c>
      <c r="L979" s="74">
        <v>92.16</v>
      </c>
      <c r="M979" s="74"/>
      <c r="N979" s="74" t="s">
        <v>392</v>
      </c>
      <c r="O979" s="74" t="s">
        <v>402</v>
      </c>
      <c r="P979" s="74" t="s">
        <v>16303</v>
      </c>
      <c r="Q979" s="74" t="s">
        <v>16304</v>
      </c>
    </row>
    <row r="980" spans="3:17" x14ac:dyDescent="0.25">
      <c r="C980" s="74" t="s">
        <v>17589</v>
      </c>
      <c r="D980" s="74" t="s">
        <v>17590</v>
      </c>
      <c r="E980" s="74"/>
      <c r="F980" s="74">
        <v>1.31</v>
      </c>
      <c r="G980" s="74"/>
      <c r="H980" s="74"/>
      <c r="I980" s="74" t="s">
        <v>391</v>
      </c>
      <c r="J980" s="74"/>
      <c r="K980" s="74">
        <v>102.4</v>
      </c>
      <c r="L980" s="74">
        <v>92.16</v>
      </c>
      <c r="M980" s="74"/>
      <c r="N980" s="74" t="s">
        <v>392</v>
      </c>
      <c r="O980" s="74" t="s">
        <v>402</v>
      </c>
      <c r="P980" s="74" t="s">
        <v>17591</v>
      </c>
      <c r="Q980" s="74" t="s">
        <v>17592</v>
      </c>
    </row>
    <row r="981" spans="3:17" x14ac:dyDescent="0.25">
      <c r="C981" s="74" t="s">
        <v>17888</v>
      </c>
      <c r="D981" s="74" t="s">
        <v>17889</v>
      </c>
      <c r="E981" s="74"/>
      <c r="F981" s="74">
        <v>1.31</v>
      </c>
      <c r="G981" s="74"/>
      <c r="H981" s="74"/>
      <c r="I981" s="74" t="s">
        <v>391</v>
      </c>
      <c r="J981" s="74"/>
      <c r="K981" s="74">
        <v>102.4</v>
      </c>
      <c r="L981" s="74">
        <v>92.16</v>
      </c>
      <c r="M981" s="74"/>
      <c r="N981" s="74" t="s">
        <v>392</v>
      </c>
      <c r="O981" s="74" t="s">
        <v>402</v>
      </c>
      <c r="P981" s="74" t="s">
        <v>17890</v>
      </c>
      <c r="Q981" s="74" t="s">
        <v>17891</v>
      </c>
    </row>
    <row r="982" spans="3:17" x14ac:dyDescent="0.25">
      <c r="C982" s="74" t="s">
        <v>4828</v>
      </c>
      <c r="D982" s="74" t="s">
        <v>4829</v>
      </c>
      <c r="E982" s="74"/>
      <c r="F982" s="74">
        <v>1.3</v>
      </c>
      <c r="G982" s="74"/>
      <c r="H982" s="74"/>
      <c r="I982" s="74" t="s">
        <v>391</v>
      </c>
      <c r="J982" s="74"/>
      <c r="K982" s="74">
        <v>102.4</v>
      </c>
      <c r="L982" s="74">
        <v>92.16</v>
      </c>
      <c r="M982" s="74"/>
      <c r="N982" s="74" t="s">
        <v>392</v>
      </c>
      <c r="O982" s="74" t="s">
        <v>402</v>
      </c>
      <c r="P982" s="74" t="s">
        <v>4830</v>
      </c>
      <c r="Q982" s="74" t="s">
        <v>4831</v>
      </c>
    </row>
    <row r="983" spans="3:17" x14ac:dyDescent="0.25">
      <c r="C983" s="74" t="s">
        <v>8119</v>
      </c>
      <c r="D983" s="74" t="s">
        <v>8120</v>
      </c>
      <c r="E983" s="74"/>
      <c r="F983" s="74">
        <v>1.3</v>
      </c>
      <c r="G983" s="74"/>
      <c r="H983" s="74"/>
      <c r="I983" s="74" t="s">
        <v>391</v>
      </c>
      <c r="J983" s="74"/>
      <c r="K983" s="74">
        <v>102.4</v>
      </c>
      <c r="L983" s="74">
        <v>92.16</v>
      </c>
      <c r="M983" s="74"/>
      <c r="N983" s="74" t="s">
        <v>392</v>
      </c>
      <c r="O983" s="74" t="s">
        <v>402</v>
      </c>
      <c r="P983" s="74" t="s">
        <v>8121</v>
      </c>
      <c r="Q983" s="74" t="s">
        <v>8122</v>
      </c>
    </row>
    <row r="984" spans="3:17" x14ac:dyDescent="0.25">
      <c r="C984" s="74" t="s">
        <v>11976</v>
      </c>
      <c r="D984" s="74" t="s">
        <v>11977</v>
      </c>
      <c r="E984" s="74"/>
      <c r="F984" s="74">
        <v>1.3</v>
      </c>
      <c r="G984" s="74"/>
      <c r="H984" s="74"/>
      <c r="I984" s="74" t="s">
        <v>391</v>
      </c>
      <c r="J984" s="74"/>
      <c r="K984" s="74">
        <v>102.4</v>
      </c>
      <c r="L984" s="74">
        <v>92.16</v>
      </c>
      <c r="M984" s="74"/>
      <c r="N984" s="74" t="s">
        <v>392</v>
      </c>
      <c r="O984" s="74" t="s">
        <v>402</v>
      </c>
      <c r="P984" s="74" t="s">
        <v>11978</v>
      </c>
      <c r="Q984" s="74" t="s">
        <v>11979</v>
      </c>
    </row>
    <row r="985" spans="3:17" x14ac:dyDescent="0.25">
      <c r="C985" s="74" t="s">
        <v>3835</v>
      </c>
      <c r="D985" s="74" t="s">
        <v>3836</v>
      </c>
      <c r="E985" s="74"/>
      <c r="F985" s="74">
        <v>1.29</v>
      </c>
      <c r="G985" s="74"/>
      <c r="H985" s="74"/>
      <c r="I985" s="74" t="s">
        <v>391</v>
      </c>
      <c r="J985" s="74"/>
      <c r="K985" s="74">
        <v>102.4</v>
      </c>
      <c r="L985" s="74">
        <v>92.16</v>
      </c>
      <c r="M985" s="74"/>
      <c r="N985" s="74" t="s">
        <v>392</v>
      </c>
      <c r="O985" s="74" t="s">
        <v>402</v>
      </c>
      <c r="P985" s="74" t="s">
        <v>3837</v>
      </c>
      <c r="Q985" s="74" t="s">
        <v>3838</v>
      </c>
    </row>
    <row r="986" spans="3:17" x14ac:dyDescent="0.25">
      <c r="C986" s="74" t="s">
        <v>7162</v>
      </c>
      <c r="D986" s="74" t="s">
        <v>7163</v>
      </c>
      <c r="E986" s="74"/>
      <c r="F986" s="74">
        <v>1.29</v>
      </c>
      <c r="G986" s="74"/>
      <c r="H986" s="74"/>
      <c r="I986" s="74" t="s">
        <v>391</v>
      </c>
      <c r="J986" s="74"/>
      <c r="K986" s="74">
        <v>102.4</v>
      </c>
      <c r="L986" s="74">
        <v>92.16</v>
      </c>
      <c r="M986" s="74"/>
      <c r="N986" s="74" t="s">
        <v>392</v>
      </c>
      <c r="O986" s="74" t="s">
        <v>402</v>
      </c>
      <c r="P986" s="74" t="s">
        <v>7164</v>
      </c>
      <c r="Q986" s="74" t="s">
        <v>7165</v>
      </c>
    </row>
    <row r="987" spans="3:17" x14ac:dyDescent="0.25">
      <c r="C987" s="74" t="s">
        <v>19861</v>
      </c>
      <c r="D987" s="74" t="s">
        <v>19862</v>
      </c>
      <c r="E987" s="74"/>
      <c r="F987" s="74">
        <v>1.29</v>
      </c>
      <c r="G987" s="74"/>
      <c r="H987" s="74"/>
      <c r="I987" s="74" t="s">
        <v>391</v>
      </c>
      <c r="J987" s="74"/>
      <c r="K987" s="74">
        <v>102.4</v>
      </c>
      <c r="L987" s="74">
        <v>92.16</v>
      </c>
      <c r="M987" s="74"/>
      <c r="N987" s="74" t="s">
        <v>392</v>
      </c>
      <c r="O987" s="74" t="s">
        <v>402</v>
      </c>
      <c r="P987" s="74" t="s">
        <v>19863</v>
      </c>
      <c r="Q987" s="74" t="s">
        <v>19864</v>
      </c>
    </row>
    <row r="988" spans="3:17" x14ac:dyDescent="0.25">
      <c r="C988" s="74" t="s">
        <v>9016</v>
      </c>
      <c r="D988" s="74" t="s">
        <v>9017</v>
      </c>
      <c r="E988" s="74"/>
      <c r="F988" s="74">
        <v>1.28</v>
      </c>
      <c r="G988" s="74"/>
      <c r="H988" s="74"/>
      <c r="I988" s="74" t="s">
        <v>391</v>
      </c>
      <c r="J988" s="74"/>
      <c r="K988" s="74">
        <v>102.4</v>
      </c>
      <c r="L988" s="74">
        <v>92.16</v>
      </c>
      <c r="M988" s="74"/>
      <c r="N988" s="74" t="s">
        <v>392</v>
      </c>
      <c r="O988" s="74" t="s">
        <v>402</v>
      </c>
      <c r="P988" s="74" t="s">
        <v>9018</v>
      </c>
      <c r="Q988" s="74" t="s">
        <v>9019</v>
      </c>
    </row>
    <row r="989" spans="3:17" x14ac:dyDescent="0.25">
      <c r="C989" s="74" t="s">
        <v>10880</v>
      </c>
      <c r="D989" s="74" t="s">
        <v>10881</v>
      </c>
      <c r="E989" s="74"/>
      <c r="F989" s="74">
        <v>1.28</v>
      </c>
      <c r="G989" s="74"/>
      <c r="H989" s="74"/>
      <c r="I989" s="74" t="s">
        <v>391</v>
      </c>
      <c r="J989" s="74"/>
      <c r="K989" s="74">
        <v>102.4</v>
      </c>
      <c r="L989" s="74">
        <v>92.16</v>
      </c>
      <c r="M989" s="74"/>
      <c r="N989" s="74" t="s">
        <v>392</v>
      </c>
      <c r="O989" s="74" t="s">
        <v>402</v>
      </c>
      <c r="P989" s="74" t="s">
        <v>10882</v>
      </c>
      <c r="Q989" s="74" t="s">
        <v>10883</v>
      </c>
    </row>
    <row r="990" spans="3:17" x14ac:dyDescent="0.25">
      <c r="C990" s="74" t="s">
        <v>6088</v>
      </c>
      <c r="D990" s="74" t="s">
        <v>6089</v>
      </c>
      <c r="E990" s="74"/>
      <c r="F990" s="74">
        <v>1.26</v>
      </c>
      <c r="G990" s="74"/>
      <c r="H990" s="74"/>
      <c r="I990" s="74" t="s">
        <v>391</v>
      </c>
      <c r="J990" s="74"/>
      <c r="K990" s="74">
        <v>102.4</v>
      </c>
      <c r="L990" s="74">
        <v>92.16</v>
      </c>
      <c r="M990" s="74"/>
      <c r="N990" s="74" t="s">
        <v>392</v>
      </c>
      <c r="O990" s="74" t="s">
        <v>402</v>
      </c>
      <c r="P990" s="74" t="s">
        <v>6090</v>
      </c>
      <c r="Q990" s="74" t="s">
        <v>6091</v>
      </c>
    </row>
    <row r="991" spans="3:17" x14ac:dyDescent="0.25">
      <c r="C991" s="74" t="s">
        <v>7550</v>
      </c>
      <c r="D991" s="74" t="s">
        <v>7551</v>
      </c>
      <c r="E991" s="74"/>
      <c r="F991" s="74">
        <v>1.26</v>
      </c>
      <c r="G991" s="74"/>
      <c r="H991" s="74"/>
      <c r="I991" s="74" t="s">
        <v>391</v>
      </c>
      <c r="J991" s="74"/>
      <c r="K991" s="74">
        <v>102.4</v>
      </c>
      <c r="L991" s="74">
        <v>92.16</v>
      </c>
      <c r="M991" s="74"/>
      <c r="N991" s="74" t="s">
        <v>392</v>
      </c>
      <c r="O991" s="74" t="s">
        <v>402</v>
      </c>
      <c r="P991" s="74" t="s">
        <v>7552</v>
      </c>
      <c r="Q991" s="74" t="s">
        <v>7553</v>
      </c>
    </row>
    <row r="992" spans="3:17" x14ac:dyDescent="0.25">
      <c r="C992" s="74" t="s">
        <v>2017</v>
      </c>
      <c r="D992" s="74" t="s">
        <v>2018</v>
      </c>
      <c r="E992" s="74"/>
      <c r="F992" s="74">
        <v>1.25</v>
      </c>
      <c r="G992" s="74"/>
      <c r="H992" s="74"/>
      <c r="I992" s="74" t="s">
        <v>391</v>
      </c>
      <c r="J992" s="74"/>
      <c r="K992" s="74">
        <v>102.4</v>
      </c>
      <c r="L992" s="74">
        <v>92.16</v>
      </c>
      <c r="M992" s="74"/>
      <c r="N992" s="74" t="s">
        <v>392</v>
      </c>
      <c r="O992" s="74" t="s">
        <v>402</v>
      </c>
      <c r="P992" s="74" t="s">
        <v>2019</v>
      </c>
      <c r="Q992" s="74" t="s">
        <v>2020</v>
      </c>
    </row>
    <row r="993" spans="3:17" x14ac:dyDescent="0.25">
      <c r="C993" s="74" t="s">
        <v>2414</v>
      </c>
      <c r="D993" s="74" t="s">
        <v>2415</v>
      </c>
      <c r="E993" s="74"/>
      <c r="F993" s="74">
        <v>1.25</v>
      </c>
      <c r="G993" s="74"/>
      <c r="H993" s="74"/>
      <c r="I993" s="74" t="s">
        <v>391</v>
      </c>
      <c r="J993" s="74"/>
      <c r="K993" s="74">
        <v>102.4</v>
      </c>
      <c r="L993" s="74">
        <v>92.16</v>
      </c>
      <c r="M993" s="74"/>
      <c r="N993" s="74" t="s">
        <v>392</v>
      </c>
      <c r="O993" s="74" t="s">
        <v>402</v>
      </c>
      <c r="P993" s="74" t="s">
        <v>2416</v>
      </c>
      <c r="Q993" s="74" t="s">
        <v>2417</v>
      </c>
    </row>
    <row r="994" spans="3:17" x14ac:dyDescent="0.25">
      <c r="C994" s="74" t="s">
        <v>3628</v>
      </c>
      <c r="D994" s="74" t="s">
        <v>3629</v>
      </c>
      <c r="E994" s="74"/>
      <c r="F994" s="74">
        <v>1.25</v>
      </c>
      <c r="G994" s="74"/>
      <c r="H994" s="74"/>
      <c r="I994" s="74" t="s">
        <v>391</v>
      </c>
      <c r="J994" s="74"/>
      <c r="K994" s="74">
        <v>102.4</v>
      </c>
      <c r="L994" s="74">
        <v>92.16</v>
      </c>
      <c r="M994" s="74"/>
      <c r="N994" s="74" t="s">
        <v>392</v>
      </c>
      <c r="O994" s="74" t="s">
        <v>402</v>
      </c>
      <c r="P994" s="74" t="s">
        <v>3630</v>
      </c>
      <c r="Q994" s="74" t="s">
        <v>3631</v>
      </c>
    </row>
    <row r="995" spans="3:17" x14ac:dyDescent="0.25">
      <c r="C995" s="74" t="s">
        <v>12914</v>
      </c>
      <c r="D995" s="74" t="s">
        <v>12915</v>
      </c>
      <c r="E995" s="74"/>
      <c r="F995" s="74">
        <v>1.25</v>
      </c>
      <c r="G995" s="74"/>
      <c r="H995" s="74"/>
      <c r="I995" s="74" t="s">
        <v>391</v>
      </c>
      <c r="J995" s="74"/>
      <c r="K995" s="74">
        <v>102.4</v>
      </c>
      <c r="L995" s="74">
        <v>92.16</v>
      </c>
      <c r="M995" s="74"/>
      <c r="N995" s="74" t="s">
        <v>392</v>
      </c>
      <c r="O995" s="74" t="s">
        <v>402</v>
      </c>
      <c r="P995" s="74" t="s">
        <v>12916</v>
      </c>
      <c r="Q995" s="74" t="s">
        <v>12917</v>
      </c>
    </row>
    <row r="996" spans="3:17" x14ac:dyDescent="0.25">
      <c r="C996" s="74" t="s">
        <v>13515</v>
      </c>
      <c r="D996" s="74" t="s">
        <v>13516</v>
      </c>
      <c r="E996" s="74"/>
      <c r="F996" s="74">
        <v>1.25</v>
      </c>
      <c r="G996" s="74"/>
      <c r="H996" s="74"/>
      <c r="I996" s="74" t="s">
        <v>391</v>
      </c>
      <c r="J996" s="74"/>
      <c r="K996" s="74">
        <v>102.4</v>
      </c>
      <c r="L996" s="74">
        <v>92.16</v>
      </c>
      <c r="M996" s="74"/>
      <c r="N996" s="74" t="s">
        <v>392</v>
      </c>
      <c r="O996" s="74" t="s">
        <v>402</v>
      </c>
      <c r="P996" s="74" t="s">
        <v>13517</v>
      </c>
      <c r="Q996" s="74" t="s">
        <v>13518</v>
      </c>
    </row>
    <row r="997" spans="3:17" x14ac:dyDescent="0.25">
      <c r="C997" s="74" t="s">
        <v>2545</v>
      </c>
      <c r="D997" s="74" t="s">
        <v>2546</v>
      </c>
      <c r="E997" s="74" t="s">
        <v>391</v>
      </c>
      <c r="F997" s="74">
        <v>1.24</v>
      </c>
      <c r="G997" s="74"/>
      <c r="H997" s="74"/>
      <c r="I997" s="74" t="s">
        <v>391</v>
      </c>
      <c r="J997" s="74"/>
      <c r="K997" s="74">
        <v>102.4</v>
      </c>
      <c r="L997" s="74">
        <v>92.16</v>
      </c>
      <c r="M997" s="74"/>
      <c r="N997" s="74" t="s">
        <v>392</v>
      </c>
      <c r="O997" s="74" t="s">
        <v>402</v>
      </c>
      <c r="P997" s="74" t="s">
        <v>2547</v>
      </c>
      <c r="Q997" s="74" t="s">
        <v>2548</v>
      </c>
    </row>
    <row r="998" spans="3:17" x14ac:dyDescent="0.25">
      <c r="C998" s="74" t="s">
        <v>2657</v>
      </c>
      <c r="D998" s="74" t="s">
        <v>2658</v>
      </c>
      <c r="E998" s="74"/>
      <c r="F998" s="74">
        <v>1.24</v>
      </c>
      <c r="G998" s="74"/>
      <c r="H998" s="74"/>
      <c r="I998" s="74" t="s">
        <v>391</v>
      </c>
      <c r="J998" s="74"/>
      <c r="K998" s="74">
        <v>102.4</v>
      </c>
      <c r="L998" s="74">
        <v>92.16</v>
      </c>
      <c r="M998" s="74"/>
      <c r="N998" s="74" t="s">
        <v>392</v>
      </c>
      <c r="O998" s="74" t="s">
        <v>402</v>
      </c>
      <c r="P998" s="74" t="s">
        <v>2659</v>
      </c>
      <c r="Q998" s="74" t="s">
        <v>2660</v>
      </c>
    </row>
    <row r="999" spans="3:17" x14ac:dyDescent="0.25">
      <c r="C999" s="74" t="s">
        <v>9608</v>
      </c>
      <c r="D999" s="74" t="s">
        <v>9609</v>
      </c>
      <c r="E999" s="74"/>
      <c r="F999" s="74">
        <v>1.24</v>
      </c>
      <c r="G999" s="74"/>
      <c r="H999" s="74"/>
      <c r="I999" s="74" t="s">
        <v>391</v>
      </c>
      <c r="J999" s="74"/>
      <c r="K999" s="74">
        <v>102.4</v>
      </c>
      <c r="L999" s="74">
        <v>92.16</v>
      </c>
      <c r="M999" s="74"/>
      <c r="N999" s="74" t="s">
        <v>392</v>
      </c>
      <c r="O999" s="74" t="s">
        <v>402</v>
      </c>
      <c r="P999" s="74" t="s">
        <v>9610</v>
      </c>
      <c r="Q999" s="74" t="s">
        <v>9611</v>
      </c>
    </row>
    <row r="1000" spans="3:17" x14ac:dyDescent="0.25">
      <c r="C1000" s="74" t="s">
        <v>5141</v>
      </c>
      <c r="D1000" s="74" t="s">
        <v>5142</v>
      </c>
      <c r="E1000" s="74"/>
      <c r="F1000" s="74">
        <v>1.23</v>
      </c>
      <c r="G1000" s="74"/>
      <c r="H1000" s="74"/>
      <c r="I1000" s="74" t="s">
        <v>391</v>
      </c>
      <c r="J1000" s="74"/>
      <c r="K1000" s="74">
        <v>102.4</v>
      </c>
      <c r="L1000" s="74">
        <v>92.16</v>
      </c>
      <c r="M1000" s="74"/>
      <c r="N1000" s="74" t="s">
        <v>392</v>
      </c>
      <c r="O1000" s="74" t="s">
        <v>402</v>
      </c>
      <c r="P1000" s="74" t="s">
        <v>5143</v>
      </c>
      <c r="Q1000" s="74" t="s">
        <v>5144</v>
      </c>
    </row>
    <row r="1001" spans="3:17" x14ac:dyDescent="0.25">
      <c r="C1001" s="74" t="s">
        <v>10268</v>
      </c>
      <c r="D1001" s="74" t="s">
        <v>10269</v>
      </c>
      <c r="E1001" s="74"/>
      <c r="F1001" s="74">
        <v>1.23</v>
      </c>
      <c r="G1001" s="74"/>
      <c r="H1001" s="74"/>
      <c r="I1001" s="74" t="s">
        <v>391</v>
      </c>
      <c r="J1001" s="74"/>
      <c r="K1001" s="74">
        <v>102.4</v>
      </c>
      <c r="L1001" s="74">
        <v>92.16</v>
      </c>
      <c r="M1001" s="74"/>
      <c r="N1001" s="74" t="s">
        <v>392</v>
      </c>
      <c r="O1001" s="74" t="s">
        <v>402</v>
      </c>
      <c r="P1001" s="74" t="s">
        <v>10270</v>
      </c>
      <c r="Q1001" s="74" t="s">
        <v>10271</v>
      </c>
    </row>
    <row r="1002" spans="3:17" x14ac:dyDescent="0.25">
      <c r="C1002" s="74" t="s">
        <v>12776</v>
      </c>
      <c r="D1002" s="74" t="s">
        <v>12777</v>
      </c>
      <c r="E1002" s="74"/>
      <c r="F1002" s="74">
        <v>1.23</v>
      </c>
      <c r="G1002" s="74"/>
      <c r="H1002" s="74"/>
      <c r="I1002" s="74" t="s">
        <v>391</v>
      </c>
      <c r="J1002" s="74"/>
      <c r="K1002" s="74">
        <v>102.4</v>
      </c>
      <c r="L1002" s="74">
        <v>92.16</v>
      </c>
      <c r="M1002" s="74"/>
      <c r="N1002" s="74" t="s">
        <v>392</v>
      </c>
      <c r="O1002" s="74" t="s">
        <v>402</v>
      </c>
      <c r="P1002" s="74" t="s">
        <v>12778</v>
      </c>
      <c r="Q1002" s="74" t="s">
        <v>12779</v>
      </c>
    </row>
    <row r="1003" spans="3:17" x14ac:dyDescent="0.25">
      <c r="C1003" s="74" t="s">
        <v>14585</v>
      </c>
      <c r="D1003" s="74" t="s">
        <v>14586</v>
      </c>
      <c r="E1003" s="74"/>
      <c r="F1003" s="74">
        <v>1.23</v>
      </c>
      <c r="G1003" s="74"/>
      <c r="H1003" s="74"/>
      <c r="I1003" s="74" t="s">
        <v>391</v>
      </c>
      <c r="J1003" s="74"/>
      <c r="K1003" s="74">
        <v>102.4</v>
      </c>
      <c r="L1003" s="74">
        <v>92.16</v>
      </c>
      <c r="M1003" s="74"/>
      <c r="N1003" s="74" t="s">
        <v>392</v>
      </c>
      <c r="O1003" s="74" t="s">
        <v>402</v>
      </c>
      <c r="P1003" s="74" t="s">
        <v>14587</v>
      </c>
      <c r="Q1003" s="74" t="s">
        <v>14588</v>
      </c>
    </row>
    <row r="1004" spans="3:17" x14ac:dyDescent="0.25">
      <c r="C1004" s="74" t="s">
        <v>12686</v>
      </c>
      <c r="D1004" s="74" t="s">
        <v>12687</v>
      </c>
      <c r="E1004" s="74"/>
      <c r="F1004" s="74">
        <v>1.22</v>
      </c>
      <c r="G1004" s="74"/>
      <c r="H1004" s="74"/>
      <c r="I1004" s="74" t="s">
        <v>391</v>
      </c>
      <c r="J1004" s="74"/>
      <c r="K1004" s="74">
        <v>102.4</v>
      </c>
      <c r="L1004" s="74">
        <v>92.16</v>
      </c>
      <c r="M1004" s="74"/>
      <c r="N1004" s="74" t="s">
        <v>392</v>
      </c>
      <c r="O1004" s="74" t="s">
        <v>402</v>
      </c>
      <c r="P1004" s="74" t="s">
        <v>12688</v>
      </c>
      <c r="Q1004" s="74" t="s">
        <v>12689</v>
      </c>
    </row>
    <row r="1005" spans="3:17" x14ac:dyDescent="0.25">
      <c r="C1005" s="74" t="s">
        <v>14803</v>
      </c>
      <c r="D1005" s="74" t="s">
        <v>14804</v>
      </c>
      <c r="E1005" s="74"/>
      <c r="F1005" s="74">
        <v>1.22</v>
      </c>
      <c r="G1005" s="74"/>
      <c r="H1005" s="74"/>
      <c r="I1005" s="74" t="s">
        <v>391</v>
      </c>
      <c r="J1005" s="74"/>
      <c r="K1005" s="74">
        <v>102.4</v>
      </c>
      <c r="L1005" s="74">
        <v>92.16</v>
      </c>
      <c r="M1005" s="74"/>
      <c r="N1005" s="74" t="s">
        <v>392</v>
      </c>
      <c r="O1005" s="74" t="s">
        <v>402</v>
      </c>
      <c r="P1005" s="74" t="s">
        <v>14805</v>
      </c>
      <c r="Q1005" s="74" t="s">
        <v>14806</v>
      </c>
    </row>
    <row r="1006" spans="3:17" x14ac:dyDescent="0.25">
      <c r="C1006" s="74" t="s">
        <v>2912</v>
      </c>
      <c r="D1006" s="74" t="s">
        <v>2913</v>
      </c>
      <c r="E1006" s="74"/>
      <c r="F1006" s="74">
        <v>1.21</v>
      </c>
      <c r="G1006" s="74"/>
      <c r="H1006" s="74"/>
      <c r="I1006" s="74" t="s">
        <v>391</v>
      </c>
      <c r="J1006" s="74"/>
      <c r="K1006" s="74">
        <v>102.4</v>
      </c>
      <c r="L1006" s="74">
        <v>92.16</v>
      </c>
      <c r="M1006" s="74"/>
      <c r="N1006" s="74" t="s">
        <v>392</v>
      </c>
      <c r="O1006" s="74" t="s">
        <v>402</v>
      </c>
      <c r="P1006" s="74" t="s">
        <v>2914</v>
      </c>
      <c r="Q1006" s="74" t="s">
        <v>2915</v>
      </c>
    </row>
    <row r="1007" spans="3:17" x14ac:dyDescent="0.25">
      <c r="C1007" s="74" t="s">
        <v>9365</v>
      </c>
      <c r="D1007" s="74" t="s">
        <v>9366</v>
      </c>
      <c r="E1007" s="74"/>
      <c r="F1007" s="74">
        <v>1.21</v>
      </c>
      <c r="G1007" s="74"/>
      <c r="H1007" s="74"/>
      <c r="I1007" s="74" t="s">
        <v>391</v>
      </c>
      <c r="J1007" s="74"/>
      <c r="K1007" s="74">
        <v>102.4</v>
      </c>
      <c r="L1007" s="74">
        <v>92.16</v>
      </c>
      <c r="M1007" s="74"/>
      <c r="N1007" s="74" t="s">
        <v>392</v>
      </c>
      <c r="O1007" s="74" t="s">
        <v>402</v>
      </c>
      <c r="P1007" s="74" t="s">
        <v>9367</v>
      </c>
      <c r="Q1007" s="74" t="s">
        <v>9368</v>
      </c>
    </row>
    <row r="1008" spans="3:17" x14ac:dyDescent="0.25">
      <c r="C1008" s="74" t="s">
        <v>4998</v>
      </c>
      <c r="D1008" s="74" t="s">
        <v>4999</v>
      </c>
      <c r="E1008" s="74"/>
      <c r="F1008" s="74">
        <v>1.2</v>
      </c>
      <c r="G1008" s="74"/>
      <c r="H1008" s="74"/>
      <c r="I1008" s="74" t="s">
        <v>391</v>
      </c>
      <c r="J1008" s="74"/>
      <c r="K1008" s="74">
        <v>102.4</v>
      </c>
      <c r="L1008" s="74">
        <v>92.16</v>
      </c>
      <c r="M1008" s="74"/>
      <c r="N1008" s="74" t="s">
        <v>392</v>
      </c>
      <c r="O1008" s="74" t="s">
        <v>402</v>
      </c>
      <c r="P1008" s="74" t="s">
        <v>5000</v>
      </c>
      <c r="Q1008" s="74" t="s">
        <v>5001</v>
      </c>
    </row>
    <row r="1009" spans="3:17" x14ac:dyDescent="0.25">
      <c r="C1009" s="74" t="s">
        <v>6866</v>
      </c>
      <c r="D1009" s="74" t="s">
        <v>6867</v>
      </c>
      <c r="E1009" s="74"/>
      <c r="F1009" s="74">
        <v>1.2</v>
      </c>
      <c r="G1009" s="74"/>
      <c r="H1009" s="74"/>
      <c r="I1009" s="74" t="s">
        <v>391</v>
      </c>
      <c r="J1009" s="74"/>
      <c r="K1009" s="74">
        <v>102.4</v>
      </c>
      <c r="L1009" s="74">
        <v>92.16</v>
      </c>
      <c r="M1009" s="74"/>
      <c r="N1009" s="74" t="s">
        <v>392</v>
      </c>
      <c r="O1009" s="74" t="s">
        <v>402</v>
      </c>
      <c r="P1009" s="74" t="s">
        <v>6868</v>
      </c>
      <c r="Q1009" s="74" t="s">
        <v>6869</v>
      </c>
    </row>
    <row r="1010" spans="3:17" x14ac:dyDescent="0.25">
      <c r="C1010" s="74" t="s">
        <v>10577</v>
      </c>
      <c r="D1010" s="74" t="s">
        <v>10578</v>
      </c>
      <c r="E1010" s="74"/>
      <c r="F1010" s="74">
        <v>1.2</v>
      </c>
      <c r="G1010" s="74"/>
      <c r="H1010" s="74"/>
      <c r="I1010" s="74" t="s">
        <v>391</v>
      </c>
      <c r="J1010" s="74"/>
      <c r="K1010" s="74">
        <v>102.4</v>
      </c>
      <c r="L1010" s="74">
        <v>92.16</v>
      </c>
      <c r="M1010" s="74"/>
      <c r="N1010" s="74" t="s">
        <v>392</v>
      </c>
      <c r="O1010" s="74" t="s">
        <v>402</v>
      </c>
      <c r="P1010" s="74" t="s">
        <v>10579</v>
      </c>
      <c r="Q1010" s="74" t="s">
        <v>10580</v>
      </c>
    </row>
    <row r="1011" spans="3:17" x14ac:dyDescent="0.25">
      <c r="C1011" s="74" t="s">
        <v>14791</v>
      </c>
      <c r="D1011" s="74" t="s">
        <v>14792</v>
      </c>
      <c r="E1011" s="74"/>
      <c r="F1011" s="74">
        <v>1.2</v>
      </c>
      <c r="G1011" s="74"/>
      <c r="H1011" s="74"/>
      <c r="I1011" s="74" t="s">
        <v>391</v>
      </c>
      <c r="J1011" s="74"/>
      <c r="K1011" s="74">
        <v>102.4</v>
      </c>
      <c r="L1011" s="74">
        <v>92.16</v>
      </c>
      <c r="M1011" s="74"/>
      <c r="N1011" s="74" t="s">
        <v>392</v>
      </c>
      <c r="O1011" s="74" t="s">
        <v>402</v>
      </c>
      <c r="P1011" s="74" t="s">
        <v>14793</v>
      </c>
      <c r="Q1011" s="74" t="s">
        <v>14794</v>
      </c>
    </row>
    <row r="1012" spans="3:17" x14ac:dyDescent="0.25">
      <c r="C1012" s="74" t="s">
        <v>19655</v>
      </c>
      <c r="D1012" s="74" t="s">
        <v>19656</v>
      </c>
      <c r="E1012" s="74"/>
      <c r="F1012" s="74">
        <v>1.2</v>
      </c>
      <c r="G1012" s="74"/>
      <c r="H1012" s="74"/>
      <c r="I1012" s="74" t="s">
        <v>391</v>
      </c>
      <c r="J1012" s="74"/>
      <c r="K1012" s="74">
        <v>102.4</v>
      </c>
      <c r="L1012" s="74">
        <v>92.16</v>
      </c>
      <c r="M1012" s="74"/>
      <c r="N1012" s="74" t="s">
        <v>392</v>
      </c>
      <c r="O1012" s="74" t="s">
        <v>402</v>
      </c>
      <c r="P1012" s="74" t="s">
        <v>19657</v>
      </c>
      <c r="Q1012" s="74" t="s">
        <v>19658</v>
      </c>
    </row>
    <row r="1013" spans="3:17" x14ac:dyDescent="0.25">
      <c r="C1013" s="158" t="s">
        <v>21285</v>
      </c>
      <c r="D1013" s="158" t="s">
        <v>21286</v>
      </c>
      <c r="F1013" s="158">
        <v>1.2</v>
      </c>
      <c r="I1013" s="158" t="s">
        <v>391</v>
      </c>
      <c r="K1013" s="158">
        <v>102.4</v>
      </c>
      <c r="L1013" s="158">
        <v>92.16</v>
      </c>
      <c r="N1013" s="158" t="s">
        <v>392</v>
      </c>
      <c r="O1013" s="158" t="s">
        <v>402</v>
      </c>
      <c r="P1013" s="158" t="s">
        <v>21287</v>
      </c>
      <c r="Q1013" s="158" t="s">
        <v>21288</v>
      </c>
    </row>
    <row r="1014" spans="3:17" x14ac:dyDescent="0.25">
      <c r="C1014" s="74" t="s">
        <v>5377</v>
      </c>
      <c r="D1014" s="74" t="s">
        <v>5378</v>
      </c>
      <c r="E1014" s="74"/>
      <c r="F1014" s="74">
        <v>1.19</v>
      </c>
      <c r="G1014" s="74"/>
      <c r="H1014" s="74"/>
      <c r="I1014" s="74" t="s">
        <v>391</v>
      </c>
      <c r="J1014" s="74"/>
      <c r="K1014" s="74">
        <v>102.4</v>
      </c>
      <c r="L1014" s="74">
        <v>92.16</v>
      </c>
      <c r="M1014" s="74"/>
      <c r="N1014" s="74" t="s">
        <v>392</v>
      </c>
      <c r="O1014" s="74" t="s">
        <v>402</v>
      </c>
      <c r="P1014" s="74" t="s">
        <v>5379</v>
      </c>
      <c r="Q1014" s="74" t="s">
        <v>5380</v>
      </c>
    </row>
    <row r="1015" spans="3:17" x14ac:dyDescent="0.25">
      <c r="C1015" s="74" t="s">
        <v>11961</v>
      </c>
      <c r="D1015" s="74" t="s">
        <v>11962</v>
      </c>
      <c r="E1015" s="74"/>
      <c r="F1015" s="74">
        <v>1.19</v>
      </c>
      <c r="G1015" s="74"/>
      <c r="H1015" s="74"/>
      <c r="I1015" s="74" t="s">
        <v>391</v>
      </c>
      <c r="J1015" s="74"/>
      <c r="K1015" s="74">
        <v>102.4</v>
      </c>
      <c r="L1015" s="74">
        <v>92.16</v>
      </c>
      <c r="M1015" s="74"/>
      <c r="N1015" s="74" t="s">
        <v>392</v>
      </c>
      <c r="O1015" s="74" t="s">
        <v>402</v>
      </c>
      <c r="P1015" s="74" t="s">
        <v>11963</v>
      </c>
      <c r="Q1015" s="74" t="s">
        <v>11964</v>
      </c>
    </row>
    <row r="1016" spans="3:17" x14ac:dyDescent="0.25">
      <c r="C1016" s="74" t="s">
        <v>17306</v>
      </c>
      <c r="D1016" s="74" t="s">
        <v>17307</v>
      </c>
      <c r="E1016" s="74"/>
      <c r="F1016" s="74">
        <v>1.19</v>
      </c>
      <c r="G1016" s="74"/>
      <c r="H1016" s="74"/>
      <c r="I1016" s="74" t="s">
        <v>391</v>
      </c>
      <c r="J1016" s="74"/>
      <c r="K1016" s="74">
        <v>102.4</v>
      </c>
      <c r="L1016" s="74">
        <v>92.16</v>
      </c>
      <c r="M1016" s="74"/>
      <c r="N1016" s="74" t="s">
        <v>392</v>
      </c>
      <c r="O1016" s="74" t="s">
        <v>402</v>
      </c>
      <c r="P1016" s="74" t="s">
        <v>17308</v>
      </c>
      <c r="Q1016" s="74" t="s">
        <v>17309</v>
      </c>
    </row>
    <row r="1017" spans="3:17" x14ac:dyDescent="0.25">
      <c r="C1017" s="74" t="s">
        <v>20743</v>
      </c>
      <c r="D1017" s="74" t="s">
        <v>20744</v>
      </c>
      <c r="E1017" s="74"/>
      <c r="F1017" s="74">
        <v>1.19</v>
      </c>
      <c r="G1017" s="74"/>
      <c r="H1017" s="74"/>
      <c r="I1017" s="74" t="s">
        <v>391</v>
      </c>
      <c r="J1017" s="74"/>
      <c r="K1017" s="74">
        <v>102.4</v>
      </c>
      <c r="L1017" s="74">
        <v>92.16</v>
      </c>
      <c r="M1017" s="74"/>
      <c r="N1017" s="74" t="s">
        <v>392</v>
      </c>
      <c r="O1017" s="74" t="s">
        <v>402</v>
      </c>
      <c r="P1017" s="74" t="s">
        <v>20745</v>
      </c>
      <c r="Q1017" s="74" t="s">
        <v>20746</v>
      </c>
    </row>
    <row r="1018" spans="3:17" x14ac:dyDescent="0.25">
      <c r="C1018" s="74" t="s">
        <v>8271</v>
      </c>
      <c r="D1018" s="74" t="s">
        <v>8272</v>
      </c>
      <c r="E1018" s="74"/>
      <c r="F1018" s="74">
        <v>1.18</v>
      </c>
      <c r="G1018" s="74"/>
      <c r="H1018" s="74"/>
      <c r="I1018" s="74" t="s">
        <v>391</v>
      </c>
      <c r="J1018" s="74"/>
      <c r="K1018" s="74">
        <v>102.4</v>
      </c>
      <c r="L1018" s="74">
        <v>92.16</v>
      </c>
      <c r="M1018" s="74"/>
      <c r="N1018" s="74" t="s">
        <v>392</v>
      </c>
      <c r="O1018" s="74" t="s">
        <v>402</v>
      </c>
      <c r="P1018" s="74" t="s">
        <v>8273</v>
      </c>
      <c r="Q1018" s="74" t="s">
        <v>8274</v>
      </c>
    </row>
    <row r="1019" spans="3:17" x14ac:dyDescent="0.25">
      <c r="C1019" s="74" t="s">
        <v>15834</v>
      </c>
      <c r="D1019" s="74" t="s">
        <v>15835</v>
      </c>
      <c r="E1019" s="74"/>
      <c r="F1019" s="74">
        <v>1.18</v>
      </c>
      <c r="G1019" s="74"/>
      <c r="H1019" s="74"/>
      <c r="I1019" s="74" t="s">
        <v>391</v>
      </c>
      <c r="J1019" s="74"/>
      <c r="K1019" s="74">
        <v>102.4</v>
      </c>
      <c r="L1019" s="74">
        <v>92.16</v>
      </c>
      <c r="M1019" s="74"/>
      <c r="N1019" s="74" t="s">
        <v>392</v>
      </c>
      <c r="O1019" s="74" t="s">
        <v>402</v>
      </c>
      <c r="P1019" s="74" t="s">
        <v>15836</v>
      </c>
      <c r="Q1019" s="74" t="s">
        <v>15837</v>
      </c>
    </row>
    <row r="1020" spans="3:17" x14ac:dyDescent="0.25">
      <c r="C1020" s="74" t="s">
        <v>17193</v>
      </c>
      <c r="D1020" s="74" t="s">
        <v>17194</v>
      </c>
      <c r="E1020" s="74"/>
      <c r="F1020" s="74">
        <v>1.18</v>
      </c>
      <c r="G1020" s="74"/>
      <c r="H1020" s="74"/>
      <c r="I1020" s="74" t="s">
        <v>391</v>
      </c>
      <c r="J1020" s="74"/>
      <c r="K1020" s="74">
        <v>102.4</v>
      </c>
      <c r="L1020" s="74">
        <v>92.16</v>
      </c>
      <c r="M1020" s="74"/>
      <c r="N1020" s="74" t="s">
        <v>392</v>
      </c>
      <c r="O1020" s="74" t="s">
        <v>402</v>
      </c>
      <c r="P1020" s="74" t="s">
        <v>17195</v>
      </c>
      <c r="Q1020" s="74" t="s">
        <v>17196</v>
      </c>
    </row>
    <row r="1021" spans="3:17" x14ac:dyDescent="0.25">
      <c r="C1021" s="74" t="s">
        <v>19774</v>
      </c>
      <c r="D1021" s="74" t="s">
        <v>19775</v>
      </c>
      <c r="E1021" s="74"/>
      <c r="F1021" s="74">
        <v>1.18</v>
      </c>
      <c r="G1021" s="74"/>
      <c r="H1021" s="74"/>
      <c r="I1021" s="74" t="s">
        <v>391</v>
      </c>
      <c r="J1021" s="74"/>
      <c r="K1021" s="74">
        <v>102.4</v>
      </c>
      <c r="L1021" s="74">
        <v>92.16</v>
      </c>
      <c r="M1021" s="74"/>
      <c r="N1021" s="74" t="s">
        <v>392</v>
      </c>
      <c r="O1021" s="74" t="s">
        <v>402</v>
      </c>
      <c r="P1021" s="74" t="s">
        <v>19776</v>
      </c>
      <c r="Q1021" s="74" t="s">
        <v>19777</v>
      </c>
    </row>
    <row r="1022" spans="3:17" x14ac:dyDescent="0.25">
      <c r="C1022" s="74" t="s">
        <v>4779</v>
      </c>
      <c r="D1022" s="74" t="s">
        <v>4780</v>
      </c>
      <c r="E1022" s="74"/>
      <c r="F1022" s="74">
        <v>1.17</v>
      </c>
      <c r="G1022" s="74"/>
      <c r="H1022" s="74"/>
      <c r="I1022" s="74" t="s">
        <v>391</v>
      </c>
      <c r="J1022" s="74"/>
      <c r="K1022" s="74">
        <v>102.4</v>
      </c>
      <c r="L1022" s="74">
        <v>92.16</v>
      </c>
      <c r="M1022" s="74"/>
      <c r="N1022" s="74" t="s">
        <v>392</v>
      </c>
      <c r="O1022" s="74" t="s">
        <v>402</v>
      </c>
      <c r="P1022" s="74" t="s">
        <v>4781</v>
      </c>
      <c r="Q1022" s="74" t="s">
        <v>4782</v>
      </c>
    </row>
    <row r="1023" spans="3:17" x14ac:dyDescent="0.25">
      <c r="C1023" s="74" t="s">
        <v>12935</v>
      </c>
      <c r="D1023" s="74" t="s">
        <v>12936</v>
      </c>
      <c r="E1023" s="74"/>
      <c r="F1023" s="74">
        <v>1.17</v>
      </c>
      <c r="G1023" s="74"/>
      <c r="H1023" s="74"/>
      <c r="I1023" s="74" t="s">
        <v>391</v>
      </c>
      <c r="J1023" s="74"/>
      <c r="K1023" s="74">
        <v>102.4</v>
      </c>
      <c r="L1023" s="74">
        <v>92.16</v>
      </c>
      <c r="M1023" s="74"/>
      <c r="N1023" s="74" t="s">
        <v>392</v>
      </c>
      <c r="O1023" s="74" t="s">
        <v>402</v>
      </c>
      <c r="P1023" s="74" t="s">
        <v>12937</v>
      </c>
      <c r="Q1023" s="74" t="s">
        <v>12938</v>
      </c>
    </row>
    <row r="1024" spans="3:17" x14ac:dyDescent="0.25">
      <c r="C1024" s="74" t="s">
        <v>1974</v>
      </c>
      <c r="D1024" s="74" t="s">
        <v>1975</v>
      </c>
      <c r="E1024" s="74"/>
      <c r="F1024" s="74">
        <v>1.1599999999999999</v>
      </c>
      <c r="G1024" s="74"/>
      <c r="H1024" s="74"/>
      <c r="I1024" s="74" t="s">
        <v>391</v>
      </c>
      <c r="J1024" s="74"/>
      <c r="K1024" s="74">
        <v>102.4</v>
      </c>
      <c r="L1024" s="74">
        <v>92.16</v>
      </c>
      <c r="M1024" s="74"/>
      <c r="N1024" s="74" t="s">
        <v>392</v>
      </c>
      <c r="O1024" s="74" t="s">
        <v>402</v>
      </c>
      <c r="P1024" s="74" t="s">
        <v>1976</v>
      </c>
      <c r="Q1024" s="74" t="s">
        <v>1977</v>
      </c>
    </row>
    <row r="1025" spans="3:17" x14ac:dyDescent="0.25">
      <c r="C1025" s="74" t="s">
        <v>11791</v>
      </c>
      <c r="D1025" s="74" t="s">
        <v>11792</v>
      </c>
      <c r="E1025" s="74"/>
      <c r="F1025" s="74">
        <v>1.1599999999999999</v>
      </c>
      <c r="G1025" s="74"/>
      <c r="H1025" s="74"/>
      <c r="I1025" s="74" t="s">
        <v>391</v>
      </c>
      <c r="J1025" s="74"/>
      <c r="K1025" s="74">
        <v>102.4</v>
      </c>
      <c r="L1025" s="74">
        <v>92.16</v>
      </c>
      <c r="M1025" s="74"/>
      <c r="N1025" s="74" t="s">
        <v>392</v>
      </c>
      <c r="O1025" s="74" t="s">
        <v>402</v>
      </c>
      <c r="P1025" s="74" t="s">
        <v>11793</v>
      </c>
      <c r="Q1025" s="74" t="s">
        <v>11794</v>
      </c>
    </row>
    <row r="1026" spans="3:17" x14ac:dyDescent="0.25">
      <c r="C1026" s="74" t="s">
        <v>12672</v>
      </c>
      <c r="D1026" s="74" t="s">
        <v>12673</v>
      </c>
      <c r="E1026" s="74"/>
      <c r="F1026" s="74">
        <v>1.1599999999999999</v>
      </c>
      <c r="G1026" s="74"/>
      <c r="H1026" s="74"/>
      <c r="I1026" s="74" t="s">
        <v>391</v>
      </c>
      <c r="J1026" s="74"/>
      <c r="K1026" s="74">
        <v>102.4</v>
      </c>
      <c r="L1026" s="74">
        <v>92.16</v>
      </c>
      <c r="M1026" s="74"/>
      <c r="N1026" s="74" t="s">
        <v>392</v>
      </c>
      <c r="O1026" s="74" t="s">
        <v>402</v>
      </c>
      <c r="P1026" s="74" t="s">
        <v>12674</v>
      </c>
      <c r="Q1026" s="74" t="s">
        <v>12675</v>
      </c>
    </row>
    <row r="1027" spans="3:17" x14ac:dyDescent="0.25">
      <c r="C1027" s="74" t="s">
        <v>15159</v>
      </c>
      <c r="D1027" s="74" t="s">
        <v>15160</v>
      </c>
      <c r="E1027" s="74"/>
      <c r="F1027" s="74">
        <v>1.1599999999999999</v>
      </c>
      <c r="G1027" s="74"/>
      <c r="H1027" s="74"/>
      <c r="I1027" s="74" t="s">
        <v>391</v>
      </c>
      <c r="J1027" s="74"/>
      <c r="K1027" s="74">
        <v>102.4</v>
      </c>
      <c r="L1027" s="74">
        <v>92.16</v>
      </c>
      <c r="M1027" s="74"/>
      <c r="N1027" s="74" t="s">
        <v>392</v>
      </c>
      <c r="O1027" s="74" t="s">
        <v>402</v>
      </c>
      <c r="P1027" s="74" t="s">
        <v>15161</v>
      </c>
      <c r="Q1027" s="74" t="s">
        <v>15162</v>
      </c>
    </row>
    <row r="1028" spans="3:17" x14ac:dyDescent="0.25">
      <c r="C1028" s="74" t="s">
        <v>11076</v>
      </c>
      <c r="D1028" s="74" t="s">
        <v>11077</v>
      </c>
      <c r="E1028" s="74"/>
      <c r="F1028" s="74">
        <v>1.1499999999999999</v>
      </c>
      <c r="G1028" s="74"/>
      <c r="H1028" s="74"/>
      <c r="I1028" s="74" t="s">
        <v>391</v>
      </c>
      <c r="J1028" s="74"/>
      <c r="K1028" s="74">
        <v>102.4</v>
      </c>
      <c r="L1028" s="74">
        <v>92.16</v>
      </c>
      <c r="M1028" s="74"/>
      <c r="N1028" s="74" t="s">
        <v>392</v>
      </c>
      <c r="O1028" s="74" t="s">
        <v>402</v>
      </c>
      <c r="P1028" s="74" t="s">
        <v>11078</v>
      </c>
      <c r="Q1028" s="74" t="s">
        <v>11079</v>
      </c>
    </row>
    <row r="1029" spans="3:17" x14ac:dyDescent="0.25">
      <c r="C1029" s="74" t="s">
        <v>3533</v>
      </c>
      <c r="D1029" s="74" t="s">
        <v>3534</v>
      </c>
      <c r="E1029" s="74"/>
      <c r="F1029" s="74">
        <v>1.1399999999999999</v>
      </c>
      <c r="G1029" s="74"/>
      <c r="H1029" s="74"/>
      <c r="I1029" s="74" t="s">
        <v>391</v>
      </c>
      <c r="J1029" s="74"/>
      <c r="K1029" s="74">
        <v>102.4</v>
      </c>
      <c r="L1029" s="74">
        <v>92.16</v>
      </c>
      <c r="M1029" s="74"/>
      <c r="N1029" s="74" t="s">
        <v>392</v>
      </c>
      <c r="O1029" s="74" t="s">
        <v>402</v>
      </c>
      <c r="P1029" s="74" t="s">
        <v>3535</v>
      </c>
      <c r="Q1029" s="74" t="s">
        <v>3536</v>
      </c>
    </row>
    <row r="1030" spans="3:17" x14ac:dyDescent="0.25">
      <c r="C1030" s="74" t="s">
        <v>12329</v>
      </c>
      <c r="D1030" s="74" t="s">
        <v>12330</v>
      </c>
      <c r="E1030" s="74"/>
      <c r="F1030" s="74">
        <v>1.1399999999999999</v>
      </c>
      <c r="G1030" s="74"/>
      <c r="H1030" s="74"/>
      <c r="I1030" s="74" t="s">
        <v>391</v>
      </c>
      <c r="J1030" s="74"/>
      <c r="K1030" s="74">
        <v>102.4</v>
      </c>
      <c r="L1030" s="74">
        <v>92.16</v>
      </c>
      <c r="M1030" s="74"/>
      <c r="N1030" s="74" t="s">
        <v>392</v>
      </c>
      <c r="O1030" s="74" t="s">
        <v>402</v>
      </c>
      <c r="P1030" s="74" t="s">
        <v>12331</v>
      </c>
      <c r="Q1030" s="74" t="s">
        <v>12332</v>
      </c>
    </row>
    <row r="1031" spans="3:17" x14ac:dyDescent="0.25">
      <c r="C1031" s="74" t="s">
        <v>19575</v>
      </c>
      <c r="D1031" s="74" t="s">
        <v>19576</v>
      </c>
      <c r="E1031" s="74"/>
      <c r="F1031" s="74">
        <v>1.1399999999999999</v>
      </c>
      <c r="G1031" s="74"/>
      <c r="H1031" s="74"/>
      <c r="I1031" s="74" t="s">
        <v>391</v>
      </c>
      <c r="J1031" s="74"/>
      <c r="K1031" s="74">
        <v>102.4</v>
      </c>
      <c r="L1031" s="74">
        <v>92.16</v>
      </c>
      <c r="M1031" s="74"/>
      <c r="N1031" s="74" t="s">
        <v>392</v>
      </c>
      <c r="O1031" s="74" t="s">
        <v>402</v>
      </c>
      <c r="P1031" s="74" t="s">
        <v>19577</v>
      </c>
      <c r="Q1031" s="74" t="s">
        <v>19578</v>
      </c>
    </row>
    <row r="1032" spans="3:17" x14ac:dyDescent="0.25">
      <c r="C1032" s="158" t="s">
        <v>4077</v>
      </c>
      <c r="D1032" s="158" t="s">
        <v>4078</v>
      </c>
      <c r="F1032" s="158">
        <v>1.1299999999999999</v>
      </c>
      <c r="I1032" s="158" t="s">
        <v>391</v>
      </c>
      <c r="K1032" s="158">
        <v>102.4</v>
      </c>
      <c r="L1032" s="158">
        <v>92.16</v>
      </c>
      <c r="N1032" s="158" t="s">
        <v>392</v>
      </c>
      <c r="O1032" s="158" t="s">
        <v>402</v>
      </c>
      <c r="P1032" s="158" t="s">
        <v>4079</v>
      </c>
      <c r="Q1032" s="158" t="s">
        <v>4080</v>
      </c>
    </row>
    <row r="1033" spans="3:17" x14ac:dyDescent="0.25">
      <c r="C1033" s="74" t="s">
        <v>6718</v>
      </c>
      <c r="D1033" s="74" t="s">
        <v>6719</v>
      </c>
      <c r="E1033" s="74"/>
      <c r="F1033" s="74">
        <v>1.1299999999999999</v>
      </c>
      <c r="G1033" s="74"/>
      <c r="H1033" s="74"/>
      <c r="I1033" s="74" t="s">
        <v>391</v>
      </c>
      <c r="J1033" s="74"/>
      <c r="K1033" s="74">
        <v>102.4</v>
      </c>
      <c r="L1033" s="74">
        <v>92.16</v>
      </c>
      <c r="M1033" s="74"/>
      <c r="N1033" s="74" t="s">
        <v>392</v>
      </c>
      <c r="O1033" s="74" t="s">
        <v>402</v>
      </c>
      <c r="P1033" s="74" t="s">
        <v>6720</v>
      </c>
      <c r="Q1033" s="74" t="s">
        <v>6721</v>
      </c>
    </row>
    <row r="1034" spans="3:17" x14ac:dyDescent="0.25">
      <c r="C1034" s="74" t="s">
        <v>8100</v>
      </c>
      <c r="D1034" s="74" t="s">
        <v>8101</v>
      </c>
      <c r="E1034" s="74"/>
      <c r="F1034" s="74">
        <v>1.1299999999999999</v>
      </c>
      <c r="G1034" s="74"/>
      <c r="H1034" s="74"/>
      <c r="I1034" s="74" t="s">
        <v>391</v>
      </c>
      <c r="J1034" s="74"/>
      <c r="K1034" s="74">
        <v>102.4</v>
      </c>
      <c r="L1034" s="74">
        <v>92.16</v>
      </c>
      <c r="M1034" s="74"/>
      <c r="N1034" s="74" t="s">
        <v>392</v>
      </c>
      <c r="O1034" s="74" t="s">
        <v>402</v>
      </c>
      <c r="P1034" s="74" t="s">
        <v>8102</v>
      </c>
      <c r="Q1034" s="74" t="s">
        <v>8103</v>
      </c>
    </row>
    <row r="1035" spans="3:17" x14ac:dyDescent="0.25">
      <c r="C1035" s="74" t="s">
        <v>8180</v>
      </c>
      <c r="D1035" s="74" t="s">
        <v>8181</v>
      </c>
      <c r="E1035" s="74" t="s">
        <v>391</v>
      </c>
      <c r="F1035" s="74">
        <v>1.1299999999999999</v>
      </c>
      <c r="G1035" s="74"/>
      <c r="H1035" s="74"/>
      <c r="I1035" s="74" t="s">
        <v>391</v>
      </c>
      <c r="J1035" s="74"/>
      <c r="K1035" s="74">
        <v>102.4</v>
      </c>
      <c r="L1035" s="74">
        <v>92.16</v>
      </c>
      <c r="M1035" s="74"/>
      <c r="N1035" s="74" t="s">
        <v>392</v>
      </c>
      <c r="O1035" s="74" t="s">
        <v>393</v>
      </c>
      <c r="P1035" s="74" t="s">
        <v>8182</v>
      </c>
      <c r="Q1035" s="74" t="s">
        <v>8183</v>
      </c>
    </row>
    <row r="1036" spans="3:17" x14ac:dyDescent="0.25">
      <c r="C1036" s="74" t="s">
        <v>12337</v>
      </c>
      <c r="D1036" s="74" t="s">
        <v>12338</v>
      </c>
      <c r="E1036" s="74"/>
      <c r="F1036" s="74">
        <v>1.1299999999999999</v>
      </c>
      <c r="G1036" s="74"/>
      <c r="H1036" s="74"/>
      <c r="I1036" s="74" t="s">
        <v>391</v>
      </c>
      <c r="J1036" s="74"/>
      <c r="K1036" s="74">
        <v>102.4</v>
      </c>
      <c r="L1036" s="74">
        <v>92.16</v>
      </c>
      <c r="M1036" s="74"/>
      <c r="N1036" s="74" t="s">
        <v>392</v>
      </c>
      <c r="O1036" s="74" t="s">
        <v>402</v>
      </c>
      <c r="P1036" s="74" t="s">
        <v>12339</v>
      </c>
      <c r="Q1036" s="74" t="s">
        <v>12340</v>
      </c>
    </row>
    <row r="1037" spans="3:17" x14ac:dyDescent="0.25">
      <c r="C1037" s="74" t="s">
        <v>20026</v>
      </c>
      <c r="D1037" s="74" t="s">
        <v>20027</v>
      </c>
      <c r="E1037" s="74"/>
      <c r="F1037" s="74">
        <v>1.1299999999999999</v>
      </c>
      <c r="G1037" s="74"/>
      <c r="H1037" s="74"/>
      <c r="I1037" s="74" t="s">
        <v>391</v>
      </c>
      <c r="J1037" s="74"/>
      <c r="K1037" s="74">
        <v>102.4</v>
      </c>
      <c r="L1037" s="74">
        <v>92.16</v>
      </c>
      <c r="M1037" s="74"/>
      <c r="N1037" s="74" t="s">
        <v>392</v>
      </c>
      <c r="O1037" s="74" t="s">
        <v>402</v>
      </c>
      <c r="P1037" s="74" t="s">
        <v>20028</v>
      </c>
      <c r="Q1037" s="74" t="s">
        <v>20029</v>
      </c>
    </row>
    <row r="1038" spans="3:17" x14ac:dyDescent="0.25">
      <c r="C1038" s="74" t="s">
        <v>13840</v>
      </c>
      <c r="D1038" s="74" t="s">
        <v>13841</v>
      </c>
      <c r="E1038" s="74"/>
      <c r="F1038" s="74">
        <v>1.1200000000000001</v>
      </c>
      <c r="G1038" s="74"/>
      <c r="H1038" s="74"/>
      <c r="I1038" s="74" t="s">
        <v>391</v>
      </c>
      <c r="J1038" s="74"/>
      <c r="K1038" s="74">
        <v>102.4</v>
      </c>
      <c r="L1038" s="74">
        <v>92.16</v>
      </c>
      <c r="M1038" s="74"/>
      <c r="N1038" s="74" t="s">
        <v>392</v>
      </c>
      <c r="O1038" s="74" t="s">
        <v>402</v>
      </c>
      <c r="P1038" s="74" t="s">
        <v>13842</v>
      </c>
      <c r="Q1038" s="74" t="s">
        <v>13843</v>
      </c>
    </row>
    <row r="1039" spans="3:17" x14ac:dyDescent="0.25">
      <c r="C1039" s="74" t="s">
        <v>4931</v>
      </c>
      <c r="D1039" s="74" t="s">
        <v>4932</v>
      </c>
      <c r="E1039" s="74"/>
      <c r="F1039" s="74">
        <v>1.1100000000000001</v>
      </c>
      <c r="G1039" s="74"/>
      <c r="H1039" s="74"/>
      <c r="I1039" s="74" t="s">
        <v>391</v>
      </c>
      <c r="J1039" s="74"/>
      <c r="K1039" s="74">
        <v>102.4</v>
      </c>
      <c r="L1039" s="74">
        <v>92.16</v>
      </c>
      <c r="M1039" s="74"/>
      <c r="N1039" s="74" t="s">
        <v>392</v>
      </c>
      <c r="O1039" s="74" t="s">
        <v>402</v>
      </c>
      <c r="P1039" s="74" t="s">
        <v>4933</v>
      </c>
      <c r="Q1039" s="74" t="s">
        <v>4934</v>
      </c>
    </row>
    <row r="1040" spans="3:17" x14ac:dyDescent="0.25">
      <c r="C1040" s="74" t="s">
        <v>5896</v>
      </c>
      <c r="D1040" s="74" t="s">
        <v>5897</v>
      </c>
      <c r="E1040" s="74"/>
      <c r="F1040" s="74">
        <v>1.1100000000000001</v>
      </c>
      <c r="G1040" s="74"/>
      <c r="H1040" s="74"/>
      <c r="I1040" s="74" t="s">
        <v>391</v>
      </c>
      <c r="J1040" s="74"/>
      <c r="K1040" s="74">
        <v>102.4</v>
      </c>
      <c r="L1040" s="74">
        <v>92.16</v>
      </c>
      <c r="M1040" s="74"/>
      <c r="N1040" s="74" t="s">
        <v>392</v>
      </c>
      <c r="O1040" s="74" t="s">
        <v>402</v>
      </c>
      <c r="P1040" s="74" t="s">
        <v>5898</v>
      </c>
      <c r="Q1040" s="74" t="s">
        <v>5899</v>
      </c>
    </row>
    <row r="1041" spans="3:17" x14ac:dyDescent="0.25">
      <c r="C1041" s="74" t="s">
        <v>8528</v>
      </c>
      <c r="D1041" s="74" t="s">
        <v>8529</v>
      </c>
      <c r="E1041" s="74"/>
      <c r="F1041" s="74">
        <v>1.1100000000000001</v>
      </c>
      <c r="G1041" s="74"/>
      <c r="H1041" s="74"/>
      <c r="I1041" s="74" t="s">
        <v>391</v>
      </c>
      <c r="J1041" s="74"/>
      <c r="K1041" s="74">
        <v>102.4</v>
      </c>
      <c r="L1041" s="74">
        <v>92.16</v>
      </c>
      <c r="M1041" s="74"/>
      <c r="N1041" s="74" t="s">
        <v>392</v>
      </c>
      <c r="O1041" s="74" t="s">
        <v>402</v>
      </c>
      <c r="P1041" s="74" t="s">
        <v>8530</v>
      </c>
      <c r="Q1041" s="74" t="s">
        <v>8531</v>
      </c>
    </row>
    <row r="1042" spans="3:17" x14ac:dyDescent="0.25">
      <c r="C1042" s="74" t="s">
        <v>9736</v>
      </c>
      <c r="D1042" s="74" t="s">
        <v>9737</v>
      </c>
      <c r="E1042" s="74"/>
      <c r="F1042" s="74">
        <v>1.1100000000000001</v>
      </c>
      <c r="G1042" s="74"/>
      <c r="H1042" s="74"/>
      <c r="I1042" s="74" t="s">
        <v>391</v>
      </c>
      <c r="J1042" s="74"/>
      <c r="K1042" s="74">
        <v>102.4</v>
      </c>
      <c r="L1042" s="74">
        <v>92.16</v>
      </c>
      <c r="M1042" s="74"/>
      <c r="N1042" s="74" t="s">
        <v>392</v>
      </c>
      <c r="O1042" s="74" t="s">
        <v>402</v>
      </c>
      <c r="P1042" s="74" t="s">
        <v>9738</v>
      </c>
      <c r="Q1042" s="74" t="s">
        <v>9739</v>
      </c>
    </row>
    <row r="1043" spans="3:17" x14ac:dyDescent="0.25">
      <c r="C1043" s="74" t="s">
        <v>10096</v>
      </c>
      <c r="D1043" s="74" t="s">
        <v>10097</v>
      </c>
      <c r="E1043" s="74"/>
      <c r="F1043" s="74">
        <v>1.1100000000000001</v>
      </c>
      <c r="G1043" s="74"/>
      <c r="H1043" s="74"/>
      <c r="I1043" s="74" t="s">
        <v>391</v>
      </c>
      <c r="J1043" s="74"/>
      <c r="K1043" s="74">
        <v>102.4</v>
      </c>
      <c r="L1043" s="74">
        <v>92.16</v>
      </c>
      <c r="M1043" s="74"/>
      <c r="N1043" s="74" t="s">
        <v>392</v>
      </c>
      <c r="O1043" s="74" t="s">
        <v>402</v>
      </c>
      <c r="P1043" s="74" t="s">
        <v>10098</v>
      </c>
      <c r="Q1043" s="74" t="s">
        <v>10099</v>
      </c>
    </row>
    <row r="1044" spans="3:17" x14ac:dyDescent="0.25">
      <c r="C1044" s="74" t="s">
        <v>11244</v>
      </c>
      <c r="D1044" s="74" t="s">
        <v>11245</v>
      </c>
      <c r="E1044" s="74"/>
      <c r="F1044" s="74">
        <v>1.1100000000000001</v>
      </c>
      <c r="G1044" s="74"/>
      <c r="H1044" s="74"/>
      <c r="I1044" s="74" t="s">
        <v>391</v>
      </c>
      <c r="J1044" s="74"/>
      <c r="K1044" s="74">
        <v>102.4</v>
      </c>
      <c r="L1044" s="74">
        <v>92.16</v>
      </c>
      <c r="M1044" s="74"/>
      <c r="N1044" s="74" t="s">
        <v>392</v>
      </c>
      <c r="O1044" s="74" t="s">
        <v>402</v>
      </c>
      <c r="P1044" s="74" t="s">
        <v>11246</v>
      </c>
      <c r="Q1044" s="74" t="s">
        <v>11247</v>
      </c>
    </row>
    <row r="1045" spans="3:17" x14ac:dyDescent="0.25">
      <c r="C1045" s="74" t="s">
        <v>15417</v>
      </c>
      <c r="D1045" s="74" t="s">
        <v>15418</v>
      </c>
      <c r="E1045" s="74"/>
      <c r="F1045" s="74">
        <v>1.1100000000000001</v>
      </c>
      <c r="G1045" s="74"/>
      <c r="H1045" s="74"/>
      <c r="I1045" s="74" t="s">
        <v>391</v>
      </c>
      <c r="J1045" s="74"/>
      <c r="K1045" s="74">
        <v>102.4</v>
      </c>
      <c r="L1045" s="74">
        <v>92.16</v>
      </c>
      <c r="M1045" s="74"/>
      <c r="N1045" s="74" t="s">
        <v>392</v>
      </c>
      <c r="O1045" s="74" t="s">
        <v>402</v>
      </c>
      <c r="P1045" s="74" t="s">
        <v>15419</v>
      </c>
      <c r="Q1045" s="74" t="s">
        <v>15420</v>
      </c>
    </row>
    <row r="1046" spans="3:17" x14ac:dyDescent="0.25">
      <c r="C1046" s="74" t="s">
        <v>17497</v>
      </c>
      <c r="D1046" s="74" t="s">
        <v>17498</v>
      </c>
      <c r="E1046" s="74"/>
      <c r="F1046" s="74">
        <v>1.1100000000000001</v>
      </c>
      <c r="G1046" s="74"/>
      <c r="H1046" s="74"/>
      <c r="I1046" s="74" t="s">
        <v>391</v>
      </c>
      <c r="J1046" s="74"/>
      <c r="K1046" s="74">
        <v>102.4</v>
      </c>
      <c r="L1046" s="74">
        <v>92.16</v>
      </c>
      <c r="M1046" s="74"/>
      <c r="N1046" s="74" t="s">
        <v>392</v>
      </c>
      <c r="O1046" s="74" t="s">
        <v>402</v>
      </c>
      <c r="P1046" s="74" t="s">
        <v>17499</v>
      </c>
      <c r="Q1046" s="74" t="s">
        <v>17500</v>
      </c>
    </row>
    <row r="1047" spans="3:17" x14ac:dyDescent="0.25">
      <c r="C1047" s="74" t="s">
        <v>19865</v>
      </c>
      <c r="D1047" s="74" t="s">
        <v>19866</v>
      </c>
      <c r="E1047" s="74"/>
      <c r="F1047" s="74">
        <v>1.1100000000000001</v>
      </c>
      <c r="G1047" s="74"/>
      <c r="H1047" s="74"/>
      <c r="I1047" s="74" t="s">
        <v>391</v>
      </c>
      <c r="J1047" s="74"/>
      <c r="K1047" s="74">
        <v>102.4</v>
      </c>
      <c r="L1047" s="74">
        <v>92.16</v>
      </c>
      <c r="M1047" s="74"/>
      <c r="N1047" s="74" t="s">
        <v>392</v>
      </c>
      <c r="O1047" s="74" t="s">
        <v>402</v>
      </c>
      <c r="P1047" s="74" t="s">
        <v>19867</v>
      </c>
      <c r="Q1047" s="74" t="s">
        <v>19868</v>
      </c>
    </row>
    <row r="1048" spans="3:17" x14ac:dyDescent="0.25">
      <c r="C1048" s="74" t="s">
        <v>20569</v>
      </c>
      <c r="D1048" s="74" t="s">
        <v>20570</v>
      </c>
      <c r="E1048" s="74"/>
      <c r="F1048" s="74">
        <v>1.1100000000000001</v>
      </c>
      <c r="G1048" s="74"/>
      <c r="H1048" s="74"/>
      <c r="I1048" s="74" t="s">
        <v>391</v>
      </c>
      <c r="J1048" s="74"/>
      <c r="K1048" s="74">
        <v>102.4</v>
      </c>
      <c r="L1048" s="74">
        <v>92.16</v>
      </c>
      <c r="M1048" s="74"/>
      <c r="N1048" s="74" t="s">
        <v>392</v>
      </c>
      <c r="O1048" s="74" t="s">
        <v>402</v>
      </c>
      <c r="P1048" s="74" t="s">
        <v>20571</v>
      </c>
      <c r="Q1048" s="74" t="s">
        <v>20572</v>
      </c>
    </row>
    <row r="1049" spans="3:17" x14ac:dyDescent="0.25">
      <c r="C1049" s="74" t="s">
        <v>6328</v>
      </c>
      <c r="D1049" s="74" t="s">
        <v>6329</v>
      </c>
      <c r="E1049" s="74"/>
      <c r="F1049" s="74">
        <v>1.1000000000000001</v>
      </c>
      <c r="G1049" s="74"/>
      <c r="H1049" s="74"/>
      <c r="I1049" s="74" t="s">
        <v>391</v>
      </c>
      <c r="J1049" s="74"/>
      <c r="K1049" s="74">
        <v>102.4</v>
      </c>
      <c r="L1049" s="74">
        <v>92.16</v>
      </c>
      <c r="M1049" s="74"/>
      <c r="N1049" s="74" t="s">
        <v>392</v>
      </c>
      <c r="O1049" s="74" t="s">
        <v>402</v>
      </c>
      <c r="P1049" s="74" t="s">
        <v>6330</v>
      </c>
      <c r="Q1049" s="74" t="s">
        <v>6331</v>
      </c>
    </row>
    <row r="1050" spans="3:17" x14ac:dyDescent="0.25">
      <c r="C1050" s="74" t="s">
        <v>8488</v>
      </c>
      <c r="D1050" s="74" t="s">
        <v>8489</v>
      </c>
      <c r="E1050" s="74"/>
      <c r="F1050" s="74">
        <v>1.1000000000000001</v>
      </c>
      <c r="G1050" s="74"/>
      <c r="H1050" s="74"/>
      <c r="I1050" s="74" t="s">
        <v>391</v>
      </c>
      <c r="J1050" s="74"/>
      <c r="K1050" s="74">
        <v>102.4</v>
      </c>
      <c r="L1050" s="74">
        <v>92.16</v>
      </c>
      <c r="M1050" s="74"/>
      <c r="N1050" s="74" t="s">
        <v>392</v>
      </c>
      <c r="O1050" s="74" t="s">
        <v>402</v>
      </c>
      <c r="P1050" s="74" t="s">
        <v>8490</v>
      </c>
      <c r="Q1050" s="74" t="s">
        <v>8491</v>
      </c>
    </row>
    <row r="1051" spans="3:17" x14ac:dyDescent="0.25">
      <c r="C1051" s="74" t="s">
        <v>11307</v>
      </c>
      <c r="D1051" s="74" t="s">
        <v>11308</v>
      </c>
      <c r="E1051" s="74"/>
      <c r="F1051" s="74">
        <v>1.1000000000000001</v>
      </c>
      <c r="G1051" s="74"/>
      <c r="H1051" s="74"/>
      <c r="I1051" s="74" t="s">
        <v>391</v>
      </c>
      <c r="J1051" s="74"/>
      <c r="K1051" s="74">
        <v>102.4</v>
      </c>
      <c r="L1051" s="74">
        <v>92.16</v>
      </c>
      <c r="M1051" s="74"/>
      <c r="N1051" s="74" t="s">
        <v>392</v>
      </c>
      <c r="O1051" s="74" t="s">
        <v>402</v>
      </c>
      <c r="P1051" s="74" t="s">
        <v>11309</v>
      </c>
      <c r="Q1051" s="74" t="s">
        <v>11310</v>
      </c>
    </row>
    <row r="1052" spans="3:17" x14ac:dyDescent="0.25">
      <c r="C1052" s="74" t="s">
        <v>1703</v>
      </c>
      <c r="D1052" s="74" t="s">
        <v>1704</v>
      </c>
      <c r="E1052" s="74"/>
      <c r="F1052" s="74">
        <v>1.0900000000000001</v>
      </c>
      <c r="G1052" s="74"/>
      <c r="H1052" s="74"/>
      <c r="I1052" s="74" t="s">
        <v>391</v>
      </c>
      <c r="J1052" s="74"/>
      <c r="K1052" s="74">
        <v>102.4</v>
      </c>
      <c r="L1052" s="74">
        <v>92.16</v>
      </c>
      <c r="M1052" s="74"/>
      <c r="N1052" s="74" t="s">
        <v>392</v>
      </c>
      <c r="O1052" s="74" t="s">
        <v>402</v>
      </c>
      <c r="P1052" s="74" t="s">
        <v>1705</v>
      </c>
      <c r="Q1052" s="74" t="s">
        <v>1706</v>
      </c>
    </row>
    <row r="1053" spans="3:17" x14ac:dyDescent="0.25">
      <c r="C1053" s="74" t="s">
        <v>2009</v>
      </c>
      <c r="D1053" s="74" t="s">
        <v>2010</v>
      </c>
      <c r="E1053" s="74"/>
      <c r="F1053" s="74">
        <v>1.0900000000000001</v>
      </c>
      <c r="G1053" s="74"/>
      <c r="H1053" s="74"/>
      <c r="I1053" s="74" t="s">
        <v>391</v>
      </c>
      <c r="J1053" s="74"/>
      <c r="K1053" s="74">
        <v>102.4</v>
      </c>
      <c r="L1053" s="74">
        <v>92.16</v>
      </c>
      <c r="M1053" s="74"/>
      <c r="N1053" s="74" t="s">
        <v>392</v>
      </c>
      <c r="O1053" s="74" t="s">
        <v>402</v>
      </c>
      <c r="P1053" s="74" t="s">
        <v>2011</v>
      </c>
      <c r="Q1053" s="74" t="s">
        <v>2012</v>
      </c>
    </row>
    <row r="1054" spans="3:17" x14ac:dyDescent="0.25">
      <c r="C1054" s="74" t="s">
        <v>4994</v>
      </c>
      <c r="D1054" s="74" t="s">
        <v>4995</v>
      </c>
      <c r="E1054" s="74"/>
      <c r="F1054" s="74">
        <v>1.0900000000000001</v>
      </c>
      <c r="G1054" s="74"/>
      <c r="H1054" s="74"/>
      <c r="I1054" s="74" t="s">
        <v>391</v>
      </c>
      <c r="J1054" s="74"/>
      <c r="K1054" s="74">
        <v>102.4</v>
      </c>
      <c r="L1054" s="74">
        <v>92.16</v>
      </c>
      <c r="M1054" s="74"/>
      <c r="N1054" s="74" t="s">
        <v>392</v>
      </c>
      <c r="O1054" s="74" t="s">
        <v>402</v>
      </c>
      <c r="P1054" s="74" t="s">
        <v>4996</v>
      </c>
      <c r="Q1054" s="74" t="s">
        <v>4997</v>
      </c>
    </row>
    <row r="1055" spans="3:17" x14ac:dyDescent="0.25">
      <c r="C1055" s="74" t="s">
        <v>14601</v>
      </c>
      <c r="D1055" s="74" t="s">
        <v>14602</v>
      </c>
      <c r="E1055" s="74"/>
      <c r="F1055" s="74">
        <v>1.0900000000000001</v>
      </c>
      <c r="G1055" s="74"/>
      <c r="H1055" s="74"/>
      <c r="I1055" s="74" t="s">
        <v>391</v>
      </c>
      <c r="J1055" s="74"/>
      <c r="K1055" s="74">
        <v>102.4</v>
      </c>
      <c r="L1055" s="74">
        <v>92.16</v>
      </c>
      <c r="M1055" s="74"/>
      <c r="N1055" s="74" t="s">
        <v>392</v>
      </c>
      <c r="O1055" s="74" t="s">
        <v>402</v>
      </c>
      <c r="P1055" s="74" t="s">
        <v>14603</v>
      </c>
      <c r="Q1055" s="74" t="s">
        <v>14604</v>
      </c>
    </row>
    <row r="1056" spans="3:17" x14ac:dyDescent="0.25">
      <c r="C1056" s="74" t="s">
        <v>16802</v>
      </c>
      <c r="D1056" s="74" t="s">
        <v>16803</v>
      </c>
      <c r="E1056" s="74"/>
      <c r="F1056" s="74">
        <v>1.0900000000000001</v>
      </c>
      <c r="G1056" s="74"/>
      <c r="H1056" s="74"/>
      <c r="I1056" s="74" t="s">
        <v>391</v>
      </c>
      <c r="J1056" s="74"/>
      <c r="K1056" s="74">
        <v>102.4</v>
      </c>
      <c r="L1056" s="74">
        <v>92.16</v>
      </c>
      <c r="M1056" s="74"/>
      <c r="N1056" s="74" t="s">
        <v>392</v>
      </c>
      <c r="O1056" s="74" t="s">
        <v>402</v>
      </c>
      <c r="P1056" s="74" t="s">
        <v>16804</v>
      </c>
      <c r="Q1056" s="74" t="s">
        <v>16805</v>
      </c>
    </row>
    <row r="1057" spans="3:17" x14ac:dyDescent="0.25">
      <c r="C1057" s="74" t="s">
        <v>4057</v>
      </c>
      <c r="D1057" s="74" t="s">
        <v>4058</v>
      </c>
      <c r="E1057" s="74"/>
      <c r="F1057" s="74">
        <v>1.08</v>
      </c>
      <c r="G1057" s="74"/>
      <c r="H1057" s="74"/>
      <c r="I1057" s="74" t="s">
        <v>391</v>
      </c>
      <c r="J1057" s="74"/>
      <c r="K1057" s="74">
        <v>102.4</v>
      </c>
      <c r="L1057" s="74">
        <v>92.16</v>
      </c>
      <c r="M1057" s="74"/>
      <c r="N1057" s="74" t="s">
        <v>392</v>
      </c>
      <c r="O1057" s="74" t="s">
        <v>402</v>
      </c>
      <c r="P1057" s="74" t="s">
        <v>4059</v>
      </c>
      <c r="Q1057" s="74" t="s">
        <v>4060</v>
      </c>
    </row>
    <row r="1058" spans="3:17" x14ac:dyDescent="0.25">
      <c r="C1058" s="74" t="s">
        <v>4507</v>
      </c>
      <c r="D1058" s="74" t="s">
        <v>4508</v>
      </c>
      <c r="E1058" s="74"/>
      <c r="F1058" s="74">
        <v>1.08</v>
      </c>
      <c r="G1058" s="74"/>
      <c r="H1058" s="74"/>
      <c r="I1058" s="74" t="s">
        <v>391</v>
      </c>
      <c r="J1058" s="74"/>
      <c r="K1058" s="74">
        <v>102.4</v>
      </c>
      <c r="L1058" s="74">
        <v>92.16</v>
      </c>
      <c r="M1058" s="74"/>
      <c r="N1058" s="74" t="s">
        <v>392</v>
      </c>
      <c r="O1058" s="74" t="s">
        <v>402</v>
      </c>
      <c r="P1058" s="74" t="s">
        <v>4509</v>
      </c>
      <c r="Q1058" s="74" t="s">
        <v>4510</v>
      </c>
    </row>
    <row r="1059" spans="3:17" x14ac:dyDescent="0.25">
      <c r="C1059" s="74" t="s">
        <v>7137</v>
      </c>
      <c r="D1059" s="74" t="s">
        <v>7138</v>
      </c>
      <c r="E1059" s="74"/>
      <c r="F1059" s="74">
        <v>1.08</v>
      </c>
      <c r="G1059" s="74"/>
      <c r="H1059" s="74"/>
      <c r="I1059" s="74" t="s">
        <v>391</v>
      </c>
      <c r="J1059" s="74"/>
      <c r="K1059" s="74">
        <v>102.4</v>
      </c>
      <c r="L1059" s="74">
        <v>92.16</v>
      </c>
      <c r="M1059" s="74"/>
      <c r="N1059" s="74" t="s">
        <v>392</v>
      </c>
      <c r="O1059" s="74" t="s">
        <v>402</v>
      </c>
      <c r="P1059" s="74" t="s">
        <v>7139</v>
      </c>
      <c r="Q1059" s="74" t="s">
        <v>7140</v>
      </c>
    </row>
    <row r="1060" spans="3:17" x14ac:dyDescent="0.25">
      <c r="C1060" s="74" t="s">
        <v>9751</v>
      </c>
      <c r="D1060" s="74" t="s">
        <v>9752</v>
      </c>
      <c r="E1060" s="74"/>
      <c r="F1060" s="74">
        <v>1.08</v>
      </c>
      <c r="G1060" s="74"/>
      <c r="H1060" s="74"/>
      <c r="I1060" s="74" t="s">
        <v>391</v>
      </c>
      <c r="J1060" s="74"/>
      <c r="K1060" s="74">
        <v>102.4</v>
      </c>
      <c r="L1060" s="74">
        <v>92.16</v>
      </c>
      <c r="M1060" s="74"/>
      <c r="N1060" s="74" t="s">
        <v>392</v>
      </c>
      <c r="O1060" s="74" t="s">
        <v>402</v>
      </c>
      <c r="P1060" s="74" t="s">
        <v>9753</v>
      </c>
      <c r="Q1060" s="74" t="s">
        <v>9754</v>
      </c>
    </row>
    <row r="1061" spans="3:17" x14ac:dyDescent="0.25">
      <c r="C1061" s="74" t="s">
        <v>10747</v>
      </c>
      <c r="D1061" s="74" t="s">
        <v>10748</v>
      </c>
      <c r="E1061" s="74"/>
      <c r="F1061" s="74">
        <v>1.08</v>
      </c>
      <c r="G1061" s="74"/>
      <c r="H1061" s="74"/>
      <c r="I1061" s="74" t="s">
        <v>391</v>
      </c>
      <c r="J1061" s="74"/>
      <c r="K1061" s="74">
        <v>102.4</v>
      </c>
      <c r="L1061" s="74">
        <v>92.16</v>
      </c>
      <c r="M1061" s="74"/>
      <c r="N1061" s="74" t="s">
        <v>392</v>
      </c>
      <c r="O1061" s="74" t="s">
        <v>402</v>
      </c>
      <c r="P1061" s="74" t="s">
        <v>10749</v>
      </c>
      <c r="Q1061" s="74" t="s">
        <v>10750</v>
      </c>
    </row>
    <row r="1062" spans="3:17" x14ac:dyDescent="0.25">
      <c r="C1062" s="74" t="s">
        <v>10800</v>
      </c>
      <c r="D1062" s="74" t="s">
        <v>10801</v>
      </c>
      <c r="E1062" s="74"/>
      <c r="F1062" s="74">
        <v>1.08</v>
      </c>
      <c r="G1062" s="74"/>
      <c r="H1062" s="74"/>
      <c r="I1062" s="74" t="s">
        <v>391</v>
      </c>
      <c r="J1062" s="74"/>
      <c r="K1062" s="74">
        <v>102.4</v>
      </c>
      <c r="L1062" s="74">
        <v>92.16</v>
      </c>
      <c r="M1062" s="74"/>
      <c r="N1062" s="74" t="s">
        <v>392</v>
      </c>
      <c r="O1062" s="74" t="s">
        <v>402</v>
      </c>
      <c r="P1062" s="74" t="s">
        <v>10802</v>
      </c>
      <c r="Q1062" s="74" t="s">
        <v>10803</v>
      </c>
    </row>
    <row r="1063" spans="3:17" x14ac:dyDescent="0.25">
      <c r="C1063" s="74" t="s">
        <v>15313</v>
      </c>
      <c r="D1063" s="74" t="s">
        <v>15314</v>
      </c>
      <c r="E1063" s="74"/>
      <c r="F1063" s="74">
        <v>1.08</v>
      </c>
      <c r="G1063" s="74"/>
      <c r="H1063" s="74"/>
      <c r="I1063" s="74" t="s">
        <v>391</v>
      </c>
      <c r="J1063" s="74"/>
      <c r="K1063" s="74">
        <v>102.4</v>
      </c>
      <c r="L1063" s="74">
        <v>92.16</v>
      </c>
      <c r="M1063" s="74"/>
      <c r="N1063" s="74" t="s">
        <v>392</v>
      </c>
      <c r="O1063" s="74" t="s">
        <v>402</v>
      </c>
      <c r="P1063" s="74" t="s">
        <v>15315</v>
      </c>
      <c r="Q1063" s="74" t="s">
        <v>15316</v>
      </c>
    </row>
    <row r="1064" spans="3:17" x14ac:dyDescent="0.25">
      <c r="C1064" s="74" t="s">
        <v>20155</v>
      </c>
      <c r="D1064" s="74" t="s">
        <v>20156</v>
      </c>
      <c r="E1064" s="74"/>
      <c r="F1064" s="74">
        <v>1.08</v>
      </c>
      <c r="G1064" s="74"/>
      <c r="H1064" s="74"/>
      <c r="I1064" s="74" t="s">
        <v>391</v>
      </c>
      <c r="J1064" s="74"/>
      <c r="K1064" s="74">
        <v>102.4</v>
      </c>
      <c r="L1064" s="74">
        <v>92.16</v>
      </c>
      <c r="M1064" s="74"/>
      <c r="N1064" s="74" t="s">
        <v>392</v>
      </c>
      <c r="O1064" s="74" t="s">
        <v>402</v>
      </c>
      <c r="P1064" s="74" t="s">
        <v>20157</v>
      </c>
      <c r="Q1064" s="74" t="s">
        <v>20158</v>
      </c>
    </row>
    <row r="1065" spans="3:17" x14ac:dyDescent="0.25">
      <c r="C1065" s="74" t="s">
        <v>20257</v>
      </c>
      <c r="D1065" s="74" t="s">
        <v>20258</v>
      </c>
      <c r="E1065" s="74"/>
      <c r="F1065" s="74">
        <v>1.08</v>
      </c>
      <c r="G1065" s="74"/>
      <c r="H1065" s="74"/>
      <c r="I1065" s="74" t="s">
        <v>391</v>
      </c>
      <c r="J1065" s="74"/>
      <c r="K1065" s="74">
        <v>102.4</v>
      </c>
      <c r="L1065" s="74">
        <v>92.16</v>
      </c>
      <c r="M1065" s="74"/>
      <c r="N1065" s="74" t="s">
        <v>392</v>
      </c>
      <c r="O1065" s="74" t="s">
        <v>402</v>
      </c>
      <c r="P1065" s="74" t="s">
        <v>20259</v>
      </c>
      <c r="Q1065" s="74" t="s">
        <v>20260</v>
      </c>
    </row>
    <row r="1066" spans="3:17" x14ac:dyDescent="0.25">
      <c r="C1066" s="74" t="s">
        <v>1116</v>
      </c>
      <c r="D1066" s="74" t="s">
        <v>1117</v>
      </c>
      <c r="E1066" s="74"/>
      <c r="F1066" s="74">
        <v>1.07</v>
      </c>
      <c r="G1066" s="74"/>
      <c r="H1066" s="74"/>
      <c r="I1066" s="74" t="s">
        <v>391</v>
      </c>
      <c r="J1066" s="74"/>
      <c r="K1066" s="74">
        <v>102.4</v>
      </c>
      <c r="L1066" s="74">
        <v>92.16</v>
      </c>
      <c r="M1066" s="74"/>
      <c r="N1066" s="74" t="s">
        <v>392</v>
      </c>
      <c r="O1066" s="74" t="s">
        <v>402</v>
      </c>
      <c r="P1066" s="74" t="s">
        <v>1118</v>
      </c>
      <c r="Q1066" s="74" t="s">
        <v>1119</v>
      </c>
    </row>
    <row r="1067" spans="3:17" x14ac:dyDescent="0.25">
      <c r="C1067" s="74" t="s">
        <v>11880</v>
      </c>
      <c r="D1067" s="74" t="s">
        <v>11881</v>
      </c>
      <c r="E1067" s="74"/>
      <c r="F1067" s="74">
        <v>1.07</v>
      </c>
      <c r="G1067" s="74"/>
      <c r="H1067" s="74"/>
      <c r="I1067" s="74" t="s">
        <v>391</v>
      </c>
      <c r="J1067" s="74"/>
      <c r="K1067" s="74">
        <v>102.4</v>
      </c>
      <c r="L1067" s="74">
        <v>92.16</v>
      </c>
      <c r="M1067" s="74"/>
      <c r="N1067" s="74" t="s">
        <v>392</v>
      </c>
      <c r="O1067" s="74" t="s">
        <v>402</v>
      </c>
      <c r="P1067" s="74" t="s">
        <v>11882</v>
      </c>
      <c r="Q1067" s="74" t="s">
        <v>11883</v>
      </c>
    </row>
    <row r="1068" spans="3:17" x14ac:dyDescent="0.25">
      <c r="C1068" s="74" t="s">
        <v>13492</v>
      </c>
      <c r="D1068" s="74" t="s">
        <v>13493</v>
      </c>
      <c r="E1068" s="74"/>
      <c r="F1068" s="74">
        <v>1.07</v>
      </c>
      <c r="G1068" s="74"/>
      <c r="H1068" s="74"/>
      <c r="I1068" s="74" t="s">
        <v>391</v>
      </c>
      <c r="J1068" s="74"/>
      <c r="K1068" s="74">
        <v>102.4</v>
      </c>
      <c r="L1068" s="74">
        <v>92.16</v>
      </c>
      <c r="M1068" s="74"/>
      <c r="N1068" s="74" t="s">
        <v>392</v>
      </c>
      <c r="O1068" s="74" t="s">
        <v>402</v>
      </c>
      <c r="P1068" s="74" t="s">
        <v>13494</v>
      </c>
      <c r="Q1068" s="74" t="s">
        <v>13495</v>
      </c>
    </row>
    <row r="1069" spans="3:17" x14ac:dyDescent="0.25">
      <c r="C1069" s="74" t="s">
        <v>15717</v>
      </c>
      <c r="D1069" s="74" t="s">
        <v>15718</v>
      </c>
      <c r="E1069" s="74"/>
      <c r="F1069" s="74">
        <v>1.07</v>
      </c>
      <c r="G1069" s="74"/>
      <c r="H1069" s="74"/>
      <c r="I1069" s="74" t="s">
        <v>391</v>
      </c>
      <c r="J1069" s="74"/>
      <c r="K1069" s="74">
        <v>102.4</v>
      </c>
      <c r="L1069" s="74">
        <v>92.16</v>
      </c>
      <c r="M1069" s="74"/>
      <c r="N1069" s="74" t="s">
        <v>392</v>
      </c>
      <c r="O1069" s="74" t="s">
        <v>402</v>
      </c>
      <c r="P1069" s="74" t="s">
        <v>15719</v>
      </c>
      <c r="Q1069" s="74" t="s">
        <v>15720</v>
      </c>
    </row>
    <row r="1070" spans="3:17" x14ac:dyDescent="0.25">
      <c r="C1070" s="74" t="s">
        <v>927</v>
      </c>
      <c r="D1070" s="74" t="s">
        <v>928</v>
      </c>
      <c r="E1070" s="74"/>
      <c r="F1070" s="74">
        <v>1.06</v>
      </c>
      <c r="G1070" s="74"/>
      <c r="H1070" s="74"/>
      <c r="I1070" s="74" t="s">
        <v>391</v>
      </c>
      <c r="J1070" s="74"/>
      <c r="K1070" s="74">
        <v>102.4</v>
      </c>
      <c r="L1070" s="74">
        <v>92.16</v>
      </c>
      <c r="M1070" s="74"/>
      <c r="N1070" s="74" t="s">
        <v>392</v>
      </c>
      <c r="O1070" s="74" t="s">
        <v>402</v>
      </c>
      <c r="P1070" s="74" t="s">
        <v>929</v>
      </c>
      <c r="Q1070" s="74" t="s">
        <v>930</v>
      </c>
    </row>
    <row r="1071" spans="3:17" x14ac:dyDescent="0.25">
      <c r="C1071" s="74" t="s">
        <v>2392</v>
      </c>
      <c r="D1071" s="74" t="s">
        <v>2393</v>
      </c>
      <c r="E1071" s="74"/>
      <c r="F1071" s="74">
        <v>1.06</v>
      </c>
      <c r="G1071" s="74"/>
      <c r="H1071" s="74"/>
      <c r="I1071" s="74" t="s">
        <v>391</v>
      </c>
      <c r="J1071" s="74"/>
      <c r="K1071" s="74">
        <v>102.4</v>
      </c>
      <c r="L1071" s="74">
        <v>92.16</v>
      </c>
      <c r="M1071" s="74"/>
      <c r="N1071" s="74" t="s">
        <v>392</v>
      </c>
      <c r="O1071" s="74" t="s">
        <v>402</v>
      </c>
      <c r="P1071" s="74" t="s">
        <v>2394</v>
      </c>
      <c r="Q1071" s="74" t="s">
        <v>2395</v>
      </c>
    </row>
    <row r="1072" spans="3:17" x14ac:dyDescent="0.25">
      <c r="C1072" s="74" t="s">
        <v>2840</v>
      </c>
      <c r="D1072" s="74" t="s">
        <v>2841</v>
      </c>
      <c r="E1072" s="74" t="s">
        <v>391</v>
      </c>
      <c r="F1072" s="74">
        <v>1.06</v>
      </c>
      <c r="G1072" s="74"/>
      <c r="H1072" s="74"/>
      <c r="I1072" s="74" t="s">
        <v>391</v>
      </c>
      <c r="J1072" s="74"/>
      <c r="K1072" s="74">
        <v>102.4</v>
      </c>
      <c r="L1072" s="74">
        <v>92.16</v>
      </c>
      <c r="M1072" s="74"/>
      <c r="N1072" s="74" t="s">
        <v>392</v>
      </c>
      <c r="O1072" s="74" t="s">
        <v>402</v>
      </c>
      <c r="P1072" s="74" t="s">
        <v>2842</v>
      </c>
      <c r="Q1072" s="74" t="s">
        <v>2843</v>
      </c>
    </row>
    <row r="1073" spans="3:17" x14ac:dyDescent="0.25">
      <c r="C1073" s="74" t="s">
        <v>5935</v>
      </c>
      <c r="D1073" s="74" t="s">
        <v>5936</v>
      </c>
      <c r="E1073" s="74"/>
      <c r="F1073" s="74">
        <v>1.06</v>
      </c>
      <c r="G1073" s="74"/>
      <c r="H1073" s="74"/>
      <c r="I1073" s="74" t="s">
        <v>391</v>
      </c>
      <c r="J1073" s="74"/>
      <c r="K1073" s="74">
        <v>102.4</v>
      </c>
      <c r="L1073" s="74">
        <v>92.16</v>
      </c>
      <c r="M1073" s="74"/>
      <c r="N1073" s="74" t="s">
        <v>392</v>
      </c>
      <c r="O1073" s="74" t="s">
        <v>402</v>
      </c>
      <c r="P1073" s="74" t="s">
        <v>5937</v>
      </c>
      <c r="Q1073" s="74" t="s">
        <v>5938</v>
      </c>
    </row>
    <row r="1074" spans="3:17" x14ac:dyDescent="0.25">
      <c r="C1074" s="74" t="s">
        <v>7784</v>
      </c>
      <c r="D1074" s="74" t="s">
        <v>7785</v>
      </c>
      <c r="E1074" s="74"/>
      <c r="F1074" s="74">
        <v>1.06</v>
      </c>
      <c r="G1074" s="74"/>
      <c r="H1074" s="74"/>
      <c r="I1074" s="74" t="s">
        <v>391</v>
      </c>
      <c r="J1074" s="74"/>
      <c r="K1074" s="74">
        <v>102.4</v>
      </c>
      <c r="L1074" s="74">
        <v>92.16</v>
      </c>
      <c r="M1074" s="74"/>
      <c r="N1074" s="74" t="s">
        <v>392</v>
      </c>
      <c r="O1074" s="74" t="s">
        <v>402</v>
      </c>
      <c r="P1074" s="74" t="s">
        <v>7786</v>
      </c>
      <c r="Q1074" s="74" t="s">
        <v>7787</v>
      </c>
    </row>
    <row r="1075" spans="3:17" x14ac:dyDescent="0.25">
      <c r="C1075" s="74" t="s">
        <v>9420</v>
      </c>
      <c r="D1075" s="74" t="s">
        <v>9421</v>
      </c>
      <c r="E1075" s="74"/>
      <c r="F1075" s="74">
        <v>1.06</v>
      </c>
      <c r="G1075" s="74"/>
      <c r="H1075" s="74"/>
      <c r="I1075" s="74" t="s">
        <v>391</v>
      </c>
      <c r="J1075" s="74"/>
      <c r="K1075" s="74">
        <v>102.4</v>
      </c>
      <c r="L1075" s="74">
        <v>92.16</v>
      </c>
      <c r="M1075" s="74"/>
      <c r="N1075" s="74" t="s">
        <v>392</v>
      </c>
      <c r="O1075" s="74" t="s">
        <v>402</v>
      </c>
      <c r="P1075" s="74" t="s">
        <v>9422</v>
      </c>
      <c r="Q1075" s="74" t="s">
        <v>9423</v>
      </c>
    </row>
    <row r="1076" spans="3:17" x14ac:dyDescent="0.25">
      <c r="C1076" s="74" t="s">
        <v>13674</v>
      </c>
      <c r="D1076" s="74" t="s">
        <v>13675</v>
      </c>
      <c r="E1076" s="74"/>
      <c r="F1076" s="74">
        <v>1.06</v>
      </c>
      <c r="G1076" s="74"/>
      <c r="H1076" s="74"/>
      <c r="I1076" s="74" t="s">
        <v>391</v>
      </c>
      <c r="J1076" s="74"/>
      <c r="K1076" s="74">
        <v>102.4</v>
      </c>
      <c r="L1076" s="74">
        <v>92.16</v>
      </c>
      <c r="M1076" s="74"/>
      <c r="N1076" s="74" t="s">
        <v>392</v>
      </c>
      <c r="O1076" s="74" t="s">
        <v>402</v>
      </c>
      <c r="P1076" s="74" t="s">
        <v>13676</v>
      </c>
      <c r="Q1076" s="74" t="s">
        <v>13677</v>
      </c>
    </row>
    <row r="1077" spans="3:17" x14ac:dyDescent="0.25">
      <c r="C1077" s="74" t="s">
        <v>10540</v>
      </c>
      <c r="D1077" s="74" t="s">
        <v>10541</v>
      </c>
      <c r="E1077" s="74"/>
      <c r="F1077" s="74">
        <v>1.05</v>
      </c>
      <c r="G1077" s="74"/>
      <c r="H1077" s="74"/>
      <c r="I1077" s="74" t="s">
        <v>391</v>
      </c>
      <c r="J1077" s="74"/>
      <c r="K1077" s="74">
        <v>102.4</v>
      </c>
      <c r="L1077" s="74">
        <v>92.16</v>
      </c>
      <c r="M1077" s="74"/>
      <c r="N1077" s="74" t="s">
        <v>392</v>
      </c>
      <c r="O1077" s="74" t="s">
        <v>402</v>
      </c>
      <c r="P1077" s="74" t="s">
        <v>10542</v>
      </c>
      <c r="Q1077" s="74" t="s">
        <v>10543</v>
      </c>
    </row>
    <row r="1078" spans="3:17" x14ac:dyDescent="0.25">
      <c r="C1078" s="74" t="s">
        <v>12859</v>
      </c>
      <c r="D1078" s="74" t="s">
        <v>12860</v>
      </c>
      <c r="E1078" s="74"/>
      <c r="F1078" s="74">
        <v>1.05</v>
      </c>
      <c r="G1078" s="74"/>
      <c r="H1078" s="74"/>
      <c r="I1078" s="74" t="s">
        <v>391</v>
      </c>
      <c r="J1078" s="74"/>
      <c r="K1078" s="74">
        <v>102.4</v>
      </c>
      <c r="L1078" s="74">
        <v>92.16</v>
      </c>
      <c r="M1078" s="74"/>
      <c r="N1078" s="74" t="s">
        <v>392</v>
      </c>
      <c r="O1078" s="74" t="s">
        <v>402</v>
      </c>
      <c r="P1078" s="74" t="s">
        <v>12861</v>
      </c>
      <c r="Q1078" s="74" t="s">
        <v>12862</v>
      </c>
    </row>
    <row r="1079" spans="3:17" x14ac:dyDescent="0.25">
      <c r="C1079" s="74" t="s">
        <v>14642</v>
      </c>
      <c r="D1079" s="74" t="s">
        <v>14643</v>
      </c>
      <c r="E1079" s="74"/>
      <c r="F1079" s="74">
        <v>1.05</v>
      </c>
      <c r="G1079" s="74"/>
      <c r="H1079" s="74"/>
      <c r="I1079" s="74" t="s">
        <v>391</v>
      </c>
      <c r="J1079" s="74"/>
      <c r="K1079" s="74">
        <v>102.4</v>
      </c>
      <c r="L1079" s="74">
        <v>92.16</v>
      </c>
      <c r="M1079" s="74"/>
      <c r="N1079" s="74" t="s">
        <v>392</v>
      </c>
      <c r="O1079" s="74" t="s">
        <v>402</v>
      </c>
      <c r="P1079" s="74" t="s">
        <v>14644</v>
      </c>
      <c r="Q1079" s="74" t="s">
        <v>14645</v>
      </c>
    </row>
    <row r="1080" spans="3:17" x14ac:dyDescent="0.25">
      <c r="C1080" s="74" t="s">
        <v>8833</v>
      </c>
      <c r="D1080" s="74" t="s">
        <v>8834</v>
      </c>
      <c r="E1080" s="74" t="s">
        <v>391</v>
      </c>
      <c r="F1080" s="74">
        <v>1.04</v>
      </c>
      <c r="G1080" s="74"/>
      <c r="H1080" s="74"/>
      <c r="I1080" s="74" t="s">
        <v>391</v>
      </c>
      <c r="J1080" s="74"/>
      <c r="K1080" s="74">
        <v>102.4</v>
      </c>
      <c r="L1080" s="74">
        <v>92.16</v>
      </c>
      <c r="M1080" s="74"/>
      <c r="N1080" s="74" t="s">
        <v>392</v>
      </c>
      <c r="O1080" s="74" t="s">
        <v>393</v>
      </c>
      <c r="P1080" s="74" t="s">
        <v>8835</v>
      </c>
      <c r="Q1080" s="74" t="s">
        <v>8836</v>
      </c>
    </row>
    <row r="1081" spans="3:17" x14ac:dyDescent="0.25">
      <c r="C1081" s="74" t="s">
        <v>13702</v>
      </c>
      <c r="D1081" s="74" t="s">
        <v>13703</v>
      </c>
      <c r="E1081" s="74"/>
      <c r="F1081" s="74">
        <v>1.04</v>
      </c>
      <c r="G1081" s="74"/>
      <c r="H1081" s="74"/>
      <c r="I1081" s="74" t="s">
        <v>391</v>
      </c>
      <c r="J1081" s="74"/>
      <c r="K1081" s="74">
        <v>102.4</v>
      </c>
      <c r="L1081" s="74">
        <v>92.16</v>
      </c>
      <c r="M1081" s="74"/>
      <c r="N1081" s="74" t="s">
        <v>392</v>
      </c>
      <c r="O1081" s="74" t="s">
        <v>402</v>
      </c>
      <c r="P1081" s="74" t="s">
        <v>13704</v>
      </c>
      <c r="Q1081" s="74" t="s">
        <v>13705</v>
      </c>
    </row>
    <row r="1082" spans="3:17" x14ac:dyDescent="0.25">
      <c r="C1082" s="74" t="s">
        <v>16923</v>
      </c>
      <c r="D1082" s="74" t="s">
        <v>16924</v>
      </c>
      <c r="E1082" s="74"/>
      <c r="F1082" s="74">
        <v>1.04</v>
      </c>
      <c r="G1082" s="74"/>
      <c r="H1082" s="74"/>
      <c r="I1082" s="74" t="s">
        <v>391</v>
      </c>
      <c r="J1082" s="74"/>
      <c r="K1082" s="74">
        <v>102.4</v>
      </c>
      <c r="L1082" s="74">
        <v>92.16</v>
      </c>
      <c r="M1082" s="74"/>
      <c r="N1082" s="74" t="s">
        <v>392</v>
      </c>
      <c r="O1082" s="74" t="s">
        <v>402</v>
      </c>
      <c r="P1082" s="74" t="s">
        <v>16925</v>
      </c>
      <c r="Q1082" s="74" t="s">
        <v>16926</v>
      </c>
    </row>
    <row r="1083" spans="3:17" x14ac:dyDescent="0.25">
      <c r="C1083" s="74" t="s">
        <v>20551</v>
      </c>
      <c r="D1083" s="74" t="s">
        <v>20552</v>
      </c>
      <c r="E1083" s="74"/>
      <c r="F1083" s="74">
        <v>1.04</v>
      </c>
      <c r="G1083" s="74"/>
      <c r="H1083" s="74"/>
      <c r="I1083" s="74" t="s">
        <v>391</v>
      </c>
      <c r="J1083" s="74"/>
      <c r="K1083" s="74">
        <v>102.4</v>
      </c>
      <c r="L1083" s="74">
        <v>92.16</v>
      </c>
      <c r="M1083" s="74"/>
      <c r="N1083" s="74" t="s">
        <v>392</v>
      </c>
      <c r="O1083" s="74" t="s">
        <v>402</v>
      </c>
      <c r="P1083" s="74" t="s">
        <v>20553</v>
      </c>
      <c r="Q1083" s="74" t="s">
        <v>20554</v>
      </c>
    </row>
    <row r="1084" spans="3:17" x14ac:dyDescent="0.25">
      <c r="C1084" s="74" t="s">
        <v>8759</v>
      </c>
      <c r="D1084" s="74" t="s">
        <v>8760</v>
      </c>
      <c r="E1084" s="74"/>
      <c r="F1084" s="74">
        <v>1.03</v>
      </c>
      <c r="G1084" s="74"/>
      <c r="H1084" s="74"/>
      <c r="I1084" s="74" t="s">
        <v>391</v>
      </c>
      <c r="J1084" s="74"/>
      <c r="K1084" s="74">
        <v>102.4</v>
      </c>
      <c r="L1084" s="74">
        <v>92.16</v>
      </c>
      <c r="M1084" s="74"/>
      <c r="N1084" s="74" t="s">
        <v>392</v>
      </c>
      <c r="O1084" s="74" t="s">
        <v>402</v>
      </c>
      <c r="P1084" s="74" t="s">
        <v>8761</v>
      </c>
      <c r="Q1084" s="74" t="s">
        <v>8762</v>
      </c>
    </row>
    <row r="1085" spans="3:17" x14ac:dyDescent="0.25">
      <c r="C1085" s="74" t="s">
        <v>16046</v>
      </c>
      <c r="D1085" s="74" t="s">
        <v>16047</v>
      </c>
      <c r="E1085" s="74"/>
      <c r="F1085" s="74">
        <v>1.03</v>
      </c>
      <c r="G1085" s="74"/>
      <c r="H1085" s="74"/>
      <c r="I1085" s="74" t="s">
        <v>391</v>
      </c>
      <c r="J1085" s="74"/>
      <c r="K1085" s="74">
        <v>102.4</v>
      </c>
      <c r="L1085" s="74">
        <v>92.16</v>
      </c>
      <c r="M1085" s="74"/>
      <c r="N1085" s="74" t="s">
        <v>392</v>
      </c>
      <c r="O1085" s="74" t="s">
        <v>402</v>
      </c>
      <c r="P1085" s="74" t="s">
        <v>16048</v>
      </c>
      <c r="Q1085" s="74" t="s">
        <v>16049</v>
      </c>
    </row>
    <row r="1086" spans="3:17" x14ac:dyDescent="0.25">
      <c r="C1086" s="74" t="s">
        <v>1425</v>
      </c>
      <c r="D1086" s="74" t="s">
        <v>1426</v>
      </c>
      <c r="E1086" s="74"/>
      <c r="F1086" s="74">
        <v>1.02</v>
      </c>
      <c r="G1086" s="74"/>
      <c r="H1086" s="74"/>
      <c r="I1086" s="74" t="s">
        <v>391</v>
      </c>
      <c r="J1086" s="74"/>
      <c r="K1086" s="74">
        <v>102.4</v>
      </c>
      <c r="L1086" s="74">
        <v>92.16</v>
      </c>
      <c r="M1086" s="74"/>
      <c r="N1086" s="74" t="s">
        <v>392</v>
      </c>
      <c r="O1086" s="74" t="s">
        <v>402</v>
      </c>
      <c r="P1086" s="74" t="s">
        <v>1427</v>
      </c>
      <c r="Q1086" s="74" t="s">
        <v>1428</v>
      </c>
    </row>
    <row r="1087" spans="3:17" x14ac:dyDescent="0.25">
      <c r="C1087" s="74" t="s">
        <v>3813</v>
      </c>
      <c r="D1087" s="74" t="s">
        <v>3814</v>
      </c>
      <c r="E1087" s="74"/>
      <c r="F1087" s="74">
        <v>1.02</v>
      </c>
      <c r="G1087" s="74"/>
      <c r="H1087" s="74"/>
      <c r="I1087" s="74" t="s">
        <v>391</v>
      </c>
      <c r="J1087" s="74"/>
      <c r="K1087" s="74">
        <v>102.4</v>
      </c>
      <c r="L1087" s="74">
        <v>92.16</v>
      </c>
      <c r="M1087" s="74"/>
      <c r="N1087" s="74" t="s">
        <v>392</v>
      </c>
      <c r="O1087" s="74" t="s">
        <v>402</v>
      </c>
      <c r="P1087" s="74" t="s">
        <v>3815</v>
      </c>
      <c r="Q1087" s="74" t="s">
        <v>3816</v>
      </c>
    </row>
    <row r="1088" spans="3:17" x14ac:dyDescent="0.25">
      <c r="C1088" s="74" t="s">
        <v>2923</v>
      </c>
      <c r="D1088" s="74" t="s">
        <v>2924</v>
      </c>
      <c r="E1088" s="74"/>
      <c r="F1088" s="74">
        <v>1.01</v>
      </c>
      <c r="G1088" s="74"/>
      <c r="H1088" s="74"/>
      <c r="I1088" s="74" t="s">
        <v>391</v>
      </c>
      <c r="J1088" s="74"/>
      <c r="K1088" s="74">
        <v>102.4</v>
      </c>
      <c r="L1088" s="74">
        <v>92.16</v>
      </c>
      <c r="M1088" s="74"/>
      <c r="N1088" s="74" t="s">
        <v>392</v>
      </c>
      <c r="O1088" s="74" t="s">
        <v>402</v>
      </c>
      <c r="P1088" s="74" t="s">
        <v>2925</v>
      </c>
      <c r="Q1088" s="74" t="s">
        <v>2926</v>
      </c>
    </row>
    <row r="1089" spans="3:17" x14ac:dyDescent="0.25">
      <c r="C1089" s="74" t="s">
        <v>7670</v>
      </c>
      <c r="D1089" s="74" t="s">
        <v>7671</v>
      </c>
      <c r="E1089" s="74"/>
      <c r="F1089" s="74">
        <v>1.01</v>
      </c>
      <c r="G1089" s="74"/>
      <c r="H1089" s="74"/>
      <c r="I1089" s="74" t="s">
        <v>391</v>
      </c>
      <c r="J1089" s="74"/>
      <c r="K1089" s="74">
        <v>102.4</v>
      </c>
      <c r="L1089" s="74">
        <v>92.16</v>
      </c>
      <c r="M1089" s="74"/>
      <c r="N1089" s="74" t="s">
        <v>392</v>
      </c>
      <c r="O1089" s="74" t="s">
        <v>402</v>
      </c>
      <c r="P1089" s="74" t="s">
        <v>7672</v>
      </c>
      <c r="Q1089" s="74" t="s">
        <v>7673</v>
      </c>
    </row>
    <row r="1090" spans="3:17" x14ac:dyDescent="0.25">
      <c r="C1090" s="74" t="s">
        <v>9458</v>
      </c>
      <c r="D1090" s="74" t="s">
        <v>9459</v>
      </c>
      <c r="E1090" s="74"/>
      <c r="F1090" s="74">
        <v>1.01</v>
      </c>
      <c r="G1090" s="74"/>
      <c r="H1090" s="74"/>
      <c r="I1090" s="74" t="s">
        <v>391</v>
      </c>
      <c r="J1090" s="74"/>
      <c r="K1090" s="74">
        <v>102.4</v>
      </c>
      <c r="L1090" s="74">
        <v>92.16</v>
      </c>
      <c r="M1090" s="74"/>
      <c r="N1090" s="74" t="s">
        <v>392</v>
      </c>
      <c r="O1090" s="74" t="s">
        <v>402</v>
      </c>
      <c r="P1090" s="74" t="s">
        <v>9460</v>
      </c>
      <c r="Q1090" s="74" t="s">
        <v>9461</v>
      </c>
    </row>
    <row r="1091" spans="3:17" x14ac:dyDescent="0.25">
      <c r="C1091" s="74" t="s">
        <v>15148</v>
      </c>
      <c r="D1091" s="74" t="s">
        <v>15149</v>
      </c>
      <c r="E1091" s="74"/>
      <c r="F1091" s="74">
        <v>1.01</v>
      </c>
      <c r="G1091" s="74"/>
      <c r="H1091" s="74"/>
      <c r="I1091" s="74" t="s">
        <v>391</v>
      </c>
      <c r="J1091" s="74"/>
      <c r="K1091" s="74">
        <v>102.4</v>
      </c>
      <c r="L1091" s="74">
        <v>92.16</v>
      </c>
      <c r="M1091" s="74"/>
      <c r="N1091" s="74" t="s">
        <v>392</v>
      </c>
      <c r="O1091" s="74" t="s">
        <v>402</v>
      </c>
      <c r="P1091" s="74" t="s">
        <v>15150</v>
      </c>
      <c r="Q1091" s="74" t="s">
        <v>15151</v>
      </c>
    </row>
    <row r="1092" spans="3:17" x14ac:dyDescent="0.25">
      <c r="C1092" s="74" t="s">
        <v>15849</v>
      </c>
      <c r="D1092" s="74" t="s">
        <v>15850</v>
      </c>
      <c r="E1092" s="74"/>
      <c r="F1092" s="74">
        <v>1.01</v>
      </c>
      <c r="G1092" s="74"/>
      <c r="H1092" s="74"/>
      <c r="I1092" s="74" t="s">
        <v>391</v>
      </c>
      <c r="J1092" s="74"/>
      <c r="K1092" s="74">
        <v>102.4</v>
      </c>
      <c r="L1092" s="74">
        <v>92.16</v>
      </c>
      <c r="M1092" s="74"/>
      <c r="N1092" s="74" t="s">
        <v>392</v>
      </c>
      <c r="O1092" s="74" t="s">
        <v>402</v>
      </c>
      <c r="P1092" s="74" t="s">
        <v>15851</v>
      </c>
      <c r="Q1092" s="74" t="s">
        <v>15852</v>
      </c>
    </row>
    <row r="1093" spans="3:17" x14ac:dyDescent="0.25">
      <c r="C1093" s="74" t="s">
        <v>16745</v>
      </c>
      <c r="D1093" s="74" t="s">
        <v>16746</v>
      </c>
      <c r="E1093" s="74"/>
      <c r="F1093" s="74">
        <v>1.01</v>
      </c>
      <c r="G1093" s="74"/>
      <c r="H1093" s="74"/>
      <c r="I1093" s="74" t="s">
        <v>391</v>
      </c>
      <c r="J1093" s="74"/>
      <c r="K1093" s="74">
        <v>102.4</v>
      </c>
      <c r="L1093" s="74">
        <v>92.16</v>
      </c>
      <c r="M1093" s="74"/>
      <c r="N1093" s="74" t="s">
        <v>392</v>
      </c>
      <c r="O1093" s="74" t="s">
        <v>402</v>
      </c>
      <c r="P1093" s="74" t="s">
        <v>16747</v>
      </c>
      <c r="Q1093" s="74" t="s">
        <v>16748</v>
      </c>
    </row>
    <row r="1094" spans="3:17" x14ac:dyDescent="0.25">
      <c r="C1094" s="74" t="s">
        <v>17231</v>
      </c>
      <c r="D1094" s="74" t="s">
        <v>17232</v>
      </c>
      <c r="E1094" s="74"/>
      <c r="F1094" s="74">
        <v>1.01</v>
      </c>
      <c r="G1094" s="74"/>
      <c r="H1094" s="74"/>
      <c r="I1094" s="74" t="s">
        <v>391</v>
      </c>
      <c r="J1094" s="74"/>
      <c r="K1094" s="74">
        <v>102.4</v>
      </c>
      <c r="L1094" s="74">
        <v>92.16</v>
      </c>
      <c r="M1094" s="74"/>
      <c r="N1094" s="74" t="s">
        <v>392</v>
      </c>
      <c r="O1094" s="74" t="s">
        <v>402</v>
      </c>
      <c r="P1094" s="74" t="s">
        <v>17233</v>
      </c>
      <c r="Q1094" s="74" t="s">
        <v>17234</v>
      </c>
    </row>
    <row r="1095" spans="3:17" x14ac:dyDescent="0.25">
      <c r="C1095" s="74" t="s">
        <v>20486</v>
      </c>
      <c r="D1095" s="74" t="s">
        <v>20487</v>
      </c>
      <c r="E1095" s="74"/>
      <c r="F1095" s="74">
        <v>1.01</v>
      </c>
      <c r="G1095" s="74"/>
      <c r="H1095" s="74"/>
      <c r="I1095" s="74" t="s">
        <v>391</v>
      </c>
      <c r="J1095" s="74"/>
      <c r="K1095" s="74">
        <v>102.4</v>
      </c>
      <c r="L1095" s="74">
        <v>92.16</v>
      </c>
      <c r="M1095" s="74"/>
      <c r="N1095" s="74" t="s">
        <v>392</v>
      </c>
      <c r="O1095" s="74" t="s">
        <v>402</v>
      </c>
      <c r="P1095" s="74" t="s">
        <v>20488</v>
      </c>
      <c r="Q1095" s="74" t="s">
        <v>20489</v>
      </c>
    </row>
    <row r="1096" spans="3:17" x14ac:dyDescent="0.25">
      <c r="C1096" s="74" t="s">
        <v>1294</v>
      </c>
      <c r="D1096" s="74" t="s">
        <v>1295</v>
      </c>
      <c r="E1096" s="74"/>
      <c r="F1096" s="74">
        <v>1</v>
      </c>
      <c r="G1096" s="74"/>
      <c r="H1096" s="74"/>
      <c r="I1096" s="74" t="s">
        <v>391</v>
      </c>
      <c r="J1096" s="74"/>
      <c r="K1096" s="74">
        <v>102.4</v>
      </c>
      <c r="L1096" s="74">
        <v>92.16</v>
      </c>
      <c r="M1096" s="74"/>
      <c r="N1096" s="74" t="s">
        <v>392</v>
      </c>
      <c r="O1096" s="74" t="s">
        <v>402</v>
      </c>
      <c r="P1096" s="74" t="s">
        <v>1296</v>
      </c>
      <c r="Q1096" s="74" t="s">
        <v>1297</v>
      </c>
    </row>
    <row r="1097" spans="3:17" x14ac:dyDescent="0.25">
      <c r="C1097" s="74" t="s">
        <v>2303</v>
      </c>
      <c r="D1097" s="74" t="s">
        <v>2304</v>
      </c>
      <c r="E1097" s="74"/>
      <c r="F1097" s="74">
        <v>1</v>
      </c>
      <c r="G1097" s="74"/>
      <c r="H1097" s="74"/>
      <c r="I1097" s="74" t="s">
        <v>391</v>
      </c>
      <c r="J1097" s="74"/>
      <c r="K1097" s="74">
        <v>102.4</v>
      </c>
      <c r="L1097" s="74">
        <v>92.16</v>
      </c>
      <c r="M1097" s="74"/>
      <c r="N1097" s="74" t="s">
        <v>392</v>
      </c>
      <c r="O1097" s="74" t="s">
        <v>402</v>
      </c>
      <c r="P1097" s="74" t="s">
        <v>2305</v>
      </c>
      <c r="Q1097" s="74" t="s">
        <v>2306</v>
      </c>
    </row>
    <row r="1098" spans="3:17" x14ac:dyDescent="0.25">
      <c r="C1098" s="74" t="s">
        <v>11043</v>
      </c>
      <c r="D1098" s="74" t="s">
        <v>11044</v>
      </c>
      <c r="E1098" s="74"/>
      <c r="F1098" s="74">
        <v>1</v>
      </c>
      <c r="G1098" s="74"/>
      <c r="H1098" s="74"/>
      <c r="I1098" s="74" t="s">
        <v>391</v>
      </c>
      <c r="J1098" s="74"/>
      <c r="K1098" s="74">
        <v>102.4</v>
      </c>
      <c r="L1098" s="74">
        <v>92.16</v>
      </c>
      <c r="M1098" s="74"/>
      <c r="N1098" s="74" t="s">
        <v>392</v>
      </c>
      <c r="O1098" s="74" t="s">
        <v>402</v>
      </c>
      <c r="P1098" s="74" t="s">
        <v>11045</v>
      </c>
      <c r="Q1098" s="74" t="s">
        <v>11046</v>
      </c>
    </row>
    <row r="1099" spans="3:17" x14ac:dyDescent="0.25">
      <c r="C1099" s="74" t="s">
        <v>11814</v>
      </c>
      <c r="D1099" s="74" t="s">
        <v>11815</v>
      </c>
      <c r="E1099" s="74"/>
      <c r="F1099" s="74">
        <v>1</v>
      </c>
      <c r="G1099" s="74"/>
      <c r="H1099" s="74"/>
      <c r="I1099" s="74" t="s">
        <v>391</v>
      </c>
      <c r="J1099" s="74"/>
      <c r="K1099" s="74">
        <v>102.4</v>
      </c>
      <c r="L1099" s="74">
        <v>92.16</v>
      </c>
      <c r="M1099" s="74"/>
      <c r="N1099" s="74" t="s">
        <v>392</v>
      </c>
      <c r="O1099" s="74" t="s">
        <v>402</v>
      </c>
      <c r="P1099" s="74" t="s">
        <v>11816</v>
      </c>
      <c r="Q1099" s="74" t="s">
        <v>11817</v>
      </c>
    </row>
    <row r="1100" spans="3:17" x14ac:dyDescent="0.25">
      <c r="C1100" s="74" t="s">
        <v>12245</v>
      </c>
      <c r="D1100" s="74" t="s">
        <v>12246</v>
      </c>
      <c r="E1100" s="74"/>
      <c r="F1100" s="74">
        <v>1</v>
      </c>
      <c r="G1100" s="74"/>
      <c r="H1100" s="74"/>
      <c r="I1100" s="74" t="s">
        <v>391</v>
      </c>
      <c r="J1100" s="74"/>
      <c r="K1100" s="74">
        <v>102.4</v>
      </c>
      <c r="L1100" s="74">
        <v>92.16</v>
      </c>
      <c r="M1100" s="74"/>
      <c r="N1100" s="74" t="s">
        <v>392</v>
      </c>
      <c r="O1100" s="74" t="s">
        <v>402</v>
      </c>
      <c r="P1100" s="74" t="s">
        <v>12247</v>
      </c>
      <c r="Q1100" s="74" t="s">
        <v>12248</v>
      </c>
    </row>
    <row r="1101" spans="3:17" x14ac:dyDescent="0.25">
      <c r="C1101" s="74" t="s">
        <v>16603</v>
      </c>
      <c r="D1101" s="74" t="s">
        <v>16604</v>
      </c>
      <c r="E1101" s="74"/>
      <c r="F1101" s="74">
        <v>1</v>
      </c>
      <c r="G1101" s="74"/>
      <c r="H1101" s="74"/>
      <c r="I1101" s="74" t="s">
        <v>391</v>
      </c>
      <c r="J1101" s="74"/>
      <c r="K1101" s="74">
        <v>102.4</v>
      </c>
      <c r="L1101" s="74">
        <v>92.16</v>
      </c>
      <c r="M1101" s="74"/>
      <c r="N1101" s="74" t="s">
        <v>392</v>
      </c>
      <c r="O1101" s="74" t="s">
        <v>402</v>
      </c>
      <c r="P1101" s="74" t="s">
        <v>16605</v>
      </c>
      <c r="Q1101" s="74" t="s">
        <v>16606</v>
      </c>
    </row>
    <row r="1102" spans="3:17" x14ac:dyDescent="0.25">
      <c r="C1102" s="74" t="s">
        <v>19016</v>
      </c>
      <c r="D1102" s="74" t="s">
        <v>19017</v>
      </c>
      <c r="E1102" s="74"/>
      <c r="F1102" s="74">
        <v>1</v>
      </c>
      <c r="G1102" s="74"/>
      <c r="H1102" s="74"/>
      <c r="I1102" s="74" t="s">
        <v>391</v>
      </c>
      <c r="J1102" s="74"/>
      <c r="K1102" s="74">
        <v>102.4</v>
      </c>
      <c r="L1102" s="74">
        <v>92.16</v>
      </c>
      <c r="M1102" s="74"/>
      <c r="N1102" s="74" t="s">
        <v>392</v>
      </c>
      <c r="O1102" s="74" t="s">
        <v>402</v>
      </c>
      <c r="P1102" s="74" t="s">
        <v>19018</v>
      </c>
      <c r="Q1102" s="74" t="s">
        <v>19019</v>
      </c>
    </row>
    <row r="1103" spans="3:17" x14ac:dyDescent="0.25">
      <c r="C1103" s="74" t="s">
        <v>870</v>
      </c>
      <c r="D1103" s="74" t="s">
        <v>871</v>
      </c>
      <c r="E1103" s="74" t="s">
        <v>391</v>
      </c>
      <c r="F1103" s="74">
        <v>0.99</v>
      </c>
      <c r="G1103" s="74"/>
      <c r="H1103" s="74"/>
      <c r="I1103" s="74" t="s">
        <v>391</v>
      </c>
      <c r="J1103" s="74"/>
      <c r="K1103" s="74">
        <v>102.4</v>
      </c>
      <c r="L1103" s="74">
        <v>92.16</v>
      </c>
      <c r="M1103" s="74"/>
      <c r="N1103" s="74" t="s">
        <v>392</v>
      </c>
      <c r="O1103" s="74" t="s">
        <v>393</v>
      </c>
      <c r="P1103" s="74" t="s">
        <v>872</v>
      </c>
      <c r="Q1103" s="74" t="s">
        <v>873</v>
      </c>
    </row>
    <row r="1104" spans="3:17" x14ac:dyDescent="0.25">
      <c r="C1104" s="74" t="s">
        <v>4567</v>
      </c>
      <c r="D1104" s="74" t="s">
        <v>4568</v>
      </c>
      <c r="E1104" s="74"/>
      <c r="F1104" s="74">
        <v>0.99</v>
      </c>
      <c r="G1104" s="74"/>
      <c r="H1104" s="74"/>
      <c r="I1104" s="74" t="s">
        <v>391</v>
      </c>
      <c r="J1104" s="74"/>
      <c r="K1104" s="74">
        <v>102.4</v>
      </c>
      <c r="L1104" s="74">
        <v>92.16</v>
      </c>
      <c r="M1104" s="74"/>
      <c r="N1104" s="74" t="s">
        <v>392</v>
      </c>
      <c r="O1104" s="74" t="s">
        <v>402</v>
      </c>
      <c r="P1104" s="74" t="s">
        <v>4569</v>
      </c>
      <c r="Q1104" s="74" t="s">
        <v>4570</v>
      </c>
    </row>
    <row r="1105" spans="3:17" x14ac:dyDescent="0.25">
      <c r="C1105" s="74" t="s">
        <v>17718</v>
      </c>
      <c r="D1105" s="74" t="s">
        <v>17719</v>
      </c>
      <c r="E1105" s="74"/>
      <c r="F1105" s="74">
        <v>0.99</v>
      </c>
      <c r="G1105" s="74"/>
      <c r="H1105" s="74"/>
      <c r="I1105" s="74" t="s">
        <v>391</v>
      </c>
      <c r="J1105" s="74"/>
      <c r="K1105" s="74">
        <v>102.4</v>
      </c>
      <c r="L1105" s="74">
        <v>92.16</v>
      </c>
      <c r="M1105" s="74"/>
      <c r="N1105" s="74" t="s">
        <v>392</v>
      </c>
      <c r="O1105" s="74" t="s">
        <v>402</v>
      </c>
      <c r="P1105" s="74" t="s">
        <v>17720</v>
      </c>
      <c r="Q1105" s="74" t="s">
        <v>17721</v>
      </c>
    </row>
    <row r="1106" spans="3:17" x14ac:dyDescent="0.25">
      <c r="C1106" s="74" t="s">
        <v>4178</v>
      </c>
      <c r="D1106" s="74" t="s">
        <v>4179</v>
      </c>
      <c r="E1106" s="74"/>
      <c r="F1106" s="74">
        <v>0.98</v>
      </c>
      <c r="G1106" s="74"/>
      <c r="H1106" s="74"/>
      <c r="I1106" s="74" t="s">
        <v>391</v>
      </c>
      <c r="J1106" s="74"/>
      <c r="K1106" s="74">
        <v>102.4</v>
      </c>
      <c r="L1106" s="74">
        <v>92.16</v>
      </c>
      <c r="M1106" s="74"/>
      <c r="N1106" s="74" t="s">
        <v>392</v>
      </c>
      <c r="O1106" s="74" t="s">
        <v>402</v>
      </c>
      <c r="P1106" s="74" t="s">
        <v>4180</v>
      </c>
      <c r="Q1106" s="74" t="s">
        <v>4181</v>
      </c>
    </row>
    <row r="1107" spans="3:17" x14ac:dyDescent="0.25">
      <c r="C1107" s="74" t="s">
        <v>5092</v>
      </c>
      <c r="D1107" s="74" t="s">
        <v>5093</v>
      </c>
      <c r="E1107" s="74"/>
      <c r="F1107" s="74">
        <v>0.98</v>
      </c>
      <c r="G1107" s="74"/>
      <c r="H1107" s="74"/>
      <c r="I1107" s="74" t="s">
        <v>391</v>
      </c>
      <c r="J1107" s="74"/>
      <c r="K1107" s="74">
        <v>102.4</v>
      </c>
      <c r="L1107" s="74">
        <v>92.16</v>
      </c>
      <c r="M1107" s="74"/>
      <c r="N1107" s="74" t="s">
        <v>392</v>
      </c>
      <c r="O1107" s="74" t="s">
        <v>402</v>
      </c>
      <c r="P1107" s="74" t="s">
        <v>5094</v>
      </c>
      <c r="Q1107" s="74" t="s">
        <v>5095</v>
      </c>
    </row>
    <row r="1108" spans="3:17" x14ac:dyDescent="0.25">
      <c r="C1108" s="74" t="s">
        <v>5145</v>
      </c>
      <c r="D1108" s="74" t="s">
        <v>5146</v>
      </c>
      <c r="E1108" s="74"/>
      <c r="F1108" s="74">
        <v>0.98</v>
      </c>
      <c r="G1108" s="74"/>
      <c r="H1108" s="74"/>
      <c r="I1108" s="74" t="s">
        <v>391</v>
      </c>
      <c r="J1108" s="74"/>
      <c r="K1108" s="74">
        <v>102.4</v>
      </c>
      <c r="L1108" s="74">
        <v>92.16</v>
      </c>
      <c r="M1108" s="74"/>
      <c r="N1108" s="74" t="s">
        <v>392</v>
      </c>
      <c r="O1108" s="74" t="s">
        <v>402</v>
      </c>
      <c r="P1108" s="74" t="s">
        <v>5147</v>
      </c>
      <c r="Q1108" s="74" t="s">
        <v>5148</v>
      </c>
    </row>
    <row r="1109" spans="3:17" x14ac:dyDescent="0.25">
      <c r="C1109" s="74" t="s">
        <v>5920</v>
      </c>
      <c r="D1109" s="74" t="s">
        <v>5921</v>
      </c>
      <c r="E1109" s="74"/>
      <c r="F1109" s="74">
        <v>0.98</v>
      </c>
      <c r="G1109" s="74"/>
      <c r="H1109" s="74"/>
      <c r="I1109" s="74" t="s">
        <v>391</v>
      </c>
      <c r="J1109" s="74"/>
      <c r="K1109" s="74">
        <v>102.4</v>
      </c>
      <c r="L1109" s="74">
        <v>92.16</v>
      </c>
      <c r="M1109" s="74"/>
      <c r="N1109" s="74" t="s">
        <v>392</v>
      </c>
      <c r="O1109" s="74" t="s">
        <v>402</v>
      </c>
      <c r="P1109" s="74" t="s">
        <v>5922</v>
      </c>
      <c r="Q1109" s="74" t="s">
        <v>5923</v>
      </c>
    </row>
    <row r="1110" spans="3:17" x14ac:dyDescent="0.25">
      <c r="C1110" s="74" t="s">
        <v>9401</v>
      </c>
      <c r="D1110" s="74" t="s">
        <v>9402</v>
      </c>
      <c r="E1110" s="74"/>
      <c r="F1110" s="74">
        <v>0.98</v>
      </c>
      <c r="G1110" s="74"/>
      <c r="H1110" s="74"/>
      <c r="I1110" s="74" t="s">
        <v>391</v>
      </c>
      <c r="J1110" s="74"/>
      <c r="K1110" s="74">
        <v>102.4</v>
      </c>
      <c r="L1110" s="74">
        <v>92.16</v>
      </c>
      <c r="M1110" s="74"/>
      <c r="N1110" s="74" t="s">
        <v>392</v>
      </c>
      <c r="O1110" s="74" t="s">
        <v>402</v>
      </c>
      <c r="P1110" s="74" t="s">
        <v>9403</v>
      </c>
      <c r="Q1110" s="74" t="s">
        <v>9404</v>
      </c>
    </row>
    <row r="1111" spans="3:17" x14ac:dyDescent="0.25">
      <c r="C1111" s="74" t="s">
        <v>9604</v>
      </c>
      <c r="D1111" s="74" t="s">
        <v>9605</v>
      </c>
      <c r="E1111" s="74"/>
      <c r="F1111" s="74">
        <v>0.98</v>
      </c>
      <c r="G1111" s="74"/>
      <c r="H1111" s="74"/>
      <c r="I1111" s="74" t="s">
        <v>391</v>
      </c>
      <c r="J1111" s="74"/>
      <c r="K1111" s="74">
        <v>102.4</v>
      </c>
      <c r="L1111" s="74">
        <v>92.16</v>
      </c>
      <c r="M1111" s="74"/>
      <c r="N1111" s="74" t="s">
        <v>392</v>
      </c>
      <c r="O1111" s="74" t="s">
        <v>402</v>
      </c>
      <c r="P1111" s="74" t="s">
        <v>9606</v>
      </c>
      <c r="Q1111" s="74" t="s">
        <v>9607</v>
      </c>
    </row>
    <row r="1112" spans="3:17" x14ac:dyDescent="0.25">
      <c r="C1112" s="74" t="s">
        <v>20493</v>
      </c>
      <c r="D1112" s="74" t="s">
        <v>20494</v>
      </c>
      <c r="E1112" s="74" t="s">
        <v>391</v>
      </c>
      <c r="F1112" s="74">
        <v>0.98</v>
      </c>
      <c r="G1112" s="74"/>
      <c r="H1112" s="74"/>
      <c r="I1112" s="74" t="s">
        <v>391</v>
      </c>
      <c r="J1112" s="74"/>
      <c r="K1112" s="74">
        <v>102.4</v>
      </c>
      <c r="L1112" s="74">
        <v>92.16</v>
      </c>
      <c r="M1112" s="74"/>
      <c r="N1112" s="74" t="s">
        <v>392</v>
      </c>
      <c r="O1112" s="74" t="s">
        <v>402</v>
      </c>
      <c r="P1112" s="74" t="s">
        <v>20495</v>
      </c>
      <c r="Q1112" s="74" t="s">
        <v>20496</v>
      </c>
    </row>
    <row r="1113" spans="3:17" x14ac:dyDescent="0.25">
      <c r="C1113" s="158" t="s">
        <v>5498</v>
      </c>
      <c r="D1113" s="158" t="s">
        <v>5499</v>
      </c>
      <c r="F1113" s="158">
        <v>0.97</v>
      </c>
      <c r="I1113" s="158" t="s">
        <v>391</v>
      </c>
      <c r="K1113" s="158">
        <v>102.4</v>
      </c>
      <c r="L1113" s="158">
        <v>92.16</v>
      </c>
      <c r="N1113" s="158" t="s">
        <v>392</v>
      </c>
      <c r="O1113" s="158" t="s">
        <v>402</v>
      </c>
      <c r="P1113" s="158" t="s">
        <v>5500</v>
      </c>
      <c r="Q1113" s="158" t="s">
        <v>5501</v>
      </c>
    </row>
    <row r="1114" spans="3:17" x14ac:dyDescent="0.25">
      <c r="C1114" s="74" t="s">
        <v>10402</v>
      </c>
      <c r="D1114" s="74" t="s">
        <v>10403</v>
      </c>
      <c r="E1114" s="74"/>
      <c r="F1114" s="74">
        <v>0.97</v>
      </c>
      <c r="G1114" s="74"/>
      <c r="H1114" s="74"/>
      <c r="I1114" s="74" t="s">
        <v>391</v>
      </c>
      <c r="J1114" s="74"/>
      <c r="K1114" s="74">
        <v>102.4</v>
      </c>
      <c r="L1114" s="74">
        <v>92.16</v>
      </c>
      <c r="M1114" s="74"/>
      <c r="N1114" s="74" t="s">
        <v>392</v>
      </c>
      <c r="O1114" s="74" t="s">
        <v>402</v>
      </c>
      <c r="P1114" s="74" t="s">
        <v>10404</v>
      </c>
      <c r="Q1114" s="74" t="s">
        <v>10405</v>
      </c>
    </row>
    <row r="1115" spans="3:17" x14ac:dyDescent="0.25">
      <c r="C1115" s="74" t="s">
        <v>11006</v>
      </c>
      <c r="D1115" s="74" t="s">
        <v>11007</v>
      </c>
      <c r="E1115" s="74"/>
      <c r="F1115" s="74">
        <v>0.97</v>
      </c>
      <c r="G1115" s="74"/>
      <c r="H1115" s="74"/>
      <c r="I1115" s="74" t="s">
        <v>391</v>
      </c>
      <c r="J1115" s="74"/>
      <c r="K1115" s="74">
        <v>102.4</v>
      </c>
      <c r="L1115" s="74">
        <v>92.16</v>
      </c>
      <c r="M1115" s="74"/>
      <c r="N1115" s="74" t="s">
        <v>392</v>
      </c>
      <c r="O1115" s="74" t="s">
        <v>402</v>
      </c>
      <c r="P1115" s="74" t="s">
        <v>11008</v>
      </c>
      <c r="Q1115" s="74" t="s">
        <v>11009</v>
      </c>
    </row>
    <row r="1116" spans="3:17" x14ac:dyDescent="0.25">
      <c r="C1116" s="74" t="s">
        <v>14084</v>
      </c>
      <c r="D1116" s="74" t="s">
        <v>14085</v>
      </c>
      <c r="E1116" s="74"/>
      <c r="F1116" s="74">
        <v>0.97</v>
      </c>
      <c r="G1116" s="74"/>
      <c r="H1116" s="74"/>
      <c r="I1116" s="74" t="s">
        <v>391</v>
      </c>
      <c r="J1116" s="74"/>
      <c r="K1116" s="74">
        <v>102.4</v>
      </c>
      <c r="L1116" s="74">
        <v>92.16</v>
      </c>
      <c r="M1116" s="74"/>
      <c r="N1116" s="74" t="s">
        <v>392</v>
      </c>
      <c r="O1116" s="74" t="s">
        <v>402</v>
      </c>
      <c r="P1116" s="74" t="s">
        <v>14086</v>
      </c>
      <c r="Q1116" s="74" t="s">
        <v>14087</v>
      </c>
    </row>
    <row r="1117" spans="3:17" x14ac:dyDescent="0.25">
      <c r="C1117" s="74" t="s">
        <v>2621</v>
      </c>
      <c r="D1117" s="74" t="s">
        <v>2622</v>
      </c>
      <c r="E1117" s="74"/>
      <c r="F1117" s="74">
        <v>0.96</v>
      </c>
      <c r="G1117" s="74"/>
      <c r="H1117" s="74"/>
      <c r="I1117" s="74" t="s">
        <v>391</v>
      </c>
      <c r="J1117" s="74"/>
      <c r="K1117" s="74">
        <v>102.4</v>
      </c>
      <c r="L1117" s="74">
        <v>92.16</v>
      </c>
      <c r="M1117" s="74"/>
      <c r="N1117" s="74" t="s">
        <v>392</v>
      </c>
      <c r="O1117" s="74" t="s">
        <v>402</v>
      </c>
      <c r="P1117" s="74" t="s">
        <v>2623</v>
      </c>
      <c r="Q1117" s="74" t="s">
        <v>2624</v>
      </c>
    </row>
    <row r="1118" spans="3:17" x14ac:dyDescent="0.25">
      <c r="C1118" s="74" t="s">
        <v>7148</v>
      </c>
      <c r="D1118" s="74" t="s">
        <v>7149</v>
      </c>
      <c r="E1118" s="74"/>
      <c r="F1118" s="74">
        <v>0.96</v>
      </c>
      <c r="G1118" s="74"/>
      <c r="H1118" s="74"/>
      <c r="I1118" s="74" t="s">
        <v>391</v>
      </c>
      <c r="J1118" s="74"/>
      <c r="K1118" s="74">
        <v>102.4</v>
      </c>
      <c r="L1118" s="74">
        <v>92.16</v>
      </c>
      <c r="M1118" s="74"/>
      <c r="N1118" s="74" t="s">
        <v>392</v>
      </c>
      <c r="O1118" s="74" t="s">
        <v>402</v>
      </c>
      <c r="P1118" s="74" t="s">
        <v>7150</v>
      </c>
      <c r="Q1118" s="74" t="s">
        <v>7151</v>
      </c>
    </row>
    <row r="1119" spans="3:17" x14ac:dyDescent="0.25">
      <c r="C1119" s="74" t="s">
        <v>7199</v>
      </c>
      <c r="D1119" s="74" t="s">
        <v>7200</v>
      </c>
      <c r="E1119" s="74"/>
      <c r="F1119" s="74">
        <v>0.96</v>
      </c>
      <c r="G1119" s="74"/>
      <c r="H1119" s="74"/>
      <c r="I1119" s="74" t="s">
        <v>391</v>
      </c>
      <c r="J1119" s="74"/>
      <c r="K1119" s="74">
        <v>102.4</v>
      </c>
      <c r="L1119" s="74">
        <v>92.16</v>
      </c>
      <c r="M1119" s="74"/>
      <c r="N1119" s="74" t="s">
        <v>392</v>
      </c>
      <c r="O1119" s="74" t="s">
        <v>402</v>
      </c>
      <c r="P1119" s="74" t="s">
        <v>7201</v>
      </c>
      <c r="Q1119" s="74" t="s">
        <v>7202</v>
      </c>
    </row>
    <row r="1120" spans="3:17" x14ac:dyDescent="0.25">
      <c r="C1120" s="74" t="s">
        <v>18276</v>
      </c>
      <c r="D1120" s="74" t="s">
        <v>18277</v>
      </c>
      <c r="E1120" s="74"/>
      <c r="F1120" s="74">
        <v>0.96</v>
      </c>
      <c r="G1120" s="74"/>
      <c r="H1120" s="74"/>
      <c r="I1120" s="74" t="s">
        <v>391</v>
      </c>
      <c r="J1120" s="74"/>
      <c r="K1120" s="74">
        <v>102.4</v>
      </c>
      <c r="L1120" s="74">
        <v>92.16</v>
      </c>
      <c r="M1120" s="74"/>
      <c r="N1120" s="74" t="s">
        <v>392</v>
      </c>
      <c r="O1120" s="74" t="s">
        <v>402</v>
      </c>
      <c r="P1120" s="74" t="s">
        <v>18278</v>
      </c>
      <c r="Q1120" s="74" t="s">
        <v>18279</v>
      </c>
    </row>
    <row r="1121" spans="3:17" x14ac:dyDescent="0.25">
      <c r="C1121" s="74" t="s">
        <v>1467</v>
      </c>
      <c r="D1121" s="74" t="s">
        <v>1468</v>
      </c>
      <c r="E1121" s="74"/>
      <c r="F1121" s="74">
        <v>0.95</v>
      </c>
      <c r="G1121" s="74"/>
      <c r="H1121" s="74"/>
      <c r="I1121" s="74" t="s">
        <v>391</v>
      </c>
      <c r="J1121" s="74"/>
      <c r="K1121" s="74">
        <v>102.4</v>
      </c>
      <c r="L1121" s="74">
        <v>92.16</v>
      </c>
      <c r="M1121" s="74"/>
      <c r="N1121" s="74" t="s">
        <v>392</v>
      </c>
      <c r="O1121" s="74" t="s">
        <v>402</v>
      </c>
      <c r="P1121" s="74" t="s">
        <v>1469</v>
      </c>
      <c r="Q1121" s="74" t="s">
        <v>1470</v>
      </c>
    </row>
    <row r="1122" spans="3:17" x14ac:dyDescent="0.25">
      <c r="C1122" s="74" t="s">
        <v>11672</v>
      </c>
      <c r="D1122" s="74" t="s">
        <v>11673</v>
      </c>
      <c r="E1122" s="74"/>
      <c r="F1122" s="74">
        <v>0.95</v>
      </c>
      <c r="G1122" s="74"/>
      <c r="H1122" s="74"/>
      <c r="I1122" s="74" t="s">
        <v>391</v>
      </c>
      <c r="J1122" s="74"/>
      <c r="K1122" s="74">
        <v>102.4</v>
      </c>
      <c r="L1122" s="74">
        <v>92.16</v>
      </c>
      <c r="M1122" s="74"/>
      <c r="N1122" s="74" t="s">
        <v>392</v>
      </c>
      <c r="O1122" s="74" t="s">
        <v>402</v>
      </c>
      <c r="P1122" s="74" t="s">
        <v>11674</v>
      </c>
      <c r="Q1122" s="74" t="s">
        <v>11675</v>
      </c>
    </row>
    <row r="1123" spans="3:17" x14ac:dyDescent="0.25">
      <c r="C1123" s="74" t="s">
        <v>13937</v>
      </c>
      <c r="D1123" s="74" t="s">
        <v>13938</v>
      </c>
      <c r="E1123" s="74"/>
      <c r="F1123" s="74">
        <v>0.95</v>
      </c>
      <c r="G1123" s="74"/>
      <c r="H1123" s="74"/>
      <c r="I1123" s="74" t="s">
        <v>391</v>
      </c>
      <c r="J1123" s="74"/>
      <c r="K1123" s="74">
        <v>102.4</v>
      </c>
      <c r="L1123" s="74">
        <v>92.16</v>
      </c>
      <c r="M1123" s="74"/>
      <c r="N1123" s="74" t="s">
        <v>392</v>
      </c>
      <c r="O1123" s="74" t="s">
        <v>402</v>
      </c>
      <c r="P1123" s="74" t="s">
        <v>13939</v>
      </c>
      <c r="Q1123" s="74" t="s">
        <v>13940</v>
      </c>
    </row>
    <row r="1124" spans="3:17" x14ac:dyDescent="0.25">
      <c r="C1124" s="74" t="s">
        <v>14475</v>
      </c>
      <c r="D1124" s="74" t="s">
        <v>14476</v>
      </c>
      <c r="E1124" s="74"/>
      <c r="F1124" s="74">
        <v>0.95</v>
      </c>
      <c r="G1124" s="74"/>
      <c r="H1124" s="74"/>
      <c r="I1124" s="74" t="s">
        <v>391</v>
      </c>
      <c r="J1124" s="74"/>
      <c r="K1124" s="74">
        <v>102.4</v>
      </c>
      <c r="L1124" s="74">
        <v>92.16</v>
      </c>
      <c r="M1124" s="74"/>
      <c r="N1124" s="74" t="s">
        <v>392</v>
      </c>
      <c r="O1124" s="74" t="s">
        <v>402</v>
      </c>
      <c r="P1124" s="74" t="s">
        <v>14477</v>
      </c>
      <c r="Q1124" s="74" t="s">
        <v>14478</v>
      </c>
    </row>
    <row r="1125" spans="3:17" x14ac:dyDescent="0.25">
      <c r="C1125" s="74" t="s">
        <v>18553</v>
      </c>
      <c r="D1125" s="74" t="s">
        <v>18554</v>
      </c>
      <c r="E1125" s="74"/>
      <c r="F1125" s="74">
        <v>0.95</v>
      </c>
      <c r="G1125" s="74"/>
      <c r="H1125" s="74"/>
      <c r="I1125" s="74" t="s">
        <v>391</v>
      </c>
      <c r="J1125" s="74"/>
      <c r="K1125" s="74">
        <v>102.4</v>
      </c>
      <c r="L1125" s="74">
        <v>92.16</v>
      </c>
      <c r="M1125" s="74"/>
      <c r="N1125" s="74" t="s">
        <v>392</v>
      </c>
      <c r="O1125" s="74" t="s">
        <v>402</v>
      </c>
      <c r="P1125" s="74" t="s">
        <v>18555</v>
      </c>
      <c r="Q1125" s="74" t="s">
        <v>18556</v>
      </c>
    </row>
    <row r="1126" spans="3:17" x14ac:dyDescent="0.25">
      <c r="C1126" s="74" t="s">
        <v>18922</v>
      </c>
      <c r="D1126" s="74" t="s">
        <v>18923</v>
      </c>
      <c r="E1126" s="74"/>
      <c r="F1126" s="74">
        <v>0.95</v>
      </c>
      <c r="G1126" s="74"/>
      <c r="H1126" s="74"/>
      <c r="I1126" s="74" t="s">
        <v>391</v>
      </c>
      <c r="J1126" s="74"/>
      <c r="K1126" s="74">
        <v>102.4</v>
      </c>
      <c r="L1126" s="74">
        <v>92.16</v>
      </c>
      <c r="M1126" s="74"/>
      <c r="N1126" s="74" t="s">
        <v>392</v>
      </c>
      <c r="O1126" s="74" t="s">
        <v>402</v>
      </c>
      <c r="P1126" s="74" t="s">
        <v>18924</v>
      </c>
      <c r="Q1126" s="74" t="s">
        <v>18925</v>
      </c>
    </row>
    <row r="1127" spans="3:17" x14ac:dyDescent="0.25">
      <c r="C1127" s="74" t="s">
        <v>6252</v>
      </c>
      <c r="D1127" s="74" t="s">
        <v>6253</v>
      </c>
      <c r="E1127" s="74"/>
      <c r="F1127" s="74">
        <v>0.94</v>
      </c>
      <c r="G1127" s="74"/>
      <c r="H1127" s="74"/>
      <c r="I1127" s="74" t="s">
        <v>391</v>
      </c>
      <c r="J1127" s="74"/>
      <c r="K1127" s="74">
        <v>102.4</v>
      </c>
      <c r="L1127" s="74">
        <v>92.16</v>
      </c>
      <c r="M1127" s="74"/>
      <c r="N1127" s="74" t="s">
        <v>392</v>
      </c>
      <c r="O1127" s="74" t="s">
        <v>402</v>
      </c>
      <c r="P1127" s="74" t="s">
        <v>6254</v>
      </c>
      <c r="Q1127" s="74" t="s">
        <v>6255</v>
      </c>
    </row>
    <row r="1128" spans="3:17" x14ac:dyDescent="0.25">
      <c r="C1128" s="74" t="s">
        <v>9565</v>
      </c>
      <c r="D1128" s="74" t="s">
        <v>9566</v>
      </c>
      <c r="E1128" s="74"/>
      <c r="F1128" s="74">
        <v>0.94</v>
      </c>
      <c r="G1128" s="74"/>
      <c r="H1128" s="74"/>
      <c r="I1128" s="74" t="s">
        <v>391</v>
      </c>
      <c r="J1128" s="74"/>
      <c r="K1128" s="74">
        <v>102.4</v>
      </c>
      <c r="L1128" s="74">
        <v>92.16</v>
      </c>
      <c r="M1128" s="74"/>
      <c r="N1128" s="74" t="s">
        <v>392</v>
      </c>
      <c r="O1128" s="74" t="s">
        <v>402</v>
      </c>
      <c r="P1128" s="74" t="s">
        <v>9567</v>
      </c>
      <c r="Q1128" s="74" t="s">
        <v>9568</v>
      </c>
    </row>
    <row r="1129" spans="3:17" x14ac:dyDescent="0.25">
      <c r="C1129" s="74" t="s">
        <v>11739</v>
      </c>
      <c r="D1129" s="74" t="s">
        <v>11740</v>
      </c>
      <c r="E1129" s="74" t="s">
        <v>391</v>
      </c>
      <c r="F1129" s="74">
        <v>0.94</v>
      </c>
      <c r="G1129" s="74"/>
      <c r="H1129" s="74"/>
      <c r="I1129" s="74" t="s">
        <v>391</v>
      </c>
      <c r="J1129" s="74"/>
      <c r="K1129" s="74">
        <v>102.4</v>
      </c>
      <c r="L1129" s="74">
        <v>92.16</v>
      </c>
      <c r="M1129" s="74"/>
      <c r="N1129" s="74" t="s">
        <v>392</v>
      </c>
      <c r="O1129" s="74" t="s">
        <v>393</v>
      </c>
      <c r="P1129" s="74" t="s">
        <v>11741</v>
      </c>
      <c r="Q1129" s="74" t="s">
        <v>11742</v>
      </c>
    </row>
    <row r="1130" spans="3:17" x14ac:dyDescent="0.25">
      <c r="C1130" s="74" t="s">
        <v>11780</v>
      </c>
      <c r="D1130" s="74" t="s">
        <v>11781</v>
      </c>
      <c r="E1130" s="74"/>
      <c r="F1130" s="74">
        <v>0.94</v>
      </c>
      <c r="G1130" s="74"/>
      <c r="H1130" s="74"/>
      <c r="I1130" s="74" t="s">
        <v>391</v>
      </c>
      <c r="J1130" s="74"/>
      <c r="K1130" s="74">
        <v>102.4</v>
      </c>
      <c r="L1130" s="74">
        <v>92.16</v>
      </c>
      <c r="M1130" s="74"/>
      <c r="N1130" s="74" t="s">
        <v>392</v>
      </c>
      <c r="O1130" s="74" t="s">
        <v>402</v>
      </c>
      <c r="P1130" s="74" t="s">
        <v>11782</v>
      </c>
      <c r="Q1130" s="74" t="s">
        <v>11783</v>
      </c>
    </row>
    <row r="1131" spans="3:17" x14ac:dyDescent="0.25">
      <c r="C1131" s="74" t="s">
        <v>15603</v>
      </c>
      <c r="D1131" s="74" t="s">
        <v>15604</v>
      </c>
      <c r="E1131" s="74"/>
      <c r="F1131" s="74">
        <v>0.94</v>
      </c>
      <c r="G1131" s="74"/>
      <c r="H1131" s="74"/>
      <c r="I1131" s="74" t="s">
        <v>391</v>
      </c>
      <c r="J1131" s="74"/>
      <c r="K1131" s="74">
        <v>102.4</v>
      </c>
      <c r="L1131" s="74">
        <v>92.16</v>
      </c>
      <c r="M1131" s="74"/>
      <c r="N1131" s="74" t="s">
        <v>392</v>
      </c>
      <c r="O1131" s="74" t="s">
        <v>402</v>
      </c>
      <c r="P1131" s="74" t="s">
        <v>15605</v>
      </c>
      <c r="Q1131" s="74" t="s">
        <v>15606</v>
      </c>
    </row>
    <row r="1132" spans="3:17" x14ac:dyDescent="0.25">
      <c r="C1132" s="74" t="s">
        <v>15893</v>
      </c>
      <c r="D1132" s="74" t="s">
        <v>15894</v>
      </c>
      <c r="E1132" s="74"/>
      <c r="F1132" s="74">
        <v>0.94</v>
      </c>
      <c r="G1132" s="74"/>
      <c r="H1132" s="74"/>
      <c r="I1132" s="74" t="s">
        <v>391</v>
      </c>
      <c r="J1132" s="74"/>
      <c r="K1132" s="74">
        <v>102.4</v>
      </c>
      <c r="L1132" s="74">
        <v>92.16</v>
      </c>
      <c r="M1132" s="74"/>
      <c r="N1132" s="74" t="s">
        <v>392</v>
      </c>
      <c r="O1132" s="74" t="s">
        <v>402</v>
      </c>
      <c r="P1132" s="74" t="s">
        <v>15895</v>
      </c>
      <c r="Q1132" s="74" t="s">
        <v>15896</v>
      </c>
    </row>
    <row r="1133" spans="3:17" x14ac:dyDescent="0.25">
      <c r="C1133" s="74" t="s">
        <v>17695</v>
      </c>
      <c r="D1133" s="74" t="s">
        <v>17696</v>
      </c>
      <c r="E1133" s="74"/>
      <c r="F1133" s="74">
        <v>0.94</v>
      </c>
      <c r="G1133" s="74"/>
      <c r="H1133" s="74"/>
      <c r="I1133" s="74" t="s">
        <v>391</v>
      </c>
      <c r="J1133" s="74"/>
      <c r="K1133" s="74">
        <v>102.4</v>
      </c>
      <c r="L1133" s="74">
        <v>92.16</v>
      </c>
      <c r="M1133" s="74"/>
      <c r="N1133" s="74" t="s">
        <v>392</v>
      </c>
      <c r="O1133" s="74" t="s">
        <v>402</v>
      </c>
      <c r="P1133" s="74" t="s">
        <v>17697</v>
      </c>
      <c r="Q1133" s="74" t="s">
        <v>17698</v>
      </c>
    </row>
    <row r="1134" spans="3:17" x14ac:dyDescent="0.25">
      <c r="C1134" s="158" t="s">
        <v>21256</v>
      </c>
      <c r="D1134" s="158" t="s">
        <v>21257</v>
      </c>
      <c r="F1134" s="158">
        <v>0.94</v>
      </c>
      <c r="I1134" s="158" t="s">
        <v>391</v>
      </c>
      <c r="K1134" s="158">
        <v>102.4</v>
      </c>
      <c r="L1134" s="158">
        <v>92.16</v>
      </c>
      <c r="N1134" s="158" t="s">
        <v>392</v>
      </c>
      <c r="O1134" s="158" t="s">
        <v>402</v>
      </c>
      <c r="P1134" s="158" t="s">
        <v>21258</v>
      </c>
      <c r="Q1134" s="158" t="s">
        <v>21259</v>
      </c>
    </row>
    <row r="1135" spans="3:17" x14ac:dyDescent="0.25">
      <c r="C1135" s="74" t="s">
        <v>1055</v>
      </c>
      <c r="D1135" s="74" t="s">
        <v>1056</v>
      </c>
      <c r="E1135" s="74"/>
      <c r="F1135" s="74">
        <v>0.93</v>
      </c>
      <c r="G1135" s="74"/>
      <c r="H1135" s="74"/>
      <c r="I1135" s="74" t="s">
        <v>391</v>
      </c>
      <c r="J1135" s="74"/>
      <c r="K1135" s="74">
        <v>102.4</v>
      </c>
      <c r="L1135" s="74">
        <v>92.16</v>
      </c>
      <c r="M1135" s="74"/>
      <c r="N1135" s="74" t="s">
        <v>392</v>
      </c>
      <c r="O1135" s="74" t="s">
        <v>402</v>
      </c>
      <c r="P1135" s="74" t="s">
        <v>1057</v>
      </c>
      <c r="Q1135" s="74" t="s">
        <v>1058</v>
      </c>
    </row>
    <row r="1136" spans="3:17" x14ac:dyDescent="0.25">
      <c r="C1136" s="74" t="s">
        <v>1877</v>
      </c>
      <c r="D1136" s="74" t="s">
        <v>1878</v>
      </c>
      <c r="E1136" s="74"/>
      <c r="F1136" s="74">
        <v>0.93</v>
      </c>
      <c r="G1136" s="74"/>
      <c r="H1136" s="74"/>
      <c r="I1136" s="74" t="s">
        <v>391</v>
      </c>
      <c r="J1136" s="74"/>
      <c r="K1136" s="74">
        <v>102.4</v>
      </c>
      <c r="L1136" s="74">
        <v>92.16</v>
      </c>
      <c r="M1136" s="74"/>
      <c r="N1136" s="74" t="s">
        <v>392</v>
      </c>
      <c r="O1136" s="74" t="s">
        <v>402</v>
      </c>
      <c r="P1136" s="74" t="s">
        <v>1879</v>
      </c>
      <c r="Q1136" s="74" t="s">
        <v>1880</v>
      </c>
    </row>
    <row r="1137" spans="3:17" x14ac:dyDescent="0.25">
      <c r="C1137" s="74" t="s">
        <v>6475</v>
      </c>
      <c r="D1137" s="74" t="s">
        <v>6476</v>
      </c>
      <c r="E1137" s="74"/>
      <c r="F1137" s="74">
        <v>0.93</v>
      </c>
      <c r="G1137" s="74"/>
      <c r="H1137" s="74"/>
      <c r="I1137" s="74" t="s">
        <v>391</v>
      </c>
      <c r="J1137" s="74"/>
      <c r="K1137" s="74">
        <v>102.4</v>
      </c>
      <c r="L1137" s="74">
        <v>92.16</v>
      </c>
      <c r="M1137" s="74"/>
      <c r="N1137" s="74" t="s">
        <v>392</v>
      </c>
      <c r="O1137" s="74" t="s">
        <v>402</v>
      </c>
      <c r="P1137" s="74"/>
      <c r="Q1137" s="74" t="s">
        <v>6477</v>
      </c>
    </row>
    <row r="1138" spans="3:17" x14ac:dyDescent="0.25">
      <c r="C1138" s="74" t="s">
        <v>10819</v>
      </c>
      <c r="D1138" s="74" t="s">
        <v>10820</v>
      </c>
      <c r="E1138" s="74"/>
      <c r="F1138" s="74">
        <v>0.93</v>
      </c>
      <c r="G1138" s="74"/>
      <c r="H1138" s="74"/>
      <c r="I1138" s="74" t="s">
        <v>391</v>
      </c>
      <c r="J1138" s="74"/>
      <c r="K1138" s="74">
        <v>102.4</v>
      </c>
      <c r="L1138" s="74">
        <v>92.16</v>
      </c>
      <c r="M1138" s="74"/>
      <c r="N1138" s="74" t="s">
        <v>392</v>
      </c>
      <c r="O1138" s="74" t="s">
        <v>402</v>
      </c>
      <c r="P1138" s="74" t="s">
        <v>10821</v>
      </c>
      <c r="Q1138" s="74" t="s">
        <v>10822</v>
      </c>
    </row>
    <row r="1139" spans="3:17" x14ac:dyDescent="0.25">
      <c r="C1139" s="74" t="s">
        <v>820</v>
      </c>
      <c r="D1139" s="74" t="s">
        <v>821</v>
      </c>
      <c r="E1139" s="74" t="s">
        <v>391</v>
      </c>
      <c r="F1139" s="74">
        <v>0.92</v>
      </c>
      <c r="G1139" s="74"/>
      <c r="H1139" s="74"/>
      <c r="I1139" s="74" t="s">
        <v>391</v>
      </c>
      <c r="J1139" s="74"/>
      <c r="K1139" s="74">
        <v>102.4</v>
      </c>
      <c r="L1139" s="74">
        <v>92.16</v>
      </c>
      <c r="M1139" s="74"/>
      <c r="N1139" s="74" t="s">
        <v>392</v>
      </c>
      <c r="O1139" s="74" t="s">
        <v>393</v>
      </c>
      <c r="P1139" s="74" t="s">
        <v>822</v>
      </c>
      <c r="Q1139" s="74" t="s">
        <v>823</v>
      </c>
    </row>
    <row r="1140" spans="3:17" x14ac:dyDescent="0.25">
      <c r="C1140" s="74" t="s">
        <v>4605</v>
      </c>
      <c r="D1140" s="74" t="s">
        <v>4606</v>
      </c>
      <c r="E1140" s="74"/>
      <c r="F1140" s="74">
        <v>0.92</v>
      </c>
      <c r="G1140" s="74"/>
      <c r="H1140" s="74"/>
      <c r="I1140" s="74" t="s">
        <v>391</v>
      </c>
      <c r="J1140" s="74"/>
      <c r="K1140" s="74">
        <v>102.4</v>
      </c>
      <c r="L1140" s="74">
        <v>92.16</v>
      </c>
      <c r="M1140" s="74"/>
      <c r="N1140" s="74" t="s">
        <v>392</v>
      </c>
      <c r="O1140" s="74" t="s">
        <v>402</v>
      </c>
      <c r="P1140" s="74" t="s">
        <v>4607</v>
      </c>
      <c r="Q1140" s="74" t="s">
        <v>4608</v>
      </c>
    </row>
    <row r="1141" spans="3:17" x14ac:dyDescent="0.25">
      <c r="C1141" s="74" t="s">
        <v>13523</v>
      </c>
      <c r="D1141" s="74" t="s">
        <v>13524</v>
      </c>
      <c r="E1141" s="74"/>
      <c r="F1141" s="74">
        <v>0.92</v>
      </c>
      <c r="G1141" s="74"/>
      <c r="H1141" s="74"/>
      <c r="I1141" s="74" t="s">
        <v>391</v>
      </c>
      <c r="J1141" s="74"/>
      <c r="K1141" s="74">
        <v>102.4</v>
      </c>
      <c r="L1141" s="74">
        <v>92.16</v>
      </c>
      <c r="M1141" s="74"/>
      <c r="N1141" s="74" t="s">
        <v>392</v>
      </c>
      <c r="O1141" s="74" t="s">
        <v>402</v>
      </c>
      <c r="P1141" s="74" t="s">
        <v>13525</v>
      </c>
      <c r="Q1141" s="74" t="s">
        <v>13526</v>
      </c>
    </row>
    <row r="1142" spans="3:17" x14ac:dyDescent="0.25">
      <c r="C1142" s="74" t="s">
        <v>17954</v>
      </c>
      <c r="D1142" s="74" t="s">
        <v>17955</v>
      </c>
      <c r="E1142" s="74"/>
      <c r="F1142" s="74">
        <v>0.92</v>
      </c>
      <c r="G1142" s="74"/>
      <c r="H1142" s="74"/>
      <c r="I1142" s="74" t="s">
        <v>391</v>
      </c>
      <c r="J1142" s="74"/>
      <c r="K1142" s="74">
        <v>102.4</v>
      </c>
      <c r="L1142" s="74">
        <v>92.16</v>
      </c>
      <c r="M1142" s="74"/>
      <c r="N1142" s="74" t="s">
        <v>392</v>
      </c>
      <c r="O1142" s="74" t="s">
        <v>402</v>
      </c>
      <c r="P1142" s="74" t="s">
        <v>17956</v>
      </c>
      <c r="Q1142" s="74" t="s">
        <v>17957</v>
      </c>
    </row>
    <row r="1143" spans="3:17" x14ac:dyDescent="0.25">
      <c r="C1143" s="74" t="s">
        <v>20977</v>
      </c>
      <c r="D1143" s="74" t="s">
        <v>20978</v>
      </c>
      <c r="E1143" s="74"/>
      <c r="F1143" s="74">
        <v>0.92</v>
      </c>
      <c r="G1143" s="74"/>
      <c r="H1143" s="74"/>
      <c r="I1143" s="74" t="s">
        <v>391</v>
      </c>
      <c r="J1143" s="74"/>
      <c r="K1143" s="74">
        <v>102.4</v>
      </c>
      <c r="L1143" s="74">
        <v>92.16</v>
      </c>
      <c r="M1143" s="74"/>
      <c r="N1143" s="74" t="s">
        <v>392</v>
      </c>
      <c r="O1143" s="74" t="s">
        <v>402</v>
      </c>
      <c r="P1143" s="74" t="s">
        <v>20979</v>
      </c>
      <c r="Q1143" s="74" t="s">
        <v>20980</v>
      </c>
    </row>
    <row r="1144" spans="3:17" x14ac:dyDescent="0.25">
      <c r="C1144" s="74" t="s">
        <v>830</v>
      </c>
      <c r="D1144" s="74" t="s">
        <v>831</v>
      </c>
      <c r="E1144" s="74" t="s">
        <v>391</v>
      </c>
      <c r="F1144" s="74">
        <v>0.91</v>
      </c>
      <c r="G1144" s="74"/>
      <c r="H1144" s="74"/>
      <c r="I1144" s="74" t="s">
        <v>391</v>
      </c>
      <c r="J1144" s="74"/>
      <c r="K1144" s="74"/>
      <c r="L1144" s="74"/>
      <c r="M1144" s="74"/>
      <c r="N1144" s="74" t="s">
        <v>392</v>
      </c>
      <c r="O1144" s="74" t="s">
        <v>393</v>
      </c>
      <c r="P1144" s="74" t="s">
        <v>832</v>
      </c>
      <c r="Q1144" s="74" t="s">
        <v>833</v>
      </c>
    </row>
    <row r="1145" spans="3:17" x14ac:dyDescent="0.25">
      <c r="C1145" s="74" t="s">
        <v>11534</v>
      </c>
      <c r="D1145" s="74" t="s">
        <v>11535</v>
      </c>
      <c r="E1145" s="74"/>
      <c r="F1145" s="74">
        <v>0.91</v>
      </c>
      <c r="G1145" s="74"/>
      <c r="H1145" s="74"/>
      <c r="I1145" s="74" t="s">
        <v>391</v>
      </c>
      <c r="J1145" s="74"/>
      <c r="K1145" s="74">
        <v>102.4</v>
      </c>
      <c r="L1145" s="74">
        <v>92.16</v>
      </c>
      <c r="M1145" s="74"/>
      <c r="N1145" s="74" t="s">
        <v>392</v>
      </c>
      <c r="O1145" s="74" t="s">
        <v>402</v>
      </c>
      <c r="P1145" s="74" t="s">
        <v>11536</v>
      </c>
      <c r="Q1145" s="74" t="s">
        <v>11537</v>
      </c>
    </row>
    <row r="1146" spans="3:17" x14ac:dyDescent="0.25">
      <c r="C1146" s="74" t="s">
        <v>12307</v>
      </c>
      <c r="D1146" s="74" t="s">
        <v>12308</v>
      </c>
      <c r="E1146" s="74"/>
      <c r="F1146" s="74">
        <v>0.91</v>
      </c>
      <c r="G1146" s="74"/>
      <c r="H1146" s="74"/>
      <c r="I1146" s="74" t="s">
        <v>391</v>
      </c>
      <c r="J1146" s="74"/>
      <c r="K1146" s="74">
        <v>102.4</v>
      </c>
      <c r="L1146" s="74">
        <v>92.16</v>
      </c>
      <c r="M1146" s="74"/>
      <c r="N1146" s="74" t="s">
        <v>392</v>
      </c>
      <c r="O1146" s="74" t="s">
        <v>402</v>
      </c>
      <c r="P1146" s="74" t="s">
        <v>12309</v>
      </c>
      <c r="Q1146" s="74" t="s">
        <v>12310</v>
      </c>
    </row>
    <row r="1147" spans="3:17" x14ac:dyDescent="0.25">
      <c r="C1147" s="74" t="s">
        <v>13713</v>
      </c>
      <c r="D1147" s="74" t="s">
        <v>13714</v>
      </c>
      <c r="E1147" s="74"/>
      <c r="F1147" s="74">
        <v>0.91</v>
      </c>
      <c r="G1147" s="74"/>
      <c r="H1147" s="74"/>
      <c r="I1147" s="74" t="s">
        <v>391</v>
      </c>
      <c r="J1147" s="74"/>
      <c r="K1147" s="74">
        <v>102.4</v>
      </c>
      <c r="L1147" s="74">
        <v>92.16</v>
      </c>
      <c r="M1147" s="74"/>
      <c r="N1147" s="74" t="s">
        <v>392</v>
      </c>
      <c r="O1147" s="74" t="s">
        <v>402</v>
      </c>
      <c r="P1147" s="74" t="s">
        <v>13715</v>
      </c>
      <c r="Q1147" s="74" t="s">
        <v>13716</v>
      </c>
    </row>
    <row r="1148" spans="3:17" x14ac:dyDescent="0.25">
      <c r="C1148" s="74" t="s">
        <v>18726</v>
      </c>
      <c r="D1148" s="74" t="s">
        <v>18727</v>
      </c>
      <c r="E1148" s="74"/>
      <c r="F1148" s="74">
        <v>0.91</v>
      </c>
      <c r="G1148" s="74"/>
      <c r="H1148" s="74"/>
      <c r="I1148" s="74" t="s">
        <v>391</v>
      </c>
      <c r="J1148" s="74"/>
      <c r="K1148" s="74">
        <v>102.4</v>
      </c>
      <c r="L1148" s="74">
        <v>92.16</v>
      </c>
      <c r="M1148" s="74"/>
      <c r="N1148" s="74" t="s">
        <v>392</v>
      </c>
      <c r="O1148" s="74" t="s">
        <v>402</v>
      </c>
      <c r="P1148" s="74" t="s">
        <v>18728</v>
      </c>
      <c r="Q1148" s="74" t="s">
        <v>18729</v>
      </c>
    </row>
    <row r="1149" spans="3:17" x14ac:dyDescent="0.25">
      <c r="C1149" s="74" t="s">
        <v>19002</v>
      </c>
      <c r="D1149" s="74" t="s">
        <v>19003</v>
      </c>
      <c r="E1149" s="74"/>
      <c r="F1149" s="74">
        <v>0.91</v>
      </c>
      <c r="G1149" s="74"/>
      <c r="H1149" s="74"/>
      <c r="I1149" s="74" t="s">
        <v>391</v>
      </c>
      <c r="J1149" s="74"/>
      <c r="K1149" s="74">
        <v>102.4</v>
      </c>
      <c r="L1149" s="74">
        <v>92.16</v>
      </c>
      <c r="M1149" s="74"/>
      <c r="N1149" s="74" t="s">
        <v>392</v>
      </c>
      <c r="O1149" s="74" t="s">
        <v>402</v>
      </c>
      <c r="P1149" s="74" t="s">
        <v>19004</v>
      </c>
      <c r="Q1149" s="74" t="s">
        <v>19005</v>
      </c>
    </row>
    <row r="1150" spans="3:17" x14ac:dyDescent="0.25">
      <c r="C1150" s="158" t="s">
        <v>21209</v>
      </c>
      <c r="D1150" s="158" t="s">
        <v>21210</v>
      </c>
      <c r="F1150" s="158">
        <v>0.91</v>
      </c>
      <c r="I1150" s="158" t="s">
        <v>391</v>
      </c>
      <c r="K1150" s="158">
        <v>102.4</v>
      </c>
      <c r="L1150" s="158">
        <v>92.16</v>
      </c>
      <c r="N1150" s="158" t="s">
        <v>392</v>
      </c>
      <c r="O1150" s="158" t="s">
        <v>402</v>
      </c>
      <c r="P1150" s="158" t="s">
        <v>21211</v>
      </c>
      <c r="Q1150" s="158" t="s">
        <v>21212</v>
      </c>
    </row>
    <row r="1151" spans="3:17" x14ac:dyDescent="0.25">
      <c r="C1151" s="74" t="s">
        <v>1802</v>
      </c>
      <c r="D1151" s="74" t="s">
        <v>1803</v>
      </c>
      <c r="E1151" s="74"/>
      <c r="F1151" s="74">
        <v>0.9</v>
      </c>
      <c r="G1151" s="74"/>
      <c r="H1151" s="74"/>
      <c r="I1151" s="74" t="s">
        <v>391</v>
      </c>
      <c r="J1151" s="74"/>
      <c r="K1151" s="74">
        <v>102.4</v>
      </c>
      <c r="L1151" s="74">
        <v>92.16</v>
      </c>
      <c r="M1151" s="74"/>
      <c r="N1151" s="74" t="s">
        <v>392</v>
      </c>
      <c r="O1151" s="74" t="s">
        <v>402</v>
      </c>
      <c r="P1151" s="74" t="s">
        <v>1804</v>
      </c>
      <c r="Q1151" s="74" t="s">
        <v>1805</v>
      </c>
    </row>
    <row r="1152" spans="3:17" x14ac:dyDescent="0.25">
      <c r="C1152" s="74" t="s">
        <v>2809</v>
      </c>
      <c r="D1152" s="74" t="s">
        <v>2810</v>
      </c>
      <c r="E1152" s="74"/>
      <c r="F1152" s="74">
        <v>0.9</v>
      </c>
      <c r="G1152" s="74"/>
      <c r="H1152" s="74"/>
      <c r="I1152" s="74" t="s">
        <v>391</v>
      </c>
      <c r="J1152" s="74"/>
      <c r="K1152" s="74">
        <v>102.4</v>
      </c>
      <c r="L1152" s="74">
        <v>92.16</v>
      </c>
      <c r="M1152" s="74"/>
      <c r="N1152" s="74" t="s">
        <v>392</v>
      </c>
      <c r="O1152" s="74" t="s">
        <v>402</v>
      </c>
      <c r="P1152" s="74" t="s">
        <v>2811</v>
      </c>
      <c r="Q1152" s="74" t="s">
        <v>2812</v>
      </c>
    </row>
    <row r="1153" spans="3:17" x14ac:dyDescent="0.25">
      <c r="C1153" s="74" t="s">
        <v>2967</v>
      </c>
      <c r="D1153" s="74" t="s">
        <v>2968</v>
      </c>
      <c r="E1153" s="74"/>
      <c r="F1153" s="74">
        <v>0.9</v>
      </c>
      <c r="G1153" s="74"/>
      <c r="H1153" s="74"/>
      <c r="I1153" s="74" t="s">
        <v>391</v>
      </c>
      <c r="J1153" s="74"/>
      <c r="K1153" s="74">
        <v>102.4</v>
      </c>
      <c r="L1153" s="74">
        <v>92.16</v>
      </c>
      <c r="M1153" s="74"/>
      <c r="N1153" s="74" t="s">
        <v>392</v>
      </c>
      <c r="O1153" s="74" t="s">
        <v>402</v>
      </c>
      <c r="P1153" s="74" t="s">
        <v>2969</v>
      </c>
      <c r="Q1153" s="74" t="s">
        <v>2970</v>
      </c>
    </row>
    <row r="1154" spans="3:17" x14ac:dyDescent="0.25">
      <c r="C1154" s="74" t="s">
        <v>9277</v>
      </c>
      <c r="D1154" s="74" t="s">
        <v>9278</v>
      </c>
      <c r="E1154" s="74"/>
      <c r="F1154" s="74">
        <v>0.9</v>
      </c>
      <c r="G1154" s="74"/>
      <c r="H1154" s="74"/>
      <c r="I1154" s="74" t="s">
        <v>391</v>
      </c>
      <c r="J1154" s="74"/>
      <c r="K1154" s="74">
        <v>102.4</v>
      </c>
      <c r="L1154" s="74">
        <v>92.16</v>
      </c>
      <c r="M1154" s="74"/>
      <c r="N1154" s="74" t="s">
        <v>392</v>
      </c>
      <c r="O1154" s="74" t="s">
        <v>402</v>
      </c>
      <c r="P1154" s="74" t="s">
        <v>9279</v>
      </c>
      <c r="Q1154" s="74" t="s">
        <v>9280</v>
      </c>
    </row>
    <row r="1155" spans="3:17" x14ac:dyDescent="0.25">
      <c r="C1155" s="74" t="s">
        <v>13659</v>
      </c>
      <c r="D1155" s="74" t="s">
        <v>13660</v>
      </c>
      <c r="E1155" s="74"/>
      <c r="F1155" s="74">
        <v>0.9</v>
      </c>
      <c r="G1155" s="74"/>
      <c r="H1155" s="74"/>
      <c r="I1155" s="74" t="s">
        <v>391</v>
      </c>
      <c r="J1155" s="74"/>
      <c r="K1155" s="74">
        <v>102.4</v>
      </c>
      <c r="L1155" s="74">
        <v>92.16</v>
      </c>
      <c r="M1155" s="74"/>
      <c r="N1155" s="74" t="s">
        <v>392</v>
      </c>
      <c r="O1155" s="74" t="s">
        <v>402</v>
      </c>
      <c r="P1155" s="74" t="s">
        <v>13661</v>
      </c>
      <c r="Q1155" s="74" t="s">
        <v>13662</v>
      </c>
    </row>
    <row r="1156" spans="3:17" x14ac:dyDescent="0.25">
      <c r="C1156" s="74" t="s">
        <v>14608</v>
      </c>
      <c r="D1156" s="74" t="s">
        <v>14609</v>
      </c>
      <c r="E1156" s="74"/>
      <c r="F1156" s="74">
        <v>0.9</v>
      </c>
      <c r="G1156" s="74"/>
      <c r="H1156" s="74"/>
      <c r="I1156" s="74" t="s">
        <v>391</v>
      </c>
      <c r="J1156" s="74"/>
      <c r="K1156" s="74">
        <v>102.4</v>
      </c>
      <c r="L1156" s="74">
        <v>92.16</v>
      </c>
      <c r="M1156" s="74"/>
      <c r="N1156" s="74" t="s">
        <v>392</v>
      </c>
      <c r="O1156" s="74" t="s">
        <v>402</v>
      </c>
      <c r="P1156" s="74" t="s">
        <v>14610</v>
      </c>
      <c r="Q1156" s="74" t="s">
        <v>14611</v>
      </c>
    </row>
    <row r="1157" spans="3:17" x14ac:dyDescent="0.25">
      <c r="C1157" s="74" t="s">
        <v>18163</v>
      </c>
      <c r="D1157" s="74" t="s">
        <v>18164</v>
      </c>
      <c r="E1157" s="74"/>
      <c r="F1157" s="74">
        <v>0.9</v>
      </c>
      <c r="G1157" s="74"/>
      <c r="H1157" s="74"/>
      <c r="I1157" s="74" t="s">
        <v>391</v>
      </c>
      <c r="J1157" s="74"/>
      <c r="K1157" s="74">
        <v>102.4</v>
      </c>
      <c r="L1157" s="74">
        <v>92.16</v>
      </c>
      <c r="M1157" s="74"/>
      <c r="N1157" s="74" t="s">
        <v>392</v>
      </c>
      <c r="O1157" s="74" t="s">
        <v>402</v>
      </c>
      <c r="P1157" s="74" t="s">
        <v>18165</v>
      </c>
      <c r="Q1157" s="74" t="s">
        <v>18166</v>
      </c>
    </row>
    <row r="1158" spans="3:17" x14ac:dyDescent="0.25">
      <c r="C1158" s="74" t="s">
        <v>19303</v>
      </c>
      <c r="D1158" s="74" t="s">
        <v>19304</v>
      </c>
      <c r="E1158" s="74"/>
      <c r="F1158" s="74">
        <v>0.9</v>
      </c>
      <c r="G1158" s="74"/>
      <c r="H1158" s="74"/>
      <c r="I1158" s="74" t="s">
        <v>391</v>
      </c>
      <c r="J1158" s="74"/>
      <c r="K1158" s="74">
        <v>102.4</v>
      </c>
      <c r="L1158" s="74">
        <v>92.16</v>
      </c>
      <c r="M1158" s="74"/>
      <c r="N1158" s="74" t="s">
        <v>392</v>
      </c>
      <c r="O1158" s="74" t="s">
        <v>402</v>
      </c>
      <c r="P1158" s="74" t="s">
        <v>19305</v>
      </c>
      <c r="Q1158" s="74" t="s">
        <v>19306</v>
      </c>
    </row>
    <row r="1159" spans="3:17" x14ac:dyDescent="0.25">
      <c r="C1159" s="74" t="s">
        <v>1555</v>
      </c>
      <c r="D1159" s="74" t="s">
        <v>1556</v>
      </c>
      <c r="E1159" s="74"/>
      <c r="F1159" s="74">
        <v>0.89</v>
      </c>
      <c r="G1159" s="74"/>
      <c r="H1159" s="74"/>
      <c r="I1159" s="74" t="s">
        <v>391</v>
      </c>
      <c r="J1159" s="74"/>
      <c r="K1159" s="74">
        <v>102.4</v>
      </c>
      <c r="L1159" s="74">
        <v>92.16</v>
      </c>
      <c r="M1159" s="74"/>
      <c r="N1159" s="74" t="s">
        <v>392</v>
      </c>
      <c r="O1159" s="74" t="s">
        <v>402</v>
      </c>
      <c r="P1159" s="74" t="s">
        <v>1557</v>
      </c>
      <c r="Q1159" s="74" t="s">
        <v>1558</v>
      </c>
    </row>
    <row r="1160" spans="3:17" x14ac:dyDescent="0.25">
      <c r="C1160" s="74" t="s">
        <v>3238</v>
      </c>
      <c r="D1160" s="74" t="s">
        <v>3239</v>
      </c>
      <c r="E1160" s="74"/>
      <c r="F1160" s="74">
        <v>0.89</v>
      </c>
      <c r="G1160" s="74"/>
      <c r="H1160" s="74"/>
      <c r="I1160" s="74" t="s">
        <v>391</v>
      </c>
      <c r="J1160" s="74"/>
      <c r="K1160" s="74">
        <v>102.4</v>
      </c>
      <c r="L1160" s="74">
        <v>92.16</v>
      </c>
      <c r="M1160" s="74"/>
      <c r="N1160" s="74" t="s">
        <v>392</v>
      </c>
      <c r="O1160" s="74" t="s">
        <v>402</v>
      </c>
      <c r="P1160" s="74" t="s">
        <v>3240</v>
      </c>
      <c r="Q1160" s="74" t="s">
        <v>3241</v>
      </c>
    </row>
    <row r="1161" spans="3:17" x14ac:dyDescent="0.25">
      <c r="C1161" s="74" t="s">
        <v>5472</v>
      </c>
      <c r="D1161" s="74" t="s">
        <v>5473</v>
      </c>
      <c r="E1161" s="74"/>
      <c r="F1161" s="74">
        <v>0.89</v>
      </c>
      <c r="G1161" s="74"/>
      <c r="H1161" s="74"/>
      <c r="I1161" s="74" t="s">
        <v>391</v>
      </c>
      <c r="J1161" s="74"/>
      <c r="K1161" s="74">
        <v>102.4</v>
      </c>
      <c r="L1161" s="74">
        <v>92.16</v>
      </c>
      <c r="M1161" s="74"/>
      <c r="N1161" s="74" t="s">
        <v>392</v>
      </c>
      <c r="O1161" s="74" t="s">
        <v>402</v>
      </c>
      <c r="P1161" s="74" t="s">
        <v>5474</v>
      </c>
      <c r="Q1161" s="74" t="s">
        <v>5475</v>
      </c>
    </row>
    <row r="1162" spans="3:17" x14ac:dyDescent="0.25">
      <c r="C1162" s="74" t="s">
        <v>13144</v>
      </c>
      <c r="D1162" s="74" t="s">
        <v>13145</v>
      </c>
      <c r="E1162" s="74"/>
      <c r="F1162" s="74">
        <v>0.89</v>
      </c>
      <c r="G1162" s="74"/>
      <c r="H1162" s="74"/>
      <c r="I1162" s="74" t="s">
        <v>391</v>
      </c>
      <c r="J1162" s="74"/>
      <c r="K1162" s="74">
        <v>102.4</v>
      </c>
      <c r="L1162" s="74">
        <v>92.16</v>
      </c>
      <c r="M1162" s="74"/>
      <c r="N1162" s="74" t="s">
        <v>392</v>
      </c>
      <c r="O1162" s="74" t="s">
        <v>402</v>
      </c>
      <c r="P1162" s="74" t="s">
        <v>13146</v>
      </c>
      <c r="Q1162" s="74" t="s">
        <v>13147</v>
      </c>
    </row>
    <row r="1163" spans="3:17" x14ac:dyDescent="0.25">
      <c r="C1163" s="74" t="s">
        <v>13519</v>
      </c>
      <c r="D1163" s="74" t="s">
        <v>13520</v>
      </c>
      <c r="E1163" s="74"/>
      <c r="F1163" s="74">
        <v>0.89</v>
      </c>
      <c r="G1163" s="74"/>
      <c r="H1163" s="74"/>
      <c r="I1163" s="74" t="s">
        <v>391</v>
      </c>
      <c r="J1163" s="74"/>
      <c r="K1163" s="74">
        <v>102.4</v>
      </c>
      <c r="L1163" s="74">
        <v>92.16</v>
      </c>
      <c r="M1163" s="74"/>
      <c r="N1163" s="74" t="s">
        <v>392</v>
      </c>
      <c r="O1163" s="74" t="s">
        <v>402</v>
      </c>
      <c r="P1163" s="74" t="s">
        <v>13521</v>
      </c>
      <c r="Q1163" s="74" t="s">
        <v>13522</v>
      </c>
    </row>
    <row r="1164" spans="3:17" x14ac:dyDescent="0.25">
      <c r="C1164" s="74" t="s">
        <v>18280</v>
      </c>
      <c r="D1164" s="74" t="s">
        <v>18281</v>
      </c>
      <c r="E1164" s="74"/>
      <c r="F1164" s="74">
        <v>0.89</v>
      </c>
      <c r="G1164" s="74"/>
      <c r="H1164" s="74"/>
      <c r="I1164" s="74" t="s">
        <v>391</v>
      </c>
      <c r="J1164" s="74"/>
      <c r="K1164" s="74">
        <v>102.4</v>
      </c>
      <c r="L1164" s="74">
        <v>92.16</v>
      </c>
      <c r="M1164" s="74"/>
      <c r="N1164" s="74" t="s">
        <v>392</v>
      </c>
      <c r="O1164" s="74" t="s">
        <v>402</v>
      </c>
      <c r="P1164" s="74" t="s">
        <v>18282</v>
      </c>
      <c r="Q1164" s="74" t="s">
        <v>18283</v>
      </c>
    </row>
    <row r="1165" spans="3:17" x14ac:dyDescent="0.25">
      <c r="C1165" s="74" t="s">
        <v>19143</v>
      </c>
      <c r="D1165" s="74" t="s">
        <v>19144</v>
      </c>
      <c r="E1165" s="74"/>
      <c r="F1165" s="74">
        <v>0.89</v>
      </c>
      <c r="G1165" s="74"/>
      <c r="H1165" s="74"/>
      <c r="I1165" s="74" t="s">
        <v>391</v>
      </c>
      <c r="J1165" s="74"/>
      <c r="K1165" s="74">
        <v>102.4</v>
      </c>
      <c r="L1165" s="74">
        <v>92.16</v>
      </c>
      <c r="M1165" s="74"/>
      <c r="N1165" s="74" t="s">
        <v>392</v>
      </c>
      <c r="O1165" s="74" t="s">
        <v>402</v>
      </c>
      <c r="P1165" s="74" t="s">
        <v>19145</v>
      </c>
      <c r="Q1165" s="74" t="s">
        <v>19146</v>
      </c>
    </row>
    <row r="1166" spans="3:17" x14ac:dyDescent="0.25">
      <c r="C1166" s="74" t="s">
        <v>3220</v>
      </c>
      <c r="D1166" s="74" t="s">
        <v>3221</v>
      </c>
      <c r="E1166" s="74"/>
      <c r="F1166" s="74">
        <v>0.88</v>
      </c>
      <c r="G1166" s="74"/>
      <c r="H1166" s="74"/>
      <c r="I1166" s="74" t="s">
        <v>391</v>
      </c>
      <c r="J1166" s="74"/>
      <c r="K1166" s="74">
        <v>102.4</v>
      </c>
      <c r="L1166" s="74">
        <v>92.16</v>
      </c>
      <c r="M1166" s="74"/>
      <c r="N1166" s="74" t="s">
        <v>392</v>
      </c>
      <c r="O1166" s="74" t="s">
        <v>402</v>
      </c>
      <c r="P1166" s="74" t="s">
        <v>3222</v>
      </c>
      <c r="Q1166" s="74" t="s">
        <v>3223</v>
      </c>
    </row>
    <row r="1167" spans="3:17" x14ac:dyDescent="0.25">
      <c r="C1167" s="74" t="s">
        <v>12333</v>
      </c>
      <c r="D1167" s="74" t="s">
        <v>12334</v>
      </c>
      <c r="E1167" s="74"/>
      <c r="F1167" s="74">
        <v>0.88</v>
      </c>
      <c r="G1167" s="74"/>
      <c r="H1167" s="74"/>
      <c r="I1167" s="74" t="s">
        <v>391</v>
      </c>
      <c r="J1167" s="74"/>
      <c r="K1167" s="74">
        <v>102.4</v>
      </c>
      <c r="L1167" s="74">
        <v>92.16</v>
      </c>
      <c r="M1167" s="74"/>
      <c r="N1167" s="74" t="s">
        <v>392</v>
      </c>
      <c r="O1167" s="74" t="s">
        <v>402</v>
      </c>
      <c r="P1167" s="74" t="s">
        <v>12335</v>
      </c>
      <c r="Q1167" s="74" t="s">
        <v>12336</v>
      </c>
    </row>
    <row r="1168" spans="3:17" x14ac:dyDescent="0.25">
      <c r="C1168" s="74" t="s">
        <v>17946</v>
      </c>
      <c r="D1168" s="74" t="s">
        <v>17947</v>
      </c>
      <c r="E1168" s="74"/>
      <c r="F1168" s="74">
        <v>0.88</v>
      </c>
      <c r="G1168" s="74"/>
      <c r="H1168" s="74"/>
      <c r="I1168" s="74" t="s">
        <v>391</v>
      </c>
      <c r="J1168" s="74"/>
      <c r="K1168" s="74">
        <v>102.4</v>
      </c>
      <c r="L1168" s="74">
        <v>92.16</v>
      </c>
      <c r="M1168" s="74"/>
      <c r="N1168" s="74" t="s">
        <v>392</v>
      </c>
      <c r="O1168" s="74" t="s">
        <v>402</v>
      </c>
      <c r="P1168" s="74" t="s">
        <v>17948</v>
      </c>
      <c r="Q1168" s="74" t="s">
        <v>17949</v>
      </c>
    </row>
    <row r="1169" spans="3:17" x14ac:dyDescent="0.25">
      <c r="C1169" s="74" t="s">
        <v>18353</v>
      </c>
      <c r="D1169" s="74" t="s">
        <v>18354</v>
      </c>
      <c r="E1169" s="74"/>
      <c r="F1169" s="74">
        <v>0.88</v>
      </c>
      <c r="G1169" s="74"/>
      <c r="H1169" s="74"/>
      <c r="I1169" s="74" t="s">
        <v>391</v>
      </c>
      <c r="J1169" s="74"/>
      <c r="K1169" s="74">
        <v>102.4</v>
      </c>
      <c r="L1169" s="74">
        <v>92.16</v>
      </c>
      <c r="M1169" s="74"/>
      <c r="N1169" s="74" t="s">
        <v>392</v>
      </c>
      <c r="O1169" s="74" t="s">
        <v>402</v>
      </c>
      <c r="P1169" s="74" t="s">
        <v>18355</v>
      </c>
      <c r="Q1169" s="74" t="s">
        <v>18356</v>
      </c>
    </row>
    <row r="1170" spans="3:17" x14ac:dyDescent="0.25">
      <c r="C1170" s="74" t="s">
        <v>21076</v>
      </c>
      <c r="D1170" s="74" t="s">
        <v>21077</v>
      </c>
      <c r="E1170" s="74"/>
      <c r="F1170" s="74">
        <v>0.88</v>
      </c>
      <c r="G1170" s="74"/>
      <c r="H1170" s="74"/>
      <c r="I1170" s="74" t="s">
        <v>391</v>
      </c>
      <c r="J1170" s="74"/>
      <c r="K1170" s="74">
        <v>102.4</v>
      </c>
      <c r="L1170" s="74">
        <v>92.16</v>
      </c>
      <c r="M1170" s="74"/>
      <c r="N1170" s="74" t="s">
        <v>392</v>
      </c>
      <c r="O1170" s="74" t="s">
        <v>402</v>
      </c>
      <c r="P1170" s="74" t="s">
        <v>21078</v>
      </c>
      <c r="Q1170" s="74" t="s">
        <v>21079</v>
      </c>
    </row>
    <row r="1171" spans="3:17" x14ac:dyDescent="0.25">
      <c r="C1171" s="74" t="s">
        <v>706</v>
      </c>
      <c r="D1171" s="74" t="s">
        <v>707</v>
      </c>
      <c r="E1171" s="74"/>
      <c r="F1171" s="74">
        <v>0.87</v>
      </c>
      <c r="G1171" s="74"/>
      <c r="H1171" s="74"/>
      <c r="I1171" s="74" t="s">
        <v>391</v>
      </c>
      <c r="J1171" s="74"/>
      <c r="K1171" s="74">
        <v>102.4</v>
      </c>
      <c r="L1171" s="74">
        <v>92.16</v>
      </c>
      <c r="M1171" s="74"/>
      <c r="N1171" s="74" t="s">
        <v>392</v>
      </c>
      <c r="O1171" s="74" t="s">
        <v>402</v>
      </c>
      <c r="P1171" s="74" t="s">
        <v>708</v>
      </c>
      <c r="Q1171" s="74" t="s">
        <v>709</v>
      </c>
    </row>
    <row r="1172" spans="3:17" x14ac:dyDescent="0.25">
      <c r="C1172" s="74" t="s">
        <v>1144</v>
      </c>
      <c r="D1172" s="74" t="s">
        <v>1145</v>
      </c>
      <c r="E1172" s="74"/>
      <c r="F1172" s="74">
        <v>0.87</v>
      </c>
      <c r="G1172" s="74"/>
      <c r="H1172" s="74"/>
      <c r="I1172" s="74" t="s">
        <v>391</v>
      </c>
      <c r="J1172" s="74"/>
      <c r="K1172" s="74">
        <v>102.4</v>
      </c>
      <c r="L1172" s="74">
        <v>92.16</v>
      </c>
      <c r="M1172" s="74"/>
      <c r="N1172" s="74" t="s">
        <v>392</v>
      </c>
      <c r="O1172" s="74" t="s">
        <v>402</v>
      </c>
      <c r="P1172" s="74" t="s">
        <v>1146</v>
      </c>
      <c r="Q1172" s="74" t="s">
        <v>1147</v>
      </c>
    </row>
    <row r="1173" spans="3:17" x14ac:dyDescent="0.25">
      <c r="C1173" s="74" t="s">
        <v>9479</v>
      </c>
      <c r="D1173" s="74" t="s">
        <v>9480</v>
      </c>
      <c r="E1173" s="74"/>
      <c r="F1173" s="74">
        <v>0.87</v>
      </c>
      <c r="G1173" s="74"/>
      <c r="H1173" s="74"/>
      <c r="I1173" s="74" t="s">
        <v>391</v>
      </c>
      <c r="J1173" s="74"/>
      <c r="K1173" s="74">
        <v>102.4</v>
      </c>
      <c r="L1173" s="74">
        <v>92.16</v>
      </c>
      <c r="M1173" s="74"/>
      <c r="N1173" s="74" t="s">
        <v>392</v>
      </c>
      <c r="O1173" s="74" t="s">
        <v>402</v>
      </c>
      <c r="P1173" s="74" t="s">
        <v>9481</v>
      </c>
      <c r="Q1173" s="74" t="s">
        <v>9482</v>
      </c>
    </row>
    <row r="1174" spans="3:17" x14ac:dyDescent="0.25">
      <c r="C1174" s="74" t="s">
        <v>13351</v>
      </c>
      <c r="D1174" s="74" t="s">
        <v>13352</v>
      </c>
      <c r="E1174" s="74" t="s">
        <v>391</v>
      </c>
      <c r="F1174" s="74">
        <v>0.87</v>
      </c>
      <c r="G1174" s="74"/>
      <c r="H1174" s="74"/>
      <c r="I1174" s="74" t="s">
        <v>391</v>
      </c>
      <c r="J1174" s="74"/>
      <c r="K1174" s="74">
        <v>102.4</v>
      </c>
      <c r="L1174" s="74">
        <v>92.16</v>
      </c>
      <c r="M1174" s="74"/>
      <c r="N1174" s="74" t="s">
        <v>392</v>
      </c>
      <c r="O1174" s="74" t="s">
        <v>393</v>
      </c>
      <c r="P1174" s="74" t="s">
        <v>13353</v>
      </c>
      <c r="Q1174" s="74" t="s">
        <v>13354</v>
      </c>
    </row>
    <row r="1175" spans="3:17" x14ac:dyDescent="0.25">
      <c r="C1175" s="74" t="s">
        <v>13541</v>
      </c>
      <c r="D1175" s="74" t="s">
        <v>13542</v>
      </c>
      <c r="E1175" s="74"/>
      <c r="F1175" s="74">
        <v>0.87</v>
      </c>
      <c r="G1175" s="74"/>
      <c r="H1175" s="74"/>
      <c r="I1175" s="74" t="s">
        <v>391</v>
      </c>
      <c r="J1175" s="74"/>
      <c r="K1175" s="74">
        <v>102.4</v>
      </c>
      <c r="L1175" s="74">
        <v>92.16</v>
      </c>
      <c r="M1175" s="74"/>
      <c r="N1175" s="74" t="s">
        <v>392</v>
      </c>
      <c r="O1175" s="74" t="s">
        <v>402</v>
      </c>
      <c r="P1175" s="74" t="s">
        <v>13543</v>
      </c>
      <c r="Q1175" s="74" t="s">
        <v>13544</v>
      </c>
    </row>
    <row r="1176" spans="3:17" x14ac:dyDescent="0.25">
      <c r="C1176" s="74" t="s">
        <v>15212</v>
      </c>
      <c r="D1176" s="74" t="s">
        <v>15213</v>
      </c>
      <c r="E1176" s="74"/>
      <c r="F1176" s="74">
        <v>0.87</v>
      </c>
      <c r="G1176" s="74"/>
      <c r="H1176" s="74"/>
      <c r="I1176" s="74" t="s">
        <v>391</v>
      </c>
      <c r="J1176" s="74"/>
      <c r="K1176" s="74">
        <v>102.4</v>
      </c>
      <c r="L1176" s="74">
        <v>92.16</v>
      </c>
      <c r="M1176" s="74"/>
      <c r="N1176" s="74" t="s">
        <v>392</v>
      </c>
      <c r="O1176" s="74" t="s">
        <v>402</v>
      </c>
      <c r="P1176" s="74" t="s">
        <v>15214</v>
      </c>
      <c r="Q1176" s="74" t="s">
        <v>15215</v>
      </c>
    </row>
    <row r="1177" spans="3:17" x14ac:dyDescent="0.25">
      <c r="C1177" s="74" t="s">
        <v>617</v>
      </c>
      <c r="D1177" s="74" t="s">
        <v>618</v>
      </c>
      <c r="E1177" s="74"/>
      <c r="F1177" s="74">
        <v>0.86</v>
      </c>
      <c r="G1177" s="74"/>
      <c r="H1177" s="74"/>
      <c r="I1177" s="74" t="s">
        <v>391</v>
      </c>
      <c r="J1177" s="74"/>
      <c r="K1177" s="74">
        <v>102.4</v>
      </c>
      <c r="L1177" s="74">
        <v>92.16</v>
      </c>
      <c r="M1177" s="74"/>
      <c r="N1177" s="74" t="s">
        <v>392</v>
      </c>
      <c r="O1177" s="74" t="s">
        <v>402</v>
      </c>
      <c r="P1177" s="74" t="s">
        <v>619</v>
      </c>
      <c r="Q1177" s="74" t="s">
        <v>620</v>
      </c>
    </row>
    <row r="1178" spans="3:17" x14ac:dyDescent="0.25">
      <c r="C1178" s="74" t="s">
        <v>1892</v>
      </c>
      <c r="D1178" s="74" t="s">
        <v>1893</v>
      </c>
      <c r="E1178" s="74"/>
      <c r="F1178" s="74">
        <v>0.86</v>
      </c>
      <c r="G1178" s="74"/>
      <c r="H1178" s="74"/>
      <c r="I1178" s="74" t="s">
        <v>391</v>
      </c>
      <c r="J1178" s="74"/>
      <c r="K1178" s="74">
        <v>102.4</v>
      </c>
      <c r="L1178" s="74">
        <v>92.16</v>
      </c>
      <c r="M1178" s="74"/>
      <c r="N1178" s="74" t="s">
        <v>392</v>
      </c>
      <c r="O1178" s="74" t="s">
        <v>402</v>
      </c>
      <c r="P1178" s="74" t="s">
        <v>1894</v>
      </c>
      <c r="Q1178" s="74" t="s">
        <v>1895</v>
      </c>
    </row>
    <row r="1179" spans="3:17" x14ac:dyDescent="0.25">
      <c r="C1179" s="158" t="s">
        <v>3047</v>
      </c>
      <c r="D1179" s="158" t="s">
        <v>3048</v>
      </c>
      <c r="F1179" s="158">
        <v>0.86</v>
      </c>
      <c r="I1179" s="158" t="s">
        <v>391</v>
      </c>
      <c r="K1179" s="158">
        <v>102.4</v>
      </c>
      <c r="L1179" s="158">
        <v>92.16</v>
      </c>
      <c r="N1179" s="158" t="s">
        <v>392</v>
      </c>
      <c r="O1179" s="158" t="s">
        <v>402</v>
      </c>
      <c r="P1179" s="158" t="s">
        <v>3049</v>
      </c>
      <c r="Q1179" s="158" t="s">
        <v>3050</v>
      </c>
    </row>
    <row r="1180" spans="3:17" x14ac:dyDescent="0.25">
      <c r="C1180" s="158" t="s">
        <v>6263</v>
      </c>
      <c r="D1180" s="158" t="s">
        <v>6264</v>
      </c>
      <c r="F1180" s="158">
        <v>0.86</v>
      </c>
      <c r="I1180" s="158" t="s">
        <v>391</v>
      </c>
      <c r="K1180" s="158">
        <v>102.4</v>
      </c>
      <c r="L1180" s="158">
        <v>92.16</v>
      </c>
      <c r="N1180" s="158" t="s">
        <v>392</v>
      </c>
      <c r="O1180" s="158" t="s">
        <v>402</v>
      </c>
      <c r="P1180" s="158" t="s">
        <v>6265</v>
      </c>
      <c r="Q1180" s="158" t="s">
        <v>6266</v>
      </c>
    </row>
    <row r="1181" spans="3:17" x14ac:dyDescent="0.25">
      <c r="C1181" s="74" t="s">
        <v>14859</v>
      </c>
      <c r="D1181" s="74" t="s">
        <v>14860</v>
      </c>
      <c r="E1181" s="74"/>
      <c r="F1181" s="74">
        <v>0.86</v>
      </c>
      <c r="G1181" s="74"/>
      <c r="H1181" s="74"/>
      <c r="I1181" s="74" t="s">
        <v>391</v>
      </c>
      <c r="J1181" s="74"/>
      <c r="K1181" s="74">
        <v>102.4</v>
      </c>
      <c r="L1181" s="74">
        <v>92.16</v>
      </c>
      <c r="M1181" s="74"/>
      <c r="N1181" s="74" t="s">
        <v>392</v>
      </c>
      <c r="O1181" s="74" t="s">
        <v>402</v>
      </c>
      <c r="P1181" s="74" t="s">
        <v>14861</v>
      </c>
      <c r="Q1181" s="74" t="s">
        <v>14862</v>
      </c>
    </row>
    <row r="1182" spans="3:17" x14ac:dyDescent="0.25">
      <c r="C1182" s="74" t="s">
        <v>15174</v>
      </c>
      <c r="D1182" s="74" t="s">
        <v>15175</v>
      </c>
      <c r="E1182" s="74" t="s">
        <v>391</v>
      </c>
      <c r="F1182" s="74">
        <v>0.86</v>
      </c>
      <c r="G1182" s="74"/>
      <c r="H1182" s="74"/>
      <c r="I1182" s="74" t="s">
        <v>391</v>
      </c>
      <c r="J1182" s="74"/>
      <c r="K1182" s="74">
        <v>102.4</v>
      </c>
      <c r="L1182" s="74">
        <v>92.16</v>
      </c>
      <c r="M1182" s="74"/>
      <c r="N1182" s="74" t="s">
        <v>392</v>
      </c>
      <c r="O1182" s="74" t="s">
        <v>402</v>
      </c>
      <c r="P1182" s="74" t="s">
        <v>15176</v>
      </c>
      <c r="Q1182" s="74" t="s">
        <v>15177</v>
      </c>
    </row>
    <row r="1183" spans="3:17" x14ac:dyDescent="0.25">
      <c r="C1183" s="74" t="s">
        <v>15538</v>
      </c>
      <c r="D1183" s="74" t="s">
        <v>15539</v>
      </c>
      <c r="E1183" s="74"/>
      <c r="F1183" s="74">
        <v>0.86</v>
      </c>
      <c r="G1183" s="74"/>
      <c r="H1183" s="74"/>
      <c r="I1183" s="74" t="s">
        <v>391</v>
      </c>
      <c r="J1183" s="74"/>
      <c r="K1183" s="74">
        <v>102.4</v>
      </c>
      <c r="L1183" s="74">
        <v>92.16</v>
      </c>
      <c r="M1183" s="74"/>
      <c r="N1183" s="74" t="s">
        <v>392</v>
      </c>
      <c r="O1183" s="74" t="s">
        <v>402</v>
      </c>
      <c r="P1183" s="74" t="s">
        <v>15540</v>
      </c>
      <c r="Q1183" s="74" t="s">
        <v>15541</v>
      </c>
    </row>
    <row r="1184" spans="3:17" x14ac:dyDescent="0.25">
      <c r="C1184" s="74" t="s">
        <v>18467</v>
      </c>
      <c r="D1184" s="74" t="s">
        <v>18468</v>
      </c>
      <c r="E1184" s="74"/>
      <c r="F1184" s="74">
        <v>0.86</v>
      </c>
      <c r="G1184" s="74"/>
      <c r="H1184" s="74"/>
      <c r="I1184" s="74" t="s">
        <v>391</v>
      </c>
      <c r="J1184" s="74"/>
      <c r="K1184" s="74">
        <v>102.4</v>
      </c>
      <c r="L1184" s="74">
        <v>92.16</v>
      </c>
      <c r="M1184" s="74"/>
      <c r="N1184" s="74" t="s">
        <v>392</v>
      </c>
      <c r="O1184" s="74" t="s">
        <v>402</v>
      </c>
      <c r="P1184" s="74" t="s">
        <v>18469</v>
      </c>
      <c r="Q1184" s="74" t="s">
        <v>18470</v>
      </c>
    </row>
    <row r="1185" spans="3:17" x14ac:dyDescent="0.25">
      <c r="C1185" s="74" t="s">
        <v>608</v>
      </c>
      <c r="D1185" s="74" t="s">
        <v>609</v>
      </c>
      <c r="E1185" s="74"/>
      <c r="F1185" s="74">
        <v>0.85</v>
      </c>
      <c r="G1185" s="74"/>
      <c r="H1185" s="74"/>
      <c r="I1185" s="74" t="s">
        <v>391</v>
      </c>
      <c r="J1185" s="74"/>
      <c r="K1185" s="74">
        <v>102.4</v>
      </c>
      <c r="L1185" s="74">
        <v>92.16</v>
      </c>
      <c r="M1185" s="74"/>
      <c r="N1185" s="74" t="s">
        <v>392</v>
      </c>
      <c r="O1185" s="74" t="s">
        <v>402</v>
      </c>
      <c r="P1185" s="74" t="s">
        <v>610</v>
      </c>
      <c r="Q1185" s="74" t="s">
        <v>611</v>
      </c>
    </row>
    <row r="1186" spans="3:17" x14ac:dyDescent="0.25">
      <c r="C1186" s="74" t="s">
        <v>849</v>
      </c>
      <c r="D1186" s="74" t="s">
        <v>850</v>
      </c>
      <c r="E1186" s="74"/>
      <c r="F1186" s="74">
        <v>0.85</v>
      </c>
      <c r="G1186" s="74"/>
      <c r="H1186" s="74"/>
      <c r="I1186" s="74" t="s">
        <v>391</v>
      </c>
      <c r="J1186" s="74"/>
      <c r="K1186" s="74">
        <v>102.4</v>
      </c>
      <c r="L1186" s="74">
        <v>92.16</v>
      </c>
      <c r="M1186" s="74"/>
      <c r="N1186" s="74" t="s">
        <v>392</v>
      </c>
      <c r="O1186" s="74" t="s">
        <v>402</v>
      </c>
      <c r="P1186" s="74" t="s">
        <v>851</v>
      </c>
      <c r="Q1186" s="74" t="s">
        <v>852</v>
      </c>
    </row>
    <row r="1187" spans="3:17" x14ac:dyDescent="0.25">
      <c r="C1187" s="74" t="s">
        <v>4200</v>
      </c>
      <c r="D1187" s="74" t="s">
        <v>4201</v>
      </c>
      <c r="E1187" s="74"/>
      <c r="F1187" s="74">
        <v>0.85</v>
      </c>
      <c r="G1187" s="74"/>
      <c r="H1187" s="74"/>
      <c r="I1187" s="74" t="s">
        <v>391</v>
      </c>
      <c r="J1187" s="74"/>
      <c r="K1187" s="74">
        <v>102.4</v>
      </c>
      <c r="L1187" s="74">
        <v>92.16</v>
      </c>
      <c r="M1187" s="74"/>
      <c r="N1187" s="74" t="s">
        <v>392</v>
      </c>
      <c r="O1187" s="74" t="s">
        <v>402</v>
      </c>
      <c r="P1187" s="74" t="s">
        <v>4202</v>
      </c>
      <c r="Q1187" s="74" t="s">
        <v>4203</v>
      </c>
    </row>
    <row r="1188" spans="3:17" x14ac:dyDescent="0.25">
      <c r="C1188" s="74" t="s">
        <v>4437</v>
      </c>
      <c r="D1188" s="74" t="s">
        <v>4438</v>
      </c>
      <c r="E1188" s="74"/>
      <c r="F1188" s="74">
        <v>0.85</v>
      </c>
      <c r="G1188" s="74"/>
      <c r="H1188" s="74"/>
      <c r="I1188" s="74" t="s">
        <v>391</v>
      </c>
      <c r="J1188" s="74"/>
      <c r="K1188" s="74">
        <v>102.4</v>
      </c>
      <c r="L1188" s="74">
        <v>92.16</v>
      </c>
      <c r="M1188" s="74"/>
      <c r="N1188" s="74" t="s">
        <v>392</v>
      </c>
      <c r="O1188" s="74" t="s">
        <v>402</v>
      </c>
      <c r="P1188" s="74" t="s">
        <v>4439</v>
      </c>
      <c r="Q1188" s="74" t="s">
        <v>4440</v>
      </c>
    </row>
    <row r="1189" spans="3:17" x14ac:dyDescent="0.25">
      <c r="C1189" s="74" t="s">
        <v>6639</v>
      </c>
      <c r="D1189" s="74" t="s">
        <v>6640</v>
      </c>
      <c r="E1189" s="74"/>
      <c r="F1189" s="74">
        <v>0.85</v>
      </c>
      <c r="G1189" s="74"/>
      <c r="H1189" s="74"/>
      <c r="I1189" s="74" t="s">
        <v>391</v>
      </c>
      <c r="J1189" s="74"/>
      <c r="K1189" s="74">
        <v>102.4</v>
      </c>
      <c r="L1189" s="74">
        <v>92.16</v>
      </c>
      <c r="M1189" s="74"/>
      <c r="N1189" s="74" t="s">
        <v>392</v>
      </c>
      <c r="O1189" s="74" t="s">
        <v>402</v>
      </c>
      <c r="P1189" s="74" t="s">
        <v>6641</v>
      </c>
      <c r="Q1189" s="74" t="s">
        <v>6642</v>
      </c>
    </row>
    <row r="1190" spans="3:17" x14ac:dyDescent="0.25">
      <c r="C1190" s="74" t="s">
        <v>10911</v>
      </c>
      <c r="D1190" s="74" t="s">
        <v>10912</v>
      </c>
      <c r="E1190" s="74"/>
      <c r="F1190" s="74">
        <v>0.85</v>
      </c>
      <c r="G1190" s="74"/>
      <c r="H1190" s="74"/>
      <c r="I1190" s="74" t="s">
        <v>391</v>
      </c>
      <c r="J1190" s="74"/>
      <c r="K1190" s="74">
        <v>102.4</v>
      </c>
      <c r="L1190" s="74">
        <v>92.16</v>
      </c>
      <c r="M1190" s="74"/>
      <c r="N1190" s="74" t="s">
        <v>392</v>
      </c>
      <c r="O1190" s="74" t="s">
        <v>402</v>
      </c>
      <c r="P1190" s="74" t="s">
        <v>10913</v>
      </c>
      <c r="Q1190" s="74" t="s">
        <v>10914</v>
      </c>
    </row>
    <row r="1191" spans="3:17" x14ac:dyDescent="0.25">
      <c r="C1191" s="74" t="s">
        <v>12134</v>
      </c>
      <c r="D1191" s="74" t="s">
        <v>12135</v>
      </c>
      <c r="E1191" s="74"/>
      <c r="F1191" s="74">
        <v>0.85</v>
      </c>
      <c r="G1191" s="74"/>
      <c r="H1191" s="74"/>
      <c r="I1191" s="74" t="s">
        <v>391</v>
      </c>
      <c r="J1191" s="74"/>
      <c r="K1191" s="74">
        <v>102.4</v>
      </c>
      <c r="L1191" s="74">
        <v>92.16</v>
      </c>
      <c r="M1191" s="74"/>
      <c r="N1191" s="74" t="s">
        <v>392</v>
      </c>
      <c r="O1191" s="74" t="s">
        <v>402</v>
      </c>
      <c r="P1191" s="74" t="s">
        <v>12136</v>
      </c>
      <c r="Q1191" s="74" t="s">
        <v>12137</v>
      </c>
    </row>
    <row r="1192" spans="3:17" x14ac:dyDescent="0.25">
      <c r="C1192" s="74" t="s">
        <v>14336</v>
      </c>
      <c r="D1192" s="74" t="s">
        <v>14337</v>
      </c>
      <c r="E1192" s="74"/>
      <c r="F1192" s="74">
        <v>0.85</v>
      </c>
      <c r="G1192" s="74"/>
      <c r="H1192" s="74"/>
      <c r="I1192" s="74" t="s">
        <v>391</v>
      </c>
      <c r="J1192" s="74"/>
      <c r="K1192" s="74">
        <v>102.4</v>
      </c>
      <c r="L1192" s="74">
        <v>92.16</v>
      </c>
      <c r="M1192" s="74"/>
      <c r="N1192" s="74" t="s">
        <v>392</v>
      </c>
      <c r="O1192" s="74" t="s">
        <v>402</v>
      </c>
      <c r="P1192" s="74" t="s">
        <v>14338</v>
      </c>
      <c r="Q1192" s="74" t="s">
        <v>14339</v>
      </c>
    </row>
    <row r="1193" spans="3:17" x14ac:dyDescent="0.25">
      <c r="C1193" s="74" t="s">
        <v>18456</v>
      </c>
      <c r="D1193" s="74" t="s">
        <v>18457</v>
      </c>
      <c r="E1193" s="74"/>
      <c r="F1193" s="74">
        <v>0.85</v>
      </c>
      <c r="G1193" s="74"/>
      <c r="H1193" s="74"/>
      <c r="I1193" s="74" t="s">
        <v>391</v>
      </c>
      <c r="J1193" s="74"/>
      <c r="K1193" s="74">
        <v>102.4</v>
      </c>
      <c r="L1193" s="74">
        <v>92.16</v>
      </c>
      <c r="M1193" s="74"/>
      <c r="N1193" s="74" t="s">
        <v>392</v>
      </c>
      <c r="O1193" s="74" t="s">
        <v>402</v>
      </c>
      <c r="P1193" s="74" t="s">
        <v>18458</v>
      </c>
      <c r="Q1193" s="74" t="s">
        <v>18459</v>
      </c>
    </row>
    <row r="1194" spans="3:17" x14ac:dyDescent="0.25">
      <c r="C1194" s="74" t="s">
        <v>1401</v>
      </c>
      <c r="D1194" s="74" t="s">
        <v>1402</v>
      </c>
      <c r="E1194" s="74"/>
      <c r="F1194" s="74">
        <v>0.84</v>
      </c>
      <c r="G1194" s="74"/>
      <c r="H1194" s="74"/>
      <c r="I1194" s="74" t="s">
        <v>391</v>
      </c>
      <c r="J1194" s="74"/>
      <c r="K1194" s="74">
        <v>102.4</v>
      </c>
      <c r="L1194" s="74">
        <v>92.16</v>
      </c>
      <c r="M1194" s="74"/>
      <c r="N1194" s="74" t="s">
        <v>392</v>
      </c>
      <c r="O1194" s="74" t="s">
        <v>402</v>
      </c>
      <c r="P1194" s="74" t="s">
        <v>1403</v>
      </c>
      <c r="Q1194" s="74" t="s">
        <v>1404</v>
      </c>
    </row>
    <row r="1195" spans="3:17" x14ac:dyDescent="0.25">
      <c r="C1195" s="74" t="s">
        <v>4695</v>
      </c>
      <c r="D1195" s="74" t="s">
        <v>4696</v>
      </c>
      <c r="E1195" s="74"/>
      <c r="F1195" s="74">
        <v>0.84</v>
      </c>
      <c r="G1195" s="74"/>
      <c r="H1195" s="74"/>
      <c r="I1195" s="74" t="s">
        <v>391</v>
      </c>
      <c r="J1195" s="74"/>
      <c r="K1195" s="74">
        <v>102.4</v>
      </c>
      <c r="L1195" s="74">
        <v>92.16</v>
      </c>
      <c r="M1195" s="74"/>
      <c r="N1195" s="74" t="s">
        <v>392</v>
      </c>
      <c r="O1195" s="74" t="s">
        <v>402</v>
      </c>
      <c r="P1195" s="74" t="s">
        <v>4697</v>
      </c>
      <c r="Q1195" s="74" t="s">
        <v>4698</v>
      </c>
    </row>
    <row r="1196" spans="3:17" x14ac:dyDescent="0.25">
      <c r="C1196" s="74" t="s">
        <v>7152</v>
      </c>
      <c r="D1196" s="74" t="s">
        <v>7153</v>
      </c>
      <c r="E1196" s="74"/>
      <c r="F1196" s="74">
        <v>0.84</v>
      </c>
      <c r="G1196" s="74"/>
      <c r="H1196" s="74"/>
      <c r="I1196" s="74" t="s">
        <v>391</v>
      </c>
      <c r="J1196" s="74"/>
      <c r="K1196" s="74">
        <v>102.4</v>
      </c>
      <c r="L1196" s="74">
        <v>92.16</v>
      </c>
      <c r="M1196" s="74"/>
      <c r="N1196" s="74" t="s">
        <v>392</v>
      </c>
      <c r="O1196" s="74" t="s">
        <v>402</v>
      </c>
      <c r="P1196" s="74" t="s">
        <v>7154</v>
      </c>
      <c r="Q1196" s="74" t="s">
        <v>7155</v>
      </c>
    </row>
    <row r="1197" spans="3:17" x14ac:dyDescent="0.25">
      <c r="C1197" s="74" t="s">
        <v>1062</v>
      </c>
      <c r="D1197" s="74" t="s">
        <v>1063</v>
      </c>
      <c r="E1197" s="74"/>
      <c r="F1197" s="74">
        <v>0.83</v>
      </c>
      <c r="G1197" s="74"/>
      <c r="H1197" s="74"/>
      <c r="I1197" s="74" t="s">
        <v>391</v>
      </c>
      <c r="J1197" s="74"/>
      <c r="K1197" s="74">
        <v>102.4</v>
      </c>
      <c r="L1197" s="74">
        <v>92.16</v>
      </c>
      <c r="M1197" s="74"/>
      <c r="N1197" s="74" t="s">
        <v>392</v>
      </c>
      <c r="O1197" s="74" t="s">
        <v>402</v>
      </c>
      <c r="P1197" s="74" t="s">
        <v>1064</v>
      </c>
      <c r="Q1197" s="74" t="s">
        <v>1065</v>
      </c>
    </row>
    <row r="1198" spans="3:17" x14ac:dyDescent="0.25">
      <c r="C1198" s="74" t="s">
        <v>2617</v>
      </c>
      <c r="D1198" s="74" t="s">
        <v>2618</v>
      </c>
      <c r="E1198" s="74"/>
      <c r="F1198" s="74">
        <v>0.83</v>
      </c>
      <c r="G1198" s="74"/>
      <c r="H1198" s="74"/>
      <c r="I1198" s="74" t="s">
        <v>391</v>
      </c>
      <c r="J1198" s="74"/>
      <c r="K1198" s="74">
        <v>102.4</v>
      </c>
      <c r="L1198" s="74">
        <v>92.16</v>
      </c>
      <c r="M1198" s="74"/>
      <c r="N1198" s="74" t="s">
        <v>392</v>
      </c>
      <c r="O1198" s="74" t="s">
        <v>402</v>
      </c>
      <c r="P1198" s="74" t="s">
        <v>2619</v>
      </c>
      <c r="Q1198" s="74" t="s">
        <v>2620</v>
      </c>
    </row>
    <row r="1199" spans="3:17" x14ac:dyDescent="0.25">
      <c r="C1199" s="74" t="s">
        <v>5250</v>
      </c>
      <c r="D1199" s="74" t="s">
        <v>5251</v>
      </c>
      <c r="E1199" s="74"/>
      <c r="F1199" s="74">
        <v>0.83</v>
      </c>
      <c r="G1199" s="74"/>
      <c r="H1199" s="74"/>
      <c r="I1199" s="74" t="s">
        <v>391</v>
      </c>
      <c r="J1199" s="74"/>
      <c r="K1199" s="74">
        <v>102.4</v>
      </c>
      <c r="L1199" s="74">
        <v>92.16</v>
      </c>
      <c r="M1199" s="74"/>
      <c r="N1199" s="74" t="s">
        <v>392</v>
      </c>
      <c r="O1199" s="74" t="s">
        <v>402</v>
      </c>
      <c r="P1199" s="74" t="s">
        <v>5252</v>
      </c>
      <c r="Q1199" s="74" t="s">
        <v>5253</v>
      </c>
    </row>
    <row r="1200" spans="3:17" x14ac:dyDescent="0.25">
      <c r="C1200" s="74" t="s">
        <v>8598</v>
      </c>
      <c r="D1200" s="74" t="s">
        <v>8599</v>
      </c>
      <c r="E1200" s="74"/>
      <c r="F1200" s="74">
        <v>0.83</v>
      </c>
      <c r="G1200" s="74"/>
      <c r="H1200" s="74"/>
      <c r="I1200" s="74" t="s">
        <v>391</v>
      </c>
      <c r="J1200" s="74"/>
      <c r="K1200" s="74">
        <v>102.4</v>
      </c>
      <c r="L1200" s="74">
        <v>92.16</v>
      </c>
      <c r="M1200" s="74"/>
      <c r="N1200" s="74" t="s">
        <v>392</v>
      </c>
      <c r="O1200" s="74" t="s">
        <v>402</v>
      </c>
      <c r="P1200" s="74" t="s">
        <v>8600</v>
      </c>
      <c r="Q1200" s="74" t="s">
        <v>8601</v>
      </c>
    </row>
    <row r="1201" spans="3:17" x14ac:dyDescent="0.25">
      <c r="C1201" s="74" t="s">
        <v>12377</v>
      </c>
      <c r="D1201" s="74" t="s">
        <v>12378</v>
      </c>
      <c r="E1201" s="74"/>
      <c r="F1201" s="74">
        <v>0.83</v>
      </c>
      <c r="G1201" s="74"/>
      <c r="H1201" s="74"/>
      <c r="I1201" s="74" t="s">
        <v>391</v>
      </c>
      <c r="J1201" s="74"/>
      <c r="K1201" s="74">
        <v>102.4</v>
      </c>
      <c r="L1201" s="74">
        <v>92.16</v>
      </c>
      <c r="M1201" s="74"/>
      <c r="N1201" s="74" t="s">
        <v>392</v>
      </c>
      <c r="O1201" s="74" t="s">
        <v>402</v>
      </c>
      <c r="P1201" s="74" t="s">
        <v>12379</v>
      </c>
      <c r="Q1201" s="74" t="s">
        <v>12380</v>
      </c>
    </row>
    <row r="1202" spans="3:17" x14ac:dyDescent="0.25">
      <c r="C1202" s="74" t="s">
        <v>13971</v>
      </c>
      <c r="D1202" s="74" t="s">
        <v>13972</v>
      </c>
      <c r="E1202" s="74"/>
      <c r="F1202" s="74">
        <v>0.83</v>
      </c>
      <c r="G1202" s="74"/>
      <c r="H1202" s="74"/>
      <c r="I1202" s="74" t="s">
        <v>391</v>
      </c>
      <c r="J1202" s="74"/>
      <c r="K1202" s="74">
        <v>102.4</v>
      </c>
      <c r="L1202" s="74">
        <v>92.16</v>
      </c>
      <c r="M1202" s="74"/>
      <c r="N1202" s="74" t="s">
        <v>392</v>
      </c>
      <c r="O1202" s="74" t="s">
        <v>402</v>
      </c>
      <c r="P1202" s="74" t="s">
        <v>13973</v>
      </c>
      <c r="Q1202" s="74" t="s">
        <v>13974</v>
      </c>
    </row>
    <row r="1203" spans="3:17" x14ac:dyDescent="0.25">
      <c r="C1203" s="74" t="s">
        <v>15542</v>
      </c>
      <c r="D1203" s="74" t="s">
        <v>15543</v>
      </c>
      <c r="E1203" s="74"/>
      <c r="F1203" s="74">
        <v>0.83</v>
      </c>
      <c r="G1203" s="74"/>
      <c r="H1203" s="74"/>
      <c r="I1203" s="74" t="s">
        <v>391</v>
      </c>
      <c r="J1203" s="74"/>
      <c r="K1203" s="74">
        <v>102.4</v>
      </c>
      <c r="L1203" s="74">
        <v>92.16</v>
      </c>
      <c r="M1203" s="74"/>
      <c r="N1203" s="74" t="s">
        <v>392</v>
      </c>
      <c r="O1203" s="74" t="s">
        <v>402</v>
      </c>
      <c r="P1203" s="74" t="s">
        <v>15544</v>
      </c>
      <c r="Q1203" s="74" t="s">
        <v>15545</v>
      </c>
    </row>
    <row r="1204" spans="3:17" x14ac:dyDescent="0.25">
      <c r="C1204" s="74" t="s">
        <v>15597</v>
      </c>
      <c r="D1204" s="74" t="s">
        <v>15598</v>
      </c>
      <c r="E1204" s="74"/>
      <c r="F1204" s="74">
        <v>0.83</v>
      </c>
      <c r="G1204" s="74"/>
      <c r="H1204" s="74"/>
      <c r="I1204" s="74" t="s">
        <v>391</v>
      </c>
      <c r="J1204" s="74"/>
      <c r="K1204" s="74">
        <v>102.4</v>
      </c>
      <c r="L1204" s="74">
        <v>92.16</v>
      </c>
      <c r="M1204" s="74"/>
      <c r="N1204" s="74" t="s">
        <v>392</v>
      </c>
      <c r="O1204" s="74" t="s">
        <v>402</v>
      </c>
      <c r="P1204" s="74" t="s">
        <v>15599</v>
      </c>
      <c r="Q1204" s="74" t="s">
        <v>15600</v>
      </c>
    </row>
    <row r="1205" spans="3:17" x14ac:dyDescent="0.25">
      <c r="C1205" s="74" t="s">
        <v>18781</v>
      </c>
      <c r="D1205" s="74" t="s">
        <v>18782</v>
      </c>
      <c r="E1205" s="74"/>
      <c r="F1205" s="74">
        <v>0.83</v>
      </c>
      <c r="G1205" s="74"/>
      <c r="H1205" s="74"/>
      <c r="I1205" s="74" t="s">
        <v>391</v>
      </c>
      <c r="J1205" s="74"/>
      <c r="K1205" s="74">
        <v>102.4</v>
      </c>
      <c r="L1205" s="74">
        <v>92.16</v>
      </c>
      <c r="M1205" s="74"/>
      <c r="N1205" s="74" t="s">
        <v>392</v>
      </c>
      <c r="O1205" s="74" t="s">
        <v>402</v>
      </c>
      <c r="P1205" s="74" t="s">
        <v>18783</v>
      </c>
      <c r="Q1205" s="74" t="s">
        <v>18784</v>
      </c>
    </row>
    <row r="1206" spans="3:17" x14ac:dyDescent="0.25">
      <c r="C1206" s="74" t="s">
        <v>20420</v>
      </c>
      <c r="D1206" s="74" t="s">
        <v>20421</v>
      </c>
      <c r="E1206" s="74"/>
      <c r="F1206" s="74">
        <v>0.83</v>
      </c>
      <c r="G1206" s="74"/>
      <c r="H1206" s="74"/>
      <c r="I1206" s="74" t="s">
        <v>391</v>
      </c>
      <c r="J1206" s="74"/>
      <c r="K1206" s="74">
        <v>102.4</v>
      </c>
      <c r="L1206" s="74">
        <v>92.16</v>
      </c>
      <c r="M1206" s="74"/>
      <c r="N1206" s="74" t="s">
        <v>392</v>
      </c>
      <c r="O1206" s="74" t="s">
        <v>402</v>
      </c>
      <c r="P1206" s="74" t="s">
        <v>20422</v>
      </c>
      <c r="Q1206" s="74" t="s">
        <v>20423</v>
      </c>
    </row>
    <row r="1207" spans="3:17" x14ac:dyDescent="0.25">
      <c r="C1207" s="74" t="s">
        <v>400</v>
      </c>
      <c r="D1207" s="74" t="s">
        <v>401</v>
      </c>
      <c r="E1207" s="74"/>
      <c r="F1207" s="74">
        <v>0.82</v>
      </c>
      <c r="G1207" s="74"/>
      <c r="H1207" s="74"/>
      <c r="I1207" s="74" t="s">
        <v>391</v>
      </c>
      <c r="J1207" s="74"/>
      <c r="K1207" s="74">
        <v>102.4</v>
      </c>
      <c r="L1207" s="74">
        <v>92.16</v>
      </c>
      <c r="M1207" s="74"/>
      <c r="N1207" s="74" t="s">
        <v>392</v>
      </c>
      <c r="O1207" s="74" t="s">
        <v>402</v>
      </c>
      <c r="P1207" s="74" t="s">
        <v>403</v>
      </c>
      <c r="Q1207" s="74" t="s">
        <v>404</v>
      </c>
    </row>
    <row r="1208" spans="3:17" x14ac:dyDescent="0.25">
      <c r="C1208" s="74" t="s">
        <v>1228</v>
      </c>
      <c r="D1208" s="74" t="s">
        <v>1229</v>
      </c>
      <c r="E1208" s="74"/>
      <c r="F1208" s="74">
        <v>0.82</v>
      </c>
      <c r="G1208" s="74"/>
      <c r="H1208" s="74"/>
      <c r="I1208" s="74" t="s">
        <v>391</v>
      </c>
      <c r="J1208" s="74"/>
      <c r="K1208" s="74">
        <v>102.4</v>
      </c>
      <c r="L1208" s="74">
        <v>92.16</v>
      </c>
      <c r="M1208" s="74"/>
      <c r="N1208" s="74" t="s">
        <v>392</v>
      </c>
      <c r="O1208" s="74" t="s">
        <v>402</v>
      </c>
      <c r="P1208" s="74" t="s">
        <v>1230</v>
      </c>
      <c r="Q1208" s="74" t="s">
        <v>1231</v>
      </c>
    </row>
    <row r="1209" spans="3:17" x14ac:dyDescent="0.25">
      <c r="C1209" s="74" t="s">
        <v>1438</v>
      </c>
      <c r="D1209" s="74" t="s">
        <v>1439</v>
      </c>
      <c r="E1209" s="74"/>
      <c r="F1209" s="74">
        <v>0.82</v>
      </c>
      <c r="G1209" s="74"/>
      <c r="H1209" s="74"/>
      <c r="I1209" s="74" t="s">
        <v>391</v>
      </c>
      <c r="J1209" s="74"/>
      <c r="K1209" s="74">
        <v>102.4</v>
      </c>
      <c r="L1209" s="74">
        <v>92.16</v>
      </c>
      <c r="M1209" s="74"/>
      <c r="N1209" s="74" t="s">
        <v>392</v>
      </c>
      <c r="O1209" s="74" t="s">
        <v>402</v>
      </c>
      <c r="P1209" s="74" t="s">
        <v>1440</v>
      </c>
      <c r="Q1209" s="74" t="s">
        <v>1441</v>
      </c>
    </row>
    <row r="1210" spans="3:17" x14ac:dyDescent="0.25">
      <c r="C1210" s="74" t="s">
        <v>4039</v>
      </c>
      <c r="D1210" s="74" t="s">
        <v>4040</v>
      </c>
      <c r="E1210" s="74"/>
      <c r="F1210" s="74">
        <v>0.82</v>
      </c>
      <c r="G1210" s="74"/>
      <c r="H1210" s="74"/>
      <c r="I1210" s="74" t="s">
        <v>391</v>
      </c>
      <c r="J1210" s="74"/>
      <c r="K1210" s="74">
        <v>102.4</v>
      </c>
      <c r="L1210" s="74">
        <v>92.16</v>
      </c>
      <c r="M1210" s="74"/>
      <c r="N1210" s="74" t="s">
        <v>392</v>
      </c>
      <c r="O1210" s="74" t="s">
        <v>402</v>
      </c>
      <c r="P1210" s="74" t="s">
        <v>4041</v>
      </c>
      <c r="Q1210" s="74" t="s">
        <v>4042</v>
      </c>
    </row>
    <row r="1211" spans="3:17" x14ac:dyDescent="0.25">
      <c r="C1211" s="74" t="s">
        <v>9627</v>
      </c>
      <c r="D1211" s="74" t="s">
        <v>9628</v>
      </c>
      <c r="E1211" s="74"/>
      <c r="F1211" s="74">
        <v>0.82</v>
      </c>
      <c r="G1211" s="74"/>
      <c r="H1211" s="74"/>
      <c r="I1211" s="74" t="s">
        <v>391</v>
      </c>
      <c r="J1211" s="74"/>
      <c r="K1211" s="74">
        <v>102.4</v>
      </c>
      <c r="L1211" s="74">
        <v>92.16</v>
      </c>
      <c r="M1211" s="74"/>
      <c r="N1211" s="74" t="s">
        <v>392</v>
      </c>
      <c r="O1211" s="74" t="s">
        <v>402</v>
      </c>
      <c r="P1211" s="74" t="s">
        <v>9629</v>
      </c>
      <c r="Q1211" s="74" t="s">
        <v>9630</v>
      </c>
    </row>
    <row r="1212" spans="3:17" x14ac:dyDescent="0.25">
      <c r="C1212" s="74" t="s">
        <v>15370</v>
      </c>
      <c r="D1212" s="74" t="s">
        <v>15371</v>
      </c>
      <c r="E1212" s="74"/>
      <c r="F1212" s="74">
        <v>0.82</v>
      </c>
      <c r="G1212" s="74"/>
      <c r="H1212" s="74"/>
      <c r="I1212" s="74" t="s">
        <v>391</v>
      </c>
      <c r="J1212" s="74"/>
      <c r="K1212" s="74">
        <v>102.4</v>
      </c>
      <c r="L1212" s="74">
        <v>92.16</v>
      </c>
      <c r="M1212" s="74"/>
      <c r="N1212" s="74" t="s">
        <v>392</v>
      </c>
      <c r="O1212" s="74" t="s">
        <v>402</v>
      </c>
      <c r="P1212" s="74" t="s">
        <v>15372</v>
      </c>
      <c r="Q1212" s="74" t="s">
        <v>15373</v>
      </c>
    </row>
    <row r="1213" spans="3:17" x14ac:dyDescent="0.25">
      <c r="C1213" s="74" t="s">
        <v>17863</v>
      </c>
      <c r="D1213" s="74" t="s">
        <v>17864</v>
      </c>
      <c r="E1213" s="74"/>
      <c r="F1213" s="74">
        <v>0.82</v>
      </c>
      <c r="G1213" s="74"/>
      <c r="H1213" s="74"/>
      <c r="I1213" s="74" t="s">
        <v>391</v>
      </c>
      <c r="J1213" s="74"/>
      <c r="K1213" s="74">
        <v>102.4</v>
      </c>
      <c r="L1213" s="74">
        <v>92.16</v>
      </c>
      <c r="M1213" s="74"/>
      <c r="N1213" s="74" t="s">
        <v>392</v>
      </c>
      <c r="O1213" s="74" t="s">
        <v>402</v>
      </c>
      <c r="P1213" s="74" t="s">
        <v>17865</v>
      </c>
      <c r="Q1213" s="74" t="s">
        <v>17866</v>
      </c>
    </row>
    <row r="1214" spans="3:17" x14ac:dyDescent="0.25">
      <c r="C1214" s="74" t="s">
        <v>2384</v>
      </c>
      <c r="D1214" s="74" t="s">
        <v>2385</v>
      </c>
      <c r="E1214" s="74"/>
      <c r="F1214" s="74">
        <v>0.81</v>
      </c>
      <c r="G1214" s="74"/>
      <c r="H1214" s="74"/>
      <c r="I1214" s="74" t="s">
        <v>391</v>
      </c>
      <c r="J1214" s="74"/>
      <c r="K1214" s="74">
        <v>102.4</v>
      </c>
      <c r="L1214" s="74">
        <v>92.16</v>
      </c>
      <c r="M1214" s="74"/>
      <c r="N1214" s="74" t="s">
        <v>392</v>
      </c>
      <c r="O1214" s="74" t="s">
        <v>402</v>
      </c>
      <c r="P1214" s="74" t="s">
        <v>2386</v>
      </c>
      <c r="Q1214" s="74" t="s">
        <v>2387</v>
      </c>
    </row>
    <row r="1215" spans="3:17" x14ac:dyDescent="0.25">
      <c r="C1215" s="74" t="s">
        <v>3481</v>
      </c>
      <c r="D1215" s="74" t="s">
        <v>3482</v>
      </c>
      <c r="E1215" s="74"/>
      <c r="F1215" s="74">
        <v>0.81</v>
      </c>
      <c r="G1215" s="74"/>
      <c r="H1215" s="74"/>
      <c r="I1215" s="74" t="s">
        <v>391</v>
      </c>
      <c r="J1215" s="74"/>
      <c r="K1215" s="74">
        <v>102.4</v>
      </c>
      <c r="L1215" s="74">
        <v>92.16</v>
      </c>
      <c r="M1215" s="74"/>
      <c r="N1215" s="74" t="s">
        <v>392</v>
      </c>
      <c r="O1215" s="74" t="s">
        <v>402</v>
      </c>
      <c r="P1215" s="74" t="s">
        <v>3483</v>
      </c>
      <c r="Q1215" s="74" t="s">
        <v>3484</v>
      </c>
    </row>
    <row r="1216" spans="3:17" x14ac:dyDescent="0.25">
      <c r="C1216" s="74" t="s">
        <v>12069</v>
      </c>
      <c r="D1216" s="74" t="s">
        <v>12070</v>
      </c>
      <c r="E1216" s="74"/>
      <c r="F1216" s="74">
        <v>0.81</v>
      </c>
      <c r="G1216" s="74"/>
      <c r="H1216" s="74"/>
      <c r="I1216" s="74" t="s">
        <v>391</v>
      </c>
      <c r="J1216" s="74"/>
      <c r="K1216" s="74">
        <v>102.4</v>
      </c>
      <c r="L1216" s="74">
        <v>92.16</v>
      </c>
      <c r="M1216" s="74"/>
      <c r="N1216" s="74" t="s">
        <v>392</v>
      </c>
      <c r="O1216" s="74" t="s">
        <v>402</v>
      </c>
      <c r="P1216" s="74" t="s">
        <v>12071</v>
      </c>
      <c r="Q1216" s="74" t="s">
        <v>12072</v>
      </c>
    </row>
    <row r="1217" spans="3:17" x14ac:dyDescent="0.25">
      <c r="C1217" s="74" t="s">
        <v>12264</v>
      </c>
      <c r="D1217" s="74" t="s">
        <v>12265</v>
      </c>
      <c r="E1217" s="74" t="s">
        <v>391</v>
      </c>
      <c r="F1217" s="74">
        <v>0.81</v>
      </c>
      <c r="G1217" s="74"/>
      <c r="H1217" s="74"/>
      <c r="I1217" s="74" t="s">
        <v>391</v>
      </c>
      <c r="J1217" s="74"/>
      <c r="K1217" s="74">
        <v>102.4</v>
      </c>
      <c r="L1217" s="74">
        <v>92.16</v>
      </c>
      <c r="M1217" s="74"/>
      <c r="N1217" s="74" t="s">
        <v>392</v>
      </c>
      <c r="O1217" s="74" t="s">
        <v>393</v>
      </c>
      <c r="P1217" s="74"/>
      <c r="Q1217" s="74" t="s">
        <v>12266</v>
      </c>
    </row>
    <row r="1218" spans="3:17" x14ac:dyDescent="0.25">
      <c r="C1218" s="74" t="s">
        <v>14482</v>
      </c>
      <c r="D1218" s="74" t="s">
        <v>14483</v>
      </c>
      <c r="E1218" s="74"/>
      <c r="F1218" s="74">
        <v>0.81</v>
      </c>
      <c r="G1218" s="74"/>
      <c r="H1218" s="74"/>
      <c r="I1218" s="74" t="s">
        <v>391</v>
      </c>
      <c r="J1218" s="74"/>
      <c r="K1218" s="74">
        <v>102.4</v>
      </c>
      <c r="L1218" s="74">
        <v>92.16</v>
      </c>
      <c r="M1218" s="74"/>
      <c r="N1218" s="74" t="s">
        <v>392</v>
      </c>
      <c r="O1218" s="74" t="s">
        <v>402</v>
      </c>
      <c r="P1218" s="74" t="s">
        <v>14484</v>
      </c>
      <c r="Q1218" s="74" t="s">
        <v>14485</v>
      </c>
    </row>
    <row r="1219" spans="3:17" x14ac:dyDescent="0.25">
      <c r="C1219" s="74" t="s">
        <v>5013</v>
      </c>
      <c r="D1219" s="74" t="s">
        <v>5014</v>
      </c>
      <c r="E1219" s="74"/>
      <c r="F1219" s="74">
        <v>0.8</v>
      </c>
      <c r="G1219" s="74"/>
      <c r="H1219" s="74"/>
      <c r="I1219" s="74" t="s">
        <v>391</v>
      </c>
      <c r="J1219" s="74"/>
      <c r="K1219" s="74">
        <v>102.4</v>
      </c>
      <c r="L1219" s="74">
        <v>92.16</v>
      </c>
      <c r="M1219" s="74"/>
      <c r="N1219" s="74" t="s">
        <v>392</v>
      </c>
      <c r="O1219" s="74" t="s">
        <v>402</v>
      </c>
      <c r="P1219" s="74" t="s">
        <v>5015</v>
      </c>
      <c r="Q1219" s="74" t="s">
        <v>5016</v>
      </c>
    </row>
    <row r="1220" spans="3:17" x14ac:dyDescent="0.25">
      <c r="C1220" s="74" t="s">
        <v>8979</v>
      </c>
      <c r="D1220" s="74" t="s">
        <v>8980</v>
      </c>
      <c r="E1220" s="74"/>
      <c r="F1220" s="74">
        <v>0.8</v>
      </c>
      <c r="G1220" s="74"/>
      <c r="H1220" s="74"/>
      <c r="I1220" s="74" t="s">
        <v>391</v>
      </c>
      <c r="J1220" s="74"/>
      <c r="K1220" s="74">
        <v>102.4</v>
      </c>
      <c r="L1220" s="74">
        <v>92.16</v>
      </c>
      <c r="M1220" s="74"/>
      <c r="N1220" s="74" t="s">
        <v>392</v>
      </c>
      <c r="O1220" s="74" t="s">
        <v>402</v>
      </c>
      <c r="P1220" s="74" t="s">
        <v>8981</v>
      </c>
      <c r="Q1220" s="74" t="s">
        <v>8982</v>
      </c>
    </row>
    <row r="1221" spans="3:17" x14ac:dyDescent="0.25">
      <c r="C1221" s="74" t="s">
        <v>9012</v>
      </c>
      <c r="D1221" s="74" t="s">
        <v>9013</v>
      </c>
      <c r="E1221" s="74"/>
      <c r="F1221" s="74">
        <v>0.8</v>
      </c>
      <c r="G1221" s="74"/>
      <c r="H1221" s="74"/>
      <c r="I1221" s="74" t="s">
        <v>391</v>
      </c>
      <c r="J1221" s="74"/>
      <c r="K1221" s="74">
        <v>102.4</v>
      </c>
      <c r="L1221" s="74">
        <v>92.16</v>
      </c>
      <c r="M1221" s="74"/>
      <c r="N1221" s="74" t="s">
        <v>392</v>
      </c>
      <c r="O1221" s="74" t="s">
        <v>402</v>
      </c>
      <c r="P1221" s="74" t="s">
        <v>9014</v>
      </c>
      <c r="Q1221" s="74" t="s">
        <v>9015</v>
      </c>
    </row>
    <row r="1222" spans="3:17" x14ac:dyDescent="0.25">
      <c r="C1222" s="74" t="s">
        <v>9814</v>
      </c>
      <c r="D1222" s="74" t="s">
        <v>9815</v>
      </c>
      <c r="E1222" s="74"/>
      <c r="F1222" s="74">
        <v>0.8</v>
      </c>
      <c r="G1222" s="74"/>
      <c r="H1222" s="74"/>
      <c r="I1222" s="74" t="s">
        <v>391</v>
      </c>
      <c r="J1222" s="74"/>
      <c r="K1222" s="74">
        <v>102.4</v>
      </c>
      <c r="L1222" s="74">
        <v>92.16</v>
      </c>
      <c r="M1222" s="74"/>
      <c r="N1222" s="74" t="s">
        <v>392</v>
      </c>
      <c r="O1222" s="74" t="s">
        <v>402</v>
      </c>
      <c r="P1222" s="74" t="s">
        <v>9816</v>
      </c>
      <c r="Q1222" s="74" t="s">
        <v>9817</v>
      </c>
    </row>
    <row r="1223" spans="3:17" x14ac:dyDescent="0.25">
      <c r="C1223" s="74" t="s">
        <v>13440</v>
      </c>
      <c r="D1223" s="74" t="s">
        <v>13441</v>
      </c>
      <c r="E1223" s="74"/>
      <c r="F1223" s="74">
        <v>0.8</v>
      </c>
      <c r="G1223" s="74"/>
      <c r="H1223" s="74"/>
      <c r="I1223" s="74" t="s">
        <v>391</v>
      </c>
      <c r="J1223" s="74"/>
      <c r="K1223" s="74">
        <v>102.4</v>
      </c>
      <c r="L1223" s="74">
        <v>92.16</v>
      </c>
      <c r="M1223" s="74"/>
      <c r="N1223" s="74" t="s">
        <v>392</v>
      </c>
      <c r="O1223" s="74" t="s">
        <v>402</v>
      </c>
      <c r="P1223" s="74" t="s">
        <v>13442</v>
      </c>
      <c r="Q1223" s="74" t="s">
        <v>13443</v>
      </c>
    </row>
    <row r="1224" spans="3:17" x14ac:dyDescent="0.25">
      <c r="C1224" s="74" t="s">
        <v>14513</v>
      </c>
      <c r="D1224" s="74" t="s">
        <v>14514</v>
      </c>
      <c r="E1224" s="74"/>
      <c r="F1224" s="74">
        <v>0.8</v>
      </c>
      <c r="G1224" s="74"/>
      <c r="H1224" s="74"/>
      <c r="I1224" s="74" t="s">
        <v>391</v>
      </c>
      <c r="J1224" s="74"/>
      <c r="K1224" s="74">
        <v>102.4</v>
      </c>
      <c r="L1224" s="74">
        <v>92.16</v>
      </c>
      <c r="M1224" s="74"/>
      <c r="N1224" s="74" t="s">
        <v>392</v>
      </c>
      <c r="O1224" s="74" t="s">
        <v>402</v>
      </c>
      <c r="P1224" s="74" t="s">
        <v>14515</v>
      </c>
      <c r="Q1224" s="74" t="s">
        <v>14516</v>
      </c>
    </row>
    <row r="1225" spans="3:17" x14ac:dyDescent="0.25">
      <c r="C1225" s="74" t="s">
        <v>17220</v>
      </c>
      <c r="D1225" s="74" t="s">
        <v>17221</v>
      </c>
      <c r="E1225" s="74"/>
      <c r="F1225" s="74">
        <v>0.8</v>
      </c>
      <c r="G1225" s="74"/>
      <c r="H1225" s="74"/>
      <c r="I1225" s="74" t="s">
        <v>391</v>
      </c>
      <c r="J1225" s="74"/>
      <c r="K1225" s="74">
        <v>102.4</v>
      </c>
      <c r="L1225" s="74">
        <v>92.16</v>
      </c>
      <c r="M1225" s="74"/>
      <c r="N1225" s="74" t="s">
        <v>392</v>
      </c>
      <c r="O1225" s="74" t="s">
        <v>402</v>
      </c>
      <c r="P1225" s="74" t="s">
        <v>17222</v>
      </c>
      <c r="Q1225" s="74" t="s">
        <v>17223</v>
      </c>
    </row>
    <row r="1226" spans="3:17" x14ac:dyDescent="0.25">
      <c r="C1226" s="74" t="s">
        <v>17565</v>
      </c>
      <c r="D1226" s="74" t="s">
        <v>17566</v>
      </c>
      <c r="E1226" s="74"/>
      <c r="F1226" s="74">
        <v>0.8</v>
      </c>
      <c r="G1226" s="74"/>
      <c r="H1226" s="74"/>
      <c r="I1226" s="74" t="s">
        <v>391</v>
      </c>
      <c r="J1226" s="74"/>
      <c r="K1226" s="74">
        <v>102.4</v>
      </c>
      <c r="L1226" s="74">
        <v>92.16</v>
      </c>
      <c r="M1226" s="74"/>
      <c r="N1226" s="74" t="s">
        <v>392</v>
      </c>
      <c r="O1226" s="74" t="s">
        <v>402</v>
      </c>
      <c r="P1226" s="74" t="s">
        <v>17567</v>
      </c>
      <c r="Q1226" s="74" t="s">
        <v>17568</v>
      </c>
    </row>
    <row r="1227" spans="3:17" x14ac:dyDescent="0.25">
      <c r="C1227" s="74" t="s">
        <v>2119</v>
      </c>
      <c r="D1227" s="74" t="s">
        <v>2120</v>
      </c>
      <c r="E1227" s="74"/>
      <c r="F1227" s="74">
        <v>0.79</v>
      </c>
      <c r="G1227" s="74"/>
      <c r="H1227" s="74"/>
      <c r="I1227" s="74" t="s">
        <v>391</v>
      </c>
      <c r="J1227" s="74"/>
      <c r="K1227" s="74">
        <v>102.4</v>
      </c>
      <c r="L1227" s="74">
        <v>92.16</v>
      </c>
      <c r="M1227" s="74"/>
      <c r="N1227" s="74" t="s">
        <v>392</v>
      </c>
      <c r="O1227" s="74" t="s">
        <v>402</v>
      </c>
      <c r="P1227" s="74" t="s">
        <v>2121</v>
      </c>
      <c r="Q1227" s="74" t="s">
        <v>2122</v>
      </c>
    </row>
    <row r="1228" spans="3:17" x14ac:dyDescent="0.25">
      <c r="C1228" s="74" t="s">
        <v>11090</v>
      </c>
      <c r="D1228" s="74" t="s">
        <v>11091</v>
      </c>
      <c r="E1228" s="74"/>
      <c r="F1228" s="74">
        <v>0.79</v>
      </c>
      <c r="G1228" s="74"/>
      <c r="H1228" s="74"/>
      <c r="I1228" s="74" t="s">
        <v>391</v>
      </c>
      <c r="J1228" s="74"/>
      <c r="K1228" s="74">
        <v>102.4</v>
      </c>
      <c r="L1228" s="74">
        <v>92.16</v>
      </c>
      <c r="M1228" s="74"/>
      <c r="N1228" s="74" t="s">
        <v>392</v>
      </c>
      <c r="O1228" s="74" t="s">
        <v>402</v>
      </c>
      <c r="P1228" s="74" t="s">
        <v>11092</v>
      </c>
      <c r="Q1228" s="74" t="s">
        <v>11093</v>
      </c>
    </row>
    <row r="1229" spans="3:17" x14ac:dyDescent="0.25">
      <c r="C1229" s="74" t="s">
        <v>19491</v>
      </c>
      <c r="D1229" s="74" t="s">
        <v>19492</v>
      </c>
      <c r="E1229" s="74"/>
      <c r="F1229" s="74">
        <v>0.79</v>
      </c>
      <c r="G1229" s="74"/>
      <c r="H1229" s="74"/>
      <c r="I1229" s="74" t="s">
        <v>391</v>
      </c>
      <c r="J1229" s="74"/>
      <c r="K1229" s="74">
        <v>102.4</v>
      </c>
      <c r="L1229" s="74">
        <v>92.16</v>
      </c>
      <c r="M1229" s="74"/>
      <c r="N1229" s="74" t="s">
        <v>392</v>
      </c>
      <c r="O1229" s="74" t="s">
        <v>402</v>
      </c>
      <c r="P1229" s="74" t="s">
        <v>19493</v>
      </c>
      <c r="Q1229" s="74" t="s">
        <v>19494</v>
      </c>
    </row>
    <row r="1230" spans="3:17" x14ac:dyDescent="0.25">
      <c r="C1230" s="74" t="s">
        <v>20221</v>
      </c>
      <c r="D1230" s="74" t="s">
        <v>20222</v>
      </c>
      <c r="E1230" s="74"/>
      <c r="F1230" s="74">
        <v>0.79</v>
      </c>
      <c r="G1230" s="74"/>
      <c r="H1230" s="74"/>
      <c r="I1230" s="74" t="s">
        <v>391</v>
      </c>
      <c r="J1230" s="74"/>
      <c r="K1230" s="74">
        <v>102.4</v>
      </c>
      <c r="L1230" s="74">
        <v>92.16</v>
      </c>
      <c r="M1230" s="74"/>
      <c r="N1230" s="74" t="s">
        <v>392</v>
      </c>
      <c r="O1230" s="74" t="s">
        <v>402</v>
      </c>
      <c r="P1230" s="74" t="s">
        <v>20223</v>
      </c>
      <c r="Q1230" s="74" t="s">
        <v>20224</v>
      </c>
    </row>
    <row r="1231" spans="3:17" x14ac:dyDescent="0.25">
      <c r="C1231" s="74" t="s">
        <v>3904</v>
      </c>
      <c r="D1231" s="74" t="s">
        <v>3905</v>
      </c>
      <c r="E1231" s="74"/>
      <c r="F1231" s="74">
        <v>0.78</v>
      </c>
      <c r="G1231" s="74"/>
      <c r="H1231" s="74"/>
      <c r="I1231" s="74" t="s">
        <v>391</v>
      </c>
      <c r="J1231" s="74"/>
      <c r="K1231" s="74">
        <v>102.4</v>
      </c>
      <c r="L1231" s="74">
        <v>92.16</v>
      </c>
      <c r="M1231" s="74"/>
      <c r="N1231" s="74" t="s">
        <v>392</v>
      </c>
      <c r="O1231" s="74" t="s">
        <v>402</v>
      </c>
      <c r="P1231" s="74" t="s">
        <v>3906</v>
      </c>
      <c r="Q1231" s="74" t="s">
        <v>3907</v>
      </c>
    </row>
    <row r="1232" spans="3:17" x14ac:dyDescent="0.25">
      <c r="C1232" s="74" t="s">
        <v>6610</v>
      </c>
      <c r="D1232" s="74" t="s">
        <v>6611</v>
      </c>
      <c r="E1232" s="74"/>
      <c r="F1232" s="74">
        <v>0.78</v>
      </c>
      <c r="G1232" s="74"/>
      <c r="H1232" s="74"/>
      <c r="I1232" s="74" t="s">
        <v>391</v>
      </c>
      <c r="J1232" s="74"/>
      <c r="K1232" s="74">
        <v>102.4</v>
      </c>
      <c r="L1232" s="74">
        <v>92.16</v>
      </c>
      <c r="M1232" s="74"/>
      <c r="N1232" s="74" t="s">
        <v>392</v>
      </c>
      <c r="O1232" s="74" t="s">
        <v>402</v>
      </c>
      <c r="P1232" s="74" t="s">
        <v>6612</v>
      </c>
      <c r="Q1232" s="74" t="s">
        <v>6613</v>
      </c>
    </row>
    <row r="1233" spans="3:17" x14ac:dyDescent="0.25">
      <c r="C1233" s="74" t="s">
        <v>7327</v>
      </c>
      <c r="D1233" s="74" t="s">
        <v>7328</v>
      </c>
      <c r="E1233" s="74"/>
      <c r="F1233" s="74">
        <v>0.78</v>
      </c>
      <c r="G1233" s="74"/>
      <c r="H1233" s="74"/>
      <c r="I1233" s="74" t="s">
        <v>391</v>
      </c>
      <c r="J1233" s="74"/>
      <c r="K1233" s="74">
        <v>102.4</v>
      </c>
      <c r="L1233" s="74">
        <v>92.16</v>
      </c>
      <c r="M1233" s="74"/>
      <c r="N1233" s="74" t="s">
        <v>392</v>
      </c>
      <c r="O1233" s="74" t="s">
        <v>402</v>
      </c>
      <c r="P1233" s="74" t="s">
        <v>7329</v>
      </c>
      <c r="Q1233" s="74" t="s">
        <v>7330</v>
      </c>
    </row>
    <row r="1234" spans="3:17" x14ac:dyDescent="0.25">
      <c r="C1234" s="74" t="s">
        <v>9269</v>
      </c>
      <c r="D1234" s="74" t="s">
        <v>9270</v>
      </c>
      <c r="E1234" s="74"/>
      <c r="F1234" s="74">
        <v>0.78</v>
      </c>
      <c r="G1234" s="74"/>
      <c r="H1234" s="74"/>
      <c r="I1234" s="74" t="s">
        <v>391</v>
      </c>
      <c r="J1234" s="74"/>
      <c r="K1234" s="74">
        <v>102.4</v>
      </c>
      <c r="L1234" s="74">
        <v>92.16</v>
      </c>
      <c r="M1234" s="74"/>
      <c r="N1234" s="74" t="s">
        <v>392</v>
      </c>
      <c r="O1234" s="74" t="s">
        <v>402</v>
      </c>
      <c r="P1234" s="74" t="s">
        <v>9271</v>
      </c>
      <c r="Q1234" s="74" t="s">
        <v>9272</v>
      </c>
    </row>
    <row r="1235" spans="3:17" x14ac:dyDescent="0.25">
      <c r="C1235" s="74" t="s">
        <v>9700</v>
      </c>
      <c r="D1235" s="74" t="s">
        <v>9701</v>
      </c>
      <c r="E1235" s="74"/>
      <c r="F1235" s="74">
        <v>0.78</v>
      </c>
      <c r="G1235" s="74"/>
      <c r="H1235" s="74"/>
      <c r="I1235" s="74" t="s">
        <v>391</v>
      </c>
      <c r="J1235" s="74"/>
      <c r="K1235" s="74">
        <v>102.4</v>
      </c>
      <c r="L1235" s="74">
        <v>92.16</v>
      </c>
      <c r="M1235" s="74"/>
      <c r="N1235" s="74" t="s">
        <v>392</v>
      </c>
      <c r="O1235" s="74" t="s">
        <v>402</v>
      </c>
      <c r="P1235" s="74" t="s">
        <v>9702</v>
      </c>
      <c r="Q1235" s="74" t="s">
        <v>9703</v>
      </c>
    </row>
    <row r="1236" spans="3:17" x14ac:dyDescent="0.25">
      <c r="C1236" s="74" t="s">
        <v>9974</v>
      </c>
      <c r="D1236" s="74" t="s">
        <v>9975</v>
      </c>
      <c r="E1236" s="74"/>
      <c r="F1236" s="74">
        <v>0.78</v>
      </c>
      <c r="G1236" s="74"/>
      <c r="H1236" s="74"/>
      <c r="I1236" s="74" t="s">
        <v>391</v>
      </c>
      <c r="J1236" s="74"/>
      <c r="K1236" s="74">
        <v>102.4</v>
      </c>
      <c r="L1236" s="74">
        <v>92.16</v>
      </c>
      <c r="M1236" s="74"/>
      <c r="N1236" s="74" t="s">
        <v>392</v>
      </c>
      <c r="O1236" s="74" t="s">
        <v>402</v>
      </c>
      <c r="P1236" s="74" t="s">
        <v>9976</v>
      </c>
      <c r="Q1236" s="74" t="s">
        <v>9977</v>
      </c>
    </row>
    <row r="1237" spans="3:17" x14ac:dyDescent="0.25">
      <c r="C1237" s="74" t="s">
        <v>14439</v>
      </c>
      <c r="D1237" s="74" t="s">
        <v>14440</v>
      </c>
      <c r="E1237" s="74"/>
      <c r="F1237" s="74">
        <v>0.78</v>
      </c>
      <c r="G1237" s="74"/>
      <c r="H1237" s="74"/>
      <c r="I1237" s="74" t="s">
        <v>391</v>
      </c>
      <c r="J1237" s="74"/>
      <c r="K1237" s="74">
        <v>102.4</v>
      </c>
      <c r="L1237" s="74">
        <v>92.16</v>
      </c>
      <c r="M1237" s="74"/>
      <c r="N1237" s="74" t="s">
        <v>392</v>
      </c>
      <c r="O1237" s="74" t="s">
        <v>402</v>
      </c>
      <c r="P1237" s="74" t="s">
        <v>14441</v>
      </c>
      <c r="Q1237" s="74" t="s">
        <v>14442</v>
      </c>
    </row>
    <row r="1238" spans="3:17" x14ac:dyDescent="0.25">
      <c r="C1238" s="74" t="s">
        <v>14707</v>
      </c>
      <c r="D1238" s="74" t="s">
        <v>14708</v>
      </c>
      <c r="E1238" s="74"/>
      <c r="F1238" s="74">
        <v>0.78</v>
      </c>
      <c r="G1238" s="74"/>
      <c r="H1238" s="74"/>
      <c r="I1238" s="74" t="s">
        <v>391</v>
      </c>
      <c r="J1238" s="74"/>
      <c r="K1238" s="74">
        <v>102.4</v>
      </c>
      <c r="L1238" s="74">
        <v>92.16</v>
      </c>
      <c r="M1238" s="74"/>
      <c r="N1238" s="74" t="s">
        <v>392</v>
      </c>
      <c r="O1238" s="74" t="s">
        <v>402</v>
      </c>
      <c r="P1238" s="74" t="s">
        <v>14709</v>
      </c>
      <c r="Q1238" s="74" t="s">
        <v>14710</v>
      </c>
    </row>
    <row r="1239" spans="3:17" x14ac:dyDescent="0.25">
      <c r="C1239" s="74" t="s">
        <v>17593</v>
      </c>
      <c r="D1239" s="74" t="s">
        <v>17594</v>
      </c>
      <c r="E1239" s="74"/>
      <c r="F1239" s="74">
        <v>0.78</v>
      </c>
      <c r="G1239" s="74"/>
      <c r="H1239" s="74"/>
      <c r="I1239" s="74" t="s">
        <v>391</v>
      </c>
      <c r="J1239" s="74"/>
      <c r="K1239" s="74">
        <v>102.4</v>
      </c>
      <c r="L1239" s="74">
        <v>92.16</v>
      </c>
      <c r="M1239" s="74"/>
      <c r="N1239" s="74" t="s">
        <v>392</v>
      </c>
      <c r="O1239" s="74" t="s">
        <v>402</v>
      </c>
      <c r="P1239" s="74" t="s">
        <v>17595</v>
      </c>
      <c r="Q1239" s="74" t="s">
        <v>17596</v>
      </c>
    </row>
    <row r="1240" spans="3:17" x14ac:dyDescent="0.25">
      <c r="C1240" s="74" t="s">
        <v>17796</v>
      </c>
      <c r="D1240" s="74" t="s">
        <v>17797</v>
      </c>
      <c r="E1240" s="74"/>
      <c r="F1240" s="74">
        <v>0.78</v>
      </c>
      <c r="G1240" s="74"/>
      <c r="H1240" s="74"/>
      <c r="I1240" s="74" t="s">
        <v>391</v>
      </c>
      <c r="J1240" s="74"/>
      <c r="K1240" s="74">
        <v>102.4</v>
      </c>
      <c r="L1240" s="74">
        <v>92.16</v>
      </c>
      <c r="M1240" s="74"/>
      <c r="N1240" s="74" t="s">
        <v>392</v>
      </c>
      <c r="O1240" s="74" t="s">
        <v>402</v>
      </c>
      <c r="P1240" s="74" t="s">
        <v>17798</v>
      </c>
      <c r="Q1240" s="74" t="s">
        <v>17799</v>
      </c>
    </row>
    <row r="1241" spans="3:17" x14ac:dyDescent="0.25">
      <c r="C1241" s="74" t="s">
        <v>17937</v>
      </c>
      <c r="D1241" s="74" t="s">
        <v>17938</v>
      </c>
      <c r="E1241" s="74"/>
      <c r="F1241" s="74">
        <v>0.78</v>
      </c>
      <c r="G1241" s="74"/>
      <c r="H1241" s="74"/>
      <c r="I1241" s="74" t="s">
        <v>391</v>
      </c>
      <c r="J1241" s="74"/>
      <c r="K1241" s="74">
        <v>102.4</v>
      </c>
      <c r="L1241" s="74">
        <v>92.16</v>
      </c>
      <c r="M1241" s="74"/>
      <c r="N1241" s="74" t="s">
        <v>392</v>
      </c>
      <c r="O1241" s="74" t="s">
        <v>402</v>
      </c>
      <c r="P1241" s="74" t="s">
        <v>17939</v>
      </c>
      <c r="Q1241" s="74" t="s">
        <v>17940</v>
      </c>
    </row>
    <row r="1242" spans="3:17" x14ac:dyDescent="0.25">
      <c r="C1242" s="74" t="s">
        <v>20892</v>
      </c>
      <c r="D1242" s="74" t="s">
        <v>20893</v>
      </c>
      <c r="E1242" s="74"/>
      <c r="F1242" s="74">
        <v>0.78</v>
      </c>
      <c r="G1242" s="74"/>
      <c r="H1242" s="74"/>
      <c r="I1242" s="74" t="s">
        <v>391</v>
      </c>
      <c r="J1242" s="74"/>
      <c r="K1242" s="74">
        <v>102.4</v>
      </c>
      <c r="L1242" s="74">
        <v>92.16</v>
      </c>
      <c r="M1242" s="74"/>
      <c r="N1242" s="74" t="s">
        <v>392</v>
      </c>
      <c r="O1242" s="74" t="s">
        <v>402</v>
      </c>
      <c r="P1242" s="74" t="s">
        <v>20894</v>
      </c>
      <c r="Q1242" s="74" t="s">
        <v>20895</v>
      </c>
    </row>
    <row r="1243" spans="3:17" x14ac:dyDescent="0.25">
      <c r="C1243" s="74" t="s">
        <v>2440</v>
      </c>
      <c r="D1243" s="74" t="s">
        <v>2441</v>
      </c>
      <c r="E1243" s="74"/>
      <c r="F1243" s="74">
        <v>0.77</v>
      </c>
      <c r="G1243" s="74"/>
      <c r="H1243" s="74"/>
      <c r="I1243" s="74" t="s">
        <v>391</v>
      </c>
      <c r="J1243" s="74"/>
      <c r="K1243" s="74">
        <v>102.4</v>
      </c>
      <c r="L1243" s="74">
        <v>92.16</v>
      </c>
      <c r="M1243" s="74"/>
      <c r="N1243" s="74" t="s">
        <v>392</v>
      </c>
      <c r="O1243" s="74" t="s">
        <v>402</v>
      </c>
      <c r="P1243" s="74" t="s">
        <v>2442</v>
      </c>
      <c r="Q1243" s="74" t="s">
        <v>2443</v>
      </c>
    </row>
    <row r="1244" spans="3:17" x14ac:dyDescent="0.25">
      <c r="C1244" s="74" t="s">
        <v>2607</v>
      </c>
      <c r="D1244" s="74" t="s">
        <v>2608</v>
      </c>
      <c r="E1244" s="74"/>
      <c r="F1244" s="74">
        <v>0.77</v>
      </c>
      <c r="G1244" s="74"/>
      <c r="H1244" s="74"/>
      <c r="I1244" s="74" t="s">
        <v>391</v>
      </c>
      <c r="J1244" s="74"/>
      <c r="K1244" s="74">
        <v>102.4</v>
      </c>
      <c r="L1244" s="74">
        <v>92.16</v>
      </c>
      <c r="M1244" s="74"/>
      <c r="N1244" s="74" t="s">
        <v>392</v>
      </c>
      <c r="O1244" s="74" t="s">
        <v>402</v>
      </c>
      <c r="P1244" s="74" t="s">
        <v>2609</v>
      </c>
      <c r="Q1244" s="74" t="s">
        <v>2610</v>
      </c>
    </row>
    <row r="1245" spans="3:17" x14ac:dyDescent="0.25">
      <c r="C1245" s="74" t="s">
        <v>6949</v>
      </c>
      <c r="D1245" s="74" t="s">
        <v>6950</v>
      </c>
      <c r="E1245" s="74"/>
      <c r="F1245" s="74">
        <v>0.77</v>
      </c>
      <c r="G1245" s="74"/>
      <c r="H1245" s="74"/>
      <c r="I1245" s="74" t="s">
        <v>391</v>
      </c>
      <c r="J1245" s="74"/>
      <c r="K1245" s="74">
        <v>102.4</v>
      </c>
      <c r="L1245" s="74">
        <v>92.16</v>
      </c>
      <c r="M1245" s="74"/>
      <c r="N1245" s="74" t="s">
        <v>392</v>
      </c>
      <c r="O1245" s="74" t="s">
        <v>402</v>
      </c>
      <c r="P1245" s="74" t="s">
        <v>6951</v>
      </c>
      <c r="Q1245" s="74" t="s">
        <v>6952</v>
      </c>
    </row>
    <row r="1246" spans="3:17" x14ac:dyDescent="0.25">
      <c r="C1246" s="74" t="s">
        <v>8342</v>
      </c>
      <c r="D1246" s="74" t="s">
        <v>8343</v>
      </c>
      <c r="E1246" s="74" t="s">
        <v>391</v>
      </c>
      <c r="F1246" s="74">
        <v>0.77</v>
      </c>
      <c r="G1246" s="74"/>
      <c r="H1246" s="74"/>
      <c r="I1246" s="74" t="s">
        <v>391</v>
      </c>
      <c r="J1246" s="74"/>
      <c r="K1246" s="74">
        <v>102.4</v>
      </c>
      <c r="L1246" s="74">
        <v>92.16</v>
      </c>
      <c r="M1246" s="74"/>
      <c r="N1246" s="74" t="s">
        <v>392</v>
      </c>
      <c r="O1246" s="74" t="s">
        <v>393</v>
      </c>
      <c r="P1246" s="74"/>
      <c r="Q1246" s="74" t="s">
        <v>8344</v>
      </c>
    </row>
    <row r="1247" spans="3:17" x14ac:dyDescent="0.25">
      <c r="C1247" s="74" t="s">
        <v>14541</v>
      </c>
      <c r="D1247" s="74" t="s">
        <v>14542</v>
      </c>
      <c r="E1247" s="74"/>
      <c r="F1247" s="74">
        <v>0.77</v>
      </c>
      <c r="G1247" s="74"/>
      <c r="H1247" s="74"/>
      <c r="I1247" s="74" t="s">
        <v>391</v>
      </c>
      <c r="J1247" s="74"/>
      <c r="K1247" s="74">
        <v>102.4</v>
      </c>
      <c r="L1247" s="74">
        <v>92.16</v>
      </c>
      <c r="M1247" s="74"/>
      <c r="N1247" s="74" t="s">
        <v>392</v>
      </c>
      <c r="O1247" s="74" t="s">
        <v>402</v>
      </c>
      <c r="P1247" s="74" t="s">
        <v>14543</v>
      </c>
      <c r="Q1247" s="74" t="s">
        <v>14544</v>
      </c>
    </row>
    <row r="1248" spans="3:17" x14ac:dyDescent="0.25">
      <c r="C1248" s="74" t="s">
        <v>15872</v>
      </c>
      <c r="D1248" s="74" t="s">
        <v>15873</v>
      </c>
      <c r="E1248" s="74"/>
      <c r="F1248" s="74">
        <v>0.77</v>
      </c>
      <c r="G1248" s="74"/>
      <c r="H1248" s="74"/>
      <c r="I1248" s="74" t="s">
        <v>391</v>
      </c>
      <c r="J1248" s="74"/>
      <c r="K1248" s="74">
        <v>102.4</v>
      </c>
      <c r="L1248" s="74">
        <v>92.16</v>
      </c>
      <c r="M1248" s="74"/>
      <c r="N1248" s="74" t="s">
        <v>392</v>
      </c>
      <c r="O1248" s="74" t="s">
        <v>402</v>
      </c>
      <c r="P1248" s="74" t="s">
        <v>15874</v>
      </c>
      <c r="Q1248" s="74" t="s">
        <v>15875</v>
      </c>
    </row>
    <row r="1249" spans="3:17" x14ac:dyDescent="0.25">
      <c r="C1249" s="74" t="s">
        <v>17123</v>
      </c>
      <c r="D1249" s="74" t="s">
        <v>17124</v>
      </c>
      <c r="E1249" s="74"/>
      <c r="F1249" s="74">
        <v>0.77</v>
      </c>
      <c r="G1249" s="74"/>
      <c r="H1249" s="74"/>
      <c r="I1249" s="74" t="s">
        <v>391</v>
      </c>
      <c r="J1249" s="74"/>
      <c r="K1249" s="74">
        <v>102.4</v>
      </c>
      <c r="L1249" s="74">
        <v>92.16</v>
      </c>
      <c r="M1249" s="74"/>
      <c r="N1249" s="74" t="s">
        <v>392</v>
      </c>
      <c r="O1249" s="74" t="s">
        <v>402</v>
      </c>
      <c r="P1249" s="74" t="s">
        <v>17125</v>
      </c>
      <c r="Q1249" s="74" t="s">
        <v>17126</v>
      </c>
    </row>
    <row r="1250" spans="3:17" x14ac:dyDescent="0.25">
      <c r="C1250" s="74" t="s">
        <v>20205</v>
      </c>
      <c r="D1250" s="74" t="s">
        <v>20206</v>
      </c>
      <c r="E1250" s="74"/>
      <c r="F1250" s="74">
        <v>0.77</v>
      </c>
      <c r="G1250" s="74"/>
      <c r="H1250" s="74"/>
      <c r="I1250" s="74" t="s">
        <v>391</v>
      </c>
      <c r="J1250" s="74"/>
      <c r="K1250" s="74">
        <v>102.4</v>
      </c>
      <c r="L1250" s="74">
        <v>92.16</v>
      </c>
      <c r="M1250" s="74"/>
      <c r="N1250" s="74" t="s">
        <v>392</v>
      </c>
      <c r="O1250" s="74" t="s">
        <v>402</v>
      </c>
      <c r="P1250" s="74" t="s">
        <v>20207</v>
      </c>
      <c r="Q1250" s="74" t="s">
        <v>20208</v>
      </c>
    </row>
    <row r="1251" spans="3:17" x14ac:dyDescent="0.25">
      <c r="C1251" s="74" t="s">
        <v>841</v>
      </c>
      <c r="D1251" s="74" t="s">
        <v>842</v>
      </c>
      <c r="E1251" s="74"/>
      <c r="F1251" s="74">
        <v>0.76</v>
      </c>
      <c r="G1251" s="74"/>
      <c r="H1251" s="74"/>
      <c r="I1251" s="74" t="s">
        <v>391</v>
      </c>
      <c r="J1251" s="74"/>
      <c r="K1251" s="74">
        <v>102.4</v>
      </c>
      <c r="L1251" s="74">
        <v>92.16</v>
      </c>
      <c r="M1251" s="74"/>
      <c r="N1251" s="74" t="s">
        <v>392</v>
      </c>
      <c r="O1251" s="74" t="s">
        <v>402</v>
      </c>
      <c r="P1251" s="74" t="s">
        <v>843</v>
      </c>
      <c r="Q1251" s="74" t="s">
        <v>844</v>
      </c>
    </row>
    <row r="1252" spans="3:17" x14ac:dyDescent="0.25">
      <c r="C1252" s="158" t="s">
        <v>2368</v>
      </c>
      <c r="D1252" s="158" t="s">
        <v>2369</v>
      </c>
      <c r="F1252" s="158">
        <v>0.76</v>
      </c>
      <c r="I1252" s="158" t="s">
        <v>391</v>
      </c>
      <c r="K1252" s="158">
        <v>102.4</v>
      </c>
      <c r="L1252" s="158">
        <v>92.16</v>
      </c>
      <c r="N1252" s="158" t="s">
        <v>392</v>
      </c>
      <c r="O1252" s="158" t="s">
        <v>402</v>
      </c>
      <c r="P1252" s="158" t="s">
        <v>2370</v>
      </c>
      <c r="Q1252" s="158" t="s">
        <v>2371</v>
      </c>
    </row>
    <row r="1253" spans="3:17" x14ac:dyDescent="0.25">
      <c r="C1253" s="74" t="s">
        <v>5881</v>
      </c>
      <c r="D1253" s="74" t="s">
        <v>5882</v>
      </c>
      <c r="E1253" s="74"/>
      <c r="F1253" s="74">
        <v>0.76</v>
      </c>
      <c r="G1253" s="74"/>
      <c r="H1253" s="74"/>
      <c r="I1253" s="74" t="s">
        <v>391</v>
      </c>
      <c r="J1253" s="74"/>
      <c r="K1253" s="74">
        <v>102.4</v>
      </c>
      <c r="L1253" s="74">
        <v>92.16</v>
      </c>
      <c r="M1253" s="74"/>
      <c r="N1253" s="74" t="s">
        <v>392</v>
      </c>
      <c r="O1253" s="74" t="s">
        <v>402</v>
      </c>
      <c r="P1253" s="74" t="s">
        <v>5883</v>
      </c>
      <c r="Q1253" s="74" t="s">
        <v>5884</v>
      </c>
    </row>
    <row r="1254" spans="3:17" x14ac:dyDescent="0.25">
      <c r="C1254" s="74" t="s">
        <v>13223</v>
      </c>
      <c r="D1254" s="74" t="s">
        <v>13224</v>
      </c>
      <c r="E1254" s="74"/>
      <c r="F1254" s="74">
        <v>0.76</v>
      </c>
      <c r="G1254" s="74"/>
      <c r="H1254" s="74"/>
      <c r="I1254" s="74" t="s">
        <v>391</v>
      </c>
      <c r="J1254" s="74"/>
      <c r="K1254" s="74">
        <v>102.4</v>
      </c>
      <c r="L1254" s="74">
        <v>92.16</v>
      </c>
      <c r="M1254" s="74"/>
      <c r="N1254" s="74" t="s">
        <v>392</v>
      </c>
      <c r="O1254" s="74" t="s">
        <v>402</v>
      </c>
      <c r="P1254" s="74" t="s">
        <v>13225</v>
      </c>
      <c r="Q1254" s="74" t="s">
        <v>13226</v>
      </c>
    </row>
    <row r="1255" spans="3:17" x14ac:dyDescent="0.25">
      <c r="C1255" s="74" t="s">
        <v>15647</v>
      </c>
      <c r="D1255" s="74" t="s">
        <v>15648</v>
      </c>
      <c r="E1255" s="74"/>
      <c r="F1255" s="74">
        <v>0.76</v>
      </c>
      <c r="G1255" s="74"/>
      <c r="H1255" s="74"/>
      <c r="I1255" s="74" t="s">
        <v>391</v>
      </c>
      <c r="J1255" s="74"/>
      <c r="K1255" s="74">
        <v>102.4</v>
      </c>
      <c r="L1255" s="74">
        <v>92.16</v>
      </c>
      <c r="M1255" s="74"/>
      <c r="N1255" s="74" t="s">
        <v>392</v>
      </c>
      <c r="O1255" s="74" t="s">
        <v>402</v>
      </c>
      <c r="P1255" s="74" t="s">
        <v>15649</v>
      </c>
      <c r="Q1255" s="74" t="s">
        <v>15650</v>
      </c>
    </row>
    <row r="1256" spans="3:17" x14ac:dyDescent="0.25">
      <c r="C1256" s="74" t="s">
        <v>16034</v>
      </c>
      <c r="D1256" s="74" t="s">
        <v>16035</v>
      </c>
      <c r="E1256" s="74"/>
      <c r="F1256" s="74">
        <v>0.76</v>
      </c>
      <c r="G1256" s="74"/>
      <c r="H1256" s="74"/>
      <c r="I1256" s="74" t="s">
        <v>391</v>
      </c>
      <c r="J1256" s="74"/>
      <c r="K1256" s="74">
        <v>102.4</v>
      </c>
      <c r="L1256" s="74">
        <v>92.16</v>
      </c>
      <c r="M1256" s="74"/>
      <c r="N1256" s="74" t="s">
        <v>392</v>
      </c>
      <c r="O1256" s="74" t="s">
        <v>402</v>
      </c>
      <c r="P1256" s="74" t="s">
        <v>16036</v>
      </c>
      <c r="Q1256" s="74" t="s">
        <v>16037</v>
      </c>
    </row>
    <row r="1257" spans="3:17" x14ac:dyDescent="0.25">
      <c r="C1257" s="74" t="s">
        <v>16136</v>
      </c>
      <c r="D1257" s="74" t="s">
        <v>16137</v>
      </c>
      <c r="E1257" s="74"/>
      <c r="F1257" s="74">
        <v>0.76</v>
      </c>
      <c r="G1257" s="74"/>
      <c r="H1257" s="74"/>
      <c r="I1257" s="74" t="s">
        <v>391</v>
      </c>
      <c r="J1257" s="74"/>
      <c r="K1257" s="74">
        <v>102.4</v>
      </c>
      <c r="L1257" s="74">
        <v>92.16</v>
      </c>
      <c r="M1257" s="74"/>
      <c r="N1257" s="74" t="s">
        <v>392</v>
      </c>
      <c r="O1257" s="74" t="s">
        <v>402</v>
      </c>
      <c r="P1257" s="74" t="s">
        <v>16138</v>
      </c>
      <c r="Q1257" s="74" t="s">
        <v>16139</v>
      </c>
    </row>
    <row r="1258" spans="3:17" x14ac:dyDescent="0.25">
      <c r="C1258" s="74" t="s">
        <v>18029</v>
      </c>
      <c r="D1258" s="74" t="s">
        <v>18030</v>
      </c>
      <c r="E1258" s="74"/>
      <c r="F1258" s="74">
        <v>0.76</v>
      </c>
      <c r="G1258" s="74"/>
      <c r="H1258" s="74"/>
      <c r="I1258" s="74" t="s">
        <v>391</v>
      </c>
      <c r="J1258" s="74"/>
      <c r="K1258" s="74">
        <v>102.4</v>
      </c>
      <c r="L1258" s="74">
        <v>92.16</v>
      </c>
      <c r="M1258" s="74"/>
      <c r="N1258" s="74" t="s">
        <v>392</v>
      </c>
      <c r="O1258" s="74" t="s">
        <v>402</v>
      </c>
      <c r="P1258" s="74" t="s">
        <v>18031</v>
      </c>
      <c r="Q1258" s="74" t="s">
        <v>18032</v>
      </c>
    </row>
    <row r="1259" spans="3:17" x14ac:dyDescent="0.25">
      <c r="C1259" s="74" t="s">
        <v>18581</v>
      </c>
      <c r="D1259" s="74" t="s">
        <v>18582</v>
      </c>
      <c r="E1259" s="74"/>
      <c r="F1259" s="74">
        <v>0.76</v>
      </c>
      <c r="G1259" s="74"/>
      <c r="H1259" s="74"/>
      <c r="I1259" s="74" t="s">
        <v>391</v>
      </c>
      <c r="J1259" s="74"/>
      <c r="K1259" s="74">
        <v>102.4</v>
      </c>
      <c r="L1259" s="74">
        <v>92.16</v>
      </c>
      <c r="M1259" s="74"/>
      <c r="N1259" s="74" t="s">
        <v>392</v>
      </c>
      <c r="O1259" s="74" t="s">
        <v>402</v>
      </c>
      <c r="P1259" s="74" t="s">
        <v>18583</v>
      </c>
      <c r="Q1259" s="74" t="s">
        <v>18584</v>
      </c>
    </row>
    <row r="1260" spans="3:17" x14ac:dyDescent="0.25">
      <c r="C1260" s="74" t="s">
        <v>2777</v>
      </c>
      <c r="D1260" s="74" t="s">
        <v>2778</v>
      </c>
      <c r="E1260" s="74"/>
      <c r="F1260" s="74">
        <v>0.75</v>
      </c>
      <c r="G1260" s="74"/>
      <c r="H1260" s="74"/>
      <c r="I1260" s="74" t="s">
        <v>391</v>
      </c>
      <c r="J1260" s="74"/>
      <c r="K1260" s="74">
        <v>102.4</v>
      </c>
      <c r="L1260" s="74">
        <v>92.16</v>
      </c>
      <c r="M1260" s="74"/>
      <c r="N1260" s="74" t="s">
        <v>392</v>
      </c>
      <c r="O1260" s="74" t="s">
        <v>402</v>
      </c>
      <c r="P1260" s="74" t="s">
        <v>2779</v>
      </c>
      <c r="Q1260" s="74" t="s">
        <v>2780</v>
      </c>
    </row>
    <row r="1261" spans="3:17" x14ac:dyDescent="0.25">
      <c r="C1261" s="74" t="s">
        <v>3468</v>
      </c>
      <c r="D1261" s="74" t="s">
        <v>3469</v>
      </c>
      <c r="E1261" s="74"/>
      <c r="F1261" s="74">
        <v>0.75</v>
      </c>
      <c r="G1261" s="74"/>
      <c r="H1261" s="74"/>
      <c r="I1261" s="74" t="s">
        <v>391</v>
      </c>
      <c r="J1261" s="74"/>
      <c r="K1261" s="74">
        <v>102.4</v>
      </c>
      <c r="L1261" s="74">
        <v>92.16</v>
      </c>
      <c r="M1261" s="74"/>
      <c r="N1261" s="74" t="s">
        <v>392</v>
      </c>
      <c r="O1261" s="74" t="s">
        <v>402</v>
      </c>
      <c r="P1261" s="74" t="s">
        <v>3470</v>
      </c>
      <c r="Q1261" s="74" t="s">
        <v>3471</v>
      </c>
    </row>
    <row r="1262" spans="3:17" x14ac:dyDescent="0.25">
      <c r="C1262" s="74" t="s">
        <v>3737</v>
      </c>
      <c r="D1262" s="74" t="s">
        <v>3738</v>
      </c>
      <c r="E1262" s="74"/>
      <c r="F1262" s="74">
        <v>0.75</v>
      </c>
      <c r="G1262" s="74"/>
      <c r="H1262" s="74"/>
      <c r="I1262" s="74" t="s">
        <v>391</v>
      </c>
      <c r="J1262" s="74"/>
      <c r="K1262" s="74">
        <v>102.4</v>
      </c>
      <c r="L1262" s="74">
        <v>92.16</v>
      </c>
      <c r="M1262" s="74"/>
      <c r="N1262" s="74" t="s">
        <v>392</v>
      </c>
      <c r="O1262" s="74" t="s">
        <v>402</v>
      </c>
      <c r="P1262" s="74" t="s">
        <v>3739</v>
      </c>
      <c r="Q1262" s="74" t="s">
        <v>3740</v>
      </c>
    </row>
    <row r="1263" spans="3:17" x14ac:dyDescent="0.25">
      <c r="C1263" s="74" t="s">
        <v>8264</v>
      </c>
      <c r="D1263" s="74" t="s">
        <v>8265</v>
      </c>
      <c r="E1263" s="74"/>
      <c r="F1263" s="74">
        <v>0.75</v>
      </c>
      <c r="G1263" s="74"/>
      <c r="H1263" s="74"/>
      <c r="I1263" s="74" t="s">
        <v>391</v>
      </c>
      <c r="J1263" s="74"/>
      <c r="K1263" s="74">
        <v>102.4</v>
      </c>
      <c r="L1263" s="74">
        <v>92.16</v>
      </c>
      <c r="M1263" s="74"/>
      <c r="N1263" s="74" t="s">
        <v>392</v>
      </c>
      <c r="O1263" s="74" t="s">
        <v>402</v>
      </c>
      <c r="P1263" s="74" t="s">
        <v>8266</v>
      </c>
      <c r="Q1263" s="74" t="s">
        <v>8267</v>
      </c>
    </row>
    <row r="1264" spans="3:17" x14ac:dyDescent="0.25">
      <c r="C1264" s="74" t="s">
        <v>13057</v>
      </c>
      <c r="D1264" s="74" t="s">
        <v>13058</v>
      </c>
      <c r="E1264" s="74"/>
      <c r="F1264" s="74">
        <v>0.75</v>
      </c>
      <c r="G1264" s="74"/>
      <c r="H1264" s="74"/>
      <c r="I1264" s="74" t="s">
        <v>391</v>
      </c>
      <c r="J1264" s="74"/>
      <c r="K1264" s="74">
        <v>102.4</v>
      </c>
      <c r="L1264" s="74">
        <v>92.16</v>
      </c>
      <c r="M1264" s="74"/>
      <c r="N1264" s="74" t="s">
        <v>392</v>
      </c>
      <c r="O1264" s="74" t="s">
        <v>402</v>
      </c>
      <c r="P1264" s="74" t="s">
        <v>13059</v>
      </c>
      <c r="Q1264" s="74" t="s">
        <v>13060</v>
      </c>
    </row>
    <row r="1265" spans="3:17" x14ac:dyDescent="0.25">
      <c r="C1265" s="74" t="s">
        <v>14653</v>
      </c>
      <c r="D1265" s="74" t="s">
        <v>14654</v>
      </c>
      <c r="E1265" s="74"/>
      <c r="F1265" s="74">
        <v>0.75</v>
      </c>
      <c r="G1265" s="74"/>
      <c r="H1265" s="74"/>
      <c r="I1265" s="74" t="s">
        <v>391</v>
      </c>
      <c r="J1265" s="74"/>
      <c r="K1265" s="74">
        <v>102.4</v>
      </c>
      <c r="L1265" s="74">
        <v>92.16</v>
      </c>
      <c r="M1265" s="74"/>
      <c r="N1265" s="74" t="s">
        <v>392</v>
      </c>
      <c r="O1265" s="74" t="s">
        <v>402</v>
      </c>
      <c r="P1265" s="74" t="s">
        <v>14655</v>
      </c>
      <c r="Q1265" s="74" t="s">
        <v>14656</v>
      </c>
    </row>
    <row r="1266" spans="3:17" x14ac:dyDescent="0.25">
      <c r="C1266" s="74" t="s">
        <v>17403</v>
      </c>
      <c r="D1266" s="74" t="s">
        <v>17404</v>
      </c>
      <c r="E1266" s="74"/>
      <c r="F1266" s="74">
        <v>0.75</v>
      </c>
      <c r="G1266" s="74"/>
      <c r="H1266" s="74"/>
      <c r="I1266" s="74" t="s">
        <v>391</v>
      </c>
      <c r="J1266" s="74"/>
      <c r="K1266" s="74">
        <v>102.4</v>
      </c>
      <c r="L1266" s="74">
        <v>92.16</v>
      </c>
      <c r="M1266" s="74"/>
      <c r="N1266" s="74" t="s">
        <v>392</v>
      </c>
      <c r="O1266" s="74" t="s">
        <v>402</v>
      </c>
      <c r="P1266" s="74" t="s">
        <v>17405</v>
      </c>
      <c r="Q1266" s="74" t="s">
        <v>17406</v>
      </c>
    </row>
    <row r="1267" spans="3:17" x14ac:dyDescent="0.25">
      <c r="C1267" s="74" t="s">
        <v>20170</v>
      </c>
      <c r="D1267" s="74" t="s">
        <v>20171</v>
      </c>
      <c r="E1267" s="74"/>
      <c r="F1267" s="74">
        <v>0.75</v>
      </c>
      <c r="G1267" s="74"/>
      <c r="H1267" s="74"/>
      <c r="I1267" s="74" t="s">
        <v>391</v>
      </c>
      <c r="J1267" s="74"/>
      <c r="K1267" s="74">
        <v>102.4</v>
      </c>
      <c r="L1267" s="74">
        <v>92.16</v>
      </c>
      <c r="M1267" s="74"/>
      <c r="N1267" s="74" t="s">
        <v>392</v>
      </c>
      <c r="O1267" s="74" t="s">
        <v>402</v>
      </c>
      <c r="P1267" s="74" t="s">
        <v>20172</v>
      </c>
      <c r="Q1267" s="74" t="s">
        <v>20173</v>
      </c>
    </row>
    <row r="1268" spans="3:17" x14ac:dyDescent="0.25">
      <c r="C1268" s="74" t="s">
        <v>20457</v>
      </c>
      <c r="D1268" s="74" t="s">
        <v>20458</v>
      </c>
      <c r="E1268" s="74"/>
      <c r="F1268" s="74">
        <v>0.75</v>
      </c>
      <c r="G1268" s="74"/>
      <c r="H1268" s="74"/>
      <c r="I1268" s="74" t="s">
        <v>391</v>
      </c>
      <c r="J1268" s="74"/>
      <c r="K1268" s="74">
        <v>102.4</v>
      </c>
      <c r="L1268" s="74">
        <v>92.16</v>
      </c>
      <c r="M1268" s="74"/>
      <c r="N1268" s="74" t="s">
        <v>392</v>
      </c>
      <c r="O1268" s="74" t="s">
        <v>402</v>
      </c>
      <c r="P1268" s="74" t="s">
        <v>20459</v>
      </c>
      <c r="Q1268" s="74" t="s">
        <v>20460</v>
      </c>
    </row>
    <row r="1269" spans="3:17" x14ac:dyDescent="0.25">
      <c r="C1269" s="74" t="s">
        <v>479</v>
      </c>
      <c r="D1269" s="74" t="s">
        <v>480</v>
      </c>
      <c r="E1269" s="74"/>
      <c r="F1269" s="74">
        <v>0.74</v>
      </c>
      <c r="G1269" s="74"/>
      <c r="H1269" s="74"/>
      <c r="I1269" s="74" t="s">
        <v>391</v>
      </c>
      <c r="J1269" s="74"/>
      <c r="K1269" s="74">
        <v>102.4</v>
      </c>
      <c r="L1269" s="74">
        <v>92.16</v>
      </c>
      <c r="M1269" s="74"/>
      <c r="N1269" s="74" t="s">
        <v>392</v>
      </c>
      <c r="O1269" s="74" t="s">
        <v>402</v>
      </c>
      <c r="P1269" s="74" t="s">
        <v>481</v>
      </c>
      <c r="Q1269" s="74" t="s">
        <v>482</v>
      </c>
    </row>
    <row r="1270" spans="3:17" x14ac:dyDescent="0.25">
      <c r="C1270" s="74" t="s">
        <v>1655</v>
      </c>
      <c r="D1270" s="74" t="s">
        <v>1656</v>
      </c>
      <c r="E1270" s="74"/>
      <c r="F1270" s="74">
        <v>0.74</v>
      </c>
      <c r="G1270" s="74"/>
      <c r="H1270" s="74"/>
      <c r="I1270" s="74" t="s">
        <v>391</v>
      </c>
      <c r="J1270" s="74"/>
      <c r="K1270" s="74">
        <v>102.4</v>
      </c>
      <c r="L1270" s="74">
        <v>92.16</v>
      </c>
      <c r="M1270" s="74"/>
      <c r="N1270" s="74" t="s">
        <v>392</v>
      </c>
      <c r="O1270" s="74" t="s">
        <v>402</v>
      </c>
      <c r="P1270" s="74" t="s">
        <v>1657</v>
      </c>
      <c r="Q1270" s="74" t="s">
        <v>1658</v>
      </c>
    </row>
    <row r="1271" spans="3:17" x14ac:dyDescent="0.25">
      <c r="C1271" s="74" t="s">
        <v>2139</v>
      </c>
      <c r="D1271" s="74" t="s">
        <v>2140</v>
      </c>
      <c r="E1271" s="74"/>
      <c r="F1271" s="74">
        <v>0.74</v>
      </c>
      <c r="G1271" s="74"/>
      <c r="H1271" s="74"/>
      <c r="I1271" s="74" t="s">
        <v>391</v>
      </c>
      <c r="J1271" s="74"/>
      <c r="K1271" s="74">
        <v>102.4</v>
      </c>
      <c r="L1271" s="74">
        <v>92.16</v>
      </c>
      <c r="M1271" s="74"/>
      <c r="N1271" s="74" t="s">
        <v>392</v>
      </c>
      <c r="O1271" s="74" t="s">
        <v>402</v>
      </c>
      <c r="P1271" s="74" t="s">
        <v>2141</v>
      </c>
      <c r="Q1271" s="74" t="s">
        <v>2142</v>
      </c>
    </row>
    <row r="1272" spans="3:17" x14ac:dyDescent="0.25">
      <c r="C1272" s="74" t="s">
        <v>5931</v>
      </c>
      <c r="D1272" s="74" t="s">
        <v>5932</v>
      </c>
      <c r="E1272" s="74"/>
      <c r="F1272" s="74">
        <v>0.74</v>
      </c>
      <c r="G1272" s="74"/>
      <c r="H1272" s="74"/>
      <c r="I1272" s="74" t="s">
        <v>391</v>
      </c>
      <c r="J1272" s="74"/>
      <c r="K1272" s="74">
        <v>102.4</v>
      </c>
      <c r="L1272" s="74">
        <v>92.16</v>
      </c>
      <c r="M1272" s="74"/>
      <c r="N1272" s="74" t="s">
        <v>392</v>
      </c>
      <c r="O1272" s="74" t="s">
        <v>402</v>
      </c>
      <c r="P1272" s="74" t="s">
        <v>5933</v>
      </c>
      <c r="Q1272" s="74" t="s">
        <v>5934</v>
      </c>
    </row>
    <row r="1273" spans="3:17" x14ac:dyDescent="0.25">
      <c r="C1273" s="74" t="s">
        <v>9111</v>
      </c>
      <c r="D1273" s="74" t="s">
        <v>9112</v>
      </c>
      <c r="E1273" s="74"/>
      <c r="F1273" s="74">
        <v>0.74</v>
      </c>
      <c r="G1273" s="74"/>
      <c r="H1273" s="74"/>
      <c r="I1273" s="74" t="s">
        <v>391</v>
      </c>
      <c r="J1273" s="74"/>
      <c r="K1273" s="74">
        <v>102.4</v>
      </c>
      <c r="L1273" s="74">
        <v>92.16</v>
      </c>
      <c r="M1273" s="74"/>
      <c r="N1273" s="74" t="s">
        <v>392</v>
      </c>
      <c r="O1273" s="74" t="s">
        <v>402</v>
      </c>
      <c r="P1273" s="74" t="s">
        <v>9113</v>
      </c>
      <c r="Q1273" s="74" t="s">
        <v>9114</v>
      </c>
    </row>
    <row r="1274" spans="3:17" x14ac:dyDescent="0.25">
      <c r="C1274" s="74" t="s">
        <v>10494</v>
      </c>
      <c r="D1274" s="74" t="s">
        <v>10495</v>
      </c>
      <c r="E1274" s="74"/>
      <c r="F1274" s="74">
        <v>0.74</v>
      </c>
      <c r="G1274" s="74"/>
      <c r="H1274" s="74"/>
      <c r="I1274" s="74" t="s">
        <v>391</v>
      </c>
      <c r="J1274" s="74"/>
      <c r="K1274" s="74">
        <v>102.4</v>
      </c>
      <c r="L1274" s="74">
        <v>92.16</v>
      </c>
      <c r="M1274" s="74"/>
      <c r="N1274" s="74" t="s">
        <v>392</v>
      </c>
      <c r="O1274" s="74" t="s">
        <v>402</v>
      </c>
      <c r="P1274" s="74" t="s">
        <v>10496</v>
      </c>
      <c r="Q1274" s="74" t="s">
        <v>10497</v>
      </c>
    </row>
    <row r="1275" spans="3:17" x14ac:dyDescent="0.25">
      <c r="C1275" s="74" t="s">
        <v>12693</v>
      </c>
      <c r="D1275" s="74" t="s">
        <v>12694</v>
      </c>
      <c r="E1275" s="74"/>
      <c r="F1275" s="74">
        <v>0.74</v>
      </c>
      <c r="G1275" s="74"/>
      <c r="H1275" s="74"/>
      <c r="I1275" s="74" t="s">
        <v>391</v>
      </c>
      <c r="J1275" s="74"/>
      <c r="K1275" s="74">
        <v>102.4</v>
      </c>
      <c r="L1275" s="74">
        <v>92.16</v>
      </c>
      <c r="M1275" s="74"/>
      <c r="N1275" s="74" t="s">
        <v>392</v>
      </c>
      <c r="O1275" s="74" t="s">
        <v>402</v>
      </c>
      <c r="P1275" s="74" t="s">
        <v>12695</v>
      </c>
      <c r="Q1275" s="74" t="s">
        <v>12696</v>
      </c>
    </row>
    <row r="1276" spans="3:17" x14ac:dyDescent="0.25">
      <c r="C1276" s="74" t="s">
        <v>13444</v>
      </c>
      <c r="D1276" s="74" t="s">
        <v>13445</v>
      </c>
      <c r="E1276" s="74"/>
      <c r="F1276" s="74">
        <v>0.74</v>
      </c>
      <c r="G1276" s="74"/>
      <c r="H1276" s="74"/>
      <c r="I1276" s="74" t="s">
        <v>391</v>
      </c>
      <c r="J1276" s="74"/>
      <c r="K1276" s="74">
        <v>102.4</v>
      </c>
      <c r="L1276" s="74">
        <v>92.16</v>
      </c>
      <c r="M1276" s="74"/>
      <c r="N1276" s="74" t="s">
        <v>392</v>
      </c>
      <c r="O1276" s="74" t="s">
        <v>402</v>
      </c>
      <c r="P1276" s="74" t="s">
        <v>13446</v>
      </c>
      <c r="Q1276" s="74" t="s">
        <v>13447</v>
      </c>
    </row>
    <row r="1277" spans="3:17" x14ac:dyDescent="0.25">
      <c r="C1277" s="74" t="s">
        <v>13620</v>
      </c>
      <c r="D1277" s="74" t="s">
        <v>13621</v>
      </c>
      <c r="E1277" s="74"/>
      <c r="F1277" s="74">
        <v>0.74</v>
      </c>
      <c r="G1277" s="74"/>
      <c r="H1277" s="74"/>
      <c r="I1277" s="74" t="s">
        <v>391</v>
      </c>
      <c r="J1277" s="74"/>
      <c r="K1277" s="74">
        <v>102.4</v>
      </c>
      <c r="L1277" s="74">
        <v>92.16</v>
      </c>
      <c r="M1277" s="74"/>
      <c r="N1277" s="74" t="s">
        <v>392</v>
      </c>
      <c r="O1277" s="74" t="s">
        <v>402</v>
      </c>
      <c r="P1277" s="74" t="s">
        <v>13622</v>
      </c>
      <c r="Q1277" s="74" t="s">
        <v>13623</v>
      </c>
    </row>
    <row r="1278" spans="3:17" x14ac:dyDescent="0.25">
      <c r="C1278" s="74" t="s">
        <v>16630</v>
      </c>
      <c r="D1278" s="74" t="s">
        <v>16631</v>
      </c>
      <c r="E1278" s="74"/>
      <c r="F1278" s="74">
        <v>0.74</v>
      </c>
      <c r="G1278" s="74"/>
      <c r="H1278" s="74"/>
      <c r="I1278" s="74" t="s">
        <v>391</v>
      </c>
      <c r="J1278" s="74"/>
      <c r="K1278" s="74">
        <v>102.4</v>
      </c>
      <c r="L1278" s="74">
        <v>92.16</v>
      </c>
      <c r="M1278" s="74"/>
      <c r="N1278" s="74" t="s">
        <v>392</v>
      </c>
      <c r="O1278" s="74" t="s">
        <v>402</v>
      </c>
      <c r="P1278" s="74" t="s">
        <v>16632</v>
      </c>
      <c r="Q1278" s="74" t="s">
        <v>16633</v>
      </c>
    </row>
    <row r="1279" spans="3:17" x14ac:dyDescent="0.25">
      <c r="C1279" s="74" t="s">
        <v>3028</v>
      </c>
      <c r="D1279" s="74" t="s">
        <v>3029</v>
      </c>
      <c r="E1279" s="74"/>
      <c r="F1279" s="74">
        <v>0.73</v>
      </c>
      <c r="G1279" s="74"/>
      <c r="H1279" s="74"/>
      <c r="I1279" s="74" t="s">
        <v>391</v>
      </c>
      <c r="J1279" s="74"/>
      <c r="K1279" s="74">
        <v>102.4</v>
      </c>
      <c r="L1279" s="74">
        <v>92.16</v>
      </c>
      <c r="M1279" s="74"/>
      <c r="N1279" s="74" t="s">
        <v>392</v>
      </c>
      <c r="O1279" s="74" t="s">
        <v>402</v>
      </c>
      <c r="P1279" s="74" t="s">
        <v>3030</v>
      </c>
      <c r="Q1279" s="74" t="s">
        <v>3031</v>
      </c>
    </row>
    <row r="1280" spans="3:17" x14ac:dyDescent="0.25">
      <c r="C1280" s="74" t="s">
        <v>13159</v>
      </c>
      <c r="D1280" s="74" t="s">
        <v>13160</v>
      </c>
      <c r="E1280" s="74"/>
      <c r="F1280" s="74">
        <v>0.73</v>
      </c>
      <c r="G1280" s="74"/>
      <c r="H1280" s="74"/>
      <c r="I1280" s="74" t="s">
        <v>391</v>
      </c>
      <c r="J1280" s="74"/>
      <c r="K1280" s="74">
        <v>102.4</v>
      </c>
      <c r="L1280" s="74">
        <v>92.16</v>
      </c>
      <c r="M1280" s="74"/>
      <c r="N1280" s="74" t="s">
        <v>392</v>
      </c>
      <c r="O1280" s="74" t="s">
        <v>402</v>
      </c>
      <c r="P1280" s="74" t="s">
        <v>13161</v>
      </c>
      <c r="Q1280" s="74" t="s">
        <v>13162</v>
      </c>
    </row>
    <row r="1281" spans="3:17" x14ac:dyDescent="0.25">
      <c r="C1281" s="74" t="s">
        <v>17610</v>
      </c>
      <c r="D1281" s="74" t="s">
        <v>17611</v>
      </c>
      <c r="E1281" s="74"/>
      <c r="F1281" s="74">
        <v>0.73</v>
      </c>
      <c r="G1281" s="74"/>
      <c r="H1281" s="74"/>
      <c r="I1281" s="74" t="s">
        <v>391</v>
      </c>
      <c r="J1281" s="74"/>
      <c r="K1281" s="74">
        <v>102.4</v>
      </c>
      <c r="L1281" s="74">
        <v>92.16</v>
      </c>
      <c r="M1281" s="74"/>
      <c r="N1281" s="74" t="s">
        <v>392</v>
      </c>
      <c r="O1281" s="74" t="s">
        <v>402</v>
      </c>
      <c r="P1281" s="74" t="s">
        <v>17612</v>
      </c>
      <c r="Q1281" s="74" t="s">
        <v>17613</v>
      </c>
    </row>
    <row r="1282" spans="3:17" x14ac:dyDescent="0.25">
      <c r="C1282" s="74" t="s">
        <v>20225</v>
      </c>
      <c r="D1282" s="74" t="s">
        <v>20226</v>
      </c>
      <c r="E1282" s="74"/>
      <c r="F1282" s="74">
        <v>0.73</v>
      </c>
      <c r="G1282" s="74"/>
      <c r="H1282" s="74"/>
      <c r="I1282" s="74" t="s">
        <v>391</v>
      </c>
      <c r="J1282" s="74"/>
      <c r="K1282" s="74"/>
      <c r="L1282" s="74"/>
      <c r="M1282" s="74"/>
      <c r="N1282" s="74" t="s">
        <v>392</v>
      </c>
      <c r="O1282" s="74" t="s">
        <v>402</v>
      </c>
      <c r="P1282" s="74" t="s">
        <v>20227</v>
      </c>
      <c r="Q1282" s="74" t="s">
        <v>20228</v>
      </c>
    </row>
    <row r="1283" spans="3:17" x14ac:dyDescent="0.25">
      <c r="C1283" s="74" t="s">
        <v>3779</v>
      </c>
      <c r="D1283" s="74" t="s">
        <v>3780</v>
      </c>
      <c r="E1283" s="74"/>
      <c r="F1283" s="74">
        <v>0.72</v>
      </c>
      <c r="G1283" s="74"/>
      <c r="H1283" s="74"/>
      <c r="I1283" s="74" t="s">
        <v>391</v>
      </c>
      <c r="J1283" s="74"/>
      <c r="K1283" s="74">
        <v>102.4</v>
      </c>
      <c r="L1283" s="74">
        <v>92.16</v>
      </c>
      <c r="M1283" s="74"/>
      <c r="N1283" s="74" t="s">
        <v>392</v>
      </c>
      <c r="O1283" s="74" t="s">
        <v>402</v>
      </c>
      <c r="P1283" s="74" t="s">
        <v>3781</v>
      </c>
      <c r="Q1283" s="74" t="s">
        <v>3782</v>
      </c>
    </row>
    <row r="1284" spans="3:17" x14ac:dyDescent="0.25">
      <c r="C1284" s="74" t="s">
        <v>6137</v>
      </c>
      <c r="D1284" s="74" t="s">
        <v>6138</v>
      </c>
      <c r="E1284" s="74"/>
      <c r="F1284" s="74">
        <v>0.72</v>
      </c>
      <c r="G1284" s="74"/>
      <c r="H1284" s="74"/>
      <c r="I1284" s="74" t="s">
        <v>391</v>
      </c>
      <c r="J1284" s="74"/>
      <c r="K1284" s="74">
        <v>102.4</v>
      </c>
      <c r="L1284" s="74">
        <v>92.16</v>
      </c>
      <c r="M1284" s="74"/>
      <c r="N1284" s="74" t="s">
        <v>392</v>
      </c>
      <c r="O1284" s="74" t="s">
        <v>402</v>
      </c>
      <c r="P1284" s="74" t="s">
        <v>6139</v>
      </c>
      <c r="Q1284" s="74" t="s">
        <v>6140</v>
      </c>
    </row>
    <row r="1285" spans="3:17" x14ac:dyDescent="0.25">
      <c r="C1285" s="74" t="s">
        <v>10726</v>
      </c>
      <c r="D1285" s="74" t="s">
        <v>10727</v>
      </c>
      <c r="E1285" s="74"/>
      <c r="F1285" s="74">
        <v>0.72</v>
      </c>
      <c r="G1285" s="74"/>
      <c r="H1285" s="74"/>
      <c r="I1285" s="74" t="s">
        <v>391</v>
      </c>
      <c r="J1285" s="74"/>
      <c r="K1285" s="74">
        <v>102.4</v>
      </c>
      <c r="L1285" s="74">
        <v>92.16</v>
      </c>
      <c r="M1285" s="74"/>
      <c r="N1285" s="74" t="s">
        <v>392</v>
      </c>
      <c r="O1285" s="74" t="s">
        <v>402</v>
      </c>
      <c r="P1285" s="74" t="s">
        <v>10728</v>
      </c>
      <c r="Q1285" s="74" t="s">
        <v>10729</v>
      </c>
    </row>
    <row r="1286" spans="3:17" x14ac:dyDescent="0.25">
      <c r="C1286" s="74" t="s">
        <v>12563</v>
      </c>
      <c r="D1286" s="74" t="s">
        <v>12564</v>
      </c>
      <c r="E1286" s="74"/>
      <c r="F1286" s="74">
        <v>0.72</v>
      </c>
      <c r="G1286" s="74"/>
      <c r="H1286" s="74"/>
      <c r="I1286" s="74" t="s">
        <v>391</v>
      </c>
      <c r="J1286" s="74"/>
      <c r="K1286" s="74">
        <v>102.4</v>
      </c>
      <c r="L1286" s="74">
        <v>92.16</v>
      </c>
      <c r="M1286" s="74"/>
      <c r="N1286" s="74" t="s">
        <v>392</v>
      </c>
      <c r="O1286" s="74" t="s">
        <v>402</v>
      </c>
      <c r="P1286" s="74" t="s">
        <v>12565</v>
      </c>
      <c r="Q1286" s="74" t="s">
        <v>12566</v>
      </c>
    </row>
    <row r="1287" spans="3:17" x14ac:dyDescent="0.25">
      <c r="C1287" s="74" t="s">
        <v>13999</v>
      </c>
      <c r="D1287" s="74" t="s">
        <v>14000</v>
      </c>
      <c r="E1287" s="74"/>
      <c r="F1287" s="74">
        <v>0.72</v>
      </c>
      <c r="G1287" s="74"/>
      <c r="H1287" s="74"/>
      <c r="I1287" s="74" t="s">
        <v>391</v>
      </c>
      <c r="J1287" s="74"/>
      <c r="K1287" s="74">
        <v>102.4</v>
      </c>
      <c r="L1287" s="74">
        <v>92.16</v>
      </c>
      <c r="M1287" s="74"/>
      <c r="N1287" s="74" t="s">
        <v>392</v>
      </c>
      <c r="O1287" s="74" t="s">
        <v>402</v>
      </c>
      <c r="P1287" s="74" t="s">
        <v>14001</v>
      </c>
      <c r="Q1287" s="74" t="s">
        <v>14002</v>
      </c>
    </row>
    <row r="1288" spans="3:17" x14ac:dyDescent="0.25">
      <c r="C1288" s="74" t="s">
        <v>16004</v>
      </c>
      <c r="D1288" s="74" t="s">
        <v>16005</v>
      </c>
      <c r="E1288" s="74"/>
      <c r="F1288" s="74">
        <v>0.72</v>
      </c>
      <c r="G1288" s="74"/>
      <c r="H1288" s="74"/>
      <c r="I1288" s="74" t="s">
        <v>391</v>
      </c>
      <c r="J1288" s="74"/>
      <c r="K1288" s="74">
        <v>102.4</v>
      </c>
      <c r="L1288" s="74">
        <v>92.16</v>
      </c>
      <c r="M1288" s="74"/>
      <c r="N1288" s="74" t="s">
        <v>392</v>
      </c>
      <c r="O1288" s="74" t="s">
        <v>402</v>
      </c>
      <c r="P1288" s="74" t="s">
        <v>16006</v>
      </c>
      <c r="Q1288" s="74" t="s">
        <v>16007</v>
      </c>
    </row>
    <row r="1289" spans="3:17" x14ac:dyDescent="0.25">
      <c r="C1289" s="74" t="s">
        <v>16219</v>
      </c>
      <c r="D1289" s="74" t="s">
        <v>16220</v>
      </c>
      <c r="E1289" s="74"/>
      <c r="F1289" s="74">
        <v>0.72</v>
      </c>
      <c r="G1289" s="74"/>
      <c r="H1289" s="74"/>
      <c r="I1289" s="74" t="s">
        <v>391</v>
      </c>
      <c r="J1289" s="74"/>
      <c r="K1289" s="74">
        <v>102.4</v>
      </c>
      <c r="L1289" s="74">
        <v>92.16</v>
      </c>
      <c r="M1289" s="74"/>
      <c r="N1289" s="74" t="s">
        <v>392</v>
      </c>
      <c r="O1289" s="74" t="s">
        <v>402</v>
      </c>
      <c r="P1289" s="74" t="s">
        <v>16221</v>
      </c>
      <c r="Q1289" s="74" t="s">
        <v>16222</v>
      </c>
    </row>
    <row r="1290" spans="3:17" x14ac:dyDescent="0.25">
      <c r="C1290" s="74" t="s">
        <v>18153</v>
      </c>
      <c r="D1290" s="74" t="s">
        <v>18154</v>
      </c>
      <c r="E1290" s="74"/>
      <c r="F1290" s="74">
        <v>0.72</v>
      </c>
      <c r="G1290" s="74"/>
      <c r="H1290" s="74"/>
      <c r="I1290" s="74" t="s">
        <v>391</v>
      </c>
      <c r="J1290" s="74"/>
      <c r="K1290" s="74">
        <v>102.4</v>
      </c>
      <c r="L1290" s="74">
        <v>92.16</v>
      </c>
      <c r="M1290" s="74"/>
      <c r="N1290" s="74" t="s">
        <v>392</v>
      </c>
      <c r="O1290" s="74" t="s">
        <v>402</v>
      </c>
      <c r="P1290" s="74" t="s">
        <v>18155</v>
      </c>
      <c r="Q1290" s="74" t="s">
        <v>18156</v>
      </c>
    </row>
    <row r="1291" spans="3:17" x14ac:dyDescent="0.25">
      <c r="C1291" s="74" t="s">
        <v>20063</v>
      </c>
      <c r="D1291" s="74" t="s">
        <v>20064</v>
      </c>
      <c r="E1291" s="74"/>
      <c r="F1291" s="74">
        <v>0.72</v>
      </c>
      <c r="G1291" s="74"/>
      <c r="H1291" s="74"/>
      <c r="I1291" s="74" t="s">
        <v>391</v>
      </c>
      <c r="J1291" s="74"/>
      <c r="K1291" s="74">
        <v>102.4</v>
      </c>
      <c r="L1291" s="74">
        <v>92.16</v>
      </c>
      <c r="M1291" s="74"/>
      <c r="N1291" s="74" t="s">
        <v>392</v>
      </c>
      <c r="O1291" s="74" t="s">
        <v>402</v>
      </c>
      <c r="P1291" s="74" t="s">
        <v>20065</v>
      </c>
      <c r="Q1291" s="74" t="s">
        <v>20066</v>
      </c>
    </row>
    <row r="1292" spans="3:17" x14ac:dyDescent="0.25">
      <c r="C1292" s="74" t="s">
        <v>9569</v>
      </c>
      <c r="D1292" s="74" t="s">
        <v>9570</v>
      </c>
      <c r="E1292" s="74"/>
      <c r="F1292" s="74">
        <v>0.71</v>
      </c>
      <c r="G1292" s="74"/>
      <c r="H1292" s="74"/>
      <c r="I1292" s="74" t="s">
        <v>391</v>
      </c>
      <c r="J1292" s="74"/>
      <c r="K1292" s="74">
        <v>102.4</v>
      </c>
      <c r="L1292" s="74">
        <v>92.16</v>
      </c>
      <c r="M1292" s="74"/>
      <c r="N1292" s="74" t="s">
        <v>392</v>
      </c>
      <c r="O1292" s="74" t="s">
        <v>402</v>
      </c>
      <c r="P1292" s="74" t="s">
        <v>9571</v>
      </c>
      <c r="Q1292" s="74" t="s">
        <v>9572</v>
      </c>
    </row>
    <row r="1293" spans="3:17" x14ac:dyDescent="0.25">
      <c r="C1293" s="74" t="s">
        <v>15306</v>
      </c>
      <c r="D1293" s="74" t="s">
        <v>15307</v>
      </c>
      <c r="E1293" s="74"/>
      <c r="F1293" s="74">
        <v>0.71</v>
      </c>
      <c r="G1293" s="74"/>
      <c r="H1293" s="74"/>
      <c r="I1293" s="74" t="s">
        <v>391</v>
      </c>
      <c r="J1293" s="74"/>
      <c r="K1293" s="74">
        <v>102.4</v>
      </c>
      <c r="L1293" s="74">
        <v>92.16</v>
      </c>
      <c r="M1293" s="74"/>
      <c r="N1293" s="74" t="s">
        <v>392</v>
      </c>
      <c r="O1293" s="74" t="s">
        <v>402</v>
      </c>
      <c r="P1293" s="74" t="s">
        <v>15308</v>
      </c>
      <c r="Q1293" s="74" t="s">
        <v>15309</v>
      </c>
    </row>
    <row r="1294" spans="3:17" x14ac:dyDescent="0.25">
      <c r="C1294" s="74" t="s">
        <v>16262</v>
      </c>
      <c r="D1294" s="74" t="s">
        <v>16263</v>
      </c>
      <c r="E1294" s="74"/>
      <c r="F1294" s="74">
        <v>0.71</v>
      </c>
      <c r="G1294" s="74"/>
      <c r="H1294" s="74"/>
      <c r="I1294" s="74" t="s">
        <v>391</v>
      </c>
      <c r="J1294" s="74"/>
      <c r="K1294" s="74">
        <v>102.4</v>
      </c>
      <c r="L1294" s="74">
        <v>92.16</v>
      </c>
      <c r="M1294" s="74"/>
      <c r="N1294" s="74" t="s">
        <v>392</v>
      </c>
      <c r="O1294" s="74" t="s">
        <v>402</v>
      </c>
      <c r="P1294" s="74" t="s">
        <v>16264</v>
      </c>
      <c r="Q1294" s="74" t="s">
        <v>16265</v>
      </c>
    </row>
    <row r="1295" spans="3:17" x14ac:dyDescent="0.25">
      <c r="C1295" s="74" t="s">
        <v>21025</v>
      </c>
      <c r="D1295" s="74" t="s">
        <v>21026</v>
      </c>
      <c r="E1295" s="74"/>
      <c r="F1295" s="74">
        <v>0.71</v>
      </c>
      <c r="G1295" s="74"/>
      <c r="H1295" s="74"/>
      <c r="I1295" s="74" t="s">
        <v>391</v>
      </c>
      <c r="J1295" s="74"/>
      <c r="K1295" s="74">
        <v>102.4</v>
      </c>
      <c r="L1295" s="74">
        <v>92.16</v>
      </c>
      <c r="M1295" s="74"/>
      <c r="N1295" s="74" t="s">
        <v>392</v>
      </c>
      <c r="O1295" s="74" t="s">
        <v>402</v>
      </c>
      <c r="P1295" s="74" t="s">
        <v>21027</v>
      </c>
      <c r="Q1295" s="74" t="s">
        <v>21028</v>
      </c>
    </row>
    <row r="1296" spans="3:17" x14ac:dyDescent="0.25">
      <c r="C1296" s="74" t="s">
        <v>845</v>
      </c>
      <c r="D1296" s="74" t="s">
        <v>846</v>
      </c>
      <c r="E1296" s="74"/>
      <c r="F1296" s="74">
        <v>0.7</v>
      </c>
      <c r="G1296" s="74"/>
      <c r="H1296" s="74"/>
      <c r="I1296" s="74" t="s">
        <v>391</v>
      </c>
      <c r="J1296" s="74"/>
      <c r="K1296" s="74">
        <v>102.4</v>
      </c>
      <c r="L1296" s="74">
        <v>92.16</v>
      </c>
      <c r="M1296" s="74"/>
      <c r="N1296" s="74" t="s">
        <v>392</v>
      </c>
      <c r="O1296" s="74" t="s">
        <v>402</v>
      </c>
      <c r="P1296" s="74" t="s">
        <v>847</v>
      </c>
      <c r="Q1296" s="74" t="s">
        <v>848</v>
      </c>
    </row>
    <row r="1297" spans="3:17" x14ac:dyDescent="0.25">
      <c r="C1297" s="158" t="s">
        <v>1224</v>
      </c>
      <c r="D1297" s="158" t="s">
        <v>1225</v>
      </c>
      <c r="F1297" s="158">
        <v>0.7</v>
      </c>
      <c r="I1297" s="158" t="s">
        <v>391</v>
      </c>
      <c r="K1297" s="158">
        <v>102.4</v>
      </c>
      <c r="L1297" s="158">
        <v>92.16</v>
      </c>
      <c r="N1297" s="158" t="s">
        <v>392</v>
      </c>
      <c r="O1297" s="158" t="s">
        <v>402</v>
      </c>
      <c r="P1297" s="158" t="s">
        <v>1226</v>
      </c>
      <c r="Q1297" s="158" t="s">
        <v>1227</v>
      </c>
    </row>
    <row r="1298" spans="3:17" x14ac:dyDescent="0.25">
      <c r="C1298" s="74" t="s">
        <v>10659</v>
      </c>
      <c r="D1298" s="74" t="s">
        <v>10660</v>
      </c>
      <c r="E1298" s="74"/>
      <c r="F1298" s="74">
        <v>0.7</v>
      </c>
      <c r="G1298" s="74"/>
      <c r="H1298" s="74"/>
      <c r="I1298" s="74" t="s">
        <v>391</v>
      </c>
      <c r="J1298" s="74"/>
      <c r="K1298" s="74">
        <v>102.4</v>
      </c>
      <c r="L1298" s="74">
        <v>92.16</v>
      </c>
      <c r="M1298" s="74"/>
      <c r="N1298" s="74" t="s">
        <v>392</v>
      </c>
      <c r="O1298" s="74" t="s">
        <v>402</v>
      </c>
      <c r="P1298" s="74" t="s">
        <v>10661</v>
      </c>
      <c r="Q1298" s="74" t="s">
        <v>10662</v>
      </c>
    </row>
    <row r="1299" spans="3:17" x14ac:dyDescent="0.25">
      <c r="C1299" s="74" t="s">
        <v>11015</v>
      </c>
      <c r="D1299" s="74" t="s">
        <v>11016</v>
      </c>
      <c r="E1299" s="74"/>
      <c r="F1299" s="74">
        <v>0.7</v>
      </c>
      <c r="G1299" s="74"/>
      <c r="H1299" s="74"/>
      <c r="I1299" s="74" t="s">
        <v>391</v>
      </c>
      <c r="J1299" s="74"/>
      <c r="K1299" s="74">
        <v>102.4</v>
      </c>
      <c r="L1299" s="74">
        <v>92.16</v>
      </c>
      <c r="M1299" s="74"/>
      <c r="N1299" s="74" t="s">
        <v>392</v>
      </c>
      <c r="O1299" s="74" t="s">
        <v>402</v>
      </c>
      <c r="P1299" s="74" t="s">
        <v>11017</v>
      </c>
      <c r="Q1299" s="74" t="s">
        <v>11018</v>
      </c>
    </row>
    <row r="1300" spans="3:17" x14ac:dyDescent="0.25">
      <c r="C1300" s="74" t="s">
        <v>11766</v>
      </c>
      <c r="D1300" s="74" t="s">
        <v>11767</v>
      </c>
      <c r="E1300" s="74"/>
      <c r="F1300" s="74">
        <v>0.7</v>
      </c>
      <c r="G1300" s="74"/>
      <c r="H1300" s="74"/>
      <c r="I1300" s="74" t="s">
        <v>391</v>
      </c>
      <c r="J1300" s="74"/>
      <c r="K1300" s="74">
        <v>102.4</v>
      </c>
      <c r="L1300" s="74">
        <v>92.16</v>
      </c>
      <c r="M1300" s="74"/>
      <c r="N1300" s="74" t="s">
        <v>392</v>
      </c>
      <c r="O1300" s="74" t="s">
        <v>402</v>
      </c>
      <c r="P1300" s="74" t="s">
        <v>11768</v>
      </c>
      <c r="Q1300" s="74" t="s">
        <v>11769</v>
      </c>
    </row>
    <row r="1301" spans="3:17" x14ac:dyDescent="0.25">
      <c r="C1301" s="74" t="s">
        <v>16868</v>
      </c>
      <c r="D1301" s="74" t="s">
        <v>16869</v>
      </c>
      <c r="E1301" s="74"/>
      <c r="F1301" s="74">
        <v>0.7</v>
      </c>
      <c r="G1301" s="74"/>
      <c r="H1301" s="74"/>
      <c r="I1301" s="74" t="s">
        <v>391</v>
      </c>
      <c r="J1301" s="74"/>
      <c r="K1301" s="74">
        <v>102.4</v>
      </c>
      <c r="L1301" s="74">
        <v>92.16</v>
      </c>
      <c r="M1301" s="74"/>
      <c r="N1301" s="74" t="s">
        <v>392</v>
      </c>
      <c r="O1301" s="74" t="s">
        <v>402</v>
      </c>
      <c r="P1301" s="74" t="s">
        <v>16870</v>
      </c>
      <c r="Q1301" s="74" t="s">
        <v>16871</v>
      </c>
    </row>
    <row r="1302" spans="3:17" x14ac:dyDescent="0.25">
      <c r="C1302" s="74" t="s">
        <v>18491</v>
      </c>
      <c r="D1302" s="74" t="s">
        <v>18492</v>
      </c>
      <c r="E1302" s="74"/>
      <c r="F1302" s="74">
        <v>0.7</v>
      </c>
      <c r="G1302" s="74"/>
      <c r="H1302" s="74"/>
      <c r="I1302" s="74" t="s">
        <v>391</v>
      </c>
      <c r="J1302" s="74"/>
      <c r="K1302" s="74">
        <v>102.4</v>
      </c>
      <c r="L1302" s="74">
        <v>92.16</v>
      </c>
      <c r="M1302" s="74"/>
      <c r="N1302" s="74" t="s">
        <v>392</v>
      </c>
      <c r="O1302" s="74" t="s">
        <v>402</v>
      </c>
      <c r="P1302" s="74" t="s">
        <v>18493</v>
      </c>
      <c r="Q1302" s="74" t="s">
        <v>18494</v>
      </c>
    </row>
    <row r="1303" spans="3:17" x14ac:dyDescent="0.25">
      <c r="C1303" s="74" t="s">
        <v>1088</v>
      </c>
      <c r="D1303" s="74" t="s">
        <v>1089</v>
      </c>
      <c r="E1303" s="74" t="s">
        <v>391</v>
      </c>
      <c r="F1303" s="74">
        <v>0.69</v>
      </c>
      <c r="G1303" s="74"/>
      <c r="H1303" s="74"/>
      <c r="I1303" s="74" t="s">
        <v>391</v>
      </c>
      <c r="J1303" s="74"/>
      <c r="K1303" s="74">
        <v>102.4</v>
      </c>
      <c r="L1303" s="74">
        <v>92.16</v>
      </c>
      <c r="M1303" s="74"/>
      <c r="N1303" s="74" t="s">
        <v>392</v>
      </c>
      <c r="O1303" s="74" t="s">
        <v>393</v>
      </c>
      <c r="P1303" s="74"/>
      <c r="Q1303" s="74" t="s">
        <v>1090</v>
      </c>
    </row>
    <row r="1304" spans="3:17" x14ac:dyDescent="0.25">
      <c r="C1304" s="74" t="s">
        <v>2933</v>
      </c>
      <c r="D1304" s="74" t="s">
        <v>2934</v>
      </c>
      <c r="E1304" s="74"/>
      <c r="F1304" s="74">
        <v>0.69</v>
      </c>
      <c r="G1304" s="74"/>
      <c r="H1304" s="74"/>
      <c r="I1304" s="74" t="s">
        <v>391</v>
      </c>
      <c r="J1304" s="74"/>
      <c r="K1304" s="74">
        <v>102.4</v>
      </c>
      <c r="L1304" s="74">
        <v>92.16</v>
      </c>
      <c r="M1304" s="74"/>
      <c r="N1304" s="74" t="s">
        <v>392</v>
      </c>
      <c r="O1304" s="74" t="s">
        <v>402</v>
      </c>
      <c r="P1304" s="74" t="s">
        <v>2935</v>
      </c>
      <c r="Q1304" s="74" t="s">
        <v>2936</v>
      </c>
    </row>
    <row r="1305" spans="3:17" x14ac:dyDescent="0.25">
      <c r="C1305" s="74" t="s">
        <v>8260</v>
      </c>
      <c r="D1305" s="74" t="s">
        <v>8261</v>
      </c>
      <c r="E1305" s="74"/>
      <c r="F1305" s="74">
        <v>0.69</v>
      </c>
      <c r="G1305" s="74"/>
      <c r="H1305" s="74"/>
      <c r="I1305" s="74" t="s">
        <v>391</v>
      </c>
      <c r="J1305" s="74"/>
      <c r="K1305" s="74">
        <v>102.4</v>
      </c>
      <c r="L1305" s="74">
        <v>92.16</v>
      </c>
      <c r="M1305" s="74"/>
      <c r="N1305" s="74" t="s">
        <v>392</v>
      </c>
      <c r="O1305" s="74" t="s">
        <v>402</v>
      </c>
      <c r="P1305" s="74" t="s">
        <v>8262</v>
      </c>
      <c r="Q1305" s="74" t="s">
        <v>8263</v>
      </c>
    </row>
    <row r="1306" spans="3:17" x14ac:dyDescent="0.25">
      <c r="C1306" s="74" t="s">
        <v>8998</v>
      </c>
      <c r="D1306" s="74" t="s">
        <v>8999</v>
      </c>
      <c r="E1306" s="74"/>
      <c r="F1306" s="74">
        <v>0.69</v>
      </c>
      <c r="G1306" s="74"/>
      <c r="H1306" s="74"/>
      <c r="I1306" s="74" t="s">
        <v>391</v>
      </c>
      <c r="J1306" s="74"/>
      <c r="K1306" s="74">
        <v>102.4</v>
      </c>
      <c r="L1306" s="74">
        <v>92.16</v>
      </c>
      <c r="M1306" s="74"/>
      <c r="N1306" s="74" t="s">
        <v>392</v>
      </c>
      <c r="O1306" s="74" t="s">
        <v>402</v>
      </c>
      <c r="P1306" s="74" t="s">
        <v>9000</v>
      </c>
      <c r="Q1306" s="74" t="s">
        <v>9001</v>
      </c>
    </row>
    <row r="1307" spans="3:17" x14ac:dyDescent="0.25">
      <c r="C1307" s="74" t="s">
        <v>9642</v>
      </c>
      <c r="D1307" s="74" t="s">
        <v>9643</v>
      </c>
      <c r="E1307" s="74"/>
      <c r="F1307" s="74">
        <v>0.69</v>
      </c>
      <c r="G1307" s="74"/>
      <c r="H1307" s="74"/>
      <c r="I1307" s="74" t="s">
        <v>391</v>
      </c>
      <c r="J1307" s="74"/>
      <c r="K1307" s="74">
        <v>102.4</v>
      </c>
      <c r="L1307" s="74">
        <v>92.16</v>
      </c>
      <c r="M1307" s="74"/>
      <c r="N1307" s="74" t="s">
        <v>392</v>
      </c>
      <c r="O1307" s="74" t="s">
        <v>402</v>
      </c>
      <c r="P1307" s="74" t="s">
        <v>9644</v>
      </c>
      <c r="Q1307" s="74" t="s">
        <v>9645</v>
      </c>
    </row>
    <row r="1308" spans="3:17" x14ac:dyDescent="0.25">
      <c r="C1308" s="74" t="s">
        <v>15904</v>
      </c>
      <c r="D1308" s="74" t="s">
        <v>15905</v>
      </c>
      <c r="E1308" s="74"/>
      <c r="F1308" s="74">
        <v>0.69</v>
      </c>
      <c r="G1308" s="74"/>
      <c r="H1308" s="74"/>
      <c r="I1308" s="74" t="s">
        <v>391</v>
      </c>
      <c r="J1308" s="74"/>
      <c r="K1308" s="74">
        <v>102.4</v>
      </c>
      <c r="L1308" s="74">
        <v>92.16</v>
      </c>
      <c r="M1308" s="74"/>
      <c r="N1308" s="74" t="s">
        <v>392</v>
      </c>
      <c r="O1308" s="74" t="s">
        <v>402</v>
      </c>
      <c r="P1308" s="74" t="s">
        <v>15906</v>
      </c>
      <c r="Q1308" s="74" t="s">
        <v>15907</v>
      </c>
    </row>
    <row r="1309" spans="3:17" x14ac:dyDescent="0.25">
      <c r="C1309" s="74" t="s">
        <v>18113</v>
      </c>
      <c r="D1309" s="74" t="s">
        <v>18114</v>
      </c>
      <c r="E1309" s="74"/>
      <c r="F1309" s="74">
        <v>0.69</v>
      </c>
      <c r="G1309" s="74"/>
      <c r="H1309" s="74"/>
      <c r="I1309" s="74" t="s">
        <v>391</v>
      </c>
      <c r="J1309" s="74"/>
      <c r="K1309" s="74">
        <v>102.4</v>
      </c>
      <c r="L1309" s="74">
        <v>92.16</v>
      </c>
      <c r="M1309" s="74"/>
      <c r="N1309" s="74" t="s">
        <v>392</v>
      </c>
      <c r="O1309" s="74" t="s">
        <v>402</v>
      </c>
      <c r="P1309" s="74" t="s">
        <v>18115</v>
      </c>
      <c r="Q1309" s="74" t="s">
        <v>18116</v>
      </c>
    </row>
    <row r="1310" spans="3:17" x14ac:dyDescent="0.25">
      <c r="C1310" s="74" t="s">
        <v>19761</v>
      </c>
      <c r="D1310" s="74" t="s">
        <v>19762</v>
      </c>
      <c r="E1310" s="74"/>
      <c r="F1310" s="74">
        <v>0.69</v>
      </c>
      <c r="G1310" s="74"/>
      <c r="H1310" s="74"/>
      <c r="I1310" s="74" t="s">
        <v>391</v>
      </c>
      <c r="J1310" s="74"/>
      <c r="K1310" s="74">
        <v>102.4</v>
      </c>
      <c r="L1310" s="74">
        <v>92.16</v>
      </c>
      <c r="M1310" s="74"/>
      <c r="N1310" s="74" t="s">
        <v>392</v>
      </c>
      <c r="O1310" s="74" t="s">
        <v>402</v>
      </c>
      <c r="P1310" s="74" t="s">
        <v>19763</v>
      </c>
      <c r="Q1310" s="74" t="s">
        <v>19764</v>
      </c>
    </row>
    <row r="1311" spans="3:17" x14ac:dyDescent="0.25">
      <c r="C1311" s="74" t="s">
        <v>1248</v>
      </c>
      <c r="D1311" s="74" t="s">
        <v>1249</v>
      </c>
      <c r="E1311" s="74"/>
      <c r="F1311" s="74">
        <v>0.68</v>
      </c>
      <c r="G1311" s="74"/>
      <c r="H1311" s="74"/>
      <c r="I1311" s="74" t="s">
        <v>391</v>
      </c>
      <c r="J1311" s="74"/>
      <c r="K1311" s="74">
        <v>102.4</v>
      </c>
      <c r="L1311" s="74">
        <v>92.16</v>
      </c>
      <c r="M1311" s="74"/>
      <c r="N1311" s="74" t="s">
        <v>392</v>
      </c>
      <c r="O1311" s="74" t="s">
        <v>402</v>
      </c>
      <c r="P1311" s="74" t="s">
        <v>1250</v>
      </c>
      <c r="Q1311" s="74" t="s">
        <v>1251</v>
      </c>
    </row>
    <row r="1312" spans="3:17" x14ac:dyDescent="0.25">
      <c r="C1312" s="74" t="s">
        <v>2863</v>
      </c>
      <c r="D1312" s="74" t="s">
        <v>2864</v>
      </c>
      <c r="E1312" s="74"/>
      <c r="F1312" s="74">
        <v>0.68</v>
      </c>
      <c r="G1312" s="74"/>
      <c r="H1312" s="74"/>
      <c r="I1312" s="74" t="s">
        <v>391</v>
      </c>
      <c r="J1312" s="74"/>
      <c r="K1312" s="74">
        <v>102.4</v>
      </c>
      <c r="L1312" s="74">
        <v>92.16</v>
      </c>
      <c r="M1312" s="74"/>
      <c r="N1312" s="74" t="s">
        <v>392</v>
      </c>
      <c r="O1312" s="74" t="s">
        <v>402</v>
      </c>
      <c r="P1312" s="74" t="s">
        <v>2865</v>
      </c>
      <c r="Q1312" s="74" t="s">
        <v>2866</v>
      </c>
    </row>
    <row r="1313" spans="3:17" x14ac:dyDescent="0.25">
      <c r="C1313" s="74" t="s">
        <v>6080</v>
      </c>
      <c r="D1313" s="74" t="s">
        <v>6081</v>
      </c>
      <c r="E1313" s="74"/>
      <c r="F1313" s="74">
        <v>0.68</v>
      </c>
      <c r="G1313" s="74"/>
      <c r="H1313" s="74"/>
      <c r="I1313" s="74" t="s">
        <v>391</v>
      </c>
      <c r="J1313" s="74"/>
      <c r="K1313" s="74">
        <v>102.4</v>
      </c>
      <c r="L1313" s="74">
        <v>92.16</v>
      </c>
      <c r="M1313" s="74"/>
      <c r="N1313" s="74" t="s">
        <v>392</v>
      </c>
      <c r="O1313" s="74" t="s">
        <v>402</v>
      </c>
      <c r="P1313" s="74" t="s">
        <v>6082</v>
      </c>
      <c r="Q1313" s="74" t="s">
        <v>6083</v>
      </c>
    </row>
    <row r="1314" spans="3:17" x14ac:dyDescent="0.25">
      <c r="C1314" s="74" t="s">
        <v>8484</v>
      </c>
      <c r="D1314" s="74" t="s">
        <v>8485</v>
      </c>
      <c r="E1314" s="74"/>
      <c r="F1314" s="74">
        <v>0.68</v>
      </c>
      <c r="G1314" s="74"/>
      <c r="H1314" s="74"/>
      <c r="I1314" s="74" t="s">
        <v>391</v>
      </c>
      <c r="J1314" s="74"/>
      <c r="K1314" s="74">
        <v>102.4</v>
      </c>
      <c r="L1314" s="74">
        <v>92.16</v>
      </c>
      <c r="M1314" s="74"/>
      <c r="N1314" s="74" t="s">
        <v>392</v>
      </c>
      <c r="O1314" s="74" t="s">
        <v>402</v>
      </c>
      <c r="P1314" s="74" t="s">
        <v>8486</v>
      </c>
      <c r="Q1314" s="74" t="s">
        <v>8487</v>
      </c>
    </row>
    <row r="1315" spans="3:17" x14ac:dyDescent="0.25">
      <c r="C1315" s="74" t="s">
        <v>9587</v>
      </c>
      <c r="D1315" s="74" t="s">
        <v>9588</v>
      </c>
      <c r="E1315" s="74"/>
      <c r="F1315" s="74">
        <v>0.68</v>
      </c>
      <c r="G1315" s="74"/>
      <c r="H1315" s="74"/>
      <c r="I1315" s="74" t="s">
        <v>391</v>
      </c>
      <c r="J1315" s="74"/>
      <c r="K1315" s="74">
        <v>102.4</v>
      </c>
      <c r="L1315" s="74">
        <v>92.16</v>
      </c>
      <c r="M1315" s="74"/>
      <c r="N1315" s="74" t="s">
        <v>392</v>
      </c>
      <c r="O1315" s="74" t="s">
        <v>402</v>
      </c>
      <c r="P1315" s="74" t="s">
        <v>9589</v>
      </c>
      <c r="Q1315" s="74" t="s">
        <v>9590</v>
      </c>
    </row>
    <row r="1316" spans="3:17" x14ac:dyDescent="0.25">
      <c r="C1316" s="74" t="s">
        <v>11274</v>
      </c>
      <c r="D1316" s="74" t="s">
        <v>11275</v>
      </c>
      <c r="E1316" s="74"/>
      <c r="F1316" s="74">
        <v>0.68</v>
      </c>
      <c r="G1316" s="74"/>
      <c r="H1316" s="74"/>
      <c r="I1316" s="74" t="s">
        <v>391</v>
      </c>
      <c r="J1316" s="74"/>
      <c r="K1316" s="74">
        <v>102.4</v>
      </c>
      <c r="L1316" s="74">
        <v>92.16</v>
      </c>
      <c r="M1316" s="74"/>
      <c r="N1316" s="74" t="s">
        <v>392</v>
      </c>
      <c r="O1316" s="74" t="s">
        <v>402</v>
      </c>
      <c r="P1316" s="74" t="s">
        <v>11276</v>
      </c>
      <c r="Q1316" s="74" t="s">
        <v>11277</v>
      </c>
    </row>
    <row r="1317" spans="3:17" x14ac:dyDescent="0.25">
      <c r="C1317" s="74" t="s">
        <v>11496</v>
      </c>
      <c r="D1317" s="74" t="s">
        <v>11497</v>
      </c>
      <c r="E1317" s="74"/>
      <c r="F1317" s="74">
        <v>0.68</v>
      </c>
      <c r="G1317" s="74"/>
      <c r="H1317" s="74"/>
      <c r="I1317" s="74" t="s">
        <v>391</v>
      </c>
      <c r="J1317" s="74"/>
      <c r="K1317" s="74">
        <v>102.4</v>
      </c>
      <c r="L1317" s="74">
        <v>92.16</v>
      </c>
      <c r="M1317" s="74"/>
      <c r="N1317" s="74" t="s">
        <v>392</v>
      </c>
      <c r="O1317" s="74" t="s">
        <v>402</v>
      </c>
      <c r="P1317" s="74" t="s">
        <v>11498</v>
      </c>
      <c r="Q1317" s="74" t="s">
        <v>11499</v>
      </c>
    </row>
    <row r="1318" spans="3:17" x14ac:dyDescent="0.25">
      <c r="C1318" s="74" t="s">
        <v>12878</v>
      </c>
      <c r="D1318" s="74" t="s">
        <v>12879</v>
      </c>
      <c r="E1318" s="74"/>
      <c r="F1318" s="74">
        <v>0.68</v>
      </c>
      <c r="G1318" s="74"/>
      <c r="H1318" s="74"/>
      <c r="I1318" s="74" t="s">
        <v>391</v>
      </c>
      <c r="J1318" s="74"/>
      <c r="K1318" s="74">
        <v>102.4</v>
      </c>
      <c r="L1318" s="74">
        <v>92.16</v>
      </c>
      <c r="M1318" s="74"/>
      <c r="N1318" s="74" t="s">
        <v>392</v>
      </c>
      <c r="O1318" s="74" t="s">
        <v>402</v>
      </c>
      <c r="P1318" s="74" t="s">
        <v>12880</v>
      </c>
      <c r="Q1318" s="74" t="s">
        <v>12881</v>
      </c>
    </row>
    <row r="1319" spans="3:17" x14ac:dyDescent="0.25">
      <c r="C1319" s="74" t="s">
        <v>15918</v>
      </c>
      <c r="D1319" s="74" t="s">
        <v>15919</v>
      </c>
      <c r="E1319" s="74"/>
      <c r="F1319" s="74">
        <v>0.68</v>
      </c>
      <c r="G1319" s="74"/>
      <c r="H1319" s="74"/>
      <c r="I1319" s="74" t="s">
        <v>391</v>
      </c>
      <c r="J1319" s="74"/>
      <c r="K1319" s="74">
        <v>102.4</v>
      </c>
      <c r="L1319" s="74">
        <v>92.16</v>
      </c>
      <c r="M1319" s="74"/>
      <c r="N1319" s="74" t="s">
        <v>392</v>
      </c>
      <c r="O1319" s="74" t="s">
        <v>402</v>
      </c>
      <c r="P1319" s="74" t="s">
        <v>15920</v>
      </c>
      <c r="Q1319" s="74" t="s">
        <v>15921</v>
      </c>
    </row>
    <row r="1320" spans="3:17" x14ac:dyDescent="0.25">
      <c r="C1320" s="74" t="s">
        <v>16478</v>
      </c>
      <c r="D1320" s="74" t="s">
        <v>16479</v>
      </c>
      <c r="E1320" s="74"/>
      <c r="F1320" s="74">
        <v>0.68</v>
      </c>
      <c r="G1320" s="74"/>
      <c r="H1320" s="74"/>
      <c r="I1320" s="74" t="s">
        <v>391</v>
      </c>
      <c r="J1320" s="74"/>
      <c r="K1320" s="74">
        <v>102.4</v>
      </c>
      <c r="L1320" s="74">
        <v>92.16</v>
      </c>
      <c r="M1320" s="74"/>
      <c r="N1320" s="74" t="s">
        <v>392</v>
      </c>
      <c r="O1320" s="74" t="s">
        <v>402</v>
      </c>
      <c r="P1320" s="74" t="s">
        <v>16480</v>
      </c>
      <c r="Q1320" s="74" t="s">
        <v>16481</v>
      </c>
    </row>
    <row r="1321" spans="3:17" x14ac:dyDescent="0.25">
      <c r="C1321" s="74" t="s">
        <v>19709</v>
      </c>
      <c r="D1321" s="74" t="s">
        <v>19710</v>
      </c>
      <c r="E1321" s="74" t="s">
        <v>391</v>
      </c>
      <c r="F1321" s="74">
        <v>0.68</v>
      </c>
      <c r="G1321" s="74"/>
      <c r="H1321" s="74"/>
      <c r="I1321" s="74" t="s">
        <v>391</v>
      </c>
      <c r="J1321" s="74"/>
      <c r="K1321" s="74">
        <v>102.4</v>
      </c>
      <c r="L1321" s="74">
        <v>92.16</v>
      </c>
      <c r="M1321" s="74"/>
      <c r="N1321" s="74" t="s">
        <v>392</v>
      </c>
      <c r="O1321" s="74" t="s">
        <v>393</v>
      </c>
      <c r="P1321" s="74"/>
      <c r="Q1321" s="74" t="s">
        <v>19711</v>
      </c>
    </row>
    <row r="1322" spans="3:17" x14ac:dyDescent="0.25">
      <c r="C1322" s="74" t="s">
        <v>683</v>
      </c>
      <c r="D1322" s="74" t="s">
        <v>684</v>
      </c>
      <c r="E1322" s="74"/>
      <c r="F1322" s="74">
        <v>0.67</v>
      </c>
      <c r="G1322" s="74"/>
      <c r="H1322" s="74"/>
      <c r="I1322" s="74" t="s">
        <v>391</v>
      </c>
      <c r="J1322" s="74"/>
      <c r="K1322" s="74">
        <v>102.4</v>
      </c>
      <c r="L1322" s="74">
        <v>92.16</v>
      </c>
      <c r="M1322" s="74"/>
      <c r="N1322" s="74" t="s">
        <v>392</v>
      </c>
      <c r="O1322" s="74" t="s">
        <v>402</v>
      </c>
      <c r="P1322" s="74" t="s">
        <v>685</v>
      </c>
      <c r="Q1322" s="74" t="s">
        <v>686</v>
      </c>
    </row>
    <row r="1323" spans="3:17" x14ac:dyDescent="0.25">
      <c r="C1323" s="74" t="s">
        <v>2671</v>
      </c>
      <c r="D1323" s="74" t="s">
        <v>2672</v>
      </c>
      <c r="E1323" s="74"/>
      <c r="F1323" s="74">
        <v>0.67</v>
      </c>
      <c r="G1323" s="74"/>
      <c r="H1323" s="74"/>
      <c r="I1323" s="74" t="s">
        <v>391</v>
      </c>
      <c r="J1323" s="74"/>
      <c r="K1323" s="74">
        <v>102.4</v>
      </c>
      <c r="L1323" s="74">
        <v>92.16</v>
      </c>
      <c r="M1323" s="74"/>
      <c r="N1323" s="74" t="s">
        <v>392</v>
      </c>
      <c r="O1323" s="74" t="s">
        <v>402</v>
      </c>
      <c r="P1323" s="74" t="s">
        <v>2673</v>
      </c>
      <c r="Q1323" s="74" t="s">
        <v>2674</v>
      </c>
    </row>
    <row r="1324" spans="3:17" x14ac:dyDescent="0.25">
      <c r="C1324" s="74" t="s">
        <v>7144</v>
      </c>
      <c r="D1324" s="74" t="s">
        <v>7145</v>
      </c>
      <c r="E1324" s="74"/>
      <c r="F1324" s="74">
        <v>0.67</v>
      </c>
      <c r="G1324" s="74"/>
      <c r="H1324" s="74"/>
      <c r="I1324" s="74" t="s">
        <v>391</v>
      </c>
      <c r="J1324" s="74"/>
      <c r="K1324" s="74">
        <v>102.4</v>
      </c>
      <c r="L1324" s="74">
        <v>92.16</v>
      </c>
      <c r="M1324" s="74"/>
      <c r="N1324" s="74" t="s">
        <v>392</v>
      </c>
      <c r="O1324" s="74" t="s">
        <v>402</v>
      </c>
      <c r="P1324" s="74" t="s">
        <v>7146</v>
      </c>
      <c r="Q1324" s="74" t="s">
        <v>7147</v>
      </c>
    </row>
    <row r="1325" spans="3:17" x14ac:dyDescent="0.25">
      <c r="C1325" s="74" t="s">
        <v>14399</v>
      </c>
      <c r="D1325" s="74" t="s">
        <v>14400</v>
      </c>
      <c r="E1325" s="74"/>
      <c r="F1325" s="74">
        <v>0.67</v>
      </c>
      <c r="G1325" s="74"/>
      <c r="H1325" s="74"/>
      <c r="I1325" s="74" t="s">
        <v>391</v>
      </c>
      <c r="J1325" s="74"/>
      <c r="K1325" s="74">
        <v>102.4</v>
      </c>
      <c r="L1325" s="74">
        <v>92.16</v>
      </c>
      <c r="M1325" s="74"/>
      <c r="N1325" s="74" t="s">
        <v>392</v>
      </c>
      <c r="O1325" s="74" t="s">
        <v>402</v>
      </c>
      <c r="P1325" s="74" t="s">
        <v>14401</v>
      </c>
      <c r="Q1325" s="74" t="s">
        <v>14402</v>
      </c>
    </row>
    <row r="1326" spans="3:17" x14ac:dyDescent="0.25">
      <c r="C1326" s="74" t="s">
        <v>15461</v>
      </c>
      <c r="D1326" s="74" t="s">
        <v>15462</v>
      </c>
      <c r="E1326" s="74"/>
      <c r="F1326" s="74">
        <v>0.67</v>
      </c>
      <c r="G1326" s="74"/>
      <c r="H1326" s="74"/>
      <c r="I1326" s="74" t="s">
        <v>391</v>
      </c>
      <c r="J1326" s="74"/>
      <c r="K1326" s="74">
        <v>102.4</v>
      </c>
      <c r="L1326" s="74">
        <v>92.16</v>
      </c>
      <c r="M1326" s="74"/>
      <c r="N1326" s="74" t="s">
        <v>392</v>
      </c>
      <c r="O1326" s="74" t="s">
        <v>402</v>
      </c>
      <c r="P1326" s="74" t="s">
        <v>15463</v>
      </c>
      <c r="Q1326" s="74" t="s">
        <v>15464</v>
      </c>
    </row>
    <row r="1327" spans="3:17" x14ac:dyDescent="0.25">
      <c r="C1327" s="74" t="s">
        <v>17168</v>
      </c>
      <c r="D1327" s="74" t="s">
        <v>17169</v>
      </c>
      <c r="E1327" s="74"/>
      <c r="F1327" s="74">
        <v>0.67</v>
      </c>
      <c r="G1327" s="74"/>
      <c r="H1327" s="74"/>
      <c r="I1327" s="74" t="s">
        <v>391</v>
      </c>
      <c r="J1327" s="74"/>
      <c r="K1327" s="74">
        <v>102.4</v>
      </c>
      <c r="L1327" s="74">
        <v>92.16</v>
      </c>
      <c r="M1327" s="74"/>
      <c r="N1327" s="74" t="s">
        <v>392</v>
      </c>
      <c r="O1327" s="74" t="s">
        <v>402</v>
      </c>
      <c r="P1327" s="74" t="s">
        <v>17170</v>
      </c>
      <c r="Q1327" s="74" t="s">
        <v>17171</v>
      </c>
    </row>
    <row r="1328" spans="3:17" x14ac:dyDescent="0.25">
      <c r="C1328" s="74" t="s">
        <v>20095</v>
      </c>
      <c r="D1328" s="74" t="s">
        <v>20096</v>
      </c>
      <c r="E1328" s="74"/>
      <c r="F1328" s="74">
        <v>0.67</v>
      </c>
      <c r="G1328" s="74"/>
      <c r="H1328" s="74"/>
      <c r="I1328" s="74" t="s">
        <v>391</v>
      </c>
      <c r="J1328" s="74"/>
      <c r="K1328" s="74">
        <v>102.4</v>
      </c>
      <c r="L1328" s="74">
        <v>92.16</v>
      </c>
      <c r="M1328" s="74"/>
      <c r="N1328" s="74" t="s">
        <v>392</v>
      </c>
      <c r="O1328" s="74" t="s">
        <v>402</v>
      </c>
      <c r="P1328" s="74" t="s">
        <v>20097</v>
      </c>
      <c r="Q1328" s="74" t="s">
        <v>20098</v>
      </c>
    </row>
    <row r="1329" spans="3:17" x14ac:dyDescent="0.25">
      <c r="C1329" s="74" t="s">
        <v>3719</v>
      </c>
      <c r="D1329" s="74" t="s">
        <v>3720</v>
      </c>
      <c r="E1329" s="74"/>
      <c r="F1329" s="74">
        <v>0.66</v>
      </c>
      <c r="G1329" s="74"/>
      <c r="H1329" s="74"/>
      <c r="I1329" s="74" t="s">
        <v>391</v>
      </c>
      <c r="J1329" s="74"/>
      <c r="K1329" s="74">
        <v>102.4</v>
      </c>
      <c r="L1329" s="74">
        <v>92.16</v>
      </c>
      <c r="M1329" s="74"/>
      <c r="N1329" s="74" t="s">
        <v>392</v>
      </c>
      <c r="O1329" s="74" t="s">
        <v>402</v>
      </c>
      <c r="P1329" s="74" t="s">
        <v>3721</v>
      </c>
      <c r="Q1329" s="74" t="s">
        <v>3722</v>
      </c>
    </row>
    <row r="1330" spans="3:17" x14ac:dyDescent="0.25">
      <c r="C1330" s="74" t="s">
        <v>3806</v>
      </c>
      <c r="D1330" s="74" t="s">
        <v>3807</v>
      </c>
      <c r="E1330" s="74"/>
      <c r="F1330" s="74">
        <v>0.66</v>
      </c>
      <c r="G1330" s="74"/>
      <c r="H1330" s="74"/>
      <c r="I1330" s="74" t="s">
        <v>391</v>
      </c>
      <c r="J1330" s="74"/>
      <c r="K1330" s="74">
        <v>102.4</v>
      </c>
      <c r="L1330" s="74">
        <v>92.16</v>
      </c>
      <c r="M1330" s="74"/>
      <c r="N1330" s="74" t="s">
        <v>392</v>
      </c>
      <c r="O1330" s="74" t="s">
        <v>402</v>
      </c>
      <c r="P1330" s="74" t="s">
        <v>3808</v>
      </c>
      <c r="Q1330" s="74" t="s">
        <v>3809</v>
      </c>
    </row>
    <row r="1331" spans="3:17" x14ac:dyDescent="0.25">
      <c r="C1331" s="74" t="s">
        <v>5110</v>
      </c>
      <c r="D1331" s="74" t="s">
        <v>5111</v>
      </c>
      <c r="E1331" s="74"/>
      <c r="F1331" s="74">
        <v>0.66</v>
      </c>
      <c r="G1331" s="74"/>
      <c r="H1331" s="74"/>
      <c r="I1331" s="74" t="s">
        <v>391</v>
      </c>
      <c r="J1331" s="74"/>
      <c r="K1331" s="74">
        <v>102.4</v>
      </c>
      <c r="L1331" s="74">
        <v>92.16</v>
      </c>
      <c r="M1331" s="74"/>
      <c r="N1331" s="74" t="s">
        <v>392</v>
      </c>
      <c r="O1331" s="74" t="s">
        <v>402</v>
      </c>
      <c r="P1331" s="74" t="s">
        <v>5112</v>
      </c>
      <c r="Q1331" s="74" t="s">
        <v>5113</v>
      </c>
    </row>
    <row r="1332" spans="3:17" x14ac:dyDescent="0.25">
      <c r="C1332" s="74" t="s">
        <v>5725</v>
      </c>
      <c r="D1332" s="74" t="s">
        <v>5726</v>
      </c>
      <c r="E1332" s="74"/>
      <c r="F1332" s="74">
        <v>0.66</v>
      </c>
      <c r="G1332" s="74"/>
      <c r="H1332" s="74"/>
      <c r="I1332" s="74" t="s">
        <v>391</v>
      </c>
      <c r="J1332" s="74"/>
      <c r="K1332" s="74">
        <v>102.4</v>
      </c>
      <c r="L1332" s="74">
        <v>92.16</v>
      </c>
      <c r="M1332" s="74"/>
      <c r="N1332" s="74" t="s">
        <v>392</v>
      </c>
      <c r="O1332" s="74" t="s">
        <v>402</v>
      </c>
      <c r="P1332" s="74" t="s">
        <v>5727</v>
      </c>
      <c r="Q1332" s="74" t="s">
        <v>5728</v>
      </c>
    </row>
    <row r="1333" spans="3:17" x14ac:dyDescent="0.25">
      <c r="C1333" s="74" t="s">
        <v>10259</v>
      </c>
      <c r="D1333" s="74" t="s">
        <v>10260</v>
      </c>
      <c r="E1333" s="74"/>
      <c r="F1333" s="74">
        <v>0.66</v>
      </c>
      <c r="G1333" s="74"/>
      <c r="H1333" s="74"/>
      <c r="I1333" s="74" t="s">
        <v>391</v>
      </c>
      <c r="J1333" s="74"/>
      <c r="K1333" s="74">
        <v>102.4</v>
      </c>
      <c r="L1333" s="74">
        <v>92.16</v>
      </c>
      <c r="M1333" s="74"/>
      <c r="N1333" s="74" t="s">
        <v>392</v>
      </c>
      <c r="O1333" s="74" t="s">
        <v>402</v>
      </c>
      <c r="P1333" s="74" t="s">
        <v>10261</v>
      </c>
      <c r="Q1333" s="74" t="s">
        <v>10262</v>
      </c>
    </row>
    <row r="1334" spans="3:17" x14ac:dyDescent="0.25">
      <c r="C1334" s="74" t="s">
        <v>12366</v>
      </c>
      <c r="D1334" s="74" t="s">
        <v>12367</v>
      </c>
      <c r="E1334" s="74"/>
      <c r="F1334" s="74">
        <v>0.66</v>
      </c>
      <c r="G1334" s="74"/>
      <c r="H1334" s="74"/>
      <c r="I1334" s="74" t="s">
        <v>391</v>
      </c>
      <c r="J1334" s="74"/>
      <c r="K1334" s="74">
        <v>102.4</v>
      </c>
      <c r="L1334" s="74">
        <v>92.16</v>
      </c>
      <c r="M1334" s="74"/>
      <c r="N1334" s="74" t="s">
        <v>392</v>
      </c>
      <c r="O1334" s="74" t="s">
        <v>402</v>
      </c>
      <c r="P1334" s="74" t="s">
        <v>12368</v>
      </c>
      <c r="Q1334" s="74" t="s">
        <v>12369</v>
      </c>
    </row>
    <row r="1335" spans="3:17" x14ac:dyDescent="0.25">
      <c r="C1335" s="74" t="s">
        <v>12745</v>
      </c>
      <c r="D1335" s="74" t="s">
        <v>12746</v>
      </c>
      <c r="E1335" s="74"/>
      <c r="F1335" s="74">
        <v>0.66</v>
      </c>
      <c r="G1335" s="74"/>
      <c r="H1335" s="74"/>
      <c r="I1335" s="74" t="s">
        <v>391</v>
      </c>
      <c r="J1335" s="74"/>
      <c r="K1335" s="74">
        <v>102.4</v>
      </c>
      <c r="L1335" s="74">
        <v>92.16</v>
      </c>
      <c r="M1335" s="74"/>
      <c r="N1335" s="74" t="s">
        <v>392</v>
      </c>
      <c r="O1335" s="74" t="s">
        <v>402</v>
      </c>
      <c r="P1335" s="74" t="s">
        <v>12747</v>
      </c>
      <c r="Q1335" s="74" t="s">
        <v>12748</v>
      </c>
    </row>
    <row r="1336" spans="3:17" x14ac:dyDescent="0.25">
      <c r="C1336" s="74" t="s">
        <v>13454</v>
      </c>
      <c r="D1336" s="74" t="s">
        <v>13455</v>
      </c>
      <c r="E1336" s="74"/>
      <c r="F1336" s="74">
        <v>0.66</v>
      </c>
      <c r="G1336" s="74"/>
      <c r="H1336" s="74"/>
      <c r="I1336" s="74" t="s">
        <v>391</v>
      </c>
      <c r="J1336" s="74"/>
      <c r="K1336" s="74">
        <v>102.4</v>
      </c>
      <c r="L1336" s="74">
        <v>92.16</v>
      </c>
      <c r="M1336" s="74"/>
      <c r="N1336" s="74" t="s">
        <v>392</v>
      </c>
      <c r="O1336" s="74" t="s">
        <v>402</v>
      </c>
      <c r="P1336" s="74" t="s">
        <v>13456</v>
      </c>
      <c r="Q1336" s="74" t="s">
        <v>13457</v>
      </c>
    </row>
    <row r="1337" spans="3:17" x14ac:dyDescent="0.25">
      <c r="C1337" s="74" t="s">
        <v>20482</v>
      </c>
      <c r="D1337" s="74" t="s">
        <v>20483</v>
      </c>
      <c r="E1337" s="74"/>
      <c r="F1337" s="74">
        <v>0.66</v>
      </c>
      <c r="G1337" s="74"/>
      <c r="H1337" s="74"/>
      <c r="I1337" s="74" t="s">
        <v>391</v>
      </c>
      <c r="J1337" s="74"/>
      <c r="K1337" s="74">
        <v>102.4</v>
      </c>
      <c r="L1337" s="74">
        <v>92.16</v>
      </c>
      <c r="M1337" s="74"/>
      <c r="N1337" s="74" t="s">
        <v>392</v>
      </c>
      <c r="O1337" s="74" t="s">
        <v>402</v>
      </c>
      <c r="P1337" s="74" t="s">
        <v>20484</v>
      </c>
      <c r="Q1337" s="74" t="s">
        <v>20485</v>
      </c>
    </row>
    <row r="1338" spans="3:17" x14ac:dyDescent="0.25">
      <c r="C1338" s="74" t="s">
        <v>3269</v>
      </c>
      <c r="D1338" s="74" t="s">
        <v>3270</v>
      </c>
      <c r="E1338" s="74"/>
      <c r="F1338" s="74">
        <v>0.65</v>
      </c>
      <c r="G1338" s="74"/>
      <c r="H1338" s="74"/>
      <c r="I1338" s="74" t="s">
        <v>391</v>
      </c>
      <c r="J1338" s="74"/>
      <c r="K1338" s="74">
        <v>102.4</v>
      </c>
      <c r="L1338" s="74">
        <v>92.16</v>
      </c>
      <c r="M1338" s="74"/>
      <c r="N1338" s="74" t="s">
        <v>392</v>
      </c>
      <c r="O1338" s="74" t="s">
        <v>402</v>
      </c>
      <c r="P1338" s="74" t="s">
        <v>3271</v>
      </c>
      <c r="Q1338" s="74" t="s">
        <v>3272</v>
      </c>
    </row>
    <row r="1339" spans="3:17" x14ac:dyDescent="0.25">
      <c r="C1339" s="74" t="s">
        <v>5681</v>
      </c>
      <c r="D1339" s="74" t="s">
        <v>5682</v>
      </c>
      <c r="E1339" s="74"/>
      <c r="F1339" s="74">
        <v>0.65</v>
      </c>
      <c r="G1339" s="74"/>
      <c r="H1339" s="74"/>
      <c r="I1339" s="74" t="s">
        <v>391</v>
      </c>
      <c r="J1339" s="74"/>
      <c r="K1339" s="74">
        <v>102.4</v>
      </c>
      <c r="L1339" s="74">
        <v>92.16</v>
      </c>
      <c r="M1339" s="74"/>
      <c r="N1339" s="74" t="s">
        <v>392</v>
      </c>
      <c r="O1339" s="74" t="s">
        <v>402</v>
      </c>
      <c r="P1339" s="74" t="s">
        <v>5683</v>
      </c>
      <c r="Q1339" s="74" t="s">
        <v>5684</v>
      </c>
    </row>
    <row r="1340" spans="3:17" x14ac:dyDescent="0.25">
      <c r="C1340" s="74" t="s">
        <v>8802</v>
      </c>
      <c r="D1340" s="74" t="s">
        <v>8803</v>
      </c>
      <c r="E1340" s="74"/>
      <c r="F1340" s="74">
        <v>0.65</v>
      </c>
      <c r="G1340" s="74"/>
      <c r="H1340" s="74"/>
      <c r="I1340" s="74" t="s">
        <v>391</v>
      </c>
      <c r="J1340" s="74"/>
      <c r="K1340" s="74">
        <v>102.4</v>
      </c>
      <c r="L1340" s="74">
        <v>92.16</v>
      </c>
      <c r="M1340" s="74"/>
      <c r="N1340" s="74" t="s">
        <v>392</v>
      </c>
      <c r="O1340" s="74" t="s">
        <v>402</v>
      </c>
      <c r="P1340" s="74" t="s">
        <v>8804</v>
      </c>
      <c r="Q1340" s="74" t="s">
        <v>8805</v>
      </c>
    </row>
    <row r="1341" spans="3:17" x14ac:dyDescent="0.25">
      <c r="C1341" s="74" t="s">
        <v>10204</v>
      </c>
      <c r="D1341" s="74" t="s">
        <v>10205</v>
      </c>
      <c r="E1341" s="74"/>
      <c r="F1341" s="74">
        <v>0.65</v>
      </c>
      <c r="G1341" s="74"/>
      <c r="H1341" s="74"/>
      <c r="I1341" s="74" t="s">
        <v>391</v>
      </c>
      <c r="J1341" s="74"/>
      <c r="K1341" s="74">
        <v>102.4</v>
      </c>
      <c r="L1341" s="74">
        <v>92.16</v>
      </c>
      <c r="M1341" s="74"/>
      <c r="N1341" s="74" t="s">
        <v>392</v>
      </c>
      <c r="O1341" s="74" t="s">
        <v>402</v>
      </c>
      <c r="P1341" s="74" t="s">
        <v>10206</v>
      </c>
      <c r="Q1341" s="74" t="s">
        <v>10207</v>
      </c>
    </row>
    <row r="1342" spans="3:17" x14ac:dyDescent="0.25">
      <c r="C1342" s="74" t="s">
        <v>16468</v>
      </c>
      <c r="D1342" s="74" t="s">
        <v>467</v>
      </c>
      <c r="E1342" s="74"/>
      <c r="F1342" s="74">
        <v>0.65</v>
      </c>
      <c r="G1342" s="74"/>
      <c r="H1342" s="74"/>
      <c r="I1342" s="74" t="s">
        <v>391</v>
      </c>
      <c r="J1342" s="74"/>
      <c r="K1342" s="74">
        <v>102.4</v>
      </c>
      <c r="L1342" s="74">
        <v>92.16</v>
      </c>
      <c r="M1342" s="74"/>
      <c r="N1342" s="74" t="s">
        <v>392</v>
      </c>
      <c r="O1342" s="74" t="s">
        <v>402</v>
      </c>
      <c r="P1342" s="74" t="s">
        <v>16469</v>
      </c>
      <c r="Q1342" s="74" t="s">
        <v>16470</v>
      </c>
    </row>
    <row r="1343" spans="3:17" x14ac:dyDescent="0.25">
      <c r="C1343" s="74" t="s">
        <v>17479</v>
      </c>
      <c r="D1343" s="74" t="s">
        <v>17480</v>
      </c>
      <c r="E1343" s="74"/>
      <c r="F1343" s="74">
        <v>0.65</v>
      </c>
      <c r="G1343" s="74"/>
      <c r="H1343" s="74"/>
      <c r="I1343" s="74" t="s">
        <v>391</v>
      </c>
      <c r="J1343" s="74"/>
      <c r="K1343" s="74">
        <v>102.4</v>
      </c>
      <c r="L1343" s="74">
        <v>92.16</v>
      </c>
      <c r="M1343" s="74"/>
      <c r="N1343" s="74" t="s">
        <v>392</v>
      </c>
      <c r="O1343" s="74" t="s">
        <v>402</v>
      </c>
      <c r="P1343" s="74" t="s">
        <v>17481</v>
      </c>
      <c r="Q1343" s="74" t="s">
        <v>17482</v>
      </c>
    </row>
    <row r="1344" spans="3:17" x14ac:dyDescent="0.25">
      <c r="C1344" s="74" t="s">
        <v>20658</v>
      </c>
      <c r="D1344" s="74" t="s">
        <v>20659</v>
      </c>
      <c r="E1344" s="74"/>
      <c r="F1344" s="74">
        <v>0.65</v>
      </c>
      <c r="G1344" s="74"/>
      <c r="H1344" s="74"/>
      <c r="I1344" s="74" t="s">
        <v>391</v>
      </c>
      <c r="J1344" s="74"/>
      <c r="K1344" s="74">
        <v>102.4</v>
      </c>
      <c r="L1344" s="74">
        <v>92.16</v>
      </c>
      <c r="M1344" s="74"/>
      <c r="N1344" s="74" t="s">
        <v>392</v>
      </c>
      <c r="O1344" s="74" t="s">
        <v>402</v>
      </c>
      <c r="P1344" s="74" t="s">
        <v>20660</v>
      </c>
      <c r="Q1344" s="74" t="s">
        <v>20661</v>
      </c>
    </row>
    <row r="1345" spans="3:17" x14ac:dyDescent="0.25">
      <c r="C1345" s="74" t="s">
        <v>21113</v>
      </c>
      <c r="D1345" s="74" t="s">
        <v>21114</v>
      </c>
      <c r="E1345" s="74"/>
      <c r="F1345" s="74">
        <v>0.65</v>
      </c>
      <c r="G1345" s="74"/>
      <c r="H1345" s="74"/>
      <c r="I1345" s="74" t="s">
        <v>391</v>
      </c>
      <c r="J1345" s="74"/>
      <c r="K1345" s="74">
        <v>102.4</v>
      </c>
      <c r="L1345" s="74">
        <v>92.16</v>
      </c>
      <c r="M1345" s="74"/>
      <c r="N1345" s="74" t="s">
        <v>392</v>
      </c>
      <c r="O1345" s="74" t="s">
        <v>402</v>
      </c>
      <c r="P1345" s="74" t="s">
        <v>21115</v>
      </c>
      <c r="Q1345" s="74" t="s">
        <v>21116</v>
      </c>
    </row>
    <row r="1346" spans="3:17" x14ac:dyDescent="0.25">
      <c r="C1346" s="74" t="s">
        <v>1671</v>
      </c>
      <c r="D1346" s="74" t="s">
        <v>1669</v>
      </c>
      <c r="E1346" s="74"/>
      <c r="F1346" s="74">
        <v>0.64</v>
      </c>
      <c r="G1346" s="74"/>
      <c r="H1346" s="74"/>
      <c r="I1346" s="74" t="s">
        <v>391</v>
      </c>
      <c r="J1346" s="74"/>
      <c r="K1346" s="74">
        <v>102.4</v>
      </c>
      <c r="L1346" s="74">
        <v>92.16</v>
      </c>
      <c r="M1346" s="74"/>
      <c r="N1346" s="74" t="s">
        <v>392</v>
      </c>
      <c r="O1346" s="74" t="s">
        <v>402</v>
      </c>
      <c r="P1346" s="74" t="s">
        <v>1672</v>
      </c>
      <c r="Q1346" s="74" t="s">
        <v>1673</v>
      </c>
    </row>
    <row r="1347" spans="3:17" x14ac:dyDescent="0.25">
      <c r="C1347" s="74" t="s">
        <v>2388</v>
      </c>
      <c r="D1347" s="74" t="s">
        <v>2389</v>
      </c>
      <c r="E1347" s="74"/>
      <c r="F1347" s="74">
        <v>0.64</v>
      </c>
      <c r="G1347" s="74"/>
      <c r="H1347" s="74"/>
      <c r="I1347" s="74" t="s">
        <v>391</v>
      </c>
      <c r="J1347" s="74"/>
      <c r="K1347" s="74">
        <v>102.4</v>
      </c>
      <c r="L1347" s="74">
        <v>92.16</v>
      </c>
      <c r="M1347" s="74"/>
      <c r="N1347" s="74" t="s">
        <v>392</v>
      </c>
      <c r="O1347" s="74" t="s">
        <v>402</v>
      </c>
      <c r="P1347" s="74" t="s">
        <v>2390</v>
      </c>
      <c r="Q1347" s="74" t="s">
        <v>2391</v>
      </c>
    </row>
    <row r="1348" spans="3:17" x14ac:dyDescent="0.25">
      <c r="C1348" s="74" t="s">
        <v>3932</v>
      </c>
      <c r="D1348" s="74" t="s">
        <v>3933</v>
      </c>
      <c r="E1348" s="74"/>
      <c r="F1348" s="74">
        <v>0.64</v>
      </c>
      <c r="G1348" s="74"/>
      <c r="H1348" s="74"/>
      <c r="I1348" s="74" t="s">
        <v>391</v>
      </c>
      <c r="J1348" s="74"/>
      <c r="K1348" s="74">
        <v>102.4</v>
      </c>
      <c r="L1348" s="74">
        <v>92.16</v>
      </c>
      <c r="M1348" s="74"/>
      <c r="N1348" s="74" t="s">
        <v>392</v>
      </c>
      <c r="O1348" s="74" t="s">
        <v>402</v>
      </c>
      <c r="P1348" s="74" t="s">
        <v>3934</v>
      </c>
      <c r="Q1348" s="74" t="s">
        <v>3935</v>
      </c>
    </row>
    <row r="1349" spans="3:17" x14ac:dyDescent="0.25">
      <c r="C1349" s="74" t="s">
        <v>4638</v>
      </c>
      <c r="D1349" s="74" t="s">
        <v>4639</v>
      </c>
      <c r="E1349" s="74"/>
      <c r="F1349" s="74">
        <v>0.64</v>
      </c>
      <c r="G1349" s="74"/>
      <c r="H1349" s="74"/>
      <c r="I1349" s="74" t="s">
        <v>391</v>
      </c>
      <c r="J1349" s="74"/>
      <c r="K1349" s="74">
        <v>102.4</v>
      </c>
      <c r="L1349" s="74">
        <v>92.16</v>
      </c>
      <c r="M1349" s="74"/>
      <c r="N1349" s="74" t="s">
        <v>392</v>
      </c>
      <c r="O1349" s="74" t="s">
        <v>402</v>
      </c>
      <c r="P1349" s="74" t="s">
        <v>4640</v>
      </c>
      <c r="Q1349" s="74" t="s">
        <v>4641</v>
      </c>
    </row>
    <row r="1350" spans="3:17" x14ac:dyDescent="0.25">
      <c r="C1350" s="74" t="s">
        <v>5454</v>
      </c>
      <c r="D1350" s="74" t="s">
        <v>5455</v>
      </c>
      <c r="E1350" s="74"/>
      <c r="F1350" s="74">
        <v>0.64</v>
      </c>
      <c r="G1350" s="74"/>
      <c r="H1350" s="74"/>
      <c r="I1350" s="74" t="s">
        <v>391</v>
      </c>
      <c r="J1350" s="74"/>
      <c r="K1350" s="74">
        <v>102.4</v>
      </c>
      <c r="L1350" s="74">
        <v>92.16</v>
      </c>
      <c r="M1350" s="74"/>
      <c r="N1350" s="74" t="s">
        <v>392</v>
      </c>
      <c r="O1350" s="74" t="s">
        <v>402</v>
      </c>
      <c r="P1350" s="74" t="s">
        <v>5456</v>
      </c>
      <c r="Q1350" s="74" t="s">
        <v>5457</v>
      </c>
    </row>
    <row r="1351" spans="3:17" x14ac:dyDescent="0.25">
      <c r="C1351" s="74" t="s">
        <v>9468</v>
      </c>
      <c r="D1351" s="74" t="s">
        <v>9469</v>
      </c>
      <c r="E1351" s="74"/>
      <c r="F1351" s="74">
        <v>0.64</v>
      </c>
      <c r="G1351" s="74"/>
      <c r="H1351" s="74"/>
      <c r="I1351" s="74" t="s">
        <v>391</v>
      </c>
      <c r="J1351" s="74"/>
      <c r="K1351" s="74">
        <v>102.4</v>
      </c>
      <c r="L1351" s="74">
        <v>92.16</v>
      </c>
      <c r="M1351" s="74"/>
      <c r="N1351" s="74" t="s">
        <v>392</v>
      </c>
      <c r="O1351" s="74" t="s">
        <v>402</v>
      </c>
      <c r="P1351" s="74" t="s">
        <v>9470</v>
      </c>
      <c r="Q1351" s="74" t="s">
        <v>9471</v>
      </c>
    </row>
    <row r="1352" spans="3:17" x14ac:dyDescent="0.25">
      <c r="C1352" s="74" t="s">
        <v>13107</v>
      </c>
      <c r="D1352" s="74" t="s">
        <v>13108</v>
      </c>
      <c r="E1352" s="74"/>
      <c r="F1352" s="74">
        <v>0.64</v>
      </c>
      <c r="G1352" s="74"/>
      <c r="H1352" s="74"/>
      <c r="I1352" s="74" t="s">
        <v>391</v>
      </c>
      <c r="J1352" s="74"/>
      <c r="K1352" s="74">
        <v>102.4</v>
      </c>
      <c r="L1352" s="74">
        <v>92.16</v>
      </c>
      <c r="M1352" s="74"/>
      <c r="N1352" s="74" t="s">
        <v>392</v>
      </c>
      <c r="O1352" s="74" t="s">
        <v>402</v>
      </c>
      <c r="P1352" s="74" t="s">
        <v>13109</v>
      </c>
      <c r="Q1352" s="74" t="s">
        <v>13110</v>
      </c>
    </row>
    <row r="1353" spans="3:17" x14ac:dyDescent="0.25">
      <c r="C1353" s="74" t="s">
        <v>13720</v>
      </c>
      <c r="D1353" s="74" t="s">
        <v>13721</v>
      </c>
      <c r="E1353" s="74"/>
      <c r="F1353" s="74">
        <v>0.64</v>
      </c>
      <c r="G1353" s="74"/>
      <c r="H1353" s="74"/>
      <c r="I1353" s="74" t="s">
        <v>391</v>
      </c>
      <c r="J1353" s="74"/>
      <c r="K1353" s="74">
        <v>102.4</v>
      </c>
      <c r="L1353" s="74">
        <v>92.16</v>
      </c>
      <c r="M1353" s="74"/>
      <c r="N1353" s="74" t="s">
        <v>392</v>
      </c>
      <c r="O1353" s="74" t="s">
        <v>402</v>
      </c>
      <c r="P1353" s="74" t="s">
        <v>13722</v>
      </c>
      <c r="Q1353" s="74" t="s">
        <v>13723</v>
      </c>
    </row>
    <row r="1354" spans="3:17" x14ac:dyDescent="0.25">
      <c r="C1354" s="74" t="s">
        <v>13922</v>
      </c>
      <c r="D1354" s="74" t="s">
        <v>13923</v>
      </c>
      <c r="E1354" s="74"/>
      <c r="F1354" s="74">
        <v>0.64</v>
      </c>
      <c r="G1354" s="74"/>
      <c r="H1354" s="74"/>
      <c r="I1354" s="74" t="s">
        <v>391</v>
      </c>
      <c r="J1354" s="74"/>
      <c r="K1354" s="74">
        <v>102.4</v>
      </c>
      <c r="L1354" s="74">
        <v>92.16</v>
      </c>
      <c r="M1354" s="74"/>
      <c r="N1354" s="74" t="s">
        <v>392</v>
      </c>
      <c r="O1354" s="74" t="s">
        <v>402</v>
      </c>
      <c r="P1354" s="74" t="s">
        <v>13924</v>
      </c>
      <c r="Q1354" s="74" t="s">
        <v>13925</v>
      </c>
    </row>
    <row r="1355" spans="3:17" x14ac:dyDescent="0.25">
      <c r="C1355" s="74" t="s">
        <v>15491</v>
      </c>
      <c r="D1355" s="74" t="s">
        <v>15492</v>
      </c>
      <c r="E1355" s="74"/>
      <c r="F1355" s="74">
        <v>0.64</v>
      </c>
      <c r="G1355" s="74"/>
      <c r="H1355" s="74"/>
      <c r="I1355" s="74" t="s">
        <v>391</v>
      </c>
      <c r="J1355" s="74"/>
      <c r="K1355" s="74">
        <v>102.4</v>
      </c>
      <c r="L1355" s="74">
        <v>92.16</v>
      </c>
      <c r="M1355" s="74"/>
      <c r="N1355" s="74" t="s">
        <v>392</v>
      </c>
      <c r="O1355" s="74" t="s">
        <v>402</v>
      </c>
      <c r="P1355" s="74" t="s">
        <v>15493</v>
      </c>
      <c r="Q1355" s="74" t="s">
        <v>15494</v>
      </c>
    </row>
    <row r="1356" spans="3:17" x14ac:dyDescent="0.25">
      <c r="C1356" s="74" t="s">
        <v>16030</v>
      </c>
      <c r="D1356" s="74" t="s">
        <v>16031</v>
      </c>
      <c r="E1356" s="74" t="s">
        <v>391</v>
      </c>
      <c r="F1356" s="74">
        <v>0.64</v>
      </c>
      <c r="G1356" s="74"/>
      <c r="H1356" s="74"/>
      <c r="I1356" s="74" t="s">
        <v>391</v>
      </c>
      <c r="J1356" s="74"/>
      <c r="K1356" s="74">
        <v>102.4</v>
      </c>
      <c r="L1356" s="74">
        <v>92.16</v>
      </c>
      <c r="M1356" s="74"/>
      <c r="N1356" s="74" t="s">
        <v>392</v>
      </c>
      <c r="O1356" s="74" t="s">
        <v>402</v>
      </c>
      <c r="P1356" s="74" t="s">
        <v>16032</v>
      </c>
      <c r="Q1356" s="74" t="s">
        <v>16033</v>
      </c>
    </row>
    <row r="1357" spans="3:17" x14ac:dyDescent="0.25">
      <c r="C1357" s="74" t="s">
        <v>16506</v>
      </c>
      <c r="D1357" s="74" t="s">
        <v>16507</v>
      </c>
      <c r="E1357" s="74"/>
      <c r="F1357" s="74">
        <v>0.64</v>
      </c>
      <c r="G1357" s="74"/>
      <c r="H1357" s="74"/>
      <c r="I1357" s="74" t="s">
        <v>391</v>
      </c>
      <c r="J1357" s="74"/>
      <c r="K1357" s="74">
        <v>102.4</v>
      </c>
      <c r="L1357" s="74">
        <v>92.16</v>
      </c>
      <c r="M1357" s="74"/>
      <c r="N1357" s="74" t="s">
        <v>392</v>
      </c>
      <c r="O1357" s="74" t="s">
        <v>402</v>
      </c>
      <c r="P1357" s="74" t="s">
        <v>16508</v>
      </c>
      <c r="Q1357" s="74" t="s">
        <v>16509</v>
      </c>
    </row>
    <row r="1358" spans="3:17" x14ac:dyDescent="0.25">
      <c r="C1358" s="74" t="s">
        <v>17116</v>
      </c>
      <c r="D1358" s="74" t="s">
        <v>17117</v>
      </c>
      <c r="E1358" s="74"/>
      <c r="F1358" s="74">
        <v>0.64</v>
      </c>
      <c r="G1358" s="74"/>
      <c r="H1358" s="74"/>
      <c r="I1358" s="74" t="s">
        <v>391</v>
      </c>
      <c r="J1358" s="74"/>
      <c r="K1358" s="74">
        <v>102.4</v>
      </c>
      <c r="L1358" s="74">
        <v>92.16</v>
      </c>
      <c r="M1358" s="74"/>
      <c r="N1358" s="74" t="s">
        <v>392</v>
      </c>
      <c r="O1358" s="74" t="s">
        <v>402</v>
      </c>
      <c r="P1358" s="74" t="s">
        <v>17118</v>
      </c>
      <c r="Q1358" s="74" t="s">
        <v>17119</v>
      </c>
    </row>
    <row r="1359" spans="3:17" x14ac:dyDescent="0.25">
      <c r="C1359" s="74" t="s">
        <v>1275</v>
      </c>
      <c r="D1359" s="74" t="s">
        <v>1276</v>
      </c>
      <c r="E1359" s="74"/>
      <c r="F1359" s="74">
        <v>0.63</v>
      </c>
      <c r="G1359" s="74"/>
      <c r="H1359" s="74"/>
      <c r="I1359" s="74" t="s">
        <v>391</v>
      </c>
      <c r="J1359" s="74"/>
      <c r="K1359" s="74">
        <v>102.4</v>
      </c>
      <c r="L1359" s="74">
        <v>92.16</v>
      </c>
      <c r="M1359" s="74"/>
      <c r="N1359" s="74" t="s">
        <v>392</v>
      </c>
      <c r="O1359" s="74" t="s">
        <v>402</v>
      </c>
      <c r="P1359" s="74" t="s">
        <v>1277</v>
      </c>
      <c r="Q1359" s="74" t="s">
        <v>1278</v>
      </c>
    </row>
    <row r="1360" spans="3:17" x14ac:dyDescent="0.25">
      <c r="C1360" s="74" t="s">
        <v>5548</v>
      </c>
      <c r="D1360" s="74" t="s">
        <v>5549</v>
      </c>
      <c r="E1360" s="74"/>
      <c r="F1360" s="74">
        <v>0.63</v>
      </c>
      <c r="G1360" s="74"/>
      <c r="H1360" s="74"/>
      <c r="I1360" s="74" t="s">
        <v>391</v>
      </c>
      <c r="J1360" s="74"/>
      <c r="K1360" s="74">
        <v>102.4</v>
      </c>
      <c r="L1360" s="74">
        <v>92.16</v>
      </c>
      <c r="M1360" s="74"/>
      <c r="N1360" s="74" t="s">
        <v>392</v>
      </c>
      <c r="O1360" s="74" t="s">
        <v>402</v>
      </c>
      <c r="P1360" s="74" t="s">
        <v>5550</v>
      </c>
      <c r="Q1360" s="74" t="s">
        <v>5551</v>
      </c>
    </row>
    <row r="1361" spans="3:17" x14ac:dyDescent="0.25">
      <c r="C1361" s="74" t="s">
        <v>7537</v>
      </c>
      <c r="D1361" s="74" t="s">
        <v>7538</v>
      </c>
      <c r="E1361" s="74"/>
      <c r="F1361" s="74">
        <v>0.63</v>
      </c>
      <c r="G1361" s="74"/>
      <c r="H1361" s="74"/>
      <c r="I1361" s="74" t="s">
        <v>391</v>
      </c>
      <c r="J1361" s="74"/>
      <c r="K1361" s="74">
        <v>102.4</v>
      </c>
      <c r="L1361" s="74">
        <v>92.16</v>
      </c>
      <c r="M1361" s="74"/>
      <c r="N1361" s="74" t="s">
        <v>392</v>
      </c>
      <c r="O1361" s="74" t="s">
        <v>402</v>
      </c>
      <c r="P1361" s="74" t="s">
        <v>7539</v>
      </c>
      <c r="Q1361" s="74" t="s">
        <v>7540</v>
      </c>
    </row>
    <row r="1362" spans="3:17" x14ac:dyDescent="0.25">
      <c r="C1362" s="74" t="s">
        <v>7753</v>
      </c>
      <c r="D1362" s="74" t="s">
        <v>7754</v>
      </c>
      <c r="E1362" s="74"/>
      <c r="F1362" s="74">
        <v>0.63</v>
      </c>
      <c r="G1362" s="74"/>
      <c r="H1362" s="74"/>
      <c r="I1362" s="74" t="s">
        <v>391</v>
      </c>
      <c r="J1362" s="74"/>
      <c r="K1362" s="74">
        <v>102.4</v>
      </c>
      <c r="L1362" s="74">
        <v>92.16</v>
      </c>
      <c r="M1362" s="74"/>
      <c r="N1362" s="74" t="s">
        <v>392</v>
      </c>
      <c r="O1362" s="74" t="s">
        <v>402</v>
      </c>
      <c r="P1362" s="74" t="s">
        <v>7755</v>
      </c>
      <c r="Q1362" s="74" t="s">
        <v>7756</v>
      </c>
    </row>
    <row r="1363" spans="3:17" x14ac:dyDescent="0.25">
      <c r="C1363" s="74" t="s">
        <v>9907</v>
      </c>
      <c r="D1363" s="74" t="s">
        <v>9908</v>
      </c>
      <c r="E1363" s="74" t="s">
        <v>391</v>
      </c>
      <c r="F1363" s="74">
        <v>0.63</v>
      </c>
      <c r="G1363" s="74"/>
      <c r="H1363" s="74"/>
      <c r="I1363" s="74" t="s">
        <v>391</v>
      </c>
      <c r="J1363" s="74"/>
      <c r="K1363" s="74">
        <v>102.4</v>
      </c>
      <c r="L1363" s="74">
        <v>92.16</v>
      </c>
      <c r="M1363" s="74"/>
      <c r="N1363" s="74" t="s">
        <v>392</v>
      </c>
      <c r="O1363" s="74" t="s">
        <v>393</v>
      </c>
      <c r="P1363" s="74"/>
      <c r="Q1363" s="74" t="s">
        <v>9909</v>
      </c>
    </row>
    <row r="1364" spans="3:17" x14ac:dyDescent="0.25">
      <c r="C1364" s="74" t="s">
        <v>11822</v>
      </c>
      <c r="D1364" s="74" t="s">
        <v>11823</v>
      </c>
      <c r="E1364" s="74"/>
      <c r="F1364" s="74">
        <v>0.63</v>
      </c>
      <c r="G1364" s="74"/>
      <c r="H1364" s="74"/>
      <c r="I1364" s="74" t="s">
        <v>391</v>
      </c>
      <c r="J1364" s="74"/>
      <c r="K1364" s="74">
        <v>102.4</v>
      </c>
      <c r="L1364" s="74">
        <v>92.16</v>
      </c>
      <c r="M1364" s="74"/>
      <c r="N1364" s="74" t="s">
        <v>392</v>
      </c>
      <c r="O1364" s="74" t="s">
        <v>402</v>
      </c>
      <c r="P1364" s="74" t="s">
        <v>11824</v>
      </c>
      <c r="Q1364" s="74" t="s">
        <v>11825</v>
      </c>
    </row>
    <row r="1365" spans="3:17" x14ac:dyDescent="0.25">
      <c r="C1365" s="74" t="s">
        <v>13929</v>
      </c>
      <c r="D1365" s="74" t="s">
        <v>13930</v>
      </c>
      <c r="E1365" s="74"/>
      <c r="F1365" s="74">
        <v>0.63</v>
      </c>
      <c r="G1365" s="74"/>
      <c r="H1365" s="74"/>
      <c r="I1365" s="74" t="s">
        <v>391</v>
      </c>
      <c r="J1365" s="74"/>
      <c r="K1365" s="74">
        <v>102.4</v>
      </c>
      <c r="L1365" s="74">
        <v>92.16</v>
      </c>
      <c r="M1365" s="74"/>
      <c r="N1365" s="74" t="s">
        <v>392</v>
      </c>
      <c r="O1365" s="74" t="s">
        <v>402</v>
      </c>
      <c r="P1365" s="74" t="s">
        <v>13931</v>
      </c>
      <c r="Q1365" s="74" t="s">
        <v>13932</v>
      </c>
    </row>
    <row r="1366" spans="3:17" x14ac:dyDescent="0.25">
      <c r="C1366" s="74" t="s">
        <v>16042</v>
      </c>
      <c r="D1366" s="74" t="s">
        <v>16043</v>
      </c>
      <c r="E1366" s="74"/>
      <c r="F1366" s="74">
        <v>0.63</v>
      </c>
      <c r="G1366" s="74"/>
      <c r="H1366" s="74"/>
      <c r="I1366" s="74" t="s">
        <v>391</v>
      </c>
      <c r="J1366" s="74"/>
      <c r="K1366" s="74">
        <v>102.4</v>
      </c>
      <c r="L1366" s="74">
        <v>92.16</v>
      </c>
      <c r="M1366" s="74"/>
      <c r="N1366" s="74" t="s">
        <v>392</v>
      </c>
      <c r="O1366" s="74" t="s">
        <v>402</v>
      </c>
      <c r="P1366" s="74" t="s">
        <v>16044</v>
      </c>
      <c r="Q1366" s="74" t="s">
        <v>16045</v>
      </c>
    </row>
    <row r="1367" spans="3:17" x14ac:dyDescent="0.25">
      <c r="C1367" s="74" t="s">
        <v>16527</v>
      </c>
      <c r="D1367" s="74" t="s">
        <v>16528</v>
      </c>
      <c r="E1367" s="74" t="s">
        <v>391</v>
      </c>
      <c r="F1367" s="74">
        <v>0.63</v>
      </c>
      <c r="G1367" s="74"/>
      <c r="H1367" s="74"/>
      <c r="I1367" s="74" t="s">
        <v>391</v>
      </c>
      <c r="J1367" s="74"/>
      <c r="K1367" s="74">
        <v>102.4</v>
      </c>
      <c r="L1367" s="74">
        <v>92.16</v>
      </c>
      <c r="M1367" s="74"/>
      <c r="N1367" s="74" t="s">
        <v>392</v>
      </c>
      <c r="O1367" s="74" t="s">
        <v>393</v>
      </c>
      <c r="P1367" s="74" t="s">
        <v>16529</v>
      </c>
      <c r="Q1367" s="74" t="s">
        <v>16530</v>
      </c>
    </row>
    <row r="1368" spans="3:17" x14ac:dyDescent="0.25">
      <c r="C1368" s="74" t="s">
        <v>16681</v>
      </c>
      <c r="D1368" s="74" t="s">
        <v>16682</v>
      </c>
      <c r="E1368" s="74"/>
      <c r="F1368" s="74">
        <v>0.63</v>
      </c>
      <c r="G1368" s="74"/>
      <c r="H1368" s="74"/>
      <c r="I1368" s="74" t="s">
        <v>391</v>
      </c>
      <c r="J1368" s="74"/>
      <c r="K1368" s="74">
        <v>102.4</v>
      </c>
      <c r="L1368" s="74">
        <v>92.16</v>
      </c>
      <c r="M1368" s="74"/>
      <c r="N1368" s="74" t="s">
        <v>392</v>
      </c>
      <c r="O1368" s="74" t="s">
        <v>402</v>
      </c>
      <c r="P1368" s="74" t="s">
        <v>16683</v>
      </c>
      <c r="Q1368" s="74" t="s">
        <v>16684</v>
      </c>
    </row>
    <row r="1369" spans="3:17" x14ac:dyDescent="0.25">
      <c r="C1369" s="74" t="s">
        <v>3055</v>
      </c>
      <c r="D1369" s="74" t="s">
        <v>3056</v>
      </c>
      <c r="E1369" s="74"/>
      <c r="F1369" s="74">
        <v>0.62</v>
      </c>
      <c r="G1369" s="74"/>
      <c r="H1369" s="74"/>
      <c r="I1369" s="74" t="s">
        <v>391</v>
      </c>
      <c r="J1369" s="74"/>
      <c r="K1369" s="74">
        <v>102.4</v>
      </c>
      <c r="L1369" s="74">
        <v>92.16</v>
      </c>
      <c r="M1369" s="74"/>
      <c r="N1369" s="74" t="s">
        <v>392</v>
      </c>
      <c r="O1369" s="74" t="s">
        <v>402</v>
      </c>
      <c r="P1369" s="74" t="s">
        <v>3057</v>
      </c>
      <c r="Q1369" s="74" t="s">
        <v>3058</v>
      </c>
    </row>
    <row r="1370" spans="3:17" x14ac:dyDescent="0.25">
      <c r="C1370" s="74" t="s">
        <v>4532</v>
      </c>
      <c r="D1370" s="74" t="s">
        <v>4533</v>
      </c>
      <c r="E1370" s="74"/>
      <c r="F1370" s="74">
        <v>0.62</v>
      </c>
      <c r="G1370" s="74"/>
      <c r="H1370" s="74"/>
      <c r="I1370" s="74" t="s">
        <v>391</v>
      </c>
      <c r="J1370" s="74"/>
      <c r="K1370" s="74">
        <v>102.4</v>
      </c>
      <c r="L1370" s="74">
        <v>92.16</v>
      </c>
      <c r="M1370" s="74"/>
      <c r="N1370" s="74" t="s">
        <v>392</v>
      </c>
      <c r="O1370" s="74" t="s">
        <v>402</v>
      </c>
      <c r="P1370" s="74" t="s">
        <v>4534</v>
      </c>
      <c r="Q1370" s="74" t="s">
        <v>4535</v>
      </c>
    </row>
    <row r="1371" spans="3:17" x14ac:dyDescent="0.25">
      <c r="C1371" s="74" t="s">
        <v>6192</v>
      </c>
      <c r="D1371" s="74" t="s">
        <v>6193</v>
      </c>
      <c r="E1371" s="74"/>
      <c r="F1371" s="74">
        <v>0.62</v>
      </c>
      <c r="G1371" s="74"/>
      <c r="H1371" s="74"/>
      <c r="I1371" s="74" t="s">
        <v>391</v>
      </c>
      <c r="J1371" s="74"/>
      <c r="K1371" s="74">
        <v>102.4</v>
      </c>
      <c r="L1371" s="74">
        <v>92.16</v>
      </c>
      <c r="M1371" s="74"/>
      <c r="N1371" s="74" t="s">
        <v>392</v>
      </c>
      <c r="O1371" s="74" t="s">
        <v>402</v>
      </c>
      <c r="P1371" s="74" t="s">
        <v>6194</v>
      </c>
      <c r="Q1371" s="74" t="s">
        <v>6195</v>
      </c>
    </row>
    <row r="1372" spans="3:17" x14ac:dyDescent="0.25">
      <c r="C1372" s="74" t="s">
        <v>10470</v>
      </c>
      <c r="D1372" s="74" t="s">
        <v>10471</v>
      </c>
      <c r="E1372" s="74"/>
      <c r="F1372" s="74">
        <v>0.62</v>
      </c>
      <c r="G1372" s="74"/>
      <c r="H1372" s="74"/>
      <c r="I1372" s="74" t="s">
        <v>391</v>
      </c>
      <c r="J1372" s="74"/>
      <c r="K1372" s="74">
        <v>102.4</v>
      </c>
      <c r="L1372" s="74">
        <v>92.16</v>
      </c>
      <c r="M1372" s="74"/>
      <c r="N1372" s="74" t="s">
        <v>392</v>
      </c>
      <c r="O1372" s="74" t="s">
        <v>402</v>
      </c>
      <c r="P1372" s="74" t="s">
        <v>10472</v>
      </c>
      <c r="Q1372" s="74" t="s">
        <v>10473</v>
      </c>
    </row>
    <row r="1373" spans="3:17" x14ac:dyDescent="0.25">
      <c r="C1373" s="74" t="s">
        <v>10536</v>
      </c>
      <c r="D1373" s="74" t="s">
        <v>10537</v>
      </c>
      <c r="E1373" s="74"/>
      <c r="F1373" s="74">
        <v>0.62</v>
      </c>
      <c r="G1373" s="74"/>
      <c r="H1373" s="74"/>
      <c r="I1373" s="74" t="s">
        <v>391</v>
      </c>
      <c r="J1373" s="74"/>
      <c r="K1373" s="74">
        <v>102.4</v>
      </c>
      <c r="L1373" s="74">
        <v>92.16</v>
      </c>
      <c r="M1373" s="74"/>
      <c r="N1373" s="74" t="s">
        <v>392</v>
      </c>
      <c r="O1373" s="74" t="s">
        <v>402</v>
      </c>
      <c r="P1373" s="74" t="s">
        <v>10538</v>
      </c>
      <c r="Q1373" s="74" t="s">
        <v>10539</v>
      </c>
    </row>
    <row r="1374" spans="3:17" x14ac:dyDescent="0.25">
      <c r="C1374" s="74" t="s">
        <v>11555</v>
      </c>
      <c r="D1374" s="74" t="s">
        <v>11556</v>
      </c>
      <c r="E1374" s="74"/>
      <c r="F1374" s="74">
        <v>0.62</v>
      </c>
      <c r="G1374" s="74"/>
      <c r="H1374" s="74"/>
      <c r="I1374" s="74" t="s">
        <v>391</v>
      </c>
      <c r="J1374" s="74"/>
      <c r="K1374" s="74">
        <v>102.4</v>
      </c>
      <c r="L1374" s="74">
        <v>92.16</v>
      </c>
      <c r="M1374" s="74"/>
      <c r="N1374" s="74" t="s">
        <v>392</v>
      </c>
      <c r="O1374" s="74" t="s">
        <v>402</v>
      </c>
      <c r="P1374" s="74" t="s">
        <v>11557</v>
      </c>
      <c r="Q1374" s="74" t="s">
        <v>11558</v>
      </c>
    </row>
    <row r="1375" spans="3:17" x14ac:dyDescent="0.25">
      <c r="C1375" s="74" t="s">
        <v>11940</v>
      </c>
      <c r="D1375" s="74" t="s">
        <v>11941</v>
      </c>
      <c r="E1375" s="74"/>
      <c r="F1375" s="74">
        <v>0.62</v>
      </c>
      <c r="G1375" s="74"/>
      <c r="H1375" s="74"/>
      <c r="I1375" s="74" t="s">
        <v>391</v>
      </c>
      <c r="J1375" s="74"/>
      <c r="K1375" s="74">
        <v>102.4</v>
      </c>
      <c r="L1375" s="74">
        <v>92.16</v>
      </c>
      <c r="M1375" s="74"/>
      <c r="N1375" s="74" t="s">
        <v>392</v>
      </c>
      <c r="O1375" s="74" t="s">
        <v>402</v>
      </c>
      <c r="P1375" s="74" t="s">
        <v>11942</v>
      </c>
      <c r="Q1375" s="74" t="s">
        <v>11943</v>
      </c>
    </row>
    <row r="1376" spans="3:17" x14ac:dyDescent="0.25">
      <c r="C1376" s="74" t="s">
        <v>12509</v>
      </c>
      <c r="D1376" s="74" t="s">
        <v>12510</v>
      </c>
      <c r="E1376" s="74"/>
      <c r="F1376" s="74">
        <v>0.62</v>
      </c>
      <c r="G1376" s="74"/>
      <c r="H1376" s="74"/>
      <c r="I1376" s="74" t="s">
        <v>391</v>
      </c>
      <c r="J1376" s="74"/>
      <c r="K1376" s="74">
        <v>102.4</v>
      </c>
      <c r="L1376" s="74">
        <v>92.16</v>
      </c>
      <c r="M1376" s="74"/>
      <c r="N1376" s="74" t="s">
        <v>392</v>
      </c>
      <c r="O1376" s="74" t="s">
        <v>402</v>
      </c>
      <c r="P1376" s="74" t="s">
        <v>12511</v>
      </c>
      <c r="Q1376" s="74" t="s">
        <v>12512</v>
      </c>
    </row>
    <row r="1377" spans="3:17" x14ac:dyDescent="0.25">
      <c r="C1377" s="74" t="s">
        <v>18314</v>
      </c>
      <c r="D1377" s="74" t="s">
        <v>18315</v>
      </c>
      <c r="E1377" s="74"/>
      <c r="F1377" s="74">
        <v>0.62</v>
      </c>
      <c r="G1377" s="74"/>
      <c r="H1377" s="74"/>
      <c r="I1377" s="74" t="s">
        <v>391</v>
      </c>
      <c r="J1377" s="74"/>
      <c r="K1377" s="74">
        <v>102.4</v>
      </c>
      <c r="L1377" s="74">
        <v>92.16</v>
      </c>
      <c r="M1377" s="74"/>
      <c r="N1377" s="74" t="s">
        <v>392</v>
      </c>
      <c r="O1377" s="74" t="s">
        <v>402</v>
      </c>
      <c r="P1377" s="74" t="s">
        <v>18316</v>
      </c>
      <c r="Q1377" s="74" t="s">
        <v>18317</v>
      </c>
    </row>
    <row r="1378" spans="3:17" x14ac:dyDescent="0.25">
      <c r="C1378" s="74" t="s">
        <v>19995</v>
      </c>
      <c r="D1378" s="74" t="s">
        <v>19996</v>
      </c>
      <c r="E1378" s="74"/>
      <c r="F1378" s="74">
        <v>0.62</v>
      </c>
      <c r="G1378" s="74"/>
      <c r="H1378" s="74"/>
      <c r="I1378" s="74" t="s">
        <v>391</v>
      </c>
      <c r="J1378" s="74"/>
      <c r="K1378" s="74">
        <v>102.4</v>
      </c>
      <c r="L1378" s="74">
        <v>92.16</v>
      </c>
      <c r="M1378" s="74"/>
      <c r="N1378" s="74" t="s">
        <v>392</v>
      </c>
      <c r="O1378" s="74" t="s">
        <v>402</v>
      </c>
      <c r="P1378" s="74" t="s">
        <v>19997</v>
      </c>
      <c r="Q1378" s="74" t="s">
        <v>19998</v>
      </c>
    </row>
    <row r="1379" spans="3:17" x14ac:dyDescent="0.25">
      <c r="C1379" s="74" t="s">
        <v>3827</v>
      </c>
      <c r="D1379" s="74" t="s">
        <v>3828</v>
      </c>
      <c r="E1379" s="74"/>
      <c r="F1379" s="74">
        <v>0.61</v>
      </c>
      <c r="G1379" s="74"/>
      <c r="H1379" s="74"/>
      <c r="I1379" s="74" t="s">
        <v>391</v>
      </c>
      <c r="J1379" s="74"/>
      <c r="K1379" s="74">
        <v>102.4</v>
      </c>
      <c r="L1379" s="74">
        <v>92.16</v>
      </c>
      <c r="M1379" s="74"/>
      <c r="N1379" s="74" t="s">
        <v>392</v>
      </c>
      <c r="O1379" s="74" t="s">
        <v>402</v>
      </c>
      <c r="P1379" s="74" t="s">
        <v>3829</v>
      </c>
      <c r="Q1379" s="74" t="s">
        <v>3830</v>
      </c>
    </row>
    <row r="1380" spans="3:17" x14ac:dyDescent="0.25">
      <c r="C1380" s="74" t="s">
        <v>3974</v>
      </c>
      <c r="D1380" s="74" t="s">
        <v>3975</v>
      </c>
      <c r="E1380" s="74"/>
      <c r="F1380" s="74">
        <v>0.61</v>
      </c>
      <c r="G1380" s="74"/>
      <c r="H1380" s="74"/>
      <c r="I1380" s="74" t="s">
        <v>391</v>
      </c>
      <c r="J1380" s="74"/>
      <c r="K1380" s="74">
        <v>102.4</v>
      </c>
      <c r="L1380" s="74">
        <v>92.16</v>
      </c>
      <c r="M1380" s="74"/>
      <c r="N1380" s="74" t="s">
        <v>392</v>
      </c>
      <c r="O1380" s="74" t="s">
        <v>402</v>
      </c>
      <c r="P1380" s="74" t="s">
        <v>3976</v>
      </c>
      <c r="Q1380" s="74" t="s">
        <v>3977</v>
      </c>
    </row>
    <row r="1381" spans="3:17" x14ac:dyDescent="0.25">
      <c r="C1381" s="74" t="s">
        <v>4433</v>
      </c>
      <c r="D1381" s="74" t="s">
        <v>4434</v>
      </c>
      <c r="E1381" s="74"/>
      <c r="F1381" s="74">
        <v>0.61</v>
      </c>
      <c r="G1381" s="74"/>
      <c r="H1381" s="74"/>
      <c r="I1381" s="74" t="s">
        <v>391</v>
      </c>
      <c r="J1381" s="74"/>
      <c r="K1381" s="74">
        <v>102.4</v>
      </c>
      <c r="L1381" s="74">
        <v>92.16</v>
      </c>
      <c r="M1381" s="74"/>
      <c r="N1381" s="74" t="s">
        <v>392</v>
      </c>
      <c r="O1381" s="74" t="s">
        <v>402</v>
      </c>
      <c r="P1381" s="74" t="s">
        <v>4435</v>
      </c>
      <c r="Q1381" s="74" t="s">
        <v>4436</v>
      </c>
    </row>
    <row r="1382" spans="3:17" x14ac:dyDescent="0.25">
      <c r="C1382" s="74" t="s">
        <v>4667</v>
      </c>
      <c r="D1382" s="74" t="s">
        <v>4668</v>
      </c>
      <c r="E1382" s="74"/>
      <c r="F1382" s="74">
        <v>0.61</v>
      </c>
      <c r="G1382" s="74"/>
      <c r="H1382" s="74"/>
      <c r="I1382" s="74" t="s">
        <v>391</v>
      </c>
      <c r="J1382" s="74"/>
      <c r="K1382" s="74">
        <v>102.4</v>
      </c>
      <c r="L1382" s="74">
        <v>92.16</v>
      </c>
      <c r="M1382" s="74"/>
      <c r="N1382" s="74" t="s">
        <v>392</v>
      </c>
      <c r="O1382" s="74" t="s">
        <v>402</v>
      </c>
      <c r="P1382" s="74" t="s">
        <v>4669</v>
      </c>
      <c r="Q1382" s="74" t="s">
        <v>4670</v>
      </c>
    </row>
    <row r="1383" spans="3:17" x14ac:dyDescent="0.25">
      <c r="C1383" s="74" t="s">
        <v>5208</v>
      </c>
      <c r="D1383" s="74" t="s">
        <v>5209</v>
      </c>
      <c r="E1383" s="74"/>
      <c r="F1383" s="74">
        <v>0.61</v>
      </c>
      <c r="G1383" s="74"/>
      <c r="H1383" s="74"/>
      <c r="I1383" s="74" t="s">
        <v>391</v>
      </c>
      <c r="J1383" s="74"/>
      <c r="K1383" s="74">
        <v>102.4</v>
      </c>
      <c r="L1383" s="74">
        <v>92.16</v>
      </c>
      <c r="M1383" s="74"/>
      <c r="N1383" s="74" t="s">
        <v>392</v>
      </c>
      <c r="O1383" s="74" t="s">
        <v>402</v>
      </c>
      <c r="P1383" s="74" t="s">
        <v>5210</v>
      </c>
      <c r="Q1383" s="74" t="s">
        <v>5211</v>
      </c>
    </row>
    <row r="1384" spans="3:17" x14ac:dyDescent="0.25">
      <c r="C1384" s="74" t="s">
        <v>7232</v>
      </c>
      <c r="D1384" s="74" t="s">
        <v>7233</v>
      </c>
      <c r="E1384" s="74"/>
      <c r="F1384" s="74">
        <v>0.61</v>
      </c>
      <c r="G1384" s="74"/>
      <c r="H1384" s="74"/>
      <c r="I1384" s="74" t="s">
        <v>391</v>
      </c>
      <c r="J1384" s="74"/>
      <c r="K1384" s="74">
        <v>102.4</v>
      </c>
      <c r="L1384" s="74">
        <v>92.16</v>
      </c>
      <c r="M1384" s="74"/>
      <c r="N1384" s="74" t="s">
        <v>392</v>
      </c>
      <c r="O1384" s="74" t="s">
        <v>402</v>
      </c>
      <c r="P1384" s="74" t="s">
        <v>7234</v>
      </c>
      <c r="Q1384" s="74" t="s">
        <v>7235</v>
      </c>
    </row>
    <row r="1385" spans="3:17" x14ac:dyDescent="0.25">
      <c r="C1385" s="74" t="s">
        <v>10970</v>
      </c>
      <c r="D1385" s="74" t="s">
        <v>10971</v>
      </c>
      <c r="E1385" s="74"/>
      <c r="F1385" s="74">
        <v>0.61</v>
      </c>
      <c r="G1385" s="74"/>
      <c r="H1385" s="74"/>
      <c r="I1385" s="74" t="s">
        <v>391</v>
      </c>
      <c r="J1385" s="74"/>
      <c r="K1385" s="74">
        <v>102.4</v>
      </c>
      <c r="L1385" s="74">
        <v>92.16</v>
      </c>
      <c r="M1385" s="74"/>
      <c r="N1385" s="74" t="s">
        <v>392</v>
      </c>
      <c r="O1385" s="74" t="s">
        <v>402</v>
      </c>
      <c r="P1385" s="74" t="s">
        <v>10972</v>
      </c>
      <c r="Q1385" s="74" t="s">
        <v>10973</v>
      </c>
    </row>
    <row r="1386" spans="3:17" x14ac:dyDescent="0.25">
      <c r="C1386" s="74" t="s">
        <v>11392</v>
      </c>
      <c r="D1386" s="74" t="s">
        <v>11393</v>
      </c>
      <c r="E1386" s="74"/>
      <c r="F1386" s="74">
        <v>0.61</v>
      </c>
      <c r="G1386" s="74"/>
      <c r="H1386" s="74"/>
      <c r="I1386" s="74" t="s">
        <v>391</v>
      </c>
      <c r="J1386" s="74"/>
      <c r="K1386" s="74">
        <v>102.4</v>
      </c>
      <c r="L1386" s="74">
        <v>92.16</v>
      </c>
      <c r="M1386" s="74"/>
      <c r="N1386" s="74" t="s">
        <v>392</v>
      </c>
      <c r="O1386" s="74" t="s">
        <v>402</v>
      </c>
      <c r="P1386" s="74" t="s">
        <v>11394</v>
      </c>
      <c r="Q1386" s="74" t="s">
        <v>11395</v>
      </c>
    </row>
    <row r="1387" spans="3:17" x14ac:dyDescent="0.25">
      <c r="C1387" s="74" t="s">
        <v>11424</v>
      </c>
      <c r="D1387" s="74" t="s">
        <v>11425</v>
      </c>
      <c r="E1387" s="74"/>
      <c r="F1387" s="74">
        <v>0.61</v>
      </c>
      <c r="G1387" s="74"/>
      <c r="H1387" s="74"/>
      <c r="I1387" s="74" t="s">
        <v>391</v>
      </c>
      <c r="J1387" s="74"/>
      <c r="K1387" s="74">
        <v>102.4</v>
      </c>
      <c r="L1387" s="74">
        <v>92.16</v>
      </c>
      <c r="M1387" s="74"/>
      <c r="N1387" s="74" t="s">
        <v>392</v>
      </c>
      <c r="O1387" s="74" t="s">
        <v>402</v>
      </c>
      <c r="P1387" s="74" t="s">
        <v>11426</v>
      </c>
      <c r="Q1387" s="74" t="s">
        <v>11427</v>
      </c>
    </row>
    <row r="1388" spans="3:17" x14ac:dyDescent="0.25">
      <c r="C1388" s="74" t="s">
        <v>12285</v>
      </c>
      <c r="D1388" s="74" t="s">
        <v>12286</v>
      </c>
      <c r="E1388" s="74"/>
      <c r="F1388" s="74">
        <v>0.61</v>
      </c>
      <c r="G1388" s="74"/>
      <c r="H1388" s="74"/>
      <c r="I1388" s="74" t="s">
        <v>391</v>
      </c>
      <c r="J1388" s="74"/>
      <c r="K1388" s="74">
        <v>102.4</v>
      </c>
      <c r="L1388" s="74">
        <v>92.16</v>
      </c>
      <c r="M1388" s="74"/>
      <c r="N1388" s="74" t="s">
        <v>392</v>
      </c>
      <c r="O1388" s="74" t="s">
        <v>402</v>
      </c>
      <c r="P1388" s="74" t="s">
        <v>12287</v>
      </c>
      <c r="Q1388" s="74" t="s">
        <v>12288</v>
      </c>
    </row>
    <row r="1389" spans="3:17" x14ac:dyDescent="0.25">
      <c r="C1389" s="74" t="s">
        <v>13215</v>
      </c>
      <c r="D1389" s="74" t="s">
        <v>13216</v>
      </c>
      <c r="E1389" s="74"/>
      <c r="F1389" s="74">
        <v>0.61</v>
      </c>
      <c r="G1389" s="74"/>
      <c r="H1389" s="74"/>
      <c r="I1389" s="74" t="s">
        <v>391</v>
      </c>
      <c r="J1389" s="74"/>
      <c r="K1389" s="74">
        <v>102.4</v>
      </c>
      <c r="L1389" s="74">
        <v>92.16</v>
      </c>
      <c r="M1389" s="74"/>
      <c r="N1389" s="74" t="s">
        <v>392</v>
      </c>
      <c r="O1389" s="74" t="s">
        <v>402</v>
      </c>
      <c r="P1389" s="74" t="s">
        <v>13217</v>
      </c>
      <c r="Q1389" s="74" t="s">
        <v>13218</v>
      </c>
    </row>
    <row r="1390" spans="3:17" x14ac:dyDescent="0.25">
      <c r="C1390" s="74" t="s">
        <v>13559</v>
      </c>
      <c r="D1390" s="74" t="s">
        <v>13560</v>
      </c>
      <c r="E1390" s="74"/>
      <c r="F1390" s="74">
        <v>0.61</v>
      </c>
      <c r="G1390" s="74"/>
      <c r="H1390" s="74"/>
      <c r="I1390" s="74" t="s">
        <v>391</v>
      </c>
      <c r="J1390" s="74"/>
      <c r="K1390" s="74">
        <v>102.4</v>
      </c>
      <c r="L1390" s="74">
        <v>92.16</v>
      </c>
      <c r="M1390" s="74"/>
      <c r="N1390" s="74" t="s">
        <v>392</v>
      </c>
      <c r="O1390" s="74" t="s">
        <v>402</v>
      </c>
      <c r="P1390" s="74" t="s">
        <v>13561</v>
      </c>
      <c r="Q1390" s="74" t="s">
        <v>13562</v>
      </c>
    </row>
    <row r="1391" spans="3:17" x14ac:dyDescent="0.25">
      <c r="C1391" s="74" t="s">
        <v>13563</v>
      </c>
      <c r="D1391" s="74" t="s">
        <v>13564</v>
      </c>
      <c r="E1391" s="74"/>
      <c r="F1391" s="74">
        <v>0.61</v>
      </c>
      <c r="G1391" s="74"/>
      <c r="H1391" s="74"/>
      <c r="I1391" s="74" t="s">
        <v>391</v>
      </c>
      <c r="J1391" s="74"/>
      <c r="K1391" s="74">
        <v>102.4</v>
      </c>
      <c r="L1391" s="74">
        <v>92.16</v>
      </c>
      <c r="M1391" s="74"/>
      <c r="N1391" s="74" t="s">
        <v>392</v>
      </c>
      <c r="O1391" s="74" t="s">
        <v>402</v>
      </c>
      <c r="P1391" s="74" t="s">
        <v>13565</v>
      </c>
      <c r="Q1391" s="74" t="s">
        <v>13566</v>
      </c>
    </row>
    <row r="1392" spans="3:17" x14ac:dyDescent="0.25">
      <c r="C1392" s="74" t="s">
        <v>13836</v>
      </c>
      <c r="D1392" s="74" t="s">
        <v>13837</v>
      </c>
      <c r="E1392" s="74"/>
      <c r="F1392" s="74">
        <v>0.61</v>
      </c>
      <c r="G1392" s="74"/>
      <c r="H1392" s="74"/>
      <c r="I1392" s="74" t="s">
        <v>391</v>
      </c>
      <c r="J1392" s="74"/>
      <c r="K1392" s="74">
        <v>102.4</v>
      </c>
      <c r="L1392" s="74">
        <v>92.16</v>
      </c>
      <c r="M1392" s="74"/>
      <c r="N1392" s="74" t="s">
        <v>392</v>
      </c>
      <c r="O1392" s="74" t="s">
        <v>402</v>
      </c>
      <c r="P1392" s="74" t="s">
        <v>13838</v>
      </c>
      <c r="Q1392" s="74" t="s">
        <v>13839</v>
      </c>
    </row>
    <row r="1393" spans="3:17" x14ac:dyDescent="0.25">
      <c r="C1393" s="74" t="s">
        <v>13893</v>
      </c>
      <c r="D1393" s="74" t="s">
        <v>13894</v>
      </c>
      <c r="E1393" s="74"/>
      <c r="F1393" s="74">
        <v>0.61</v>
      </c>
      <c r="G1393" s="74"/>
      <c r="H1393" s="74"/>
      <c r="I1393" s="74" t="s">
        <v>391</v>
      </c>
      <c r="J1393" s="74"/>
      <c r="K1393" s="74">
        <v>102.4</v>
      </c>
      <c r="L1393" s="74">
        <v>92.16</v>
      </c>
      <c r="M1393" s="74"/>
      <c r="N1393" s="74" t="s">
        <v>392</v>
      </c>
      <c r="O1393" s="74" t="s">
        <v>402</v>
      </c>
      <c r="P1393" s="74" t="s">
        <v>13895</v>
      </c>
      <c r="Q1393" s="74" t="s">
        <v>13896</v>
      </c>
    </row>
    <row r="1394" spans="3:17" x14ac:dyDescent="0.25">
      <c r="C1394" s="74" t="s">
        <v>16128</v>
      </c>
      <c r="D1394" s="74" t="s">
        <v>16129</v>
      </c>
      <c r="E1394" s="74"/>
      <c r="F1394" s="74">
        <v>0.61</v>
      </c>
      <c r="G1394" s="74"/>
      <c r="H1394" s="74"/>
      <c r="I1394" s="74" t="s">
        <v>391</v>
      </c>
      <c r="J1394" s="74"/>
      <c r="K1394" s="74">
        <v>102.4</v>
      </c>
      <c r="L1394" s="74">
        <v>92.16</v>
      </c>
      <c r="M1394" s="74"/>
      <c r="N1394" s="74" t="s">
        <v>392</v>
      </c>
      <c r="O1394" s="74" t="s">
        <v>402</v>
      </c>
      <c r="P1394" s="74" t="s">
        <v>16130</v>
      </c>
      <c r="Q1394" s="74" t="s">
        <v>16131</v>
      </c>
    </row>
    <row r="1395" spans="3:17" x14ac:dyDescent="0.25">
      <c r="C1395" s="74" t="s">
        <v>19164</v>
      </c>
      <c r="D1395" s="74" t="s">
        <v>19165</v>
      </c>
      <c r="E1395" s="74"/>
      <c r="F1395" s="74">
        <v>0.61</v>
      </c>
      <c r="G1395" s="74"/>
      <c r="H1395" s="74"/>
      <c r="I1395" s="74" t="s">
        <v>391</v>
      </c>
      <c r="J1395" s="74"/>
      <c r="K1395" s="74">
        <v>102.4</v>
      </c>
      <c r="L1395" s="74">
        <v>92.16</v>
      </c>
      <c r="M1395" s="74"/>
      <c r="N1395" s="74" t="s">
        <v>392</v>
      </c>
      <c r="O1395" s="74" t="s">
        <v>402</v>
      </c>
      <c r="P1395" s="74" t="s">
        <v>19166</v>
      </c>
      <c r="Q1395" s="74" t="s">
        <v>19167</v>
      </c>
    </row>
    <row r="1396" spans="3:17" x14ac:dyDescent="0.25">
      <c r="C1396" s="74" t="s">
        <v>20523</v>
      </c>
      <c r="D1396" s="74" t="s">
        <v>20524</v>
      </c>
      <c r="E1396" s="74"/>
      <c r="F1396" s="74">
        <v>0.61</v>
      </c>
      <c r="G1396" s="74"/>
      <c r="H1396" s="74"/>
      <c r="I1396" s="74" t="s">
        <v>391</v>
      </c>
      <c r="J1396" s="74"/>
      <c r="K1396" s="74">
        <v>102.4</v>
      </c>
      <c r="L1396" s="74">
        <v>92.16</v>
      </c>
      <c r="M1396" s="74"/>
      <c r="N1396" s="74" t="s">
        <v>392</v>
      </c>
      <c r="O1396" s="74" t="s">
        <v>402</v>
      </c>
      <c r="P1396" s="74" t="s">
        <v>20525</v>
      </c>
      <c r="Q1396" s="74" t="s">
        <v>20526</v>
      </c>
    </row>
    <row r="1397" spans="3:17" x14ac:dyDescent="0.25">
      <c r="C1397" s="158" t="s">
        <v>21243</v>
      </c>
      <c r="D1397" s="158" t="s">
        <v>21244</v>
      </c>
      <c r="F1397" s="158">
        <v>0.61</v>
      </c>
      <c r="I1397" s="158" t="s">
        <v>391</v>
      </c>
      <c r="K1397" s="158">
        <v>102.4</v>
      </c>
      <c r="L1397" s="158">
        <v>92.16</v>
      </c>
      <c r="N1397" s="158" t="s">
        <v>392</v>
      </c>
      <c r="O1397" s="158" t="s">
        <v>402</v>
      </c>
      <c r="P1397" s="158" t="s">
        <v>21245</v>
      </c>
      <c r="Q1397" s="158" t="s">
        <v>21246</v>
      </c>
    </row>
    <row r="1398" spans="3:17" x14ac:dyDescent="0.25">
      <c r="C1398" s="74" t="s">
        <v>5047</v>
      </c>
      <c r="D1398" s="74" t="s">
        <v>5048</v>
      </c>
      <c r="E1398" s="74"/>
      <c r="F1398" s="74">
        <v>0.6</v>
      </c>
      <c r="G1398" s="74"/>
      <c r="H1398" s="74"/>
      <c r="I1398" s="74" t="s">
        <v>391</v>
      </c>
      <c r="J1398" s="74"/>
      <c r="K1398" s="74">
        <v>102.4</v>
      </c>
      <c r="L1398" s="74">
        <v>92.16</v>
      </c>
      <c r="M1398" s="74"/>
      <c r="N1398" s="74" t="s">
        <v>392</v>
      </c>
      <c r="O1398" s="74" t="s">
        <v>402</v>
      </c>
      <c r="P1398" s="74" t="s">
        <v>5049</v>
      </c>
      <c r="Q1398" s="74" t="s">
        <v>5050</v>
      </c>
    </row>
    <row r="1399" spans="3:17" x14ac:dyDescent="0.25">
      <c r="C1399" s="74" t="s">
        <v>8617</v>
      </c>
      <c r="D1399" s="74" t="s">
        <v>8618</v>
      </c>
      <c r="E1399" s="74"/>
      <c r="F1399" s="74">
        <v>0.6</v>
      </c>
      <c r="G1399" s="74"/>
      <c r="H1399" s="74"/>
      <c r="I1399" s="74" t="s">
        <v>391</v>
      </c>
      <c r="J1399" s="74"/>
      <c r="K1399" s="74">
        <v>102.4</v>
      </c>
      <c r="L1399" s="74">
        <v>92.16</v>
      </c>
      <c r="M1399" s="74"/>
      <c r="N1399" s="74" t="s">
        <v>392</v>
      </c>
      <c r="O1399" s="74" t="s">
        <v>402</v>
      </c>
      <c r="P1399" s="74" t="s">
        <v>8619</v>
      </c>
      <c r="Q1399" s="74" t="s">
        <v>8620</v>
      </c>
    </row>
    <row r="1400" spans="3:17" x14ac:dyDescent="0.25">
      <c r="C1400" s="74" t="s">
        <v>9077</v>
      </c>
      <c r="D1400" s="74" t="s">
        <v>9078</v>
      </c>
      <c r="E1400" s="74"/>
      <c r="F1400" s="74">
        <v>0.6</v>
      </c>
      <c r="G1400" s="74"/>
      <c r="H1400" s="74"/>
      <c r="I1400" s="74" t="s">
        <v>391</v>
      </c>
      <c r="J1400" s="74"/>
      <c r="K1400" s="74">
        <v>102.4</v>
      </c>
      <c r="L1400" s="74">
        <v>92.16</v>
      </c>
      <c r="M1400" s="74"/>
      <c r="N1400" s="74" t="s">
        <v>392</v>
      </c>
      <c r="O1400" s="74" t="s">
        <v>402</v>
      </c>
      <c r="P1400" s="74" t="s">
        <v>9079</v>
      </c>
      <c r="Q1400" s="74" t="s">
        <v>9080</v>
      </c>
    </row>
    <row r="1401" spans="3:17" x14ac:dyDescent="0.25">
      <c r="C1401" s="74" t="s">
        <v>9881</v>
      </c>
      <c r="D1401" s="74" t="s">
        <v>9882</v>
      </c>
      <c r="E1401" s="74"/>
      <c r="F1401" s="74">
        <v>0.6</v>
      </c>
      <c r="G1401" s="74"/>
      <c r="H1401" s="74"/>
      <c r="I1401" s="74" t="s">
        <v>391</v>
      </c>
      <c r="J1401" s="74"/>
      <c r="K1401" s="74">
        <v>102.4</v>
      </c>
      <c r="L1401" s="74">
        <v>92.16</v>
      </c>
      <c r="M1401" s="74"/>
      <c r="N1401" s="74" t="s">
        <v>392</v>
      </c>
      <c r="O1401" s="74" t="s">
        <v>402</v>
      </c>
      <c r="P1401" s="74" t="s">
        <v>9883</v>
      </c>
      <c r="Q1401" s="74" t="s">
        <v>9884</v>
      </c>
    </row>
    <row r="1402" spans="3:17" x14ac:dyDescent="0.25">
      <c r="C1402" s="74" t="s">
        <v>13647</v>
      </c>
      <c r="D1402" s="74" t="s">
        <v>13648</v>
      </c>
      <c r="E1402" s="74"/>
      <c r="F1402" s="74">
        <v>0.6</v>
      </c>
      <c r="G1402" s="74"/>
      <c r="H1402" s="74"/>
      <c r="I1402" s="74" t="s">
        <v>391</v>
      </c>
      <c r="J1402" s="74"/>
      <c r="K1402" s="74">
        <v>102.4</v>
      </c>
      <c r="L1402" s="74">
        <v>92.16</v>
      </c>
      <c r="M1402" s="74"/>
      <c r="N1402" s="74" t="s">
        <v>392</v>
      </c>
      <c r="O1402" s="74" t="s">
        <v>402</v>
      </c>
      <c r="P1402" s="74" t="s">
        <v>13649</v>
      </c>
      <c r="Q1402" s="74" t="s">
        <v>13650</v>
      </c>
    </row>
    <row r="1403" spans="3:17" x14ac:dyDescent="0.25">
      <c r="C1403" s="74" t="s">
        <v>423</v>
      </c>
      <c r="D1403" s="74" t="s">
        <v>424</v>
      </c>
      <c r="E1403" s="74"/>
      <c r="F1403" s="74">
        <v>0.59</v>
      </c>
      <c r="G1403" s="74"/>
      <c r="H1403" s="74"/>
      <c r="I1403" s="74" t="s">
        <v>391</v>
      </c>
      <c r="J1403" s="74"/>
      <c r="K1403" s="74">
        <v>102.4</v>
      </c>
      <c r="L1403" s="74">
        <v>92.16</v>
      </c>
      <c r="M1403" s="74"/>
      <c r="N1403" s="74" t="s">
        <v>392</v>
      </c>
      <c r="O1403" s="74" t="s">
        <v>402</v>
      </c>
      <c r="P1403" s="74" t="s">
        <v>425</v>
      </c>
      <c r="Q1403" s="74" t="s">
        <v>426</v>
      </c>
    </row>
    <row r="1404" spans="3:17" x14ac:dyDescent="0.25">
      <c r="C1404" s="74" t="s">
        <v>651</v>
      </c>
      <c r="D1404" s="74" t="s">
        <v>652</v>
      </c>
      <c r="E1404" s="74"/>
      <c r="F1404" s="74">
        <v>0.59</v>
      </c>
      <c r="G1404" s="74"/>
      <c r="H1404" s="74"/>
      <c r="I1404" s="74" t="s">
        <v>391</v>
      </c>
      <c r="J1404" s="74"/>
      <c r="K1404" s="74">
        <v>102.4</v>
      </c>
      <c r="L1404" s="74">
        <v>92.16</v>
      </c>
      <c r="M1404" s="74"/>
      <c r="N1404" s="74" t="s">
        <v>392</v>
      </c>
      <c r="O1404" s="74" t="s">
        <v>402</v>
      </c>
      <c r="P1404" s="74" t="s">
        <v>653</v>
      </c>
      <c r="Q1404" s="74" t="s">
        <v>654</v>
      </c>
    </row>
    <row r="1405" spans="3:17" x14ac:dyDescent="0.25">
      <c r="C1405" s="74" t="s">
        <v>7731</v>
      </c>
      <c r="D1405" s="74" t="s">
        <v>7732</v>
      </c>
      <c r="E1405" s="74"/>
      <c r="F1405" s="74">
        <v>0.59</v>
      </c>
      <c r="G1405" s="74"/>
      <c r="H1405" s="74"/>
      <c r="I1405" s="74" t="s">
        <v>391</v>
      </c>
      <c r="J1405" s="74"/>
      <c r="K1405" s="74">
        <v>102.4</v>
      </c>
      <c r="L1405" s="74">
        <v>92.16</v>
      </c>
      <c r="M1405" s="74"/>
      <c r="N1405" s="74" t="s">
        <v>392</v>
      </c>
      <c r="O1405" s="74" t="s">
        <v>402</v>
      </c>
      <c r="P1405" s="74" t="s">
        <v>7733</v>
      </c>
      <c r="Q1405" s="74" t="s">
        <v>7734</v>
      </c>
    </row>
    <row r="1406" spans="3:17" x14ac:dyDescent="0.25">
      <c r="C1406" s="74" t="s">
        <v>7796</v>
      </c>
      <c r="D1406" s="74" t="s">
        <v>7797</v>
      </c>
      <c r="E1406" s="74"/>
      <c r="F1406" s="74">
        <v>0.59</v>
      </c>
      <c r="G1406" s="74"/>
      <c r="H1406" s="74"/>
      <c r="I1406" s="74" t="s">
        <v>391</v>
      </c>
      <c r="J1406" s="74"/>
      <c r="K1406" s="74">
        <v>102.4</v>
      </c>
      <c r="L1406" s="74">
        <v>92.16</v>
      </c>
      <c r="M1406" s="74"/>
      <c r="N1406" s="74" t="s">
        <v>392</v>
      </c>
      <c r="O1406" s="74" t="s">
        <v>402</v>
      </c>
      <c r="P1406" s="74" t="s">
        <v>7798</v>
      </c>
      <c r="Q1406" s="74" t="s">
        <v>7799</v>
      </c>
    </row>
    <row r="1407" spans="3:17" x14ac:dyDescent="0.25">
      <c r="C1407" s="74" t="s">
        <v>9677</v>
      </c>
      <c r="D1407" s="74" t="s">
        <v>9678</v>
      </c>
      <c r="E1407" s="74"/>
      <c r="F1407" s="74">
        <v>0.59</v>
      </c>
      <c r="G1407" s="74"/>
      <c r="H1407" s="74"/>
      <c r="I1407" s="74" t="s">
        <v>391</v>
      </c>
      <c r="J1407" s="74"/>
      <c r="K1407" s="74">
        <v>102.4</v>
      </c>
      <c r="L1407" s="74">
        <v>92.16</v>
      </c>
      <c r="M1407" s="74"/>
      <c r="N1407" s="74" t="s">
        <v>392</v>
      </c>
      <c r="O1407" s="74" t="s">
        <v>402</v>
      </c>
      <c r="P1407" s="74" t="s">
        <v>9679</v>
      </c>
      <c r="Q1407" s="74" t="s">
        <v>9680</v>
      </c>
    </row>
    <row r="1408" spans="3:17" x14ac:dyDescent="0.25">
      <c r="C1408" s="74" t="s">
        <v>11281</v>
      </c>
      <c r="D1408" s="74" t="s">
        <v>11282</v>
      </c>
      <c r="E1408" s="74"/>
      <c r="F1408" s="74">
        <v>0.59</v>
      </c>
      <c r="G1408" s="74"/>
      <c r="H1408" s="74"/>
      <c r="I1408" s="74" t="s">
        <v>391</v>
      </c>
      <c r="J1408" s="74"/>
      <c r="K1408" s="74">
        <v>102.4</v>
      </c>
      <c r="L1408" s="74">
        <v>92.16</v>
      </c>
      <c r="M1408" s="74"/>
      <c r="N1408" s="74" t="s">
        <v>392</v>
      </c>
      <c r="O1408" s="74" t="s">
        <v>402</v>
      </c>
      <c r="P1408" s="74" t="s">
        <v>11283</v>
      </c>
      <c r="Q1408" s="74" t="s">
        <v>11284</v>
      </c>
    </row>
    <row r="1409" spans="3:17" x14ac:dyDescent="0.25">
      <c r="C1409" s="74" t="s">
        <v>19631</v>
      </c>
      <c r="D1409" s="74" t="s">
        <v>19632</v>
      </c>
      <c r="E1409" s="74" t="s">
        <v>391</v>
      </c>
      <c r="F1409" s="74">
        <v>0.59</v>
      </c>
      <c r="G1409" s="74"/>
      <c r="H1409" s="74"/>
      <c r="I1409" s="74" t="s">
        <v>391</v>
      </c>
      <c r="J1409" s="74"/>
      <c r="K1409" s="74">
        <v>102.4</v>
      </c>
      <c r="L1409" s="74">
        <v>92.16</v>
      </c>
      <c r="M1409" s="74"/>
      <c r="N1409" s="74" t="s">
        <v>392</v>
      </c>
      <c r="O1409" s="74" t="s">
        <v>393</v>
      </c>
      <c r="P1409" s="74"/>
      <c r="Q1409" s="74" t="s">
        <v>19633</v>
      </c>
    </row>
    <row r="1410" spans="3:17" x14ac:dyDescent="0.25">
      <c r="C1410" s="74" t="s">
        <v>20616</v>
      </c>
      <c r="D1410" s="74" t="s">
        <v>20617</v>
      </c>
      <c r="E1410" s="74"/>
      <c r="F1410" s="74">
        <v>0.59</v>
      </c>
      <c r="G1410" s="74"/>
      <c r="H1410" s="74"/>
      <c r="I1410" s="74" t="s">
        <v>391</v>
      </c>
      <c r="J1410" s="74"/>
      <c r="K1410" s="74">
        <v>102.4</v>
      </c>
      <c r="L1410" s="74">
        <v>92.16</v>
      </c>
      <c r="M1410" s="74"/>
      <c r="N1410" s="74" t="s">
        <v>392</v>
      </c>
      <c r="O1410" s="74" t="s">
        <v>402</v>
      </c>
      <c r="P1410" s="74" t="s">
        <v>20618</v>
      </c>
      <c r="Q1410" s="74" t="s">
        <v>20619</v>
      </c>
    </row>
    <row r="1411" spans="3:17" x14ac:dyDescent="0.25">
      <c r="C1411" s="74" t="s">
        <v>20928</v>
      </c>
      <c r="D1411" s="74" t="s">
        <v>20929</v>
      </c>
      <c r="E1411" s="74"/>
      <c r="F1411" s="74">
        <v>0.59</v>
      </c>
      <c r="G1411" s="74"/>
      <c r="H1411" s="74"/>
      <c r="I1411" s="74" t="s">
        <v>391</v>
      </c>
      <c r="J1411" s="74"/>
      <c r="K1411" s="74">
        <v>102.4</v>
      </c>
      <c r="L1411" s="74">
        <v>92.16</v>
      </c>
      <c r="M1411" s="74"/>
      <c r="N1411" s="74" t="s">
        <v>392</v>
      </c>
      <c r="O1411" s="74" t="s">
        <v>402</v>
      </c>
      <c r="P1411" s="74" t="s">
        <v>20930</v>
      </c>
      <c r="Q1411" s="74" t="s">
        <v>20931</v>
      </c>
    </row>
    <row r="1412" spans="3:17" x14ac:dyDescent="0.25">
      <c r="C1412" s="74" t="s">
        <v>20985</v>
      </c>
      <c r="D1412" s="74" t="s">
        <v>20986</v>
      </c>
      <c r="E1412" s="74"/>
      <c r="F1412" s="74">
        <v>0.59</v>
      </c>
      <c r="G1412" s="74"/>
      <c r="H1412" s="74"/>
      <c r="I1412" s="74" t="s">
        <v>391</v>
      </c>
      <c r="J1412" s="74"/>
      <c r="K1412" s="74">
        <v>102.4</v>
      </c>
      <c r="L1412" s="74">
        <v>92.16</v>
      </c>
      <c r="M1412" s="74"/>
      <c r="N1412" s="74" t="s">
        <v>392</v>
      </c>
      <c r="O1412" s="74" t="s">
        <v>402</v>
      </c>
      <c r="P1412" s="74" t="s">
        <v>20987</v>
      </c>
      <c r="Q1412" s="74" t="s">
        <v>20988</v>
      </c>
    </row>
    <row r="1413" spans="3:17" x14ac:dyDescent="0.25">
      <c r="C1413" s="74" t="s">
        <v>1932</v>
      </c>
      <c r="D1413" s="74" t="s">
        <v>1933</v>
      </c>
      <c r="E1413" s="74"/>
      <c r="F1413" s="74">
        <v>0.57999999999999996</v>
      </c>
      <c r="G1413" s="74"/>
      <c r="H1413" s="74"/>
      <c r="I1413" s="74" t="s">
        <v>391</v>
      </c>
      <c r="J1413" s="74"/>
      <c r="K1413" s="74">
        <v>102.4</v>
      </c>
      <c r="L1413" s="74">
        <v>92.16</v>
      </c>
      <c r="M1413" s="74"/>
      <c r="N1413" s="74" t="s">
        <v>392</v>
      </c>
      <c r="O1413" s="74" t="s">
        <v>402</v>
      </c>
      <c r="P1413" s="74" t="s">
        <v>1934</v>
      </c>
      <c r="Q1413" s="74" t="s">
        <v>1935</v>
      </c>
    </row>
    <row r="1414" spans="3:17" x14ac:dyDescent="0.25">
      <c r="C1414" s="74" t="s">
        <v>13163</v>
      </c>
      <c r="D1414" s="74" t="s">
        <v>13164</v>
      </c>
      <c r="E1414" s="74"/>
      <c r="F1414" s="74">
        <v>0.57999999999999996</v>
      </c>
      <c r="G1414" s="74"/>
      <c r="H1414" s="74"/>
      <c r="I1414" s="74" t="s">
        <v>391</v>
      </c>
      <c r="J1414" s="74"/>
      <c r="K1414" s="74">
        <v>102.4</v>
      </c>
      <c r="L1414" s="74">
        <v>92.16</v>
      </c>
      <c r="M1414" s="74"/>
      <c r="N1414" s="74" t="s">
        <v>392</v>
      </c>
      <c r="O1414" s="74" t="s">
        <v>402</v>
      </c>
      <c r="P1414" s="74" t="s">
        <v>13165</v>
      </c>
      <c r="Q1414" s="74" t="s">
        <v>13166</v>
      </c>
    </row>
    <row r="1415" spans="3:17" x14ac:dyDescent="0.25">
      <c r="C1415" s="74" t="s">
        <v>14566</v>
      </c>
      <c r="D1415" s="74" t="s">
        <v>14567</v>
      </c>
      <c r="E1415" s="74"/>
      <c r="F1415" s="74">
        <v>0.57999999999999996</v>
      </c>
      <c r="G1415" s="74"/>
      <c r="H1415" s="74"/>
      <c r="I1415" s="74" t="s">
        <v>391</v>
      </c>
      <c r="J1415" s="74"/>
      <c r="K1415" s="74">
        <v>102.4</v>
      </c>
      <c r="L1415" s="74">
        <v>92.16</v>
      </c>
      <c r="M1415" s="74"/>
      <c r="N1415" s="74" t="s">
        <v>392</v>
      </c>
      <c r="O1415" s="74" t="s">
        <v>402</v>
      </c>
      <c r="P1415" s="74" t="s">
        <v>14568</v>
      </c>
      <c r="Q1415" s="74" t="s">
        <v>14569</v>
      </c>
    </row>
    <row r="1416" spans="3:17" x14ac:dyDescent="0.25">
      <c r="C1416" s="74" t="s">
        <v>14982</v>
      </c>
      <c r="D1416" s="74" t="s">
        <v>14983</v>
      </c>
      <c r="E1416" s="74" t="s">
        <v>391</v>
      </c>
      <c r="F1416" s="74">
        <v>0.57999999999999996</v>
      </c>
      <c r="G1416" s="74"/>
      <c r="H1416" s="74"/>
      <c r="I1416" s="74" t="s">
        <v>391</v>
      </c>
      <c r="J1416" s="74"/>
      <c r="K1416" s="74">
        <v>102.4</v>
      </c>
      <c r="L1416" s="74">
        <v>92.16</v>
      </c>
      <c r="M1416" s="74"/>
      <c r="N1416" s="74" t="s">
        <v>392</v>
      </c>
      <c r="O1416" s="74" t="s">
        <v>393</v>
      </c>
      <c r="P1416" s="74" t="s">
        <v>14984</v>
      </c>
      <c r="Q1416" s="74" t="s">
        <v>14985</v>
      </c>
    </row>
    <row r="1417" spans="3:17" x14ac:dyDescent="0.25">
      <c r="C1417" s="74" t="s">
        <v>17157</v>
      </c>
      <c r="D1417" s="74" t="s">
        <v>17158</v>
      </c>
      <c r="E1417" s="74"/>
      <c r="F1417" s="74">
        <v>0.57999999999999996</v>
      </c>
      <c r="G1417" s="74"/>
      <c r="H1417" s="74"/>
      <c r="I1417" s="74" t="s">
        <v>391</v>
      </c>
      <c r="J1417" s="74"/>
      <c r="K1417" s="74">
        <v>102.4</v>
      </c>
      <c r="L1417" s="74">
        <v>92.16</v>
      </c>
      <c r="M1417" s="74"/>
      <c r="N1417" s="74" t="s">
        <v>392</v>
      </c>
      <c r="O1417" s="74" t="s">
        <v>402</v>
      </c>
      <c r="P1417" s="74" t="s">
        <v>17159</v>
      </c>
      <c r="Q1417" s="74" t="s">
        <v>17160</v>
      </c>
    </row>
    <row r="1418" spans="3:17" x14ac:dyDescent="0.25">
      <c r="C1418" s="74" t="s">
        <v>19264</v>
      </c>
      <c r="D1418" s="74" t="s">
        <v>19265</v>
      </c>
      <c r="E1418" s="74"/>
      <c r="F1418" s="74">
        <v>0.57999999999999996</v>
      </c>
      <c r="G1418" s="74"/>
      <c r="H1418" s="74"/>
      <c r="I1418" s="74" t="s">
        <v>391</v>
      </c>
      <c r="J1418" s="74"/>
      <c r="K1418" s="74">
        <v>102.4</v>
      </c>
      <c r="L1418" s="74">
        <v>92.16</v>
      </c>
      <c r="M1418" s="74"/>
      <c r="N1418" s="74" t="s">
        <v>392</v>
      </c>
      <c r="O1418" s="74" t="s">
        <v>402</v>
      </c>
      <c r="P1418" s="74" t="s">
        <v>19266</v>
      </c>
      <c r="Q1418" s="74" t="s">
        <v>19267</v>
      </c>
    </row>
    <row r="1419" spans="3:17" x14ac:dyDescent="0.25">
      <c r="C1419" s="74" t="s">
        <v>19372</v>
      </c>
      <c r="D1419" s="74" t="s">
        <v>19373</v>
      </c>
      <c r="E1419" s="74"/>
      <c r="F1419" s="74">
        <v>0.57999999999999996</v>
      </c>
      <c r="G1419" s="74"/>
      <c r="H1419" s="74"/>
      <c r="I1419" s="74" t="s">
        <v>391</v>
      </c>
      <c r="J1419" s="74"/>
      <c r="K1419" s="74">
        <v>102.4</v>
      </c>
      <c r="L1419" s="74">
        <v>92.16</v>
      </c>
      <c r="M1419" s="74"/>
      <c r="N1419" s="74" t="s">
        <v>392</v>
      </c>
      <c r="O1419" s="74" t="s">
        <v>402</v>
      </c>
      <c r="P1419" s="74" t="s">
        <v>19374</v>
      </c>
      <c r="Q1419" s="74" t="s">
        <v>19375</v>
      </c>
    </row>
    <row r="1420" spans="3:17" x14ac:dyDescent="0.25">
      <c r="C1420" s="74" t="s">
        <v>20555</v>
      </c>
      <c r="D1420" s="74" t="s">
        <v>20556</v>
      </c>
      <c r="E1420" s="74"/>
      <c r="F1420" s="74">
        <v>0.57999999999999996</v>
      </c>
      <c r="G1420" s="74"/>
      <c r="H1420" s="74"/>
      <c r="I1420" s="74" t="s">
        <v>391</v>
      </c>
      <c r="J1420" s="74"/>
      <c r="K1420" s="74">
        <v>102.4</v>
      </c>
      <c r="L1420" s="74">
        <v>92.16</v>
      </c>
      <c r="M1420" s="74"/>
      <c r="N1420" s="74" t="s">
        <v>392</v>
      </c>
      <c r="O1420" s="74" t="s">
        <v>402</v>
      </c>
      <c r="P1420" s="74" t="s">
        <v>20557</v>
      </c>
      <c r="Q1420" s="74" t="s">
        <v>20558</v>
      </c>
    </row>
    <row r="1421" spans="3:17" x14ac:dyDescent="0.25">
      <c r="C1421" s="74" t="s">
        <v>1817</v>
      </c>
      <c r="D1421" s="74" t="s">
        <v>1818</v>
      </c>
      <c r="E1421" s="74" t="s">
        <v>391</v>
      </c>
      <c r="F1421" s="74">
        <v>0.56999999999999995</v>
      </c>
      <c r="G1421" s="74"/>
      <c r="H1421" s="74"/>
      <c r="I1421" s="74" t="s">
        <v>391</v>
      </c>
      <c r="J1421" s="74"/>
      <c r="K1421" s="74">
        <v>102.4</v>
      </c>
      <c r="L1421" s="74">
        <v>92.16</v>
      </c>
      <c r="M1421" s="74"/>
      <c r="N1421" s="74" t="s">
        <v>392</v>
      </c>
      <c r="O1421" s="74" t="s">
        <v>393</v>
      </c>
      <c r="P1421" s="74" t="s">
        <v>1819</v>
      </c>
      <c r="Q1421" s="74" t="s">
        <v>1820</v>
      </c>
    </row>
    <row r="1422" spans="3:17" x14ac:dyDescent="0.25">
      <c r="C1422" s="74" t="s">
        <v>2727</v>
      </c>
      <c r="D1422" s="74" t="s">
        <v>2728</v>
      </c>
      <c r="E1422" s="74"/>
      <c r="F1422" s="74">
        <v>0.56999999999999995</v>
      </c>
      <c r="G1422" s="74"/>
      <c r="H1422" s="74"/>
      <c r="I1422" s="74" t="s">
        <v>391</v>
      </c>
      <c r="J1422" s="74"/>
      <c r="K1422" s="74">
        <v>102.4</v>
      </c>
      <c r="L1422" s="74">
        <v>92.16</v>
      </c>
      <c r="M1422" s="74"/>
      <c r="N1422" s="74" t="s">
        <v>392</v>
      </c>
      <c r="O1422" s="74" t="s">
        <v>402</v>
      </c>
      <c r="P1422" s="74" t="s">
        <v>2729</v>
      </c>
      <c r="Q1422" s="74" t="s">
        <v>2730</v>
      </c>
    </row>
    <row r="1423" spans="3:17" x14ac:dyDescent="0.25">
      <c r="C1423" s="74" t="s">
        <v>3065</v>
      </c>
      <c r="D1423" s="74" t="s">
        <v>3066</v>
      </c>
      <c r="E1423" s="74"/>
      <c r="F1423" s="74">
        <v>0.56999999999999995</v>
      </c>
      <c r="G1423" s="74"/>
      <c r="H1423" s="74"/>
      <c r="I1423" s="74" t="s">
        <v>391</v>
      </c>
      <c r="J1423" s="74"/>
      <c r="K1423" s="74">
        <v>102.4</v>
      </c>
      <c r="L1423" s="74">
        <v>92.16</v>
      </c>
      <c r="M1423" s="74"/>
      <c r="N1423" s="74" t="s">
        <v>392</v>
      </c>
      <c r="O1423" s="74" t="s">
        <v>402</v>
      </c>
      <c r="P1423" s="74" t="s">
        <v>3067</v>
      </c>
      <c r="Q1423" s="74" t="s">
        <v>3068</v>
      </c>
    </row>
    <row r="1424" spans="3:17" x14ac:dyDescent="0.25">
      <c r="C1424" s="74" t="s">
        <v>3190</v>
      </c>
      <c r="D1424" s="74" t="s">
        <v>3191</v>
      </c>
      <c r="E1424" s="74"/>
      <c r="F1424" s="74">
        <v>0.56999999999999995</v>
      </c>
      <c r="G1424" s="74"/>
      <c r="H1424" s="74"/>
      <c r="I1424" s="74" t="s">
        <v>391</v>
      </c>
      <c r="J1424" s="74"/>
      <c r="K1424" s="74">
        <v>102.4</v>
      </c>
      <c r="L1424" s="74">
        <v>92.16</v>
      </c>
      <c r="M1424" s="74"/>
      <c r="N1424" s="74" t="s">
        <v>392</v>
      </c>
      <c r="O1424" s="74" t="s">
        <v>402</v>
      </c>
      <c r="P1424" s="74" t="s">
        <v>3192</v>
      </c>
      <c r="Q1424" s="74" t="s">
        <v>3193</v>
      </c>
    </row>
    <row r="1425" spans="3:17" x14ac:dyDescent="0.25">
      <c r="C1425" s="74" t="s">
        <v>6582</v>
      </c>
      <c r="D1425" s="74" t="s">
        <v>6583</v>
      </c>
      <c r="E1425" s="74"/>
      <c r="F1425" s="74">
        <v>0.56999999999999995</v>
      </c>
      <c r="G1425" s="74"/>
      <c r="H1425" s="74"/>
      <c r="I1425" s="74" t="s">
        <v>391</v>
      </c>
      <c r="J1425" s="74"/>
      <c r="K1425" s="74">
        <v>102.4</v>
      </c>
      <c r="L1425" s="74">
        <v>92.16</v>
      </c>
      <c r="M1425" s="74"/>
      <c r="N1425" s="74" t="s">
        <v>392</v>
      </c>
      <c r="O1425" s="74" t="s">
        <v>402</v>
      </c>
      <c r="P1425" s="74" t="s">
        <v>6584</v>
      </c>
      <c r="Q1425" s="74" t="s">
        <v>6585</v>
      </c>
    </row>
    <row r="1426" spans="3:17" x14ac:dyDescent="0.25">
      <c r="C1426" s="74" t="s">
        <v>7496</v>
      </c>
      <c r="D1426" s="74" t="s">
        <v>7497</v>
      </c>
      <c r="E1426" s="74"/>
      <c r="F1426" s="74">
        <v>0.56999999999999995</v>
      </c>
      <c r="G1426" s="74"/>
      <c r="H1426" s="74"/>
      <c r="I1426" s="74" t="s">
        <v>391</v>
      </c>
      <c r="J1426" s="74"/>
      <c r="K1426" s="74">
        <v>102.4</v>
      </c>
      <c r="L1426" s="74">
        <v>92.16</v>
      </c>
      <c r="M1426" s="74"/>
      <c r="N1426" s="74" t="s">
        <v>392</v>
      </c>
      <c r="O1426" s="74" t="s">
        <v>402</v>
      </c>
      <c r="P1426" s="74" t="s">
        <v>7498</v>
      </c>
      <c r="Q1426" s="74" t="s">
        <v>7499</v>
      </c>
    </row>
    <row r="1427" spans="3:17" x14ac:dyDescent="0.25">
      <c r="C1427" s="74" t="s">
        <v>8950</v>
      </c>
      <c r="D1427" s="74" t="s">
        <v>8951</v>
      </c>
      <c r="E1427" s="74"/>
      <c r="F1427" s="74">
        <v>0.56999999999999995</v>
      </c>
      <c r="G1427" s="74"/>
      <c r="H1427" s="74"/>
      <c r="I1427" s="74" t="s">
        <v>391</v>
      </c>
      <c r="J1427" s="74"/>
      <c r="K1427" s="74">
        <v>102.4</v>
      </c>
      <c r="L1427" s="74">
        <v>92.16</v>
      </c>
      <c r="M1427" s="74"/>
      <c r="N1427" s="74" t="s">
        <v>392</v>
      </c>
      <c r="O1427" s="74" t="s">
        <v>402</v>
      </c>
      <c r="P1427" s="74" t="s">
        <v>8952</v>
      </c>
      <c r="Q1427" s="74" t="s">
        <v>8953</v>
      </c>
    </row>
    <row r="1428" spans="3:17" x14ac:dyDescent="0.25">
      <c r="C1428" s="74" t="s">
        <v>10235</v>
      </c>
      <c r="D1428" s="74" t="s">
        <v>10236</v>
      </c>
      <c r="E1428" s="74"/>
      <c r="F1428" s="74">
        <v>0.56999999999999995</v>
      </c>
      <c r="G1428" s="74"/>
      <c r="H1428" s="74"/>
      <c r="I1428" s="74" t="s">
        <v>391</v>
      </c>
      <c r="J1428" s="74"/>
      <c r="K1428" s="74">
        <v>102.4</v>
      </c>
      <c r="L1428" s="74">
        <v>92.16</v>
      </c>
      <c r="M1428" s="74"/>
      <c r="N1428" s="74" t="s">
        <v>392</v>
      </c>
      <c r="O1428" s="74" t="s">
        <v>402</v>
      </c>
      <c r="P1428" s="74" t="s">
        <v>10237</v>
      </c>
      <c r="Q1428" s="74" t="s">
        <v>10238</v>
      </c>
    </row>
    <row r="1429" spans="3:17" x14ac:dyDescent="0.25">
      <c r="C1429" s="74" t="s">
        <v>11581</v>
      </c>
      <c r="D1429" s="74" t="s">
        <v>11582</v>
      </c>
      <c r="E1429" s="74"/>
      <c r="F1429" s="74">
        <v>0.56999999999999995</v>
      </c>
      <c r="G1429" s="74"/>
      <c r="H1429" s="74"/>
      <c r="I1429" s="74" t="s">
        <v>391</v>
      </c>
      <c r="J1429" s="74"/>
      <c r="K1429" s="74">
        <v>102.4</v>
      </c>
      <c r="L1429" s="74">
        <v>92.16</v>
      </c>
      <c r="M1429" s="74"/>
      <c r="N1429" s="74" t="s">
        <v>392</v>
      </c>
      <c r="O1429" s="74" t="s">
        <v>402</v>
      </c>
      <c r="P1429" s="74" t="s">
        <v>11583</v>
      </c>
      <c r="Q1429" s="74" t="s">
        <v>11584</v>
      </c>
    </row>
    <row r="1430" spans="3:17" x14ac:dyDescent="0.25">
      <c r="C1430" s="74" t="s">
        <v>12126</v>
      </c>
      <c r="D1430" s="74" t="s">
        <v>12127</v>
      </c>
      <c r="E1430" s="74"/>
      <c r="F1430" s="74">
        <v>0.56999999999999995</v>
      </c>
      <c r="G1430" s="74"/>
      <c r="H1430" s="74"/>
      <c r="I1430" s="74" t="s">
        <v>391</v>
      </c>
      <c r="J1430" s="74"/>
      <c r="K1430" s="74">
        <v>102.4</v>
      </c>
      <c r="L1430" s="74">
        <v>92.16</v>
      </c>
      <c r="M1430" s="74"/>
      <c r="N1430" s="74" t="s">
        <v>392</v>
      </c>
      <c r="O1430" s="74" t="s">
        <v>402</v>
      </c>
      <c r="P1430" s="74" t="s">
        <v>12128</v>
      </c>
      <c r="Q1430" s="74" t="s">
        <v>12129</v>
      </c>
    </row>
    <row r="1431" spans="3:17" x14ac:dyDescent="0.25">
      <c r="C1431" s="74" t="s">
        <v>14349</v>
      </c>
      <c r="D1431" s="74" t="s">
        <v>14350</v>
      </c>
      <c r="E1431" s="74"/>
      <c r="F1431" s="74">
        <v>0.56999999999999995</v>
      </c>
      <c r="G1431" s="74"/>
      <c r="H1431" s="74"/>
      <c r="I1431" s="74" t="s">
        <v>391</v>
      </c>
      <c r="J1431" s="74"/>
      <c r="K1431" s="74">
        <v>102.4</v>
      </c>
      <c r="L1431" s="74">
        <v>92.16</v>
      </c>
      <c r="M1431" s="74"/>
      <c r="N1431" s="74" t="s">
        <v>392</v>
      </c>
      <c r="O1431" s="74" t="s">
        <v>402</v>
      </c>
      <c r="P1431" s="74" t="s">
        <v>14351</v>
      </c>
      <c r="Q1431" s="74" t="s">
        <v>14352</v>
      </c>
    </row>
    <row r="1432" spans="3:17" x14ac:dyDescent="0.25">
      <c r="C1432" s="74" t="s">
        <v>16148</v>
      </c>
      <c r="D1432" s="74" t="s">
        <v>16149</v>
      </c>
      <c r="E1432" s="74"/>
      <c r="F1432" s="74">
        <v>0.56999999999999995</v>
      </c>
      <c r="G1432" s="74"/>
      <c r="H1432" s="74"/>
      <c r="I1432" s="74" t="s">
        <v>391</v>
      </c>
      <c r="J1432" s="74"/>
      <c r="K1432" s="74">
        <v>102.4</v>
      </c>
      <c r="L1432" s="74">
        <v>92.16</v>
      </c>
      <c r="M1432" s="74"/>
      <c r="N1432" s="74" t="s">
        <v>392</v>
      </c>
      <c r="O1432" s="74" t="s">
        <v>402</v>
      </c>
      <c r="P1432" s="74" t="s">
        <v>16150</v>
      </c>
      <c r="Q1432" s="74" t="s">
        <v>16151</v>
      </c>
    </row>
    <row r="1433" spans="3:17" x14ac:dyDescent="0.25">
      <c r="C1433" s="74" t="s">
        <v>16406</v>
      </c>
      <c r="D1433" s="74" t="s">
        <v>16407</v>
      </c>
      <c r="E1433" s="74"/>
      <c r="F1433" s="74">
        <v>0.56999999999999995</v>
      </c>
      <c r="G1433" s="74"/>
      <c r="H1433" s="74"/>
      <c r="I1433" s="74" t="s">
        <v>391</v>
      </c>
      <c r="J1433" s="74"/>
      <c r="K1433" s="74">
        <v>102.4</v>
      </c>
      <c r="L1433" s="74">
        <v>92.16</v>
      </c>
      <c r="M1433" s="74"/>
      <c r="N1433" s="74" t="s">
        <v>392</v>
      </c>
      <c r="O1433" s="74" t="s">
        <v>402</v>
      </c>
      <c r="P1433" s="74" t="s">
        <v>16408</v>
      </c>
      <c r="Q1433" s="74" t="s">
        <v>16409</v>
      </c>
    </row>
    <row r="1434" spans="3:17" x14ac:dyDescent="0.25">
      <c r="C1434" s="74" t="s">
        <v>21062</v>
      </c>
      <c r="D1434" s="74" t="s">
        <v>21063</v>
      </c>
      <c r="E1434" s="74"/>
      <c r="F1434" s="74">
        <v>0.56999999999999995</v>
      </c>
      <c r="G1434" s="74"/>
      <c r="H1434" s="74"/>
      <c r="I1434" s="74" t="s">
        <v>391</v>
      </c>
      <c r="J1434" s="74"/>
      <c r="K1434" s="74">
        <v>102.4</v>
      </c>
      <c r="L1434" s="74">
        <v>92.16</v>
      </c>
      <c r="M1434" s="74"/>
      <c r="N1434" s="74" t="s">
        <v>392</v>
      </c>
      <c r="O1434" s="74" t="s">
        <v>402</v>
      </c>
      <c r="P1434" s="74" t="s">
        <v>21064</v>
      </c>
      <c r="Q1434" s="74" t="s">
        <v>21065</v>
      </c>
    </row>
    <row r="1435" spans="3:17" x14ac:dyDescent="0.25">
      <c r="C1435" s="74" t="s">
        <v>4832</v>
      </c>
      <c r="D1435" s="74" t="s">
        <v>4833</v>
      </c>
      <c r="E1435" s="74"/>
      <c r="F1435" s="74">
        <v>0.56000000000000005</v>
      </c>
      <c r="G1435" s="74"/>
      <c r="H1435" s="74"/>
      <c r="I1435" s="74" t="s">
        <v>391</v>
      </c>
      <c r="J1435" s="74"/>
      <c r="K1435" s="74">
        <v>102.4</v>
      </c>
      <c r="L1435" s="74">
        <v>92.16</v>
      </c>
      <c r="M1435" s="74"/>
      <c r="N1435" s="74" t="s">
        <v>392</v>
      </c>
      <c r="O1435" s="74" t="s">
        <v>402</v>
      </c>
      <c r="P1435" s="74" t="s">
        <v>4834</v>
      </c>
      <c r="Q1435" s="74" t="s">
        <v>4835</v>
      </c>
    </row>
    <row r="1436" spans="3:17" x14ac:dyDescent="0.25">
      <c r="C1436" s="74" t="s">
        <v>5200</v>
      </c>
      <c r="D1436" s="74" t="s">
        <v>5201</v>
      </c>
      <c r="E1436" s="74"/>
      <c r="F1436" s="74">
        <v>0.56000000000000005</v>
      </c>
      <c r="G1436" s="74"/>
      <c r="H1436" s="74"/>
      <c r="I1436" s="74" t="s">
        <v>391</v>
      </c>
      <c r="J1436" s="74"/>
      <c r="K1436" s="74">
        <v>102.4</v>
      </c>
      <c r="L1436" s="74">
        <v>92.16</v>
      </c>
      <c r="M1436" s="74"/>
      <c r="N1436" s="74" t="s">
        <v>392</v>
      </c>
      <c r="O1436" s="74" t="s">
        <v>402</v>
      </c>
      <c r="P1436" s="74" t="s">
        <v>5202</v>
      </c>
      <c r="Q1436" s="74" t="s">
        <v>5203</v>
      </c>
    </row>
    <row r="1437" spans="3:17" x14ac:dyDescent="0.25">
      <c r="C1437" s="74" t="s">
        <v>5298</v>
      </c>
      <c r="D1437" s="74" t="s">
        <v>5299</v>
      </c>
      <c r="E1437" s="74"/>
      <c r="F1437" s="74">
        <v>0.56000000000000005</v>
      </c>
      <c r="G1437" s="74"/>
      <c r="H1437" s="74"/>
      <c r="I1437" s="74" t="s">
        <v>391</v>
      </c>
      <c r="J1437" s="74"/>
      <c r="K1437" s="74">
        <v>102.4</v>
      </c>
      <c r="L1437" s="74">
        <v>92.16</v>
      </c>
      <c r="M1437" s="74"/>
      <c r="N1437" s="74" t="s">
        <v>392</v>
      </c>
      <c r="O1437" s="74" t="s">
        <v>402</v>
      </c>
      <c r="P1437" s="74" t="s">
        <v>5300</v>
      </c>
      <c r="Q1437" s="74" t="s">
        <v>5301</v>
      </c>
    </row>
    <row r="1438" spans="3:17" x14ac:dyDescent="0.25">
      <c r="C1438" s="74" t="s">
        <v>8610</v>
      </c>
      <c r="D1438" s="74" t="s">
        <v>8611</v>
      </c>
      <c r="E1438" s="74"/>
      <c r="F1438" s="74">
        <v>0.56000000000000005</v>
      </c>
      <c r="G1438" s="74"/>
      <c r="H1438" s="74"/>
      <c r="I1438" s="74" t="s">
        <v>391</v>
      </c>
      <c r="J1438" s="74"/>
      <c r="K1438" s="74">
        <v>102.4</v>
      </c>
      <c r="L1438" s="74">
        <v>92.16</v>
      </c>
      <c r="M1438" s="74"/>
      <c r="N1438" s="74" t="s">
        <v>392</v>
      </c>
      <c r="O1438" s="74" t="s">
        <v>402</v>
      </c>
      <c r="P1438" s="74" t="s">
        <v>8612</v>
      </c>
      <c r="Q1438" s="74" t="s">
        <v>8613</v>
      </c>
    </row>
    <row r="1439" spans="3:17" x14ac:dyDescent="0.25">
      <c r="C1439" s="74" t="s">
        <v>10360</v>
      </c>
      <c r="D1439" s="74" t="s">
        <v>10361</v>
      </c>
      <c r="E1439" s="74" t="s">
        <v>391</v>
      </c>
      <c r="F1439" s="74">
        <v>0.56000000000000005</v>
      </c>
      <c r="G1439" s="74"/>
      <c r="H1439" s="74"/>
      <c r="I1439" s="74" t="s">
        <v>391</v>
      </c>
      <c r="J1439" s="74"/>
      <c r="K1439" s="74">
        <v>102.4</v>
      </c>
      <c r="L1439" s="74">
        <v>92.16</v>
      </c>
      <c r="M1439" s="74"/>
      <c r="N1439" s="74" t="s">
        <v>392</v>
      </c>
      <c r="O1439" s="74" t="s">
        <v>393</v>
      </c>
      <c r="P1439" s="74"/>
      <c r="Q1439" s="74" t="s">
        <v>10362</v>
      </c>
    </row>
    <row r="1440" spans="3:17" x14ac:dyDescent="0.25">
      <c r="C1440" s="74" t="s">
        <v>11072</v>
      </c>
      <c r="D1440" s="74" t="s">
        <v>11073</v>
      </c>
      <c r="E1440" s="74"/>
      <c r="F1440" s="74">
        <v>0.56000000000000005</v>
      </c>
      <c r="G1440" s="74"/>
      <c r="H1440" s="74"/>
      <c r="I1440" s="74" t="s">
        <v>391</v>
      </c>
      <c r="J1440" s="74"/>
      <c r="K1440" s="74">
        <v>102.4</v>
      </c>
      <c r="L1440" s="74">
        <v>92.16</v>
      </c>
      <c r="M1440" s="74"/>
      <c r="N1440" s="74" t="s">
        <v>392</v>
      </c>
      <c r="O1440" s="74" t="s">
        <v>402</v>
      </c>
      <c r="P1440" s="74" t="s">
        <v>11074</v>
      </c>
      <c r="Q1440" s="74" t="s">
        <v>11075</v>
      </c>
    </row>
    <row r="1441" spans="3:17" x14ac:dyDescent="0.25">
      <c r="C1441" s="74" t="s">
        <v>18310</v>
      </c>
      <c r="D1441" s="74" t="s">
        <v>18311</v>
      </c>
      <c r="E1441" s="74"/>
      <c r="F1441" s="74">
        <v>0.56000000000000005</v>
      </c>
      <c r="G1441" s="74"/>
      <c r="H1441" s="74"/>
      <c r="I1441" s="74" t="s">
        <v>391</v>
      </c>
      <c r="J1441" s="74"/>
      <c r="K1441" s="74">
        <v>102.4</v>
      </c>
      <c r="L1441" s="74">
        <v>92.16</v>
      </c>
      <c r="M1441" s="74"/>
      <c r="N1441" s="74" t="s">
        <v>392</v>
      </c>
      <c r="O1441" s="74" t="s">
        <v>402</v>
      </c>
      <c r="P1441" s="74" t="s">
        <v>18312</v>
      </c>
      <c r="Q1441" s="74" t="s">
        <v>18313</v>
      </c>
    </row>
    <row r="1442" spans="3:17" x14ac:dyDescent="0.25">
      <c r="C1442" s="74" t="s">
        <v>20272</v>
      </c>
      <c r="D1442" s="74" t="s">
        <v>20273</v>
      </c>
      <c r="E1442" s="74"/>
      <c r="F1442" s="74">
        <v>0.56000000000000005</v>
      </c>
      <c r="G1442" s="74"/>
      <c r="H1442" s="74"/>
      <c r="I1442" s="74" t="s">
        <v>391</v>
      </c>
      <c r="J1442" s="74"/>
      <c r="K1442" s="74">
        <v>102.4</v>
      </c>
      <c r="L1442" s="74">
        <v>92.16</v>
      </c>
      <c r="M1442" s="74"/>
      <c r="N1442" s="74" t="s">
        <v>392</v>
      </c>
      <c r="O1442" s="74" t="s">
        <v>402</v>
      </c>
      <c r="P1442" s="74" t="s">
        <v>20274</v>
      </c>
      <c r="Q1442" s="74" t="s">
        <v>20275</v>
      </c>
    </row>
    <row r="1443" spans="3:17" x14ac:dyDescent="0.25">
      <c r="C1443" s="74" t="s">
        <v>761</v>
      </c>
      <c r="D1443" s="74" t="s">
        <v>762</v>
      </c>
      <c r="E1443" s="74"/>
      <c r="F1443" s="74">
        <v>0.55000000000000004</v>
      </c>
      <c r="G1443" s="74"/>
      <c r="H1443" s="74"/>
      <c r="I1443" s="74" t="s">
        <v>391</v>
      </c>
      <c r="J1443" s="74"/>
      <c r="K1443" s="74">
        <v>102.4</v>
      </c>
      <c r="L1443" s="74">
        <v>92.16</v>
      </c>
      <c r="M1443" s="74"/>
      <c r="N1443" s="74" t="s">
        <v>392</v>
      </c>
      <c r="O1443" s="74" t="s">
        <v>402</v>
      </c>
      <c r="P1443" s="74" t="s">
        <v>763</v>
      </c>
      <c r="Q1443" s="74" t="s">
        <v>764</v>
      </c>
    </row>
    <row r="1444" spans="3:17" x14ac:dyDescent="0.25">
      <c r="C1444" s="74" t="s">
        <v>2664</v>
      </c>
      <c r="D1444" s="74" t="s">
        <v>2665</v>
      </c>
      <c r="E1444" s="74"/>
      <c r="F1444" s="74">
        <v>0.55000000000000004</v>
      </c>
      <c r="G1444" s="74"/>
      <c r="H1444" s="74"/>
      <c r="I1444" s="74" t="s">
        <v>391</v>
      </c>
      <c r="J1444" s="74"/>
      <c r="K1444" s="74">
        <v>102.4</v>
      </c>
      <c r="L1444" s="74">
        <v>92.16</v>
      </c>
      <c r="M1444" s="74"/>
      <c r="N1444" s="74" t="s">
        <v>392</v>
      </c>
      <c r="O1444" s="74" t="s">
        <v>402</v>
      </c>
      <c r="P1444" s="74" t="s">
        <v>2666</v>
      </c>
      <c r="Q1444" s="74" t="s">
        <v>2667</v>
      </c>
    </row>
    <row r="1445" spans="3:17" x14ac:dyDescent="0.25">
      <c r="C1445" s="74" t="s">
        <v>5885</v>
      </c>
      <c r="D1445" s="74" t="s">
        <v>5886</v>
      </c>
      <c r="E1445" s="74"/>
      <c r="F1445" s="74">
        <v>0.55000000000000004</v>
      </c>
      <c r="G1445" s="74"/>
      <c r="H1445" s="74"/>
      <c r="I1445" s="74" t="s">
        <v>391</v>
      </c>
      <c r="J1445" s="74"/>
      <c r="K1445" s="74">
        <v>102.4</v>
      </c>
      <c r="L1445" s="74">
        <v>92.16</v>
      </c>
      <c r="M1445" s="74"/>
      <c r="N1445" s="74" t="s">
        <v>392</v>
      </c>
      <c r="O1445" s="74" t="s">
        <v>402</v>
      </c>
      <c r="P1445" s="74" t="s">
        <v>5887</v>
      </c>
      <c r="Q1445" s="74" t="s">
        <v>5888</v>
      </c>
    </row>
    <row r="1446" spans="3:17" x14ac:dyDescent="0.25">
      <c r="C1446" s="74" t="s">
        <v>6039</v>
      </c>
      <c r="D1446" s="74" t="s">
        <v>6040</v>
      </c>
      <c r="E1446" s="74"/>
      <c r="F1446" s="74">
        <v>0.55000000000000004</v>
      </c>
      <c r="G1446" s="74"/>
      <c r="H1446" s="74"/>
      <c r="I1446" s="74" t="s">
        <v>391</v>
      </c>
      <c r="J1446" s="74"/>
      <c r="K1446" s="74">
        <v>102.4</v>
      </c>
      <c r="L1446" s="74">
        <v>92.16</v>
      </c>
      <c r="M1446" s="74"/>
      <c r="N1446" s="74" t="s">
        <v>392</v>
      </c>
      <c r="O1446" s="74" t="s">
        <v>402</v>
      </c>
      <c r="P1446" s="74" t="s">
        <v>6041</v>
      </c>
      <c r="Q1446" s="74" t="s">
        <v>6042</v>
      </c>
    </row>
    <row r="1447" spans="3:17" x14ac:dyDescent="0.25">
      <c r="C1447" s="74" t="s">
        <v>6986</v>
      </c>
      <c r="D1447" s="74" t="s">
        <v>6987</v>
      </c>
      <c r="E1447" s="74"/>
      <c r="F1447" s="74">
        <v>0.55000000000000004</v>
      </c>
      <c r="G1447" s="74"/>
      <c r="H1447" s="74"/>
      <c r="I1447" s="74" t="s">
        <v>391</v>
      </c>
      <c r="J1447" s="74"/>
      <c r="K1447" s="74">
        <v>102.4</v>
      </c>
      <c r="L1447" s="74">
        <v>92.16</v>
      </c>
      <c r="M1447" s="74"/>
      <c r="N1447" s="74" t="s">
        <v>392</v>
      </c>
      <c r="O1447" s="74" t="s">
        <v>402</v>
      </c>
      <c r="P1447" s="74" t="s">
        <v>6988</v>
      </c>
      <c r="Q1447" s="74" t="s">
        <v>6989</v>
      </c>
    </row>
    <row r="1448" spans="3:17" x14ac:dyDescent="0.25">
      <c r="C1448" s="74" t="s">
        <v>7606</v>
      </c>
      <c r="D1448" s="74" t="s">
        <v>7607</v>
      </c>
      <c r="E1448" s="74"/>
      <c r="F1448" s="74">
        <v>0.55000000000000004</v>
      </c>
      <c r="G1448" s="74"/>
      <c r="H1448" s="74"/>
      <c r="I1448" s="74" t="s">
        <v>391</v>
      </c>
      <c r="J1448" s="74"/>
      <c r="K1448" s="74">
        <v>102.4</v>
      </c>
      <c r="L1448" s="74">
        <v>92.16</v>
      </c>
      <c r="M1448" s="74"/>
      <c r="N1448" s="74" t="s">
        <v>392</v>
      </c>
      <c r="O1448" s="74" t="s">
        <v>402</v>
      </c>
      <c r="P1448" s="74" t="s">
        <v>7608</v>
      </c>
      <c r="Q1448" s="74" t="s">
        <v>7609</v>
      </c>
    </row>
    <row r="1449" spans="3:17" x14ac:dyDescent="0.25">
      <c r="C1449" s="74" t="s">
        <v>8159</v>
      </c>
      <c r="D1449" s="74" t="s">
        <v>8160</v>
      </c>
      <c r="E1449" s="74"/>
      <c r="F1449" s="74">
        <v>0.55000000000000004</v>
      </c>
      <c r="G1449" s="74"/>
      <c r="H1449" s="74"/>
      <c r="I1449" s="74" t="s">
        <v>391</v>
      </c>
      <c r="J1449" s="74"/>
      <c r="K1449" s="74">
        <v>102.4</v>
      </c>
      <c r="L1449" s="74">
        <v>92.16</v>
      </c>
      <c r="M1449" s="74"/>
      <c r="N1449" s="74" t="s">
        <v>392</v>
      </c>
      <c r="O1449" s="74" t="s">
        <v>402</v>
      </c>
      <c r="P1449" s="74" t="s">
        <v>8161</v>
      </c>
      <c r="Q1449" s="74" t="s">
        <v>8162</v>
      </c>
    </row>
    <row r="1450" spans="3:17" x14ac:dyDescent="0.25">
      <c r="C1450" s="74" t="s">
        <v>8823</v>
      </c>
      <c r="D1450" s="74" t="s">
        <v>8824</v>
      </c>
      <c r="E1450" s="74"/>
      <c r="F1450" s="74">
        <v>0.55000000000000004</v>
      </c>
      <c r="G1450" s="74"/>
      <c r="H1450" s="74"/>
      <c r="I1450" s="74" t="s">
        <v>391</v>
      </c>
      <c r="J1450" s="74"/>
      <c r="K1450" s="74">
        <v>102.4</v>
      </c>
      <c r="L1450" s="74">
        <v>92.16</v>
      </c>
      <c r="M1450" s="74"/>
      <c r="N1450" s="74" t="s">
        <v>392</v>
      </c>
      <c r="O1450" s="74" t="s">
        <v>402</v>
      </c>
      <c r="P1450" s="74" t="s">
        <v>8825</v>
      </c>
      <c r="Q1450" s="74" t="s">
        <v>8826</v>
      </c>
    </row>
    <row r="1451" spans="3:17" x14ac:dyDescent="0.25">
      <c r="C1451" s="74" t="s">
        <v>8987</v>
      </c>
      <c r="D1451" s="74" t="s">
        <v>8988</v>
      </c>
      <c r="E1451" s="74"/>
      <c r="F1451" s="74">
        <v>0.55000000000000004</v>
      </c>
      <c r="G1451" s="74"/>
      <c r="H1451" s="74"/>
      <c r="I1451" s="74" t="s">
        <v>391</v>
      </c>
      <c r="J1451" s="74"/>
      <c r="K1451" s="74">
        <v>102.4</v>
      </c>
      <c r="L1451" s="74">
        <v>92.16</v>
      </c>
      <c r="M1451" s="74"/>
      <c r="N1451" s="74" t="s">
        <v>392</v>
      </c>
      <c r="O1451" s="74" t="s">
        <v>402</v>
      </c>
      <c r="P1451" s="74" t="s">
        <v>8989</v>
      </c>
      <c r="Q1451" s="74" t="s">
        <v>8990</v>
      </c>
    </row>
    <row r="1452" spans="3:17" x14ac:dyDescent="0.25">
      <c r="C1452" s="74" t="s">
        <v>11116</v>
      </c>
      <c r="D1452" s="74" t="s">
        <v>11117</v>
      </c>
      <c r="E1452" s="74"/>
      <c r="F1452" s="74">
        <v>0.55000000000000004</v>
      </c>
      <c r="G1452" s="74"/>
      <c r="H1452" s="74"/>
      <c r="I1452" s="74" t="s">
        <v>391</v>
      </c>
      <c r="J1452" s="74"/>
      <c r="K1452" s="74">
        <v>102.4</v>
      </c>
      <c r="L1452" s="74">
        <v>92.16</v>
      </c>
      <c r="M1452" s="74"/>
      <c r="N1452" s="74" t="s">
        <v>392</v>
      </c>
      <c r="O1452" s="74" t="s">
        <v>402</v>
      </c>
      <c r="P1452" s="74" t="s">
        <v>11118</v>
      </c>
      <c r="Q1452" s="74" t="s">
        <v>11119</v>
      </c>
    </row>
    <row r="1453" spans="3:17" x14ac:dyDescent="0.25">
      <c r="C1453" s="74" t="s">
        <v>11199</v>
      </c>
      <c r="D1453" s="74" t="s">
        <v>11200</v>
      </c>
      <c r="E1453" s="74"/>
      <c r="F1453" s="74">
        <v>0.55000000000000004</v>
      </c>
      <c r="G1453" s="74"/>
      <c r="H1453" s="74"/>
      <c r="I1453" s="74" t="s">
        <v>391</v>
      </c>
      <c r="J1453" s="74"/>
      <c r="K1453" s="74">
        <v>102.4</v>
      </c>
      <c r="L1453" s="74">
        <v>92.16</v>
      </c>
      <c r="M1453" s="74"/>
      <c r="N1453" s="74" t="s">
        <v>392</v>
      </c>
      <c r="O1453" s="74" t="s">
        <v>402</v>
      </c>
      <c r="P1453" s="74" t="s">
        <v>11201</v>
      </c>
      <c r="Q1453" s="74" t="s">
        <v>11202</v>
      </c>
    </row>
    <row r="1454" spans="3:17" x14ac:dyDescent="0.25">
      <c r="C1454" s="74" t="s">
        <v>17534</v>
      </c>
      <c r="D1454" s="74" t="s">
        <v>17535</v>
      </c>
      <c r="E1454" s="74"/>
      <c r="F1454" s="74">
        <v>0.55000000000000004</v>
      </c>
      <c r="G1454" s="74"/>
      <c r="H1454" s="74"/>
      <c r="I1454" s="74" t="s">
        <v>391</v>
      </c>
      <c r="J1454" s="74"/>
      <c r="K1454" s="74">
        <v>102.4</v>
      </c>
      <c r="L1454" s="74">
        <v>92.16</v>
      </c>
      <c r="M1454" s="74"/>
      <c r="N1454" s="74" t="s">
        <v>392</v>
      </c>
      <c r="O1454" s="74" t="s">
        <v>402</v>
      </c>
      <c r="P1454" s="74" t="s">
        <v>17536</v>
      </c>
      <c r="Q1454" s="74" t="s">
        <v>17537</v>
      </c>
    </row>
    <row r="1455" spans="3:17" x14ac:dyDescent="0.25">
      <c r="C1455" s="74" t="s">
        <v>18407</v>
      </c>
      <c r="D1455" s="74" t="s">
        <v>18408</v>
      </c>
      <c r="E1455" s="74"/>
      <c r="F1455" s="74">
        <v>0.55000000000000004</v>
      </c>
      <c r="G1455" s="74"/>
      <c r="H1455" s="74"/>
      <c r="I1455" s="74" t="s">
        <v>391</v>
      </c>
      <c r="J1455" s="74"/>
      <c r="K1455" s="74">
        <v>102.4</v>
      </c>
      <c r="L1455" s="74">
        <v>92.16</v>
      </c>
      <c r="M1455" s="74"/>
      <c r="N1455" s="74" t="s">
        <v>392</v>
      </c>
      <c r="O1455" s="74" t="s">
        <v>402</v>
      </c>
      <c r="P1455" s="74" t="s">
        <v>18409</v>
      </c>
      <c r="Q1455" s="74" t="s">
        <v>18410</v>
      </c>
    </row>
    <row r="1456" spans="3:17" x14ac:dyDescent="0.25">
      <c r="C1456" s="74" t="s">
        <v>18955</v>
      </c>
      <c r="D1456" s="74" t="s">
        <v>18956</v>
      </c>
      <c r="E1456" s="74" t="s">
        <v>391</v>
      </c>
      <c r="F1456" s="74">
        <v>0.55000000000000004</v>
      </c>
      <c r="G1456" s="74"/>
      <c r="H1456" s="74"/>
      <c r="I1456" s="74" t="s">
        <v>391</v>
      </c>
      <c r="J1456" s="74"/>
      <c r="K1456" s="74">
        <v>102.4</v>
      </c>
      <c r="L1456" s="74">
        <v>92.16</v>
      </c>
      <c r="M1456" s="74"/>
      <c r="N1456" s="74" t="s">
        <v>392</v>
      </c>
      <c r="O1456" s="74" t="s">
        <v>393</v>
      </c>
      <c r="P1456" s="74" t="s">
        <v>18957</v>
      </c>
      <c r="Q1456" s="74" t="s">
        <v>18958</v>
      </c>
    </row>
    <row r="1457" spans="3:17" x14ac:dyDescent="0.25">
      <c r="C1457" s="74" t="s">
        <v>19177</v>
      </c>
      <c r="D1457" s="74" t="s">
        <v>19178</v>
      </c>
      <c r="E1457" s="74"/>
      <c r="F1457" s="74">
        <v>0.55000000000000004</v>
      </c>
      <c r="G1457" s="74"/>
      <c r="H1457" s="74"/>
      <c r="I1457" s="74" t="s">
        <v>391</v>
      </c>
      <c r="J1457" s="74"/>
      <c r="K1457" s="74">
        <v>102.4</v>
      </c>
      <c r="L1457" s="74">
        <v>92.16</v>
      </c>
      <c r="M1457" s="74"/>
      <c r="N1457" s="74" t="s">
        <v>392</v>
      </c>
      <c r="O1457" s="74" t="s">
        <v>402</v>
      </c>
      <c r="P1457" s="74" t="s">
        <v>19179</v>
      </c>
      <c r="Q1457" s="74" t="s">
        <v>19180</v>
      </c>
    </row>
    <row r="1458" spans="3:17" x14ac:dyDescent="0.25">
      <c r="C1458" s="74" t="s">
        <v>19665</v>
      </c>
      <c r="D1458" s="74" t="s">
        <v>19666</v>
      </c>
      <c r="E1458" s="74"/>
      <c r="F1458" s="74">
        <v>0.55000000000000004</v>
      </c>
      <c r="G1458" s="74"/>
      <c r="H1458" s="74"/>
      <c r="I1458" s="74" t="s">
        <v>391</v>
      </c>
      <c r="J1458" s="74"/>
      <c r="K1458" s="74">
        <v>102.4</v>
      </c>
      <c r="L1458" s="74">
        <v>92.16</v>
      </c>
      <c r="M1458" s="74"/>
      <c r="N1458" s="74" t="s">
        <v>392</v>
      </c>
      <c r="O1458" s="74" t="s">
        <v>402</v>
      </c>
      <c r="P1458" s="74" t="s">
        <v>19667</v>
      </c>
      <c r="Q1458" s="74" t="s">
        <v>19668</v>
      </c>
    </row>
    <row r="1459" spans="3:17" x14ac:dyDescent="0.25">
      <c r="C1459" s="74" t="s">
        <v>20932</v>
      </c>
      <c r="D1459" s="74" t="s">
        <v>20933</v>
      </c>
      <c r="E1459" s="74"/>
      <c r="F1459" s="74">
        <v>0.55000000000000004</v>
      </c>
      <c r="G1459" s="74"/>
      <c r="H1459" s="74"/>
      <c r="I1459" s="74" t="s">
        <v>391</v>
      </c>
      <c r="J1459" s="74"/>
      <c r="K1459" s="74">
        <v>102.4</v>
      </c>
      <c r="L1459" s="74">
        <v>92.16</v>
      </c>
      <c r="M1459" s="74"/>
      <c r="N1459" s="74" t="s">
        <v>392</v>
      </c>
      <c r="O1459" s="74" t="s">
        <v>402</v>
      </c>
      <c r="P1459" s="74" t="s">
        <v>20934</v>
      </c>
      <c r="Q1459" s="74" t="s">
        <v>20935</v>
      </c>
    </row>
    <row r="1460" spans="3:17" x14ac:dyDescent="0.25">
      <c r="C1460" s="74" t="s">
        <v>2282</v>
      </c>
      <c r="D1460" s="74" t="s">
        <v>2283</v>
      </c>
      <c r="E1460" s="74"/>
      <c r="F1460" s="74">
        <v>0.54</v>
      </c>
      <c r="G1460" s="74"/>
      <c r="H1460" s="74"/>
      <c r="I1460" s="74" t="s">
        <v>391</v>
      </c>
      <c r="J1460" s="74"/>
      <c r="K1460" s="74"/>
      <c r="L1460" s="74"/>
      <c r="M1460" s="74"/>
      <c r="N1460" s="74" t="s">
        <v>392</v>
      </c>
      <c r="O1460" s="74" t="s">
        <v>402</v>
      </c>
      <c r="P1460" s="74" t="s">
        <v>2284</v>
      </c>
      <c r="Q1460" s="74" t="s">
        <v>2285</v>
      </c>
    </row>
    <row r="1461" spans="3:17" x14ac:dyDescent="0.25">
      <c r="C1461" s="74" t="s">
        <v>7051</v>
      </c>
      <c r="D1461" s="74" t="s">
        <v>7052</v>
      </c>
      <c r="E1461" s="74" t="s">
        <v>391</v>
      </c>
      <c r="F1461" s="74">
        <v>0.54</v>
      </c>
      <c r="G1461" s="74"/>
      <c r="H1461" s="74"/>
      <c r="I1461" s="74" t="s">
        <v>391</v>
      </c>
      <c r="J1461" s="74"/>
      <c r="K1461" s="74">
        <v>102.4</v>
      </c>
      <c r="L1461" s="74">
        <v>92.16</v>
      </c>
      <c r="M1461" s="74"/>
      <c r="N1461" s="74" t="s">
        <v>392</v>
      </c>
      <c r="O1461" s="74" t="s">
        <v>393</v>
      </c>
      <c r="P1461" s="74" t="s">
        <v>7053</v>
      </c>
      <c r="Q1461" s="74" t="s">
        <v>7054</v>
      </c>
    </row>
    <row r="1462" spans="3:17" x14ac:dyDescent="0.25">
      <c r="C1462" s="74" t="s">
        <v>8148</v>
      </c>
      <c r="D1462" s="74" t="s">
        <v>8149</v>
      </c>
      <c r="E1462" s="74"/>
      <c r="F1462" s="74">
        <v>0.54</v>
      </c>
      <c r="G1462" s="74"/>
      <c r="H1462" s="74"/>
      <c r="I1462" s="74" t="s">
        <v>391</v>
      </c>
      <c r="J1462" s="74"/>
      <c r="K1462" s="74">
        <v>102.4</v>
      </c>
      <c r="L1462" s="74">
        <v>92.16</v>
      </c>
      <c r="M1462" s="74"/>
      <c r="N1462" s="74" t="s">
        <v>392</v>
      </c>
      <c r="O1462" s="74" t="s">
        <v>402</v>
      </c>
      <c r="P1462" s="74" t="s">
        <v>8150</v>
      </c>
      <c r="Q1462" s="74" t="s">
        <v>8151</v>
      </c>
    </row>
    <row r="1463" spans="3:17" x14ac:dyDescent="0.25">
      <c r="C1463" s="74" t="s">
        <v>8860</v>
      </c>
      <c r="D1463" s="74" t="s">
        <v>8861</v>
      </c>
      <c r="E1463" s="74"/>
      <c r="F1463" s="74">
        <v>0.54</v>
      </c>
      <c r="G1463" s="74"/>
      <c r="H1463" s="74"/>
      <c r="I1463" s="74" t="s">
        <v>391</v>
      </c>
      <c r="J1463" s="74"/>
      <c r="K1463" s="74">
        <v>102.4</v>
      </c>
      <c r="L1463" s="74">
        <v>92.16</v>
      </c>
      <c r="M1463" s="74"/>
      <c r="N1463" s="74" t="s">
        <v>392</v>
      </c>
      <c r="O1463" s="74" t="s">
        <v>402</v>
      </c>
      <c r="P1463" s="74" t="s">
        <v>8862</v>
      </c>
      <c r="Q1463" s="74" t="s">
        <v>8863</v>
      </c>
    </row>
    <row r="1464" spans="3:17" x14ac:dyDescent="0.25">
      <c r="C1464" s="74" t="s">
        <v>10173</v>
      </c>
      <c r="D1464" s="74" t="s">
        <v>10174</v>
      </c>
      <c r="E1464" s="74" t="s">
        <v>391</v>
      </c>
      <c r="F1464" s="74">
        <v>0.54</v>
      </c>
      <c r="G1464" s="74"/>
      <c r="H1464" s="74"/>
      <c r="I1464" s="74" t="s">
        <v>391</v>
      </c>
      <c r="J1464" s="74"/>
      <c r="K1464" s="74">
        <v>102.4</v>
      </c>
      <c r="L1464" s="74">
        <v>92.16</v>
      </c>
      <c r="M1464" s="74"/>
      <c r="N1464" s="74" t="s">
        <v>392</v>
      </c>
      <c r="O1464" s="74" t="s">
        <v>393</v>
      </c>
      <c r="P1464" s="74" t="s">
        <v>10175</v>
      </c>
      <c r="Q1464" s="74" t="s">
        <v>10176</v>
      </c>
    </row>
    <row r="1465" spans="3:17" x14ac:dyDescent="0.25">
      <c r="C1465" s="74" t="s">
        <v>11997</v>
      </c>
      <c r="D1465" s="74" t="s">
        <v>11998</v>
      </c>
      <c r="E1465" s="74"/>
      <c r="F1465" s="74">
        <v>0.54</v>
      </c>
      <c r="G1465" s="74"/>
      <c r="H1465" s="74"/>
      <c r="I1465" s="74" t="s">
        <v>391</v>
      </c>
      <c r="J1465" s="74"/>
      <c r="K1465" s="74">
        <v>102.4</v>
      </c>
      <c r="L1465" s="74">
        <v>92.16</v>
      </c>
      <c r="M1465" s="74"/>
      <c r="N1465" s="74" t="s">
        <v>392</v>
      </c>
      <c r="O1465" s="74" t="s">
        <v>402</v>
      </c>
      <c r="P1465" s="74" t="s">
        <v>11999</v>
      </c>
      <c r="Q1465" s="74" t="s">
        <v>12000</v>
      </c>
    </row>
    <row r="1466" spans="3:17" x14ac:dyDescent="0.25">
      <c r="C1466" s="74" t="s">
        <v>12596</v>
      </c>
      <c r="D1466" s="74" t="s">
        <v>12597</v>
      </c>
      <c r="E1466" s="74"/>
      <c r="F1466" s="74">
        <v>0.54</v>
      </c>
      <c r="G1466" s="74"/>
      <c r="H1466" s="74"/>
      <c r="I1466" s="74" t="s">
        <v>391</v>
      </c>
      <c r="J1466" s="74"/>
      <c r="K1466" s="74">
        <v>102.4</v>
      </c>
      <c r="L1466" s="74">
        <v>92.16</v>
      </c>
      <c r="M1466" s="74"/>
      <c r="N1466" s="74" t="s">
        <v>392</v>
      </c>
      <c r="O1466" s="74" t="s">
        <v>402</v>
      </c>
      <c r="P1466" s="74" t="s">
        <v>12598</v>
      </c>
      <c r="Q1466" s="74" t="s">
        <v>12599</v>
      </c>
    </row>
    <row r="1467" spans="3:17" x14ac:dyDescent="0.25">
      <c r="C1467" s="74" t="s">
        <v>15258</v>
      </c>
      <c r="D1467" s="74" t="s">
        <v>15259</v>
      </c>
      <c r="E1467" s="74"/>
      <c r="F1467" s="74">
        <v>0.54</v>
      </c>
      <c r="G1467" s="74"/>
      <c r="H1467" s="74"/>
      <c r="I1467" s="74" t="s">
        <v>391</v>
      </c>
      <c r="J1467" s="74"/>
      <c r="K1467" s="74">
        <v>102.4</v>
      </c>
      <c r="L1467" s="74">
        <v>92.16</v>
      </c>
      <c r="M1467" s="74"/>
      <c r="N1467" s="74" t="s">
        <v>392</v>
      </c>
      <c r="O1467" s="74" t="s">
        <v>402</v>
      </c>
      <c r="P1467" s="74" t="s">
        <v>15260</v>
      </c>
      <c r="Q1467" s="74" t="s">
        <v>15261</v>
      </c>
    </row>
    <row r="1468" spans="3:17" x14ac:dyDescent="0.25">
      <c r="C1468" s="74" t="s">
        <v>15860</v>
      </c>
      <c r="D1468" s="74" t="s">
        <v>15861</v>
      </c>
      <c r="E1468" s="74"/>
      <c r="F1468" s="74">
        <v>0.54</v>
      </c>
      <c r="G1468" s="74"/>
      <c r="H1468" s="74"/>
      <c r="I1468" s="74" t="s">
        <v>391</v>
      </c>
      <c r="J1468" s="74"/>
      <c r="K1468" s="74">
        <v>102.4</v>
      </c>
      <c r="L1468" s="74">
        <v>92.16</v>
      </c>
      <c r="M1468" s="74"/>
      <c r="N1468" s="74" t="s">
        <v>392</v>
      </c>
      <c r="O1468" s="74" t="s">
        <v>402</v>
      </c>
      <c r="P1468" s="74" t="s">
        <v>15862</v>
      </c>
      <c r="Q1468" s="74" t="s">
        <v>15863</v>
      </c>
    </row>
    <row r="1469" spans="3:17" x14ac:dyDescent="0.25">
      <c r="C1469" s="74" t="s">
        <v>16063</v>
      </c>
      <c r="D1469" s="74" t="s">
        <v>16064</v>
      </c>
      <c r="E1469" s="74"/>
      <c r="F1469" s="74">
        <v>0.54</v>
      </c>
      <c r="G1469" s="74"/>
      <c r="H1469" s="74"/>
      <c r="I1469" s="74" t="s">
        <v>391</v>
      </c>
      <c r="J1469" s="74"/>
      <c r="K1469" s="74">
        <v>102.4</v>
      </c>
      <c r="L1469" s="74">
        <v>92.16</v>
      </c>
      <c r="M1469" s="74"/>
      <c r="N1469" s="74" t="s">
        <v>392</v>
      </c>
      <c r="O1469" s="74" t="s">
        <v>402</v>
      </c>
      <c r="P1469" s="74" t="s">
        <v>16065</v>
      </c>
      <c r="Q1469" s="74" t="s">
        <v>16066</v>
      </c>
    </row>
    <row r="1470" spans="3:17" x14ac:dyDescent="0.25">
      <c r="C1470" s="74" t="s">
        <v>17614</v>
      </c>
      <c r="D1470" s="74" t="s">
        <v>17615</v>
      </c>
      <c r="E1470" s="74"/>
      <c r="F1470" s="74">
        <v>0.54</v>
      </c>
      <c r="G1470" s="74"/>
      <c r="H1470" s="74"/>
      <c r="I1470" s="74" t="s">
        <v>391</v>
      </c>
      <c r="J1470" s="74"/>
      <c r="K1470" s="74">
        <v>102.4</v>
      </c>
      <c r="L1470" s="74">
        <v>92.16</v>
      </c>
      <c r="M1470" s="74"/>
      <c r="N1470" s="74" t="s">
        <v>392</v>
      </c>
      <c r="O1470" s="74" t="s">
        <v>402</v>
      </c>
      <c r="P1470" s="74" t="s">
        <v>17616</v>
      </c>
      <c r="Q1470" s="74" t="s">
        <v>17617</v>
      </c>
    </row>
    <row r="1471" spans="3:17" x14ac:dyDescent="0.25">
      <c r="C1471" s="74" t="s">
        <v>1771</v>
      </c>
      <c r="D1471" s="74" t="s">
        <v>1772</v>
      </c>
      <c r="E1471" s="74" t="s">
        <v>391</v>
      </c>
      <c r="F1471" s="74">
        <v>0.53</v>
      </c>
      <c r="G1471" s="74"/>
      <c r="H1471" s="74"/>
      <c r="I1471" s="74" t="s">
        <v>391</v>
      </c>
      <c r="J1471" s="74"/>
      <c r="K1471" s="74">
        <v>102.4</v>
      </c>
      <c r="L1471" s="74">
        <v>92.16</v>
      </c>
      <c r="M1471" s="74"/>
      <c r="N1471" s="74" t="s">
        <v>392</v>
      </c>
      <c r="O1471" s="74" t="s">
        <v>393</v>
      </c>
      <c r="P1471" s="74" t="s">
        <v>1773</v>
      </c>
      <c r="Q1471" s="74" t="s">
        <v>1774</v>
      </c>
    </row>
    <row r="1472" spans="3:17" x14ac:dyDescent="0.25">
      <c r="C1472" s="74" t="s">
        <v>6945</v>
      </c>
      <c r="D1472" s="74" t="s">
        <v>6946</v>
      </c>
      <c r="E1472" s="74"/>
      <c r="F1472" s="74">
        <v>0.53</v>
      </c>
      <c r="G1472" s="74"/>
      <c r="H1472" s="74"/>
      <c r="I1472" s="74" t="s">
        <v>391</v>
      </c>
      <c r="J1472" s="74"/>
      <c r="K1472" s="74">
        <v>102.4</v>
      </c>
      <c r="L1472" s="74">
        <v>92.16</v>
      </c>
      <c r="M1472" s="74"/>
      <c r="N1472" s="74" t="s">
        <v>392</v>
      </c>
      <c r="O1472" s="74" t="s">
        <v>402</v>
      </c>
      <c r="P1472" s="74" t="s">
        <v>6947</v>
      </c>
      <c r="Q1472" s="74" t="s">
        <v>6948</v>
      </c>
    </row>
    <row r="1473" spans="3:17" x14ac:dyDescent="0.25">
      <c r="C1473" s="74" t="s">
        <v>9185</v>
      </c>
      <c r="D1473" s="74" t="s">
        <v>9186</v>
      </c>
      <c r="E1473" s="74" t="s">
        <v>391</v>
      </c>
      <c r="F1473" s="74">
        <v>0.53</v>
      </c>
      <c r="G1473" s="74"/>
      <c r="H1473" s="74"/>
      <c r="I1473" s="74" t="s">
        <v>391</v>
      </c>
      <c r="J1473" s="74"/>
      <c r="K1473" s="74">
        <v>102.4</v>
      </c>
      <c r="L1473" s="74">
        <v>92.16</v>
      </c>
      <c r="M1473" s="74"/>
      <c r="N1473" s="74" t="s">
        <v>392</v>
      </c>
      <c r="O1473" s="74" t="s">
        <v>393</v>
      </c>
      <c r="P1473" s="74"/>
      <c r="Q1473" s="74" t="s">
        <v>9187</v>
      </c>
    </row>
    <row r="1474" spans="3:17" x14ac:dyDescent="0.25">
      <c r="C1474" s="74" t="s">
        <v>11333</v>
      </c>
      <c r="D1474" s="74" t="s">
        <v>11334</v>
      </c>
      <c r="E1474" s="74"/>
      <c r="F1474" s="74">
        <v>0.53</v>
      </c>
      <c r="G1474" s="74"/>
      <c r="H1474" s="74"/>
      <c r="I1474" s="74" t="s">
        <v>391</v>
      </c>
      <c r="J1474" s="74"/>
      <c r="K1474" s="74">
        <v>102.4</v>
      </c>
      <c r="L1474" s="74">
        <v>92.16</v>
      </c>
      <c r="M1474" s="74"/>
      <c r="N1474" s="74" t="s">
        <v>392</v>
      </c>
      <c r="O1474" s="74" t="s">
        <v>402</v>
      </c>
      <c r="P1474" s="74" t="s">
        <v>11335</v>
      </c>
      <c r="Q1474" s="74" t="s">
        <v>11336</v>
      </c>
    </row>
    <row r="1475" spans="3:17" x14ac:dyDescent="0.25">
      <c r="C1475" s="74" t="s">
        <v>17730</v>
      </c>
      <c r="D1475" s="74" t="s">
        <v>17731</v>
      </c>
      <c r="E1475" s="74"/>
      <c r="F1475" s="74">
        <v>0.53</v>
      </c>
      <c r="G1475" s="74"/>
      <c r="H1475" s="74"/>
      <c r="I1475" s="74" t="s">
        <v>391</v>
      </c>
      <c r="J1475" s="74"/>
      <c r="K1475" s="74">
        <v>102.4</v>
      </c>
      <c r="L1475" s="74">
        <v>92.16</v>
      </c>
      <c r="M1475" s="74"/>
      <c r="N1475" s="74" t="s">
        <v>392</v>
      </c>
      <c r="O1475" s="74" t="s">
        <v>402</v>
      </c>
      <c r="P1475" s="74" t="s">
        <v>17732</v>
      </c>
      <c r="Q1475" s="74" t="s">
        <v>17733</v>
      </c>
    </row>
    <row r="1476" spans="3:17" x14ac:dyDescent="0.25">
      <c r="C1476" s="74" t="s">
        <v>18830</v>
      </c>
      <c r="D1476" s="74" t="s">
        <v>18831</v>
      </c>
      <c r="E1476" s="74"/>
      <c r="F1476" s="74">
        <v>0.53</v>
      </c>
      <c r="G1476" s="74"/>
      <c r="H1476" s="74"/>
      <c r="I1476" s="74" t="s">
        <v>391</v>
      </c>
      <c r="J1476" s="74"/>
      <c r="K1476" s="74">
        <v>102.4</v>
      </c>
      <c r="L1476" s="74">
        <v>92.16</v>
      </c>
      <c r="M1476" s="74"/>
      <c r="N1476" s="74" t="s">
        <v>392</v>
      </c>
      <c r="O1476" s="74" t="s">
        <v>402</v>
      </c>
      <c r="P1476" s="74" t="s">
        <v>18832</v>
      </c>
      <c r="Q1476" s="74" t="s">
        <v>18833</v>
      </c>
    </row>
    <row r="1477" spans="3:17" x14ac:dyDescent="0.25">
      <c r="C1477" s="74" t="s">
        <v>20071</v>
      </c>
      <c r="D1477" s="74" t="s">
        <v>20072</v>
      </c>
      <c r="E1477" s="74"/>
      <c r="F1477" s="74">
        <v>0.53</v>
      </c>
      <c r="G1477" s="74"/>
      <c r="H1477" s="74"/>
      <c r="I1477" s="74" t="s">
        <v>391</v>
      </c>
      <c r="J1477" s="74"/>
      <c r="K1477" s="74">
        <v>102.4</v>
      </c>
      <c r="L1477" s="74">
        <v>92.16</v>
      </c>
      <c r="M1477" s="74"/>
      <c r="N1477" s="74" t="s">
        <v>392</v>
      </c>
      <c r="O1477" s="74" t="s">
        <v>402</v>
      </c>
      <c r="P1477" s="74" t="s">
        <v>20073</v>
      </c>
      <c r="Q1477" s="74" t="s">
        <v>20074</v>
      </c>
    </row>
    <row r="1478" spans="3:17" x14ac:dyDescent="0.25">
      <c r="C1478" s="74" t="s">
        <v>2364</v>
      </c>
      <c r="D1478" s="74" t="s">
        <v>2365</v>
      </c>
      <c r="E1478" s="74"/>
      <c r="F1478" s="74">
        <v>0.52</v>
      </c>
      <c r="G1478" s="74"/>
      <c r="H1478" s="74"/>
      <c r="I1478" s="74" t="s">
        <v>391</v>
      </c>
      <c r="J1478" s="74"/>
      <c r="K1478" s="74">
        <v>102.4</v>
      </c>
      <c r="L1478" s="74">
        <v>92.16</v>
      </c>
      <c r="M1478" s="74"/>
      <c r="N1478" s="74" t="s">
        <v>392</v>
      </c>
      <c r="O1478" s="74" t="s">
        <v>402</v>
      </c>
      <c r="P1478" s="74" t="s">
        <v>2366</v>
      </c>
      <c r="Q1478" s="74" t="s">
        <v>2367</v>
      </c>
    </row>
    <row r="1479" spans="3:17" x14ac:dyDescent="0.25">
      <c r="C1479" s="74" t="s">
        <v>5163</v>
      </c>
      <c r="D1479" s="74" t="s">
        <v>5164</v>
      </c>
      <c r="E1479" s="74"/>
      <c r="F1479" s="74">
        <v>0.52</v>
      </c>
      <c r="G1479" s="74"/>
      <c r="H1479" s="74"/>
      <c r="I1479" s="74" t="s">
        <v>391</v>
      </c>
      <c r="J1479" s="74"/>
      <c r="K1479" s="74">
        <v>102.4</v>
      </c>
      <c r="L1479" s="74">
        <v>92.16</v>
      </c>
      <c r="M1479" s="74"/>
      <c r="N1479" s="74" t="s">
        <v>392</v>
      </c>
      <c r="O1479" s="74" t="s">
        <v>402</v>
      </c>
      <c r="P1479" s="74" t="s">
        <v>5165</v>
      </c>
      <c r="Q1479" s="74" t="s">
        <v>5166</v>
      </c>
    </row>
    <row r="1480" spans="3:17" x14ac:dyDescent="0.25">
      <c r="C1480" s="74" t="s">
        <v>11464</v>
      </c>
      <c r="D1480" s="74" t="s">
        <v>11465</v>
      </c>
      <c r="E1480" s="74"/>
      <c r="F1480" s="74">
        <v>0.52</v>
      </c>
      <c r="G1480" s="74"/>
      <c r="H1480" s="74"/>
      <c r="I1480" s="74" t="s">
        <v>391</v>
      </c>
      <c r="J1480" s="74"/>
      <c r="K1480" s="74">
        <v>102.4</v>
      </c>
      <c r="L1480" s="74">
        <v>92.16</v>
      </c>
      <c r="M1480" s="74"/>
      <c r="N1480" s="74" t="s">
        <v>392</v>
      </c>
      <c r="O1480" s="74" t="s">
        <v>402</v>
      </c>
      <c r="P1480" s="74" t="s">
        <v>11466</v>
      </c>
      <c r="Q1480" s="74" t="s">
        <v>11467</v>
      </c>
    </row>
    <row r="1481" spans="3:17" x14ac:dyDescent="0.25">
      <c r="C1481" s="74" t="s">
        <v>15981</v>
      </c>
      <c r="D1481" s="74" t="s">
        <v>15982</v>
      </c>
      <c r="E1481" s="74"/>
      <c r="F1481" s="74">
        <v>0.52</v>
      </c>
      <c r="G1481" s="74"/>
      <c r="H1481" s="74"/>
      <c r="I1481" s="74" t="s">
        <v>391</v>
      </c>
      <c r="J1481" s="74"/>
      <c r="K1481" s="74">
        <v>102.4</v>
      </c>
      <c r="L1481" s="74">
        <v>92.16</v>
      </c>
      <c r="M1481" s="74"/>
      <c r="N1481" s="74" t="s">
        <v>392</v>
      </c>
      <c r="O1481" s="74" t="s">
        <v>402</v>
      </c>
      <c r="P1481" s="74" t="s">
        <v>15983</v>
      </c>
      <c r="Q1481" s="74" t="s">
        <v>15984</v>
      </c>
    </row>
    <row r="1482" spans="3:17" x14ac:dyDescent="0.25">
      <c r="C1482" s="74" t="s">
        <v>18926</v>
      </c>
      <c r="D1482" s="74" t="s">
        <v>18927</v>
      </c>
      <c r="E1482" s="74"/>
      <c r="F1482" s="74">
        <v>0.52</v>
      </c>
      <c r="G1482" s="74"/>
      <c r="H1482" s="74"/>
      <c r="I1482" s="74" t="s">
        <v>391</v>
      </c>
      <c r="J1482" s="74"/>
      <c r="K1482" s="74">
        <v>102.4</v>
      </c>
      <c r="L1482" s="74">
        <v>92.16</v>
      </c>
      <c r="M1482" s="74"/>
      <c r="N1482" s="74" t="s">
        <v>392</v>
      </c>
      <c r="O1482" s="74" t="s">
        <v>402</v>
      </c>
      <c r="P1482" s="74" t="s">
        <v>18928</v>
      </c>
      <c r="Q1482" s="74" t="s">
        <v>18929</v>
      </c>
    </row>
    <row r="1483" spans="3:17" x14ac:dyDescent="0.25">
      <c r="C1483" s="74" t="s">
        <v>1630</v>
      </c>
      <c r="D1483" s="74" t="s">
        <v>1631</v>
      </c>
      <c r="E1483" s="74"/>
      <c r="F1483" s="74">
        <v>0.51</v>
      </c>
      <c r="G1483" s="74"/>
      <c r="H1483" s="74"/>
      <c r="I1483" s="74" t="s">
        <v>391</v>
      </c>
      <c r="J1483" s="74"/>
      <c r="K1483" s="74">
        <v>102.4</v>
      </c>
      <c r="L1483" s="74">
        <v>92.16</v>
      </c>
      <c r="M1483" s="74"/>
      <c r="N1483" s="74" t="s">
        <v>392</v>
      </c>
      <c r="O1483" s="74" t="s">
        <v>402</v>
      </c>
      <c r="P1483" s="74" t="s">
        <v>1632</v>
      </c>
      <c r="Q1483" s="74" t="s">
        <v>1633</v>
      </c>
    </row>
    <row r="1484" spans="3:17" x14ac:dyDescent="0.25">
      <c r="C1484" s="74" t="s">
        <v>1753</v>
      </c>
      <c r="D1484" s="74" t="s">
        <v>1754</v>
      </c>
      <c r="E1484" s="74"/>
      <c r="F1484" s="74">
        <v>0.51</v>
      </c>
      <c r="G1484" s="74"/>
      <c r="H1484" s="74"/>
      <c r="I1484" s="74" t="s">
        <v>391</v>
      </c>
      <c r="J1484" s="74"/>
      <c r="K1484" s="74">
        <v>102.4</v>
      </c>
      <c r="L1484" s="74">
        <v>92.16</v>
      </c>
      <c r="M1484" s="74"/>
      <c r="N1484" s="74" t="s">
        <v>392</v>
      </c>
      <c r="O1484" s="74" t="s">
        <v>402</v>
      </c>
      <c r="P1484" s="74" t="s">
        <v>1755</v>
      </c>
      <c r="Q1484" s="74" t="s">
        <v>1756</v>
      </c>
    </row>
    <row r="1485" spans="3:17" x14ac:dyDescent="0.25">
      <c r="C1485" s="74" t="s">
        <v>2278</v>
      </c>
      <c r="D1485" s="74" t="s">
        <v>2279</v>
      </c>
      <c r="E1485" s="74"/>
      <c r="F1485" s="74">
        <v>0.51</v>
      </c>
      <c r="G1485" s="74"/>
      <c r="H1485" s="74"/>
      <c r="I1485" s="74" t="s">
        <v>391</v>
      </c>
      <c r="J1485" s="74"/>
      <c r="K1485" s="74">
        <v>102.4</v>
      </c>
      <c r="L1485" s="74">
        <v>92.16</v>
      </c>
      <c r="M1485" s="74"/>
      <c r="N1485" s="74" t="s">
        <v>392</v>
      </c>
      <c r="O1485" s="74" t="s">
        <v>402</v>
      </c>
      <c r="P1485" s="74" t="s">
        <v>2280</v>
      </c>
      <c r="Q1485" s="74" t="s">
        <v>2281</v>
      </c>
    </row>
    <row r="1486" spans="3:17" x14ac:dyDescent="0.25">
      <c r="C1486" s="74" t="s">
        <v>4842</v>
      </c>
      <c r="D1486" s="74" t="s">
        <v>4843</v>
      </c>
      <c r="E1486" s="74"/>
      <c r="F1486" s="74">
        <v>0.51</v>
      </c>
      <c r="G1486" s="74"/>
      <c r="H1486" s="74"/>
      <c r="I1486" s="74" t="s">
        <v>391</v>
      </c>
      <c r="J1486" s="74"/>
      <c r="K1486" s="74">
        <v>102.4</v>
      </c>
      <c r="L1486" s="74">
        <v>92.16</v>
      </c>
      <c r="M1486" s="74"/>
      <c r="N1486" s="74" t="s">
        <v>392</v>
      </c>
      <c r="O1486" s="74" t="s">
        <v>402</v>
      </c>
      <c r="P1486" s="74" t="s">
        <v>4844</v>
      </c>
      <c r="Q1486" s="74" t="s">
        <v>4845</v>
      </c>
    </row>
    <row r="1487" spans="3:17" x14ac:dyDescent="0.25">
      <c r="C1487" s="74" t="s">
        <v>5661</v>
      </c>
      <c r="D1487" s="74" t="s">
        <v>5662</v>
      </c>
      <c r="E1487" s="74"/>
      <c r="F1487" s="74">
        <v>0.51</v>
      </c>
      <c r="G1487" s="74"/>
      <c r="H1487" s="74"/>
      <c r="I1487" s="74" t="s">
        <v>391</v>
      </c>
      <c r="J1487" s="74"/>
      <c r="K1487" s="74">
        <v>102.4</v>
      </c>
      <c r="L1487" s="74">
        <v>92.16</v>
      </c>
      <c r="M1487" s="74"/>
      <c r="N1487" s="74" t="s">
        <v>392</v>
      </c>
      <c r="O1487" s="74" t="s">
        <v>402</v>
      </c>
      <c r="P1487" s="74" t="s">
        <v>5663</v>
      </c>
      <c r="Q1487" s="74" t="s">
        <v>5664</v>
      </c>
    </row>
    <row r="1488" spans="3:17" x14ac:dyDescent="0.25">
      <c r="C1488" s="74" t="s">
        <v>7236</v>
      </c>
      <c r="D1488" s="74" t="s">
        <v>7237</v>
      </c>
      <c r="E1488" s="74"/>
      <c r="F1488" s="74">
        <v>0.51</v>
      </c>
      <c r="G1488" s="74"/>
      <c r="H1488" s="74"/>
      <c r="I1488" s="74" t="s">
        <v>391</v>
      </c>
      <c r="J1488" s="74"/>
      <c r="K1488" s="74">
        <v>102.4</v>
      </c>
      <c r="L1488" s="74">
        <v>92.16</v>
      </c>
      <c r="M1488" s="74"/>
      <c r="N1488" s="74" t="s">
        <v>392</v>
      </c>
      <c r="O1488" s="74" t="s">
        <v>402</v>
      </c>
      <c r="P1488" s="74" t="s">
        <v>7238</v>
      </c>
      <c r="Q1488" s="74" t="s">
        <v>7239</v>
      </c>
    </row>
    <row r="1489" spans="3:17" x14ac:dyDescent="0.25">
      <c r="C1489" s="74" t="s">
        <v>7285</v>
      </c>
      <c r="D1489" s="74" t="s">
        <v>7286</v>
      </c>
      <c r="E1489" s="74"/>
      <c r="F1489" s="74">
        <v>0.51</v>
      </c>
      <c r="G1489" s="74"/>
      <c r="H1489" s="74"/>
      <c r="I1489" s="74" t="s">
        <v>391</v>
      </c>
      <c r="J1489" s="74"/>
      <c r="K1489" s="74">
        <v>102.4</v>
      </c>
      <c r="L1489" s="74">
        <v>92.16</v>
      </c>
      <c r="M1489" s="74"/>
      <c r="N1489" s="74" t="s">
        <v>392</v>
      </c>
      <c r="O1489" s="74" t="s">
        <v>402</v>
      </c>
      <c r="P1489" s="74" t="s">
        <v>7287</v>
      </c>
      <c r="Q1489" s="74" t="s">
        <v>7288</v>
      </c>
    </row>
    <row r="1490" spans="3:17" x14ac:dyDescent="0.25">
      <c r="C1490" s="74" t="s">
        <v>7526</v>
      </c>
      <c r="D1490" s="74" t="s">
        <v>7527</v>
      </c>
      <c r="E1490" s="74"/>
      <c r="F1490" s="74">
        <v>0.51</v>
      </c>
      <c r="G1490" s="74"/>
      <c r="H1490" s="74"/>
      <c r="I1490" s="74" t="s">
        <v>391</v>
      </c>
      <c r="J1490" s="74"/>
      <c r="K1490" s="74">
        <v>102.4</v>
      </c>
      <c r="L1490" s="74">
        <v>92.16</v>
      </c>
      <c r="M1490" s="74"/>
      <c r="N1490" s="74" t="s">
        <v>392</v>
      </c>
      <c r="O1490" s="74" t="s">
        <v>402</v>
      </c>
      <c r="P1490" s="74" t="s">
        <v>7528</v>
      </c>
      <c r="Q1490" s="74" t="s">
        <v>7529</v>
      </c>
    </row>
    <row r="1491" spans="3:17" x14ac:dyDescent="0.25">
      <c r="C1491" s="74" t="s">
        <v>8327</v>
      </c>
      <c r="D1491" s="74" t="s">
        <v>8328</v>
      </c>
      <c r="E1491" s="74"/>
      <c r="F1491" s="74">
        <v>0.51</v>
      </c>
      <c r="G1491" s="74"/>
      <c r="H1491" s="74"/>
      <c r="I1491" s="74" t="s">
        <v>391</v>
      </c>
      <c r="J1491" s="74"/>
      <c r="K1491" s="74">
        <v>102.4</v>
      </c>
      <c r="L1491" s="74">
        <v>92.16</v>
      </c>
      <c r="M1491" s="74"/>
      <c r="N1491" s="74" t="s">
        <v>392</v>
      </c>
      <c r="O1491" s="74" t="s">
        <v>402</v>
      </c>
      <c r="P1491" s="74" t="s">
        <v>8329</v>
      </c>
      <c r="Q1491" s="74" t="s">
        <v>8330</v>
      </c>
    </row>
    <row r="1492" spans="3:17" x14ac:dyDescent="0.25">
      <c r="C1492" s="74" t="s">
        <v>9600</v>
      </c>
      <c r="D1492" s="74" t="s">
        <v>9601</v>
      </c>
      <c r="E1492" s="74"/>
      <c r="F1492" s="74">
        <v>0.51</v>
      </c>
      <c r="G1492" s="74"/>
      <c r="H1492" s="74"/>
      <c r="I1492" s="74" t="s">
        <v>391</v>
      </c>
      <c r="J1492" s="74"/>
      <c r="K1492" s="74">
        <v>102.4</v>
      </c>
      <c r="L1492" s="74">
        <v>92.16</v>
      </c>
      <c r="M1492" s="74"/>
      <c r="N1492" s="74" t="s">
        <v>392</v>
      </c>
      <c r="O1492" s="74" t="s">
        <v>402</v>
      </c>
      <c r="P1492" s="74" t="s">
        <v>9602</v>
      </c>
      <c r="Q1492" s="74" t="s">
        <v>9603</v>
      </c>
    </row>
    <row r="1493" spans="3:17" x14ac:dyDescent="0.25">
      <c r="C1493" s="74" t="s">
        <v>11169</v>
      </c>
      <c r="D1493" s="74" t="s">
        <v>11170</v>
      </c>
      <c r="E1493" s="74"/>
      <c r="F1493" s="74">
        <v>0.51</v>
      </c>
      <c r="G1493" s="74"/>
      <c r="H1493" s="74"/>
      <c r="I1493" s="74" t="s">
        <v>391</v>
      </c>
      <c r="J1493" s="74"/>
      <c r="K1493" s="74">
        <v>102.4</v>
      </c>
      <c r="L1493" s="74">
        <v>92.16</v>
      </c>
      <c r="M1493" s="74"/>
      <c r="N1493" s="74" t="s">
        <v>392</v>
      </c>
      <c r="O1493" s="74" t="s">
        <v>402</v>
      </c>
      <c r="P1493" s="74" t="s">
        <v>11171</v>
      </c>
      <c r="Q1493" s="74" t="s">
        <v>11172</v>
      </c>
    </row>
    <row r="1494" spans="3:17" x14ac:dyDescent="0.25">
      <c r="C1494" s="74" t="s">
        <v>12420</v>
      </c>
      <c r="D1494" s="74" t="s">
        <v>12421</v>
      </c>
      <c r="E1494" s="74"/>
      <c r="F1494" s="74">
        <v>0.51</v>
      </c>
      <c r="G1494" s="74"/>
      <c r="H1494" s="74"/>
      <c r="I1494" s="74" t="s">
        <v>391</v>
      </c>
      <c r="J1494" s="74"/>
      <c r="K1494" s="74">
        <v>102.4</v>
      </c>
      <c r="L1494" s="74">
        <v>92.16</v>
      </c>
      <c r="M1494" s="74"/>
      <c r="N1494" s="74" t="s">
        <v>392</v>
      </c>
      <c r="O1494" s="74" t="s">
        <v>402</v>
      </c>
      <c r="P1494" s="74" t="s">
        <v>12422</v>
      </c>
      <c r="Q1494" s="74" t="s">
        <v>12423</v>
      </c>
    </row>
    <row r="1495" spans="3:17" x14ac:dyDescent="0.25">
      <c r="C1495" s="74" t="s">
        <v>15502</v>
      </c>
      <c r="D1495" s="74" t="s">
        <v>15503</v>
      </c>
      <c r="E1495" s="74"/>
      <c r="F1495" s="74">
        <v>0.51</v>
      </c>
      <c r="G1495" s="74"/>
      <c r="H1495" s="74"/>
      <c r="I1495" s="74" t="s">
        <v>391</v>
      </c>
      <c r="J1495" s="74"/>
      <c r="K1495" s="74">
        <v>102.4</v>
      </c>
      <c r="L1495" s="74">
        <v>92.16</v>
      </c>
      <c r="M1495" s="74"/>
      <c r="N1495" s="74" t="s">
        <v>392</v>
      </c>
      <c r="O1495" s="74" t="s">
        <v>402</v>
      </c>
      <c r="P1495" s="74" t="s">
        <v>15504</v>
      </c>
      <c r="Q1495" s="74" t="s">
        <v>15505</v>
      </c>
    </row>
    <row r="1496" spans="3:17" x14ac:dyDescent="0.25">
      <c r="C1496" s="74" t="s">
        <v>16272</v>
      </c>
      <c r="D1496" s="74" t="s">
        <v>16273</v>
      </c>
      <c r="E1496" s="74"/>
      <c r="F1496" s="74">
        <v>0.51</v>
      </c>
      <c r="G1496" s="74"/>
      <c r="H1496" s="74"/>
      <c r="I1496" s="74" t="s">
        <v>391</v>
      </c>
      <c r="J1496" s="74"/>
      <c r="K1496" s="74">
        <v>102.4</v>
      </c>
      <c r="L1496" s="74">
        <v>92.16</v>
      </c>
      <c r="M1496" s="74"/>
      <c r="N1496" s="74" t="s">
        <v>392</v>
      </c>
      <c r="O1496" s="74" t="s">
        <v>402</v>
      </c>
      <c r="P1496" s="74" t="s">
        <v>16274</v>
      </c>
      <c r="Q1496" s="74" t="s">
        <v>16275</v>
      </c>
    </row>
    <row r="1497" spans="3:17" x14ac:dyDescent="0.25">
      <c r="C1497" s="74" t="s">
        <v>2702</v>
      </c>
      <c r="D1497" s="74" t="s">
        <v>2703</v>
      </c>
      <c r="E1497" s="74"/>
      <c r="F1497" s="74">
        <v>0.5</v>
      </c>
      <c r="G1497" s="74"/>
      <c r="H1497" s="74"/>
      <c r="I1497" s="74" t="s">
        <v>391</v>
      </c>
      <c r="J1497" s="74"/>
      <c r="K1497" s="74">
        <v>102.4</v>
      </c>
      <c r="L1497" s="74">
        <v>92.16</v>
      </c>
      <c r="M1497" s="74"/>
      <c r="N1497" s="74" t="s">
        <v>392</v>
      </c>
      <c r="O1497" s="74" t="s">
        <v>402</v>
      </c>
      <c r="P1497" s="74" t="s">
        <v>2704</v>
      </c>
      <c r="Q1497" s="74" t="s">
        <v>2705</v>
      </c>
    </row>
    <row r="1498" spans="3:17" x14ac:dyDescent="0.25">
      <c r="C1498" s="74" t="s">
        <v>2947</v>
      </c>
      <c r="D1498" s="74" t="s">
        <v>2948</v>
      </c>
      <c r="E1498" s="74"/>
      <c r="F1498" s="74">
        <v>0.5</v>
      </c>
      <c r="G1498" s="74"/>
      <c r="H1498" s="74"/>
      <c r="I1498" s="74" t="s">
        <v>391</v>
      </c>
      <c r="J1498" s="74"/>
      <c r="K1498" s="74">
        <v>102.4</v>
      </c>
      <c r="L1498" s="74">
        <v>92.16</v>
      </c>
      <c r="M1498" s="74"/>
      <c r="N1498" s="74" t="s">
        <v>392</v>
      </c>
      <c r="O1498" s="74" t="s">
        <v>402</v>
      </c>
      <c r="P1498" s="74" t="s">
        <v>2949</v>
      </c>
      <c r="Q1498" s="74" t="s">
        <v>2950</v>
      </c>
    </row>
    <row r="1499" spans="3:17" x14ac:dyDescent="0.25">
      <c r="C1499" s="74" t="s">
        <v>4660</v>
      </c>
      <c r="D1499" s="74" t="s">
        <v>4661</v>
      </c>
      <c r="E1499" s="74"/>
      <c r="F1499" s="74">
        <v>0.5</v>
      </c>
      <c r="G1499" s="74"/>
      <c r="H1499" s="74"/>
      <c r="I1499" s="74" t="s">
        <v>391</v>
      </c>
      <c r="J1499" s="74"/>
      <c r="K1499" s="74">
        <v>102.4</v>
      </c>
      <c r="L1499" s="74">
        <v>92.16</v>
      </c>
      <c r="M1499" s="74"/>
      <c r="N1499" s="74" t="s">
        <v>392</v>
      </c>
      <c r="O1499" s="74" t="s">
        <v>402</v>
      </c>
      <c r="P1499" s="74" t="s">
        <v>4662</v>
      </c>
      <c r="Q1499" s="74" t="s">
        <v>4663</v>
      </c>
    </row>
    <row r="1500" spans="3:17" x14ac:dyDescent="0.25">
      <c r="C1500" s="74" t="s">
        <v>4771</v>
      </c>
      <c r="D1500" s="74" t="s">
        <v>4772</v>
      </c>
      <c r="E1500" s="74"/>
      <c r="F1500" s="74">
        <v>0.5</v>
      </c>
      <c r="G1500" s="74"/>
      <c r="H1500" s="74"/>
      <c r="I1500" s="74" t="s">
        <v>391</v>
      </c>
      <c r="J1500" s="74"/>
      <c r="K1500" s="74">
        <v>102.4</v>
      </c>
      <c r="L1500" s="74">
        <v>92.16</v>
      </c>
      <c r="M1500" s="74"/>
      <c r="N1500" s="74" t="s">
        <v>392</v>
      </c>
      <c r="O1500" s="74" t="s">
        <v>402</v>
      </c>
      <c r="P1500" s="74" t="s">
        <v>4773</v>
      </c>
      <c r="Q1500" s="74" t="s">
        <v>4774</v>
      </c>
    </row>
    <row r="1501" spans="3:17" x14ac:dyDescent="0.25">
      <c r="C1501" s="74" t="s">
        <v>7874</v>
      </c>
      <c r="D1501" s="74" t="s">
        <v>7875</v>
      </c>
      <c r="E1501" s="74"/>
      <c r="F1501" s="74">
        <v>0.5</v>
      </c>
      <c r="G1501" s="74"/>
      <c r="H1501" s="74"/>
      <c r="I1501" s="74" t="s">
        <v>391</v>
      </c>
      <c r="J1501" s="74"/>
      <c r="K1501" s="74">
        <v>102.4</v>
      </c>
      <c r="L1501" s="74">
        <v>92.16</v>
      </c>
      <c r="M1501" s="74"/>
      <c r="N1501" s="74" t="s">
        <v>392</v>
      </c>
      <c r="O1501" s="74" t="s">
        <v>402</v>
      </c>
      <c r="P1501" s="74" t="s">
        <v>7876</v>
      </c>
      <c r="Q1501" s="74" t="s">
        <v>7877</v>
      </c>
    </row>
    <row r="1502" spans="3:17" x14ac:dyDescent="0.25">
      <c r="C1502" s="74" t="s">
        <v>8065</v>
      </c>
      <c r="D1502" s="74" t="s">
        <v>8066</v>
      </c>
      <c r="E1502" s="74"/>
      <c r="F1502" s="74">
        <v>0.5</v>
      </c>
      <c r="G1502" s="74"/>
      <c r="H1502" s="74"/>
      <c r="I1502" s="74" t="s">
        <v>391</v>
      </c>
      <c r="J1502" s="74"/>
      <c r="K1502" s="74">
        <v>102.4</v>
      </c>
      <c r="L1502" s="74">
        <v>92.16</v>
      </c>
      <c r="M1502" s="74"/>
      <c r="N1502" s="74" t="s">
        <v>392</v>
      </c>
      <c r="O1502" s="74" t="s">
        <v>402</v>
      </c>
      <c r="P1502" s="74" t="s">
        <v>8067</v>
      </c>
      <c r="Q1502" s="74" t="s">
        <v>8068</v>
      </c>
    </row>
    <row r="1503" spans="3:17" x14ac:dyDescent="0.25">
      <c r="C1503" s="74" t="s">
        <v>14131</v>
      </c>
      <c r="D1503" s="74" t="s">
        <v>14132</v>
      </c>
      <c r="E1503" s="74" t="s">
        <v>391</v>
      </c>
      <c r="F1503" s="74">
        <v>0.5</v>
      </c>
      <c r="G1503" s="74"/>
      <c r="H1503" s="74"/>
      <c r="I1503" s="74" t="s">
        <v>391</v>
      </c>
      <c r="J1503" s="74"/>
      <c r="K1503" s="74">
        <v>102.4</v>
      </c>
      <c r="L1503" s="74">
        <v>92.16</v>
      </c>
      <c r="M1503" s="74"/>
      <c r="N1503" s="74" t="s">
        <v>392</v>
      </c>
      <c r="O1503" s="74" t="s">
        <v>393</v>
      </c>
      <c r="P1503" s="74"/>
      <c r="Q1503" s="74" t="s">
        <v>14133</v>
      </c>
    </row>
    <row r="1504" spans="3:17" x14ac:dyDescent="0.25">
      <c r="C1504" s="74" t="s">
        <v>15027</v>
      </c>
      <c r="D1504" s="74" t="s">
        <v>15028</v>
      </c>
      <c r="E1504" s="74"/>
      <c r="F1504" s="74">
        <v>0.5</v>
      </c>
      <c r="G1504" s="74"/>
      <c r="H1504" s="74"/>
      <c r="I1504" s="74" t="s">
        <v>391</v>
      </c>
      <c r="J1504" s="74"/>
      <c r="K1504" s="74">
        <v>102.4</v>
      </c>
      <c r="L1504" s="74">
        <v>92.16</v>
      </c>
      <c r="M1504" s="74"/>
      <c r="N1504" s="74" t="s">
        <v>392</v>
      </c>
      <c r="O1504" s="74" t="s">
        <v>402</v>
      </c>
      <c r="P1504" s="74" t="s">
        <v>15029</v>
      </c>
      <c r="Q1504" s="74" t="s">
        <v>15030</v>
      </c>
    </row>
    <row r="1505" spans="3:17" x14ac:dyDescent="0.25">
      <c r="C1505" s="74" t="s">
        <v>8715</v>
      </c>
      <c r="D1505" s="74" t="s">
        <v>8716</v>
      </c>
      <c r="E1505" s="74"/>
      <c r="F1505" s="74">
        <v>0.49</v>
      </c>
      <c r="G1505" s="74"/>
      <c r="H1505" s="74"/>
      <c r="I1505" s="74" t="s">
        <v>391</v>
      </c>
      <c r="J1505" s="74"/>
      <c r="K1505" s="74">
        <v>102.4</v>
      </c>
      <c r="L1505" s="74">
        <v>92.16</v>
      </c>
      <c r="M1505" s="74"/>
      <c r="N1505" s="74" t="s">
        <v>392</v>
      </c>
      <c r="O1505" s="74" t="s">
        <v>402</v>
      </c>
      <c r="P1505" s="74" t="s">
        <v>8717</v>
      </c>
      <c r="Q1505" s="74" t="s">
        <v>8718</v>
      </c>
    </row>
    <row r="1506" spans="3:17" x14ac:dyDescent="0.25">
      <c r="C1506" s="74" t="s">
        <v>9223</v>
      </c>
      <c r="D1506" s="74" t="s">
        <v>9224</v>
      </c>
      <c r="E1506" s="74"/>
      <c r="F1506" s="74">
        <v>0.49</v>
      </c>
      <c r="G1506" s="74"/>
      <c r="H1506" s="74"/>
      <c r="I1506" s="74" t="s">
        <v>391</v>
      </c>
      <c r="J1506" s="74"/>
      <c r="K1506" s="74">
        <v>102.4</v>
      </c>
      <c r="L1506" s="74">
        <v>92.16</v>
      </c>
      <c r="M1506" s="74"/>
      <c r="N1506" s="74" t="s">
        <v>392</v>
      </c>
      <c r="O1506" s="74" t="s">
        <v>402</v>
      </c>
      <c r="P1506" s="74" t="s">
        <v>9225</v>
      </c>
      <c r="Q1506" s="74" t="s">
        <v>9226</v>
      </c>
    </row>
    <row r="1507" spans="3:17" x14ac:dyDescent="0.25">
      <c r="C1507" s="74" t="s">
        <v>10884</v>
      </c>
      <c r="D1507" s="74" t="s">
        <v>10885</v>
      </c>
      <c r="E1507" s="74"/>
      <c r="F1507" s="74">
        <v>0.49</v>
      </c>
      <c r="G1507" s="74"/>
      <c r="H1507" s="74"/>
      <c r="I1507" s="74" t="s">
        <v>391</v>
      </c>
      <c r="J1507" s="74"/>
      <c r="K1507" s="74">
        <v>102.4</v>
      </c>
      <c r="L1507" s="74">
        <v>92.16</v>
      </c>
      <c r="M1507" s="74"/>
      <c r="N1507" s="74" t="s">
        <v>392</v>
      </c>
      <c r="O1507" s="74" t="s">
        <v>402</v>
      </c>
      <c r="P1507" s="74" t="s">
        <v>10886</v>
      </c>
      <c r="Q1507" s="74" t="s">
        <v>10887</v>
      </c>
    </row>
    <row r="1508" spans="3:17" x14ac:dyDescent="0.25">
      <c r="C1508" s="74" t="s">
        <v>12293</v>
      </c>
      <c r="D1508" s="74" t="s">
        <v>12294</v>
      </c>
      <c r="E1508" s="74"/>
      <c r="F1508" s="74">
        <v>0.49</v>
      </c>
      <c r="G1508" s="74"/>
      <c r="H1508" s="74"/>
      <c r="I1508" s="74" t="s">
        <v>391</v>
      </c>
      <c r="J1508" s="74"/>
      <c r="K1508" s="74">
        <v>102.4</v>
      </c>
      <c r="L1508" s="74">
        <v>92.16</v>
      </c>
      <c r="M1508" s="74"/>
      <c r="N1508" s="74" t="s">
        <v>392</v>
      </c>
      <c r="O1508" s="74" t="s">
        <v>402</v>
      </c>
      <c r="P1508" s="74" t="s">
        <v>12295</v>
      </c>
      <c r="Q1508" s="74" t="s">
        <v>12296</v>
      </c>
    </row>
    <row r="1509" spans="3:17" x14ac:dyDescent="0.25">
      <c r="C1509" s="74" t="s">
        <v>13576</v>
      </c>
      <c r="D1509" s="74" t="s">
        <v>13577</v>
      </c>
      <c r="E1509" s="74"/>
      <c r="F1509" s="74">
        <v>0.49</v>
      </c>
      <c r="G1509" s="74"/>
      <c r="H1509" s="74"/>
      <c r="I1509" s="74" t="s">
        <v>391</v>
      </c>
      <c r="J1509" s="74"/>
      <c r="K1509" s="74">
        <v>102.4</v>
      </c>
      <c r="L1509" s="74">
        <v>92.16</v>
      </c>
      <c r="M1509" s="74"/>
      <c r="N1509" s="74" t="s">
        <v>392</v>
      </c>
      <c r="O1509" s="74" t="s">
        <v>402</v>
      </c>
      <c r="P1509" s="74" t="s">
        <v>13578</v>
      </c>
      <c r="Q1509" s="74" t="s">
        <v>13579</v>
      </c>
    </row>
    <row r="1510" spans="3:17" x14ac:dyDescent="0.25">
      <c r="C1510" s="74" t="s">
        <v>17287</v>
      </c>
      <c r="D1510" s="74" t="s">
        <v>17288</v>
      </c>
      <c r="E1510" s="74"/>
      <c r="F1510" s="74">
        <v>0.49</v>
      </c>
      <c r="G1510" s="74"/>
      <c r="H1510" s="74"/>
      <c r="I1510" s="74" t="s">
        <v>391</v>
      </c>
      <c r="J1510" s="74"/>
      <c r="K1510" s="74">
        <v>102.4</v>
      </c>
      <c r="L1510" s="74">
        <v>92.16</v>
      </c>
      <c r="M1510" s="74"/>
      <c r="N1510" s="74" t="s">
        <v>392</v>
      </c>
      <c r="O1510" s="74" t="s">
        <v>402</v>
      </c>
      <c r="P1510" s="74" t="s">
        <v>17289</v>
      </c>
      <c r="Q1510" s="74" t="s">
        <v>17290</v>
      </c>
    </row>
    <row r="1511" spans="3:17" x14ac:dyDescent="0.25">
      <c r="C1511" s="74" t="s">
        <v>17958</v>
      </c>
      <c r="D1511" s="74" t="s">
        <v>17959</v>
      </c>
      <c r="E1511" s="74"/>
      <c r="F1511" s="74">
        <v>0.49</v>
      </c>
      <c r="G1511" s="74"/>
      <c r="H1511" s="74"/>
      <c r="I1511" s="74" t="s">
        <v>391</v>
      </c>
      <c r="J1511" s="74"/>
      <c r="K1511" s="74">
        <v>102.4</v>
      </c>
      <c r="L1511" s="74">
        <v>92.16</v>
      </c>
      <c r="M1511" s="74"/>
      <c r="N1511" s="74" t="s">
        <v>392</v>
      </c>
      <c r="O1511" s="74" t="s">
        <v>402</v>
      </c>
      <c r="P1511" s="74" t="s">
        <v>17960</v>
      </c>
      <c r="Q1511" s="74" t="s">
        <v>17961</v>
      </c>
    </row>
    <row r="1512" spans="3:17" x14ac:dyDescent="0.25">
      <c r="C1512" s="74" t="s">
        <v>18516</v>
      </c>
      <c r="D1512" s="74" t="s">
        <v>18517</v>
      </c>
      <c r="E1512" s="74"/>
      <c r="F1512" s="74">
        <v>0.49</v>
      </c>
      <c r="G1512" s="74"/>
      <c r="H1512" s="74"/>
      <c r="I1512" s="74" t="s">
        <v>391</v>
      </c>
      <c r="J1512" s="74"/>
      <c r="K1512" s="74">
        <v>102.4</v>
      </c>
      <c r="L1512" s="74">
        <v>92.16</v>
      </c>
      <c r="M1512" s="74"/>
      <c r="N1512" s="74" t="s">
        <v>392</v>
      </c>
      <c r="O1512" s="74" t="s">
        <v>402</v>
      </c>
      <c r="P1512" s="74" t="s">
        <v>18518</v>
      </c>
      <c r="Q1512" s="74" t="s">
        <v>18519</v>
      </c>
    </row>
    <row r="1513" spans="3:17" x14ac:dyDescent="0.25">
      <c r="C1513" s="74" t="s">
        <v>19613</v>
      </c>
      <c r="D1513" s="74" t="s">
        <v>19614</v>
      </c>
      <c r="E1513" s="74"/>
      <c r="F1513" s="74">
        <v>0.49</v>
      </c>
      <c r="G1513" s="74"/>
      <c r="H1513" s="74"/>
      <c r="I1513" s="74" t="s">
        <v>391</v>
      </c>
      <c r="J1513" s="74"/>
      <c r="K1513" s="74">
        <v>102.4</v>
      </c>
      <c r="L1513" s="74">
        <v>92.16</v>
      </c>
      <c r="M1513" s="74"/>
      <c r="N1513" s="74" t="s">
        <v>392</v>
      </c>
      <c r="O1513" s="74" t="s">
        <v>402</v>
      </c>
      <c r="P1513" s="74" t="s">
        <v>19615</v>
      </c>
      <c r="Q1513" s="74" t="s">
        <v>19616</v>
      </c>
    </row>
    <row r="1514" spans="3:17" x14ac:dyDescent="0.25">
      <c r="C1514" s="74" t="s">
        <v>20955</v>
      </c>
      <c r="D1514" s="74" t="s">
        <v>20956</v>
      </c>
      <c r="E1514" s="74" t="s">
        <v>391</v>
      </c>
      <c r="F1514" s="74">
        <v>0.49</v>
      </c>
      <c r="G1514" s="74"/>
      <c r="H1514" s="74"/>
      <c r="I1514" s="74" t="s">
        <v>391</v>
      </c>
      <c r="J1514" s="74"/>
      <c r="K1514" s="74">
        <v>102.4</v>
      </c>
      <c r="L1514" s="74">
        <v>92.16</v>
      </c>
      <c r="M1514" s="74"/>
      <c r="N1514" s="74" t="s">
        <v>392</v>
      </c>
      <c r="O1514" s="74" t="s">
        <v>393</v>
      </c>
      <c r="P1514" s="74" t="s">
        <v>20957</v>
      </c>
      <c r="Q1514" s="74" t="s">
        <v>20958</v>
      </c>
    </row>
    <row r="1515" spans="3:17" x14ac:dyDescent="0.25">
      <c r="C1515" s="74" t="s">
        <v>783</v>
      </c>
      <c r="D1515" s="74" t="s">
        <v>784</v>
      </c>
      <c r="E1515" s="74"/>
      <c r="F1515" s="74">
        <v>0.48</v>
      </c>
      <c r="G1515" s="74"/>
      <c r="H1515" s="74"/>
      <c r="I1515" s="74" t="s">
        <v>391</v>
      </c>
      <c r="J1515" s="74"/>
      <c r="K1515" s="74">
        <v>102.4</v>
      </c>
      <c r="L1515" s="74">
        <v>92.16</v>
      </c>
      <c r="M1515" s="74"/>
      <c r="N1515" s="74" t="s">
        <v>392</v>
      </c>
      <c r="O1515" s="74" t="s">
        <v>402</v>
      </c>
      <c r="P1515" s="74" t="s">
        <v>785</v>
      </c>
      <c r="Q1515" s="74" t="s">
        <v>786</v>
      </c>
    </row>
    <row r="1516" spans="3:17" x14ac:dyDescent="0.25">
      <c r="C1516" s="74" t="s">
        <v>6578</v>
      </c>
      <c r="D1516" s="74" t="s">
        <v>6579</v>
      </c>
      <c r="E1516" s="74"/>
      <c r="F1516" s="74">
        <v>0.48</v>
      </c>
      <c r="G1516" s="74"/>
      <c r="H1516" s="74"/>
      <c r="I1516" s="74" t="s">
        <v>391</v>
      </c>
      <c r="J1516" s="74"/>
      <c r="K1516" s="74">
        <v>102.4</v>
      </c>
      <c r="L1516" s="74">
        <v>92.16</v>
      </c>
      <c r="M1516" s="74"/>
      <c r="N1516" s="74" t="s">
        <v>392</v>
      </c>
      <c r="O1516" s="74" t="s">
        <v>402</v>
      </c>
      <c r="P1516" s="74" t="s">
        <v>6580</v>
      </c>
      <c r="Q1516" s="74" t="s">
        <v>6581</v>
      </c>
    </row>
    <row r="1517" spans="3:17" x14ac:dyDescent="0.25">
      <c r="C1517" s="74" t="s">
        <v>11746</v>
      </c>
      <c r="D1517" s="74" t="s">
        <v>11747</v>
      </c>
      <c r="E1517" s="74"/>
      <c r="F1517" s="74">
        <v>0.48</v>
      </c>
      <c r="G1517" s="74"/>
      <c r="H1517" s="74"/>
      <c r="I1517" s="74" t="s">
        <v>391</v>
      </c>
      <c r="J1517" s="74"/>
      <c r="K1517" s="74">
        <v>102.4</v>
      </c>
      <c r="L1517" s="74">
        <v>92.16</v>
      </c>
      <c r="M1517" s="74"/>
      <c r="N1517" s="74" t="s">
        <v>392</v>
      </c>
      <c r="O1517" s="74" t="s">
        <v>402</v>
      </c>
      <c r="P1517" s="74" t="s">
        <v>11748</v>
      </c>
      <c r="Q1517" s="74" t="s">
        <v>11749</v>
      </c>
    </row>
    <row r="1518" spans="3:17" x14ac:dyDescent="0.25">
      <c r="C1518" s="74" t="s">
        <v>13398</v>
      </c>
      <c r="D1518" s="74" t="s">
        <v>13399</v>
      </c>
      <c r="E1518" s="74"/>
      <c r="F1518" s="74">
        <v>0.48</v>
      </c>
      <c r="G1518" s="74"/>
      <c r="H1518" s="74"/>
      <c r="I1518" s="74" t="s">
        <v>391</v>
      </c>
      <c r="J1518" s="74"/>
      <c r="K1518" s="74">
        <v>102.4</v>
      </c>
      <c r="L1518" s="74">
        <v>92.16</v>
      </c>
      <c r="M1518" s="74"/>
      <c r="N1518" s="74" t="s">
        <v>392</v>
      </c>
      <c r="O1518" s="74" t="s">
        <v>402</v>
      </c>
      <c r="P1518" s="74" t="s">
        <v>13400</v>
      </c>
      <c r="Q1518" s="74" t="s">
        <v>13401</v>
      </c>
    </row>
    <row r="1519" spans="3:17" x14ac:dyDescent="0.25">
      <c r="C1519" s="74" t="s">
        <v>15782</v>
      </c>
      <c r="D1519" s="74" t="s">
        <v>15783</v>
      </c>
      <c r="E1519" s="74"/>
      <c r="F1519" s="74">
        <v>0.48</v>
      </c>
      <c r="G1519" s="74"/>
      <c r="H1519" s="74"/>
      <c r="I1519" s="74" t="s">
        <v>391</v>
      </c>
      <c r="J1519" s="74"/>
      <c r="K1519" s="74">
        <v>102.4</v>
      </c>
      <c r="L1519" s="74">
        <v>92.16</v>
      </c>
      <c r="M1519" s="74"/>
      <c r="N1519" s="74" t="s">
        <v>392</v>
      </c>
      <c r="O1519" s="74" t="s">
        <v>402</v>
      </c>
      <c r="P1519" s="74" t="s">
        <v>15784</v>
      </c>
      <c r="Q1519" s="74" t="s">
        <v>15785</v>
      </c>
    </row>
    <row r="1520" spans="3:17" x14ac:dyDescent="0.25">
      <c r="C1520" s="74" t="s">
        <v>17302</v>
      </c>
      <c r="D1520" s="74" t="s">
        <v>17303</v>
      </c>
      <c r="E1520" s="74"/>
      <c r="F1520" s="74">
        <v>0.48</v>
      </c>
      <c r="G1520" s="74"/>
      <c r="H1520" s="74"/>
      <c r="I1520" s="74" t="s">
        <v>391</v>
      </c>
      <c r="J1520" s="74"/>
      <c r="K1520" s="74">
        <v>102.4</v>
      </c>
      <c r="L1520" s="74">
        <v>92.16</v>
      </c>
      <c r="M1520" s="74"/>
      <c r="N1520" s="74" t="s">
        <v>392</v>
      </c>
      <c r="O1520" s="74" t="s">
        <v>402</v>
      </c>
      <c r="P1520" s="74" t="s">
        <v>17304</v>
      </c>
      <c r="Q1520" s="74" t="s">
        <v>17305</v>
      </c>
    </row>
    <row r="1521" spans="3:17" x14ac:dyDescent="0.25">
      <c r="C1521" s="74" t="s">
        <v>17414</v>
      </c>
      <c r="D1521" s="74" t="s">
        <v>17415</v>
      </c>
      <c r="E1521" s="74"/>
      <c r="F1521" s="74">
        <v>0.48</v>
      </c>
      <c r="G1521" s="74"/>
      <c r="H1521" s="74"/>
      <c r="I1521" s="74" t="s">
        <v>391</v>
      </c>
      <c r="J1521" s="74"/>
      <c r="K1521" s="74">
        <v>102.4</v>
      </c>
      <c r="L1521" s="74">
        <v>92.16</v>
      </c>
      <c r="M1521" s="74"/>
      <c r="N1521" s="74" t="s">
        <v>392</v>
      </c>
      <c r="O1521" s="74" t="s">
        <v>402</v>
      </c>
      <c r="P1521" s="74" t="s">
        <v>17416</v>
      </c>
      <c r="Q1521" s="74" t="s">
        <v>17417</v>
      </c>
    </row>
    <row r="1522" spans="3:17" x14ac:dyDescent="0.25">
      <c r="C1522" s="74" t="s">
        <v>19792</v>
      </c>
      <c r="D1522" s="74" t="s">
        <v>19793</v>
      </c>
      <c r="E1522" s="74"/>
      <c r="F1522" s="74">
        <v>0.48</v>
      </c>
      <c r="G1522" s="74"/>
      <c r="H1522" s="74"/>
      <c r="I1522" s="74" t="s">
        <v>391</v>
      </c>
      <c r="J1522" s="74"/>
      <c r="K1522" s="74">
        <v>102.4</v>
      </c>
      <c r="L1522" s="74">
        <v>92.16</v>
      </c>
      <c r="M1522" s="74"/>
      <c r="N1522" s="74" t="s">
        <v>392</v>
      </c>
      <c r="O1522" s="74" t="s">
        <v>402</v>
      </c>
      <c r="P1522" s="74" t="s">
        <v>19794</v>
      </c>
      <c r="Q1522" s="74" t="s">
        <v>19795</v>
      </c>
    </row>
    <row r="1523" spans="3:17" x14ac:dyDescent="0.25">
      <c r="C1523" s="74" t="s">
        <v>20803</v>
      </c>
      <c r="D1523" s="74" t="s">
        <v>20804</v>
      </c>
      <c r="E1523" s="74"/>
      <c r="F1523" s="74">
        <v>0.48</v>
      </c>
      <c r="G1523" s="74"/>
      <c r="H1523" s="74"/>
      <c r="I1523" s="74" t="s">
        <v>391</v>
      </c>
      <c r="J1523" s="74"/>
      <c r="K1523" s="74">
        <v>102.4</v>
      </c>
      <c r="L1523" s="74">
        <v>92.16</v>
      </c>
      <c r="M1523" s="74"/>
      <c r="N1523" s="74" t="s">
        <v>392</v>
      </c>
      <c r="O1523" s="74" t="s">
        <v>402</v>
      </c>
      <c r="P1523" s="74" t="s">
        <v>20805</v>
      </c>
      <c r="Q1523" s="74" t="s">
        <v>20806</v>
      </c>
    </row>
    <row r="1524" spans="3:17" x14ac:dyDescent="0.25">
      <c r="C1524" s="74" t="s">
        <v>1108</v>
      </c>
      <c r="D1524" s="74" t="s">
        <v>1109</v>
      </c>
      <c r="E1524" s="74"/>
      <c r="F1524" s="74">
        <v>0.47</v>
      </c>
      <c r="G1524" s="74"/>
      <c r="H1524" s="74"/>
      <c r="I1524" s="74" t="s">
        <v>391</v>
      </c>
      <c r="J1524" s="74"/>
      <c r="K1524" s="74">
        <v>102.4</v>
      </c>
      <c r="L1524" s="74">
        <v>92.16</v>
      </c>
      <c r="M1524" s="74"/>
      <c r="N1524" s="74" t="s">
        <v>392</v>
      </c>
      <c r="O1524" s="74" t="s">
        <v>402</v>
      </c>
      <c r="P1524" s="74" t="s">
        <v>1110</v>
      </c>
      <c r="Q1524" s="74" t="s">
        <v>1111</v>
      </c>
    </row>
    <row r="1525" spans="3:17" x14ac:dyDescent="0.25">
      <c r="C1525" s="74" t="s">
        <v>5825</v>
      </c>
      <c r="D1525" s="74" t="s">
        <v>5826</v>
      </c>
      <c r="E1525" s="74"/>
      <c r="F1525" s="74">
        <v>0.47</v>
      </c>
      <c r="G1525" s="74"/>
      <c r="H1525" s="74"/>
      <c r="I1525" s="74" t="s">
        <v>391</v>
      </c>
      <c r="J1525" s="74"/>
      <c r="K1525" s="74">
        <v>102.4</v>
      </c>
      <c r="L1525" s="74">
        <v>92.16</v>
      </c>
      <c r="M1525" s="74"/>
      <c r="N1525" s="74" t="s">
        <v>392</v>
      </c>
      <c r="O1525" s="74" t="s">
        <v>402</v>
      </c>
      <c r="P1525" s="74" t="s">
        <v>5827</v>
      </c>
      <c r="Q1525" s="74" t="s">
        <v>5828</v>
      </c>
    </row>
    <row r="1526" spans="3:17" x14ac:dyDescent="0.25">
      <c r="C1526" s="74" t="s">
        <v>6978</v>
      </c>
      <c r="D1526" s="74" t="s">
        <v>6979</v>
      </c>
      <c r="E1526" s="74"/>
      <c r="F1526" s="74">
        <v>0.47</v>
      </c>
      <c r="G1526" s="74"/>
      <c r="H1526" s="74"/>
      <c r="I1526" s="74" t="s">
        <v>391</v>
      </c>
      <c r="J1526" s="74"/>
      <c r="K1526" s="74">
        <v>102.4</v>
      </c>
      <c r="L1526" s="74">
        <v>92.16</v>
      </c>
      <c r="M1526" s="74"/>
      <c r="N1526" s="74" t="s">
        <v>392</v>
      </c>
      <c r="O1526" s="74" t="s">
        <v>402</v>
      </c>
      <c r="P1526" s="74" t="s">
        <v>6980</v>
      </c>
      <c r="Q1526" s="74" t="s">
        <v>6981</v>
      </c>
    </row>
    <row r="1527" spans="3:17" x14ac:dyDescent="0.25">
      <c r="C1527" s="74" t="s">
        <v>9440</v>
      </c>
      <c r="D1527" s="74" t="s">
        <v>9441</v>
      </c>
      <c r="E1527" s="74"/>
      <c r="F1527" s="74">
        <v>0.47</v>
      </c>
      <c r="G1527" s="74"/>
      <c r="H1527" s="74"/>
      <c r="I1527" s="74" t="s">
        <v>391</v>
      </c>
      <c r="J1527" s="74"/>
      <c r="K1527" s="74">
        <v>102.4</v>
      </c>
      <c r="L1527" s="74">
        <v>92.16</v>
      </c>
      <c r="M1527" s="74"/>
      <c r="N1527" s="74" t="s">
        <v>392</v>
      </c>
      <c r="O1527" s="74" t="s">
        <v>402</v>
      </c>
      <c r="P1527" s="74" t="s">
        <v>9442</v>
      </c>
      <c r="Q1527" s="74" t="s">
        <v>9443</v>
      </c>
    </row>
    <row r="1528" spans="3:17" x14ac:dyDescent="0.25">
      <c r="C1528" s="74" t="s">
        <v>11944</v>
      </c>
      <c r="D1528" s="74" t="s">
        <v>11945</v>
      </c>
      <c r="E1528" s="74"/>
      <c r="F1528" s="74">
        <v>0.47</v>
      </c>
      <c r="G1528" s="74"/>
      <c r="H1528" s="74"/>
      <c r="I1528" s="74" t="s">
        <v>391</v>
      </c>
      <c r="J1528" s="74"/>
      <c r="K1528" s="74">
        <v>102.4</v>
      </c>
      <c r="L1528" s="74">
        <v>92.16</v>
      </c>
      <c r="M1528" s="74"/>
      <c r="N1528" s="74" t="s">
        <v>392</v>
      </c>
      <c r="O1528" s="74" t="s">
        <v>402</v>
      </c>
      <c r="P1528" s="74" t="s">
        <v>11946</v>
      </c>
      <c r="Q1528" s="74" t="s">
        <v>11947</v>
      </c>
    </row>
    <row r="1529" spans="3:17" x14ac:dyDescent="0.25">
      <c r="C1529" s="74" t="s">
        <v>12633</v>
      </c>
      <c r="D1529" s="74" t="s">
        <v>12634</v>
      </c>
      <c r="E1529" s="74"/>
      <c r="F1529" s="74">
        <v>0.47</v>
      </c>
      <c r="G1529" s="74"/>
      <c r="H1529" s="74"/>
      <c r="I1529" s="74" t="s">
        <v>391</v>
      </c>
      <c r="J1529" s="74"/>
      <c r="K1529" s="74">
        <v>102.4</v>
      </c>
      <c r="L1529" s="74">
        <v>92.16</v>
      </c>
      <c r="M1529" s="74"/>
      <c r="N1529" s="74" t="s">
        <v>392</v>
      </c>
      <c r="O1529" s="74" t="s">
        <v>402</v>
      </c>
      <c r="P1529" s="74" t="s">
        <v>12635</v>
      </c>
      <c r="Q1529" s="74" t="s">
        <v>12636</v>
      </c>
    </row>
    <row r="1530" spans="3:17" x14ac:dyDescent="0.25">
      <c r="C1530" s="74" t="s">
        <v>13527</v>
      </c>
      <c r="D1530" s="74" t="s">
        <v>13528</v>
      </c>
      <c r="E1530" s="74"/>
      <c r="F1530" s="74">
        <v>0.47</v>
      </c>
      <c r="G1530" s="74"/>
      <c r="H1530" s="74"/>
      <c r="I1530" s="74" t="s">
        <v>391</v>
      </c>
      <c r="J1530" s="74"/>
      <c r="K1530" s="74">
        <v>102.4</v>
      </c>
      <c r="L1530" s="74">
        <v>92.16</v>
      </c>
      <c r="M1530" s="74"/>
      <c r="N1530" s="74" t="s">
        <v>392</v>
      </c>
      <c r="O1530" s="74" t="s">
        <v>402</v>
      </c>
      <c r="P1530" s="74" t="s">
        <v>13529</v>
      </c>
      <c r="Q1530" s="74" t="s">
        <v>13530</v>
      </c>
    </row>
    <row r="1531" spans="3:17" x14ac:dyDescent="0.25">
      <c r="C1531" s="74" t="s">
        <v>15518</v>
      </c>
      <c r="D1531" s="74" t="s">
        <v>15013</v>
      </c>
      <c r="E1531" s="74" t="s">
        <v>391</v>
      </c>
      <c r="F1531" s="74">
        <v>0.47</v>
      </c>
      <c r="G1531" s="74"/>
      <c r="H1531" s="74"/>
      <c r="I1531" s="74" t="s">
        <v>391</v>
      </c>
      <c r="J1531" s="74"/>
      <c r="K1531" s="74">
        <v>102.4</v>
      </c>
      <c r="L1531" s="74">
        <v>92.16</v>
      </c>
      <c r="M1531" s="74"/>
      <c r="N1531" s="74" t="s">
        <v>392</v>
      </c>
      <c r="O1531" s="74" t="s">
        <v>402</v>
      </c>
      <c r="P1531" s="74" t="s">
        <v>15519</v>
      </c>
      <c r="Q1531" s="74" t="s">
        <v>15520</v>
      </c>
    </row>
    <row r="1532" spans="3:17" x14ac:dyDescent="0.25">
      <c r="C1532" s="74" t="s">
        <v>16124</v>
      </c>
      <c r="D1532" s="74" t="s">
        <v>16125</v>
      </c>
      <c r="E1532" s="74"/>
      <c r="F1532" s="74">
        <v>0.47</v>
      </c>
      <c r="G1532" s="74"/>
      <c r="H1532" s="74"/>
      <c r="I1532" s="74" t="s">
        <v>391</v>
      </c>
      <c r="J1532" s="74"/>
      <c r="K1532" s="74">
        <v>102.4</v>
      </c>
      <c r="L1532" s="74">
        <v>92.16</v>
      </c>
      <c r="M1532" s="74"/>
      <c r="N1532" s="74" t="s">
        <v>392</v>
      </c>
      <c r="O1532" s="74" t="s">
        <v>402</v>
      </c>
      <c r="P1532" s="74" t="s">
        <v>16126</v>
      </c>
      <c r="Q1532" s="74" t="s">
        <v>16127</v>
      </c>
    </row>
    <row r="1533" spans="3:17" x14ac:dyDescent="0.25">
      <c r="C1533" s="74" t="s">
        <v>16734</v>
      </c>
      <c r="D1533" s="74" t="s">
        <v>16735</v>
      </c>
      <c r="E1533" s="74"/>
      <c r="F1533" s="74">
        <v>0.47</v>
      </c>
      <c r="G1533" s="74"/>
      <c r="H1533" s="74"/>
      <c r="I1533" s="74" t="s">
        <v>391</v>
      </c>
      <c r="J1533" s="74"/>
      <c r="K1533" s="74">
        <v>102.4</v>
      </c>
      <c r="L1533" s="74">
        <v>92.16</v>
      </c>
      <c r="M1533" s="74"/>
      <c r="N1533" s="74" t="s">
        <v>392</v>
      </c>
      <c r="O1533" s="74" t="s">
        <v>402</v>
      </c>
      <c r="P1533" s="74" t="s">
        <v>16736</v>
      </c>
      <c r="Q1533" s="74" t="s">
        <v>16737</v>
      </c>
    </row>
    <row r="1534" spans="3:17" x14ac:dyDescent="0.25">
      <c r="C1534" s="74" t="s">
        <v>17205</v>
      </c>
      <c r="D1534" s="74" t="s">
        <v>17206</v>
      </c>
      <c r="E1534" s="74"/>
      <c r="F1534" s="74">
        <v>0.47</v>
      </c>
      <c r="G1534" s="74"/>
      <c r="H1534" s="74"/>
      <c r="I1534" s="74" t="s">
        <v>391</v>
      </c>
      <c r="J1534" s="74"/>
      <c r="K1534" s="74">
        <v>102.4</v>
      </c>
      <c r="L1534" s="74">
        <v>92.16</v>
      </c>
      <c r="M1534" s="74"/>
      <c r="N1534" s="74" t="s">
        <v>392</v>
      </c>
      <c r="O1534" s="74" t="s">
        <v>402</v>
      </c>
      <c r="P1534" s="74" t="s">
        <v>17207</v>
      </c>
      <c r="Q1534" s="74" t="s">
        <v>17208</v>
      </c>
    </row>
    <row r="1535" spans="3:17" x14ac:dyDescent="0.25">
      <c r="C1535" s="74" t="s">
        <v>18378</v>
      </c>
      <c r="D1535" s="74" t="s">
        <v>18379</v>
      </c>
      <c r="E1535" s="74"/>
      <c r="F1535" s="74">
        <v>0.47</v>
      </c>
      <c r="G1535" s="74"/>
      <c r="H1535" s="74"/>
      <c r="I1535" s="74" t="s">
        <v>391</v>
      </c>
      <c r="J1535" s="74"/>
      <c r="K1535" s="74">
        <v>102.4</v>
      </c>
      <c r="L1535" s="74">
        <v>92.16</v>
      </c>
      <c r="M1535" s="74"/>
      <c r="N1535" s="74" t="s">
        <v>392</v>
      </c>
      <c r="O1535" s="74" t="s">
        <v>402</v>
      </c>
      <c r="P1535" s="74" t="s">
        <v>18380</v>
      </c>
      <c r="Q1535" s="74" t="s">
        <v>18381</v>
      </c>
    </row>
    <row r="1536" spans="3:17" x14ac:dyDescent="0.25">
      <c r="C1536" s="74" t="s">
        <v>19215</v>
      </c>
      <c r="D1536" s="74" t="s">
        <v>19216</v>
      </c>
      <c r="E1536" s="74"/>
      <c r="F1536" s="74">
        <v>0.47</v>
      </c>
      <c r="G1536" s="74"/>
      <c r="H1536" s="74"/>
      <c r="I1536" s="74" t="s">
        <v>391</v>
      </c>
      <c r="J1536" s="74"/>
      <c r="K1536" s="74">
        <v>102.4</v>
      </c>
      <c r="L1536" s="74">
        <v>92.16</v>
      </c>
      <c r="M1536" s="74"/>
      <c r="N1536" s="74" t="s">
        <v>392</v>
      </c>
      <c r="O1536" s="74" t="s">
        <v>402</v>
      </c>
      <c r="P1536" s="74" t="s">
        <v>19217</v>
      </c>
      <c r="Q1536" s="74" t="s">
        <v>19218</v>
      </c>
    </row>
    <row r="1537" spans="3:17" x14ac:dyDescent="0.25">
      <c r="C1537" s="74" t="s">
        <v>19966</v>
      </c>
      <c r="D1537" s="74" t="s">
        <v>19967</v>
      </c>
      <c r="E1537" s="74"/>
      <c r="F1537" s="74">
        <v>0.47</v>
      </c>
      <c r="G1537" s="74"/>
      <c r="H1537" s="74"/>
      <c r="I1537" s="74" t="s">
        <v>391</v>
      </c>
      <c r="J1537" s="74"/>
      <c r="K1537" s="74">
        <v>102.4</v>
      </c>
      <c r="L1537" s="74">
        <v>92.16</v>
      </c>
      <c r="M1537" s="74"/>
      <c r="N1537" s="74" t="s">
        <v>392</v>
      </c>
      <c r="O1537" s="74" t="s">
        <v>402</v>
      </c>
      <c r="P1537" s="74" t="s">
        <v>19968</v>
      </c>
      <c r="Q1537" s="74" t="s">
        <v>19969</v>
      </c>
    </row>
    <row r="1538" spans="3:17" x14ac:dyDescent="0.25">
      <c r="C1538" s="74" t="s">
        <v>2738</v>
      </c>
      <c r="D1538" s="74" t="s">
        <v>2739</v>
      </c>
      <c r="E1538" s="74"/>
      <c r="F1538" s="74">
        <v>0.46</v>
      </c>
      <c r="G1538" s="74"/>
      <c r="H1538" s="74"/>
      <c r="I1538" s="74" t="s">
        <v>391</v>
      </c>
      <c r="J1538" s="74"/>
      <c r="K1538" s="74">
        <v>102.4</v>
      </c>
      <c r="L1538" s="74">
        <v>92.16</v>
      </c>
      <c r="M1538" s="74"/>
      <c r="N1538" s="74" t="s">
        <v>392</v>
      </c>
      <c r="O1538" s="74" t="s">
        <v>402</v>
      </c>
      <c r="P1538" s="74" t="s">
        <v>2740</v>
      </c>
      <c r="Q1538" s="74" t="s">
        <v>2741</v>
      </c>
    </row>
    <row r="1539" spans="3:17" x14ac:dyDescent="0.25">
      <c r="C1539" s="74" t="s">
        <v>4003</v>
      </c>
      <c r="D1539" s="74" t="s">
        <v>4004</v>
      </c>
      <c r="E1539" s="74"/>
      <c r="F1539" s="74">
        <v>0.46</v>
      </c>
      <c r="G1539" s="74"/>
      <c r="H1539" s="74"/>
      <c r="I1539" s="74" t="s">
        <v>391</v>
      </c>
      <c r="J1539" s="74"/>
      <c r="K1539" s="74">
        <v>102.4</v>
      </c>
      <c r="L1539" s="74">
        <v>92.16</v>
      </c>
      <c r="M1539" s="74"/>
      <c r="N1539" s="74" t="s">
        <v>392</v>
      </c>
      <c r="O1539" s="74" t="s">
        <v>402</v>
      </c>
      <c r="P1539" s="74" t="s">
        <v>4005</v>
      </c>
      <c r="Q1539" s="74" t="s">
        <v>4006</v>
      </c>
    </row>
    <row r="1540" spans="3:17" x14ac:dyDescent="0.25">
      <c r="C1540" s="74" t="s">
        <v>4047</v>
      </c>
      <c r="D1540" s="74" t="s">
        <v>4048</v>
      </c>
      <c r="E1540" s="74"/>
      <c r="F1540" s="74">
        <v>0.46</v>
      </c>
      <c r="G1540" s="74"/>
      <c r="H1540" s="74"/>
      <c r="I1540" s="74" t="s">
        <v>391</v>
      </c>
      <c r="J1540" s="74"/>
      <c r="K1540" s="74">
        <v>102.4</v>
      </c>
      <c r="L1540" s="74">
        <v>92.16</v>
      </c>
      <c r="M1540" s="74"/>
      <c r="N1540" s="74" t="s">
        <v>392</v>
      </c>
      <c r="O1540" s="74" t="s">
        <v>402</v>
      </c>
      <c r="P1540" s="74" t="s">
        <v>4049</v>
      </c>
      <c r="Q1540" s="74" t="s">
        <v>4050</v>
      </c>
    </row>
    <row r="1541" spans="3:17" x14ac:dyDescent="0.25">
      <c r="C1541" s="74" t="s">
        <v>10584</v>
      </c>
      <c r="D1541" s="74" t="s">
        <v>10585</v>
      </c>
      <c r="E1541" s="74"/>
      <c r="F1541" s="74">
        <v>0.46</v>
      </c>
      <c r="G1541" s="74"/>
      <c r="H1541" s="74"/>
      <c r="I1541" s="74" t="s">
        <v>391</v>
      </c>
      <c r="J1541" s="74"/>
      <c r="K1541" s="74">
        <v>102.4</v>
      </c>
      <c r="L1541" s="74">
        <v>92.16</v>
      </c>
      <c r="M1541" s="74"/>
      <c r="N1541" s="74" t="s">
        <v>392</v>
      </c>
      <c r="O1541" s="74" t="s">
        <v>402</v>
      </c>
      <c r="P1541" s="74" t="s">
        <v>10586</v>
      </c>
      <c r="Q1541" s="74" t="s">
        <v>10587</v>
      </c>
    </row>
    <row r="1542" spans="3:17" x14ac:dyDescent="0.25">
      <c r="C1542" s="74" t="s">
        <v>11527</v>
      </c>
      <c r="D1542" s="74" t="s">
        <v>11528</v>
      </c>
      <c r="E1542" s="74" t="s">
        <v>391</v>
      </c>
      <c r="F1542" s="74">
        <v>0.46</v>
      </c>
      <c r="G1542" s="74"/>
      <c r="H1542" s="74"/>
      <c r="I1542" s="74" t="s">
        <v>391</v>
      </c>
      <c r="J1542" s="74"/>
      <c r="K1542" s="74">
        <v>102.4</v>
      </c>
      <c r="L1542" s="74">
        <v>92.16</v>
      </c>
      <c r="M1542" s="74"/>
      <c r="N1542" s="74" t="s">
        <v>392</v>
      </c>
      <c r="O1542" s="74" t="s">
        <v>393</v>
      </c>
      <c r="P1542" s="74"/>
      <c r="Q1542" s="74" t="s">
        <v>11529</v>
      </c>
    </row>
    <row r="1543" spans="3:17" x14ac:dyDescent="0.25">
      <c r="C1543" s="74" t="s">
        <v>14055</v>
      </c>
      <c r="D1543" s="74" t="s">
        <v>14056</v>
      </c>
      <c r="E1543" s="74"/>
      <c r="F1543" s="74">
        <v>0.46</v>
      </c>
      <c r="G1543" s="74"/>
      <c r="H1543" s="74"/>
      <c r="I1543" s="74" t="s">
        <v>391</v>
      </c>
      <c r="J1543" s="74"/>
      <c r="K1543" s="74">
        <v>102.4</v>
      </c>
      <c r="L1543" s="74">
        <v>92.16</v>
      </c>
      <c r="M1543" s="74"/>
      <c r="N1543" s="74" t="s">
        <v>392</v>
      </c>
      <c r="O1543" s="74" t="s">
        <v>402</v>
      </c>
      <c r="P1543" s="74" t="s">
        <v>14057</v>
      </c>
      <c r="Q1543" s="74" t="s">
        <v>14058</v>
      </c>
    </row>
    <row r="1544" spans="3:17" x14ac:dyDescent="0.25">
      <c r="C1544" s="74" t="s">
        <v>15864</v>
      </c>
      <c r="D1544" s="74" t="s">
        <v>15865</v>
      </c>
      <c r="E1544" s="74"/>
      <c r="F1544" s="74">
        <v>0.46</v>
      </c>
      <c r="G1544" s="74"/>
      <c r="H1544" s="74"/>
      <c r="I1544" s="74" t="s">
        <v>391</v>
      </c>
      <c r="J1544" s="74"/>
      <c r="K1544" s="74">
        <v>102.4</v>
      </c>
      <c r="L1544" s="74">
        <v>92.16</v>
      </c>
      <c r="M1544" s="74"/>
      <c r="N1544" s="74" t="s">
        <v>392</v>
      </c>
      <c r="O1544" s="74" t="s">
        <v>402</v>
      </c>
      <c r="P1544" s="74" t="s">
        <v>15866</v>
      </c>
      <c r="Q1544" s="74" t="s">
        <v>15867</v>
      </c>
    </row>
    <row r="1545" spans="3:17" x14ac:dyDescent="0.25">
      <c r="C1545" s="74" t="s">
        <v>17066</v>
      </c>
      <c r="D1545" s="74" t="s">
        <v>17067</v>
      </c>
      <c r="E1545" s="74"/>
      <c r="F1545" s="74">
        <v>0.46</v>
      </c>
      <c r="G1545" s="74"/>
      <c r="H1545" s="74"/>
      <c r="I1545" s="74" t="s">
        <v>391</v>
      </c>
      <c r="J1545" s="74"/>
      <c r="K1545" s="74">
        <v>102.4</v>
      </c>
      <c r="L1545" s="74">
        <v>92.16</v>
      </c>
      <c r="M1545" s="74"/>
      <c r="N1545" s="74" t="s">
        <v>392</v>
      </c>
      <c r="O1545" s="74" t="s">
        <v>402</v>
      </c>
      <c r="P1545" s="74" t="s">
        <v>17068</v>
      </c>
      <c r="Q1545" s="74" t="s">
        <v>17069</v>
      </c>
    </row>
    <row r="1546" spans="3:17" x14ac:dyDescent="0.25">
      <c r="C1546" s="74" t="s">
        <v>17320</v>
      </c>
      <c r="D1546" s="74" t="s">
        <v>17321</v>
      </c>
      <c r="E1546" s="74" t="s">
        <v>391</v>
      </c>
      <c r="F1546" s="74">
        <v>0.46</v>
      </c>
      <c r="G1546" s="74"/>
      <c r="H1546" s="74"/>
      <c r="I1546" s="74" t="s">
        <v>391</v>
      </c>
      <c r="J1546" s="74"/>
      <c r="K1546" s="74">
        <v>102.4</v>
      </c>
      <c r="L1546" s="74">
        <v>92.16</v>
      </c>
      <c r="M1546" s="74"/>
      <c r="N1546" s="74" t="s">
        <v>392</v>
      </c>
      <c r="O1546" s="74" t="s">
        <v>393</v>
      </c>
      <c r="P1546" s="74"/>
      <c r="Q1546" s="74" t="s">
        <v>17322</v>
      </c>
    </row>
    <row r="1547" spans="3:17" x14ac:dyDescent="0.25">
      <c r="C1547" s="74" t="s">
        <v>18374</v>
      </c>
      <c r="D1547" s="74" t="s">
        <v>18375</v>
      </c>
      <c r="E1547" s="74"/>
      <c r="F1547" s="74">
        <v>0.46</v>
      </c>
      <c r="G1547" s="74"/>
      <c r="H1547" s="74"/>
      <c r="I1547" s="74" t="s">
        <v>391</v>
      </c>
      <c r="J1547" s="74"/>
      <c r="K1547" s="74">
        <v>102.4</v>
      </c>
      <c r="L1547" s="74">
        <v>92.16</v>
      </c>
      <c r="M1547" s="74"/>
      <c r="N1547" s="74" t="s">
        <v>392</v>
      </c>
      <c r="O1547" s="74" t="s">
        <v>402</v>
      </c>
      <c r="P1547" s="74" t="s">
        <v>18376</v>
      </c>
      <c r="Q1547" s="74" t="s">
        <v>18377</v>
      </c>
    </row>
    <row r="1548" spans="3:17" x14ac:dyDescent="0.25">
      <c r="C1548" s="74" t="s">
        <v>2937</v>
      </c>
      <c r="D1548" s="74" t="s">
        <v>2938</v>
      </c>
      <c r="E1548" s="74"/>
      <c r="F1548" s="74">
        <v>0.45</v>
      </c>
      <c r="G1548" s="74"/>
      <c r="H1548" s="74"/>
      <c r="I1548" s="74" t="s">
        <v>391</v>
      </c>
      <c r="J1548" s="74"/>
      <c r="K1548" s="74">
        <v>102.4</v>
      </c>
      <c r="L1548" s="74">
        <v>92.16</v>
      </c>
      <c r="M1548" s="74"/>
      <c r="N1548" s="74" t="s">
        <v>392</v>
      </c>
      <c r="O1548" s="74" t="s">
        <v>402</v>
      </c>
      <c r="P1548" s="74" t="s">
        <v>2939</v>
      </c>
      <c r="Q1548" s="74" t="s">
        <v>2940</v>
      </c>
    </row>
    <row r="1549" spans="3:17" x14ac:dyDescent="0.25">
      <c r="C1549" s="74" t="s">
        <v>3871</v>
      </c>
      <c r="D1549" s="74" t="s">
        <v>3872</v>
      </c>
      <c r="E1549" s="74"/>
      <c r="F1549" s="74">
        <v>0.45</v>
      </c>
      <c r="G1549" s="74"/>
      <c r="H1549" s="74"/>
      <c r="I1549" s="74" t="s">
        <v>391</v>
      </c>
      <c r="J1549" s="74"/>
      <c r="K1549" s="74">
        <v>102.4</v>
      </c>
      <c r="L1549" s="74">
        <v>92.16</v>
      </c>
      <c r="M1549" s="74"/>
      <c r="N1549" s="74" t="s">
        <v>392</v>
      </c>
      <c r="O1549" s="74" t="s">
        <v>402</v>
      </c>
      <c r="P1549" s="74" t="s">
        <v>3873</v>
      </c>
      <c r="Q1549" s="74" t="s">
        <v>3874</v>
      </c>
    </row>
    <row r="1550" spans="3:17" x14ac:dyDescent="0.25">
      <c r="C1550" s="74" t="s">
        <v>5178</v>
      </c>
      <c r="D1550" s="74" t="s">
        <v>5179</v>
      </c>
      <c r="E1550" s="74" t="s">
        <v>391</v>
      </c>
      <c r="F1550" s="74">
        <v>0.45</v>
      </c>
      <c r="G1550" s="74"/>
      <c r="H1550" s="74"/>
      <c r="I1550" s="74" t="s">
        <v>391</v>
      </c>
      <c r="J1550" s="74"/>
      <c r="K1550" s="74">
        <v>102.4</v>
      </c>
      <c r="L1550" s="74">
        <v>92.16</v>
      </c>
      <c r="M1550" s="74"/>
      <c r="N1550" s="74" t="s">
        <v>392</v>
      </c>
      <c r="O1550" s="74" t="s">
        <v>402</v>
      </c>
      <c r="P1550" s="74" t="s">
        <v>5180</v>
      </c>
      <c r="Q1550" s="74" t="s">
        <v>5181</v>
      </c>
    </row>
    <row r="1551" spans="3:17" x14ac:dyDescent="0.25">
      <c r="C1551" s="74" t="s">
        <v>6545</v>
      </c>
      <c r="D1551" s="74" t="s">
        <v>6546</v>
      </c>
      <c r="E1551" s="74"/>
      <c r="F1551" s="74">
        <v>0.45</v>
      </c>
      <c r="G1551" s="74"/>
      <c r="H1551" s="74"/>
      <c r="I1551" s="74" t="s">
        <v>391</v>
      </c>
      <c r="J1551" s="74"/>
      <c r="K1551" s="74">
        <v>102.4</v>
      </c>
      <c r="L1551" s="74">
        <v>92.16</v>
      </c>
      <c r="M1551" s="74"/>
      <c r="N1551" s="74" t="s">
        <v>392</v>
      </c>
      <c r="O1551" s="74" t="s">
        <v>402</v>
      </c>
      <c r="P1551" s="74" t="s">
        <v>6547</v>
      </c>
      <c r="Q1551" s="74" t="s">
        <v>6548</v>
      </c>
    </row>
    <row r="1552" spans="3:17" x14ac:dyDescent="0.25">
      <c r="C1552" s="74" t="s">
        <v>9825</v>
      </c>
      <c r="D1552" s="74" t="s">
        <v>9826</v>
      </c>
      <c r="E1552" s="74"/>
      <c r="F1552" s="74">
        <v>0.45</v>
      </c>
      <c r="G1552" s="74"/>
      <c r="H1552" s="74"/>
      <c r="I1552" s="74" t="s">
        <v>391</v>
      </c>
      <c r="J1552" s="74"/>
      <c r="K1552" s="74">
        <v>102.4</v>
      </c>
      <c r="L1552" s="74">
        <v>92.16</v>
      </c>
      <c r="M1552" s="74"/>
      <c r="N1552" s="74" t="s">
        <v>392</v>
      </c>
      <c r="O1552" s="74" t="s">
        <v>402</v>
      </c>
      <c r="P1552" s="74" t="s">
        <v>9827</v>
      </c>
      <c r="Q1552" s="74" t="s">
        <v>9828</v>
      </c>
    </row>
    <row r="1553" spans="3:17" x14ac:dyDescent="0.25">
      <c r="C1553" s="74" t="s">
        <v>9933</v>
      </c>
      <c r="D1553" s="74" t="s">
        <v>9934</v>
      </c>
      <c r="E1553" s="74"/>
      <c r="F1553" s="74">
        <v>0.45</v>
      </c>
      <c r="G1553" s="74"/>
      <c r="H1553" s="74"/>
      <c r="I1553" s="74" t="s">
        <v>391</v>
      </c>
      <c r="J1553" s="74"/>
      <c r="K1553" s="74">
        <v>102.4</v>
      </c>
      <c r="L1553" s="74">
        <v>92.16</v>
      </c>
      <c r="M1553" s="74"/>
      <c r="N1553" s="74" t="s">
        <v>392</v>
      </c>
      <c r="O1553" s="74" t="s">
        <v>402</v>
      </c>
      <c r="P1553" s="74" t="s">
        <v>9935</v>
      </c>
      <c r="Q1553" s="74" t="s">
        <v>9936</v>
      </c>
    </row>
    <row r="1554" spans="3:17" x14ac:dyDescent="0.25">
      <c r="C1554" s="74" t="s">
        <v>10066</v>
      </c>
      <c r="D1554" s="74" t="s">
        <v>10067</v>
      </c>
      <c r="E1554" s="74"/>
      <c r="F1554" s="74">
        <v>0.45</v>
      </c>
      <c r="G1554" s="74"/>
      <c r="H1554" s="74"/>
      <c r="I1554" s="74" t="s">
        <v>391</v>
      </c>
      <c r="J1554" s="74"/>
      <c r="K1554" s="74">
        <v>102.4</v>
      </c>
      <c r="L1554" s="74">
        <v>92.16</v>
      </c>
      <c r="M1554" s="74"/>
      <c r="N1554" s="74" t="s">
        <v>392</v>
      </c>
      <c r="O1554" s="74" t="s">
        <v>402</v>
      </c>
      <c r="P1554" s="74" t="s">
        <v>10068</v>
      </c>
      <c r="Q1554" s="74" t="s">
        <v>10069</v>
      </c>
    </row>
    <row r="1555" spans="3:17" x14ac:dyDescent="0.25">
      <c r="C1555" s="74" t="s">
        <v>10645</v>
      </c>
      <c r="D1555" s="74" t="s">
        <v>10646</v>
      </c>
      <c r="E1555" s="74" t="s">
        <v>391</v>
      </c>
      <c r="F1555" s="74">
        <v>0.45</v>
      </c>
      <c r="G1555" s="74"/>
      <c r="H1555" s="74"/>
      <c r="I1555" s="74" t="s">
        <v>391</v>
      </c>
      <c r="J1555" s="74"/>
      <c r="K1555" s="74">
        <v>102.4</v>
      </c>
      <c r="L1555" s="74">
        <v>92.16</v>
      </c>
      <c r="M1555" s="74"/>
      <c r="N1555" s="74" t="s">
        <v>392</v>
      </c>
      <c r="O1555" s="74" t="s">
        <v>402</v>
      </c>
      <c r="P1555" s="74" t="s">
        <v>10647</v>
      </c>
      <c r="Q1555" s="74" t="s">
        <v>10648</v>
      </c>
    </row>
    <row r="1556" spans="3:17" x14ac:dyDescent="0.25">
      <c r="C1556" s="74" t="s">
        <v>12805</v>
      </c>
      <c r="D1556" s="74" t="s">
        <v>12806</v>
      </c>
      <c r="E1556" s="74"/>
      <c r="F1556" s="74">
        <v>0.45</v>
      </c>
      <c r="G1556" s="74"/>
      <c r="H1556" s="74"/>
      <c r="I1556" s="74" t="s">
        <v>391</v>
      </c>
      <c r="J1556" s="74"/>
      <c r="K1556" s="74">
        <v>102.4</v>
      </c>
      <c r="L1556" s="74">
        <v>92.16</v>
      </c>
      <c r="M1556" s="74"/>
      <c r="N1556" s="74" t="s">
        <v>392</v>
      </c>
      <c r="O1556" s="74" t="s">
        <v>402</v>
      </c>
      <c r="P1556" s="74" t="s">
        <v>12807</v>
      </c>
      <c r="Q1556" s="74" t="s">
        <v>12808</v>
      </c>
    </row>
    <row r="1557" spans="3:17" x14ac:dyDescent="0.25">
      <c r="C1557" s="74" t="s">
        <v>13359</v>
      </c>
      <c r="D1557" s="74" t="s">
        <v>13360</v>
      </c>
      <c r="E1557" s="74" t="s">
        <v>391</v>
      </c>
      <c r="F1557" s="74">
        <v>0.45</v>
      </c>
      <c r="G1557" s="74"/>
      <c r="H1557" s="74"/>
      <c r="I1557" s="74" t="s">
        <v>391</v>
      </c>
      <c r="J1557" s="74"/>
      <c r="K1557" s="74">
        <v>102.4</v>
      </c>
      <c r="L1557" s="74">
        <v>92.16</v>
      </c>
      <c r="M1557" s="74"/>
      <c r="N1557" s="74" t="s">
        <v>392</v>
      </c>
      <c r="O1557" s="74" t="s">
        <v>393</v>
      </c>
      <c r="P1557" s="74"/>
      <c r="Q1557" s="74" t="s">
        <v>13361</v>
      </c>
    </row>
    <row r="1558" spans="3:17" x14ac:dyDescent="0.25">
      <c r="C1558" s="74" t="s">
        <v>2226</v>
      </c>
      <c r="D1558" s="74" t="s">
        <v>2227</v>
      </c>
      <c r="E1558" s="74"/>
      <c r="F1558" s="74">
        <v>0.44</v>
      </c>
      <c r="G1558" s="74"/>
      <c r="H1558" s="74"/>
      <c r="I1558" s="74" t="s">
        <v>391</v>
      </c>
      <c r="J1558" s="74"/>
      <c r="K1558" s="74">
        <v>102.4</v>
      </c>
      <c r="L1558" s="74">
        <v>92.16</v>
      </c>
      <c r="M1558" s="74"/>
      <c r="N1558" s="74" t="s">
        <v>392</v>
      </c>
      <c r="O1558" s="74" t="s">
        <v>402</v>
      </c>
      <c r="P1558" s="74" t="s">
        <v>2228</v>
      </c>
      <c r="Q1558" s="74" t="s">
        <v>2229</v>
      </c>
    </row>
    <row r="1559" spans="3:17" x14ac:dyDescent="0.25">
      <c r="C1559" s="74" t="s">
        <v>3359</v>
      </c>
      <c r="D1559" s="74" t="s">
        <v>3360</v>
      </c>
      <c r="E1559" s="74"/>
      <c r="F1559" s="74">
        <v>0.44</v>
      </c>
      <c r="G1559" s="74"/>
      <c r="H1559" s="74"/>
      <c r="I1559" s="74" t="s">
        <v>391</v>
      </c>
      <c r="J1559" s="74"/>
      <c r="K1559" s="74">
        <v>102.4</v>
      </c>
      <c r="L1559" s="74">
        <v>92.16</v>
      </c>
      <c r="M1559" s="74"/>
      <c r="N1559" s="74" t="s">
        <v>392</v>
      </c>
      <c r="O1559" s="74" t="s">
        <v>402</v>
      </c>
      <c r="P1559" s="74" t="s">
        <v>3361</v>
      </c>
      <c r="Q1559" s="74" t="s">
        <v>3362</v>
      </c>
    </row>
    <row r="1560" spans="3:17" x14ac:dyDescent="0.25">
      <c r="C1560" s="74" t="s">
        <v>6046</v>
      </c>
      <c r="D1560" s="74" t="s">
        <v>6047</v>
      </c>
      <c r="E1560" s="74"/>
      <c r="F1560" s="74">
        <v>0.44</v>
      </c>
      <c r="G1560" s="74"/>
      <c r="H1560" s="74"/>
      <c r="I1560" s="74" t="s">
        <v>391</v>
      </c>
      <c r="J1560" s="74"/>
      <c r="K1560" s="74">
        <v>102.4</v>
      </c>
      <c r="L1560" s="74">
        <v>92.16</v>
      </c>
      <c r="M1560" s="74"/>
      <c r="N1560" s="74" t="s">
        <v>392</v>
      </c>
      <c r="O1560" s="74" t="s">
        <v>402</v>
      </c>
      <c r="P1560" s="74" t="s">
        <v>6048</v>
      </c>
      <c r="Q1560" s="74" t="s">
        <v>6049</v>
      </c>
    </row>
    <row r="1561" spans="3:17" x14ac:dyDescent="0.25">
      <c r="C1561" s="74" t="s">
        <v>6495</v>
      </c>
      <c r="D1561" s="74" t="s">
        <v>6496</v>
      </c>
      <c r="E1561" s="74"/>
      <c r="F1561" s="74">
        <v>0.44</v>
      </c>
      <c r="G1561" s="74"/>
      <c r="H1561" s="74"/>
      <c r="I1561" s="74" t="s">
        <v>391</v>
      </c>
      <c r="J1561" s="74"/>
      <c r="K1561" s="74">
        <v>102.4</v>
      </c>
      <c r="L1561" s="74">
        <v>92.16</v>
      </c>
      <c r="M1561" s="74"/>
      <c r="N1561" s="74" t="s">
        <v>392</v>
      </c>
      <c r="O1561" s="74" t="s">
        <v>402</v>
      </c>
      <c r="P1561" s="74" t="s">
        <v>6497</v>
      </c>
      <c r="Q1561" s="74" t="s">
        <v>6498</v>
      </c>
    </row>
    <row r="1562" spans="3:17" x14ac:dyDescent="0.25">
      <c r="C1562" s="74" t="s">
        <v>8813</v>
      </c>
      <c r="D1562" s="74" t="s">
        <v>8814</v>
      </c>
      <c r="E1562" s="74"/>
      <c r="F1562" s="74">
        <v>0.44</v>
      </c>
      <c r="G1562" s="74"/>
      <c r="H1562" s="74"/>
      <c r="I1562" s="74" t="s">
        <v>391</v>
      </c>
      <c r="J1562" s="74"/>
      <c r="K1562" s="74">
        <v>102.4</v>
      </c>
      <c r="L1562" s="74">
        <v>92.16</v>
      </c>
      <c r="M1562" s="74"/>
      <c r="N1562" s="74" t="s">
        <v>392</v>
      </c>
      <c r="O1562" s="74" t="s">
        <v>402</v>
      </c>
      <c r="P1562" s="74" t="s">
        <v>8815</v>
      </c>
      <c r="Q1562" s="74" t="s">
        <v>8816</v>
      </c>
    </row>
    <row r="1563" spans="3:17" x14ac:dyDescent="0.25">
      <c r="C1563" s="74" t="s">
        <v>15407</v>
      </c>
      <c r="D1563" s="74" t="s">
        <v>15408</v>
      </c>
      <c r="E1563" s="74"/>
      <c r="F1563" s="74">
        <v>0.44</v>
      </c>
      <c r="G1563" s="74"/>
      <c r="H1563" s="74"/>
      <c r="I1563" s="74" t="s">
        <v>391</v>
      </c>
      <c r="J1563" s="74"/>
      <c r="K1563" s="74">
        <v>102.4</v>
      </c>
      <c r="L1563" s="74">
        <v>92.16</v>
      </c>
      <c r="M1563" s="74"/>
      <c r="N1563" s="74" t="s">
        <v>392</v>
      </c>
      <c r="O1563" s="74" t="s">
        <v>402</v>
      </c>
      <c r="P1563" s="74" t="s">
        <v>15409</v>
      </c>
      <c r="Q1563" s="74" t="s">
        <v>15410</v>
      </c>
    </row>
    <row r="1564" spans="3:17" x14ac:dyDescent="0.25">
      <c r="C1564" s="74" t="s">
        <v>15421</v>
      </c>
      <c r="D1564" s="74" t="s">
        <v>15422</v>
      </c>
      <c r="E1564" s="74" t="s">
        <v>391</v>
      </c>
      <c r="F1564" s="74">
        <v>0.44</v>
      </c>
      <c r="G1564" s="74"/>
      <c r="H1564" s="74"/>
      <c r="I1564" s="74" t="s">
        <v>391</v>
      </c>
      <c r="J1564" s="74"/>
      <c r="K1564" s="74">
        <v>102.4</v>
      </c>
      <c r="L1564" s="74">
        <v>92.16</v>
      </c>
      <c r="M1564" s="74"/>
      <c r="N1564" s="74" t="s">
        <v>392</v>
      </c>
      <c r="O1564" s="74" t="s">
        <v>393</v>
      </c>
      <c r="P1564" s="74" t="s">
        <v>15423</v>
      </c>
      <c r="Q1564" s="74" t="s">
        <v>15424</v>
      </c>
    </row>
    <row r="1565" spans="3:17" x14ac:dyDescent="0.25">
      <c r="C1565" s="74" t="s">
        <v>17467</v>
      </c>
      <c r="D1565" s="74" t="s">
        <v>17468</v>
      </c>
      <c r="E1565" s="74"/>
      <c r="F1565" s="74">
        <v>0.44</v>
      </c>
      <c r="G1565" s="74"/>
      <c r="H1565" s="74"/>
      <c r="I1565" s="74" t="s">
        <v>391</v>
      </c>
      <c r="J1565" s="74"/>
      <c r="K1565" s="74">
        <v>102.4</v>
      </c>
      <c r="L1565" s="74">
        <v>92.16</v>
      </c>
      <c r="M1565" s="74"/>
      <c r="N1565" s="74" t="s">
        <v>392</v>
      </c>
      <c r="O1565" s="74" t="s">
        <v>402</v>
      </c>
      <c r="P1565" s="74" t="s">
        <v>17469</v>
      </c>
      <c r="Q1565" s="74" t="s">
        <v>17470</v>
      </c>
    </row>
    <row r="1566" spans="3:17" x14ac:dyDescent="0.25">
      <c r="C1566" s="74" t="s">
        <v>20137</v>
      </c>
      <c r="D1566" s="74" t="s">
        <v>20138</v>
      </c>
      <c r="E1566" s="74"/>
      <c r="F1566" s="74">
        <v>0.44</v>
      </c>
      <c r="G1566" s="74"/>
      <c r="H1566" s="74"/>
      <c r="I1566" s="74" t="s">
        <v>391</v>
      </c>
      <c r="J1566" s="74"/>
      <c r="K1566" s="74">
        <v>102.4</v>
      </c>
      <c r="L1566" s="74">
        <v>92.16</v>
      </c>
      <c r="M1566" s="74"/>
      <c r="N1566" s="74" t="s">
        <v>392</v>
      </c>
      <c r="O1566" s="74" t="s">
        <v>402</v>
      </c>
      <c r="P1566" s="74" t="s">
        <v>20139</v>
      </c>
      <c r="Q1566" s="74" t="s">
        <v>20140</v>
      </c>
    </row>
    <row r="1567" spans="3:17" x14ac:dyDescent="0.25">
      <c r="C1567" s="74" t="s">
        <v>1728</v>
      </c>
      <c r="D1567" s="74" t="s">
        <v>1729</v>
      </c>
      <c r="E1567" s="74"/>
      <c r="F1567" s="74">
        <v>0.43</v>
      </c>
      <c r="G1567" s="74"/>
      <c r="H1567" s="74"/>
      <c r="I1567" s="74" t="s">
        <v>391</v>
      </c>
      <c r="J1567" s="74"/>
      <c r="K1567" s="74">
        <v>102.4</v>
      </c>
      <c r="L1567" s="74">
        <v>92.16</v>
      </c>
      <c r="M1567" s="74"/>
      <c r="N1567" s="74" t="s">
        <v>392</v>
      </c>
      <c r="O1567" s="74" t="s">
        <v>402</v>
      </c>
      <c r="P1567" s="74" t="s">
        <v>1730</v>
      </c>
      <c r="Q1567" s="74" t="s">
        <v>1731</v>
      </c>
    </row>
    <row r="1568" spans="3:17" x14ac:dyDescent="0.25">
      <c r="C1568" s="74" t="s">
        <v>4153</v>
      </c>
      <c r="D1568" s="74" t="s">
        <v>4154</v>
      </c>
      <c r="E1568" s="74"/>
      <c r="F1568" s="74">
        <v>0.43</v>
      </c>
      <c r="G1568" s="74"/>
      <c r="H1568" s="74"/>
      <c r="I1568" s="74" t="s">
        <v>391</v>
      </c>
      <c r="J1568" s="74"/>
      <c r="K1568" s="74">
        <v>102.4</v>
      </c>
      <c r="L1568" s="74">
        <v>92.16</v>
      </c>
      <c r="M1568" s="74"/>
      <c r="N1568" s="74" t="s">
        <v>392</v>
      </c>
      <c r="O1568" s="74" t="s">
        <v>402</v>
      </c>
      <c r="P1568" s="74" t="s">
        <v>4155</v>
      </c>
      <c r="Q1568" s="74" t="s">
        <v>4156</v>
      </c>
    </row>
    <row r="1569" spans="3:17" x14ac:dyDescent="0.25">
      <c r="C1569" s="74" t="s">
        <v>10392</v>
      </c>
      <c r="D1569" s="74" t="s">
        <v>10393</v>
      </c>
      <c r="E1569" s="74"/>
      <c r="F1569" s="74">
        <v>0.43</v>
      </c>
      <c r="G1569" s="74"/>
      <c r="H1569" s="74"/>
      <c r="I1569" s="74" t="s">
        <v>391</v>
      </c>
      <c r="J1569" s="74"/>
      <c r="K1569" s="74">
        <v>102.4</v>
      </c>
      <c r="L1569" s="74">
        <v>92.16</v>
      </c>
      <c r="M1569" s="74"/>
      <c r="N1569" s="74" t="s">
        <v>392</v>
      </c>
      <c r="O1569" s="74" t="s">
        <v>402</v>
      </c>
      <c r="P1569" s="74" t="s">
        <v>10394</v>
      </c>
      <c r="Q1569" s="74" t="s">
        <v>10395</v>
      </c>
    </row>
    <row r="1570" spans="3:17" x14ac:dyDescent="0.25">
      <c r="C1570" s="74" t="s">
        <v>10463</v>
      </c>
      <c r="D1570" s="74" t="s">
        <v>10464</v>
      </c>
      <c r="E1570" s="74"/>
      <c r="F1570" s="74">
        <v>0.43</v>
      </c>
      <c r="G1570" s="74"/>
      <c r="H1570" s="74"/>
      <c r="I1570" s="74" t="s">
        <v>391</v>
      </c>
      <c r="J1570" s="74"/>
      <c r="K1570" s="74">
        <v>102.4</v>
      </c>
      <c r="L1570" s="74">
        <v>92.16</v>
      </c>
      <c r="M1570" s="74"/>
      <c r="N1570" s="74" t="s">
        <v>392</v>
      </c>
      <c r="O1570" s="74" t="s">
        <v>402</v>
      </c>
      <c r="P1570" s="74" t="s">
        <v>10465</v>
      </c>
      <c r="Q1570" s="74" t="s">
        <v>10466</v>
      </c>
    </row>
    <row r="1571" spans="3:17" x14ac:dyDescent="0.25">
      <c r="C1571" s="74" t="s">
        <v>11507</v>
      </c>
      <c r="D1571" s="74" t="s">
        <v>11508</v>
      </c>
      <c r="E1571" s="74"/>
      <c r="F1571" s="74">
        <v>0.43</v>
      </c>
      <c r="G1571" s="74"/>
      <c r="H1571" s="74"/>
      <c r="I1571" s="74" t="s">
        <v>391</v>
      </c>
      <c r="J1571" s="74"/>
      <c r="K1571" s="74">
        <v>102.4</v>
      </c>
      <c r="L1571" s="74">
        <v>92.16</v>
      </c>
      <c r="M1571" s="74"/>
      <c r="N1571" s="74" t="s">
        <v>392</v>
      </c>
      <c r="O1571" s="74" t="s">
        <v>402</v>
      </c>
      <c r="P1571" s="74" t="s">
        <v>11509</v>
      </c>
      <c r="Q1571" s="74" t="s">
        <v>11510</v>
      </c>
    </row>
    <row r="1572" spans="3:17" x14ac:dyDescent="0.25">
      <c r="C1572" s="74" t="s">
        <v>16498</v>
      </c>
      <c r="D1572" s="74" t="s">
        <v>16499</v>
      </c>
      <c r="E1572" s="74" t="s">
        <v>391</v>
      </c>
      <c r="F1572" s="74">
        <v>0.43</v>
      </c>
      <c r="G1572" s="74"/>
      <c r="H1572" s="74"/>
      <c r="I1572" s="74" t="s">
        <v>391</v>
      </c>
      <c r="J1572" s="74"/>
      <c r="K1572" s="74">
        <v>102.4</v>
      </c>
      <c r="L1572" s="74">
        <v>92.16</v>
      </c>
      <c r="M1572" s="74"/>
      <c r="N1572" s="74" t="s">
        <v>392</v>
      </c>
      <c r="O1572" s="74" t="s">
        <v>393</v>
      </c>
      <c r="P1572" s="74" t="s">
        <v>16500</v>
      </c>
      <c r="Q1572" s="74" t="s">
        <v>16501</v>
      </c>
    </row>
    <row r="1573" spans="3:17" x14ac:dyDescent="0.25">
      <c r="C1573" s="74" t="s">
        <v>16955</v>
      </c>
      <c r="D1573" s="74" t="s">
        <v>16956</v>
      </c>
      <c r="E1573" s="74" t="s">
        <v>391</v>
      </c>
      <c r="F1573" s="74">
        <v>0.43</v>
      </c>
      <c r="G1573" s="74"/>
      <c r="H1573" s="74"/>
      <c r="I1573" s="74" t="s">
        <v>391</v>
      </c>
      <c r="J1573" s="74"/>
      <c r="K1573" s="74">
        <v>102.4</v>
      </c>
      <c r="L1573" s="74">
        <v>92.16</v>
      </c>
      <c r="M1573" s="74"/>
      <c r="N1573" s="74" t="s">
        <v>392</v>
      </c>
      <c r="O1573" s="74" t="s">
        <v>393</v>
      </c>
      <c r="P1573" s="74"/>
      <c r="Q1573" s="74" t="s">
        <v>16957</v>
      </c>
    </row>
    <row r="1574" spans="3:17" x14ac:dyDescent="0.25">
      <c r="C1574" s="74" t="s">
        <v>17726</v>
      </c>
      <c r="D1574" s="74" t="s">
        <v>17727</v>
      </c>
      <c r="E1574" s="74" t="s">
        <v>391</v>
      </c>
      <c r="F1574" s="74">
        <v>0.43</v>
      </c>
      <c r="G1574" s="74"/>
      <c r="H1574" s="74"/>
      <c r="I1574" s="74" t="s">
        <v>391</v>
      </c>
      <c r="J1574" s="74"/>
      <c r="K1574" s="74">
        <v>102.4</v>
      </c>
      <c r="L1574" s="74">
        <v>92.16</v>
      </c>
      <c r="M1574" s="74"/>
      <c r="N1574" s="74" t="s">
        <v>392</v>
      </c>
      <c r="O1574" s="74" t="s">
        <v>402</v>
      </c>
      <c r="P1574" s="74" t="s">
        <v>17728</v>
      </c>
      <c r="Q1574" s="74" t="s">
        <v>17729</v>
      </c>
    </row>
    <row r="1575" spans="3:17" x14ac:dyDescent="0.25">
      <c r="C1575" s="74" t="s">
        <v>17933</v>
      </c>
      <c r="D1575" s="74" t="s">
        <v>17934</v>
      </c>
      <c r="E1575" s="74"/>
      <c r="F1575" s="74">
        <v>0.43</v>
      </c>
      <c r="G1575" s="74"/>
      <c r="H1575" s="74"/>
      <c r="I1575" s="74" t="s">
        <v>391</v>
      </c>
      <c r="J1575" s="74"/>
      <c r="K1575" s="74">
        <v>102.4</v>
      </c>
      <c r="L1575" s="74">
        <v>92.16</v>
      </c>
      <c r="M1575" s="74"/>
      <c r="N1575" s="74" t="s">
        <v>392</v>
      </c>
      <c r="O1575" s="74" t="s">
        <v>402</v>
      </c>
      <c r="P1575" s="74" t="s">
        <v>17935</v>
      </c>
      <c r="Q1575" s="74" t="s">
        <v>17936</v>
      </c>
    </row>
    <row r="1576" spans="3:17" x14ac:dyDescent="0.25">
      <c r="C1576" s="74" t="s">
        <v>19278</v>
      </c>
      <c r="D1576" s="74" t="s">
        <v>19279</v>
      </c>
      <c r="E1576" s="74"/>
      <c r="F1576" s="74">
        <v>0.43</v>
      </c>
      <c r="G1576" s="74"/>
      <c r="H1576" s="74"/>
      <c r="I1576" s="74" t="s">
        <v>391</v>
      </c>
      <c r="J1576" s="74"/>
      <c r="K1576" s="74">
        <v>102.4</v>
      </c>
      <c r="L1576" s="74">
        <v>92.16</v>
      </c>
      <c r="M1576" s="74"/>
      <c r="N1576" s="74" t="s">
        <v>392</v>
      </c>
      <c r="O1576" s="74" t="s">
        <v>402</v>
      </c>
      <c r="P1576" s="74" t="s">
        <v>19280</v>
      </c>
      <c r="Q1576" s="74" t="s">
        <v>19281</v>
      </c>
    </row>
    <row r="1577" spans="3:17" x14ac:dyDescent="0.25">
      <c r="C1577" s="74" t="s">
        <v>20133</v>
      </c>
      <c r="D1577" s="74" t="s">
        <v>20134</v>
      </c>
      <c r="E1577" s="74"/>
      <c r="F1577" s="74">
        <v>0.43</v>
      </c>
      <c r="G1577" s="74"/>
      <c r="H1577" s="74"/>
      <c r="I1577" s="74" t="s">
        <v>391</v>
      </c>
      <c r="J1577" s="74"/>
      <c r="K1577" s="74">
        <v>102.4</v>
      </c>
      <c r="L1577" s="74">
        <v>92.16</v>
      </c>
      <c r="M1577" s="74"/>
      <c r="N1577" s="74" t="s">
        <v>392</v>
      </c>
      <c r="O1577" s="74" t="s">
        <v>402</v>
      </c>
      <c r="P1577" s="74" t="s">
        <v>20135</v>
      </c>
      <c r="Q1577" s="74" t="s">
        <v>20136</v>
      </c>
    </row>
    <row r="1578" spans="3:17" x14ac:dyDescent="0.25">
      <c r="C1578" s="74" t="s">
        <v>20843</v>
      </c>
      <c r="D1578" s="74" t="s">
        <v>20844</v>
      </c>
      <c r="E1578" s="74"/>
      <c r="F1578" s="74">
        <v>0.43</v>
      </c>
      <c r="G1578" s="74"/>
      <c r="H1578" s="74"/>
      <c r="I1578" s="74" t="s">
        <v>391</v>
      </c>
      <c r="J1578" s="74"/>
      <c r="K1578" s="74">
        <v>102.4</v>
      </c>
      <c r="L1578" s="74">
        <v>92.16</v>
      </c>
      <c r="M1578" s="74"/>
      <c r="N1578" s="74" t="s">
        <v>392</v>
      </c>
      <c r="O1578" s="74" t="s">
        <v>402</v>
      </c>
      <c r="P1578" s="74" t="s">
        <v>20845</v>
      </c>
      <c r="Q1578" s="74" t="s">
        <v>20846</v>
      </c>
    </row>
    <row r="1579" spans="3:17" x14ac:dyDescent="0.25">
      <c r="C1579" s="74" t="s">
        <v>21072</v>
      </c>
      <c r="D1579" s="74" t="s">
        <v>21073</v>
      </c>
      <c r="E1579" s="74"/>
      <c r="F1579" s="74">
        <v>0.43</v>
      </c>
      <c r="G1579" s="74"/>
      <c r="H1579" s="74"/>
      <c r="I1579" s="74" t="s">
        <v>391</v>
      </c>
      <c r="J1579" s="74"/>
      <c r="K1579" s="74">
        <v>102.4</v>
      </c>
      <c r="L1579" s="74">
        <v>92.16</v>
      </c>
      <c r="M1579" s="74"/>
      <c r="N1579" s="74" t="s">
        <v>392</v>
      </c>
      <c r="O1579" s="74" t="s">
        <v>402</v>
      </c>
      <c r="P1579" s="74" t="s">
        <v>21074</v>
      </c>
      <c r="Q1579" s="74" t="s">
        <v>21075</v>
      </c>
    </row>
    <row r="1580" spans="3:17" x14ac:dyDescent="0.25">
      <c r="C1580" s="74" t="s">
        <v>2795</v>
      </c>
      <c r="D1580" s="74" t="s">
        <v>2796</v>
      </c>
      <c r="E1580" s="74"/>
      <c r="F1580" s="74">
        <v>0.42</v>
      </c>
      <c r="G1580" s="74"/>
      <c r="H1580" s="74"/>
      <c r="I1580" s="74" t="s">
        <v>391</v>
      </c>
      <c r="J1580" s="74"/>
      <c r="K1580" s="74">
        <v>102.4</v>
      </c>
      <c r="L1580" s="74">
        <v>92.16</v>
      </c>
      <c r="M1580" s="74"/>
      <c r="N1580" s="74" t="s">
        <v>392</v>
      </c>
      <c r="O1580" s="74" t="s">
        <v>402</v>
      </c>
      <c r="P1580" s="74" t="s">
        <v>2797</v>
      </c>
      <c r="Q1580" s="74" t="s">
        <v>2798</v>
      </c>
    </row>
    <row r="1581" spans="3:17" x14ac:dyDescent="0.25">
      <c r="C1581" s="158" t="s">
        <v>4560</v>
      </c>
      <c r="D1581" s="158" t="s">
        <v>4561</v>
      </c>
      <c r="F1581" s="158">
        <v>0.42</v>
      </c>
      <c r="I1581" s="158" t="s">
        <v>391</v>
      </c>
      <c r="K1581" s="158">
        <v>102.4</v>
      </c>
      <c r="L1581" s="158">
        <v>92.16</v>
      </c>
      <c r="N1581" s="158" t="s">
        <v>392</v>
      </c>
      <c r="O1581" s="158" t="s">
        <v>402</v>
      </c>
      <c r="P1581" s="158" t="s">
        <v>4562</v>
      </c>
      <c r="Q1581" s="158" t="s">
        <v>4563</v>
      </c>
    </row>
    <row r="1582" spans="3:17" x14ac:dyDescent="0.25">
      <c r="C1582" s="74" t="s">
        <v>6032</v>
      </c>
      <c r="D1582" s="74" t="s">
        <v>6033</v>
      </c>
      <c r="E1582" s="74"/>
      <c r="F1582" s="74">
        <v>0.42</v>
      </c>
      <c r="G1582" s="74"/>
      <c r="H1582" s="74"/>
      <c r="I1582" s="74" t="s">
        <v>391</v>
      </c>
      <c r="J1582" s="74"/>
      <c r="K1582" s="74">
        <v>102.4</v>
      </c>
      <c r="L1582" s="74">
        <v>92.16</v>
      </c>
      <c r="M1582" s="74"/>
      <c r="N1582" s="74" t="s">
        <v>392</v>
      </c>
      <c r="O1582" s="74" t="s">
        <v>402</v>
      </c>
      <c r="P1582" s="74" t="s">
        <v>6034</v>
      </c>
      <c r="Q1582" s="74" t="s">
        <v>6035</v>
      </c>
    </row>
    <row r="1583" spans="3:17" x14ac:dyDescent="0.25">
      <c r="C1583" s="74" t="s">
        <v>9050</v>
      </c>
      <c r="D1583" s="74" t="s">
        <v>9051</v>
      </c>
      <c r="E1583" s="74"/>
      <c r="F1583" s="74">
        <v>0.42</v>
      </c>
      <c r="G1583" s="74"/>
      <c r="H1583" s="74"/>
      <c r="I1583" s="74" t="s">
        <v>391</v>
      </c>
      <c r="J1583" s="74"/>
      <c r="K1583" s="74">
        <v>102.4</v>
      </c>
      <c r="L1583" s="74">
        <v>92.16</v>
      </c>
      <c r="M1583" s="74"/>
      <c r="N1583" s="74" t="s">
        <v>392</v>
      </c>
      <c r="O1583" s="74" t="s">
        <v>402</v>
      </c>
      <c r="P1583" s="74" t="s">
        <v>9052</v>
      </c>
      <c r="Q1583" s="74" t="s">
        <v>9053</v>
      </c>
    </row>
    <row r="1584" spans="3:17" x14ac:dyDescent="0.25">
      <c r="C1584" s="74" t="s">
        <v>10331</v>
      </c>
      <c r="D1584" s="74" t="s">
        <v>10332</v>
      </c>
      <c r="E1584" s="74" t="s">
        <v>391</v>
      </c>
      <c r="F1584" s="74">
        <v>0.42</v>
      </c>
      <c r="G1584" s="74"/>
      <c r="H1584" s="74"/>
      <c r="I1584" s="74" t="s">
        <v>391</v>
      </c>
      <c r="J1584" s="74"/>
      <c r="K1584" s="74">
        <v>102.4</v>
      </c>
      <c r="L1584" s="74">
        <v>92.16</v>
      </c>
      <c r="M1584" s="74"/>
      <c r="N1584" s="74" t="s">
        <v>392</v>
      </c>
      <c r="O1584" s="74" t="s">
        <v>393</v>
      </c>
      <c r="P1584" s="74"/>
      <c r="Q1584" s="74" t="s">
        <v>10333</v>
      </c>
    </row>
    <row r="1585" spans="3:17" x14ac:dyDescent="0.25">
      <c r="C1585" s="74" t="s">
        <v>10490</v>
      </c>
      <c r="D1585" s="74" t="s">
        <v>10491</v>
      </c>
      <c r="E1585" s="74"/>
      <c r="F1585" s="74">
        <v>0.42</v>
      </c>
      <c r="G1585" s="74"/>
      <c r="H1585" s="74"/>
      <c r="I1585" s="74" t="s">
        <v>391</v>
      </c>
      <c r="J1585" s="74"/>
      <c r="K1585" s="74">
        <v>102.4</v>
      </c>
      <c r="L1585" s="74">
        <v>92.16</v>
      </c>
      <c r="M1585" s="74"/>
      <c r="N1585" s="74" t="s">
        <v>392</v>
      </c>
      <c r="O1585" s="74" t="s">
        <v>402</v>
      </c>
      <c r="P1585" s="74" t="s">
        <v>10492</v>
      </c>
      <c r="Q1585" s="74" t="s">
        <v>10493</v>
      </c>
    </row>
    <row r="1586" spans="3:17" x14ac:dyDescent="0.25">
      <c r="C1586" s="74" t="s">
        <v>10921</v>
      </c>
      <c r="D1586" s="74" t="s">
        <v>10922</v>
      </c>
      <c r="E1586" s="74"/>
      <c r="F1586" s="74">
        <v>0.42</v>
      </c>
      <c r="G1586" s="74"/>
      <c r="H1586" s="74"/>
      <c r="I1586" s="74" t="s">
        <v>391</v>
      </c>
      <c r="J1586" s="74"/>
      <c r="K1586" s="74">
        <v>102.4</v>
      </c>
      <c r="L1586" s="74">
        <v>92.16</v>
      </c>
      <c r="M1586" s="74"/>
      <c r="N1586" s="74" t="s">
        <v>392</v>
      </c>
      <c r="O1586" s="74" t="s">
        <v>402</v>
      </c>
      <c r="P1586" s="74" t="s">
        <v>10923</v>
      </c>
      <c r="Q1586" s="74" t="s">
        <v>10924</v>
      </c>
    </row>
    <row r="1587" spans="3:17" x14ac:dyDescent="0.25">
      <c r="C1587" s="74" t="s">
        <v>12848</v>
      </c>
      <c r="D1587" s="74" t="s">
        <v>12849</v>
      </c>
      <c r="E1587" s="74"/>
      <c r="F1587" s="74">
        <v>0.42</v>
      </c>
      <c r="G1587" s="74"/>
      <c r="H1587" s="74"/>
      <c r="I1587" s="74" t="s">
        <v>391</v>
      </c>
      <c r="J1587" s="74"/>
      <c r="K1587" s="74">
        <v>102.4</v>
      </c>
      <c r="L1587" s="74">
        <v>92.16</v>
      </c>
      <c r="M1587" s="74"/>
      <c r="N1587" s="74" t="s">
        <v>392</v>
      </c>
      <c r="O1587" s="74" t="s">
        <v>402</v>
      </c>
      <c r="P1587" s="74" t="s">
        <v>12850</v>
      </c>
      <c r="Q1587" s="74" t="s">
        <v>12851</v>
      </c>
    </row>
    <row r="1588" spans="3:17" x14ac:dyDescent="0.25">
      <c r="C1588" s="74" t="s">
        <v>17921</v>
      </c>
      <c r="D1588" s="74" t="s">
        <v>17922</v>
      </c>
      <c r="E1588" s="74"/>
      <c r="F1588" s="74">
        <v>0.42</v>
      </c>
      <c r="G1588" s="74"/>
      <c r="H1588" s="74"/>
      <c r="I1588" s="74" t="s">
        <v>391</v>
      </c>
      <c r="J1588" s="74"/>
      <c r="K1588" s="74">
        <v>102.4</v>
      </c>
      <c r="L1588" s="74">
        <v>92.16</v>
      </c>
      <c r="M1588" s="74"/>
      <c r="N1588" s="74" t="s">
        <v>392</v>
      </c>
      <c r="O1588" s="74" t="s">
        <v>402</v>
      </c>
      <c r="P1588" s="74" t="s">
        <v>17923</v>
      </c>
      <c r="Q1588" s="74" t="s">
        <v>17924</v>
      </c>
    </row>
    <row r="1589" spans="3:17" x14ac:dyDescent="0.25">
      <c r="C1589" s="74" t="s">
        <v>18837</v>
      </c>
      <c r="D1589" s="74" t="s">
        <v>18838</v>
      </c>
      <c r="E1589" s="74"/>
      <c r="F1589" s="74">
        <v>0.42</v>
      </c>
      <c r="G1589" s="74"/>
      <c r="H1589" s="74"/>
      <c r="I1589" s="74" t="s">
        <v>391</v>
      </c>
      <c r="J1589" s="74"/>
      <c r="K1589" s="74">
        <v>102.4</v>
      </c>
      <c r="L1589" s="74">
        <v>92.16</v>
      </c>
      <c r="M1589" s="74"/>
      <c r="N1589" s="74" t="s">
        <v>392</v>
      </c>
      <c r="O1589" s="74" t="s">
        <v>402</v>
      </c>
      <c r="P1589" s="74" t="s">
        <v>18839</v>
      </c>
      <c r="Q1589" s="74" t="s">
        <v>18840</v>
      </c>
    </row>
    <row r="1590" spans="3:17" x14ac:dyDescent="0.25">
      <c r="C1590" s="74" t="s">
        <v>20174</v>
      </c>
      <c r="D1590" s="74" t="s">
        <v>20175</v>
      </c>
      <c r="E1590" s="74"/>
      <c r="F1590" s="74">
        <v>0.42</v>
      </c>
      <c r="G1590" s="74"/>
      <c r="H1590" s="74"/>
      <c r="I1590" s="74" t="s">
        <v>391</v>
      </c>
      <c r="J1590" s="74"/>
      <c r="K1590" s="74">
        <v>102.4</v>
      </c>
      <c r="L1590" s="74">
        <v>92.16</v>
      </c>
      <c r="M1590" s="74"/>
      <c r="N1590" s="74" t="s">
        <v>392</v>
      </c>
      <c r="O1590" s="74" t="s">
        <v>402</v>
      </c>
      <c r="P1590" s="74" t="s">
        <v>20176</v>
      </c>
      <c r="Q1590" s="74" t="s">
        <v>20177</v>
      </c>
    </row>
    <row r="1591" spans="3:17" x14ac:dyDescent="0.25">
      <c r="C1591" s="74" t="s">
        <v>20710</v>
      </c>
      <c r="D1591" s="74" t="s">
        <v>20711</v>
      </c>
      <c r="E1591" s="74"/>
      <c r="F1591" s="74">
        <v>0.42</v>
      </c>
      <c r="G1591" s="74"/>
      <c r="H1591" s="74"/>
      <c r="I1591" s="74" t="s">
        <v>391</v>
      </c>
      <c r="J1591" s="74"/>
      <c r="K1591" s="74">
        <v>102.4</v>
      </c>
      <c r="L1591" s="74">
        <v>92.16</v>
      </c>
      <c r="M1591" s="74"/>
      <c r="N1591" s="74" t="s">
        <v>392</v>
      </c>
      <c r="O1591" s="74" t="s">
        <v>402</v>
      </c>
      <c r="P1591" s="74" t="s">
        <v>20712</v>
      </c>
      <c r="Q1591" s="74" t="s">
        <v>20713</v>
      </c>
    </row>
    <row r="1592" spans="3:17" x14ac:dyDescent="0.25">
      <c r="C1592" s="74" t="s">
        <v>968</v>
      </c>
      <c r="D1592" s="74" t="s">
        <v>969</v>
      </c>
      <c r="E1592" s="74"/>
      <c r="F1592" s="74">
        <v>0.41</v>
      </c>
      <c r="G1592" s="74"/>
      <c r="H1592" s="74"/>
      <c r="I1592" s="74" t="s">
        <v>391</v>
      </c>
      <c r="J1592" s="74"/>
      <c r="K1592" s="74">
        <v>102.4</v>
      </c>
      <c r="L1592" s="74">
        <v>92.16</v>
      </c>
      <c r="M1592" s="74"/>
      <c r="N1592" s="74" t="s">
        <v>392</v>
      </c>
      <c r="O1592" s="74" t="s">
        <v>402</v>
      </c>
      <c r="P1592" s="74" t="s">
        <v>970</v>
      </c>
      <c r="Q1592" s="74" t="s">
        <v>971</v>
      </c>
    </row>
    <row r="1593" spans="3:17" x14ac:dyDescent="0.25">
      <c r="C1593" s="74" t="s">
        <v>1180</v>
      </c>
      <c r="D1593" s="74" t="s">
        <v>1181</v>
      </c>
      <c r="E1593" s="74"/>
      <c r="F1593" s="74">
        <v>0.41</v>
      </c>
      <c r="G1593" s="74"/>
      <c r="H1593" s="74"/>
      <c r="I1593" s="74" t="s">
        <v>391</v>
      </c>
      <c r="J1593" s="74"/>
      <c r="K1593" s="74">
        <v>102.4</v>
      </c>
      <c r="L1593" s="74">
        <v>92.16</v>
      </c>
      <c r="M1593" s="74"/>
      <c r="N1593" s="74" t="s">
        <v>392</v>
      </c>
      <c r="O1593" s="74" t="s">
        <v>402</v>
      </c>
      <c r="P1593" s="74" t="s">
        <v>1182</v>
      </c>
      <c r="Q1593" s="74" t="s">
        <v>1183</v>
      </c>
    </row>
    <row r="1594" spans="3:17" x14ac:dyDescent="0.25">
      <c r="C1594" s="74" t="s">
        <v>2799</v>
      </c>
      <c r="D1594" s="74" t="s">
        <v>2800</v>
      </c>
      <c r="E1594" s="74"/>
      <c r="F1594" s="74">
        <v>0.41</v>
      </c>
      <c r="G1594" s="74"/>
      <c r="H1594" s="74"/>
      <c r="I1594" s="74" t="s">
        <v>391</v>
      </c>
      <c r="J1594" s="74"/>
      <c r="K1594" s="74">
        <v>102.4</v>
      </c>
      <c r="L1594" s="74">
        <v>92.16</v>
      </c>
      <c r="M1594" s="74"/>
      <c r="N1594" s="74" t="s">
        <v>392</v>
      </c>
      <c r="O1594" s="74" t="s">
        <v>402</v>
      </c>
      <c r="P1594" s="74" t="s">
        <v>2801</v>
      </c>
      <c r="Q1594" s="74" t="s">
        <v>2802</v>
      </c>
    </row>
    <row r="1595" spans="3:17" x14ac:dyDescent="0.25">
      <c r="C1595" s="74" t="s">
        <v>6722</v>
      </c>
      <c r="D1595" s="74" t="s">
        <v>6723</v>
      </c>
      <c r="E1595" s="74"/>
      <c r="F1595" s="74">
        <v>0.41</v>
      </c>
      <c r="G1595" s="74"/>
      <c r="H1595" s="74"/>
      <c r="I1595" s="74" t="s">
        <v>391</v>
      </c>
      <c r="J1595" s="74"/>
      <c r="K1595" s="74">
        <v>102.4</v>
      </c>
      <c r="L1595" s="74">
        <v>92.16</v>
      </c>
      <c r="M1595" s="74"/>
      <c r="N1595" s="74" t="s">
        <v>392</v>
      </c>
      <c r="O1595" s="74" t="s">
        <v>402</v>
      </c>
      <c r="P1595" s="74" t="s">
        <v>6724</v>
      </c>
      <c r="Q1595" s="74" t="s">
        <v>6725</v>
      </c>
    </row>
    <row r="1596" spans="3:17" x14ac:dyDescent="0.25">
      <c r="C1596" s="74" t="s">
        <v>7854</v>
      </c>
      <c r="D1596" s="74" t="s">
        <v>7855</v>
      </c>
      <c r="E1596" s="74"/>
      <c r="F1596" s="74">
        <v>0.41</v>
      </c>
      <c r="G1596" s="74"/>
      <c r="H1596" s="74"/>
      <c r="I1596" s="74" t="s">
        <v>391</v>
      </c>
      <c r="J1596" s="74"/>
      <c r="K1596" s="74">
        <v>102.4</v>
      </c>
      <c r="L1596" s="74">
        <v>92.16</v>
      </c>
      <c r="M1596" s="74"/>
      <c r="N1596" s="74" t="s">
        <v>392</v>
      </c>
      <c r="O1596" s="74" t="s">
        <v>402</v>
      </c>
      <c r="P1596" s="74" t="s">
        <v>7856</v>
      </c>
      <c r="Q1596" s="74" t="s">
        <v>7857</v>
      </c>
    </row>
    <row r="1597" spans="3:17" x14ac:dyDescent="0.25">
      <c r="C1597" s="74" t="s">
        <v>9527</v>
      </c>
      <c r="D1597" s="74" t="s">
        <v>9528</v>
      </c>
      <c r="E1597" s="74"/>
      <c r="F1597" s="74">
        <v>0.41</v>
      </c>
      <c r="G1597" s="74"/>
      <c r="H1597" s="74"/>
      <c r="I1597" s="74" t="s">
        <v>391</v>
      </c>
      <c r="J1597" s="74"/>
      <c r="K1597" s="74">
        <v>102.4</v>
      </c>
      <c r="L1597" s="74">
        <v>92.16</v>
      </c>
      <c r="M1597" s="74"/>
      <c r="N1597" s="74" t="s">
        <v>392</v>
      </c>
      <c r="O1597" s="74" t="s">
        <v>402</v>
      </c>
      <c r="P1597" s="74" t="s">
        <v>9529</v>
      </c>
      <c r="Q1597" s="74" t="s">
        <v>9530</v>
      </c>
    </row>
    <row r="1598" spans="3:17" x14ac:dyDescent="0.25">
      <c r="C1598" s="74" t="s">
        <v>9763</v>
      </c>
      <c r="D1598" s="74" t="s">
        <v>9764</v>
      </c>
      <c r="E1598" s="74"/>
      <c r="F1598" s="74">
        <v>0.41</v>
      </c>
      <c r="G1598" s="74"/>
      <c r="H1598" s="74"/>
      <c r="I1598" s="74" t="s">
        <v>391</v>
      </c>
      <c r="J1598" s="74"/>
      <c r="K1598" s="74">
        <v>102.4</v>
      </c>
      <c r="L1598" s="74">
        <v>92.16</v>
      </c>
      <c r="M1598" s="74"/>
      <c r="N1598" s="74" t="s">
        <v>392</v>
      </c>
      <c r="O1598" s="74" t="s">
        <v>402</v>
      </c>
      <c r="P1598" s="74" t="s">
        <v>9765</v>
      </c>
      <c r="Q1598" s="74" t="s">
        <v>9766</v>
      </c>
    </row>
    <row r="1599" spans="3:17" x14ac:dyDescent="0.25">
      <c r="C1599" s="74" t="s">
        <v>12130</v>
      </c>
      <c r="D1599" s="74" t="s">
        <v>12131</v>
      </c>
      <c r="E1599" s="74"/>
      <c r="F1599" s="74">
        <v>0.41</v>
      </c>
      <c r="G1599" s="74"/>
      <c r="H1599" s="74"/>
      <c r="I1599" s="74" t="s">
        <v>391</v>
      </c>
      <c r="J1599" s="74"/>
      <c r="K1599" s="74">
        <v>102.4</v>
      </c>
      <c r="L1599" s="74">
        <v>92.16</v>
      </c>
      <c r="M1599" s="74"/>
      <c r="N1599" s="74" t="s">
        <v>392</v>
      </c>
      <c r="O1599" s="74" t="s">
        <v>402</v>
      </c>
      <c r="P1599" s="74" t="s">
        <v>12132</v>
      </c>
      <c r="Q1599" s="74" t="s">
        <v>12133</v>
      </c>
    </row>
    <row r="1600" spans="3:17" x14ac:dyDescent="0.25">
      <c r="C1600" s="74" t="s">
        <v>14112</v>
      </c>
      <c r="D1600" s="74" t="s">
        <v>14113</v>
      </c>
      <c r="E1600" s="74"/>
      <c r="F1600" s="74">
        <v>0.41</v>
      </c>
      <c r="G1600" s="74"/>
      <c r="H1600" s="74"/>
      <c r="I1600" s="74" t="s">
        <v>391</v>
      </c>
      <c r="J1600" s="74"/>
      <c r="K1600" s="74">
        <v>102.4</v>
      </c>
      <c r="L1600" s="74">
        <v>92.16</v>
      </c>
      <c r="M1600" s="74"/>
      <c r="N1600" s="74" t="s">
        <v>392</v>
      </c>
      <c r="O1600" s="74" t="s">
        <v>402</v>
      </c>
      <c r="P1600" s="74" t="s">
        <v>14114</v>
      </c>
      <c r="Q1600" s="74" t="s">
        <v>14115</v>
      </c>
    </row>
    <row r="1601" spans="3:17" x14ac:dyDescent="0.25">
      <c r="C1601" s="74" t="s">
        <v>16312</v>
      </c>
      <c r="D1601" s="74" t="s">
        <v>16313</v>
      </c>
      <c r="E1601" s="74"/>
      <c r="F1601" s="74">
        <v>0.41</v>
      </c>
      <c r="G1601" s="74"/>
      <c r="H1601" s="74"/>
      <c r="I1601" s="74" t="s">
        <v>391</v>
      </c>
      <c r="J1601" s="74"/>
      <c r="K1601" s="74">
        <v>102.4</v>
      </c>
      <c r="L1601" s="74">
        <v>92.16</v>
      </c>
      <c r="M1601" s="74"/>
      <c r="N1601" s="74" t="s">
        <v>392</v>
      </c>
      <c r="O1601" s="74" t="s">
        <v>402</v>
      </c>
      <c r="P1601" s="74" t="s">
        <v>16314</v>
      </c>
      <c r="Q1601" s="74" t="s">
        <v>16315</v>
      </c>
    </row>
    <row r="1602" spans="3:17" x14ac:dyDescent="0.25">
      <c r="C1602" s="74" t="s">
        <v>18403</v>
      </c>
      <c r="D1602" s="74" t="s">
        <v>18404</v>
      </c>
      <c r="E1602" s="74"/>
      <c r="F1602" s="74">
        <v>0.41</v>
      </c>
      <c r="G1602" s="74"/>
      <c r="H1602" s="74"/>
      <c r="I1602" s="74" t="s">
        <v>391</v>
      </c>
      <c r="J1602" s="74"/>
      <c r="K1602" s="74">
        <v>102.4</v>
      </c>
      <c r="L1602" s="74">
        <v>92.16</v>
      </c>
      <c r="M1602" s="74"/>
      <c r="N1602" s="74" t="s">
        <v>392</v>
      </c>
      <c r="O1602" s="74" t="s">
        <v>402</v>
      </c>
      <c r="P1602" s="74" t="s">
        <v>18405</v>
      </c>
      <c r="Q1602" s="74" t="s">
        <v>18406</v>
      </c>
    </row>
    <row r="1603" spans="3:17" x14ac:dyDescent="0.25">
      <c r="C1603" s="74" t="s">
        <v>19387</v>
      </c>
      <c r="D1603" s="74" t="s">
        <v>19388</v>
      </c>
      <c r="E1603" s="74" t="s">
        <v>391</v>
      </c>
      <c r="F1603" s="74">
        <v>0.41</v>
      </c>
      <c r="G1603" s="74"/>
      <c r="H1603" s="74"/>
      <c r="I1603" s="74" t="s">
        <v>391</v>
      </c>
      <c r="J1603" s="74"/>
      <c r="K1603" s="74">
        <v>102.4</v>
      </c>
      <c r="L1603" s="74">
        <v>92.16</v>
      </c>
      <c r="M1603" s="74"/>
      <c r="N1603" s="74" t="s">
        <v>392</v>
      </c>
      <c r="O1603" s="74" t="s">
        <v>393</v>
      </c>
      <c r="P1603" s="74"/>
      <c r="Q1603" s="74" t="s">
        <v>19389</v>
      </c>
    </row>
    <row r="1604" spans="3:17" x14ac:dyDescent="0.25">
      <c r="C1604" s="74" t="s">
        <v>20431</v>
      </c>
      <c r="D1604" s="74" t="s">
        <v>20432</v>
      </c>
      <c r="E1604" s="74"/>
      <c r="F1604" s="74">
        <v>0.41</v>
      </c>
      <c r="G1604" s="74"/>
      <c r="H1604" s="74"/>
      <c r="I1604" s="74" t="s">
        <v>391</v>
      </c>
      <c r="J1604" s="74"/>
      <c r="K1604" s="74">
        <v>102.4</v>
      </c>
      <c r="L1604" s="74">
        <v>92.16</v>
      </c>
      <c r="M1604" s="74"/>
      <c r="N1604" s="74" t="s">
        <v>392</v>
      </c>
      <c r="O1604" s="74" t="s">
        <v>402</v>
      </c>
      <c r="P1604" s="74" t="s">
        <v>20433</v>
      </c>
      <c r="Q1604" s="74" t="s">
        <v>20434</v>
      </c>
    </row>
    <row r="1605" spans="3:17" x14ac:dyDescent="0.25">
      <c r="C1605" s="74" t="s">
        <v>1577</v>
      </c>
      <c r="D1605" s="74" t="s">
        <v>1578</v>
      </c>
      <c r="E1605" s="74"/>
      <c r="F1605" s="74">
        <v>0.4</v>
      </c>
      <c r="G1605" s="74"/>
      <c r="H1605" s="74"/>
      <c r="I1605" s="74" t="s">
        <v>391</v>
      </c>
      <c r="J1605" s="74"/>
      <c r="K1605" s="74">
        <v>102.4</v>
      </c>
      <c r="L1605" s="74">
        <v>92.16</v>
      </c>
      <c r="M1605" s="74"/>
      <c r="N1605" s="74" t="s">
        <v>392</v>
      </c>
      <c r="O1605" s="74" t="s">
        <v>402</v>
      </c>
      <c r="P1605" s="74" t="s">
        <v>1579</v>
      </c>
      <c r="Q1605" s="74" t="s">
        <v>1580</v>
      </c>
    </row>
    <row r="1606" spans="3:17" x14ac:dyDescent="0.25">
      <c r="C1606" s="74" t="s">
        <v>2215</v>
      </c>
      <c r="D1606" s="74" t="s">
        <v>2216</v>
      </c>
      <c r="E1606" s="74"/>
      <c r="F1606" s="74">
        <v>0.4</v>
      </c>
      <c r="G1606" s="74"/>
      <c r="H1606" s="74"/>
      <c r="I1606" s="74" t="s">
        <v>391</v>
      </c>
      <c r="J1606" s="74"/>
      <c r="K1606" s="74">
        <v>102.4</v>
      </c>
      <c r="L1606" s="74">
        <v>92.16</v>
      </c>
      <c r="M1606" s="74"/>
      <c r="N1606" s="74" t="s">
        <v>392</v>
      </c>
      <c r="O1606" s="74" t="s">
        <v>402</v>
      </c>
      <c r="P1606" s="74" t="s">
        <v>2217</v>
      </c>
      <c r="Q1606" s="74" t="s">
        <v>2218</v>
      </c>
    </row>
    <row r="1607" spans="3:17" x14ac:dyDescent="0.25">
      <c r="C1607" s="74" t="s">
        <v>15411</v>
      </c>
      <c r="D1607" s="74" t="s">
        <v>15412</v>
      </c>
      <c r="E1607" s="74" t="s">
        <v>391</v>
      </c>
      <c r="F1607" s="74">
        <v>0.4</v>
      </c>
      <c r="G1607" s="74"/>
      <c r="H1607" s="74"/>
      <c r="I1607" s="74" t="s">
        <v>391</v>
      </c>
      <c r="J1607" s="74"/>
      <c r="K1607" s="74">
        <v>102.4</v>
      </c>
      <c r="L1607" s="74">
        <v>92.16</v>
      </c>
      <c r="M1607" s="74"/>
      <c r="N1607" s="74" t="s">
        <v>392</v>
      </c>
      <c r="O1607" s="74" t="s">
        <v>393</v>
      </c>
      <c r="P1607" s="74"/>
      <c r="Q1607" s="74" t="s">
        <v>15413</v>
      </c>
    </row>
    <row r="1608" spans="3:17" x14ac:dyDescent="0.25">
      <c r="C1608" s="74" t="s">
        <v>16110</v>
      </c>
      <c r="D1608" s="74" t="s">
        <v>16111</v>
      </c>
      <c r="E1608" s="74" t="s">
        <v>391</v>
      </c>
      <c r="F1608" s="74">
        <v>0.4</v>
      </c>
      <c r="G1608" s="74"/>
      <c r="H1608" s="74"/>
      <c r="I1608" s="74" t="s">
        <v>391</v>
      </c>
      <c r="J1608" s="74"/>
      <c r="K1608" s="74">
        <v>102.4</v>
      </c>
      <c r="L1608" s="74">
        <v>92.16</v>
      </c>
      <c r="M1608" s="74"/>
      <c r="N1608" s="74" t="s">
        <v>392</v>
      </c>
      <c r="O1608" s="74" t="s">
        <v>393</v>
      </c>
      <c r="P1608" s="74" t="s">
        <v>16112</v>
      </c>
      <c r="Q1608" s="74" t="s">
        <v>16113</v>
      </c>
    </row>
    <row r="1609" spans="3:17" x14ac:dyDescent="0.25">
      <c r="C1609" s="74" t="s">
        <v>16290</v>
      </c>
      <c r="D1609" s="74" t="s">
        <v>16291</v>
      </c>
      <c r="E1609" s="74"/>
      <c r="F1609" s="74">
        <v>0.4</v>
      </c>
      <c r="G1609" s="74"/>
      <c r="H1609" s="74"/>
      <c r="I1609" s="74" t="s">
        <v>391</v>
      </c>
      <c r="J1609" s="74"/>
      <c r="K1609" s="74">
        <v>102.4</v>
      </c>
      <c r="L1609" s="74">
        <v>92.16</v>
      </c>
      <c r="M1609" s="74"/>
      <c r="N1609" s="74" t="s">
        <v>392</v>
      </c>
      <c r="O1609" s="74" t="s">
        <v>402</v>
      </c>
      <c r="P1609" s="74" t="s">
        <v>16292</v>
      </c>
      <c r="Q1609" s="74" t="s">
        <v>16293</v>
      </c>
    </row>
    <row r="1610" spans="3:17" x14ac:dyDescent="0.25">
      <c r="C1610" s="74" t="s">
        <v>17140</v>
      </c>
      <c r="D1610" s="74" t="s">
        <v>17141</v>
      </c>
      <c r="E1610" s="74"/>
      <c r="F1610" s="74">
        <v>0.4</v>
      </c>
      <c r="G1610" s="74"/>
      <c r="H1610" s="74"/>
      <c r="I1610" s="74" t="s">
        <v>391</v>
      </c>
      <c r="J1610" s="74"/>
      <c r="K1610" s="74">
        <v>102.4</v>
      </c>
      <c r="L1610" s="74">
        <v>92.16</v>
      </c>
      <c r="M1610" s="74"/>
      <c r="N1610" s="74" t="s">
        <v>392</v>
      </c>
      <c r="O1610" s="74" t="s">
        <v>402</v>
      </c>
      <c r="P1610" s="74" t="s">
        <v>17142</v>
      </c>
      <c r="Q1610" s="74" t="s">
        <v>17143</v>
      </c>
    </row>
    <row r="1611" spans="3:17" x14ac:dyDescent="0.25">
      <c r="C1611" s="74" t="s">
        <v>17657</v>
      </c>
      <c r="D1611" s="74" t="s">
        <v>17658</v>
      </c>
      <c r="E1611" s="74"/>
      <c r="F1611" s="74">
        <v>0.4</v>
      </c>
      <c r="G1611" s="74"/>
      <c r="H1611" s="74"/>
      <c r="I1611" s="74" t="s">
        <v>391</v>
      </c>
      <c r="J1611" s="74"/>
      <c r="K1611" s="74">
        <v>102.4</v>
      </c>
      <c r="L1611" s="74">
        <v>92.16</v>
      </c>
      <c r="M1611" s="74"/>
      <c r="N1611" s="74" t="s">
        <v>392</v>
      </c>
      <c r="O1611" s="74" t="s">
        <v>402</v>
      </c>
      <c r="P1611" s="74" t="s">
        <v>17659</v>
      </c>
      <c r="Q1611" s="74" t="s">
        <v>17660</v>
      </c>
    </row>
    <row r="1612" spans="3:17" x14ac:dyDescent="0.25">
      <c r="C1612" s="74" t="s">
        <v>18239</v>
      </c>
      <c r="D1612" s="74" t="s">
        <v>18240</v>
      </c>
      <c r="E1612" s="74"/>
      <c r="F1612" s="74">
        <v>0.4</v>
      </c>
      <c r="G1612" s="74"/>
      <c r="H1612" s="74"/>
      <c r="I1612" s="74" t="s">
        <v>391</v>
      </c>
      <c r="J1612" s="74"/>
      <c r="K1612" s="74">
        <v>102.4</v>
      </c>
      <c r="L1612" s="74">
        <v>92.16</v>
      </c>
      <c r="M1612" s="74"/>
      <c r="N1612" s="74" t="s">
        <v>392</v>
      </c>
      <c r="O1612" s="74" t="s">
        <v>402</v>
      </c>
      <c r="P1612" s="74" t="s">
        <v>18241</v>
      </c>
      <c r="Q1612" s="74" t="s">
        <v>18242</v>
      </c>
    </row>
    <row r="1613" spans="3:17" x14ac:dyDescent="0.25">
      <c r="C1613" s="74" t="s">
        <v>494</v>
      </c>
      <c r="D1613" s="74" t="s">
        <v>495</v>
      </c>
      <c r="E1613" s="74" t="s">
        <v>391</v>
      </c>
      <c r="F1613" s="74">
        <v>0.39</v>
      </c>
      <c r="G1613" s="74"/>
      <c r="H1613" s="74"/>
      <c r="I1613" s="74" t="s">
        <v>391</v>
      </c>
      <c r="J1613" s="74"/>
      <c r="K1613" s="74">
        <v>102.4</v>
      </c>
      <c r="L1613" s="74">
        <v>92.16</v>
      </c>
      <c r="M1613" s="74"/>
      <c r="N1613" s="74" t="s">
        <v>392</v>
      </c>
      <c r="O1613" s="74" t="s">
        <v>393</v>
      </c>
      <c r="P1613" s="74"/>
      <c r="Q1613" s="74" t="s">
        <v>496</v>
      </c>
    </row>
    <row r="1614" spans="3:17" x14ac:dyDescent="0.25">
      <c r="C1614" s="74" t="s">
        <v>1382</v>
      </c>
      <c r="D1614" s="74" t="s">
        <v>1383</v>
      </c>
      <c r="E1614" s="74" t="s">
        <v>391</v>
      </c>
      <c r="F1614" s="74">
        <v>0.39</v>
      </c>
      <c r="G1614" s="74"/>
      <c r="H1614" s="74"/>
      <c r="I1614" s="74" t="s">
        <v>391</v>
      </c>
      <c r="J1614" s="74"/>
      <c r="K1614" s="74">
        <v>102.4</v>
      </c>
      <c r="L1614" s="74">
        <v>92.16</v>
      </c>
      <c r="M1614" s="74"/>
      <c r="N1614" s="74" t="s">
        <v>1384</v>
      </c>
      <c r="O1614" s="74" t="s">
        <v>393</v>
      </c>
      <c r="P1614" s="74" t="s">
        <v>1385</v>
      </c>
      <c r="Q1614" s="74" t="s">
        <v>1386</v>
      </c>
    </row>
    <row r="1615" spans="3:17" x14ac:dyDescent="0.25">
      <c r="C1615" s="74" t="s">
        <v>1418</v>
      </c>
      <c r="D1615" s="74" t="s">
        <v>1419</v>
      </c>
      <c r="E1615" s="74"/>
      <c r="F1615" s="74">
        <v>0.39</v>
      </c>
      <c r="G1615" s="74"/>
      <c r="H1615" s="74"/>
      <c r="I1615" s="74" t="s">
        <v>391</v>
      </c>
      <c r="J1615" s="74"/>
      <c r="K1615" s="74">
        <v>102.4</v>
      </c>
      <c r="L1615" s="74">
        <v>92.16</v>
      </c>
      <c r="M1615" s="74"/>
      <c r="N1615" s="74" t="s">
        <v>392</v>
      </c>
      <c r="O1615" s="74" t="s">
        <v>402</v>
      </c>
      <c r="P1615" s="74" t="s">
        <v>1420</v>
      </c>
      <c r="Q1615" s="74" t="s">
        <v>1421</v>
      </c>
    </row>
    <row r="1616" spans="3:17" x14ac:dyDescent="0.25">
      <c r="C1616" s="74" t="s">
        <v>2993</v>
      </c>
      <c r="D1616" s="74" t="s">
        <v>2994</v>
      </c>
      <c r="E1616" s="74"/>
      <c r="F1616" s="74">
        <v>0.39</v>
      </c>
      <c r="G1616" s="74"/>
      <c r="H1616" s="74"/>
      <c r="I1616" s="74" t="s">
        <v>391</v>
      </c>
      <c r="J1616" s="74"/>
      <c r="K1616" s="74">
        <v>102.4</v>
      </c>
      <c r="L1616" s="74">
        <v>92.16</v>
      </c>
      <c r="M1616" s="74"/>
      <c r="N1616" s="74" t="s">
        <v>392</v>
      </c>
      <c r="O1616" s="74" t="s">
        <v>402</v>
      </c>
      <c r="P1616" s="74" t="s">
        <v>2995</v>
      </c>
      <c r="Q1616" s="74" t="s">
        <v>2996</v>
      </c>
    </row>
    <row r="1617" spans="3:17" x14ac:dyDescent="0.25">
      <c r="C1617" s="74" t="s">
        <v>4392</v>
      </c>
      <c r="D1617" s="74" t="s">
        <v>4393</v>
      </c>
      <c r="E1617" s="74"/>
      <c r="F1617" s="74">
        <v>0.39</v>
      </c>
      <c r="G1617" s="74"/>
      <c r="H1617" s="74"/>
      <c r="I1617" s="74" t="s">
        <v>391</v>
      </c>
      <c r="J1617" s="74"/>
      <c r="K1617" s="74">
        <v>102.4</v>
      </c>
      <c r="L1617" s="74">
        <v>92.16</v>
      </c>
      <c r="M1617" s="74"/>
      <c r="N1617" s="74" t="s">
        <v>392</v>
      </c>
      <c r="O1617" s="74" t="s">
        <v>402</v>
      </c>
      <c r="P1617" s="74" t="s">
        <v>4394</v>
      </c>
      <c r="Q1617" s="74" t="s">
        <v>4395</v>
      </c>
    </row>
    <row r="1618" spans="3:17" x14ac:dyDescent="0.25">
      <c r="C1618" s="74" t="s">
        <v>8394</v>
      </c>
      <c r="D1618" s="74" t="s">
        <v>8395</v>
      </c>
      <c r="E1618" s="74"/>
      <c r="F1618" s="74">
        <v>0.39</v>
      </c>
      <c r="G1618" s="74"/>
      <c r="H1618" s="74"/>
      <c r="I1618" s="74" t="s">
        <v>391</v>
      </c>
      <c r="J1618" s="74"/>
      <c r="K1618" s="74">
        <v>102.4</v>
      </c>
      <c r="L1618" s="74">
        <v>92.16</v>
      </c>
      <c r="M1618" s="74"/>
      <c r="N1618" s="74" t="s">
        <v>392</v>
      </c>
      <c r="O1618" s="74" t="s">
        <v>402</v>
      </c>
      <c r="P1618" s="74" t="s">
        <v>8396</v>
      </c>
      <c r="Q1618" s="74" t="s">
        <v>8397</v>
      </c>
    </row>
    <row r="1619" spans="3:17" x14ac:dyDescent="0.25">
      <c r="C1619" s="74" t="s">
        <v>8711</v>
      </c>
      <c r="D1619" s="74" t="s">
        <v>8712</v>
      </c>
      <c r="E1619" s="74"/>
      <c r="F1619" s="74">
        <v>0.39</v>
      </c>
      <c r="G1619" s="74"/>
      <c r="H1619" s="74"/>
      <c r="I1619" s="74" t="s">
        <v>391</v>
      </c>
      <c r="J1619" s="74"/>
      <c r="K1619" s="74">
        <v>102.4</v>
      </c>
      <c r="L1619" s="74">
        <v>92.16</v>
      </c>
      <c r="M1619" s="74"/>
      <c r="N1619" s="74" t="s">
        <v>392</v>
      </c>
      <c r="O1619" s="74" t="s">
        <v>402</v>
      </c>
      <c r="P1619" s="74" t="s">
        <v>8713</v>
      </c>
      <c r="Q1619" s="74" t="s">
        <v>8714</v>
      </c>
    </row>
    <row r="1620" spans="3:17" x14ac:dyDescent="0.25">
      <c r="C1620" s="74" t="s">
        <v>8957</v>
      </c>
      <c r="D1620" s="74" t="s">
        <v>8958</v>
      </c>
      <c r="E1620" s="74"/>
      <c r="F1620" s="74">
        <v>0.39</v>
      </c>
      <c r="G1620" s="74"/>
      <c r="H1620" s="74"/>
      <c r="I1620" s="74" t="s">
        <v>391</v>
      </c>
      <c r="J1620" s="74"/>
      <c r="K1620" s="74">
        <v>102.4</v>
      </c>
      <c r="L1620" s="74">
        <v>92.16</v>
      </c>
      <c r="M1620" s="74"/>
      <c r="N1620" s="74" t="s">
        <v>392</v>
      </c>
      <c r="O1620" s="74" t="s">
        <v>402</v>
      </c>
      <c r="P1620" s="74" t="s">
        <v>8959</v>
      </c>
      <c r="Q1620" s="74" t="s">
        <v>8960</v>
      </c>
    </row>
    <row r="1621" spans="3:17" x14ac:dyDescent="0.25">
      <c r="C1621" s="74" t="s">
        <v>11345</v>
      </c>
      <c r="D1621" s="74" t="s">
        <v>11346</v>
      </c>
      <c r="E1621" s="74"/>
      <c r="F1621" s="74">
        <v>0.39</v>
      </c>
      <c r="G1621" s="74"/>
      <c r="H1621" s="74"/>
      <c r="I1621" s="74" t="s">
        <v>391</v>
      </c>
      <c r="J1621" s="74"/>
      <c r="K1621" s="74">
        <v>102.4</v>
      </c>
      <c r="L1621" s="74">
        <v>92.16</v>
      </c>
      <c r="M1621" s="74"/>
      <c r="N1621" s="74" t="s">
        <v>392</v>
      </c>
      <c r="O1621" s="74" t="s">
        <v>402</v>
      </c>
      <c r="P1621" s="74" t="s">
        <v>9987</v>
      </c>
      <c r="Q1621" s="74" t="s">
        <v>11347</v>
      </c>
    </row>
    <row r="1622" spans="3:17" x14ac:dyDescent="0.25">
      <c r="C1622" s="74" t="s">
        <v>11916</v>
      </c>
      <c r="D1622" s="74" t="s">
        <v>11917</v>
      </c>
      <c r="E1622" s="74" t="s">
        <v>391</v>
      </c>
      <c r="F1622" s="74">
        <v>0.39</v>
      </c>
      <c r="G1622" s="74"/>
      <c r="H1622" s="74"/>
      <c r="I1622" s="74" t="s">
        <v>391</v>
      </c>
      <c r="J1622" s="74"/>
      <c r="K1622" s="74">
        <v>102.4</v>
      </c>
      <c r="L1622" s="74">
        <v>92.16</v>
      </c>
      <c r="M1622" s="74"/>
      <c r="N1622" s="74" t="s">
        <v>392</v>
      </c>
      <c r="O1622" s="74" t="s">
        <v>393</v>
      </c>
      <c r="P1622" s="74"/>
      <c r="Q1622" s="74" t="s">
        <v>11918</v>
      </c>
    </row>
    <row r="1623" spans="3:17" x14ac:dyDescent="0.25">
      <c r="C1623" s="74" t="s">
        <v>19716</v>
      </c>
      <c r="D1623" s="74" t="s">
        <v>19717</v>
      </c>
      <c r="E1623" s="74" t="s">
        <v>391</v>
      </c>
      <c r="F1623" s="74">
        <v>0.39</v>
      </c>
      <c r="G1623" s="74"/>
      <c r="H1623" s="74"/>
      <c r="I1623" s="74" t="s">
        <v>391</v>
      </c>
      <c r="J1623" s="74"/>
      <c r="K1623" s="74">
        <v>102.4</v>
      </c>
      <c r="L1623" s="74">
        <v>92.16</v>
      </c>
      <c r="M1623" s="74"/>
      <c r="N1623" s="74" t="s">
        <v>392</v>
      </c>
      <c r="O1623" s="74" t="s">
        <v>393</v>
      </c>
      <c r="P1623" s="74"/>
      <c r="Q1623" s="74" t="s">
        <v>19718</v>
      </c>
    </row>
    <row r="1624" spans="3:17" x14ac:dyDescent="0.25">
      <c r="C1624" s="74" t="s">
        <v>20141</v>
      </c>
      <c r="D1624" s="74" t="s">
        <v>20142</v>
      </c>
      <c r="E1624" s="74"/>
      <c r="F1624" s="74">
        <v>0.39</v>
      </c>
      <c r="G1624" s="74"/>
      <c r="H1624" s="74"/>
      <c r="I1624" s="74" t="s">
        <v>391</v>
      </c>
      <c r="J1624" s="74"/>
      <c r="K1624" s="74">
        <v>102.4</v>
      </c>
      <c r="L1624" s="74">
        <v>92.16</v>
      </c>
      <c r="M1624" s="74"/>
      <c r="N1624" s="74" t="s">
        <v>392</v>
      </c>
      <c r="O1624" s="74" t="s">
        <v>402</v>
      </c>
      <c r="P1624" s="74" t="s">
        <v>20143</v>
      </c>
      <c r="Q1624" s="74" t="s">
        <v>20144</v>
      </c>
    </row>
    <row r="1625" spans="3:17" x14ac:dyDescent="0.25">
      <c r="C1625" s="74" t="s">
        <v>20651</v>
      </c>
      <c r="D1625" s="74" t="s">
        <v>20652</v>
      </c>
      <c r="E1625" s="74" t="s">
        <v>391</v>
      </c>
      <c r="F1625" s="74">
        <v>0.39</v>
      </c>
      <c r="G1625" s="74"/>
      <c r="H1625" s="74"/>
      <c r="I1625" s="74" t="s">
        <v>391</v>
      </c>
      <c r="J1625" s="74"/>
      <c r="K1625" s="74">
        <v>102.4</v>
      </c>
      <c r="L1625" s="74">
        <v>92.16</v>
      </c>
      <c r="M1625" s="74"/>
      <c r="N1625" s="74" t="s">
        <v>392</v>
      </c>
      <c r="O1625" s="74" t="s">
        <v>393</v>
      </c>
      <c r="P1625" s="74"/>
      <c r="Q1625" s="74" t="s">
        <v>20653</v>
      </c>
    </row>
    <row r="1626" spans="3:17" x14ac:dyDescent="0.25">
      <c r="C1626" s="74" t="s">
        <v>1516</v>
      </c>
      <c r="D1626" s="74" t="s">
        <v>1517</v>
      </c>
      <c r="E1626" s="74"/>
      <c r="F1626" s="74">
        <v>0.38</v>
      </c>
      <c r="G1626" s="74"/>
      <c r="H1626" s="74"/>
      <c r="I1626" s="74" t="s">
        <v>391</v>
      </c>
      <c r="J1626" s="74"/>
      <c r="K1626" s="74">
        <v>102.4</v>
      </c>
      <c r="L1626" s="74">
        <v>92.16</v>
      </c>
      <c r="M1626" s="74"/>
      <c r="N1626" s="74" t="s">
        <v>392</v>
      </c>
      <c r="O1626" s="74" t="s">
        <v>402</v>
      </c>
      <c r="P1626" s="74" t="s">
        <v>1518</v>
      </c>
      <c r="Q1626" s="74" t="s">
        <v>1519</v>
      </c>
    </row>
    <row r="1627" spans="3:17" x14ac:dyDescent="0.25">
      <c r="C1627" s="74" t="s">
        <v>4211</v>
      </c>
      <c r="D1627" s="74" t="s">
        <v>4212</v>
      </c>
      <c r="E1627" s="74" t="s">
        <v>391</v>
      </c>
      <c r="F1627" s="74">
        <v>0.38</v>
      </c>
      <c r="G1627" s="74"/>
      <c r="H1627" s="74"/>
      <c r="I1627" s="74" t="s">
        <v>391</v>
      </c>
      <c r="J1627" s="74"/>
      <c r="K1627" s="74">
        <v>102.4</v>
      </c>
      <c r="L1627" s="74">
        <v>92.16</v>
      </c>
      <c r="M1627" s="74"/>
      <c r="N1627" s="74" t="s">
        <v>392</v>
      </c>
      <c r="O1627" s="74" t="s">
        <v>402</v>
      </c>
      <c r="P1627" s="74" t="s">
        <v>4213</v>
      </c>
      <c r="Q1627" s="74" t="s">
        <v>4214</v>
      </c>
    </row>
    <row r="1628" spans="3:17" x14ac:dyDescent="0.25">
      <c r="C1628" s="74" t="s">
        <v>6111</v>
      </c>
      <c r="D1628" s="74" t="s">
        <v>6112</v>
      </c>
      <c r="E1628" s="74"/>
      <c r="F1628" s="74">
        <v>0.38</v>
      </c>
      <c r="G1628" s="74"/>
      <c r="H1628" s="74"/>
      <c r="I1628" s="74" t="s">
        <v>391</v>
      </c>
      <c r="J1628" s="74"/>
      <c r="K1628" s="74">
        <v>102.4</v>
      </c>
      <c r="L1628" s="74">
        <v>92.16</v>
      </c>
      <c r="M1628" s="74"/>
      <c r="N1628" s="74" t="s">
        <v>392</v>
      </c>
      <c r="O1628" s="74" t="s">
        <v>402</v>
      </c>
      <c r="P1628" s="74" t="s">
        <v>6113</v>
      </c>
      <c r="Q1628" s="74" t="s">
        <v>6114</v>
      </c>
    </row>
    <row r="1629" spans="3:17" x14ac:dyDescent="0.25">
      <c r="C1629" s="74" t="s">
        <v>7741</v>
      </c>
      <c r="D1629" s="74" t="s">
        <v>7742</v>
      </c>
      <c r="E1629" s="74"/>
      <c r="F1629" s="74">
        <v>0.38</v>
      </c>
      <c r="G1629" s="74"/>
      <c r="H1629" s="74"/>
      <c r="I1629" s="74" t="s">
        <v>391</v>
      </c>
      <c r="J1629" s="74"/>
      <c r="K1629" s="74">
        <v>102.4</v>
      </c>
      <c r="L1629" s="74">
        <v>92.16</v>
      </c>
      <c r="M1629" s="74"/>
      <c r="N1629" s="74" t="s">
        <v>392</v>
      </c>
      <c r="O1629" s="74" t="s">
        <v>402</v>
      </c>
      <c r="P1629" s="74" t="s">
        <v>7743</v>
      </c>
      <c r="Q1629" s="74" t="s">
        <v>7744</v>
      </c>
    </row>
    <row r="1630" spans="3:17" x14ac:dyDescent="0.25">
      <c r="C1630" s="74" t="s">
        <v>11351</v>
      </c>
      <c r="D1630" s="74" t="s">
        <v>11352</v>
      </c>
      <c r="E1630" s="74"/>
      <c r="F1630" s="74">
        <v>0.38</v>
      </c>
      <c r="G1630" s="74"/>
      <c r="H1630" s="74"/>
      <c r="I1630" s="74" t="s">
        <v>391</v>
      </c>
      <c r="J1630" s="74"/>
      <c r="K1630" s="74">
        <v>102.4</v>
      </c>
      <c r="L1630" s="74">
        <v>92.16</v>
      </c>
      <c r="M1630" s="74"/>
      <c r="N1630" s="74" t="s">
        <v>392</v>
      </c>
      <c r="O1630" s="74" t="s">
        <v>402</v>
      </c>
      <c r="P1630" s="74" t="s">
        <v>11353</v>
      </c>
      <c r="Q1630" s="74" t="s">
        <v>11354</v>
      </c>
    </row>
    <row r="1631" spans="3:17" x14ac:dyDescent="0.25">
      <c r="C1631" s="74" t="s">
        <v>11806</v>
      </c>
      <c r="D1631" s="74" t="s">
        <v>11807</v>
      </c>
      <c r="E1631" s="74"/>
      <c r="F1631" s="74">
        <v>0.38</v>
      </c>
      <c r="G1631" s="74"/>
      <c r="H1631" s="74"/>
      <c r="I1631" s="74" t="s">
        <v>391</v>
      </c>
      <c r="J1631" s="74"/>
      <c r="K1631" s="74">
        <v>102.4</v>
      </c>
      <c r="L1631" s="74">
        <v>92.16</v>
      </c>
      <c r="M1631" s="74"/>
      <c r="N1631" s="74" t="s">
        <v>392</v>
      </c>
      <c r="O1631" s="74" t="s">
        <v>402</v>
      </c>
      <c r="P1631" s="74" t="s">
        <v>11808</v>
      </c>
      <c r="Q1631" s="74" t="s">
        <v>11809</v>
      </c>
    </row>
    <row r="1632" spans="3:17" x14ac:dyDescent="0.25">
      <c r="C1632" s="74" t="s">
        <v>12048</v>
      </c>
      <c r="D1632" s="74" t="s">
        <v>12049</v>
      </c>
      <c r="E1632" s="74"/>
      <c r="F1632" s="74">
        <v>0.38</v>
      </c>
      <c r="G1632" s="74"/>
      <c r="H1632" s="74"/>
      <c r="I1632" s="74" t="s">
        <v>391</v>
      </c>
      <c r="J1632" s="74"/>
      <c r="K1632" s="74">
        <v>102.4</v>
      </c>
      <c r="L1632" s="74">
        <v>92.16</v>
      </c>
      <c r="M1632" s="74"/>
      <c r="N1632" s="74" t="s">
        <v>392</v>
      </c>
      <c r="O1632" s="74" t="s">
        <v>402</v>
      </c>
      <c r="P1632" s="74" t="s">
        <v>12050</v>
      </c>
      <c r="Q1632" s="74" t="s">
        <v>12051</v>
      </c>
    </row>
    <row r="1633" spans="3:17" x14ac:dyDescent="0.25">
      <c r="C1633" s="158" t="s">
        <v>15044</v>
      </c>
      <c r="D1633" s="158" t="s">
        <v>15045</v>
      </c>
      <c r="F1633" s="158">
        <v>0.38</v>
      </c>
      <c r="I1633" s="158" t="s">
        <v>391</v>
      </c>
      <c r="K1633" s="158">
        <v>102.4</v>
      </c>
      <c r="L1633" s="158">
        <v>92.16</v>
      </c>
      <c r="N1633" s="158" t="s">
        <v>392</v>
      </c>
      <c r="O1633" s="158" t="s">
        <v>402</v>
      </c>
      <c r="P1633" s="158" t="s">
        <v>15046</v>
      </c>
      <c r="Q1633" s="158" t="s">
        <v>15047</v>
      </c>
    </row>
    <row r="1634" spans="3:17" x14ac:dyDescent="0.25">
      <c r="C1634" s="74" t="s">
        <v>15163</v>
      </c>
      <c r="D1634" s="74" t="s">
        <v>15164</v>
      </c>
      <c r="E1634" s="74"/>
      <c r="F1634" s="74">
        <v>0.38</v>
      </c>
      <c r="G1634" s="74"/>
      <c r="H1634" s="74"/>
      <c r="I1634" s="74" t="s">
        <v>391</v>
      </c>
      <c r="J1634" s="74"/>
      <c r="K1634" s="74">
        <v>102.4</v>
      </c>
      <c r="L1634" s="74">
        <v>92.16</v>
      </c>
      <c r="M1634" s="74"/>
      <c r="N1634" s="74" t="s">
        <v>392</v>
      </c>
      <c r="O1634" s="74" t="s">
        <v>402</v>
      </c>
      <c r="P1634" s="74" t="s">
        <v>15165</v>
      </c>
      <c r="Q1634" s="74" t="s">
        <v>15166</v>
      </c>
    </row>
    <row r="1635" spans="3:17" x14ac:dyDescent="0.25">
      <c r="C1635" s="74" t="s">
        <v>18588</v>
      </c>
      <c r="D1635" s="74" t="s">
        <v>18589</v>
      </c>
      <c r="E1635" s="74"/>
      <c r="F1635" s="74">
        <v>0.38</v>
      </c>
      <c r="G1635" s="74"/>
      <c r="H1635" s="74"/>
      <c r="I1635" s="74" t="s">
        <v>391</v>
      </c>
      <c r="J1635" s="74"/>
      <c r="K1635" s="74">
        <v>102.4</v>
      </c>
      <c r="L1635" s="74">
        <v>92.16</v>
      </c>
      <c r="M1635" s="74"/>
      <c r="N1635" s="74" t="s">
        <v>392</v>
      </c>
      <c r="O1635" s="74" t="s">
        <v>402</v>
      </c>
      <c r="P1635" s="74" t="s">
        <v>18590</v>
      </c>
      <c r="Q1635" s="74" t="s">
        <v>18591</v>
      </c>
    </row>
    <row r="1636" spans="3:17" x14ac:dyDescent="0.25">
      <c r="C1636" s="74" t="s">
        <v>20714</v>
      </c>
      <c r="D1636" s="74" t="s">
        <v>20715</v>
      </c>
      <c r="E1636" s="74"/>
      <c r="F1636" s="74">
        <v>0.38</v>
      </c>
      <c r="G1636" s="74"/>
      <c r="H1636" s="74"/>
      <c r="I1636" s="74" t="s">
        <v>391</v>
      </c>
      <c r="J1636" s="74"/>
      <c r="K1636" s="74">
        <v>102.4</v>
      </c>
      <c r="L1636" s="74">
        <v>92.16</v>
      </c>
      <c r="M1636" s="74"/>
      <c r="N1636" s="74" t="s">
        <v>392</v>
      </c>
      <c r="O1636" s="74" t="s">
        <v>402</v>
      </c>
      <c r="P1636" s="74" t="s">
        <v>20716</v>
      </c>
      <c r="Q1636" s="74" t="s">
        <v>20717</v>
      </c>
    </row>
    <row r="1637" spans="3:17" x14ac:dyDescent="0.25">
      <c r="C1637" s="74" t="s">
        <v>4775</v>
      </c>
      <c r="D1637" s="74" t="s">
        <v>4776</v>
      </c>
      <c r="E1637" s="74"/>
      <c r="F1637" s="74">
        <v>0.37</v>
      </c>
      <c r="G1637" s="74"/>
      <c r="H1637" s="74"/>
      <c r="I1637" s="74" t="s">
        <v>391</v>
      </c>
      <c r="J1637" s="74"/>
      <c r="K1637" s="74">
        <v>102.4</v>
      </c>
      <c r="L1637" s="74">
        <v>92.16</v>
      </c>
      <c r="M1637" s="74"/>
      <c r="N1637" s="74" t="s">
        <v>392</v>
      </c>
      <c r="O1637" s="74" t="s">
        <v>402</v>
      </c>
      <c r="P1637" s="74" t="s">
        <v>4777</v>
      </c>
      <c r="Q1637" s="74" t="s">
        <v>4778</v>
      </c>
    </row>
    <row r="1638" spans="3:17" x14ac:dyDescent="0.25">
      <c r="C1638" s="74" t="s">
        <v>6206</v>
      </c>
      <c r="D1638" s="74" t="s">
        <v>6207</v>
      </c>
      <c r="E1638" s="74"/>
      <c r="F1638" s="74">
        <v>0.37</v>
      </c>
      <c r="G1638" s="74"/>
      <c r="H1638" s="74"/>
      <c r="I1638" s="74" t="s">
        <v>391</v>
      </c>
      <c r="J1638" s="74"/>
      <c r="K1638" s="74">
        <v>102.4</v>
      </c>
      <c r="L1638" s="74">
        <v>92.16</v>
      </c>
      <c r="M1638" s="74"/>
      <c r="N1638" s="74" t="s">
        <v>392</v>
      </c>
      <c r="O1638" s="74" t="s">
        <v>402</v>
      </c>
      <c r="P1638" s="74" t="s">
        <v>6208</v>
      </c>
      <c r="Q1638" s="74" t="s">
        <v>6209</v>
      </c>
    </row>
    <row r="1639" spans="3:17" x14ac:dyDescent="0.25">
      <c r="C1639" s="74" t="s">
        <v>6465</v>
      </c>
      <c r="D1639" s="74" t="s">
        <v>6466</v>
      </c>
      <c r="E1639" s="74"/>
      <c r="F1639" s="74">
        <v>0.37</v>
      </c>
      <c r="G1639" s="74"/>
      <c r="H1639" s="74"/>
      <c r="I1639" s="74" t="s">
        <v>391</v>
      </c>
      <c r="J1639" s="74"/>
      <c r="K1639" s="74">
        <v>102.4</v>
      </c>
      <c r="L1639" s="74">
        <v>92.16</v>
      </c>
      <c r="M1639" s="74"/>
      <c r="N1639" s="74" t="s">
        <v>392</v>
      </c>
      <c r="O1639" s="74" t="s">
        <v>402</v>
      </c>
      <c r="P1639" s="74" t="s">
        <v>6467</v>
      </c>
      <c r="Q1639" s="74" t="s">
        <v>6468</v>
      </c>
    </row>
    <row r="1640" spans="3:17" x14ac:dyDescent="0.25">
      <c r="C1640" s="74" t="s">
        <v>7473</v>
      </c>
      <c r="D1640" s="74" t="s">
        <v>7474</v>
      </c>
      <c r="E1640" s="74"/>
      <c r="F1640" s="74">
        <v>0.37</v>
      </c>
      <c r="G1640" s="74"/>
      <c r="H1640" s="74"/>
      <c r="I1640" s="74" t="s">
        <v>391</v>
      </c>
      <c r="J1640" s="74"/>
      <c r="K1640" s="74">
        <v>102.4</v>
      </c>
      <c r="L1640" s="74">
        <v>92.16</v>
      </c>
      <c r="M1640" s="74"/>
      <c r="N1640" s="74" t="s">
        <v>392</v>
      </c>
      <c r="O1640" s="74" t="s">
        <v>402</v>
      </c>
      <c r="P1640" s="74" t="s">
        <v>7475</v>
      </c>
      <c r="Q1640" s="74" t="s">
        <v>7476</v>
      </c>
    </row>
    <row r="1641" spans="3:17" x14ac:dyDescent="0.25">
      <c r="C1641" s="74" t="s">
        <v>8079</v>
      </c>
      <c r="D1641" s="74" t="s">
        <v>8080</v>
      </c>
      <c r="E1641" s="74"/>
      <c r="F1641" s="74">
        <v>0.37</v>
      </c>
      <c r="G1641" s="74"/>
      <c r="H1641" s="74"/>
      <c r="I1641" s="74" t="s">
        <v>391</v>
      </c>
      <c r="J1641" s="74"/>
      <c r="K1641" s="74">
        <v>102.4</v>
      </c>
      <c r="L1641" s="74">
        <v>92.16</v>
      </c>
      <c r="M1641" s="74"/>
      <c r="N1641" s="74" t="s">
        <v>392</v>
      </c>
      <c r="O1641" s="74" t="s">
        <v>402</v>
      </c>
      <c r="P1641" s="74" t="s">
        <v>8081</v>
      </c>
      <c r="Q1641" s="74" t="s">
        <v>8082</v>
      </c>
    </row>
    <row r="1642" spans="3:17" x14ac:dyDescent="0.25">
      <c r="C1642" s="74" t="s">
        <v>8323</v>
      </c>
      <c r="D1642" s="74" t="s">
        <v>8324</v>
      </c>
      <c r="E1642" s="74" t="s">
        <v>391</v>
      </c>
      <c r="F1642" s="74">
        <v>0.37</v>
      </c>
      <c r="G1642" s="74"/>
      <c r="H1642" s="74"/>
      <c r="I1642" s="74" t="s">
        <v>391</v>
      </c>
      <c r="J1642" s="74"/>
      <c r="K1642" s="74">
        <v>102.4</v>
      </c>
      <c r="L1642" s="74">
        <v>92.16</v>
      </c>
      <c r="M1642" s="74"/>
      <c r="N1642" s="74" t="s">
        <v>392</v>
      </c>
      <c r="O1642" s="74" t="s">
        <v>393</v>
      </c>
      <c r="P1642" s="74" t="s">
        <v>8325</v>
      </c>
      <c r="Q1642" s="74" t="s">
        <v>8326</v>
      </c>
    </row>
    <row r="1643" spans="3:17" x14ac:dyDescent="0.25">
      <c r="C1643" s="74" t="s">
        <v>9096</v>
      </c>
      <c r="D1643" s="74" t="s">
        <v>9097</v>
      </c>
      <c r="E1643" s="74"/>
      <c r="F1643" s="74">
        <v>0.37</v>
      </c>
      <c r="G1643" s="74"/>
      <c r="H1643" s="74"/>
      <c r="I1643" s="74" t="s">
        <v>391</v>
      </c>
      <c r="J1643" s="74"/>
      <c r="K1643" s="74">
        <v>102.4</v>
      </c>
      <c r="L1643" s="74">
        <v>92.16</v>
      </c>
      <c r="M1643" s="74"/>
      <c r="N1643" s="74" t="s">
        <v>392</v>
      </c>
      <c r="O1643" s="74" t="s">
        <v>402</v>
      </c>
      <c r="P1643" s="74" t="s">
        <v>9098</v>
      </c>
      <c r="Q1643" s="74" t="s">
        <v>9099</v>
      </c>
    </row>
    <row r="1644" spans="3:17" x14ac:dyDescent="0.25">
      <c r="C1644" s="74" t="s">
        <v>9472</v>
      </c>
      <c r="D1644" s="74" t="s">
        <v>9473</v>
      </c>
      <c r="E1644" s="74"/>
      <c r="F1644" s="74">
        <v>0.37</v>
      </c>
      <c r="G1644" s="74"/>
      <c r="H1644" s="74"/>
      <c r="I1644" s="74" t="s">
        <v>391</v>
      </c>
      <c r="J1644" s="74"/>
      <c r="K1644" s="74">
        <v>102.4</v>
      </c>
      <c r="L1644" s="74">
        <v>92.16</v>
      </c>
      <c r="M1644" s="74"/>
      <c r="N1644" s="74" t="s">
        <v>392</v>
      </c>
      <c r="O1644" s="74" t="s">
        <v>402</v>
      </c>
      <c r="P1644" s="74" t="s">
        <v>9474</v>
      </c>
      <c r="Q1644" s="74" t="s">
        <v>9475</v>
      </c>
    </row>
    <row r="1645" spans="3:17" x14ac:dyDescent="0.25">
      <c r="C1645" s="74" t="s">
        <v>10596</v>
      </c>
      <c r="D1645" s="74" t="s">
        <v>10597</v>
      </c>
      <c r="E1645" s="74" t="s">
        <v>391</v>
      </c>
      <c r="F1645" s="74">
        <v>0.37</v>
      </c>
      <c r="G1645" s="74"/>
      <c r="H1645" s="74"/>
      <c r="I1645" s="74" t="s">
        <v>391</v>
      </c>
      <c r="J1645" s="74"/>
      <c r="K1645" s="74">
        <v>102.4</v>
      </c>
      <c r="L1645" s="74">
        <v>92.16</v>
      </c>
      <c r="M1645" s="74"/>
      <c r="N1645" s="74" t="s">
        <v>392</v>
      </c>
      <c r="O1645" s="74" t="s">
        <v>393</v>
      </c>
      <c r="P1645" s="74"/>
      <c r="Q1645" s="74" t="s">
        <v>10598</v>
      </c>
    </row>
    <row r="1646" spans="3:17" x14ac:dyDescent="0.25">
      <c r="C1646" s="74" t="s">
        <v>11431</v>
      </c>
      <c r="D1646" s="74" t="s">
        <v>11432</v>
      </c>
      <c r="E1646" s="74"/>
      <c r="F1646" s="74">
        <v>0.37</v>
      </c>
      <c r="G1646" s="74"/>
      <c r="H1646" s="74"/>
      <c r="I1646" s="74" t="s">
        <v>391</v>
      </c>
      <c r="J1646" s="74"/>
      <c r="K1646" s="74">
        <v>102.4</v>
      </c>
      <c r="L1646" s="74">
        <v>92.16</v>
      </c>
      <c r="M1646" s="74"/>
      <c r="N1646" s="74" t="s">
        <v>392</v>
      </c>
      <c r="O1646" s="74" t="s">
        <v>402</v>
      </c>
      <c r="P1646" s="74" t="s">
        <v>11433</v>
      </c>
      <c r="Q1646" s="74" t="s">
        <v>11434</v>
      </c>
    </row>
    <row r="1647" spans="3:17" x14ac:dyDescent="0.25">
      <c r="C1647" s="74" t="s">
        <v>11452</v>
      </c>
      <c r="D1647" s="74" t="s">
        <v>11453</v>
      </c>
      <c r="E1647" s="74"/>
      <c r="F1647" s="74">
        <v>0.37</v>
      </c>
      <c r="G1647" s="74"/>
      <c r="H1647" s="74"/>
      <c r="I1647" s="74" t="s">
        <v>391</v>
      </c>
      <c r="J1647" s="74"/>
      <c r="K1647" s="74">
        <v>102.4</v>
      </c>
      <c r="L1647" s="74">
        <v>92.16</v>
      </c>
      <c r="M1647" s="74"/>
      <c r="N1647" s="74" t="s">
        <v>392</v>
      </c>
      <c r="O1647" s="74" t="s">
        <v>402</v>
      </c>
      <c r="P1647" s="74" t="s">
        <v>11454</v>
      </c>
      <c r="Q1647" s="74" t="s">
        <v>11455</v>
      </c>
    </row>
    <row r="1648" spans="3:17" x14ac:dyDescent="0.25">
      <c r="C1648" s="74" t="s">
        <v>12766</v>
      </c>
      <c r="D1648" s="74" t="s">
        <v>12767</v>
      </c>
      <c r="E1648" s="74"/>
      <c r="F1648" s="74">
        <v>0.37</v>
      </c>
      <c r="G1648" s="74"/>
      <c r="H1648" s="74"/>
      <c r="I1648" s="74" t="s">
        <v>391</v>
      </c>
      <c r="J1648" s="74"/>
      <c r="K1648" s="74">
        <v>102.4</v>
      </c>
      <c r="L1648" s="74">
        <v>92.16</v>
      </c>
      <c r="M1648" s="74"/>
      <c r="N1648" s="74" t="s">
        <v>392</v>
      </c>
      <c r="O1648" s="74" t="s">
        <v>402</v>
      </c>
      <c r="P1648" s="74" t="s">
        <v>12768</v>
      </c>
      <c r="Q1648" s="74" t="s">
        <v>12769</v>
      </c>
    </row>
    <row r="1649" spans="3:17" x14ac:dyDescent="0.25">
      <c r="C1649" s="74" t="s">
        <v>13613</v>
      </c>
      <c r="D1649" s="74" t="s">
        <v>13614</v>
      </c>
      <c r="E1649" s="74"/>
      <c r="F1649" s="74">
        <v>0.37</v>
      </c>
      <c r="G1649" s="74"/>
      <c r="H1649" s="74"/>
      <c r="I1649" s="74" t="s">
        <v>391</v>
      </c>
      <c r="J1649" s="74"/>
      <c r="K1649" s="74">
        <v>102.4</v>
      </c>
      <c r="L1649" s="74">
        <v>92.16</v>
      </c>
      <c r="M1649" s="74"/>
      <c r="N1649" s="74" t="s">
        <v>392</v>
      </c>
      <c r="O1649" s="74" t="s">
        <v>402</v>
      </c>
      <c r="P1649" s="74" t="s">
        <v>13615</v>
      </c>
      <c r="Q1649" s="74" t="s">
        <v>13616</v>
      </c>
    </row>
    <row r="1650" spans="3:17" x14ac:dyDescent="0.25">
      <c r="C1650" s="74" t="s">
        <v>13941</v>
      </c>
      <c r="D1650" s="74" t="s">
        <v>13942</v>
      </c>
      <c r="E1650" s="74"/>
      <c r="F1650" s="74">
        <v>0.37</v>
      </c>
      <c r="G1650" s="74"/>
      <c r="H1650" s="74"/>
      <c r="I1650" s="74" t="s">
        <v>391</v>
      </c>
      <c r="J1650" s="74"/>
      <c r="K1650" s="74">
        <v>102.4</v>
      </c>
      <c r="L1650" s="74">
        <v>92.16</v>
      </c>
      <c r="M1650" s="74"/>
      <c r="N1650" s="74" t="s">
        <v>392</v>
      </c>
      <c r="O1650" s="74" t="s">
        <v>402</v>
      </c>
      <c r="P1650" s="74" t="s">
        <v>13943</v>
      </c>
      <c r="Q1650" s="74" t="s">
        <v>13944</v>
      </c>
    </row>
    <row r="1651" spans="3:17" x14ac:dyDescent="0.25">
      <c r="C1651" s="74" t="s">
        <v>14743</v>
      </c>
      <c r="D1651" s="74" t="s">
        <v>14744</v>
      </c>
      <c r="E1651" s="74"/>
      <c r="F1651" s="74">
        <v>0.37</v>
      </c>
      <c r="G1651" s="74"/>
      <c r="H1651" s="74"/>
      <c r="I1651" s="74" t="s">
        <v>391</v>
      </c>
      <c r="J1651" s="74"/>
      <c r="K1651" s="74">
        <v>102.4</v>
      </c>
      <c r="L1651" s="74">
        <v>92.16</v>
      </c>
      <c r="M1651" s="74"/>
      <c r="N1651" s="74" t="s">
        <v>392</v>
      </c>
      <c r="O1651" s="74" t="s">
        <v>402</v>
      </c>
      <c r="P1651" s="74" t="s">
        <v>14745</v>
      </c>
      <c r="Q1651" s="74" t="s">
        <v>14746</v>
      </c>
    </row>
    <row r="1652" spans="3:17" x14ac:dyDescent="0.25">
      <c r="C1652" s="74" t="s">
        <v>15985</v>
      </c>
      <c r="D1652" s="74" t="s">
        <v>15986</v>
      </c>
      <c r="E1652" s="74"/>
      <c r="F1652" s="74">
        <v>0.37</v>
      </c>
      <c r="G1652" s="74"/>
      <c r="H1652" s="74"/>
      <c r="I1652" s="74" t="s">
        <v>391</v>
      </c>
      <c r="J1652" s="74"/>
      <c r="K1652" s="74">
        <v>102.4</v>
      </c>
      <c r="L1652" s="74">
        <v>92.16</v>
      </c>
      <c r="M1652" s="74"/>
      <c r="N1652" s="74" t="s">
        <v>392</v>
      </c>
      <c r="O1652" s="74" t="s">
        <v>402</v>
      </c>
      <c r="P1652" s="74" t="s">
        <v>15987</v>
      </c>
      <c r="Q1652" s="74" t="s">
        <v>15988</v>
      </c>
    </row>
    <row r="1653" spans="3:17" x14ac:dyDescent="0.25">
      <c r="C1653" s="74" t="s">
        <v>17189</v>
      </c>
      <c r="D1653" s="74" t="s">
        <v>17190</v>
      </c>
      <c r="E1653" s="74"/>
      <c r="F1653" s="74">
        <v>0.37</v>
      </c>
      <c r="G1653" s="74"/>
      <c r="H1653" s="74"/>
      <c r="I1653" s="74" t="s">
        <v>391</v>
      </c>
      <c r="J1653" s="74"/>
      <c r="K1653" s="74">
        <v>102.4</v>
      </c>
      <c r="L1653" s="74">
        <v>92.16</v>
      </c>
      <c r="M1653" s="74"/>
      <c r="N1653" s="74" t="s">
        <v>392</v>
      </c>
      <c r="O1653" s="74" t="s">
        <v>402</v>
      </c>
      <c r="P1653" s="74" t="s">
        <v>17191</v>
      </c>
      <c r="Q1653" s="74" t="s">
        <v>17192</v>
      </c>
    </row>
    <row r="1654" spans="3:17" x14ac:dyDescent="0.25">
      <c r="C1654" s="74" t="s">
        <v>17358</v>
      </c>
      <c r="D1654" s="74" t="s">
        <v>17359</v>
      </c>
      <c r="E1654" s="74"/>
      <c r="F1654" s="74">
        <v>0.37</v>
      </c>
      <c r="G1654" s="74"/>
      <c r="H1654" s="74"/>
      <c r="I1654" s="74" t="s">
        <v>391</v>
      </c>
      <c r="J1654" s="74"/>
      <c r="K1654" s="74">
        <v>102.4</v>
      </c>
      <c r="L1654" s="74">
        <v>92.16</v>
      </c>
      <c r="M1654" s="74"/>
      <c r="N1654" s="74" t="s">
        <v>392</v>
      </c>
      <c r="O1654" s="74" t="s">
        <v>402</v>
      </c>
      <c r="P1654" s="74" t="s">
        <v>17360</v>
      </c>
      <c r="Q1654" s="74" t="s">
        <v>17361</v>
      </c>
    </row>
    <row r="1655" spans="3:17" x14ac:dyDescent="0.25">
      <c r="C1655" s="74" t="s">
        <v>17629</v>
      </c>
      <c r="D1655" s="74" t="s">
        <v>17630</v>
      </c>
      <c r="E1655" s="74"/>
      <c r="F1655" s="74">
        <v>0.37</v>
      </c>
      <c r="G1655" s="74"/>
      <c r="H1655" s="74"/>
      <c r="I1655" s="74" t="s">
        <v>391</v>
      </c>
      <c r="J1655" s="74"/>
      <c r="K1655" s="74">
        <v>102.4</v>
      </c>
      <c r="L1655" s="74">
        <v>92.16</v>
      </c>
      <c r="M1655" s="74"/>
      <c r="N1655" s="74" t="s">
        <v>392</v>
      </c>
      <c r="O1655" s="74" t="s">
        <v>402</v>
      </c>
      <c r="P1655" s="74" t="s">
        <v>17631</v>
      </c>
      <c r="Q1655" s="74" t="s">
        <v>17632</v>
      </c>
    </row>
    <row r="1656" spans="3:17" x14ac:dyDescent="0.25">
      <c r="C1656" s="74" t="s">
        <v>17911</v>
      </c>
      <c r="D1656" s="74" t="s">
        <v>17912</v>
      </c>
      <c r="E1656" s="74"/>
      <c r="F1656" s="74">
        <v>0.37</v>
      </c>
      <c r="G1656" s="74"/>
      <c r="H1656" s="74"/>
      <c r="I1656" s="74" t="s">
        <v>391</v>
      </c>
      <c r="J1656" s="74"/>
      <c r="K1656" s="74">
        <v>102.4</v>
      </c>
      <c r="L1656" s="74">
        <v>92.16</v>
      </c>
      <c r="M1656" s="74"/>
      <c r="N1656" s="74" t="s">
        <v>392</v>
      </c>
      <c r="O1656" s="74" t="s">
        <v>402</v>
      </c>
      <c r="P1656" s="74" t="s">
        <v>17913</v>
      </c>
      <c r="Q1656" s="74" t="s">
        <v>17914</v>
      </c>
    </row>
    <row r="1657" spans="3:17" x14ac:dyDescent="0.25">
      <c r="C1657" s="74" t="s">
        <v>18411</v>
      </c>
      <c r="D1657" s="74" t="s">
        <v>18412</v>
      </c>
      <c r="E1657" s="74"/>
      <c r="F1657" s="74">
        <v>0.37</v>
      </c>
      <c r="G1657" s="74"/>
      <c r="H1657" s="74"/>
      <c r="I1657" s="74" t="s">
        <v>391</v>
      </c>
      <c r="J1657" s="74"/>
      <c r="K1657" s="74">
        <v>102.4</v>
      </c>
      <c r="L1657" s="74">
        <v>92.16</v>
      </c>
      <c r="M1657" s="74"/>
      <c r="N1657" s="74" t="s">
        <v>392</v>
      </c>
      <c r="O1657" s="74" t="s">
        <v>402</v>
      </c>
      <c r="P1657" s="74" t="s">
        <v>18413</v>
      </c>
      <c r="Q1657" s="74" t="s">
        <v>18414</v>
      </c>
    </row>
    <row r="1658" spans="3:17" x14ac:dyDescent="0.25">
      <c r="C1658" s="74" t="s">
        <v>19495</v>
      </c>
      <c r="D1658" s="74" t="s">
        <v>19496</v>
      </c>
      <c r="E1658" s="74"/>
      <c r="F1658" s="74">
        <v>0.37</v>
      </c>
      <c r="G1658" s="74"/>
      <c r="H1658" s="74"/>
      <c r="I1658" s="74" t="s">
        <v>391</v>
      </c>
      <c r="J1658" s="74"/>
      <c r="K1658" s="74">
        <v>102.4</v>
      </c>
      <c r="L1658" s="74">
        <v>92.16</v>
      </c>
      <c r="M1658" s="74"/>
      <c r="N1658" s="74" t="s">
        <v>392</v>
      </c>
      <c r="O1658" s="74" t="s">
        <v>402</v>
      </c>
      <c r="P1658" s="74" t="s">
        <v>19497</v>
      </c>
      <c r="Q1658" s="74" t="s">
        <v>19498</v>
      </c>
    </row>
    <row r="1659" spans="3:17" x14ac:dyDescent="0.25">
      <c r="C1659" s="74" t="s">
        <v>1757</v>
      </c>
      <c r="D1659" s="74" t="s">
        <v>1758</v>
      </c>
      <c r="E1659" s="74" t="s">
        <v>391</v>
      </c>
      <c r="F1659" s="74">
        <v>0.36</v>
      </c>
      <c r="G1659" s="74"/>
      <c r="H1659" s="74"/>
      <c r="I1659" s="74" t="s">
        <v>391</v>
      </c>
      <c r="J1659" s="74"/>
      <c r="K1659" s="74">
        <v>102.4</v>
      </c>
      <c r="L1659" s="74">
        <v>92.16</v>
      </c>
      <c r="M1659" s="74"/>
      <c r="N1659" s="74" t="s">
        <v>392</v>
      </c>
      <c r="O1659" s="74" t="s">
        <v>393</v>
      </c>
      <c r="P1659" s="74"/>
      <c r="Q1659" s="74" t="s">
        <v>1759</v>
      </c>
    </row>
    <row r="1660" spans="3:17" x14ac:dyDescent="0.25">
      <c r="C1660" s="74" t="s">
        <v>1942</v>
      </c>
      <c r="D1660" s="74" t="s">
        <v>1943</v>
      </c>
      <c r="E1660" s="74"/>
      <c r="F1660" s="74">
        <v>0.36</v>
      </c>
      <c r="G1660" s="74"/>
      <c r="H1660" s="74"/>
      <c r="I1660" s="74" t="s">
        <v>391</v>
      </c>
      <c r="J1660" s="74"/>
      <c r="K1660" s="74">
        <v>102.4</v>
      </c>
      <c r="L1660" s="74">
        <v>92.16</v>
      </c>
      <c r="M1660" s="74"/>
      <c r="N1660" s="74" t="s">
        <v>392</v>
      </c>
      <c r="O1660" s="74" t="s">
        <v>402</v>
      </c>
      <c r="P1660" s="74" t="s">
        <v>1944</v>
      </c>
      <c r="Q1660" s="74" t="s">
        <v>1945</v>
      </c>
    </row>
    <row r="1661" spans="3:17" x14ac:dyDescent="0.25">
      <c r="C1661" s="74" t="s">
        <v>3217</v>
      </c>
      <c r="D1661" s="74" t="s">
        <v>3218</v>
      </c>
      <c r="E1661" s="74" t="s">
        <v>391</v>
      </c>
      <c r="F1661" s="74">
        <v>0.36</v>
      </c>
      <c r="G1661" s="74"/>
      <c r="H1661" s="74"/>
      <c r="I1661" s="74" t="s">
        <v>391</v>
      </c>
      <c r="J1661" s="74"/>
      <c r="K1661" s="74">
        <v>102.4</v>
      </c>
      <c r="L1661" s="74">
        <v>92.16</v>
      </c>
      <c r="M1661" s="74"/>
      <c r="N1661" s="74" t="s">
        <v>392</v>
      </c>
      <c r="O1661" s="74" t="s">
        <v>393</v>
      </c>
      <c r="P1661" s="74"/>
      <c r="Q1661" s="74" t="s">
        <v>3219</v>
      </c>
    </row>
    <row r="1662" spans="3:17" x14ac:dyDescent="0.25">
      <c r="C1662" s="74" t="s">
        <v>5685</v>
      </c>
      <c r="D1662" s="74" t="s">
        <v>5686</v>
      </c>
      <c r="E1662" s="74"/>
      <c r="F1662" s="74">
        <v>0.36</v>
      </c>
      <c r="G1662" s="74"/>
      <c r="H1662" s="74"/>
      <c r="I1662" s="74" t="s">
        <v>391</v>
      </c>
      <c r="J1662" s="74"/>
      <c r="K1662" s="74">
        <v>102.4</v>
      </c>
      <c r="L1662" s="74">
        <v>92.16</v>
      </c>
      <c r="M1662" s="74"/>
      <c r="N1662" s="74" t="s">
        <v>392</v>
      </c>
      <c r="O1662" s="74" t="s">
        <v>402</v>
      </c>
      <c r="P1662" s="74" t="s">
        <v>5687</v>
      </c>
      <c r="Q1662" s="74" t="s">
        <v>5688</v>
      </c>
    </row>
    <row r="1663" spans="3:17" x14ac:dyDescent="0.25">
      <c r="C1663" s="74" t="s">
        <v>5801</v>
      </c>
      <c r="D1663" s="74" t="s">
        <v>5802</v>
      </c>
      <c r="E1663" s="74"/>
      <c r="F1663" s="74">
        <v>0.36</v>
      </c>
      <c r="G1663" s="74"/>
      <c r="H1663" s="74"/>
      <c r="I1663" s="74" t="s">
        <v>391</v>
      </c>
      <c r="J1663" s="74"/>
      <c r="K1663" s="74">
        <v>102.4</v>
      </c>
      <c r="L1663" s="74">
        <v>92.16</v>
      </c>
      <c r="M1663" s="74"/>
      <c r="N1663" s="74" t="s">
        <v>392</v>
      </c>
      <c r="O1663" s="74" t="s">
        <v>402</v>
      </c>
      <c r="P1663" s="74" t="s">
        <v>5803</v>
      </c>
      <c r="Q1663" s="74" t="s">
        <v>5804</v>
      </c>
    </row>
    <row r="1664" spans="3:17" x14ac:dyDescent="0.25">
      <c r="C1664" s="74" t="s">
        <v>6589</v>
      </c>
      <c r="D1664" s="74" t="s">
        <v>6590</v>
      </c>
      <c r="E1664" s="74"/>
      <c r="F1664" s="74">
        <v>0.36</v>
      </c>
      <c r="G1664" s="74"/>
      <c r="H1664" s="74"/>
      <c r="I1664" s="74" t="s">
        <v>391</v>
      </c>
      <c r="J1664" s="74"/>
      <c r="K1664" s="74">
        <v>102.4</v>
      </c>
      <c r="L1664" s="74">
        <v>92.16</v>
      </c>
      <c r="M1664" s="74"/>
      <c r="N1664" s="74" t="s">
        <v>392</v>
      </c>
      <c r="O1664" s="74" t="s">
        <v>402</v>
      </c>
      <c r="P1664" s="74" t="s">
        <v>6591</v>
      </c>
      <c r="Q1664" s="74" t="s">
        <v>6592</v>
      </c>
    </row>
    <row r="1665" spans="3:17" x14ac:dyDescent="0.25">
      <c r="C1665" s="74" t="s">
        <v>7293</v>
      </c>
      <c r="D1665" s="74" t="s">
        <v>7294</v>
      </c>
      <c r="E1665" s="74"/>
      <c r="F1665" s="74">
        <v>0.36</v>
      </c>
      <c r="G1665" s="74"/>
      <c r="H1665" s="74"/>
      <c r="I1665" s="74" t="s">
        <v>391</v>
      </c>
      <c r="J1665" s="74"/>
      <c r="K1665" s="74">
        <v>102.4</v>
      </c>
      <c r="L1665" s="74">
        <v>92.16</v>
      </c>
      <c r="M1665" s="74"/>
      <c r="N1665" s="74" t="s">
        <v>392</v>
      </c>
      <c r="O1665" s="74" t="s">
        <v>402</v>
      </c>
      <c r="P1665" s="74" t="s">
        <v>7295</v>
      </c>
      <c r="Q1665" s="74" t="s">
        <v>7296</v>
      </c>
    </row>
    <row r="1666" spans="3:17" x14ac:dyDescent="0.25">
      <c r="C1666" s="74" t="s">
        <v>10200</v>
      </c>
      <c r="D1666" s="74" t="s">
        <v>10201</v>
      </c>
      <c r="E1666" s="74"/>
      <c r="F1666" s="74">
        <v>0.36</v>
      </c>
      <c r="G1666" s="74"/>
      <c r="H1666" s="74"/>
      <c r="I1666" s="74" t="s">
        <v>391</v>
      </c>
      <c r="J1666" s="74"/>
      <c r="K1666" s="74">
        <v>102.4</v>
      </c>
      <c r="L1666" s="74">
        <v>92.16</v>
      </c>
      <c r="M1666" s="74"/>
      <c r="N1666" s="74" t="s">
        <v>392</v>
      </c>
      <c r="O1666" s="74" t="s">
        <v>402</v>
      </c>
      <c r="P1666" s="74" t="s">
        <v>10202</v>
      </c>
      <c r="Q1666" s="74" t="s">
        <v>10203</v>
      </c>
    </row>
    <row r="1667" spans="3:17" x14ac:dyDescent="0.25">
      <c r="C1667" s="74" t="s">
        <v>10301</v>
      </c>
      <c r="D1667" s="74" t="s">
        <v>10302</v>
      </c>
      <c r="E1667" s="74"/>
      <c r="F1667" s="74">
        <v>0.36</v>
      </c>
      <c r="G1667" s="74"/>
      <c r="H1667" s="74"/>
      <c r="I1667" s="74" t="s">
        <v>391</v>
      </c>
      <c r="J1667" s="74"/>
      <c r="K1667" s="74">
        <v>102.4</v>
      </c>
      <c r="L1667" s="74">
        <v>92.16</v>
      </c>
      <c r="M1667" s="74"/>
      <c r="N1667" s="74" t="s">
        <v>392</v>
      </c>
      <c r="O1667" s="74" t="s">
        <v>402</v>
      </c>
      <c r="P1667" s="74" t="s">
        <v>10303</v>
      </c>
      <c r="Q1667" s="74" t="s">
        <v>10304</v>
      </c>
    </row>
    <row r="1668" spans="3:17" x14ac:dyDescent="0.25">
      <c r="C1668" s="74" t="s">
        <v>11183</v>
      </c>
      <c r="D1668" s="74" t="s">
        <v>11184</v>
      </c>
      <c r="E1668" s="74"/>
      <c r="F1668" s="74">
        <v>0.36</v>
      </c>
      <c r="G1668" s="74"/>
      <c r="H1668" s="74"/>
      <c r="I1668" s="74" t="s">
        <v>391</v>
      </c>
      <c r="J1668" s="74"/>
      <c r="K1668" s="74">
        <v>102.4</v>
      </c>
      <c r="L1668" s="74">
        <v>92.16</v>
      </c>
      <c r="M1668" s="74"/>
      <c r="N1668" s="74" t="s">
        <v>392</v>
      </c>
      <c r="O1668" s="74" t="s">
        <v>402</v>
      </c>
      <c r="P1668" s="74" t="s">
        <v>11185</v>
      </c>
      <c r="Q1668" s="74" t="s">
        <v>11186</v>
      </c>
    </row>
    <row r="1669" spans="3:17" x14ac:dyDescent="0.25">
      <c r="C1669" s="74" t="s">
        <v>11442</v>
      </c>
      <c r="D1669" s="74" t="s">
        <v>11443</v>
      </c>
      <c r="E1669" s="74"/>
      <c r="F1669" s="74">
        <v>0.36</v>
      </c>
      <c r="G1669" s="74"/>
      <c r="H1669" s="74"/>
      <c r="I1669" s="74" t="s">
        <v>391</v>
      </c>
      <c r="J1669" s="74"/>
      <c r="K1669" s="74">
        <v>102.4</v>
      </c>
      <c r="L1669" s="74">
        <v>92.16</v>
      </c>
      <c r="M1669" s="74"/>
      <c r="N1669" s="74" t="s">
        <v>392</v>
      </c>
      <c r="O1669" s="74" t="s">
        <v>402</v>
      </c>
      <c r="P1669" s="74" t="s">
        <v>11444</v>
      </c>
      <c r="Q1669" s="74" t="s">
        <v>11445</v>
      </c>
    </row>
    <row r="1670" spans="3:17" x14ac:dyDescent="0.25">
      <c r="C1670" s="74" t="s">
        <v>11607</v>
      </c>
      <c r="D1670" s="74" t="s">
        <v>11608</v>
      </c>
      <c r="E1670" s="74"/>
      <c r="F1670" s="74">
        <v>0.36</v>
      </c>
      <c r="G1670" s="74"/>
      <c r="H1670" s="74"/>
      <c r="I1670" s="74" t="s">
        <v>391</v>
      </c>
      <c r="J1670" s="74"/>
      <c r="K1670" s="74">
        <v>102.4</v>
      </c>
      <c r="L1670" s="74">
        <v>92.16</v>
      </c>
      <c r="M1670" s="74"/>
      <c r="N1670" s="74" t="s">
        <v>392</v>
      </c>
      <c r="O1670" s="74" t="s">
        <v>402</v>
      </c>
      <c r="P1670" s="74" t="s">
        <v>11609</v>
      </c>
      <c r="Q1670" s="74" t="s">
        <v>11610</v>
      </c>
    </row>
    <row r="1671" spans="3:17" x14ac:dyDescent="0.25">
      <c r="C1671" s="74" t="s">
        <v>13984</v>
      </c>
      <c r="D1671" s="74" t="s">
        <v>13985</v>
      </c>
      <c r="E1671" s="74"/>
      <c r="F1671" s="74">
        <v>0.36</v>
      </c>
      <c r="G1671" s="74"/>
      <c r="H1671" s="74"/>
      <c r="I1671" s="74" t="s">
        <v>391</v>
      </c>
      <c r="J1671" s="74"/>
      <c r="K1671" s="74">
        <v>102.4</v>
      </c>
      <c r="L1671" s="74">
        <v>92.16</v>
      </c>
      <c r="M1671" s="74"/>
      <c r="N1671" s="74" t="s">
        <v>392</v>
      </c>
      <c r="O1671" s="74" t="s">
        <v>402</v>
      </c>
      <c r="P1671" s="74" t="s">
        <v>13986</v>
      </c>
      <c r="Q1671" s="74" t="s">
        <v>13987</v>
      </c>
    </row>
    <row r="1672" spans="3:17" x14ac:dyDescent="0.25">
      <c r="C1672" s="74" t="s">
        <v>15929</v>
      </c>
      <c r="D1672" s="74" t="s">
        <v>15930</v>
      </c>
      <c r="E1672" s="74" t="s">
        <v>391</v>
      </c>
      <c r="F1672" s="74">
        <v>0.36</v>
      </c>
      <c r="G1672" s="74"/>
      <c r="H1672" s="74"/>
      <c r="I1672" s="74" t="s">
        <v>391</v>
      </c>
      <c r="J1672" s="74"/>
      <c r="K1672" s="74">
        <v>102.4</v>
      </c>
      <c r="L1672" s="74">
        <v>92.16</v>
      </c>
      <c r="M1672" s="74"/>
      <c r="N1672" s="74" t="s">
        <v>392</v>
      </c>
      <c r="O1672" s="74" t="s">
        <v>393</v>
      </c>
      <c r="P1672" s="74"/>
      <c r="Q1672" s="74" t="s">
        <v>15931</v>
      </c>
    </row>
    <row r="1673" spans="3:17" x14ac:dyDescent="0.25">
      <c r="C1673" s="74" t="s">
        <v>19268</v>
      </c>
      <c r="D1673" s="74" t="s">
        <v>19269</v>
      </c>
      <c r="E1673" s="74"/>
      <c r="F1673" s="74">
        <v>0.36</v>
      </c>
      <c r="G1673" s="74"/>
      <c r="H1673" s="74"/>
      <c r="I1673" s="74" t="s">
        <v>391</v>
      </c>
      <c r="J1673" s="74"/>
      <c r="K1673" s="74">
        <v>102.4</v>
      </c>
      <c r="L1673" s="74">
        <v>92.16</v>
      </c>
      <c r="M1673" s="74"/>
      <c r="N1673" s="74" t="s">
        <v>392</v>
      </c>
      <c r="O1673" s="74" t="s">
        <v>402</v>
      </c>
      <c r="P1673" s="74" t="s">
        <v>19270</v>
      </c>
      <c r="Q1673" s="74" t="s">
        <v>19271</v>
      </c>
    </row>
    <row r="1674" spans="3:17" x14ac:dyDescent="0.25">
      <c r="C1674" s="74" t="s">
        <v>20531</v>
      </c>
      <c r="D1674" s="74" t="s">
        <v>20532</v>
      </c>
      <c r="E1674" s="74"/>
      <c r="F1674" s="74">
        <v>0.36</v>
      </c>
      <c r="G1674" s="74"/>
      <c r="H1674" s="74"/>
      <c r="I1674" s="74" t="s">
        <v>391</v>
      </c>
      <c r="J1674" s="74"/>
      <c r="K1674" s="74">
        <v>102.4</v>
      </c>
      <c r="L1674" s="74">
        <v>92.16</v>
      </c>
      <c r="M1674" s="74"/>
      <c r="N1674" s="74" t="s">
        <v>392</v>
      </c>
      <c r="O1674" s="74" t="s">
        <v>402</v>
      </c>
      <c r="P1674" s="74" t="s">
        <v>20533</v>
      </c>
      <c r="Q1674" s="74" t="s">
        <v>20534</v>
      </c>
    </row>
    <row r="1675" spans="3:17" x14ac:dyDescent="0.25">
      <c r="C1675" s="74" t="s">
        <v>20900</v>
      </c>
      <c r="D1675" s="74" t="s">
        <v>20901</v>
      </c>
      <c r="E1675" s="74"/>
      <c r="F1675" s="74">
        <v>0.36</v>
      </c>
      <c r="G1675" s="74"/>
      <c r="H1675" s="74"/>
      <c r="I1675" s="74" t="s">
        <v>391</v>
      </c>
      <c r="J1675" s="74"/>
      <c r="K1675" s="74">
        <v>102.4</v>
      </c>
      <c r="L1675" s="74">
        <v>92.16</v>
      </c>
      <c r="M1675" s="74"/>
      <c r="N1675" s="74" t="s">
        <v>392</v>
      </c>
      <c r="O1675" s="74" t="s">
        <v>402</v>
      </c>
      <c r="P1675" s="74" t="s">
        <v>20902</v>
      </c>
      <c r="Q1675" s="74" t="s">
        <v>20903</v>
      </c>
    </row>
    <row r="1676" spans="3:17" x14ac:dyDescent="0.25">
      <c r="C1676" s="74" t="s">
        <v>800</v>
      </c>
      <c r="D1676" s="74" t="s">
        <v>801</v>
      </c>
      <c r="E1676" s="74" t="s">
        <v>391</v>
      </c>
      <c r="F1676" s="74">
        <v>0.35</v>
      </c>
      <c r="G1676" s="74"/>
      <c r="H1676" s="74"/>
      <c r="I1676" s="74" t="s">
        <v>391</v>
      </c>
      <c r="J1676" s="74"/>
      <c r="K1676" s="74">
        <v>102.4</v>
      </c>
      <c r="L1676" s="74">
        <v>92.16</v>
      </c>
      <c r="M1676" s="74"/>
      <c r="N1676" s="74" t="s">
        <v>392</v>
      </c>
      <c r="O1676" s="74" t="s">
        <v>393</v>
      </c>
      <c r="P1676" s="74"/>
      <c r="Q1676" s="74" t="s">
        <v>802</v>
      </c>
    </row>
    <row r="1677" spans="3:17" x14ac:dyDescent="0.25">
      <c r="C1677" s="74" t="s">
        <v>3665</v>
      </c>
      <c r="D1677" s="74" t="s">
        <v>3666</v>
      </c>
      <c r="E1677" s="74"/>
      <c r="F1677" s="74">
        <v>0.35</v>
      </c>
      <c r="G1677" s="74"/>
      <c r="H1677" s="74"/>
      <c r="I1677" s="74" t="s">
        <v>391</v>
      </c>
      <c r="J1677" s="74"/>
      <c r="K1677" s="74">
        <v>102.4</v>
      </c>
      <c r="L1677" s="74">
        <v>92.16</v>
      </c>
      <c r="M1677" s="74"/>
      <c r="N1677" s="74" t="s">
        <v>392</v>
      </c>
      <c r="O1677" s="74" t="s">
        <v>402</v>
      </c>
      <c r="P1677" s="74" t="s">
        <v>3667</v>
      </c>
      <c r="Q1677" s="74" t="s">
        <v>3668</v>
      </c>
    </row>
    <row r="1678" spans="3:17" x14ac:dyDescent="0.25">
      <c r="C1678" s="74" t="s">
        <v>3798</v>
      </c>
      <c r="D1678" s="74" t="s">
        <v>3799</v>
      </c>
      <c r="E1678" s="74"/>
      <c r="F1678" s="74">
        <v>0.35</v>
      </c>
      <c r="G1678" s="74"/>
      <c r="H1678" s="74"/>
      <c r="I1678" s="74" t="s">
        <v>391</v>
      </c>
      <c r="J1678" s="74"/>
      <c r="K1678" s="74">
        <v>102.4</v>
      </c>
      <c r="L1678" s="74">
        <v>92.16</v>
      </c>
      <c r="M1678" s="74"/>
      <c r="N1678" s="74" t="s">
        <v>392</v>
      </c>
      <c r="O1678" s="74" t="s">
        <v>402</v>
      </c>
      <c r="P1678" s="74" t="s">
        <v>3800</v>
      </c>
      <c r="Q1678" s="74" t="s">
        <v>3801</v>
      </c>
    </row>
    <row r="1679" spans="3:17" x14ac:dyDescent="0.25">
      <c r="C1679" s="74" t="s">
        <v>4322</v>
      </c>
      <c r="D1679" s="74" t="s">
        <v>4323</v>
      </c>
      <c r="E1679" s="74"/>
      <c r="F1679" s="74">
        <v>0.35</v>
      </c>
      <c r="G1679" s="74"/>
      <c r="H1679" s="74"/>
      <c r="I1679" s="74" t="s">
        <v>391</v>
      </c>
      <c r="J1679" s="74"/>
      <c r="K1679" s="74">
        <v>102.4</v>
      </c>
      <c r="L1679" s="74">
        <v>92.16</v>
      </c>
      <c r="M1679" s="74"/>
      <c r="N1679" s="74" t="s">
        <v>392</v>
      </c>
      <c r="O1679" s="74" t="s">
        <v>402</v>
      </c>
      <c r="P1679" s="74" t="s">
        <v>4324</v>
      </c>
      <c r="Q1679" s="74" t="s">
        <v>4325</v>
      </c>
    </row>
    <row r="1680" spans="3:17" x14ac:dyDescent="0.25">
      <c r="C1680" s="74" t="s">
        <v>7956</v>
      </c>
      <c r="D1680" s="74" t="s">
        <v>7957</v>
      </c>
      <c r="E1680" s="74"/>
      <c r="F1680" s="74">
        <v>0.35</v>
      </c>
      <c r="G1680" s="74"/>
      <c r="H1680" s="74"/>
      <c r="I1680" s="74" t="s">
        <v>391</v>
      </c>
      <c r="J1680" s="74"/>
      <c r="K1680" s="74">
        <v>102.4</v>
      </c>
      <c r="L1680" s="74">
        <v>92.16</v>
      </c>
      <c r="M1680" s="74"/>
      <c r="N1680" s="74" t="s">
        <v>392</v>
      </c>
      <c r="O1680" s="74" t="s">
        <v>402</v>
      </c>
      <c r="P1680" s="74" t="s">
        <v>7958</v>
      </c>
      <c r="Q1680" s="74" t="s">
        <v>7959</v>
      </c>
    </row>
    <row r="1681" spans="3:17" x14ac:dyDescent="0.25">
      <c r="C1681" s="74" t="s">
        <v>8560</v>
      </c>
      <c r="D1681" s="74" t="s">
        <v>8561</v>
      </c>
      <c r="E1681" s="74"/>
      <c r="F1681" s="74">
        <v>0.35</v>
      </c>
      <c r="G1681" s="74"/>
      <c r="H1681" s="74"/>
      <c r="I1681" s="74" t="s">
        <v>391</v>
      </c>
      <c r="J1681" s="74"/>
      <c r="K1681" s="74">
        <v>102.4</v>
      </c>
      <c r="L1681" s="74">
        <v>92.16</v>
      </c>
      <c r="M1681" s="74"/>
      <c r="N1681" s="74" t="s">
        <v>392</v>
      </c>
      <c r="O1681" s="74" t="s">
        <v>402</v>
      </c>
      <c r="P1681" s="74" t="s">
        <v>8562</v>
      </c>
      <c r="Q1681" s="74" t="s">
        <v>8563</v>
      </c>
    </row>
    <row r="1682" spans="3:17" x14ac:dyDescent="0.25">
      <c r="C1682" s="74" t="s">
        <v>8882</v>
      </c>
      <c r="D1682" s="74" t="s">
        <v>8883</v>
      </c>
      <c r="E1682" s="74" t="s">
        <v>391</v>
      </c>
      <c r="F1682" s="74">
        <v>0.35</v>
      </c>
      <c r="G1682" s="74"/>
      <c r="H1682" s="74"/>
      <c r="I1682" s="74" t="s">
        <v>391</v>
      </c>
      <c r="J1682" s="74"/>
      <c r="K1682" s="74">
        <v>102.4</v>
      </c>
      <c r="L1682" s="74">
        <v>92.16</v>
      </c>
      <c r="M1682" s="74"/>
      <c r="N1682" s="74" t="s">
        <v>392</v>
      </c>
      <c r="O1682" s="74" t="s">
        <v>393</v>
      </c>
      <c r="P1682" s="74"/>
      <c r="Q1682" s="74" t="s">
        <v>8884</v>
      </c>
    </row>
    <row r="1683" spans="3:17" x14ac:dyDescent="0.25">
      <c r="C1683" s="74" t="s">
        <v>14562</v>
      </c>
      <c r="D1683" s="74" t="s">
        <v>14563</v>
      </c>
      <c r="E1683" s="74"/>
      <c r="F1683" s="74">
        <v>0.35</v>
      </c>
      <c r="G1683" s="74"/>
      <c r="H1683" s="74"/>
      <c r="I1683" s="74" t="s">
        <v>391</v>
      </c>
      <c r="J1683" s="74"/>
      <c r="K1683" s="74">
        <v>102.4</v>
      </c>
      <c r="L1683" s="74">
        <v>92.16</v>
      </c>
      <c r="M1683" s="74"/>
      <c r="N1683" s="74" t="s">
        <v>392</v>
      </c>
      <c r="O1683" s="74" t="s">
        <v>402</v>
      </c>
      <c r="P1683" s="74" t="s">
        <v>14564</v>
      </c>
      <c r="Q1683" s="74" t="s">
        <v>14565</v>
      </c>
    </row>
    <row r="1684" spans="3:17" x14ac:dyDescent="0.25">
      <c r="C1684" s="74" t="s">
        <v>15495</v>
      </c>
      <c r="D1684" s="74" t="s">
        <v>15496</v>
      </c>
      <c r="E1684" s="74"/>
      <c r="F1684" s="74">
        <v>0.35</v>
      </c>
      <c r="G1684" s="74"/>
      <c r="H1684" s="74"/>
      <c r="I1684" s="74" t="s">
        <v>391</v>
      </c>
      <c r="J1684" s="74"/>
      <c r="K1684" s="74">
        <v>102.4</v>
      </c>
      <c r="L1684" s="74">
        <v>92.16</v>
      </c>
      <c r="M1684" s="74"/>
      <c r="N1684" s="74" t="s">
        <v>392</v>
      </c>
      <c r="O1684" s="74" t="s">
        <v>402</v>
      </c>
      <c r="P1684" s="74" t="s">
        <v>15497</v>
      </c>
      <c r="Q1684" s="74" t="s">
        <v>15498</v>
      </c>
    </row>
    <row r="1685" spans="3:17" x14ac:dyDescent="0.25">
      <c r="C1685" s="74" t="s">
        <v>16159</v>
      </c>
      <c r="D1685" s="74" t="s">
        <v>16160</v>
      </c>
      <c r="E1685" s="74"/>
      <c r="F1685" s="74">
        <v>0.35</v>
      </c>
      <c r="G1685" s="74"/>
      <c r="H1685" s="74"/>
      <c r="I1685" s="74" t="s">
        <v>391</v>
      </c>
      <c r="J1685" s="74"/>
      <c r="K1685" s="74">
        <v>102.4</v>
      </c>
      <c r="L1685" s="74">
        <v>92.16</v>
      </c>
      <c r="M1685" s="74"/>
      <c r="N1685" s="74" t="s">
        <v>392</v>
      </c>
      <c r="O1685" s="74" t="s">
        <v>402</v>
      </c>
      <c r="P1685" s="74" t="s">
        <v>16161</v>
      </c>
      <c r="Q1685" s="74" t="s">
        <v>16162</v>
      </c>
    </row>
    <row r="1686" spans="3:17" x14ac:dyDescent="0.25">
      <c r="C1686" s="74" t="s">
        <v>19621</v>
      </c>
      <c r="D1686" s="74" t="s">
        <v>19622</v>
      </c>
      <c r="E1686" s="74" t="s">
        <v>391</v>
      </c>
      <c r="F1686" s="74">
        <v>0.35</v>
      </c>
      <c r="G1686" s="74"/>
      <c r="H1686" s="74"/>
      <c r="I1686" s="74" t="s">
        <v>391</v>
      </c>
      <c r="J1686" s="74"/>
      <c r="K1686" s="74">
        <v>102.4</v>
      </c>
      <c r="L1686" s="74">
        <v>92.16</v>
      </c>
      <c r="M1686" s="74"/>
      <c r="N1686" s="74" t="s">
        <v>392</v>
      </c>
      <c r="O1686" s="74" t="s">
        <v>393</v>
      </c>
      <c r="P1686" s="74" t="s">
        <v>19623</v>
      </c>
      <c r="Q1686" s="74" t="s">
        <v>19624</v>
      </c>
    </row>
    <row r="1687" spans="3:17" x14ac:dyDescent="0.25">
      <c r="C1687" s="74" t="s">
        <v>511</v>
      </c>
      <c r="D1687" s="74" t="s">
        <v>512</v>
      </c>
      <c r="E1687" s="74"/>
      <c r="F1687" s="74">
        <v>0.34</v>
      </c>
      <c r="G1687" s="74"/>
      <c r="H1687" s="74"/>
      <c r="I1687" s="74" t="s">
        <v>391</v>
      </c>
      <c r="J1687" s="74"/>
      <c r="K1687" s="74">
        <v>102.4</v>
      </c>
      <c r="L1687" s="74">
        <v>92.16</v>
      </c>
      <c r="M1687" s="74"/>
      <c r="N1687" s="74" t="s">
        <v>392</v>
      </c>
      <c r="O1687" s="74" t="s">
        <v>402</v>
      </c>
      <c r="P1687" s="74" t="s">
        <v>513</v>
      </c>
      <c r="Q1687" s="74" t="s">
        <v>514</v>
      </c>
    </row>
    <row r="1688" spans="3:17" x14ac:dyDescent="0.25">
      <c r="C1688" s="74" t="s">
        <v>1721</v>
      </c>
      <c r="D1688" s="74" t="s">
        <v>1722</v>
      </c>
      <c r="E1688" s="74"/>
      <c r="F1688" s="74">
        <v>0.34</v>
      </c>
      <c r="G1688" s="74"/>
      <c r="H1688" s="74"/>
      <c r="I1688" s="74" t="s">
        <v>391</v>
      </c>
      <c r="J1688" s="74"/>
      <c r="K1688" s="74">
        <v>102.4</v>
      </c>
      <c r="L1688" s="74">
        <v>92.16</v>
      </c>
      <c r="M1688" s="74"/>
      <c r="N1688" s="74" t="s">
        <v>392</v>
      </c>
      <c r="O1688" s="74" t="s">
        <v>402</v>
      </c>
      <c r="P1688" s="74" t="s">
        <v>1723</v>
      </c>
      <c r="Q1688" s="74" t="s">
        <v>1724</v>
      </c>
    </row>
    <row r="1689" spans="3:17" x14ac:dyDescent="0.25">
      <c r="C1689" s="74" t="s">
        <v>1857</v>
      </c>
      <c r="D1689" s="74" t="s">
        <v>1858</v>
      </c>
      <c r="E1689" s="74"/>
      <c r="F1689" s="74">
        <v>0.34</v>
      </c>
      <c r="G1689" s="74"/>
      <c r="H1689" s="74"/>
      <c r="I1689" s="74" t="s">
        <v>391</v>
      </c>
      <c r="J1689" s="74"/>
      <c r="K1689" s="74">
        <v>102.4</v>
      </c>
      <c r="L1689" s="74">
        <v>92.16</v>
      </c>
      <c r="M1689" s="74"/>
      <c r="N1689" s="74" t="s">
        <v>392</v>
      </c>
      <c r="O1689" s="74" t="s">
        <v>402</v>
      </c>
      <c r="P1689" s="74" t="s">
        <v>1859</v>
      </c>
      <c r="Q1689" s="74" t="s">
        <v>1860</v>
      </c>
    </row>
    <row r="1690" spans="3:17" x14ac:dyDescent="0.25">
      <c r="C1690" s="74" t="s">
        <v>3672</v>
      </c>
      <c r="D1690" s="74" t="s">
        <v>3673</v>
      </c>
      <c r="E1690" s="74"/>
      <c r="F1690" s="74">
        <v>0.34</v>
      </c>
      <c r="G1690" s="74"/>
      <c r="H1690" s="74"/>
      <c r="I1690" s="74" t="s">
        <v>391</v>
      </c>
      <c r="J1690" s="74"/>
      <c r="K1690" s="74">
        <v>102.4</v>
      </c>
      <c r="L1690" s="74">
        <v>92.16</v>
      </c>
      <c r="M1690" s="74"/>
      <c r="N1690" s="74" t="s">
        <v>392</v>
      </c>
      <c r="O1690" s="74" t="s">
        <v>402</v>
      </c>
      <c r="P1690" s="74" t="s">
        <v>3674</v>
      </c>
      <c r="Q1690" s="74" t="s">
        <v>3675</v>
      </c>
    </row>
    <row r="1691" spans="3:17" x14ac:dyDescent="0.25">
      <c r="C1691" s="74" t="s">
        <v>6070</v>
      </c>
      <c r="D1691" s="74" t="s">
        <v>6071</v>
      </c>
      <c r="E1691" s="74"/>
      <c r="F1691" s="74">
        <v>0.34</v>
      </c>
      <c r="G1691" s="74"/>
      <c r="H1691" s="74"/>
      <c r="I1691" s="74" t="s">
        <v>391</v>
      </c>
      <c r="J1691" s="74"/>
      <c r="K1691" s="74">
        <v>102.4</v>
      </c>
      <c r="L1691" s="74">
        <v>92.16</v>
      </c>
      <c r="M1691" s="74"/>
      <c r="N1691" s="74" t="s">
        <v>392</v>
      </c>
      <c r="O1691" s="74" t="s">
        <v>402</v>
      </c>
      <c r="P1691" s="74" t="s">
        <v>6072</v>
      </c>
      <c r="Q1691" s="74" t="s">
        <v>6073</v>
      </c>
    </row>
    <row r="1692" spans="3:17" x14ac:dyDescent="0.25">
      <c r="C1692" s="74" t="s">
        <v>8016</v>
      </c>
      <c r="D1692" s="74" t="s">
        <v>8017</v>
      </c>
      <c r="E1692" s="74"/>
      <c r="F1692" s="74">
        <v>0.34</v>
      </c>
      <c r="G1692" s="74"/>
      <c r="H1692" s="74"/>
      <c r="I1692" s="74" t="s">
        <v>391</v>
      </c>
      <c r="J1692" s="74"/>
      <c r="K1692" s="74">
        <v>102.4</v>
      </c>
      <c r="L1692" s="74">
        <v>92.16</v>
      </c>
      <c r="M1692" s="74"/>
      <c r="N1692" s="74" t="s">
        <v>392</v>
      </c>
      <c r="O1692" s="74" t="s">
        <v>402</v>
      </c>
      <c r="P1692" s="74" t="s">
        <v>8018</v>
      </c>
      <c r="Q1692" s="74" t="s">
        <v>8019</v>
      </c>
    </row>
    <row r="1693" spans="3:17" x14ac:dyDescent="0.25">
      <c r="C1693" s="74" t="s">
        <v>11574</v>
      </c>
      <c r="D1693" s="74" t="s">
        <v>11575</v>
      </c>
      <c r="E1693" s="74"/>
      <c r="F1693" s="74">
        <v>0.34</v>
      </c>
      <c r="G1693" s="74"/>
      <c r="H1693" s="74"/>
      <c r="I1693" s="74" t="s">
        <v>391</v>
      </c>
      <c r="J1693" s="74"/>
      <c r="K1693" s="74">
        <v>102.4</v>
      </c>
      <c r="L1693" s="74">
        <v>92.16</v>
      </c>
      <c r="M1693" s="74"/>
      <c r="N1693" s="74" t="s">
        <v>392</v>
      </c>
      <c r="O1693" s="74" t="s">
        <v>402</v>
      </c>
      <c r="P1693" s="74" t="s">
        <v>11576</v>
      </c>
      <c r="Q1693" s="74" t="s">
        <v>11577</v>
      </c>
    </row>
    <row r="1694" spans="3:17" x14ac:dyDescent="0.25">
      <c r="C1694" s="74" t="s">
        <v>13121</v>
      </c>
      <c r="D1694" s="74" t="s">
        <v>13122</v>
      </c>
      <c r="E1694" s="74"/>
      <c r="F1694" s="74">
        <v>0.34</v>
      </c>
      <c r="G1694" s="74"/>
      <c r="H1694" s="74"/>
      <c r="I1694" s="74" t="s">
        <v>391</v>
      </c>
      <c r="J1694" s="74"/>
      <c r="K1694" s="74">
        <v>102.4</v>
      </c>
      <c r="L1694" s="74">
        <v>92.16</v>
      </c>
      <c r="M1694" s="74"/>
      <c r="N1694" s="74" t="s">
        <v>392</v>
      </c>
      <c r="O1694" s="74" t="s">
        <v>402</v>
      </c>
      <c r="P1694" s="74" t="s">
        <v>13123</v>
      </c>
      <c r="Q1694" s="74" t="s">
        <v>13124</v>
      </c>
    </row>
    <row r="1695" spans="3:17" x14ac:dyDescent="0.25">
      <c r="C1695" s="74" t="s">
        <v>13689</v>
      </c>
      <c r="D1695" s="74" t="s">
        <v>13690</v>
      </c>
      <c r="E1695" s="74" t="s">
        <v>391</v>
      </c>
      <c r="F1695" s="74">
        <v>0.34</v>
      </c>
      <c r="G1695" s="74"/>
      <c r="H1695" s="74"/>
      <c r="I1695" s="74" t="s">
        <v>391</v>
      </c>
      <c r="J1695" s="74"/>
      <c r="K1695" s="74">
        <v>102.4</v>
      </c>
      <c r="L1695" s="74">
        <v>92.16</v>
      </c>
      <c r="M1695" s="74"/>
      <c r="N1695" s="74" t="s">
        <v>392</v>
      </c>
      <c r="O1695" s="74" t="s">
        <v>393</v>
      </c>
      <c r="P1695" s="74"/>
      <c r="Q1695" s="74" t="s">
        <v>13691</v>
      </c>
    </row>
    <row r="1696" spans="3:17" x14ac:dyDescent="0.25">
      <c r="C1696" s="74" t="s">
        <v>14807</v>
      </c>
      <c r="D1696" s="74" t="s">
        <v>14808</v>
      </c>
      <c r="E1696" s="74"/>
      <c r="F1696" s="74">
        <v>0.34</v>
      </c>
      <c r="G1696" s="74"/>
      <c r="H1696" s="74"/>
      <c r="I1696" s="74" t="s">
        <v>391</v>
      </c>
      <c r="J1696" s="74"/>
      <c r="K1696" s="74">
        <v>102.4</v>
      </c>
      <c r="L1696" s="74">
        <v>92.16</v>
      </c>
      <c r="M1696" s="74"/>
      <c r="N1696" s="74" t="s">
        <v>392</v>
      </c>
      <c r="O1696" s="74" t="s">
        <v>402</v>
      </c>
      <c r="P1696" s="74" t="s">
        <v>14809</v>
      </c>
      <c r="Q1696" s="74" t="s">
        <v>14810</v>
      </c>
    </row>
    <row r="1697" spans="3:17" x14ac:dyDescent="0.25">
      <c r="C1697" s="74" t="s">
        <v>15012</v>
      </c>
      <c r="D1697" s="74" t="s">
        <v>15013</v>
      </c>
      <c r="E1697" s="74"/>
      <c r="F1697" s="74">
        <v>0.34</v>
      </c>
      <c r="G1697" s="74"/>
      <c r="H1697" s="74"/>
      <c r="I1697" s="74" t="s">
        <v>391</v>
      </c>
      <c r="J1697" s="74"/>
      <c r="K1697" s="74">
        <v>102.4</v>
      </c>
      <c r="L1697" s="74">
        <v>92.16</v>
      </c>
      <c r="M1697" s="74"/>
      <c r="N1697" s="74" t="s">
        <v>392</v>
      </c>
      <c r="O1697" s="74" t="s">
        <v>402</v>
      </c>
      <c r="P1697" s="74" t="s">
        <v>15014</v>
      </c>
      <c r="Q1697" s="74" t="s">
        <v>15015</v>
      </c>
    </row>
    <row r="1698" spans="3:17" x14ac:dyDescent="0.25">
      <c r="C1698" s="74" t="s">
        <v>15698</v>
      </c>
      <c r="D1698" s="74" t="s">
        <v>15699</v>
      </c>
      <c r="E1698" s="74"/>
      <c r="F1698" s="74">
        <v>0.34</v>
      </c>
      <c r="G1698" s="74"/>
      <c r="H1698" s="74"/>
      <c r="I1698" s="74" t="s">
        <v>391</v>
      </c>
      <c r="J1698" s="74"/>
      <c r="K1698" s="74">
        <v>102.4</v>
      </c>
      <c r="L1698" s="74">
        <v>92.16</v>
      </c>
      <c r="M1698" s="74"/>
      <c r="N1698" s="74" t="s">
        <v>392</v>
      </c>
      <c r="O1698" s="74" t="s">
        <v>402</v>
      </c>
      <c r="P1698" s="74" t="s">
        <v>15700</v>
      </c>
      <c r="Q1698" s="74" t="s">
        <v>15701</v>
      </c>
    </row>
    <row r="1699" spans="3:17" x14ac:dyDescent="0.25">
      <c r="C1699" s="74" t="s">
        <v>15965</v>
      </c>
      <c r="D1699" s="74" t="s">
        <v>15966</v>
      </c>
      <c r="E1699" s="74"/>
      <c r="F1699" s="74">
        <v>0.34</v>
      </c>
      <c r="G1699" s="74"/>
      <c r="H1699" s="74"/>
      <c r="I1699" s="74" t="s">
        <v>391</v>
      </c>
      <c r="J1699" s="74"/>
      <c r="K1699" s="74">
        <v>102.4</v>
      </c>
      <c r="L1699" s="74">
        <v>92.16</v>
      </c>
      <c r="M1699" s="74"/>
      <c r="N1699" s="74" t="s">
        <v>392</v>
      </c>
      <c r="O1699" s="74" t="s">
        <v>402</v>
      </c>
      <c r="P1699" s="74" t="s">
        <v>15967</v>
      </c>
      <c r="Q1699" s="74" t="s">
        <v>15968</v>
      </c>
    </row>
    <row r="1700" spans="3:17" x14ac:dyDescent="0.25">
      <c r="C1700" s="74" t="s">
        <v>16106</v>
      </c>
      <c r="D1700" s="74" t="s">
        <v>16107</v>
      </c>
      <c r="E1700" s="74"/>
      <c r="F1700" s="74">
        <v>0.34</v>
      </c>
      <c r="G1700" s="74"/>
      <c r="H1700" s="74"/>
      <c r="I1700" s="74" t="s">
        <v>391</v>
      </c>
      <c r="J1700" s="74"/>
      <c r="K1700" s="74">
        <v>102.4</v>
      </c>
      <c r="L1700" s="74">
        <v>92.16</v>
      </c>
      <c r="M1700" s="74"/>
      <c r="N1700" s="74" t="s">
        <v>392</v>
      </c>
      <c r="O1700" s="74" t="s">
        <v>402</v>
      </c>
      <c r="P1700" s="74" t="s">
        <v>16108</v>
      </c>
      <c r="Q1700" s="74" t="s">
        <v>16109</v>
      </c>
    </row>
    <row r="1701" spans="3:17" x14ac:dyDescent="0.25">
      <c r="C1701" s="74" t="s">
        <v>17101</v>
      </c>
      <c r="D1701" s="74" t="s">
        <v>17102</v>
      </c>
      <c r="E1701" s="74"/>
      <c r="F1701" s="74">
        <v>0.34</v>
      </c>
      <c r="G1701" s="74"/>
      <c r="H1701" s="74"/>
      <c r="I1701" s="74" t="s">
        <v>391</v>
      </c>
      <c r="J1701" s="74"/>
      <c r="K1701" s="74">
        <v>102.4</v>
      </c>
      <c r="L1701" s="74">
        <v>92.16</v>
      </c>
      <c r="M1701" s="74"/>
      <c r="N1701" s="74" t="s">
        <v>392</v>
      </c>
      <c r="O1701" s="74" t="s">
        <v>402</v>
      </c>
      <c r="P1701" s="74" t="s">
        <v>17103</v>
      </c>
      <c r="Q1701" s="74" t="s">
        <v>17104</v>
      </c>
    </row>
    <row r="1702" spans="3:17" x14ac:dyDescent="0.25">
      <c r="C1702" s="74" t="s">
        <v>17331</v>
      </c>
      <c r="D1702" s="74" t="s">
        <v>17332</v>
      </c>
      <c r="E1702" s="74"/>
      <c r="F1702" s="74">
        <v>0.34</v>
      </c>
      <c r="G1702" s="74"/>
      <c r="H1702" s="74"/>
      <c r="I1702" s="74" t="s">
        <v>391</v>
      </c>
      <c r="J1702" s="74"/>
      <c r="K1702" s="74">
        <v>102.4</v>
      </c>
      <c r="L1702" s="74">
        <v>92.16</v>
      </c>
      <c r="M1702" s="74"/>
      <c r="N1702" s="74" t="s">
        <v>392</v>
      </c>
      <c r="O1702" s="74" t="s">
        <v>402</v>
      </c>
      <c r="P1702" s="74" t="s">
        <v>17333</v>
      </c>
      <c r="Q1702" s="74" t="s">
        <v>17334</v>
      </c>
    </row>
    <row r="1703" spans="3:17" x14ac:dyDescent="0.25">
      <c r="C1703" s="74" t="s">
        <v>17997</v>
      </c>
      <c r="D1703" s="74" t="s">
        <v>17998</v>
      </c>
      <c r="E1703" s="74"/>
      <c r="F1703" s="74">
        <v>0.34</v>
      </c>
      <c r="G1703" s="74"/>
      <c r="H1703" s="74"/>
      <c r="I1703" s="74" t="s">
        <v>391</v>
      </c>
      <c r="J1703" s="74"/>
      <c r="K1703" s="74">
        <v>102.4</v>
      </c>
      <c r="L1703" s="74">
        <v>92.16</v>
      </c>
      <c r="M1703" s="74"/>
      <c r="N1703" s="74" t="s">
        <v>392</v>
      </c>
      <c r="O1703" s="74" t="s">
        <v>402</v>
      </c>
      <c r="P1703" s="74" t="s">
        <v>17999</v>
      </c>
      <c r="Q1703" s="74" t="s">
        <v>18000</v>
      </c>
    </row>
    <row r="1704" spans="3:17" x14ac:dyDescent="0.25">
      <c r="C1704" s="74" t="s">
        <v>1853</v>
      </c>
      <c r="D1704" s="74" t="s">
        <v>1854</v>
      </c>
      <c r="E1704" s="74"/>
      <c r="F1704" s="74">
        <v>0.33</v>
      </c>
      <c r="G1704" s="74"/>
      <c r="H1704" s="74"/>
      <c r="I1704" s="74" t="s">
        <v>391</v>
      </c>
      <c r="J1704" s="74"/>
      <c r="K1704" s="74">
        <v>102.4</v>
      </c>
      <c r="L1704" s="74">
        <v>92.16</v>
      </c>
      <c r="M1704" s="74"/>
      <c r="N1704" s="74" t="s">
        <v>392</v>
      </c>
      <c r="O1704" s="74" t="s">
        <v>402</v>
      </c>
      <c r="P1704" s="74" t="s">
        <v>1855</v>
      </c>
      <c r="Q1704" s="74" t="s">
        <v>1856</v>
      </c>
    </row>
    <row r="1705" spans="3:17" x14ac:dyDescent="0.25">
      <c r="C1705" s="74" t="s">
        <v>2855</v>
      </c>
      <c r="D1705" s="74" t="s">
        <v>2856</v>
      </c>
      <c r="E1705" s="74"/>
      <c r="F1705" s="74">
        <v>0.33</v>
      </c>
      <c r="G1705" s="74"/>
      <c r="H1705" s="74"/>
      <c r="I1705" s="74" t="s">
        <v>391</v>
      </c>
      <c r="J1705" s="74"/>
      <c r="K1705" s="74">
        <v>102.4</v>
      </c>
      <c r="L1705" s="74">
        <v>92.16</v>
      </c>
      <c r="M1705" s="74"/>
      <c r="N1705" s="74" t="s">
        <v>392</v>
      </c>
      <c r="O1705" s="74" t="s">
        <v>402</v>
      </c>
      <c r="P1705" s="74" t="s">
        <v>2857</v>
      </c>
      <c r="Q1705" s="74" t="s">
        <v>2858</v>
      </c>
    </row>
    <row r="1706" spans="3:17" x14ac:dyDescent="0.25">
      <c r="C1706" s="74" t="s">
        <v>3224</v>
      </c>
      <c r="D1706" s="74" t="s">
        <v>3225</v>
      </c>
      <c r="E1706" s="74"/>
      <c r="F1706" s="74">
        <v>0.33</v>
      </c>
      <c r="G1706" s="74"/>
      <c r="H1706" s="74"/>
      <c r="I1706" s="74" t="s">
        <v>391</v>
      </c>
      <c r="J1706" s="74"/>
      <c r="K1706" s="74">
        <v>102.4</v>
      </c>
      <c r="L1706" s="74">
        <v>92.16</v>
      </c>
      <c r="M1706" s="74"/>
      <c r="N1706" s="74" t="s">
        <v>392</v>
      </c>
      <c r="O1706" s="74" t="s">
        <v>402</v>
      </c>
      <c r="P1706" s="74" t="s">
        <v>3226</v>
      </c>
      <c r="Q1706" s="74" t="s">
        <v>3227</v>
      </c>
    </row>
    <row r="1707" spans="3:17" x14ac:dyDescent="0.25">
      <c r="C1707" s="74" t="s">
        <v>4087</v>
      </c>
      <c r="D1707" s="74" t="s">
        <v>4088</v>
      </c>
      <c r="E1707" s="74"/>
      <c r="F1707" s="74">
        <v>0.33</v>
      </c>
      <c r="G1707" s="74"/>
      <c r="H1707" s="74"/>
      <c r="I1707" s="74" t="s">
        <v>391</v>
      </c>
      <c r="J1707" s="74"/>
      <c r="K1707" s="74">
        <v>102.4</v>
      </c>
      <c r="L1707" s="74">
        <v>92.16</v>
      </c>
      <c r="M1707" s="74"/>
      <c r="N1707" s="74" t="s">
        <v>392</v>
      </c>
      <c r="O1707" s="74" t="s">
        <v>402</v>
      </c>
      <c r="P1707" s="74" t="s">
        <v>4089</v>
      </c>
      <c r="Q1707" s="74" t="s">
        <v>4090</v>
      </c>
    </row>
    <row r="1708" spans="3:17" x14ac:dyDescent="0.25">
      <c r="C1708" s="74" t="s">
        <v>4264</v>
      </c>
      <c r="D1708" s="74" t="s">
        <v>4265</v>
      </c>
      <c r="E1708" s="74"/>
      <c r="F1708" s="74">
        <v>0.33</v>
      </c>
      <c r="G1708" s="74"/>
      <c r="H1708" s="74"/>
      <c r="I1708" s="74" t="s">
        <v>391</v>
      </c>
      <c r="J1708" s="74"/>
      <c r="K1708" s="74">
        <v>102.4</v>
      </c>
      <c r="L1708" s="74">
        <v>92.16</v>
      </c>
      <c r="M1708" s="74"/>
      <c r="N1708" s="74" t="s">
        <v>392</v>
      </c>
      <c r="O1708" s="74" t="s">
        <v>402</v>
      </c>
      <c r="P1708" s="74" t="s">
        <v>4266</v>
      </c>
      <c r="Q1708" s="74" t="s">
        <v>4267</v>
      </c>
    </row>
    <row r="1709" spans="3:17" x14ac:dyDescent="0.25">
      <c r="C1709" s="74" t="s">
        <v>5258</v>
      </c>
      <c r="D1709" s="74" t="s">
        <v>5259</v>
      </c>
      <c r="E1709" s="74"/>
      <c r="F1709" s="74">
        <v>0.33</v>
      </c>
      <c r="G1709" s="74"/>
      <c r="H1709" s="74"/>
      <c r="I1709" s="74" t="s">
        <v>391</v>
      </c>
      <c r="J1709" s="74"/>
      <c r="K1709" s="74">
        <v>102.4</v>
      </c>
      <c r="L1709" s="74">
        <v>92.16</v>
      </c>
      <c r="M1709" s="74"/>
      <c r="N1709" s="74" t="s">
        <v>392</v>
      </c>
      <c r="O1709" s="74" t="s">
        <v>402</v>
      </c>
      <c r="P1709" s="74" t="s">
        <v>5260</v>
      </c>
      <c r="Q1709" s="74" t="s">
        <v>5261</v>
      </c>
    </row>
    <row r="1710" spans="3:17" x14ac:dyDescent="0.25">
      <c r="C1710" s="74" t="s">
        <v>6993</v>
      </c>
      <c r="D1710" s="74" t="s">
        <v>6994</v>
      </c>
      <c r="E1710" s="74"/>
      <c r="F1710" s="74">
        <v>0.33</v>
      </c>
      <c r="G1710" s="74"/>
      <c r="H1710" s="74"/>
      <c r="I1710" s="74" t="s">
        <v>391</v>
      </c>
      <c r="J1710" s="74"/>
      <c r="K1710" s="74">
        <v>102.4</v>
      </c>
      <c r="L1710" s="74">
        <v>92.16</v>
      </c>
      <c r="M1710" s="74"/>
      <c r="N1710" s="74" t="s">
        <v>392</v>
      </c>
      <c r="O1710" s="74" t="s">
        <v>402</v>
      </c>
      <c r="P1710" s="74" t="s">
        <v>6995</v>
      </c>
      <c r="Q1710" s="74" t="s">
        <v>6996</v>
      </c>
    </row>
    <row r="1711" spans="3:17" x14ac:dyDescent="0.25">
      <c r="C1711" s="74" t="s">
        <v>7379</v>
      </c>
      <c r="D1711" s="74" t="s">
        <v>7380</v>
      </c>
      <c r="E1711" s="74" t="s">
        <v>391</v>
      </c>
      <c r="F1711" s="74">
        <v>0.33</v>
      </c>
      <c r="G1711" s="74"/>
      <c r="H1711" s="74"/>
      <c r="I1711" s="74" t="s">
        <v>391</v>
      </c>
      <c r="J1711" s="74"/>
      <c r="K1711" s="74">
        <v>102.4</v>
      </c>
      <c r="L1711" s="74">
        <v>92.16</v>
      </c>
      <c r="M1711" s="74"/>
      <c r="N1711" s="74" t="s">
        <v>392</v>
      </c>
      <c r="O1711" s="74" t="s">
        <v>393</v>
      </c>
      <c r="P1711" s="74"/>
      <c r="Q1711" s="74" t="s">
        <v>7381</v>
      </c>
    </row>
    <row r="1712" spans="3:17" x14ac:dyDescent="0.25">
      <c r="C1712" s="74" t="s">
        <v>7745</v>
      </c>
      <c r="D1712" s="74" t="s">
        <v>7746</v>
      </c>
      <c r="E1712" s="74"/>
      <c r="F1712" s="74">
        <v>0.33</v>
      </c>
      <c r="G1712" s="74"/>
      <c r="H1712" s="74"/>
      <c r="I1712" s="74" t="s">
        <v>391</v>
      </c>
      <c r="J1712" s="74"/>
      <c r="K1712" s="74">
        <v>102.4</v>
      </c>
      <c r="L1712" s="74">
        <v>92.16</v>
      </c>
      <c r="M1712" s="74"/>
      <c r="N1712" s="74" t="s">
        <v>392</v>
      </c>
      <c r="O1712" s="74" t="s">
        <v>402</v>
      </c>
      <c r="P1712" s="74" t="s">
        <v>7747</v>
      </c>
      <c r="Q1712" s="74" t="s">
        <v>7748</v>
      </c>
    </row>
    <row r="1713" spans="3:17" x14ac:dyDescent="0.25">
      <c r="C1713" s="74" t="s">
        <v>9511</v>
      </c>
      <c r="D1713" s="74" t="s">
        <v>9512</v>
      </c>
      <c r="E1713" s="74" t="s">
        <v>391</v>
      </c>
      <c r="F1713" s="74">
        <v>0.33</v>
      </c>
      <c r="G1713" s="74"/>
      <c r="H1713" s="74"/>
      <c r="I1713" s="74" t="s">
        <v>391</v>
      </c>
      <c r="J1713" s="74"/>
      <c r="K1713" s="74">
        <v>102.4</v>
      </c>
      <c r="L1713" s="74">
        <v>92.16</v>
      </c>
      <c r="M1713" s="74"/>
      <c r="N1713" s="74" t="s">
        <v>392</v>
      </c>
      <c r="O1713" s="74" t="s">
        <v>393</v>
      </c>
      <c r="P1713" s="74"/>
      <c r="Q1713" s="74" t="s">
        <v>9513</v>
      </c>
    </row>
    <row r="1714" spans="3:17" x14ac:dyDescent="0.25">
      <c r="C1714" s="74" t="s">
        <v>12213</v>
      </c>
      <c r="D1714" s="74" t="s">
        <v>12214</v>
      </c>
      <c r="E1714" s="74"/>
      <c r="F1714" s="74">
        <v>0.33</v>
      </c>
      <c r="G1714" s="74"/>
      <c r="H1714" s="74"/>
      <c r="I1714" s="74" t="s">
        <v>391</v>
      </c>
      <c r="J1714" s="74"/>
      <c r="K1714" s="74">
        <v>102.4</v>
      </c>
      <c r="L1714" s="74">
        <v>92.16</v>
      </c>
      <c r="M1714" s="74"/>
      <c r="N1714" s="74" t="s">
        <v>392</v>
      </c>
      <c r="O1714" s="74" t="s">
        <v>402</v>
      </c>
      <c r="P1714" s="74" t="s">
        <v>12215</v>
      </c>
      <c r="Q1714" s="74" t="s">
        <v>12216</v>
      </c>
    </row>
    <row r="1715" spans="3:17" x14ac:dyDescent="0.25">
      <c r="C1715" s="74" t="s">
        <v>15345</v>
      </c>
      <c r="D1715" s="74" t="s">
        <v>15346</v>
      </c>
      <c r="E1715" s="74"/>
      <c r="F1715" s="74">
        <v>0.33</v>
      </c>
      <c r="G1715" s="74"/>
      <c r="H1715" s="74"/>
      <c r="I1715" s="74" t="s">
        <v>391</v>
      </c>
      <c r="J1715" s="74"/>
      <c r="K1715" s="74">
        <v>102.4</v>
      </c>
      <c r="L1715" s="74">
        <v>92.16</v>
      </c>
      <c r="M1715" s="74"/>
      <c r="N1715" s="74" t="s">
        <v>392</v>
      </c>
      <c r="O1715" s="74" t="s">
        <v>402</v>
      </c>
      <c r="P1715" s="74" t="s">
        <v>15347</v>
      </c>
      <c r="Q1715" s="74" t="s">
        <v>15348</v>
      </c>
    </row>
    <row r="1716" spans="3:17" x14ac:dyDescent="0.25">
      <c r="C1716" s="74" t="s">
        <v>17078</v>
      </c>
      <c r="D1716" s="74" t="s">
        <v>17079</v>
      </c>
      <c r="E1716" s="74"/>
      <c r="F1716" s="74">
        <v>0.33</v>
      </c>
      <c r="G1716" s="74"/>
      <c r="H1716" s="74"/>
      <c r="I1716" s="74" t="s">
        <v>391</v>
      </c>
      <c r="J1716" s="74"/>
      <c r="K1716" s="74">
        <v>102.4</v>
      </c>
      <c r="L1716" s="74">
        <v>92.16</v>
      </c>
      <c r="M1716" s="74"/>
      <c r="N1716" s="74" t="s">
        <v>392</v>
      </c>
      <c r="O1716" s="74" t="s">
        <v>402</v>
      </c>
      <c r="P1716" s="74" t="s">
        <v>17080</v>
      </c>
      <c r="Q1716" s="74" t="s">
        <v>17081</v>
      </c>
    </row>
    <row r="1717" spans="3:17" x14ac:dyDescent="0.25">
      <c r="C1717" s="158" t="s">
        <v>17295</v>
      </c>
      <c r="D1717" s="158" t="s">
        <v>17296</v>
      </c>
      <c r="F1717" s="158">
        <v>0.33</v>
      </c>
      <c r="I1717" s="158" t="s">
        <v>391</v>
      </c>
      <c r="K1717" s="158">
        <v>102.4</v>
      </c>
      <c r="L1717" s="158">
        <v>92.16</v>
      </c>
      <c r="N1717" s="158" t="s">
        <v>392</v>
      </c>
      <c r="O1717" s="158" t="s">
        <v>402</v>
      </c>
      <c r="P1717" s="158" t="s">
        <v>17297</v>
      </c>
      <c r="Q1717" s="158" t="s">
        <v>17298</v>
      </c>
    </row>
    <row r="1718" spans="3:17" x14ac:dyDescent="0.25">
      <c r="C1718" s="74" t="s">
        <v>19458</v>
      </c>
      <c r="D1718" s="74" t="s">
        <v>19459</v>
      </c>
      <c r="E1718" s="74"/>
      <c r="F1718" s="74">
        <v>0.33</v>
      </c>
      <c r="G1718" s="74"/>
      <c r="H1718" s="74"/>
      <c r="I1718" s="74" t="s">
        <v>391</v>
      </c>
      <c r="J1718" s="74"/>
      <c r="K1718" s="74">
        <v>102.4</v>
      </c>
      <c r="L1718" s="74">
        <v>92.16</v>
      </c>
      <c r="M1718" s="74"/>
      <c r="N1718" s="74" t="s">
        <v>392</v>
      </c>
      <c r="O1718" s="74" t="s">
        <v>402</v>
      </c>
      <c r="P1718" s="74" t="s">
        <v>19460</v>
      </c>
      <c r="Q1718" s="74" t="s">
        <v>19461</v>
      </c>
    </row>
    <row r="1719" spans="3:17" x14ac:dyDescent="0.25">
      <c r="C1719" s="74" t="s">
        <v>20535</v>
      </c>
      <c r="D1719" s="74" t="s">
        <v>20536</v>
      </c>
      <c r="E1719" s="74"/>
      <c r="F1719" s="74">
        <v>0.33</v>
      </c>
      <c r="G1719" s="74"/>
      <c r="H1719" s="74"/>
      <c r="I1719" s="74" t="s">
        <v>391</v>
      </c>
      <c r="J1719" s="74"/>
      <c r="K1719" s="74">
        <v>102.4</v>
      </c>
      <c r="L1719" s="74">
        <v>92.16</v>
      </c>
      <c r="M1719" s="74"/>
      <c r="N1719" s="74" t="s">
        <v>392</v>
      </c>
      <c r="O1719" s="74" t="s">
        <v>402</v>
      </c>
      <c r="P1719" s="74" t="s">
        <v>20537</v>
      </c>
      <c r="Q1719" s="74" t="s">
        <v>20538</v>
      </c>
    </row>
    <row r="1720" spans="3:17" x14ac:dyDescent="0.25">
      <c r="C1720" s="158" t="s">
        <v>21281</v>
      </c>
      <c r="D1720" s="158" t="s">
        <v>21282</v>
      </c>
      <c r="F1720" s="158">
        <v>0.33</v>
      </c>
      <c r="I1720" s="158" t="s">
        <v>391</v>
      </c>
      <c r="K1720" s="158">
        <v>102.4</v>
      </c>
      <c r="L1720" s="158">
        <v>92.16</v>
      </c>
      <c r="N1720" s="158" t="s">
        <v>392</v>
      </c>
      <c r="O1720" s="158" t="s">
        <v>402</v>
      </c>
      <c r="P1720" s="158" t="s">
        <v>21283</v>
      </c>
      <c r="Q1720" s="158" t="s">
        <v>21284</v>
      </c>
    </row>
    <row r="1721" spans="3:17" x14ac:dyDescent="0.25">
      <c r="C1721" s="74" t="s">
        <v>4441</v>
      </c>
      <c r="D1721" s="74" t="s">
        <v>4442</v>
      </c>
      <c r="E1721" s="74" t="s">
        <v>391</v>
      </c>
      <c r="F1721" s="74">
        <v>0.32</v>
      </c>
      <c r="G1721" s="74"/>
      <c r="H1721" s="74"/>
      <c r="I1721" s="74" t="s">
        <v>391</v>
      </c>
      <c r="J1721" s="74"/>
      <c r="K1721" s="74">
        <v>102.4</v>
      </c>
      <c r="L1721" s="74">
        <v>92.16</v>
      </c>
      <c r="M1721" s="74"/>
      <c r="N1721" s="74" t="s">
        <v>392</v>
      </c>
      <c r="O1721" s="74" t="s">
        <v>393</v>
      </c>
      <c r="P1721" s="74" t="s">
        <v>4443</v>
      </c>
      <c r="Q1721" s="74" t="s">
        <v>4444</v>
      </c>
    </row>
    <row r="1722" spans="3:17" x14ac:dyDescent="0.25">
      <c r="C1722" s="74" t="s">
        <v>4546</v>
      </c>
      <c r="D1722" s="74" t="s">
        <v>4547</v>
      </c>
      <c r="E1722" s="74"/>
      <c r="F1722" s="74">
        <v>0.32</v>
      </c>
      <c r="G1722" s="74"/>
      <c r="H1722" s="74"/>
      <c r="I1722" s="74" t="s">
        <v>391</v>
      </c>
      <c r="J1722" s="74"/>
      <c r="K1722" s="74">
        <v>102.4</v>
      </c>
      <c r="L1722" s="74">
        <v>92.16</v>
      </c>
      <c r="M1722" s="74"/>
      <c r="N1722" s="74" t="s">
        <v>392</v>
      </c>
      <c r="O1722" s="74" t="s">
        <v>402</v>
      </c>
      <c r="P1722" s="74" t="s">
        <v>4548</v>
      </c>
      <c r="Q1722" s="74" t="s">
        <v>4549</v>
      </c>
    </row>
    <row r="1723" spans="3:17" x14ac:dyDescent="0.25">
      <c r="C1723" s="74" t="s">
        <v>5993</v>
      </c>
      <c r="D1723" s="74" t="s">
        <v>5994</v>
      </c>
      <c r="E1723" s="74"/>
      <c r="F1723" s="74">
        <v>0.32</v>
      </c>
      <c r="G1723" s="74"/>
      <c r="H1723" s="74"/>
      <c r="I1723" s="74" t="s">
        <v>391</v>
      </c>
      <c r="J1723" s="74"/>
      <c r="K1723" s="74">
        <v>102.4</v>
      </c>
      <c r="L1723" s="74">
        <v>92.16</v>
      </c>
      <c r="M1723" s="74"/>
      <c r="N1723" s="74" t="s">
        <v>392</v>
      </c>
      <c r="O1723" s="74" t="s">
        <v>402</v>
      </c>
      <c r="P1723" s="74" t="s">
        <v>5995</v>
      </c>
      <c r="Q1723" s="74" t="s">
        <v>5996</v>
      </c>
    </row>
    <row r="1724" spans="3:17" x14ac:dyDescent="0.25">
      <c r="C1724" s="74" t="s">
        <v>6846</v>
      </c>
      <c r="D1724" s="74" t="s">
        <v>6847</v>
      </c>
      <c r="E1724" s="74"/>
      <c r="F1724" s="74">
        <v>0.32</v>
      </c>
      <c r="G1724" s="74"/>
      <c r="H1724" s="74"/>
      <c r="I1724" s="74" t="s">
        <v>391</v>
      </c>
      <c r="J1724" s="74"/>
      <c r="K1724" s="74">
        <v>102.4</v>
      </c>
      <c r="L1724" s="74">
        <v>92.16</v>
      </c>
      <c r="M1724" s="74"/>
      <c r="N1724" s="74" t="s">
        <v>392</v>
      </c>
      <c r="O1724" s="74" t="s">
        <v>402</v>
      </c>
      <c r="P1724" s="74" t="s">
        <v>6848</v>
      </c>
      <c r="Q1724" s="74" t="s">
        <v>6849</v>
      </c>
    </row>
    <row r="1725" spans="3:17" x14ac:dyDescent="0.25">
      <c r="C1725" s="74" t="s">
        <v>6941</v>
      </c>
      <c r="D1725" s="74" t="s">
        <v>6942</v>
      </c>
      <c r="E1725" s="74"/>
      <c r="F1725" s="74">
        <v>0.32</v>
      </c>
      <c r="G1725" s="74"/>
      <c r="H1725" s="74"/>
      <c r="I1725" s="74" t="s">
        <v>391</v>
      </c>
      <c r="J1725" s="74"/>
      <c r="K1725" s="74">
        <v>102.4</v>
      </c>
      <c r="L1725" s="74">
        <v>92.16</v>
      </c>
      <c r="M1725" s="74"/>
      <c r="N1725" s="74" t="s">
        <v>392</v>
      </c>
      <c r="O1725" s="74" t="s">
        <v>402</v>
      </c>
      <c r="P1725" s="74" t="s">
        <v>6943</v>
      </c>
      <c r="Q1725" s="74" t="s">
        <v>6944</v>
      </c>
    </row>
    <row r="1726" spans="3:17" x14ac:dyDescent="0.25">
      <c r="C1726" s="74" t="s">
        <v>7173</v>
      </c>
      <c r="D1726" s="74" t="s">
        <v>7174</v>
      </c>
      <c r="E1726" s="74"/>
      <c r="F1726" s="74">
        <v>0.32</v>
      </c>
      <c r="G1726" s="74"/>
      <c r="H1726" s="74"/>
      <c r="I1726" s="74" t="s">
        <v>391</v>
      </c>
      <c r="J1726" s="74"/>
      <c r="K1726" s="74">
        <v>102.4</v>
      </c>
      <c r="L1726" s="74">
        <v>92.16</v>
      </c>
      <c r="M1726" s="74"/>
      <c r="N1726" s="74" t="s">
        <v>392</v>
      </c>
      <c r="O1726" s="74" t="s">
        <v>402</v>
      </c>
      <c r="P1726" s="74" t="s">
        <v>7175</v>
      </c>
      <c r="Q1726" s="74" t="s">
        <v>7176</v>
      </c>
    </row>
    <row r="1727" spans="3:17" x14ac:dyDescent="0.25">
      <c r="C1727" s="74" t="s">
        <v>8606</v>
      </c>
      <c r="D1727" s="74" t="s">
        <v>8607</v>
      </c>
      <c r="E1727" s="74"/>
      <c r="F1727" s="74">
        <v>0.32</v>
      </c>
      <c r="G1727" s="74"/>
      <c r="H1727" s="74"/>
      <c r="I1727" s="74" t="s">
        <v>391</v>
      </c>
      <c r="J1727" s="74"/>
      <c r="K1727" s="74">
        <v>102.4</v>
      </c>
      <c r="L1727" s="74">
        <v>92.16</v>
      </c>
      <c r="M1727" s="74"/>
      <c r="N1727" s="74" t="s">
        <v>392</v>
      </c>
      <c r="O1727" s="74" t="s">
        <v>402</v>
      </c>
      <c r="P1727" s="74" t="s">
        <v>8608</v>
      </c>
      <c r="Q1727" s="74" t="s">
        <v>8609</v>
      </c>
    </row>
    <row r="1728" spans="3:17" x14ac:dyDescent="0.25">
      <c r="C1728" s="74" t="s">
        <v>8969</v>
      </c>
      <c r="D1728" s="74" t="s">
        <v>8970</v>
      </c>
      <c r="E1728" s="74"/>
      <c r="F1728" s="74">
        <v>0.32</v>
      </c>
      <c r="G1728" s="74"/>
      <c r="H1728" s="74"/>
      <c r="I1728" s="74" t="s">
        <v>391</v>
      </c>
      <c r="J1728" s="74"/>
      <c r="K1728" s="74">
        <v>102.4</v>
      </c>
      <c r="L1728" s="74">
        <v>92.16</v>
      </c>
      <c r="M1728" s="74"/>
      <c r="N1728" s="74" t="s">
        <v>392</v>
      </c>
      <c r="O1728" s="74" t="s">
        <v>402</v>
      </c>
      <c r="P1728" s="74" t="s">
        <v>8971</v>
      </c>
      <c r="Q1728" s="74" t="s">
        <v>8972</v>
      </c>
    </row>
    <row r="1729" spans="3:17" x14ac:dyDescent="0.25">
      <c r="C1729" s="74" t="s">
        <v>10006</v>
      </c>
      <c r="D1729" s="74" t="s">
        <v>10007</v>
      </c>
      <c r="E1729" s="74"/>
      <c r="F1729" s="74">
        <v>0.32</v>
      </c>
      <c r="G1729" s="74"/>
      <c r="H1729" s="74"/>
      <c r="I1729" s="74" t="s">
        <v>391</v>
      </c>
      <c r="J1729" s="74"/>
      <c r="K1729" s="74">
        <v>102.4</v>
      </c>
      <c r="L1729" s="74">
        <v>92.16</v>
      </c>
      <c r="M1729" s="74"/>
      <c r="N1729" s="74" t="s">
        <v>392</v>
      </c>
      <c r="O1729" s="74" t="s">
        <v>402</v>
      </c>
      <c r="P1729" s="74" t="s">
        <v>10008</v>
      </c>
      <c r="Q1729" s="74" t="s">
        <v>10009</v>
      </c>
    </row>
    <row r="1730" spans="3:17" x14ac:dyDescent="0.25">
      <c r="C1730" s="74" t="s">
        <v>10196</v>
      </c>
      <c r="D1730" s="74" t="s">
        <v>10197</v>
      </c>
      <c r="E1730" s="74"/>
      <c r="F1730" s="74">
        <v>0.32</v>
      </c>
      <c r="G1730" s="74"/>
      <c r="H1730" s="74"/>
      <c r="I1730" s="74" t="s">
        <v>391</v>
      </c>
      <c r="J1730" s="74"/>
      <c r="K1730" s="74">
        <v>102.4</v>
      </c>
      <c r="L1730" s="74">
        <v>92.16</v>
      </c>
      <c r="M1730" s="74"/>
      <c r="N1730" s="74" t="s">
        <v>392</v>
      </c>
      <c r="O1730" s="74" t="s">
        <v>402</v>
      </c>
      <c r="P1730" s="74" t="s">
        <v>10198</v>
      </c>
      <c r="Q1730" s="74" t="s">
        <v>10199</v>
      </c>
    </row>
    <row r="1731" spans="3:17" x14ac:dyDescent="0.25">
      <c r="C1731" s="74" t="s">
        <v>10319</v>
      </c>
      <c r="D1731" s="74" t="s">
        <v>10320</v>
      </c>
      <c r="E1731" s="74"/>
      <c r="F1731" s="74">
        <v>0.32</v>
      </c>
      <c r="G1731" s="74"/>
      <c r="H1731" s="74"/>
      <c r="I1731" s="74" t="s">
        <v>391</v>
      </c>
      <c r="J1731" s="74"/>
      <c r="K1731" s="74">
        <v>102.4</v>
      </c>
      <c r="L1731" s="74">
        <v>92.16</v>
      </c>
      <c r="M1731" s="74"/>
      <c r="N1731" s="74" t="s">
        <v>392</v>
      </c>
      <c r="O1731" s="74" t="s">
        <v>402</v>
      </c>
      <c r="P1731" s="74" t="s">
        <v>10321</v>
      </c>
      <c r="Q1731" s="74" t="s">
        <v>10322</v>
      </c>
    </row>
    <row r="1732" spans="3:17" x14ac:dyDescent="0.25">
      <c r="C1732" s="74" t="s">
        <v>11381</v>
      </c>
      <c r="D1732" s="74" t="s">
        <v>11382</v>
      </c>
      <c r="E1732" s="74"/>
      <c r="F1732" s="74">
        <v>0.32</v>
      </c>
      <c r="G1732" s="74"/>
      <c r="H1732" s="74"/>
      <c r="I1732" s="74" t="s">
        <v>391</v>
      </c>
      <c r="J1732" s="74"/>
      <c r="K1732" s="74">
        <v>102.4</v>
      </c>
      <c r="L1732" s="74">
        <v>92.16</v>
      </c>
      <c r="M1732" s="74"/>
      <c r="N1732" s="74" t="s">
        <v>392</v>
      </c>
      <c r="O1732" s="74" t="s">
        <v>402</v>
      </c>
      <c r="P1732" s="74" t="s">
        <v>11383</v>
      </c>
      <c r="Q1732" s="74" t="s">
        <v>11384</v>
      </c>
    </row>
    <row r="1733" spans="3:17" x14ac:dyDescent="0.25">
      <c r="C1733" s="74" t="s">
        <v>12385</v>
      </c>
      <c r="D1733" s="74" t="s">
        <v>12386</v>
      </c>
      <c r="E1733" s="74" t="s">
        <v>391</v>
      </c>
      <c r="F1733" s="74">
        <v>0.32</v>
      </c>
      <c r="G1733" s="74"/>
      <c r="H1733" s="74"/>
      <c r="I1733" s="74" t="s">
        <v>391</v>
      </c>
      <c r="J1733" s="74"/>
      <c r="K1733" s="74">
        <v>102.4</v>
      </c>
      <c r="L1733" s="74">
        <v>92.16</v>
      </c>
      <c r="M1733" s="74"/>
      <c r="N1733" s="74" t="s">
        <v>392</v>
      </c>
      <c r="O1733" s="74" t="s">
        <v>393</v>
      </c>
      <c r="P1733" s="74"/>
      <c r="Q1733" s="74" t="s">
        <v>12387</v>
      </c>
    </row>
    <row r="1734" spans="3:17" x14ac:dyDescent="0.25">
      <c r="C1734" s="74" t="s">
        <v>13302</v>
      </c>
      <c r="D1734" s="74" t="s">
        <v>13303</v>
      </c>
      <c r="E1734" s="74" t="s">
        <v>391</v>
      </c>
      <c r="F1734" s="74">
        <v>0.32</v>
      </c>
      <c r="G1734" s="74"/>
      <c r="H1734" s="74"/>
      <c r="I1734" s="74" t="s">
        <v>391</v>
      </c>
      <c r="J1734" s="74"/>
      <c r="K1734" s="74">
        <v>102.4</v>
      </c>
      <c r="L1734" s="74">
        <v>92.16</v>
      </c>
      <c r="M1734" s="74"/>
      <c r="N1734" s="74" t="s">
        <v>392</v>
      </c>
      <c r="O1734" s="74" t="s">
        <v>393</v>
      </c>
      <c r="P1734" s="74"/>
      <c r="Q1734" s="74" t="s">
        <v>13304</v>
      </c>
    </row>
    <row r="1735" spans="3:17" x14ac:dyDescent="0.25">
      <c r="C1735" s="74" t="s">
        <v>14517</v>
      </c>
      <c r="D1735" s="74" t="s">
        <v>14518</v>
      </c>
      <c r="E1735" s="74"/>
      <c r="F1735" s="74">
        <v>0.32</v>
      </c>
      <c r="G1735" s="74"/>
      <c r="H1735" s="74"/>
      <c r="I1735" s="74" t="s">
        <v>391</v>
      </c>
      <c r="J1735" s="74"/>
      <c r="K1735" s="74">
        <v>102.4</v>
      </c>
      <c r="L1735" s="74">
        <v>92.16</v>
      </c>
      <c r="M1735" s="74"/>
      <c r="N1735" s="74" t="s">
        <v>392</v>
      </c>
      <c r="O1735" s="74" t="s">
        <v>402</v>
      </c>
      <c r="P1735" s="74" t="s">
        <v>14519</v>
      </c>
      <c r="Q1735" s="74" t="s">
        <v>14520</v>
      </c>
    </row>
    <row r="1736" spans="3:17" x14ac:dyDescent="0.25">
      <c r="C1736" s="74" t="s">
        <v>15637</v>
      </c>
      <c r="D1736" s="74" t="s">
        <v>15638</v>
      </c>
      <c r="E1736" s="74"/>
      <c r="F1736" s="74">
        <v>0.32</v>
      </c>
      <c r="G1736" s="74"/>
      <c r="H1736" s="74"/>
      <c r="I1736" s="74" t="s">
        <v>391</v>
      </c>
      <c r="J1736" s="74"/>
      <c r="K1736" s="74">
        <v>102.4</v>
      </c>
      <c r="L1736" s="74">
        <v>92.16</v>
      </c>
      <c r="M1736" s="74"/>
      <c r="N1736" s="74" t="s">
        <v>392</v>
      </c>
      <c r="O1736" s="74" t="s">
        <v>402</v>
      </c>
      <c r="P1736" s="74" t="s">
        <v>15639</v>
      </c>
      <c r="Q1736" s="74" t="s">
        <v>15640</v>
      </c>
    </row>
    <row r="1737" spans="3:17" x14ac:dyDescent="0.25">
      <c r="C1737" s="74" t="s">
        <v>17518</v>
      </c>
      <c r="D1737" s="74" t="s">
        <v>17519</v>
      </c>
      <c r="E1737" s="74"/>
      <c r="F1737" s="74">
        <v>0.32</v>
      </c>
      <c r="G1737" s="74"/>
      <c r="H1737" s="74"/>
      <c r="I1737" s="74" t="s">
        <v>391</v>
      </c>
      <c r="J1737" s="74"/>
      <c r="K1737" s="74">
        <v>102.4</v>
      </c>
      <c r="L1737" s="74">
        <v>92.16</v>
      </c>
      <c r="M1737" s="74"/>
      <c r="N1737" s="74" t="s">
        <v>392</v>
      </c>
      <c r="O1737" s="74" t="s">
        <v>402</v>
      </c>
      <c r="P1737" s="74" t="s">
        <v>17520</v>
      </c>
      <c r="Q1737" s="74" t="s">
        <v>17521</v>
      </c>
    </row>
    <row r="1738" spans="3:17" x14ac:dyDescent="0.25">
      <c r="C1738" s="74" t="s">
        <v>18534</v>
      </c>
      <c r="D1738" s="74" t="s">
        <v>18535</v>
      </c>
      <c r="E1738" s="74"/>
      <c r="F1738" s="74">
        <v>0.32</v>
      </c>
      <c r="G1738" s="74"/>
      <c r="H1738" s="74"/>
      <c r="I1738" s="74" t="s">
        <v>391</v>
      </c>
      <c r="J1738" s="74"/>
      <c r="K1738" s="74">
        <v>102.4</v>
      </c>
      <c r="L1738" s="74">
        <v>92.16</v>
      </c>
      <c r="M1738" s="74"/>
      <c r="N1738" s="74" t="s">
        <v>392</v>
      </c>
      <c r="O1738" s="74" t="s">
        <v>402</v>
      </c>
      <c r="P1738" s="74" t="s">
        <v>18536</v>
      </c>
      <c r="Q1738" s="74" t="s">
        <v>18537</v>
      </c>
    </row>
    <row r="1739" spans="3:17" x14ac:dyDescent="0.25">
      <c r="C1739" s="74" t="s">
        <v>18564</v>
      </c>
      <c r="D1739" s="74" t="s">
        <v>18565</v>
      </c>
      <c r="E1739" s="74"/>
      <c r="F1739" s="74">
        <v>0.32</v>
      </c>
      <c r="G1739" s="74"/>
      <c r="H1739" s="74"/>
      <c r="I1739" s="74" t="s">
        <v>391</v>
      </c>
      <c r="J1739" s="74"/>
      <c r="K1739" s="74">
        <v>102.4</v>
      </c>
      <c r="L1739" s="74">
        <v>92.16</v>
      </c>
      <c r="M1739" s="74"/>
      <c r="N1739" s="74" t="s">
        <v>392</v>
      </c>
      <c r="O1739" s="74" t="s">
        <v>402</v>
      </c>
      <c r="P1739" s="74" t="s">
        <v>18566</v>
      </c>
      <c r="Q1739" s="74" t="s">
        <v>18567</v>
      </c>
    </row>
    <row r="1740" spans="3:17" x14ac:dyDescent="0.25">
      <c r="C1740" s="74" t="s">
        <v>18847</v>
      </c>
      <c r="D1740" s="74" t="s">
        <v>18848</v>
      </c>
      <c r="E1740" s="74"/>
      <c r="F1740" s="74">
        <v>0.32</v>
      </c>
      <c r="G1740" s="74"/>
      <c r="H1740" s="74"/>
      <c r="I1740" s="74" t="s">
        <v>391</v>
      </c>
      <c r="J1740" s="74"/>
      <c r="K1740" s="74">
        <v>102.4</v>
      </c>
      <c r="L1740" s="74">
        <v>92.16</v>
      </c>
      <c r="M1740" s="74"/>
      <c r="N1740" s="74" t="s">
        <v>392</v>
      </c>
      <c r="O1740" s="74" t="s">
        <v>402</v>
      </c>
      <c r="P1740" s="74" t="s">
        <v>18849</v>
      </c>
      <c r="Q1740" s="74" t="s">
        <v>18850</v>
      </c>
    </row>
    <row r="1741" spans="3:17" x14ac:dyDescent="0.25">
      <c r="C1741" s="74" t="s">
        <v>20726</v>
      </c>
      <c r="D1741" s="74" t="s">
        <v>20727</v>
      </c>
      <c r="E1741" s="74"/>
      <c r="F1741" s="74">
        <v>0.32</v>
      </c>
      <c r="G1741" s="74"/>
      <c r="H1741" s="74"/>
      <c r="I1741" s="74" t="s">
        <v>391</v>
      </c>
      <c r="J1741" s="74"/>
      <c r="K1741" s="74">
        <v>102.4</v>
      </c>
      <c r="L1741" s="74">
        <v>92.16</v>
      </c>
      <c r="M1741" s="74"/>
      <c r="N1741" s="74" t="s">
        <v>392</v>
      </c>
      <c r="O1741" s="74" t="s">
        <v>402</v>
      </c>
      <c r="P1741" s="74" t="s">
        <v>20728</v>
      </c>
      <c r="Q1741" s="74" t="s">
        <v>20729</v>
      </c>
    </row>
    <row r="1742" spans="3:17" x14ac:dyDescent="0.25">
      <c r="C1742" s="74" t="s">
        <v>2328</v>
      </c>
      <c r="D1742" s="74" t="s">
        <v>2329</v>
      </c>
      <c r="E1742" s="74"/>
      <c r="F1742" s="74">
        <v>0.31</v>
      </c>
      <c r="G1742" s="74"/>
      <c r="H1742" s="74"/>
      <c r="I1742" s="74" t="s">
        <v>391</v>
      </c>
      <c r="J1742" s="74"/>
      <c r="K1742" s="74">
        <v>102.4</v>
      </c>
      <c r="L1742" s="74">
        <v>92.16</v>
      </c>
      <c r="M1742" s="74"/>
      <c r="N1742" s="74" t="s">
        <v>392</v>
      </c>
      <c r="O1742" s="74" t="s">
        <v>402</v>
      </c>
      <c r="P1742" s="74" t="s">
        <v>2330</v>
      </c>
      <c r="Q1742" s="74" t="s">
        <v>2331</v>
      </c>
    </row>
    <row r="1743" spans="3:17" x14ac:dyDescent="0.25">
      <c r="C1743" s="74" t="s">
        <v>2432</v>
      </c>
      <c r="D1743" s="74" t="s">
        <v>2433</v>
      </c>
      <c r="E1743" s="74"/>
      <c r="F1743" s="74">
        <v>0.31</v>
      </c>
      <c r="G1743" s="74"/>
      <c r="H1743" s="74"/>
      <c r="I1743" s="74" t="s">
        <v>391</v>
      </c>
      <c r="J1743" s="74"/>
      <c r="K1743" s="74">
        <v>102.4</v>
      </c>
      <c r="L1743" s="74">
        <v>92.16</v>
      </c>
      <c r="M1743" s="74"/>
      <c r="N1743" s="74" t="s">
        <v>392</v>
      </c>
      <c r="O1743" s="74" t="s">
        <v>402</v>
      </c>
      <c r="P1743" s="74" t="s">
        <v>2434</v>
      </c>
      <c r="Q1743" s="74" t="s">
        <v>2435</v>
      </c>
    </row>
    <row r="1744" spans="3:17" x14ac:dyDescent="0.25">
      <c r="C1744" s="74" t="s">
        <v>2836</v>
      </c>
      <c r="D1744" s="74" t="s">
        <v>2837</v>
      </c>
      <c r="E1744" s="74"/>
      <c r="F1744" s="74">
        <v>0.31</v>
      </c>
      <c r="G1744" s="74"/>
      <c r="H1744" s="74"/>
      <c r="I1744" s="74" t="s">
        <v>391</v>
      </c>
      <c r="J1744" s="74"/>
      <c r="K1744" s="74">
        <v>102.4</v>
      </c>
      <c r="L1744" s="74">
        <v>92.16</v>
      </c>
      <c r="M1744" s="74"/>
      <c r="N1744" s="74" t="s">
        <v>392</v>
      </c>
      <c r="O1744" s="74" t="s">
        <v>402</v>
      </c>
      <c r="P1744" s="74" t="s">
        <v>2838</v>
      </c>
      <c r="Q1744" s="74" t="s">
        <v>2839</v>
      </c>
    </row>
    <row r="1745" spans="3:17" x14ac:dyDescent="0.25">
      <c r="C1745" s="74" t="s">
        <v>2951</v>
      </c>
      <c r="D1745" s="74" t="s">
        <v>2952</v>
      </c>
      <c r="E1745" s="74"/>
      <c r="F1745" s="74">
        <v>0.31</v>
      </c>
      <c r="G1745" s="74"/>
      <c r="H1745" s="74"/>
      <c r="I1745" s="74" t="s">
        <v>391</v>
      </c>
      <c r="J1745" s="74"/>
      <c r="K1745" s="74">
        <v>102.4</v>
      </c>
      <c r="L1745" s="74">
        <v>92.16</v>
      </c>
      <c r="M1745" s="74"/>
      <c r="N1745" s="74" t="s">
        <v>392</v>
      </c>
      <c r="O1745" s="74" t="s">
        <v>402</v>
      </c>
      <c r="P1745" s="74" t="s">
        <v>2953</v>
      </c>
      <c r="Q1745" s="74" t="s">
        <v>2954</v>
      </c>
    </row>
    <row r="1746" spans="3:17" x14ac:dyDescent="0.25">
      <c r="C1746" s="74" t="s">
        <v>3177</v>
      </c>
      <c r="D1746" s="74" t="s">
        <v>3178</v>
      </c>
      <c r="E1746" s="74" t="s">
        <v>391</v>
      </c>
      <c r="F1746" s="74">
        <v>0.31</v>
      </c>
      <c r="G1746" s="74"/>
      <c r="H1746" s="74"/>
      <c r="I1746" s="74" t="s">
        <v>391</v>
      </c>
      <c r="J1746" s="74"/>
      <c r="K1746" s="74">
        <v>102.4</v>
      </c>
      <c r="L1746" s="74">
        <v>92.16</v>
      </c>
      <c r="M1746" s="74"/>
      <c r="N1746" s="74" t="s">
        <v>392</v>
      </c>
      <c r="O1746" s="74" t="s">
        <v>393</v>
      </c>
      <c r="P1746" s="74"/>
      <c r="Q1746" s="74" t="s">
        <v>3179</v>
      </c>
    </row>
    <row r="1747" spans="3:17" x14ac:dyDescent="0.25">
      <c r="C1747" s="74" t="s">
        <v>5100</v>
      </c>
      <c r="D1747" s="74" t="s">
        <v>5101</v>
      </c>
      <c r="E1747" s="74"/>
      <c r="F1747" s="74">
        <v>0.31</v>
      </c>
      <c r="G1747" s="74"/>
      <c r="H1747" s="74"/>
      <c r="I1747" s="74" t="s">
        <v>391</v>
      </c>
      <c r="J1747" s="74"/>
      <c r="K1747" s="74">
        <v>102.4</v>
      </c>
      <c r="L1747" s="74">
        <v>92.16</v>
      </c>
      <c r="M1747" s="74"/>
      <c r="N1747" s="74" t="s">
        <v>392</v>
      </c>
      <c r="O1747" s="74" t="s">
        <v>402</v>
      </c>
      <c r="P1747" s="74" t="s">
        <v>5102</v>
      </c>
      <c r="Q1747" s="74" t="s">
        <v>5103</v>
      </c>
    </row>
    <row r="1748" spans="3:17" x14ac:dyDescent="0.25">
      <c r="C1748" s="74" t="s">
        <v>6411</v>
      </c>
      <c r="D1748" s="74" t="s">
        <v>6412</v>
      </c>
      <c r="E1748" s="74"/>
      <c r="F1748" s="74">
        <v>0.31</v>
      </c>
      <c r="G1748" s="74"/>
      <c r="H1748" s="74"/>
      <c r="I1748" s="74" t="s">
        <v>391</v>
      </c>
      <c r="J1748" s="74"/>
      <c r="K1748" s="74">
        <v>102.4</v>
      </c>
      <c r="L1748" s="74">
        <v>92.16</v>
      </c>
      <c r="M1748" s="74"/>
      <c r="N1748" s="74" t="s">
        <v>392</v>
      </c>
      <c r="O1748" s="74" t="s">
        <v>402</v>
      </c>
      <c r="P1748" s="74" t="s">
        <v>6413</v>
      </c>
      <c r="Q1748" s="74" t="s">
        <v>6414</v>
      </c>
    </row>
    <row r="1749" spans="3:17" x14ac:dyDescent="0.25">
      <c r="C1749" s="74" t="s">
        <v>6923</v>
      </c>
      <c r="D1749" s="74" t="s">
        <v>6924</v>
      </c>
      <c r="E1749" s="74"/>
      <c r="F1749" s="74">
        <v>0.31</v>
      </c>
      <c r="G1749" s="74"/>
      <c r="H1749" s="74"/>
      <c r="I1749" s="74" t="s">
        <v>391</v>
      </c>
      <c r="J1749" s="74"/>
      <c r="K1749" s="74">
        <v>102.4</v>
      </c>
      <c r="L1749" s="74">
        <v>92.16</v>
      </c>
      <c r="M1749" s="74"/>
      <c r="N1749" s="74" t="s">
        <v>392</v>
      </c>
      <c r="O1749" s="74" t="s">
        <v>402</v>
      </c>
      <c r="P1749" s="74" t="s">
        <v>6925</v>
      </c>
      <c r="Q1749" s="74" t="s">
        <v>6926</v>
      </c>
    </row>
    <row r="1750" spans="3:17" x14ac:dyDescent="0.25">
      <c r="C1750" s="74" t="s">
        <v>7397</v>
      </c>
      <c r="D1750" s="74" t="s">
        <v>7398</v>
      </c>
      <c r="E1750" s="74"/>
      <c r="F1750" s="74">
        <v>0.31</v>
      </c>
      <c r="G1750" s="74"/>
      <c r="H1750" s="74"/>
      <c r="I1750" s="74" t="s">
        <v>391</v>
      </c>
      <c r="J1750" s="74"/>
      <c r="K1750" s="74">
        <v>102.4</v>
      </c>
      <c r="L1750" s="74">
        <v>92.16</v>
      </c>
      <c r="M1750" s="74"/>
      <c r="N1750" s="74" t="s">
        <v>392</v>
      </c>
      <c r="O1750" s="74" t="s">
        <v>402</v>
      </c>
      <c r="P1750" s="74" t="s">
        <v>7399</v>
      </c>
      <c r="Q1750" s="74" t="s">
        <v>7400</v>
      </c>
    </row>
    <row r="1751" spans="3:17" x14ac:dyDescent="0.25">
      <c r="C1751" s="74" t="s">
        <v>8386</v>
      </c>
      <c r="D1751" s="74" t="s">
        <v>8387</v>
      </c>
      <c r="E1751" s="74"/>
      <c r="F1751" s="74">
        <v>0.31</v>
      </c>
      <c r="G1751" s="74"/>
      <c r="H1751" s="74"/>
      <c r="I1751" s="74" t="s">
        <v>391</v>
      </c>
      <c r="J1751" s="74"/>
      <c r="K1751" s="74">
        <v>102.4</v>
      </c>
      <c r="L1751" s="74">
        <v>92.16</v>
      </c>
      <c r="M1751" s="74"/>
      <c r="N1751" s="74" t="s">
        <v>392</v>
      </c>
      <c r="O1751" s="74" t="s">
        <v>402</v>
      </c>
      <c r="P1751" s="74" t="s">
        <v>8388</v>
      </c>
      <c r="Q1751" s="74" t="s">
        <v>8389</v>
      </c>
    </row>
    <row r="1752" spans="3:17" x14ac:dyDescent="0.25">
      <c r="C1752" s="74" t="s">
        <v>9215</v>
      </c>
      <c r="D1752" s="74" t="s">
        <v>9216</v>
      </c>
      <c r="E1752" s="74"/>
      <c r="F1752" s="74">
        <v>0.31</v>
      </c>
      <c r="G1752" s="74"/>
      <c r="H1752" s="74"/>
      <c r="I1752" s="74" t="s">
        <v>391</v>
      </c>
      <c r="J1752" s="74"/>
      <c r="K1752" s="74">
        <v>102.4</v>
      </c>
      <c r="L1752" s="74">
        <v>92.16</v>
      </c>
      <c r="M1752" s="74"/>
      <c r="N1752" s="74" t="s">
        <v>392</v>
      </c>
      <c r="O1752" s="74" t="s">
        <v>402</v>
      </c>
      <c r="P1752" s="74" t="s">
        <v>9217</v>
      </c>
      <c r="Q1752" s="74" t="s">
        <v>9218</v>
      </c>
    </row>
    <row r="1753" spans="3:17" x14ac:dyDescent="0.25">
      <c r="C1753" s="74" t="s">
        <v>10229</v>
      </c>
      <c r="D1753" s="74" t="s">
        <v>10230</v>
      </c>
      <c r="E1753" s="74"/>
      <c r="F1753" s="74">
        <v>0.31</v>
      </c>
      <c r="G1753" s="74"/>
      <c r="H1753" s="74"/>
      <c r="I1753" s="74" t="s">
        <v>391</v>
      </c>
      <c r="J1753" s="74"/>
      <c r="K1753" s="74">
        <v>102.4</v>
      </c>
      <c r="L1753" s="74">
        <v>92.16</v>
      </c>
      <c r="M1753" s="74"/>
      <c r="N1753" s="74" t="s">
        <v>392</v>
      </c>
      <c r="O1753" s="74" t="s">
        <v>402</v>
      </c>
      <c r="P1753" s="74" t="s">
        <v>10231</v>
      </c>
      <c r="Q1753" s="74" t="s">
        <v>10232</v>
      </c>
    </row>
    <row r="1754" spans="3:17" x14ac:dyDescent="0.25">
      <c r="C1754" s="74" t="s">
        <v>12519</v>
      </c>
      <c r="D1754" s="74" t="s">
        <v>12520</v>
      </c>
      <c r="E1754" s="74" t="s">
        <v>391</v>
      </c>
      <c r="F1754" s="74">
        <v>0.31</v>
      </c>
      <c r="G1754" s="74"/>
      <c r="H1754" s="74"/>
      <c r="I1754" s="74" t="s">
        <v>391</v>
      </c>
      <c r="J1754" s="74"/>
      <c r="K1754" s="74">
        <v>102.4</v>
      </c>
      <c r="L1754" s="74">
        <v>92.16</v>
      </c>
      <c r="M1754" s="74"/>
      <c r="N1754" s="74" t="s">
        <v>392</v>
      </c>
      <c r="O1754" s="74" t="s">
        <v>393</v>
      </c>
      <c r="P1754" s="74"/>
      <c r="Q1754" s="74" t="s">
        <v>12521</v>
      </c>
    </row>
    <row r="1755" spans="3:17" x14ac:dyDescent="0.25">
      <c r="C1755" s="74" t="s">
        <v>14937</v>
      </c>
      <c r="D1755" s="74" t="s">
        <v>14938</v>
      </c>
      <c r="E1755" s="74"/>
      <c r="F1755" s="74">
        <v>0.31</v>
      </c>
      <c r="G1755" s="74"/>
      <c r="H1755" s="74"/>
      <c r="I1755" s="74" t="s">
        <v>391</v>
      </c>
      <c r="J1755" s="74"/>
      <c r="K1755" s="74">
        <v>102.4</v>
      </c>
      <c r="L1755" s="74">
        <v>92.16</v>
      </c>
      <c r="M1755" s="74"/>
      <c r="N1755" s="74" t="s">
        <v>392</v>
      </c>
      <c r="O1755" s="74" t="s">
        <v>402</v>
      </c>
      <c r="P1755" s="74" t="s">
        <v>14939</v>
      </c>
      <c r="Q1755" s="74" t="s">
        <v>14940</v>
      </c>
    </row>
    <row r="1756" spans="3:17" x14ac:dyDescent="0.25">
      <c r="C1756" s="74" t="s">
        <v>17172</v>
      </c>
      <c r="D1756" s="74" t="s">
        <v>17173</v>
      </c>
      <c r="E1756" s="74"/>
      <c r="F1756" s="74">
        <v>0.31</v>
      </c>
      <c r="G1756" s="74"/>
      <c r="H1756" s="74"/>
      <c r="I1756" s="74" t="s">
        <v>391</v>
      </c>
      <c r="J1756" s="74"/>
      <c r="K1756" s="74">
        <v>102.4</v>
      </c>
      <c r="L1756" s="74">
        <v>92.16</v>
      </c>
      <c r="M1756" s="74"/>
      <c r="N1756" s="74" t="s">
        <v>392</v>
      </c>
      <c r="O1756" s="74" t="s">
        <v>402</v>
      </c>
      <c r="P1756" s="74" t="s">
        <v>17174</v>
      </c>
      <c r="Q1756" s="74" t="s">
        <v>17175</v>
      </c>
    </row>
    <row r="1757" spans="3:17" x14ac:dyDescent="0.25">
      <c r="C1757" s="74" t="s">
        <v>17310</v>
      </c>
      <c r="D1757" s="74" t="s">
        <v>17311</v>
      </c>
      <c r="E1757" s="74" t="s">
        <v>391</v>
      </c>
      <c r="F1757" s="74">
        <v>0.31</v>
      </c>
      <c r="G1757" s="74"/>
      <c r="H1757" s="74"/>
      <c r="I1757" s="74" t="s">
        <v>391</v>
      </c>
      <c r="J1757" s="74"/>
      <c r="K1757" s="74">
        <v>102.4</v>
      </c>
      <c r="L1757" s="74">
        <v>92.16</v>
      </c>
      <c r="M1757" s="74"/>
      <c r="N1757" s="74" t="s">
        <v>392</v>
      </c>
      <c r="O1757" s="74" t="s">
        <v>393</v>
      </c>
      <c r="P1757" s="74"/>
      <c r="Q1757" s="74" t="s">
        <v>17312</v>
      </c>
    </row>
    <row r="1758" spans="3:17" x14ac:dyDescent="0.25">
      <c r="C1758" s="74" t="s">
        <v>17905</v>
      </c>
      <c r="D1758" s="74" t="s">
        <v>17906</v>
      </c>
      <c r="E1758" s="74" t="s">
        <v>391</v>
      </c>
      <c r="F1758" s="74">
        <v>0.31</v>
      </c>
      <c r="G1758" s="74"/>
      <c r="H1758" s="74"/>
      <c r="I1758" s="74" t="s">
        <v>391</v>
      </c>
      <c r="J1758" s="74"/>
      <c r="K1758" s="74">
        <v>102.4</v>
      </c>
      <c r="L1758" s="74">
        <v>92.16</v>
      </c>
      <c r="M1758" s="74"/>
      <c r="N1758" s="74" t="s">
        <v>392</v>
      </c>
      <c r="O1758" s="74" t="s">
        <v>393</v>
      </c>
      <c r="P1758" s="74"/>
      <c r="Q1758" s="74" t="s">
        <v>17907</v>
      </c>
    </row>
    <row r="1759" spans="3:17" x14ac:dyDescent="0.25">
      <c r="C1759" s="74" t="s">
        <v>19288</v>
      </c>
      <c r="D1759" s="74" t="s">
        <v>19289</v>
      </c>
      <c r="E1759" s="74"/>
      <c r="F1759" s="74">
        <v>0.31</v>
      </c>
      <c r="G1759" s="74"/>
      <c r="H1759" s="74"/>
      <c r="I1759" s="74" t="s">
        <v>391</v>
      </c>
      <c r="J1759" s="74"/>
      <c r="K1759" s="74">
        <v>102.4</v>
      </c>
      <c r="L1759" s="74">
        <v>92.16</v>
      </c>
      <c r="M1759" s="74"/>
      <c r="N1759" s="74" t="s">
        <v>392</v>
      </c>
      <c r="O1759" s="74" t="s">
        <v>402</v>
      </c>
      <c r="P1759" s="74" t="s">
        <v>19290</v>
      </c>
      <c r="Q1759" s="74" t="s">
        <v>19291</v>
      </c>
    </row>
    <row r="1760" spans="3:17" x14ac:dyDescent="0.25">
      <c r="C1760" s="74" t="s">
        <v>19342</v>
      </c>
      <c r="D1760" s="74" t="s">
        <v>19343</v>
      </c>
      <c r="E1760" s="74"/>
      <c r="F1760" s="74">
        <v>0.31</v>
      </c>
      <c r="G1760" s="74"/>
      <c r="H1760" s="74"/>
      <c r="I1760" s="74" t="s">
        <v>391</v>
      </c>
      <c r="J1760" s="74"/>
      <c r="K1760" s="74">
        <v>102.4</v>
      </c>
      <c r="L1760" s="74">
        <v>92.16</v>
      </c>
      <c r="M1760" s="74"/>
      <c r="N1760" s="74" t="s">
        <v>392</v>
      </c>
      <c r="O1760" s="74" t="s">
        <v>402</v>
      </c>
      <c r="P1760" s="74" t="s">
        <v>19344</v>
      </c>
      <c r="Q1760" s="74" t="s">
        <v>19345</v>
      </c>
    </row>
    <row r="1761" spans="3:17" x14ac:dyDescent="0.25">
      <c r="C1761" s="74" t="s">
        <v>20559</v>
      </c>
      <c r="D1761" s="74" t="s">
        <v>20560</v>
      </c>
      <c r="E1761" s="74"/>
      <c r="F1761" s="74">
        <v>0.31</v>
      </c>
      <c r="G1761" s="74"/>
      <c r="H1761" s="74"/>
      <c r="I1761" s="74" t="s">
        <v>391</v>
      </c>
      <c r="J1761" s="74"/>
      <c r="K1761" s="74">
        <v>102.4</v>
      </c>
      <c r="L1761" s="74">
        <v>92.16</v>
      </c>
      <c r="M1761" s="74"/>
      <c r="N1761" s="74" t="s">
        <v>392</v>
      </c>
      <c r="O1761" s="74" t="s">
        <v>402</v>
      </c>
      <c r="P1761" s="74" t="s">
        <v>20561</v>
      </c>
      <c r="Q1761" s="74" t="s">
        <v>20562</v>
      </c>
    </row>
    <row r="1762" spans="3:17" x14ac:dyDescent="0.25">
      <c r="C1762" s="74" t="s">
        <v>20793</v>
      </c>
      <c r="D1762" s="74" t="s">
        <v>20794</v>
      </c>
      <c r="E1762" s="74"/>
      <c r="F1762" s="74">
        <v>0.31</v>
      </c>
      <c r="G1762" s="74"/>
      <c r="H1762" s="74"/>
      <c r="I1762" s="74" t="s">
        <v>391</v>
      </c>
      <c r="J1762" s="74"/>
      <c r="K1762" s="74">
        <v>102.4</v>
      </c>
      <c r="L1762" s="74">
        <v>92.16</v>
      </c>
      <c r="M1762" s="74"/>
      <c r="N1762" s="74" t="s">
        <v>392</v>
      </c>
      <c r="O1762" s="74" t="s">
        <v>402</v>
      </c>
      <c r="P1762" s="74" t="s">
        <v>20795</v>
      </c>
      <c r="Q1762" s="74" t="s">
        <v>20796</v>
      </c>
    </row>
    <row r="1763" spans="3:17" x14ac:dyDescent="0.25">
      <c r="C1763" s="74" t="s">
        <v>1523</v>
      </c>
      <c r="D1763" s="74" t="s">
        <v>1524</v>
      </c>
      <c r="E1763" s="74"/>
      <c r="F1763" s="74">
        <v>0.3</v>
      </c>
      <c r="G1763" s="74"/>
      <c r="H1763" s="74"/>
      <c r="I1763" s="74" t="s">
        <v>391</v>
      </c>
      <c r="J1763" s="74"/>
      <c r="K1763" s="74">
        <v>102.4</v>
      </c>
      <c r="L1763" s="74">
        <v>92.16</v>
      </c>
      <c r="M1763" s="74"/>
      <c r="N1763" s="74" t="s">
        <v>392</v>
      </c>
      <c r="O1763" s="74" t="s">
        <v>402</v>
      </c>
      <c r="P1763" s="74" t="s">
        <v>1525</v>
      </c>
      <c r="Q1763" s="74" t="s">
        <v>1526</v>
      </c>
    </row>
    <row r="1764" spans="3:17" x14ac:dyDescent="0.25">
      <c r="C1764" s="74" t="s">
        <v>1587</v>
      </c>
      <c r="D1764" s="74" t="s">
        <v>1588</v>
      </c>
      <c r="E1764" s="74"/>
      <c r="F1764" s="74">
        <v>0.3</v>
      </c>
      <c r="G1764" s="74"/>
      <c r="H1764" s="74"/>
      <c r="I1764" s="74" t="s">
        <v>391</v>
      </c>
      <c r="J1764" s="74"/>
      <c r="K1764" s="74">
        <v>102.4</v>
      </c>
      <c r="L1764" s="74">
        <v>92.16</v>
      </c>
      <c r="M1764" s="74"/>
      <c r="N1764" s="74" t="s">
        <v>392</v>
      </c>
      <c r="O1764" s="74" t="s">
        <v>402</v>
      </c>
      <c r="P1764" s="74" t="s">
        <v>1589</v>
      </c>
      <c r="Q1764" s="74" t="s">
        <v>1590</v>
      </c>
    </row>
    <row r="1765" spans="3:17" x14ac:dyDescent="0.25">
      <c r="C1765" s="74" t="s">
        <v>2115</v>
      </c>
      <c r="D1765" s="74" t="s">
        <v>2116</v>
      </c>
      <c r="E1765" s="74"/>
      <c r="F1765" s="74">
        <v>0.3</v>
      </c>
      <c r="G1765" s="74"/>
      <c r="H1765" s="74"/>
      <c r="I1765" s="74" t="s">
        <v>391</v>
      </c>
      <c r="J1765" s="74"/>
      <c r="K1765" s="74">
        <v>102.4</v>
      </c>
      <c r="L1765" s="74">
        <v>92.16</v>
      </c>
      <c r="M1765" s="74"/>
      <c r="N1765" s="74" t="s">
        <v>392</v>
      </c>
      <c r="O1765" s="74" t="s">
        <v>402</v>
      </c>
      <c r="P1765" s="74" t="s">
        <v>2117</v>
      </c>
      <c r="Q1765" s="74" t="s">
        <v>2118</v>
      </c>
    </row>
    <row r="1766" spans="3:17" x14ac:dyDescent="0.25">
      <c r="C1766" s="74" t="s">
        <v>3258</v>
      </c>
      <c r="D1766" s="74" t="s">
        <v>3259</v>
      </c>
      <c r="E1766" s="74"/>
      <c r="F1766" s="74">
        <v>0.3</v>
      </c>
      <c r="G1766" s="74"/>
      <c r="H1766" s="74"/>
      <c r="I1766" s="74" t="s">
        <v>391</v>
      </c>
      <c r="J1766" s="74"/>
      <c r="K1766" s="74">
        <v>102.4</v>
      </c>
      <c r="L1766" s="74">
        <v>92.16</v>
      </c>
      <c r="M1766" s="74"/>
      <c r="N1766" s="74" t="s">
        <v>392</v>
      </c>
      <c r="O1766" s="74" t="s">
        <v>402</v>
      </c>
      <c r="P1766" s="74" t="s">
        <v>3260</v>
      </c>
      <c r="Q1766" s="74" t="s">
        <v>3261</v>
      </c>
    </row>
    <row r="1767" spans="3:17" x14ac:dyDescent="0.25">
      <c r="C1767" s="74" t="s">
        <v>3543</v>
      </c>
      <c r="D1767" s="74" t="s">
        <v>3544</v>
      </c>
      <c r="E1767" s="74"/>
      <c r="F1767" s="74">
        <v>0.3</v>
      </c>
      <c r="G1767" s="74"/>
      <c r="H1767" s="74"/>
      <c r="I1767" s="74" t="s">
        <v>391</v>
      </c>
      <c r="J1767" s="74"/>
      <c r="K1767" s="74">
        <v>102.4</v>
      </c>
      <c r="L1767" s="74">
        <v>92.16</v>
      </c>
      <c r="M1767" s="74"/>
      <c r="N1767" s="74" t="s">
        <v>392</v>
      </c>
      <c r="O1767" s="74" t="s">
        <v>402</v>
      </c>
      <c r="P1767" s="74" t="s">
        <v>3545</v>
      </c>
      <c r="Q1767" s="74" t="s">
        <v>3546</v>
      </c>
    </row>
    <row r="1768" spans="3:17" x14ac:dyDescent="0.25">
      <c r="C1768" s="74" t="s">
        <v>5182</v>
      </c>
      <c r="D1768" s="74" t="s">
        <v>5183</v>
      </c>
      <c r="E1768" s="74"/>
      <c r="F1768" s="74">
        <v>0.3</v>
      </c>
      <c r="G1768" s="74"/>
      <c r="H1768" s="74"/>
      <c r="I1768" s="74" t="s">
        <v>391</v>
      </c>
      <c r="J1768" s="74"/>
      <c r="K1768" s="74">
        <v>102.4</v>
      </c>
      <c r="L1768" s="74">
        <v>92.16</v>
      </c>
      <c r="M1768" s="74"/>
      <c r="N1768" s="74" t="s">
        <v>392</v>
      </c>
      <c r="O1768" s="74" t="s">
        <v>402</v>
      </c>
      <c r="P1768" s="74" t="s">
        <v>5184</v>
      </c>
      <c r="Q1768" s="74" t="s">
        <v>5185</v>
      </c>
    </row>
    <row r="1769" spans="3:17" x14ac:dyDescent="0.25">
      <c r="C1769" s="74" t="s">
        <v>7024</v>
      </c>
      <c r="D1769" s="74" t="s">
        <v>7025</v>
      </c>
      <c r="E1769" s="74"/>
      <c r="F1769" s="74">
        <v>0.3</v>
      </c>
      <c r="G1769" s="74"/>
      <c r="H1769" s="74"/>
      <c r="I1769" s="74" t="s">
        <v>391</v>
      </c>
      <c r="J1769" s="74"/>
      <c r="K1769" s="74">
        <v>102.4</v>
      </c>
      <c r="L1769" s="74">
        <v>92.16</v>
      </c>
      <c r="M1769" s="74"/>
      <c r="N1769" s="74" t="s">
        <v>392</v>
      </c>
      <c r="O1769" s="74" t="s">
        <v>402</v>
      </c>
      <c r="P1769" s="74" t="s">
        <v>7026</v>
      </c>
      <c r="Q1769" s="74" t="s">
        <v>7027</v>
      </c>
    </row>
    <row r="1770" spans="3:17" x14ac:dyDescent="0.25">
      <c r="C1770" s="74" t="s">
        <v>7455</v>
      </c>
      <c r="D1770" s="74" t="s">
        <v>7456</v>
      </c>
      <c r="E1770" s="74"/>
      <c r="F1770" s="74">
        <v>0.3</v>
      </c>
      <c r="G1770" s="74"/>
      <c r="H1770" s="74"/>
      <c r="I1770" s="74" t="s">
        <v>391</v>
      </c>
      <c r="J1770" s="74"/>
      <c r="K1770" s="74">
        <v>102.4</v>
      </c>
      <c r="L1770" s="74">
        <v>92.16</v>
      </c>
      <c r="M1770" s="74"/>
      <c r="N1770" s="74" t="s">
        <v>392</v>
      </c>
      <c r="O1770" s="74" t="s">
        <v>402</v>
      </c>
      <c r="P1770" s="74" t="s">
        <v>7457</v>
      </c>
      <c r="Q1770" s="74" t="s">
        <v>7458</v>
      </c>
    </row>
    <row r="1771" spans="3:17" x14ac:dyDescent="0.25">
      <c r="C1771" s="74" t="s">
        <v>7519</v>
      </c>
      <c r="D1771" s="74" t="s">
        <v>7520</v>
      </c>
      <c r="E1771" s="74"/>
      <c r="F1771" s="74">
        <v>0.3</v>
      </c>
      <c r="G1771" s="74"/>
      <c r="H1771" s="74"/>
      <c r="I1771" s="74" t="s">
        <v>391</v>
      </c>
      <c r="J1771" s="74"/>
      <c r="K1771" s="74">
        <v>102.4</v>
      </c>
      <c r="L1771" s="74">
        <v>92.16</v>
      </c>
      <c r="M1771" s="74"/>
      <c r="N1771" s="74" t="s">
        <v>392</v>
      </c>
      <c r="O1771" s="74" t="s">
        <v>402</v>
      </c>
      <c r="P1771" s="74" t="s">
        <v>7521</v>
      </c>
      <c r="Q1771" s="74" t="s">
        <v>7522</v>
      </c>
    </row>
    <row r="1772" spans="3:17" x14ac:dyDescent="0.25">
      <c r="C1772" s="74" t="s">
        <v>11061</v>
      </c>
      <c r="D1772" s="74" t="s">
        <v>11062</v>
      </c>
      <c r="E1772" s="74"/>
      <c r="F1772" s="74">
        <v>0.3</v>
      </c>
      <c r="G1772" s="74"/>
      <c r="H1772" s="74"/>
      <c r="I1772" s="74" t="s">
        <v>391</v>
      </c>
      <c r="J1772" s="74"/>
      <c r="K1772" s="74">
        <v>102.4</v>
      </c>
      <c r="L1772" s="74">
        <v>92.16</v>
      </c>
      <c r="M1772" s="74"/>
      <c r="N1772" s="74" t="s">
        <v>392</v>
      </c>
      <c r="O1772" s="74" t="s">
        <v>402</v>
      </c>
      <c r="P1772" s="74" t="s">
        <v>11063</v>
      </c>
      <c r="Q1772" s="74" t="s">
        <v>11064</v>
      </c>
    </row>
    <row r="1773" spans="3:17" x14ac:dyDescent="0.25">
      <c r="C1773" s="74" t="s">
        <v>11213</v>
      </c>
      <c r="D1773" s="74" t="s">
        <v>11214</v>
      </c>
      <c r="E1773" s="74"/>
      <c r="F1773" s="74">
        <v>0.3</v>
      </c>
      <c r="G1773" s="74"/>
      <c r="H1773" s="74"/>
      <c r="I1773" s="74" t="s">
        <v>391</v>
      </c>
      <c r="J1773" s="74"/>
      <c r="K1773" s="74">
        <v>102.4</v>
      </c>
      <c r="L1773" s="74">
        <v>92.16</v>
      </c>
      <c r="M1773" s="74"/>
      <c r="N1773" s="74" t="s">
        <v>392</v>
      </c>
      <c r="O1773" s="74" t="s">
        <v>402</v>
      </c>
      <c r="P1773" s="74" t="s">
        <v>11215</v>
      </c>
      <c r="Q1773" s="74" t="s">
        <v>11216</v>
      </c>
    </row>
    <row r="1774" spans="3:17" x14ac:dyDescent="0.25">
      <c r="C1774" s="74" t="s">
        <v>12567</v>
      </c>
      <c r="D1774" s="74" t="s">
        <v>12568</v>
      </c>
      <c r="E1774" s="74"/>
      <c r="F1774" s="74">
        <v>0.3</v>
      </c>
      <c r="G1774" s="74"/>
      <c r="H1774" s="74"/>
      <c r="I1774" s="74" t="s">
        <v>391</v>
      </c>
      <c r="J1774" s="74"/>
      <c r="K1774" s="74">
        <v>102.4</v>
      </c>
      <c r="L1774" s="74">
        <v>92.16</v>
      </c>
      <c r="M1774" s="74"/>
      <c r="N1774" s="74" t="s">
        <v>392</v>
      </c>
      <c r="O1774" s="74" t="s">
        <v>402</v>
      </c>
      <c r="P1774" s="74" t="s">
        <v>12569</v>
      </c>
      <c r="Q1774" s="74" t="s">
        <v>12570</v>
      </c>
    </row>
    <row r="1775" spans="3:17" x14ac:dyDescent="0.25">
      <c r="C1775" s="74" t="s">
        <v>14960</v>
      </c>
      <c r="D1775" s="74" t="s">
        <v>14961</v>
      </c>
      <c r="E1775" s="74"/>
      <c r="F1775" s="74">
        <v>0.3</v>
      </c>
      <c r="G1775" s="74"/>
      <c r="H1775" s="74"/>
      <c r="I1775" s="74" t="s">
        <v>391</v>
      </c>
      <c r="J1775" s="74"/>
      <c r="K1775" s="74">
        <v>102.4</v>
      </c>
      <c r="L1775" s="74">
        <v>92.16</v>
      </c>
      <c r="M1775" s="74"/>
      <c r="N1775" s="74" t="s">
        <v>392</v>
      </c>
      <c r="O1775" s="74" t="s">
        <v>402</v>
      </c>
      <c r="P1775" s="74" t="s">
        <v>14962</v>
      </c>
      <c r="Q1775" s="74" t="s">
        <v>14963</v>
      </c>
    </row>
    <row r="1776" spans="3:17" x14ac:dyDescent="0.25">
      <c r="C1776" s="74" t="s">
        <v>15279</v>
      </c>
      <c r="D1776" s="74" t="s">
        <v>15280</v>
      </c>
      <c r="E1776" s="74"/>
      <c r="F1776" s="74">
        <v>0.3</v>
      </c>
      <c r="G1776" s="74"/>
      <c r="H1776" s="74"/>
      <c r="I1776" s="74" t="s">
        <v>391</v>
      </c>
      <c r="J1776" s="74"/>
      <c r="K1776" s="74">
        <v>102.4</v>
      </c>
      <c r="L1776" s="74">
        <v>92.16</v>
      </c>
      <c r="M1776" s="74"/>
      <c r="N1776" s="74" t="s">
        <v>392</v>
      </c>
      <c r="O1776" s="74" t="s">
        <v>402</v>
      </c>
      <c r="P1776" s="74" t="s">
        <v>15281</v>
      </c>
      <c r="Q1776" s="74" t="s">
        <v>15282</v>
      </c>
    </row>
    <row r="1777" spans="3:17" x14ac:dyDescent="0.25">
      <c r="C1777" s="74" t="s">
        <v>17602</v>
      </c>
      <c r="D1777" s="74" t="s">
        <v>17603</v>
      </c>
      <c r="E1777" s="74"/>
      <c r="F1777" s="74">
        <v>0.3</v>
      </c>
      <c r="G1777" s="74"/>
      <c r="H1777" s="74"/>
      <c r="I1777" s="74" t="s">
        <v>391</v>
      </c>
      <c r="J1777" s="74"/>
      <c r="K1777" s="74">
        <v>102.4</v>
      </c>
      <c r="L1777" s="74">
        <v>92.16</v>
      </c>
      <c r="M1777" s="74"/>
      <c r="N1777" s="74" t="s">
        <v>392</v>
      </c>
      <c r="O1777" s="74" t="s">
        <v>402</v>
      </c>
      <c r="P1777" s="74" t="s">
        <v>17604</v>
      </c>
      <c r="Q1777" s="74" t="s">
        <v>17605</v>
      </c>
    </row>
    <row r="1778" spans="3:17" x14ac:dyDescent="0.25">
      <c r="C1778" s="158" t="s">
        <v>20013</v>
      </c>
      <c r="D1778" s="158" t="s">
        <v>20014</v>
      </c>
      <c r="F1778" s="158">
        <v>0.3</v>
      </c>
      <c r="I1778" s="158" t="s">
        <v>391</v>
      </c>
      <c r="K1778" s="158">
        <v>102.4</v>
      </c>
      <c r="L1778" s="158">
        <v>92.16</v>
      </c>
      <c r="N1778" s="158" t="s">
        <v>392</v>
      </c>
      <c r="O1778" s="158" t="s">
        <v>402</v>
      </c>
      <c r="P1778" s="158" t="s">
        <v>20015</v>
      </c>
      <c r="Q1778" s="158" t="s">
        <v>20016</v>
      </c>
    </row>
    <row r="1779" spans="3:17" x14ac:dyDescent="0.25">
      <c r="C1779" s="74" t="s">
        <v>2821</v>
      </c>
      <c r="D1779" s="74" t="s">
        <v>2822</v>
      </c>
      <c r="E1779" s="74"/>
      <c r="F1779" s="74">
        <v>0.28999999999999998</v>
      </c>
      <c r="G1779" s="74"/>
      <c r="H1779" s="74"/>
      <c r="I1779" s="74" t="s">
        <v>391</v>
      </c>
      <c r="J1779" s="74"/>
      <c r="K1779" s="74">
        <v>102.4</v>
      </c>
      <c r="L1779" s="74">
        <v>92.16</v>
      </c>
      <c r="M1779" s="74"/>
      <c r="N1779" s="74" t="s">
        <v>392</v>
      </c>
      <c r="O1779" s="74" t="s">
        <v>402</v>
      </c>
      <c r="P1779" s="74" t="s">
        <v>2823</v>
      </c>
      <c r="Q1779" s="74" t="s">
        <v>2824</v>
      </c>
    </row>
    <row r="1780" spans="3:17" x14ac:dyDescent="0.25">
      <c r="C1780" s="74" t="s">
        <v>3043</v>
      </c>
      <c r="D1780" s="74" t="s">
        <v>3044</v>
      </c>
      <c r="E1780" s="74"/>
      <c r="F1780" s="74">
        <v>0.28999999999999998</v>
      </c>
      <c r="G1780" s="74"/>
      <c r="H1780" s="74"/>
      <c r="I1780" s="74" t="s">
        <v>391</v>
      </c>
      <c r="J1780" s="74"/>
      <c r="K1780" s="74">
        <v>102.4</v>
      </c>
      <c r="L1780" s="74">
        <v>92.16</v>
      </c>
      <c r="M1780" s="74"/>
      <c r="N1780" s="74" t="s">
        <v>392</v>
      </c>
      <c r="O1780" s="74" t="s">
        <v>402</v>
      </c>
      <c r="P1780" s="74" t="s">
        <v>3045</v>
      </c>
      <c r="Q1780" s="74" t="s">
        <v>3046</v>
      </c>
    </row>
    <row r="1781" spans="3:17" x14ac:dyDescent="0.25">
      <c r="C1781" s="74" t="s">
        <v>3679</v>
      </c>
      <c r="D1781" s="74" t="s">
        <v>3680</v>
      </c>
      <c r="E1781" s="74"/>
      <c r="F1781" s="74">
        <v>0.28999999999999998</v>
      </c>
      <c r="G1781" s="74"/>
      <c r="H1781" s="74"/>
      <c r="I1781" s="74" t="s">
        <v>391</v>
      </c>
      <c r="J1781" s="74"/>
      <c r="K1781" s="74">
        <v>102.4</v>
      </c>
      <c r="L1781" s="74">
        <v>92.16</v>
      </c>
      <c r="M1781" s="74"/>
      <c r="N1781" s="74" t="s">
        <v>392</v>
      </c>
      <c r="O1781" s="74" t="s">
        <v>402</v>
      </c>
      <c r="P1781" s="74" t="s">
        <v>3681</v>
      </c>
      <c r="Q1781" s="74" t="s">
        <v>3682</v>
      </c>
    </row>
    <row r="1782" spans="3:17" x14ac:dyDescent="0.25">
      <c r="C1782" s="74" t="s">
        <v>4740</v>
      </c>
      <c r="D1782" s="74" t="s">
        <v>4741</v>
      </c>
      <c r="E1782" s="74"/>
      <c r="F1782" s="74">
        <v>0.28999999999999998</v>
      </c>
      <c r="G1782" s="74"/>
      <c r="H1782" s="74"/>
      <c r="I1782" s="74" t="s">
        <v>391</v>
      </c>
      <c r="J1782" s="74"/>
      <c r="K1782" s="74">
        <v>102.4</v>
      </c>
      <c r="L1782" s="74">
        <v>92.16</v>
      </c>
      <c r="M1782" s="74"/>
      <c r="N1782" s="74" t="s">
        <v>392</v>
      </c>
      <c r="O1782" s="74" t="s">
        <v>402</v>
      </c>
      <c r="P1782" s="74" t="s">
        <v>4742</v>
      </c>
      <c r="Q1782" s="74" t="s">
        <v>4743</v>
      </c>
    </row>
    <row r="1783" spans="3:17" x14ac:dyDescent="0.25">
      <c r="C1783" s="74" t="s">
        <v>5967</v>
      </c>
      <c r="D1783" s="74" t="s">
        <v>5968</v>
      </c>
      <c r="E1783" s="74"/>
      <c r="F1783" s="74">
        <v>0.28999999999999998</v>
      </c>
      <c r="G1783" s="74"/>
      <c r="H1783" s="74"/>
      <c r="I1783" s="74" t="s">
        <v>391</v>
      </c>
      <c r="J1783" s="74"/>
      <c r="K1783" s="74">
        <v>102.4</v>
      </c>
      <c r="L1783" s="74">
        <v>92.16</v>
      </c>
      <c r="M1783" s="74"/>
      <c r="N1783" s="74" t="s">
        <v>392</v>
      </c>
      <c r="O1783" s="74" t="s">
        <v>402</v>
      </c>
      <c r="P1783" s="74" t="s">
        <v>5969</v>
      </c>
      <c r="Q1783" s="74" t="s">
        <v>5970</v>
      </c>
    </row>
    <row r="1784" spans="3:17" x14ac:dyDescent="0.25">
      <c r="C1784" s="74" t="s">
        <v>9231</v>
      </c>
      <c r="D1784" s="74" t="s">
        <v>9232</v>
      </c>
      <c r="E1784" s="74"/>
      <c r="F1784" s="74">
        <v>0.28999999999999998</v>
      </c>
      <c r="G1784" s="74"/>
      <c r="H1784" s="74"/>
      <c r="I1784" s="74" t="s">
        <v>391</v>
      </c>
      <c r="J1784" s="74"/>
      <c r="K1784" s="74">
        <v>102.4</v>
      </c>
      <c r="L1784" s="74">
        <v>92.16</v>
      </c>
      <c r="M1784" s="74"/>
      <c r="N1784" s="74" t="s">
        <v>392</v>
      </c>
      <c r="O1784" s="74" t="s">
        <v>402</v>
      </c>
      <c r="P1784" s="74" t="s">
        <v>9233</v>
      </c>
      <c r="Q1784" s="74" t="s">
        <v>9234</v>
      </c>
    </row>
    <row r="1785" spans="3:17" x14ac:dyDescent="0.25">
      <c r="C1785" s="74" t="s">
        <v>9291</v>
      </c>
      <c r="D1785" s="74" t="s">
        <v>9292</v>
      </c>
      <c r="E1785" s="74" t="s">
        <v>391</v>
      </c>
      <c r="F1785" s="74">
        <v>0.28999999999999998</v>
      </c>
      <c r="G1785" s="74"/>
      <c r="H1785" s="74"/>
      <c r="I1785" s="74" t="s">
        <v>391</v>
      </c>
      <c r="J1785" s="74"/>
      <c r="K1785" s="74">
        <v>102.4</v>
      </c>
      <c r="L1785" s="74">
        <v>92.16</v>
      </c>
      <c r="M1785" s="74"/>
      <c r="N1785" s="74" t="s">
        <v>392</v>
      </c>
      <c r="O1785" s="74" t="s">
        <v>393</v>
      </c>
      <c r="P1785" s="74" t="s">
        <v>9293</v>
      </c>
      <c r="Q1785" s="74" t="s">
        <v>9294</v>
      </c>
    </row>
    <row r="1786" spans="3:17" x14ac:dyDescent="0.25">
      <c r="C1786" s="74" t="s">
        <v>9999</v>
      </c>
      <c r="D1786" s="74" t="s">
        <v>10000</v>
      </c>
      <c r="E1786" s="74"/>
      <c r="F1786" s="74">
        <v>0.28999999999999998</v>
      </c>
      <c r="G1786" s="74"/>
      <c r="H1786" s="74"/>
      <c r="I1786" s="74" t="s">
        <v>391</v>
      </c>
      <c r="J1786" s="74"/>
      <c r="K1786" s="74">
        <v>102.4</v>
      </c>
      <c r="L1786" s="74">
        <v>92.16</v>
      </c>
      <c r="M1786" s="74"/>
      <c r="N1786" s="74" t="s">
        <v>392</v>
      </c>
      <c r="O1786" s="74" t="s">
        <v>402</v>
      </c>
      <c r="P1786" s="74" t="s">
        <v>10001</v>
      </c>
      <c r="Q1786" s="74" t="s">
        <v>10002</v>
      </c>
    </row>
    <row r="1787" spans="3:17" x14ac:dyDescent="0.25">
      <c r="C1787" s="74" t="s">
        <v>11124</v>
      </c>
      <c r="D1787" s="74" t="s">
        <v>11125</v>
      </c>
      <c r="E1787" s="74"/>
      <c r="F1787" s="74">
        <v>0.28999999999999998</v>
      </c>
      <c r="G1787" s="74"/>
      <c r="H1787" s="74"/>
      <c r="I1787" s="74" t="s">
        <v>391</v>
      </c>
      <c r="J1787" s="74"/>
      <c r="K1787" s="74">
        <v>102.4</v>
      </c>
      <c r="L1787" s="74">
        <v>92.16</v>
      </c>
      <c r="M1787" s="74"/>
      <c r="N1787" s="74" t="s">
        <v>392</v>
      </c>
      <c r="O1787" s="74" t="s">
        <v>402</v>
      </c>
      <c r="P1787" s="74" t="s">
        <v>11126</v>
      </c>
      <c r="Q1787" s="74" t="s">
        <v>11127</v>
      </c>
    </row>
    <row r="1788" spans="3:17" x14ac:dyDescent="0.25">
      <c r="C1788" s="74" t="s">
        <v>11668</v>
      </c>
      <c r="D1788" s="74" t="s">
        <v>11669</v>
      </c>
      <c r="E1788" s="74"/>
      <c r="F1788" s="74">
        <v>0.28999999999999998</v>
      </c>
      <c r="G1788" s="74"/>
      <c r="H1788" s="74"/>
      <c r="I1788" s="74" t="s">
        <v>391</v>
      </c>
      <c r="J1788" s="74"/>
      <c r="K1788" s="74">
        <v>102.4</v>
      </c>
      <c r="L1788" s="74">
        <v>92.16</v>
      </c>
      <c r="M1788" s="74"/>
      <c r="N1788" s="74" t="s">
        <v>392</v>
      </c>
      <c r="O1788" s="74" t="s">
        <v>402</v>
      </c>
      <c r="P1788" s="74" t="s">
        <v>11670</v>
      </c>
      <c r="Q1788" s="74" t="s">
        <v>11671</v>
      </c>
    </row>
    <row r="1789" spans="3:17" x14ac:dyDescent="0.25">
      <c r="C1789" s="74" t="s">
        <v>17471</v>
      </c>
      <c r="D1789" s="74" t="s">
        <v>17472</v>
      </c>
      <c r="E1789" s="74"/>
      <c r="F1789" s="74">
        <v>0.28999999999999998</v>
      </c>
      <c r="G1789" s="74"/>
      <c r="H1789" s="74"/>
      <c r="I1789" s="74" t="s">
        <v>391</v>
      </c>
      <c r="J1789" s="74"/>
      <c r="K1789" s="74">
        <v>102.4</v>
      </c>
      <c r="L1789" s="74">
        <v>92.16</v>
      </c>
      <c r="M1789" s="74"/>
      <c r="N1789" s="74" t="s">
        <v>392</v>
      </c>
      <c r="O1789" s="74" t="s">
        <v>402</v>
      </c>
      <c r="P1789" s="74" t="s">
        <v>17473</v>
      </c>
      <c r="Q1789" s="74" t="s">
        <v>17474</v>
      </c>
    </row>
    <row r="1790" spans="3:17" x14ac:dyDescent="0.25">
      <c r="C1790" s="74" t="s">
        <v>1813</v>
      </c>
      <c r="D1790" s="74" t="s">
        <v>1814</v>
      </c>
      <c r="E1790" s="74"/>
      <c r="F1790" s="74">
        <v>0.28000000000000003</v>
      </c>
      <c r="G1790" s="74"/>
      <c r="H1790" s="74"/>
      <c r="I1790" s="74" t="s">
        <v>391</v>
      </c>
      <c r="J1790" s="74"/>
      <c r="K1790" s="74">
        <v>102.4</v>
      </c>
      <c r="L1790" s="74">
        <v>92.16</v>
      </c>
      <c r="M1790" s="74"/>
      <c r="N1790" s="74" t="s">
        <v>392</v>
      </c>
      <c r="O1790" s="74" t="s">
        <v>402</v>
      </c>
      <c r="P1790" s="74" t="s">
        <v>1815</v>
      </c>
      <c r="Q1790" s="74" t="s">
        <v>1816</v>
      </c>
    </row>
    <row r="1791" spans="3:17" x14ac:dyDescent="0.25">
      <c r="C1791" s="74" t="s">
        <v>3609</v>
      </c>
      <c r="D1791" s="74" t="s">
        <v>3610</v>
      </c>
      <c r="E1791" s="74" t="s">
        <v>391</v>
      </c>
      <c r="F1791" s="74">
        <v>0.28000000000000003</v>
      </c>
      <c r="G1791" s="74"/>
      <c r="H1791" s="74"/>
      <c r="I1791" s="74" t="s">
        <v>391</v>
      </c>
      <c r="J1791" s="74"/>
      <c r="K1791" s="74">
        <v>102.4</v>
      </c>
      <c r="L1791" s="74">
        <v>92.16</v>
      </c>
      <c r="M1791" s="74"/>
      <c r="N1791" s="74" t="s">
        <v>392</v>
      </c>
      <c r="O1791" s="74" t="s">
        <v>393</v>
      </c>
      <c r="P1791" s="74" t="s">
        <v>3611</v>
      </c>
      <c r="Q1791" s="74" t="s">
        <v>3612</v>
      </c>
    </row>
    <row r="1792" spans="3:17" x14ac:dyDescent="0.25">
      <c r="C1792" s="74" t="s">
        <v>5291</v>
      </c>
      <c r="D1792" s="74" t="s">
        <v>5292</v>
      </c>
      <c r="E1792" s="74" t="s">
        <v>391</v>
      </c>
      <c r="F1792" s="74">
        <v>0.28000000000000003</v>
      </c>
      <c r="G1792" s="74"/>
      <c r="H1792" s="74"/>
      <c r="I1792" s="74" t="s">
        <v>391</v>
      </c>
      <c r="J1792" s="74"/>
      <c r="K1792" s="74">
        <v>102.4</v>
      </c>
      <c r="L1792" s="74">
        <v>92.16</v>
      </c>
      <c r="M1792" s="74"/>
      <c r="N1792" s="74" t="s">
        <v>392</v>
      </c>
      <c r="O1792" s="74" t="s">
        <v>393</v>
      </c>
      <c r="P1792" s="74" t="s">
        <v>5293</v>
      </c>
      <c r="Q1792" s="74" t="s">
        <v>5294</v>
      </c>
    </row>
    <row r="1793" spans="3:17" x14ac:dyDescent="0.25">
      <c r="C1793" s="74" t="s">
        <v>5606</v>
      </c>
      <c r="D1793" s="74" t="s">
        <v>5607</v>
      </c>
      <c r="E1793" s="74"/>
      <c r="F1793" s="74">
        <v>0.28000000000000003</v>
      </c>
      <c r="G1793" s="74"/>
      <c r="H1793" s="74"/>
      <c r="I1793" s="74" t="s">
        <v>391</v>
      </c>
      <c r="J1793" s="74"/>
      <c r="K1793" s="74">
        <v>102.4</v>
      </c>
      <c r="L1793" s="74">
        <v>92.16</v>
      </c>
      <c r="M1793" s="74"/>
      <c r="N1793" s="74" t="s">
        <v>392</v>
      </c>
      <c r="O1793" s="74" t="s">
        <v>402</v>
      </c>
      <c r="P1793" s="74" t="s">
        <v>5608</v>
      </c>
      <c r="Q1793" s="74" t="s">
        <v>5609</v>
      </c>
    </row>
    <row r="1794" spans="3:17" x14ac:dyDescent="0.25">
      <c r="C1794" s="74" t="s">
        <v>6370</v>
      </c>
      <c r="D1794" s="74" t="s">
        <v>6371</v>
      </c>
      <c r="E1794" s="74"/>
      <c r="F1794" s="74">
        <v>0.28000000000000003</v>
      </c>
      <c r="G1794" s="74"/>
      <c r="H1794" s="74"/>
      <c r="I1794" s="74" t="s">
        <v>391</v>
      </c>
      <c r="J1794" s="74"/>
      <c r="K1794" s="74">
        <v>102.4</v>
      </c>
      <c r="L1794" s="74">
        <v>92.16</v>
      </c>
      <c r="M1794" s="74"/>
      <c r="N1794" s="74" t="s">
        <v>392</v>
      </c>
      <c r="O1794" s="74" t="s">
        <v>402</v>
      </c>
      <c r="P1794" s="74" t="s">
        <v>6372</v>
      </c>
      <c r="Q1794" s="74" t="s">
        <v>6373</v>
      </c>
    </row>
    <row r="1795" spans="3:17" x14ac:dyDescent="0.25">
      <c r="C1795" s="74" t="s">
        <v>7653</v>
      </c>
      <c r="D1795" s="74" t="s">
        <v>7654</v>
      </c>
      <c r="E1795" s="74"/>
      <c r="F1795" s="74">
        <v>0.28000000000000003</v>
      </c>
      <c r="G1795" s="74"/>
      <c r="H1795" s="74"/>
      <c r="I1795" s="74" t="s">
        <v>391</v>
      </c>
      <c r="J1795" s="74"/>
      <c r="K1795" s="74">
        <v>102.4</v>
      </c>
      <c r="L1795" s="74">
        <v>92.16</v>
      </c>
      <c r="M1795" s="74"/>
      <c r="N1795" s="74" t="s">
        <v>392</v>
      </c>
      <c r="O1795" s="74" t="s">
        <v>402</v>
      </c>
      <c r="P1795" s="74" t="s">
        <v>7655</v>
      </c>
      <c r="Q1795" s="74" t="s">
        <v>7656</v>
      </c>
    </row>
    <row r="1796" spans="3:17" x14ac:dyDescent="0.25">
      <c r="C1796" s="74" t="s">
        <v>9493</v>
      </c>
      <c r="D1796" s="74" t="s">
        <v>9494</v>
      </c>
      <c r="E1796" s="74"/>
      <c r="F1796" s="74">
        <v>0.28000000000000003</v>
      </c>
      <c r="G1796" s="74"/>
      <c r="H1796" s="74"/>
      <c r="I1796" s="74" t="s">
        <v>391</v>
      </c>
      <c r="J1796" s="74"/>
      <c r="K1796" s="74">
        <v>102.4</v>
      </c>
      <c r="L1796" s="74">
        <v>92.16</v>
      </c>
      <c r="M1796" s="74"/>
      <c r="N1796" s="74" t="s">
        <v>392</v>
      </c>
      <c r="O1796" s="74" t="s">
        <v>402</v>
      </c>
      <c r="P1796" s="74" t="s">
        <v>9495</v>
      </c>
      <c r="Q1796" s="74" t="s">
        <v>9496</v>
      </c>
    </row>
    <row r="1797" spans="3:17" x14ac:dyDescent="0.25">
      <c r="C1797" s="74" t="s">
        <v>10773</v>
      </c>
      <c r="D1797" s="74" t="s">
        <v>10774</v>
      </c>
      <c r="E1797" s="74"/>
      <c r="F1797" s="74">
        <v>0.28000000000000003</v>
      </c>
      <c r="G1797" s="74"/>
      <c r="H1797" s="74"/>
      <c r="I1797" s="74" t="s">
        <v>391</v>
      </c>
      <c r="J1797" s="74"/>
      <c r="K1797" s="74">
        <v>102.4</v>
      </c>
      <c r="L1797" s="74">
        <v>92.16</v>
      </c>
      <c r="M1797" s="74"/>
      <c r="N1797" s="74" t="s">
        <v>392</v>
      </c>
      <c r="O1797" s="74" t="s">
        <v>402</v>
      </c>
      <c r="P1797" s="74" t="s">
        <v>10775</v>
      </c>
      <c r="Q1797" s="74" t="s">
        <v>10776</v>
      </c>
    </row>
    <row r="1798" spans="3:17" x14ac:dyDescent="0.25">
      <c r="C1798" s="74" t="s">
        <v>12885</v>
      </c>
      <c r="D1798" s="74" t="s">
        <v>12886</v>
      </c>
      <c r="E1798" s="74"/>
      <c r="F1798" s="74">
        <v>0.28000000000000003</v>
      </c>
      <c r="G1798" s="74"/>
      <c r="H1798" s="74"/>
      <c r="I1798" s="74" t="s">
        <v>391</v>
      </c>
      <c r="J1798" s="74"/>
      <c r="K1798" s="74">
        <v>102.4</v>
      </c>
      <c r="L1798" s="74">
        <v>92.16</v>
      </c>
      <c r="M1798" s="74"/>
      <c r="N1798" s="74" t="s">
        <v>392</v>
      </c>
      <c r="O1798" s="74" t="s">
        <v>402</v>
      </c>
      <c r="P1798" s="74" t="s">
        <v>12887</v>
      </c>
      <c r="Q1798" s="74" t="s">
        <v>12888</v>
      </c>
    </row>
    <row r="1799" spans="3:17" x14ac:dyDescent="0.25">
      <c r="C1799" s="74" t="s">
        <v>13548</v>
      </c>
      <c r="D1799" s="74" t="s">
        <v>13549</v>
      </c>
      <c r="E1799" s="74" t="s">
        <v>391</v>
      </c>
      <c r="F1799" s="74">
        <v>0.28000000000000003</v>
      </c>
      <c r="G1799" s="74"/>
      <c r="H1799" s="74"/>
      <c r="I1799" s="74" t="s">
        <v>391</v>
      </c>
      <c r="J1799" s="74"/>
      <c r="K1799" s="74">
        <v>102.4</v>
      </c>
      <c r="L1799" s="74">
        <v>92.16</v>
      </c>
      <c r="M1799" s="74"/>
      <c r="N1799" s="74" t="s">
        <v>392</v>
      </c>
      <c r="O1799" s="74" t="s">
        <v>393</v>
      </c>
      <c r="P1799" s="74" t="s">
        <v>13550</v>
      </c>
      <c r="Q1799" s="74" t="s">
        <v>13551</v>
      </c>
    </row>
    <row r="1800" spans="3:17" x14ac:dyDescent="0.25">
      <c r="C1800" s="74" t="s">
        <v>18385</v>
      </c>
      <c r="D1800" s="74" t="s">
        <v>18386</v>
      </c>
      <c r="E1800" s="74"/>
      <c r="F1800" s="74">
        <v>0.28000000000000003</v>
      </c>
      <c r="G1800" s="74"/>
      <c r="H1800" s="74"/>
      <c r="I1800" s="74" t="s">
        <v>391</v>
      </c>
      <c r="J1800" s="74"/>
      <c r="K1800" s="74">
        <v>102.4</v>
      </c>
      <c r="L1800" s="74">
        <v>92.16</v>
      </c>
      <c r="M1800" s="74"/>
      <c r="N1800" s="74" t="s">
        <v>392</v>
      </c>
      <c r="O1800" s="74" t="s">
        <v>402</v>
      </c>
      <c r="P1800" s="74" t="s">
        <v>18387</v>
      </c>
      <c r="Q1800" s="74" t="s">
        <v>18388</v>
      </c>
    </row>
    <row r="1801" spans="3:17" x14ac:dyDescent="0.25">
      <c r="C1801" s="74" t="s">
        <v>18683</v>
      </c>
      <c r="D1801" s="74" t="s">
        <v>18684</v>
      </c>
      <c r="E1801" s="74"/>
      <c r="F1801" s="74">
        <v>0.28000000000000003</v>
      </c>
      <c r="G1801" s="74"/>
      <c r="H1801" s="74"/>
      <c r="I1801" s="74" t="s">
        <v>391</v>
      </c>
      <c r="J1801" s="74"/>
      <c r="K1801" s="74">
        <v>102.4</v>
      </c>
      <c r="L1801" s="74">
        <v>92.16</v>
      </c>
      <c r="M1801" s="74"/>
      <c r="N1801" s="74" t="s">
        <v>392</v>
      </c>
      <c r="O1801" s="74" t="s">
        <v>402</v>
      </c>
      <c r="P1801" s="74" t="s">
        <v>18685</v>
      </c>
      <c r="Q1801" s="74" t="s">
        <v>18686</v>
      </c>
    </row>
    <row r="1802" spans="3:17" x14ac:dyDescent="0.25">
      <c r="C1802" s="74" t="s">
        <v>20105</v>
      </c>
      <c r="D1802" s="74" t="s">
        <v>20106</v>
      </c>
      <c r="E1802" s="74"/>
      <c r="F1802" s="74">
        <v>0.28000000000000003</v>
      </c>
      <c r="G1802" s="74"/>
      <c r="H1802" s="74"/>
      <c r="I1802" s="74" t="s">
        <v>391</v>
      </c>
      <c r="J1802" s="74"/>
      <c r="K1802" s="74">
        <v>102.4</v>
      </c>
      <c r="L1802" s="74">
        <v>92.16</v>
      </c>
      <c r="M1802" s="74"/>
      <c r="N1802" s="74" t="s">
        <v>392</v>
      </c>
      <c r="O1802" s="74" t="s">
        <v>402</v>
      </c>
      <c r="P1802" s="74" t="s">
        <v>20107</v>
      </c>
      <c r="Q1802" s="74" t="s">
        <v>20108</v>
      </c>
    </row>
    <row r="1803" spans="3:17" x14ac:dyDescent="0.25">
      <c r="C1803" s="74" t="s">
        <v>20249</v>
      </c>
      <c r="D1803" s="74" t="s">
        <v>20250</v>
      </c>
      <c r="E1803" s="74"/>
      <c r="F1803" s="74">
        <v>0.28000000000000003</v>
      </c>
      <c r="G1803" s="74"/>
      <c r="H1803" s="74"/>
      <c r="I1803" s="74" t="s">
        <v>391</v>
      </c>
      <c r="J1803" s="74"/>
      <c r="K1803" s="74">
        <v>102.4</v>
      </c>
      <c r="L1803" s="74">
        <v>92.16</v>
      </c>
      <c r="M1803" s="74"/>
      <c r="N1803" s="74" t="s">
        <v>392</v>
      </c>
      <c r="O1803" s="74" t="s">
        <v>402</v>
      </c>
      <c r="P1803" s="74" t="s">
        <v>20251</v>
      </c>
      <c r="Q1803" s="74" t="s">
        <v>20252</v>
      </c>
    </row>
    <row r="1804" spans="3:17" x14ac:dyDescent="0.25">
      <c r="C1804" s="74" t="s">
        <v>1938</v>
      </c>
      <c r="D1804" s="74" t="s">
        <v>1939</v>
      </c>
      <c r="E1804" s="74"/>
      <c r="F1804" s="74">
        <v>0.27</v>
      </c>
      <c r="G1804" s="74"/>
      <c r="H1804" s="74"/>
      <c r="I1804" s="74" t="s">
        <v>391</v>
      </c>
      <c r="J1804" s="74"/>
      <c r="K1804" s="74">
        <v>102.4</v>
      </c>
      <c r="L1804" s="74">
        <v>92.16</v>
      </c>
      <c r="M1804" s="74"/>
      <c r="N1804" s="74" t="s">
        <v>392</v>
      </c>
      <c r="O1804" s="74" t="s">
        <v>402</v>
      </c>
      <c r="P1804" s="74" t="s">
        <v>1940</v>
      </c>
      <c r="Q1804" s="74" t="s">
        <v>1941</v>
      </c>
    </row>
    <row r="1805" spans="3:17" x14ac:dyDescent="0.25">
      <c r="C1805" s="74" t="s">
        <v>1960</v>
      </c>
      <c r="D1805" s="74" t="s">
        <v>1961</v>
      </c>
      <c r="E1805" s="74"/>
      <c r="F1805" s="74">
        <v>0.27</v>
      </c>
      <c r="G1805" s="74"/>
      <c r="H1805" s="74"/>
      <c r="I1805" s="74" t="s">
        <v>391</v>
      </c>
      <c r="J1805" s="74"/>
      <c r="K1805" s="74">
        <v>102.4</v>
      </c>
      <c r="L1805" s="74">
        <v>92.16</v>
      </c>
      <c r="M1805" s="74"/>
      <c r="N1805" s="74" t="s">
        <v>392</v>
      </c>
      <c r="O1805" s="74" t="s">
        <v>402</v>
      </c>
      <c r="P1805" s="74" t="s">
        <v>1962</v>
      </c>
      <c r="Q1805" s="74" t="s">
        <v>1963</v>
      </c>
    </row>
    <row r="1806" spans="3:17" x14ac:dyDescent="0.25">
      <c r="C1806" s="74" t="s">
        <v>3276</v>
      </c>
      <c r="D1806" s="74" t="s">
        <v>3277</v>
      </c>
      <c r="E1806" s="74"/>
      <c r="F1806" s="74">
        <v>0.27</v>
      </c>
      <c r="G1806" s="74"/>
      <c r="H1806" s="74"/>
      <c r="I1806" s="74" t="s">
        <v>391</v>
      </c>
      <c r="J1806" s="74"/>
      <c r="K1806" s="74">
        <v>102.4</v>
      </c>
      <c r="L1806" s="74">
        <v>92.16</v>
      </c>
      <c r="M1806" s="74"/>
      <c r="N1806" s="74" t="s">
        <v>392</v>
      </c>
      <c r="O1806" s="74" t="s">
        <v>402</v>
      </c>
      <c r="P1806" s="74" t="s">
        <v>3278</v>
      </c>
      <c r="Q1806" s="74" t="s">
        <v>3279</v>
      </c>
    </row>
    <row r="1807" spans="3:17" x14ac:dyDescent="0.25">
      <c r="C1807" s="74" t="s">
        <v>3550</v>
      </c>
      <c r="D1807" s="74" t="s">
        <v>3551</v>
      </c>
      <c r="E1807" s="74"/>
      <c r="F1807" s="74">
        <v>0.27</v>
      </c>
      <c r="G1807" s="74"/>
      <c r="H1807" s="74"/>
      <c r="I1807" s="74" t="s">
        <v>391</v>
      </c>
      <c r="J1807" s="74"/>
      <c r="K1807" s="74">
        <v>102.4</v>
      </c>
      <c r="L1807" s="74">
        <v>92.16</v>
      </c>
      <c r="M1807" s="74"/>
      <c r="N1807" s="74" t="s">
        <v>392</v>
      </c>
      <c r="O1807" s="74" t="s">
        <v>402</v>
      </c>
      <c r="P1807" s="74" t="s">
        <v>3552</v>
      </c>
      <c r="Q1807" s="74" t="s">
        <v>3553</v>
      </c>
    </row>
    <row r="1808" spans="3:17" x14ac:dyDescent="0.25">
      <c r="C1808" s="74" t="s">
        <v>5857</v>
      </c>
      <c r="D1808" s="74" t="s">
        <v>5858</v>
      </c>
      <c r="E1808" s="74"/>
      <c r="F1808" s="74">
        <v>0.27</v>
      </c>
      <c r="G1808" s="74"/>
      <c r="H1808" s="74"/>
      <c r="I1808" s="74" t="s">
        <v>391</v>
      </c>
      <c r="J1808" s="74"/>
      <c r="K1808" s="74">
        <v>102.4</v>
      </c>
      <c r="L1808" s="74">
        <v>92.16</v>
      </c>
      <c r="M1808" s="74"/>
      <c r="N1808" s="74" t="s">
        <v>392</v>
      </c>
      <c r="O1808" s="74" t="s">
        <v>402</v>
      </c>
      <c r="P1808" s="74" t="s">
        <v>5859</v>
      </c>
      <c r="Q1808" s="74" t="s">
        <v>5860</v>
      </c>
    </row>
    <row r="1809" spans="3:17" x14ac:dyDescent="0.25">
      <c r="C1809" s="74" t="s">
        <v>6499</v>
      </c>
      <c r="D1809" s="74" t="s">
        <v>6500</v>
      </c>
      <c r="E1809" s="74"/>
      <c r="F1809" s="74">
        <v>0.27</v>
      </c>
      <c r="G1809" s="74"/>
      <c r="H1809" s="74"/>
      <c r="I1809" s="74" t="s">
        <v>391</v>
      </c>
      <c r="J1809" s="74"/>
      <c r="K1809" s="74">
        <v>102.4</v>
      </c>
      <c r="L1809" s="74">
        <v>92.16</v>
      </c>
      <c r="M1809" s="74"/>
      <c r="N1809" s="74" t="s">
        <v>392</v>
      </c>
      <c r="O1809" s="74" t="s">
        <v>402</v>
      </c>
      <c r="P1809" s="74" t="s">
        <v>6501</v>
      </c>
      <c r="Q1809" s="74" t="s">
        <v>6502</v>
      </c>
    </row>
    <row r="1810" spans="3:17" x14ac:dyDescent="0.25">
      <c r="C1810" s="74" t="s">
        <v>7107</v>
      </c>
      <c r="D1810" s="74" t="s">
        <v>7108</v>
      </c>
      <c r="E1810" s="74"/>
      <c r="F1810" s="74">
        <v>0.27</v>
      </c>
      <c r="G1810" s="74"/>
      <c r="H1810" s="74"/>
      <c r="I1810" s="74" t="s">
        <v>391</v>
      </c>
      <c r="J1810" s="74"/>
      <c r="K1810" s="74">
        <v>102.4</v>
      </c>
      <c r="L1810" s="74">
        <v>92.16</v>
      </c>
      <c r="M1810" s="74"/>
      <c r="N1810" s="74" t="s">
        <v>392</v>
      </c>
      <c r="O1810" s="74" t="s">
        <v>402</v>
      </c>
      <c r="P1810" s="74" t="s">
        <v>7109</v>
      </c>
      <c r="Q1810" s="74" t="s">
        <v>7110</v>
      </c>
    </row>
    <row r="1811" spans="3:17" x14ac:dyDescent="0.25">
      <c r="C1811" s="74" t="s">
        <v>8443</v>
      </c>
      <c r="D1811" s="74" t="s">
        <v>8444</v>
      </c>
      <c r="E1811" s="74"/>
      <c r="F1811" s="74">
        <v>0.27</v>
      </c>
      <c r="G1811" s="74"/>
      <c r="H1811" s="74"/>
      <c r="I1811" s="74" t="s">
        <v>391</v>
      </c>
      <c r="J1811" s="74"/>
      <c r="K1811" s="74">
        <v>102.4</v>
      </c>
      <c r="L1811" s="74">
        <v>92.16</v>
      </c>
      <c r="M1811" s="74"/>
      <c r="N1811" s="74" t="s">
        <v>392</v>
      </c>
      <c r="O1811" s="74" t="s">
        <v>402</v>
      </c>
      <c r="P1811" s="74" t="s">
        <v>8445</v>
      </c>
      <c r="Q1811" s="74" t="s">
        <v>8446</v>
      </c>
    </row>
    <row r="1812" spans="3:17" x14ac:dyDescent="0.25">
      <c r="C1812" s="74" t="s">
        <v>9847</v>
      </c>
      <c r="D1812" s="74" t="s">
        <v>9848</v>
      </c>
      <c r="E1812" s="74" t="s">
        <v>391</v>
      </c>
      <c r="F1812" s="74">
        <v>0.27</v>
      </c>
      <c r="G1812" s="74"/>
      <c r="H1812" s="74"/>
      <c r="I1812" s="74" t="s">
        <v>391</v>
      </c>
      <c r="J1812" s="74"/>
      <c r="K1812" s="74">
        <v>102.4</v>
      </c>
      <c r="L1812" s="74">
        <v>92.16</v>
      </c>
      <c r="M1812" s="74"/>
      <c r="N1812" s="74" t="s">
        <v>392</v>
      </c>
      <c r="O1812" s="74" t="s">
        <v>393</v>
      </c>
      <c r="P1812" s="74"/>
      <c r="Q1812" s="74" t="s">
        <v>9849</v>
      </c>
    </row>
    <row r="1813" spans="3:17" x14ac:dyDescent="0.25">
      <c r="C1813" s="74" t="s">
        <v>9929</v>
      </c>
      <c r="D1813" s="74" t="s">
        <v>9930</v>
      </c>
      <c r="E1813" s="74"/>
      <c r="F1813" s="74">
        <v>0.27</v>
      </c>
      <c r="G1813" s="74"/>
      <c r="H1813" s="74"/>
      <c r="I1813" s="74" t="s">
        <v>391</v>
      </c>
      <c r="J1813" s="74"/>
      <c r="K1813" s="74">
        <v>102.4</v>
      </c>
      <c r="L1813" s="74">
        <v>92.16</v>
      </c>
      <c r="M1813" s="74"/>
      <c r="N1813" s="74" t="s">
        <v>392</v>
      </c>
      <c r="O1813" s="74" t="s">
        <v>402</v>
      </c>
      <c r="P1813" s="74" t="s">
        <v>9931</v>
      </c>
      <c r="Q1813" s="74" t="s">
        <v>9932</v>
      </c>
    </row>
    <row r="1814" spans="3:17" x14ac:dyDescent="0.25">
      <c r="C1814" s="74" t="s">
        <v>14671</v>
      </c>
      <c r="D1814" s="74" t="s">
        <v>14672</v>
      </c>
      <c r="E1814" s="74"/>
      <c r="F1814" s="74">
        <v>0.27</v>
      </c>
      <c r="G1814" s="74"/>
      <c r="H1814" s="74"/>
      <c r="I1814" s="74" t="s">
        <v>391</v>
      </c>
      <c r="J1814" s="74"/>
      <c r="K1814" s="74">
        <v>102.4</v>
      </c>
      <c r="L1814" s="74">
        <v>92.16</v>
      </c>
      <c r="M1814" s="74"/>
      <c r="N1814" s="74" t="s">
        <v>392</v>
      </c>
      <c r="O1814" s="74" t="s">
        <v>402</v>
      </c>
      <c r="P1814" s="74" t="s">
        <v>14673</v>
      </c>
      <c r="Q1814" s="74" t="s">
        <v>14674</v>
      </c>
    </row>
    <row r="1815" spans="3:17" x14ac:dyDescent="0.25">
      <c r="C1815" s="74" t="s">
        <v>17046</v>
      </c>
      <c r="D1815" s="74" t="s">
        <v>17047</v>
      </c>
      <c r="E1815" s="74"/>
      <c r="F1815" s="74">
        <v>0.27</v>
      </c>
      <c r="G1815" s="74"/>
      <c r="H1815" s="74"/>
      <c r="I1815" s="74" t="s">
        <v>391</v>
      </c>
      <c r="J1815" s="74"/>
      <c r="K1815" s="74">
        <v>102.4</v>
      </c>
      <c r="L1815" s="74">
        <v>92.16</v>
      </c>
      <c r="M1815" s="74"/>
      <c r="N1815" s="74" t="s">
        <v>392</v>
      </c>
      <c r="O1815" s="74" t="s">
        <v>402</v>
      </c>
      <c r="P1815" s="74" t="s">
        <v>17048</v>
      </c>
      <c r="Q1815" s="74" t="s">
        <v>17049</v>
      </c>
    </row>
    <row r="1816" spans="3:17" x14ac:dyDescent="0.25">
      <c r="C1816" s="74" t="s">
        <v>17150</v>
      </c>
      <c r="D1816" s="74" t="s">
        <v>17151</v>
      </c>
      <c r="E1816" s="74"/>
      <c r="F1816" s="74">
        <v>0.27</v>
      </c>
      <c r="G1816" s="74"/>
      <c r="H1816" s="74"/>
      <c r="I1816" s="74" t="s">
        <v>391</v>
      </c>
      <c r="J1816" s="74"/>
      <c r="K1816" s="74">
        <v>102.4</v>
      </c>
      <c r="L1816" s="74">
        <v>92.16</v>
      </c>
      <c r="M1816" s="74"/>
      <c r="N1816" s="74" t="s">
        <v>392</v>
      </c>
      <c r="O1816" s="74" t="s">
        <v>402</v>
      </c>
      <c r="P1816" s="74" t="s">
        <v>17152</v>
      </c>
      <c r="Q1816" s="74" t="s">
        <v>17153</v>
      </c>
    </row>
    <row r="1817" spans="3:17" x14ac:dyDescent="0.25">
      <c r="C1817" s="74" t="s">
        <v>19411</v>
      </c>
      <c r="D1817" s="74" t="s">
        <v>19412</v>
      </c>
      <c r="E1817" s="74"/>
      <c r="F1817" s="74">
        <v>0.27</v>
      </c>
      <c r="G1817" s="74"/>
      <c r="H1817" s="74"/>
      <c r="I1817" s="74" t="s">
        <v>391</v>
      </c>
      <c r="J1817" s="74"/>
      <c r="K1817" s="74">
        <v>102.4</v>
      </c>
      <c r="L1817" s="74">
        <v>92.16</v>
      </c>
      <c r="M1817" s="74"/>
      <c r="N1817" s="74" t="s">
        <v>392</v>
      </c>
      <c r="O1817" s="74" t="s">
        <v>402</v>
      </c>
      <c r="P1817" s="74" t="s">
        <v>19413</v>
      </c>
      <c r="Q1817" s="74" t="s">
        <v>19414</v>
      </c>
    </row>
    <row r="1818" spans="3:17" x14ac:dyDescent="0.25">
      <c r="C1818" s="74" t="s">
        <v>500</v>
      </c>
      <c r="D1818" s="74" t="s">
        <v>501</v>
      </c>
      <c r="E1818" s="74"/>
      <c r="F1818" s="74">
        <v>0.26</v>
      </c>
      <c r="G1818" s="74"/>
      <c r="H1818" s="74"/>
      <c r="I1818" s="74" t="s">
        <v>391</v>
      </c>
      <c r="J1818" s="74"/>
      <c r="K1818" s="74">
        <v>102.4</v>
      </c>
      <c r="L1818" s="74">
        <v>92.16</v>
      </c>
      <c r="M1818" s="74"/>
      <c r="N1818" s="74" t="s">
        <v>392</v>
      </c>
      <c r="O1818" s="74" t="s">
        <v>402</v>
      </c>
      <c r="P1818" s="74" t="s">
        <v>502</v>
      </c>
      <c r="Q1818" s="74" t="s">
        <v>503</v>
      </c>
    </row>
    <row r="1819" spans="3:17" x14ac:dyDescent="0.25">
      <c r="C1819" s="74" t="s">
        <v>728</v>
      </c>
      <c r="D1819" s="74" t="s">
        <v>729</v>
      </c>
      <c r="E1819" s="74"/>
      <c r="F1819" s="74">
        <v>0.26</v>
      </c>
      <c r="G1819" s="74"/>
      <c r="H1819" s="74"/>
      <c r="I1819" s="74" t="s">
        <v>391</v>
      </c>
      <c r="J1819" s="74"/>
      <c r="K1819" s="74">
        <v>102.4</v>
      </c>
      <c r="L1819" s="74">
        <v>92.16</v>
      </c>
      <c r="M1819" s="74"/>
      <c r="N1819" s="74" t="s">
        <v>392</v>
      </c>
      <c r="O1819" s="74" t="s">
        <v>402</v>
      </c>
      <c r="P1819" s="74" t="s">
        <v>730</v>
      </c>
      <c r="Q1819" s="74" t="s">
        <v>731</v>
      </c>
    </row>
    <row r="1820" spans="3:17" x14ac:dyDescent="0.25">
      <c r="C1820" s="74" t="s">
        <v>1080</v>
      </c>
      <c r="D1820" s="74" t="s">
        <v>1081</v>
      </c>
      <c r="E1820" s="74"/>
      <c r="F1820" s="74">
        <v>0.26</v>
      </c>
      <c r="G1820" s="74"/>
      <c r="H1820" s="74"/>
      <c r="I1820" s="74" t="s">
        <v>391</v>
      </c>
      <c r="J1820" s="74"/>
      <c r="K1820" s="74">
        <v>102.4</v>
      </c>
      <c r="L1820" s="74">
        <v>92.16</v>
      </c>
      <c r="M1820" s="74"/>
      <c r="N1820" s="74" t="s">
        <v>392</v>
      </c>
      <c r="O1820" s="74" t="s">
        <v>402</v>
      </c>
      <c r="P1820" s="74" t="s">
        <v>1082</v>
      </c>
      <c r="Q1820" s="74" t="s">
        <v>1083</v>
      </c>
    </row>
    <row r="1821" spans="3:17" x14ac:dyDescent="0.25">
      <c r="C1821" s="74" t="s">
        <v>2645</v>
      </c>
      <c r="D1821" s="74" t="s">
        <v>2646</v>
      </c>
      <c r="E1821" s="74"/>
      <c r="F1821" s="74">
        <v>0.26</v>
      </c>
      <c r="G1821" s="74"/>
      <c r="H1821" s="74"/>
      <c r="I1821" s="74" t="s">
        <v>391</v>
      </c>
      <c r="J1821" s="74"/>
      <c r="K1821" s="74">
        <v>102.4</v>
      </c>
      <c r="L1821" s="74">
        <v>92.16</v>
      </c>
      <c r="M1821" s="74"/>
      <c r="N1821" s="74" t="s">
        <v>392</v>
      </c>
      <c r="O1821" s="74" t="s">
        <v>402</v>
      </c>
      <c r="P1821" s="74" t="s">
        <v>2647</v>
      </c>
      <c r="Q1821" s="74" t="s">
        <v>2648</v>
      </c>
    </row>
    <row r="1822" spans="3:17" x14ac:dyDescent="0.25">
      <c r="C1822" s="74" t="s">
        <v>3727</v>
      </c>
      <c r="D1822" s="74" t="s">
        <v>3728</v>
      </c>
      <c r="E1822" s="74"/>
      <c r="F1822" s="74">
        <v>0.26</v>
      </c>
      <c r="G1822" s="74"/>
      <c r="H1822" s="74"/>
      <c r="I1822" s="74" t="s">
        <v>391</v>
      </c>
      <c r="J1822" s="74"/>
      <c r="K1822" s="74">
        <v>102.4</v>
      </c>
      <c r="L1822" s="74">
        <v>92.16</v>
      </c>
      <c r="M1822" s="74"/>
      <c r="N1822" s="74" t="s">
        <v>392</v>
      </c>
      <c r="O1822" s="74" t="s">
        <v>402</v>
      </c>
      <c r="P1822" s="74" t="s">
        <v>3729</v>
      </c>
      <c r="Q1822" s="74" t="s">
        <v>3730</v>
      </c>
    </row>
    <row r="1823" spans="3:17" x14ac:dyDescent="0.25">
      <c r="C1823" s="74" t="s">
        <v>4326</v>
      </c>
      <c r="D1823" s="74" t="s">
        <v>4327</v>
      </c>
      <c r="E1823" s="74" t="s">
        <v>391</v>
      </c>
      <c r="F1823" s="74">
        <v>0.26</v>
      </c>
      <c r="G1823" s="74"/>
      <c r="H1823" s="74"/>
      <c r="I1823" s="74" t="s">
        <v>391</v>
      </c>
      <c r="J1823" s="74"/>
      <c r="K1823" s="74">
        <v>102.4</v>
      </c>
      <c r="L1823" s="74">
        <v>92.16</v>
      </c>
      <c r="M1823" s="74"/>
      <c r="N1823" s="74" t="s">
        <v>392</v>
      </c>
      <c r="O1823" s="74" t="s">
        <v>393</v>
      </c>
      <c r="P1823" s="74"/>
      <c r="Q1823" s="74" t="s">
        <v>4328</v>
      </c>
    </row>
    <row r="1824" spans="3:17" x14ac:dyDescent="0.25">
      <c r="C1824" s="158" t="s">
        <v>6825</v>
      </c>
      <c r="D1824" s="158" t="s">
        <v>6826</v>
      </c>
      <c r="F1824" s="158">
        <v>0.26</v>
      </c>
      <c r="I1824" s="158" t="s">
        <v>391</v>
      </c>
      <c r="K1824" s="158">
        <v>102.4</v>
      </c>
      <c r="L1824" s="158">
        <v>92.16</v>
      </c>
      <c r="N1824" s="158" t="s">
        <v>392</v>
      </c>
      <c r="O1824" s="158" t="s">
        <v>402</v>
      </c>
      <c r="P1824" s="158" t="s">
        <v>6827</v>
      </c>
      <c r="Q1824" s="158" t="s">
        <v>6828</v>
      </c>
    </row>
    <row r="1825" spans="3:17" x14ac:dyDescent="0.25">
      <c r="C1825" s="74" t="s">
        <v>7059</v>
      </c>
      <c r="D1825" s="74" t="s">
        <v>7060</v>
      </c>
      <c r="E1825" s="74"/>
      <c r="F1825" s="74">
        <v>0.26</v>
      </c>
      <c r="G1825" s="74"/>
      <c r="H1825" s="74"/>
      <c r="I1825" s="74" t="s">
        <v>391</v>
      </c>
      <c r="J1825" s="74"/>
      <c r="K1825" s="74">
        <v>102.4</v>
      </c>
      <c r="L1825" s="74">
        <v>92.16</v>
      </c>
      <c r="M1825" s="74"/>
      <c r="N1825" s="74" t="s">
        <v>392</v>
      </c>
      <c r="O1825" s="74" t="s">
        <v>402</v>
      </c>
      <c r="P1825" s="74" t="s">
        <v>7061</v>
      </c>
      <c r="Q1825" s="74" t="s">
        <v>7062</v>
      </c>
    </row>
    <row r="1826" spans="3:17" x14ac:dyDescent="0.25">
      <c r="C1826" s="74" t="s">
        <v>7133</v>
      </c>
      <c r="D1826" s="74" t="s">
        <v>7134</v>
      </c>
      <c r="E1826" s="74"/>
      <c r="F1826" s="74">
        <v>0.26</v>
      </c>
      <c r="G1826" s="74"/>
      <c r="H1826" s="74"/>
      <c r="I1826" s="74" t="s">
        <v>391</v>
      </c>
      <c r="J1826" s="74"/>
      <c r="K1826" s="74">
        <v>102.4</v>
      </c>
      <c r="L1826" s="74">
        <v>92.16</v>
      </c>
      <c r="M1826" s="74"/>
      <c r="N1826" s="74" t="s">
        <v>392</v>
      </c>
      <c r="O1826" s="74" t="s">
        <v>402</v>
      </c>
      <c r="P1826" s="74" t="s">
        <v>7135</v>
      </c>
      <c r="Q1826" s="74" t="s">
        <v>7136</v>
      </c>
    </row>
    <row r="1827" spans="3:17" x14ac:dyDescent="0.25">
      <c r="C1827" s="74" t="s">
        <v>7812</v>
      </c>
      <c r="D1827" s="74" t="s">
        <v>7813</v>
      </c>
      <c r="E1827" s="74"/>
      <c r="F1827" s="74">
        <v>0.26</v>
      </c>
      <c r="G1827" s="74"/>
      <c r="H1827" s="74"/>
      <c r="I1827" s="74" t="s">
        <v>391</v>
      </c>
      <c r="J1827" s="74"/>
      <c r="K1827" s="74">
        <v>102.4</v>
      </c>
      <c r="L1827" s="74">
        <v>92.16</v>
      </c>
      <c r="M1827" s="74"/>
      <c r="N1827" s="74" t="s">
        <v>392</v>
      </c>
      <c r="O1827" s="74" t="s">
        <v>402</v>
      </c>
      <c r="P1827" s="74" t="s">
        <v>7814</v>
      </c>
      <c r="Q1827" s="74" t="s">
        <v>7815</v>
      </c>
    </row>
    <row r="1828" spans="3:17" x14ac:dyDescent="0.25">
      <c r="C1828" s="74" t="s">
        <v>9615</v>
      </c>
      <c r="D1828" s="74" t="s">
        <v>9616</v>
      </c>
      <c r="E1828" s="74"/>
      <c r="F1828" s="74">
        <v>0.26</v>
      </c>
      <c r="G1828" s="74"/>
      <c r="H1828" s="74"/>
      <c r="I1828" s="74" t="s">
        <v>391</v>
      </c>
      <c r="J1828" s="74"/>
      <c r="K1828" s="74">
        <v>102.4</v>
      </c>
      <c r="L1828" s="74">
        <v>92.16</v>
      </c>
      <c r="M1828" s="74"/>
      <c r="N1828" s="74" t="s">
        <v>392</v>
      </c>
      <c r="O1828" s="74" t="s">
        <v>402</v>
      </c>
      <c r="P1828" s="74" t="s">
        <v>9617</v>
      </c>
      <c r="Q1828" s="74" t="s">
        <v>9618</v>
      </c>
    </row>
    <row r="1829" spans="3:17" x14ac:dyDescent="0.25">
      <c r="C1829" s="74" t="s">
        <v>10718</v>
      </c>
      <c r="D1829" s="74" t="s">
        <v>10719</v>
      </c>
      <c r="E1829" s="74"/>
      <c r="F1829" s="74">
        <v>0.26</v>
      </c>
      <c r="G1829" s="74"/>
      <c r="H1829" s="74"/>
      <c r="I1829" s="74" t="s">
        <v>391</v>
      </c>
      <c r="J1829" s="74"/>
      <c r="K1829" s="74">
        <v>102.4</v>
      </c>
      <c r="L1829" s="74">
        <v>92.16</v>
      </c>
      <c r="M1829" s="74"/>
      <c r="N1829" s="74" t="s">
        <v>392</v>
      </c>
      <c r="O1829" s="74" t="s">
        <v>402</v>
      </c>
      <c r="P1829" s="74" t="s">
        <v>10720</v>
      </c>
      <c r="Q1829" s="74" t="s">
        <v>10721</v>
      </c>
    </row>
    <row r="1830" spans="3:17" x14ac:dyDescent="0.25">
      <c r="C1830" s="74" t="s">
        <v>11329</v>
      </c>
      <c r="D1830" s="74" t="s">
        <v>11330</v>
      </c>
      <c r="E1830" s="74"/>
      <c r="F1830" s="74">
        <v>0.26</v>
      </c>
      <c r="G1830" s="74"/>
      <c r="H1830" s="74"/>
      <c r="I1830" s="74" t="s">
        <v>391</v>
      </c>
      <c r="J1830" s="74"/>
      <c r="K1830" s="74">
        <v>102.4</v>
      </c>
      <c r="L1830" s="74">
        <v>92.16</v>
      </c>
      <c r="M1830" s="74"/>
      <c r="N1830" s="74" t="s">
        <v>392</v>
      </c>
      <c r="O1830" s="74" t="s">
        <v>402</v>
      </c>
      <c r="P1830" s="74" t="s">
        <v>11331</v>
      </c>
      <c r="Q1830" s="74" t="s">
        <v>11332</v>
      </c>
    </row>
    <row r="1831" spans="3:17" x14ac:dyDescent="0.25">
      <c r="C1831" s="74" t="s">
        <v>13008</v>
      </c>
      <c r="D1831" s="74" t="s">
        <v>13009</v>
      </c>
      <c r="E1831" s="74"/>
      <c r="F1831" s="74">
        <v>0.26</v>
      </c>
      <c r="G1831" s="74"/>
      <c r="H1831" s="74"/>
      <c r="I1831" s="74" t="s">
        <v>391</v>
      </c>
      <c r="J1831" s="74"/>
      <c r="K1831" s="74">
        <v>102.4</v>
      </c>
      <c r="L1831" s="74">
        <v>92.16</v>
      </c>
      <c r="M1831" s="74"/>
      <c r="N1831" s="74" t="s">
        <v>392</v>
      </c>
      <c r="O1831" s="74" t="s">
        <v>402</v>
      </c>
      <c r="P1831" s="74" t="s">
        <v>13010</v>
      </c>
      <c r="Q1831" s="74" t="s">
        <v>13011</v>
      </c>
    </row>
    <row r="1832" spans="3:17" x14ac:dyDescent="0.25">
      <c r="C1832" s="74" t="s">
        <v>14929</v>
      </c>
      <c r="D1832" s="74" t="s">
        <v>14930</v>
      </c>
      <c r="E1832" s="74"/>
      <c r="F1832" s="74">
        <v>0.26</v>
      </c>
      <c r="G1832" s="74"/>
      <c r="H1832" s="74"/>
      <c r="I1832" s="74" t="s">
        <v>391</v>
      </c>
      <c r="J1832" s="74"/>
      <c r="K1832" s="74">
        <v>102.4</v>
      </c>
      <c r="L1832" s="74">
        <v>92.16</v>
      </c>
      <c r="M1832" s="74"/>
      <c r="N1832" s="74" t="s">
        <v>392</v>
      </c>
      <c r="O1832" s="74" t="s">
        <v>402</v>
      </c>
      <c r="P1832" s="74" t="s">
        <v>14931</v>
      </c>
      <c r="Q1832" s="74" t="s">
        <v>14932</v>
      </c>
    </row>
    <row r="1833" spans="3:17" x14ac:dyDescent="0.25">
      <c r="C1833" s="74" t="s">
        <v>15341</v>
      </c>
      <c r="D1833" s="74" t="s">
        <v>15342</v>
      </c>
      <c r="E1833" s="74"/>
      <c r="F1833" s="74">
        <v>0.26</v>
      </c>
      <c r="G1833" s="74"/>
      <c r="H1833" s="74"/>
      <c r="I1833" s="74" t="s">
        <v>391</v>
      </c>
      <c r="J1833" s="74"/>
      <c r="K1833" s="74">
        <v>102.4</v>
      </c>
      <c r="L1833" s="74">
        <v>92.16</v>
      </c>
      <c r="M1833" s="74"/>
      <c r="N1833" s="74" t="s">
        <v>392</v>
      </c>
      <c r="O1833" s="74" t="s">
        <v>402</v>
      </c>
      <c r="P1833" s="74" t="s">
        <v>15343</v>
      </c>
      <c r="Q1833" s="74" t="s">
        <v>15344</v>
      </c>
    </row>
    <row r="1834" spans="3:17" x14ac:dyDescent="0.25">
      <c r="C1834" s="74" t="s">
        <v>16251</v>
      </c>
      <c r="D1834" s="74" t="s">
        <v>16252</v>
      </c>
      <c r="E1834" s="74"/>
      <c r="F1834" s="74">
        <v>0.26</v>
      </c>
      <c r="G1834" s="74"/>
      <c r="H1834" s="74"/>
      <c r="I1834" s="74" t="s">
        <v>391</v>
      </c>
      <c r="J1834" s="74"/>
      <c r="K1834" s="74">
        <v>102.4</v>
      </c>
      <c r="L1834" s="74">
        <v>92.16</v>
      </c>
      <c r="M1834" s="74"/>
      <c r="N1834" s="74" t="s">
        <v>392</v>
      </c>
      <c r="O1834" s="74" t="s">
        <v>402</v>
      </c>
      <c r="P1834" s="74" t="s">
        <v>16253</v>
      </c>
      <c r="Q1834" s="74" t="s">
        <v>16254</v>
      </c>
    </row>
    <row r="1835" spans="3:17" x14ac:dyDescent="0.25">
      <c r="C1835" s="74" t="s">
        <v>16691</v>
      </c>
      <c r="D1835" s="74" t="s">
        <v>16692</v>
      </c>
      <c r="E1835" s="74"/>
      <c r="F1835" s="74">
        <v>0.26</v>
      </c>
      <c r="G1835" s="74"/>
      <c r="H1835" s="74"/>
      <c r="I1835" s="74" t="s">
        <v>391</v>
      </c>
      <c r="J1835" s="74"/>
      <c r="K1835" s="74">
        <v>102.4</v>
      </c>
      <c r="L1835" s="74">
        <v>92.16</v>
      </c>
      <c r="M1835" s="74"/>
      <c r="N1835" s="74" t="s">
        <v>392</v>
      </c>
      <c r="O1835" s="74" t="s">
        <v>402</v>
      </c>
      <c r="P1835" s="74" t="s">
        <v>16693</v>
      </c>
      <c r="Q1835" s="74" t="s">
        <v>16694</v>
      </c>
    </row>
    <row r="1836" spans="3:17" x14ac:dyDescent="0.25">
      <c r="C1836" s="74" t="s">
        <v>17490</v>
      </c>
      <c r="D1836" s="74" t="s">
        <v>17491</v>
      </c>
      <c r="E1836" s="74" t="s">
        <v>391</v>
      </c>
      <c r="F1836" s="74">
        <v>0.26</v>
      </c>
      <c r="G1836" s="74"/>
      <c r="H1836" s="74"/>
      <c r="I1836" s="74" t="s">
        <v>391</v>
      </c>
      <c r="J1836" s="74"/>
      <c r="K1836" s="74">
        <v>102.4</v>
      </c>
      <c r="L1836" s="74">
        <v>92.16</v>
      </c>
      <c r="M1836" s="74"/>
      <c r="N1836" s="74" t="s">
        <v>392</v>
      </c>
      <c r="O1836" s="74" t="s">
        <v>402</v>
      </c>
      <c r="P1836" s="74" t="s">
        <v>17492</v>
      </c>
      <c r="Q1836" s="74" t="s">
        <v>17493</v>
      </c>
    </row>
    <row r="1837" spans="3:17" x14ac:dyDescent="0.25">
      <c r="C1837" s="74" t="s">
        <v>2046</v>
      </c>
      <c r="D1837" s="74" t="s">
        <v>2047</v>
      </c>
      <c r="E1837" s="74"/>
      <c r="F1837" s="74">
        <v>0.25</v>
      </c>
      <c r="G1837" s="74"/>
      <c r="H1837" s="74"/>
      <c r="I1837" s="74" t="s">
        <v>391</v>
      </c>
      <c r="J1837" s="74"/>
      <c r="K1837" s="74">
        <v>102.4</v>
      </c>
      <c r="L1837" s="74">
        <v>92.16</v>
      </c>
      <c r="M1837" s="74"/>
      <c r="N1837" s="74" t="s">
        <v>392</v>
      </c>
      <c r="O1837" s="74" t="s">
        <v>402</v>
      </c>
      <c r="P1837" s="74" t="s">
        <v>2048</v>
      </c>
      <c r="Q1837" s="74" t="s">
        <v>2049</v>
      </c>
    </row>
    <row r="1838" spans="3:17" x14ac:dyDescent="0.25">
      <c r="C1838" s="74" t="s">
        <v>2230</v>
      </c>
      <c r="D1838" s="74" t="s">
        <v>2231</v>
      </c>
      <c r="E1838" s="74"/>
      <c r="F1838" s="74">
        <v>0.25</v>
      </c>
      <c r="G1838" s="74"/>
      <c r="H1838" s="74"/>
      <c r="I1838" s="74" t="s">
        <v>391</v>
      </c>
      <c r="J1838" s="74"/>
      <c r="K1838" s="74">
        <v>102.4</v>
      </c>
      <c r="L1838" s="74">
        <v>92.16</v>
      </c>
      <c r="M1838" s="74"/>
      <c r="N1838" s="74" t="s">
        <v>392</v>
      </c>
      <c r="O1838" s="74" t="s">
        <v>402</v>
      </c>
      <c r="P1838" s="74" t="s">
        <v>2232</v>
      </c>
      <c r="Q1838" s="74" t="s">
        <v>2233</v>
      </c>
    </row>
    <row r="1839" spans="3:17" x14ac:dyDescent="0.25">
      <c r="C1839" s="74" t="s">
        <v>4108</v>
      </c>
      <c r="D1839" s="74" t="s">
        <v>4109</v>
      </c>
      <c r="E1839" s="74"/>
      <c r="F1839" s="74">
        <v>0.25</v>
      </c>
      <c r="G1839" s="74"/>
      <c r="H1839" s="74"/>
      <c r="I1839" s="74" t="s">
        <v>391</v>
      </c>
      <c r="J1839" s="74"/>
      <c r="K1839" s="74">
        <v>102.4</v>
      </c>
      <c r="L1839" s="74">
        <v>92.16</v>
      </c>
      <c r="M1839" s="74"/>
      <c r="N1839" s="74" t="s">
        <v>392</v>
      </c>
      <c r="O1839" s="74" t="s">
        <v>402</v>
      </c>
      <c r="P1839" s="74" t="s">
        <v>4110</v>
      </c>
      <c r="Q1839" s="74" t="s">
        <v>4111</v>
      </c>
    </row>
    <row r="1840" spans="3:17" x14ac:dyDescent="0.25">
      <c r="C1840" s="74" t="s">
        <v>5224</v>
      </c>
      <c r="D1840" s="74" t="s">
        <v>5225</v>
      </c>
      <c r="E1840" s="74"/>
      <c r="F1840" s="74">
        <v>0.25</v>
      </c>
      <c r="G1840" s="74"/>
      <c r="H1840" s="74"/>
      <c r="I1840" s="74" t="s">
        <v>391</v>
      </c>
      <c r="J1840" s="74"/>
      <c r="K1840" s="74">
        <v>102.4</v>
      </c>
      <c r="L1840" s="74">
        <v>92.16</v>
      </c>
      <c r="M1840" s="74"/>
      <c r="N1840" s="74" t="s">
        <v>392</v>
      </c>
      <c r="O1840" s="74" t="s">
        <v>402</v>
      </c>
      <c r="P1840" s="74" t="s">
        <v>5226</v>
      </c>
      <c r="Q1840" s="74" t="s">
        <v>5227</v>
      </c>
    </row>
    <row r="1841" spans="3:17" x14ac:dyDescent="0.25">
      <c r="C1841" s="74" t="s">
        <v>7356</v>
      </c>
      <c r="D1841" s="74" t="s">
        <v>7357</v>
      </c>
      <c r="E1841" s="74"/>
      <c r="F1841" s="74">
        <v>0.25</v>
      </c>
      <c r="G1841" s="74"/>
      <c r="H1841" s="74"/>
      <c r="I1841" s="74" t="s">
        <v>391</v>
      </c>
      <c r="J1841" s="74"/>
      <c r="K1841" s="74">
        <v>102.4</v>
      </c>
      <c r="L1841" s="74">
        <v>92.16</v>
      </c>
      <c r="M1841" s="74"/>
      <c r="N1841" s="74" t="s">
        <v>392</v>
      </c>
      <c r="O1841" s="74" t="s">
        <v>402</v>
      </c>
      <c r="P1841" s="74" t="s">
        <v>7358</v>
      </c>
      <c r="Q1841" s="74" t="s">
        <v>7359</v>
      </c>
    </row>
    <row r="1842" spans="3:17" x14ac:dyDescent="0.25">
      <c r="C1842" s="74" t="s">
        <v>8025</v>
      </c>
      <c r="D1842" s="74" t="s">
        <v>8026</v>
      </c>
      <c r="E1842" s="74"/>
      <c r="F1842" s="74">
        <v>0.25</v>
      </c>
      <c r="G1842" s="74"/>
      <c r="H1842" s="74"/>
      <c r="I1842" s="74" t="s">
        <v>391</v>
      </c>
      <c r="J1842" s="74"/>
      <c r="K1842" s="74">
        <v>102.4</v>
      </c>
      <c r="L1842" s="74">
        <v>92.16</v>
      </c>
      <c r="M1842" s="74"/>
      <c r="N1842" s="74" t="s">
        <v>392</v>
      </c>
      <c r="O1842" s="74" t="s">
        <v>402</v>
      </c>
      <c r="P1842" s="74" t="s">
        <v>8027</v>
      </c>
      <c r="Q1842" s="74" t="s">
        <v>8028</v>
      </c>
    </row>
    <row r="1843" spans="3:17" x14ac:dyDescent="0.25">
      <c r="C1843" s="74" t="s">
        <v>8069</v>
      </c>
      <c r="D1843" s="74" t="s">
        <v>8070</v>
      </c>
      <c r="E1843" s="74"/>
      <c r="F1843" s="74">
        <v>0.25</v>
      </c>
      <c r="G1843" s="74"/>
      <c r="H1843" s="74"/>
      <c r="I1843" s="74" t="s">
        <v>391</v>
      </c>
      <c r="J1843" s="74"/>
      <c r="K1843" s="74">
        <v>102.4</v>
      </c>
      <c r="L1843" s="74">
        <v>92.16</v>
      </c>
      <c r="M1843" s="74"/>
      <c r="N1843" s="74" t="s">
        <v>392</v>
      </c>
      <c r="O1843" s="74" t="s">
        <v>402</v>
      </c>
      <c r="P1843" s="74" t="s">
        <v>8071</v>
      </c>
      <c r="Q1843" s="74" t="s">
        <v>8072</v>
      </c>
    </row>
    <row r="1844" spans="3:17" x14ac:dyDescent="0.25">
      <c r="C1844" s="74" t="s">
        <v>13698</v>
      </c>
      <c r="D1844" s="74" t="s">
        <v>13699</v>
      </c>
      <c r="E1844" s="74"/>
      <c r="F1844" s="74">
        <v>0.25</v>
      </c>
      <c r="G1844" s="74"/>
      <c r="H1844" s="74"/>
      <c r="I1844" s="74" t="s">
        <v>391</v>
      </c>
      <c r="J1844" s="74"/>
      <c r="K1844" s="74">
        <v>102.4</v>
      </c>
      <c r="L1844" s="74">
        <v>92.16</v>
      </c>
      <c r="M1844" s="74"/>
      <c r="N1844" s="74" t="s">
        <v>392</v>
      </c>
      <c r="O1844" s="74" t="s">
        <v>402</v>
      </c>
      <c r="P1844" s="74" t="s">
        <v>13700</v>
      </c>
      <c r="Q1844" s="74" t="s">
        <v>13701</v>
      </c>
    </row>
    <row r="1845" spans="3:17" x14ac:dyDescent="0.25">
      <c r="C1845" s="74" t="s">
        <v>14373</v>
      </c>
      <c r="D1845" s="74" t="s">
        <v>14374</v>
      </c>
      <c r="E1845" s="74"/>
      <c r="F1845" s="74">
        <v>0.25</v>
      </c>
      <c r="G1845" s="74"/>
      <c r="H1845" s="74"/>
      <c r="I1845" s="74" t="s">
        <v>391</v>
      </c>
      <c r="J1845" s="74"/>
      <c r="K1845" s="74">
        <v>102.4</v>
      </c>
      <c r="L1845" s="74">
        <v>92.16</v>
      </c>
      <c r="M1845" s="74"/>
      <c r="N1845" s="74" t="s">
        <v>392</v>
      </c>
      <c r="O1845" s="74" t="s">
        <v>402</v>
      </c>
      <c r="P1845" s="74" t="s">
        <v>14375</v>
      </c>
      <c r="Q1845" s="74" t="s">
        <v>14376</v>
      </c>
    </row>
    <row r="1846" spans="3:17" x14ac:dyDescent="0.25">
      <c r="C1846" s="74" t="s">
        <v>18392</v>
      </c>
      <c r="D1846" s="74" t="s">
        <v>18393</v>
      </c>
      <c r="E1846" s="74"/>
      <c r="F1846" s="74">
        <v>0.25</v>
      </c>
      <c r="G1846" s="74"/>
      <c r="H1846" s="74"/>
      <c r="I1846" s="74" t="s">
        <v>391</v>
      </c>
      <c r="J1846" s="74"/>
      <c r="K1846" s="74">
        <v>102.4</v>
      </c>
      <c r="L1846" s="74">
        <v>92.16</v>
      </c>
      <c r="M1846" s="74"/>
      <c r="N1846" s="74" t="s">
        <v>392</v>
      </c>
      <c r="O1846" s="74" t="s">
        <v>402</v>
      </c>
      <c r="P1846" s="74" t="s">
        <v>18394</v>
      </c>
      <c r="Q1846" s="74" t="s">
        <v>18395</v>
      </c>
    </row>
    <row r="1847" spans="3:17" x14ac:dyDescent="0.25">
      <c r="C1847" s="74" t="s">
        <v>18709</v>
      </c>
      <c r="D1847" s="74" t="s">
        <v>18710</v>
      </c>
      <c r="E1847" s="74"/>
      <c r="F1847" s="74">
        <v>0.25</v>
      </c>
      <c r="G1847" s="74"/>
      <c r="H1847" s="74"/>
      <c r="I1847" s="74" t="s">
        <v>391</v>
      </c>
      <c r="J1847" s="74"/>
      <c r="K1847" s="74">
        <v>102.4</v>
      </c>
      <c r="L1847" s="74">
        <v>92.16</v>
      </c>
      <c r="M1847" s="74"/>
      <c r="N1847" s="74" t="s">
        <v>392</v>
      </c>
      <c r="O1847" s="74" t="s">
        <v>402</v>
      </c>
      <c r="P1847" s="74" t="s">
        <v>18711</v>
      </c>
      <c r="Q1847" s="74" t="s">
        <v>18712</v>
      </c>
    </row>
    <row r="1848" spans="3:17" x14ac:dyDescent="0.25">
      <c r="C1848" s="74" t="s">
        <v>18816</v>
      </c>
      <c r="D1848" s="74" t="s">
        <v>18817</v>
      </c>
      <c r="E1848" s="74"/>
      <c r="F1848" s="74">
        <v>0.25</v>
      </c>
      <c r="G1848" s="74"/>
      <c r="H1848" s="74"/>
      <c r="I1848" s="74" t="s">
        <v>391</v>
      </c>
      <c r="J1848" s="74"/>
      <c r="K1848" s="74">
        <v>102.4</v>
      </c>
      <c r="L1848" s="74">
        <v>92.16</v>
      </c>
      <c r="M1848" s="74"/>
      <c r="N1848" s="74" t="s">
        <v>392</v>
      </c>
      <c r="O1848" s="74" t="s">
        <v>402</v>
      </c>
      <c r="P1848" s="74" t="s">
        <v>18818</v>
      </c>
      <c r="Q1848" s="74" t="s">
        <v>18819</v>
      </c>
    </row>
    <row r="1849" spans="3:17" x14ac:dyDescent="0.25">
      <c r="C1849" s="74" t="s">
        <v>1138</v>
      </c>
      <c r="D1849" s="74" t="s">
        <v>1139</v>
      </c>
      <c r="E1849" s="74" t="s">
        <v>391</v>
      </c>
      <c r="F1849" s="74">
        <v>0.24</v>
      </c>
      <c r="G1849" s="74"/>
      <c r="H1849" s="74"/>
      <c r="I1849" s="74" t="s">
        <v>391</v>
      </c>
      <c r="J1849" s="74"/>
      <c r="K1849" s="74">
        <v>102.4</v>
      </c>
      <c r="L1849" s="74">
        <v>92.16</v>
      </c>
      <c r="M1849" s="74"/>
      <c r="N1849" s="74" t="s">
        <v>392</v>
      </c>
      <c r="O1849" s="74" t="s">
        <v>393</v>
      </c>
      <c r="P1849" s="74"/>
      <c r="Q1849" s="74" t="s">
        <v>1140</v>
      </c>
    </row>
    <row r="1850" spans="3:17" x14ac:dyDescent="0.25">
      <c r="C1850" s="74" t="s">
        <v>2143</v>
      </c>
      <c r="D1850" s="74" t="s">
        <v>2144</v>
      </c>
      <c r="E1850" s="74"/>
      <c r="F1850" s="74">
        <v>0.24</v>
      </c>
      <c r="G1850" s="74"/>
      <c r="H1850" s="74"/>
      <c r="I1850" s="74" t="s">
        <v>391</v>
      </c>
      <c r="J1850" s="74"/>
      <c r="K1850" s="74">
        <v>102.4</v>
      </c>
      <c r="L1850" s="74">
        <v>92.16</v>
      </c>
      <c r="M1850" s="74"/>
      <c r="N1850" s="74" t="s">
        <v>392</v>
      </c>
      <c r="O1850" s="74" t="s">
        <v>402</v>
      </c>
      <c r="P1850" s="74" t="s">
        <v>2145</v>
      </c>
      <c r="Q1850" s="74" t="s">
        <v>2146</v>
      </c>
    </row>
    <row r="1851" spans="3:17" x14ac:dyDescent="0.25">
      <c r="C1851" s="74" t="s">
        <v>2844</v>
      </c>
      <c r="D1851" s="74" t="s">
        <v>2845</v>
      </c>
      <c r="E1851" s="74"/>
      <c r="F1851" s="74">
        <v>0.24</v>
      </c>
      <c r="G1851" s="74"/>
      <c r="H1851" s="74"/>
      <c r="I1851" s="74" t="s">
        <v>391</v>
      </c>
      <c r="J1851" s="74"/>
      <c r="K1851" s="74">
        <v>102.4</v>
      </c>
      <c r="L1851" s="74">
        <v>92.16</v>
      </c>
      <c r="M1851" s="74"/>
      <c r="N1851" s="74" t="s">
        <v>392</v>
      </c>
      <c r="O1851" s="74" t="s">
        <v>402</v>
      </c>
      <c r="P1851" s="74" t="s">
        <v>2846</v>
      </c>
      <c r="Q1851" s="74" t="s">
        <v>2847</v>
      </c>
    </row>
    <row r="1852" spans="3:17" x14ac:dyDescent="0.25">
      <c r="C1852" s="74" t="s">
        <v>4291</v>
      </c>
      <c r="D1852" s="74" t="s">
        <v>4292</v>
      </c>
      <c r="E1852" s="74"/>
      <c r="F1852" s="74">
        <v>0.24</v>
      </c>
      <c r="G1852" s="74"/>
      <c r="H1852" s="74"/>
      <c r="I1852" s="74" t="s">
        <v>391</v>
      </c>
      <c r="J1852" s="74"/>
      <c r="K1852" s="74">
        <v>102.4</v>
      </c>
      <c r="L1852" s="74">
        <v>92.16</v>
      </c>
      <c r="M1852" s="74"/>
      <c r="N1852" s="74" t="s">
        <v>392</v>
      </c>
      <c r="O1852" s="74" t="s">
        <v>402</v>
      </c>
      <c r="P1852" s="74" t="s">
        <v>4293</v>
      </c>
      <c r="Q1852" s="74" t="s">
        <v>4294</v>
      </c>
    </row>
    <row r="1853" spans="3:17" x14ac:dyDescent="0.25">
      <c r="C1853" s="74" t="s">
        <v>4791</v>
      </c>
      <c r="D1853" s="74" t="s">
        <v>4792</v>
      </c>
      <c r="E1853" s="74"/>
      <c r="F1853" s="74">
        <v>0.24</v>
      </c>
      <c r="G1853" s="74"/>
      <c r="H1853" s="74"/>
      <c r="I1853" s="74" t="s">
        <v>391</v>
      </c>
      <c r="J1853" s="74"/>
      <c r="K1853" s="74">
        <v>102.4</v>
      </c>
      <c r="L1853" s="74">
        <v>92.16</v>
      </c>
      <c r="M1853" s="74"/>
      <c r="N1853" s="74" t="s">
        <v>392</v>
      </c>
      <c r="O1853" s="74" t="s">
        <v>402</v>
      </c>
      <c r="P1853" s="74" t="s">
        <v>4793</v>
      </c>
      <c r="Q1853" s="74" t="s">
        <v>4794</v>
      </c>
    </row>
    <row r="1854" spans="3:17" x14ac:dyDescent="0.25">
      <c r="C1854" s="74" t="s">
        <v>5426</v>
      </c>
      <c r="D1854" s="74" t="s">
        <v>5427</v>
      </c>
      <c r="E1854" s="74"/>
      <c r="F1854" s="74">
        <v>0.24</v>
      </c>
      <c r="G1854" s="74"/>
      <c r="H1854" s="74"/>
      <c r="I1854" s="74" t="s">
        <v>391</v>
      </c>
      <c r="J1854" s="74"/>
      <c r="K1854" s="74">
        <v>102.4</v>
      </c>
      <c r="L1854" s="74">
        <v>92.16</v>
      </c>
      <c r="M1854" s="74"/>
      <c r="N1854" s="74" t="s">
        <v>392</v>
      </c>
      <c r="O1854" s="74" t="s">
        <v>402</v>
      </c>
      <c r="P1854" s="74" t="s">
        <v>5428</v>
      </c>
      <c r="Q1854" s="74" t="s">
        <v>5429</v>
      </c>
    </row>
    <row r="1855" spans="3:17" x14ac:dyDescent="0.25">
      <c r="C1855" s="74" t="s">
        <v>5582</v>
      </c>
      <c r="D1855" s="74" t="s">
        <v>5583</v>
      </c>
      <c r="E1855" s="74" t="s">
        <v>391</v>
      </c>
      <c r="F1855" s="74">
        <v>0.24</v>
      </c>
      <c r="G1855" s="74"/>
      <c r="H1855" s="74"/>
      <c r="I1855" s="74" t="s">
        <v>391</v>
      </c>
      <c r="J1855" s="74"/>
      <c r="K1855" s="74">
        <v>102.4</v>
      </c>
      <c r="L1855" s="74">
        <v>92.16</v>
      </c>
      <c r="M1855" s="74"/>
      <c r="N1855" s="74" t="s">
        <v>1384</v>
      </c>
      <c r="O1855" s="74" t="s">
        <v>402</v>
      </c>
      <c r="P1855" s="74"/>
      <c r="Q1855" s="74" t="s">
        <v>5584</v>
      </c>
    </row>
    <row r="1856" spans="3:17" x14ac:dyDescent="0.25">
      <c r="C1856" s="74" t="s">
        <v>5665</v>
      </c>
      <c r="D1856" s="74" t="s">
        <v>5666</v>
      </c>
      <c r="E1856" s="74"/>
      <c r="F1856" s="74">
        <v>0.24</v>
      </c>
      <c r="G1856" s="74"/>
      <c r="H1856" s="74"/>
      <c r="I1856" s="74" t="s">
        <v>391</v>
      </c>
      <c r="J1856" s="74"/>
      <c r="K1856" s="74">
        <v>102.4</v>
      </c>
      <c r="L1856" s="74">
        <v>92.16</v>
      </c>
      <c r="M1856" s="74"/>
      <c r="N1856" s="74" t="s">
        <v>392</v>
      </c>
      <c r="O1856" s="74" t="s">
        <v>402</v>
      </c>
      <c r="P1856" s="74" t="s">
        <v>5667</v>
      </c>
      <c r="Q1856" s="74" t="s">
        <v>5668</v>
      </c>
    </row>
    <row r="1857" spans="3:17" x14ac:dyDescent="0.25">
      <c r="C1857" s="74" t="s">
        <v>6346</v>
      </c>
      <c r="D1857" s="74" t="s">
        <v>6347</v>
      </c>
      <c r="E1857" s="74"/>
      <c r="F1857" s="74">
        <v>0.24</v>
      </c>
      <c r="G1857" s="74"/>
      <c r="H1857" s="74"/>
      <c r="I1857" s="74" t="s">
        <v>391</v>
      </c>
      <c r="J1857" s="74"/>
      <c r="K1857" s="74">
        <v>102.4</v>
      </c>
      <c r="L1857" s="74">
        <v>92.16</v>
      </c>
      <c r="M1857" s="74"/>
      <c r="N1857" s="74" t="s">
        <v>392</v>
      </c>
      <c r="O1857" s="74" t="s">
        <v>402</v>
      </c>
      <c r="P1857" s="74" t="s">
        <v>6348</v>
      </c>
      <c r="Q1857" s="74" t="s">
        <v>6349</v>
      </c>
    </row>
    <row r="1858" spans="3:17" x14ac:dyDescent="0.25">
      <c r="C1858" s="74" t="s">
        <v>8798</v>
      </c>
      <c r="D1858" s="74" t="s">
        <v>8799</v>
      </c>
      <c r="E1858" s="74"/>
      <c r="F1858" s="74">
        <v>0.24</v>
      </c>
      <c r="G1858" s="74"/>
      <c r="H1858" s="74"/>
      <c r="I1858" s="74" t="s">
        <v>391</v>
      </c>
      <c r="J1858" s="74"/>
      <c r="K1858" s="74">
        <v>102.4</v>
      </c>
      <c r="L1858" s="74">
        <v>92.16</v>
      </c>
      <c r="M1858" s="74"/>
      <c r="N1858" s="74" t="s">
        <v>392</v>
      </c>
      <c r="O1858" s="74" t="s">
        <v>402</v>
      </c>
      <c r="P1858" s="74" t="s">
        <v>8800</v>
      </c>
      <c r="Q1858" s="74" t="s">
        <v>8801</v>
      </c>
    </row>
    <row r="1859" spans="3:17" x14ac:dyDescent="0.25">
      <c r="C1859" s="74" t="s">
        <v>9295</v>
      </c>
      <c r="D1859" s="74" t="s">
        <v>9296</v>
      </c>
      <c r="E1859" s="74"/>
      <c r="F1859" s="74">
        <v>0.24</v>
      </c>
      <c r="G1859" s="74"/>
      <c r="H1859" s="74"/>
      <c r="I1859" s="74" t="s">
        <v>391</v>
      </c>
      <c r="J1859" s="74"/>
      <c r="K1859" s="74">
        <v>102.4</v>
      </c>
      <c r="L1859" s="74">
        <v>92.16</v>
      </c>
      <c r="M1859" s="74"/>
      <c r="N1859" s="74" t="s">
        <v>392</v>
      </c>
      <c r="O1859" s="74" t="s">
        <v>402</v>
      </c>
      <c r="P1859" s="74" t="s">
        <v>9297</v>
      </c>
      <c r="Q1859" s="74" t="s">
        <v>9298</v>
      </c>
    </row>
    <row r="1860" spans="3:17" x14ac:dyDescent="0.25">
      <c r="C1860" s="74" t="s">
        <v>9299</v>
      </c>
      <c r="D1860" s="74" t="s">
        <v>9300</v>
      </c>
      <c r="E1860" s="74"/>
      <c r="F1860" s="74">
        <v>0.24</v>
      </c>
      <c r="G1860" s="74"/>
      <c r="H1860" s="74"/>
      <c r="I1860" s="74" t="s">
        <v>391</v>
      </c>
      <c r="J1860" s="74"/>
      <c r="K1860" s="74">
        <v>102.4</v>
      </c>
      <c r="L1860" s="74">
        <v>92.16</v>
      </c>
      <c r="M1860" s="74"/>
      <c r="N1860" s="74" t="s">
        <v>392</v>
      </c>
      <c r="O1860" s="74" t="s">
        <v>402</v>
      </c>
      <c r="P1860" s="74" t="s">
        <v>9301</v>
      </c>
      <c r="Q1860" s="74" t="s">
        <v>9302</v>
      </c>
    </row>
    <row r="1861" spans="3:17" x14ac:dyDescent="0.25">
      <c r="C1861" s="74" t="s">
        <v>9351</v>
      </c>
      <c r="D1861" s="74" t="s">
        <v>9352</v>
      </c>
      <c r="E1861" s="74"/>
      <c r="F1861" s="74">
        <v>0.24</v>
      </c>
      <c r="G1861" s="74"/>
      <c r="H1861" s="74"/>
      <c r="I1861" s="74" t="s">
        <v>391</v>
      </c>
      <c r="J1861" s="74"/>
      <c r="K1861" s="74">
        <v>102.4</v>
      </c>
      <c r="L1861" s="74">
        <v>92.16</v>
      </c>
      <c r="M1861" s="74"/>
      <c r="N1861" s="74" t="s">
        <v>392</v>
      </c>
      <c r="O1861" s="74" t="s">
        <v>402</v>
      </c>
      <c r="P1861" s="74" t="s">
        <v>9353</v>
      </c>
      <c r="Q1861" s="74" t="s">
        <v>9354</v>
      </c>
    </row>
    <row r="1862" spans="3:17" x14ac:dyDescent="0.25">
      <c r="C1862" s="74" t="s">
        <v>10474</v>
      </c>
      <c r="D1862" s="74" t="s">
        <v>10475</v>
      </c>
      <c r="E1862" s="74"/>
      <c r="F1862" s="74">
        <v>0.24</v>
      </c>
      <c r="G1862" s="74"/>
      <c r="H1862" s="74"/>
      <c r="I1862" s="74" t="s">
        <v>391</v>
      </c>
      <c r="J1862" s="74"/>
      <c r="K1862" s="74">
        <v>102.4</v>
      </c>
      <c r="L1862" s="74">
        <v>92.16</v>
      </c>
      <c r="M1862" s="74"/>
      <c r="N1862" s="74" t="s">
        <v>392</v>
      </c>
      <c r="O1862" s="74" t="s">
        <v>402</v>
      </c>
      <c r="P1862" s="74" t="s">
        <v>10476</v>
      </c>
      <c r="Q1862" s="74" t="s">
        <v>10477</v>
      </c>
    </row>
    <row r="1863" spans="3:17" x14ac:dyDescent="0.25">
      <c r="C1863" s="74" t="s">
        <v>12921</v>
      </c>
      <c r="D1863" s="74" t="s">
        <v>12922</v>
      </c>
      <c r="E1863" s="74" t="s">
        <v>391</v>
      </c>
      <c r="F1863" s="74">
        <v>0.24</v>
      </c>
      <c r="G1863" s="74"/>
      <c r="H1863" s="74"/>
      <c r="I1863" s="74" t="s">
        <v>391</v>
      </c>
      <c r="J1863" s="74"/>
      <c r="K1863" s="74">
        <v>102.4</v>
      </c>
      <c r="L1863" s="74">
        <v>92.16</v>
      </c>
      <c r="M1863" s="74"/>
      <c r="N1863" s="74" t="s">
        <v>392</v>
      </c>
      <c r="O1863" s="74" t="s">
        <v>393</v>
      </c>
      <c r="P1863" s="74"/>
      <c r="Q1863" s="74" t="s">
        <v>12923</v>
      </c>
    </row>
    <row r="1864" spans="3:17" x14ac:dyDescent="0.25">
      <c r="C1864" s="74" t="s">
        <v>13586</v>
      </c>
      <c r="D1864" s="74" t="s">
        <v>13587</v>
      </c>
      <c r="E1864" s="74"/>
      <c r="F1864" s="74">
        <v>0.24</v>
      </c>
      <c r="G1864" s="74"/>
      <c r="H1864" s="74"/>
      <c r="I1864" s="74" t="s">
        <v>391</v>
      </c>
      <c r="J1864" s="74"/>
      <c r="K1864" s="74">
        <v>102.4</v>
      </c>
      <c r="L1864" s="74">
        <v>92.16</v>
      </c>
      <c r="M1864" s="74"/>
      <c r="N1864" s="74" t="s">
        <v>392</v>
      </c>
      <c r="O1864" s="74" t="s">
        <v>402</v>
      </c>
      <c r="P1864" s="74" t="s">
        <v>13588</v>
      </c>
      <c r="Q1864" s="74" t="s">
        <v>13589</v>
      </c>
    </row>
    <row r="1865" spans="3:17" x14ac:dyDescent="0.25">
      <c r="C1865" s="74" t="s">
        <v>14589</v>
      </c>
      <c r="D1865" s="74" t="s">
        <v>14590</v>
      </c>
      <c r="E1865" s="74"/>
      <c r="F1865" s="74">
        <v>0.24</v>
      </c>
      <c r="G1865" s="74"/>
      <c r="H1865" s="74"/>
      <c r="I1865" s="74" t="s">
        <v>391</v>
      </c>
      <c r="J1865" s="74"/>
      <c r="K1865" s="74">
        <v>102.4</v>
      </c>
      <c r="L1865" s="74">
        <v>92.16</v>
      </c>
      <c r="M1865" s="74"/>
      <c r="N1865" s="74" t="s">
        <v>392</v>
      </c>
      <c r="O1865" s="74" t="s">
        <v>402</v>
      </c>
      <c r="P1865" s="74" t="s">
        <v>14591</v>
      </c>
      <c r="Q1865" s="74" t="s">
        <v>14592</v>
      </c>
    </row>
    <row r="1866" spans="3:17" x14ac:dyDescent="0.25">
      <c r="C1866" s="74" t="s">
        <v>16140</v>
      </c>
      <c r="D1866" s="74" t="s">
        <v>16141</v>
      </c>
      <c r="E1866" s="74"/>
      <c r="F1866" s="74">
        <v>0.24</v>
      </c>
      <c r="G1866" s="74"/>
      <c r="H1866" s="74"/>
      <c r="I1866" s="74" t="s">
        <v>391</v>
      </c>
      <c r="J1866" s="74"/>
      <c r="K1866" s="74">
        <v>102.4</v>
      </c>
      <c r="L1866" s="74">
        <v>92.16</v>
      </c>
      <c r="M1866" s="74"/>
      <c r="N1866" s="74" t="s">
        <v>392</v>
      </c>
      <c r="O1866" s="74" t="s">
        <v>402</v>
      </c>
      <c r="P1866" s="74" t="s">
        <v>16142</v>
      </c>
      <c r="Q1866" s="74" t="s">
        <v>16143</v>
      </c>
    </row>
    <row r="1867" spans="3:17" x14ac:dyDescent="0.25">
      <c r="C1867" s="74" t="s">
        <v>16453</v>
      </c>
      <c r="D1867" s="74" t="s">
        <v>16454</v>
      </c>
      <c r="E1867" s="74"/>
      <c r="F1867" s="74">
        <v>0.24</v>
      </c>
      <c r="G1867" s="74"/>
      <c r="H1867" s="74"/>
      <c r="I1867" s="74" t="s">
        <v>391</v>
      </c>
      <c r="J1867" s="74"/>
      <c r="K1867" s="74">
        <v>102.4</v>
      </c>
      <c r="L1867" s="74">
        <v>92.16</v>
      </c>
      <c r="M1867" s="74"/>
      <c r="N1867" s="74" t="s">
        <v>392</v>
      </c>
      <c r="O1867" s="74" t="s">
        <v>402</v>
      </c>
      <c r="P1867" s="74" t="s">
        <v>16455</v>
      </c>
      <c r="Q1867" s="74" t="s">
        <v>16456</v>
      </c>
    </row>
    <row r="1868" spans="3:17" x14ac:dyDescent="0.25">
      <c r="C1868" s="74" t="s">
        <v>19625</v>
      </c>
      <c r="D1868" s="74" t="s">
        <v>19626</v>
      </c>
      <c r="E1868" s="74"/>
      <c r="F1868" s="74">
        <v>0.24</v>
      </c>
      <c r="G1868" s="74"/>
      <c r="H1868" s="74"/>
      <c r="I1868" s="74" t="s">
        <v>391</v>
      </c>
      <c r="J1868" s="74"/>
      <c r="K1868" s="74">
        <v>102.4</v>
      </c>
      <c r="L1868" s="74">
        <v>92.16</v>
      </c>
      <c r="M1868" s="74"/>
      <c r="N1868" s="74" t="s">
        <v>392</v>
      </c>
      <c r="O1868" s="74" t="s">
        <v>402</v>
      </c>
      <c r="P1868" s="74"/>
      <c r="Q1868" s="74" t="s">
        <v>19627</v>
      </c>
    </row>
    <row r="1869" spans="3:17" x14ac:dyDescent="0.25">
      <c r="C1869" s="74" t="s">
        <v>20920</v>
      </c>
      <c r="D1869" s="74" t="s">
        <v>20921</v>
      </c>
      <c r="E1869" s="74"/>
      <c r="F1869" s="74">
        <v>0.24</v>
      </c>
      <c r="G1869" s="74"/>
      <c r="H1869" s="74"/>
      <c r="I1869" s="74" t="s">
        <v>391</v>
      </c>
      <c r="J1869" s="74"/>
      <c r="K1869" s="74">
        <v>102.4</v>
      </c>
      <c r="L1869" s="74">
        <v>92.16</v>
      </c>
      <c r="M1869" s="74"/>
      <c r="N1869" s="74" t="s">
        <v>392</v>
      </c>
      <c r="O1869" s="74" t="s">
        <v>402</v>
      </c>
      <c r="P1869" s="74" t="s">
        <v>20922</v>
      </c>
      <c r="Q1869" s="74" t="s">
        <v>20923</v>
      </c>
    </row>
    <row r="1870" spans="3:17" x14ac:dyDescent="0.25">
      <c r="C1870" s="158" t="s">
        <v>21228</v>
      </c>
      <c r="D1870" s="158" t="s">
        <v>21229</v>
      </c>
      <c r="F1870" s="158">
        <v>0.24</v>
      </c>
      <c r="I1870" s="158" t="s">
        <v>391</v>
      </c>
      <c r="K1870" s="158">
        <v>102.4</v>
      </c>
      <c r="L1870" s="158">
        <v>92.16</v>
      </c>
      <c r="N1870" s="158" t="s">
        <v>392</v>
      </c>
      <c r="O1870" s="158" t="s">
        <v>402</v>
      </c>
      <c r="P1870" s="158" t="s">
        <v>21230</v>
      </c>
      <c r="Q1870" s="158" t="s">
        <v>21231</v>
      </c>
    </row>
    <row r="1871" spans="3:17" x14ac:dyDescent="0.25">
      <c r="C1871" s="74" t="s">
        <v>768</v>
      </c>
      <c r="D1871" s="74" t="s">
        <v>769</v>
      </c>
      <c r="E1871" s="74" t="s">
        <v>391</v>
      </c>
      <c r="F1871" s="74">
        <v>0.23</v>
      </c>
      <c r="G1871" s="74"/>
      <c r="H1871" s="74"/>
      <c r="I1871" s="74" t="s">
        <v>391</v>
      </c>
      <c r="J1871" s="74"/>
      <c r="K1871" s="74">
        <v>102.4</v>
      </c>
      <c r="L1871" s="74">
        <v>92.16</v>
      </c>
      <c r="M1871" s="74"/>
      <c r="N1871" s="74" t="s">
        <v>392</v>
      </c>
      <c r="O1871" s="74" t="s">
        <v>393</v>
      </c>
      <c r="P1871" s="74"/>
      <c r="Q1871" s="74" t="s">
        <v>770</v>
      </c>
    </row>
    <row r="1872" spans="3:17" x14ac:dyDescent="0.25">
      <c r="C1872" s="74" t="s">
        <v>779</v>
      </c>
      <c r="D1872" s="74" t="s">
        <v>780</v>
      </c>
      <c r="E1872" s="74"/>
      <c r="F1872" s="74">
        <v>0.23</v>
      </c>
      <c r="G1872" s="74"/>
      <c r="H1872" s="74"/>
      <c r="I1872" s="74" t="s">
        <v>391</v>
      </c>
      <c r="J1872" s="74"/>
      <c r="K1872" s="74">
        <v>102.4</v>
      </c>
      <c r="L1872" s="74">
        <v>92.16</v>
      </c>
      <c r="M1872" s="74"/>
      <c r="N1872" s="74" t="s">
        <v>392</v>
      </c>
      <c r="O1872" s="74" t="s">
        <v>402</v>
      </c>
      <c r="P1872" s="74" t="s">
        <v>781</v>
      </c>
      <c r="Q1872" s="74" t="s">
        <v>782</v>
      </c>
    </row>
    <row r="1873" spans="3:17" x14ac:dyDescent="0.25">
      <c r="C1873" s="74" t="s">
        <v>1173</v>
      </c>
      <c r="D1873" s="74" t="s">
        <v>1174</v>
      </c>
      <c r="E1873" s="74"/>
      <c r="F1873" s="74">
        <v>0.23</v>
      </c>
      <c r="G1873" s="74"/>
      <c r="H1873" s="74"/>
      <c r="I1873" s="74" t="s">
        <v>391</v>
      </c>
      <c r="J1873" s="74"/>
      <c r="K1873" s="74">
        <v>102.4</v>
      </c>
      <c r="L1873" s="74">
        <v>92.16</v>
      </c>
      <c r="M1873" s="74"/>
      <c r="N1873" s="74" t="s">
        <v>392</v>
      </c>
      <c r="O1873" s="74" t="s">
        <v>402</v>
      </c>
      <c r="P1873" s="74" t="s">
        <v>1175</v>
      </c>
      <c r="Q1873" s="74" t="s">
        <v>1176</v>
      </c>
    </row>
    <row r="1874" spans="3:17" x14ac:dyDescent="0.25">
      <c r="C1874" s="74" t="s">
        <v>4130</v>
      </c>
      <c r="D1874" s="74" t="s">
        <v>4131</v>
      </c>
      <c r="E1874" s="74"/>
      <c r="F1874" s="74">
        <v>0.23</v>
      </c>
      <c r="G1874" s="74"/>
      <c r="H1874" s="74"/>
      <c r="I1874" s="74" t="s">
        <v>391</v>
      </c>
      <c r="J1874" s="74"/>
      <c r="K1874" s="74">
        <v>102.4</v>
      </c>
      <c r="L1874" s="74">
        <v>92.16</v>
      </c>
      <c r="M1874" s="74"/>
      <c r="N1874" s="74" t="s">
        <v>392</v>
      </c>
      <c r="O1874" s="74" t="s">
        <v>402</v>
      </c>
      <c r="P1874" s="74" t="s">
        <v>4132</v>
      </c>
      <c r="Q1874" s="74" t="s">
        <v>4133</v>
      </c>
    </row>
    <row r="1875" spans="3:17" x14ac:dyDescent="0.25">
      <c r="C1875" s="74" t="s">
        <v>4207</v>
      </c>
      <c r="D1875" s="74" t="s">
        <v>4208</v>
      </c>
      <c r="E1875" s="74"/>
      <c r="F1875" s="74">
        <v>0.23</v>
      </c>
      <c r="G1875" s="74"/>
      <c r="H1875" s="74"/>
      <c r="I1875" s="74" t="s">
        <v>391</v>
      </c>
      <c r="J1875" s="74"/>
      <c r="K1875" s="74">
        <v>102.4</v>
      </c>
      <c r="L1875" s="74">
        <v>92.16</v>
      </c>
      <c r="M1875" s="74"/>
      <c r="N1875" s="74" t="s">
        <v>392</v>
      </c>
      <c r="O1875" s="74" t="s">
        <v>402</v>
      </c>
      <c r="P1875" s="74" t="s">
        <v>4209</v>
      </c>
      <c r="Q1875" s="74" t="s">
        <v>4210</v>
      </c>
    </row>
    <row r="1876" spans="3:17" x14ac:dyDescent="0.25">
      <c r="C1876" s="74" t="s">
        <v>4318</v>
      </c>
      <c r="D1876" s="74" t="s">
        <v>4319</v>
      </c>
      <c r="E1876" s="74"/>
      <c r="F1876" s="74">
        <v>0.23</v>
      </c>
      <c r="G1876" s="74"/>
      <c r="H1876" s="74"/>
      <c r="I1876" s="74" t="s">
        <v>391</v>
      </c>
      <c r="J1876" s="74"/>
      <c r="K1876" s="74">
        <v>102.4</v>
      </c>
      <c r="L1876" s="74">
        <v>92.16</v>
      </c>
      <c r="M1876" s="74"/>
      <c r="N1876" s="74" t="s">
        <v>392</v>
      </c>
      <c r="O1876" s="74" t="s">
        <v>402</v>
      </c>
      <c r="P1876" s="74" t="s">
        <v>4320</v>
      </c>
      <c r="Q1876" s="74" t="s">
        <v>4321</v>
      </c>
    </row>
    <row r="1877" spans="3:17" x14ac:dyDescent="0.25">
      <c r="C1877" s="74" t="s">
        <v>4403</v>
      </c>
      <c r="D1877" s="74" t="s">
        <v>4404</v>
      </c>
      <c r="E1877" s="74" t="s">
        <v>391</v>
      </c>
      <c r="F1877" s="74">
        <v>0.23</v>
      </c>
      <c r="G1877" s="74"/>
      <c r="H1877" s="74"/>
      <c r="I1877" s="74" t="s">
        <v>391</v>
      </c>
      <c r="J1877" s="74"/>
      <c r="K1877" s="74">
        <v>102.4</v>
      </c>
      <c r="L1877" s="74">
        <v>92.16</v>
      </c>
      <c r="M1877" s="74"/>
      <c r="N1877" s="74" t="s">
        <v>392</v>
      </c>
      <c r="O1877" s="74" t="s">
        <v>393</v>
      </c>
      <c r="P1877" s="74" t="s">
        <v>4405</v>
      </c>
      <c r="Q1877" s="74" t="s">
        <v>4406</v>
      </c>
    </row>
    <row r="1878" spans="3:17" x14ac:dyDescent="0.25">
      <c r="C1878" s="74" t="s">
        <v>4645</v>
      </c>
      <c r="D1878" s="74" t="s">
        <v>4646</v>
      </c>
      <c r="E1878" s="74"/>
      <c r="F1878" s="74">
        <v>0.23</v>
      </c>
      <c r="G1878" s="74"/>
      <c r="H1878" s="74"/>
      <c r="I1878" s="74" t="s">
        <v>391</v>
      </c>
      <c r="J1878" s="74"/>
      <c r="K1878" s="74">
        <v>102.4</v>
      </c>
      <c r="L1878" s="74">
        <v>92.16</v>
      </c>
      <c r="M1878" s="74"/>
      <c r="N1878" s="74" t="s">
        <v>392</v>
      </c>
      <c r="O1878" s="74" t="s">
        <v>402</v>
      </c>
      <c r="P1878" s="74" t="s">
        <v>4647</v>
      </c>
      <c r="Q1878" s="74" t="s">
        <v>4648</v>
      </c>
    </row>
    <row r="1879" spans="3:17" x14ac:dyDescent="0.25">
      <c r="C1879" s="74" t="s">
        <v>5043</v>
      </c>
      <c r="D1879" s="74" t="s">
        <v>5044</v>
      </c>
      <c r="E1879" s="74"/>
      <c r="F1879" s="74">
        <v>0.23</v>
      </c>
      <c r="G1879" s="74"/>
      <c r="H1879" s="74"/>
      <c r="I1879" s="74" t="s">
        <v>391</v>
      </c>
      <c r="J1879" s="74"/>
      <c r="K1879" s="74">
        <v>102.4</v>
      </c>
      <c r="L1879" s="74">
        <v>92.16</v>
      </c>
      <c r="M1879" s="74"/>
      <c r="N1879" s="74" t="s">
        <v>392</v>
      </c>
      <c r="O1879" s="74" t="s">
        <v>402</v>
      </c>
      <c r="P1879" s="74" t="s">
        <v>5045</v>
      </c>
      <c r="Q1879" s="74" t="s">
        <v>5046</v>
      </c>
    </row>
    <row r="1880" spans="3:17" x14ac:dyDescent="0.25">
      <c r="C1880" s="74" t="s">
        <v>7382</v>
      </c>
      <c r="D1880" s="74" t="s">
        <v>7383</v>
      </c>
      <c r="E1880" s="74"/>
      <c r="F1880" s="74">
        <v>0.23</v>
      </c>
      <c r="G1880" s="74"/>
      <c r="H1880" s="74"/>
      <c r="I1880" s="74" t="s">
        <v>391</v>
      </c>
      <c r="J1880" s="74"/>
      <c r="K1880" s="74">
        <v>102.4</v>
      </c>
      <c r="L1880" s="74">
        <v>92.16</v>
      </c>
      <c r="M1880" s="74"/>
      <c r="N1880" s="74" t="s">
        <v>392</v>
      </c>
      <c r="O1880" s="74" t="s">
        <v>402</v>
      </c>
      <c r="P1880" s="74" t="s">
        <v>7384</v>
      </c>
      <c r="Q1880" s="74" t="s">
        <v>7385</v>
      </c>
    </row>
    <row r="1881" spans="3:17" x14ac:dyDescent="0.25">
      <c r="C1881" s="74" t="s">
        <v>9043</v>
      </c>
      <c r="D1881" s="74" t="s">
        <v>9044</v>
      </c>
      <c r="E1881" s="74"/>
      <c r="F1881" s="74">
        <v>0.23</v>
      </c>
      <c r="G1881" s="74"/>
      <c r="H1881" s="74"/>
      <c r="I1881" s="74" t="s">
        <v>391</v>
      </c>
      <c r="J1881" s="74"/>
      <c r="K1881" s="74">
        <v>102.4</v>
      </c>
      <c r="L1881" s="74">
        <v>92.16</v>
      </c>
      <c r="M1881" s="74"/>
      <c r="N1881" s="74" t="s">
        <v>392</v>
      </c>
      <c r="O1881" s="74" t="s">
        <v>402</v>
      </c>
      <c r="P1881" s="74" t="s">
        <v>9045</v>
      </c>
      <c r="Q1881" s="74" t="s">
        <v>9046</v>
      </c>
    </row>
    <row r="1882" spans="3:17" x14ac:dyDescent="0.25">
      <c r="C1882" s="74" t="s">
        <v>10928</v>
      </c>
      <c r="D1882" s="74" t="s">
        <v>10929</v>
      </c>
      <c r="E1882" s="74"/>
      <c r="F1882" s="74">
        <v>0.23</v>
      </c>
      <c r="G1882" s="74"/>
      <c r="H1882" s="74"/>
      <c r="I1882" s="74" t="s">
        <v>391</v>
      </c>
      <c r="J1882" s="74"/>
      <c r="K1882" s="74">
        <v>102.4</v>
      </c>
      <c r="L1882" s="74">
        <v>92.16</v>
      </c>
      <c r="M1882" s="74"/>
      <c r="N1882" s="74" t="s">
        <v>392</v>
      </c>
      <c r="O1882" s="74" t="s">
        <v>402</v>
      </c>
      <c r="P1882" s="74" t="s">
        <v>10930</v>
      </c>
      <c r="Q1882" s="74" t="s">
        <v>10931</v>
      </c>
    </row>
    <row r="1883" spans="3:17" x14ac:dyDescent="0.25">
      <c r="C1883" s="74" t="s">
        <v>13261</v>
      </c>
      <c r="D1883" s="74" t="s">
        <v>13262</v>
      </c>
      <c r="E1883" s="74"/>
      <c r="F1883" s="74">
        <v>0.23</v>
      </c>
      <c r="G1883" s="74"/>
      <c r="H1883" s="74"/>
      <c r="I1883" s="74" t="s">
        <v>391</v>
      </c>
      <c r="J1883" s="74"/>
      <c r="K1883" s="74">
        <v>102.4</v>
      </c>
      <c r="L1883" s="74">
        <v>92.16</v>
      </c>
      <c r="M1883" s="74"/>
      <c r="N1883" s="74" t="s">
        <v>392</v>
      </c>
      <c r="O1883" s="74" t="s">
        <v>402</v>
      </c>
      <c r="P1883" s="74" t="s">
        <v>13263</v>
      </c>
      <c r="Q1883" s="74" t="s">
        <v>13264</v>
      </c>
    </row>
    <row r="1884" spans="3:17" x14ac:dyDescent="0.25">
      <c r="C1884" s="74" t="s">
        <v>14257</v>
      </c>
      <c r="D1884" s="74" t="s">
        <v>14258</v>
      </c>
      <c r="E1884" s="74"/>
      <c r="F1884" s="74">
        <v>0.23</v>
      </c>
      <c r="G1884" s="74"/>
      <c r="H1884" s="74"/>
      <c r="I1884" s="74" t="s">
        <v>391</v>
      </c>
      <c r="J1884" s="74"/>
      <c r="K1884" s="74">
        <v>102.4</v>
      </c>
      <c r="L1884" s="74">
        <v>92.16</v>
      </c>
      <c r="M1884" s="74"/>
      <c r="N1884" s="74" t="s">
        <v>392</v>
      </c>
      <c r="O1884" s="74" t="s">
        <v>402</v>
      </c>
      <c r="P1884" s="74" t="s">
        <v>14259</v>
      </c>
      <c r="Q1884" s="74" t="s">
        <v>14260</v>
      </c>
    </row>
    <row r="1885" spans="3:17" x14ac:dyDescent="0.25">
      <c r="C1885" s="74" t="s">
        <v>14309</v>
      </c>
      <c r="D1885" s="74" t="s">
        <v>14310</v>
      </c>
      <c r="E1885" s="74"/>
      <c r="F1885" s="74">
        <v>0.23</v>
      </c>
      <c r="G1885" s="74"/>
      <c r="H1885" s="74"/>
      <c r="I1885" s="74" t="s">
        <v>391</v>
      </c>
      <c r="J1885" s="74"/>
      <c r="K1885" s="74">
        <v>102.4</v>
      </c>
      <c r="L1885" s="74">
        <v>92.16</v>
      </c>
      <c r="M1885" s="74"/>
      <c r="N1885" s="74" t="s">
        <v>392</v>
      </c>
      <c r="O1885" s="74" t="s">
        <v>402</v>
      </c>
      <c r="P1885" s="74" t="s">
        <v>14311</v>
      </c>
      <c r="Q1885" s="74" t="s">
        <v>14312</v>
      </c>
    </row>
    <row r="1886" spans="3:17" x14ac:dyDescent="0.25">
      <c r="C1886" s="158" t="s">
        <v>15227</v>
      </c>
      <c r="D1886" s="158" t="s">
        <v>15228</v>
      </c>
      <c r="E1886" s="158" t="s">
        <v>391</v>
      </c>
      <c r="F1886" s="158">
        <v>0.23</v>
      </c>
      <c r="I1886" s="158" t="s">
        <v>391</v>
      </c>
      <c r="K1886" s="158">
        <v>102.4</v>
      </c>
      <c r="L1886" s="158">
        <v>92.16</v>
      </c>
      <c r="N1886" s="158" t="s">
        <v>392</v>
      </c>
      <c r="O1886" s="158" t="s">
        <v>393</v>
      </c>
      <c r="Q1886" s="158" t="s">
        <v>15229</v>
      </c>
    </row>
    <row r="1887" spans="3:17" x14ac:dyDescent="0.25">
      <c r="C1887" s="74" t="s">
        <v>15713</v>
      </c>
      <c r="D1887" s="74" t="s">
        <v>15714</v>
      </c>
      <c r="E1887" s="74"/>
      <c r="F1887" s="74">
        <v>0.23</v>
      </c>
      <c r="G1887" s="74"/>
      <c r="H1887" s="74"/>
      <c r="I1887" s="74" t="s">
        <v>391</v>
      </c>
      <c r="J1887" s="74"/>
      <c r="K1887" s="74">
        <v>102.4</v>
      </c>
      <c r="L1887" s="74">
        <v>92.16</v>
      </c>
      <c r="M1887" s="74"/>
      <c r="N1887" s="74" t="s">
        <v>392</v>
      </c>
      <c r="O1887" s="74" t="s">
        <v>402</v>
      </c>
      <c r="P1887" s="74" t="s">
        <v>15715</v>
      </c>
      <c r="Q1887" s="74" t="s">
        <v>15716</v>
      </c>
    </row>
    <row r="1888" spans="3:17" x14ac:dyDescent="0.25">
      <c r="C1888" s="74" t="s">
        <v>17239</v>
      </c>
      <c r="D1888" s="74" t="s">
        <v>17240</v>
      </c>
      <c r="E1888" s="74"/>
      <c r="F1888" s="74">
        <v>0.23</v>
      </c>
      <c r="G1888" s="74"/>
      <c r="H1888" s="74"/>
      <c r="I1888" s="74" t="s">
        <v>391</v>
      </c>
      <c r="J1888" s="74"/>
      <c r="K1888" s="74">
        <v>102.4</v>
      </c>
      <c r="L1888" s="74">
        <v>92.16</v>
      </c>
      <c r="M1888" s="74"/>
      <c r="N1888" s="74" t="s">
        <v>392</v>
      </c>
      <c r="O1888" s="74" t="s">
        <v>402</v>
      </c>
      <c r="P1888" s="74" t="s">
        <v>17241</v>
      </c>
      <c r="Q1888" s="74" t="s">
        <v>17242</v>
      </c>
    </row>
    <row r="1889" spans="3:17" x14ac:dyDescent="0.25">
      <c r="C1889" s="74" t="s">
        <v>17369</v>
      </c>
      <c r="D1889" s="74" t="s">
        <v>17370</v>
      </c>
      <c r="E1889" s="74"/>
      <c r="F1889" s="74">
        <v>0.23</v>
      </c>
      <c r="G1889" s="74"/>
      <c r="H1889" s="74"/>
      <c r="I1889" s="74" t="s">
        <v>391</v>
      </c>
      <c r="J1889" s="74"/>
      <c r="K1889" s="74">
        <v>102.4</v>
      </c>
      <c r="L1889" s="74">
        <v>92.16</v>
      </c>
      <c r="M1889" s="74"/>
      <c r="N1889" s="74" t="s">
        <v>392</v>
      </c>
      <c r="O1889" s="74" t="s">
        <v>402</v>
      </c>
      <c r="P1889" s="74" t="s">
        <v>17371</v>
      </c>
      <c r="Q1889" s="74" t="s">
        <v>17372</v>
      </c>
    </row>
    <row r="1890" spans="3:17" x14ac:dyDescent="0.25">
      <c r="C1890" s="74" t="s">
        <v>18483</v>
      </c>
      <c r="D1890" s="74" t="s">
        <v>18484</v>
      </c>
      <c r="E1890" s="74"/>
      <c r="F1890" s="74">
        <v>0.23</v>
      </c>
      <c r="G1890" s="74"/>
      <c r="H1890" s="74"/>
      <c r="I1890" s="74" t="s">
        <v>391</v>
      </c>
      <c r="J1890" s="74"/>
      <c r="K1890" s="74">
        <v>102.4</v>
      </c>
      <c r="L1890" s="74">
        <v>92.16</v>
      </c>
      <c r="M1890" s="74"/>
      <c r="N1890" s="74" t="s">
        <v>392</v>
      </c>
      <c r="O1890" s="74" t="s">
        <v>402</v>
      </c>
      <c r="P1890" s="74" t="s">
        <v>18485</v>
      </c>
      <c r="Q1890" s="74" t="s">
        <v>18486</v>
      </c>
    </row>
    <row r="1891" spans="3:17" x14ac:dyDescent="0.25">
      <c r="C1891" s="74" t="s">
        <v>903</v>
      </c>
      <c r="D1891" s="74" t="s">
        <v>904</v>
      </c>
      <c r="E1891" s="74" t="s">
        <v>391</v>
      </c>
      <c r="F1891" s="74">
        <v>0.22</v>
      </c>
      <c r="G1891" s="74"/>
      <c r="H1891" s="74"/>
      <c r="I1891" s="74" t="s">
        <v>391</v>
      </c>
      <c r="J1891" s="74"/>
      <c r="K1891" s="74">
        <v>102.4</v>
      </c>
      <c r="L1891" s="74">
        <v>92.16</v>
      </c>
      <c r="M1891" s="74"/>
      <c r="N1891" s="74" t="s">
        <v>392</v>
      </c>
      <c r="O1891" s="74" t="s">
        <v>393</v>
      </c>
      <c r="P1891" s="74"/>
      <c r="Q1891" s="74" t="s">
        <v>905</v>
      </c>
    </row>
    <row r="1892" spans="3:17" x14ac:dyDescent="0.25">
      <c r="C1892" s="74" t="s">
        <v>2071</v>
      </c>
      <c r="D1892" s="74" t="s">
        <v>2072</v>
      </c>
      <c r="E1892" s="74"/>
      <c r="F1892" s="74">
        <v>0.22</v>
      </c>
      <c r="G1892" s="74"/>
      <c r="H1892" s="74"/>
      <c r="I1892" s="74" t="s">
        <v>391</v>
      </c>
      <c r="J1892" s="74"/>
      <c r="K1892" s="74">
        <v>102.4</v>
      </c>
      <c r="L1892" s="74">
        <v>92.16</v>
      </c>
      <c r="M1892" s="74"/>
      <c r="N1892" s="74" t="s">
        <v>392</v>
      </c>
      <c r="O1892" s="74" t="s">
        <v>402</v>
      </c>
      <c r="P1892" s="74" t="s">
        <v>2073</v>
      </c>
      <c r="Q1892" s="74" t="s">
        <v>2074</v>
      </c>
    </row>
    <row r="1893" spans="3:17" x14ac:dyDescent="0.25">
      <c r="C1893" s="74" t="s">
        <v>4134</v>
      </c>
      <c r="D1893" s="74" t="s">
        <v>4135</v>
      </c>
      <c r="E1893" s="74"/>
      <c r="F1893" s="74">
        <v>0.22</v>
      </c>
      <c r="G1893" s="74"/>
      <c r="H1893" s="74"/>
      <c r="I1893" s="74" t="s">
        <v>391</v>
      </c>
      <c r="J1893" s="74"/>
      <c r="K1893" s="74">
        <v>102.4</v>
      </c>
      <c r="L1893" s="74">
        <v>92.16</v>
      </c>
      <c r="M1893" s="74"/>
      <c r="N1893" s="74" t="s">
        <v>392</v>
      </c>
      <c r="O1893" s="74" t="s">
        <v>402</v>
      </c>
      <c r="P1893" s="74" t="s">
        <v>4136</v>
      </c>
      <c r="Q1893" s="74" t="s">
        <v>4137</v>
      </c>
    </row>
    <row r="1894" spans="3:17" x14ac:dyDescent="0.25">
      <c r="C1894" s="74" t="s">
        <v>7720</v>
      </c>
      <c r="D1894" s="74" t="s">
        <v>7721</v>
      </c>
      <c r="E1894" s="74"/>
      <c r="F1894" s="74">
        <v>0.22</v>
      </c>
      <c r="G1894" s="74"/>
      <c r="H1894" s="74"/>
      <c r="I1894" s="74" t="s">
        <v>391</v>
      </c>
      <c r="J1894" s="74"/>
      <c r="K1894" s="74">
        <v>102.4</v>
      </c>
      <c r="L1894" s="74">
        <v>92.16</v>
      </c>
      <c r="M1894" s="74"/>
      <c r="N1894" s="74" t="s">
        <v>392</v>
      </c>
      <c r="O1894" s="74" t="s">
        <v>402</v>
      </c>
      <c r="P1894" s="74" t="s">
        <v>7722</v>
      </c>
      <c r="Q1894" s="74" t="s">
        <v>7723</v>
      </c>
    </row>
    <row r="1895" spans="3:17" x14ac:dyDescent="0.25">
      <c r="C1895" s="74" t="s">
        <v>10519</v>
      </c>
      <c r="D1895" s="74" t="s">
        <v>10520</v>
      </c>
      <c r="E1895" s="74"/>
      <c r="F1895" s="74">
        <v>0.22</v>
      </c>
      <c r="G1895" s="74"/>
      <c r="H1895" s="74"/>
      <c r="I1895" s="74" t="s">
        <v>391</v>
      </c>
      <c r="J1895" s="74"/>
      <c r="K1895" s="74">
        <v>102.4</v>
      </c>
      <c r="L1895" s="74">
        <v>92.16</v>
      </c>
      <c r="M1895" s="74"/>
      <c r="N1895" s="74" t="s">
        <v>392</v>
      </c>
      <c r="O1895" s="74" t="s">
        <v>402</v>
      </c>
      <c r="P1895" s="74" t="s">
        <v>10521</v>
      </c>
      <c r="Q1895" s="74" t="s">
        <v>10522</v>
      </c>
    </row>
    <row r="1896" spans="3:17" x14ac:dyDescent="0.25">
      <c r="C1896" s="74" t="s">
        <v>12178</v>
      </c>
      <c r="D1896" s="74" t="s">
        <v>12179</v>
      </c>
      <c r="E1896" s="74"/>
      <c r="F1896" s="74">
        <v>0.22</v>
      </c>
      <c r="G1896" s="74"/>
      <c r="H1896" s="74"/>
      <c r="I1896" s="74" t="s">
        <v>391</v>
      </c>
      <c r="J1896" s="74"/>
      <c r="K1896" s="74">
        <v>102.4</v>
      </c>
      <c r="L1896" s="74">
        <v>92.16</v>
      </c>
      <c r="M1896" s="74"/>
      <c r="N1896" s="74" t="s">
        <v>392</v>
      </c>
      <c r="O1896" s="74" t="s">
        <v>402</v>
      </c>
      <c r="P1896" s="74" t="s">
        <v>12180</v>
      </c>
      <c r="Q1896" s="74" t="s">
        <v>12181</v>
      </c>
    </row>
    <row r="1897" spans="3:17" x14ac:dyDescent="0.25">
      <c r="C1897" s="74" t="s">
        <v>13196</v>
      </c>
      <c r="D1897" s="74" t="s">
        <v>13197</v>
      </c>
      <c r="E1897" s="74" t="s">
        <v>391</v>
      </c>
      <c r="F1897" s="74">
        <v>0.22</v>
      </c>
      <c r="G1897" s="74"/>
      <c r="H1897" s="74"/>
      <c r="I1897" s="74" t="s">
        <v>391</v>
      </c>
      <c r="J1897" s="74"/>
      <c r="K1897" s="74">
        <v>102.4</v>
      </c>
      <c r="L1897" s="74">
        <v>92.16</v>
      </c>
      <c r="M1897" s="74"/>
      <c r="N1897" s="74" t="s">
        <v>392</v>
      </c>
      <c r="O1897" s="74" t="s">
        <v>393</v>
      </c>
      <c r="P1897" s="74"/>
      <c r="Q1897" s="74" t="s">
        <v>13198</v>
      </c>
    </row>
    <row r="1898" spans="3:17" x14ac:dyDescent="0.25">
      <c r="C1898" s="74" t="s">
        <v>13276</v>
      </c>
      <c r="D1898" s="74" t="s">
        <v>13277</v>
      </c>
      <c r="E1898" s="74"/>
      <c r="F1898" s="74">
        <v>0.22</v>
      </c>
      <c r="G1898" s="74"/>
      <c r="H1898" s="74"/>
      <c r="I1898" s="74" t="s">
        <v>391</v>
      </c>
      <c r="J1898" s="74"/>
      <c r="K1898" s="74">
        <v>102.4</v>
      </c>
      <c r="L1898" s="74">
        <v>92.16</v>
      </c>
      <c r="M1898" s="74"/>
      <c r="N1898" s="74" t="s">
        <v>392</v>
      </c>
      <c r="O1898" s="74" t="s">
        <v>402</v>
      </c>
      <c r="P1898" s="74" t="s">
        <v>13278</v>
      </c>
      <c r="Q1898" s="74" t="s">
        <v>13279</v>
      </c>
    </row>
    <row r="1899" spans="3:17" x14ac:dyDescent="0.25">
      <c r="C1899" s="74" t="s">
        <v>14768</v>
      </c>
      <c r="D1899" s="74" t="s">
        <v>14769</v>
      </c>
      <c r="E1899" s="74" t="s">
        <v>391</v>
      </c>
      <c r="F1899" s="74">
        <v>0.22</v>
      </c>
      <c r="G1899" s="74"/>
      <c r="H1899" s="74"/>
      <c r="I1899" s="74" t="s">
        <v>391</v>
      </c>
      <c r="J1899" s="74"/>
      <c r="K1899" s="74">
        <v>102.4</v>
      </c>
      <c r="L1899" s="74">
        <v>92.16</v>
      </c>
      <c r="M1899" s="74"/>
      <c r="N1899" s="74" t="s">
        <v>392</v>
      </c>
      <c r="O1899" s="74" t="s">
        <v>393</v>
      </c>
      <c r="P1899" s="74"/>
      <c r="Q1899" s="74" t="s">
        <v>14770</v>
      </c>
    </row>
    <row r="1900" spans="3:17" x14ac:dyDescent="0.25">
      <c r="C1900" s="74" t="s">
        <v>16651</v>
      </c>
      <c r="D1900" s="74" t="s">
        <v>16652</v>
      </c>
      <c r="E1900" s="74"/>
      <c r="F1900" s="74">
        <v>0.22</v>
      </c>
      <c r="G1900" s="74"/>
      <c r="H1900" s="74"/>
      <c r="I1900" s="74" t="s">
        <v>391</v>
      </c>
      <c r="J1900" s="74"/>
      <c r="K1900" s="74">
        <v>102.4</v>
      </c>
      <c r="L1900" s="74">
        <v>92.16</v>
      </c>
      <c r="M1900" s="74"/>
      <c r="N1900" s="74" t="s">
        <v>392</v>
      </c>
      <c r="O1900" s="74" t="s">
        <v>402</v>
      </c>
      <c r="P1900" s="74" t="s">
        <v>16653</v>
      </c>
      <c r="Q1900" s="74" t="s">
        <v>16654</v>
      </c>
    </row>
    <row r="1901" spans="3:17" x14ac:dyDescent="0.25">
      <c r="C1901" s="74" t="s">
        <v>16784</v>
      </c>
      <c r="D1901" s="74" t="s">
        <v>16785</v>
      </c>
      <c r="E1901" s="74"/>
      <c r="F1901" s="74">
        <v>0.22</v>
      </c>
      <c r="G1901" s="74"/>
      <c r="H1901" s="74"/>
      <c r="I1901" s="74" t="s">
        <v>391</v>
      </c>
      <c r="J1901" s="74"/>
      <c r="K1901" s="74">
        <v>102.4</v>
      </c>
      <c r="L1901" s="74">
        <v>92.16</v>
      </c>
      <c r="M1901" s="74"/>
      <c r="N1901" s="74" t="s">
        <v>392</v>
      </c>
      <c r="O1901" s="74" t="s">
        <v>402</v>
      </c>
      <c r="P1901" s="74" t="s">
        <v>16786</v>
      </c>
      <c r="Q1901" s="74" t="s">
        <v>16787</v>
      </c>
    </row>
    <row r="1902" spans="3:17" x14ac:dyDescent="0.25">
      <c r="C1902" s="74" t="s">
        <v>16951</v>
      </c>
      <c r="D1902" s="74" t="s">
        <v>16952</v>
      </c>
      <c r="E1902" s="74"/>
      <c r="F1902" s="74">
        <v>0.22</v>
      </c>
      <c r="G1902" s="74"/>
      <c r="H1902" s="74"/>
      <c r="I1902" s="74" t="s">
        <v>391</v>
      </c>
      <c r="J1902" s="74"/>
      <c r="K1902" s="74">
        <v>102.4</v>
      </c>
      <c r="L1902" s="74">
        <v>92.16</v>
      </c>
      <c r="M1902" s="74"/>
      <c r="N1902" s="74" t="s">
        <v>392</v>
      </c>
      <c r="O1902" s="74" t="s">
        <v>402</v>
      </c>
      <c r="P1902" s="74" t="s">
        <v>16953</v>
      </c>
      <c r="Q1902" s="74" t="s">
        <v>16954</v>
      </c>
    </row>
    <row r="1903" spans="3:17" x14ac:dyDescent="0.25">
      <c r="C1903" s="74" t="s">
        <v>18307</v>
      </c>
      <c r="D1903" s="74" t="s">
        <v>18308</v>
      </c>
      <c r="E1903" s="74" t="s">
        <v>391</v>
      </c>
      <c r="F1903" s="74">
        <v>0.22</v>
      </c>
      <c r="G1903" s="74"/>
      <c r="H1903" s="74"/>
      <c r="I1903" s="74" t="s">
        <v>391</v>
      </c>
      <c r="J1903" s="74"/>
      <c r="K1903" s="74">
        <v>102.4</v>
      </c>
      <c r="L1903" s="74">
        <v>92.16</v>
      </c>
      <c r="M1903" s="74"/>
      <c r="N1903" s="74" t="s">
        <v>392</v>
      </c>
      <c r="O1903" s="74" t="s">
        <v>393</v>
      </c>
      <c r="P1903" s="74"/>
      <c r="Q1903" s="74" t="s">
        <v>18309</v>
      </c>
    </row>
    <row r="1904" spans="3:17" x14ac:dyDescent="0.25">
      <c r="C1904" s="74" t="s">
        <v>430</v>
      </c>
      <c r="D1904" s="74" t="s">
        <v>431</v>
      </c>
      <c r="E1904" s="74"/>
      <c r="F1904" s="74">
        <v>0.21</v>
      </c>
      <c r="G1904" s="74"/>
      <c r="H1904" s="74"/>
      <c r="I1904" s="74" t="s">
        <v>391</v>
      </c>
      <c r="J1904" s="74"/>
      <c r="K1904" s="74">
        <v>102.4</v>
      </c>
      <c r="L1904" s="74">
        <v>92.16</v>
      </c>
      <c r="M1904" s="74"/>
      <c r="N1904" s="74" t="s">
        <v>392</v>
      </c>
      <c r="O1904" s="74" t="s">
        <v>402</v>
      </c>
      <c r="P1904" s="74" t="s">
        <v>432</v>
      </c>
      <c r="Q1904" s="74" t="s">
        <v>433</v>
      </c>
    </row>
    <row r="1905" spans="3:17" x14ac:dyDescent="0.25">
      <c r="C1905" s="74" t="s">
        <v>1695</v>
      </c>
      <c r="D1905" s="74" t="s">
        <v>1696</v>
      </c>
      <c r="E1905" s="74" t="s">
        <v>391</v>
      </c>
      <c r="F1905" s="74">
        <v>0.21</v>
      </c>
      <c r="G1905" s="74"/>
      <c r="H1905" s="74"/>
      <c r="I1905" s="74" t="s">
        <v>391</v>
      </c>
      <c r="J1905" s="74"/>
      <c r="K1905" s="74">
        <v>102.4</v>
      </c>
      <c r="L1905" s="74">
        <v>92.16</v>
      </c>
      <c r="M1905" s="74"/>
      <c r="N1905" s="74" t="s">
        <v>392</v>
      </c>
      <c r="O1905" s="74" t="s">
        <v>393</v>
      </c>
      <c r="P1905" s="74" t="s">
        <v>1697</v>
      </c>
      <c r="Q1905" s="74" t="s">
        <v>1698</v>
      </c>
    </row>
    <row r="1906" spans="3:17" x14ac:dyDescent="0.25">
      <c r="C1906" s="74" t="s">
        <v>2104</v>
      </c>
      <c r="D1906" s="74" t="s">
        <v>2105</v>
      </c>
      <c r="E1906" s="74"/>
      <c r="F1906" s="74">
        <v>0.21</v>
      </c>
      <c r="G1906" s="74"/>
      <c r="H1906" s="74"/>
      <c r="I1906" s="74" t="s">
        <v>391</v>
      </c>
      <c r="J1906" s="74"/>
      <c r="K1906" s="74">
        <v>102.4</v>
      </c>
      <c r="L1906" s="74">
        <v>92.16</v>
      </c>
      <c r="M1906" s="74"/>
      <c r="N1906" s="74" t="s">
        <v>392</v>
      </c>
      <c r="O1906" s="74" t="s">
        <v>402</v>
      </c>
      <c r="P1906" s="74" t="s">
        <v>2106</v>
      </c>
      <c r="Q1906" s="74" t="s">
        <v>2107</v>
      </c>
    </row>
    <row r="1907" spans="3:17" x14ac:dyDescent="0.25">
      <c r="C1907" s="74" t="s">
        <v>2971</v>
      </c>
      <c r="D1907" s="74" t="s">
        <v>2972</v>
      </c>
      <c r="E1907" s="74" t="s">
        <v>391</v>
      </c>
      <c r="F1907" s="74">
        <v>0.21</v>
      </c>
      <c r="G1907" s="74"/>
      <c r="H1907" s="74"/>
      <c r="I1907" s="74" t="s">
        <v>391</v>
      </c>
      <c r="J1907" s="74"/>
      <c r="K1907" s="74">
        <v>102.4</v>
      </c>
      <c r="L1907" s="74">
        <v>92.16</v>
      </c>
      <c r="M1907" s="74"/>
      <c r="N1907" s="74" t="s">
        <v>392</v>
      </c>
      <c r="O1907" s="74" t="s">
        <v>393</v>
      </c>
      <c r="P1907" s="74"/>
      <c r="Q1907" s="74" t="s">
        <v>2973</v>
      </c>
    </row>
    <row r="1908" spans="3:17" x14ac:dyDescent="0.25">
      <c r="C1908" s="74" t="s">
        <v>3151</v>
      </c>
      <c r="D1908" s="74" t="s">
        <v>3152</v>
      </c>
      <c r="E1908" s="74"/>
      <c r="F1908" s="74">
        <v>0.21</v>
      </c>
      <c r="G1908" s="74"/>
      <c r="H1908" s="74"/>
      <c r="I1908" s="74" t="s">
        <v>391</v>
      </c>
      <c r="J1908" s="74"/>
      <c r="K1908" s="74">
        <v>102.4</v>
      </c>
      <c r="L1908" s="74">
        <v>92.16</v>
      </c>
      <c r="M1908" s="74"/>
      <c r="N1908" s="74" t="s">
        <v>392</v>
      </c>
      <c r="O1908" s="74" t="s">
        <v>402</v>
      </c>
      <c r="P1908" s="74" t="s">
        <v>3153</v>
      </c>
      <c r="Q1908" s="74" t="s">
        <v>3154</v>
      </c>
    </row>
    <row r="1909" spans="3:17" x14ac:dyDescent="0.25">
      <c r="C1909" s="74" t="s">
        <v>4621</v>
      </c>
      <c r="D1909" s="74" t="s">
        <v>4622</v>
      </c>
      <c r="E1909" s="74" t="s">
        <v>391</v>
      </c>
      <c r="F1909" s="74">
        <v>0.21</v>
      </c>
      <c r="G1909" s="74"/>
      <c r="H1909" s="74"/>
      <c r="I1909" s="74" t="s">
        <v>391</v>
      </c>
      <c r="J1909" s="74"/>
      <c r="K1909" s="74">
        <v>102.4</v>
      </c>
      <c r="L1909" s="74">
        <v>92.16</v>
      </c>
      <c r="M1909" s="74"/>
      <c r="N1909" s="74" t="s">
        <v>392</v>
      </c>
      <c r="O1909" s="74" t="s">
        <v>393</v>
      </c>
      <c r="P1909" s="74"/>
      <c r="Q1909" s="74" t="s">
        <v>4623</v>
      </c>
    </row>
    <row r="1910" spans="3:17" x14ac:dyDescent="0.25">
      <c r="C1910" s="74" t="s">
        <v>5078</v>
      </c>
      <c r="D1910" s="74" t="s">
        <v>5079</v>
      </c>
      <c r="E1910" s="74" t="s">
        <v>391</v>
      </c>
      <c r="F1910" s="74">
        <v>0.21</v>
      </c>
      <c r="G1910" s="74"/>
      <c r="H1910" s="74"/>
      <c r="I1910" s="74" t="s">
        <v>391</v>
      </c>
      <c r="J1910" s="74"/>
      <c r="K1910" s="74">
        <v>102.4</v>
      </c>
      <c r="L1910" s="74">
        <v>92.16</v>
      </c>
      <c r="M1910" s="74"/>
      <c r="N1910" s="74" t="s">
        <v>392</v>
      </c>
      <c r="O1910" s="74" t="s">
        <v>393</v>
      </c>
      <c r="P1910" s="74"/>
      <c r="Q1910" s="74" t="s">
        <v>5080</v>
      </c>
    </row>
    <row r="1911" spans="3:17" x14ac:dyDescent="0.25">
      <c r="C1911" s="74" t="s">
        <v>5277</v>
      </c>
      <c r="D1911" s="74" t="s">
        <v>5278</v>
      </c>
      <c r="E1911" s="74"/>
      <c r="F1911" s="74">
        <v>0.21</v>
      </c>
      <c r="G1911" s="74"/>
      <c r="H1911" s="74"/>
      <c r="I1911" s="74" t="s">
        <v>391</v>
      </c>
      <c r="J1911" s="74"/>
      <c r="K1911" s="74">
        <v>102.4</v>
      </c>
      <c r="L1911" s="74">
        <v>92.16</v>
      </c>
      <c r="M1911" s="74"/>
      <c r="N1911" s="74" t="s">
        <v>392</v>
      </c>
      <c r="O1911" s="74" t="s">
        <v>402</v>
      </c>
      <c r="P1911" s="74" t="s">
        <v>5279</v>
      </c>
      <c r="Q1911" s="74" t="s">
        <v>5280</v>
      </c>
    </row>
    <row r="1912" spans="3:17" x14ac:dyDescent="0.25">
      <c r="C1912" s="74" t="s">
        <v>5519</v>
      </c>
      <c r="D1912" s="74" t="s">
        <v>5520</v>
      </c>
      <c r="E1912" s="74"/>
      <c r="F1912" s="74">
        <v>0.21</v>
      </c>
      <c r="G1912" s="74"/>
      <c r="H1912" s="74"/>
      <c r="I1912" s="74" t="s">
        <v>391</v>
      </c>
      <c r="J1912" s="74"/>
      <c r="K1912" s="74">
        <v>102.4</v>
      </c>
      <c r="L1912" s="74">
        <v>92.16</v>
      </c>
      <c r="M1912" s="74"/>
      <c r="N1912" s="74" t="s">
        <v>392</v>
      </c>
      <c r="O1912" s="74" t="s">
        <v>402</v>
      </c>
      <c r="P1912" s="74" t="s">
        <v>5521</v>
      </c>
      <c r="Q1912" s="74" t="s">
        <v>5522</v>
      </c>
    </row>
    <row r="1913" spans="3:17" x14ac:dyDescent="0.25">
      <c r="C1913" s="74" t="s">
        <v>6927</v>
      </c>
      <c r="D1913" s="74" t="s">
        <v>6928</v>
      </c>
      <c r="E1913" s="74"/>
      <c r="F1913" s="74">
        <v>0.21</v>
      </c>
      <c r="G1913" s="74"/>
      <c r="H1913" s="74"/>
      <c r="I1913" s="74" t="s">
        <v>391</v>
      </c>
      <c r="J1913" s="74"/>
      <c r="K1913" s="74">
        <v>102.4</v>
      </c>
      <c r="L1913" s="74">
        <v>92.16</v>
      </c>
      <c r="M1913" s="74"/>
      <c r="N1913" s="74" t="s">
        <v>392</v>
      </c>
      <c r="O1913" s="74" t="s">
        <v>402</v>
      </c>
      <c r="P1913" s="74" t="s">
        <v>6929</v>
      </c>
      <c r="Q1913" s="74" t="s">
        <v>6930</v>
      </c>
    </row>
    <row r="1914" spans="3:17" x14ac:dyDescent="0.25">
      <c r="C1914" s="74" t="s">
        <v>9486</v>
      </c>
      <c r="D1914" s="74" t="s">
        <v>9487</v>
      </c>
      <c r="E1914" s="74"/>
      <c r="F1914" s="74">
        <v>0.21</v>
      </c>
      <c r="G1914" s="74"/>
      <c r="H1914" s="74"/>
      <c r="I1914" s="74" t="s">
        <v>391</v>
      </c>
      <c r="J1914" s="74"/>
      <c r="K1914" s="74">
        <v>102.4</v>
      </c>
      <c r="L1914" s="74">
        <v>92.16</v>
      </c>
      <c r="M1914" s="74"/>
      <c r="N1914" s="74" t="s">
        <v>392</v>
      </c>
      <c r="O1914" s="74" t="s">
        <v>402</v>
      </c>
      <c r="P1914" s="74" t="s">
        <v>9488</v>
      </c>
      <c r="Q1914" s="74" t="s">
        <v>9489</v>
      </c>
    </row>
    <row r="1915" spans="3:17" x14ac:dyDescent="0.25">
      <c r="C1915" s="74" t="s">
        <v>9877</v>
      </c>
      <c r="D1915" s="74" t="s">
        <v>9878</v>
      </c>
      <c r="E1915" s="74"/>
      <c r="F1915" s="74">
        <v>0.21</v>
      </c>
      <c r="G1915" s="74"/>
      <c r="H1915" s="74"/>
      <c r="I1915" s="74" t="s">
        <v>391</v>
      </c>
      <c r="J1915" s="74"/>
      <c r="K1915" s="74">
        <v>102.4</v>
      </c>
      <c r="L1915" s="74">
        <v>92.16</v>
      </c>
      <c r="M1915" s="74"/>
      <c r="N1915" s="74" t="s">
        <v>392</v>
      </c>
      <c r="O1915" s="74" t="s">
        <v>402</v>
      </c>
      <c r="P1915" s="74" t="s">
        <v>9879</v>
      </c>
      <c r="Q1915" s="74" t="s">
        <v>9880</v>
      </c>
    </row>
    <row r="1916" spans="3:17" x14ac:dyDescent="0.25">
      <c r="C1916" s="74" t="s">
        <v>10342</v>
      </c>
      <c r="D1916" s="74" t="s">
        <v>10343</v>
      </c>
      <c r="E1916" s="74"/>
      <c r="F1916" s="74">
        <v>0.21</v>
      </c>
      <c r="G1916" s="74"/>
      <c r="H1916" s="74"/>
      <c r="I1916" s="74" t="s">
        <v>391</v>
      </c>
      <c r="J1916" s="74"/>
      <c r="K1916" s="74">
        <v>102.4</v>
      </c>
      <c r="L1916" s="74">
        <v>92.16</v>
      </c>
      <c r="M1916" s="74"/>
      <c r="N1916" s="74" t="s">
        <v>392</v>
      </c>
      <c r="O1916" s="74" t="s">
        <v>402</v>
      </c>
      <c r="P1916" s="74" t="s">
        <v>10344</v>
      </c>
      <c r="Q1916" s="74" t="s">
        <v>10345</v>
      </c>
    </row>
    <row r="1917" spans="3:17" x14ac:dyDescent="0.25">
      <c r="C1917" s="74" t="s">
        <v>10953</v>
      </c>
      <c r="D1917" s="74" t="s">
        <v>10954</v>
      </c>
      <c r="E1917" s="74"/>
      <c r="F1917" s="74">
        <v>0.21</v>
      </c>
      <c r="G1917" s="74"/>
      <c r="H1917" s="74"/>
      <c r="I1917" s="74" t="s">
        <v>391</v>
      </c>
      <c r="J1917" s="74"/>
      <c r="K1917" s="74">
        <v>102.4</v>
      </c>
      <c r="L1917" s="74">
        <v>92.16</v>
      </c>
      <c r="M1917" s="74"/>
      <c r="N1917" s="74" t="s">
        <v>392</v>
      </c>
      <c r="O1917" s="74" t="s">
        <v>402</v>
      </c>
      <c r="P1917" s="74" t="s">
        <v>10955</v>
      </c>
      <c r="Q1917" s="74" t="s">
        <v>10956</v>
      </c>
    </row>
    <row r="1918" spans="3:17" x14ac:dyDescent="0.25">
      <c r="C1918" s="74" t="s">
        <v>12076</v>
      </c>
      <c r="D1918" s="74" t="s">
        <v>12077</v>
      </c>
      <c r="E1918" s="74"/>
      <c r="F1918" s="74">
        <v>0.21</v>
      </c>
      <c r="G1918" s="74"/>
      <c r="H1918" s="74"/>
      <c r="I1918" s="74" t="s">
        <v>391</v>
      </c>
      <c r="J1918" s="74"/>
      <c r="K1918" s="74">
        <v>102.4</v>
      </c>
      <c r="L1918" s="74">
        <v>92.16</v>
      </c>
      <c r="M1918" s="74"/>
      <c r="N1918" s="74" t="s">
        <v>392</v>
      </c>
      <c r="O1918" s="74" t="s">
        <v>402</v>
      </c>
      <c r="P1918" s="74" t="s">
        <v>12078</v>
      </c>
      <c r="Q1918" s="74" t="s">
        <v>12079</v>
      </c>
    </row>
    <row r="1919" spans="3:17" x14ac:dyDescent="0.25">
      <c r="C1919" s="74" t="s">
        <v>12809</v>
      </c>
      <c r="D1919" s="74" t="s">
        <v>12810</v>
      </c>
      <c r="E1919" s="74"/>
      <c r="F1919" s="74">
        <v>0.21</v>
      </c>
      <c r="G1919" s="74"/>
      <c r="H1919" s="74"/>
      <c r="I1919" s="74" t="s">
        <v>391</v>
      </c>
      <c r="J1919" s="74"/>
      <c r="K1919" s="74">
        <v>102.4</v>
      </c>
      <c r="L1919" s="74">
        <v>92.16</v>
      </c>
      <c r="M1919" s="74"/>
      <c r="N1919" s="74" t="s">
        <v>392</v>
      </c>
      <c r="O1919" s="74" t="s">
        <v>402</v>
      </c>
      <c r="P1919" s="74"/>
      <c r="Q1919" s="74" t="s">
        <v>12811</v>
      </c>
    </row>
    <row r="1920" spans="3:17" x14ac:dyDescent="0.25">
      <c r="C1920" s="74" t="s">
        <v>12960</v>
      </c>
      <c r="D1920" s="74" t="s">
        <v>12961</v>
      </c>
      <c r="E1920" s="74"/>
      <c r="F1920" s="74">
        <v>0.21</v>
      </c>
      <c r="G1920" s="74"/>
      <c r="H1920" s="74"/>
      <c r="I1920" s="74" t="s">
        <v>391</v>
      </c>
      <c r="J1920" s="74"/>
      <c r="K1920" s="74">
        <v>102.4</v>
      </c>
      <c r="L1920" s="74">
        <v>92.16</v>
      </c>
      <c r="M1920" s="74"/>
      <c r="N1920" s="74" t="s">
        <v>392</v>
      </c>
      <c r="O1920" s="74" t="s">
        <v>402</v>
      </c>
      <c r="P1920" s="74" t="s">
        <v>12962</v>
      </c>
      <c r="Q1920" s="74" t="s">
        <v>12963</v>
      </c>
    </row>
    <row r="1921" spans="3:17" x14ac:dyDescent="0.25">
      <c r="C1921" s="74" t="s">
        <v>15534</v>
      </c>
      <c r="D1921" s="74" t="s">
        <v>15535</v>
      </c>
      <c r="E1921" s="74"/>
      <c r="F1921" s="74">
        <v>0.21</v>
      </c>
      <c r="G1921" s="74"/>
      <c r="H1921" s="74"/>
      <c r="I1921" s="74" t="s">
        <v>391</v>
      </c>
      <c r="J1921" s="74"/>
      <c r="K1921" s="74">
        <v>102.4</v>
      </c>
      <c r="L1921" s="74">
        <v>92.16</v>
      </c>
      <c r="M1921" s="74"/>
      <c r="N1921" s="74" t="s">
        <v>392</v>
      </c>
      <c r="O1921" s="74" t="s">
        <v>402</v>
      </c>
      <c r="P1921" s="74" t="s">
        <v>15536</v>
      </c>
      <c r="Q1921" s="74" t="s">
        <v>15537</v>
      </c>
    </row>
    <row r="1922" spans="3:17" x14ac:dyDescent="0.25">
      <c r="C1922" s="74" t="s">
        <v>17504</v>
      </c>
      <c r="D1922" s="74" t="s">
        <v>17505</v>
      </c>
      <c r="E1922" s="74" t="s">
        <v>391</v>
      </c>
      <c r="F1922" s="74">
        <v>0.21</v>
      </c>
      <c r="G1922" s="74"/>
      <c r="H1922" s="74"/>
      <c r="I1922" s="74" t="s">
        <v>391</v>
      </c>
      <c r="J1922" s="74"/>
      <c r="K1922" s="74">
        <v>102.4</v>
      </c>
      <c r="L1922" s="74">
        <v>92.16</v>
      </c>
      <c r="M1922" s="74"/>
      <c r="N1922" s="74" t="s">
        <v>392</v>
      </c>
      <c r="O1922" s="74" t="s">
        <v>393</v>
      </c>
      <c r="P1922" s="74" t="s">
        <v>17506</v>
      </c>
      <c r="Q1922" s="74" t="s">
        <v>17507</v>
      </c>
    </row>
    <row r="1923" spans="3:17" x14ac:dyDescent="0.25">
      <c r="C1923" s="74" t="s">
        <v>19191</v>
      </c>
      <c r="D1923" s="74" t="s">
        <v>19192</v>
      </c>
      <c r="E1923" s="74"/>
      <c r="F1923" s="74">
        <v>0.21</v>
      </c>
      <c r="G1923" s="74"/>
      <c r="H1923" s="74"/>
      <c r="I1923" s="74" t="s">
        <v>391</v>
      </c>
      <c r="J1923" s="74"/>
      <c r="K1923" s="74">
        <v>102.4</v>
      </c>
      <c r="L1923" s="74">
        <v>92.16</v>
      </c>
      <c r="M1923" s="74"/>
      <c r="N1923" s="74" t="s">
        <v>392</v>
      </c>
      <c r="O1923" s="74" t="s">
        <v>402</v>
      </c>
      <c r="P1923" s="74" t="s">
        <v>19193</v>
      </c>
      <c r="Q1923" s="74" t="s">
        <v>19194</v>
      </c>
    </row>
    <row r="1924" spans="3:17" x14ac:dyDescent="0.25">
      <c r="C1924" s="74" t="s">
        <v>892</v>
      </c>
      <c r="D1924" s="74" t="s">
        <v>893</v>
      </c>
      <c r="E1924" s="74"/>
      <c r="F1924" s="74">
        <v>0.2</v>
      </c>
      <c r="G1924" s="74"/>
      <c r="H1924" s="74"/>
      <c r="I1924" s="74" t="s">
        <v>391</v>
      </c>
      <c r="J1924" s="74"/>
      <c r="K1924" s="74">
        <v>102.4</v>
      </c>
      <c r="L1924" s="74">
        <v>92.16</v>
      </c>
      <c r="M1924" s="74"/>
      <c r="N1924" s="74" t="s">
        <v>392</v>
      </c>
      <c r="O1924" s="74" t="s">
        <v>402</v>
      </c>
      <c r="P1924" s="74" t="s">
        <v>894</v>
      </c>
      <c r="Q1924" s="74" t="s">
        <v>895</v>
      </c>
    </row>
    <row r="1925" spans="3:17" x14ac:dyDescent="0.25">
      <c r="C1925" s="74" t="s">
        <v>3915</v>
      </c>
      <c r="D1925" s="74" t="s">
        <v>3916</v>
      </c>
      <c r="E1925" s="74"/>
      <c r="F1925" s="74">
        <v>0.2</v>
      </c>
      <c r="G1925" s="74"/>
      <c r="H1925" s="74"/>
      <c r="I1925" s="74" t="s">
        <v>391</v>
      </c>
      <c r="J1925" s="74"/>
      <c r="K1925" s="74">
        <v>102.4</v>
      </c>
      <c r="L1925" s="74">
        <v>92.16</v>
      </c>
      <c r="M1925" s="74"/>
      <c r="N1925" s="74" t="s">
        <v>392</v>
      </c>
      <c r="O1925" s="74" t="s">
        <v>402</v>
      </c>
      <c r="P1925" s="74" t="s">
        <v>3917</v>
      </c>
      <c r="Q1925" s="74" t="s">
        <v>3918</v>
      </c>
    </row>
    <row r="1926" spans="3:17" x14ac:dyDescent="0.25">
      <c r="C1926" s="74" t="s">
        <v>4352</v>
      </c>
      <c r="D1926" s="74" t="s">
        <v>4353</v>
      </c>
      <c r="E1926" s="74"/>
      <c r="F1926" s="74">
        <v>0.2</v>
      </c>
      <c r="G1926" s="74"/>
      <c r="H1926" s="74"/>
      <c r="I1926" s="74" t="s">
        <v>391</v>
      </c>
      <c r="J1926" s="74"/>
      <c r="K1926" s="74">
        <v>102.4</v>
      </c>
      <c r="L1926" s="74">
        <v>92.16</v>
      </c>
      <c r="M1926" s="74"/>
      <c r="N1926" s="74" t="s">
        <v>392</v>
      </c>
      <c r="O1926" s="74" t="s">
        <v>402</v>
      </c>
      <c r="P1926" s="74" t="s">
        <v>4354</v>
      </c>
      <c r="Q1926" s="74" t="s">
        <v>4355</v>
      </c>
    </row>
    <row r="1927" spans="3:17" x14ac:dyDescent="0.25">
      <c r="C1927" s="74" t="s">
        <v>4583</v>
      </c>
      <c r="D1927" s="74" t="s">
        <v>4584</v>
      </c>
      <c r="E1927" s="74"/>
      <c r="F1927" s="74">
        <v>0.2</v>
      </c>
      <c r="G1927" s="74"/>
      <c r="H1927" s="74"/>
      <c r="I1927" s="74" t="s">
        <v>391</v>
      </c>
      <c r="J1927" s="74"/>
      <c r="K1927" s="74">
        <v>102.4</v>
      </c>
      <c r="L1927" s="74">
        <v>92.16</v>
      </c>
      <c r="M1927" s="74"/>
      <c r="N1927" s="74" t="s">
        <v>392</v>
      </c>
      <c r="O1927" s="74" t="s">
        <v>402</v>
      </c>
      <c r="P1927" s="74" t="s">
        <v>4585</v>
      </c>
      <c r="Q1927" s="74" t="s">
        <v>4586</v>
      </c>
    </row>
    <row r="1928" spans="3:17" x14ac:dyDescent="0.25">
      <c r="C1928" s="74" t="s">
        <v>5588</v>
      </c>
      <c r="D1928" s="74" t="s">
        <v>5589</v>
      </c>
      <c r="E1928" s="74"/>
      <c r="F1928" s="74">
        <v>0.2</v>
      </c>
      <c r="G1928" s="74"/>
      <c r="H1928" s="74"/>
      <c r="I1928" s="74" t="s">
        <v>391</v>
      </c>
      <c r="J1928" s="74"/>
      <c r="K1928" s="74">
        <v>102.4</v>
      </c>
      <c r="L1928" s="74">
        <v>92.16</v>
      </c>
      <c r="M1928" s="74"/>
      <c r="N1928" s="74" t="s">
        <v>392</v>
      </c>
      <c r="O1928" s="74" t="s">
        <v>402</v>
      </c>
      <c r="P1928" s="74" t="s">
        <v>5590</v>
      </c>
      <c r="Q1928" s="74" t="s">
        <v>5591</v>
      </c>
    </row>
    <row r="1929" spans="3:17" x14ac:dyDescent="0.25">
      <c r="C1929" s="74" t="s">
        <v>7523</v>
      </c>
      <c r="D1929" s="74" t="s">
        <v>7524</v>
      </c>
      <c r="E1929" s="74" t="s">
        <v>391</v>
      </c>
      <c r="F1929" s="74">
        <v>0.2</v>
      </c>
      <c r="G1929" s="74"/>
      <c r="H1929" s="74"/>
      <c r="I1929" s="74" t="s">
        <v>391</v>
      </c>
      <c r="J1929" s="74"/>
      <c r="K1929" s="74">
        <v>102.4</v>
      </c>
      <c r="L1929" s="74">
        <v>92.16</v>
      </c>
      <c r="M1929" s="74"/>
      <c r="N1929" s="74" t="s">
        <v>392</v>
      </c>
      <c r="O1929" s="74" t="s">
        <v>393</v>
      </c>
      <c r="P1929" s="74"/>
      <c r="Q1929" s="74" t="s">
        <v>7525</v>
      </c>
    </row>
    <row r="1930" spans="3:17" x14ac:dyDescent="0.25">
      <c r="C1930" s="74" t="s">
        <v>9204</v>
      </c>
      <c r="D1930" s="74" t="s">
        <v>9205</v>
      </c>
      <c r="E1930" s="74"/>
      <c r="F1930" s="74">
        <v>0.2</v>
      </c>
      <c r="G1930" s="74"/>
      <c r="H1930" s="74"/>
      <c r="I1930" s="74" t="s">
        <v>391</v>
      </c>
      <c r="J1930" s="74"/>
      <c r="K1930" s="74">
        <v>102.4</v>
      </c>
      <c r="L1930" s="74">
        <v>92.16</v>
      </c>
      <c r="M1930" s="74"/>
      <c r="N1930" s="74" t="s">
        <v>392</v>
      </c>
      <c r="O1930" s="74" t="s">
        <v>402</v>
      </c>
      <c r="P1930" s="74" t="s">
        <v>9206</v>
      </c>
      <c r="Q1930" s="74" t="s">
        <v>9207</v>
      </c>
    </row>
    <row r="1931" spans="3:17" x14ac:dyDescent="0.25">
      <c r="C1931" s="74" t="s">
        <v>10412</v>
      </c>
      <c r="D1931" s="74" t="s">
        <v>10413</v>
      </c>
      <c r="E1931" s="74"/>
      <c r="F1931" s="74">
        <v>0.2</v>
      </c>
      <c r="G1931" s="74"/>
      <c r="H1931" s="74"/>
      <c r="I1931" s="74" t="s">
        <v>391</v>
      </c>
      <c r="J1931" s="74"/>
      <c r="K1931" s="74">
        <v>102.4</v>
      </c>
      <c r="L1931" s="74">
        <v>92.16</v>
      </c>
      <c r="M1931" s="74"/>
      <c r="N1931" s="74" t="s">
        <v>392</v>
      </c>
      <c r="O1931" s="74" t="s">
        <v>402</v>
      </c>
      <c r="P1931" s="74" t="s">
        <v>10414</v>
      </c>
      <c r="Q1931" s="74" t="s">
        <v>10415</v>
      </c>
    </row>
    <row r="1932" spans="3:17" x14ac:dyDescent="0.25">
      <c r="C1932" s="74" t="s">
        <v>12073</v>
      </c>
      <c r="D1932" s="74" t="s">
        <v>12074</v>
      </c>
      <c r="E1932" s="74" t="s">
        <v>391</v>
      </c>
      <c r="F1932" s="74">
        <v>0.2</v>
      </c>
      <c r="G1932" s="74"/>
      <c r="H1932" s="74"/>
      <c r="I1932" s="74" t="s">
        <v>391</v>
      </c>
      <c r="J1932" s="74"/>
      <c r="K1932" s="74">
        <v>102.4</v>
      </c>
      <c r="L1932" s="74">
        <v>92.16</v>
      </c>
      <c r="M1932" s="74"/>
      <c r="N1932" s="74" t="s">
        <v>392</v>
      </c>
      <c r="O1932" s="74" t="s">
        <v>393</v>
      </c>
      <c r="P1932" s="74"/>
      <c r="Q1932" s="74" t="s">
        <v>12075</v>
      </c>
    </row>
    <row r="1933" spans="3:17" x14ac:dyDescent="0.25">
      <c r="C1933" s="74" t="s">
        <v>12618</v>
      </c>
      <c r="D1933" s="74" t="s">
        <v>12619</v>
      </c>
      <c r="E1933" s="74"/>
      <c r="F1933" s="74">
        <v>0.2</v>
      </c>
      <c r="G1933" s="74"/>
      <c r="H1933" s="74"/>
      <c r="I1933" s="74" t="s">
        <v>391</v>
      </c>
      <c r="J1933" s="74"/>
      <c r="K1933" s="74">
        <v>102.4</v>
      </c>
      <c r="L1933" s="74">
        <v>92.16</v>
      </c>
      <c r="M1933" s="74"/>
      <c r="N1933" s="74" t="s">
        <v>392</v>
      </c>
      <c r="O1933" s="74" t="s">
        <v>402</v>
      </c>
      <c r="P1933" s="74" t="s">
        <v>12620</v>
      </c>
      <c r="Q1933" s="74" t="s">
        <v>12621</v>
      </c>
    </row>
    <row r="1934" spans="3:17" x14ac:dyDescent="0.25">
      <c r="C1934" s="74" t="s">
        <v>12869</v>
      </c>
      <c r="D1934" s="74" t="s">
        <v>12870</v>
      </c>
      <c r="E1934" s="74"/>
      <c r="F1934" s="74">
        <v>0.2</v>
      </c>
      <c r="G1934" s="74"/>
      <c r="H1934" s="74"/>
      <c r="I1934" s="74" t="s">
        <v>391</v>
      </c>
      <c r="J1934" s="74"/>
      <c r="K1934" s="74">
        <v>102.4</v>
      </c>
      <c r="L1934" s="74">
        <v>92.16</v>
      </c>
      <c r="M1934" s="74"/>
      <c r="N1934" s="74" t="s">
        <v>392</v>
      </c>
      <c r="O1934" s="74" t="s">
        <v>402</v>
      </c>
      <c r="P1934" s="74" t="s">
        <v>12871</v>
      </c>
      <c r="Q1934" s="74" t="s">
        <v>12872</v>
      </c>
    </row>
    <row r="1935" spans="3:17" x14ac:dyDescent="0.25">
      <c r="C1935" s="74" t="s">
        <v>13992</v>
      </c>
      <c r="D1935" s="74" t="s">
        <v>13993</v>
      </c>
      <c r="E1935" s="74"/>
      <c r="F1935" s="74">
        <v>0.2</v>
      </c>
      <c r="G1935" s="74"/>
      <c r="H1935" s="74"/>
      <c r="I1935" s="74" t="s">
        <v>391</v>
      </c>
      <c r="J1935" s="74"/>
      <c r="K1935" s="74">
        <v>102.4</v>
      </c>
      <c r="L1935" s="74">
        <v>92.16</v>
      </c>
      <c r="M1935" s="74"/>
      <c r="N1935" s="74" t="s">
        <v>392</v>
      </c>
      <c r="O1935" s="74" t="s">
        <v>402</v>
      </c>
      <c r="P1935" s="74" t="s">
        <v>13994</v>
      </c>
      <c r="Q1935" s="74" t="s">
        <v>13995</v>
      </c>
    </row>
    <row r="1936" spans="3:17" x14ac:dyDescent="0.25">
      <c r="C1936" s="74" t="s">
        <v>14313</v>
      </c>
      <c r="D1936" s="74" t="s">
        <v>14314</v>
      </c>
      <c r="E1936" s="74"/>
      <c r="F1936" s="74">
        <v>0.2</v>
      </c>
      <c r="G1936" s="74"/>
      <c r="H1936" s="74"/>
      <c r="I1936" s="74" t="s">
        <v>391</v>
      </c>
      <c r="J1936" s="74"/>
      <c r="K1936" s="74">
        <v>102.4</v>
      </c>
      <c r="L1936" s="74">
        <v>92.16</v>
      </c>
      <c r="M1936" s="74"/>
      <c r="N1936" s="74" t="s">
        <v>392</v>
      </c>
      <c r="O1936" s="74" t="s">
        <v>402</v>
      </c>
      <c r="P1936" s="74" t="s">
        <v>14315</v>
      </c>
      <c r="Q1936" s="74" t="s">
        <v>14316</v>
      </c>
    </row>
    <row r="1937" spans="3:17" x14ac:dyDescent="0.25">
      <c r="C1937" s="74" t="s">
        <v>14321</v>
      </c>
      <c r="D1937" s="74" t="s">
        <v>14322</v>
      </c>
      <c r="E1937" s="74"/>
      <c r="F1937" s="74">
        <v>0.2</v>
      </c>
      <c r="G1937" s="74"/>
      <c r="H1937" s="74"/>
      <c r="I1937" s="74" t="s">
        <v>391</v>
      </c>
      <c r="J1937" s="74"/>
      <c r="K1937" s="74">
        <v>102.4</v>
      </c>
      <c r="L1937" s="74">
        <v>92.16</v>
      </c>
      <c r="M1937" s="74"/>
      <c r="N1937" s="74" t="s">
        <v>392</v>
      </c>
      <c r="O1937" s="74" t="s">
        <v>402</v>
      </c>
      <c r="P1937" s="74" t="s">
        <v>14323</v>
      </c>
      <c r="Q1937" s="74" t="s">
        <v>14324</v>
      </c>
    </row>
    <row r="1938" spans="3:17" x14ac:dyDescent="0.25">
      <c r="C1938" s="74" t="s">
        <v>15394</v>
      </c>
      <c r="D1938" s="74" t="s">
        <v>15395</v>
      </c>
      <c r="E1938" s="74"/>
      <c r="F1938" s="74">
        <v>0.2</v>
      </c>
      <c r="G1938" s="74"/>
      <c r="H1938" s="74"/>
      <c r="I1938" s="74" t="s">
        <v>391</v>
      </c>
      <c r="J1938" s="74"/>
      <c r="K1938" s="74">
        <v>102.4</v>
      </c>
      <c r="L1938" s="74">
        <v>92.16</v>
      </c>
      <c r="M1938" s="74"/>
      <c r="N1938" s="74" t="s">
        <v>392</v>
      </c>
      <c r="O1938" s="74" t="s">
        <v>402</v>
      </c>
      <c r="P1938" s="74" t="s">
        <v>15396</v>
      </c>
      <c r="Q1938" s="74" t="s">
        <v>15397</v>
      </c>
    </row>
    <row r="1939" spans="3:17" x14ac:dyDescent="0.25">
      <c r="C1939" s="74" t="s">
        <v>15768</v>
      </c>
      <c r="D1939" s="74" t="s">
        <v>15769</v>
      </c>
      <c r="E1939" s="74" t="s">
        <v>391</v>
      </c>
      <c r="F1939" s="74">
        <v>0.2</v>
      </c>
      <c r="G1939" s="74"/>
      <c r="H1939" s="74"/>
      <c r="I1939" s="74" t="s">
        <v>391</v>
      </c>
      <c r="J1939" s="74"/>
      <c r="K1939" s="74">
        <v>102.4</v>
      </c>
      <c r="L1939" s="74">
        <v>92.16</v>
      </c>
      <c r="M1939" s="74"/>
      <c r="N1939" s="74" t="s">
        <v>392</v>
      </c>
      <c r="O1939" s="74" t="s">
        <v>393</v>
      </c>
      <c r="P1939" s="74"/>
      <c r="Q1939" s="74" t="s">
        <v>15770</v>
      </c>
    </row>
    <row r="1940" spans="3:17" x14ac:dyDescent="0.25">
      <c r="C1940" s="74" t="s">
        <v>16644</v>
      </c>
      <c r="D1940" s="74" t="s">
        <v>16645</v>
      </c>
      <c r="E1940" s="74"/>
      <c r="F1940" s="74">
        <v>0.2</v>
      </c>
      <c r="G1940" s="74"/>
      <c r="H1940" s="74"/>
      <c r="I1940" s="74" t="s">
        <v>391</v>
      </c>
      <c r="J1940" s="74"/>
      <c r="K1940" s="74">
        <v>102.4</v>
      </c>
      <c r="L1940" s="74">
        <v>92.16</v>
      </c>
      <c r="M1940" s="74"/>
      <c r="N1940" s="74" t="s">
        <v>392</v>
      </c>
      <c r="O1940" s="74" t="s">
        <v>402</v>
      </c>
      <c r="P1940" s="74" t="s">
        <v>16646</v>
      </c>
      <c r="Q1940" s="74" t="s">
        <v>16647</v>
      </c>
    </row>
    <row r="1941" spans="3:17" x14ac:dyDescent="0.25">
      <c r="C1941" s="158" t="s">
        <v>17821</v>
      </c>
      <c r="D1941" s="158" t="s">
        <v>17822</v>
      </c>
      <c r="F1941" s="158">
        <v>0.2</v>
      </c>
      <c r="I1941" s="158" t="s">
        <v>391</v>
      </c>
      <c r="N1941" s="158" t="s">
        <v>392</v>
      </c>
      <c r="O1941" s="158" t="s">
        <v>402</v>
      </c>
      <c r="P1941" s="158" t="s">
        <v>17823</v>
      </c>
      <c r="Q1941" s="158" t="s">
        <v>17824</v>
      </c>
    </row>
    <row r="1942" spans="3:17" x14ac:dyDescent="0.25">
      <c r="C1942" s="74" t="s">
        <v>18935</v>
      </c>
      <c r="D1942" s="74" t="s">
        <v>18936</v>
      </c>
      <c r="E1942" s="74"/>
      <c r="F1942" s="74">
        <v>0.2</v>
      </c>
      <c r="G1942" s="74"/>
      <c r="H1942" s="74"/>
      <c r="I1942" s="74" t="s">
        <v>391</v>
      </c>
      <c r="J1942" s="74"/>
      <c r="K1942" s="74">
        <v>102.4</v>
      </c>
      <c r="L1942" s="74">
        <v>92.16</v>
      </c>
      <c r="M1942" s="74"/>
      <c r="N1942" s="74" t="s">
        <v>392</v>
      </c>
      <c r="O1942" s="74" t="s">
        <v>402</v>
      </c>
      <c r="P1942" s="74" t="s">
        <v>18937</v>
      </c>
      <c r="Q1942" s="74" t="s">
        <v>18938</v>
      </c>
    </row>
    <row r="1943" spans="3:17" x14ac:dyDescent="0.25">
      <c r="C1943" s="74" t="s">
        <v>21053</v>
      </c>
      <c r="D1943" s="74" t="s">
        <v>21054</v>
      </c>
      <c r="E1943" s="74"/>
      <c r="F1943" s="74">
        <v>0.2</v>
      </c>
      <c r="G1943" s="74"/>
      <c r="H1943" s="74"/>
      <c r="I1943" s="74" t="s">
        <v>391</v>
      </c>
      <c r="J1943" s="74"/>
      <c r="K1943" s="74">
        <v>102.4</v>
      </c>
      <c r="L1943" s="74">
        <v>92.16</v>
      </c>
      <c r="M1943" s="74"/>
      <c r="N1943" s="74" t="s">
        <v>392</v>
      </c>
      <c r="O1943" s="74" t="s">
        <v>402</v>
      </c>
      <c r="P1943" s="74" t="s">
        <v>21055</v>
      </c>
      <c r="Q1943" s="74" t="s">
        <v>21056</v>
      </c>
    </row>
    <row r="1944" spans="3:17" x14ac:dyDescent="0.25">
      <c r="C1944" s="74" t="s">
        <v>1184</v>
      </c>
      <c r="D1944" s="74" t="s">
        <v>1185</v>
      </c>
      <c r="E1944" s="74"/>
      <c r="F1944" s="74">
        <v>0.19</v>
      </c>
      <c r="G1944" s="74"/>
      <c r="H1944" s="74"/>
      <c r="I1944" s="74" t="s">
        <v>391</v>
      </c>
      <c r="J1944" s="74"/>
      <c r="K1944" s="74">
        <v>102.4</v>
      </c>
      <c r="L1944" s="74">
        <v>92.16</v>
      </c>
      <c r="M1944" s="74"/>
      <c r="N1944" s="74" t="s">
        <v>392</v>
      </c>
      <c r="O1944" s="74" t="s">
        <v>402</v>
      </c>
      <c r="P1944" s="74" t="s">
        <v>1186</v>
      </c>
      <c r="Q1944" s="74" t="s">
        <v>1187</v>
      </c>
    </row>
    <row r="1945" spans="3:17" x14ac:dyDescent="0.25">
      <c r="C1945" s="74" t="s">
        <v>2079</v>
      </c>
      <c r="D1945" s="74" t="s">
        <v>2080</v>
      </c>
      <c r="E1945" s="74"/>
      <c r="F1945" s="74">
        <v>0.19</v>
      </c>
      <c r="G1945" s="74"/>
      <c r="H1945" s="74"/>
      <c r="I1945" s="74" t="s">
        <v>391</v>
      </c>
      <c r="J1945" s="74"/>
      <c r="K1945" s="74">
        <v>102.4</v>
      </c>
      <c r="L1945" s="74">
        <v>92.16</v>
      </c>
      <c r="M1945" s="74"/>
      <c r="N1945" s="74" t="s">
        <v>392</v>
      </c>
      <c r="O1945" s="74" t="s">
        <v>402</v>
      </c>
      <c r="P1945" s="74" t="s">
        <v>2081</v>
      </c>
      <c r="Q1945" s="74" t="s">
        <v>2082</v>
      </c>
    </row>
    <row r="1946" spans="3:17" x14ac:dyDescent="0.25">
      <c r="C1946" s="74" t="s">
        <v>2688</v>
      </c>
      <c r="D1946" s="74" t="s">
        <v>2689</v>
      </c>
      <c r="E1946" s="74" t="s">
        <v>391</v>
      </c>
      <c r="F1946" s="74">
        <v>0.19</v>
      </c>
      <c r="G1946" s="74"/>
      <c r="H1946" s="74"/>
      <c r="I1946" s="74" t="s">
        <v>391</v>
      </c>
      <c r="J1946" s="74"/>
      <c r="K1946" s="74">
        <v>102.4</v>
      </c>
      <c r="L1946" s="74">
        <v>92.16</v>
      </c>
      <c r="M1946" s="74"/>
      <c r="N1946" s="74" t="s">
        <v>392</v>
      </c>
      <c r="O1946" s="74" t="s">
        <v>393</v>
      </c>
      <c r="P1946" s="74"/>
      <c r="Q1946" s="74" t="s">
        <v>2690</v>
      </c>
    </row>
    <row r="1947" spans="3:17" x14ac:dyDescent="0.25">
      <c r="C1947" s="74" t="s">
        <v>3136</v>
      </c>
      <c r="D1947" s="74" t="s">
        <v>3137</v>
      </c>
      <c r="E1947" s="74"/>
      <c r="F1947" s="74">
        <v>0.19</v>
      </c>
      <c r="G1947" s="74"/>
      <c r="H1947" s="74"/>
      <c r="I1947" s="74" t="s">
        <v>391</v>
      </c>
      <c r="J1947" s="74"/>
      <c r="K1947" s="74">
        <v>102.4</v>
      </c>
      <c r="L1947" s="74">
        <v>92.16</v>
      </c>
      <c r="M1947" s="74"/>
      <c r="N1947" s="74" t="s">
        <v>392</v>
      </c>
      <c r="O1947" s="74" t="s">
        <v>402</v>
      </c>
      <c r="P1947" s="74" t="s">
        <v>3138</v>
      </c>
      <c r="Q1947" s="74" t="s">
        <v>3139</v>
      </c>
    </row>
    <row r="1948" spans="3:17" x14ac:dyDescent="0.25">
      <c r="C1948" s="74" t="s">
        <v>3419</v>
      </c>
      <c r="D1948" s="74" t="s">
        <v>3420</v>
      </c>
      <c r="E1948" s="74" t="s">
        <v>391</v>
      </c>
      <c r="F1948" s="74">
        <v>0.19</v>
      </c>
      <c r="G1948" s="74"/>
      <c r="H1948" s="74"/>
      <c r="I1948" s="74" t="s">
        <v>391</v>
      </c>
      <c r="J1948" s="74"/>
      <c r="K1948" s="74">
        <v>102.4</v>
      </c>
      <c r="L1948" s="74">
        <v>92.16</v>
      </c>
      <c r="M1948" s="74"/>
      <c r="N1948" s="74" t="s">
        <v>392</v>
      </c>
      <c r="O1948" s="74" t="s">
        <v>393</v>
      </c>
      <c r="P1948" s="74"/>
      <c r="Q1948" s="74" t="s">
        <v>3421</v>
      </c>
    </row>
    <row r="1949" spans="3:17" x14ac:dyDescent="0.25">
      <c r="C1949" s="74" t="s">
        <v>4268</v>
      </c>
      <c r="D1949" s="74" t="s">
        <v>4269</v>
      </c>
      <c r="E1949" s="74"/>
      <c r="F1949" s="74">
        <v>0.19</v>
      </c>
      <c r="G1949" s="74"/>
      <c r="H1949" s="74"/>
      <c r="I1949" s="74" t="s">
        <v>391</v>
      </c>
      <c r="J1949" s="74"/>
      <c r="K1949" s="74">
        <v>102.4</v>
      </c>
      <c r="L1949" s="74">
        <v>92.16</v>
      </c>
      <c r="M1949" s="74"/>
      <c r="N1949" s="74" t="s">
        <v>392</v>
      </c>
      <c r="O1949" s="74" t="s">
        <v>402</v>
      </c>
      <c r="P1949" s="74" t="s">
        <v>4270</v>
      </c>
      <c r="Q1949" s="74" t="s">
        <v>4271</v>
      </c>
    </row>
    <row r="1950" spans="3:17" x14ac:dyDescent="0.25">
      <c r="C1950" s="74" t="s">
        <v>5021</v>
      </c>
      <c r="D1950" s="74" t="s">
        <v>5022</v>
      </c>
      <c r="E1950" s="74"/>
      <c r="F1950" s="74">
        <v>0.19</v>
      </c>
      <c r="G1950" s="74"/>
      <c r="H1950" s="74"/>
      <c r="I1950" s="74" t="s">
        <v>391</v>
      </c>
      <c r="J1950" s="74"/>
      <c r="K1950" s="74">
        <v>102.4</v>
      </c>
      <c r="L1950" s="74">
        <v>92.16</v>
      </c>
      <c r="M1950" s="74"/>
      <c r="N1950" s="74" t="s">
        <v>392</v>
      </c>
      <c r="O1950" s="74" t="s">
        <v>402</v>
      </c>
      <c r="P1950" s="74" t="s">
        <v>5023</v>
      </c>
      <c r="Q1950" s="74" t="s">
        <v>5024</v>
      </c>
    </row>
    <row r="1951" spans="3:17" x14ac:dyDescent="0.25">
      <c r="C1951" s="74" t="s">
        <v>5595</v>
      </c>
      <c r="D1951" s="74" t="s">
        <v>5596</v>
      </c>
      <c r="E1951" s="74"/>
      <c r="F1951" s="74">
        <v>0.19</v>
      </c>
      <c r="G1951" s="74"/>
      <c r="H1951" s="74"/>
      <c r="I1951" s="74" t="s">
        <v>391</v>
      </c>
      <c r="J1951" s="74"/>
      <c r="K1951" s="74">
        <v>102.4</v>
      </c>
      <c r="L1951" s="74">
        <v>92.16</v>
      </c>
      <c r="M1951" s="74"/>
      <c r="N1951" s="74" t="s">
        <v>392</v>
      </c>
      <c r="O1951" s="74" t="s">
        <v>402</v>
      </c>
      <c r="P1951" s="74" t="s">
        <v>5597</v>
      </c>
      <c r="Q1951" s="74" t="s">
        <v>5598</v>
      </c>
    </row>
    <row r="1952" spans="3:17" x14ac:dyDescent="0.25">
      <c r="C1952" s="74" t="s">
        <v>7300</v>
      </c>
      <c r="D1952" s="74" t="s">
        <v>7301</v>
      </c>
      <c r="E1952" s="74"/>
      <c r="F1952" s="74">
        <v>0.19</v>
      </c>
      <c r="G1952" s="74"/>
      <c r="H1952" s="74"/>
      <c r="I1952" s="74" t="s">
        <v>391</v>
      </c>
      <c r="J1952" s="74"/>
      <c r="K1952" s="74">
        <v>102.4</v>
      </c>
      <c r="L1952" s="74">
        <v>92.16</v>
      </c>
      <c r="M1952" s="74"/>
      <c r="N1952" s="74" t="s">
        <v>392</v>
      </c>
      <c r="O1952" s="74" t="s">
        <v>402</v>
      </c>
      <c r="P1952" s="74" t="s">
        <v>7302</v>
      </c>
      <c r="Q1952" s="74" t="s">
        <v>7303</v>
      </c>
    </row>
    <row r="1953" spans="3:17" x14ac:dyDescent="0.25">
      <c r="C1953" s="74" t="s">
        <v>7792</v>
      </c>
      <c r="D1953" s="74" t="s">
        <v>7793</v>
      </c>
      <c r="E1953" s="74"/>
      <c r="F1953" s="74">
        <v>0.19</v>
      </c>
      <c r="G1953" s="74"/>
      <c r="H1953" s="74"/>
      <c r="I1953" s="74" t="s">
        <v>391</v>
      </c>
      <c r="J1953" s="74"/>
      <c r="K1953" s="74">
        <v>102.4</v>
      </c>
      <c r="L1953" s="74">
        <v>92.16</v>
      </c>
      <c r="M1953" s="74"/>
      <c r="N1953" s="74" t="s">
        <v>392</v>
      </c>
      <c r="O1953" s="74" t="s">
        <v>402</v>
      </c>
      <c r="P1953" s="74" t="s">
        <v>7794</v>
      </c>
      <c r="Q1953" s="74" t="s">
        <v>7795</v>
      </c>
    </row>
    <row r="1954" spans="3:17" x14ac:dyDescent="0.25">
      <c r="C1954" s="74" t="s">
        <v>8592</v>
      </c>
      <c r="D1954" s="74" t="s">
        <v>8593</v>
      </c>
      <c r="E1954" s="74" t="s">
        <v>391</v>
      </c>
      <c r="F1954" s="74">
        <v>0.19</v>
      </c>
      <c r="G1954" s="74"/>
      <c r="H1954" s="74"/>
      <c r="I1954" s="74" t="s">
        <v>391</v>
      </c>
      <c r="J1954" s="74"/>
      <c r="K1954" s="74">
        <v>102.4</v>
      </c>
      <c r="L1954" s="74">
        <v>92.16</v>
      </c>
      <c r="M1954" s="74"/>
      <c r="N1954" s="74" t="s">
        <v>392</v>
      </c>
      <c r="O1954" s="74" t="s">
        <v>393</v>
      </c>
      <c r="P1954" s="74"/>
      <c r="Q1954" s="74" t="s">
        <v>8594</v>
      </c>
    </row>
    <row r="1955" spans="3:17" x14ac:dyDescent="0.25">
      <c r="C1955" s="74" t="s">
        <v>10363</v>
      </c>
      <c r="D1955" s="74" t="s">
        <v>10364</v>
      </c>
      <c r="E1955" s="74" t="s">
        <v>391</v>
      </c>
      <c r="F1955" s="74">
        <v>0.19</v>
      </c>
      <c r="G1955" s="74"/>
      <c r="H1955" s="74"/>
      <c r="I1955" s="74" t="s">
        <v>391</v>
      </c>
      <c r="J1955" s="74"/>
      <c r="K1955" s="74">
        <v>102.4</v>
      </c>
      <c r="L1955" s="74">
        <v>92.16</v>
      </c>
      <c r="M1955" s="74"/>
      <c r="N1955" s="74" t="s">
        <v>392</v>
      </c>
      <c r="O1955" s="74" t="s">
        <v>393</v>
      </c>
      <c r="P1955" s="74"/>
      <c r="Q1955" s="74" t="s">
        <v>10365</v>
      </c>
    </row>
    <row r="1956" spans="3:17" x14ac:dyDescent="0.25">
      <c r="C1956" s="74" t="s">
        <v>10655</v>
      </c>
      <c r="D1956" s="74" t="s">
        <v>10656</v>
      </c>
      <c r="E1956" s="74"/>
      <c r="F1956" s="74">
        <v>0.19</v>
      </c>
      <c r="G1956" s="74"/>
      <c r="H1956" s="74"/>
      <c r="I1956" s="74" t="s">
        <v>391</v>
      </c>
      <c r="J1956" s="74"/>
      <c r="K1956" s="74">
        <v>102.4</v>
      </c>
      <c r="L1956" s="74">
        <v>92.16</v>
      </c>
      <c r="M1956" s="74"/>
      <c r="N1956" s="74" t="s">
        <v>392</v>
      </c>
      <c r="O1956" s="74" t="s">
        <v>402</v>
      </c>
      <c r="P1956" s="74" t="s">
        <v>10657</v>
      </c>
      <c r="Q1956" s="74" t="s">
        <v>10658</v>
      </c>
    </row>
    <row r="1957" spans="3:17" x14ac:dyDescent="0.25">
      <c r="C1957" s="74" t="s">
        <v>11728</v>
      </c>
      <c r="D1957" s="74" t="s">
        <v>11729</v>
      </c>
      <c r="E1957" s="74"/>
      <c r="F1957" s="74">
        <v>0.19</v>
      </c>
      <c r="G1957" s="74"/>
      <c r="H1957" s="74"/>
      <c r="I1957" s="74" t="s">
        <v>391</v>
      </c>
      <c r="J1957" s="74"/>
      <c r="K1957" s="74">
        <v>102.4</v>
      </c>
      <c r="L1957" s="74">
        <v>92.16</v>
      </c>
      <c r="M1957" s="74"/>
      <c r="N1957" s="74" t="s">
        <v>392</v>
      </c>
      <c r="O1957" s="74" t="s">
        <v>402</v>
      </c>
      <c r="P1957" s="74" t="s">
        <v>11730</v>
      </c>
      <c r="Q1957" s="74" t="s">
        <v>11731</v>
      </c>
    </row>
    <row r="1958" spans="3:17" x14ac:dyDescent="0.25">
      <c r="C1958" s="74" t="s">
        <v>12034</v>
      </c>
      <c r="D1958" s="74" t="s">
        <v>12035</v>
      </c>
      <c r="E1958" s="74"/>
      <c r="F1958" s="74">
        <v>0.19</v>
      </c>
      <c r="G1958" s="74"/>
      <c r="H1958" s="74"/>
      <c r="I1958" s="74" t="s">
        <v>391</v>
      </c>
      <c r="J1958" s="74"/>
      <c r="K1958" s="74">
        <v>102.4</v>
      </c>
      <c r="L1958" s="74">
        <v>92.16</v>
      </c>
      <c r="M1958" s="74"/>
      <c r="N1958" s="74" t="s">
        <v>392</v>
      </c>
      <c r="O1958" s="74" t="s">
        <v>402</v>
      </c>
      <c r="P1958" s="74" t="s">
        <v>12036</v>
      </c>
      <c r="Q1958" s="74" t="s">
        <v>12037</v>
      </c>
    </row>
    <row r="1959" spans="3:17" x14ac:dyDescent="0.25">
      <c r="C1959" s="74" t="s">
        <v>12828</v>
      </c>
      <c r="D1959" s="74" t="s">
        <v>12829</v>
      </c>
      <c r="E1959" s="74"/>
      <c r="F1959" s="74">
        <v>0.19</v>
      </c>
      <c r="G1959" s="74"/>
      <c r="H1959" s="74"/>
      <c r="I1959" s="74" t="s">
        <v>391</v>
      </c>
      <c r="J1959" s="74"/>
      <c r="K1959" s="74">
        <v>102.4</v>
      </c>
      <c r="L1959" s="74">
        <v>92.16</v>
      </c>
      <c r="M1959" s="74"/>
      <c r="N1959" s="74" t="s">
        <v>392</v>
      </c>
      <c r="O1959" s="74" t="s">
        <v>402</v>
      </c>
      <c r="P1959" s="74" t="s">
        <v>12830</v>
      </c>
      <c r="Q1959" s="74" t="s">
        <v>12831</v>
      </c>
    </row>
    <row r="1960" spans="3:17" x14ac:dyDescent="0.25">
      <c r="C1960" s="74" t="s">
        <v>13179</v>
      </c>
      <c r="D1960" s="74" t="s">
        <v>13180</v>
      </c>
      <c r="E1960" s="74"/>
      <c r="F1960" s="74">
        <v>0.19</v>
      </c>
      <c r="G1960" s="74"/>
      <c r="H1960" s="74"/>
      <c r="I1960" s="74" t="s">
        <v>391</v>
      </c>
      <c r="J1960" s="74"/>
      <c r="K1960" s="74">
        <v>102.4</v>
      </c>
      <c r="L1960" s="74">
        <v>92.16</v>
      </c>
      <c r="M1960" s="74"/>
      <c r="N1960" s="74" t="s">
        <v>392</v>
      </c>
      <c r="O1960" s="74" t="s">
        <v>402</v>
      </c>
      <c r="P1960" s="74" t="s">
        <v>13181</v>
      </c>
      <c r="Q1960" s="74" t="s">
        <v>13182</v>
      </c>
    </row>
    <row r="1961" spans="3:17" x14ac:dyDescent="0.25">
      <c r="C1961" s="74" t="s">
        <v>13305</v>
      </c>
      <c r="D1961" s="74" t="s">
        <v>13306</v>
      </c>
      <c r="E1961" s="74" t="s">
        <v>391</v>
      </c>
      <c r="F1961" s="74">
        <v>0.19</v>
      </c>
      <c r="G1961" s="74"/>
      <c r="H1961" s="74"/>
      <c r="I1961" s="74" t="s">
        <v>391</v>
      </c>
      <c r="J1961" s="74"/>
      <c r="K1961" s="74">
        <v>102.4</v>
      </c>
      <c r="L1961" s="74">
        <v>92.16</v>
      </c>
      <c r="M1961" s="74"/>
      <c r="N1961" s="74" t="s">
        <v>392</v>
      </c>
      <c r="O1961" s="74" t="s">
        <v>393</v>
      </c>
      <c r="P1961" s="74" t="s">
        <v>13307</v>
      </c>
      <c r="Q1961" s="74" t="s">
        <v>13308</v>
      </c>
    </row>
    <row r="1962" spans="3:17" x14ac:dyDescent="0.25">
      <c r="C1962" s="74" t="s">
        <v>19825</v>
      </c>
      <c r="D1962" s="74" t="s">
        <v>19826</v>
      </c>
      <c r="E1962" s="74"/>
      <c r="F1962" s="74">
        <v>0.19</v>
      </c>
      <c r="G1962" s="74"/>
      <c r="H1962" s="74"/>
      <c r="I1962" s="74" t="s">
        <v>391</v>
      </c>
      <c r="J1962" s="74"/>
      <c r="K1962" s="74">
        <v>102.4</v>
      </c>
      <c r="L1962" s="74">
        <v>92.16</v>
      </c>
      <c r="M1962" s="74"/>
      <c r="N1962" s="74" t="s">
        <v>392</v>
      </c>
      <c r="O1962" s="74" t="s">
        <v>402</v>
      </c>
      <c r="P1962" s="74" t="s">
        <v>19827</v>
      </c>
      <c r="Q1962" s="74" t="s">
        <v>19828</v>
      </c>
    </row>
    <row r="1963" spans="3:17" x14ac:dyDescent="0.25">
      <c r="C1963" s="74" t="s">
        <v>20253</v>
      </c>
      <c r="D1963" s="74" t="s">
        <v>20254</v>
      </c>
      <c r="E1963" s="74"/>
      <c r="F1963" s="74">
        <v>0.19</v>
      </c>
      <c r="G1963" s="74"/>
      <c r="H1963" s="74"/>
      <c r="I1963" s="74" t="s">
        <v>391</v>
      </c>
      <c r="J1963" s="74"/>
      <c r="K1963" s="74">
        <v>102.4</v>
      </c>
      <c r="L1963" s="74">
        <v>92.16</v>
      </c>
      <c r="M1963" s="74"/>
      <c r="N1963" s="74" t="s">
        <v>392</v>
      </c>
      <c r="O1963" s="74" t="s">
        <v>402</v>
      </c>
      <c r="P1963" s="74" t="s">
        <v>20255</v>
      </c>
      <c r="Q1963" s="74" t="s">
        <v>20256</v>
      </c>
    </row>
    <row r="1964" spans="3:17" x14ac:dyDescent="0.25">
      <c r="C1964" s="74" t="s">
        <v>20294</v>
      </c>
      <c r="D1964" s="74" t="s">
        <v>20295</v>
      </c>
      <c r="E1964" s="74"/>
      <c r="F1964" s="74">
        <v>0.19</v>
      </c>
      <c r="G1964" s="74"/>
      <c r="H1964" s="74"/>
      <c r="I1964" s="74" t="s">
        <v>391</v>
      </c>
      <c r="J1964" s="74"/>
      <c r="K1964" s="74">
        <v>102.4</v>
      </c>
      <c r="L1964" s="74">
        <v>92.16</v>
      </c>
      <c r="M1964" s="74"/>
      <c r="N1964" s="74" t="s">
        <v>392</v>
      </c>
      <c r="O1964" s="74" t="s">
        <v>402</v>
      </c>
      <c r="P1964" s="74" t="s">
        <v>20296</v>
      </c>
      <c r="Q1964" s="74" t="s">
        <v>20297</v>
      </c>
    </row>
    <row r="1965" spans="3:17" x14ac:dyDescent="0.25">
      <c r="C1965" s="74" t="s">
        <v>2094</v>
      </c>
      <c r="D1965" s="74" t="s">
        <v>2095</v>
      </c>
      <c r="E1965" s="74"/>
      <c r="F1965" s="74">
        <v>0.18</v>
      </c>
      <c r="G1965" s="74"/>
      <c r="H1965" s="74"/>
      <c r="I1965" s="74" t="s">
        <v>391</v>
      </c>
      <c r="J1965" s="74"/>
      <c r="K1965" s="74">
        <v>102.4</v>
      </c>
      <c r="L1965" s="74">
        <v>92.16</v>
      </c>
      <c r="M1965" s="74"/>
      <c r="N1965" s="74" t="s">
        <v>392</v>
      </c>
      <c r="O1965" s="74" t="s">
        <v>402</v>
      </c>
      <c r="P1965" s="74" t="s">
        <v>2096</v>
      </c>
      <c r="Q1965" s="74" t="s">
        <v>2097</v>
      </c>
    </row>
    <row r="1966" spans="3:17" x14ac:dyDescent="0.25">
      <c r="C1966" s="74" t="s">
        <v>5502</v>
      </c>
      <c r="D1966" s="74" t="s">
        <v>5503</v>
      </c>
      <c r="E1966" s="74"/>
      <c r="F1966" s="74">
        <v>0.18</v>
      </c>
      <c r="G1966" s="74"/>
      <c r="H1966" s="74"/>
      <c r="I1966" s="74" t="s">
        <v>391</v>
      </c>
      <c r="J1966" s="74"/>
      <c r="K1966" s="74">
        <v>102.4</v>
      </c>
      <c r="L1966" s="74">
        <v>92.16</v>
      </c>
      <c r="M1966" s="74"/>
      <c r="N1966" s="74" t="s">
        <v>392</v>
      </c>
      <c r="O1966" s="74" t="s">
        <v>402</v>
      </c>
      <c r="P1966" s="74" t="s">
        <v>5504</v>
      </c>
      <c r="Q1966" s="74" t="s">
        <v>5505</v>
      </c>
    </row>
    <row r="1967" spans="3:17" x14ac:dyDescent="0.25">
      <c r="C1967" s="74" t="s">
        <v>5813</v>
      </c>
      <c r="D1967" s="74" t="s">
        <v>5814</v>
      </c>
      <c r="E1967" s="74"/>
      <c r="F1967" s="74">
        <v>0.18</v>
      </c>
      <c r="G1967" s="74"/>
      <c r="H1967" s="74"/>
      <c r="I1967" s="74" t="s">
        <v>391</v>
      </c>
      <c r="J1967" s="74"/>
      <c r="K1967" s="74">
        <v>102.4</v>
      </c>
      <c r="L1967" s="74">
        <v>92.16</v>
      </c>
      <c r="M1967" s="74"/>
      <c r="N1967" s="74" t="s">
        <v>392</v>
      </c>
      <c r="O1967" s="74" t="s">
        <v>402</v>
      </c>
      <c r="P1967" s="74" t="s">
        <v>5815</v>
      </c>
      <c r="Q1967" s="74" t="s">
        <v>5816</v>
      </c>
    </row>
    <row r="1968" spans="3:17" x14ac:dyDescent="0.25">
      <c r="C1968" s="74" t="s">
        <v>5892</v>
      </c>
      <c r="D1968" s="74" t="s">
        <v>5893</v>
      </c>
      <c r="E1968" s="74"/>
      <c r="F1968" s="74">
        <v>0.18</v>
      </c>
      <c r="G1968" s="74"/>
      <c r="H1968" s="74"/>
      <c r="I1968" s="74" t="s">
        <v>391</v>
      </c>
      <c r="J1968" s="74"/>
      <c r="K1968" s="74">
        <v>102.4</v>
      </c>
      <c r="L1968" s="74">
        <v>92.16</v>
      </c>
      <c r="M1968" s="74"/>
      <c r="N1968" s="74" t="s">
        <v>392</v>
      </c>
      <c r="O1968" s="74" t="s">
        <v>402</v>
      </c>
      <c r="P1968" s="74" t="s">
        <v>5894</v>
      </c>
      <c r="Q1968" s="74" t="s">
        <v>5895</v>
      </c>
    </row>
    <row r="1969" spans="3:17" x14ac:dyDescent="0.25">
      <c r="C1969" s="74" t="s">
        <v>6404</v>
      </c>
      <c r="D1969" s="74" t="s">
        <v>6405</v>
      </c>
      <c r="E1969" s="74"/>
      <c r="F1969" s="74">
        <v>0.18</v>
      </c>
      <c r="G1969" s="74"/>
      <c r="H1969" s="74"/>
      <c r="I1969" s="74" t="s">
        <v>391</v>
      </c>
      <c r="J1969" s="74"/>
      <c r="K1969" s="74">
        <v>102.4</v>
      </c>
      <c r="L1969" s="74">
        <v>92.16</v>
      </c>
      <c r="M1969" s="74"/>
      <c r="N1969" s="74" t="s">
        <v>392</v>
      </c>
      <c r="O1969" s="74" t="s">
        <v>402</v>
      </c>
      <c r="P1969" s="74" t="s">
        <v>6406</v>
      </c>
      <c r="Q1969" s="74" t="s">
        <v>6407</v>
      </c>
    </row>
    <row r="1970" spans="3:17" x14ac:dyDescent="0.25">
      <c r="C1970" s="74" t="s">
        <v>6433</v>
      </c>
      <c r="D1970" s="74" t="s">
        <v>6434</v>
      </c>
      <c r="E1970" s="74" t="s">
        <v>391</v>
      </c>
      <c r="F1970" s="74">
        <v>0.18</v>
      </c>
      <c r="G1970" s="74"/>
      <c r="H1970" s="74"/>
      <c r="I1970" s="74" t="s">
        <v>391</v>
      </c>
      <c r="J1970" s="74"/>
      <c r="K1970" s="74">
        <v>102.4</v>
      </c>
      <c r="L1970" s="74">
        <v>92.16</v>
      </c>
      <c r="M1970" s="74"/>
      <c r="N1970" s="74" t="s">
        <v>392</v>
      </c>
      <c r="O1970" s="74" t="s">
        <v>393</v>
      </c>
      <c r="P1970" s="74"/>
      <c r="Q1970" s="74" t="s">
        <v>6435</v>
      </c>
    </row>
    <row r="1971" spans="3:17" x14ac:dyDescent="0.25">
      <c r="C1971" s="74" t="s">
        <v>10555</v>
      </c>
      <c r="D1971" s="74" t="s">
        <v>10556</v>
      </c>
      <c r="E1971" s="74"/>
      <c r="F1971" s="74">
        <v>0.18</v>
      </c>
      <c r="G1971" s="74"/>
      <c r="H1971" s="74"/>
      <c r="I1971" s="74" t="s">
        <v>391</v>
      </c>
      <c r="J1971" s="74"/>
      <c r="K1971" s="74">
        <v>102.4</v>
      </c>
      <c r="L1971" s="74">
        <v>92.16</v>
      </c>
      <c r="M1971" s="74"/>
      <c r="N1971" s="74" t="s">
        <v>392</v>
      </c>
      <c r="O1971" s="74" t="s">
        <v>402</v>
      </c>
      <c r="P1971" s="74" t="s">
        <v>10557</v>
      </c>
      <c r="Q1971" s="74" t="s">
        <v>10558</v>
      </c>
    </row>
    <row r="1972" spans="3:17" x14ac:dyDescent="0.25">
      <c r="C1972" s="74" t="s">
        <v>10852</v>
      </c>
      <c r="D1972" s="74" t="s">
        <v>10853</v>
      </c>
      <c r="E1972" s="74"/>
      <c r="F1972" s="74">
        <v>0.18</v>
      </c>
      <c r="G1972" s="74"/>
      <c r="H1972" s="74"/>
      <c r="I1972" s="74" t="s">
        <v>391</v>
      </c>
      <c r="J1972" s="74"/>
      <c r="K1972" s="74">
        <v>102.4</v>
      </c>
      <c r="L1972" s="74">
        <v>92.16</v>
      </c>
      <c r="M1972" s="74"/>
      <c r="N1972" s="74" t="s">
        <v>392</v>
      </c>
      <c r="O1972" s="74" t="s">
        <v>402</v>
      </c>
      <c r="P1972" s="74" t="s">
        <v>10854</v>
      </c>
      <c r="Q1972" s="74" t="s">
        <v>10855</v>
      </c>
    </row>
    <row r="1973" spans="3:17" x14ac:dyDescent="0.25">
      <c r="C1973" s="74" t="s">
        <v>11295</v>
      </c>
      <c r="D1973" s="74" t="s">
        <v>11296</v>
      </c>
      <c r="E1973" s="74"/>
      <c r="F1973" s="74">
        <v>0.18</v>
      </c>
      <c r="G1973" s="74"/>
      <c r="H1973" s="74"/>
      <c r="I1973" s="74" t="s">
        <v>391</v>
      </c>
      <c r="J1973" s="74"/>
      <c r="K1973" s="74">
        <v>102.4</v>
      </c>
      <c r="L1973" s="74">
        <v>92.16</v>
      </c>
      <c r="M1973" s="74"/>
      <c r="N1973" s="74" t="s">
        <v>392</v>
      </c>
      <c r="O1973" s="74" t="s">
        <v>402</v>
      </c>
      <c r="P1973" s="74" t="s">
        <v>11297</v>
      </c>
      <c r="Q1973" s="74" t="s">
        <v>11298</v>
      </c>
    </row>
    <row r="1974" spans="3:17" x14ac:dyDescent="0.25">
      <c r="C1974" s="74" t="s">
        <v>12439</v>
      </c>
      <c r="D1974" s="74" t="s">
        <v>12440</v>
      </c>
      <c r="E1974" s="74" t="s">
        <v>391</v>
      </c>
      <c r="F1974" s="74">
        <v>0.18</v>
      </c>
      <c r="G1974" s="74"/>
      <c r="H1974" s="74"/>
      <c r="I1974" s="74" t="s">
        <v>391</v>
      </c>
      <c r="J1974" s="74"/>
      <c r="K1974" s="74">
        <v>102.4</v>
      </c>
      <c r="L1974" s="74">
        <v>92.16</v>
      </c>
      <c r="M1974" s="74"/>
      <c r="N1974" s="74" t="s">
        <v>392</v>
      </c>
      <c r="O1974" s="74" t="s">
        <v>393</v>
      </c>
      <c r="P1974" s="74"/>
      <c r="Q1974" s="74" t="s">
        <v>12441</v>
      </c>
    </row>
    <row r="1975" spans="3:17" x14ac:dyDescent="0.25">
      <c r="C1975" s="74" t="s">
        <v>12486</v>
      </c>
      <c r="D1975" s="74" t="s">
        <v>12487</v>
      </c>
      <c r="E1975" s="74"/>
      <c r="F1975" s="74">
        <v>0.18</v>
      </c>
      <c r="G1975" s="74"/>
      <c r="H1975" s="74"/>
      <c r="I1975" s="74" t="s">
        <v>391</v>
      </c>
      <c r="J1975" s="74"/>
      <c r="K1975" s="74">
        <v>102.4</v>
      </c>
      <c r="L1975" s="74">
        <v>92.16</v>
      </c>
      <c r="M1975" s="74"/>
      <c r="N1975" s="74" t="s">
        <v>392</v>
      </c>
      <c r="O1975" s="74" t="s">
        <v>402</v>
      </c>
      <c r="P1975" s="74" t="s">
        <v>12488</v>
      </c>
      <c r="Q1975" s="74" t="s">
        <v>12489</v>
      </c>
    </row>
    <row r="1976" spans="3:17" x14ac:dyDescent="0.25">
      <c r="C1976" s="74" t="s">
        <v>12994</v>
      </c>
      <c r="D1976" s="74" t="s">
        <v>12995</v>
      </c>
      <c r="E1976" s="74" t="s">
        <v>391</v>
      </c>
      <c r="F1976" s="74">
        <v>0.18</v>
      </c>
      <c r="G1976" s="74"/>
      <c r="H1976" s="74"/>
      <c r="I1976" s="74" t="s">
        <v>391</v>
      </c>
      <c r="J1976" s="74"/>
      <c r="K1976" s="74">
        <v>102.4</v>
      </c>
      <c r="L1976" s="74">
        <v>92.16</v>
      </c>
      <c r="M1976" s="74"/>
      <c r="N1976" s="74" t="s">
        <v>392</v>
      </c>
      <c r="O1976" s="74" t="s">
        <v>393</v>
      </c>
      <c r="P1976" s="74"/>
      <c r="Q1976" s="74" t="s">
        <v>12996</v>
      </c>
    </row>
    <row r="1977" spans="3:17" x14ac:dyDescent="0.25">
      <c r="C1977" s="74" t="s">
        <v>13476</v>
      </c>
      <c r="D1977" s="74" t="s">
        <v>13477</v>
      </c>
      <c r="E1977" s="74"/>
      <c r="F1977" s="74">
        <v>0.18</v>
      </c>
      <c r="G1977" s="74"/>
      <c r="H1977" s="74"/>
      <c r="I1977" s="74" t="s">
        <v>391</v>
      </c>
      <c r="J1977" s="74"/>
      <c r="K1977" s="74">
        <v>102.4</v>
      </c>
      <c r="L1977" s="74">
        <v>92.16</v>
      </c>
      <c r="M1977" s="74"/>
      <c r="N1977" s="74" t="s">
        <v>392</v>
      </c>
      <c r="O1977" s="74" t="s">
        <v>402</v>
      </c>
      <c r="P1977" s="74" t="s">
        <v>13478</v>
      </c>
      <c r="Q1977" s="74" t="s">
        <v>13479</v>
      </c>
    </row>
    <row r="1978" spans="3:17" x14ac:dyDescent="0.25">
      <c r="C1978" s="74" t="s">
        <v>1490</v>
      </c>
      <c r="D1978" s="74" t="s">
        <v>1491</v>
      </c>
      <c r="E1978" s="74"/>
      <c r="F1978" s="74">
        <v>0.17</v>
      </c>
      <c r="G1978" s="74"/>
      <c r="H1978" s="74"/>
      <c r="I1978" s="74" t="s">
        <v>391</v>
      </c>
      <c r="J1978" s="74"/>
      <c r="K1978" s="74">
        <v>102.4</v>
      </c>
      <c r="L1978" s="74">
        <v>92.16</v>
      </c>
      <c r="M1978" s="74"/>
      <c r="N1978" s="74" t="s">
        <v>392</v>
      </c>
      <c r="O1978" s="74" t="s">
        <v>402</v>
      </c>
      <c r="P1978" s="74" t="s">
        <v>1492</v>
      </c>
      <c r="Q1978" s="74" t="s">
        <v>1493</v>
      </c>
    </row>
    <row r="1979" spans="3:17" x14ac:dyDescent="0.25">
      <c r="C1979" s="74" t="s">
        <v>2234</v>
      </c>
      <c r="D1979" s="74" t="s">
        <v>2235</v>
      </c>
      <c r="E1979" s="74" t="s">
        <v>391</v>
      </c>
      <c r="F1979" s="74">
        <v>0.17</v>
      </c>
      <c r="G1979" s="74"/>
      <c r="H1979" s="74"/>
      <c r="I1979" s="74" t="s">
        <v>391</v>
      </c>
      <c r="J1979" s="74"/>
      <c r="K1979" s="74">
        <v>102.4</v>
      </c>
      <c r="L1979" s="74">
        <v>92.16</v>
      </c>
      <c r="M1979" s="74"/>
      <c r="N1979" s="74" t="s">
        <v>392</v>
      </c>
      <c r="O1979" s="74" t="s">
        <v>393</v>
      </c>
      <c r="P1979" s="74"/>
      <c r="Q1979" s="74" t="s">
        <v>2236</v>
      </c>
    </row>
    <row r="1980" spans="3:17" x14ac:dyDescent="0.25">
      <c r="C1980" s="74" t="s">
        <v>2614</v>
      </c>
      <c r="D1980" s="74" t="s">
        <v>2615</v>
      </c>
      <c r="E1980" s="74" t="s">
        <v>391</v>
      </c>
      <c r="F1980" s="74">
        <v>0.17</v>
      </c>
      <c r="G1980" s="74"/>
      <c r="H1980" s="74"/>
      <c r="I1980" s="74" t="s">
        <v>391</v>
      </c>
      <c r="J1980" s="74"/>
      <c r="K1980" s="74">
        <v>102.4</v>
      </c>
      <c r="L1980" s="74">
        <v>92.16</v>
      </c>
      <c r="M1980" s="74"/>
      <c r="N1980" s="74" t="s">
        <v>392</v>
      </c>
      <c r="O1980" s="74" t="s">
        <v>393</v>
      </c>
      <c r="P1980" s="74"/>
      <c r="Q1980" s="74" t="s">
        <v>2616</v>
      </c>
    </row>
    <row r="1981" spans="3:17" x14ac:dyDescent="0.25">
      <c r="C1981" s="74" t="s">
        <v>6662</v>
      </c>
      <c r="D1981" s="74" t="s">
        <v>6663</v>
      </c>
      <c r="E1981" s="74"/>
      <c r="F1981" s="74">
        <v>0.17</v>
      </c>
      <c r="G1981" s="74"/>
      <c r="H1981" s="74"/>
      <c r="I1981" s="74" t="s">
        <v>391</v>
      </c>
      <c r="J1981" s="74"/>
      <c r="K1981" s="74">
        <v>102.4</v>
      </c>
      <c r="L1981" s="74">
        <v>92.16</v>
      </c>
      <c r="M1981" s="74"/>
      <c r="N1981" s="74" t="s">
        <v>392</v>
      </c>
      <c r="O1981" s="74" t="s">
        <v>402</v>
      </c>
      <c r="P1981" s="74" t="s">
        <v>6664</v>
      </c>
      <c r="Q1981" s="74" t="s">
        <v>6665</v>
      </c>
    </row>
    <row r="1982" spans="3:17" x14ac:dyDescent="0.25">
      <c r="C1982" s="74" t="s">
        <v>6839</v>
      </c>
      <c r="D1982" s="74" t="s">
        <v>6840</v>
      </c>
      <c r="E1982" s="74"/>
      <c r="F1982" s="74">
        <v>0.17</v>
      </c>
      <c r="G1982" s="74"/>
      <c r="H1982" s="74"/>
      <c r="I1982" s="74" t="s">
        <v>391</v>
      </c>
      <c r="J1982" s="74"/>
      <c r="K1982" s="74">
        <v>102.4</v>
      </c>
      <c r="L1982" s="74">
        <v>92.16</v>
      </c>
      <c r="M1982" s="74"/>
      <c r="N1982" s="74" t="s">
        <v>392</v>
      </c>
      <c r="O1982" s="74" t="s">
        <v>402</v>
      </c>
      <c r="P1982" s="74" t="s">
        <v>6841</v>
      </c>
      <c r="Q1982" s="74" t="s">
        <v>6842</v>
      </c>
    </row>
    <row r="1983" spans="3:17" x14ac:dyDescent="0.25">
      <c r="C1983" s="74" t="s">
        <v>8719</v>
      </c>
      <c r="D1983" s="74" t="s">
        <v>8720</v>
      </c>
      <c r="E1983" s="74"/>
      <c r="F1983" s="74">
        <v>0.17</v>
      </c>
      <c r="G1983" s="74"/>
      <c r="H1983" s="74"/>
      <c r="I1983" s="74" t="s">
        <v>391</v>
      </c>
      <c r="J1983" s="74"/>
      <c r="K1983" s="74">
        <v>102.4</v>
      </c>
      <c r="L1983" s="74">
        <v>92.16</v>
      </c>
      <c r="M1983" s="74"/>
      <c r="N1983" s="74" t="s">
        <v>392</v>
      </c>
      <c r="O1983" s="74" t="s">
        <v>402</v>
      </c>
      <c r="P1983" s="74" t="s">
        <v>8721</v>
      </c>
      <c r="Q1983" s="74" t="s">
        <v>8722</v>
      </c>
    </row>
    <row r="1984" spans="3:17" x14ac:dyDescent="0.25">
      <c r="C1984" s="74" t="s">
        <v>9327</v>
      </c>
      <c r="D1984" s="74" t="s">
        <v>9328</v>
      </c>
      <c r="E1984" s="74"/>
      <c r="F1984" s="74">
        <v>0.17</v>
      </c>
      <c r="G1984" s="74"/>
      <c r="H1984" s="74"/>
      <c r="I1984" s="74" t="s">
        <v>391</v>
      </c>
      <c r="J1984" s="74"/>
      <c r="K1984" s="74">
        <v>102.4</v>
      </c>
      <c r="L1984" s="74">
        <v>92.16</v>
      </c>
      <c r="M1984" s="74"/>
      <c r="N1984" s="74" t="s">
        <v>392</v>
      </c>
      <c r="O1984" s="74" t="s">
        <v>402</v>
      </c>
      <c r="P1984" s="74" t="s">
        <v>9329</v>
      </c>
      <c r="Q1984" s="74" t="s">
        <v>9330</v>
      </c>
    </row>
    <row r="1985" spans="3:17" x14ac:dyDescent="0.25">
      <c r="C1985" s="74" t="s">
        <v>10291</v>
      </c>
      <c r="D1985" s="74" t="s">
        <v>10292</v>
      </c>
      <c r="E1985" s="74" t="s">
        <v>391</v>
      </c>
      <c r="F1985" s="74">
        <v>0.17</v>
      </c>
      <c r="G1985" s="74"/>
      <c r="H1985" s="74"/>
      <c r="I1985" s="74" t="s">
        <v>391</v>
      </c>
      <c r="J1985" s="74"/>
      <c r="K1985" s="74">
        <v>102.4</v>
      </c>
      <c r="L1985" s="74">
        <v>92.16</v>
      </c>
      <c r="M1985" s="74"/>
      <c r="N1985" s="74" t="s">
        <v>392</v>
      </c>
      <c r="O1985" s="74" t="s">
        <v>393</v>
      </c>
      <c r="P1985" s="74"/>
      <c r="Q1985" s="74" t="s">
        <v>10293</v>
      </c>
    </row>
    <row r="1986" spans="3:17" x14ac:dyDescent="0.25">
      <c r="C1986" s="74" t="s">
        <v>10565</v>
      </c>
      <c r="D1986" s="74" t="s">
        <v>10566</v>
      </c>
      <c r="E1986" s="74"/>
      <c r="F1986" s="74">
        <v>0.17</v>
      </c>
      <c r="G1986" s="74"/>
      <c r="H1986" s="74"/>
      <c r="I1986" s="74" t="s">
        <v>391</v>
      </c>
      <c r="J1986" s="74"/>
      <c r="K1986" s="74">
        <v>102.4</v>
      </c>
      <c r="L1986" s="74">
        <v>92.16</v>
      </c>
      <c r="M1986" s="74"/>
      <c r="N1986" s="74" t="s">
        <v>392</v>
      </c>
      <c r="O1986" s="74" t="s">
        <v>402</v>
      </c>
      <c r="P1986" s="74" t="s">
        <v>10567</v>
      </c>
      <c r="Q1986" s="74" t="s">
        <v>10568</v>
      </c>
    </row>
    <row r="1987" spans="3:17" x14ac:dyDescent="0.25">
      <c r="C1987" s="74" t="s">
        <v>11410</v>
      </c>
      <c r="D1987" s="74" t="s">
        <v>11411</v>
      </c>
      <c r="E1987" s="74"/>
      <c r="F1987" s="74">
        <v>0.17</v>
      </c>
      <c r="G1987" s="74"/>
      <c r="H1987" s="74"/>
      <c r="I1987" s="74" t="s">
        <v>391</v>
      </c>
      <c r="J1987" s="74"/>
      <c r="K1987" s="74">
        <v>102.4</v>
      </c>
      <c r="L1987" s="74">
        <v>92.16</v>
      </c>
      <c r="M1987" s="74"/>
      <c r="N1987" s="74" t="s">
        <v>392</v>
      </c>
      <c r="O1987" s="74" t="s">
        <v>402</v>
      </c>
      <c r="P1987" s="74" t="s">
        <v>11412</v>
      </c>
      <c r="Q1987" s="74" t="s">
        <v>11413</v>
      </c>
    </row>
    <row r="1988" spans="3:17" x14ac:dyDescent="0.25">
      <c r="C1988" s="74" t="s">
        <v>12189</v>
      </c>
      <c r="D1988" s="74" t="s">
        <v>12190</v>
      </c>
      <c r="E1988" s="74" t="s">
        <v>391</v>
      </c>
      <c r="F1988" s="74">
        <v>0.17</v>
      </c>
      <c r="G1988" s="74"/>
      <c r="H1988" s="74"/>
      <c r="I1988" s="74" t="s">
        <v>391</v>
      </c>
      <c r="J1988" s="74"/>
      <c r="K1988" s="74">
        <v>102.4</v>
      </c>
      <c r="L1988" s="74">
        <v>92.16</v>
      </c>
      <c r="M1988" s="74"/>
      <c r="N1988" s="74" t="s">
        <v>392</v>
      </c>
      <c r="O1988" s="74" t="s">
        <v>393</v>
      </c>
      <c r="P1988" s="74" t="s">
        <v>12191</v>
      </c>
      <c r="Q1988" s="74" t="s">
        <v>12192</v>
      </c>
    </row>
    <row r="1989" spans="3:17" x14ac:dyDescent="0.25">
      <c r="C1989" s="74" t="s">
        <v>12954</v>
      </c>
      <c r="D1989" s="74" t="s">
        <v>12955</v>
      </c>
      <c r="E1989" s="74" t="s">
        <v>391</v>
      </c>
      <c r="F1989" s="74">
        <v>0.17</v>
      </c>
      <c r="G1989" s="74"/>
      <c r="H1989" s="74"/>
      <c r="I1989" s="74" t="s">
        <v>391</v>
      </c>
      <c r="J1989" s="74"/>
      <c r="K1989" s="74">
        <v>102.4</v>
      </c>
      <c r="L1989" s="74">
        <v>92.16</v>
      </c>
      <c r="M1989" s="74"/>
      <c r="N1989" s="74" t="s">
        <v>392</v>
      </c>
      <c r="O1989" s="74" t="s">
        <v>393</v>
      </c>
      <c r="P1989" s="74"/>
      <c r="Q1989" s="74" t="s">
        <v>12956</v>
      </c>
    </row>
    <row r="1990" spans="3:17" x14ac:dyDescent="0.25">
      <c r="C1990" s="74" t="s">
        <v>14276</v>
      </c>
      <c r="D1990" s="74" t="s">
        <v>14277</v>
      </c>
      <c r="E1990" s="74" t="s">
        <v>391</v>
      </c>
      <c r="F1990" s="74">
        <v>0.17</v>
      </c>
      <c r="G1990" s="74"/>
      <c r="H1990" s="74"/>
      <c r="I1990" s="74" t="s">
        <v>391</v>
      </c>
      <c r="J1990" s="74"/>
      <c r="K1990" s="74">
        <v>102.4</v>
      </c>
      <c r="L1990" s="74">
        <v>92.16</v>
      </c>
      <c r="M1990" s="74"/>
      <c r="N1990" s="74" t="s">
        <v>392</v>
      </c>
      <c r="O1990" s="74" t="s">
        <v>393</v>
      </c>
      <c r="P1990" s="74"/>
      <c r="Q1990" s="74" t="s">
        <v>14278</v>
      </c>
    </row>
    <row r="1991" spans="3:17" x14ac:dyDescent="0.25">
      <c r="C1991" s="74" t="s">
        <v>14944</v>
      </c>
      <c r="D1991" s="74" t="s">
        <v>14945</v>
      </c>
      <c r="E1991" s="74"/>
      <c r="F1991" s="74">
        <v>0.17</v>
      </c>
      <c r="G1991" s="74"/>
      <c r="H1991" s="74"/>
      <c r="I1991" s="74" t="s">
        <v>391</v>
      </c>
      <c r="J1991" s="74"/>
      <c r="K1991" s="74">
        <v>102.4</v>
      </c>
      <c r="L1991" s="74">
        <v>92.16</v>
      </c>
      <c r="M1991" s="74"/>
      <c r="N1991" s="74" t="s">
        <v>392</v>
      </c>
      <c r="O1991" s="74" t="s">
        <v>402</v>
      </c>
      <c r="P1991" s="74" t="s">
        <v>14946</v>
      </c>
      <c r="Q1991" s="74" t="s">
        <v>14947</v>
      </c>
    </row>
    <row r="1992" spans="3:17" x14ac:dyDescent="0.25">
      <c r="C1992" s="74" t="s">
        <v>16015</v>
      </c>
      <c r="D1992" s="74" t="s">
        <v>16016</v>
      </c>
      <c r="E1992" s="74"/>
      <c r="F1992" s="74">
        <v>0.17</v>
      </c>
      <c r="G1992" s="74"/>
      <c r="H1992" s="74"/>
      <c r="I1992" s="74" t="s">
        <v>391</v>
      </c>
      <c r="J1992" s="74"/>
      <c r="K1992" s="74">
        <v>102.4</v>
      </c>
      <c r="L1992" s="74">
        <v>92.16</v>
      </c>
      <c r="M1992" s="74"/>
      <c r="N1992" s="74" t="s">
        <v>392</v>
      </c>
      <c r="O1992" s="74" t="s">
        <v>402</v>
      </c>
      <c r="P1992" s="74" t="s">
        <v>16017</v>
      </c>
      <c r="Q1992" s="74" t="s">
        <v>16018</v>
      </c>
    </row>
    <row r="1993" spans="3:17" x14ac:dyDescent="0.25">
      <c r="C1993" s="74" t="s">
        <v>16460</v>
      </c>
      <c r="D1993" s="74" t="s">
        <v>16461</v>
      </c>
      <c r="E1993" s="74"/>
      <c r="F1993" s="74">
        <v>0.17</v>
      </c>
      <c r="G1993" s="74"/>
      <c r="H1993" s="74"/>
      <c r="I1993" s="74" t="s">
        <v>391</v>
      </c>
      <c r="J1993" s="74"/>
      <c r="K1993" s="74">
        <v>102.4</v>
      </c>
      <c r="L1993" s="74">
        <v>92.16</v>
      </c>
      <c r="M1993" s="74"/>
      <c r="N1993" s="74" t="s">
        <v>392</v>
      </c>
      <c r="O1993" s="74" t="s">
        <v>402</v>
      </c>
      <c r="P1993" s="74" t="s">
        <v>16462</v>
      </c>
      <c r="Q1993" s="74" t="s">
        <v>16463</v>
      </c>
    </row>
    <row r="1994" spans="3:17" x14ac:dyDescent="0.25">
      <c r="C1994" s="74" t="s">
        <v>17109</v>
      </c>
      <c r="D1994" s="74" t="s">
        <v>17110</v>
      </c>
      <c r="E1994" s="74" t="s">
        <v>391</v>
      </c>
      <c r="F1994" s="74">
        <v>0.17</v>
      </c>
      <c r="G1994" s="74"/>
      <c r="H1994" s="74"/>
      <c r="I1994" s="74" t="s">
        <v>391</v>
      </c>
      <c r="J1994" s="74"/>
      <c r="K1994" s="74">
        <v>102.4</v>
      </c>
      <c r="L1994" s="74">
        <v>92.16</v>
      </c>
      <c r="M1994" s="74"/>
      <c r="N1994" s="74" t="s">
        <v>392</v>
      </c>
      <c r="O1994" s="74" t="s">
        <v>393</v>
      </c>
      <c r="P1994" s="74"/>
      <c r="Q1994" s="74" t="s">
        <v>17111</v>
      </c>
    </row>
    <row r="1995" spans="3:17" x14ac:dyDescent="0.25">
      <c r="C1995" s="74" t="s">
        <v>18090</v>
      </c>
      <c r="D1995" s="74" t="s">
        <v>18091</v>
      </c>
      <c r="E1995" s="74"/>
      <c r="F1995" s="74">
        <v>0.17</v>
      </c>
      <c r="G1995" s="74"/>
      <c r="H1995" s="74"/>
      <c r="I1995" s="74" t="s">
        <v>391</v>
      </c>
      <c r="J1995" s="74"/>
      <c r="K1995" s="74">
        <v>102.4</v>
      </c>
      <c r="L1995" s="74">
        <v>92.16</v>
      </c>
      <c r="M1995" s="74"/>
      <c r="N1995" s="74" t="s">
        <v>392</v>
      </c>
      <c r="O1995" s="74" t="s">
        <v>402</v>
      </c>
      <c r="P1995" s="74" t="s">
        <v>18092</v>
      </c>
      <c r="Q1995" s="74" t="s">
        <v>18093</v>
      </c>
    </row>
    <row r="1996" spans="3:17" x14ac:dyDescent="0.25">
      <c r="C1996" s="74" t="s">
        <v>19376</v>
      </c>
      <c r="D1996" s="74" t="s">
        <v>19377</v>
      </c>
      <c r="E1996" s="74" t="s">
        <v>391</v>
      </c>
      <c r="F1996" s="74">
        <v>0.17</v>
      </c>
      <c r="G1996" s="74"/>
      <c r="H1996" s="74"/>
      <c r="I1996" s="74" t="s">
        <v>391</v>
      </c>
      <c r="J1996" s="74"/>
      <c r="K1996" s="74">
        <v>102.4</v>
      </c>
      <c r="L1996" s="74">
        <v>92.16</v>
      </c>
      <c r="M1996" s="74"/>
      <c r="N1996" s="74" t="s">
        <v>392</v>
      </c>
      <c r="O1996" s="74" t="s">
        <v>393</v>
      </c>
      <c r="P1996" s="74"/>
      <c r="Q1996" s="74" t="s">
        <v>19378</v>
      </c>
    </row>
    <row r="1997" spans="3:17" x14ac:dyDescent="0.25">
      <c r="C1997" s="74" t="s">
        <v>19544</v>
      </c>
      <c r="D1997" s="74" t="s">
        <v>19545</v>
      </c>
      <c r="E1997" s="74"/>
      <c r="F1997" s="74">
        <v>0.17</v>
      </c>
      <c r="G1997" s="74"/>
      <c r="H1997" s="74"/>
      <c r="I1997" s="74" t="s">
        <v>391</v>
      </c>
      <c r="J1997" s="74"/>
      <c r="K1997" s="74">
        <v>102.4</v>
      </c>
      <c r="L1997" s="74">
        <v>92.16</v>
      </c>
      <c r="M1997" s="74"/>
      <c r="N1997" s="74" t="s">
        <v>392</v>
      </c>
      <c r="O1997" s="74" t="s">
        <v>402</v>
      </c>
      <c r="P1997" s="74" t="s">
        <v>19546</v>
      </c>
      <c r="Q1997" s="74" t="s">
        <v>19547</v>
      </c>
    </row>
    <row r="1998" spans="3:17" x14ac:dyDescent="0.25">
      <c r="C1998" s="74" t="s">
        <v>2219</v>
      </c>
      <c r="D1998" s="74" t="s">
        <v>2220</v>
      </c>
      <c r="E1998" s="74"/>
      <c r="F1998" s="74">
        <v>0.16</v>
      </c>
      <c r="G1998" s="74"/>
      <c r="H1998" s="74"/>
      <c r="I1998" s="74" t="s">
        <v>391</v>
      </c>
      <c r="J1998" s="74"/>
      <c r="K1998" s="74">
        <v>102.4</v>
      </c>
      <c r="L1998" s="74">
        <v>92.16</v>
      </c>
      <c r="M1998" s="74"/>
      <c r="N1998" s="74" t="s">
        <v>392</v>
      </c>
      <c r="O1998" s="74" t="s">
        <v>402</v>
      </c>
      <c r="P1998" s="74" t="s">
        <v>2221</v>
      </c>
      <c r="Q1998" s="74" t="s">
        <v>2222</v>
      </c>
    </row>
    <row r="1999" spans="3:17" x14ac:dyDescent="0.25">
      <c r="C1999" s="74" t="s">
        <v>3506</v>
      </c>
      <c r="D1999" s="74" t="s">
        <v>3507</v>
      </c>
      <c r="E1999" s="74"/>
      <c r="F1999" s="74">
        <v>0.16</v>
      </c>
      <c r="G1999" s="74"/>
      <c r="H1999" s="74"/>
      <c r="I1999" s="74" t="s">
        <v>391</v>
      </c>
      <c r="J1999" s="74"/>
      <c r="K1999" s="74">
        <v>102.4</v>
      </c>
      <c r="L1999" s="74">
        <v>92.16</v>
      </c>
      <c r="M1999" s="74"/>
      <c r="N1999" s="74" t="s">
        <v>392</v>
      </c>
      <c r="O1999" s="74" t="s">
        <v>402</v>
      </c>
      <c r="P1999" s="74" t="s">
        <v>3508</v>
      </c>
      <c r="Q1999" s="74" t="s">
        <v>3509</v>
      </c>
    </row>
    <row r="2000" spans="3:17" x14ac:dyDescent="0.25">
      <c r="C2000" s="74" t="s">
        <v>3654</v>
      </c>
      <c r="D2000" s="74" t="s">
        <v>3655</v>
      </c>
      <c r="E2000" s="74"/>
      <c r="F2000" s="74">
        <v>0.16</v>
      </c>
      <c r="G2000" s="74"/>
      <c r="H2000" s="74"/>
      <c r="I2000" s="74" t="s">
        <v>391</v>
      </c>
      <c r="J2000" s="74"/>
      <c r="K2000" s="74">
        <v>102.4</v>
      </c>
      <c r="L2000" s="74">
        <v>92.16</v>
      </c>
      <c r="M2000" s="74"/>
      <c r="N2000" s="74" t="s">
        <v>392</v>
      </c>
      <c r="O2000" s="74" t="s">
        <v>402</v>
      </c>
      <c r="P2000" s="74" t="s">
        <v>3656</v>
      </c>
      <c r="Q2000" s="74" t="s">
        <v>3657</v>
      </c>
    </row>
    <row r="2001" spans="3:17" x14ac:dyDescent="0.25">
      <c r="C2001" s="74" t="s">
        <v>3967</v>
      </c>
      <c r="D2001" s="74" t="s">
        <v>3968</v>
      </c>
      <c r="E2001" s="74"/>
      <c r="F2001" s="74">
        <v>0.16</v>
      </c>
      <c r="G2001" s="74"/>
      <c r="H2001" s="74"/>
      <c r="I2001" s="74" t="s">
        <v>391</v>
      </c>
      <c r="J2001" s="74"/>
      <c r="K2001" s="74">
        <v>102.4</v>
      </c>
      <c r="L2001" s="74">
        <v>92.16</v>
      </c>
      <c r="M2001" s="74"/>
      <c r="N2001" s="74" t="s">
        <v>392</v>
      </c>
      <c r="O2001" s="74" t="s">
        <v>402</v>
      </c>
      <c r="P2001" s="74" t="s">
        <v>3969</v>
      </c>
      <c r="Q2001" s="74" t="s">
        <v>3970</v>
      </c>
    </row>
    <row r="2002" spans="3:17" x14ac:dyDescent="0.25">
      <c r="C2002" s="74" t="s">
        <v>4314</v>
      </c>
      <c r="D2002" s="74" t="s">
        <v>4315</v>
      </c>
      <c r="E2002" s="74"/>
      <c r="F2002" s="74">
        <v>0.16</v>
      </c>
      <c r="G2002" s="74"/>
      <c r="H2002" s="74"/>
      <c r="I2002" s="74" t="s">
        <v>391</v>
      </c>
      <c r="J2002" s="74"/>
      <c r="K2002" s="74">
        <v>102.4</v>
      </c>
      <c r="L2002" s="74">
        <v>92.16</v>
      </c>
      <c r="M2002" s="74"/>
      <c r="N2002" s="74" t="s">
        <v>392</v>
      </c>
      <c r="O2002" s="74" t="s">
        <v>402</v>
      </c>
      <c r="P2002" s="74" t="s">
        <v>4316</v>
      </c>
      <c r="Q2002" s="74" t="s">
        <v>4317</v>
      </c>
    </row>
    <row r="2003" spans="3:17" x14ac:dyDescent="0.25">
      <c r="C2003" s="74" t="s">
        <v>4371</v>
      </c>
      <c r="D2003" s="74" t="s">
        <v>4372</v>
      </c>
      <c r="E2003" s="74"/>
      <c r="F2003" s="74">
        <v>0.16</v>
      </c>
      <c r="G2003" s="74"/>
      <c r="H2003" s="74"/>
      <c r="I2003" s="74" t="s">
        <v>391</v>
      </c>
      <c r="J2003" s="74"/>
      <c r="K2003" s="74">
        <v>102.4</v>
      </c>
      <c r="L2003" s="74">
        <v>92.16</v>
      </c>
      <c r="M2003" s="74"/>
      <c r="N2003" s="74" t="s">
        <v>392</v>
      </c>
      <c r="O2003" s="74" t="s">
        <v>402</v>
      </c>
      <c r="P2003" s="74" t="s">
        <v>4373</v>
      </c>
      <c r="Q2003" s="74" t="s">
        <v>4374</v>
      </c>
    </row>
    <row r="2004" spans="3:17" x14ac:dyDescent="0.25">
      <c r="C2004" s="74" t="s">
        <v>4901</v>
      </c>
      <c r="D2004" s="74" t="s">
        <v>4902</v>
      </c>
      <c r="E2004" s="74"/>
      <c r="F2004" s="74">
        <v>0.16</v>
      </c>
      <c r="G2004" s="74"/>
      <c r="H2004" s="74"/>
      <c r="I2004" s="74" t="s">
        <v>391</v>
      </c>
      <c r="J2004" s="74"/>
      <c r="K2004" s="74">
        <v>102.4</v>
      </c>
      <c r="L2004" s="74">
        <v>92.16</v>
      </c>
      <c r="M2004" s="74"/>
      <c r="N2004" s="74" t="s">
        <v>392</v>
      </c>
      <c r="O2004" s="74" t="s">
        <v>402</v>
      </c>
      <c r="P2004" s="74" t="s">
        <v>4903</v>
      </c>
      <c r="Q2004" s="74" t="s">
        <v>4904</v>
      </c>
    </row>
    <row r="2005" spans="3:17" x14ac:dyDescent="0.25">
      <c r="C2005" s="74" t="s">
        <v>6239</v>
      </c>
      <c r="D2005" s="74" t="s">
        <v>6240</v>
      </c>
      <c r="E2005" s="74"/>
      <c r="F2005" s="74">
        <v>0.16</v>
      </c>
      <c r="G2005" s="74"/>
      <c r="H2005" s="74"/>
      <c r="I2005" s="74" t="s">
        <v>391</v>
      </c>
      <c r="J2005" s="74"/>
      <c r="K2005" s="74">
        <v>102.4</v>
      </c>
      <c r="L2005" s="74">
        <v>92.16</v>
      </c>
      <c r="M2005" s="74"/>
      <c r="N2005" s="74" t="s">
        <v>392</v>
      </c>
      <c r="O2005" s="74" t="s">
        <v>402</v>
      </c>
      <c r="P2005" s="74" t="s">
        <v>6241</v>
      </c>
      <c r="Q2005" s="74" t="s">
        <v>6242</v>
      </c>
    </row>
    <row r="2006" spans="3:17" x14ac:dyDescent="0.25">
      <c r="C2006" s="74" t="s">
        <v>7092</v>
      </c>
      <c r="D2006" s="74" t="s">
        <v>7093</v>
      </c>
      <c r="E2006" s="74"/>
      <c r="F2006" s="74">
        <v>0.16</v>
      </c>
      <c r="G2006" s="74"/>
      <c r="H2006" s="74"/>
      <c r="I2006" s="74" t="s">
        <v>391</v>
      </c>
      <c r="J2006" s="74"/>
      <c r="K2006" s="74">
        <v>102.4</v>
      </c>
      <c r="L2006" s="74">
        <v>92.16</v>
      </c>
      <c r="M2006" s="74"/>
      <c r="N2006" s="74" t="s">
        <v>392</v>
      </c>
      <c r="O2006" s="74" t="s">
        <v>402</v>
      </c>
      <c r="P2006" s="74" t="s">
        <v>7094</v>
      </c>
      <c r="Q2006" s="74" t="s">
        <v>7095</v>
      </c>
    </row>
    <row r="2007" spans="3:17" x14ac:dyDescent="0.25">
      <c r="C2007" s="74" t="s">
        <v>8227</v>
      </c>
      <c r="D2007" s="74" t="s">
        <v>8228</v>
      </c>
      <c r="E2007" s="74" t="s">
        <v>391</v>
      </c>
      <c r="F2007" s="74">
        <v>0.16</v>
      </c>
      <c r="G2007" s="74"/>
      <c r="H2007" s="74"/>
      <c r="I2007" s="74" t="s">
        <v>391</v>
      </c>
      <c r="J2007" s="74"/>
      <c r="K2007" s="74">
        <v>102.4</v>
      </c>
      <c r="L2007" s="74">
        <v>92.16</v>
      </c>
      <c r="M2007" s="74"/>
      <c r="N2007" s="74" t="s">
        <v>392</v>
      </c>
      <c r="O2007" s="74" t="s">
        <v>393</v>
      </c>
      <c r="P2007" s="74"/>
      <c r="Q2007" s="74" t="s">
        <v>8229</v>
      </c>
    </row>
    <row r="2008" spans="3:17" x14ac:dyDescent="0.25">
      <c r="C2008" s="74" t="s">
        <v>8499</v>
      </c>
      <c r="D2008" s="74" t="s">
        <v>8500</v>
      </c>
      <c r="E2008" s="74"/>
      <c r="F2008" s="74">
        <v>0.16</v>
      </c>
      <c r="G2008" s="74"/>
      <c r="H2008" s="74"/>
      <c r="I2008" s="74" t="s">
        <v>391</v>
      </c>
      <c r="J2008" s="74"/>
      <c r="K2008" s="74">
        <v>102.4</v>
      </c>
      <c r="L2008" s="74">
        <v>92.16</v>
      </c>
      <c r="M2008" s="74"/>
      <c r="N2008" s="74" t="s">
        <v>392</v>
      </c>
      <c r="O2008" s="74" t="s">
        <v>402</v>
      </c>
      <c r="P2008" s="74" t="s">
        <v>8501</v>
      </c>
      <c r="Q2008" s="74" t="s">
        <v>8502</v>
      </c>
    </row>
    <row r="2009" spans="3:17" x14ac:dyDescent="0.25">
      <c r="C2009" s="74" t="s">
        <v>8885</v>
      </c>
      <c r="D2009" s="74" t="s">
        <v>8886</v>
      </c>
      <c r="E2009" s="74"/>
      <c r="F2009" s="74">
        <v>0.16</v>
      </c>
      <c r="G2009" s="74"/>
      <c r="H2009" s="74"/>
      <c r="I2009" s="74" t="s">
        <v>391</v>
      </c>
      <c r="J2009" s="74"/>
      <c r="K2009" s="74">
        <v>102.4</v>
      </c>
      <c r="L2009" s="74">
        <v>92.16</v>
      </c>
      <c r="M2009" s="74"/>
      <c r="N2009" s="74" t="s">
        <v>392</v>
      </c>
      <c r="O2009" s="74" t="s">
        <v>402</v>
      </c>
      <c r="P2009" s="74" t="s">
        <v>8887</v>
      </c>
      <c r="Q2009" s="74" t="s">
        <v>8888</v>
      </c>
    </row>
    <row r="2010" spans="3:17" x14ac:dyDescent="0.25">
      <c r="C2010" s="74" t="s">
        <v>12863</v>
      </c>
      <c r="D2010" s="74" t="s">
        <v>12864</v>
      </c>
      <c r="E2010" s="74" t="s">
        <v>391</v>
      </c>
      <c r="F2010" s="74">
        <v>0.16</v>
      </c>
      <c r="G2010" s="74"/>
      <c r="H2010" s="74"/>
      <c r="I2010" s="74" t="s">
        <v>391</v>
      </c>
      <c r="J2010" s="74"/>
      <c r="K2010" s="74">
        <v>102.4</v>
      </c>
      <c r="L2010" s="74">
        <v>92.16</v>
      </c>
      <c r="M2010" s="74"/>
      <c r="N2010" s="74" t="s">
        <v>392</v>
      </c>
      <c r="O2010" s="74" t="s">
        <v>393</v>
      </c>
      <c r="P2010" s="74"/>
      <c r="Q2010" s="74" t="s">
        <v>12865</v>
      </c>
    </row>
    <row r="2011" spans="3:17" x14ac:dyDescent="0.25">
      <c r="C2011" s="74" t="s">
        <v>13265</v>
      </c>
      <c r="D2011" s="74" t="s">
        <v>13266</v>
      </c>
      <c r="E2011" s="74" t="s">
        <v>391</v>
      </c>
      <c r="F2011" s="74">
        <v>0.16</v>
      </c>
      <c r="G2011" s="74"/>
      <c r="H2011" s="74"/>
      <c r="I2011" s="74" t="s">
        <v>391</v>
      </c>
      <c r="J2011" s="74"/>
      <c r="K2011" s="74">
        <v>102.4</v>
      </c>
      <c r="L2011" s="74">
        <v>92.16</v>
      </c>
      <c r="M2011" s="74"/>
      <c r="N2011" s="74" t="s">
        <v>392</v>
      </c>
      <c r="O2011" s="74" t="s">
        <v>393</v>
      </c>
      <c r="P2011" s="74"/>
      <c r="Q2011" s="74" t="s">
        <v>13267</v>
      </c>
    </row>
    <row r="2012" spans="3:17" x14ac:dyDescent="0.25">
      <c r="C2012" s="74" t="s">
        <v>13601</v>
      </c>
      <c r="D2012" s="74" t="s">
        <v>13602</v>
      </c>
      <c r="E2012" s="74"/>
      <c r="F2012" s="74">
        <v>0.16</v>
      </c>
      <c r="G2012" s="74"/>
      <c r="H2012" s="74"/>
      <c r="I2012" s="74" t="s">
        <v>391</v>
      </c>
      <c r="J2012" s="74"/>
      <c r="K2012" s="74">
        <v>102.4</v>
      </c>
      <c r="L2012" s="74">
        <v>92.16</v>
      </c>
      <c r="M2012" s="74"/>
      <c r="N2012" s="74" t="s">
        <v>392</v>
      </c>
      <c r="O2012" s="74" t="s">
        <v>402</v>
      </c>
      <c r="P2012" s="74" t="s">
        <v>13603</v>
      </c>
      <c r="Q2012" s="74" t="s">
        <v>13604</v>
      </c>
    </row>
    <row r="2013" spans="3:17" x14ac:dyDescent="0.25">
      <c r="C2013" s="74" t="s">
        <v>14122</v>
      </c>
      <c r="D2013" s="74" t="s">
        <v>14123</v>
      </c>
      <c r="E2013" s="74"/>
      <c r="F2013" s="74">
        <v>0.16</v>
      </c>
      <c r="G2013" s="74"/>
      <c r="H2013" s="74"/>
      <c r="I2013" s="74" t="s">
        <v>391</v>
      </c>
      <c r="J2013" s="74"/>
      <c r="K2013" s="74">
        <v>102.4</v>
      </c>
      <c r="L2013" s="74">
        <v>92.16</v>
      </c>
      <c r="M2013" s="74"/>
      <c r="N2013" s="74" t="s">
        <v>392</v>
      </c>
      <c r="O2013" s="74" t="s">
        <v>402</v>
      </c>
      <c r="P2013" s="74"/>
      <c r="Q2013" s="74" t="s">
        <v>14124</v>
      </c>
    </row>
    <row r="2014" spans="3:17" x14ac:dyDescent="0.25">
      <c r="C2014" s="74" t="s">
        <v>14253</v>
      </c>
      <c r="D2014" s="74" t="s">
        <v>14254</v>
      </c>
      <c r="E2014" s="74" t="s">
        <v>391</v>
      </c>
      <c r="F2014" s="74">
        <v>0.16</v>
      </c>
      <c r="G2014" s="74"/>
      <c r="H2014" s="74"/>
      <c r="I2014" s="74" t="s">
        <v>391</v>
      </c>
      <c r="J2014" s="74"/>
      <c r="K2014" s="74">
        <v>102.4</v>
      </c>
      <c r="L2014" s="74">
        <v>92.16</v>
      </c>
      <c r="M2014" s="74"/>
      <c r="N2014" s="74" t="s">
        <v>392</v>
      </c>
      <c r="O2014" s="74" t="s">
        <v>393</v>
      </c>
      <c r="P2014" s="74" t="s">
        <v>14255</v>
      </c>
      <c r="Q2014" s="74" t="s">
        <v>14256</v>
      </c>
    </row>
    <row r="2015" spans="3:17" x14ac:dyDescent="0.25">
      <c r="C2015" s="74" t="s">
        <v>14555</v>
      </c>
      <c r="D2015" s="74" t="s">
        <v>14556</v>
      </c>
      <c r="E2015" s="74" t="s">
        <v>391</v>
      </c>
      <c r="F2015" s="74">
        <v>0.16</v>
      </c>
      <c r="G2015" s="74"/>
      <c r="H2015" s="74"/>
      <c r="I2015" s="74" t="s">
        <v>391</v>
      </c>
      <c r="J2015" s="74"/>
      <c r="K2015" s="74">
        <v>102.4</v>
      </c>
      <c r="L2015" s="74">
        <v>92.16</v>
      </c>
      <c r="M2015" s="74"/>
      <c r="N2015" s="74" t="s">
        <v>392</v>
      </c>
      <c r="O2015" s="74" t="s">
        <v>393</v>
      </c>
      <c r="P2015" s="74"/>
      <c r="Q2015" s="74" t="s">
        <v>14557</v>
      </c>
    </row>
    <row r="2016" spans="3:17" x14ac:dyDescent="0.25">
      <c r="C2016" s="74" t="s">
        <v>16698</v>
      </c>
      <c r="D2016" s="74" t="s">
        <v>16699</v>
      </c>
      <c r="E2016" s="74"/>
      <c r="F2016" s="74">
        <v>0.16</v>
      </c>
      <c r="G2016" s="74"/>
      <c r="H2016" s="74"/>
      <c r="I2016" s="74" t="s">
        <v>391</v>
      </c>
      <c r="J2016" s="74"/>
      <c r="K2016" s="74">
        <v>102.4</v>
      </c>
      <c r="L2016" s="74">
        <v>92.16</v>
      </c>
      <c r="M2016" s="74"/>
      <c r="N2016" s="74" t="s">
        <v>392</v>
      </c>
      <c r="O2016" s="74" t="s">
        <v>402</v>
      </c>
      <c r="P2016" s="74" t="s">
        <v>16700</v>
      </c>
      <c r="Q2016" s="74" t="s">
        <v>16701</v>
      </c>
    </row>
    <row r="2017" spans="3:17" x14ac:dyDescent="0.25">
      <c r="C2017" s="74" t="s">
        <v>17009</v>
      </c>
      <c r="D2017" s="74" t="s">
        <v>17010</v>
      </c>
      <c r="E2017" s="74"/>
      <c r="F2017" s="74">
        <v>0.16</v>
      </c>
      <c r="G2017" s="74"/>
      <c r="H2017" s="74"/>
      <c r="I2017" s="74" t="s">
        <v>391</v>
      </c>
      <c r="J2017" s="74"/>
      <c r="K2017" s="74">
        <v>102.4</v>
      </c>
      <c r="L2017" s="74">
        <v>92.16</v>
      </c>
      <c r="M2017" s="74"/>
      <c r="N2017" s="74" t="s">
        <v>392</v>
      </c>
      <c r="O2017" s="74" t="s">
        <v>402</v>
      </c>
      <c r="P2017" s="74" t="s">
        <v>17011</v>
      </c>
      <c r="Q2017" s="74" t="s">
        <v>17012</v>
      </c>
    </row>
    <row r="2018" spans="3:17" x14ac:dyDescent="0.25">
      <c r="C2018" s="74" t="s">
        <v>17486</v>
      </c>
      <c r="D2018" s="74" t="s">
        <v>17487</v>
      </c>
      <c r="E2018" s="74"/>
      <c r="F2018" s="74">
        <v>0.16</v>
      </c>
      <c r="G2018" s="74"/>
      <c r="H2018" s="74"/>
      <c r="I2018" s="74" t="s">
        <v>391</v>
      </c>
      <c r="J2018" s="74"/>
      <c r="K2018" s="74">
        <v>102.4</v>
      </c>
      <c r="L2018" s="74">
        <v>92.16</v>
      </c>
      <c r="M2018" s="74"/>
      <c r="N2018" s="74" t="s">
        <v>392</v>
      </c>
      <c r="O2018" s="74" t="s">
        <v>402</v>
      </c>
      <c r="P2018" s="74" t="s">
        <v>17488</v>
      </c>
      <c r="Q2018" s="74" t="s">
        <v>17489</v>
      </c>
    </row>
    <row r="2019" spans="3:17" x14ac:dyDescent="0.25">
      <c r="C2019" s="74" t="s">
        <v>17714</v>
      </c>
      <c r="D2019" s="74" t="s">
        <v>17715</v>
      </c>
      <c r="E2019" s="74"/>
      <c r="F2019" s="74">
        <v>0.16</v>
      </c>
      <c r="G2019" s="74"/>
      <c r="H2019" s="74"/>
      <c r="I2019" s="74" t="s">
        <v>391</v>
      </c>
      <c r="J2019" s="74"/>
      <c r="K2019" s="74">
        <v>102.4</v>
      </c>
      <c r="L2019" s="74">
        <v>92.16</v>
      </c>
      <c r="M2019" s="74"/>
      <c r="N2019" s="74" t="s">
        <v>392</v>
      </c>
      <c r="O2019" s="74" t="s">
        <v>402</v>
      </c>
      <c r="P2019" s="74" t="s">
        <v>17716</v>
      </c>
      <c r="Q2019" s="74" t="s">
        <v>17717</v>
      </c>
    </row>
    <row r="2020" spans="3:17" x14ac:dyDescent="0.25">
      <c r="C2020" s="74" t="s">
        <v>17899</v>
      </c>
      <c r="D2020" s="74" t="s">
        <v>17735</v>
      </c>
      <c r="E2020" s="74" t="s">
        <v>391</v>
      </c>
      <c r="F2020" s="74">
        <v>0.16</v>
      </c>
      <c r="G2020" s="74"/>
      <c r="H2020" s="74"/>
      <c r="I2020" s="74" t="s">
        <v>391</v>
      </c>
      <c r="J2020" s="74"/>
      <c r="K2020" s="74">
        <v>102.4</v>
      </c>
      <c r="L2020" s="74">
        <v>92.16</v>
      </c>
      <c r="M2020" s="74"/>
      <c r="N2020" s="74" t="s">
        <v>392</v>
      </c>
      <c r="O2020" s="74" t="s">
        <v>393</v>
      </c>
      <c r="P2020" s="74"/>
      <c r="Q2020" s="74" t="s">
        <v>17900</v>
      </c>
    </row>
    <row r="2021" spans="3:17" x14ac:dyDescent="0.25">
      <c r="C2021" s="74" t="s">
        <v>18330</v>
      </c>
      <c r="D2021" s="74" t="s">
        <v>18331</v>
      </c>
      <c r="E2021" s="74"/>
      <c r="F2021" s="74">
        <v>0.16</v>
      </c>
      <c r="G2021" s="74"/>
      <c r="H2021" s="74"/>
      <c r="I2021" s="74" t="s">
        <v>391</v>
      </c>
      <c r="J2021" s="74"/>
      <c r="K2021" s="74">
        <v>102.4</v>
      </c>
      <c r="L2021" s="74">
        <v>92.16</v>
      </c>
      <c r="M2021" s="74"/>
      <c r="N2021" s="74" t="s">
        <v>392</v>
      </c>
      <c r="O2021" s="74" t="s">
        <v>402</v>
      </c>
      <c r="P2021" s="74" t="s">
        <v>18332</v>
      </c>
      <c r="Q2021" s="74" t="s">
        <v>18333</v>
      </c>
    </row>
    <row r="2022" spans="3:17" x14ac:dyDescent="0.25">
      <c r="C2022" s="74" t="s">
        <v>18549</v>
      </c>
      <c r="D2022" s="74" t="s">
        <v>18550</v>
      </c>
      <c r="E2022" s="74"/>
      <c r="F2022" s="74">
        <v>0.16</v>
      </c>
      <c r="G2022" s="74"/>
      <c r="H2022" s="74"/>
      <c r="I2022" s="74" t="s">
        <v>391</v>
      </c>
      <c r="J2022" s="74"/>
      <c r="K2022" s="74">
        <v>102.4</v>
      </c>
      <c r="L2022" s="74">
        <v>92.16</v>
      </c>
      <c r="M2022" s="74"/>
      <c r="N2022" s="74" t="s">
        <v>392</v>
      </c>
      <c r="O2022" s="74" t="s">
        <v>402</v>
      </c>
      <c r="P2022" s="74" t="s">
        <v>18551</v>
      </c>
      <c r="Q2022" s="74" t="s">
        <v>18552</v>
      </c>
    </row>
    <row r="2023" spans="3:17" x14ac:dyDescent="0.25">
      <c r="C2023" s="74" t="s">
        <v>1337</v>
      </c>
      <c r="D2023" s="74" t="s">
        <v>1338</v>
      </c>
      <c r="E2023" s="74"/>
      <c r="F2023" s="74">
        <v>0.15</v>
      </c>
      <c r="G2023" s="74"/>
      <c r="H2023" s="74"/>
      <c r="I2023" s="74" t="s">
        <v>391</v>
      </c>
      <c r="J2023" s="74"/>
      <c r="K2023" s="74">
        <v>102.4</v>
      </c>
      <c r="L2023" s="74">
        <v>92.16</v>
      </c>
      <c r="M2023" s="74"/>
      <c r="N2023" s="74" t="s">
        <v>392</v>
      </c>
      <c r="O2023" s="74" t="s">
        <v>402</v>
      </c>
      <c r="P2023" s="74" t="s">
        <v>1339</v>
      </c>
      <c r="Q2023" s="74" t="s">
        <v>1340</v>
      </c>
    </row>
    <row r="2024" spans="3:17" x14ac:dyDescent="0.25">
      <c r="C2024" s="74" t="s">
        <v>2064</v>
      </c>
      <c r="D2024" s="74" t="s">
        <v>2065</v>
      </c>
      <c r="E2024" s="74"/>
      <c r="F2024" s="74">
        <v>0.15</v>
      </c>
      <c r="G2024" s="74"/>
      <c r="H2024" s="74"/>
      <c r="I2024" s="74" t="s">
        <v>391</v>
      </c>
      <c r="J2024" s="74"/>
      <c r="K2024" s="74">
        <v>102.4</v>
      </c>
      <c r="L2024" s="74">
        <v>92.16</v>
      </c>
      <c r="M2024" s="74"/>
      <c r="N2024" s="74" t="s">
        <v>392</v>
      </c>
      <c r="O2024" s="74" t="s">
        <v>402</v>
      </c>
      <c r="P2024" s="74" t="s">
        <v>2066</v>
      </c>
      <c r="Q2024" s="74" t="s">
        <v>2067</v>
      </c>
    </row>
    <row r="2025" spans="3:17" x14ac:dyDescent="0.25">
      <c r="C2025" s="74" t="s">
        <v>2240</v>
      </c>
      <c r="D2025" s="74" t="s">
        <v>2241</v>
      </c>
      <c r="E2025" s="74" t="s">
        <v>391</v>
      </c>
      <c r="F2025" s="74">
        <v>0.15</v>
      </c>
      <c r="G2025" s="74"/>
      <c r="H2025" s="74"/>
      <c r="I2025" s="74" t="s">
        <v>391</v>
      </c>
      <c r="J2025" s="74"/>
      <c r="K2025" s="74">
        <v>102.4</v>
      </c>
      <c r="L2025" s="74">
        <v>92.16</v>
      </c>
      <c r="M2025" s="74"/>
      <c r="N2025" s="74" t="s">
        <v>392</v>
      </c>
      <c r="O2025" s="74" t="s">
        <v>393</v>
      </c>
      <c r="P2025" s="74"/>
      <c r="Q2025" s="74" t="s">
        <v>2242</v>
      </c>
    </row>
    <row r="2026" spans="3:17" x14ac:dyDescent="0.25">
      <c r="C2026" s="74" t="s">
        <v>4759</v>
      </c>
      <c r="D2026" s="74" t="s">
        <v>4760</v>
      </c>
      <c r="E2026" s="74"/>
      <c r="F2026" s="74">
        <v>0.15</v>
      </c>
      <c r="G2026" s="74"/>
      <c r="H2026" s="74"/>
      <c r="I2026" s="74" t="s">
        <v>391</v>
      </c>
      <c r="J2026" s="74"/>
      <c r="K2026" s="74">
        <v>102.4</v>
      </c>
      <c r="L2026" s="74">
        <v>92.16</v>
      </c>
      <c r="M2026" s="74"/>
      <c r="N2026" s="74" t="s">
        <v>392</v>
      </c>
      <c r="O2026" s="74" t="s">
        <v>402</v>
      </c>
      <c r="P2026" s="74" t="s">
        <v>4761</v>
      </c>
      <c r="Q2026" s="74" t="s">
        <v>4762</v>
      </c>
    </row>
    <row r="2027" spans="3:17" x14ac:dyDescent="0.25">
      <c r="C2027" s="74" t="s">
        <v>5391</v>
      </c>
      <c r="D2027" s="74" t="s">
        <v>5392</v>
      </c>
      <c r="E2027" s="74"/>
      <c r="F2027" s="74">
        <v>0.15</v>
      </c>
      <c r="G2027" s="74"/>
      <c r="H2027" s="74"/>
      <c r="I2027" s="74" t="s">
        <v>391</v>
      </c>
      <c r="J2027" s="74"/>
      <c r="K2027" s="74">
        <v>102.4</v>
      </c>
      <c r="L2027" s="74">
        <v>92.16</v>
      </c>
      <c r="M2027" s="74"/>
      <c r="N2027" s="74" t="s">
        <v>392</v>
      </c>
      <c r="O2027" s="74" t="s">
        <v>402</v>
      </c>
      <c r="P2027" s="74" t="s">
        <v>5393</v>
      </c>
      <c r="Q2027" s="74" t="s">
        <v>5394</v>
      </c>
    </row>
    <row r="2028" spans="3:17" x14ac:dyDescent="0.25">
      <c r="C2028" s="74" t="s">
        <v>6603</v>
      </c>
      <c r="D2028" s="74" t="s">
        <v>6604</v>
      </c>
      <c r="E2028" s="74" t="s">
        <v>391</v>
      </c>
      <c r="F2028" s="74">
        <v>0.15</v>
      </c>
      <c r="G2028" s="74"/>
      <c r="H2028" s="74"/>
      <c r="I2028" s="74" t="s">
        <v>391</v>
      </c>
      <c r="J2028" s="74"/>
      <c r="K2028" s="74">
        <v>102.4</v>
      </c>
      <c r="L2028" s="74">
        <v>92.16</v>
      </c>
      <c r="M2028" s="74"/>
      <c r="N2028" s="74" t="s">
        <v>392</v>
      </c>
      <c r="O2028" s="74" t="s">
        <v>393</v>
      </c>
      <c r="P2028" s="74"/>
      <c r="Q2028" s="74" t="s">
        <v>6605</v>
      </c>
    </row>
    <row r="2029" spans="3:17" x14ac:dyDescent="0.25">
      <c r="C2029" s="74" t="s">
        <v>7776</v>
      </c>
      <c r="D2029" s="74" t="s">
        <v>7777</v>
      </c>
      <c r="E2029" s="74"/>
      <c r="F2029" s="74">
        <v>0.15</v>
      </c>
      <c r="G2029" s="74"/>
      <c r="H2029" s="74"/>
      <c r="I2029" s="74" t="s">
        <v>391</v>
      </c>
      <c r="J2029" s="74"/>
      <c r="K2029" s="74">
        <v>102.4</v>
      </c>
      <c r="L2029" s="74">
        <v>92.16</v>
      </c>
      <c r="M2029" s="74"/>
      <c r="N2029" s="74" t="s">
        <v>392</v>
      </c>
      <c r="O2029" s="74" t="s">
        <v>402</v>
      </c>
      <c r="P2029" s="74" t="s">
        <v>7778</v>
      </c>
      <c r="Q2029" s="74" t="s">
        <v>7779</v>
      </c>
    </row>
    <row r="2030" spans="3:17" x14ac:dyDescent="0.25">
      <c r="C2030" s="74" t="s">
        <v>9008</v>
      </c>
      <c r="D2030" s="74" t="s">
        <v>9009</v>
      </c>
      <c r="E2030" s="74"/>
      <c r="F2030" s="74">
        <v>0.15</v>
      </c>
      <c r="G2030" s="74"/>
      <c r="H2030" s="74"/>
      <c r="I2030" s="74" t="s">
        <v>391</v>
      </c>
      <c r="J2030" s="74"/>
      <c r="K2030" s="74">
        <v>102.4</v>
      </c>
      <c r="L2030" s="74">
        <v>92.16</v>
      </c>
      <c r="M2030" s="74"/>
      <c r="N2030" s="74" t="s">
        <v>392</v>
      </c>
      <c r="O2030" s="74" t="s">
        <v>402</v>
      </c>
      <c r="P2030" s="74" t="s">
        <v>9010</v>
      </c>
      <c r="Q2030" s="74" t="s">
        <v>9011</v>
      </c>
    </row>
    <row r="2031" spans="3:17" x14ac:dyDescent="0.25">
      <c r="C2031" s="74" t="s">
        <v>10312</v>
      </c>
      <c r="D2031" s="74" t="s">
        <v>10313</v>
      </c>
      <c r="E2031" s="74"/>
      <c r="F2031" s="74">
        <v>0.15</v>
      </c>
      <c r="G2031" s="74"/>
      <c r="H2031" s="74"/>
      <c r="I2031" s="74" t="s">
        <v>391</v>
      </c>
      <c r="J2031" s="74"/>
      <c r="K2031" s="74">
        <v>102.4</v>
      </c>
      <c r="L2031" s="74">
        <v>92.16</v>
      </c>
      <c r="M2031" s="74"/>
      <c r="N2031" s="74" t="s">
        <v>392</v>
      </c>
      <c r="O2031" s="74" t="s">
        <v>402</v>
      </c>
      <c r="P2031" s="74" t="s">
        <v>10314</v>
      </c>
      <c r="Q2031" s="74" t="s">
        <v>10315</v>
      </c>
    </row>
    <row r="2032" spans="3:17" x14ac:dyDescent="0.25">
      <c r="C2032" s="74" t="s">
        <v>11621</v>
      </c>
      <c r="D2032" s="74" t="s">
        <v>11622</v>
      </c>
      <c r="E2032" s="74"/>
      <c r="F2032" s="74">
        <v>0.15</v>
      </c>
      <c r="G2032" s="74"/>
      <c r="H2032" s="74"/>
      <c r="I2032" s="74" t="s">
        <v>391</v>
      </c>
      <c r="J2032" s="74"/>
      <c r="K2032" s="74">
        <v>102.4</v>
      </c>
      <c r="L2032" s="74">
        <v>92.16</v>
      </c>
      <c r="M2032" s="74"/>
      <c r="N2032" s="74" t="s">
        <v>392</v>
      </c>
      <c r="O2032" s="74" t="s">
        <v>402</v>
      </c>
      <c r="P2032" s="74" t="s">
        <v>11623</v>
      </c>
      <c r="Q2032" s="74" t="s">
        <v>11624</v>
      </c>
    </row>
    <row r="2033" spans="3:17" x14ac:dyDescent="0.25">
      <c r="C2033" s="74" t="s">
        <v>11692</v>
      </c>
      <c r="D2033" s="74" t="s">
        <v>11693</v>
      </c>
      <c r="E2033" s="74" t="s">
        <v>391</v>
      </c>
      <c r="F2033" s="74">
        <v>0.15</v>
      </c>
      <c r="G2033" s="74"/>
      <c r="H2033" s="74"/>
      <c r="I2033" s="74" t="s">
        <v>391</v>
      </c>
      <c r="J2033" s="74"/>
      <c r="K2033" s="74">
        <v>102.4</v>
      </c>
      <c r="L2033" s="74">
        <v>92.16</v>
      </c>
      <c r="M2033" s="74"/>
      <c r="N2033" s="74" t="s">
        <v>392</v>
      </c>
      <c r="O2033" s="74" t="s">
        <v>393</v>
      </c>
      <c r="P2033" s="74"/>
      <c r="Q2033" s="74" t="s">
        <v>11694</v>
      </c>
    </row>
    <row r="2034" spans="3:17" x14ac:dyDescent="0.25">
      <c r="C2034" s="74" t="s">
        <v>11829</v>
      </c>
      <c r="D2034" s="74" t="s">
        <v>11830</v>
      </c>
      <c r="E2034" s="74" t="s">
        <v>391</v>
      </c>
      <c r="F2034" s="74">
        <v>0.15</v>
      </c>
      <c r="G2034" s="74"/>
      <c r="H2034" s="74"/>
      <c r="I2034" s="74" t="s">
        <v>391</v>
      </c>
      <c r="J2034" s="74"/>
      <c r="K2034" s="74">
        <v>102.4</v>
      </c>
      <c r="L2034" s="74">
        <v>92.16</v>
      </c>
      <c r="M2034" s="74"/>
      <c r="N2034" s="74" t="s">
        <v>392</v>
      </c>
      <c r="O2034" s="74" t="s">
        <v>393</v>
      </c>
      <c r="P2034" s="74"/>
      <c r="Q2034" s="74" t="s">
        <v>11831</v>
      </c>
    </row>
    <row r="2035" spans="3:17" x14ac:dyDescent="0.25">
      <c r="C2035" s="74" t="s">
        <v>12001</v>
      </c>
      <c r="D2035" s="74" t="s">
        <v>12002</v>
      </c>
      <c r="E2035" s="74" t="s">
        <v>391</v>
      </c>
      <c r="F2035" s="74">
        <v>0.15</v>
      </c>
      <c r="G2035" s="74"/>
      <c r="H2035" s="74"/>
      <c r="I2035" s="74" t="s">
        <v>391</v>
      </c>
      <c r="J2035" s="74"/>
      <c r="K2035" s="74">
        <v>102.4</v>
      </c>
      <c r="L2035" s="74">
        <v>92.16</v>
      </c>
      <c r="M2035" s="74"/>
      <c r="N2035" s="74" t="s">
        <v>392</v>
      </c>
      <c r="O2035" s="74" t="s">
        <v>393</v>
      </c>
      <c r="P2035" s="74"/>
      <c r="Q2035" s="74" t="s">
        <v>12003</v>
      </c>
    </row>
    <row r="2036" spans="3:17" x14ac:dyDescent="0.25">
      <c r="C2036" s="74" t="s">
        <v>12217</v>
      </c>
      <c r="D2036" s="74" t="s">
        <v>11740</v>
      </c>
      <c r="E2036" s="74"/>
      <c r="F2036" s="74">
        <v>0.15</v>
      </c>
      <c r="G2036" s="74"/>
      <c r="H2036" s="74"/>
      <c r="I2036" s="74" t="s">
        <v>391</v>
      </c>
      <c r="J2036" s="74"/>
      <c r="K2036" s="74">
        <v>102.4</v>
      </c>
      <c r="L2036" s="74">
        <v>92.16</v>
      </c>
      <c r="M2036" s="74"/>
      <c r="N2036" s="74" t="s">
        <v>392</v>
      </c>
      <c r="O2036" s="74" t="s">
        <v>402</v>
      </c>
      <c r="P2036" s="74" t="s">
        <v>12218</v>
      </c>
      <c r="Q2036" s="74" t="s">
        <v>12219</v>
      </c>
    </row>
    <row r="2037" spans="3:17" x14ac:dyDescent="0.25">
      <c r="C2037" s="74" t="s">
        <v>12345</v>
      </c>
      <c r="D2037" s="74" t="s">
        <v>12346</v>
      </c>
      <c r="E2037" s="74"/>
      <c r="F2037" s="74">
        <v>0.15</v>
      </c>
      <c r="G2037" s="74"/>
      <c r="H2037" s="74"/>
      <c r="I2037" s="74" t="s">
        <v>391</v>
      </c>
      <c r="J2037" s="74"/>
      <c r="K2037" s="74">
        <v>102.4</v>
      </c>
      <c r="L2037" s="74">
        <v>92.16</v>
      </c>
      <c r="M2037" s="74"/>
      <c r="N2037" s="74" t="s">
        <v>392</v>
      </c>
      <c r="O2037" s="74" t="s">
        <v>402</v>
      </c>
      <c r="P2037" s="74" t="s">
        <v>12347</v>
      </c>
      <c r="Q2037" s="74" t="s">
        <v>12348</v>
      </c>
    </row>
    <row r="2038" spans="3:17" x14ac:dyDescent="0.25">
      <c r="C2038" s="74" t="s">
        <v>15765</v>
      </c>
      <c r="D2038" s="74" t="s">
        <v>15766</v>
      </c>
      <c r="E2038" s="74" t="s">
        <v>391</v>
      </c>
      <c r="F2038" s="74">
        <v>0.15</v>
      </c>
      <c r="G2038" s="74"/>
      <c r="H2038" s="74"/>
      <c r="I2038" s="74" t="s">
        <v>391</v>
      </c>
      <c r="J2038" s="74"/>
      <c r="K2038" s="74">
        <v>102.4</v>
      </c>
      <c r="L2038" s="74">
        <v>92.16</v>
      </c>
      <c r="M2038" s="74"/>
      <c r="N2038" s="74" t="s">
        <v>392</v>
      </c>
      <c r="O2038" s="74" t="s">
        <v>393</v>
      </c>
      <c r="P2038" s="74"/>
      <c r="Q2038" s="74" t="s">
        <v>15767</v>
      </c>
    </row>
    <row r="2039" spans="3:17" x14ac:dyDescent="0.25">
      <c r="C2039" s="74" t="s">
        <v>16442</v>
      </c>
      <c r="D2039" s="74" t="s">
        <v>16443</v>
      </c>
      <c r="E2039" s="74"/>
      <c r="F2039" s="74">
        <v>0.15</v>
      </c>
      <c r="G2039" s="74"/>
      <c r="H2039" s="74"/>
      <c r="I2039" s="74" t="s">
        <v>391</v>
      </c>
      <c r="J2039" s="74"/>
      <c r="K2039" s="74">
        <v>102.4</v>
      </c>
      <c r="L2039" s="74">
        <v>92.16</v>
      </c>
      <c r="M2039" s="74"/>
      <c r="N2039" s="74" t="s">
        <v>392</v>
      </c>
      <c r="O2039" s="74" t="s">
        <v>402</v>
      </c>
      <c r="P2039" s="74" t="s">
        <v>16444</v>
      </c>
      <c r="Q2039" s="74" t="s">
        <v>16445</v>
      </c>
    </row>
    <row r="2040" spans="3:17" x14ac:dyDescent="0.25">
      <c r="C2040" s="74" t="s">
        <v>17475</v>
      </c>
      <c r="D2040" s="74" t="s">
        <v>17476</v>
      </c>
      <c r="E2040" s="74"/>
      <c r="F2040" s="74">
        <v>0.15</v>
      </c>
      <c r="G2040" s="74"/>
      <c r="H2040" s="74"/>
      <c r="I2040" s="74" t="s">
        <v>391</v>
      </c>
      <c r="J2040" s="74"/>
      <c r="K2040" s="74">
        <v>102.4</v>
      </c>
      <c r="L2040" s="74">
        <v>92.16</v>
      </c>
      <c r="M2040" s="74"/>
      <c r="N2040" s="74" t="s">
        <v>392</v>
      </c>
      <c r="O2040" s="74" t="s">
        <v>402</v>
      </c>
      <c r="P2040" s="74" t="s">
        <v>17477</v>
      </c>
      <c r="Q2040" s="74" t="s">
        <v>17478</v>
      </c>
    </row>
    <row r="2041" spans="3:17" x14ac:dyDescent="0.25">
      <c r="C2041" s="74" t="s">
        <v>515</v>
      </c>
      <c r="D2041" s="74" t="s">
        <v>516</v>
      </c>
      <c r="E2041" s="74"/>
      <c r="F2041" s="74">
        <v>0.14000000000000001</v>
      </c>
      <c r="G2041" s="74"/>
      <c r="H2041" s="74"/>
      <c r="I2041" s="74" t="s">
        <v>391</v>
      </c>
      <c r="J2041" s="74"/>
      <c r="K2041" s="74">
        <v>102.4</v>
      </c>
      <c r="L2041" s="74">
        <v>92.16</v>
      </c>
      <c r="M2041" s="74"/>
      <c r="N2041" s="74" t="s">
        <v>392</v>
      </c>
      <c r="O2041" s="74" t="s">
        <v>402</v>
      </c>
      <c r="P2041" s="74" t="s">
        <v>517</v>
      </c>
      <c r="Q2041" s="74" t="s">
        <v>518</v>
      </c>
    </row>
    <row r="2042" spans="3:17" x14ac:dyDescent="0.25">
      <c r="C2042" s="74" t="s">
        <v>837</v>
      </c>
      <c r="D2042" s="74" t="s">
        <v>838</v>
      </c>
      <c r="E2042" s="74"/>
      <c r="F2042" s="74">
        <v>0.14000000000000001</v>
      </c>
      <c r="G2042" s="74"/>
      <c r="H2042" s="74"/>
      <c r="I2042" s="74" t="s">
        <v>391</v>
      </c>
      <c r="J2042" s="74"/>
      <c r="K2042" s="74">
        <v>102.4</v>
      </c>
      <c r="L2042" s="74">
        <v>92.16</v>
      </c>
      <c r="M2042" s="74"/>
      <c r="N2042" s="74" t="s">
        <v>392</v>
      </c>
      <c r="O2042" s="74" t="s">
        <v>402</v>
      </c>
      <c r="P2042" s="74" t="s">
        <v>839</v>
      </c>
      <c r="Q2042" s="74" t="s">
        <v>840</v>
      </c>
    </row>
    <row r="2043" spans="3:17" x14ac:dyDescent="0.25">
      <c r="C2043" s="74" t="s">
        <v>1990</v>
      </c>
      <c r="D2043" s="74" t="s">
        <v>1991</v>
      </c>
      <c r="E2043" s="74" t="s">
        <v>391</v>
      </c>
      <c r="F2043" s="74">
        <v>0.14000000000000001</v>
      </c>
      <c r="G2043" s="74"/>
      <c r="H2043" s="74"/>
      <c r="I2043" s="74" t="s">
        <v>391</v>
      </c>
      <c r="J2043" s="74"/>
      <c r="K2043" s="74">
        <v>102.4</v>
      </c>
      <c r="L2043" s="74">
        <v>92.16</v>
      </c>
      <c r="M2043" s="74"/>
      <c r="N2043" s="74" t="s">
        <v>392</v>
      </c>
      <c r="O2043" s="74" t="s">
        <v>393</v>
      </c>
      <c r="P2043" s="74"/>
      <c r="Q2043" s="74" t="s">
        <v>1992</v>
      </c>
    </row>
    <row r="2044" spans="3:17" x14ac:dyDescent="0.25">
      <c r="C2044" s="74" t="s">
        <v>2129</v>
      </c>
      <c r="D2044" s="74" t="s">
        <v>2130</v>
      </c>
      <c r="E2044" s="74"/>
      <c r="F2044" s="74">
        <v>0.14000000000000001</v>
      </c>
      <c r="G2044" s="74"/>
      <c r="H2044" s="74"/>
      <c r="I2044" s="74" t="s">
        <v>391</v>
      </c>
      <c r="J2044" s="74"/>
      <c r="K2044" s="74">
        <v>102.4</v>
      </c>
      <c r="L2044" s="74">
        <v>92.16</v>
      </c>
      <c r="M2044" s="74"/>
      <c r="N2044" s="74" t="s">
        <v>392</v>
      </c>
      <c r="O2044" s="74" t="s">
        <v>402</v>
      </c>
      <c r="P2044" s="74" t="s">
        <v>2131</v>
      </c>
      <c r="Q2044" s="74" t="s">
        <v>2132</v>
      </c>
    </row>
    <row r="2045" spans="3:17" x14ac:dyDescent="0.25">
      <c r="C2045" s="74" t="s">
        <v>2418</v>
      </c>
      <c r="D2045" s="74" t="s">
        <v>2419</v>
      </c>
      <c r="E2045" s="74"/>
      <c r="F2045" s="74">
        <v>0.14000000000000001</v>
      </c>
      <c r="G2045" s="74"/>
      <c r="H2045" s="74"/>
      <c r="I2045" s="74" t="s">
        <v>391</v>
      </c>
      <c r="J2045" s="74"/>
      <c r="K2045" s="74">
        <v>102.4</v>
      </c>
      <c r="L2045" s="74">
        <v>92.16</v>
      </c>
      <c r="M2045" s="74"/>
      <c r="N2045" s="74" t="s">
        <v>392</v>
      </c>
      <c r="O2045" s="74" t="s">
        <v>402</v>
      </c>
      <c r="P2045" s="74" t="s">
        <v>2420</v>
      </c>
      <c r="Q2045" s="74" t="s">
        <v>2421</v>
      </c>
    </row>
    <row r="2046" spans="3:17" x14ac:dyDescent="0.25">
      <c r="C2046" s="74" t="s">
        <v>2527</v>
      </c>
      <c r="D2046" s="74" t="s">
        <v>2528</v>
      </c>
      <c r="E2046" s="74"/>
      <c r="F2046" s="74">
        <v>0.14000000000000001</v>
      </c>
      <c r="G2046" s="74"/>
      <c r="H2046" s="74"/>
      <c r="I2046" s="74" t="s">
        <v>391</v>
      </c>
      <c r="J2046" s="74"/>
      <c r="K2046" s="74">
        <v>102.4</v>
      </c>
      <c r="L2046" s="74">
        <v>92.16</v>
      </c>
      <c r="M2046" s="74"/>
      <c r="N2046" s="74" t="s">
        <v>392</v>
      </c>
      <c r="O2046" s="74" t="s">
        <v>402</v>
      </c>
      <c r="P2046" s="74" t="s">
        <v>2529</v>
      </c>
      <c r="Q2046" s="74" t="s">
        <v>2530</v>
      </c>
    </row>
    <row r="2047" spans="3:17" x14ac:dyDescent="0.25">
      <c r="C2047" s="74" t="s">
        <v>3741</v>
      </c>
      <c r="D2047" s="74" t="s">
        <v>3742</v>
      </c>
      <c r="E2047" s="74"/>
      <c r="F2047" s="74">
        <v>0.14000000000000001</v>
      </c>
      <c r="G2047" s="74"/>
      <c r="H2047" s="74"/>
      <c r="I2047" s="74" t="s">
        <v>391</v>
      </c>
      <c r="J2047" s="74"/>
      <c r="K2047" s="74">
        <v>102.4</v>
      </c>
      <c r="L2047" s="74">
        <v>92.16</v>
      </c>
      <c r="M2047" s="74"/>
      <c r="N2047" s="74" t="s">
        <v>392</v>
      </c>
      <c r="O2047" s="74" t="s">
        <v>402</v>
      </c>
      <c r="P2047" s="74" t="s">
        <v>3743</v>
      </c>
      <c r="Q2047" s="74" t="s">
        <v>3744</v>
      </c>
    </row>
    <row r="2048" spans="3:17" x14ac:dyDescent="0.25">
      <c r="C2048" s="74" t="s">
        <v>4894</v>
      </c>
      <c r="D2048" s="74" t="s">
        <v>4895</v>
      </c>
      <c r="E2048" s="74" t="s">
        <v>391</v>
      </c>
      <c r="F2048" s="74">
        <v>0.14000000000000001</v>
      </c>
      <c r="G2048" s="74"/>
      <c r="H2048" s="74"/>
      <c r="I2048" s="74" t="s">
        <v>391</v>
      </c>
      <c r="J2048" s="74"/>
      <c r="K2048" s="74">
        <v>102.4</v>
      </c>
      <c r="L2048" s="74">
        <v>92.16</v>
      </c>
      <c r="M2048" s="74"/>
      <c r="N2048" s="74" t="s">
        <v>392</v>
      </c>
      <c r="O2048" s="74" t="s">
        <v>393</v>
      </c>
      <c r="P2048" s="74" t="s">
        <v>4896</v>
      </c>
      <c r="Q2048" s="74" t="s">
        <v>4897</v>
      </c>
    </row>
    <row r="2049" spans="3:17" x14ac:dyDescent="0.25">
      <c r="C2049" s="74" t="s">
        <v>5771</v>
      </c>
      <c r="D2049" s="74" t="s">
        <v>5772</v>
      </c>
      <c r="E2049" s="74"/>
      <c r="F2049" s="74">
        <v>0.14000000000000001</v>
      </c>
      <c r="G2049" s="74"/>
      <c r="H2049" s="74"/>
      <c r="I2049" s="74" t="s">
        <v>391</v>
      </c>
      <c r="J2049" s="74"/>
      <c r="K2049" s="74">
        <v>102.4</v>
      </c>
      <c r="L2049" s="74">
        <v>92.16</v>
      </c>
      <c r="M2049" s="74"/>
      <c r="N2049" s="74" t="s">
        <v>392</v>
      </c>
      <c r="O2049" s="74" t="s">
        <v>402</v>
      </c>
      <c r="P2049" s="74" t="s">
        <v>5773</v>
      </c>
      <c r="Q2049" s="74" t="s">
        <v>5774</v>
      </c>
    </row>
    <row r="2050" spans="3:17" x14ac:dyDescent="0.25">
      <c r="C2050" s="74" t="s">
        <v>5775</v>
      </c>
      <c r="D2050" s="74" t="s">
        <v>5776</v>
      </c>
      <c r="E2050" s="74"/>
      <c r="F2050" s="74">
        <v>0.14000000000000001</v>
      </c>
      <c r="G2050" s="74"/>
      <c r="H2050" s="74"/>
      <c r="I2050" s="74" t="s">
        <v>391</v>
      </c>
      <c r="J2050" s="74"/>
      <c r="K2050" s="74">
        <v>102.4</v>
      </c>
      <c r="L2050" s="74">
        <v>92.16</v>
      </c>
      <c r="M2050" s="74"/>
      <c r="N2050" s="74" t="s">
        <v>392</v>
      </c>
      <c r="O2050" s="74" t="s">
        <v>402</v>
      </c>
      <c r="P2050" s="74" t="s">
        <v>5777</v>
      </c>
      <c r="Q2050" s="74" t="s">
        <v>5778</v>
      </c>
    </row>
    <row r="2051" spans="3:17" x14ac:dyDescent="0.25">
      <c r="C2051" s="74" t="s">
        <v>6199</v>
      </c>
      <c r="D2051" s="74" t="s">
        <v>6200</v>
      </c>
      <c r="E2051" s="74"/>
      <c r="F2051" s="74">
        <v>0.14000000000000001</v>
      </c>
      <c r="G2051" s="74"/>
      <c r="H2051" s="74"/>
      <c r="I2051" s="74" t="s">
        <v>391</v>
      </c>
      <c r="J2051" s="74"/>
      <c r="K2051" s="74">
        <v>102.4</v>
      </c>
      <c r="L2051" s="74">
        <v>92.16</v>
      </c>
      <c r="M2051" s="74"/>
      <c r="N2051" s="74" t="s">
        <v>392</v>
      </c>
      <c r="O2051" s="74" t="s">
        <v>402</v>
      </c>
      <c r="P2051" s="74" t="s">
        <v>6201</v>
      </c>
      <c r="Q2051" s="74" t="s">
        <v>6202</v>
      </c>
    </row>
    <row r="2052" spans="3:17" x14ac:dyDescent="0.25">
      <c r="C2052" s="74" t="s">
        <v>6766</v>
      </c>
      <c r="D2052" s="74" t="s">
        <v>6767</v>
      </c>
      <c r="E2052" s="74"/>
      <c r="F2052" s="74">
        <v>0.14000000000000001</v>
      </c>
      <c r="G2052" s="74"/>
      <c r="H2052" s="74"/>
      <c r="I2052" s="74" t="s">
        <v>391</v>
      </c>
      <c r="J2052" s="74"/>
      <c r="K2052" s="74">
        <v>102.4</v>
      </c>
      <c r="L2052" s="74">
        <v>92.16</v>
      </c>
      <c r="M2052" s="74"/>
      <c r="N2052" s="74" t="s">
        <v>392</v>
      </c>
      <c r="O2052" s="74" t="s">
        <v>402</v>
      </c>
      <c r="P2052" s="74" t="s">
        <v>6768</v>
      </c>
      <c r="Q2052" s="74" t="s">
        <v>6769</v>
      </c>
    </row>
    <row r="2053" spans="3:17" x14ac:dyDescent="0.25">
      <c r="C2053" s="74" t="s">
        <v>7338</v>
      </c>
      <c r="D2053" s="74" t="s">
        <v>7339</v>
      </c>
      <c r="E2053" s="74"/>
      <c r="F2053" s="74">
        <v>0.14000000000000001</v>
      </c>
      <c r="G2053" s="74"/>
      <c r="H2053" s="74"/>
      <c r="I2053" s="74" t="s">
        <v>391</v>
      </c>
      <c r="J2053" s="74"/>
      <c r="K2053" s="74">
        <v>102.4</v>
      </c>
      <c r="L2053" s="74">
        <v>92.16</v>
      </c>
      <c r="M2053" s="74"/>
      <c r="N2053" s="74" t="s">
        <v>392</v>
      </c>
      <c r="O2053" s="74" t="s">
        <v>402</v>
      </c>
      <c r="P2053" s="74" t="s">
        <v>7340</v>
      </c>
      <c r="Q2053" s="74" t="s">
        <v>7341</v>
      </c>
    </row>
    <row r="2054" spans="3:17" x14ac:dyDescent="0.25">
      <c r="C2054" s="74" t="s">
        <v>7364</v>
      </c>
      <c r="D2054" s="74" t="s">
        <v>7365</v>
      </c>
      <c r="E2054" s="74"/>
      <c r="F2054" s="74">
        <v>0.14000000000000001</v>
      </c>
      <c r="G2054" s="74"/>
      <c r="H2054" s="74"/>
      <c r="I2054" s="74" t="s">
        <v>391</v>
      </c>
      <c r="J2054" s="74"/>
      <c r="K2054" s="74">
        <v>102.4</v>
      </c>
      <c r="L2054" s="74">
        <v>92.16</v>
      </c>
      <c r="M2054" s="74"/>
      <c r="N2054" s="74" t="s">
        <v>392</v>
      </c>
      <c r="O2054" s="74" t="s">
        <v>402</v>
      </c>
      <c r="P2054" s="74" t="s">
        <v>7366</v>
      </c>
      <c r="Q2054" s="74" t="s">
        <v>7367</v>
      </c>
    </row>
    <row r="2055" spans="3:17" x14ac:dyDescent="0.25">
      <c r="C2055" s="74" t="s">
        <v>7375</v>
      </c>
      <c r="D2055" s="74" t="s">
        <v>7376</v>
      </c>
      <c r="E2055" s="74"/>
      <c r="F2055" s="74">
        <v>0.14000000000000001</v>
      </c>
      <c r="G2055" s="74"/>
      <c r="H2055" s="74"/>
      <c r="I2055" s="74" t="s">
        <v>391</v>
      </c>
      <c r="J2055" s="74"/>
      <c r="K2055" s="74">
        <v>102.4</v>
      </c>
      <c r="L2055" s="74">
        <v>92.16</v>
      </c>
      <c r="M2055" s="74"/>
      <c r="N2055" s="74" t="s">
        <v>392</v>
      </c>
      <c r="O2055" s="74" t="s">
        <v>402</v>
      </c>
      <c r="P2055" s="74" t="s">
        <v>7377</v>
      </c>
      <c r="Q2055" s="74" t="s">
        <v>7378</v>
      </c>
    </row>
    <row r="2056" spans="3:17" x14ac:dyDescent="0.25">
      <c r="C2056" s="74" t="s">
        <v>7974</v>
      </c>
      <c r="D2056" s="74" t="s">
        <v>7975</v>
      </c>
      <c r="E2056" s="74" t="s">
        <v>391</v>
      </c>
      <c r="F2056" s="74">
        <v>0.14000000000000001</v>
      </c>
      <c r="G2056" s="74"/>
      <c r="H2056" s="74"/>
      <c r="I2056" s="74" t="s">
        <v>391</v>
      </c>
      <c r="J2056" s="74"/>
      <c r="K2056" s="74">
        <v>102.4</v>
      </c>
      <c r="L2056" s="74">
        <v>92.16</v>
      </c>
      <c r="M2056" s="74"/>
      <c r="N2056" s="74" t="s">
        <v>392</v>
      </c>
      <c r="O2056" s="74" t="s">
        <v>393</v>
      </c>
      <c r="P2056" s="74"/>
      <c r="Q2056" s="74" t="s">
        <v>7976</v>
      </c>
    </row>
    <row r="2057" spans="3:17" x14ac:dyDescent="0.25">
      <c r="C2057" s="74" t="s">
        <v>8237</v>
      </c>
      <c r="D2057" s="74" t="s">
        <v>8238</v>
      </c>
      <c r="E2057" s="74"/>
      <c r="F2057" s="74">
        <v>0.14000000000000001</v>
      </c>
      <c r="G2057" s="74"/>
      <c r="H2057" s="74"/>
      <c r="I2057" s="74" t="s">
        <v>391</v>
      </c>
      <c r="J2057" s="74"/>
      <c r="K2057" s="74">
        <v>102.4</v>
      </c>
      <c r="L2057" s="74">
        <v>92.16</v>
      </c>
      <c r="M2057" s="74"/>
      <c r="N2057" s="74" t="s">
        <v>392</v>
      </c>
      <c r="O2057" s="74" t="s">
        <v>402</v>
      </c>
      <c r="P2057" s="74" t="s">
        <v>8239</v>
      </c>
      <c r="Q2057" s="74" t="s">
        <v>8240</v>
      </c>
    </row>
    <row r="2058" spans="3:17" x14ac:dyDescent="0.25">
      <c r="C2058" s="74" t="s">
        <v>8635</v>
      </c>
      <c r="D2058" s="74" t="s">
        <v>8636</v>
      </c>
      <c r="E2058" s="74"/>
      <c r="F2058" s="74">
        <v>0.14000000000000001</v>
      </c>
      <c r="G2058" s="74"/>
      <c r="H2058" s="74"/>
      <c r="I2058" s="74" t="s">
        <v>391</v>
      </c>
      <c r="J2058" s="74"/>
      <c r="K2058" s="74">
        <v>102.4</v>
      </c>
      <c r="L2058" s="74">
        <v>92.16</v>
      </c>
      <c r="M2058" s="74"/>
      <c r="N2058" s="74" t="s">
        <v>392</v>
      </c>
      <c r="O2058" s="74" t="s">
        <v>402</v>
      </c>
      <c r="P2058" s="74" t="s">
        <v>8637</v>
      </c>
      <c r="Q2058" s="74" t="s">
        <v>8638</v>
      </c>
    </row>
    <row r="2059" spans="3:17" x14ac:dyDescent="0.25">
      <c r="C2059" s="74" t="s">
        <v>9451</v>
      </c>
      <c r="D2059" s="74" t="s">
        <v>9452</v>
      </c>
      <c r="E2059" s="74"/>
      <c r="F2059" s="74">
        <v>0.14000000000000001</v>
      </c>
      <c r="G2059" s="74"/>
      <c r="H2059" s="74"/>
      <c r="I2059" s="74" t="s">
        <v>391</v>
      </c>
      <c r="J2059" s="74"/>
      <c r="K2059" s="74">
        <v>102.4</v>
      </c>
      <c r="L2059" s="74">
        <v>92.16</v>
      </c>
      <c r="M2059" s="74"/>
      <c r="N2059" s="74" t="s">
        <v>392</v>
      </c>
      <c r="O2059" s="74" t="s">
        <v>402</v>
      </c>
      <c r="P2059" s="74" t="s">
        <v>9453</v>
      </c>
      <c r="Q2059" s="74" t="s">
        <v>9454</v>
      </c>
    </row>
    <row r="2060" spans="3:17" x14ac:dyDescent="0.25">
      <c r="C2060" s="74" t="s">
        <v>10253</v>
      </c>
      <c r="D2060" s="74" t="s">
        <v>10254</v>
      </c>
      <c r="E2060" s="74" t="s">
        <v>391</v>
      </c>
      <c r="F2060" s="74">
        <v>0.14000000000000001</v>
      </c>
      <c r="G2060" s="74"/>
      <c r="H2060" s="74"/>
      <c r="I2060" s="74" t="s">
        <v>391</v>
      </c>
      <c r="J2060" s="74"/>
      <c r="K2060" s="74">
        <v>102.4</v>
      </c>
      <c r="L2060" s="74">
        <v>92.16</v>
      </c>
      <c r="M2060" s="74"/>
      <c r="N2060" s="74" t="s">
        <v>392</v>
      </c>
      <c r="O2060" s="74" t="s">
        <v>393</v>
      </c>
      <c r="P2060" s="74"/>
      <c r="Q2060" s="74" t="s">
        <v>10255</v>
      </c>
    </row>
    <row r="2061" spans="3:17" x14ac:dyDescent="0.25">
      <c r="C2061" s="74" t="s">
        <v>11754</v>
      </c>
      <c r="D2061" s="74" t="s">
        <v>11755</v>
      </c>
      <c r="E2061" s="74"/>
      <c r="F2061" s="74">
        <v>0.14000000000000001</v>
      </c>
      <c r="G2061" s="74"/>
      <c r="H2061" s="74"/>
      <c r="I2061" s="74" t="s">
        <v>391</v>
      </c>
      <c r="J2061" s="74"/>
      <c r="K2061" s="74">
        <v>102.4</v>
      </c>
      <c r="L2061" s="74">
        <v>92.16</v>
      </c>
      <c r="M2061" s="74"/>
      <c r="N2061" s="74" t="s">
        <v>392</v>
      </c>
      <c r="O2061" s="74" t="s">
        <v>402</v>
      </c>
      <c r="P2061" s="74" t="s">
        <v>11756</v>
      </c>
      <c r="Q2061" s="74" t="s">
        <v>11757</v>
      </c>
    </row>
    <row r="2062" spans="3:17" x14ac:dyDescent="0.25">
      <c r="C2062" s="74" t="s">
        <v>12991</v>
      </c>
      <c r="D2062" s="74" t="s">
        <v>12992</v>
      </c>
      <c r="E2062" s="74" t="s">
        <v>391</v>
      </c>
      <c r="F2062" s="74">
        <v>0.14000000000000001</v>
      </c>
      <c r="G2062" s="74"/>
      <c r="H2062" s="74"/>
      <c r="I2062" s="74" t="s">
        <v>391</v>
      </c>
      <c r="J2062" s="74"/>
      <c r="K2062" s="74">
        <v>102.4</v>
      </c>
      <c r="L2062" s="74">
        <v>92.16</v>
      </c>
      <c r="M2062" s="74"/>
      <c r="N2062" s="74" t="s">
        <v>392</v>
      </c>
      <c r="O2062" s="74" t="s">
        <v>393</v>
      </c>
      <c r="P2062" s="74"/>
      <c r="Q2062" s="74" t="s">
        <v>12993</v>
      </c>
    </row>
    <row r="2063" spans="3:17" x14ac:dyDescent="0.25">
      <c r="C2063" s="74" t="s">
        <v>13678</v>
      </c>
      <c r="D2063" s="74" t="s">
        <v>13679</v>
      </c>
      <c r="E2063" s="74"/>
      <c r="F2063" s="74">
        <v>0.14000000000000001</v>
      </c>
      <c r="G2063" s="74"/>
      <c r="H2063" s="74"/>
      <c r="I2063" s="74" t="s">
        <v>391</v>
      </c>
      <c r="J2063" s="74"/>
      <c r="K2063" s="74">
        <v>102.4</v>
      </c>
      <c r="L2063" s="74">
        <v>92.16</v>
      </c>
      <c r="M2063" s="74"/>
      <c r="N2063" s="74" t="s">
        <v>392</v>
      </c>
      <c r="O2063" s="74" t="s">
        <v>402</v>
      </c>
      <c r="P2063" s="74" t="s">
        <v>13680</v>
      </c>
      <c r="Q2063" s="74" t="s">
        <v>13681</v>
      </c>
    </row>
    <row r="2064" spans="3:17" x14ac:dyDescent="0.25">
      <c r="C2064" s="74" t="s">
        <v>14095</v>
      </c>
      <c r="D2064" s="74" t="s">
        <v>14096</v>
      </c>
      <c r="E2064" s="74"/>
      <c r="F2064" s="74">
        <v>0.14000000000000001</v>
      </c>
      <c r="G2064" s="74"/>
      <c r="H2064" s="74"/>
      <c r="I2064" s="74" t="s">
        <v>391</v>
      </c>
      <c r="J2064" s="74"/>
      <c r="K2064" s="74">
        <v>102.4</v>
      </c>
      <c r="L2064" s="74">
        <v>92.16</v>
      </c>
      <c r="M2064" s="74"/>
      <c r="N2064" s="74" t="s">
        <v>392</v>
      </c>
      <c r="O2064" s="74" t="s">
        <v>402</v>
      </c>
      <c r="P2064" s="74" t="s">
        <v>14097</v>
      </c>
      <c r="Q2064" s="74" t="s">
        <v>14098</v>
      </c>
    </row>
    <row r="2065" spans="3:17" x14ac:dyDescent="0.25">
      <c r="C2065" s="74" t="s">
        <v>14649</v>
      </c>
      <c r="D2065" s="74" t="s">
        <v>14650</v>
      </c>
      <c r="E2065" s="74"/>
      <c r="F2065" s="74">
        <v>0.14000000000000001</v>
      </c>
      <c r="G2065" s="74"/>
      <c r="H2065" s="74"/>
      <c r="I2065" s="74" t="s">
        <v>391</v>
      </c>
      <c r="J2065" s="74"/>
      <c r="K2065" s="74">
        <v>102.4</v>
      </c>
      <c r="L2065" s="74">
        <v>92.16</v>
      </c>
      <c r="M2065" s="74"/>
      <c r="N2065" s="74" t="s">
        <v>392</v>
      </c>
      <c r="O2065" s="74" t="s">
        <v>402</v>
      </c>
      <c r="P2065" s="74" t="s">
        <v>14651</v>
      </c>
      <c r="Q2065" s="74" t="s">
        <v>14652</v>
      </c>
    </row>
    <row r="2066" spans="3:17" x14ac:dyDescent="0.25">
      <c r="C2066" s="74" t="s">
        <v>17853</v>
      </c>
      <c r="D2066" s="74" t="s">
        <v>17854</v>
      </c>
      <c r="E2066" s="74"/>
      <c r="F2066" s="74">
        <v>0.14000000000000001</v>
      </c>
      <c r="G2066" s="74"/>
      <c r="H2066" s="74"/>
      <c r="I2066" s="74" t="s">
        <v>391</v>
      </c>
      <c r="J2066" s="74"/>
      <c r="K2066" s="74">
        <v>102.4</v>
      </c>
      <c r="L2066" s="74">
        <v>92.16</v>
      </c>
      <c r="M2066" s="74"/>
      <c r="N2066" s="74" t="s">
        <v>392</v>
      </c>
      <c r="O2066" s="74" t="s">
        <v>402</v>
      </c>
      <c r="P2066" s="74" t="s">
        <v>17855</v>
      </c>
      <c r="Q2066" s="74" t="s">
        <v>17856</v>
      </c>
    </row>
    <row r="2067" spans="3:17" x14ac:dyDescent="0.25">
      <c r="C2067" s="74" t="s">
        <v>19512</v>
      </c>
      <c r="D2067" s="74" t="s">
        <v>19513</v>
      </c>
      <c r="E2067" s="74" t="s">
        <v>391</v>
      </c>
      <c r="F2067" s="74">
        <v>0.14000000000000001</v>
      </c>
      <c r="G2067" s="74"/>
      <c r="H2067" s="74"/>
      <c r="I2067" s="74" t="s">
        <v>391</v>
      </c>
      <c r="J2067" s="74"/>
      <c r="K2067" s="74">
        <v>102.4</v>
      </c>
      <c r="L2067" s="74">
        <v>92.16</v>
      </c>
      <c r="M2067" s="74"/>
      <c r="N2067" s="74" t="s">
        <v>392</v>
      </c>
      <c r="O2067" s="74" t="s">
        <v>393</v>
      </c>
      <c r="P2067" s="74"/>
      <c r="Q2067" s="74" t="s">
        <v>19514</v>
      </c>
    </row>
    <row r="2068" spans="3:17" x14ac:dyDescent="0.25">
      <c r="C2068" s="158" t="s">
        <v>667</v>
      </c>
      <c r="D2068" s="158" t="s">
        <v>668</v>
      </c>
      <c r="E2068" s="158" t="s">
        <v>391</v>
      </c>
      <c r="F2068" s="158">
        <v>0.13</v>
      </c>
      <c r="I2068" s="158" t="s">
        <v>391</v>
      </c>
      <c r="K2068" s="158">
        <v>102.4</v>
      </c>
      <c r="L2068" s="158">
        <v>92.16</v>
      </c>
      <c r="N2068" s="158" t="s">
        <v>392</v>
      </c>
      <c r="O2068" s="158" t="s">
        <v>393</v>
      </c>
      <c r="Q2068" s="158" t="s">
        <v>669</v>
      </c>
    </row>
    <row r="2069" spans="3:17" x14ac:dyDescent="0.25">
      <c r="C2069" s="74" t="s">
        <v>1432</v>
      </c>
      <c r="D2069" s="74" t="s">
        <v>1433</v>
      </c>
      <c r="E2069" s="74" t="s">
        <v>391</v>
      </c>
      <c r="F2069" s="74">
        <v>0.13</v>
      </c>
      <c r="G2069" s="74"/>
      <c r="H2069" s="74"/>
      <c r="I2069" s="74" t="s">
        <v>391</v>
      </c>
      <c r="J2069" s="74"/>
      <c r="K2069" s="74">
        <v>102.4</v>
      </c>
      <c r="L2069" s="74">
        <v>92.16</v>
      </c>
      <c r="M2069" s="74"/>
      <c r="N2069" s="74" t="s">
        <v>392</v>
      </c>
      <c r="O2069" s="74" t="s">
        <v>393</v>
      </c>
      <c r="P2069" s="74"/>
      <c r="Q2069" s="74" t="s">
        <v>1434</v>
      </c>
    </row>
    <row r="2070" spans="3:17" x14ac:dyDescent="0.25">
      <c r="C2070" s="74" t="s">
        <v>1559</v>
      </c>
      <c r="D2070" s="74" t="s">
        <v>1560</v>
      </c>
      <c r="E2070" s="74"/>
      <c r="F2070" s="74">
        <v>0.13</v>
      </c>
      <c r="G2070" s="74"/>
      <c r="H2070" s="74"/>
      <c r="I2070" s="74" t="s">
        <v>391</v>
      </c>
      <c r="J2070" s="74"/>
      <c r="K2070" s="74">
        <v>102.4</v>
      </c>
      <c r="L2070" s="74">
        <v>92.16</v>
      </c>
      <c r="M2070" s="74"/>
      <c r="N2070" s="74" t="s">
        <v>392</v>
      </c>
      <c r="O2070" s="74" t="s">
        <v>402</v>
      </c>
      <c r="P2070" s="74" t="s">
        <v>1561</v>
      </c>
      <c r="Q2070" s="74" t="s">
        <v>1562</v>
      </c>
    </row>
    <row r="2071" spans="3:17" x14ac:dyDescent="0.25">
      <c r="C2071" s="74" t="s">
        <v>2260</v>
      </c>
      <c r="D2071" s="74" t="s">
        <v>2261</v>
      </c>
      <c r="E2071" s="74"/>
      <c r="F2071" s="74">
        <v>0.13</v>
      </c>
      <c r="G2071" s="74"/>
      <c r="H2071" s="74"/>
      <c r="I2071" s="74" t="s">
        <v>391</v>
      </c>
      <c r="J2071" s="74"/>
      <c r="K2071" s="74">
        <v>102.4</v>
      </c>
      <c r="L2071" s="74">
        <v>92.16</v>
      </c>
      <c r="M2071" s="74"/>
      <c r="N2071" s="74" t="s">
        <v>392</v>
      </c>
      <c r="O2071" s="74" t="s">
        <v>402</v>
      </c>
      <c r="P2071" s="74" t="s">
        <v>2262</v>
      </c>
      <c r="Q2071" s="74" t="s">
        <v>2263</v>
      </c>
    </row>
    <row r="2072" spans="3:17" x14ac:dyDescent="0.25">
      <c r="C2072" s="74" t="s">
        <v>2357</v>
      </c>
      <c r="D2072" s="74" t="s">
        <v>2358</v>
      </c>
      <c r="E2072" s="74"/>
      <c r="F2072" s="74">
        <v>0.13</v>
      </c>
      <c r="G2072" s="74"/>
      <c r="H2072" s="74"/>
      <c r="I2072" s="74" t="s">
        <v>391</v>
      </c>
      <c r="J2072" s="74"/>
      <c r="K2072" s="74">
        <v>102.4</v>
      </c>
      <c r="L2072" s="74">
        <v>92.16</v>
      </c>
      <c r="M2072" s="74"/>
      <c r="N2072" s="74" t="s">
        <v>392</v>
      </c>
      <c r="O2072" s="74" t="s">
        <v>402</v>
      </c>
      <c r="P2072" s="74" t="s">
        <v>2359</v>
      </c>
      <c r="Q2072" s="74" t="s">
        <v>2360</v>
      </c>
    </row>
    <row r="2073" spans="3:17" x14ac:dyDescent="0.25">
      <c r="C2073" s="74" t="s">
        <v>3254</v>
      </c>
      <c r="D2073" s="74" t="s">
        <v>3255</v>
      </c>
      <c r="E2073" s="74"/>
      <c r="F2073" s="74">
        <v>0.13</v>
      </c>
      <c r="G2073" s="74"/>
      <c r="H2073" s="74"/>
      <c r="I2073" s="74" t="s">
        <v>391</v>
      </c>
      <c r="J2073" s="74"/>
      <c r="K2073" s="74">
        <v>102.4</v>
      </c>
      <c r="L2073" s="74">
        <v>92.16</v>
      </c>
      <c r="M2073" s="74"/>
      <c r="N2073" s="74" t="s">
        <v>392</v>
      </c>
      <c r="O2073" s="74" t="s">
        <v>402</v>
      </c>
      <c r="P2073" s="74" t="s">
        <v>3256</v>
      </c>
      <c r="Q2073" s="74" t="s">
        <v>3257</v>
      </c>
    </row>
    <row r="2074" spans="3:17" x14ac:dyDescent="0.25">
      <c r="C2074" s="74" t="s">
        <v>3391</v>
      </c>
      <c r="D2074" s="74" t="s">
        <v>3392</v>
      </c>
      <c r="E2074" s="74"/>
      <c r="F2074" s="74">
        <v>0.13</v>
      </c>
      <c r="G2074" s="74"/>
      <c r="H2074" s="74"/>
      <c r="I2074" s="74" t="s">
        <v>391</v>
      </c>
      <c r="J2074" s="74"/>
      <c r="K2074" s="74">
        <v>102.4</v>
      </c>
      <c r="L2074" s="74">
        <v>92.16</v>
      </c>
      <c r="M2074" s="74"/>
      <c r="N2074" s="74" t="s">
        <v>392</v>
      </c>
      <c r="O2074" s="74" t="s">
        <v>402</v>
      </c>
      <c r="P2074" s="74" t="s">
        <v>3393</v>
      </c>
      <c r="Q2074" s="74" t="s">
        <v>3394</v>
      </c>
    </row>
    <row r="2075" spans="3:17" x14ac:dyDescent="0.25">
      <c r="C2075" s="74" t="s">
        <v>3449</v>
      </c>
      <c r="D2075" s="74" t="s">
        <v>3450</v>
      </c>
      <c r="E2075" s="74"/>
      <c r="F2075" s="74">
        <v>0.13</v>
      </c>
      <c r="G2075" s="74"/>
      <c r="H2075" s="74"/>
      <c r="I2075" s="74" t="s">
        <v>391</v>
      </c>
      <c r="J2075" s="74"/>
      <c r="K2075" s="74">
        <v>102.4</v>
      </c>
      <c r="L2075" s="74">
        <v>92.16</v>
      </c>
      <c r="M2075" s="74"/>
      <c r="N2075" s="74" t="s">
        <v>392</v>
      </c>
      <c r="O2075" s="74" t="s">
        <v>402</v>
      </c>
      <c r="P2075" s="74" t="s">
        <v>3451</v>
      </c>
      <c r="Q2075" s="74" t="s">
        <v>3452</v>
      </c>
    </row>
    <row r="2076" spans="3:17" x14ac:dyDescent="0.25">
      <c r="C2076" s="74" t="s">
        <v>3464</v>
      </c>
      <c r="D2076" s="74" t="s">
        <v>3465</v>
      </c>
      <c r="E2076" s="74"/>
      <c r="F2076" s="74">
        <v>0.13</v>
      </c>
      <c r="G2076" s="74"/>
      <c r="H2076" s="74"/>
      <c r="I2076" s="74" t="s">
        <v>391</v>
      </c>
      <c r="J2076" s="74"/>
      <c r="K2076" s="74">
        <v>102.4</v>
      </c>
      <c r="L2076" s="74">
        <v>92.16</v>
      </c>
      <c r="M2076" s="74"/>
      <c r="N2076" s="74" t="s">
        <v>392</v>
      </c>
      <c r="O2076" s="74" t="s">
        <v>402</v>
      </c>
      <c r="P2076" s="74" t="s">
        <v>3466</v>
      </c>
      <c r="Q2076" s="74" t="s">
        <v>3467</v>
      </c>
    </row>
    <row r="2077" spans="3:17" x14ac:dyDescent="0.25">
      <c r="C2077" s="74" t="s">
        <v>5740</v>
      </c>
      <c r="D2077" s="74" t="s">
        <v>5741</v>
      </c>
      <c r="E2077" s="74" t="s">
        <v>391</v>
      </c>
      <c r="F2077" s="74">
        <v>0.13</v>
      </c>
      <c r="G2077" s="74"/>
      <c r="H2077" s="74"/>
      <c r="I2077" s="74" t="s">
        <v>391</v>
      </c>
      <c r="J2077" s="74"/>
      <c r="K2077" s="74">
        <v>102.4</v>
      </c>
      <c r="L2077" s="74">
        <v>92.16</v>
      </c>
      <c r="M2077" s="74"/>
      <c r="N2077" s="74" t="s">
        <v>392</v>
      </c>
      <c r="O2077" s="74" t="s">
        <v>393</v>
      </c>
      <c r="P2077" s="74"/>
      <c r="Q2077" s="74" t="s">
        <v>5742</v>
      </c>
    </row>
    <row r="2078" spans="3:17" x14ac:dyDescent="0.25">
      <c r="C2078" s="74" t="s">
        <v>7986</v>
      </c>
      <c r="D2078" s="74" t="s">
        <v>7987</v>
      </c>
      <c r="E2078" s="74" t="s">
        <v>391</v>
      </c>
      <c r="F2078" s="74">
        <v>0.13</v>
      </c>
      <c r="G2078" s="74"/>
      <c r="H2078" s="74"/>
      <c r="I2078" s="74" t="s">
        <v>391</v>
      </c>
      <c r="J2078" s="74"/>
      <c r="K2078" s="74">
        <v>102.4</v>
      </c>
      <c r="L2078" s="74">
        <v>92.16</v>
      </c>
      <c r="M2078" s="74"/>
      <c r="N2078" s="74" t="s">
        <v>392</v>
      </c>
      <c r="O2078" s="74" t="s">
        <v>393</v>
      </c>
      <c r="P2078" s="74" t="s">
        <v>7988</v>
      </c>
      <c r="Q2078" s="74" t="s">
        <v>7989</v>
      </c>
    </row>
    <row r="2079" spans="3:17" x14ac:dyDescent="0.25">
      <c r="C2079" s="74" t="s">
        <v>8432</v>
      </c>
      <c r="D2079" s="74" t="s">
        <v>8433</v>
      </c>
      <c r="E2079" s="74"/>
      <c r="F2079" s="74">
        <v>0.13</v>
      </c>
      <c r="G2079" s="74"/>
      <c r="H2079" s="74"/>
      <c r="I2079" s="74" t="s">
        <v>391</v>
      </c>
      <c r="J2079" s="74"/>
      <c r="K2079" s="74">
        <v>102.4</v>
      </c>
      <c r="L2079" s="74">
        <v>92.16</v>
      </c>
      <c r="M2079" s="74"/>
      <c r="N2079" s="74" t="s">
        <v>392</v>
      </c>
      <c r="O2079" s="74" t="s">
        <v>402</v>
      </c>
      <c r="P2079" s="74" t="s">
        <v>8434</v>
      </c>
      <c r="Q2079" s="74" t="s">
        <v>8435</v>
      </c>
    </row>
    <row r="2080" spans="3:17" x14ac:dyDescent="0.25">
      <c r="C2080" s="74" t="s">
        <v>8614</v>
      </c>
      <c r="D2080" s="74" t="s">
        <v>8615</v>
      </c>
      <c r="E2080" s="74" t="s">
        <v>391</v>
      </c>
      <c r="F2080" s="74">
        <v>0.13</v>
      </c>
      <c r="G2080" s="74"/>
      <c r="H2080" s="74"/>
      <c r="I2080" s="74" t="s">
        <v>391</v>
      </c>
      <c r="J2080" s="74"/>
      <c r="K2080" s="74">
        <v>102.4</v>
      </c>
      <c r="L2080" s="74">
        <v>92.16</v>
      </c>
      <c r="M2080" s="74"/>
      <c r="N2080" s="74" t="s">
        <v>392</v>
      </c>
      <c r="O2080" s="74" t="s">
        <v>393</v>
      </c>
      <c r="P2080" s="74"/>
      <c r="Q2080" s="74" t="s">
        <v>8616</v>
      </c>
    </row>
    <row r="2081" spans="3:17" x14ac:dyDescent="0.25">
      <c r="C2081" s="74" t="s">
        <v>9129</v>
      </c>
      <c r="D2081" s="74" t="s">
        <v>9130</v>
      </c>
      <c r="E2081" s="74"/>
      <c r="F2081" s="74">
        <v>0.13</v>
      </c>
      <c r="G2081" s="74"/>
      <c r="H2081" s="74"/>
      <c r="I2081" s="74" t="s">
        <v>391</v>
      </c>
      <c r="J2081" s="74"/>
      <c r="K2081" s="74">
        <v>102.4</v>
      </c>
      <c r="L2081" s="74">
        <v>92.16</v>
      </c>
      <c r="M2081" s="74"/>
      <c r="N2081" s="74" t="s">
        <v>392</v>
      </c>
      <c r="O2081" s="74" t="s">
        <v>402</v>
      </c>
      <c r="P2081" s="74" t="s">
        <v>9131</v>
      </c>
      <c r="Q2081" s="74" t="s">
        <v>9132</v>
      </c>
    </row>
    <row r="2082" spans="3:17" x14ac:dyDescent="0.25">
      <c r="C2082" s="74" t="s">
        <v>9844</v>
      </c>
      <c r="D2082" s="74" t="s">
        <v>9845</v>
      </c>
      <c r="E2082" s="74" t="s">
        <v>391</v>
      </c>
      <c r="F2082" s="74">
        <v>0.13</v>
      </c>
      <c r="G2082" s="74"/>
      <c r="H2082" s="74"/>
      <c r="I2082" s="74" t="s">
        <v>391</v>
      </c>
      <c r="J2082" s="74"/>
      <c r="K2082" s="74">
        <v>102.4</v>
      </c>
      <c r="L2082" s="74">
        <v>92.16</v>
      </c>
      <c r="M2082" s="74"/>
      <c r="N2082" s="74" t="s">
        <v>392</v>
      </c>
      <c r="O2082" s="74" t="s">
        <v>393</v>
      </c>
      <c r="P2082" s="74"/>
      <c r="Q2082" s="74" t="s">
        <v>9846</v>
      </c>
    </row>
    <row r="2083" spans="3:17" x14ac:dyDescent="0.25">
      <c r="C2083" s="74" t="s">
        <v>10714</v>
      </c>
      <c r="D2083" s="74" t="s">
        <v>10715</v>
      </c>
      <c r="E2083" s="74" t="s">
        <v>391</v>
      </c>
      <c r="F2083" s="74">
        <v>0.13</v>
      </c>
      <c r="G2083" s="74"/>
      <c r="H2083" s="74"/>
      <c r="I2083" s="74" t="s">
        <v>391</v>
      </c>
      <c r="J2083" s="74"/>
      <c r="K2083" s="74">
        <v>102.4</v>
      </c>
      <c r="L2083" s="74">
        <v>92.16</v>
      </c>
      <c r="M2083" s="74"/>
      <c r="N2083" s="74" t="s">
        <v>392</v>
      </c>
      <c r="O2083" s="74" t="s">
        <v>402</v>
      </c>
      <c r="P2083" s="74" t="s">
        <v>10716</v>
      </c>
      <c r="Q2083" s="74" t="s">
        <v>10717</v>
      </c>
    </row>
    <row r="2084" spans="3:17" x14ac:dyDescent="0.25">
      <c r="C2084" s="74" t="s">
        <v>10964</v>
      </c>
      <c r="D2084" s="74" t="s">
        <v>10965</v>
      </c>
      <c r="E2084" s="74"/>
      <c r="F2084" s="74">
        <v>0.13</v>
      </c>
      <c r="G2084" s="74"/>
      <c r="H2084" s="74"/>
      <c r="I2084" s="74" t="s">
        <v>391</v>
      </c>
      <c r="J2084" s="74"/>
      <c r="K2084" s="74">
        <v>102.4</v>
      </c>
      <c r="L2084" s="74">
        <v>92.16</v>
      </c>
      <c r="M2084" s="74"/>
      <c r="N2084" s="74" t="s">
        <v>392</v>
      </c>
      <c r="O2084" s="74" t="s">
        <v>402</v>
      </c>
      <c r="P2084" s="74" t="s">
        <v>10966</v>
      </c>
      <c r="Q2084" s="74" t="s">
        <v>10967</v>
      </c>
    </row>
    <row r="2085" spans="3:17" x14ac:dyDescent="0.25">
      <c r="C2085" s="74" t="s">
        <v>12059</v>
      </c>
      <c r="D2085" s="74" t="s">
        <v>12060</v>
      </c>
      <c r="E2085" s="74"/>
      <c r="F2085" s="74">
        <v>0.13</v>
      </c>
      <c r="G2085" s="74"/>
      <c r="H2085" s="74"/>
      <c r="I2085" s="74" t="s">
        <v>391</v>
      </c>
      <c r="J2085" s="74"/>
      <c r="K2085" s="74">
        <v>102.4</v>
      </c>
      <c r="L2085" s="74">
        <v>92.16</v>
      </c>
      <c r="M2085" s="74"/>
      <c r="N2085" s="74" t="s">
        <v>392</v>
      </c>
      <c r="O2085" s="74" t="s">
        <v>402</v>
      </c>
      <c r="P2085" s="74"/>
      <c r="Q2085" s="74" t="s">
        <v>12061</v>
      </c>
    </row>
    <row r="2086" spans="3:17" x14ac:dyDescent="0.25">
      <c r="C2086" s="74" t="s">
        <v>12289</v>
      </c>
      <c r="D2086" s="74" t="s">
        <v>12290</v>
      </c>
      <c r="E2086" s="74"/>
      <c r="F2086" s="74">
        <v>0.13</v>
      </c>
      <c r="G2086" s="74"/>
      <c r="H2086" s="74"/>
      <c r="I2086" s="74" t="s">
        <v>391</v>
      </c>
      <c r="J2086" s="74"/>
      <c r="K2086" s="74">
        <v>102.4</v>
      </c>
      <c r="L2086" s="74">
        <v>92.16</v>
      </c>
      <c r="M2086" s="74"/>
      <c r="N2086" s="74" t="s">
        <v>392</v>
      </c>
      <c r="O2086" s="74" t="s">
        <v>402</v>
      </c>
      <c r="P2086" s="74" t="s">
        <v>12291</v>
      </c>
      <c r="Q2086" s="74" t="s">
        <v>12292</v>
      </c>
    </row>
    <row r="2087" spans="3:17" x14ac:dyDescent="0.25">
      <c r="C2087" s="74" t="s">
        <v>12660</v>
      </c>
      <c r="D2087" s="74" t="s">
        <v>12661</v>
      </c>
      <c r="E2087" s="74" t="s">
        <v>391</v>
      </c>
      <c r="F2087" s="74">
        <v>0.13</v>
      </c>
      <c r="G2087" s="74"/>
      <c r="H2087" s="74"/>
      <c r="I2087" s="74" t="s">
        <v>391</v>
      </c>
      <c r="J2087" s="74"/>
      <c r="K2087" s="74">
        <v>102.4</v>
      </c>
      <c r="L2087" s="74">
        <v>92.16</v>
      </c>
      <c r="M2087" s="74"/>
      <c r="N2087" s="74" t="s">
        <v>392</v>
      </c>
      <c r="O2087" s="74" t="s">
        <v>393</v>
      </c>
      <c r="P2087" s="74"/>
      <c r="Q2087" s="74" t="s">
        <v>12662</v>
      </c>
    </row>
    <row r="2088" spans="3:17" x14ac:dyDescent="0.25">
      <c r="C2088" s="74" t="s">
        <v>15838</v>
      </c>
      <c r="D2088" s="74" t="s">
        <v>15839</v>
      </c>
      <c r="E2088" s="74"/>
      <c r="F2088" s="74">
        <v>0.13</v>
      </c>
      <c r="G2088" s="74"/>
      <c r="H2088" s="74"/>
      <c r="I2088" s="74" t="s">
        <v>391</v>
      </c>
      <c r="J2088" s="74"/>
      <c r="K2088" s="74">
        <v>102.4</v>
      </c>
      <c r="L2088" s="74">
        <v>92.16</v>
      </c>
      <c r="M2088" s="74"/>
      <c r="N2088" s="74" t="s">
        <v>392</v>
      </c>
      <c r="O2088" s="74" t="s">
        <v>402</v>
      </c>
      <c r="P2088" s="74" t="s">
        <v>15840</v>
      </c>
      <c r="Q2088" s="74" t="s">
        <v>15841</v>
      </c>
    </row>
    <row r="2089" spans="3:17" x14ac:dyDescent="0.25">
      <c r="C2089" s="74" t="s">
        <v>16059</v>
      </c>
      <c r="D2089" s="74" t="s">
        <v>16060</v>
      </c>
      <c r="E2089" s="74"/>
      <c r="F2089" s="74">
        <v>0.13</v>
      </c>
      <c r="G2089" s="74"/>
      <c r="H2089" s="74"/>
      <c r="I2089" s="74" t="s">
        <v>391</v>
      </c>
      <c r="J2089" s="74"/>
      <c r="K2089" s="74">
        <v>102.4</v>
      </c>
      <c r="L2089" s="74">
        <v>92.16</v>
      </c>
      <c r="M2089" s="74"/>
      <c r="N2089" s="74" t="s">
        <v>392</v>
      </c>
      <c r="O2089" s="74" t="s">
        <v>402</v>
      </c>
      <c r="P2089" s="74" t="s">
        <v>16061</v>
      </c>
      <c r="Q2089" s="74" t="s">
        <v>16062</v>
      </c>
    </row>
    <row r="2090" spans="3:17" x14ac:dyDescent="0.25">
      <c r="C2090" s="74" t="s">
        <v>16707</v>
      </c>
      <c r="D2090" s="74" t="s">
        <v>16708</v>
      </c>
      <c r="E2090" s="74"/>
      <c r="F2090" s="74">
        <v>0.13</v>
      </c>
      <c r="G2090" s="74"/>
      <c r="H2090" s="74"/>
      <c r="I2090" s="74" t="s">
        <v>391</v>
      </c>
      <c r="J2090" s="74"/>
      <c r="K2090" s="74">
        <v>102.4</v>
      </c>
      <c r="L2090" s="74">
        <v>92.16</v>
      </c>
      <c r="M2090" s="74"/>
      <c r="N2090" s="74" t="s">
        <v>392</v>
      </c>
      <c r="O2090" s="74" t="s">
        <v>402</v>
      </c>
      <c r="P2090" s="74" t="s">
        <v>16709</v>
      </c>
      <c r="Q2090" s="74" t="s">
        <v>16710</v>
      </c>
    </row>
    <row r="2091" spans="3:17" x14ac:dyDescent="0.25">
      <c r="C2091" s="74" t="s">
        <v>16936</v>
      </c>
      <c r="D2091" s="74" t="s">
        <v>16937</v>
      </c>
      <c r="E2091" s="74"/>
      <c r="F2091" s="74">
        <v>0.13</v>
      </c>
      <c r="G2091" s="74"/>
      <c r="H2091" s="74"/>
      <c r="I2091" s="74" t="s">
        <v>391</v>
      </c>
      <c r="J2091" s="74"/>
      <c r="K2091" s="74">
        <v>102.4</v>
      </c>
      <c r="L2091" s="74">
        <v>92.16</v>
      </c>
      <c r="M2091" s="74"/>
      <c r="N2091" s="74" t="s">
        <v>392</v>
      </c>
      <c r="O2091" s="74" t="s">
        <v>402</v>
      </c>
      <c r="P2091" s="74" t="s">
        <v>16938</v>
      </c>
      <c r="Q2091" s="74" t="s">
        <v>16939</v>
      </c>
    </row>
    <row r="2092" spans="3:17" x14ac:dyDescent="0.25">
      <c r="C2092" s="74" t="s">
        <v>17530</v>
      </c>
      <c r="D2092" s="74" t="s">
        <v>17531</v>
      </c>
      <c r="E2092" s="74"/>
      <c r="F2092" s="74">
        <v>0.13</v>
      </c>
      <c r="G2092" s="74"/>
      <c r="H2092" s="74"/>
      <c r="I2092" s="74" t="s">
        <v>391</v>
      </c>
      <c r="J2092" s="74"/>
      <c r="K2092" s="74">
        <v>102.4</v>
      </c>
      <c r="L2092" s="74">
        <v>92.16</v>
      </c>
      <c r="M2092" s="74"/>
      <c r="N2092" s="74" t="s">
        <v>392</v>
      </c>
      <c r="O2092" s="74" t="s">
        <v>402</v>
      </c>
      <c r="P2092" s="74" t="s">
        <v>17532</v>
      </c>
      <c r="Q2092" s="74" t="s">
        <v>17533</v>
      </c>
    </row>
    <row r="2093" spans="3:17" x14ac:dyDescent="0.25">
      <c r="C2093" s="74" t="s">
        <v>18177</v>
      </c>
      <c r="D2093" s="74" t="s">
        <v>18178</v>
      </c>
      <c r="E2093" s="74"/>
      <c r="F2093" s="74">
        <v>0.13</v>
      </c>
      <c r="G2093" s="74"/>
      <c r="H2093" s="74"/>
      <c r="I2093" s="74" t="s">
        <v>391</v>
      </c>
      <c r="J2093" s="74"/>
      <c r="K2093" s="74">
        <v>102.4</v>
      </c>
      <c r="L2093" s="74">
        <v>92.16</v>
      </c>
      <c r="M2093" s="74"/>
      <c r="N2093" s="74" t="s">
        <v>392</v>
      </c>
      <c r="O2093" s="74" t="s">
        <v>402</v>
      </c>
      <c r="P2093" s="74" t="s">
        <v>18179</v>
      </c>
      <c r="Q2093" s="74" t="s">
        <v>18180</v>
      </c>
    </row>
    <row r="2094" spans="3:17" x14ac:dyDescent="0.25">
      <c r="C2094" s="74" t="s">
        <v>18890</v>
      </c>
      <c r="D2094" s="74" t="s">
        <v>18891</v>
      </c>
      <c r="E2094" s="74"/>
      <c r="F2094" s="74">
        <v>0.13</v>
      </c>
      <c r="G2094" s="74"/>
      <c r="H2094" s="74"/>
      <c r="I2094" s="74" t="s">
        <v>391</v>
      </c>
      <c r="J2094" s="74"/>
      <c r="K2094" s="74">
        <v>102.4</v>
      </c>
      <c r="L2094" s="74">
        <v>92.16</v>
      </c>
      <c r="M2094" s="74"/>
      <c r="N2094" s="74" t="s">
        <v>392</v>
      </c>
      <c r="O2094" s="74" t="s">
        <v>402</v>
      </c>
      <c r="P2094" s="74" t="s">
        <v>18892</v>
      </c>
      <c r="Q2094" s="74" t="s">
        <v>18893</v>
      </c>
    </row>
    <row r="2095" spans="3:17" x14ac:dyDescent="0.25">
      <c r="C2095" s="74" t="s">
        <v>19472</v>
      </c>
      <c r="D2095" s="74" t="s">
        <v>19473</v>
      </c>
      <c r="E2095" s="74" t="s">
        <v>391</v>
      </c>
      <c r="F2095" s="74">
        <v>0.13</v>
      </c>
      <c r="G2095" s="74"/>
      <c r="H2095" s="74"/>
      <c r="I2095" s="74" t="s">
        <v>391</v>
      </c>
      <c r="J2095" s="74"/>
      <c r="K2095" s="74">
        <v>102.4</v>
      </c>
      <c r="L2095" s="74">
        <v>92.16</v>
      </c>
      <c r="M2095" s="74"/>
      <c r="N2095" s="74" t="s">
        <v>392</v>
      </c>
      <c r="O2095" s="74" t="s">
        <v>393</v>
      </c>
      <c r="P2095" s="74"/>
      <c r="Q2095" s="74" t="s">
        <v>19474</v>
      </c>
    </row>
    <row r="2096" spans="3:17" x14ac:dyDescent="0.25">
      <c r="C2096" s="74" t="s">
        <v>20067</v>
      </c>
      <c r="D2096" s="74" t="s">
        <v>20068</v>
      </c>
      <c r="E2096" s="74"/>
      <c r="F2096" s="74">
        <v>0.13</v>
      </c>
      <c r="G2096" s="74"/>
      <c r="H2096" s="74"/>
      <c r="I2096" s="74" t="s">
        <v>391</v>
      </c>
      <c r="J2096" s="74"/>
      <c r="K2096" s="74">
        <v>102.4</v>
      </c>
      <c r="L2096" s="74">
        <v>92.16</v>
      </c>
      <c r="M2096" s="74"/>
      <c r="N2096" s="74" t="s">
        <v>392</v>
      </c>
      <c r="O2096" s="74" t="s">
        <v>402</v>
      </c>
      <c r="P2096" s="74" t="s">
        <v>20069</v>
      </c>
      <c r="Q2096" s="74" t="s">
        <v>20070</v>
      </c>
    </row>
    <row r="2097" spans="3:17" x14ac:dyDescent="0.25">
      <c r="C2097" s="74" t="s">
        <v>20241</v>
      </c>
      <c r="D2097" s="74" t="s">
        <v>20242</v>
      </c>
      <c r="E2097" s="74" t="s">
        <v>391</v>
      </c>
      <c r="F2097" s="74">
        <v>0.13</v>
      </c>
      <c r="G2097" s="74"/>
      <c r="H2097" s="74"/>
      <c r="I2097" s="74" t="s">
        <v>391</v>
      </c>
      <c r="J2097" s="74"/>
      <c r="K2097" s="74">
        <v>102.4</v>
      </c>
      <c r="L2097" s="74">
        <v>92.16</v>
      </c>
      <c r="M2097" s="74"/>
      <c r="N2097" s="74" t="s">
        <v>392</v>
      </c>
      <c r="O2097" s="74" t="s">
        <v>393</v>
      </c>
      <c r="P2097" s="74"/>
      <c r="Q2097" s="74" t="s">
        <v>20243</v>
      </c>
    </row>
    <row r="2098" spans="3:17" x14ac:dyDescent="0.25">
      <c r="C2098" s="158" t="s">
        <v>803</v>
      </c>
      <c r="D2098" s="158" t="s">
        <v>804</v>
      </c>
      <c r="F2098" s="158">
        <v>0.12</v>
      </c>
      <c r="I2098" s="158" t="s">
        <v>391</v>
      </c>
      <c r="K2098" s="158">
        <v>102.4</v>
      </c>
      <c r="L2098" s="158">
        <v>92.16</v>
      </c>
      <c r="N2098" s="158" t="s">
        <v>392</v>
      </c>
      <c r="O2098" s="158" t="s">
        <v>402</v>
      </c>
      <c r="P2098" s="158" t="s">
        <v>805</v>
      </c>
      <c r="Q2098" s="158" t="s">
        <v>806</v>
      </c>
    </row>
    <row r="2099" spans="3:17" x14ac:dyDescent="0.25">
      <c r="C2099" s="74" t="s">
        <v>2171</v>
      </c>
      <c r="D2099" s="74" t="s">
        <v>2172</v>
      </c>
      <c r="E2099" s="74" t="s">
        <v>391</v>
      </c>
      <c r="F2099" s="74">
        <v>0.12</v>
      </c>
      <c r="G2099" s="74"/>
      <c r="H2099" s="74"/>
      <c r="I2099" s="74" t="s">
        <v>391</v>
      </c>
      <c r="J2099" s="74"/>
      <c r="K2099" s="74">
        <v>102.4</v>
      </c>
      <c r="L2099" s="74">
        <v>92.16</v>
      </c>
      <c r="M2099" s="74"/>
      <c r="N2099" s="74" t="s">
        <v>392</v>
      </c>
      <c r="O2099" s="74" t="s">
        <v>393</v>
      </c>
      <c r="P2099" s="74"/>
      <c r="Q2099" s="74" t="s">
        <v>2173</v>
      </c>
    </row>
    <row r="2100" spans="3:17" x14ac:dyDescent="0.25">
      <c r="C2100" s="74" t="s">
        <v>2428</v>
      </c>
      <c r="D2100" s="74" t="s">
        <v>2429</v>
      </c>
      <c r="E2100" s="74"/>
      <c r="F2100" s="74">
        <v>0.12</v>
      </c>
      <c r="G2100" s="74"/>
      <c r="H2100" s="74"/>
      <c r="I2100" s="74" t="s">
        <v>391</v>
      </c>
      <c r="J2100" s="74"/>
      <c r="K2100" s="74">
        <v>102.4</v>
      </c>
      <c r="L2100" s="74">
        <v>92.16</v>
      </c>
      <c r="M2100" s="74"/>
      <c r="N2100" s="74" t="s">
        <v>392</v>
      </c>
      <c r="O2100" s="74" t="s">
        <v>402</v>
      </c>
      <c r="P2100" s="74" t="s">
        <v>2430</v>
      </c>
      <c r="Q2100" s="74" t="s">
        <v>2431</v>
      </c>
    </row>
    <row r="2101" spans="3:17" x14ac:dyDescent="0.25">
      <c r="C2101" s="74" t="s">
        <v>3202</v>
      </c>
      <c r="D2101" s="74" t="s">
        <v>3203</v>
      </c>
      <c r="E2101" s="74"/>
      <c r="F2101" s="74">
        <v>0.12</v>
      </c>
      <c r="G2101" s="74"/>
      <c r="H2101" s="74"/>
      <c r="I2101" s="74" t="s">
        <v>391</v>
      </c>
      <c r="J2101" s="74"/>
      <c r="K2101" s="74">
        <v>102.4</v>
      </c>
      <c r="L2101" s="74">
        <v>92.16</v>
      </c>
      <c r="M2101" s="74"/>
      <c r="N2101" s="74" t="s">
        <v>392</v>
      </c>
      <c r="O2101" s="74" t="s">
        <v>402</v>
      </c>
      <c r="P2101" s="74" t="s">
        <v>3204</v>
      </c>
      <c r="Q2101" s="74" t="s">
        <v>3205</v>
      </c>
    </row>
    <row r="2102" spans="3:17" x14ac:dyDescent="0.25">
      <c r="C2102" s="74" t="s">
        <v>3288</v>
      </c>
      <c r="D2102" s="74" t="s">
        <v>3289</v>
      </c>
      <c r="E2102" s="74" t="s">
        <v>391</v>
      </c>
      <c r="F2102" s="74">
        <v>0.12</v>
      </c>
      <c r="G2102" s="74"/>
      <c r="H2102" s="74"/>
      <c r="I2102" s="74" t="s">
        <v>391</v>
      </c>
      <c r="J2102" s="74"/>
      <c r="K2102" s="74">
        <v>102.4</v>
      </c>
      <c r="L2102" s="74">
        <v>92.16</v>
      </c>
      <c r="M2102" s="74"/>
      <c r="N2102" s="74" t="s">
        <v>392</v>
      </c>
      <c r="O2102" s="74" t="s">
        <v>393</v>
      </c>
      <c r="P2102" s="74"/>
      <c r="Q2102" s="74" t="s">
        <v>3290</v>
      </c>
    </row>
    <row r="2103" spans="3:17" x14ac:dyDescent="0.25">
      <c r="C2103" s="74" t="s">
        <v>3388</v>
      </c>
      <c r="D2103" s="74" t="s">
        <v>2894</v>
      </c>
      <c r="E2103" s="74"/>
      <c r="F2103" s="74">
        <v>0.12</v>
      </c>
      <c r="G2103" s="74"/>
      <c r="H2103" s="74"/>
      <c r="I2103" s="74" t="s">
        <v>391</v>
      </c>
      <c r="J2103" s="74"/>
      <c r="K2103" s="74">
        <v>102.4</v>
      </c>
      <c r="L2103" s="74">
        <v>92.16</v>
      </c>
      <c r="M2103" s="74"/>
      <c r="N2103" s="74" t="s">
        <v>392</v>
      </c>
      <c r="O2103" s="74" t="s">
        <v>402</v>
      </c>
      <c r="P2103" s="74" t="s">
        <v>3389</v>
      </c>
      <c r="Q2103" s="74" t="s">
        <v>3390</v>
      </c>
    </row>
    <row r="2104" spans="3:17" x14ac:dyDescent="0.25">
      <c r="C2104" s="74" t="s">
        <v>3502</v>
      </c>
      <c r="D2104" s="74" t="s">
        <v>3503</v>
      </c>
      <c r="E2104" s="74"/>
      <c r="F2104" s="74">
        <v>0.12</v>
      </c>
      <c r="G2104" s="74"/>
      <c r="H2104" s="74"/>
      <c r="I2104" s="74" t="s">
        <v>391</v>
      </c>
      <c r="J2104" s="74"/>
      <c r="K2104" s="74">
        <v>102.4</v>
      </c>
      <c r="L2104" s="74">
        <v>92.16</v>
      </c>
      <c r="M2104" s="74"/>
      <c r="N2104" s="74" t="s">
        <v>392</v>
      </c>
      <c r="O2104" s="74" t="s">
        <v>402</v>
      </c>
      <c r="P2104" s="74" t="s">
        <v>3504</v>
      </c>
      <c r="Q2104" s="74" t="s">
        <v>3505</v>
      </c>
    </row>
    <row r="2105" spans="3:17" x14ac:dyDescent="0.25">
      <c r="C2105" s="74" t="s">
        <v>5534</v>
      </c>
      <c r="D2105" s="74" t="s">
        <v>5535</v>
      </c>
      <c r="E2105" s="74"/>
      <c r="F2105" s="74">
        <v>0.12</v>
      </c>
      <c r="G2105" s="74"/>
      <c r="H2105" s="74"/>
      <c r="I2105" s="74" t="s">
        <v>391</v>
      </c>
      <c r="J2105" s="74"/>
      <c r="K2105" s="74">
        <v>102.4</v>
      </c>
      <c r="L2105" s="74">
        <v>92.16</v>
      </c>
      <c r="M2105" s="74"/>
      <c r="N2105" s="74" t="s">
        <v>392</v>
      </c>
      <c r="O2105" s="74" t="s">
        <v>402</v>
      </c>
      <c r="P2105" s="74" t="s">
        <v>5536</v>
      </c>
      <c r="Q2105" s="74" t="s">
        <v>5537</v>
      </c>
    </row>
    <row r="2106" spans="3:17" x14ac:dyDescent="0.25">
      <c r="C2106" s="74" t="s">
        <v>5761</v>
      </c>
      <c r="D2106" s="74" t="s">
        <v>5762</v>
      </c>
      <c r="E2106" s="74"/>
      <c r="F2106" s="74">
        <v>0.12</v>
      </c>
      <c r="G2106" s="74"/>
      <c r="H2106" s="74"/>
      <c r="I2106" s="74" t="s">
        <v>391</v>
      </c>
      <c r="J2106" s="74"/>
      <c r="K2106" s="74">
        <v>102.4</v>
      </c>
      <c r="L2106" s="74">
        <v>92.16</v>
      </c>
      <c r="M2106" s="74"/>
      <c r="N2106" s="74" t="s">
        <v>392</v>
      </c>
      <c r="O2106" s="74" t="s">
        <v>402</v>
      </c>
      <c r="P2106" s="74" t="s">
        <v>5763</v>
      </c>
      <c r="Q2106" s="74" t="s">
        <v>5764</v>
      </c>
    </row>
    <row r="2107" spans="3:17" x14ac:dyDescent="0.25">
      <c r="C2107" s="74" t="s">
        <v>6749</v>
      </c>
      <c r="D2107" s="74" t="s">
        <v>6750</v>
      </c>
      <c r="E2107" s="74" t="s">
        <v>391</v>
      </c>
      <c r="F2107" s="74">
        <v>0.12</v>
      </c>
      <c r="G2107" s="74"/>
      <c r="H2107" s="74"/>
      <c r="I2107" s="74" t="s">
        <v>391</v>
      </c>
      <c r="J2107" s="74"/>
      <c r="K2107" s="74">
        <v>102.4</v>
      </c>
      <c r="L2107" s="74">
        <v>92.16</v>
      </c>
      <c r="M2107" s="74"/>
      <c r="N2107" s="74" t="s">
        <v>392</v>
      </c>
      <c r="O2107" s="74" t="s">
        <v>393</v>
      </c>
      <c r="P2107" s="74"/>
      <c r="Q2107" s="74" t="s">
        <v>6751</v>
      </c>
    </row>
    <row r="2108" spans="3:17" x14ac:dyDescent="0.25">
      <c r="C2108" s="74" t="s">
        <v>9539</v>
      </c>
      <c r="D2108" s="74" t="s">
        <v>9540</v>
      </c>
      <c r="E2108" s="74"/>
      <c r="F2108" s="74">
        <v>0.12</v>
      </c>
      <c r="G2108" s="74"/>
      <c r="H2108" s="74"/>
      <c r="I2108" s="74" t="s">
        <v>391</v>
      </c>
      <c r="J2108" s="74"/>
      <c r="K2108" s="74">
        <v>102.4</v>
      </c>
      <c r="L2108" s="74">
        <v>92.16</v>
      </c>
      <c r="M2108" s="74"/>
      <c r="N2108" s="74" t="s">
        <v>392</v>
      </c>
      <c r="O2108" s="74" t="s">
        <v>402</v>
      </c>
      <c r="P2108" s="74" t="s">
        <v>9541</v>
      </c>
      <c r="Q2108" s="74" t="s">
        <v>9542</v>
      </c>
    </row>
    <row r="2109" spans="3:17" x14ac:dyDescent="0.25">
      <c r="C2109" s="74" t="s">
        <v>9580</v>
      </c>
      <c r="D2109" s="74" t="s">
        <v>9581</v>
      </c>
      <c r="E2109" s="74" t="s">
        <v>391</v>
      </c>
      <c r="F2109" s="74">
        <v>0.12</v>
      </c>
      <c r="G2109" s="74"/>
      <c r="H2109" s="74"/>
      <c r="I2109" s="74" t="s">
        <v>391</v>
      </c>
      <c r="J2109" s="74"/>
      <c r="K2109" s="74">
        <v>102.4</v>
      </c>
      <c r="L2109" s="74">
        <v>92.16</v>
      </c>
      <c r="M2109" s="74"/>
      <c r="N2109" s="74" t="s">
        <v>392</v>
      </c>
      <c r="O2109" s="74" t="s">
        <v>393</v>
      </c>
      <c r="P2109" s="74"/>
      <c r="Q2109" s="74" t="s">
        <v>9582</v>
      </c>
    </row>
    <row r="2110" spans="3:17" x14ac:dyDescent="0.25">
      <c r="C2110" s="74" t="s">
        <v>10382</v>
      </c>
      <c r="D2110" s="74" t="s">
        <v>10383</v>
      </c>
      <c r="E2110" s="74" t="s">
        <v>391</v>
      </c>
      <c r="F2110" s="74">
        <v>0.12</v>
      </c>
      <c r="G2110" s="74"/>
      <c r="H2110" s="74"/>
      <c r="I2110" s="74" t="s">
        <v>391</v>
      </c>
      <c r="J2110" s="74"/>
      <c r="K2110" s="74">
        <v>102.4</v>
      </c>
      <c r="L2110" s="74">
        <v>92.16</v>
      </c>
      <c r="M2110" s="74"/>
      <c r="N2110" s="74" t="s">
        <v>392</v>
      </c>
      <c r="O2110" s="74" t="s">
        <v>393</v>
      </c>
      <c r="P2110" s="74"/>
      <c r="Q2110" s="74" t="s">
        <v>10384</v>
      </c>
    </row>
    <row r="2111" spans="3:17" x14ac:dyDescent="0.25">
      <c r="C2111" s="74" t="s">
        <v>12734</v>
      </c>
      <c r="D2111" s="74" t="s">
        <v>12735</v>
      </c>
      <c r="E2111" s="74" t="s">
        <v>391</v>
      </c>
      <c r="F2111" s="74">
        <v>0.12</v>
      </c>
      <c r="G2111" s="74"/>
      <c r="H2111" s="74"/>
      <c r="I2111" s="74" t="s">
        <v>391</v>
      </c>
      <c r="J2111" s="74"/>
      <c r="K2111" s="74">
        <v>102.4</v>
      </c>
      <c r="L2111" s="74">
        <v>92.16</v>
      </c>
      <c r="M2111" s="74"/>
      <c r="N2111" s="74" t="s">
        <v>392</v>
      </c>
      <c r="O2111" s="74" t="s">
        <v>393</v>
      </c>
      <c r="P2111" s="74"/>
      <c r="Q2111" s="74" t="s">
        <v>12736</v>
      </c>
    </row>
    <row r="2112" spans="3:17" x14ac:dyDescent="0.25">
      <c r="C2112" s="74" t="s">
        <v>13448</v>
      </c>
      <c r="D2112" s="74" t="s">
        <v>13449</v>
      </c>
      <c r="E2112" s="74" t="s">
        <v>391</v>
      </c>
      <c r="F2112" s="74">
        <v>0.12</v>
      </c>
      <c r="G2112" s="74"/>
      <c r="H2112" s="74"/>
      <c r="I2112" s="74" t="s">
        <v>391</v>
      </c>
      <c r="J2112" s="74"/>
      <c r="K2112" s="74">
        <v>102.4</v>
      </c>
      <c r="L2112" s="74">
        <v>92.16</v>
      </c>
      <c r="M2112" s="74"/>
      <c r="N2112" s="74" t="s">
        <v>392</v>
      </c>
      <c r="O2112" s="74" t="s">
        <v>393</v>
      </c>
      <c r="P2112" s="74"/>
      <c r="Q2112" s="74" t="s">
        <v>13450</v>
      </c>
    </row>
    <row r="2113" spans="3:17" x14ac:dyDescent="0.25">
      <c r="C2113" s="74" t="s">
        <v>14355</v>
      </c>
      <c r="D2113" s="74" t="s">
        <v>14356</v>
      </c>
      <c r="E2113" s="74"/>
      <c r="F2113" s="74">
        <v>0.12</v>
      </c>
      <c r="G2113" s="74"/>
      <c r="H2113" s="74"/>
      <c r="I2113" s="74" t="s">
        <v>391</v>
      </c>
      <c r="J2113" s="74"/>
      <c r="K2113" s="74">
        <v>102.4</v>
      </c>
      <c r="L2113" s="74">
        <v>92.16</v>
      </c>
      <c r="M2113" s="74"/>
      <c r="N2113" s="74" t="s">
        <v>392</v>
      </c>
      <c r="O2113" s="74" t="s">
        <v>402</v>
      </c>
      <c r="P2113" s="74" t="s">
        <v>14357</v>
      </c>
      <c r="Q2113" s="74" t="s">
        <v>14358</v>
      </c>
    </row>
    <row r="2114" spans="3:17" x14ac:dyDescent="0.25">
      <c r="C2114" s="74" t="s">
        <v>15556</v>
      </c>
      <c r="D2114" s="74" t="s">
        <v>15557</v>
      </c>
      <c r="E2114" s="74"/>
      <c r="F2114" s="74">
        <v>0.12</v>
      </c>
      <c r="G2114" s="74"/>
      <c r="H2114" s="74"/>
      <c r="I2114" s="74" t="s">
        <v>391</v>
      </c>
      <c r="J2114" s="74"/>
      <c r="K2114" s="74">
        <v>102.4</v>
      </c>
      <c r="L2114" s="74">
        <v>92.16</v>
      </c>
      <c r="M2114" s="74"/>
      <c r="N2114" s="74" t="s">
        <v>392</v>
      </c>
      <c r="O2114" s="74" t="s">
        <v>402</v>
      </c>
      <c r="P2114" s="74" t="s">
        <v>15558</v>
      </c>
      <c r="Q2114" s="74" t="s">
        <v>15559</v>
      </c>
    </row>
    <row r="2115" spans="3:17" x14ac:dyDescent="0.25">
      <c r="C2115" s="74" t="s">
        <v>18505</v>
      </c>
      <c r="D2115" s="74" t="s">
        <v>18506</v>
      </c>
      <c r="E2115" s="74"/>
      <c r="F2115" s="74">
        <v>0.12</v>
      </c>
      <c r="G2115" s="74"/>
      <c r="H2115" s="74"/>
      <c r="I2115" s="74" t="s">
        <v>391</v>
      </c>
      <c r="J2115" s="74"/>
      <c r="K2115" s="74">
        <v>102.4</v>
      </c>
      <c r="L2115" s="74">
        <v>92.16</v>
      </c>
      <c r="M2115" s="74"/>
      <c r="N2115" s="74" t="s">
        <v>392</v>
      </c>
      <c r="O2115" s="74" t="s">
        <v>402</v>
      </c>
      <c r="P2115" s="74" t="s">
        <v>18507</v>
      </c>
      <c r="Q2115" s="74" t="s">
        <v>18508</v>
      </c>
    </row>
    <row r="2116" spans="3:17" x14ac:dyDescent="0.25">
      <c r="C2116" s="74" t="s">
        <v>19318</v>
      </c>
      <c r="D2116" s="74" t="s">
        <v>19319</v>
      </c>
      <c r="E2116" s="74"/>
      <c r="F2116" s="74">
        <v>0.12</v>
      </c>
      <c r="G2116" s="74"/>
      <c r="H2116" s="74"/>
      <c r="I2116" s="74" t="s">
        <v>391</v>
      </c>
      <c r="J2116" s="74"/>
      <c r="K2116" s="74">
        <v>102.4</v>
      </c>
      <c r="L2116" s="74">
        <v>92.16</v>
      </c>
      <c r="M2116" s="74"/>
      <c r="N2116" s="74" t="s">
        <v>392</v>
      </c>
      <c r="O2116" s="74" t="s">
        <v>402</v>
      </c>
      <c r="P2116" s="74" t="s">
        <v>19320</v>
      </c>
      <c r="Q2116" s="74" t="s">
        <v>19321</v>
      </c>
    </row>
    <row r="2117" spans="3:17" x14ac:dyDescent="0.25">
      <c r="C2117" s="74" t="s">
        <v>19602</v>
      </c>
      <c r="D2117" s="74" t="s">
        <v>19603</v>
      </c>
      <c r="E2117" s="74"/>
      <c r="F2117" s="74">
        <v>0.12</v>
      </c>
      <c r="G2117" s="74"/>
      <c r="H2117" s="74"/>
      <c r="I2117" s="74" t="s">
        <v>391</v>
      </c>
      <c r="J2117" s="74"/>
      <c r="K2117" s="74">
        <v>102.4</v>
      </c>
      <c r="L2117" s="74">
        <v>92.16</v>
      </c>
      <c r="M2117" s="74"/>
      <c r="N2117" s="74" t="s">
        <v>392</v>
      </c>
      <c r="O2117" s="74" t="s">
        <v>402</v>
      </c>
      <c r="P2117" s="74" t="s">
        <v>19604</v>
      </c>
      <c r="Q2117" s="74" t="s">
        <v>19605</v>
      </c>
    </row>
    <row r="2118" spans="3:17" x14ac:dyDescent="0.25">
      <c r="C2118" s="74" t="s">
        <v>19696</v>
      </c>
      <c r="D2118" s="74" t="s">
        <v>19697</v>
      </c>
      <c r="E2118" s="74"/>
      <c r="F2118" s="74">
        <v>0.12</v>
      </c>
      <c r="G2118" s="74"/>
      <c r="H2118" s="74"/>
      <c r="I2118" s="74" t="s">
        <v>391</v>
      </c>
      <c r="J2118" s="74"/>
      <c r="K2118" s="74">
        <v>102.4</v>
      </c>
      <c r="L2118" s="74">
        <v>92.16</v>
      </c>
      <c r="M2118" s="74"/>
      <c r="N2118" s="74" t="s">
        <v>392</v>
      </c>
      <c r="O2118" s="74" t="s">
        <v>402</v>
      </c>
      <c r="P2118" s="74" t="s">
        <v>19698</v>
      </c>
      <c r="Q2118" s="74" t="s">
        <v>19699</v>
      </c>
    </row>
    <row r="2119" spans="3:17" x14ac:dyDescent="0.25">
      <c r="C2119" s="74" t="s">
        <v>20994</v>
      </c>
      <c r="D2119" s="74" t="s">
        <v>20995</v>
      </c>
      <c r="E2119" s="74"/>
      <c r="F2119" s="74">
        <v>0.12</v>
      </c>
      <c r="G2119" s="74"/>
      <c r="H2119" s="74"/>
      <c r="I2119" s="74" t="s">
        <v>391</v>
      </c>
      <c r="J2119" s="74"/>
      <c r="K2119" s="74">
        <v>102.4</v>
      </c>
      <c r="L2119" s="74">
        <v>92.16</v>
      </c>
      <c r="M2119" s="74"/>
      <c r="N2119" s="74" t="s">
        <v>392</v>
      </c>
      <c r="O2119" s="74" t="s">
        <v>402</v>
      </c>
      <c r="P2119" s="74" t="s">
        <v>20996</v>
      </c>
      <c r="Q2119" s="74" t="s">
        <v>20997</v>
      </c>
    </row>
    <row r="2120" spans="3:17" x14ac:dyDescent="0.25">
      <c r="C2120" s="74" t="s">
        <v>1379</v>
      </c>
      <c r="D2120" s="74" t="s">
        <v>1380</v>
      </c>
      <c r="E2120" s="74" t="s">
        <v>391</v>
      </c>
      <c r="F2120" s="74">
        <v>0.11</v>
      </c>
      <c r="G2120" s="74"/>
      <c r="H2120" s="74"/>
      <c r="I2120" s="74" t="s">
        <v>391</v>
      </c>
      <c r="J2120" s="74"/>
      <c r="K2120" s="74">
        <v>102.4</v>
      </c>
      <c r="L2120" s="74">
        <v>92.16</v>
      </c>
      <c r="M2120" s="74"/>
      <c r="N2120" s="74" t="s">
        <v>392</v>
      </c>
      <c r="O2120" s="74" t="s">
        <v>393</v>
      </c>
      <c r="P2120" s="74"/>
      <c r="Q2120" s="74" t="s">
        <v>1381</v>
      </c>
    </row>
    <row r="2121" spans="3:17" x14ac:dyDescent="0.25">
      <c r="C2121" s="74" t="s">
        <v>1665</v>
      </c>
      <c r="D2121" s="74" t="s">
        <v>1666</v>
      </c>
      <c r="E2121" s="74" t="s">
        <v>391</v>
      </c>
      <c r="F2121" s="74">
        <v>0.11</v>
      </c>
      <c r="G2121" s="74"/>
      <c r="H2121" s="74"/>
      <c r="I2121" s="74" t="s">
        <v>391</v>
      </c>
      <c r="J2121" s="74"/>
      <c r="K2121" s="74">
        <v>102.4</v>
      </c>
      <c r="L2121" s="74">
        <v>92.16</v>
      </c>
      <c r="M2121" s="74"/>
      <c r="N2121" s="74" t="s">
        <v>392</v>
      </c>
      <c r="O2121" s="74" t="s">
        <v>393</v>
      </c>
      <c r="P2121" s="74"/>
      <c r="Q2121" s="74" t="s">
        <v>1667</v>
      </c>
    </row>
    <row r="2122" spans="3:17" x14ac:dyDescent="0.25">
      <c r="C2122" s="74" t="s">
        <v>2568</v>
      </c>
      <c r="D2122" s="74" t="s">
        <v>2569</v>
      </c>
      <c r="E2122" s="74"/>
      <c r="F2122" s="74">
        <v>0.11</v>
      </c>
      <c r="G2122" s="74"/>
      <c r="H2122" s="74"/>
      <c r="I2122" s="74" t="s">
        <v>391</v>
      </c>
      <c r="J2122" s="74"/>
      <c r="K2122" s="74">
        <v>102.4</v>
      </c>
      <c r="L2122" s="74">
        <v>92.16</v>
      </c>
      <c r="M2122" s="74"/>
      <c r="N2122" s="74" t="s">
        <v>392</v>
      </c>
      <c r="O2122" s="74" t="s">
        <v>402</v>
      </c>
      <c r="P2122" s="74" t="s">
        <v>2570</v>
      </c>
      <c r="Q2122" s="74" t="s">
        <v>2571</v>
      </c>
    </row>
    <row r="2123" spans="3:17" x14ac:dyDescent="0.25">
      <c r="C2123" s="74" t="s">
        <v>2885</v>
      </c>
      <c r="D2123" s="74" t="s">
        <v>2886</v>
      </c>
      <c r="E2123" s="74"/>
      <c r="F2123" s="74">
        <v>0.11</v>
      </c>
      <c r="G2123" s="74"/>
      <c r="H2123" s="74"/>
      <c r="I2123" s="74" t="s">
        <v>391</v>
      </c>
      <c r="J2123" s="74"/>
      <c r="K2123" s="74">
        <v>102.4</v>
      </c>
      <c r="L2123" s="74">
        <v>92.16</v>
      </c>
      <c r="M2123" s="74"/>
      <c r="N2123" s="74" t="s">
        <v>392</v>
      </c>
      <c r="O2123" s="74" t="s">
        <v>402</v>
      </c>
      <c r="P2123" s="74" t="s">
        <v>2887</v>
      </c>
      <c r="Q2123" s="74" t="s">
        <v>2888</v>
      </c>
    </row>
    <row r="2124" spans="3:17" x14ac:dyDescent="0.25">
      <c r="C2124" s="74" t="s">
        <v>3406</v>
      </c>
      <c r="D2124" s="74" t="s">
        <v>3407</v>
      </c>
      <c r="E2124" s="74"/>
      <c r="F2124" s="74">
        <v>0.11</v>
      </c>
      <c r="G2124" s="74"/>
      <c r="H2124" s="74"/>
      <c r="I2124" s="74" t="s">
        <v>391</v>
      </c>
      <c r="J2124" s="74"/>
      <c r="K2124" s="74">
        <v>102.4</v>
      </c>
      <c r="L2124" s="74">
        <v>92.16</v>
      </c>
      <c r="M2124" s="74"/>
      <c r="N2124" s="74" t="s">
        <v>392</v>
      </c>
      <c r="O2124" s="74" t="s">
        <v>402</v>
      </c>
      <c r="P2124" s="74" t="s">
        <v>3408</v>
      </c>
      <c r="Q2124" s="74" t="s">
        <v>3409</v>
      </c>
    </row>
    <row r="2125" spans="3:17" x14ac:dyDescent="0.25">
      <c r="C2125" s="74" t="s">
        <v>3540</v>
      </c>
      <c r="D2125" s="74" t="s">
        <v>3541</v>
      </c>
      <c r="E2125" s="74" t="s">
        <v>391</v>
      </c>
      <c r="F2125" s="74">
        <v>0.11</v>
      </c>
      <c r="G2125" s="74"/>
      <c r="H2125" s="74"/>
      <c r="I2125" s="74" t="s">
        <v>391</v>
      </c>
      <c r="J2125" s="74"/>
      <c r="K2125" s="74">
        <v>102.4</v>
      </c>
      <c r="L2125" s="74">
        <v>92.16</v>
      </c>
      <c r="M2125" s="74"/>
      <c r="N2125" s="74" t="s">
        <v>392</v>
      </c>
      <c r="O2125" s="74" t="s">
        <v>393</v>
      </c>
      <c r="P2125" s="74"/>
      <c r="Q2125" s="74" t="s">
        <v>3542</v>
      </c>
    </row>
    <row r="2126" spans="3:17" x14ac:dyDescent="0.25">
      <c r="C2126" s="74" t="s">
        <v>3565</v>
      </c>
      <c r="D2126" s="74" t="s">
        <v>3566</v>
      </c>
      <c r="E2126" s="74"/>
      <c r="F2126" s="74">
        <v>0.11</v>
      </c>
      <c r="G2126" s="74"/>
      <c r="H2126" s="74"/>
      <c r="I2126" s="74" t="s">
        <v>391</v>
      </c>
      <c r="J2126" s="74"/>
      <c r="K2126" s="74">
        <v>102.4</v>
      </c>
      <c r="L2126" s="74">
        <v>92.16</v>
      </c>
      <c r="M2126" s="74"/>
      <c r="N2126" s="74" t="s">
        <v>392</v>
      </c>
      <c r="O2126" s="74" t="s">
        <v>402</v>
      </c>
      <c r="P2126" s="74" t="s">
        <v>3567</v>
      </c>
      <c r="Q2126" s="74" t="s">
        <v>3568</v>
      </c>
    </row>
    <row r="2127" spans="3:17" x14ac:dyDescent="0.25">
      <c r="C2127" s="74" t="s">
        <v>4725</v>
      </c>
      <c r="D2127" s="74" t="s">
        <v>4726</v>
      </c>
      <c r="E2127" s="74"/>
      <c r="F2127" s="74">
        <v>0.11</v>
      </c>
      <c r="G2127" s="74"/>
      <c r="H2127" s="74"/>
      <c r="I2127" s="74" t="s">
        <v>391</v>
      </c>
      <c r="J2127" s="74"/>
      <c r="K2127" s="74">
        <v>102.4</v>
      </c>
      <c r="L2127" s="74">
        <v>92.16</v>
      </c>
      <c r="M2127" s="74"/>
      <c r="N2127" s="74" t="s">
        <v>392</v>
      </c>
      <c r="O2127" s="74" t="s">
        <v>402</v>
      </c>
      <c r="P2127" s="74" t="s">
        <v>4727</v>
      </c>
      <c r="Q2127" s="74" t="s">
        <v>4728</v>
      </c>
    </row>
    <row r="2128" spans="3:17" x14ac:dyDescent="0.25">
      <c r="C2128" s="74" t="s">
        <v>6121</v>
      </c>
      <c r="D2128" s="74" t="s">
        <v>6122</v>
      </c>
      <c r="E2128" s="74"/>
      <c r="F2128" s="74">
        <v>0.11</v>
      </c>
      <c r="G2128" s="74"/>
      <c r="H2128" s="74"/>
      <c r="I2128" s="74" t="s">
        <v>391</v>
      </c>
      <c r="J2128" s="74"/>
      <c r="K2128" s="74">
        <v>102.4</v>
      </c>
      <c r="L2128" s="74">
        <v>92.16</v>
      </c>
      <c r="M2128" s="74"/>
      <c r="N2128" s="74" t="s">
        <v>392</v>
      </c>
      <c r="O2128" s="74" t="s">
        <v>402</v>
      </c>
      <c r="P2128" s="74" t="s">
        <v>6123</v>
      </c>
      <c r="Q2128" s="74" t="s">
        <v>6124</v>
      </c>
    </row>
    <row r="2129" spans="3:17" x14ac:dyDescent="0.25">
      <c r="C2129" s="158" t="s">
        <v>6425</v>
      </c>
      <c r="D2129" s="158" t="s">
        <v>6426</v>
      </c>
      <c r="F2129" s="158">
        <v>0.11</v>
      </c>
      <c r="I2129" s="158" t="s">
        <v>391</v>
      </c>
      <c r="K2129" s="158">
        <v>102.4</v>
      </c>
      <c r="L2129" s="158">
        <v>92.16</v>
      </c>
      <c r="N2129" s="158" t="s">
        <v>392</v>
      </c>
      <c r="O2129" s="158" t="s">
        <v>402</v>
      </c>
      <c r="P2129" s="158" t="s">
        <v>6427</v>
      </c>
      <c r="Q2129" s="158" t="s">
        <v>6428</v>
      </c>
    </row>
    <row r="2130" spans="3:17" x14ac:dyDescent="0.25">
      <c r="C2130" s="74" t="s">
        <v>7084</v>
      </c>
      <c r="D2130" s="74" t="s">
        <v>7085</v>
      </c>
      <c r="E2130" s="74"/>
      <c r="F2130" s="74">
        <v>0.11</v>
      </c>
      <c r="G2130" s="74"/>
      <c r="H2130" s="74"/>
      <c r="I2130" s="74" t="s">
        <v>391</v>
      </c>
      <c r="J2130" s="74"/>
      <c r="K2130" s="74">
        <v>102.4</v>
      </c>
      <c r="L2130" s="74">
        <v>92.16</v>
      </c>
      <c r="M2130" s="74"/>
      <c r="N2130" s="74" t="s">
        <v>392</v>
      </c>
      <c r="O2130" s="74" t="s">
        <v>402</v>
      </c>
      <c r="P2130" s="74" t="s">
        <v>7086</v>
      </c>
      <c r="Q2130" s="74" t="s">
        <v>7087</v>
      </c>
    </row>
    <row r="2131" spans="3:17" x14ac:dyDescent="0.25">
      <c r="C2131" s="74" t="s">
        <v>7272</v>
      </c>
      <c r="D2131" s="74" t="s">
        <v>7273</v>
      </c>
      <c r="E2131" s="74"/>
      <c r="F2131" s="74">
        <v>0.11</v>
      </c>
      <c r="G2131" s="74"/>
      <c r="H2131" s="74"/>
      <c r="I2131" s="74" t="s">
        <v>391</v>
      </c>
      <c r="J2131" s="74"/>
      <c r="K2131" s="74">
        <v>102.4</v>
      </c>
      <c r="L2131" s="74">
        <v>92.16</v>
      </c>
      <c r="M2131" s="74"/>
      <c r="N2131" s="74" t="s">
        <v>392</v>
      </c>
      <c r="O2131" s="74" t="s">
        <v>402</v>
      </c>
      <c r="P2131" s="74" t="s">
        <v>7274</v>
      </c>
      <c r="Q2131" s="74" t="s">
        <v>7275</v>
      </c>
    </row>
    <row r="2132" spans="3:17" x14ac:dyDescent="0.25">
      <c r="C2132" s="74" t="s">
        <v>7289</v>
      </c>
      <c r="D2132" s="74" t="s">
        <v>7290</v>
      </c>
      <c r="E2132" s="74"/>
      <c r="F2132" s="74">
        <v>0.11</v>
      </c>
      <c r="G2132" s="74"/>
      <c r="H2132" s="74"/>
      <c r="I2132" s="74" t="s">
        <v>391</v>
      </c>
      <c r="J2132" s="74"/>
      <c r="K2132" s="74">
        <v>102.4</v>
      </c>
      <c r="L2132" s="74">
        <v>92.16</v>
      </c>
      <c r="M2132" s="74"/>
      <c r="N2132" s="74" t="s">
        <v>392</v>
      </c>
      <c r="O2132" s="74" t="s">
        <v>402</v>
      </c>
      <c r="P2132" s="74" t="s">
        <v>7291</v>
      </c>
      <c r="Q2132" s="74" t="s">
        <v>7292</v>
      </c>
    </row>
    <row r="2133" spans="3:17" x14ac:dyDescent="0.25">
      <c r="C2133" s="74" t="s">
        <v>8195</v>
      </c>
      <c r="D2133" s="74" t="s">
        <v>8196</v>
      </c>
      <c r="E2133" s="74" t="s">
        <v>391</v>
      </c>
      <c r="F2133" s="74">
        <v>0.11</v>
      </c>
      <c r="G2133" s="74"/>
      <c r="H2133" s="74"/>
      <c r="I2133" s="74" t="s">
        <v>391</v>
      </c>
      <c r="J2133" s="74"/>
      <c r="K2133" s="74">
        <v>102.4</v>
      </c>
      <c r="L2133" s="74">
        <v>92.16</v>
      </c>
      <c r="M2133" s="74"/>
      <c r="N2133" s="74" t="s">
        <v>392</v>
      </c>
      <c r="O2133" s="74" t="s">
        <v>393</v>
      </c>
      <c r="P2133" s="74"/>
      <c r="Q2133" s="74" t="s">
        <v>8197</v>
      </c>
    </row>
    <row r="2134" spans="3:17" x14ac:dyDescent="0.25">
      <c r="C2134" s="74" t="s">
        <v>10139</v>
      </c>
      <c r="D2134" s="74" t="s">
        <v>10140</v>
      </c>
      <c r="E2134" s="74" t="s">
        <v>391</v>
      </c>
      <c r="F2134" s="74">
        <v>0.11</v>
      </c>
      <c r="G2134" s="74"/>
      <c r="H2134" s="74"/>
      <c r="I2134" s="74" t="s">
        <v>391</v>
      </c>
      <c r="J2134" s="74"/>
      <c r="K2134" s="74">
        <v>102.4</v>
      </c>
      <c r="L2134" s="74">
        <v>92.16</v>
      </c>
      <c r="M2134" s="74"/>
      <c r="N2134" s="74" t="s">
        <v>392</v>
      </c>
      <c r="O2134" s="74" t="s">
        <v>393</v>
      </c>
      <c r="P2134" s="74"/>
      <c r="Q2134" s="74" t="s">
        <v>10141</v>
      </c>
    </row>
    <row r="2135" spans="3:17" x14ac:dyDescent="0.25">
      <c r="C2135" s="74" t="s">
        <v>11023</v>
      </c>
      <c r="D2135" s="74" t="s">
        <v>11024</v>
      </c>
      <c r="E2135" s="74"/>
      <c r="F2135" s="74">
        <v>0.11</v>
      </c>
      <c r="G2135" s="74"/>
      <c r="H2135" s="74"/>
      <c r="I2135" s="74" t="s">
        <v>391</v>
      </c>
      <c r="J2135" s="74"/>
      <c r="K2135" s="74">
        <v>102.4</v>
      </c>
      <c r="L2135" s="74">
        <v>92.16</v>
      </c>
      <c r="M2135" s="74"/>
      <c r="N2135" s="74" t="s">
        <v>392</v>
      </c>
      <c r="O2135" s="74" t="s">
        <v>402</v>
      </c>
      <c r="P2135" s="74" t="s">
        <v>11025</v>
      </c>
      <c r="Q2135" s="74" t="s">
        <v>11026</v>
      </c>
    </row>
    <row r="2136" spans="3:17" x14ac:dyDescent="0.25">
      <c r="C2136" s="74" t="s">
        <v>11468</v>
      </c>
      <c r="D2136" s="74" t="s">
        <v>11469</v>
      </c>
      <c r="E2136" s="74"/>
      <c r="F2136" s="74">
        <v>0.11</v>
      </c>
      <c r="G2136" s="74"/>
      <c r="H2136" s="74"/>
      <c r="I2136" s="74" t="s">
        <v>391</v>
      </c>
      <c r="J2136" s="74"/>
      <c r="K2136" s="74">
        <v>102.4</v>
      </c>
      <c r="L2136" s="74">
        <v>92.16</v>
      </c>
      <c r="M2136" s="74"/>
      <c r="N2136" s="74" t="s">
        <v>392</v>
      </c>
      <c r="O2136" s="74" t="s">
        <v>402</v>
      </c>
      <c r="P2136" s="74" t="s">
        <v>11470</v>
      </c>
      <c r="Q2136" s="74" t="s">
        <v>11471</v>
      </c>
    </row>
    <row r="2137" spans="3:17" x14ac:dyDescent="0.25">
      <c r="C2137" s="74" t="s">
        <v>11832</v>
      </c>
      <c r="D2137" s="74" t="s">
        <v>11833</v>
      </c>
      <c r="E2137" s="74"/>
      <c r="F2137" s="74">
        <v>0.11</v>
      </c>
      <c r="G2137" s="74"/>
      <c r="H2137" s="74"/>
      <c r="I2137" s="74" t="s">
        <v>391</v>
      </c>
      <c r="J2137" s="74"/>
      <c r="K2137" s="74">
        <v>102.4</v>
      </c>
      <c r="L2137" s="74">
        <v>92.16</v>
      </c>
      <c r="M2137" s="74"/>
      <c r="N2137" s="74" t="s">
        <v>392</v>
      </c>
      <c r="O2137" s="74" t="s">
        <v>402</v>
      </c>
      <c r="P2137" s="74" t="s">
        <v>11834</v>
      </c>
      <c r="Q2137" s="74" t="s">
        <v>11835</v>
      </c>
    </row>
    <row r="2138" spans="3:17" x14ac:dyDescent="0.25">
      <c r="C2138" s="74" t="s">
        <v>13117</v>
      </c>
      <c r="D2138" s="74" t="s">
        <v>13118</v>
      </c>
      <c r="E2138" s="74"/>
      <c r="F2138" s="74">
        <v>0.11</v>
      </c>
      <c r="G2138" s="74"/>
      <c r="H2138" s="74"/>
      <c r="I2138" s="74" t="s">
        <v>391</v>
      </c>
      <c r="J2138" s="74"/>
      <c r="K2138" s="74">
        <v>102.4</v>
      </c>
      <c r="L2138" s="74">
        <v>92.16</v>
      </c>
      <c r="M2138" s="74"/>
      <c r="N2138" s="74" t="s">
        <v>392</v>
      </c>
      <c r="O2138" s="74" t="s">
        <v>402</v>
      </c>
      <c r="P2138" s="74" t="s">
        <v>13119</v>
      </c>
      <c r="Q2138" s="74" t="s">
        <v>13120</v>
      </c>
    </row>
    <row r="2139" spans="3:17" x14ac:dyDescent="0.25">
      <c r="C2139" s="74" t="s">
        <v>14239</v>
      </c>
      <c r="D2139" s="74" t="s">
        <v>14240</v>
      </c>
      <c r="E2139" s="74"/>
      <c r="F2139" s="74">
        <v>0.11</v>
      </c>
      <c r="G2139" s="74"/>
      <c r="H2139" s="74"/>
      <c r="I2139" s="74" t="s">
        <v>391</v>
      </c>
      <c r="J2139" s="74"/>
      <c r="K2139" s="74">
        <v>102.4</v>
      </c>
      <c r="L2139" s="74">
        <v>92.16</v>
      </c>
      <c r="M2139" s="74"/>
      <c r="N2139" s="74" t="s">
        <v>392</v>
      </c>
      <c r="O2139" s="74" t="s">
        <v>402</v>
      </c>
      <c r="P2139" s="74" t="s">
        <v>14241</v>
      </c>
      <c r="Q2139" s="74" t="s">
        <v>14242</v>
      </c>
    </row>
    <row r="2140" spans="3:17" x14ac:dyDescent="0.25">
      <c r="C2140" s="158" t="s">
        <v>15051</v>
      </c>
      <c r="D2140" s="158" t="s">
        <v>15052</v>
      </c>
      <c r="E2140" s="158" t="s">
        <v>391</v>
      </c>
      <c r="F2140" s="158">
        <v>0.11</v>
      </c>
      <c r="I2140" s="158" t="s">
        <v>391</v>
      </c>
      <c r="K2140" s="158">
        <v>102.4</v>
      </c>
      <c r="L2140" s="158">
        <v>92.16</v>
      </c>
      <c r="N2140" s="158" t="s">
        <v>392</v>
      </c>
      <c r="O2140" s="158" t="s">
        <v>393</v>
      </c>
      <c r="P2140" s="158" t="s">
        <v>15053</v>
      </c>
      <c r="Q2140" s="158" t="s">
        <v>15054</v>
      </c>
    </row>
    <row r="2141" spans="3:17" x14ac:dyDescent="0.25">
      <c r="C2141" s="74" t="s">
        <v>15283</v>
      </c>
      <c r="D2141" s="74" t="s">
        <v>15284</v>
      </c>
      <c r="E2141" s="74" t="s">
        <v>391</v>
      </c>
      <c r="F2141" s="74">
        <v>0.11</v>
      </c>
      <c r="G2141" s="74"/>
      <c r="H2141" s="74"/>
      <c r="I2141" s="74" t="s">
        <v>391</v>
      </c>
      <c r="J2141" s="74"/>
      <c r="K2141" s="74">
        <v>102.4</v>
      </c>
      <c r="L2141" s="74">
        <v>92.16</v>
      </c>
      <c r="M2141" s="74"/>
      <c r="N2141" s="74" t="s">
        <v>392</v>
      </c>
      <c r="O2141" s="74" t="s">
        <v>393</v>
      </c>
      <c r="P2141" s="74"/>
      <c r="Q2141" s="74" t="s">
        <v>15285</v>
      </c>
    </row>
    <row r="2142" spans="3:17" x14ac:dyDescent="0.25">
      <c r="C2142" s="74" t="s">
        <v>15751</v>
      </c>
      <c r="D2142" s="74" t="s">
        <v>15752</v>
      </c>
      <c r="E2142" s="74"/>
      <c r="F2142" s="74">
        <v>0.11</v>
      </c>
      <c r="G2142" s="74"/>
      <c r="H2142" s="74"/>
      <c r="I2142" s="74" t="s">
        <v>391</v>
      </c>
      <c r="J2142" s="74"/>
      <c r="K2142" s="74">
        <v>102.4</v>
      </c>
      <c r="L2142" s="74">
        <v>92.16</v>
      </c>
      <c r="M2142" s="74"/>
      <c r="N2142" s="74" t="s">
        <v>392</v>
      </c>
      <c r="O2142" s="74" t="s">
        <v>402</v>
      </c>
      <c r="P2142" s="74" t="s">
        <v>15753</v>
      </c>
      <c r="Q2142" s="74" t="s">
        <v>15754</v>
      </c>
    </row>
    <row r="2143" spans="3:17" x14ac:dyDescent="0.25">
      <c r="C2143" s="74" t="s">
        <v>15997</v>
      </c>
      <c r="D2143" s="74" t="s">
        <v>15998</v>
      </c>
      <c r="E2143" s="74" t="s">
        <v>391</v>
      </c>
      <c r="F2143" s="74">
        <v>0.11</v>
      </c>
      <c r="G2143" s="74"/>
      <c r="H2143" s="74"/>
      <c r="I2143" s="74" t="s">
        <v>391</v>
      </c>
      <c r="J2143" s="74"/>
      <c r="K2143" s="74">
        <v>102.4</v>
      </c>
      <c r="L2143" s="74">
        <v>92.16</v>
      </c>
      <c r="M2143" s="74"/>
      <c r="N2143" s="74" t="s">
        <v>392</v>
      </c>
      <c r="O2143" s="74" t="s">
        <v>393</v>
      </c>
      <c r="P2143" s="74"/>
      <c r="Q2143" s="74" t="s">
        <v>15999</v>
      </c>
    </row>
    <row r="2144" spans="3:17" x14ac:dyDescent="0.25">
      <c r="C2144" s="74" t="s">
        <v>16181</v>
      </c>
      <c r="D2144" s="74" t="s">
        <v>16182</v>
      </c>
      <c r="E2144" s="74" t="s">
        <v>391</v>
      </c>
      <c r="F2144" s="74">
        <v>0.11</v>
      </c>
      <c r="G2144" s="74"/>
      <c r="H2144" s="74"/>
      <c r="I2144" s="74" t="s">
        <v>391</v>
      </c>
      <c r="J2144" s="74"/>
      <c r="K2144" s="74">
        <v>102.4</v>
      </c>
      <c r="L2144" s="74">
        <v>92.16</v>
      </c>
      <c r="M2144" s="74"/>
      <c r="N2144" s="74" t="s">
        <v>392</v>
      </c>
      <c r="O2144" s="74" t="s">
        <v>393</v>
      </c>
      <c r="P2144" s="74"/>
      <c r="Q2144" s="74" t="s">
        <v>16183</v>
      </c>
    </row>
    <row r="2145" spans="3:17" x14ac:dyDescent="0.25">
      <c r="C2145" s="74" t="s">
        <v>16541</v>
      </c>
      <c r="D2145" s="74" t="s">
        <v>16542</v>
      </c>
      <c r="E2145" s="74"/>
      <c r="F2145" s="74">
        <v>0.11</v>
      </c>
      <c r="G2145" s="74"/>
      <c r="H2145" s="74"/>
      <c r="I2145" s="74" t="s">
        <v>391</v>
      </c>
      <c r="J2145" s="74"/>
      <c r="K2145" s="74">
        <v>102.4</v>
      </c>
      <c r="L2145" s="74">
        <v>92.16</v>
      </c>
      <c r="M2145" s="74"/>
      <c r="N2145" s="74" t="s">
        <v>392</v>
      </c>
      <c r="O2145" s="74" t="s">
        <v>402</v>
      </c>
      <c r="P2145" s="74" t="s">
        <v>16543</v>
      </c>
      <c r="Q2145" s="74" t="s">
        <v>16544</v>
      </c>
    </row>
    <row r="2146" spans="3:17" x14ac:dyDescent="0.25">
      <c r="C2146" s="74" t="s">
        <v>17633</v>
      </c>
      <c r="D2146" s="74" t="s">
        <v>17634</v>
      </c>
      <c r="E2146" s="74"/>
      <c r="F2146" s="74">
        <v>0.11</v>
      </c>
      <c r="G2146" s="74"/>
      <c r="H2146" s="74"/>
      <c r="I2146" s="74" t="s">
        <v>391</v>
      </c>
      <c r="J2146" s="74"/>
      <c r="K2146" s="74">
        <v>102.4</v>
      </c>
      <c r="L2146" s="74">
        <v>92.16</v>
      </c>
      <c r="M2146" s="74"/>
      <c r="N2146" s="74" t="s">
        <v>392</v>
      </c>
      <c r="O2146" s="74" t="s">
        <v>402</v>
      </c>
      <c r="P2146" s="74" t="s">
        <v>17635</v>
      </c>
      <c r="Q2146" s="74" t="s">
        <v>17636</v>
      </c>
    </row>
    <row r="2147" spans="3:17" x14ac:dyDescent="0.25">
      <c r="C2147" s="74" t="s">
        <v>18557</v>
      </c>
      <c r="D2147" s="74" t="s">
        <v>18558</v>
      </c>
      <c r="E2147" s="74" t="s">
        <v>391</v>
      </c>
      <c r="F2147" s="74">
        <v>0.11</v>
      </c>
      <c r="G2147" s="74"/>
      <c r="H2147" s="74"/>
      <c r="I2147" s="74" t="s">
        <v>391</v>
      </c>
      <c r="J2147" s="74"/>
      <c r="K2147" s="74">
        <v>102.4</v>
      </c>
      <c r="L2147" s="74">
        <v>92.16</v>
      </c>
      <c r="M2147" s="74"/>
      <c r="N2147" s="74" t="s">
        <v>392</v>
      </c>
      <c r="O2147" s="74" t="s">
        <v>393</v>
      </c>
      <c r="P2147" s="74"/>
      <c r="Q2147" s="74" t="s">
        <v>18559</v>
      </c>
    </row>
    <row r="2148" spans="3:17" x14ac:dyDescent="0.25">
      <c r="C2148" s="74" t="s">
        <v>18799</v>
      </c>
      <c r="D2148" s="74" t="s">
        <v>18800</v>
      </c>
      <c r="E2148" s="74"/>
      <c r="F2148" s="74">
        <v>0.11</v>
      </c>
      <c r="G2148" s="74"/>
      <c r="H2148" s="74"/>
      <c r="I2148" s="74" t="s">
        <v>391</v>
      </c>
      <c r="J2148" s="74"/>
      <c r="K2148" s="74">
        <v>102.4</v>
      </c>
      <c r="L2148" s="74">
        <v>92.16</v>
      </c>
      <c r="M2148" s="74"/>
      <c r="N2148" s="74" t="s">
        <v>392</v>
      </c>
      <c r="O2148" s="74" t="s">
        <v>402</v>
      </c>
      <c r="P2148" s="74" t="s">
        <v>18801</v>
      </c>
      <c r="Q2148" s="74" t="s">
        <v>18802</v>
      </c>
    </row>
    <row r="2149" spans="3:17" x14ac:dyDescent="0.25">
      <c r="C2149" s="74" t="s">
        <v>19089</v>
      </c>
      <c r="D2149" s="74" t="s">
        <v>19090</v>
      </c>
      <c r="E2149" s="74"/>
      <c r="F2149" s="74">
        <v>0.11</v>
      </c>
      <c r="G2149" s="74"/>
      <c r="H2149" s="74"/>
      <c r="I2149" s="74" t="s">
        <v>391</v>
      </c>
      <c r="J2149" s="74"/>
      <c r="K2149" s="74">
        <v>102.4</v>
      </c>
      <c r="L2149" s="74">
        <v>92.16</v>
      </c>
      <c r="M2149" s="74"/>
      <c r="N2149" s="74" t="s">
        <v>392</v>
      </c>
      <c r="O2149" s="74" t="s">
        <v>402</v>
      </c>
      <c r="P2149" s="74" t="s">
        <v>19091</v>
      </c>
      <c r="Q2149" s="74" t="s">
        <v>19092</v>
      </c>
    </row>
    <row r="2150" spans="3:17" x14ac:dyDescent="0.25">
      <c r="C2150" s="74" t="s">
        <v>19181</v>
      </c>
      <c r="D2150" s="74" t="s">
        <v>19182</v>
      </c>
      <c r="E2150" s="74"/>
      <c r="F2150" s="74">
        <v>0.11</v>
      </c>
      <c r="G2150" s="74"/>
      <c r="H2150" s="74"/>
      <c r="I2150" s="74" t="s">
        <v>391</v>
      </c>
      <c r="J2150" s="74"/>
      <c r="K2150" s="74">
        <v>102.4</v>
      </c>
      <c r="L2150" s="74">
        <v>92.16</v>
      </c>
      <c r="M2150" s="74"/>
      <c r="N2150" s="74" t="s">
        <v>392</v>
      </c>
      <c r="O2150" s="74" t="s">
        <v>402</v>
      </c>
      <c r="P2150" s="74" t="s">
        <v>19183</v>
      </c>
      <c r="Q2150" s="74" t="s">
        <v>19184</v>
      </c>
    </row>
    <row r="2151" spans="3:17" x14ac:dyDescent="0.25">
      <c r="C2151" s="74" t="s">
        <v>19314</v>
      </c>
      <c r="D2151" s="74" t="s">
        <v>19315</v>
      </c>
      <c r="E2151" s="74"/>
      <c r="F2151" s="74">
        <v>0.11</v>
      </c>
      <c r="G2151" s="74"/>
      <c r="H2151" s="74"/>
      <c r="I2151" s="74" t="s">
        <v>391</v>
      </c>
      <c r="J2151" s="74"/>
      <c r="K2151" s="74">
        <v>102.4</v>
      </c>
      <c r="L2151" s="74">
        <v>92.16</v>
      </c>
      <c r="M2151" s="74"/>
      <c r="N2151" s="74" t="s">
        <v>392</v>
      </c>
      <c r="O2151" s="74" t="s">
        <v>402</v>
      </c>
      <c r="P2151" s="74" t="s">
        <v>19316</v>
      </c>
      <c r="Q2151" s="74" t="s">
        <v>19317</v>
      </c>
    </row>
    <row r="2152" spans="3:17" x14ac:dyDescent="0.25">
      <c r="C2152" s="74" t="s">
        <v>20820</v>
      </c>
      <c r="D2152" s="74" t="s">
        <v>20821</v>
      </c>
      <c r="E2152" s="74"/>
      <c r="F2152" s="74">
        <v>0.11</v>
      </c>
      <c r="G2152" s="74"/>
      <c r="H2152" s="74"/>
      <c r="I2152" s="74" t="s">
        <v>391</v>
      </c>
      <c r="J2152" s="74"/>
      <c r="K2152" s="74">
        <v>102.4</v>
      </c>
      <c r="L2152" s="74">
        <v>92.16</v>
      </c>
      <c r="M2152" s="74"/>
      <c r="N2152" s="74" t="s">
        <v>392</v>
      </c>
      <c r="O2152" s="74" t="s">
        <v>402</v>
      </c>
      <c r="P2152" s="74" t="s">
        <v>20822</v>
      </c>
      <c r="Q2152" s="74" t="s">
        <v>20823</v>
      </c>
    </row>
    <row r="2153" spans="3:17" x14ac:dyDescent="0.25">
      <c r="C2153" s="74" t="s">
        <v>21049</v>
      </c>
      <c r="D2153" s="74" t="s">
        <v>21050</v>
      </c>
      <c r="E2153" s="74"/>
      <c r="F2153" s="74">
        <v>0.11</v>
      </c>
      <c r="G2153" s="74"/>
      <c r="H2153" s="74"/>
      <c r="I2153" s="74" t="s">
        <v>391</v>
      </c>
      <c r="J2153" s="74"/>
      <c r="K2153" s="74">
        <v>102.4</v>
      </c>
      <c r="L2153" s="74">
        <v>92.16</v>
      </c>
      <c r="M2153" s="74"/>
      <c r="N2153" s="74" t="s">
        <v>392</v>
      </c>
      <c r="O2153" s="74" t="s">
        <v>402</v>
      </c>
      <c r="P2153" s="74" t="s">
        <v>21051</v>
      </c>
      <c r="Q2153" s="74" t="s">
        <v>21052</v>
      </c>
    </row>
    <row r="2154" spans="3:17" x14ac:dyDescent="0.25">
      <c r="C2154" s="74" t="s">
        <v>389</v>
      </c>
      <c r="D2154" s="74" t="s">
        <v>390</v>
      </c>
      <c r="E2154" s="74" t="s">
        <v>391</v>
      </c>
      <c r="F2154" s="74">
        <v>0.1</v>
      </c>
      <c r="G2154" s="74"/>
      <c r="H2154" s="74"/>
      <c r="I2154" s="74" t="s">
        <v>391</v>
      </c>
      <c r="J2154" s="74"/>
      <c r="K2154" s="74">
        <v>102.4</v>
      </c>
      <c r="L2154" s="74">
        <v>92.16</v>
      </c>
      <c r="M2154" s="74"/>
      <c r="N2154" s="74" t="s">
        <v>392</v>
      </c>
      <c r="O2154" s="74" t="s">
        <v>393</v>
      </c>
      <c r="P2154" s="74"/>
      <c r="Q2154" s="74" t="s">
        <v>394</v>
      </c>
    </row>
    <row r="2155" spans="3:17" x14ac:dyDescent="0.25">
      <c r="C2155" s="74" t="s">
        <v>405</v>
      </c>
      <c r="D2155" s="74" t="s">
        <v>406</v>
      </c>
      <c r="E2155" s="74"/>
      <c r="F2155" s="74">
        <v>0.1</v>
      </c>
      <c r="G2155" s="74"/>
      <c r="H2155" s="74"/>
      <c r="I2155" s="74" t="s">
        <v>391</v>
      </c>
      <c r="J2155" s="74"/>
      <c r="K2155" s="74">
        <v>102.4</v>
      </c>
      <c r="L2155" s="74">
        <v>92.16</v>
      </c>
      <c r="M2155" s="74"/>
      <c r="N2155" s="74" t="s">
        <v>392</v>
      </c>
      <c r="O2155" s="74" t="s">
        <v>402</v>
      </c>
      <c r="P2155" s="74" t="s">
        <v>407</v>
      </c>
      <c r="Q2155" s="74" t="s">
        <v>408</v>
      </c>
    </row>
    <row r="2156" spans="3:17" x14ac:dyDescent="0.25">
      <c r="C2156" s="74" t="s">
        <v>409</v>
      </c>
      <c r="D2156" s="74" t="s">
        <v>410</v>
      </c>
      <c r="E2156" s="74"/>
      <c r="F2156" s="74">
        <v>0.1</v>
      </c>
      <c r="G2156" s="74"/>
      <c r="H2156" s="74"/>
      <c r="I2156" s="74" t="s">
        <v>391</v>
      </c>
      <c r="J2156" s="74"/>
      <c r="K2156" s="74">
        <v>102.4</v>
      </c>
      <c r="L2156" s="74">
        <v>92.16</v>
      </c>
      <c r="M2156" s="74"/>
      <c r="N2156" s="74" t="s">
        <v>392</v>
      </c>
      <c r="O2156" s="74" t="s">
        <v>402</v>
      </c>
      <c r="P2156" s="74"/>
      <c r="Q2156" s="74" t="s">
        <v>411</v>
      </c>
    </row>
    <row r="2157" spans="3:17" x14ac:dyDescent="0.25">
      <c r="C2157" s="74" t="s">
        <v>412</v>
      </c>
      <c r="D2157" s="74" t="s">
        <v>413</v>
      </c>
      <c r="E2157" s="74" t="s">
        <v>391</v>
      </c>
      <c r="F2157" s="74">
        <v>0.1</v>
      </c>
      <c r="G2157" s="74"/>
      <c r="H2157" s="74"/>
      <c r="I2157" s="74" t="s">
        <v>391</v>
      </c>
      <c r="J2157" s="74"/>
      <c r="K2157" s="74">
        <v>102.4</v>
      </c>
      <c r="L2157" s="74">
        <v>92.16</v>
      </c>
      <c r="M2157" s="74"/>
      <c r="N2157" s="74" t="s">
        <v>392</v>
      </c>
      <c r="O2157" s="74" t="s">
        <v>393</v>
      </c>
      <c r="P2157" s="74"/>
      <c r="Q2157" s="74" t="s">
        <v>414</v>
      </c>
    </row>
    <row r="2158" spans="3:17" x14ac:dyDescent="0.25">
      <c r="C2158" s="74" t="s">
        <v>427</v>
      </c>
      <c r="D2158" s="74" t="s">
        <v>428</v>
      </c>
      <c r="E2158" s="74" t="s">
        <v>391</v>
      </c>
      <c r="F2158" s="74">
        <v>0.1</v>
      </c>
      <c r="G2158" s="74"/>
      <c r="H2158" s="74"/>
      <c r="I2158" s="74" t="s">
        <v>391</v>
      </c>
      <c r="J2158" s="74"/>
      <c r="K2158" s="74">
        <v>102.4</v>
      </c>
      <c r="L2158" s="74">
        <v>92.16</v>
      </c>
      <c r="M2158" s="74"/>
      <c r="N2158" s="74" t="s">
        <v>392</v>
      </c>
      <c r="O2158" s="74" t="s">
        <v>393</v>
      </c>
      <c r="P2158" s="74"/>
      <c r="Q2158" s="74" t="s">
        <v>429</v>
      </c>
    </row>
    <row r="2159" spans="3:17" x14ac:dyDescent="0.25">
      <c r="C2159" s="74" t="s">
        <v>452</v>
      </c>
      <c r="D2159" s="74" t="s">
        <v>453</v>
      </c>
      <c r="E2159" s="74" t="s">
        <v>391</v>
      </c>
      <c r="F2159" s="74">
        <v>0.1</v>
      </c>
      <c r="G2159" s="74"/>
      <c r="H2159" s="74"/>
      <c r="I2159" s="74" t="s">
        <v>391</v>
      </c>
      <c r="J2159" s="74"/>
      <c r="K2159" s="74">
        <v>102.4</v>
      </c>
      <c r="L2159" s="74">
        <v>92.16</v>
      </c>
      <c r="M2159" s="74"/>
      <c r="N2159" s="74" t="s">
        <v>392</v>
      </c>
      <c r="O2159" s="74" t="s">
        <v>393</v>
      </c>
      <c r="P2159" s="74"/>
      <c r="Q2159" s="74" t="s">
        <v>454</v>
      </c>
    </row>
    <row r="2160" spans="3:17" x14ac:dyDescent="0.25">
      <c r="C2160" s="74" t="s">
        <v>459</v>
      </c>
      <c r="D2160" s="74" t="s">
        <v>460</v>
      </c>
      <c r="E2160" s="74" t="s">
        <v>391</v>
      </c>
      <c r="F2160" s="74">
        <v>0.1</v>
      </c>
      <c r="G2160" s="74"/>
      <c r="H2160" s="74"/>
      <c r="I2160" s="74" t="s">
        <v>391</v>
      </c>
      <c r="J2160" s="74"/>
      <c r="K2160" s="74">
        <v>102.4</v>
      </c>
      <c r="L2160" s="74">
        <v>92.16</v>
      </c>
      <c r="M2160" s="74"/>
      <c r="N2160" s="74" t="s">
        <v>392</v>
      </c>
      <c r="O2160" s="74" t="s">
        <v>393</v>
      </c>
      <c r="P2160" s="74"/>
      <c r="Q2160" s="74" t="s">
        <v>461</v>
      </c>
    </row>
    <row r="2161" spans="3:17" x14ac:dyDescent="0.25">
      <c r="C2161" s="74" t="s">
        <v>469</v>
      </c>
      <c r="D2161" s="74" t="s">
        <v>470</v>
      </c>
      <c r="E2161" s="74" t="s">
        <v>391</v>
      </c>
      <c r="F2161" s="74">
        <v>0.1</v>
      </c>
      <c r="G2161" s="74"/>
      <c r="H2161" s="74"/>
      <c r="I2161" s="74" t="s">
        <v>391</v>
      </c>
      <c r="J2161" s="74"/>
      <c r="K2161" s="74">
        <v>102.4</v>
      </c>
      <c r="L2161" s="74">
        <v>92.16</v>
      </c>
      <c r="M2161" s="74"/>
      <c r="N2161" s="74" t="s">
        <v>392</v>
      </c>
      <c r="O2161" s="74" t="s">
        <v>393</v>
      </c>
      <c r="P2161" s="74"/>
      <c r="Q2161" s="74" t="s">
        <v>471</v>
      </c>
    </row>
    <row r="2162" spans="3:17" x14ac:dyDescent="0.25">
      <c r="C2162" s="74" t="s">
        <v>476</v>
      </c>
      <c r="D2162" s="74" t="s">
        <v>477</v>
      </c>
      <c r="E2162" s="74" t="s">
        <v>391</v>
      </c>
      <c r="F2162" s="74">
        <v>0.1</v>
      </c>
      <c r="G2162" s="74"/>
      <c r="H2162" s="74"/>
      <c r="I2162" s="74" t="s">
        <v>391</v>
      </c>
      <c r="J2162" s="74"/>
      <c r="K2162" s="74">
        <v>102.4</v>
      </c>
      <c r="L2162" s="74">
        <v>92.16</v>
      </c>
      <c r="M2162" s="74"/>
      <c r="N2162" s="74" t="s">
        <v>392</v>
      </c>
      <c r="O2162" s="74" t="s">
        <v>393</v>
      </c>
      <c r="P2162" s="74"/>
      <c r="Q2162" s="74" t="s">
        <v>478</v>
      </c>
    </row>
    <row r="2163" spans="3:17" x14ac:dyDescent="0.25">
      <c r="C2163" s="74" t="s">
        <v>491</v>
      </c>
      <c r="D2163" s="74" t="s">
        <v>492</v>
      </c>
      <c r="E2163" s="74" t="s">
        <v>391</v>
      </c>
      <c r="F2163" s="74">
        <v>0.1</v>
      </c>
      <c r="G2163" s="74"/>
      <c r="H2163" s="74"/>
      <c r="I2163" s="74" t="s">
        <v>391</v>
      </c>
      <c r="J2163" s="74"/>
      <c r="K2163" s="74">
        <v>102.4</v>
      </c>
      <c r="L2163" s="74">
        <v>92.16</v>
      </c>
      <c r="M2163" s="74"/>
      <c r="N2163" s="74" t="s">
        <v>392</v>
      </c>
      <c r="O2163" s="74" t="s">
        <v>393</v>
      </c>
      <c r="P2163" s="74"/>
      <c r="Q2163" s="74" t="s">
        <v>493</v>
      </c>
    </row>
    <row r="2164" spans="3:17" x14ac:dyDescent="0.25">
      <c r="C2164" s="74" t="s">
        <v>508</v>
      </c>
      <c r="D2164" s="74" t="s">
        <v>509</v>
      </c>
      <c r="E2164" s="74" t="s">
        <v>391</v>
      </c>
      <c r="F2164" s="74">
        <v>0.1</v>
      </c>
      <c r="G2164" s="74"/>
      <c r="H2164" s="74"/>
      <c r="I2164" s="74" t="s">
        <v>391</v>
      </c>
      <c r="J2164" s="74"/>
      <c r="K2164" s="74">
        <v>102.4</v>
      </c>
      <c r="L2164" s="74">
        <v>92.16</v>
      </c>
      <c r="M2164" s="74"/>
      <c r="N2164" s="74" t="s">
        <v>392</v>
      </c>
      <c r="O2164" s="74" t="s">
        <v>393</v>
      </c>
      <c r="P2164" s="74"/>
      <c r="Q2164" s="74" t="s">
        <v>510</v>
      </c>
    </row>
    <row r="2165" spans="3:17" x14ac:dyDescent="0.25">
      <c r="C2165" s="74" t="s">
        <v>519</v>
      </c>
      <c r="D2165" s="74" t="s">
        <v>520</v>
      </c>
      <c r="E2165" s="74" t="s">
        <v>391</v>
      </c>
      <c r="F2165" s="74">
        <v>0.1</v>
      </c>
      <c r="G2165" s="74"/>
      <c r="H2165" s="74"/>
      <c r="I2165" s="74" t="s">
        <v>391</v>
      </c>
      <c r="J2165" s="74"/>
      <c r="K2165" s="74">
        <v>102.4</v>
      </c>
      <c r="L2165" s="74">
        <v>92.16</v>
      </c>
      <c r="M2165" s="74"/>
      <c r="N2165" s="74" t="s">
        <v>392</v>
      </c>
      <c r="O2165" s="74" t="s">
        <v>393</v>
      </c>
      <c r="P2165" s="74"/>
      <c r="Q2165" s="74" t="s">
        <v>521</v>
      </c>
    </row>
    <row r="2166" spans="3:17" x14ac:dyDescent="0.25">
      <c r="C2166" s="74" t="s">
        <v>538</v>
      </c>
      <c r="D2166" s="74" t="s">
        <v>539</v>
      </c>
      <c r="E2166" s="74" t="s">
        <v>391</v>
      </c>
      <c r="F2166" s="74">
        <v>0.1</v>
      </c>
      <c r="G2166" s="74"/>
      <c r="H2166" s="74"/>
      <c r="I2166" s="74" t="s">
        <v>391</v>
      </c>
      <c r="J2166" s="74"/>
      <c r="K2166" s="74">
        <v>102.4</v>
      </c>
      <c r="L2166" s="74">
        <v>92.16</v>
      </c>
      <c r="M2166" s="74"/>
      <c r="N2166" s="74" t="s">
        <v>392</v>
      </c>
      <c r="O2166" s="74" t="s">
        <v>393</v>
      </c>
      <c r="P2166" s="74"/>
      <c r="Q2166" s="74" t="s">
        <v>540</v>
      </c>
    </row>
    <row r="2167" spans="3:17" x14ac:dyDescent="0.25">
      <c r="C2167" s="74" t="s">
        <v>541</v>
      </c>
      <c r="D2167" s="74" t="s">
        <v>542</v>
      </c>
      <c r="E2167" s="74" t="s">
        <v>391</v>
      </c>
      <c r="F2167" s="74">
        <v>0.1</v>
      </c>
      <c r="G2167" s="74"/>
      <c r="H2167" s="74"/>
      <c r="I2167" s="74" t="s">
        <v>391</v>
      </c>
      <c r="J2167" s="74"/>
      <c r="K2167" s="74">
        <v>102.4</v>
      </c>
      <c r="L2167" s="74">
        <v>92.16</v>
      </c>
      <c r="M2167" s="74"/>
      <c r="N2167" s="74" t="s">
        <v>392</v>
      </c>
      <c r="O2167" s="74" t="s">
        <v>393</v>
      </c>
      <c r="P2167" s="74"/>
      <c r="Q2167" s="74" t="s">
        <v>543</v>
      </c>
    </row>
    <row r="2168" spans="3:17" x14ac:dyDescent="0.25">
      <c r="C2168" s="74" t="s">
        <v>544</v>
      </c>
      <c r="D2168" s="74" t="s">
        <v>545</v>
      </c>
      <c r="E2168" s="74" t="s">
        <v>391</v>
      </c>
      <c r="F2168" s="74">
        <v>0.1</v>
      </c>
      <c r="G2168" s="74"/>
      <c r="H2168" s="74"/>
      <c r="I2168" s="74" t="s">
        <v>391</v>
      </c>
      <c r="J2168" s="74"/>
      <c r="K2168" s="74">
        <v>102.4</v>
      </c>
      <c r="L2168" s="74">
        <v>92.16</v>
      </c>
      <c r="M2168" s="74"/>
      <c r="N2168" s="74" t="s">
        <v>392</v>
      </c>
      <c r="O2168" s="74" t="s">
        <v>393</v>
      </c>
      <c r="P2168" s="74"/>
      <c r="Q2168" s="74" t="s">
        <v>546</v>
      </c>
    </row>
    <row r="2169" spans="3:17" x14ac:dyDescent="0.25">
      <c r="C2169" s="74" t="s">
        <v>550</v>
      </c>
      <c r="D2169" s="74" t="s">
        <v>551</v>
      </c>
      <c r="E2169" s="74" t="s">
        <v>391</v>
      </c>
      <c r="F2169" s="74">
        <v>0.1</v>
      </c>
      <c r="G2169" s="74"/>
      <c r="H2169" s="74"/>
      <c r="I2169" s="74" t="s">
        <v>391</v>
      </c>
      <c r="J2169" s="74"/>
      <c r="K2169" s="74">
        <v>102.4</v>
      </c>
      <c r="L2169" s="74">
        <v>92.16</v>
      </c>
      <c r="M2169" s="74"/>
      <c r="N2169" s="74" t="s">
        <v>392</v>
      </c>
      <c r="O2169" s="74" t="s">
        <v>393</v>
      </c>
      <c r="P2169" s="74"/>
      <c r="Q2169" s="74" t="s">
        <v>552</v>
      </c>
    </row>
    <row r="2170" spans="3:17" x14ac:dyDescent="0.25">
      <c r="C2170" s="74" t="s">
        <v>559</v>
      </c>
      <c r="D2170" s="74" t="s">
        <v>560</v>
      </c>
      <c r="E2170" s="74" t="s">
        <v>391</v>
      </c>
      <c r="F2170" s="74">
        <v>0.1</v>
      </c>
      <c r="G2170" s="74"/>
      <c r="H2170" s="74"/>
      <c r="I2170" s="74" t="s">
        <v>391</v>
      </c>
      <c r="J2170" s="74"/>
      <c r="K2170" s="74">
        <v>102.4</v>
      </c>
      <c r="L2170" s="74">
        <v>92.16</v>
      </c>
      <c r="M2170" s="74"/>
      <c r="N2170" s="74" t="s">
        <v>392</v>
      </c>
      <c r="O2170" s="74" t="s">
        <v>393</v>
      </c>
      <c r="P2170" s="74"/>
      <c r="Q2170" s="74" t="s">
        <v>561</v>
      </c>
    </row>
    <row r="2171" spans="3:17" x14ac:dyDescent="0.25">
      <c r="C2171" s="74" t="s">
        <v>562</v>
      </c>
      <c r="D2171" s="74" t="s">
        <v>563</v>
      </c>
      <c r="E2171" s="74" t="s">
        <v>391</v>
      </c>
      <c r="F2171" s="74">
        <v>0.1</v>
      </c>
      <c r="G2171" s="74"/>
      <c r="H2171" s="74"/>
      <c r="I2171" s="74" t="s">
        <v>391</v>
      </c>
      <c r="J2171" s="74"/>
      <c r="K2171" s="74">
        <v>102.4</v>
      </c>
      <c r="L2171" s="74">
        <v>92.16</v>
      </c>
      <c r="M2171" s="74"/>
      <c r="N2171" s="74" t="s">
        <v>392</v>
      </c>
      <c r="O2171" s="74" t="s">
        <v>393</v>
      </c>
      <c r="P2171" s="74"/>
      <c r="Q2171" s="74" t="s">
        <v>564</v>
      </c>
    </row>
    <row r="2172" spans="3:17" x14ac:dyDescent="0.25">
      <c r="C2172" s="74" t="s">
        <v>565</v>
      </c>
      <c r="D2172" s="74" t="s">
        <v>566</v>
      </c>
      <c r="E2172" s="74" t="s">
        <v>391</v>
      </c>
      <c r="F2172" s="74">
        <v>0.1</v>
      </c>
      <c r="G2172" s="74"/>
      <c r="H2172" s="74"/>
      <c r="I2172" s="74" t="s">
        <v>391</v>
      </c>
      <c r="J2172" s="74"/>
      <c r="K2172" s="74">
        <v>102.4</v>
      </c>
      <c r="L2172" s="74">
        <v>92.16</v>
      </c>
      <c r="M2172" s="74"/>
      <c r="N2172" s="74" t="s">
        <v>392</v>
      </c>
      <c r="O2172" s="74" t="s">
        <v>393</v>
      </c>
      <c r="P2172" s="74"/>
      <c r="Q2172" s="74" t="s">
        <v>567</v>
      </c>
    </row>
    <row r="2173" spans="3:17" x14ac:dyDescent="0.25">
      <c r="C2173" s="74" t="s">
        <v>572</v>
      </c>
      <c r="D2173" s="74" t="s">
        <v>573</v>
      </c>
      <c r="E2173" s="74" t="s">
        <v>391</v>
      </c>
      <c r="F2173" s="74">
        <v>0.1</v>
      </c>
      <c r="G2173" s="74"/>
      <c r="H2173" s="74"/>
      <c r="I2173" s="74" t="s">
        <v>391</v>
      </c>
      <c r="J2173" s="74"/>
      <c r="K2173" s="74">
        <v>102.4</v>
      </c>
      <c r="L2173" s="74">
        <v>92.16</v>
      </c>
      <c r="M2173" s="74"/>
      <c r="N2173" s="74" t="s">
        <v>392</v>
      </c>
      <c r="O2173" s="74" t="s">
        <v>393</v>
      </c>
      <c r="P2173" s="74"/>
      <c r="Q2173" s="74" t="s">
        <v>574</v>
      </c>
    </row>
    <row r="2174" spans="3:17" x14ac:dyDescent="0.25">
      <c r="C2174" s="74" t="s">
        <v>583</v>
      </c>
      <c r="D2174" s="74" t="s">
        <v>584</v>
      </c>
      <c r="E2174" s="74" t="s">
        <v>391</v>
      </c>
      <c r="F2174" s="74">
        <v>0.1</v>
      </c>
      <c r="G2174" s="74"/>
      <c r="H2174" s="74"/>
      <c r="I2174" s="74" t="s">
        <v>391</v>
      </c>
      <c r="J2174" s="74"/>
      <c r="K2174" s="74">
        <v>102.4</v>
      </c>
      <c r="L2174" s="74">
        <v>92.16</v>
      </c>
      <c r="M2174" s="74"/>
      <c r="N2174" s="74" t="s">
        <v>392</v>
      </c>
      <c r="O2174" s="74" t="s">
        <v>393</v>
      </c>
      <c r="P2174" s="74"/>
      <c r="Q2174" s="74" t="s">
        <v>585</v>
      </c>
    </row>
    <row r="2175" spans="3:17" x14ac:dyDescent="0.25">
      <c r="C2175" s="74" t="s">
        <v>588</v>
      </c>
      <c r="D2175" s="74" t="s">
        <v>589</v>
      </c>
      <c r="E2175" s="74" t="s">
        <v>391</v>
      </c>
      <c r="F2175" s="74">
        <v>0.1</v>
      </c>
      <c r="G2175" s="74"/>
      <c r="H2175" s="74"/>
      <c r="I2175" s="74" t="s">
        <v>391</v>
      </c>
      <c r="J2175" s="74"/>
      <c r="K2175" s="74">
        <v>102.4</v>
      </c>
      <c r="L2175" s="74">
        <v>92.16</v>
      </c>
      <c r="M2175" s="74"/>
      <c r="N2175" s="74" t="s">
        <v>392</v>
      </c>
      <c r="O2175" s="74" t="s">
        <v>393</v>
      </c>
      <c r="P2175" s="74"/>
      <c r="Q2175" s="74" t="s">
        <v>590</v>
      </c>
    </row>
    <row r="2176" spans="3:17" x14ac:dyDescent="0.25">
      <c r="C2176" s="74" t="s">
        <v>591</v>
      </c>
      <c r="D2176" s="74" t="s">
        <v>592</v>
      </c>
      <c r="E2176" s="74" t="s">
        <v>391</v>
      </c>
      <c r="F2176" s="74">
        <v>0.1</v>
      </c>
      <c r="G2176" s="74"/>
      <c r="H2176" s="74"/>
      <c r="I2176" s="74" t="s">
        <v>391</v>
      </c>
      <c r="J2176" s="74"/>
      <c r="K2176" s="74">
        <v>102.4</v>
      </c>
      <c r="L2176" s="74">
        <v>92.16</v>
      </c>
      <c r="M2176" s="74"/>
      <c r="N2176" s="74" t="s">
        <v>392</v>
      </c>
      <c r="O2176" s="74" t="s">
        <v>393</v>
      </c>
      <c r="P2176" s="74"/>
      <c r="Q2176" s="74" t="s">
        <v>593</v>
      </c>
    </row>
    <row r="2177" spans="3:17" x14ac:dyDescent="0.25">
      <c r="C2177" s="74" t="s">
        <v>598</v>
      </c>
      <c r="D2177" s="74" t="s">
        <v>599</v>
      </c>
      <c r="E2177" s="74" t="s">
        <v>391</v>
      </c>
      <c r="F2177" s="74">
        <v>0.1</v>
      </c>
      <c r="G2177" s="74"/>
      <c r="H2177" s="74"/>
      <c r="I2177" s="74" t="s">
        <v>391</v>
      </c>
      <c r="J2177" s="74"/>
      <c r="K2177" s="74">
        <v>102.4</v>
      </c>
      <c r="L2177" s="74">
        <v>92.16</v>
      </c>
      <c r="M2177" s="74"/>
      <c r="N2177" s="74" t="s">
        <v>392</v>
      </c>
      <c r="O2177" s="74" t="s">
        <v>393</v>
      </c>
      <c r="P2177" s="74"/>
      <c r="Q2177" s="74" t="s">
        <v>600</v>
      </c>
    </row>
    <row r="2178" spans="3:17" x14ac:dyDescent="0.25">
      <c r="C2178" s="74" t="s">
        <v>605</v>
      </c>
      <c r="D2178" s="74" t="s">
        <v>606</v>
      </c>
      <c r="E2178" s="74" t="s">
        <v>391</v>
      </c>
      <c r="F2178" s="74">
        <v>0.1</v>
      </c>
      <c r="G2178" s="74"/>
      <c r="H2178" s="74"/>
      <c r="I2178" s="74" t="s">
        <v>391</v>
      </c>
      <c r="J2178" s="74"/>
      <c r="K2178" s="74">
        <v>102.4</v>
      </c>
      <c r="L2178" s="74">
        <v>92.16</v>
      </c>
      <c r="M2178" s="74"/>
      <c r="N2178" s="74" t="s">
        <v>392</v>
      </c>
      <c r="O2178" s="74" t="s">
        <v>393</v>
      </c>
      <c r="P2178" s="74"/>
      <c r="Q2178" s="74" t="s">
        <v>607</v>
      </c>
    </row>
    <row r="2179" spans="3:17" x14ac:dyDescent="0.25">
      <c r="C2179" s="74" t="s">
        <v>612</v>
      </c>
      <c r="D2179" s="74" t="s">
        <v>613</v>
      </c>
      <c r="E2179" s="74" t="s">
        <v>391</v>
      </c>
      <c r="F2179" s="74">
        <v>0.1</v>
      </c>
      <c r="G2179" s="74"/>
      <c r="H2179" s="74"/>
      <c r="I2179" s="74" t="s">
        <v>391</v>
      </c>
      <c r="J2179" s="74"/>
      <c r="K2179" s="74">
        <v>102.4</v>
      </c>
      <c r="L2179" s="74">
        <v>92.16</v>
      </c>
      <c r="M2179" s="74"/>
      <c r="N2179" s="74" t="s">
        <v>392</v>
      </c>
      <c r="O2179" s="74" t="s">
        <v>393</v>
      </c>
      <c r="P2179" s="74"/>
      <c r="Q2179" s="74" t="s">
        <v>613</v>
      </c>
    </row>
    <row r="2180" spans="3:17" x14ac:dyDescent="0.25">
      <c r="C2180" s="74" t="s">
        <v>614</v>
      </c>
      <c r="D2180" s="74" t="s">
        <v>615</v>
      </c>
      <c r="E2180" s="74" t="s">
        <v>391</v>
      </c>
      <c r="F2180" s="74">
        <v>0.1</v>
      </c>
      <c r="G2180" s="74"/>
      <c r="H2180" s="74"/>
      <c r="I2180" s="74" t="s">
        <v>391</v>
      </c>
      <c r="J2180" s="74"/>
      <c r="K2180" s="74">
        <v>102.4</v>
      </c>
      <c r="L2180" s="74">
        <v>92.16</v>
      </c>
      <c r="M2180" s="74"/>
      <c r="N2180" s="74" t="s">
        <v>392</v>
      </c>
      <c r="O2180" s="74" t="s">
        <v>393</v>
      </c>
      <c r="P2180" s="74"/>
      <c r="Q2180" s="74" t="s">
        <v>616</v>
      </c>
    </row>
    <row r="2181" spans="3:17" x14ac:dyDescent="0.25">
      <c r="C2181" s="74" t="s">
        <v>629</v>
      </c>
      <c r="D2181" s="74" t="s">
        <v>630</v>
      </c>
      <c r="E2181" s="74" t="s">
        <v>391</v>
      </c>
      <c r="F2181" s="74">
        <v>0.1</v>
      </c>
      <c r="G2181" s="74"/>
      <c r="H2181" s="74"/>
      <c r="I2181" s="74" t="s">
        <v>391</v>
      </c>
      <c r="J2181" s="74"/>
      <c r="K2181" s="74">
        <v>102.4</v>
      </c>
      <c r="L2181" s="74">
        <v>92.16</v>
      </c>
      <c r="M2181" s="74"/>
      <c r="N2181" s="74" t="s">
        <v>392</v>
      </c>
      <c r="O2181" s="74" t="s">
        <v>393</v>
      </c>
      <c r="P2181" s="74"/>
      <c r="Q2181" s="74" t="s">
        <v>631</v>
      </c>
    </row>
    <row r="2182" spans="3:17" x14ac:dyDescent="0.25">
      <c r="C2182" s="74" t="s">
        <v>644</v>
      </c>
      <c r="D2182" s="74" t="s">
        <v>645</v>
      </c>
      <c r="E2182" s="74" t="s">
        <v>391</v>
      </c>
      <c r="F2182" s="74">
        <v>0.1</v>
      </c>
      <c r="G2182" s="74"/>
      <c r="H2182" s="74"/>
      <c r="I2182" s="74" t="s">
        <v>391</v>
      </c>
      <c r="J2182" s="74"/>
      <c r="K2182" s="74">
        <v>102.4</v>
      </c>
      <c r="L2182" s="74">
        <v>92.16</v>
      </c>
      <c r="M2182" s="74"/>
      <c r="N2182" s="74" t="s">
        <v>392</v>
      </c>
      <c r="O2182" s="74" t="s">
        <v>393</v>
      </c>
      <c r="P2182" s="74"/>
      <c r="Q2182" s="74" t="s">
        <v>646</v>
      </c>
    </row>
    <row r="2183" spans="3:17" x14ac:dyDescent="0.25">
      <c r="C2183" s="74" t="s">
        <v>674</v>
      </c>
      <c r="D2183" s="74" t="s">
        <v>675</v>
      </c>
      <c r="E2183" s="74" t="s">
        <v>391</v>
      </c>
      <c r="F2183" s="74">
        <v>0.1</v>
      </c>
      <c r="G2183" s="74"/>
      <c r="H2183" s="74"/>
      <c r="I2183" s="74" t="s">
        <v>391</v>
      </c>
      <c r="J2183" s="74"/>
      <c r="K2183" s="74">
        <v>102.4</v>
      </c>
      <c r="L2183" s="74">
        <v>92.16</v>
      </c>
      <c r="M2183" s="74"/>
      <c r="N2183" s="74" t="s">
        <v>392</v>
      </c>
      <c r="O2183" s="74" t="s">
        <v>393</v>
      </c>
      <c r="P2183" s="74"/>
      <c r="Q2183" s="74" t="s">
        <v>676</v>
      </c>
    </row>
    <row r="2184" spans="3:17" x14ac:dyDescent="0.25">
      <c r="C2184" s="74" t="s">
        <v>677</v>
      </c>
      <c r="D2184" s="74" t="s">
        <v>678</v>
      </c>
      <c r="E2184" s="74" t="s">
        <v>391</v>
      </c>
      <c r="F2184" s="74">
        <v>0.1</v>
      </c>
      <c r="G2184" s="74"/>
      <c r="H2184" s="74"/>
      <c r="I2184" s="74" t="s">
        <v>391</v>
      </c>
      <c r="J2184" s="74"/>
      <c r="K2184" s="74">
        <v>102.4</v>
      </c>
      <c r="L2184" s="74">
        <v>92.16</v>
      </c>
      <c r="M2184" s="74"/>
      <c r="N2184" s="74" t="s">
        <v>392</v>
      </c>
      <c r="O2184" s="74" t="s">
        <v>393</v>
      </c>
      <c r="P2184" s="74"/>
      <c r="Q2184" s="74" t="s">
        <v>679</v>
      </c>
    </row>
    <row r="2185" spans="3:17" x14ac:dyDescent="0.25">
      <c r="C2185" s="74" t="s">
        <v>680</v>
      </c>
      <c r="D2185" s="74" t="s">
        <v>681</v>
      </c>
      <c r="E2185" s="74" t="s">
        <v>391</v>
      </c>
      <c r="F2185" s="74">
        <v>0.1</v>
      </c>
      <c r="G2185" s="74"/>
      <c r="H2185" s="74"/>
      <c r="I2185" s="74" t="s">
        <v>391</v>
      </c>
      <c r="J2185" s="74"/>
      <c r="K2185" s="74">
        <v>102.4</v>
      </c>
      <c r="L2185" s="74">
        <v>92.16</v>
      </c>
      <c r="M2185" s="74"/>
      <c r="N2185" s="74" t="s">
        <v>392</v>
      </c>
      <c r="O2185" s="74" t="s">
        <v>393</v>
      </c>
      <c r="P2185" s="74"/>
      <c r="Q2185" s="74" t="s">
        <v>682</v>
      </c>
    </row>
    <row r="2186" spans="3:17" x14ac:dyDescent="0.25">
      <c r="C2186" s="74" t="s">
        <v>691</v>
      </c>
      <c r="D2186" s="74" t="s">
        <v>692</v>
      </c>
      <c r="E2186" s="74" t="s">
        <v>391</v>
      </c>
      <c r="F2186" s="74">
        <v>0.1</v>
      </c>
      <c r="G2186" s="74"/>
      <c r="H2186" s="74"/>
      <c r="I2186" s="74" t="s">
        <v>391</v>
      </c>
      <c r="J2186" s="74"/>
      <c r="K2186" s="74">
        <v>102.4</v>
      </c>
      <c r="L2186" s="74">
        <v>92.16</v>
      </c>
      <c r="M2186" s="74"/>
      <c r="N2186" s="74" t="s">
        <v>392</v>
      </c>
      <c r="O2186" s="74" t="s">
        <v>393</v>
      </c>
      <c r="P2186" s="74"/>
      <c r="Q2186" s="74" t="s">
        <v>692</v>
      </c>
    </row>
    <row r="2187" spans="3:17" x14ac:dyDescent="0.25">
      <c r="C2187" s="74" t="s">
        <v>693</v>
      </c>
      <c r="D2187" s="74" t="s">
        <v>694</v>
      </c>
      <c r="E2187" s="74" t="s">
        <v>391</v>
      </c>
      <c r="F2187" s="74">
        <v>0.1</v>
      </c>
      <c r="G2187" s="74"/>
      <c r="H2187" s="74"/>
      <c r="I2187" s="74" t="s">
        <v>391</v>
      </c>
      <c r="J2187" s="74"/>
      <c r="K2187" s="74">
        <v>102.4</v>
      </c>
      <c r="L2187" s="74">
        <v>92.16</v>
      </c>
      <c r="M2187" s="74"/>
      <c r="N2187" s="74" t="s">
        <v>392</v>
      </c>
      <c r="O2187" s="74" t="s">
        <v>393</v>
      </c>
      <c r="P2187" s="74"/>
      <c r="Q2187" s="74" t="s">
        <v>695</v>
      </c>
    </row>
    <row r="2188" spans="3:17" x14ac:dyDescent="0.25">
      <c r="C2188" s="74" t="s">
        <v>696</v>
      </c>
      <c r="D2188" s="74" t="s">
        <v>697</v>
      </c>
      <c r="E2188" s="74" t="s">
        <v>391</v>
      </c>
      <c r="F2188" s="74">
        <v>0.1</v>
      </c>
      <c r="G2188" s="74"/>
      <c r="H2188" s="74"/>
      <c r="I2188" s="74" t="s">
        <v>391</v>
      </c>
      <c r="J2188" s="74"/>
      <c r="K2188" s="74">
        <v>102.4</v>
      </c>
      <c r="L2188" s="74">
        <v>92.16</v>
      </c>
      <c r="M2188" s="74"/>
      <c r="N2188" s="74" t="s">
        <v>392</v>
      </c>
      <c r="O2188" s="74" t="s">
        <v>393</v>
      </c>
      <c r="P2188" s="74"/>
      <c r="Q2188" s="74" t="s">
        <v>698</v>
      </c>
    </row>
    <row r="2189" spans="3:17" x14ac:dyDescent="0.25">
      <c r="C2189" s="74" t="s">
        <v>699</v>
      </c>
      <c r="D2189" s="74" t="s">
        <v>700</v>
      </c>
      <c r="E2189" s="74" t="s">
        <v>391</v>
      </c>
      <c r="F2189" s="74">
        <v>0.1</v>
      </c>
      <c r="G2189" s="74"/>
      <c r="H2189" s="74"/>
      <c r="I2189" s="74" t="s">
        <v>391</v>
      </c>
      <c r="J2189" s="74"/>
      <c r="K2189" s="74">
        <v>102.4</v>
      </c>
      <c r="L2189" s="74">
        <v>92.16</v>
      </c>
      <c r="M2189" s="74"/>
      <c r="N2189" s="74" t="s">
        <v>392</v>
      </c>
      <c r="O2189" s="74" t="s">
        <v>393</v>
      </c>
      <c r="P2189" s="74"/>
      <c r="Q2189" s="74" t="s">
        <v>701</v>
      </c>
    </row>
    <row r="2190" spans="3:17" x14ac:dyDescent="0.25">
      <c r="C2190" s="74" t="s">
        <v>710</v>
      </c>
      <c r="D2190" s="74" t="s">
        <v>711</v>
      </c>
      <c r="E2190" s="74" t="s">
        <v>391</v>
      </c>
      <c r="F2190" s="74">
        <v>0.1</v>
      </c>
      <c r="G2190" s="74"/>
      <c r="H2190" s="74"/>
      <c r="I2190" s="74" t="s">
        <v>391</v>
      </c>
      <c r="J2190" s="74"/>
      <c r="K2190" s="74">
        <v>102.4</v>
      </c>
      <c r="L2190" s="74">
        <v>92.16</v>
      </c>
      <c r="M2190" s="74"/>
      <c r="N2190" s="74" t="s">
        <v>392</v>
      </c>
      <c r="O2190" s="74" t="s">
        <v>393</v>
      </c>
      <c r="P2190" s="74"/>
      <c r="Q2190" s="74" t="s">
        <v>711</v>
      </c>
    </row>
    <row r="2191" spans="3:17" x14ac:dyDescent="0.25">
      <c r="C2191" s="74" t="s">
        <v>715</v>
      </c>
      <c r="D2191" s="74" t="s">
        <v>716</v>
      </c>
      <c r="E2191" s="74" t="s">
        <v>391</v>
      </c>
      <c r="F2191" s="74">
        <v>0.1</v>
      </c>
      <c r="G2191" s="74"/>
      <c r="H2191" s="74"/>
      <c r="I2191" s="74" t="s">
        <v>391</v>
      </c>
      <c r="J2191" s="74"/>
      <c r="K2191" s="74">
        <v>102.4</v>
      </c>
      <c r="L2191" s="74">
        <v>92.16</v>
      </c>
      <c r="M2191" s="74"/>
      <c r="N2191" s="74" t="s">
        <v>392</v>
      </c>
      <c r="O2191" s="74" t="s">
        <v>393</v>
      </c>
      <c r="P2191" s="74"/>
      <c r="Q2191" s="74" t="s">
        <v>717</v>
      </c>
    </row>
    <row r="2192" spans="3:17" x14ac:dyDescent="0.25">
      <c r="C2192" s="74" t="s">
        <v>718</v>
      </c>
      <c r="D2192" s="74" t="s">
        <v>719</v>
      </c>
      <c r="E2192" s="74"/>
      <c r="F2192" s="74">
        <v>0.1</v>
      </c>
      <c r="G2192" s="74"/>
      <c r="H2192" s="74"/>
      <c r="I2192" s="74" t="s">
        <v>391</v>
      </c>
      <c r="J2192" s="74"/>
      <c r="K2192" s="74">
        <v>102.4</v>
      </c>
      <c r="L2192" s="74">
        <v>92.16</v>
      </c>
      <c r="M2192" s="74"/>
      <c r="N2192" s="74" t="s">
        <v>392</v>
      </c>
      <c r="O2192" s="74" t="s">
        <v>402</v>
      </c>
      <c r="P2192" s="74"/>
      <c r="Q2192" s="74" t="s">
        <v>720</v>
      </c>
    </row>
    <row r="2193" spans="3:17" x14ac:dyDescent="0.25">
      <c r="C2193" s="74" t="s">
        <v>721</v>
      </c>
      <c r="D2193" s="74" t="s">
        <v>722</v>
      </c>
      <c r="E2193" s="74" t="s">
        <v>391</v>
      </c>
      <c r="F2193" s="74">
        <v>0.1</v>
      </c>
      <c r="G2193" s="74"/>
      <c r="H2193" s="74"/>
      <c r="I2193" s="74" t="s">
        <v>391</v>
      </c>
      <c r="J2193" s="74"/>
      <c r="K2193" s="74">
        <v>102.4</v>
      </c>
      <c r="L2193" s="74">
        <v>92.16</v>
      </c>
      <c r="M2193" s="74"/>
      <c r="N2193" s="74" t="s">
        <v>392</v>
      </c>
      <c r="O2193" s="74" t="s">
        <v>393</v>
      </c>
      <c r="P2193" s="74"/>
      <c r="Q2193" s="74" t="s">
        <v>723</v>
      </c>
    </row>
    <row r="2194" spans="3:17" x14ac:dyDescent="0.25">
      <c r="C2194" s="74" t="s">
        <v>738</v>
      </c>
      <c r="D2194" s="74" t="s">
        <v>739</v>
      </c>
      <c r="E2194" s="74" t="s">
        <v>391</v>
      </c>
      <c r="F2194" s="74">
        <v>0.1</v>
      </c>
      <c r="G2194" s="74"/>
      <c r="H2194" s="74"/>
      <c r="I2194" s="74" t="s">
        <v>391</v>
      </c>
      <c r="J2194" s="74"/>
      <c r="K2194" s="74">
        <v>102.4</v>
      </c>
      <c r="L2194" s="74">
        <v>92.16</v>
      </c>
      <c r="M2194" s="74"/>
      <c r="N2194" s="74" t="s">
        <v>392</v>
      </c>
      <c r="O2194" s="74" t="s">
        <v>393</v>
      </c>
      <c r="P2194" s="74"/>
      <c r="Q2194" s="74" t="s">
        <v>740</v>
      </c>
    </row>
    <row r="2195" spans="3:17" x14ac:dyDescent="0.25">
      <c r="C2195" s="74" t="s">
        <v>749</v>
      </c>
      <c r="D2195" s="74" t="s">
        <v>750</v>
      </c>
      <c r="E2195" s="74" t="s">
        <v>391</v>
      </c>
      <c r="F2195" s="74">
        <v>0.1</v>
      </c>
      <c r="G2195" s="74"/>
      <c r="H2195" s="74"/>
      <c r="I2195" s="74" t="s">
        <v>391</v>
      </c>
      <c r="J2195" s="74"/>
      <c r="K2195" s="74">
        <v>102.4</v>
      </c>
      <c r="L2195" s="74">
        <v>92.16</v>
      </c>
      <c r="M2195" s="74"/>
      <c r="N2195" s="74" t="s">
        <v>392</v>
      </c>
      <c r="O2195" s="74" t="s">
        <v>393</v>
      </c>
      <c r="P2195" s="74"/>
      <c r="Q2195" s="74" t="s">
        <v>751</v>
      </c>
    </row>
    <row r="2196" spans="3:17" x14ac:dyDescent="0.25">
      <c r="C2196" s="74" t="s">
        <v>752</v>
      </c>
      <c r="D2196" s="74" t="s">
        <v>753</v>
      </c>
      <c r="E2196" s="74" t="s">
        <v>391</v>
      </c>
      <c r="F2196" s="74">
        <v>0.1</v>
      </c>
      <c r="G2196" s="74"/>
      <c r="H2196" s="74"/>
      <c r="I2196" s="74" t="s">
        <v>391</v>
      </c>
      <c r="J2196" s="74"/>
      <c r="K2196" s="74">
        <v>102.4</v>
      </c>
      <c r="L2196" s="74">
        <v>92.16</v>
      </c>
      <c r="M2196" s="74"/>
      <c r="N2196" s="74" t="s">
        <v>392</v>
      </c>
      <c r="O2196" s="74" t="s">
        <v>393</v>
      </c>
      <c r="P2196" s="74"/>
      <c r="Q2196" s="74" t="s">
        <v>754</v>
      </c>
    </row>
    <row r="2197" spans="3:17" x14ac:dyDescent="0.25">
      <c r="C2197" s="74" t="s">
        <v>755</v>
      </c>
      <c r="D2197" s="74" t="s">
        <v>756</v>
      </c>
      <c r="E2197" s="74" t="s">
        <v>391</v>
      </c>
      <c r="F2197" s="74">
        <v>0.1</v>
      </c>
      <c r="G2197" s="74"/>
      <c r="H2197" s="74"/>
      <c r="I2197" s="74" t="s">
        <v>391</v>
      </c>
      <c r="J2197" s="74"/>
      <c r="K2197" s="74">
        <v>102.4</v>
      </c>
      <c r="L2197" s="74">
        <v>92.16</v>
      </c>
      <c r="M2197" s="74"/>
      <c r="N2197" s="74" t="s">
        <v>392</v>
      </c>
      <c r="O2197" s="74" t="s">
        <v>393</v>
      </c>
      <c r="P2197" s="74"/>
      <c r="Q2197" s="74" t="s">
        <v>757</v>
      </c>
    </row>
    <row r="2198" spans="3:17" x14ac:dyDescent="0.25">
      <c r="C2198" s="74" t="s">
        <v>758</v>
      </c>
      <c r="D2198" s="74" t="s">
        <v>759</v>
      </c>
      <c r="E2198" s="74" t="s">
        <v>391</v>
      </c>
      <c r="F2198" s="74">
        <v>0.1</v>
      </c>
      <c r="G2198" s="74"/>
      <c r="H2198" s="74"/>
      <c r="I2198" s="74" t="s">
        <v>391</v>
      </c>
      <c r="J2198" s="74"/>
      <c r="K2198" s="74">
        <v>102.4</v>
      </c>
      <c r="L2198" s="74">
        <v>92.16</v>
      </c>
      <c r="M2198" s="74"/>
      <c r="N2198" s="74" t="s">
        <v>392</v>
      </c>
      <c r="O2198" s="74" t="s">
        <v>393</v>
      </c>
      <c r="P2198" s="74"/>
      <c r="Q2198" s="74" t="s">
        <v>760</v>
      </c>
    </row>
    <row r="2199" spans="3:17" x14ac:dyDescent="0.25">
      <c r="C2199" s="74" t="s">
        <v>791</v>
      </c>
      <c r="D2199" s="74" t="s">
        <v>792</v>
      </c>
      <c r="E2199" s="74" t="s">
        <v>391</v>
      </c>
      <c r="F2199" s="74">
        <v>0.1</v>
      </c>
      <c r="G2199" s="74"/>
      <c r="H2199" s="74"/>
      <c r="I2199" s="74" t="s">
        <v>391</v>
      </c>
      <c r="J2199" s="74"/>
      <c r="K2199" s="74">
        <v>102.4</v>
      </c>
      <c r="L2199" s="74">
        <v>92.16</v>
      </c>
      <c r="M2199" s="74"/>
      <c r="N2199" s="74" t="s">
        <v>392</v>
      </c>
      <c r="O2199" s="74" t="s">
        <v>393</v>
      </c>
      <c r="P2199" s="74"/>
      <c r="Q2199" s="74" t="s">
        <v>793</v>
      </c>
    </row>
    <row r="2200" spans="3:17" x14ac:dyDescent="0.25">
      <c r="C2200" s="74" t="s">
        <v>794</v>
      </c>
      <c r="D2200" s="74" t="s">
        <v>795</v>
      </c>
      <c r="E2200" s="74" t="s">
        <v>391</v>
      </c>
      <c r="F2200" s="74">
        <v>0.1</v>
      </c>
      <c r="G2200" s="74"/>
      <c r="H2200" s="74"/>
      <c r="I2200" s="74" t="s">
        <v>391</v>
      </c>
      <c r="J2200" s="74"/>
      <c r="K2200" s="74">
        <v>102.4</v>
      </c>
      <c r="L2200" s="74">
        <v>92.16</v>
      </c>
      <c r="M2200" s="74"/>
      <c r="N2200" s="74" t="s">
        <v>392</v>
      </c>
      <c r="O2200" s="74" t="s">
        <v>393</v>
      </c>
      <c r="P2200" s="74"/>
      <c r="Q2200" s="74" t="s">
        <v>796</v>
      </c>
    </row>
    <row r="2201" spans="3:17" x14ac:dyDescent="0.25">
      <c r="C2201" s="74" t="s">
        <v>797</v>
      </c>
      <c r="D2201" s="74" t="s">
        <v>798</v>
      </c>
      <c r="E2201" s="74" t="s">
        <v>391</v>
      </c>
      <c r="F2201" s="74">
        <v>0.1</v>
      </c>
      <c r="G2201" s="74"/>
      <c r="H2201" s="74"/>
      <c r="I2201" s="74" t="s">
        <v>391</v>
      </c>
      <c r="J2201" s="74"/>
      <c r="K2201" s="74">
        <v>102.4</v>
      </c>
      <c r="L2201" s="74">
        <v>92.16</v>
      </c>
      <c r="M2201" s="74"/>
      <c r="N2201" s="74" t="s">
        <v>392</v>
      </c>
      <c r="O2201" s="74" t="s">
        <v>393</v>
      </c>
      <c r="P2201" s="74"/>
      <c r="Q2201" s="74" t="s">
        <v>799</v>
      </c>
    </row>
    <row r="2202" spans="3:17" x14ac:dyDescent="0.25">
      <c r="C2202" s="74" t="s">
        <v>810</v>
      </c>
      <c r="D2202" s="74" t="s">
        <v>811</v>
      </c>
      <c r="E2202" s="74" t="s">
        <v>391</v>
      </c>
      <c r="F2202" s="74">
        <v>0.1</v>
      </c>
      <c r="G2202" s="74"/>
      <c r="H2202" s="74"/>
      <c r="I2202" s="74" t="s">
        <v>391</v>
      </c>
      <c r="J2202" s="74"/>
      <c r="K2202" s="74">
        <v>102.4</v>
      </c>
      <c r="L2202" s="74">
        <v>92.16</v>
      </c>
      <c r="M2202" s="74"/>
      <c r="N2202" s="74" t="s">
        <v>392</v>
      </c>
      <c r="O2202" s="74" t="s">
        <v>393</v>
      </c>
      <c r="P2202" s="74"/>
      <c r="Q2202" s="74" t="s">
        <v>812</v>
      </c>
    </row>
    <row r="2203" spans="3:17" x14ac:dyDescent="0.25">
      <c r="C2203" s="158" t="s">
        <v>834</v>
      </c>
      <c r="D2203" s="158" t="s">
        <v>835</v>
      </c>
      <c r="E2203" s="158" t="s">
        <v>391</v>
      </c>
      <c r="F2203" s="158">
        <v>0.1</v>
      </c>
      <c r="I2203" s="158" t="s">
        <v>391</v>
      </c>
      <c r="K2203" s="158">
        <v>102.4</v>
      </c>
      <c r="L2203" s="158">
        <v>92.16</v>
      </c>
      <c r="N2203" s="158" t="s">
        <v>392</v>
      </c>
      <c r="O2203" s="158" t="s">
        <v>393</v>
      </c>
      <c r="Q2203" s="158" t="s">
        <v>836</v>
      </c>
    </row>
    <row r="2204" spans="3:17" x14ac:dyDescent="0.25">
      <c r="C2204" s="74" t="s">
        <v>861</v>
      </c>
      <c r="D2204" s="74" t="s">
        <v>406</v>
      </c>
      <c r="E2204" s="74" t="s">
        <v>391</v>
      </c>
      <c r="F2204" s="74">
        <v>0.1</v>
      </c>
      <c r="G2204" s="74"/>
      <c r="H2204" s="74"/>
      <c r="I2204" s="74" t="s">
        <v>391</v>
      </c>
      <c r="J2204" s="74"/>
      <c r="K2204" s="74">
        <v>102.4</v>
      </c>
      <c r="L2204" s="74">
        <v>92.16</v>
      </c>
      <c r="M2204" s="74"/>
      <c r="N2204" s="74" t="s">
        <v>392</v>
      </c>
      <c r="O2204" s="74" t="s">
        <v>393</v>
      </c>
      <c r="P2204" s="74"/>
      <c r="Q2204" s="74" t="s">
        <v>862</v>
      </c>
    </row>
    <row r="2205" spans="3:17" x14ac:dyDescent="0.25">
      <c r="C2205" s="74" t="s">
        <v>863</v>
      </c>
      <c r="D2205" s="74" t="s">
        <v>864</v>
      </c>
      <c r="E2205" s="74" t="s">
        <v>391</v>
      </c>
      <c r="F2205" s="74">
        <v>0.1</v>
      </c>
      <c r="G2205" s="74"/>
      <c r="H2205" s="74"/>
      <c r="I2205" s="74" t="s">
        <v>391</v>
      </c>
      <c r="J2205" s="74"/>
      <c r="K2205" s="74">
        <v>102.4</v>
      </c>
      <c r="L2205" s="74">
        <v>92.16</v>
      </c>
      <c r="M2205" s="74"/>
      <c r="N2205" s="74" t="s">
        <v>392</v>
      </c>
      <c r="O2205" s="74" t="s">
        <v>393</v>
      </c>
      <c r="P2205" s="74"/>
      <c r="Q2205" s="74" t="s">
        <v>865</v>
      </c>
    </row>
    <row r="2206" spans="3:17" x14ac:dyDescent="0.25">
      <c r="C2206" s="74" t="s">
        <v>877</v>
      </c>
      <c r="D2206" s="74" t="s">
        <v>878</v>
      </c>
      <c r="E2206" s="74" t="s">
        <v>391</v>
      </c>
      <c r="F2206" s="74">
        <v>0.1</v>
      </c>
      <c r="G2206" s="74"/>
      <c r="H2206" s="74"/>
      <c r="I2206" s="74" t="s">
        <v>391</v>
      </c>
      <c r="J2206" s="74"/>
      <c r="K2206" s="74">
        <v>102.4</v>
      </c>
      <c r="L2206" s="74">
        <v>92.16</v>
      </c>
      <c r="M2206" s="74"/>
      <c r="N2206" s="74" t="s">
        <v>392</v>
      </c>
      <c r="O2206" s="74" t="s">
        <v>393</v>
      </c>
      <c r="P2206" s="74"/>
      <c r="Q2206" s="74" t="s">
        <v>879</v>
      </c>
    </row>
    <row r="2207" spans="3:17" x14ac:dyDescent="0.25">
      <c r="C2207" s="74" t="s">
        <v>880</v>
      </c>
      <c r="D2207" s="74" t="s">
        <v>881</v>
      </c>
      <c r="E2207" s="74" t="s">
        <v>391</v>
      </c>
      <c r="F2207" s="74">
        <v>0.1</v>
      </c>
      <c r="G2207" s="74"/>
      <c r="H2207" s="74"/>
      <c r="I2207" s="74" t="s">
        <v>391</v>
      </c>
      <c r="J2207" s="74"/>
      <c r="K2207" s="74">
        <v>102.4</v>
      </c>
      <c r="L2207" s="74">
        <v>92.16</v>
      </c>
      <c r="M2207" s="74"/>
      <c r="N2207" s="74" t="s">
        <v>392</v>
      </c>
      <c r="O2207" s="74" t="s">
        <v>393</v>
      </c>
      <c r="P2207" s="74"/>
      <c r="Q2207" s="74" t="s">
        <v>882</v>
      </c>
    </row>
    <row r="2208" spans="3:17" x14ac:dyDescent="0.25">
      <c r="C2208" s="74" t="s">
        <v>883</v>
      </c>
      <c r="D2208" s="74" t="s">
        <v>884</v>
      </c>
      <c r="E2208" s="74" t="s">
        <v>391</v>
      </c>
      <c r="F2208" s="74">
        <v>0.1</v>
      </c>
      <c r="G2208" s="74"/>
      <c r="H2208" s="74"/>
      <c r="I2208" s="74" t="s">
        <v>391</v>
      </c>
      <c r="J2208" s="74"/>
      <c r="K2208" s="74">
        <v>102.4</v>
      </c>
      <c r="L2208" s="74">
        <v>92.16</v>
      </c>
      <c r="M2208" s="74"/>
      <c r="N2208" s="74" t="s">
        <v>392</v>
      </c>
      <c r="O2208" s="74" t="s">
        <v>393</v>
      </c>
      <c r="P2208" s="74"/>
      <c r="Q2208" s="74" t="s">
        <v>885</v>
      </c>
    </row>
    <row r="2209" spans="3:17" x14ac:dyDescent="0.25">
      <c r="C2209" s="74" t="s">
        <v>886</v>
      </c>
      <c r="D2209" s="74" t="s">
        <v>887</v>
      </c>
      <c r="E2209" s="74" t="s">
        <v>391</v>
      </c>
      <c r="F2209" s="74">
        <v>0.1</v>
      </c>
      <c r="G2209" s="74"/>
      <c r="H2209" s="74"/>
      <c r="I2209" s="74" t="s">
        <v>391</v>
      </c>
      <c r="J2209" s="74"/>
      <c r="K2209" s="74">
        <v>102.4</v>
      </c>
      <c r="L2209" s="74">
        <v>92.16</v>
      </c>
      <c r="M2209" s="74"/>
      <c r="N2209" s="74" t="s">
        <v>392</v>
      </c>
      <c r="O2209" s="74" t="s">
        <v>393</v>
      </c>
      <c r="P2209" s="74"/>
      <c r="Q2209" s="74" t="s">
        <v>888</v>
      </c>
    </row>
    <row r="2210" spans="3:17" x14ac:dyDescent="0.25">
      <c r="C2210" s="74" t="s">
        <v>900</v>
      </c>
      <c r="D2210" s="74" t="s">
        <v>901</v>
      </c>
      <c r="E2210" s="74" t="s">
        <v>391</v>
      </c>
      <c r="F2210" s="74">
        <v>0.1</v>
      </c>
      <c r="G2210" s="74"/>
      <c r="H2210" s="74"/>
      <c r="I2210" s="74" t="s">
        <v>391</v>
      </c>
      <c r="J2210" s="74"/>
      <c r="K2210" s="74">
        <v>102.4</v>
      </c>
      <c r="L2210" s="74">
        <v>92.16</v>
      </c>
      <c r="M2210" s="74"/>
      <c r="N2210" s="74" t="s">
        <v>392</v>
      </c>
      <c r="O2210" s="74" t="s">
        <v>393</v>
      </c>
      <c r="P2210" s="74"/>
      <c r="Q2210" s="74" t="s">
        <v>902</v>
      </c>
    </row>
    <row r="2211" spans="3:17" x14ac:dyDescent="0.25">
      <c r="C2211" s="74" t="s">
        <v>906</v>
      </c>
      <c r="D2211" s="74" t="s">
        <v>907</v>
      </c>
      <c r="E2211" s="74" t="s">
        <v>391</v>
      </c>
      <c r="F2211" s="74">
        <v>0.1</v>
      </c>
      <c r="G2211" s="74"/>
      <c r="H2211" s="74"/>
      <c r="I2211" s="74" t="s">
        <v>391</v>
      </c>
      <c r="J2211" s="74"/>
      <c r="K2211" s="74">
        <v>102.4</v>
      </c>
      <c r="L2211" s="74">
        <v>92.16</v>
      </c>
      <c r="M2211" s="74"/>
      <c r="N2211" s="74" t="s">
        <v>392</v>
      </c>
      <c r="O2211" s="74" t="s">
        <v>393</v>
      </c>
      <c r="P2211" s="74"/>
      <c r="Q2211" s="74" t="s">
        <v>908</v>
      </c>
    </row>
    <row r="2212" spans="3:17" x14ac:dyDescent="0.25">
      <c r="C2212" s="74" t="s">
        <v>909</v>
      </c>
      <c r="D2212" s="74" t="s">
        <v>910</v>
      </c>
      <c r="E2212" s="74" t="s">
        <v>391</v>
      </c>
      <c r="F2212" s="74">
        <v>0.1</v>
      </c>
      <c r="G2212" s="74"/>
      <c r="H2212" s="74"/>
      <c r="I2212" s="74" t="s">
        <v>391</v>
      </c>
      <c r="J2212" s="74"/>
      <c r="K2212" s="74">
        <v>102.4</v>
      </c>
      <c r="L2212" s="74">
        <v>92.16</v>
      </c>
      <c r="M2212" s="74"/>
      <c r="N2212" s="74" t="s">
        <v>392</v>
      </c>
      <c r="O2212" s="74" t="s">
        <v>393</v>
      </c>
      <c r="P2212" s="74"/>
      <c r="Q2212" s="74" t="s">
        <v>911</v>
      </c>
    </row>
    <row r="2213" spans="3:17" x14ac:dyDescent="0.25">
      <c r="C2213" s="74" t="s">
        <v>912</v>
      </c>
      <c r="D2213" s="74" t="s">
        <v>913</v>
      </c>
      <c r="E2213" s="74" t="s">
        <v>391</v>
      </c>
      <c r="F2213" s="74">
        <v>0.1</v>
      </c>
      <c r="G2213" s="74"/>
      <c r="H2213" s="74"/>
      <c r="I2213" s="74" t="s">
        <v>391</v>
      </c>
      <c r="J2213" s="74"/>
      <c r="K2213" s="74">
        <v>102.4</v>
      </c>
      <c r="L2213" s="74">
        <v>92.16</v>
      </c>
      <c r="M2213" s="74"/>
      <c r="N2213" s="74" t="s">
        <v>392</v>
      </c>
      <c r="O2213" s="74" t="s">
        <v>393</v>
      </c>
      <c r="P2213" s="74"/>
      <c r="Q2213" s="74" t="s">
        <v>914</v>
      </c>
    </row>
    <row r="2214" spans="3:17" x14ac:dyDescent="0.25">
      <c r="C2214" s="74" t="s">
        <v>915</v>
      </c>
      <c r="D2214" s="74" t="s">
        <v>916</v>
      </c>
      <c r="E2214" s="74" t="s">
        <v>391</v>
      </c>
      <c r="F2214" s="74">
        <v>0.1</v>
      </c>
      <c r="G2214" s="74"/>
      <c r="H2214" s="74"/>
      <c r="I2214" s="74" t="s">
        <v>391</v>
      </c>
      <c r="J2214" s="74"/>
      <c r="K2214" s="74">
        <v>102.4</v>
      </c>
      <c r="L2214" s="74">
        <v>92.16</v>
      </c>
      <c r="M2214" s="74"/>
      <c r="N2214" s="74" t="s">
        <v>392</v>
      </c>
      <c r="O2214" s="74" t="s">
        <v>393</v>
      </c>
      <c r="P2214" s="74"/>
      <c r="Q2214" s="74" t="s">
        <v>917</v>
      </c>
    </row>
    <row r="2215" spans="3:17" x14ac:dyDescent="0.25">
      <c r="C2215" s="74" t="s">
        <v>918</v>
      </c>
      <c r="D2215" s="74" t="s">
        <v>919</v>
      </c>
      <c r="E2215" s="74" t="s">
        <v>391</v>
      </c>
      <c r="F2215" s="74">
        <v>0.1</v>
      </c>
      <c r="G2215" s="74"/>
      <c r="H2215" s="74"/>
      <c r="I2215" s="74" t="s">
        <v>391</v>
      </c>
      <c r="J2215" s="74"/>
      <c r="K2215" s="74">
        <v>102.4</v>
      </c>
      <c r="L2215" s="74">
        <v>92.16</v>
      </c>
      <c r="M2215" s="74"/>
      <c r="N2215" s="74" t="s">
        <v>392</v>
      </c>
      <c r="O2215" s="74" t="s">
        <v>393</v>
      </c>
      <c r="P2215" s="74"/>
      <c r="Q2215" s="74" t="s">
        <v>920</v>
      </c>
    </row>
    <row r="2216" spans="3:17" x14ac:dyDescent="0.25">
      <c r="C2216" s="74" t="s">
        <v>921</v>
      </c>
      <c r="D2216" s="74" t="s">
        <v>922</v>
      </c>
      <c r="E2216" s="74" t="s">
        <v>391</v>
      </c>
      <c r="F2216" s="74">
        <v>0.1</v>
      </c>
      <c r="G2216" s="74"/>
      <c r="H2216" s="74"/>
      <c r="I2216" s="74" t="s">
        <v>391</v>
      </c>
      <c r="J2216" s="74"/>
      <c r="K2216" s="74">
        <v>102.4</v>
      </c>
      <c r="L2216" s="74">
        <v>92.16</v>
      </c>
      <c r="M2216" s="74"/>
      <c r="N2216" s="74" t="s">
        <v>392</v>
      </c>
      <c r="O2216" s="74" t="s">
        <v>393</v>
      </c>
      <c r="P2216" s="74"/>
      <c r="Q2216" s="74" t="s">
        <v>923</v>
      </c>
    </row>
    <row r="2217" spans="3:17" x14ac:dyDescent="0.25">
      <c r="C2217" s="74" t="s">
        <v>924</v>
      </c>
      <c r="D2217" s="74" t="s">
        <v>925</v>
      </c>
      <c r="E2217" s="74" t="s">
        <v>391</v>
      </c>
      <c r="F2217" s="74">
        <v>0.1</v>
      </c>
      <c r="G2217" s="74"/>
      <c r="H2217" s="74"/>
      <c r="I2217" s="74" t="s">
        <v>391</v>
      </c>
      <c r="J2217" s="74"/>
      <c r="K2217" s="74">
        <v>102.4</v>
      </c>
      <c r="L2217" s="74">
        <v>92.16</v>
      </c>
      <c r="M2217" s="74"/>
      <c r="N2217" s="74" t="s">
        <v>392</v>
      </c>
      <c r="O2217" s="74" t="s">
        <v>393</v>
      </c>
      <c r="P2217" s="74"/>
      <c r="Q2217" s="74" t="s">
        <v>926</v>
      </c>
    </row>
    <row r="2218" spans="3:17" x14ac:dyDescent="0.25">
      <c r="C2218" s="74" t="s">
        <v>931</v>
      </c>
      <c r="D2218" s="74" t="s">
        <v>932</v>
      </c>
      <c r="E2218" s="74" t="s">
        <v>391</v>
      </c>
      <c r="F2218" s="74">
        <v>0.1</v>
      </c>
      <c r="G2218" s="74"/>
      <c r="H2218" s="74"/>
      <c r="I2218" s="74" t="s">
        <v>391</v>
      </c>
      <c r="J2218" s="74"/>
      <c r="K2218" s="74">
        <v>102.4</v>
      </c>
      <c r="L2218" s="74">
        <v>92.16</v>
      </c>
      <c r="M2218" s="74"/>
      <c r="N2218" s="74" t="s">
        <v>392</v>
      </c>
      <c r="O2218" s="74" t="s">
        <v>393</v>
      </c>
      <c r="P2218" s="74"/>
      <c r="Q2218" s="74" t="s">
        <v>933</v>
      </c>
    </row>
    <row r="2219" spans="3:17" x14ac:dyDescent="0.25">
      <c r="C2219" s="74" t="s">
        <v>952</v>
      </c>
      <c r="D2219" s="74" t="s">
        <v>953</v>
      </c>
      <c r="E2219" s="74" t="s">
        <v>391</v>
      </c>
      <c r="F2219" s="74">
        <v>0.1</v>
      </c>
      <c r="G2219" s="74"/>
      <c r="H2219" s="74"/>
      <c r="I2219" s="74" t="s">
        <v>391</v>
      </c>
      <c r="J2219" s="74"/>
      <c r="K2219" s="74">
        <v>102.4</v>
      </c>
      <c r="L2219" s="74">
        <v>92.16</v>
      </c>
      <c r="M2219" s="74"/>
      <c r="N2219" s="74" t="s">
        <v>392</v>
      </c>
      <c r="O2219" s="74" t="s">
        <v>393</v>
      </c>
      <c r="P2219" s="74"/>
      <c r="Q2219" s="74" t="s">
        <v>953</v>
      </c>
    </row>
    <row r="2220" spans="3:17" x14ac:dyDescent="0.25">
      <c r="C2220" s="74" t="s">
        <v>954</v>
      </c>
      <c r="D2220" s="74" t="s">
        <v>955</v>
      </c>
      <c r="E2220" s="74" t="s">
        <v>391</v>
      </c>
      <c r="F2220" s="74">
        <v>0.1</v>
      </c>
      <c r="G2220" s="74"/>
      <c r="H2220" s="74"/>
      <c r="I2220" s="74" t="s">
        <v>391</v>
      </c>
      <c r="J2220" s="74"/>
      <c r="K2220" s="74">
        <v>102.4</v>
      </c>
      <c r="L2220" s="74">
        <v>92.16</v>
      </c>
      <c r="M2220" s="74"/>
      <c r="N2220" s="74" t="s">
        <v>392</v>
      </c>
      <c r="O2220" s="74" t="s">
        <v>393</v>
      </c>
      <c r="P2220" s="74"/>
      <c r="Q2220" s="74" t="s">
        <v>956</v>
      </c>
    </row>
    <row r="2221" spans="3:17" x14ac:dyDescent="0.25">
      <c r="C2221" s="74" t="s">
        <v>961</v>
      </c>
      <c r="D2221" s="74" t="s">
        <v>962</v>
      </c>
      <c r="E2221" s="74" t="s">
        <v>391</v>
      </c>
      <c r="F2221" s="74">
        <v>0.1</v>
      </c>
      <c r="G2221" s="74"/>
      <c r="H2221" s="74"/>
      <c r="I2221" s="74" t="s">
        <v>391</v>
      </c>
      <c r="J2221" s="74"/>
      <c r="K2221" s="74">
        <v>102.4</v>
      </c>
      <c r="L2221" s="74">
        <v>92.16</v>
      </c>
      <c r="M2221" s="74"/>
      <c r="N2221" s="74" t="s">
        <v>392</v>
      </c>
      <c r="O2221" s="74" t="s">
        <v>393</v>
      </c>
      <c r="P2221" s="74"/>
      <c r="Q2221" s="74" t="s">
        <v>963</v>
      </c>
    </row>
    <row r="2222" spans="3:17" x14ac:dyDescent="0.25">
      <c r="C2222" s="74" t="s">
        <v>972</v>
      </c>
      <c r="D2222" s="74" t="s">
        <v>973</v>
      </c>
      <c r="E2222" s="74" t="s">
        <v>391</v>
      </c>
      <c r="F2222" s="74">
        <v>0.1</v>
      </c>
      <c r="G2222" s="74"/>
      <c r="H2222" s="74"/>
      <c r="I2222" s="74" t="s">
        <v>391</v>
      </c>
      <c r="J2222" s="74"/>
      <c r="K2222" s="74">
        <v>102.4</v>
      </c>
      <c r="L2222" s="74">
        <v>92.16</v>
      </c>
      <c r="M2222" s="74"/>
      <c r="N2222" s="74" t="s">
        <v>392</v>
      </c>
      <c r="O2222" s="74" t="s">
        <v>393</v>
      </c>
      <c r="P2222" s="74"/>
      <c r="Q2222" s="74" t="s">
        <v>974</v>
      </c>
    </row>
    <row r="2223" spans="3:17" x14ac:dyDescent="0.25">
      <c r="C2223" s="74" t="s">
        <v>979</v>
      </c>
      <c r="D2223" s="74" t="s">
        <v>980</v>
      </c>
      <c r="E2223" s="74"/>
      <c r="F2223" s="74">
        <v>0.1</v>
      </c>
      <c r="G2223" s="74"/>
      <c r="H2223" s="74"/>
      <c r="I2223" s="74" t="s">
        <v>391</v>
      </c>
      <c r="J2223" s="74"/>
      <c r="K2223" s="74">
        <v>102.4</v>
      </c>
      <c r="L2223" s="74">
        <v>92.16</v>
      </c>
      <c r="M2223" s="74"/>
      <c r="N2223" s="74" t="s">
        <v>392</v>
      </c>
      <c r="O2223" s="74" t="s">
        <v>402</v>
      </c>
      <c r="P2223" s="74" t="s">
        <v>981</v>
      </c>
      <c r="Q2223" s="74" t="s">
        <v>982</v>
      </c>
    </row>
    <row r="2224" spans="3:17" x14ac:dyDescent="0.25">
      <c r="C2224" s="74" t="s">
        <v>983</v>
      </c>
      <c r="D2224" s="74" t="s">
        <v>984</v>
      </c>
      <c r="E2224" s="74" t="s">
        <v>391</v>
      </c>
      <c r="F2224" s="74">
        <v>0.1</v>
      </c>
      <c r="G2224" s="74"/>
      <c r="H2224" s="74"/>
      <c r="I2224" s="74" t="s">
        <v>391</v>
      </c>
      <c r="J2224" s="74"/>
      <c r="K2224" s="74">
        <v>102.4</v>
      </c>
      <c r="L2224" s="74">
        <v>92.16</v>
      </c>
      <c r="M2224" s="74"/>
      <c r="N2224" s="74" t="s">
        <v>392</v>
      </c>
      <c r="O2224" s="74" t="s">
        <v>393</v>
      </c>
      <c r="P2224" s="74"/>
      <c r="Q2224" s="74" t="s">
        <v>984</v>
      </c>
    </row>
    <row r="2225" spans="3:17" x14ac:dyDescent="0.25">
      <c r="C2225" s="74" t="s">
        <v>988</v>
      </c>
      <c r="D2225" s="74" t="s">
        <v>989</v>
      </c>
      <c r="E2225" s="74" t="s">
        <v>391</v>
      </c>
      <c r="F2225" s="74">
        <v>0.1</v>
      </c>
      <c r="G2225" s="74"/>
      <c r="H2225" s="74"/>
      <c r="I2225" s="74" t="s">
        <v>391</v>
      </c>
      <c r="J2225" s="74"/>
      <c r="K2225" s="74">
        <v>102.4</v>
      </c>
      <c r="L2225" s="74">
        <v>92.16</v>
      </c>
      <c r="M2225" s="74"/>
      <c r="N2225" s="74" t="s">
        <v>392</v>
      </c>
      <c r="O2225" s="74" t="s">
        <v>393</v>
      </c>
      <c r="P2225" s="74"/>
      <c r="Q2225" s="74" t="s">
        <v>990</v>
      </c>
    </row>
    <row r="2226" spans="3:17" x14ac:dyDescent="0.25">
      <c r="C2226" s="74" t="s">
        <v>1007</v>
      </c>
      <c r="D2226" s="74" t="s">
        <v>1008</v>
      </c>
      <c r="E2226" s="74" t="s">
        <v>391</v>
      </c>
      <c r="F2226" s="74">
        <v>0.1</v>
      </c>
      <c r="G2226" s="74"/>
      <c r="H2226" s="74"/>
      <c r="I2226" s="74" t="s">
        <v>391</v>
      </c>
      <c r="J2226" s="74"/>
      <c r="K2226" s="74">
        <v>102.4</v>
      </c>
      <c r="L2226" s="74">
        <v>92.16</v>
      </c>
      <c r="M2226" s="74"/>
      <c r="N2226" s="74" t="s">
        <v>392</v>
      </c>
      <c r="O2226" s="74" t="s">
        <v>393</v>
      </c>
      <c r="P2226" s="74"/>
      <c r="Q2226" s="74" t="s">
        <v>1009</v>
      </c>
    </row>
    <row r="2227" spans="3:17" x14ac:dyDescent="0.25">
      <c r="C2227" s="74" t="s">
        <v>1010</v>
      </c>
      <c r="D2227" s="74" t="s">
        <v>1011</v>
      </c>
      <c r="E2227" s="74" t="s">
        <v>391</v>
      </c>
      <c r="F2227" s="74">
        <v>0.1</v>
      </c>
      <c r="G2227" s="74"/>
      <c r="H2227" s="74"/>
      <c r="I2227" s="74" t="s">
        <v>391</v>
      </c>
      <c r="J2227" s="74"/>
      <c r="K2227" s="74">
        <v>102.4</v>
      </c>
      <c r="L2227" s="74">
        <v>92.16</v>
      </c>
      <c r="M2227" s="74"/>
      <c r="N2227" s="74" t="s">
        <v>392</v>
      </c>
      <c r="O2227" s="74" t="s">
        <v>393</v>
      </c>
      <c r="P2227" s="74"/>
      <c r="Q2227" s="74" t="s">
        <v>1012</v>
      </c>
    </row>
    <row r="2228" spans="3:17" x14ac:dyDescent="0.25">
      <c r="C2228" s="74" t="s">
        <v>1027</v>
      </c>
      <c r="D2228" s="74" t="s">
        <v>1028</v>
      </c>
      <c r="E2228" s="74" t="s">
        <v>391</v>
      </c>
      <c r="F2228" s="74">
        <v>0.1</v>
      </c>
      <c r="G2228" s="74"/>
      <c r="H2228" s="74"/>
      <c r="I2228" s="74" t="s">
        <v>391</v>
      </c>
      <c r="J2228" s="74"/>
      <c r="K2228" s="74">
        <v>102.4</v>
      </c>
      <c r="L2228" s="74">
        <v>92.16</v>
      </c>
      <c r="M2228" s="74"/>
      <c r="N2228" s="74" t="s">
        <v>392</v>
      </c>
      <c r="O2228" s="74" t="s">
        <v>393</v>
      </c>
      <c r="P2228" s="74"/>
      <c r="Q2228" s="74" t="s">
        <v>1029</v>
      </c>
    </row>
    <row r="2229" spans="3:17" x14ac:dyDescent="0.25">
      <c r="C2229" s="74" t="s">
        <v>1045</v>
      </c>
      <c r="D2229" s="74" t="s">
        <v>1046</v>
      </c>
      <c r="E2229" s="74" t="s">
        <v>391</v>
      </c>
      <c r="F2229" s="74">
        <v>0.1</v>
      </c>
      <c r="G2229" s="74"/>
      <c r="H2229" s="74"/>
      <c r="I2229" s="74" t="s">
        <v>391</v>
      </c>
      <c r="J2229" s="74"/>
      <c r="K2229" s="74">
        <v>102.4</v>
      </c>
      <c r="L2229" s="74">
        <v>92.16</v>
      </c>
      <c r="M2229" s="74"/>
      <c r="N2229" s="74" t="s">
        <v>392</v>
      </c>
      <c r="O2229" s="74" t="s">
        <v>393</v>
      </c>
      <c r="P2229" s="74"/>
      <c r="Q2229" s="74" t="s">
        <v>1047</v>
      </c>
    </row>
    <row r="2230" spans="3:17" x14ac:dyDescent="0.25">
      <c r="C2230" s="74" t="s">
        <v>1066</v>
      </c>
      <c r="D2230" s="74" t="s">
        <v>1067</v>
      </c>
      <c r="E2230" s="74" t="s">
        <v>391</v>
      </c>
      <c r="F2230" s="74">
        <v>0.1</v>
      </c>
      <c r="G2230" s="74"/>
      <c r="H2230" s="74"/>
      <c r="I2230" s="74" t="s">
        <v>391</v>
      </c>
      <c r="J2230" s="74"/>
      <c r="K2230" s="74">
        <v>102.4</v>
      </c>
      <c r="L2230" s="74">
        <v>92.16</v>
      </c>
      <c r="M2230" s="74"/>
      <c r="N2230" s="74" t="s">
        <v>392</v>
      </c>
      <c r="O2230" s="74" t="s">
        <v>393</v>
      </c>
      <c r="P2230" s="74"/>
      <c r="Q2230" s="74" t="s">
        <v>1068</v>
      </c>
    </row>
    <row r="2231" spans="3:17" x14ac:dyDescent="0.25">
      <c r="C2231" s="74" t="s">
        <v>1069</v>
      </c>
      <c r="D2231" s="74" t="s">
        <v>1070</v>
      </c>
      <c r="E2231" s="74" t="s">
        <v>391</v>
      </c>
      <c r="F2231" s="74">
        <v>0.1</v>
      </c>
      <c r="G2231" s="74"/>
      <c r="H2231" s="74"/>
      <c r="I2231" s="74" t="s">
        <v>391</v>
      </c>
      <c r="J2231" s="74"/>
      <c r="K2231" s="74">
        <v>102.4</v>
      </c>
      <c r="L2231" s="74">
        <v>92.16</v>
      </c>
      <c r="M2231" s="74"/>
      <c r="N2231" s="74" t="s">
        <v>392</v>
      </c>
      <c r="O2231" s="74" t="s">
        <v>393</v>
      </c>
      <c r="P2231" s="74"/>
      <c r="Q2231" s="74" t="s">
        <v>1071</v>
      </c>
    </row>
    <row r="2232" spans="3:17" x14ac:dyDescent="0.25">
      <c r="C2232" s="74" t="s">
        <v>1099</v>
      </c>
      <c r="D2232" s="74" t="s">
        <v>1100</v>
      </c>
      <c r="E2232" s="74" t="s">
        <v>391</v>
      </c>
      <c r="F2232" s="74">
        <v>0.1</v>
      </c>
      <c r="G2232" s="74"/>
      <c r="H2232" s="74"/>
      <c r="I2232" s="74" t="s">
        <v>391</v>
      </c>
      <c r="J2232" s="74"/>
      <c r="K2232" s="74">
        <v>102.4</v>
      </c>
      <c r="L2232" s="74">
        <v>92.16</v>
      </c>
      <c r="M2232" s="74"/>
      <c r="N2232" s="74" t="s">
        <v>392</v>
      </c>
      <c r="O2232" s="74" t="s">
        <v>393</v>
      </c>
      <c r="P2232" s="74"/>
      <c r="Q2232" s="74" t="s">
        <v>1101</v>
      </c>
    </row>
    <row r="2233" spans="3:17" x14ac:dyDescent="0.25">
      <c r="C2233" s="74" t="s">
        <v>1102</v>
      </c>
      <c r="D2233" s="74" t="s">
        <v>1103</v>
      </c>
      <c r="E2233" s="74" t="s">
        <v>391</v>
      </c>
      <c r="F2233" s="74">
        <v>0.1</v>
      </c>
      <c r="G2233" s="74"/>
      <c r="H2233" s="74"/>
      <c r="I2233" s="74" t="s">
        <v>391</v>
      </c>
      <c r="J2233" s="74"/>
      <c r="K2233" s="74">
        <v>102.4</v>
      </c>
      <c r="L2233" s="74">
        <v>92.16</v>
      </c>
      <c r="M2233" s="74"/>
      <c r="N2233" s="74" t="s">
        <v>392</v>
      </c>
      <c r="O2233" s="74" t="s">
        <v>393</v>
      </c>
      <c r="P2233" s="74"/>
      <c r="Q2233" s="74" t="s">
        <v>1104</v>
      </c>
    </row>
    <row r="2234" spans="3:17" x14ac:dyDescent="0.25">
      <c r="C2234" s="74" t="s">
        <v>1105</v>
      </c>
      <c r="D2234" s="74" t="s">
        <v>1106</v>
      </c>
      <c r="E2234" s="74" t="s">
        <v>391</v>
      </c>
      <c r="F2234" s="74">
        <v>0.1</v>
      </c>
      <c r="G2234" s="74"/>
      <c r="H2234" s="74"/>
      <c r="I2234" s="74" t="s">
        <v>391</v>
      </c>
      <c r="J2234" s="74"/>
      <c r="K2234" s="74">
        <v>102.4</v>
      </c>
      <c r="L2234" s="74">
        <v>92.16</v>
      </c>
      <c r="M2234" s="74"/>
      <c r="N2234" s="74" t="s">
        <v>392</v>
      </c>
      <c r="O2234" s="74" t="s">
        <v>393</v>
      </c>
      <c r="P2234" s="74"/>
      <c r="Q2234" s="74" t="s">
        <v>1107</v>
      </c>
    </row>
    <row r="2235" spans="3:17" x14ac:dyDescent="0.25">
      <c r="C2235" s="74" t="s">
        <v>1135</v>
      </c>
      <c r="D2235" s="74" t="s">
        <v>1136</v>
      </c>
      <c r="E2235" s="74" t="s">
        <v>391</v>
      </c>
      <c r="F2235" s="74">
        <v>0.1</v>
      </c>
      <c r="G2235" s="74"/>
      <c r="H2235" s="74"/>
      <c r="I2235" s="74" t="s">
        <v>391</v>
      </c>
      <c r="J2235" s="74"/>
      <c r="K2235" s="74">
        <v>102.4</v>
      </c>
      <c r="L2235" s="74">
        <v>92.16</v>
      </c>
      <c r="M2235" s="74"/>
      <c r="N2235" s="74" t="s">
        <v>392</v>
      </c>
      <c r="O2235" s="74" t="s">
        <v>393</v>
      </c>
      <c r="P2235" s="74"/>
      <c r="Q2235" s="74" t="s">
        <v>1137</v>
      </c>
    </row>
    <row r="2236" spans="3:17" x14ac:dyDescent="0.25">
      <c r="C2236" s="74" t="s">
        <v>1141</v>
      </c>
      <c r="D2236" s="74" t="s">
        <v>1142</v>
      </c>
      <c r="E2236" s="74"/>
      <c r="F2236" s="74">
        <v>0.1</v>
      </c>
      <c r="G2236" s="74"/>
      <c r="H2236" s="74"/>
      <c r="I2236" s="74" t="s">
        <v>391</v>
      </c>
      <c r="J2236" s="74"/>
      <c r="K2236" s="74">
        <v>102.4</v>
      </c>
      <c r="L2236" s="74">
        <v>92.16</v>
      </c>
      <c r="M2236" s="74"/>
      <c r="N2236" s="74" t="s">
        <v>392</v>
      </c>
      <c r="O2236" s="74" t="s">
        <v>402</v>
      </c>
      <c r="P2236" s="74"/>
      <c r="Q2236" s="74" t="s">
        <v>1143</v>
      </c>
    </row>
    <row r="2237" spans="3:17" x14ac:dyDescent="0.25">
      <c r="C2237" s="74" t="s">
        <v>1151</v>
      </c>
      <c r="D2237" s="74" t="s">
        <v>1152</v>
      </c>
      <c r="E2237" s="74" t="s">
        <v>391</v>
      </c>
      <c r="F2237" s="74">
        <v>0.1</v>
      </c>
      <c r="G2237" s="74"/>
      <c r="H2237" s="74"/>
      <c r="I2237" s="74" t="s">
        <v>391</v>
      </c>
      <c r="J2237" s="74"/>
      <c r="K2237" s="74">
        <v>102.4</v>
      </c>
      <c r="L2237" s="74">
        <v>92.16</v>
      </c>
      <c r="M2237" s="74"/>
      <c r="N2237" s="74" t="s">
        <v>392</v>
      </c>
      <c r="O2237" s="74" t="s">
        <v>393</v>
      </c>
      <c r="P2237" s="74"/>
      <c r="Q2237" s="74" t="s">
        <v>1153</v>
      </c>
    </row>
    <row r="2238" spans="3:17" x14ac:dyDescent="0.25">
      <c r="C2238" s="74" t="s">
        <v>1157</v>
      </c>
      <c r="D2238" s="74" t="s">
        <v>1158</v>
      </c>
      <c r="E2238" s="74" t="s">
        <v>391</v>
      </c>
      <c r="F2238" s="74">
        <v>0.1</v>
      </c>
      <c r="G2238" s="74"/>
      <c r="H2238" s="74"/>
      <c r="I2238" s="74" t="s">
        <v>391</v>
      </c>
      <c r="J2238" s="74"/>
      <c r="K2238" s="74">
        <v>102.4</v>
      </c>
      <c r="L2238" s="74">
        <v>92.16</v>
      </c>
      <c r="M2238" s="74"/>
      <c r="N2238" s="74" t="s">
        <v>392</v>
      </c>
      <c r="O2238" s="74" t="s">
        <v>393</v>
      </c>
      <c r="P2238" s="74"/>
      <c r="Q2238" s="74" t="s">
        <v>1159</v>
      </c>
    </row>
    <row r="2239" spans="3:17" x14ac:dyDescent="0.25">
      <c r="C2239" s="74" t="s">
        <v>1160</v>
      </c>
      <c r="D2239" s="74" t="s">
        <v>1161</v>
      </c>
      <c r="E2239" s="74" t="s">
        <v>391</v>
      </c>
      <c r="F2239" s="74">
        <v>0.1</v>
      </c>
      <c r="G2239" s="74"/>
      <c r="H2239" s="74"/>
      <c r="I2239" s="74" t="s">
        <v>391</v>
      </c>
      <c r="J2239" s="74"/>
      <c r="K2239" s="74">
        <v>102.4</v>
      </c>
      <c r="L2239" s="74">
        <v>92.16</v>
      </c>
      <c r="M2239" s="74"/>
      <c r="N2239" s="74" t="s">
        <v>392</v>
      </c>
      <c r="O2239" s="74" t="s">
        <v>393</v>
      </c>
      <c r="P2239" s="74"/>
      <c r="Q2239" s="74" t="s">
        <v>1162</v>
      </c>
    </row>
    <row r="2240" spans="3:17" x14ac:dyDescent="0.25">
      <c r="C2240" s="74" t="s">
        <v>1166</v>
      </c>
      <c r="D2240" s="74" t="s">
        <v>1167</v>
      </c>
      <c r="E2240" s="74" t="s">
        <v>391</v>
      </c>
      <c r="F2240" s="74">
        <v>0.1</v>
      </c>
      <c r="G2240" s="74"/>
      <c r="H2240" s="74"/>
      <c r="I2240" s="74" t="s">
        <v>391</v>
      </c>
      <c r="J2240" s="74"/>
      <c r="K2240" s="74">
        <v>102.4</v>
      </c>
      <c r="L2240" s="74">
        <v>92.16</v>
      </c>
      <c r="M2240" s="74"/>
      <c r="N2240" s="74" t="s">
        <v>392</v>
      </c>
      <c r="O2240" s="74" t="s">
        <v>393</v>
      </c>
      <c r="P2240" s="74"/>
      <c r="Q2240" s="74" t="s">
        <v>1168</v>
      </c>
    </row>
    <row r="2241" spans="3:17" x14ac:dyDescent="0.25">
      <c r="C2241" s="74" t="s">
        <v>1177</v>
      </c>
      <c r="D2241" s="74" t="s">
        <v>1178</v>
      </c>
      <c r="E2241" s="74" t="s">
        <v>391</v>
      </c>
      <c r="F2241" s="74">
        <v>0.1</v>
      </c>
      <c r="G2241" s="74"/>
      <c r="H2241" s="74"/>
      <c r="I2241" s="74" t="s">
        <v>391</v>
      </c>
      <c r="J2241" s="74"/>
      <c r="K2241" s="74">
        <v>102.4</v>
      </c>
      <c r="L2241" s="74">
        <v>92.16</v>
      </c>
      <c r="M2241" s="74"/>
      <c r="N2241" s="74" t="s">
        <v>392</v>
      </c>
      <c r="O2241" s="74" t="s">
        <v>393</v>
      </c>
      <c r="P2241" s="74"/>
      <c r="Q2241" s="74" t="s">
        <v>1179</v>
      </c>
    </row>
    <row r="2242" spans="3:17" x14ac:dyDescent="0.25">
      <c r="C2242" s="74" t="s">
        <v>1188</v>
      </c>
      <c r="D2242" s="74" t="s">
        <v>1189</v>
      </c>
      <c r="E2242" s="74" t="s">
        <v>391</v>
      </c>
      <c r="F2242" s="74">
        <v>0.1</v>
      </c>
      <c r="G2242" s="74"/>
      <c r="H2242" s="74"/>
      <c r="I2242" s="74" t="s">
        <v>391</v>
      </c>
      <c r="J2242" s="74"/>
      <c r="K2242" s="74">
        <v>102.4</v>
      </c>
      <c r="L2242" s="74">
        <v>92.16</v>
      </c>
      <c r="M2242" s="74"/>
      <c r="N2242" s="74" t="s">
        <v>392</v>
      </c>
      <c r="O2242" s="74" t="s">
        <v>393</v>
      </c>
      <c r="P2242" s="74"/>
      <c r="Q2242" s="74" t="s">
        <v>1190</v>
      </c>
    </row>
    <row r="2243" spans="3:17" x14ac:dyDescent="0.25">
      <c r="C2243" s="74" t="s">
        <v>1218</v>
      </c>
      <c r="D2243" s="74" t="s">
        <v>1219</v>
      </c>
      <c r="E2243" s="74" t="s">
        <v>391</v>
      </c>
      <c r="F2243" s="74">
        <v>0.1</v>
      </c>
      <c r="G2243" s="74"/>
      <c r="H2243" s="74"/>
      <c r="I2243" s="74" t="s">
        <v>391</v>
      </c>
      <c r="J2243" s="74"/>
      <c r="K2243" s="74">
        <v>102.4</v>
      </c>
      <c r="L2243" s="74">
        <v>92.16</v>
      </c>
      <c r="M2243" s="74"/>
      <c r="N2243" s="74" t="s">
        <v>392</v>
      </c>
      <c r="O2243" s="74" t="s">
        <v>393</v>
      </c>
      <c r="P2243" s="74"/>
      <c r="Q2243" s="74" t="s">
        <v>1220</v>
      </c>
    </row>
    <row r="2244" spans="3:17" x14ac:dyDescent="0.25">
      <c r="C2244" s="74" t="s">
        <v>1235</v>
      </c>
      <c r="D2244" s="74" t="s">
        <v>1236</v>
      </c>
      <c r="E2244" s="74" t="s">
        <v>391</v>
      </c>
      <c r="F2244" s="74">
        <v>0.1</v>
      </c>
      <c r="G2244" s="74"/>
      <c r="H2244" s="74"/>
      <c r="I2244" s="74" t="s">
        <v>391</v>
      </c>
      <c r="J2244" s="74"/>
      <c r="K2244" s="74">
        <v>102.4</v>
      </c>
      <c r="L2244" s="74">
        <v>92.16</v>
      </c>
      <c r="M2244" s="74"/>
      <c r="N2244" s="74" t="s">
        <v>392</v>
      </c>
      <c r="O2244" s="74" t="s">
        <v>393</v>
      </c>
      <c r="P2244" s="74"/>
      <c r="Q2244" s="74" t="s">
        <v>1237</v>
      </c>
    </row>
    <row r="2245" spans="3:17" x14ac:dyDescent="0.25">
      <c r="C2245" s="74" t="s">
        <v>1238</v>
      </c>
      <c r="D2245" s="74" t="s">
        <v>1239</v>
      </c>
      <c r="E2245" s="74" t="s">
        <v>391</v>
      </c>
      <c r="F2245" s="74">
        <v>0.1</v>
      </c>
      <c r="G2245" s="74"/>
      <c r="H2245" s="74"/>
      <c r="I2245" s="74" t="s">
        <v>391</v>
      </c>
      <c r="J2245" s="74"/>
      <c r="K2245" s="74">
        <v>102.4</v>
      </c>
      <c r="L2245" s="74">
        <v>92.16</v>
      </c>
      <c r="M2245" s="74"/>
      <c r="N2245" s="74" t="s">
        <v>392</v>
      </c>
      <c r="O2245" s="74" t="s">
        <v>393</v>
      </c>
      <c r="P2245" s="74"/>
      <c r="Q2245" s="74" t="s">
        <v>1239</v>
      </c>
    </row>
    <row r="2246" spans="3:17" x14ac:dyDescent="0.25">
      <c r="C2246" s="74" t="s">
        <v>1252</v>
      </c>
      <c r="D2246" s="74" t="s">
        <v>1253</v>
      </c>
      <c r="E2246" s="74" t="s">
        <v>391</v>
      </c>
      <c r="F2246" s="74">
        <v>0.1</v>
      </c>
      <c r="G2246" s="74"/>
      <c r="H2246" s="74"/>
      <c r="I2246" s="74" t="s">
        <v>391</v>
      </c>
      <c r="J2246" s="74"/>
      <c r="K2246" s="74">
        <v>102.4</v>
      </c>
      <c r="L2246" s="74">
        <v>92.16</v>
      </c>
      <c r="M2246" s="74"/>
      <c r="N2246" s="74" t="s">
        <v>392</v>
      </c>
      <c r="O2246" s="74" t="s">
        <v>393</v>
      </c>
      <c r="P2246" s="74"/>
      <c r="Q2246" s="74" t="s">
        <v>1254</v>
      </c>
    </row>
    <row r="2247" spans="3:17" x14ac:dyDescent="0.25">
      <c r="C2247" s="74" t="s">
        <v>1269</v>
      </c>
      <c r="D2247" s="74" t="s">
        <v>1270</v>
      </c>
      <c r="E2247" s="74" t="s">
        <v>391</v>
      </c>
      <c r="F2247" s="74">
        <v>0.1</v>
      </c>
      <c r="G2247" s="74"/>
      <c r="H2247" s="74"/>
      <c r="I2247" s="74" t="s">
        <v>391</v>
      </c>
      <c r="J2247" s="74"/>
      <c r="K2247" s="74">
        <v>102.4</v>
      </c>
      <c r="L2247" s="74">
        <v>92.16</v>
      </c>
      <c r="M2247" s="74"/>
      <c r="N2247" s="74" t="s">
        <v>392</v>
      </c>
      <c r="O2247" s="74" t="s">
        <v>393</v>
      </c>
      <c r="P2247" s="74"/>
      <c r="Q2247" s="74" t="s">
        <v>1271</v>
      </c>
    </row>
    <row r="2248" spans="3:17" x14ac:dyDescent="0.25">
      <c r="C2248" s="74" t="s">
        <v>1272</v>
      </c>
      <c r="D2248" s="74" t="s">
        <v>1273</v>
      </c>
      <c r="E2248" s="74" t="s">
        <v>391</v>
      </c>
      <c r="F2248" s="74">
        <v>0.1</v>
      </c>
      <c r="G2248" s="74"/>
      <c r="H2248" s="74"/>
      <c r="I2248" s="74" t="s">
        <v>391</v>
      </c>
      <c r="J2248" s="74"/>
      <c r="K2248" s="74">
        <v>102.4</v>
      </c>
      <c r="L2248" s="74">
        <v>92.16</v>
      </c>
      <c r="M2248" s="74"/>
      <c r="N2248" s="74" t="s">
        <v>392</v>
      </c>
      <c r="O2248" s="74" t="s">
        <v>393</v>
      </c>
      <c r="P2248" s="74"/>
      <c r="Q2248" s="74" t="s">
        <v>1274</v>
      </c>
    </row>
    <row r="2249" spans="3:17" x14ac:dyDescent="0.25">
      <c r="C2249" s="74" t="s">
        <v>1279</v>
      </c>
      <c r="D2249" s="74" t="s">
        <v>1280</v>
      </c>
      <c r="E2249" s="74" t="s">
        <v>391</v>
      </c>
      <c r="F2249" s="74">
        <v>0.1</v>
      </c>
      <c r="G2249" s="74"/>
      <c r="H2249" s="74"/>
      <c r="I2249" s="74" t="s">
        <v>391</v>
      </c>
      <c r="J2249" s="74"/>
      <c r="K2249" s="74">
        <v>102.4</v>
      </c>
      <c r="L2249" s="74">
        <v>92.16</v>
      </c>
      <c r="M2249" s="74"/>
      <c r="N2249" s="74" t="s">
        <v>392</v>
      </c>
      <c r="O2249" s="74" t="s">
        <v>393</v>
      </c>
      <c r="P2249" s="74"/>
      <c r="Q2249" s="74" t="s">
        <v>1281</v>
      </c>
    </row>
    <row r="2250" spans="3:17" x14ac:dyDescent="0.25">
      <c r="C2250" s="74" t="s">
        <v>1285</v>
      </c>
      <c r="D2250" s="74" t="s">
        <v>1286</v>
      </c>
      <c r="E2250" s="74" t="s">
        <v>391</v>
      </c>
      <c r="F2250" s="74">
        <v>0.1</v>
      </c>
      <c r="G2250" s="74"/>
      <c r="H2250" s="74"/>
      <c r="I2250" s="74" t="s">
        <v>391</v>
      </c>
      <c r="J2250" s="74"/>
      <c r="K2250" s="74">
        <v>102.4</v>
      </c>
      <c r="L2250" s="74">
        <v>92.16</v>
      </c>
      <c r="M2250" s="74"/>
      <c r="N2250" s="74" t="s">
        <v>392</v>
      </c>
      <c r="O2250" s="74" t="s">
        <v>393</v>
      </c>
      <c r="P2250" s="74"/>
      <c r="Q2250" s="74" t="s">
        <v>1287</v>
      </c>
    </row>
    <row r="2251" spans="3:17" x14ac:dyDescent="0.25">
      <c r="C2251" s="74" t="s">
        <v>1288</v>
      </c>
      <c r="D2251" s="74" t="s">
        <v>1289</v>
      </c>
      <c r="E2251" s="74" t="s">
        <v>391</v>
      </c>
      <c r="F2251" s="74">
        <v>0.1</v>
      </c>
      <c r="G2251" s="74"/>
      <c r="H2251" s="74"/>
      <c r="I2251" s="74" t="s">
        <v>391</v>
      </c>
      <c r="J2251" s="74"/>
      <c r="K2251" s="74">
        <v>102.4</v>
      </c>
      <c r="L2251" s="74">
        <v>92.16</v>
      </c>
      <c r="M2251" s="74"/>
      <c r="N2251" s="74" t="s">
        <v>392</v>
      </c>
      <c r="O2251" s="74" t="s">
        <v>393</v>
      </c>
      <c r="P2251" s="74"/>
      <c r="Q2251" s="74" t="s">
        <v>1290</v>
      </c>
    </row>
    <row r="2252" spans="3:17" x14ac:dyDescent="0.25">
      <c r="C2252" s="74" t="s">
        <v>1291</v>
      </c>
      <c r="D2252" s="74" t="s">
        <v>1292</v>
      </c>
      <c r="E2252" s="74" t="s">
        <v>391</v>
      </c>
      <c r="F2252" s="74">
        <v>0.1</v>
      </c>
      <c r="G2252" s="74"/>
      <c r="H2252" s="74"/>
      <c r="I2252" s="74" t="s">
        <v>391</v>
      </c>
      <c r="J2252" s="74"/>
      <c r="K2252" s="74">
        <v>102.4</v>
      </c>
      <c r="L2252" s="74">
        <v>92.16</v>
      </c>
      <c r="M2252" s="74"/>
      <c r="N2252" s="74" t="s">
        <v>392</v>
      </c>
      <c r="O2252" s="74" t="s">
        <v>393</v>
      </c>
      <c r="P2252" s="74"/>
      <c r="Q2252" s="74" t="s">
        <v>1293</v>
      </c>
    </row>
    <row r="2253" spans="3:17" x14ac:dyDescent="0.25">
      <c r="C2253" s="74" t="s">
        <v>1298</v>
      </c>
      <c r="D2253" s="74" t="s">
        <v>1299</v>
      </c>
      <c r="E2253" s="74" t="s">
        <v>391</v>
      </c>
      <c r="F2253" s="74">
        <v>0.1</v>
      </c>
      <c r="G2253" s="74"/>
      <c r="H2253" s="74"/>
      <c r="I2253" s="74" t="s">
        <v>391</v>
      </c>
      <c r="J2253" s="74"/>
      <c r="K2253" s="74">
        <v>102.4</v>
      </c>
      <c r="L2253" s="74">
        <v>92.16</v>
      </c>
      <c r="M2253" s="74"/>
      <c r="N2253" s="74" t="s">
        <v>392</v>
      </c>
      <c r="O2253" s="74" t="s">
        <v>393</v>
      </c>
      <c r="P2253" s="74"/>
      <c r="Q2253" s="74" t="s">
        <v>1300</v>
      </c>
    </row>
    <row r="2254" spans="3:17" x14ac:dyDescent="0.25">
      <c r="C2254" s="74" t="s">
        <v>1316</v>
      </c>
      <c r="D2254" s="74" t="s">
        <v>1317</v>
      </c>
      <c r="E2254" s="74" t="s">
        <v>391</v>
      </c>
      <c r="F2254" s="74">
        <v>0.1</v>
      </c>
      <c r="G2254" s="74"/>
      <c r="H2254" s="74"/>
      <c r="I2254" s="74" t="s">
        <v>391</v>
      </c>
      <c r="J2254" s="74"/>
      <c r="K2254" s="74">
        <v>102.4</v>
      </c>
      <c r="L2254" s="74">
        <v>92.16</v>
      </c>
      <c r="M2254" s="74"/>
      <c r="N2254" s="74" t="s">
        <v>392</v>
      </c>
      <c r="O2254" s="74" t="s">
        <v>393</v>
      </c>
      <c r="P2254" s="74"/>
      <c r="Q2254" s="74" t="s">
        <v>1318</v>
      </c>
    </row>
    <row r="2255" spans="3:17" x14ac:dyDescent="0.25">
      <c r="C2255" s="74" t="s">
        <v>1319</v>
      </c>
      <c r="D2255" s="74" t="s">
        <v>1320</v>
      </c>
      <c r="E2255" s="74" t="s">
        <v>391</v>
      </c>
      <c r="F2255" s="74">
        <v>0.1</v>
      </c>
      <c r="G2255" s="74"/>
      <c r="H2255" s="74"/>
      <c r="I2255" s="74" t="s">
        <v>391</v>
      </c>
      <c r="J2255" s="74"/>
      <c r="K2255" s="74">
        <v>102.4</v>
      </c>
      <c r="L2255" s="74">
        <v>92.16</v>
      </c>
      <c r="M2255" s="74"/>
      <c r="N2255" s="74" t="s">
        <v>392</v>
      </c>
      <c r="O2255" s="74" t="s">
        <v>393</v>
      </c>
      <c r="P2255" s="74"/>
      <c r="Q2255" s="74" t="s">
        <v>1321</v>
      </c>
    </row>
    <row r="2256" spans="3:17" x14ac:dyDescent="0.25">
      <c r="C2256" s="74" t="s">
        <v>1322</v>
      </c>
      <c r="D2256" s="74" t="s">
        <v>1323</v>
      </c>
      <c r="E2256" s="74" t="s">
        <v>391</v>
      </c>
      <c r="F2256" s="74">
        <v>0.1</v>
      </c>
      <c r="G2256" s="74"/>
      <c r="H2256" s="74"/>
      <c r="I2256" s="74" t="s">
        <v>391</v>
      </c>
      <c r="J2256" s="74"/>
      <c r="K2256" s="74">
        <v>102.4</v>
      </c>
      <c r="L2256" s="74">
        <v>92.16</v>
      </c>
      <c r="M2256" s="74"/>
      <c r="N2256" s="74" t="s">
        <v>392</v>
      </c>
      <c r="O2256" s="74" t="s">
        <v>393</v>
      </c>
      <c r="P2256" s="74"/>
      <c r="Q2256" s="74" t="s">
        <v>1324</v>
      </c>
    </row>
    <row r="2257" spans="3:17" x14ac:dyDescent="0.25">
      <c r="C2257" s="74" t="s">
        <v>1325</v>
      </c>
      <c r="D2257" s="74" t="s">
        <v>1326</v>
      </c>
      <c r="E2257" s="74" t="s">
        <v>391</v>
      </c>
      <c r="F2257" s="74">
        <v>0.1</v>
      </c>
      <c r="G2257" s="74"/>
      <c r="H2257" s="74"/>
      <c r="I2257" s="74" t="s">
        <v>391</v>
      </c>
      <c r="J2257" s="74"/>
      <c r="K2257" s="74">
        <v>102.4</v>
      </c>
      <c r="L2257" s="74">
        <v>92.16</v>
      </c>
      <c r="M2257" s="74"/>
      <c r="N2257" s="74" t="s">
        <v>392</v>
      </c>
      <c r="O2257" s="74" t="s">
        <v>393</v>
      </c>
      <c r="P2257" s="74"/>
      <c r="Q2257" s="74" t="s">
        <v>1327</v>
      </c>
    </row>
    <row r="2258" spans="3:17" x14ac:dyDescent="0.25">
      <c r="C2258" s="74" t="s">
        <v>1328</v>
      </c>
      <c r="D2258" s="74" t="s">
        <v>1329</v>
      </c>
      <c r="E2258" s="74" t="s">
        <v>391</v>
      </c>
      <c r="F2258" s="74">
        <v>0.1</v>
      </c>
      <c r="G2258" s="74"/>
      <c r="H2258" s="74"/>
      <c r="I2258" s="74" t="s">
        <v>391</v>
      </c>
      <c r="J2258" s="74"/>
      <c r="K2258" s="74">
        <v>102.4</v>
      </c>
      <c r="L2258" s="74">
        <v>92.16</v>
      </c>
      <c r="M2258" s="74"/>
      <c r="N2258" s="74" t="s">
        <v>392</v>
      </c>
      <c r="O2258" s="74" t="s">
        <v>393</v>
      </c>
      <c r="P2258" s="74"/>
      <c r="Q2258" s="74" t="s">
        <v>1330</v>
      </c>
    </row>
    <row r="2259" spans="3:17" x14ac:dyDescent="0.25">
      <c r="C2259" s="74" t="s">
        <v>1331</v>
      </c>
      <c r="D2259" s="74" t="s">
        <v>1332</v>
      </c>
      <c r="E2259" s="74" t="s">
        <v>391</v>
      </c>
      <c r="F2259" s="74">
        <v>0.1</v>
      </c>
      <c r="G2259" s="74"/>
      <c r="H2259" s="74"/>
      <c r="I2259" s="74" t="s">
        <v>391</v>
      </c>
      <c r="J2259" s="74"/>
      <c r="K2259" s="74">
        <v>102.4</v>
      </c>
      <c r="L2259" s="74">
        <v>92.16</v>
      </c>
      <c r="M2259" s="74"/>
      <c r="N2259" s="74" t="s">
        <v>392</v>
      </c>
      <c r="O2259" s="74" t="s">
        <v>393</v>
      </c>
      <c r="P2259" s="74"/>
      <c r="Q2259" s="74" t="s">
        <v>1333</v>
      </c>
    </row>
    <row r="2260" spans="3:17" x14ac:dyDescent="0.25">
      <c r="C2260" s="74" t="s">
        <v>1334</v>
      </c>
      <c r="D2260" s="74" t="s">
        <v>1335</v>
      </c>
      <c r="E2260" s="74" t="s">
        <v>391</v>
      </c>
      <c r="F2260" s="74">
        <v>0.1</v>
      </c>
      <c r="G2260" s="74"/>
      <c r="H2260" s="74"/>
      <c r="I2260" s="74" t="s">
        <v>391</v>
      </c>
      <c r="J2260" s="74"/>
      <c r="K2260" s="74">
        <v>102.4</v>
      </c>
      <c r="L2260" s="74">
        <v>92.16</v>
      </c>
      <c r="M2260" s="74"/>
      <c r="N2260" s="74" t="s">
        <v>392</v>
      </c>
      <c r="O2260" s="74" t="s">
        <v>393</v>
      </c>
      <c r="P2260" s="74"/>
      <c r="Q2260" s="74" t="s">
        <v>1336</v>
      </c>
    </row>
    <row r="2261" spans="3:17" x14ac:dyDescent="0.25">
      <c r="C2261" s="74" t="s">
        <v>1345</v>
      </c>
      <c r="D2261" s="74" t="s">
        <v>1346</v>
      </c>
      <c r="E2261" s="74" t="s">
        <v>391</v>
      </c>
      <c r="F2261" s="74">
        <v>0.1</v>
      </c>
      <c r="G2261" s="74"/>
      <c r="H2261" s="74"/>
      <c r="I2261" s="74" t="s">
        <v>391</v>
      </c>
      <c r="J2261" s="74"/>
      <c r="K2261" s="74">
        <v>102.4</v>
      </c>
      <c r="L2261" s="74">
        <v>92.16</v>
      </c>
      <c r="M2261" s="74"/>
      <c r="N2261" s="74" t="s">
        <v>392</v>
      </c>
      <c r="O2261" s="74" t="s">
        <v>393</v>
      </c>
      <c r="P2261" s="74"/>
      <c r="Q2261" s="74" t="s">
        <v>1347</v>
      </c>
    </row>
    <row r="2262" spans="3:17" x14ac:dyDescent="0.25">
      <c r="C2262" s="74" t="s">
        <v>1348</v>
      </c>
      <c r="D2262" s="74" t="s">
        <v>1349</v>
      </c>
      <c r="E2262" s="74" t="s">
        <v>391</v>
      </c>
      <c r="F2262" s="74">
        <v>0.1</v>
      </c>
      <c r="G2262" s="74"/>
      <c r="H2262" s="74"/>
      <c r="I2262" s="74" t="s">
        <v>391</v>
      </c>
      <c r="J2262" s="74"/>
      <c r="K2262" s="74">
        <v>102.4</v>
      </c>
      <c r="L2262" s="74">
        <v>92.16</v>
      </c>
      <c r="M2262" s="74"/>
      <c r="N2262" s="74" t="s">
        <v>392</v>
      </c>
      <c r="O2262" s="74" t="s">
        <v>393</v>
      </c>
      <c r="P2262" s="74"/>
      <c r="Q2262" s="74" t="s">
        <v>1350</v>
      </c>
    </row>
    <row r="2263" spans="3:17" x14ac:dyDescent="0.25">
      <c r="C2263" s="74" t="s">
        <v>1351</v>
      </c>
      <c r="D2263" s="74" t="s">
        <v>1352</v>
      </c>
      <c r="E2263" s="74" t="s">
        <v>391</v>
      </c>
      <c r="F2263" s="74">
        <v>0.1</v>
      </c>
      <c r="G2263" s="74"/>
      <c r="H2263" s="74"/>
      <c r="I2263" s="74" t="s">
        <v>391</v>
      </c>
      <c r="J2263" s="74"/>
      <c r="K2263" s="74">
        <v>102.4</v>
      </c>
      <c r="L2263" s="74">
        <v>92.16</v>
      </c>
      <c r="M2263" s="74"/>
      <c r="N2263" s="74" t="s">
        <v>392</v>
      </c>
      <c r="O2263" s="74" t="s">
        <v>393</v>
      </c>
      <c r="P2263" s="74"/>
      <c r="Q2263" s="74" t="s">
        <v>1353</v>
      </c>
    </row>
    <row r="2264" spans="3:17" x14ac:dyDescent="0.25">
      <c r="C2264" s="74" t="s">
        <v>1354</v>
      </c>
      <c r="D2264" s="74" t="s">
        <v>1355</v>
      </c>
      <c r="E2264" s="74" t="s">
        <v>391</v>
      </c>
      <c r="F2264" s="74">
        <v>0.1</v>
      </c>
      <c r="G2264" s="74"/>
      <c r="H2264" s="74"/>
      <c r="I2264" s="74" t="s">
        <v>391</v>
      </c>
      <c r="J2264" s="74"/>
      <c r="K2264" s="74">
        <v>102.4</v>
      </c>
      <c r="L2264" s="74">
        <v>92.16</v>
      </c>
      <c r="M2264" s="74"/>
      <c r="N2264" s="74" t="s">
        <v>392</v>
      </c>
      <c r="O2264" s="74" t="s">
        <v>393</v>
      </c>
      <c r="P2264" s="74"/>
      <c r="Q2264" s="74" t="s">
        <v>1356</v>
      </c>
    </row>
    <row r="2265" spans="3:17" x14ac:dyDescent="0.25">
      <c r="C2265" s="74" t="s">
        <v>1357</v>
      </c>
      <c r="D2265" s="74" t="s">
        <v>1358</v>
      </c>
      <c r="E2265" s="74"/>
      <c r="F2265" s="74">
        <v>0.1</v>
      </c>
      <c r="G2265" s="74"/>
      <c r="H2265" s="74"/>
      <c r="I2265" s="74" t="s">
        <v>391</v>
      </c>
      <c r="J2265" s="74"/>
      <c r="K2265" s="74">
        <v>102.4</v>
      </c>
      <c r="L2265" s="74">
        <v>92.16</v>
      </c>
      <c r="M2265" s="74"/>
      <c r="N2265" s="74" t="s">
        <v>392</v>
      </c>
      <c r="O2265" s="74" t="s">
        <v>402</v>
      </c>
      <c r="P2265" s="74" t="s">
        <v>1359</v>
      </c>
      <c r="Q2265" s="74" t="s">
        <v>1360</v>
      </c>
    </row>
    <row r="2266" spans="3:17" x14ac:dyDescent="0.25">
      <c r="C2266" s="74" t="s">
        <v>1361</v>
      </c>
      <c r="D2266" s="74" t="s">
        <v>1362</v>
      </c>
      <c r="E2266" s="74" t="s">
        <v>391</v>
      </c>
      <c r="F2266" s="74">
        <v>0.1</v>
      </c>
      <c r="G2266" s="74"/>
      <c r="H2266" s="74"/>
      <c r="I2266" s="74" t="s">
        <v>391</v>
      </c>
      <c r="J2266" s="74"/>
      <c r="K2266" s="74">
        <v>102.4</v>
      </c>
      <c r="L2266" s="74">
        <v>92.16</v>
      </c>
      <c r="M2266" s="74"/>
      <c r="N2266" s="74" t="s">
        <v>392</v>
      </c>
      <c r="O2266" s="74" t="s">
        <v>393</v>
      </c>
      <c r="P2266" s="74"/>
      <c r="Q2266" s="74" t="s">
        <v>1363</v>
      </c>
    </row>
    <row r="2267" spans="3:17" x14ac:dyDescent="0.25">
      <c r="C2267" s="74" t="s">
        <v>1364</v>
      </c>
      <c r="D2267" s="74" t="s">
        <v>1365</v>
      </c>
      <c r="E2267" s="74" t="s">
        <v>391</v>
      </c>
      <c r="F2267" s="74">
        <v>0.1</v>
      </c>
      <c r="G2267" s="74"/>
      <c r="H2267" s="74"/>
      <c r="I2267" s="74" t="s">
        <v>391</v>
      </c>
      <c r="J2267" s="74"/>
      <c r="K2267" s="74">
        <v>102.4</v>
      </c>
      <c r="L2267" s="74">
        <v>92.16</v>
      </c>
      <c r="M2267" s="74"/>
      <c r="N2267" s="74" t="s">
        <v>392</v>
      </c>
      <c r="O2267" s="74" t="s">
        <v>393</v>
      </c>
      <c r="P2267" s="74"/>
      <c r="Q2267" s="74" t="s">
        <v>1366</v>
      </c>
    </row>
    <row r="2268" spans="3:17" x14ac:dyDescent="0.25">
      <c r="C2268" s="74" t="s">
        <v>1367</v>
      </c>
      <c r="D2268" s="74" t="s">
        <v>1368</v>
      </c>
      <c r="E2268" s="74" t="s">
        <v>391</v>
      </c>
      <c r="F2268" s="74">
        <v>0.1</v>
      </c>
      <c r="G2268" s="74"/>
      <c r="H2268" s="74"/>
      <c r="I2268" s="74" t="s">
        <v>391</v>
      </c>
      <c r="J2268" s="74"/>
      <c r="K2268" s="74">
        <v>102.4</v>
      </c>
      <c r="L2268" s="74">
        <v>92.16</v>
      </c>
      <c r="M2268" s="74"/>
      <c r="N2268" s="74" t="s">
        <v>392</v>
      </c>
      <c r="O2268" s="74" t="s">
        <v>393</v>
      </c>
      <c r="P2268" s="74"/>
      <c r="Q2268" s="74" t="s">
        <v>1369</v>
      </c>
    </row>
    <row r="2269" spans="3:17" x14ac:dyDescent="0.25">
      <c r="C2269" s="74" t="s">
        <v>1370</v>
      </c>
      <c r="D2269" s="74" t="s">
        <v>1371</v>
      </c>
      <c r="E2269" s="74" t="s">
        <v>391</v>
      </c>
      <c r="F2269" s="74">
        <v>0.1</v>
      </c>
      <c r="G2269" s="74"/>
      <c r="H2269" s="74"/>
      <c r="I2269" s="74" t="s">
        <v>391</v>
      </c>
      <c r="J2269" s="74"/>
      <c r="K2269" s="74">
        <v>102.4</v>
      </c>
      <c r="L2269" s="74">
        <v>92.16</v>
      </c>
      <c r="M2269" s="74"/>
      <c r="N2269" s="74" t="s">
        <v>392</v>
      </c>
      <c r="O2269" s="74" t="s">
        <v>393</v>
      </c>
      <c r="P2269" s="74"/>
      <c r="Q2269" s="74" t="s">
        <v>1372</v>
      </c>
    </row>
    <row r="2270" spans="3:17" x14ac:dyDescent="0.25">
      <c r="C2270" s="74" t="s">
        <v>1376</v>
      </c>
      <c r="D2270" s="74" t="s">
        <v>1377</v>
      </c>
      <c r="E2270" s="74" t="s">
        <v>391</v>
      </c>
      <c r="F2270" s="74">
        <v>0.1</v>
      </c>
      <c r="G2270" s="74"/>
      <c r="H2270" s="74"/>
      <c r="I2270" s="74" t="s">
        <v>391</v>
      </c>
      <c r="J2270" s="74"/>
      <c r="K2270" s="74">
        <v>102.4</v>
      </c>
      <c r="L2270" s="74">
        <v>92.16</v>
      </c>
      <c r="M2270" s="74"/>
      <c r="N2270" s="74" t="s">
        <v>392</v>
      </c>
      <c r="O2270" s="74" t="s">
        <v>393</v>
      </c>
      <c r="P2270" s="74"/>
      <c r="Q2270" s="74" t="s">
        <v>1378</v>
      </c>
    </row>
    <row r="2271" spans="3:17" x14ac:dyDescent="0.25">
      <c r="C2271" s="74" t="s">
        <v>1398</v>
      </c>
      <c r="D2271" s="74" t="s">
        <v>1399</v>
      </c>
      <c r="E2271" s="74" t="s">
        <v>391</v>
      </c>
      <c r="F2271" s="74">
        <v>0.1</v>
      </c>
      <c r="G2271" s="74"/>
      <c r="H2271" s="74"/>
      <c r="I2271" s="74" t="s">
        <v>391</v>
      </c>
      <c r="J2271" s="74"/>
      <c r="K2271" s="74">
        <v>102.4</v>
      </c>
      <c r="L2271" s="74">
        <v>92.16</v>
      </c>
      <c r="M2271" s="74"/>
      <c r="N2271" s="74" t="s">
        <v>392</v>
      </c>
      <c r="O2271" s="74" t="s">
        <v>393</v>
      </c>
      <c r="P2271" s="74"/>
      <c r="Q2271" s="74" t="s">
        <v>1400</v>
      </c>
    </row>
    <row r="2272" spans="3:17" x14ac:dyDescent="0.25">
      <c r="C2272" s="74" t="s">
        <v>1415</v>
      </c>
      <c r="D2272" s="74" t="s">
        <v>1416</v>
      </c>
      <c r="E2272" s="74" t="s">
        <v>391</v>
      </c>
      <c r="F2272" s="74">
        <v>0.1</v>
      </c>
      <c r="G2272" s="74"/>
      <c r="H2272" s="74"/>
      <c r="I2272" s="74" t="s">
        <v>391</v>
      </c>
      <c r="J2272" s="74"/>
      <c r="K2272" s="74">
        <v>102.4</v>
      </c>
      <c r="L2272" s="74">
        <v>92.16</v>
      </c>
      <c r="M2272" s="74"/>
      <c r="N2272" s="74" t="s">
        <v>392</v>
      </c>
      <c r="O2272" s="74" t="s">
        <v>393</v>
      </c>
      <c r="P2272" s="74"/>
      <c r="Q2272" s="74" t="s">
        <v>1417</v>
      </c>
    </row>
    <row r="2273" spans="3:17" x14ac:dyDescent="0.25">
      <c r="C2273" s="74" t="s">
        <v>1422</v>
      </c>
      <c r="D2273" s="74" t="s">
        <v>1423</v>
      </c>
      <c r="E2273" s="74" t="s">
        <v>391</v>
      </c>
      <c r="F2273" s="74">
        <v>0.1</v>
      </c>
      <c r="G2273" s="74"/>
      <c r="H2273" s="74"/>
      <c r="I2273" s="74" t="s">
        <v>391</v>
      </c>
      <c r="J2273" s="74"/>
      <c r="K2273" s="74">
        <v>102.4</v>
      </c>
      <c r="L2273" s="74">
        <v>92.16</v>
      </c>
      <c r="M2273" s="74"/>
      <c r="N2273" s="74" t="s">
        <v>392</v>
      </c>
      <c r="O2273" s="74" t="s">
        <v>393</v>
      </c>
      <c r="P2273" s="74"/>
      <c r="Q2273" s="74" t="s">
        <v>1424</v>
      </c>
    </row>
    <row r="2274" spans="3:17" x14ac:dyDescent="0.25">
      <c r="C2274" s="74" t="s">
        <v>1429</v>
      </c>
      <c r="D2274" s="74" t="s">
        <v>1430</v>
      </c>
      <c r="E2274" s="74" t="s">
        <v>391</v>
      </c>
      <c r="F2274" s="74">
        <v>0.1</v>
      </c>
      <c r="G2274" s="74"/>
      <c r="H2274" s="74"/>
      <c r="I2274" s="74" t="s">
        <v>391</v>
      </c>
      <c r="J2274" s="74"/>
      <c r="K2274" s="74">
        <v>102.4</v>
      </c>
      <c r="L2274" s="74">
        <v>92.16</v>
      </c>
      <c r="M2274" s="74"/>
      <c r="N2274" s="74" t="s">
        <v>392</v>
      </c>
      <c r="O2274" s="74" t="s">
        <v>393</v>
      </c>
      <c r="P2274" s="74"/>
      <c r="Q2274" s="74" t="s">
        <v>1431</v>
      </c>
    </row>
    <row r="2275" spans="3:17" x14ac:dyDescent="0.25">
      <c r="C2275" s="74" t="s">
        <v>1442</v>
      </c>
      <c r="D2275" s="74" t="s">
        <v>1443</v>
      </c>
      <c r="E2275" s="74" t="s">
        <v>391</v>
      </c>
      <c r="F2275" s="74">
        <v>0.1</v>
      </c>
      <c r="G2275" s="74"/>
      <c r="H2275" s="74"/>
      <c r="I2275" s="74" t="s">
        <v>391</v>
      </c>
      <c r="J2275" s="74"/>
      <c r="K2275" s="74">
        <v>102.4</v>
      </c>
      <c r="L2275" s="74">
        <v>92.16</v>
      </c>
      <c r="M2275" s="74"/>
      <c r="N2275" s="74" t="s">
        <v>392</v>
      </c>
      <c r="O2275" s="74" t="s">
        <v>393</v>
      </c>
      <c r="P2275" s="74"/>
      <c r="Q2275" s="74" t="s">
        <v>1444</v>
      </c>
    </row>
    <row r="2276" spans="3:17" x14ac:dyDescent="0.25">
      <c r="C2276" s="74" t="s">
        <v>1461</v>
      </c>
      <c r="D2276" s="74" t="s">
        <v>1462</v>
      </c>
      <c r="E2276" s="74" t="s">
        <v>391</v>
      </c>
      <c r="F2276" s="74">
        <v>0.1</v>
      </c>
      <c r="G2276" s="74"/>
      <c r="H2276" s="74"/>
      <c r="I2276" s="74" t="s">
        <v>391</v>
      </c>
      <c r="J2276" s="74"/>
      <c r="K2276" s="74">
        <v>102.4</v>
      </c>
      <c r="L2276" s="74">
        <v>92.16</v>
      </c>
      <c r="M2276" s="74"/>
      <c r="N2276" s="74" t="s">
        <v>392</v>
      </c>
      <c r="O2276" s="74" t="s">
        <v>393</v>
      </c>
      <c r="P2276" s="74"/>
      <c r="Q2276" s="74" t="s">
        <v>1463</v>
      </c>
    </row>
    <row r="2277" spans="3:17" x14ac:dyDescent="0.25">
      <c r="C2277" s="74" t="s">
        <v>1471</v>
      </c>
      <c r="D2277" s="74" t="s">
        <v>1472</v>
      </c>
      <c r="E2277" s="74" t="s">
        <v>391</v>
      </c>
      <c r="F2277" s="74">
        <v>0.1</v>
      </c>
      <c r="G2277" s="74"/>
      <c r="H2277" s="74"/>
      <c r="I2277" s="74" t="s">
        <v>391</v>
      </c>
      <c r="J2277" s="74"/>
      <c r="K2277" s="74">
        <v>102.4</v>
      </c>
      <c r="L2277" s="74">
        <v>92.16</v>
      </c>
      <c r="M2277" s="74"/>
      <c r="N2277" s="74" t="s">
        <v>392</v>
      </c>
      <c r="O2277" s="74" t="s">
        <v>393</v>
      </c>
      <c r="P2277" s="74"/>
      <c r="Q2277" s="74" t="s">
        <v>1473</v>
      </c>
    </row>
    <row r="2278" spans="3:17" x14ac:dyDescent="0.25">
      <c r="C2278" s="74" t="s">
        <v>1501</v>
      </c>
      <c r="D2278" s="74" t="s">
        <v>1502</v>
      </c>
      <c r="E2278" s="74" t="s">
        <v>391</v>
      </c>
      <c r="F2278" s="74">
        <v>0.1</v>
      </c>
      <c r="G2278" s="74"/>
      <c r="H2278" s="74"/>
      <c r="I2278" s="74" t="s">
        <v>391</v>
      </c>
      <c r="J2278" s="74"/>
      <c r="K2278" s="74">
        <v>102.4</v>
      </c>
      <c r="L2278" s="74">
        <v>92.16</v>
      </c>
      <c r="M2278" s="74"/>
      <c r="N2278" s="74" t="s">
        <v>392</v>
      </c>
      <c r="O2278" s="74" t="s">
        <v>393</v>
      </c>
      <c r="P2278" s="74"/>
      <c r="Q2278" s="74" t="s">
        <v>1503</v>
      </c>
    </row>
    <row r="2279" spans="3:17" x14ac:dyDescent="0.25">
      <c r="C2279" s="74" t="s">
        <v>1504</v>
      </c>
      <c r="D2279" s="74" t="s">
        <v>1505</v>
      </c>
      <c r="E2279" s="74" t="s">
        <v>391</v>
      </c>
      <c r="F2279" s="74">
        <v>0.1</v>
      </c>
      <c r="G2279" s="74"/>
      <c r="H2279" s="74"/>
      <c r="I2279" s="74" t="s">
        <v>391</v>
      </c>
      <c r="J2279" s="74"/>
      <c r="K2279" s="74">
        <v>102.4</v>
      </c>
      <c r="L2279" s="74">
        <v>92.16</v>
      </c>
      <c r="M2279" s="74"/>
      <c r="N2279" s="74" t="s">
        <v>392</v>
      </c>
      <c r="O2279" s="74" t="s">
        <v>393</v>
      </c>
      <c r="P2279" s="74"/>
      <c r="Q2279" s="74" t="s">
        <v>1506</v>
      </c>
    </row>
    <row r="2280" spans="3:17" x14ac:dyDescent="0.25">
      <c r="C2280" s="74" t="s">
        <v>1511</v>
      </c>
      <c r="D2280" s="74" t="s">
        <v>1512</v>
      </c>
      <c r="E2280" s="74" t="s">
        <v>391</v>
      </c>
      <c r="F2280" s="74">
        <v>0.1</v>
      </c>
      <c r="G2280" s="74"/>
      <c r="H2280" s="74"/>
      <c r="I2280" s="74" t="s">
        <v>391</v>
      </c>
      <c r="J2280" s="74"/>
      <c r="K2280" s="74">
        <v>102.4</v>
      </c>
      <c r="L2280" s="74">
        <v>92.16</v>
      </c>
      <c r="M2280" s="74"/>
      <c r="N2280" s="74" t="s">
        <v>392</v>
      </c>
      <c r="O2280" s="74" t="s">
        <v>393</v>
      </c>
      <c r="P2280" s="74"/>
      <c r="Q2280" s="74" t="s">
        <v>1513</v>
      </c>
    </row>
    <row r="2281" spans="3:17" x14ac:dyDescent="0.25">
      <c r="C2281" s="74" t="s">
        <v>1514</v>
      </c>
      <c r="D2281" s="74" t="s">
        <v>1515</v>
      </c>
      <c r="E2281" s="74" t="s">
        <v>391</v>
      </c>
      <c r="F2281" s="74">
        <v>0.1</v>
      </c>
      <c r="G2281" s="74"/>
      <c r="H2281" s="74"/>
      <c r="I2281" s="74" t="s">
        <v>391</v>
      </c>
      <c r="J2281" s="74"/>
      <c r="K2281" s="74">
        <v>102.4</v>
      </c>
      <c r="L2281" s="74">
        <v>92.16</v>
      </c>
      <c r="M2281" s="74"/>
      <c r="N2281" s="74" t="s">
        <v>392</v>
      </c>
      <c r="O2281" s="74" t="s">
        <v>393</v>
      </c>
      <c r="P2281" s="74"/>
      <c r="Q2281" s="74" t="s">
        <v>1515</v>
      </c>
    </row>
    <row r="2282" spans="3:17" x14ac:dyDescent="0.25">
      <c r="C2282" s="74" t="s">
        <v>1534</v>
      </c>
      <c r="D2282" s="74" t="s">
        <v>1535</v>
      </c>
      <c r="E2282" s="74" t="s">
        <v>391</v>
      </c>
      <c r="F2282" s="74">
        <v>0.1</v>
      </c>
      <c r="G2282" s="74"/>
      <c r="H2282" s="74"/>
      <c r="I2282" s="74" t="s">
        <v>391</v>
      </c>
      <c r="J2282" s="74"/>
      <c r="K2282" s="74">
        <v>102.4</v>
      </c>
      <c r="L2282" s="74">
        <v>92.16</v>
      </c>
      <c r="M2282" s="74"/>
      <c r="N2282" s="74" t="s">
        <v>392</v>
      </c>
      <c r="O2282" s="74" t="s">
        <v>393</v>
      </c>
      <c r="P2282" s="74"/>
      <c r="Q2282" s="74" t="s">
        <v>1536</v>
      </c>
    </row>
    <row r="2283" spans="3:17" x14ac:dyDescent="0.25">
      <c r="C2283" s="74" t="s">
        <v>1537</v>
      </c>
      <c r="D2283" s="74" t="s">
        <v>1538</v>
      </c>
      <c r="E2283" s="74" t="s">
        <v>391</v>
      </c>
      <c r="F2283" s="74">
        <v>0.1</v>
      </c>
      <c r="G2283" s="74"/>
      <c r="H2283" s="74"/>
      <c r="I2283" s="74" t="s">
        <v>391</v>
      </c>
      <c r="J2283" s="74"/>
      <c r="K2283" s="74">
        <v>102.4</v>
      </c>
      <c r="L2283" s="74">
        <v>92.16</v>
      </c>
      <c r="M2283" s="74"/>
      <c r="N2283" s="74" t="s">
        <v>392</v>
      </c>
      <c r="O2283" s="74" t="s">
        <v>393</v>
      </c>
      <c r="P2283" s="74"/>
      <c r="Q2283" s="74" t="s">
        <v>1539</v>
      </c>
    </row>
    <row r="2284" spans="3:17" x14ac:dyDescent="0.25">
      <c r="C2284" s="74" t="s">
        <v>1563</v>
      </c>
      <c r="D2284" s="74" t="s">
        <v>1564</v>
      </c>
      <c r="E2284" s="74" t="s">
        <v>391</v>
      </c>
      <c r="F2284" s="74">
        <v>0.1</v>
      </c>
      <c r="G2284" s="74"/>
      <c r="H2284" s="74"/>
      <c r="I2284" s="74" t="s">
        <v>391</v>
      </c>
      <c r="J2284" s="74"/>
      <c r="K2284" s="74">
        <v>102.4</v>
      </c>
      <c r="L2284" s="74">
        <v>92.16</v>
      </c>
      <c r="M2284" s="74"/>
      <c r="N2284" s="74" t="s">
        <v>392</v>
      </c>
      <c r="O2284" s="74" t="s">
        <v>393</v>
      </c>
      <c r="P2284" s="74"/>
      <c r="Q2284" s="74" t="s">
        <v>1565</v>
      </c>
    </row>
    <row r="2285" spans="3:17" x14ac:dyDescent="0.25">
      <c r="C2285" s="74" t="s">
        <v>1584</v>
      </c>
      <c r="D2285" s="74" t="s">
        <v>1585</v>
      </c>
      <c r="E2285" s="74" t="s">
        <v>391</v>
      </c>
      <c r="F2285" s="74">
        <v>0.1</v>
      </c>
      <c r="G2285" s="74"/>
      <c r="H2285" s="74"/>
      <c r="I2285" s="74" t="s">
        <v>391</v>
      </c>
      <c r="J2285" s="74"/>
      <c r="K2285" s="74">
        <v>102.4</v>
      </c>
      <c r="L2285" s="74">
        <v>92.16</v>
      </c>
      <c r="M2285" s="74"/>
      <c r="N2285" s="74" t="s">
        <v>392</v>
      </c>
      <c r="O2285" s="74" t="s">
        <v>393</v>
      </c>
      <c r="P2285" s="74"/>
      <c r="Q2285" s="74" t="s">
        <v>1586</v>
      </c>
    </row>
    <row r="2286" spans="3:17" x14ac:dyDescent="0.25">
      <c r="C2286" s="74" t="s">
        <v>1591</v>
      </c>
      <c r="D2286" s="74" t="s">
        <v>1592</v>
      </c>
      <c r="E2286" s="74" t="s">
        <v>391</v>
      </c>
      <c r="F2286" s="74">
        <v>0.1</v>
      </c>
      <c r="G2286" s="74"/>
      <c r="H2286" s="74"/>
      <c r="I2286" s="74" t="s">
        <v>391</v>
      </c>
      <c r="J2286" s="74"/>
      <c r="K2286" s="74">
        <v>102.4</v>
      </c>
      <c r="L2286" s="74">
        <v>92.16</v>
      </c>
      <c r="M2286" s="74"/>
      <c r="N2286" s="74" t="s">
        <v>392</v>
      </c>
      <c r="O2286" s="74" t="s">
        <v>393</v>
      </c>
      <c r="P2286" s="74"/>
      <c r="Q2286" s="74" t="s">
        <v>1593</v>
      </c>
    </row>
    <row r="2287" spans="3:17" x14ac:dyDescent="0.25">
      <c r="C2287" s="74" t="s">
        <v>1594</v>
      </c>
      <c r="D2287" s="74" t="s">
        <v>1595</v>
      </c>
      <c r="E2287" s="74" t="s">
        <v>391</v>
      </c>
      <c r="F2287" s="74">
        <v>0.1</v>
      </c>
      <c r="G2287" s="74"/>
      <c r="H2287" s="74"/>
      <c r="I2287" s="74" t="s">
        <v>391</v>
      </c>
      <c r="J2287" s="74"/>
      <c r="K2287" s="74">
        <v>102.4</v>
      </c>
      <c r="L2287" s="74">
        <v>92.16</v>
      </c>
      <c r="M2287" s="74"/>
      <c r="N2287" s="74" t="s">
        <v>392</v>
      </c>
      <c r="O2287" s="74" t="s">
        <v>393</v>
      </c>
      <c r="P2287" s="74"/>
      <c r="Q2287" s="74" t="s">
        <v>1596</v>
      </c>
    </row>
    <row r="2288" spans="3:17" x14ac:dyDescent="0.25">
      <c r="C2288" s="74" t="s">
        <v>1597</v>
      </c>
      <c r="D2288" s="74" t="s">
        <v>1598</v>
      </c>
      <c r="E2288" s="74" t="s">
        <v>391</v>
      </c>
      <c r="F2288" s="74">
        <v>0.1</v>
      </c>
      <c r="G2288" s="74"/>
      <c r="H2288" s="74"/>
      <c r="I2288" s="74" t="s">
        <v>391</v>
      </c>
      <c r="J2288" s="74"/>
      <c r="K2288" s="74">
        <v>102.4</v>
      </c>
      <c r="L2288" s="74">
        <v>92.16</v>
      </c>
      <c r="M2288" s="74"/>
      <c r="N2288" s="74" t="s">
        <v>392</v>
      </c>
      <c r="O2288" s="74" t="s">
        <v>393</v>
      </c>
      <c r="P2288" s="74"/>
      <c r="Q2288" s="74" t="s">
        <v>1598</v>
      </c>
    </row>
    <row r="2289" spans="3:17" x14ac:dyDescent="0.25">
      <c r="C2289" s="74" t="s">
        <v>1599</v>
      </c>
      <c r="D2289" s="74" t="s">
        <v>1600</v>
      </c>
      <c r="E2289" s="74" t="s">
        <v>391</v>
      </c>
      <c r="F2289" s="74">
        <v>0.1</v>
      </c>
      <c r="G2289" s="74"/>
      <c r="H2289" s="74"/>
      <c r="I2289" s="74" t="s">
        <v>391</v>
      </c>
      <c r="J2289" s="74"/>
      <c r="K2289" s="74">
        <v>102.4</v>
      </c>
      <c r="L2289" s="74">
        <v>92.16</v>
      </c>
      <c r="M2289" s="74"/>
      <c r="N2289" s="74" t="s">
        <v>392</v>
      </c>
      <c r="O2289" s="74" t="s">
        <v>393</v>
      </c>
      <c r="P2289" s="74"/>
      <c r="Q2289" s="74" t="s">
        <v>1601</v>
      </c>
    </row>
    <row r="2290" spans="3:17" x14ac:dyDescent="0.25">
      <c r="C2290" s="74" t="s">
        <v>1606</v>
      </c>
      <c r="D2290" s="74" t="s">
        <v>1607</v>
      </c>
      <c r="E2290" s="74" t="s">
        <v>391</v>
      </c>
      <c r="F2290" s="74">
        <v>0.1</v>
      </c>
      <c r="G2290" s="74"/>
      <c r="H2290" s="74"/>
      <c r="I2290" s="74" t="s">
        <v>391</v>
      </c>
      <c r="J2290" s="74"/>
      <c r="K2290" s="74">
        <v>102.4</v>
      </c>
      <c r="L2290" s="74">
        <v>92.16</v>
      </c>
      <c r="M2290" s="74"/>
      <c r="N2290" s="74" t="s">
        <v>392</v>
      </c>
      <c r="O2290" s="74" t="s">
        <v>393</v>
      </c>
      <c r="P2290" s="74"/>
      <c r="Q2290" s="74" t="s">
        <v>1608</v>
      </c>
    </row>
    <row r="2291" spans="3:17" x14ac:dyDescent="0.25">
      <c r="C2291" s="74" t="s">
        <v>1609</v>
      </c>
      <c r="D2291" s="74" t="s">
        <v>1610</v>
      </c>
      <c r="E2291" s="74" t="s">
        <v>391</v>
      </c>
      <c r="F2291" s="74">
        <v>0.1</v>
      </c>
      <c r="G2291" s="74"/>
      <c r="H2291" s="74"/>
      <c r="I2291" s="74" t="s">
        <v>391</v>
      </c>
      <c r="J2291" s="74"/>
      <c r="K2291" s="74">
        <v>102.4</v>
      </c>
      <c r="L2291" s="74">
        <v>92.16</v>
      </c>
      <c r="M2291" s="74"/>
      <c r="N2291" s="74" t="s">
        <v>392</v>
      </c>
      <c r="O2291" s="74" t="s">
        <v>393</v>
      </c>
      <c r="P2291" s="74"/>
      <c r="Q2291" s="74" t="s">
        <v>1611</v>
      </c>
    </row>
    <row r="2292" spans="3:17" x14ac:dyDescent="0.25">
      <c r="C2292" s="74" t="s">
        <v>1620</v>
      </c>
      <c r="D2292" s="74" t="s">
        <v>1621</v>
      </c>
      <c r="E2292" s="74" t="s">
        <v>391</v>
      </c>
      <c r="F2292" s="74">
        <v>0.1</v>
      </c>
      <c r="G2292" s="74"/>
      <c r="H2292" s="74"/>
      <c r="I2292" s="74" t="s">
        <v>391</v>
      </c>
      <c r="J2292" s="74"/>
      <c r="K2292" s="74">
        <v>102.4</v>
      </c>
      <c r="L2292" s="74">
        <v>92.16</v>
      </c>
      <c r="M2292" s="74"/>
      <c r="N2292" s="74" t="s">
        <v>392</v>
      </c>
      <c r="O2292" s="74" t="s">
        <v>393</v>
      </c>
      <c r="P2292" s="74"/>
      <c r="Q2292" s="74" t="s">
        <v>1622</v>
      </c>
    </row>
    <row r="2293" spans="3:17" x14ac:dyDescent="0.25">
      <c r="C2293" s="74" t="s">
        <v>1623</v>
      </c>
      <c r="D2293" s="74" t="s">
        <v>1624</v>
      </c>
      <c r="E2293" s="74" t="s">
        <v>391</v>
      </c>
      <c r="F2293" s="74">
        <v>0.1</v>
      </c>
      <c r="G2293" s="74"/>
      <c r="H2293" s="74"/>
      <c r="I2293" s="74" t="s">
        <v>391</v>
      </c>
      <c r="J2293" s="74"/>
      <c r="K2293" s="74">
        <v>102.4</v>
      </c>
      <c r="L2293" s="74">
        <v>92.16</v>
      </c>
      <c r="M2293" s="74"/>
      <c r="N2293" s="74" t="s">
        <v>392</v>
      </c>
      <c r="O2293" s="74" t="s">
        <v>393</v>
      </c>
      <c r="P2293" s="74"/>
      <c r="Q2293" s="74" t="s">
        <v>1625</v>
      </c>
    </row>
    <row r="2294" spans="3:17" x14ac:dyDescent="0.25">
      <c r="C2294" s="74" t="s">
        <v>1637</v>
      </c>
      <c r="D2294" s="74" t="s">
        <v>1638</v>
      </c>
      <c r="E2294" s="74" t="s">
        <v>391</v>
      </c>
      <c r="F2294" s="74">
        <v>0.1</v>
      </c>
      <c r="G2294" s="74"/>
      <c r="H2294" s="74"/>
      <c r="I2294" s="74" t="s">
        <v>391</v>
      </c>
      <c r="J2294" s="74"/>
      <c r="K2294" s="74">
        <v>102.4</v>
      </c>
      <c r="L2294" s="74">
        <v>92.16</v>
      </c>
      <c r="M2294" s="74"/>
      <c r="N2294" s="74" t="s">
        <v>392</v>
      </c>
      <c r="O2294" s="74" t="s">
        <v>393</v>
      </c>
      <c r="P2294" s="74"/>
      <c r="Q2294" s="74" t="s">
        <v>1639</v>
      </c>
    </row>
    <row r="2295" spans="3:17" x14ac:dyDescent="0.25">
      <c r="C2295" s="74" t="s">
        <v>1648</v>
      </c>
      <c r="D2295" s="74" t="s">
        <v>1649</v>
      </c>
      <c r="E2295" s="74" t="s">
        <v>391</v>
      </c>
      <c r="F2295" s="74">
        <v>0.1</v>
      </c>
      <c r="G2295" s="74"/>
      <c r="H2295" s="74"/>
      <c r="I2295" s="74" t="s">
        <v>391</v>
      </c>
      <c r="J2295" s="74"/>
      <c r="K2295" s="74">
        <v>102.4</v>
      </c>
      <c r="L2295" s="74">
        <v>92.16</v>
      </c>
      <c r="M2295" s="74"/>
      <c r="N2295" s="74" t="s">
        <v>392</v>
      </c>
      <c r="O2295" s="74" t="s">
        <v>393</v>
      </c>
      <c r="P2295" s="74"/>
      <c r="Q2295" s="74" t="s">
        <v>1650</v>
      </c>
    </row>
    <row r="2296" spans="3:17" x14ac:dyDescent="0.25">
      <c r="C2296" s="74" t="s">
        <v>1659</v>
      </c>
      <c r="D2296" s="74" t="s">
        <v>1660</v>
      </c>
      <c r="E2296" s="74" t="s">
        <v>391</v>
      </c>
      <c r="F2296" s="74">
        <v>0.1</v>
      </c>
      <c r="G2296" s="74"/>
      <c r="H2296" s="74"/>
      <c r="I2296" s="74" t="s">
        <v>391</v>
      </c>
      <c r="J2296" s="74"/>
      <c r="K2296" s="74">
        <v>102.4</v>
      </c>
      <c r="L2296" s="74">
        <v>92.16</v>
      </c>
      <c r="M2296" s="74"/>
      <c r="N2296" s="74" t="s">
        <v>392</v>
      </c>
      <c r="O2296" s="74" t="s">
        <v>393</v>
      </c>
      <c r="P2296" s="74"/>
      <c r="Q2296" s="74" t="s">
        <v>1661</v>
      </c>
    </row>
    <row r="2297" spans="3:17" x14ac:dyDescent="0.25">
      <c r="C2297" s="74" t="s">
        <v>1662</v>
      </c>
      <c r="D2297" s="74" t="s">
        <v>1663</v>
      </c>
      <c r="E2297" s="74" t="s">
        <v>391</v>
      </c>
      <c r="F2297" s="74">
        <v>0.1</v>
      </c>
      <c r="G2297" s="74"/>
      <c r="H2297" s="74"/>
      <c r="I2297" s="74" t="s">
        <v>391</v>
      </c>
      <c r="J2297" s="74"/>
      <c r="K2297" s="74">
        <v>102.4</v>
      </c>
      <c r="L2297" s="74">
        <v>92.16</v>
      </c>
      <c r="M2297" s="74"/>
      <c r="N2297" s="74" t="s">
        <v>392</v>
      </c>
      <c r="O2297" s="74" t="s">
        <v>393</v>
      </c>
      <c r="P2297" s="74"/>
      <c r="Q2297" s="74" t="s">
        <v>1664</v>
      </c>
    </row>
    <row r="2298" spans="3:17" x14ac:dyDescent="0.25">
      <c r="C2298" s="74" t="s">
        <v>1674</v>
      </c>
      <c r="D2298" s="74" t="s">
        <v>1675</v>
      </c>
      <c r="E2298" s="74" t="s">
        <v>391</v>
      </c>
      <c r="F2298" s="74">
        <v>0.1</v>
      </c>
      <c r="G2298" s="74"/>
      <c r="H2298" s="74"/>
      <c r="I2298" s="74" t="s">
        <v>391</v>
      </c>
      <c r="J2298" s="74"/>
      <c r="K2298" s="74">
        <v>102.4</v>
      </c>
      <c r="L2298" s="74">
        <v>92.16</v>
      </c>
      <c r="M2298" s="74"/>
      <c r="N2298" s="74" t="s">
        <v>392</v>
      </c>
      <c r="O2298" s="74" t="s">
        <v>393</v>
      </c>
      <c r="P2298" s="74"/>
      <c r="Q2298" s="74" t="s">
        <v>1676</v>
      </c>
    </row>
    <row r="2299" spans="3:17" x14ac:dyDescent="0.25">
      <c r="C2299" s="74" t="s">
        <v>1677</v>
      </c>
      <c r="D2299" s="74" t="s">
        <v>1678</v>
      </c>
      <c r="E2299" s="74" t="s">
        <v>391</v>
      </c>
      <c r="F2299" s="74">
        <v>0.1</v>
      </c>
      <c r="G2299" s="74"/>
      <c r="H2299" s="74"/>
      <c r="I2299" s="74" t="s">
        <v>391</v>
      </c>
      <c r="J2299" s="74"/>
      <c r="K2299" s="74">
        <v>102.4</v>
      </c>
      <c r="L2299" s="74">
        <v>92.16</v>
      </c>
      <c r="M2299" s="74"/>
      <c r="N2299" s="74" t="s">
        <v>392</v>
      </c>
      <c r="O2299" s="74" t="s">
        <v>393</v>
      </c>
      <c r="P2299" s="74"/>
      <c r="Q2299" s="74" t="s">
        <v>1679</v>
      </c>
    </row>
    <row r="2300" spans="3:17" x14ac:dyDescent="0.25">
      <c r="C2300" s="74" t="s">
        <v>1692</v>
      </c>
      <c r="D2300" s="74" t="s">
        <v>1693</v>
      </c>
      <c r="E2300" s="74" t="s">
        <v>391</v>
      </c>
      <c r="F2300" s="74">
        <v>0.1</v>
      </c>
      <c r="G2300" s="74"/>
      <c r="H2300" s="74"/>
      <c r="I2300" s="74" t="s">
        <v>391</v>
      </c>
      <c r="J2300" s="74"/>
      <c r="K2300" s="74">
        <v>102.4</v>
      </c>
      <c r="L2300" s="74">
        <v>92.16</v>
      </c>
      <c r="M2300" s="74"/>
      <c r="N2300" s="74" t="s">
        <v>392</v>
      </c>
      <c r="O2300" s="74" t="s">
        <v>393</v>
      </c>
      <c r="P2300" s="74"/>
      <c r="Q2300" s="74" t="s">
        <v>1694</v>
      </c>
    </row>
    <row r="2301" spans="3:17" x14ac:dyDescent="0.25">
      <c r="C2301" s="74" t="s">
        <v>1707</v>
      </c>
      <c r="D2301" s="74" t="s">
        <v>1708</v>
      </c>
      <c r="E2301" s="74" t="s">
        <v>391</v>
      </c>
      <c r="F2301" s="74">
        <v>0.1</v>
      </c>
      <c r="G2301" s="74"/>
      <c r="H2301" s="74"/>
      <c r="I2301" s="74" t="s">
        <v>391</v>
      </c>
      <c r="J2301" s="74"/>
      <c r="K2301" s="74">
        <v>102.4</v>
      </c>
      <c r="L2301" s="74">
        <v>92.16</v>
      </c>
      <c r="M2301" s="74"/>
      <c r="N2301" s="74" t="s">
        <v>392</v>
      </c>
      <c r="O2301" s="74" t="s">
        <v>393</v>
      </c>
      <c r="P2301" s="74"/>
      <c r="Q2301" s="74" t="s">
        <v>1709</v>
      </c>
    </row>
    <row r="2302" spans="3:17" x14ac:dyDescent="0.25">
      <c r="C2302" s="74" t="s">
        <v>1718</v>
      </c>
      <c r="D2302" s="74" t="s">
        <v>1719</v>
      </c>
      <c r="E2302" s="74" t="s">
        <v>391</v>
      </c>
      <c r="F2302" s="74">
        <v>0.1</v>
      </c>
      <c r="G2302" s="74"/>
      <c r="H2302" s="74"/>
      <c r="I2302" s="74" t="s">
        <v>391</v>
      </c>
      <c r="J2302" s="74"/>
      <c r="K2302" s="74">
        <v>102.4</v>
      </c>
      <c r="L2302" s="74">
        <v>92.16</v>
      </c>
      <c r="M2302" s="74"/>
      <c r="N2302" s="74" t="s">
        <v>392</v>
      </c>
      <c r="O2302" s="74" t="s">
        <v>393</v>
      </c>
      <c r="P2302" s="74"/>
      <c r="Q2302" s="74" t="s">
        <v>1720</v>
      </c>
    </row>
    <row r="2303" spans="3:17" x14ac:dyDescent="0.25">
      <c r="C2303" s="74" t="s">
        <v>1725</v>
      </c>
      <c r="D2303" s="74" t="s">
        <v>1726</v>
      </c>
      <c r="E2303" s="74" t="s">
        <v>391</v>
      </c>
      <c r="F2303" s="74">
        <v>0.1</v>
      </c>
      <c r="G2303" s="74"/>
      <c r="H2303" s="74"/>
      <c r="I2303" s="74" t="s">
        <v>391</v>
      </c>
      <c r="J2303" s="74"/>
      <c r="K2303" s="74">
        <v>102.4</v>
      </c>
      <c r="L2303" s="74">
        <v>92.16</v>
      </c>
      <c r="M2303" s="74"/>
      <c r="N2303" s="74" t="s">
        <v>392</v>
      </c>
      <c r="O2303" s="74" t="s">
        <v>393</v>
      </c>
      <c r="P2303" s="74"/>
      <c r="Q2303" s="74" t="s">
        <v>1727</v>
      </c>
    </row>
    <row r="2304" spans="3:17" x14ac:dyDescent="0.25">
      <c r="C2304" s="74" t="s">
        <v>1736</v>
      </c>
      <c r="D2304" s="74" t="s">
        <v>1737</v>
      </c>
      <c r="E2304" s="74" t="s">
        <v>391</v>
      </c>
      <c r="F2304" s="74">
        <v>0.1</v>
      </c>
      <c r="G2304" s="74"/>
      <c r="H2304" s="74"/>
      <c r="I2304" s="74" t="s">
        <v>391</v>
      </c>
      <c r="J2304" s="74"/>
      <c r="K2304" s="74">
        <v>102.4</v>
      </c>
      <c r="L2304" s="74">
        <v>92.16</v>
      </c>
      <c r="M2304" s="74"/>
      <c r="N2304" s="74" t="s">
        <v>392</v>
      </c>
      <c r="O2304" s="74" t="s">
        <v>393</v>
      </c>
      <c r="P2304" s="74"/>
      <c r="Q2304" s="74" t="s">
        <v>1738</v>
      </c>
    </row>
    <row r="2305" spans="3:17" x14ac:dyDescent="0.25">
      <c r="C2305" s="74" t="s">
        <v>1739</v>
      </c>
      <c r="D2305" s="74" t="s">
        <v>1740</v>
      </c>
      <c r="E2305" s="74" t="s">
        <v>391</v>
      </c>
      <c r="F2305" s="74">
        <v>0.1</v>
      </c>
      <c r="G2305" s="74"/>
      <c r="H2305" s="74"/>
      <c r="I2305" s="74" t="s">
        <v>391</v>
      </c>
      <c r="J2305" s="74"/>
      <c r="K2305" s="74">
        <v>102.4</v>
      </c>
      <c r="L2305" s="74">
        <v>92.16</v>
      </c>
      <c r="M2305" s="74"/>
      <c r="N2305" s="74" t="s">
        <v>392</v>
      </c>
      <c r="O2305" s="74" t="s">
        <v>393</v>
      </c>
      <c r="P2305" s="74" t="s">
        <v>1741</v>
      </c>
      <c r="Q2305" s="74" t="s">
        <v>1742</v>
      </c>
    </row>
    <row r="2306" spans="3:17" x14ac:dyDescent="0.25">
      <c r="C2306" s="74" t="s">
        <v>1764</v>
      </c>
      <c r="D2306" s="74" t="s">
        <v>1765</v>
      </c>
      <c r="E2306" s="74" t="s">
        <v>391</v>
      </c>
      <c r="F2306" s="74">
        <v>0.1</v>
      </c>
      <c r="G2306" s="74"/>
      <c r="H2306" s="74"/>
      <c r="I2306" s="74" t="s">
        <v>391</v>
      </c>
      <c r="J2306" s="74"/>
      <c r="K2306" s="74">
        <v>102.4</v>
      </c>
      <c r="L2306" s="74">
        <v>92.16</v>
      </c>
      <c r="M2306" s="74"/>
      <c r="N2306" s="74" t="s">
        <v>392</v>
      </c>
      <c r="O2306" s="74" t="s">
        <v>393</v>
      </c>
      <c r="P2306" s="74"/>
      <c r="Q2306" s="74" t="s">
        <v>1766</v>
      </c>
    </row>
    <row r="2307" spans="3:17" x14ac:dyDescent="0.25">
      <c r="C2307" s="74" t="s">
        <v>1775</v>
      </c>
      <c r="D2307" s="74" t="s">
        <v>1776</v>
      </c>
      <c r="E2307" s="74" t="s">
        <v>391</v>
      </c>
      <c r="F2307" s="74">
        <v>0.1</v>
      </c>
      <c r="G2307" s="74"/>
      <c r="H2307" s="74"/>
      <c r="I2307" s="74" t="s">
        <v>391</v>
      </c>
      <c r="J2307" s="74"/>
      <c r="K2307" s="74">
        <v>102.4</v>
      </c>
      <c r="L2307" s="74">
        <v>92.16</v>
      </c>
      <c r="M2307" s="74"/>
      <c r="N2307" s="74" t="s">
        <v>392</v>
      </c>
      <c r="O2307" s="74" t="s">
        <v>393</v>
      </c>
      <c r="P2307" s="74"/>
      <c r="Q2307" s="74" t="s">
        <v>1777</v>
      </c>
    </row>
    <row r="2308" spans="3:17" x14ac:dyDescent="0.25">
      <c r="C2308" s="74" t="s">
        <v>1778</v>
      </c>
      <c r="D2308" s="74" t="s">
        <v>1779</v>
      </c>
      <c r="E2308" s="74" t="s">
        <v>391</v>
      </c>
      <c r="F2308" s="74">
        <v>0.1</v>
      </c>
      <c r="G2308" s="74"/>
      <c r="H2308" s="74"/>
      <c r="I2308" s="74" t="s">
        <v>391</v>
      </c>
      <c r="J2308" s="74"/>
      <c r="K2308" s="74">
        <v>102.4</v>
      </c>
      <c r="L2308" s="74">
        <v>92.16</v>
      </c>
      <c r="M2308" s="74"/>
      <c r="N2308" s="74" t="s">
        <v>392</v>
      </c>
      <c r="O2308" s="74" t="s">
        <v>393</v>
      </c>
      <c r="P2308" s="74"/>
      <c r="Q2308" s="74" t="s">
        <v>1780</v>
      </c>
    </row>
    <row r="2309" spans="3:17" x14ac:dyDescent="0.25">
      <c r="C2309" s="74" t="s">
        <v>1781</v>
      </c>
      <c r="D2309" s="74" t="s">
        <v>1782</v>
      </c>
      <c r="E2309" s="74" t="s">
        <v>391</v>
      </c>
      <c r="F2309" s="74">
        <v>0.1</v>
      </c>
      <c r="G2309" s="74"/>
      <c r="H2309" s="74"/>
      <c r="I2309" s="74" t="s">
        <v>391</v>
      </c>
      <c r="J2309" s="74"/>
      <c r="K2309" s="74">
        <v>102.4</v>
      </c>
      <c r="L2309" s="74">
        <v>92.16</v>
      </c>
      <c r="M2309" s="74"/>
      <c r="N2309" s="74" t="s">
        <v>392</v>
      </c>
      <c r="O2309" s="74" t="s">
        <v>393</v>
      </c>
      <c r="P2309" s="74"/>
      <c r="Q2309" s="74" t="s">
        <v>1783</v>
      </c>
    </row>
    <row r="2310" spans="3:17" x14ac:dyDescent="0.25">
      <c r="C2310" s="74" t="s">
        <v>1792</v>
      </c>
      <c r="D2310" s="74" t="s">
        <v>1793</v>
      </c>
      <c r="E2310" s="74" t="s">
        <v>391</v>
      </c>
      <c r="F2310" s="74">
        <v>0.1</v>
      </c>
      <c r="G2310" s="74"/>
      <c r="H2310" s="74"/>
      <c r="I2310" s="74" t="s">
        <v>391</v>
      </c>
      <c r="J2310" s="74"/>
      <c r="K2310" s="74">
        <v>102.4</v>
      </c>
      <c r="L2310" s="74">
        <v>92.16</v>
      </c>
      <c r="M2310" s="74"/>
      <c r="N2310" s="74" t="s">
        <v>392</v>
      </c>
      <c r="O2310" s="74" t="s">
        <v>393</v>
      </c>
      <c r="P2310" s="74"/>
      <c r="Q2310" s="74" t="s">
        <v>1794</v>
      </c>
    </row>
    <row r="2311" spans="3:17" x14ac:dyDescent="0.25">
      <c r="C2311" s="74" t="s">
        <v>1795</v>
      </c>
      <c r="D2311" s="74" t="s">
        <v>1796</v>
      </c>
      <c r="E2311" s="74" t="s">
        <v>391</v>
      </c>
      <c r="F2311" s="74">
        <v>0.1</v>
      </c>
      <c r="G2311" s="74"/>
      <c r="H2311" s="74"/>
      <c r="I2311" s="74" t="s">
        <v>391</v>
      </c>
      <c r="J2311" s="74"/>
      <c r="K2311" s="74">
        <v>102.4</v>
      </c>
      <c r="L2311" s="74">
        <v>92.16</v>
      </c>
      <c r="M2311" s="74"/>
      <c r="N2311" s="74" t="s">
        <v>392</v>
      </c>
      <c r="O2311" s="74" t="s">
        <v>393</v>
      </c>
      <c r="P2311" s="74"/>
      <c r="Q2311" s="74" t="s">
        <v>1797</v>
      </c>
    </row>
    <row r="2312" spans="3:17" x14ac:dyDescent="0.25">
      <c r="C2312" s="74" t="s">
        <v>1833</v>
      </c>
      <c r="D2312" s="74" t="s">
        <v>1834</v>
      </c>
      <c r="E2312" s="74" t="s">
        <v>391</v>
      </c>
      <c r="F2312" s="74">
        <v>0.1</v>
      </c>
      <c r="G2312" s="74"/>
      <c r="H2312" s="74"/>
      <c r="I2312" s="74" t="s">
        <v>391</v>
      </c>
      <c r="J2312" s="74"/>
      <c r="K2312" s="74">
        <v>102.4</v>
      </c>
      <c r="L2312" s="74">
        <v>92.16</v>
      </c>
      <c r="M2312" s="74"/>
      <c r="N2312" s="74" t="s">
        <v>392</v>
      </c>
      <c r="O2312" s="74" t="s">
        <v>393</v>
      </c>
      <c r="P2312" s="74"/>
      <c r="Q2312" s="74" t="s">
        <v>1835</v>
      </c>
    </row>
    <row r="2313" spans="3:17" x14ac:dyDescent="0.25">
      <c r="C2313" s="74" t="s">
        <v>1839</v>
      </c>
      <c r="D2313" s="74" t="s">
        <v>1840</v>
      </c>
      <c r="E2313" s="74" t="s">
        <v>391</v>
      </c>
      <c r="F2313" s="74">
        <v>0.1</v>
      </c>
      <c r="G2313" s="74"/>
      <c r="H2313" s="74"/>
      <c r="I2313" s="74" t="s">
        <v>391</v>
      </c>
      <c r="J2313" s="74"/>
      <c r="K2313" s="74">
        <v>102.4</v>
      </c>
      <c r="L2313" s="74">
        <v>92.16</v>
      </c>
      <c r="M2313" s="74"/>
      <c r="N2313" s="74" t="s">
        <v>392</v>
      </c>
      <c r="O2313" s="74" t="s">
        <v>393</v>
      </c>
      <c r="P2313" s="74"/>
      <c r="Q2313" s="74" t="s">
        <v>1841</v>
      </c>
    </row>
    <row r="2314" spans="3:17" x14ac:dyDescent="0.25">
      <c r="C2314" s="74" t="s">
        <v>1850</v>
      </c>
      <c r="D2314" s="74" t="s">
        <v>1851</v>
      </c>
      <c r="E2314" s="74" t="s">
        <v>391</v>
      </c>
      <c r="F2314" s="74">
        <v>0.1</v>
      </c>
      <c r="G2314" s="74"/>
      <c r="H2314" s="74"/>
      <c r="I2314" s="74" t="s">
        <v>391</v>
      </c>
      <c r="J2314" s="74"/>
      <c r="K2314" s="74">
        <v>102.4</v>
      </c>
      <c r="L2314" s="74">
        <v>92.16</v>
      </c>
      <c r="M2314" s="74"/>
      <c r="N2314" s="74" t="s">
        <v>392</v>
      </c>
      <c r="O2314" s="74" t="s">
        <v>393</v>
      </c>
      <c r="P2314" s="74"/>
      <c r="Q2314" s="74" t="s">
        <v>1852</v>
      </c>
    </row>
    <row r="2315" spans="3:17" x14ac:dyDescent="0.25">
      <c r="C2315" s="74" t="s">
        <v>1861</v>
      </c>
      <c r="D2315" s="74" t="s">
        <v>1862</v>
      </c>
      <c r="E2315" s="74" t="s">
        <v>391</v>
      </c>
      <c r="F2315" s="74">
        <v>0.1</v>
      </c>
      <c r="G2315" s="74"/>
      <c r="H2315" s="74"/>
      <c r="I2315" s="74" t="s">
        <v>391</v>
      </c>
      <c r="J2315" s="74"/>
      <c r="K2315" s="74">
        <v>102.4</v>
      </c>
      <c r="L2315" s="74">
        <v>92.16</v>
      </c>
      <c r="M2315" s="74"/>
      <c r="N2315" s="74" t="s">
        <v>392</v>
      </c>
      <c r="O2315" s="74" t="s">
        <v>393</v>
      </c>
      <c r="P2315" s="74"/>
      <c r="Q2315" s="74" t="s">
        <v>1863</v>
      </c>
    </row>
    <row r="2316" spans="3:17" x14ac:dyDescent="0.25">
      <c r="C2316" s="74" t="s">
        <v>1864</v>
      </c>
      <c r="D2316" s="74" t="s">
        <v>1865</v>
      </c>
      <c r="E2316" s="74" t="s">
        <v>391</v>
      </c>
      <c r="F2316" s="74">
        <v>0.1</v>
      </c>
      <c r="G2316" s="74"/>
      <c r="H2316" s="74"/>
      <c r="I2316" s="74" t="s">
        <v>391</v>
      </c>
      <c r="J2316" s="74"/>
      <c r="K2316" s="74">
        <v>102.4</v>
      </c>
      <c r="L2316" s="74">
        <v>92.16</v>
      </c>
      <c r="M2316" s="74"/>
      <c r="N2316" s="74" t="s">
        <v>392</v>
      </c>
      <c r="O2316" s="74" t="s">
        <v>393</v>
      </c>
      <c r="P2316" s="74"/>
      <c r="Q2316" s="74" t="s">
        <v>1866</v>
      </c>
    </row>
    <row r="2317" spans="3:17" x14ac:dyDescent="0.25">
      <c r="C2317" s="74" t="s">
        <v>1867</v>
      </c>
      <c r="D2317" s="74" t="s">
        <v>1868</v>
      </c>
      <c r="E2317" s="74" t="s">
        <v>391</v>
      </c>
      <c r="F2317" s="74">
        <v>0.1</v>
      </c>
      <c r="G2317" s="74"/>
      <c r="H2317" s="74"/>
      <c r="I2317" s="74" t="s">
        <v>391</v>
      </c>
      <c r="J2317" s="74"/>
      <c r="K2317" s="74">
        <v>102.4</v>
      </c>
      <c r="L2317" s="74">
        <v>92.16</v>
      </c>
      <c r="M2317" s="74"/>
      <c r="N2317" s="74" t="s">
        <v>392</v>
      </c>
      <c r="O2317" s="74" t="s">
        <v>393</v>
      </c>
      <c r="P2317" s="74"/>
      <c r="Q2317" s="74" t="s">
        <v>1869</v>
      </c>
    </row>
    <row r="2318" spans="3:17" x14ac:dyDescent="0.25">
      <c r="C2318" s="74" t="s">
        <v>1881</v>
      </c>
      <c r="D2318" s="74" t="s">
        <v>1882</v>
      </c>
      <c r="E2318" s="74"/>
      <c r="F2318" s="74">
        <v>0.1</v>
      </c>
      <c r="G2318" s="74"/>
      <c r="H2318" s="74"/>
      <c r="I2318" s="74" t="s">
        <v>391</v>
      </c>
      <c r="J2318" s="74"/>
      <c r="K2318" s="74">
        <v>102.4</v>
      </c>
      <c r="L2318" s="74">
        <v>92.16</v>
      </c>
      <c r="M2318" s="74"/>
      <c r="N2318" s="74" t="s">
        <v>392</v>
      </c>
      <c r="O2318" s="74" t="s">
        <v>402</v>
      </c>
      <c r="P2318" s="74" t="s">
        <v>1883</v>
      </c>
      <c r="Q2318" s="74" t="s">
        <v>1884</v>
      </c>
    </row>
    <row r="2319" spans="3:17" x14ac:dyDescent="0.25">
      <c r="C2319" s="74" t="s">
        <v>1904</v>
      </c>
      <c r="D2319" s="74" t="s">
        <v>1905</v>
      </c>
      <c r="E2319" s="74" t="s">
        <v>391</v>
      </c>
      <c r="F2319" s="74">
        <v>0.1</v>
      </c>
      <c r="G2319" s="74"/>
      <c r="H2319" s="74"/>
      <c r="I2319" s="74" t="s">
        <v>391</v>
      </c>
      <c r="J2319" s="74"/>
      <c r="K2319" s="74">
        <v>102.4</v>
      </c>
      <c r="L2319" s="74">
        <v>92.16</v>
      </c>
      <c r="M2319" s="74"/>
      <c r="N2319" s="74" t="s">
        <v>392</v>
      </c>
      <c r="O2319" s="74" t="s">
        <v>393</v>
      </c>
      <c r="P2319" s="74"/>
      <c r="Q2319" s="74" t="s">
        <v>1906</v>
      </c>
    </row>
    <row r="2320" spans="3:17" x14ac:dyDescent="0.25">
      <c r="C2320" s="74" t="s">
        <v>1911</v>
      </c>
      <c r="D2320" s="74" t="s">
        <v>1912</v>
      </c>
      <c r="E2320" s="74" t="s">
        <v>391</v>
      </c>
      <c r="F2320" s="74">
        <v>0.1</v>
      </c>
      <c r="G2320" s="74"/>
      <c r="H2320" s="74"/>
      <c r="I2320" s="74" t="s">
        <v>391</v>
      </c>
      <c r="J2320" s="74"/>
      <c r="K2320" s="74">
        <v>102.4</v>
      </c>
      <c r="L2320" s="74">
        <v>92.16</v>
      </c>
      <c r="M2320" s="74"/>
      <c r="N2320" s="74" t="s">
        <v>392</v>
      </c>
      <c r="O2320" s="74" t="s">
        <v>393</v>
      </c>
      <c r="P2320" s="74"/>
      <c r="Q2320" s="74" t="s">
        <v>1913</v>
      </c>
    </row>
    <row r="2321" spans="3:17" x14ac:dyDescent="0.25">
      <c r="C2321" s="74" t="s">
        <v>1914</v>
      </c>
      <c r="D2321" s="74" t="s">
        <v>1915</v>
      </c>
      <c r="E2321" s="74" t="s">
        <v>391</v>
      </c>
      <c r="F2321" s="74">
        <v>0.1</v>
      </c>
      <c r="G2321" s="74"/>
      <c r="H2321" s="74"/>
      <c r="I2321" s="74" t="s">
        <v>391</v>
      </c>
      <c r="J2321" s="74"/>
      <c r="K2321" s="74">
        <v>102.4</v>
      </c>
      <c r="L2321" s="74">
        <v>92.16</v>
      </c>
      <c r="M2321" s="74"/>
      <c r="N2321" s="74" t="s">
        <v>392</v>
      </c>
      <c r="O2321" s="74" t="s">
        <v>393</v>
      </c>
      <c r="P2321" s="74"/>
      <c r="Q2321" s="74" t="s">
        <v>1916</v>
      </c>
    </row>
    <row r="2322" spans="3:17" x14ac:dyDescent="0.25">
      <c r="C2322" s="74" t="s">
        <v>1920</v>
      </c>
      <c r="D2322" s="74" t="s">
        <v>1921</v>
      </c>
      <c r="E2322" s="74" t="s">
        <v>391</v>
      </c>
      <c r="F2322" s="74">
        <v>0.1</v>
      </c>
      <c r="G2322" s="74"/>
      <c r="H2322" s="74"/>
      <c r="I2322" s="74" t="s">
        <v>391</v>
      </c>
      <c r="J2322" s="74"/>
      <c r="K2322" s="74">
        <v>102.4</v>
      </c>
      <c r="L2322" s="74">
        <v>92.16</v>
      </c>
      <c r="M2322" s="74"/>
      <c r="N2322" s="74" t="s">
        <v>392</v>
      </c>
      <c r="O2322" s="74" t="s">
        <v>393</v>
      </c>
      <c r="P2322" s="74"/>
      <c r="Q2322" s="74" t="s">
        <v>1922</v>
      </c>
    </row>
    <row r="2323" spans="3:17" x14ac:dyDescent="0.25">
      <c r="C2323" s="74" t="s">
        <v>1923</v>
      </c>
      <c r="D2323" s="74" t="s">
        <v>1924</v>
      </c>
      <c r="E2323" s="74" t="s">
        <v>391</v>
      </c>
      <c r="F2323" s="74">
        <v>0.1</v>
      </c>
      <c r="G2323" s="74"/>
      <c r="H2323" s="74"/>
      <c r="I2323" s="74" t="s">
        <v>391</v>
      </c>
      <c r="J2323" s="74"/>
      <c r="K2323" s="74">
        <v>102.4</v>
      </c>
      <c r="L2323" s="74">
        <v>92.16</v>
      </c>
      <c r="M2323" s="74"/>
      <c r="N2323" s="74" t="s">
        <v>392</v>
      </c>
      <c r="O2323" s="74" t="s">
        <v>393</v>
      </c>
      <c r="P2323" s="74"/>
      <c r="Q2323" s="74" t="s">
        <v>1925</v>
      </c>
    </row>
    <row r="2324" spans="3:17" x14ac:dyDescent="0.25">
      <c r="C2324" s="74" t="s">
        <v>1926</v>
      </c>
      <c r="D2324" s="74" t="s">
        <v>1927</v>
      </c>
      <c r="E2324" s="74" t="s">
        <v>391</v>
      </c>
      <c r="F2324" s="74">
        <v>0.1</v>
      </c>
      <c r="G2324" s="74"/>
      <c r="H2324" s="74"/>
      <c r="I2324" s="74" t="s">
        <v>391</v>
      </c>
      <c r="J2324" s="74"/>
      <c r="K2324" s="74">
        <v>102.4</v>
      </c>
      <c r="L2324" s="74">
        <v>92.16</v>
      </c>
      <c r="M2324" s="74"/>
      <c r="N2324" s="74" t="s">
        <v>392</v>
      </c>
      <c r="O2324" s="74" t="s">
        <v>393</v>
      </c>
      <c r="P2324" s="74"/>
      <c r="Q2324" s="74" t="s">
        <v>1928</v>
      </c>
    </row>
    <row r="2325" spans="3:17" x14ac:dyDescent="0.25">
      <c r="C2325" s="74" t="s">
        <v>1936</v>
      </c>
      <c r="D2325" s="74" t="s">
        <v>1937</v>
      </c>
      <c r="E2325" s="74" t="s">
        <v>391</v>
      </c>
      <c r="F2325" s="74">
        <v>0.1</v>
      </c>
      <c r="G2325" s="74"/>
      <c r="H2325" s="74"/>
      <c r="I2325" s="74" t="s">
        <v>391</v>
      </c>
      <c r="J2325" s="74"/>
      <c r="K2325" s="74">
        <v>102.4</v>
      </c>
      <c r="L2325" s="74">
        <v>92.16</v>
      </c>
      <c r="M2325" s="74"/>
      <c r="N2325" s="74" t="s">
        <v>392</v>
      </c>
      <c r="O2325" s="74" t="s">
        <v>393</v>
      </c>
      <c r="P2325" s="74"/>
      <c r="Q2325" s="74" t="s">
        <v>1937</v>
      </c>
    </row>
    <row r="2326" spans="3:17" x14ac:dyDescent="0.25">
      <c r="C2326" s="74" t="s">
        <v>1957</v>
      </c>
      <c r="D2326" s="74" t="s">
        <v>1958</v>
      </c>
      <c r="E2326" s="74" t="s">
        <v>391</v>
      </c>
      <c r="F2326" s="74">
        <v>0.1</v>
      </c>
      <c r="G2326" s="74"/>
      <c r="H2326" s="74"/>
      <c r="I2326" s="74" t="s">
        <v>391</v>
      </c>
      <c r="J2326" s="74"/>
      <c r="K2326" s="74">
        <v>102.4</v>
      </c>
      <c r="L2326" s="74">
        <v>92.16</v>
      </c>
      <c r="M2326" s="74"/>
      <c r="N2326" s="74" t="s">
        <v>392</v>
      </c>
      <c r="O2326" s="74" t="s">
        <v>393</v>
      </c>
      <c r="P2326" s="74"/>
      <c r="Q2326" s="74" t="s">
        <v>1959</v>
      </c>
    </row>
    <row r="2327" spans="3:17" x14ac:dyDescent="0.25">
      <c r="C2327" s="74" t="s">
        <v>1964</v>
      </c>
      <c r="D2327" s="74" t="s">
        <v>1965</v>
      </c>
      <c r="E2327" s="74" t="s">
        <v>391</v>
      </c>
      <c r="F2327" s="74">
        <v>0.1</v>
      </c>
      <c r="G2327" s="74"/>
      <c r="H2327" s="74"/>
      <c r="I2327" s="74" t="s">
        <v>391</v>
      </c>
      <c r="J2327" s="74"/>
      <c r="K2327" s="74">
        <v>102.4</v>
      </c>
      <c r="L2327" s="74">
        <v>92.16</v>
      </c>
      <c r="M2327" s="74"/>
      <c r="N2327" s="74" t="s">
        <v>392</v>
      </c>
      <c r="O2327" s="74" t="s">
        <v>393</v>
      </c>
      <c r="P2327" s="74"/>
      <c r="Q2327" s="74" t="s">
        <v>1966</v>
      </c>
    </row>
    <row r="2328" spans="3:17" x14ac:dyDescent="0.25">
      <c r="C2328" s="74" t="s">
        <v>1967</v>
      </c>
      <c r="D2328" s="74" t="s">
        <v>1968</v>
      </c>
      <c r="E2328" s="74" t="s">
        <v>391</v>
      </c>
      <c r="F2328" s="74">
        <v>0.1</v>
      </c>
      <c r="G2328" s="74"/>
      <c r="H2328" s="74"/>
      <c r="I2328" s="74" t="s">
        <v>391</v>
      </c>
      <c r="J2328" s="74"/>
      <c r="K2328" s="74">
        <v>102.4</v>
      </c>
      <c r="L2328" s="74">
        <v>92.16</v>
      </c>
      <c r="M2328" s="74"/>
      <c r="N2328" s="74" t="s">
        <v>392</v>
      </c>
      <c r="O2328" s="74" t="s">
        <v>393</v>
      </c>
      <c r="P2328" s="74"/>
      <c r="Q2328" s="74" t="s">
        <v>1969</v>
      </c>
    </row>
    <row r="2329" spans="3:17" x14ac:dyDescent="0.25">
      <c r="C2329" s="74" t="s">
        <v>1981</v>
      </c>
      <c r="D2329" s="74" t="s">
        <v>1982</v>
      </c>
      <c r="E2329" s="74" t="s">
        <v>391</v>
      </c>
      <c r="F2329" s="74">
        <v>0.1</v>
      </c>
      <c r="G2329" s="74"/>
      <c r="H2329" s="74"/>
      <c r="I2329" s="74" t="s">
        <v>391</v>
      </c>
      <c r="J2329" s="74"/>
      <c r="K2329" s="74">
        <v>102.4</v>
      </c>
      <c r="L2329" s="74">
        <v>92.16</v>
      </c>
      <c r="M2329" s="74"/>
      <c r="N2329" s="74" t="s">
        <v>392</v>
      </c>
      <c r="O2329" s="74" t="s">
        <v>393</v>
      </c>
      <c r="P2329" s="74"/>
      <c r="Q2329" s="74" t="s">
        <v>1983</v>
      </c>
    </row>
    <row r="2330" spans="3:17" x14ac:dyDescent="0.25">
      <c r="C2330" s="74" t="s">
        <v>1984</v>
      </c>
      <c r="D2330" s="74" t="s">
        <v>1985</v>
      </c>
      <c r="E2330" s="74" t="s">
        <v>391</v>
      </c>
      <c r="F2330" s="74">
        <v>0.1</v>
      </c>
      <c r="G2330" s="74"/>
      <c r="H2330" s="74"/>
      <c r="I2330" s="74" t="s">
        <v>391</v>
      </c>
      <c r="J2330" s="74"/>
      <c r="K2330" s="74">
        <v>102.4</v>
      </c>
      <c r="L2330" s="74">
        <v>92.16</v>
      </c>
      <c r="M2330" s="74"/>
      <c r="N2330" s="74" t="s">
        <v>392</v>
      </c>
      <c r="O2330" s="74" t="s">
        <v>393</v>
      </c>
      <c r="P2330" s="74"/>
      <c r="Q2330" s="74" t="s">
        <v>1986</v>
      </c>
    </row>
    <row r="2331" spans="3:17" x14ac:dyDescent="0.25">
      <c r="C2331" s="74" t="s">
        <v>1997</v>
      </c>
      <c r="D2331" s="74" t="s">
        <v>1998</v>
      </c>
      <c r="E2331" s="74" t="s">
        <v>391</v>
      </c>
      <c r="F2331" s="74">
        <v>0.1</v>
      </c>
      <c r="G2331" s="74"/>
      <c r="H2331" s="74"/>
      <c r="I2331" s="74" t="s">
        <v>391</v>
      </c>
      <c r="J2331" s="74"/>
      <c r="K2331" s="74">
        <v>102.4</v>
      </c>
      <c r="L2331" s="74">
        <v>92.16</v>
      </c>
      <c r="M2331" s="74"/>
      <c r="N2331" s="74" t="s">
        <v>392</v>
      </c>
      <c r="O2331" s="74" t="s">
        <v>393</v>
      </c>
      <c r="P2331" s="74"/>
      <c r="Q2331" s="74" t="s">
        <v>1999</v>
      </c>
    </row>
    <row r="2332" spans="3:17" x14ac:dyDescent="0.25">
      <c r="C2332" s="74" t="s">
        <v>2000</v>
      </c>
      <c r="D2332" s="74" t="s">
        <v>2001</v>
      </c>
      <c r="E2332" s="74" t="s">
        <v>391</v>
      </c>
      <c r="F2332" s="74">
        <v>0.1</v>
      </c>
      <c r="G2332" s="74"/>
      <c r="H2332" s="74"/>
      <c r="I2332" s="74" t="s">
        <v>391</v>
      </c>
      <c r="J2332" s="74"/>
      <c r="K2332" s="74">
        <v>102.4</v>
      </c>
      <c r="L2332" s="74">
        <v>92.16</v>
      </c>
      <c r="M2332" s="74"/>
      <c r="N2332" s="74" t="s">
        <v>392</v>
      </c>
      <c r="O2332" s="74" t="s">
        <v>393</v>
      </c>
      <c r="P2332" s="74"/>
      <c r="Q2332" s="74" t="s">
        <v>2002</v>
      </c>
    </row>
    <row r="2333" spans="3:17" x14ac:dyDescent="0.25">
      <c r="C2333" s="74" t="s">
        <v>2003</v>
      </c>
      <c r="D2333" s="74" t="s">
        <v>2004</v>
      </c>
      <c r="E2333" s="74" t="s">
        <v>391</v>
      </c>
      <c r="F2333" s="74">
        <v>0.1</v>
      </c>
      <c r="G2333" s="74"/>
      <c r="H2333" s="74"/>
      <c r="I2333" s="74" t="s">
        <v>391</v>
      </c>
      <c r="J2333" s="74"/>
      <c r="K2333" s="74">
        <v>102.4</v>
      </c>
      <c r="L2333" s="74">
        <v>92.16</v>
      </c>
      <c r="M2333" s="74"/>
      <c r="N2333" s="74" t="s">
        <v>392</v>
      </c>
      <c r="O2333" s="74" t="s">
        <v>393</v>
      </c>
      <c r="P2333" s="74"/>
      <c r="Q2333" s="74" t="s">
        <v>2005</v>
      </c>
    </row>
    <row r="2334" spans="3:17" x14ac:dyDescent="0.25">
      <c r="C2334" s="74" t="s">
        <v>2006</v>
      </c>
      <c r="D2334" s="74" t="s">
        <v>2007</v>
      </c>
      <c r="E2334" s="74" t="s">
        <v>391</v>
      </c>
      <c r="F2334" s="74">
        <v>0.1</v>
      </c>
      <c r="G2334" s="74"/>
      <c r="H2334" s="74"/>
      <c r="I2334" s="74" t="s">
        <v>391</v>
      </c>
      <c r="J2334" s="74"/>
      <c r="K2334" s="74">
        <v>102.4</v>
      </c>
      <c r="L2334" s="74">
        <v>92.16</v>
      </c>
      <c r="M2334" s="74"/>
      <c r="N2334" s="74" t="s">
        <v>392</v>
      </c>
      <c r="O2334" s="74" t="s">
        <v>393</v>
      </c>
      <c r="P2334" s="74"/>
      <c r="Q2334" s="74" t="s">
        <v>2008</v>
      </c>
    </row>
    <row r="2335" spans="3:17" x14ac:dyDescent="0.25">
      <c r="C2335" s="74" t="s">
        <v>2026</v>
      </c>
      <c r="D2335" s="74" t="s">
        <v>2027</v>
      </c>
      <c r="E2335" s="74" t="s">
        <v>391</v>
      </c>
      <c r="F2335" s="74">
        <v>0.1</v>
      </c>
      <c r="G2335" s="74"/>
      <c r="H2335" s="74"/>
      <c r="I2335" s="74" t="s">
        <v>391</v>
      </c>
      <c r="J2335" s="74"/>
      <c r="K2335" s="74">
        <v>102.4</v>
      </c>
      <c r="L2335" s="74">
        <v>92.16</v>
      </c>
      <c r="M2335" s="74"/>
      <c r="N2335" s="74" t="s">
        <v>392</v>
      </c>
      <c r="O2335" s="74" t="s">
        <v>393</v>
      </c>
      <c r="P2335" s="74" t="s">
        <v>2028</v>
      </c>
      <c r="Q2335" s="74" t="s">
        <v>2029</v>
      </c>
    </row>
    <row r="2336" spans="3:17" x14ac:dyDescent="0.25">
      <c r="C2336" s="158" t="s">
        <v>2034</v>
      </c>
      <c r="D2336" s="158" t="s">
        <v>2035</v>
      </c>
      <c r="E2336" s="158" t="s">
        <v>391</v>
      </c>
      <c r="F2336" s="158">
        <v>0.1</v>
      </c>
      <c r="I2336" s="158" t="s">
        <v>391</v>
      </c>
      <c r="K2336" s="158">
        <v>102.4</v>
      </c>
      <c r="L2336" s="158">
        <v>92.16</v>
      </c>
      <c r="N2336" s="158" t="s">
        <v>392</v>
      </c>
      <c r="O2336" s="158" t="s">
        <v>393</v>
      </c>
      <c r="Q2336" s="158" t="s">
        <v>2036</v>
      </c>
    </row>
    <row r="2337" spans="3:17" x14ac:dyDescent="0.25">
      <c r="C2337" s="74" t="s">
        <v>2037</v>
      </c>
      <c r="D2337" s="74" t="s">
        <v>2038</v>
      </c>
      <c r="E2337" s="74" t="s">
        <v>391</v>
      </c>
      <c r="F2337" s="74">
        <v>0.1</v>
      </c>
      <c r="G2337" s="74"/>
      <c r="H2337" s="74"/>
      <c r="I2337" s="74" t="s">
        <v>391</v>
      </c>
      <c r="J2337" s="74"/>
      <c r="K2337" s="74">
        <v>102.4</v>
      </c>
      <c r="L2337" s="74">
        <v>92.16</v>
      </c>
      <c r="M2337" s="74"/>
      <c r="N2337" s="74" t="s">
        <v>392</v>
      </c>
      <c r="O2337" s="74" t="s">
        <v>393</v>
      </c>
      <c r="P2337" s="74"/>
      <c r="Q2337" s="74" t="s">
        <v>2038</v>
      </c>
    </row>
    <row r="2338" spans="3:17" x14ac:dyDescent="0.25">
      <c r="C2338" s="74" t="s">
        <v>2054</v>
      </c>
      <c r="D2338" s="74" t="s">
        <v>2055</v>
      </c>
      <c r="E2338" s="74" t="s">
        <v>391</v>
      </c>
      <c r="F2338" s="74">
        <v>0.1</v>
      </c>
      <c r="G2338" s="74"/>
      <c r="H2338" s="74"/>
      <c r="I2338" s="74" t="s">
        <v>391</v>
      </c>
      <c r="J2338" s="74"/>
      <c r="K2338" s="74">
        <v>102.4</v>
      </c>
      <c r="L2338" s="74">
        <v>92.16</v>
      </c>
      <c r="M2338" s="74"/>
      <c r="N2338" s="74" t="s">
        <v>392</v>
      </c>
      <c r="O2338" s="74" t="s">
        <v>393</v>
      </c>
      <c r="P2338" s="74"/>
      <c r="Q2338" s="74" t="s">
        <v>2056</v>
      </c>
    </row>
    <row r="2339" spans="3:17" x14ac:dyDescent="0.25">
      <c r="C2339" s="158" t="s">
        <v>2057</v>
      </c>
      <c r="D2339" s="158" t="s">
        <v>2058</v>
      </c>
      <c r="E2339" s="158" t="s">
        <v>391</v>
      </c>
      <c r="F2339" s="158">
        <v>0.1</v>
      </c>
      <c r="I2339" s="158" t="s">
        <v>391</v>
      </c>
      <c r="K2339" s="158">
        <v>102.4</v>
      </c>
      <c r="L2339" s="158">
        <v>92.16</v>
      </c>
      <c r="N2339" s="158" t="s">
        <v>392</v>
      </c>
      <c r="O2339" s="158" t="s">
        <v>393</v>
      </c>
      <c r="Q2339" s="158" t="s">
        <v>2059</v>
      </c>
    </row>
    <row r="2340" spans="3:17" x14ac:dyDescent="0.25">
      <c r="C2340" s="74" t="s">
        <v>2068</v>
      </c>
      <c r="D2340" s="74" t="s">
        <v>2069</v>
      </c>
      <c r="E2340" s="74" t="s">
        <v>391</v>
      </c>
      <c r="F2340" s="74">
        <v>0.1</v>
      </c>
      <c r="G2340" s="74"/>
      <c r="H2340" s="74"/>
      <c r="I2340" s="74" t="s">
        <v>391</v>
      </c>
      <c r="J2340" s="74"/>
      <c r="K2340" s="74">
        <v>102.4</v>
      </c>
      <c r="L2340" s="74">
        <v>92.16</v>
      </c>
      <c r="M2340" s="74"/>
      <c r="N2340" s="74" t="s">
        <v>392</v>
      </c>
      <c r="O2340" s="74" t="s">
        <v>393</v>
      </c>
      <c r="P2340" s="74"/>
      <c r="Q2340" s="74" t="s">
        <v>2070</v>
      </c>
    </row>
    <row r="2341" spans="3:17" x14ac:dyDescent="0.25">
      <c r="C2341" s="74" t="s">
        <v>2087</v>
      </c>
      <c r="D2341" s="74" t="s">
        <v>2088</v>
      </c>
      <c r="E2341" s="74" t="s">
        <v>391</v>
      </c>
      <c r="F2341" s="74">
        <v>0.1</v>
      </c>
      <c r="G2341" s="74"/>
      <c r="H2341" s="74"/>
      <c r="I2341" s="74" t="s">
        <v>391</v>
      </c>
      <c r="J2341" s="74"/>
      <c r="K2341" s="74">
        <v>102.4</v>
      </c>
      <c r="L2341" s="74">
        <v>92.16</v>
      </c>
      <c r="M2341" s="74"/>
      <c r="N2341" s="74" t="s">
        <v>392</v>
      </c>
      <c r="O2341" s="74" t="s">
        <v>393</v>
      </c>
      <c r="P2341" s="74"/>
      <c r="Q2341" s="74" t="s">
        <v>2089</v>
      </c>
    </row>
    <row r="2342" spans="3:17" x14ac:dyDescent="0.25">
      <c r="C2342" s="74" t="s">
        <v>2098</v>
      </c>
      <c r="D2342" s="74" t="s">
        <v>2099</v>
      </c>
      <c r="E2342" s="74" t="s">
        <v>391</v>
      </c>
      <c r="F2342" s="74">
        <v>0.1</v>
      </c>
      <c r="G2342" s="74"/>
      <c r="H2342" s="74"/>
      <c r="I2342" s="74" t="s">
        <v>391</v>
      </c>
      <c r="J2342" s="74"/>
      <c r="K2342" s="74">
        <v>102.4</v>
      </c>
      <c r="L2342" s="74">
        <v>92.16</v>
      </c>
      <c r="M2342" s="74"/>
      <c r="N2342" s="74" t="s">
        <v>392</v>
      </c>
      <c r="O2342" s="74" t="s">
        <v>393</v>
      </c>
      <c r="P2342" s="74"/>
      <c r="Q2342" s="74" t="s">
        <v>2100</v>
      </c>
    </row>
    <row r="2343" spans="3:17" x14ac:dyDescent="0.25">
      <c r="C2343" s="74" t="s">
        <v>2101</v>
      </c>
      <c r="D2343" s="74" t="s">
        <v>2102</v>
      </c>
      <c r="E2343" s="74" t="s">
        <v>391</v>
      </c>
      <c r="F2343" s="74">
        <v>0.1</v>
      </c>
      <c r="G2343" s="74"/>
      <c r="H2343" s="74"/>
      <c r="I2343" s="74" t="s">
        <v>391</v>
      </c>
      <c r="J2343" s="74"/>
      <c r="K2343" s="74">
        <v>102.4</v>
      </c>
      <c r="L2343" s="74">
        <v>92.16</v>
      </c>
      <c r="M2343" s="74"/>
      <c r="N2343" s="74" t="s">
        <v>392</v>
      </c>
      <c r="O2343" s="74" t="s">
        <v>393</v>
      </c>
      <c r="P2343" s="74"/>
      <c r="Q2343" s="74" t="s">
        <v>2103</v>
      </c>
    </row>
    <row r="2344" spans="3:17" x14ac:dyDescent="0.25">
      <c r="C2344" s="74" t="s">
        <v>2112</v>
      </c>
      <c r="D2344" s="74" t="s">
        <v>2113</v>
      </c>
      <c r="E2344" s="74" t="s">
        <v>391</v>
      </c>
      <c r="F2344" s="74">
        <v>0.1</v>
      </c>
      <c r="G2344" s="74"/>
      <c r="H2344" s="74"/>
      <c r="I2344" s="74" t="s">
        <v>391</v>
      </c>
      <c r="J2344" s="74"/>
      <c r="K2344" s="74">
        <v>102.4</v>
      </c>
      <c r="L2344" s="74">
        <v>92.16</v>
      </c>
      <c r="M2344" s="74"/>
      <c r="N2344" s="74" t="s">
        <v>392</v>
      </c>
      <c r="O2344" s="74" t="s">
        <v>393</v>
      </c>
      <c r="P2344" s="74"/>
      <c r="Q2344" s="74" t="s">
        <v>2114</v>
      </c>
    </row>
    <row r="2345" spans="3:17" x14ac:dyDescent="0.25">
      <c r="C2345" s="74" t="s">
        <v>2123</v>
      </c>
      <c r="D2345" s="74" t="s">
        <v>2124</v>
      </c>
      <c r="E2345" s="74" t="s">
        <v>391</v>
      </c>
      <c r="F2345" s="74">
        <v>0.1</v>
      </c>
      <c r="G2345" s="74"/>
      <c r="H2345" s="74"/>
      <c r="I2345" s="74" t="s">
        <v>391</v>
      </c>
      <c r="J2345" s="74"/>
      <c r="K2345" s="74">
        <v>102.4</v>
      </c>
      <c r="L2345" s="74">
        <v>92.16</v>
      </c>
      <c r="M2345" s="74"/>
      <c r="N2345" s="74" t="s">
        <v>392</v>
      </c>
      <c r="O2345" s="74" t="s">
        <v>393</v>
      </c>
      <c r="P2345" s="74"/>
      <c r="Q2345" s="74" t="s">
        <v>2125</v>
      </c>
    </row>
    <row r="2346" spans="3:17" x14ac:dyDescent="0.25">
      <c r="C2346" s="74" t="s">
        <v>2126</v>
      </c>
      <c r="D2346" s="74" t="s">
        <v>2127</v>
      </c>
      <c r="E2346" s="74" t="s">
        <v>391</v>
      </c>
      <c r="F2346" s="74">
        <v>0.1</v>
      </c>
      <c r="G2346" s="74"/>
      <c r="H2346" s="74"/>
      <c r="I2346" s="74" t="s">
        <v>391</v>
      </c>
      <c r="J2346" s="74"/>
      <c r="K2346" s="74">
        <v>102.4</v>
      </c>
      <c r="L2346" s="74">
        <v>92.16</v>
      </c>
      <c r="M2346" s="74"/>
      <c r="N2346" s="74" t="s">
        <v>392</v>
      </c>
      <c r="O2346" s="74" t="s">
        <v>393</v>
      </c>
      <c r="P2346" s="74"/>
      <c r="Q2346" s="74" t="s">
        <v>2128</v>
      </c>
    </row>
    <row r="2347" spans="3:17" x14ac:dyDescent="0.25">
      <c r="C2347" s="74" t="s">
        <v>2136</v>
      </c>
      <c r="D2347" s="74" t="s">
        <v>2137</v>
      </c>
      <c r="E2347" s="74" t="s">
        <v>391</v>
      </c>
      <c r="F2347" s="74">
        <v>0.1</v>
      </c>
      <c r="G2347" s="74"/>
      <c r="H2347" s="74"/>
      <c r="I2347" s="74" t="s">
        <v>391</v>
      </c>
      <c r="J2347" s="74"/>
      <c r="K2347" s="74">
        <v>102.4</v>
      </c>
      <c r="L2347" s="74">
        <v>92.16</v>
      </c>
      <c r="M2347" s="74"/>
      <c r="N2347" s="74" t="s">
        <v>392</v>
      </c>
      <c r="O2347" s="74" t="s">
        <v>393</v>
      </c>
      <c r="P2347" s="74"/>
      <c r="Q2347" s="74" t="s">
        <v>2138</v>
      </c>
    </row>
    <row r="2348" spans="3:17" x14ac:dyDescent="0.25">
      <c r="C2348" s="74" t="s">
        <v>2147</v>
      </c>
      <c r="D2348" s="74" t="s">
        <v>2148</v>
      </c>
      <c r="E2348" s="74" t="s">
        <v>391</v>
      </c>
      <c r="F2348" s="74">
        <v>0.1</v>
      </c>
      <c r="G2348" s="74"/>
      <c r="H2348" s="74"/>
      <c r="I2348" s="74" t="s">
        <v>391</v>
      </c>
      <c r="J2348" s="74"/>
      <c r="K2348" s="74">
        <v>102.4</v>
      </c>
      <c r="L2348" s="74">
        <v>92.16</v>
      </c>
      <c r="M2348" s="74"/>
      <c r="N2348" s="74" t="s">
        <v>392</v>
      </c>
      <c r="O2348" s="74" t="s">
        <v>393</v>
      </c>
      <c r="P2348" s="74"/>
      <c r="Q2348" s="74" t="s">
        <v>2149</v>
      </c>
    </row>
    <row r="2349" spans="3:17" x14ac:dyDescent="0.25">
      <c r="C2349" s="74" t="s">
        <v>2150</v>
      </c>
      <c r="D2349" s="74" t="s">
        <v>2151</v>
      </c>
      <c r="E2349" s="74" t="s">
        <v>391</v>
      </c>
      <c r="F2349" s="74">
        <v>0.1</v>
      </c>
      <c r="G2349" s="74"/>
      <c r="H2349" s="74"/>
      <c r="I2349" s="74" t="s">
        <v>391</v>
      </c>
      <c r="J2349" s="74"/>
      <c r="K2349" s="74">
        <v>102.4</v>
      </c>
      <c r="L2349" s="74">
        <v>92.16</v>
      </c>
      <c r="M2349" s="74"/>
      <c r="N2349" s="74" t="s">
        <v>392</v>
      </c>
      <c r="O2349" s="74" t="s">
        <v>393</v>
      </c>
      <c r="P2349" s="74"/>
      <c r="Q2349" s="74" t="s">
        <v>2152</v>
      </c>
    </row>
    <row r="2350" spans="3:17" x14ac:dyDescent="0.25">
      <c r="C2350" s="74" t="s">
        <v>2164</v>
      </c>
      <c r="D2350" s="74" t="s">
        <v>2165</v>
      </c>
      <c r="E2350" s="74" t="s">
        <v>391</v>
      </c>
      <c r="F2350" s="74">
        <v>0.1</v>
      </c>
      <c r="G2350" s="74"/>
      <c r="H2350" s="74"/>
      <c r="I2350" s="74" t="s">
        <v>391</v>
      </c>
      <c r="J2350" s="74"/>
      <c r="K2350" s="74">
        <v>102.4</v>
      </c>
      <c r="L2350" s="74">
        <v>92.16</v>
      </c>
      <c r="M2350" s="74"/>
      <c r="N2350" s="74" t="s">
        <v>392</v>
      </c>
      <c r="O2350" s="74" t="s">
        <v>393</v>
      </c>
      <c r="P2350" s="74"/>
      <c r="Q2350" s="74" t="s">
        <v>2166</v>
      </c>
    </row>
    <row r="2351" spans="3:17" x14ac:dyDescent="0.25">
      <c r="C2351" s="74" t="s">
        <v>2185</v>
      </c>
      <c r="D2351" s="74" t="s">
        <v>2186</v>
      </c>
      <c r="E2351" s="74" t="s">
        <v>391</v>
      </c>
      <c r="F2351" s="74">
        <v>0.1</v>
      </c>
      <c r="G2351" s="74"/>
      <c r="H2351" s="74"/>
      <c r="I2351" s="74" t="s">
        <v>391</v>
      </c>
      <c r="J2351" s="74"/>
      <c r="K2351" s="74">
        <v>102.4</v>
      </c>
      <c r="L2351" s="74">
        <v>92.16</v>
      </c>
      <c r="M2351" s="74"/>
      <c r="N2351" s="74" t="s">
        <v>392</v>
      </c>
      <c r="O2351" s="74" t="s">
        <v>393</v>
      </c>
      <c r="P2351" s="74"/>
      <c r="Q2351" s="74" t="s">
        <v>2187</v>
      </c>
    </row>
    <row r="2352" spans="3:17" x14ac:dyDescent="0.25">
      <c r="C2352" s="74" t="s">
        <v>2188</v>
      </c>
      <c r="D2352" s="74" t="s">
        <v>2189</v>
      </c>
      <c r="E2352" s="74" t="s">
        <v>391</v>
      </c>
      <c r="F2352" s="74">
        <v>0.1</v>
      </c>
      <c r="G2352" s="74"/>
      <c r="H2352" s="74"/>
      <c r="I2352" s="74" t="s">
        <v>391</v>
      </c>
      <c r="J2352" s="74"/>
      <c r="K2352" s="74">
        <v>102.4</v>
      </c>
      <c r="L2352" s="74">
        <v>92.16</v>
      </c>
      <c r="M2352" s="74"/>
      <c r="N2352" s="74" t="s">
        <v>392</v>
      </c>
      <c r="O2352" s="74" t="s">
        <v>393</v>
      </c>
      <c r="P2352" s="74"/>
      <c r="Q2352" s="74" t="s">
        <v>2190</v>
      </c>
    </row>
    <row r="2353" spans="3:17" x14ac:dyDescent="0.25">
      <c r="C2353" s="74" t="s">
        <v>2237</v>
      </c>
      <c r="D2353" s="74" t="s">
        <v>2238</v>
      </c>
      <c r="E2353" s="74" t="s">
        <v>391</v>
      </c>
      <c r="F2353" s="74">
        <v>0.1</v>
      </c>
      <c r="G2353" s="74"/>
      <c r="H2353" s="74"/>
      <c r="I2353" s="74" t="s">
        <v>391</v>
      </c>
      <c r="J2353" s="74"/>
      <c r="K2353" s="74">
        <v>102.4</v>
      </c>
      <c r="L2353" s="74">
        <v>92.16</v>
      </c>
      <c r="M2353" s="74"/>
      <c r="N2353" s="74" t="s">
        <v>392</v>
      </c>
      <c r="O2353" s="74" t="s">
        <v>393</v>
      </c>
      <c r="P2353" s="74"/>
      <c r="Q2353" s="74" t="s">
        <v>2239</v>
      </c>
    </row>
    <row r="2354" spans="3:17" x14ac:dyDescent="0.25">
      <c r="C2354" s="74" t="s">
        <v>2250</v>
      </c>
      <c r="D2354" s="74" t="s">
        <v>2251</v>
      </c>
      <c r="E2354" s="74" t="s">
        <v>391</v>
      </c>
      <c r="F2354" s="74">
        <v>0.1</v>
      </c>
      <c r="G2354" s="74"/>
      <c r="H2354" s="74"/>
      <c r="I2354" s="74" t="s">
        <v>391</v>
      </c>
      <c r="J2354" s="74"/>
      <c r="K2354" s="74">
        <v>102.4</v>
      </c>
      <c r="L2354" s="74">
        <v>92.16</v>
      </c>
      <c r="M2354" s="74"/>
      <c r="N2354" s="74" t="s">
        <v>392</v>
      </c>
      <c r="O2354" s="74" t="s">
        <v>393</v>
      </c>
      <c r="P2354" s="74"/>
      <c r="Q2354" s="74" t="s">
        <v>2252</v>
      </c>
    </row>
    <row r="2355" spans="3:17" x14ac:dyDescent="0.25">
      <c r="C2355" s="74" t="s">
        <v>2257</v>
      </c>
      <c r="D2355" s="74" t="s">
        <v>2258</v>
      </c>
      <c r="E2355" s="74" t="s">
        <v>391</v>
      </c>
      <c r="F2355" s="74">
        <v>0.1</v>
      </c>
      <c r="G2355" s="74"/>
      <c r="H2355" s="74"/>
      <c r="I2355" s="74" t="s">
        <v>391</v>
      </c>
      <c r="J2355" s="74"/>
      <c r="K2355" s="74">
        <v>102.4</v>
      </c>
      <c r="L2355" s="74">
        <v>92.16</v>
      </c>
      <c r="M2355" s="74"/>
      <c r="N2355" s="74" t="s">
        <v>392</v>
      </c>
      <c r="O2355" s="74" t="s">
        <v>393</v>
      </c>
      <c r="P2355" s="74"/>
      <c r="Q2355" s="74" t="s">
        <v>2259</v>
      </c>
    </row>
    <row r="2356" spans="3:17" x14ac:dyDescent="0.25">
      <c r="C2356" s="74" t="s">
        <v>2264</v>
      </c>
      <c r="D2356" s="74" t="s">
        <v>2265</v>
      </c>
      <c r="E2356" s="74" t="s">
        <v>391</v>
      </c>
      <c r="F2356" s="74">
        <v>0.1</v>
      </c>
      <c r="G2356" s="74"/>
      <c r="H2356" s="74"/>
      <c r="I2356" s="74" t="s">
        <v>391</v>
      </c>
      <c r="J2356" s="74"/>
      <c r="K2356" s="74">
        <v>102.4</v>
      </c>
      <c r="L2356" s="74">
        <v>92.16</v>
      </c>
      <c r="M2356" s="74"/>
      <c r="N2356" s="74" t="s">
        <v>392</v>
      </c>
      <c r="O2356" s="74" t="s">
        <v>393</v>
      </c>
      <c r="P2356" s="74"/>
      <c r="Q2356" s="74" t="s">
        <v>2266</v>
      </c>
    </row>
    <row r="2357" spans="3:17" x14ac:dyDescent="0.25">
      <c r="C2357" s="74" t="s">
        <v>2275</v>
      </c>
      <c r="D2357" s="74" t="s">
        <v>2276</v>
      </c>
      <c r="E2357" s="74" t="s">
        <v>391</v>
      </c>
      <c r="F2357" s="74">
        <v>0.1</v>
      </c>
      <c r="G2357" s="74"/>
      <c r="H2357" s="74"/>
      <c r="I2357" s="74" t="s">
        <v>391</v>
      </c>
      <c r="J2357" s="74"/>
      <c r="K2357" s="74">
        <v>102.4</v>
      </c>
      <c r="L2357" s="74">
        <v>92.16</v>
      </c>
      <c r="M2357" s="74"/>
      <c r="N2357" s="74" t="s">
        <v>392</v>
      </c>
      <c r="O2357" s="74" t="s">
        <v>393</v>
      </c>
      <c r="P2357" s="74"/>
      <c r="Q2357" s="74" t="s">
        <v>2277</v>
      </c>
    </row>
    <row r="2358" spans="3:17" x14ac:dyDescent="0.25">
      <c r="C2358" s="74" t="s">
        <v>2297</v>
      </c>
      <c r="D2358" s="74" t="s">
        <v>2298</v>
      </c>
      <c r="E2358" s="74" t="s">
        <v>391</v>
      </c>
      <c r="F2358" s="74">
        <v>0.1</v>
      </c>
      <c r="G2358" s="74"/>
      <c r="H2358" s="74"/>
      <c r="I2358" s="74" t="s">
        <v>391</v>
      </c>
      <c r="J2358" s="74"/>
      <c r="K2358" s="74">
        <v>102.4</v>
      </c>
      <c r="L2358" s="74">
        <v>92.16</v>
      </c>
      <c r="M2358" s="74"/>
      <c r="N2358" s="74" t="s">
        <v>392</v>
      </c>
      <c r="O2358" s="74" t="s">
        <v>393</v>
      </c>
      <c r="P2358" s="74"/>
      <c r="Q2358" s="74" t="s">
        <v>2299</v>
      </c>
    </row>
    <row r="2359" spans="3:17" x14ac:dyDescent="0.25">
      <c r="C2359" s="74" t="s">
        <v>2307</v>
      </c>
      <c r="D2359" s="74" t="s">
        <v>2308</v>
      </c>
      <c r="E2359" s="74" t="s">
        <v>391</v>
      </c>
      <c r="F2359" s="74">
        <v>0.1</v>
      </c>
      <c r="G2359" s="74"/>
      <c r="H2359" s="74"/>
      <c r="I2359" s="74" t="s">
        <v>391</v>
      </c>
      <c r="J2359" s="74"/>
      <c r="K2359" s="74">
        <v>102.4</v>
      </c>
      <c r="L2359" s="74">
        <v>92.16</v>
      </c>
      <c r="M2359" s="74"/>
      <c r="N2359" s="74" t="s">
        <v>392</v>
      </c>
      <c r="O2359" s="74" t="s">
        <v>393</v>
      </c>
      <c r="P2359" s="74"/>
      <c r="Q2359" s="74" t="s">
        <v>2309</v>
      </c>
    </row>
    <row r="2360" spans="3:17" x14ac:dyDescent="0.25">
      <c r="C2360" s="74" t="s">
        <v>2314</v>
      </c>
      <c r="D2360" s="74" t="s">
        <v>2315</v>
      </c>
      <c r="E2360" s="74" t="s">
        <v>391</v>
      </c>
      <c r="F2360" s="74">
        <v>0.1</v>
      </c>
      <c r="G2360" s="74"/>
      <c r="H2360" s="74"/>
      <c r="I2360" s="74" t="s">
        <v>391</v>
      </c>
      <c r="J2360" s="74"/>
      <c r="K2360" s="74">
        <v>102.4</v>
      </c>
      <c r="L2360" s="74">
        <v>92.16</v>
      </c>
      <c r="M2360" s="74"/>
      <c r="N2360" s="74" t="s">
        <v>392</v>
      </c>
      <c r="O2360" s="74" t="s">
        <v>393</v>
      </c>
      <c r="P2360" s="74"/>
      <c r="Q2360" s="74" t="s">
        <v>2316</v>
      </c>
    </row>
    <row r="2361" spans="3:17" x14ac:dyDescent="0.25">
      <c r="C2361" s="74" t="s">
        <v>2321</v>
      </c>
      <c r="D2361" s="74" t="s">
        <v>2322</v>
      </c>
      <c r="E2361" s="74" t="s">
        <v>391</v>
      </c>
      <c r="F2361" s="74">
        <v>0.1</v>
      </c>
      <c r="G2361" s="74"/>
      <c r="H2361" s="74"/>
      <c r="I2361" s="74" t="s">
        <v>391</v>
      </c>
      <c r="J2361" s="74"/>
      <c r="K2361" s="74">
        <v>102.4</v>
      </c>
      <c r="L2361" s="74">
        <v>92.16</v>
      </c>
      <c r="M2361" s="74"/>
      <c r="N2361" s="74" t="s">
        <v>392</v>
      </c>
      <c r="O2361" s="74" t="s">
        <v>393</v>
      </c>
      <c r="P2361" s="74"/>
      <c r="Q2361" s="74" t="s">
        <v>2323</v>
      </c>
    </row>
    <row r="2362" spans="3:17" x14ac:dyDescent="0.25">
      <c r="C2362" s="74" t="s">
        <v>2336</v>
      </c>
      <c r="D2362" s="74" t="s">
        <v>2337</v>
      </c>
      <c r="E2362" s="74" t="s">
        <v>391</v>
      </c>
      <c r="F2362" s="74">
        <v>0.1</v>
      </c>
      <c r="G2362" s="74"/>
      <c r="H2362" s="74"/>
      <c r="I2362" s="74" t="s">
        <v>391</v>
      </c>
      <c r="J2362" s="74"/>
      <c r="K2362" s="74">
        <v>102.4</v>
      </c>
      <c r="L2362" s="74">
        <v>92.16</v>
      </c>
      <c r="M2362" s="74"/>
      <c r="N2362" s="74" t="s">
        <v>392</v>
      </c>
      <c r="O2362" s="74" t="s">
        <v>393</v>
      </c>
      <c r="P2362" s="74"/>
      <c r="Q2362" s="74" t="s">
        <v>2338</v>
      </c>
    </row>
    <row r="2363" spans="3:17" x14ac:dyDescent="0.25">
      <c r="C2363" s="74" t="s">
        <v>2343</v>
      </c>
      <c r="D2363" s="74" t="s">
        <v>2344</v>
      </c>
      <c r="E2363" s="74" t="s">
        <v>391</v>
      </c>
      <c r="F2363" s="74">
        <v>0.1</v>
      </c>
      <c r="G2363" s="74"/>
      <c r="H2363" s="74"/>
      <c r="I2363" s="74" t="s">
        <v>391</v>
      </c>
      <c r="J2363" s="74"/>
      <c r="K2363" s="74">
        <v>102.4</v>
      </c>
      <c r="L2363" s="74">
        <v>92.16</v>
      </c>
      <c r="M2363" s="74"/>
      <c r="N2363" s="74" t="s">
        <v>392</v>
      </c>
      <c r="O2363" s="74" t="s">
        <v>393</v>
      </c>
      <c r="P2363" s="74"/>
      <c r="Q2363" s="74" t="s">
        <v>2345</v>
      </c>
    </row>
    <row r="2364" spans="3:17" x14ac:dyDescent="0.25">
      <c r="C2364" s="74" t="s">
        <v>2350</v>
      </c>
      <c r="D2364" s="74" t="s">
        <v>2351</v>
      </c>
      <c r="E2364" s="74" t="s">
        <v>391</v>
      </c>
      <c r="F2364" s="74">
        <v>0.1</v>
      </c>
      <c r="G2364" s="74"/>
      <c r="H2364" s="74"/>
      <c r="I2364" s="74" t="s">
        <v>391</v>
      </c>
      <c r="J2364" s="74"/>
      <c r="K2364" s="74">
        <v>102.4</v>
      </c>
      <c r="L2364" s="74">
        <v>92.16</v>
      </c>
      <c r="M2364" s="74"/>
      <c r="N2364" s="74" t="s">
        <v>392</v>
      </c>
      <c r="O2364" s="74" t="s">
        <v>393</v>
      </c>
      <c r="P2364" s="74"/>
      <c r="Q2364" s="74" t="s">
        <v>2352</v>
      </c>
    </row>
    <row r="2365" spans="3:17" x14ac:dyDescent="0.25">
      <c r="C2365" s="74" t="s">
        <v>2361</v>
      </c>
      <c r="D2365" s="74" t="s">
        <v>2362</v>
      </c>
      <c r="E2365" s="74" t="s">
        <v>391</v>
      </c>
      <c r="F2365" s="74">
        <v>0.1</v>
      </c>
      <c r="G2365" s="74"/>
      <c r="H2365" s="74"/>
      <c r="I2365" s="74" t="s">
        <v>391</v>
      </c>
      <c r="J2365" s="74"/>
      <c r="K2365" s="74">
        <v>102.4</v>
      </c>
      <c r="L2365" s="74">
        <v>92.16</v>
      </c>
      <c r="M2365" s="74"/>
      <c r="N2365" s="74" t="s">
        <v>392</v>
      </c>
      <c r="O2365" s="74" t="s">
        <v>393</v>
      </c>
      <c r="P2365" s="74"/>
      <c r="Q2365" s="74" t="s">
        <v>2363</v>
      </c>
    </row>
    <row r="2366" spans="3:17" x14ac:dyDescent="0.25">
      <c r="C2366" s="74" t="s">
        <v>2400</v>
      </c>
      <c r="D2366" s="74" t="s">
        <v>2401</v>
      </c>
      <c r="E2366" s="74" t="s">
        <v>391</v>
      </c>
      <c r="F2366" s="74">
        <v>0.1</v>
      </c>
      <c r="G2366" s="74"/>
      <c r="H2366" s="74"/>
      <c r="I2366" s="74" t="s">
        <v>391</v>
      </c>
      <c r="J2366" s="74"/>
      <c r="K2366" s="74">
        <v>102.4</v>
      </c>
      <c r="L2366" s="74">
        <v>92.16</v>
      </c>
      <c r="M2366" s="74"/>
      <c r="N2366" s="74" t="s">
        <v>392</v>
      </c>
      <c r="O2366" s="74" t="s">
        <v>393</v>
      </c>
      <c r="P2366" s="74"/>
      <c r="Q2366" s="74" t="s">
        <v>2402</v>
      </c>
    </row>
    <row r="2367" spans="3:17" x14ac:dyDescent="0.25">
      <c r="C2367" s="74" t="s">
        <v>2407</v>
      </c>
      <c r="D2367" s="74" t="s">
        <v>2408</v>
      </c>
      <c r="E2367" s="74" t="s">
        <v>391</v>
      </c>
      <c r="F2367" s="74">
        <v>0.1</v>
      </c>
      <c r="G2367" s="74"/>
      <c r="H2367" s="74"/>
      <c r="I2367" s="74" t="s">
        <v>391</v>
      </c>
      <c r="J2367" s="74"/>
      <c r="K2367" s="74">
        <v>102.4</v>
      </c>
      <c r="L2367" s="74">
        <v>92.16</v>
      </c>
      <c r="M2367" s="74"/>
      <c r="N2367" s="74" t="s">
        <v>392</v>
      </c>
      <c r="O2367" s="74" t="s">
        <v>393</v>
      </c>
      <c r="P2367" s="74"/>
      <c r="Q2367" s="74" t="s">
        <v>2409</v>
      </c>
    </row>
    <row r="2368" spans="3:17" x14ac:dyDescent="0.25">
      <c r="C2368" s="74" t="s">
        <v>2422</v>
      </c>
      <c r="D2368" s="74" t="s">
        <v>2423</v>
      </c>
      <c r="E2368" s="74" t="s">
        <v>391</v>
      </c>
      <c r="F2368" s="74">
        <v>0.1</v>
      </c>
      <c r="G2368" s="74"/>
      <c r="H2368" s="74"/>
      <c r="I2368" s="74" t="s">
        <v>391</v>
      </c>
      <c r="J2368" s="74"/>
      <c r="K2368" s="74">
        <v>102.4</v>
      </c>
      <c r="L2368" s="74">
        <v>92.16</v>
      </c>
      <c r="M2368" s="74"/>
      <c r="N2368" s="74" t="s">
        <v>392</v>
      </c>
      <c r="O2368" s="74" t="s">
        <v>393</v>
      </c>
      <c r="P2368" s="74"/>
      <c r="Q2368" s="74" t="s">
        <v>2424</v>
      </c>
    </row>
    <row r="2369" spans="3:17" x14ac:dyDescent="0.25">
      <c r="C2369" s="74" t="s">
        <v>2425</v>
      </c>
      <c r="D2369" s="74" t="s">
        <v>2426</v>
      </c>
      <c r="E2369" s="74" t="s">
        <v>391</v>
      </c>
      <c r="F2369" s="74">
        <v>0.1</v>
      </c>
      <c r="G2369" s="74"/>
      <c r="H2369" s="74"/>
      <c r="I2369" s="74" t="s">
        <v>391</v>
      </c>
      <c r="J2369" s="74"/>
      <c r="K2369" s="74">
        <v>102.4</v>
      </c>
      <c r="L2369" s="74">
        <v>92.16</v>
      </c>
      <c r="M2369" s="74"/>
      <c r="N2369" s="74" t="s">
        <v>392</v>
      </c>
      <c r="O2369" s="74" t="s">
        <v>393</v>
      </c>
      <c r="P2369" s="74"/>
      <c r="Q2369" s="74" t="s">
        <v>2427</v>
      </c>
    </row>
    <row r="2370" spans="3:17" x14ac:dyDescent="0.25">
      <c r="C2370" s="74" t="s">
        <v>2460</v>
      </c>
      <c r="D2370" s="74" t="s">
        <v>2461</v>
      </c>
      <c r="E2370" s="74" t="s">
        <v>391</v>
      </c>
      <c r="F2370" s="74">
        <v>0.1</v>
      </c>
      <c r="G2370" s="74"/>
      <c r="H2370" s="74"/>
      <c r="I2370" s="74" t="s">
        <v>391</v>
      </c>
      <c r="J2370" s="74"/>
      <c r="K2370" s="74">
        <v>102.4</v>
      </c>
      <c r="L2370" s="74">
        <v>92.16</v>
      </c>
      <c r="M2370" s="74"/>
      <c r="N2370" s="74" t="s">
        <v>392</v>
      </c>
      <c r="O2370" s="74" t="s">
        <v>393</v>
      </c>
      <c r="P2370" s="74"/>
      <c r="Q2370" s="74" t="s">
        <v>2462</v>
      </c>
    </row>
    <row r="2371" spans="3:17" x14ac:dyDescent="0.25">
      <c r="C2371" s="74" t="s">
        <v>2472</v>
      </c>
      <c r="D2371" s="74" t="s">
        <v>2473</v>
      </c>
      <c r="E2371" s="74" t="s">
        <v>391</v>
      </c>
      <c r="F2371" s="74">
        <v>0.1</v>
      </c>
      <c r="G2371" s="74"/>
      <c r="H2371" s="74"/>
      <c r="I2371" s="74" t="s">
        <v>391</v>
      </c>
      <c r="J2371" s="74"/>
      <c r="K2371" s="74">
        <v>102.4</v>
      </c>
      <c r="L2371" s="74">
        <v>92.16</v>
      </c>
      <c r="M2371" s="74"/>
      <c r="N2371" s="74" t="s">
        <v>392</v>
      </c>
      <c r="O2371" s="74" t="s">
        <v>393</v>
      </c>
      <c r="P2371" s="74"/>
      <c r="Q2371" s="74" t="s">
        <v>2474</v>
      </c>
    </row>
    <row r="2372" spans="3:17" x14ac:dyDescent="0.25">
      <c r="C2372" s="74" t="s">
        <v>2475</v>
      </c>
      <c r="D2372" s="74" t="s">
        <v>2476</v>
      </c>
      <c r="E2372" s="74" t="s">
        <v>391</v>
      </c>
      <c r="F2372" s="74">
        <v>0.1</v>
      </c>
      <c r="G2372" s="74"/>
      <c r="H2372" s="74"/>
      <c r="I2372" s="74" t="s">
        <v>391</v>
      </c>
      <c r="J2372" s="74"/>
      <c r="K2372" s="74">
        <v>102.4</v>
      </c>
      <c r="L2372" s="74">
        <v>92.16</v>
      </c>
      <c r="M2372" s="74"/>
      <c r="N2372" s="74" t="s">
        <v>392</v>
      </c>
      <c r="O2372" s="74" t="s">
        <v>393</v>
      </c>
      <c r="P2372" s="74"/>
      <c r="Q2372" s="74" t="s">
        <v>2477</v>
      </c>
    </row>
    <row r="2373" spans="3:17" x14ac:dyDescent="0.25">
      <c r="C2373" s="74" t="s">
        <v>2482</v>
      </c>
      <c r="D2373" s="74" t="s">
        <v>2483</v>
      </c>
      <c r="E2373" s="74" t="s">
        <v>391</v>
      </c>
      <c r="F2373" s="74">
        <v>0.1</v>
      </c>
      <c r="G2373" s="74"/>
      <c r="H2373" s="74"/>
      <c r="I2373" s="74" t="s">
        <v>391</v>
      </c>
      <c r="J2373" s="74"/>
      <c r="K2373" s="74">
        <v>102.4</v>
      </c>
      <c r="L2373" s="74">
        <v>92.16</v>
      </c>
      <c r="M2373" s="74"/>
      <c r="N2373" s="74" t="s">
        <v>392</v>
      </c>
      <c r="O2373" s="74" t="s">
        <v>393</v>
      </c>
      <c r="P2373" s="74"/>
      <c r="Q2373" s="74" t="s">
        <v>2484</v>
      </c>
    </row>
    <row r="2374" spans="3:17" x14ac:dyDescent="0.25">
      <c r="C2374" s="74" t="s">
        <v>2500</v>
      </c>
      <c r="D2374" s="74" t="s">
        <v>2501</v>
      </c>
      <c r="E2374" s="74" t="s">
        <v>391</v>
      </c>
      <c r="F2374" s="74">
        <v>0.1</v>
      </c>
      <c r="G2374" s="74"/>
      <c r="H2374" s="74"/>
      <c r="I2374" s="74" t="s">
        <v>391</v>
      </c>
      <c r="J2374" s="74"/>
      <c r="K2374" s="74">
        <v>102.4</v>
      </c>
      <c r="L2374" s="74">
        <v>92.16</v>
      </c>
      <c r="M2374" s="74"/>
      <c r="N2374" s="74" t="s">
        <v>392</v>
      </c>
      <c r="O2374" s="74" t="s">
        <v>393</v>
      </c>
      <c r="P2374" s="74"/>
      <c r="Q2374" s="74" t="s">
        <v>2502</v>
      </c>
    </row>
    <row r="2375" spans="3:17" x14ac:dyDescent="0.25">
      <c r="C2375" s="74" t="s">
        <v>2521</v>
      </c>
      <c r="D2375" s="74" t="s">
        <v>2522</v>
      </c>
      <c r="E2375" s="74" t="s">
        <v>391</v>
      </c>
      <c r="F2375" s="74">
        <v>0.1</v>
      </c>
      <c r="G2375" s="74"/>
      <c r="H2375" s="74"/>
      <c r="I2375" s="74" t="s">
        <v>391</v>
      </c>
      <c r="J2375" s="74"/>
      <c r="K2375" s="74">
        <v>102.4</v>
      </c>
      <c r="L2375" s="74">
        <v>92.16</v>
      </c>
      <c r="M2375" s="74"/>
      <c r="N2375" s="74" t="s">
        <v>392</v>
      </c>
      <c r="O2375" s="74" t="s">
        <v>393</v>
      </c>
      <c r="P2375" s="74"/>
      <c r="Q2375" s="74" t="s">
        <v>2523</v>
      </c>
    </row>
    <row r="2376" spans="3:17" x14ac:dyDescent="0.25">
      <c r="C2376" s="74" t="s">
        <v>2553</v>
      </c>
      <c r="D2376" s="74" t="s">
        <v>2554</v>
      </c>
      <c r="E2376" s="74" t="s">
        <v>391</v>
      </c>
      <c r="F2376" s="74">
        <v>0.1</v>
      </c>
      <c r="G2376" s="74"/>
      <c r="H2376" s="74"/>
      <c r="I2376" s="74" t="s">
        <v>391</v>
      </c>
      <c r="J2376" s="74"/>
      <c r="K2376" s="74">
        <v>102.4</v>
      </c>
      <c r="L2376" s="74">
        <v>92.16</v>
      </c>
      <c r="M2376" s="74"/>
      <c r="N2376" s="74" t="s">
        <v>392</v>
      </c>
      <c r="O2376" s="74" t="s">
        <v>393</v>
      </c>
      <c r="P2376" s="74"/>
      <c r="Q2376" s="74" t="s">
        <v>2555</v>
      </c>
    </row>
    <row r="2377" spans="3:17" x14ac:dyDescent="0.25">
      <c r="C2377" s="74" t="s">
        <v>2562</v>
      </c>
      <c r="D2377" s="74" t="s">
        <v>2563</v>
      </c>
      <c r="E2377" s="74" t="s">
        <v>391</v>
      </c>
      <c r="F2377" s="74">
        <v>0.1</v>
      </c>
      <c r="G2377" s="74"/>
      <c r="H2377" s="74"/>
      <c r="I2377" s="74" t="s">
        <v>391</v>
      </c>
      <c r="J2377" s="74"/>
      <c r="K2377" s="74">
        <v>102.4</v>
      </c>
      <c r="L2377" s="74">
        <v>92.16</v>
      </c>
      <c r="M2377" s="74"/>
      <c r="N2377" s="74" t="s">
        <v>392</v>
      </c>
      <c r="O2377" s="74" t="s">
        <v>393</v>
      </c>
      <c r="P2377" s="74"/>
      <c r="Q2377" s="74" t="s">
        <v>2564</v>
      </c>
    </row>
    <row r="2378" spans="3:17" x14ac:dyDescent="0.25">
      <c r="C2378" s="74" t="s">
        <v>2588</v>
      </c>
      <c r="D2378" s="74" t="s">
        <v>2589</v>
      </c>
      <c r="E2378" s="74" t="s">
        <v>391</v>
      </c>
      <c r="F2378" s="74">
        <v>0.1</v>
      </c>
      <c r="G2378" s="74"/>
      <c r="H2378" s="74"/>
      <c r="I2378" s="74" t="s">
        <v>391</v>
      </c>
      <c r="J2378" s="74"/>
      <c r="K2378" s="74">
        <v>102.4</v>
      </c>
      <c r="L2378" s="74">
        <v>92.16</v>
      </c>
      <c r="M2378" s="74"/>
      <c r="N2378" s="74" t="s">
        <v>392</v>
      </c>
      <c r="O2378" s="74" t="s">
        <v>393</v>
      </c>
      <c r="P2378" s="74"/>
      <c r="Q2378" s="74" t="s">
        <v>2590</v>
      </c>
    </row>
    <row r="2379" spans="3:17" x14ac:dyDescent="0.25">
      <c r="C2379" s="74" t="s">
        <v>2591</v>
      </c>
      <c r="D2379" s="74" t="s">
        <v>2592</v>
      </c>
      <c r="E2379" s="74" t="s">
        <v>391</v>
      </c>
      <c r="F2379" s="74">
        <v>0.1</v>
      </c>
      <c r="G2379" s="74"/>
      <c r="H2379" s="74"/>
      <c r="I2379" s="74" t="s">
        <v>391</v>
      </c>
      <c r="J2379" s="74"/>
      <c r="K2379" s="74">
        <v>102.4</v>
      </c>
      <c r="L2379" s="74">
        <v>92.16</v>
      </c>
      <c r="M2379" s="74"/>
      <c r="N2379" s="74" t="s">
        <v>392</v>
      </c>
      <c r="O2379" s="74" t="s">
        <v>393</v>
      </c>
      <c r="P2379" s="74"/>
      <c r="Q2379" s="74" t="s">
        <v>2593</v>
      </c>
    </row>
    <row r="2380" spans="3:17" x14ac:dyDescent="0.25">
      <c r="C2380" s="74" t="s">
        <v>2601</v>
      </c>
      <c r="D2380" s="74" t="s">
        <v>2602</v>
      </c>
      <c r="E2380" s="74" t="s">
        <v>391</v>
      </c>
      <c r="F2380" s="74">
        <v>0.1</v>
      </c>
      <c r="G2380" s="74"/>
      <c r="H2380" s="74"/>
      <c r="I2380" s="74" t="s">
        <v>391</v>
      </c>
      <c r="J2380" s="74"/>
      <c r="K2380" s="74">
        <v>102.4</v>
      </c>
      <c r="L2380" s="74">
        <v>92.16</v>
      </c>
      <c r="M2380" s="74"/>
      <c r="N2380" s="74" t="s">
        <v>392</v>
      </c>
      <c r="O2380" s="74" t="s">
        <v>393</v>
      </c>
      <c r="P2380" s="74"/>
      <c r="Q2380" s="74" t="s">
        <v>2603</v>
      </c>
    </row>
    <row r="2381" spans="3:17" x14ac:dyDescent="0.25">
      <c r="C2381" s="74" t="s">
        <v>2611</v>
      </c>
      <c r="D2381" s="74" t="s">
        <v>2612</v>
      </c>
      <c r="E2381" s="74" t="s">
        <v>391</v>
      </c>
      <c r="F2381" s="74">
        <v>0.1</v>
      </c>
      <c r="G2381" s="74"/>
      <c r="H2381" s="74"/>
      <c r="I2381" s="74" t="s">
        <v>391</v>
      </c>
      <c r="J2381" s="74"/>
      <c r="K2381" s="74">
        <v>102.4</v>
      </c>
      <c r="L2381" s="74">
        <v>92.16</v>
      </c>
      <c r="M2381" s="74"/>
      <c r="N2381" s="74" t="s">
        <v>392</v>
      </c>
      <c r="O2381" s="74" t="s">
        <v>393</v>
      </c>
      <c r="P2381" s="74"/>
      <c r="Q2381" s="74" t="s">
        <v>2613</v>
      </c>
    </row>
    <row r="2382" spans="3:17" x14ac:dyDescent="0.25">
      <c r="C2382" s="74" t="s">
        <v>2668</v>
      </c>
      <c r="D2382" s="74" t="s">
        <v>2669</v>
      </c>
      <c r="E2382" s="74" t="s">
        <v>391</v>
      </c>
      <c r="F2382" s="74">
        <v>0.1</v>
      </c>
      <c r="G2382" s="74"/>
      <c r="H2382" s="74"/>
      <c r="I2382" s="74" t="s">
        <v>391</v>
      </c>
      <c r="J2382" s="74"/>
      <c r="K2382" s="74">
        <v>102.4</v>
      </c>
      <c r="L2382" s="74">
        <v>92.16</v>
      </c>
      <c r="M2382" s="74"/>
      <c r="N2382" s="74" t="s">
        <v>392</v>
      </c>
      <c r="O2382" s="74" t="s">
        <v>393</v>
      </c>
      <c r="P2382" s="74"/>
      <c r="Q2382" s="74" t="s">
        <v>2670</v>
      </c>
    </row>
    <row r="2383" spans="3:17" x14ac:dyDescent="0.25">
      <c r="C2383" s="74" t="s">
        <v>2675</v>
      </c>
      <c r="D2383" s="74" t="s">
        <v>2676</v>
      </c>
      <c r="E2383" s="74" t="s">
        <v>391</v>
      </c>
      <c r="F2383" s="74">
        <v>0.1</v>
      </c>
      <c r="G2383" s="74"/>
      <c r="H2383" s="74"/>
      <c r="I2383" s="74" t="s">
        <v>391</v>
      </c>
      <c r="J2383" s="74"/>
      <c r="K2383" s="74">
        <v>102.4</v>
      </c>
      <c r="L2383" s="74">
        <v>92.16</v>
      </c>
      <c r="M2383" s="74"/>
      <c r="N2383" s="74" t="s">
        <v>392</v>
      </c>
      <c r="O2383" s="74" t="s">
        <v>393</v>
      </c>
      <c r="P2383" s="74"/>
      <c r="Q2383" s="74" t="s">
        <v>2677</v>
      </c>
    </row>
    <row r="2384" spans="3:17" x14ac:dyDescent="0.25">
      <c r="C2384" s="74" t="s">
        <v>2685</v>
      </c>
      <c r="D2384" s="74" t="s">
        <v>2686</v>
      </c>
      <c r="E2384" s="74" t="s">
        <v>391</v>
      </c>
      <c r="F2384" s="74">
        <v>0.1</v>
      </c>
      <c r="G2384" s="74"/>
      <c r="H2384" s="74"/>
      <c r="I2384" s="74" t="s">
        <v>391</v>
      </c>
      <c r="J2384" s="74"/>
      <c r="K2384" s="74">
        <v>102.4</v>
      </c>
      <c r="L2384" s="74">
        <v>92.16</v>
      </c>
      <c r="M2384" s="74"/>
      <c r="N2384" s="74" t="s">
        <v>392</v>
      </c>
      <c r="O2384" s="74" t="s">
        <v>393</v>
      </c>
      <c r="P2384" s="74"/>
      <c r="Q2384" s="74" t="s">
        <v>2687</v>
      </c>
    </row>
    <row r="2385" spans="3:17" x14ac:dyDescent="0.25">
      <c r="C2385" s="74" t="s">
        <v>2691</v>
      </c>
      <c r="D2385" s="74" t="s">
        <v>2692</v>
      </c>
      <c r="E2385" s="74" t="s">
        <v>391</v>
      </c>
      <c r="F2385" s="74">
        <v>0.1</v>
      </c>
      <c r="G2385" s="74"/>
      <c r="H2385" s="74"/>
      <c r="I2385" s="74" t="s">
        <v>391</v>
      </c>
      <c r="J2385" s="74"/>
      <c r="K2385" s="74">
        <v>102.4</v>
      </c>
      <c r="L2385" s="74">
        <v>92.16</v>
      </c>
      <c r="M2385" s="74"/>
      <c r="N2385" s="74" t="s">
        <v>392</v>
      </c>
      <c r="O2385" s="74" t="s">
        <v>393</v>
      </c>
      <c r="P2385" s="74"/>
      <c r="Q2385" s="74" t="s">
        <v>2693</v>
      </c>
    </row>
    <row r="2386" spans="3:17" x14ac:dyDescent="0.25">
      <c r="C2386" s="74" t="s">
        <v>2706</v>
      </c>
      <c r="D2386" s="74" t="s">
        <v>2707</v>
      </c>
      <c r="E2386" s="74" t="s">
        <v>391</v>
      </c>
      <c r="F2386" s="74">
        <v>0.1</v>
      </c>
      <c r="G2386" s="74"/>
      <c r="H2386" s="74"/>
      <c r="I2386" s="74" t="s">
        <v>391</v>
      </c>
      <c r="J2386" s="74"/>
      <c r="K2386" s="74">
        <v>102.4</v>
      </c>
      <c r="L2386" s="74">
        <v>92.16</v>
      </c>
      <c r="M2386" s="74"/>
      <c r="N2386" s="74" t="s">
        <v>392</v>
      </c>
      <c r="O2386" s="74" t="s">
        <v>393</v>
      </c>
      <c r="P2386" s="74"/>
      <c r="Q2386" s="74" t="s">
        <v>2708</v>
      </c>
    </row>
    <row r="2387" spans="3:17" x14ac:dyDescent="0.25">
      <c r="C2387" s="74" t="s">
        <v>2709</v>
      </c>
      <c r="D2387" s="74" t="s">
        <v>2710</v>
      </c>
      <c r="E2387" s="74" t="s">
        <v>391</v>
      </c>
      <c r="F2387" s="74">
        <v>0.1</v>
      </c>
      <c r="G2387" s="74"/>
      <c r="H2387" s="74"/>
      <c r="I2387" s="74" t="s">
        <v>391</v>
      </c>
      <c r="J2387" s="74"/>
      <c r="K2387" s="74">
        <v>102.4</v>
      </c>
      <c r="L2387" s="74">
        <v>92.16</v>
      </c>
      <c r="M2387" s="74"/>
      <c r="N2387" s="74" t="s">
        <v>392</v>
      </c>
      <c r="O2387" s="74" t="s">
        <v>393</v>
      </c>
      <c r="P2387" s="74"/>
      <c r="Q2387" s="74" t="s">
        <v>2711</v>
      </c>
    </row>
    <row r="2388" spans="3:17" x14ac:dyDescent="0.25">
      <c r="C2388" s="74" t="s">
        <v>2716</v>
      </c>
      <c r="D2388" s="74" t="s">
        <v>2717</v>
      </c>
      <c r="E2388" s="74" t="s">
        <v>391</v>
      </c>
      <c r="F2388" s="74">
        <v>0.1</v>
      </c>
      <c r="G2388" s="74"/>
      <c r="H2388" s="74"/>
      <c r="I2388" s="74" t="s">
        <v>391</v>
      </c>
      <c r="J2388" s="74"/>
      <c r="K2388" s="74">
        <v>102.4</v>
      </c>
      <c r="L2388" s="74">
        <v>92.16</v>
      </c>
      <c r="M2388" s="74"/>
      <c r="N2388" s="74" t="s">
        <v>392</v>
      </c>
      <c r="O2388" s="74" t="s">
        <v>393</v>
      </c>
      <c r="P2388" s="74"/>
      <c r="Q2388" s="74" t="s">
        <v>2718</v>
      </c>
    </row>
    <row r="2389" spans="3:17" x14ac:dyDescent="0.25">
      <c r="C2389" s="74" t="s">
        <v>2731</v>
      </c>
      <c r="D2389" s="74" t="s">
        <v>2732</v>
      </c>
      <c r="E2389" s="74" t="s">
        <v>391</v>
      </c>
      <c r="F2389" s="74">
        <v>0.1</v>
      </c>
      <c r="G2389" s="74"/>
      <c r="H2389" s="74"/>
      <c r="I2389" s="74" t="s">
        <v>391</v>
      </c>
      <c r="J2389" s="74"/>
      <c r="K2389" s="74">
        <v>102.4</v>
      </c>
      <c r="L2389" s="74">
        <v>92.16</v>
      </c>
      <c r="M2389" s="74"/>
      <c r="N2389" s="74" t="s">
        <v>392</v>
      </c>
      <c r="O2389" s="74" t="s">
        <v>393</v>
      </c>
      <c r="P2389" s="74"/>
      <c r="Q2389" s="74" t="s">
        <v>2733</v>
      </c>
    </row>
    <row r="2390" spans="3:17" x14ac:dyDescent="0.25">
      <c r="C2390" s="74" t="s">
        <v>2742</v>
      </c>
      <c r="D2390" s="74" t="s">
        <v>2743</v>
      </c>
      <c r="E2390" s="74" t="s">
        <v>391</v>
      </c>
      <c r="F2390" s="74">
        <v>0.1</v>
      </c>
      <c r="G2390" s="74"/>
      <c r="H2390" s="74"/>
      <c r="I2390" s="74" t="s">
        <v>391</v>
      </c>
      <c r="J2390" s="74"/>
      <c r="K2390" s="74">
        <v>102.4</v>
      </c>
      <c r="L2390" s="74">
        <v>92.16</v>
      </c>
      <c r="M2390" s="74"/>
      <c r="N2390" s="74" t="s">
        <v>392</v>
      </c>
      <c r="O2390" s="74" t="s">
        <v>393</v>
      </c>
      <c r="P2390" s="74"/>
      <c r="Q2390" s="74" t="s">
        <v>2744</v>
      </c>
    </row>
    <row r="2391" spans="3:17" x14ac:dyDescent="0.25">
      <c r="C2391" s="74" t="s">
        <v>2757</v>
      </c>
      <c r="D2391" s="74" t="s">
        <v>2758</v>
      </c>
      <c r="E2391" s="74" t="s">
        <v>391</v>
      </c>
      <c r="F2391" s="74">
        <v>0.1</v>
      </c>
      <c r="G2391" s="74"/>
      <c r="H2391" s="74"/>
      <c r="I2391" s="74" t="s">
        <v>391</v>
      </c>
      <c r="J2391" s="74"/>
      <c r="K2391" s="74">
        <v>102.4</v>
      </c>
      <c r="L2391" s="74">
        <v>92.16</v>
      </c>
      <c r="M2391" s="74"/>
      <c r="N2391" s="74" t="s">
        <v>392</v>
      </c>
      <c r="O2391" s="74" t="s">
        <v>393</v>
      </c>
      <c r="P2391" s="74"/>
      <c r="Q2391" s="74" t="s">
        <v>2759</v>
      </c>
    </row>
    <row r="2392" spans="3:17" x14ac:dyDescent="0.25">
      <c r="C2392" s="74" t="s">
        <v>2767</v>
      </c>
      <c r="D2392" s="74" t="s">
        <v>2768</v>
      </c>
      <c r="E2392" s="74" t="s">
        <v>391</v>
      </c>
      <c r="F2392" s="74">
        <v>0.1</v>
      </c>
      <c r="G2392" s="74"/>
      <c r="H2392" s="74"/>
      <c r="I2392" s="74" t="s">
        <v>391</v>
      </c>
      <c r="J2392" s="74"/>
      <c r="K2392" s="74">
        <v>102.4</v>
      </c>
      <c r="L2392" s="74">
        <v>92.16</v>
      </c>
      <c r="M2392" s="74"/>
      <c r="N2392" s="74" t="s">
        <v>392</v>
      </c>
      <c r="O2392" s="74" t="s">
        <v>393</v>
      </c>
      <c r="P2392" s="74"/>
      <c r="Q2392" s="74" t="s">
        <v>2769</v>
      </c>
    </row>
    <row r="2393" spans="3:17" x14ac:dyDescent="0.25">
      <c r="C2393" s="74" t="s">
        <v>2770</v>
      </c>
      <c r="D2393" s="74" t="s">
        <v>2771</v>
      </c>
      <c r="E2393" s="74" t="s">
        <v>391</v>
      </c>
      <c r="F2393" s="74">
        <v>0.1</v>
      </c>
      <c r="G2393" s="74"/>
      <c r="H2393" s="74"/>
      <c r="I2393" s="74" t="s">
        <v>391</v>
      </c>
      <c r="J2393" s="74"/>
      <c r="K2393" s="74">
        <v>102.4</v>
      </c>
      <c r="L2393" s="74">
        <v>92.16</v>
      </c>
      <c r="M2393" s="74"/>
      <c r="N2393" s="74" t="s">
        <v>392</v>
      </c>
      <c r="O2393" s="74" t="s">
        <v>393</v>
      </c>
      <c r="P2393" s="74"/>
      <c r="Q2393" s="74" t="s">
        <v>2772</v>
      </c>
    </row>
    <row r="2394" spans="3:17" x14ac:dyDescent="0.25">
      <c r="C2394" s="74" t="s">
        <v>2785</v>
      </c>
      <c r="D2394" s="74" t="s">
        <v>2786</v>
      </c>
      <c r="E2394" s="74" t="s">
        <v>391</v>
      </c>
      <c r="F2394" s="74">
        <v>0.1</v>
      </c>
      <c r="G2394" s="74"/>
      <c r="H2394" s="74"/>
      <c r="I2394" s="74" t="s">
        <v>391</v>
      </c>
      <c r="J2394" s="74"/>
      <c r="K2394" s="74">
        <v>102.4</v>
      </c>
      <c r="L2394" s="74">
        <v>92.16</v>
      </c>
      <c r="M2394" s="74"/>
      <c r="N2394" s="74" t="s">
        <v>392</v>
      </c>
      <c r="O2394" s="74" t="s">
        <v>393</v>
      </c>
      <c r="P2394" s="74"/>
      <c r="Q2394" s="74" t="s">
        <v>2787</v>
      </c>
    </row>
    <row r="2395" spans="3:17" x14ac:dyDescent="0.25">
      <c r="C2395" s="74" t="s">
        <v>2803</v>
      </c>
      <c r="D2395" s="74" t="s">
        <v>2804</v>
      </c>
      <c r="E2395" s="74" t="s">
        <v>391</v>
      </c>
      <c r="F2395" s="74">
        <v>0.1</v>
      </c>
      <c r="G2395" s="74"/>
      <c r="H2395" s="74"/>
      <c r="I2395" s="74" t="s">
        <v>391</v>
      </c>
      <c r="J2395" s="74"/>
      <c r="K2395" s="74">
        <v>102.4</v>
      </c>
      <c r="L2395" s="74">
        <v>92.16</v>
      </c>
      <c r="M2395" s="74"/>
      <c r="N2395" s="74" t="s">
        <v>392</v>
      </c>
      <c r="O2395" s="74" t="s">
        <v>393</v>
      </c>
      <c r="P2395" s="74"/>
      <c r="Q2395" s="74" t="s">
        <v>2805</v>
      </c>
    </row>
    <row r="2396" spans="3:17" x14ac:dyDescent="0.25">
      <c r="C2396" s="74" t="s">
        <v>2806</v>
      </c>
      <c r="D2396" s="74" t="s">
        <v>2807</v>
      </c>
      <c r="E2396" s="74" t="s">
        <v>391</v>
      </c>
      <c r="F2396" s="74">
        <v>0.1</v>
      </c>
      <c r="G2396" s="74"/>
      <c r="H2396" s="74"/>
      <c r="I2396" s="74" t="s">
        <v>391</v>
      </c>
      <c r="J2396" s="74"/>
      <c r="K2396" s="74">
        <v>102.4</v>
      </c>
      <c r="L2396" s="74">
        <v>92.16</v>
      </c>
      <c r="M2396" s="74"/>
      <c r="N2396" s="74" t="s">
        <v>392</v>
      </c>
      <c r="O2396" s="74" t="s">
        <v>393</v>
      </c>
      <c r="P2396" s="74"/>
      <c r="Q2396" s="74" t="s">
        <v>2808</v>
      </c>
    </row>
    <row r="2397" spans="3:17" x14ac:dyDescent="0.25">
      <c r="C2397" s="74" t="s">
        <v>2852</v>
      </c>
      <c r="D2397" s="74" t="s">
        <v>2853</v>
      </c>
      <c r="E2397" s="74" t="s">
        <v>391</v>
      </c>
      <c r="F2397" s="74">
        <v>0.1</v>
      </c>
      <c r="G2397" s="74"/>
      <c r="H2397" s="74"/>
      <c r="I2397" s="74" t="s">
        <v>391</v>
      </c>
      <c r="J2397" s="74"/>
      <c r="K2397" s="74">
        <v>102.4</v>
      </c>
      <c r="L2397" s="74">
        <v>92.16</v>
      </c>
      <c r="M2397" s="74"/>
      <c r="N2397" s="74" t="s">
        <v>392</v>
      </c>
      <c r="O2397" s="74" t="s">
        <v>393</v>
      </c>
      <c r="P2397" s="74"/>
      <c r="Q2397" s="74" t="s">
        <v>2854</v>
      </c>
    </row>
    <row r="2398" spans="3:17" x14ac:dyDescent="0.25">
      <c r="C2398" s="74" t="s">
        <v>2867</v>
      </c>
      <c r="D2398" s="74" t="s">
        <v>2868</v>
      </c>
      <c r="E2398" s="74" t="s">
        <v>391</v>
      </c>
      <c r="F2398" s="74">
        <v>0.1</v>
      </c>
      <c r="G2398" s="74"/>
      <c r="H2398" s="74"/>
      <c r="I2398" s="74" t="s">
        <v>391</v>
      </c>
      <c r="J2398" s="74"/>
      <c r="K2398" s="74">
        <v>102.4</v>
      </c>
      <c r="L2398" s="74">
        <v>92.16</v>
      </c>
      <c r="M2398" s="74"/>
      <c r="N2398" s="74" t="s">
        <v>392</v>
      </c>
      <c r="O2398" s="74" t="s">
        <v>393</v>
      </c>
      <c r="P2398" s="74"/>
      <c r="Q2398" s="74" t="s">
        <v>2869</v>
      </c>
    </row>
    <row r="2399" spans="3:17" x14ac:dyDescent="0.25">
      <c r="C2399" s="74" t="s">
        <v>2882</v>
      </c>
      <c r="D2399" s="74" t="s">
        <v>2883</v>
      </c>
      <c r="E2399" s="74" t="s">
        <v>391</v>
      </c>
      <c r="F2399" s="74">
        <v>0.1</v>
      </c>
      <c r="G2399" s="74"/>
      <c r="H2399" s="74"/>
      <c r="I2399" s="74" t="s">
        <v>391</v>
      </c>
      <c r="J2399" s="74"/>
      <c r="K2399" s="74">
        <v>102.4</v>
      </c>
      <c r="L2399" s="74">
        <v>92.16</v>
      </c>
      <c r="M2399" s="74"/>
      <c r="N2399" s="74" t="s">
        <v>392</v>
      </c>
      <c r="O2399" s="74" t="s">
        <v>393</v>
      </c>
      <c r="P2399" s="74"/>
      <c r="Q2399" s="74" t="s">
        <v>2884</v>
      </c>
    </row>
    <row r="2400" spans="3:17" x14ac:dyDescent="0.25">
      <c r="C2400" s="74" t="s">
        <v>2931</v>
      </c>
      <c r="D2400" s="74" t="s">
        <v>2913</v>
      </c>
      <c r="E2400" s="74" t="s">
        <v>391</v>
      </c>
      <c r="F2400" s="74">
        <v>0.1</v>
      </c>
      <c r="G2400" s="74"/>
      <c r="H2400" s="74"/>
      <c r="I2400" s="74" t="s">
        <v>391</v>
      </c>
      <c r="J2400" s="74"/>
      <c r="K2400" s="74">
        <v>102.4</v>
      </c>
      <c r="L2400" s="74">
        <v>92.16</v>
      </c>
      <c r="M2400" s="74"/>
      <c r="N2400" s="74" t="s">
        <v>392</v>
      </c>
      <c r="O2400" s="74" t="s">
        <v>393</v>
      </c>
      <c r="P2400" s="74"/>
      <c r="Q2400" s="74" t="s">
        <v>2932</v>
      </c>
    </row>
    <row r="2401" spans="3:17" x14ac:dyDescent="0.25">
      <c r="C2401" s="74" t="s">
        <v>2941</v>
      </c>
      <c r="D2401" s="74" t="s">
        <v>2942</v>
      </c>
      <c r="E2401" s="74" t="s">
        <v>391</v>
      </c>
      <c r="F2401" s="74">
        <v>0.1</v>
      </c>
      <c r="G2401" s="74"/>
      <c r="H2401" s="74"/>
      <c r="I2401" s="74" t="s">
        <v>391</v>
      </c>
      <c r="J2401" s="74"/>
      <c r="K2401" s="74">
        <v>102.4</v>
      </c>
      <c r="L2401" s="74">
        <v>92.16</v>
      </c>
      <c r="M2401" s="74"/>
      <c r="N2401" s="74" t="s">
        <v>392</v>
      </c>
      <c r="O2401" s="74" t="s">
        <v>393</v>
      </c>
      <c r="P2401" s="74"/>
      <c r="Q2401" s="74" t="s">
        <v>2943</v>
      </c>
    </row>
    <row r="2402" spans="3:17" x14ac:dyDescent="0.25">
      <c r="C2402" s="74" t="s">
        <v>2944</v>
      </c>
      <c r="D2402" s="74" t="s">
        <v>2945</v>
      </c>
      <c r="E2402" s="74" t="s">
        <v>391</v>
      </c>
      <c r="F2402" s="74">
        <v>0.1</v>
      </c>
      <c r="G2402" s="74"/>
      <c r="H2402" s="74"/>
      <c r="I2402" s="74" t="s">
        <v>391</v>
      </c>
      <c r="J2402" s="74"/>
      <c r="K2402" s="74">
        <v>102.4</v>
      </c>
      <c r="L2402" s="74">
        <v>92.16</v>
      </c>
      <c r="M2402" s="74"/>
      <c r="N2402" s="74" t="s">
        <v>392</v>
      </c>
      <c r="O2402" s="74" t="s">
        <v>393</v>
      </c>
      <c r="P2402" s="74"/>
      <c r="Q2402" s="74" t="s">
        <v>2946</v>
      </c>
    </row>
    <row r="2403" spans="3:17" x14ac:dyDescent="0.25">
      <c r="C2403" s="74" t="s">
        <v>2955</v>
      </c>
      <c r="D2403" s="74" t="s">
        <v>2956</v>
      </c>
      <c r="E2403" s="74" t="s">
        <v>391</v>
      </c>
      <c r="F2403" s="74">
        <v>0.1</v>
      </c>
      <c r="G2403" s="74"/>
      <c r="H2403" s="74"/>
      <c r="I2403" s="74" t="s">
        <v>391</v>
      </c>
      <c r="J2403" s="74"/>
      <c r="K2403" s="74">
        <v>102.4</v>
      </c>
      <c r="L2403" s="74">
        <v>92.16</v>
      </c>
      <c r="M2403" s="74"/>
      <c r="N2403" s="74" t="s">
        <v>392</v>
      </c>
      <c r="O2403" s="74" t="s">
        <v>393</v>
      </c>
      <c r="P2403" s="74"/>
      <c r="Q2403" s="74" t="s">
        <v>2957</v>
      </c>
    </row>
    <row r="2404" spans="3:17" x14ac:dyDescent="0.25">
      <c r="C2404" s="74" t="s">
        <v>2958</v>
      </c>
      <c r="D2404" s="74" t="s">
        <v>2959</v>
      </c>
      <c r="E2404" s="74" t="s">
        <v>391</v>
      </c>
      <c r="F2404" s="74">
        <v>0.1</v>
      </c>
      <c r="G2404" s="74"/>
      <c r="H2404" s="74"/>
      <c r="I2404" s="74" t="s">
        <v>391</v>
      </c>
      <c r="J2404" s="74"/>
      <c r="K2404" s="74">
        <v>102.4</v>
      </c>
      <c r="L2404" s="74">
        <v>92.16</v>
      </c>
      <c r="M2404" s="74"/>
      <c r="N2404" s="74" t="s">
        <v>392</v>
      </c>
      <c r="O2404" s="74" t="s">
        <v>393</v>
      </c>
      <c r="P2404" s="74"/>
      <c r="Q2404" s="74" t="s">
        <v>2960</v>
      </c>
    </row>
    <row r="2405" spans="3:17" x14ac:dyDescent="0.25">
      <c r="C2405" s="74" t="s">
        <v>2964</v>
      </c>
      <c r="D2405" s="74" t="s">
        <v>2965</v>
      </c>
      <c r="E2405" s="74" t="s">
        <v>391</v>
      </c>
      <c r="F2405" s="74">
        <v>0.1</v>
      </c>
      <c r="G2405" s="74"/>
      <c r="H2405" s="74"/>
      <c r="I2405" s="74" t="s">
        <v>391</v>
      </c>
      <c r="J2405" s="74"/>
      <c r="K2405" s="74">
        <v>102.4</v>
      </c>
      <c r="L2405" s="74">
        <v>92.16</v>
      </c>
      <c r="M2405" s="74"/>
      <c r="N2405" s="74" t="s">
        <v>392</v>
      </c>
      <c r="O2405" s="74" t="s">
        <v>393</v>
      </c>
      <c r="P2405" s="74"/>
      <c r="Q2405" s="74" t="s">
        <v>2966</v>
      </c>
    </row>
    <row r="2406" spans="3:17" x14ac:dyDescent="0.25">
      <c r="C2406" s="74" t="s">
        <v>2990</v>
      </c>
      <c r="D2406" s="74" t="s">
        <v>2991</v>
      </c>
      <c r="E2406" s="74" t="s">
        <v>391</v>
      </c>
      <c r="F2406" s="74">
        <v>0.1</v>
      </c>
      <c r="G2406" s="74"/>
      <c r="H2406" s="74"/>
      <c r="I2406" s="74" t="s">
        <v>391</v>
      </c>
      <c r="J2406" s="74"/>
      <c r="K2406" s="74">
        <v>102.4</v>
      </c>
      <c r="L2406" s="74">
        <v>92.16</v>
      </c>
      <c r="M2406" s="74"/>
      <c r="N2406" s="74" t="s">
        <v>392</v>
      </c>
      <c r="O2406" s="74" t="s">
        <v>393</v>
      </c>
      <c r="P2406" s="74"/>
      <c r="Q2406" s="74" t="s">
        <v>2992</v>
      </c>
    </row>
    <row r="2407" spans="3:17" x14ac:dyDescent="0.25">
      <c r="C2407" s="74" t="s">
        <v>2997</v>
      </c>
      <c r="D2407" s="74" t="s">
        <v>2998</v>
      </c>
      <c r="E2407" s="74" t="s">
        <v>391</v>
      </c>
      <c r="F2407" s="74">
        <v>0.1</v>
      </c>
      <c r="G2407" s="74"/>
      <c r="H2407" s="74"/>
      <c r="I2407" s="74" t="s">
        <v>391</v>
      </c>
      <c r="J2407" s="74"/>
      <c r="K2407" s="74">
        <v>102.4</v>
      </c>
      <c r="L2407" s="74">
        <v>92.16</v>
      </c>
      <c r="M2407" s="74"/>
      <c r="N2407" s="74" t="s">
        <v>392</v>
      </c>
      <c r="O2407" s="74" t="s">
        <v>393</v>
      </c>
      <c r="P2407" s="74"/>
      <c r="Q2407" s="74" t="s">
        <v>2999</v>
      </c>
    </row>
    <row r="2408" spans="3:17" x14ac:dyDescent="0.25">
      <c r="C2408" s="74" t="s">
        <v>3000</v>
      </c>
      <c r="D2408" s="74" t="s">
        <v>3001</v>
      </c>
      <c r="E2408" s="74" t="s">
        <v>391</v>
      </c>
      <c r="F2408" s="74">
        <v>0.1</v>
      </c>
      <c r="G2408" s="74"/>
      <c r="H2408" s="74"/>
      <c r="I2408" s="74" t="s">
        <v>391</v>
      </c>
      <c r="J2408" s="74"/>
      <c r="K2408" s="74">
        <v>102.4</v>
      </c>
      <c r="L2408" s="74">
        <v>92.16</v>
      </c>
      <c r="M2408" s="74"/>
      <c r="N2408" s="74" t="s">
        <v>392</v>
      </c>
      <c r="O2408" s="74" t="s">
        <v>393</v>
      </c>
      <c r="P2408" s="74"/>
      <c r="Q2408" s="74" t="s">
        <v>3002</v>
      </c>
    </row>
    <row r="2409" spans="3:17" x14ac:dyDescent="0.25">
      <c r="C2409" s="74" t="s">
        <v>3007</v>
      </c>
      <c r="D2409" s="74" t="s">
        <v>3008</v>
      </c>
      <c r="E2409" s="74" t="s">
        <v>391</v>
      </c>
      <c r="F2409" s="74">
        <v>0.1</v>
      </c>
      <c r="G2409" s="74"/>
      <c r="H2409" s="74"/>
      <c r="I2409" s="74" t="s">
        <v>391</v>
      </c>
      <c r="J2409" s="74"/>
      <c r="K2409" s="74">
        <v>102.4</v>
      </c>
      <c r="L2409" s="74">
        <v>92.16</v>
      </c>
      <c r="M2409" s="74"/>
      <c r="N2409" s="74" t="s">
        <v>392</v>
      </c>
      <c r="O2409" s="74" t="s">
        <v>393</v>
      </c>
      <c r="P2409" s="74"/>
      <c r="Q2409" s="74" t="s">
        <v>3009</v>
      </c>
    </row>
    <row r="2410" spans="3:17" x14ac:dyDescent="0.25">
      <c r="C2410" s="74" t="s">
        <v>3010</v>
      </c>
      <c r="D2410" s="74" t="s">
        <v>3011</v>
      </c>
      <c r="E2410" s="74" t="s">
        <v>391</v>
      </c>
      <c r="F2410" s="74">
        <v>0.1</v>
      </c>
      <c r="G2410" s="74"/>
      <c r="H2410" s="74"/>
      <c r="I2410" s="74" t="s">
        <v>391</v>
      </c>
      <c r="J2410" s="74"/>
      <c r="K2410" s="74">
        <v>102.4</v>
      </c>
      <c r="L2410" s="74">
        <v>92.16</v>
      </c>
      <c r="M2410" s="74"/>
      <c r="N2410" s="74" t="s">
        <v>392</v>
      </c>
      <c r="O2410" s="74" t="s">
        <v>393</v>
      </c>
      <c r="P2410" s="74"/>
      <c r="Q2410" s="74" t="s">
        <v>3012</v>
      </c>
    </row>
    <row r="2411" spans="3:17" x14ac:dyDescent="0.25">
      <c r="C2411" s="74" t="s">
        <v>3019</v>
      </c>
      <c r="D2411" s="74" t="s">
        <v>3020</v>
      </c>
      <c r="E2411" s="74" t="s">
        <v>391</v>
      </c>
      <c r="F2411" s="74">
        <v>0.1</v>
      </c>
      <c r="G2411" s="74"/>
      <c r="H2411" s="74"/>
      <c r="I2411" s="74" t="s">
        <v>391</v>
      </c>
      <c r="J2411" s="74"/>
      <c r="K2411" s="74">
        <v>102.4</v>
      </c>
      <c r="L2411" s="74">
        <v>92.16</v>
      </c>
      <c r="M2411" s="74"/>
      <c r="N2411" s="74" t="s">
        <v>392</v>
      </c>
      <c r="O2411" s="74" t="s">
        <v>393</v>
      </c>
      <c r="P2411" s="74"/>
      <c r="Q2411" s="74" t="s">
        <v>3021</v>
      </c>
    </row>
    <row r="2412" spans="3:17" x14ac:dyDescent="0.25">
      <c r="C2412" s="74" t="s">
        <v>3025</v>
      </c>
      <c r="D2412" s="74" t="s">
        <v>3026</v>
      </c>
      <c r="E2412" s="74" t="s">
        <v>391</v>
      </c>
      <c r="F2412" s="74">
        <v>0.1</v>
      </c>
      <c r="G2412" s="74"/>
      <c r="H2412" s="74"/>
      <c r="I2412" s="74" t="s">
        <v>391</v>
      </c>
      <c r="J2412" s="74"/>
      <c r="K2412" s="74">
        <v>102.4</v>
      </c>
      <c r="L2412" s="74">
        <v>92.16</v>
      </c>
      <c r="M2412" s="74"/>
      <c r="N2412" s="74" t="s">
        <v>392</v>
      </c>
      <c r="O2412" s="74" t="s">
        <v>393</v>
      </c>
      <c r="P2412" s="74"/>
      <c r="Q2412" s="74" t="s">
        <v>3027</v>
      </c>
    </row>
    <row r="2413" spans="3:17" x14ac:dyDescent="0.25">
      <c r="C2413" s="74" t="s">
        <v>3040</v>
      </c>
      <c r="D2413" s="74" t="s">
        <v>3041</v>
      </c>
      <c r="E2413" s="74" t="s">
        <v>391</v>
      </c>
      <c r="F2413" s="74">
        <v>0.1</v>
      </c>
      <c r="G2413" s="74"/>
      <c r="H2413" s="74"/>
      <c r="I2413" s="74" t="s">
        <v>391</v>
      </c>
      <c r="J2413" s="74"/>
      <c r="K2413" s="74">
        <v>102.4</v>
      </c>
      <c r="L2413" s="74">
        <v>92.16</v>
      </c>
      <c r="M2413" s="74"/>
      <c r="N2413" s="74" t="s">
        <v>392</v>
      </c>
      <c r="O2413" s="74" t="s">
        <v>393</v>
      </c>
      <c r="P2413" s="74"/>
      <c r="Q2413" s="74" t="s">
        <v>3042</v>
      </c>
    </row>
    <row r="2414" spans="3:17" x14ac:dyDescent="0.25">
      <c r="C2414" s="74" t="s">
        <v>3059</v>
      </c>
      <c r="D2414" s="74" t="s">
        <v>3060</v>
      </c>
      <c r="E2414" s="74" t="s">
        <v>391</v>
      </c>
      <c r="F2414" s="74">
        <v>0.1</v>
      </c>
      <c r="G2414" s="74"/>
      <c r="H2414" s="74"/>
      <c r="I2414" s="74" t="s">
        <v>391</v>
      </c>
      <c r="J2414" s="74"/>
      <c r="K2414" s="74">
        <v>102.4</v>
      </c>
      <c r="L2414" s="74">
        <v>92.16</v>
      </c>
      <c r="M2414" s="74"/>
      <c r="N2414" s="74" t="s">
        <v>392</v>
      </c>
      <c r="O2414" s="74" t="s">
        <v>393</v>
      </c>
      <c r="P2414" s="74"/>
      <c r="Q2414" s="74" t="s">
        <v>3061</v>
      </c>
    </row>
    <row r="2415" spans="3:17" x14ac:dyDescent="0.25">
      <c r="C2415" s="74" t="s">
        <v>3062</v>
      </c>
      <c r="D2415" s="74" t="s">
        <v>3063</v>
      </c>
      <c r="E2415" s="74" t="s">
        <v>391</v>
      </c>
      <c r="F2415" s="74">
        <v>0.1</v>
      </c>
      <c r="G2415" s="74"/>
      <c r="H2415" s="74"/>
      <c r="I2415" s="74" t="s">
        <v>391</v>
      </c>
      <c r="J2415" s="74"/>
      <c r="K2415" s="74">
        <v>102.4</v>
      </c>
      <c r="L2415" s="74">
        <v>92.16</v>
      </c>
      <c r="M2415" s="74"/>
      <c r="N2415" s="74" t="s">
        <v>392</v>
      </c>
      <c r="O2415" s="74" t="s">
        <v>393</v>
      </c>
      <c r="P2415" s="74"/>
      <c r="Q2415" s="74" t="s">
        <v>3064</v>
      </c>
    </row>
    <row r="2416" spans="3:17" x14ac:dyDescent="0.25">
      <c r="C2416" s="74" t="s">
        <v>3069</v>
      </c>
      <c r="D2416" s="74" t="s">
        <v>2864</v>
      </c>
      <c r="E2416" s="74" t="s">
        <v>391</v>
      </c>
      <c r="F2416" s="74">
        <v>0.1</v>
      </c>
      <c r="G2416" s="74"/>
      <c r="H2416" s="74"/>
      <c r="I2416" s="74" t="s">
        <v>391</v>
      </c>
      <c r="J2416" s="74"/>
      <c r="K2416" s="74">
        <v>102.4</v>
      </c>
      <c r="L2416" s="74">
        <v>92.16</v>
      </c>
      <c r="M2416" s="74"/>
      <c r="N2416" s="74" t="s">
        <v>392</v>
      </c>
      <c r="O2416" s="74" t="s">
        <v>393</v>
      </c>
      <c r="P2416" s="74"/>
      <c r="Q2416" s="74" t="s">
        <v>3070</v>
      </c>
    </row>
    <row r="2417" spans="3:17" x14ac:dyDescent="0.25">
      <c r="C2417" s="74" t="s">
        <v>3071</v>
      </c>
      <c r="D2417" s="74" t="s">
        <v>3072</v>
      </c>
      <c r="E2417" s="74" t="s">
        <v>391</v>
      </c>
      <c r="F2417" s="74">
        <v>0.1</v>
      </c>
      <c r="G2417" s="74"/>
      <c r="H2417" s="74"/>
      <c r="I2417" s="74" t="s">
        <v>391</v>
      </c>
      <c r="J2417" s="74"/>
      <c r="K2417" s="74">
        <v>102.4</v>
      </c>
      <c r="L2417" s="74">
        <v>92.16</v>
      </c>
      <c r="M2417" s="74"/>
      <c r="N2417" s="74" t="s">
        <v>392</v>
      </c>
      <c r="O2417" s="74" t="s">
        <v>393</v>
      </c>
      <c r="P2417" s="74"/>
      <c r="Q2417" s="74" t="s">
        <v>3073</v>
      </c>
    </row>
    <row r="2418" spans="3:17" x14ac:dyDescent="0.25">
      <c r="C2418" s="74" t="s">
        <v>3086</v>
      </c>
      <c r="D2418" s="74" t="s">
        <v>3087</v>
      </c>
      <c r="E2418" s="74" t="s">
        <v>391</v>
      </c>
      <c r="F2418" s="74">
        <v>0.1</v>
      </c>
      <c r="G2418" s="74"/>
      <c r="H2418" s="74"/>
      <c r="I2418" s="74" t="s">
        <v>391</v>
      </c>
      <c r="J2418" s="74"/>
      <c r="K2418" s="74">
        <v>102.4</v>
      </c>
      <c r="L2418" s="74">
        <v>92.16</v>
      </c>
      <c r="M2418" s="74"/>
      <c r="N2418" s="74" t="s">
        <v>392</v>
      </c>
      <c r="O2418" s="74" t="s">
        <v>393</v>
      </c>
      <c r="P2418" s="74"/>
      <c r="Q2418" s="74" t="s">
        <v>3088</v>
      </c>
    </row>
    <row r="2419" spans="3:17" x14ac:dyDescent="0.25">
      <c r="C2419" s="74" t="s">
        <v>3093</v>
      </c>
      <c r="D2419" s="74" t="s">
        <v>3094</v>
      </c>
      <c r="E2419" s="74"/>
      <c r="F2419" s="74">
        <v>0.1</v>
      </c>
      <c r="G2419" s="74"/>
      <c r="H2419" s="74"/>
      <c r="I2419" s="74" t="s">
        <v>391</v>
      </c>
      <c r="J2419" s="74"/>
      <c r="K2419" s="74">
        <v>102.4</v>
      </c>
      <c r="L2419" s="74">
        <v>92.16</v>
      </c>
      <c r="M2419" s="74"/>
      <c r="N2419" s="74" t="s">
        <v>392</v>
      </c>
      <c r="O2419" s="74" t="s">
        <v>402</v>
      </c>
      <c r="P2419" s="74" t="s">
        <v>3095</v>
      </c>
      <c r="Q2419" s="74" t="s">
        <v>3096</v>
      </c>
    </row>
    <row r="2420" spans="3:17" x14ac:dyDescent="0.25">
      <c r="C2420" s="74" t="s">
        <v>3097</v>
      </c>
      <c r="D2420" s="74" t="s">
        <v>3098</v>
      </c>
      <c r="E2420" s="74" t="s">
        <v>391</v>
      </c>
      <c r="F2420" s="74">
        <v>0.1</v>
      </c>
      <c r="G2420" s="74"/>
      <c r="H2420" s="74"/>
      <c r="I2420" s="74" t="s">
        <v>391</v>
      </c>
      <c r="J2420" s="74"/>
      <c r="K2420" s="74">
        <v>102.4</v>
      </c>
      <c r="L2420" s="74">
        <v>92.16</v>
      </c>
      <c r="M2420" s="74"/>
      <c r="N2420" s="74" t="s">
        <v>392</v>
      </c>
      <c r="O2420" s="74" t="s">
        <v>393</v>
      </c>
      <c r="P2420" s="74"/>
      <c r="Q2420" s="74" t="s">
        <v>3099</v>
      </c>
    </row>
    <row r="2421" spans="3:17" x14ac:dyDescent="0.25">
      <c r="C2421" s="74" t="s">
        <v>3104</v>
      </c>
      <c r="D2421" s="74" t="s">
        <v>3105</v>
      </c>
      <c r="E2421" s="74" t="s">
        <v>391</v>
      </c>
      <c r="F2421" s="74">
        <v>0.1</v>
      </c>
      <c r="G2421" s="74"/>
      <c r="H2421" s="74"/>
      <c r="I2421" s="74" t="s">
        <v>391</v>
      </c>
      <c r="J2421" s="74"/>
      <c r="K2421" s="74">
        <v>102.4</v>
      </c>
      <c r="L2421" s="74">
        <v>92.16</v>
      </c>
      <c r="M2421" s="74"/>
      <c r="N2421" s="74" t="s">
        <v>392</v>
      </c>
      <c r="O2421" s="74" t="s">
        <v>393</v>
      </c>
      <c r="P2421" s="74"/>
      <c r="Q2421" s="74" t="s">
        <v>3106</v>
      </c>
    </row>
    <row r="2422" spans="3:17" x14ac:dyDescent="0.25">
      <c r="C2422" s="74" t="s">
        <v>3120</v>
      </c>
      <c r="D2422" s="74" t="s">
        <v>3121</v>
      </c>
      <c r="E2422" s="74" t="s">
        <v>391</v>
      </c>
      <c r="F2422" s="74">
        <v>0.1</v>
      </c>
      <c r="G2422" s="74"/>
      <c r="H2422" s="74"/>
      <c r="I2422" s="74" t="s">
        <v>391</v>
      </c>
      <c r="J2422" s="74"/>
      <c r="K2422" s="74">
        <v>102.4</v>
      </c>
      <c r="L2422" s="74">
        <v>92.16</v>
      </c>
      <c r="M2422" s="74"/>
      <c r="N2422" s="74" t="s">
        <v>392</v>
      </c>
      <c r="O2422" s="74" t="s">
        <v>393</v>
      </c>
      <c r="P2422" s="74"/>
      <c r="Q2422" s="74" t="s">
        <v>3122</v>
      </c>
    </row>
    <row r="2423" spans="3:17" x14ac:dyDescent="0.25">
      <c r="C2423" s="74" t="s">
        <v>3123</v>
      </c>
      <c r="D2423" s="74" t="s">
        <v>3124</v>
      </c>
      <c r="E2423" s="74" t="s">
        <v>391</v>
      </c>
      <c r="F2423" s="74">
        <v>0.1</v>
      </c>
      <c r="G2423" s="74"/>
      <c r="H2423" s="74"/>
      <c r="I2423" s="74" t="s">
        <v>391</v>
      </c>
      <c r="J2423" s="74"/>
      <c r="K2423" s="74">
        <v>102.4</v>
      </c>
      <c r="L2423" s="74">
        <v>92.16</v>
      </c>
      <c r="M2423" s="74"/>
      <c r="N2423" s="74" t="s">
        <v>392</v>
      </c>
      <c r="O2423" s="74" t="s">
        <v>393</v>
      </c>
      <c r="P2423" s="74"/>
      <c r="Q2423" s="74" t="s">
        <v>3125</v>
      </c>
    </row>
    <row r="2424" spans="3:17" x14ac:dyDescent="0.25">
      <c r="C2424" s="74" t="s">
        <v>3129</v>
      </c>
      <c r="D2424" s="74" t="s">
        <v>3130</v>
      </c>
      <c r="E2424" s="74" t="s">
        <v>391</v>
      </c>
      <c r="F2424" s="74">
        <v>0.1</v>
      </c>
      <c r="G2424" s="74"/>
      <c r="H2424" s="74"/>
      <c r="I2424" s="74" t="s">
        <v>391</v>
      </c>
      <c r="J2424" s="74"/>
      <c r="K2424" s="74">
        <v>102.4</v>
      </c>
      <c r="L2424" s="74">
        <v>92.16</v>
      </c>
      <c r="M2424" s="74"/>
      <c r="N2424" s="74" t="s">
        <v>1384</v>
      </c>
      <c r="O2424" s="74" t="s">
        <v>393</v>
      </c>
      <c r="P2424" s="74"/>
      <c r="Q2424" s="74" t="s">
        <v>3131</v>
      </c>
    </row>
    <row r="2425" spans="3:17" x14ac:dyDescent="0.25">
      <c r="C2425" s="74" t="s">
        <v>3144</v>
      </c>
      <c r="D2425" s="74" t="s">
        <v>3145</v>
      </c>
      <c r="E2425" s="74" t="s">
        <v>391</v>
      </c>
      <c r="F2425" s="74">
        <v>0.1</v>
      </c>
      <c r="G2425" s="74"/>
      <c r="H2425" s="74"/>
      <c r="I2425" s="74" t="s">
        <v>391</v>
      </c>
      <c r="J2425" s="74"/>
      <c r="K2425" s="74">
        <v>102.4</v>
      </c>
      <c r="L2425" s="74">
        <v>92.16</v>
      </c>
      <c r="M2425" s="74"/>
      <c r="N2425" s="74" t="s">
        <v>392</v>
      </c>
      <c r="O2425" s="74" t="s">
        <v>393</v>
      </c>
      <c r="P2425" s="74"/>
      <c r="Q2425" s="74" t="s">
        <v>3146</v>
      </c>
    </row>
    <row r="2426" spans="3:17" x14ac:dyDescent="0.25">
      <c r="C2426" s="74" t="s">
        <v>3155</v>
      </c>
      <c r="D2426" s="74" t="s">
        <v>3156</v>
      </c>
      <c r="E2426" s="74" t="s">
        <v>391</v>
      </c>
      <c r="F2426" s="74">
        <v>0.1</v>
      </c>
      <c r="G2426" s="74"/>
      <c r="H2426" s="74"/>
      <c r="I2426" s="74" t="s">
        <v>391</v>
      </c>
      <c r="J2426" s="74"/>
      <c r="K2426" s="74">
        <v>102.4</v>
      </c>
      <c r="L2426" s="74">
        <v>92.16</v>
      </c>
      <c r="M2426" s="74"/>
      <c r="N2426" s="74" t="s">
        <v>392</v>
      </c>
      <c r="O2426" s="74" t="s">
        <v>393</v>
      </c>
      <c r="P2426" s="74"/>
      <c r="Q2426" s="74" t="s">
        <v>3157</v>
      </c>
    </row>
    <row r="2427" spans="3:17" x14ac:dyDescent="0.25">
      <c r="C2427" s="74" t="s">
        <v>3158</v>
      </c>
      <c r="D2427" s="74" t="s">
        <v>3159</v>
      </c>
      <c r="E2427" s="74" t="s">
        <v>391</v>
      </c>
      <c r="F2427" s="74">
        <v>0.1</v>
      </c>
      <c r="G2427" s="74"/>
      <c r="H2427" s="74"/>
      <c r="I2427" s="74" t="s">
        <v>391</v>
      </c>
      <c r="J2427" s="74"/>
      <c r="K2427" s="74">
        <v>102.4</v>
      </c>
      <c r="L2427" s="74">
        <v>92.16</v>
      </c>
      <c r="M2427" s="74"/>
      <c r="N2427" s="74" t="s">
        <v>392</v>
      </c>
      <c r="O2427" s="74" t="s">
        <v>393</v>
      </c>
      <c r="P2427" s="74"/>
      <c r="Q2427" s="74" t="s">
        <v>3160</v>
      </c>
    </row>
    <row r="2428" spans="3:17" x14ac:dyDescent="0.25">
      <c r="C2428" s="74" t="s">
        <v>3161</v>
      </c>
      <c r="D2428" s="74" t="s">
        <v>3162</v>
      </c>
      <c r="E2428" s="74" t="s">
        <v>391</v>
      </c>
      <c r="F2428" s="74">
        <v>0.1</v>
      </c>
      <c r="G2428" s="74"/>
      <c r="H2428" s="74"/>
      <c r="I2428" s="74" t="s">
        <v>391</v>
      </c>
      <c r="J2428" s="74"/>
      <c r="K2428" s="74">
        <v>102.4</v>
      </c>
      <c r="L2428" s="74">
        <v>92.16</v>
      </c>
      <c r="M2428" s="74"/>
      <c r="N2428" s="74" t="s">
        <v>392</v>
      </c>
      <c r="O2428" s="74" t="s">
        <v>393</v>
      </c>
      <c r="P2428" s="74"/>
      <c r="Q2428" s="74" t="s">
        <v>3162</v>
      </c>
    </row>
    <row r="2429" spans="3:17" x14ac:dyDescent="0.25">
      <c r="C2429" s="74" t="s">
        <v>3170</v>
      </c>
      <c r="D2429" s="74" t="s">
        <v>3171</v>
      </c>
      <c r="E2429" s="74" t="s">
        <v>391</v>
      </c>
      <c r="F2429" s="74">
        <v>0.1</v>
      </c>
      <c r="G2429" s="74"/>
      <c r="H2429" s="74"/>
      <c r="I2429" s="74" t="s">
        <v>391</v>
      </c>
      <c r="J2429" s="74"/>
      <c r="K2429" s="74">
        <v>102.4</v>
      </c>
      <c r="L2429" s="74">
        <v>92.16</v>
      </c>
      <c r="M2429" s="74"/>
      <c r="N2429" s="74" t="s">
        <v>392</v>
      </c>
      <c r="O2429" s="74" t="s">
        <v>393</v>
      </c>
      <c r="P2429" s="74"/>
      <c r="Q2429" s="74" t="s">
        <v>3172</v>
      </c>
    </row>
    <row r="2430" spans="3:17" x14ac:dyDescent="0.25">
      <c r="C2430" s="74" t="s">
        <v>3183</v>
      </c>
      <c r="D2430" s="74" t="s">
        <v>3184</v>
      </c>
      <c r="E2430" s="74" t="s">
        <v>391</v>
      </c>
      <c r="F2430" s="74">
        <v>0.1</v>
      </c>
      <c r="G2430" s="74"/>
      <c r="H2430" s="74"/>
      <c r="I2430" s="74" t="s">
        <v>391</v>
      </c>
      <c r="J2430" s="74"/>
      <c r="K2430" s="74">
        <v>102.4</v>
      </c>
      <c r="L2430" s="74">
        <v>92.16</v>
      </c>
      <c r="M2430" s="74"/>
      <c r="N2430" s="74" t="s">
        <v>392</v>
      </c>
      <c r="O2430" s="74" t="s">
        <v>393</v>
      </c>
      <c r="P2430" s="74"/>
      <c r="Q2430" s="74" t="s">
        <v>3185</v>
      </c>
    </row>
    <row r="2431" spans="3:17" x14ac:dyDescent="0.25">
      <c r="C2431" s="74" t="s">
        <v>3210</v>
      </c>
      <c r="D2431" s="74" t="s">
        <v>3211</v>
      </c>
      <c r="E2431" s="74" t="s">
        <v>391</v>
      </c>
      <c r="F2431" s="74">
        <v>0.1</v>
      </c>
      <c r="G2431" s="74"/>
      <c r="H2431" s="74"/>
      <c r="I2431" s="74" t="s">
        <v>391</v>
      </c>
      <c r="J2431" s="74"/>
      <c r="K2431" s="74">
        <v>102.4</v>
      </c>
      <c r="L2431" s="74">
        <v>92.16</v>
      </c>
      <c r="M2431" s="74"/>
      <c r="N2431" s="74" t="s">
        <v>392</v>
      </c>
      <c r="O2431" s="74" t="s">
        <v>393</v>
      </c>
      <c r="P2431" s="74"/>
      <c r="Q2431" s="74" t="s">
        <v>3212</v>
      </c>
    </row>
    <row r="2432" spans="3:17" x14ac:dyDescent="0.25">
      <c r="C2432" s="74" t="s">
        <v>3262</v>
      </c>
      <c r="D2432" s="74" t="s">
        <v>3263</v>
      </c>
      <c r="E2432" s="74" t="s">
        <v>391</v>
      </c>
      <c r="F2432" s="74">
        <v>0.1</v>
      </c>
      <c r="G2432" s="74"/>
      <c r="H2432" s="74"/>
      <c r="I2432" s="74" t="s">
        <v>391</v>
      </c>
      <c r="J2432" s="74"/>
      <c r="K2432" s="74">
        <v>102.4</v>
      </c>
      <c r="L2432" s="74">
        <v>92.16</v>
      </c>
      <c r="M2432" s="74"/>
      <c r="N2432" s="74" t="s">
        <v>392</v>
      </c>
      <c r="O2432" s="74" t="s">
        <v>393</v>
      </c>
      <c r="P2432" s="74"/>
      <c r="Q2432" s="74" t="s">
        <v>3264</v>
      </c>
    </row>
    <row r="2433" spans="3:17" x14ac:dyDescent="0.25">
      <c r="C2433" s="74" t="s">
        <v>3273</v>
      </c>
      <c r="D2433" s="74" t="s">
        <v>3274</v>
      </c>
      <c r="E2433" s="74" t="s">
        <v>391</v>
      </c>
      <c r="F2433" s="74">
        <v>0.1</v>
      </c>
      <c r="G2433" s="74"/>
      <c r="H2433" s="74"/>
      <c r="I2433" s="74" t="s">
        <v>391</v>
      </c>
      <c r="J2433" s="74"/>
      <c r="K2433" s="74">
        <v>102.4</v>
      </c>
      <c r="L2433" s="74">
        <v>92.16</v>
      </c>
      <c r="M2433" s="74"/>
      <c r="N2433" s="74" t="s">
        <v>392</v>
      </c>
      <c r="O2433" s="74" t="s">
        <v>393</v>
      </c>
      <c r="P2433" s="74"/>
      <c r="Q2433" s="74" t="s">
        <v>3275</v>
      </c>
    </row>
    <row r="2434" spans="3:17" x14ac:dyDescent="0.25">
      <c r="C2434" s="74" t="s">
        <v>3291</v>
      </c>
      <c r="D2434" s="74" t="s">
        <v>3292</v>
      </c>
      <c r="E2434" s="74" t="s">
        <v>391</v>
      </c>
      <c r="F2434" s="74">
        <v>0.1</v>
      </c>
      <c r="G2434" s="74"/>
      <c r="H2434" s="74"/>
      <c r="I2434" s="74" t="s">
        <v>391</v>
      </c>
      <c r="J2434" s="74"/>
      <c r="K2434" s="74">
        <v>102.4</v>
      </c>
      <c r="L2434" s="74">
        <v>92.16</v>
      </c>
      <c r="M2434" s="74"/>
      <c r="N2434" s="74" t="s">
        <v>392</v>
      </c>
      <c r="O2434" s="74" t="s">
        <v>393</v>
      </c>
      <c r="P2434" s="74"/>
      <c r="Q2434" s="74" t="s">
        <v>3293</v>
      </c>
    </row>
    <row r="2435" spans="3:17" x14ac:dyDescent="0.25">
      <c r="C2435" s="74" t="s">
        <v>3294</v>
      </c>
      <c r="D2435" s="74" t="s">
        <v>3295</v>
      </c>
      <c r="E2435" s="74" t="s">
        <v>391</v>
      </c>
      <c r="F2435" s="74">
        <v>0.1</v>
      </c>
      <c r="G2435" s="74"/>
      <c r="H2435" s="74"/>
      <c r="I2435" s="74" t="s">
        <v>391</v>
      </c>
      <c r="J2435" s="74"/>
      <c r="K2435" s="74">
        <v>102.4</v>
      </c>
      <c r="L2435" s="74">
        <v>92.16</v>
      </c>
      <c r="M2435" s="74"/>
      <c r="N2435" s="74" t="s">
        <v>392</v>
      </c>
      <c r="O2435" s="74" t="s">
        <v>393</v>
      </c>
      <c r="P2435" s="74"/>
      <c r="Q2435" s="74" t="s">
        <v>3296</v>
      </c>
    </row>
    <row r="2436" spans="3:17" x14ac:dyDescent="0.25">
      <c r="C2436" s="74" t="s">
        <v>3301</v>
      </c>
      <c r="D2436" s="74" t="s">
        <v>3302</v>
      </c>
      <c r="E2436" s="74" t="s">
        <v>391</v>
      </c>
      <c r="F2436" s="74">
        <v>0.1</v>
      </c>
      <c r="G2436" s="74"/>
      <c r="H2436" s="74"/>
      <c r="I2436" s="74" t="s">
        <v>391</v>
      </c>
      <c r="J2436" s="74"/>
      <c r="K2436" s="74">
        <v>102.4</v>
      </c>
      <c r="L2436" s="74">
        <v>92.16</v>
      </c>
      <c r="M2436" s="74"/>
      <c r="N2436" s="74" t="s">
        <v>392</v>
      </c>
      <c r="O2436" s="74" t="s">
        <v>393</v>
      </c>
      <c r="P2436" s="74"/>
      <c r="Q2436" s="74" t="s">
        <v>3303</v>
      </c>
    </row>
    <row r="2437" spans="3:17" x14ac:dyDescent="0.25">
      <c r="C2437" s="74" t="s">
        <v>3304</v>
      </c>
      <c r="D2437" s="74" t="s">
        <v>3305</v>
      </c>
      <c r="E2437" s="74" t="s">
        <v>391</v>
      </c>
      <c r="F2437" s="74">
        <v>0.1</v>
      </c>
      <c r="G2437" s="74"/>
      <c r="H2437" s="74"/>
      <c r="I2437" s="74" t="s">
        <v>391</v>
      </c>
      <c r="J2437" s="74"/>
      <c r="K2437" s="74">
        <v>102.4</v>
      </c>
      <c r="L2437" s="74">
        <v>92.16</v>
      </c>
      <c r="M2437" s="74"/>
      <c r="N2437" s="74" t="s">
        <v>392</v>
      </c>
      <c r="O2437" s="74" t="s">
        <v>393</v>
      </c>
      <c r="P2437" s="74"/>
      <c r="Q2437" s="74" t="s">
        <v>3306</v>
      </c>
    </row>
    <row r="2438" spans="3:17" x14ac:dyDescent="0.25">
      <c r="C2438" s="74" t="s">
        <v>3315</v>
      </c>
      <c r="D2438" s="74" t="s">
        <v>3316</v>
      </c>
      <c r="E2438" s="74" t="s">
        <v>391</v>
      </c>
      <c r="F2438" s="74">
        <v>0.1</v>
      </c>
      <c r="G2438" s="74"/>
      <c r="H2438" s="74"/>
      <c r="I2438" s="74" t="s">
        <v>391</v>
      </c>
      <c r="J2438" s="74"/>
      <c r="K2438" s="74">
        <v>102.4</v>
      </c>
      <c r="L2438" s="74">
        <v>92.16</v>
      </c>
      <c r="M2438" s="74"/>
      <c r="N2438" s="74" t="s">
        <v>392</v>
      </c>
      <c r="O2438" s="74" t="s">
        <v>393</v>
      </c>
      <c r="P2438" s="74"/>
      <c r="Q2438" s="74" t="s">
        <v>3317</v>
      </c>
    </row>
    <row r="2439" spans="3:17" x14ac:dyDescent="0.25">
      <c r="C2439" s="74" t="s">
        <v>3318</v>
      </c>
      <c r="D2439" s="74" t="s">
        <v>3319</v>
      </c>
      <c r="E2439" s="74" t="s">
        <v>391</v>
      </c>
      <c r="F2439" s="74">
        <v>0.1</v>
      </c>
      <c r="G2439" s="74"/>
      <c r="H2439" s="74"/>
      <c r="I2439" s="74" t="s">
        <v>391</v>
      </c>
      <c r="J2439" s="74"/>
      <c r="K2439" s="74">
        <v>102.4</v>
      </c>
      <c r="L2439" s="74">
        <v>92.16</v>
      </c>
      <c r="M2439" s="74"/>
      <c r="N2439" s="74" t="s">
        <v>392</v>
      </c>
      <c r="O2439" s="74" t="s">
        <v>393</v>
      </c>
      <c r="P2439" s="74"/>
      <c r="Q2439" s="74" t="s">
        <v>3320</v>
      </c>
    </row>
    <row r="2440" spans="3:17" x14ac:dyDescent="0.25">
      <c r="C2440" s="74" t="s">
        <v>3325</v>
      </c>
      <c r="D2440" s="74" t="s">
        <v>3326</v>
      </c>
      <c r="E2440" s="74" t="s">
        <v>391</v>
      </c>
      <c r="F2440" s="74">
        <v>0.1</v>
      </c>
      <c r="G2440" s="74"/>
      <c r="H2440" s="74"/>
      <c r="I2440" s="74" t="s">
        <v>391</v>
      </c>
      <c r="J2440" s="74"/>
      <c r="K2440" s="74">
        <v>102.4</v>
      </c>
      <c r="L2440" s="74">
        <v>92.16</v>
      </c>
      <c r="M2440" s="74"/>
      <c r="N2440" s="74" t="s">
        <v>392</v>
      </c>
      <c r="O2440" s="74" t="s">
        <v>393</v>
      </c>
      <c r="P2440" s="74"/>
      <c r="Q2440" s="74" t="s">
        <v>3327</v>
      </c>
    </row>
    <row r="2441" spans="3:17" x14ac:dyDescent="0.25">
      <c r="C2441" s="74" t="s">
        <v>3344</v>
      </c>
      <c r="D2441" s="74" t="s">
        <v>3345</v>
      </c>
      <c r="E2441" s="74" t="s">
        <v>391</v>
      </c>
      <c r="F2441" s="74">
        <v>0.1</v>
      </c>
      <c r="G2441" s="74"/>
      <c r="H2441" s="74"/>
      <c r="I2441" s="74" t="s">
        <v>391</v>
      </c>
      <c r="J2441" s="74"/>
      <c r="K2441" s="74">
        <v>102.4</v>
      </c>
      <c r="L2441" s="74">
        <v>92.16</v>
      </c>
      <c r="M2441" s="74"/>
      <c r="N2441" s="74" t="s">
        <v>392</v>
      </c>
      <c r="O2441" s="74" t="s">
        <v>393</v>
      </c>
      <c r="P2441" s="74"/>
      <c r="Q2441" s="74" t="s">
        <v>3346</v>
      </c>
    </row>
    <row r="2442" spans="3:17" x14ac:dyDescent="0.25">
      <c r="C2442" s="74" t="s">
        <v>3347</v>
      </c>
      <c r="D2442" s="74" t="s">
        <v>3348</v>
      </c>
      <c r="E2442" s="74" t="s">
        <v>391</v>
      </c>
      <c r="F2442" s="74">
        <v>0.1</v>
      </c>
      <c r="G2442" s="74"/>
      <c r="H2442" s="74"/>
      <c r="I2442" s="74" t="s">
        <v>391</v>
      </c>
      <c r="J2442" s="74"/>
      <c r="K2442" s="74">
        <v>102.4</v>
      </c>
      <c r="L2442" s="74">
        <v>92.16</v>
      </c>
      <c r="M2442" s="74"/>
      <c r="N2442" s="74" t="s">
        <v>392</v>
      </c>
      <c r="O2442" s="74" t="s">
        <v>393</v>
      </c>
      <c r="P2442" s="74"/>
      <c r="Q2442" s="74" t="s">
        <v>3348</v>
      </c>
    </row>
    <row r="2443" spans="3:17" x14ac:dyDescent="0.25">
      <c r="C2443" s="74" t="s">
        <v>3356</v>
      </c>
      <c r="D2443" s="74" t="s">
        <v>3357</v>
      </c>
      <c r="E2443" s="74" t="s">
        <v>391</v>
      </c>
      <c r="F2443" s="74">
        <v>0.1</v>
      </c>
      <c r="G2443" s="74"/>
      <c r="H2443" s="74"/>
      <c r="I2443" s="74" t="s">
        <v>391</v>
      </c>
      <c r="J2443" s="74"/>
      <c r="K2443" s="74">
        <v>102.4</v>
      </c>
      <c r="L2443" s="74">
        <v>92.16</v>
      </c>
      <c r="M2443" s="74"/>
      <c r="N2443" s="74" t="s">
        <v>392</v>
      </c>
      <c r="O2443" s="74" t="s">
        <v>393</v>
      </c>
      <c r="P2443" s="74"/>
      <c r="Q2443" s="74" t="s">
        <v>3358</v>
      </c>
    </row>
    <row r="2444" spans="3:17" x14ac:dyDescent="0.25">
      <c r="C2444" s="74" t="s">
        <v>3363</v>
      </c>
      <c r="D2444" s="74" t="s">
        <v>3364</v>
      </c>
      <c r="E2444" s="74" t="s">
        <v>391</v>
      </c>
      <c r="F2444" s="74">
        <v>0.1</v>
      </c>
      <c r="G2444" s="74"/>
      <c r="H2444" s="74"/>
      <c r="I2444" s="74" t="s">
        <v>391</v>
      </c>
      <c r="J2444" s="74"/>
      <c r="K2444" s="74">
        <v>102.4</v>
      </c>
      <c r="L2444" s="74">
        <v>92.16</v>
      </c>
      <c r="M2444" s="74"/>
      <c r="N2444" s="74" t="s">
        <v>392</v>
      </c>
      <c r="O2444" s="74" t="s">
        <v>393</v>
      </c>
      <c r="P2444" s="74"/>
      <c r="Q2444" s="74" t="s">
        <v>3365</v>
      </c>
    </row>
    <row r="2445" spans="3:17" x14ac:dyDescent="0.25">
      <c r="C2445" s="74" t="s">
        <v>3366</v>
      </c>
      <c r="D2445" s="74" t="s">
        <v>3367</v>
      </c>
      <c r="E2445" s="74" t="s">
        <v>391</v>
      </c>
      <c r="F2445" s="74">
        <v>0.1</v>
      </c>
      <c r="G2445" s="74"/>
      <c r="H2445" s="74"/>
      <c r="I2445" s="74" t="s">
        <v>391</v>
      </c>
      <c r="J2445" s="74"/>
      <c r="K2445" s="74">
        <v>102.4</v>
      </c>
      <c r="L2445" s="74">
        <v>92.16</v>
      </c>
      <c r="M2445" s="74"/>
      <c r="N2445" s="74" t="s">
        <v>392</v>
      </c>
      <c r="O2445" s="74" t="s">
        <v>393</v>
      </c>
      <c r="P2445" s="74"/>
      <c r="Q2445" s="74" t="s">
        <v>3368</v>
      </c>
    </row>
    <row r="2446" spans="3:17" x14ac:dyDescent="0.25">
      <c r="C2446" s="74" t="s">
        <v>3369</v>
      </c>
      <c r="D2446" s="74" t="s">
        <v>3370</v>
      </c>
      <c r="E2446" s="74" t="s">
        <v>391</v>
      </c>
      <c r="F2446" s="74">
        <v>0.1</v>
      </c>
      <c r="G2446" s="74"/>
      <c r="H2446" s="74"/>
      <c r="I2446" s="74" t="s">
        <v>391</v>
      </c>
      <c r="J2446" s="74"/>
      <c r="K2446" s="74">
        <v>102.4</v>
      </c>
      <c r="L2446" s="74">
        <v>92.16</v>
      </c>
      <c r="M2446" s="74"/>
      <c r="N2446" s="74" t="s">
        <v>392</v>
      </c>
      <c r="O2446" s="74" t="s">
        <v>393</v>
      </c>
      <c r="P2446" s="74"/>
      <c r="Q2446" s="74" t="s">
        <v>3371</v>
      </c>
    </row>
    <row r="2447" spans="3:17" x14ac:dyDescent="0.25">
      <c r="C2447" s="74" t="s">
        <v>3399</v>
      </c>
      <c r="D2447" s="74" t="s">
        <v>3400</v>
      </c>
      <c r="E2447" s="74" t="s">
        <v>391</v>
      </c>
      <c r="F2447" s="74">
        <v>0.1</v>
      </c>
      <c r="G2447" s="74"/>
      <c r="H2447" s="74"/>
      <c r="I2447" s="74" t="s">
        <v>391</v>
      </c>
      <c r="J2447" s="74"/>
      <c r="K2447" s="74">
        <v>102.4</v>
      </c>
      <c r="L2447" s="74">
        <v>92.16</v>
      </c>
      <c r="M2447" s="74"/>
      <c r="N2447" s="74" t="s">
        <v>392</v>
      </c>
      <c r="O2447" s="74" t="s">
        <v>393</v>
      </c>
      <c r="P2447" s="74"/>
      <c r="Q2447" s="74" t="s">
        <v>3401</v>
      </c>
    </row>
    <row r="2448" spans="3:17" x14ac:dyDescent="0.25">
      <c r="C2448" s="74" t="s">
        <v>3410</v>
      </c>
      <c r="D2448" s="74" t="s">
        <v>3411</v>
      </c>
      <c r="E2448" s="74" t="s">
        <v>391</v>
      </c>
      <c r="F2448" s="74">
        <v>0.1</v>
      </c>
      <c r="G2448" s="74"/>
      <c r="H2448" s="74"/>
      <c r="I2448" s="74" t="s">
        <v>391</v>
      </c>
      <c r="J2448" s="74"/>
      <c r="K2448" s="74">
        <v>102.4</v>
      </c>
      <c r="L2448" s="74">
        <v>92.16</v>
      </c>
      <c r="M2448" s="74"/>
      <c r="N2448" s="74" t="s">
        <v>392</v>
      </c>
      <c r="O2448" s="74" t="s">
        <v>393</v>
      </c>
      <c r="P2448" s="74"/>
      <c r="Q2448" s="74" t="s">
        <v>3412</v>
      </c>
    </row>
    <row r="2449" spans="3:17" x14ac:dyDescent="0.25">
      <c r="C2449" s="74" t="s">
        <v>3413</v>
      </c>
      <c r="D2449" s="74" t="s">
        <v>3414</v>
      </c>
      <c r="E2449" s="74" t="s">
        <v>391</v>
      </c>
      <c r="F2449" s="74">
        <v>0.1</v>
      </c>
      <c r="G2449" s="74"/>
      <c r="H2449" s="74"/>
      <c r="I2449" s="74" t="s">
        <v>391</v>
      </c>
      <c r="J2449" s="74"/>
      <c r="K2449" s="74">
        <v>102.4</v>
      </c>
      <c r="L2449" s="74">
        <v>92.16</v>
      </c>
      <c r="M2449" s="74"/>
      <c r="N2449" s="74" t="s">
        <v>392</v>
      </c>
      <c r="O2449" s="74" t="s">
        <v>393</v>
      </c>
      <c r="P2449" s="74"/>
      <c r="Q2449" s="74" t="s">
        <v>3415</v>
      </c>
    </row>
    <row r="2450" spans="3:17" x14ac:dyDescent="0.25">
      <c r="C2450" s="74" t="s">
        <v>3416</v>
      </c>
      <c r="D2450" s="74" t="s">
        <v>3417</v>
      </c>
      <c r="E2450" s="74" t="s">
        <v>391</v>
      </c>
      <c r="F2450" s="74">
        <v>0.1</v>
      </c>
      <c r="G2450" s="74"/>
      <c r="H2450" s="74"/>
      <c r="I2450" s="74" t="s">
        <v>391</v>
      </c>
      <c r="J2450" s="74"/>
      <c r="K2450" s="74">
        <v>102.4</v>
      </c>
      <c r="L2450" s="74">
        <v>92.16</v>
      </c>
      <c r="M2450" s="74"/>
      <c r="N2450" s="74" t="s">
        <v>392</v>
      </c>
      <c r="O2450" s="74" t="s">
        <v>393</v>
      </c>
      <c r="P2450" s="74"/>
      <c r="Q2450" s="74" t="s">
        <v>3418</v>
      </c>
    </row>
    <row r="2451" spans="3:17" x14ac:dyDescent="0.25">
      <c r="C2451" s="74" t="s">
        <v>3422</v>
      </c>
      <c r="D2451" s="74" t="s">
        <v>3423</v>
      </c>
      <c r="E2451" s="74" t="s">
        <v>391</v>
      </c>
      <c r="F2451" s="74">
        <v>0.1</v>
      </c>
      <c r="G2451" s="74"/>
      <c r="H2451" s="74"/>
      <c r="I2451" s="74" t="s">
        <v>391</v>
      </c>
      <c r="J2451" s="74"/>
      <c r="K2451" s="74">
        <v>102.4</v>
      </c>
      <c r="L2451" s="74">
        <v>92.16</v>
      </c>
      <c r="M2451" s="74"/>
      <c r="N2451" s="74" t="s">
        <v>392</v>
      </c>
      <c r="O2451" s="74" t="s">
        <v>393</v>
      </c>
      <c r="P2451" s="74"/>
      <c r="Q2451" s="74" t="s">
        <v>3424</v>
      </c>
    </row>
    <row r="2452" spans="3:17" x14ac:dyDescent="0.25">
      <c r="C2452" s="74" t="s">
        <v>3428</v>
      </c>
      <c r="D2452" s="74" t="s">
        <v>3429</v>
      </c>
      <c r="E2452" s="74" t="s">
        <v>391</v>
      </c>
      <c r="F2452" s="74">
        <v>0.1</v>
      </c>
      <c r="G2452" s="74"/>
      <c r="H2452" s="74"/>
      <c r="I2452" s="74" t="s">
        <v>391</v>
      </c>
      <c r="J2452" s="74"/>
      <c r="K2452" s="74">
        <v>102.4</v>
      </c>
      <c r="L2452" s="74">
        <v>92.16</v>
      </c>
      <c r="M2452" s="74"/>
      <c r="N2452" s="74" t="s">
        <v>392</v>
      </c>
      <c r="O2452" s="74" t="s">
        <v>393</v>
      </c>
      <c r="P2452" s="74"/>
      <c r="Q2452" s="74" t="s">
        <v>3430</v>
      </c>
    </row>
    <row r="2453" spans="3:17" x14ac:dyDescent="0.25">
      <c r="C2453" s="74" t="s">
        <v>3431</v>
      </c>
      <c r="D2453" s="74" t="s">
        <v>3432</v>
      </c>
      <c r="E2453" s="74" t="s">
        <v>391</v>
      </c>
      <c r="F2453" s="74">
        <v>0.1</v>
      </c>
      <c r="G2453" s="74"/>
      <c r="H2453" s="74"/>
      <c r="I2453" s="74" t="s">
        <v>391</v>
      </c>
      <c r="J2453" s="74"/>
      <c r="K2453" s="74">
        <v>102.4</v>
      </c>
      <c r="L2453" s="74">
        <v>92.16</v>
      </c>
      <c r="M2453" s="74"/>
      <c r="N2453" s="74" t="s">
        <v>392</v>
      </c>
      <c r="O2453" s="74" t="s">
        <v>393</v>
      </c>
      <c r="P2453" s="74"/>
      <c r="Q2453" s="74" t="s">
        <v>3433</v>
      </c>
    </row>
    <row r="2454" spans="3:17" x14ac:dyDescent="0.25">
      <c r="C2454" s="74" t="s">
        <v>3434</v>
      </c>
      <c r="D2454" s="74" t="s">
        <v>3435</v>
      </c>
      <c r="E2454" s="74" t="s">
        <v>391</v>
      </c>
      <c r="F2454" s="74">
        <v>0.1</v>
      </c>
      <c r="G2454" s="74"/>
      <c r="H2454" s="74"/>
      <c r="I2454" s="74" t="s">
        <v>391</v>
      </c>
      <c r="J2454" s="74"/>
      <c r="K2454" s="74">
        <v>102.4</v>
      </c>
      <c r="L2454" s="74">
        <v>92.16</v>
      </c>
      <c r="M2454" s="74"/>
      <c r="N2454" s="74" t="s">
        <v>392</v>
      </c>
      <c r="O2454" s="74" t="s">
        <v>393</v>
      </c>
      <c r="P2454" s="74"/>
      <c r="Q2454" s="74" t="s">
        <v>3436</v>
      </c>
    </row>
    <row r="2455" spans="3:17" x14ac:dyDescent="0.25">
      <c r="C2455" s="74" t="s">
        <v>3437</v>
      </c>
      <c r="D2455" s="74" t="s">
        <v>3438</v>
      </c>
      <c r="E2455" s="74" t="s">
        <v>391</v>
      </c>
      <c r="F2455" s="74">
        <v>0.1</v>
      </c>
      <c r="G2455" s="74"/>
      <c r="H2455" s="74"/>
      <c r="I2455" s="74" t="s">
        <v>391</v>
      </c>
      <c r="J2455" s="74"/>
      <c r="K2455" s="74">
        <v>102.4</v>
      </c>
      <c r="L2455" s="74">
        <v>92.16</v>
      </c>
      <c r="M2455" s="74"/>
      <c r="N2455" s="74" t="s">
        <v>392</v>
      </c>
      <c r="O2455" s="74" t="s">
        <v>393</v>
      </c>
      <c r="P2455" s="74"/>
      <c r="Q2455" s="74" t="s">
        <v>3439</v>
      </c>
    </row>
    <row r="2456" spans="3:17" x14ac:dyDescent="0.25">
      <c r="C2456" s="74" t="s">
        <v>3440</v>
      </c>
      <c r="D2456" s="74" t="s">
        <v>3441</v>
      </c>
      <c r="E2456" s="74" t="s">
        <v>391</v>
      </c>
      <c r="F2456" s="74">
        <v>0.1</v>
      </c>
      <c r="G2456" s="74"/>
      <c r="H2456" s="74"/>
      <c r="I2456" s="74" t="s">
        <v>391</v>
      </c>
      <c r="J2456" s="74"/>
      <c r="K2456" s="74">
        <v>102.4</v>
      </c>
      <c r="L2456" s="74">
        <v>92.16</v>
      </c>
      <c r="M2456" s="74"/>
      <c r="N2456" s="74" t="s">
        <v>392</v>
      </c>
      <c r="O2456" s="74" t="s">
        <v>393</v>
      </c>
      <c r="P2456" s="74"/>
      <c r="Q2456" s="74" t="s">
        <v>3442</v>
      </c>
    </row>
    <row r="2457" spans="3:17" x14ac:dyDescent="0.25">
      <c r="C2457" s="74" t="s">
        <v>3443</v>
      </c>
      <c r="D2457" s="74" t="s">
        <v>3444</v>
      </c>
      <c r="E2457" s="74" t="s">
        <v>391</v>
      </c>
      <c r="F2457" s="74">
        <v>0.1</v>
      </c>
      <c r="G2457" s="74"/>
      <c r="H2457" s="74"/>
      <c r="I2457" s="74" t="s">
        <v>391</v>
      </c>
      <c r="J2457" s="74"/>
      <c r="K2457" s="74">
        <v>102.4</v>
      </c>
      <c r="L2457" s="74">
        <v>92.16</v>
      </c>
      <c r="M2457" s="74"/>
      <c r="N2457" s="74" t="s">
        <v>392</v>
      </c>
      <c r="O2457" s="74" t="s">
        <v>393</v>
      </c>
      <c r="P2457" s="74"/>
      <c r="Q2457" s="74" t="s">
        <v>3445</v>
      </c>
    </row>
    <row r="2458" spans="3:17" x14ac:dyDescent="0.25">
      <c r="C2458" s="74" t="s">
        <v>3446</v>
      </c>
      <c r="D2458" s="74" t="s">
        <v>3447</v>
      </c>
      <c r="E2458" s="74" t="s">
        <v>391</v>
      </c>
      <c r="F2458" s="74">
        <v>0.1</v>
      </c>
      <c r="G2458" s="74"/>
      <c r="H2458" s="74"/>
      <c r="I2458" s="74" t="s">
        <v>391</v>
      </c>
      <c r="J2458" s="74"/>
      <c r="K2458" s="74">
        <v>102.4</v>
      </c>
      <c r="L2458" s="74">
        <v>92.16</v>
      </c>
      <c r="M2458" s="74"/>
      <c r="N2458" s="74" t="s">
        <v>392</v>
      </c>
      <c r="O2458" s="74" t="s">
        <v>393</v>
      </c>
      <c r="P2458" s="74"/>
      <c r="Q2458" s="74" t="s">
        <v>3448</v>
      </c>
    </row>
    <row r="2459" spans="3:17" x14ac:dyDescent="0.25">
      <c r="C2459" s="74" t="s">
        <v>3461</v>
      </c>
      <c r="D2459" s="74" t="s">
        <v>3462</v>
      </c>
      <c r="E2459" s="74" t="s">
        <v>391</v>
      </c>
      <c r="F2459" s="74">
        <v>0.1</v>
      </c>
      <c r="G2459" s="74"/>
      <c r="H2459" s="74"/>
      <c r="I2459" s="74" t="s">
        <v>391</v>
      </c>
      <c r="J2459" s="74"/>
      <c r="K2459" s="74">
        <v>102.4</v>
      </c>
      <c r="L2459" s="74">
        <v>92.16</v>
      </c>
      <c r="M2459" s="74"/>
      <c r="N2459" s="74" t="s">
        <v>392</v>
      </c>
      <c r="O2459" s="74" t="s">
        <v>393</v>
      </c>
      <c r="P2459" s="74"/>
      <c r="Q2459" s="74" t="s">
        <v>3463</v>
      </c>
    </row>
    <row r="2460" spans="3:17" x14ac:dyDescent="0.25">
      <c r="C2460" s="74" t="s">
        <v>3472</v>
      </c>
      <c r="D2460" s="74" t="s">
        <v>3473</v>
      </c>
      <c r="E2460" s="74" t="s">
        <v>391</v>
      </c>
      <c r="F2460" s="74">
        <v>0.1</v>
      </c>
      <c r="G2460" s="74"/>
      <c r="H2460" s="74"/>
      <c r="I2460" s="74" t="s">
        <v>391</v>
      </c>
      <c r="J2460" s="74"/>
      <c r="K2460" s="74">
        <v>102.4</v>
      </c>
      <c r="L2460" s="74">
        <v>92.16</v>
      </c>
      <c r="M2460" s="74"/>
      <c r="N2460" s="74" t="s">
        <v>392</v>
      </c>
      <c r="O2460" s="74" t="s">
        <v>393</v>
      </c>
      <c r="P2460" s="74"/>
      <c r="Q2460" s="74" t="s">
        <v>3474</v>
      </c>
    </row>
    <row r="2461" spans="3:17" x14ac:dyDescent="0.25">
      <c r="C2461" s="74" t="s">
        <v>3497</v>
      </c>
      <c r="D2461" s="74" t="s">
        <v>3498</v>
      </c>
      <c r="E2461" s="74" t="s">
        <v>391</v>
      </c>
      <c r="F2461" s="74">
        <v>0.1</v>
      </c>
      <c r="G2461" s="74"/>
      <c r="H2461" s="74"/>
      <c r="I2461" s="74" t="s">
        <v>391</v>
      </c>
      <c r="J2461" s="74"/>
      <c r="K2461" s="74">
        <v>102.4</v>
      </c>
      <c r="L2461" s="74">
        <v>92.16</v>
      </c>
      <c r="M2461" s="74"/>
      <c r="N2461" s="74" t="s">
        <v>392</v>
      </c>
      <c r="O2461" s="74" t="s">
        <v>393</v>
      </c>
      <c r="P2461" s="74"/>
      <c r="Q2461" s="74" t="s">
        <v>3498</v>
      </c>
    </row>
    <row r="2462" spans="3:17" x14ac:dyDescent="0.25">
      <c r="C2462" s="74" t="s">
        <v>3499</v>
      </c>
      <c r="D2462" s="74" t="s">
        <v>3500</v>
      </c>
      <c r="E2462" s="74" t="s">
        <v>391</v>
      </c>
      <c r="F2462" s="74">
        <v>0.1</v>
      </c>
      <c r="G2462" s="74"/>
      <c r="H2462" s="74"/>
      <c r="I2462" s="74" t="s">
        <v>391</v>
      </c>
      <c r="J2462" s="74"/>
      <c r="K2462" s="74">
        <v>102.4</v>
      </c>
      <c r="L2462" s="74">
        <v>92.16</v>
      </c>
      <c r="M2462" s="74"/>
      <c r="N2462" s="74" t="s">
        <v>392</v>
      </c>
      <c r="O2462" s="74" t="s">
        <v>393</v>
      </c>
      <c r="P2462" s="74"/>
      <c r="Q2462" s="74" t="s">
        <v>3501</v>
      </c>
    </row>
    <row r="2463" spans="3:17" x14ac:dyDescent="0.25">
      <c r="C2463" s="74" t="s">
        <v>3514</v>
      </c>
      <c r="D2463" s="74" t="s">
        <v>3515</v>
      </c>
      <c r="E2463" s="74" t="s">
        <v>391</v>
      </c>
      <c r="F2463" s="74">
        <v>0.1</v>
      </c>
      <c r="G2463" s="74"/>
      <c r="H2463" s="74"/>
      <c r="I2463" s="74" t="s">
        <v>391</v>
      </c>
      <c r="J2463" s="74"/>
      <c r="K2463" s="74">
        <v>102.4</v>
      </c>
      <c r="L2463" s="74">
        <v>92.16</v>
      </c>
      <c r="M2463" s="74"/>
      <c r="N2463" s="74" t="s">
        <v>392</v>
      </c>
      <c r="O2463" s="74" t="s">
        <v>393</v>
      </c>
      <c r="P2463" s="74"/>
      <c r="Q2463" s="74" t="s">
        <v>3516</v>
      </c>
    </row>
    <row r="2464" spans="3:17" x14ac:dyDescent="0.25">
      <c r="C2464" s="74" t="s">
        <v>3521</v>
      </c>
      <c r="D2464" s="74" t="s">
        <v>3522</v>
      </c>
      <c r="E2464" s="74" t="s">
        <v>391</v>
      </c>
      <c r="F2464" s="74">
        <v>0.1</v>
      </c>
      <c r="G2464" s="74"/>
      <c r="H2464" s="74"/>
      <c r="I2464" s="74" t="s">
        <v>391</v>
      </c>
      <c r="J2464" s="74"/>
      <c r="K2464" s="74">
        <v>102.4</v>
      </c>
      <c r="L2464" s="74">
        <v>92.16</v>
      </c>
      <c r="M2464" s="74"/>
      <c r="N2464" s="74" t="s">
        <v>392</v>
      </c>
      <c r="O2464" s="74" t="s">
        <v>393</v>
      </c>
      <c r="P2464" s="74"/>
      <c r="Q2464" s="74" t="s">
        <v>3523</v>
      </c>
    </row>
    <row r="2465" spans="3:17" x14ac:dyDescent="0.25">
      <c r="C2465" s="74" t="s">
        <v>3527</v>
      </c>
      <c r="D2465" s="74" t="s">
        <v>3528</v>
      </c>
      <c r="E2465" s="74" t="s">
        <v>391</v>
      </c>
      <c r="F2465" s="74">
        <v>0.1</v>
      </c>
      <c r="G2465" s="74"/>
      <c r="H2465" s="74"/>
      <c r="I2465" s="74" t="s">
        <v>391</v>
      </c>
      <c r="J2465" s="74"/>
      <c r="K2465" s="74">
        <v>102.4</v>
      </c>
      <c r="L2465" s="74">
        <v>92.16</v>
      </c>
      <c r="M2465" s="74"/>
      <c r="N2465" s="74" t="s">
        <v>392</v>
      </c>
      <c r="O2465" s="74" t="s">
        <v>393</v>
      </c>
      <c r="P2465" s="74"/>
      <c r="Q2465" s="74" t="s">
        <v>3529</v>
      </c>
    </row>
    <row r="2466" spans="3:17" x14ac:dyDescent="0.25">
      <c r="C2466" s="74" t="s">
        <v>3537</v>
      </c>
      <c r="D2466" s="74" t="s">
        <v>3538</v>
      </c>
      <c r="E2466" s="74" t="s">
        <v>391</v>
      </c>
      <c r="F2466" s="74">
        <v>0.1</v>
      </c>
      <c r="G2466" s="74"/>
      <c r="H2466" s="74"/>
      <c r="I2466" s="74" t="s">
        <v>391</v>
      </c>
      <c r="J2466" s="74"/>
      <c r="K2466" s="74">
        <v>102.4</v>
      </c>
      <c r="L2466" s="74">
        <v>92.16</v>
      </c>
      <c r="M2466" s="74"/>
      <c r="N2466" s="74" t="s">
        <v>392</v>
      </c>
      <c r="O2466" s="74" t="s">
        <v>393</v>
      </c>
      <c r="P2466" s="74"/>
      <c r="Q2466" s="74" t="s">
        <v>3539</v>
      </c>
    </row>
    <row r="2467" spans="3:17" x14ac:dyDescent="0.25">
      <c r="C2467" s="74" t="s">
        <v>3562</v>
      </c>
      <c r="D2467" s="74" t="s">
        <v>3563</v>
      </c>
      <c r="E2467" s="74" t="s">
        <v>391</v>
      </c>
      <c r="F2467" s="74">
        <v>0.1</v>
      </c>
      <c r="G2467" s="74"/>
      <c r="H2467" s="74"/>
      <c r="I2467" s="74" t="s">
        <v>391</v>
      </c>
      <c r="J2467" s="74"/>
      <c r="K2467" s="74">
        <v>102.4</v>
      </c>
      <c r="L2467" s="74">
        <v>92.16</v>
      </c>
      <c r="M2467" s="74"/>
      <c r="N2467" s="74" t="s">
        <v>392</v>
      </c>
      <c r="O2467" s="74" t="s">
        <v>393</v>
      </c>
      <c r="P2467" s="74"/>
      <c r="Q2467" s="74" t="s">
        <v>3564</v>
      </c>
    </row>
    <row r="2468" spans="3:17" x14ac:dyDescent="0.25">
      <c r="C2468" s="74" t="s">
        <v>3569</v>
      </c>
      <c r="D2468" s="74" t="s">
        <v>3570</v>
      </c>
      <c r="E2468" s="74" t="s">
        <v>391</v>
      </c>
      <c r="F2468" s="74">
        <v>0.1</v>
      </c>
      <c r="G2468" s="74"/>
      <c r="H2468" s="74"/>
      <c r="I2468" s="74" t="s">
        <v>391</v>
      </c>
      <c r="J2468" s="74"/>
      <c r="K2468" s="74">
        <v>102.4</v>
      </c>
      <c r="L2468" s="74">
        <v>92.16</v>
      </c>
      <c r="M2468" s="74"/>
      <c r="N2468" s="74" t="s">
        <v>392</v>
      </c>
      <c r="O2468" s="74" t="s">
        <v>393</v>
      </c>
      <c r="P2468" s="74"/>
      <c r="Q2468" s="74" t="s">
        <v>3571</v>
      </c>
    </row>
    <row r="2469" spans="3:17" x14ac:dyDescent="0.25">
      <c r="C2469" s="74" t="s">
        <v>3572</v>
      </c>
      <c r="D2469" s="74" t="s">
        <v>3573</v>
      </c>
      <c r="E2469" s="74" t="s">
        <v>391</v>
      </c>
      <c r="F2469" s="74">
        <v>0.1</v>
      </c>
      <c r="G2469" s="74"/>
      <c r="H2469" s="74"/>
      <c r="I2469" s="74" t="s">
        <v>391</v>
      </c>
      <c r="J2469" s="74"/>
      <c r="K2469" s="74">
        <v>102.4</v>
      </c>
      <c r="L2469" s="74">
        <v>92.16</v>
      </c>
      <c r="M2469" s="74"/>
      <c r="N2469" s="74" t="s">
        <v>392</v>
      </c>
      <c r="O2469" s="74" t="s">
        <v>393</v>
      </c>
      <c r="P2469" s="74"/>
      <c r="Q2469" s="74" t="s">
        <v>3574</v>
      </c>
    </row>
    <row r="2470" spans="3:17" x14ac:dyDescent="0.25">
      <c r="C2470" s="74" t="s">
        <v>3586</v>
      </c>
      <c r="D2470" s="74" t="s">
        <v>3587</v>
      </c>
      <c r="E2470" s="74" t="s">
        <v>391</v>
      </c>
      <c r="F2470" s="74">
        <v>0.1</v>
      </c>
      <c r="G2470" s="74"/>
      <c r="H2470" s="74"/>
      <c r="I2470" s="74" t="s">
        <v>391</v>
      </c>
      <c r="J2470" s="74"/>
      <c r="K2470" s="74">
        <v>102.4</v>
      </c>
      <c r="L2470" s="74">
        <v>92.16</v>
      </c>
      <c r="M2470" s="74"/>
      <c r="N2470" s="74" t="s">
        <v>392</v>
      </c>
      <c r="O2470" s="74" t="s">
        <v>393</v>
      </c>
      <c r="P2470" s="74"/>
      <c r="Q2470" s="74" t="s">
        <v>3588</v>
      </c>
    </row>
    <row r="2471" spans="3:17" x14ac:dyDescent="0.25">
      <c r="C2471" s="74" t="s">
        <v>3589</v>
      </c>
      <c r="D2471" s="74" t="s">
        <v>3590</v>
      </c>
      <c r="E2471" s="74" t="s">
        <v>391</v>
      </c>
      <c r="F2471" s="74">
        <v>0.1</v>
      </c>
      <c r="G2471" s="74"/>
      <c r="H2471" s="74"/>
      <c r="I2471" s="74" t="s">
        <v>391</v>
      </c>
      <c r="J2471" s="74"/>
      <c r="K2471" s="74">
        <v>102.4</v>
      </c>
      <c r="L2471" s="74">
        <v>92.16</v>
      </c>
      <c r="M2471" s="74"/>
      <c r="N2471" s="74" t="s">
        <v>392</v>
      </c>
      <c r="O2471" s="74" t="s">
        <v>393</v>
      </c>
      <c r="P2471" s="74"/>
      <c r="Q2471" s="74" t="s">
        <v>3591</v>
      </c>
    </row>
    <row r="2472" spans="3:17" x14ac:dyDescent="0.25">
      <c r="C2472" s="74" t="s">
        <v>3600</v>
      </c>
      <c r="D2472" s="74" t="s">
        <v>3601</v>
      </c>
      <c r="E2472" s="74" t="s">
        <v>391</v>
      </c>
      <c r="F2472" s="74">
        <v>0.1</v>
      </c>
      <c r="G2472" s="74"/>
      <c r="H2472" s="74"/>
      <c r="I2472" s="74" t="s">
        <v>391</v>
      </c>
      <c r="J2472" s="74"/>
      <c r="K2472" s="74">
        <v>102.4</v>
      </c>
      <c r="L2472" s="74">
        <v>92.16</v>
      </c>
      <c r="M2472" s="74"/>
      <c r="N2472" s="74" t="s">
        <v>392</v>
      </c>
      <c r="O2472" s="74" t="s">
        <v>393</v>
      </c>
      <c r="P2472" s="74"/>
      <c r="Q2472" s="74" t="s">
        <v>3602</v>
      </c>
    </row>
    <row r="2473" spans="3:17" x14ac:dyDescent="0.25">
      <c r="C2473" s="74" t="s">
        <v>3606</v>
      </c>
      <c r="D2473" s="74" t="s">
        <v>3607</v>
      </c>
      <c r="E2473" s="74" t="s">
        <v>391</v>
      </c>
      <c r="F2473" s="74">
        <v>0.1</v>
      </c>
      <c r="G2473" s="74"/>
      <c r="H2473" s="74"/>
      <c r="I2473" s="74" t="s">
        <v>391</v>
      </c>
      <c r="J2473" s="74"/>
      <c r="K2473" s="74">
        <v>102.4</v>
      </c>
      <c r="L2473" s="74">
        <v>92.16</v>
      </c>
      <c r="M2473" s="74"/>
      <c r="N2473" s="74" t="s">
        <v>392</v>
      </c>
      <c r="O2473" s="74" t="s">
        <v>393</v>
      </c>
      <c r="P2473" s="74"/>
      <c r="Q2473" s="74" t="s">
        <v>3608</v>
      </c>
    </row>
    <row r="2474" spans="3:17" x14ac:dyDescent="0.25">
      <c r="C2474" s="74" t="s">
        <v>3620</v>
      </c>
      <c r="D2474" s="74" t="s">
        <v>3621</v>
      </c>
      <c r="E2474" s="74" t="s">
        <v>391</v>
      </c>
      <c r="F2474" s="74">
        <v>0.1</v>
      </c>
      <c r="G2474" s="74"/>
      <c r="H2474" s="74"/>
      <c r="I2474" s="74" t="s">
        <v>391</v>
      </c>
      <c r="J2474" s="74"/>
      <c r="K2474" s="74">
        <v>102.4</v>
      </c>
      <c r="L2474" s="74">
        <v>92.16</v>
      </c>
      <c r="M2474" s="74"/>
      <c r="N2474" s="74" t="s">
        <v>392</v>
      </c>
      <c r="O2474" s="74" t="s">
        <v>393</v>
      </c>
      <c r="P2474" s="74"/>
      <c r="Q2474" s="74" t="s">
        <v>3622</v>
      </c>
    </row>
    <row r="2475" spans="3:17" x14ac:dyDescent="0.25">
      <c r="C2475" s="74" t="s">
        <v>3635</v>
      </c>
      <c r="D2475" s="74" t="s">
        <v>3636</v>
      </c>
      <c r="E2475" s="74" t="s">
        <v>391</v>
      </c>
      <c r="F2475" s="74">
        <v>0.1</v>
      </c>
      <c r="G2475" s="74"/>
      <c r="H2475" s="74"/>
      <c r="I2475" s="74" t="s">
        <v>391</v>
      </c>
      <c r="J2475" s="74"/>
      <c r="K2475" s="74">
        <v>102.4</v>
      </c>
      <c r="L2475" s="74">
        <v>92.16</v>
      </c>
      <c r="M2475" s="74"/>
      <c r="N2475" s="74" t="s">
        <v>392</v>
      </c>
      <c r="O2475" s="74" t="s">
        <v>393</v>
      </c>
      <c r="P2475" s="74"/>
      <c r="Q2475" s="74" t="s">
        <v>3637</v>
      </c>
    </row>
    <row r="2476" spans="3:17" x14ac:dyDescent="0.25">
      <c r="C2476" s="74" t="s">
        <v>3638</v>
      </c>
      <c r="D2476" s="74" t="s">
        <v>3639</v>
      </c>
      <c r="E2476" s="74" t="s">
        <v>391</v>
      </c>
      <c r="F2476" s="74">
        <v>0.1</v>
      </c>
      <c r="G2476" s="74"/>
      <c r="H2476" s="74"/>
      <c r="I2476" s="74" t="s">
        <v>391</v>
      </c>
      <c r="J2476" s="74"/>
      <c r="K2476" s="74">
        <v>102.4</v>
      </c>
      <c r="L2476" s="74">
        <v>92.16</v>
      </c>
      <c r="M2476" s="74"/>
      <c r="N2476" s="74" t="s">
        <v>392</v>
      </c>
      <c r="O2476" s="74" t="s">
        <v>393</v>
      </c>
      <c r="P2476" s="74"/>
      <c r="Q2476" s="74" t="s">
        <v>3640</v>
      </c>
    </row>
    <row r="2477" spans="3:17" x14ac:dyDescent="0.25">
      <c r="C2477" s="74" t="s">
        <v>3641</v>
      </c>
      <c r="D2477" s="74" t="s">
        <v>3642</v>
      </c>
      <c r="E2477" s="74" t="s">
        <v>391</v>
      </c>
      <c r="F2477" s="74">
        <v>0.1</v>
      </c>
      <c r="G2477" s="74"/>
      <c r="H2477" s="74"/>
      <c r="I2477" s="74" t="s">
        <v>391</v>
      </c>
      <c r="J2477" s="74"/>
      <c r="K2477" s="74">
        <v>102.4</v>
      </c>
      <c r="L2477" s="74">
        <v>92.16</v>
      </c>
      <c r="M2477" s="74"/>
      <c r="N2477" s="74" t="s">
        <v>392</v>
      </c>
      <c r="O2477" s="74" t="s">
        <v>393</v>
      </c>
      <c r="P2477" s="74"/>
      <c r="Q2477" s="74" t="s">
        <v>3643</v>
      </c>
    </row>
    <row r="2478" spans="3:17" x14ac:dyDescent="0.25">
      <c r="C2478" s="74" t="s">
        <v>3647</v>
      </c>
      <c r="D2478" s="74" t="s">
        <v>3648</v>
      </c>
      <c r="E2478" s="74" t="s">
        <v>391</v>
      </c>
      <c r="F2478" s="74">
        <v>0.1</v>
      </c>
      <c r="G2478" s="74"/>
      <c r="H2478" s="74"/>
      <c r="I2478" s="74" t="s">
        <v>391</v>
      </c>
      <c r="J2478" s="74"/>
      <c r="K2478" s="74">
        <v>102.4</v>
      </c>
      <c r="L2478" s="74">
        <v>92.16</v>
      </c>
      <c r="M2478" s="74"/>
      <c r="N2478" s="74" t="s">
        <v>392</v>
      </c>
      <c r="O2478" s="74" t="s">
        <v>393</v>
      </c>
      <c r="P2478" s="74"/>
      <c r="Q2478" s="74" t="s">
        <v>3649</v>
      </c>
    </row>
    <row r="2479" spans="3:17" x14ac:dyDescent="0.25">
      <c r="C2479" s="74" t="s">
        <v>3658</v>
      </c>
      <c r="D2479" s="74" t="s">
        <v>3659</v>
      </c>
      <c r="E2479" s="74" t="s">
        <v>391</v>
      </c>
      <c r="F2479" s="74">
        <v>0.1</v>
      </c>
      <c r="G2479" s="74"/>
      <c r="H2479" s="74"/>
      <c r="I2479" s="74" t="s">
        <v>391</v>
      </c>
      <c r="J2479" s="74"/>
      <c r="K2479" s="74">
        <v>102.4</v>
      </c>
      <c r="L2479" s="74">
        <v>92.16</v>
      </c>
      <c r="M2479" s="74"/>
      <c r="N2479" s="74" t="s">
        <v>392</v>
      </c>
      <c r="O2479" s="74" t="s">
        <v>393</v>
      </c>
      <c r="P2479" s="74"/>
      <c r="Q2479" s="74" t="s">
        <v>3660</v>
      </c>
    </row>
    <row r="2480" spans="3:17" x14ac:dyDescent="0.25">
      <c r="C2480" s="74" t="s">
        <v>3676</v>
      </c>
      <c r="D2480" s="74" t="s">
        <v>3677</v>
      </c>
      <c r="E2480" s="74" t="s">
        <v>391</v>
      </c>
      <c r="F2480" s="74">
        <v>0.1</v>
      </c>
      <c r="G2480" s="74"/>
      <c r="H2480" s="74"/>
      <c r="I2480" s="74" t="s">
        <v>391</v>
      </c>
      <c r="J2480" s="74"/>
      <c r="K2480" s="74">
        <v>102.4</v>
      </c>
      <c r="L2480" s="74">
        <v>92.16</v>
      </c>
      <c r="M2480" s="74"/>
      <c r="N2480" s="74" t="s">
        <v>392</v>
      </c>
      <c r="O2480" s="74" t="s">
        <v>393</v>
      </c>
      <c r="P2480" s="74"/>
      <c r="Q2480" s="74" t="s">
        <v>3678</v>
      </c>
    </row>
    <row r="2481" spans="3:17" x14ac:dyDescent="0.25">
      <c r="C2481" s="74" t="s">
        <v>3683</v>
      </c>
      <c r="D2481" s="74" t="s">
        <v>3684</v>
      </c>
      <c r="E2481" s="74" t="s">
        <v>391</v>
      </c>
      <c r="F2481" s="74">
        <v>0.1</v>
      </c>
      <c r="G2481" s="74"/>
      <c r="H2481" s="74"/>
      <c r="I2481" s="74" t="s">
        <v>391</v>
      </c>
      <c r="J2481" s="74"/>
      <c r="K2481" s="74">
        <v>102.4</v>
      </c>
      <c r="L2481" s="74">
        <v>92.16</v>
      </c>
      <c r="M2481" s="74"/>
      <c r="N2481" s="74" t="s">
        <v>392</v>
      </c>
      <c r="O2481" s="74" t="s">
        <v>393</v>
      </c>
      <c r="P2481" s="74"/>
      <c r="Q2481" s="74" t="s">
        <v>3685</v>
      </c>
    </row>
    <row r="2482" spans="3:17" x14ac:dyDescent="0.25">
      <c r="C2482" s="74" t="s">
        <v>3697</v>
      </c>
      <c r="D2482" s="74" t="s">
        <v>3698</v>
      </c>
      <c r="E2482" s="74" t="s">
        <v>391</v>
      </c>
      <c r="F2482" s="74">
        <v>0.1</v>
      </c>
      <c r="G2482" s="74"/>
      <c r="H2482" s="74"/>
      <c r="I2482" s="74" t="s">
        <v>391</v>
      </c>
      <c r="J2482" s="74"/>
      <c r="K2482" s="74">
        <v>102.4</v>
      </c>
      <c r="L2482" s="74">
        <v>92.16</v>
      </c>
      <c r="M2482" s="74"/>
      <c r="N2482" s="74" t="s">
        <v>392</v>
      </c>
      <c r="O2482" s="74" t="s">
        <v>393</v>
      </c>
      <c r="P2482" s="74"/>
      <c r="Q2482" s="74" t="s">
        <v>3699</v>
      </c>
    </row>
    <row r="2483" spans="3:17" x14ac:dyDescent="0.25">
      <c r="C2483" s="74" t="s">
        <v>3700</v>
      </c>
      <c r="D2483" s="74" t="s">
        <v>3701</v>
      </c>
      <c r="E2483" s="74" t="s">
        <v>391</v>
      </c>
      <c r="F2483" s="74">
        <v>0.1</v>
      </c>
      <c r="G2483" s="74"/>
      <c r="H2483" s="74"/>
      <c r="I2483" s="74" t="s">
        <v>391</v>
      </c>
      <c r="J2483" s="74"/>
      <c r="K2483" s="74">
        <v>102.4</v>
      </c>
      <c r="L2483" s="74">
        <v>92.16</v>
      </c>
      <c r="M2483" s="74"/>
      <c r="N2483" s="74" t="s">
        <v>392</v>
      </c>
      <c r="O2483" s="74" t="s">
        <v>393</v>
      </c>
      <c r="P2483" s="74"/>
      <c r="Q2483" s="74" t="s">
        <v>3702</v>
      </c>
    </row>
    <row r="2484" spans="3:17" x14ac:dyDescent="0.25">
      <c r="C2484" s="74" t="s">
        <v>3706</v>
      </c>
      <c r="D2484" s="74" t="s">
        <v>3707</v>
      </c>
      <c r="E2484" s="74" t="s">
        <v>391</v>
      </c>
      <c r="F2484" s="74">
        <v>0.1</v>
      </c>
      <c r="G2484" s="74"/>
      <c r="H2484" s="74"/>
      <c r="I2484" s="74" t="s">
        <v>391</v>
      </c>
      <c r="J2484" s="74"/>
      <c r="K2484" s="74">
        <v>102.4</v>
      </c>
      <c r="L2484" s="74">
        <v>92.16</v>
      </c>
      <c r="M2484" s="74"/>
      <c r="N2484" s="74" t="s">
        <v>392</v>
      </c>
      <c r="O2484" s="74" t="s">
        <v>393</v>
      </c>
      <c r="P2484" s="74"/>
      <c r="Q2484" s="74" t="s">
        <v>3708</v>
      </c>
    </row>
    <row r="2485" spans="3:17" x14ac:dyDescent="0.25">
      <c r="C2485" s="74" t="s">
        <v>3709</v>
      </c>
      <c r="D2485" s="74" t="s">
        <v>3710</v>
      </c>
      <c r="E2485" s="74" t="s">
        <v>391</v>
      </c>
      <c r="F2485" s="74">
        <v>0.1</v>
      </c>
      <c r="G2485" s="74"/>
      <c r="H2485" s="74"/>
      <c r="I2485" s="74" t="s">
        <v>391</v>
      </c>
      <c r="J2485" s="74"/>
      <c r="K2485" s="74">
        <v>102.4</v>
      </c>
      <c r="L2485" s="74">
        <v>92.16</v>
      </c>
      <c r="M2485" s="74"/>
      <c r="N2485" s="74" t="s">
        <v>392</v>
      </c>
      <c r="O2485" s="74" t="s">
        <v>393</v>
      </c>
      <c r="P2485" s="74"/>
      <c r="Q2485" s="74" t="s">
        <v>3711</v>
      </c>
    </row>
    <row r="2486" spans="3:17" x14ac:dyDescent="0.25">
      <c r="C2486" s="74" t="s">
        <v>3716</v>
      </c>
      <c r="D2486" s="74" t="s">
        <v>3717</v>
      </c>
      <c r="E2486" s="74" t="s">
        <v>391</v>
      </c>
      <c r="F2486" s="74">
        <v>0.1</v>
      </c>
      <c r="G2486" s="74"/>
      <c r="H2486" s="74"/>
      <c r="I2486" s="74" t="s">
        <v>391</v>
      </c>
      <c r="J2486" s="74"/>
      <c r="K2486" s="74">
        <v>102.4</v>
      </c>
      <c r="L2486" s="74">
        <v>92.16</v>
      </c>
      <c r="M2486" s="74"/>
      <c r="N2486" s="74" t="s">
        <v>392</v>
      </c>
      <c r="O2486" s="74" t="s">
        <v>393</v>
      </c>
      <c r="P2486" s="74"/>
      <c r="Q2486" s="74" t="s">
        <v>3718</v>
      </c>
    </row>
    <row r="2487" spans="3:17" x14ac:dyDescent="0.25">
      <c r="C2487" s="74" t="s">
        <v>3731</v>
      </c>
      <c r="D2487" s="74" t="s">
        <v>3732</v>
      </c>
      <c r="E2487" s="74" t="s">
        <v>391</v>
      </c>
      <c r="F2487" s="74">
        <v>0.1</v>
      </c>
      <c r="G2487" s="74"/>
      <c r="H2487" s="74"/>
      <c r="I2487" s="74" t="s">
        <v>391</v>
      </c>
      <c r="J2487" s="74"/>
      <c r="K2487" s="74">
        <v>102.4</v>
      </c>
      <c r="L2487" s="74">
        <v>92.16</v>
      </c>
      <c r="M2487" s="74"/>
      <c r="N2487" s="74" t="s">
        <v>392</v>
      </c>
      <c r="O2487" s="74" t="s">
        <v>393</v>
      </c>
      <c r="P2487" s="74"/>
      <c r="Q2487" s="74" t="s">
        <v>3733</v>
      </c>
    </row>
    <row r="2488" spans="3:17" x14ac:dyDescent="0.25">
      <c r="C2488" s="74" t="s">
        <v>3734</v>
      </c>
      <c r="D2488" s="74" t="s">
        <v>3735</v>
      </c>
      <c r="E2488" s="74" t="s">
        <v>391</v>
      </c>
      <c r="F2488" s="74">
        <v>0.1</v>
      </c>
      <c r="G2488" s="74"/>
      <c r="H2488" s="74"/>
      <c r="I2488" s="74" t="s">
        <v>391</v>
      </c>
      <c r="J2488" s="74"/>
      <c r="K2488" s="74">
        <v>102.4</v>
      </c>
      <c r="L2488" s="74">
        <v>92.16</v>
      </c>
      <c r="M2488" s="74"/>
      <c r="N2488" s="74" t="s">
        <v>392</v>
      </c>
      <c r="O2488" s="74" t="s">
        <v>393</v>
      </c>
      <c r="P2488" s="74"/>
      <c r="Q2488" s="74" t="s">
        <v>3736</v>
      </c>
    </row>
    <row r="2489" spans="3:17" x14ac:dyDescent="0.25">
      <c r="C2489" s="74" t="s">
        <v>3753</v>
      </c>
      <c r="D2489" s="74" t="s">
        <v>3754</v>
      </c>
      <c r="E2489" s="74" t="s">
        <v>391</v>
      </c>
      <c r="F2489" s="74">
        <v>0.1</v>
      </c>
      <c r="G2489" s="74"/>
      <c r="H2489" s="74"/>
      <c r="I2489" s="74" t="s">
        <v>391</v>
      </c>
      <c r="J2489" s="74"/>
      <c r="K2489" s="74">
        <v>102.4</v>
      </c>
      <c r="L2489" s="74">
        <v>92.16</v>
      </c>
      <c r="M2489" s="74"/>
      <c r="N2489" s="74" t="s">
        <v>392</v>
      </c>
      <c r="O2489" s="74" t="s">
        <v>393</v>
      </c>
      <c r="P2489" s="74"/>
      <c r="Q2489" s="74" t="s">
        <v>3755</v>
      </c>
    </row>
    <row r="2490" spans="3:17" x14ac:dyDescent="0.25">
      <c r="C2490" s="74" t="s">
        <v>3756</v>
      </c>
      <c r="D2490" s="74" t="s">
        <v>3757</v>
      </c>
      <c r="E2490" s="74" t="s">
        <v>391</v>
      </c>
      <c r="F2490" s="74">
        <v>0.1</v>
      </c>
      <c r="G2490" s="74"/>
      <c r="H2490" s="74"/>
      <c r="I2490" s="74" t="s">
        <v>391</v>
      </c>
      <c r="J2490" s="74"/>
      <c r="K2490" s="74">
        <v>102.4</v>
      </c>
      <c r="L2490" s="74">
        <v>92.16</v>
      </c>
      <c r="M2490" s="74"/>
      <c r="N2490" s="74" t="s">
        <v>392</v>
      </c>
      <c r="O2490" s="74" t="s">
        <v>393</v>
      </c>
      <c r="P2490" s="74"/>
      <c r="Q2490" s="74" t="s">
        <v>3758</v>
      </c>
    </row>
    <row r="2491" spans="3:17" x14ac:dyDescent="0.25">
      <c r="C2491" s="74" t="s">
        <v>3766</v>
      </c>
      <c r="D2491" s="74" t="s">
        <v>3767</v>
      </c>
      <c r="E2491" s="74" t="s">
        <v>391</v>
      </c>
      <c r="F2491" s="74">
        <v>0.1</v>
      </c>
      <c r="G2491" s="74"/>
      <c r="H2491" s="74"/>
      <c r="I2491" s="74" t="s">
        <v>391</v>
      </c>
      <c r="J2491" s="74"/>
      <c r="K2491" s="74">
        <v>102.4</v>
      </c>
      <c r="L2491" s="74">
        <v>92.16</v>
      </c>
      <c r="M2491" s="74"/>
      <c r="N2491" s="74" t="s">
        <v>392</v>
      </c>
      <c r="O2491" s="74" t="s">
        <v>393</v>
      </c>
      <c r="P2491" s="74"/>
      <c r="Q2491" s="74" t="s">
        <v>3768</v>
      </c>
    </row>
    <row r="2492" spans="3:17" x14ac:dyDescent="0.25">
      <c r="C2492" s="74" t="s">
        <v>3769</v>
      </c>
      <c r="D2492" s="74" t="s">
        <v>3770</v>
      </c>
      <c r="E2492" s="74" t="s">
        <v>391</v>
      </c>
      <c r="F2492" s="74">
        <v>0.1</v>
      </c>
      <c r="G2492" s="74"/>
      <c r="H2492" s="74"/>
      <c r="I2492" s="74" t="s">
        <v>391</v>
      </c>
      <c r="J2492" s="74"/>
      <c r="K2492" s="74">
        <v>102.4</v>
      </c>
      <c r="L2492" s="74">
        <v>92.16</v>
      </c>
      <c r="M2492" s="74"/>
      <c r="N2492" s="74" t="s">
        <v>392</v>
      </c>
      <c r="O2492" s="74" t="s">
        <v>393</v>
      </c>
      <c r="P2492" s="74"/>
      <c r="Q2492" s="74" t="s">
        <v>3770</v>
      </c>
    </row>
    <row r="2493" spans="3:17" x14ac:dyDescent="0.25">
      <c r="C2493" s="74" t="s">
        <v>3795</v>
      </c>
      <c r="D2493" s="74" t="s">
        <v>3796</v>
      </c>
      <c r="E2493" s="74" t="s">
        <v>391</v>
      </c>
      <c r="F2493" s="74">
        <v>0.1</v>
      </c>
      <c r="G2493" s="74"/>
      <c r="H2493" s="74"/>
      <c r="I2493" s="74" t="s">
        <v>391</v>
      </c>
      <c r="J2493" s="74"/>
      <c r="K2493" s="74">
        <v>102.4</v>
      </c>
      <c r="L2493" s="74">
        <v>92.16</v>
      </c>
      <c r="M2493" s="74"/>
      <c r="N2493" s="74" t="s">
        <v>392</v>
      </c>
      <c r="O2493" s="74" t="s">
        <v>393</v>
      </c>
      <c r="P2493" s="74"/>
      <c r="Q2493" s="74" t="s">
        <v>3797</v>
      </c>
    </row>
    <row r="2494" spans="3:17" x14ac:dyDescent="0.25">
      <c r="C2494" s="74" t="s">
        <v>3824</v>
      </c>
      <c r="D2494" s="74" t="s">
        <v>3825</v>
      </c>
      <c r="E2494" s="74" t="s">
        <v>391</v>
      </c>
      <c r="F2494" s="74">
        <v>0.1</v>
      </c>
      <c r="G2494" s="74"/>
      <c r="H2494" s="74"/>
      <c r="I2494" s="74" t="s">
        <v>391</v>
      </c>
      <c r="J2494" s="74"/>
      <c r="K2494" s="74">
        <v>102.4</v>
      </c>
      <c r="L2494" s="74">
        <v>92.16</v>
      </c>
      <c r="M2494" s="74"/>
      <c r="N2494" s="74" t="s">
        <v>392</v>
      </c>
      <c r="O2494" s="74" t="s">
        <v>393</v>
      </c>
      <c r="P2494" s="74"/>
      <c r="Q2494" s="74" t="s">
        <v>3826</v>
      </c>
    </row>
    <row r="2495" spans="3:17" x14ac:dyDescent="0.25">
      <c r="C2495" s="74" t="s">
        <v>3868</v>
      </c>
      <c r="D2495" s="74" t="s">
        <v>3869</v>
      </c>
      <c r="E2495" s="74" t="s">
        <v>391</v>
      </c>
      <c r="F2495" s="74">
        <v>0.1</v>
      </c>
      <c r="G2495" s="74"/>
      <c r="H2495" s="74"/>
      <c r="I2495" s="74" t="s">
        <v>391</v>
      </c>
      <c r="J2495" s="74"/>
      <c r="K2495" s="74">
        <v>102.4</v>
      </c>
      <c r="L2495" s="74">
        <v>92.16</v>
      </c>
      <c r="M2495" s="74"/>
      <c r="N2495" s="74" t="s">
        <v>392</v>
      </c>
      <c r="O2495" s="74" t="s">
        <v>393</v>
      </c>
      <c r="P2495" s="74"/>
      <c r="Q2495" s="74" t="s">
        <v>3870</v>
      </c>
    </row>
    <row r="2496" spans="3:17" x14ac:dyDescent="0.25">
      <c r="C2496" s="74" t="s">
        <v>3882</v>
      </c>
      <c r="D2496" s="74" t="s">
        <v>3883</v>
      </c>
      <c r="E2496" s="74" t="s">
        <v>391</v>
      </c>
      <c r="F2496" s="74">
        <v>0.1</v>
      </c>
      <c r="G2496" s="74"/>
      <c r="H2496" s="74"/>
      <c r="I2496" s="74" t="s">
        <v>391</v>
      </c>
      <c r="J2496" s="74"/>
      <c r="K2496" s="74">
        <v>102.4</v>
      </c>
      <c r="L2496" s="74">
        <v>92.16</v>
      </c>
      <c r="M2496" s="74"/>
      <c r="N2496" s="74" t="s">
        <v>392</v>
      </c>
      <c r="O2496" s="74" t="s">
        <v>393</v>
      </c>
      <c r="P2496" s="74"/>
      <c r="Q2496" s="74" t="s">
        <v>3884</v>
      </c>
    </row>
    <row r="2497" spans="3:17" x14ac:dyDescent="0.25">
      <c r="C2497" s="74" t="s">
        <v>3885</v>
      </c>
      <c r="D2497" s="74" t="s">
        <v>3886</v>
      </c>
      <c r="E2497" s="74" t="s">
        <v>391</v>
      </c>
      <c r="F2497" s="74">
        <v>0.1</v>
      </c>
      <c r="G2497" s="74"/>
      <c r="H2497" s="74"/>
      <c r="I2497" s="74" t="s">
        <v>391</v>
      </c>
      <c r="J2497" s="74"/>
      <c r="K2497" s="74">
        <v>102.4</v>
      </c>
      <c r="L2497" s="74">
        <v>92.16</v>
      </c>
      <c r="M2497" s="74"/>
      <c r="N2497" s="74" t="s">
        <v>392</v>
      </c>
      <c r="O2497" s="74" t="s">
        <v>393</v>
      </c>
      <c r="P2497" s="74"/>
      <c r="Q2497" s="74" t="s">
        <v>3887</v>
      </c>
    </row>
    <row r="2498" spans="3:17" x14ac:dyDescent="0.25">
      <c r="C2498" s="74" t="s">
        <v>3888</v>
      </c>
      <c r="D2498" s="74" t="s">
        <v>3889</v>
      </c>
      <c r="E2498" s="74" t="s">
        <v>391</v>
      </c>
      <c r="F2498" s="74">
        <v>0.1</v>
      </c>
      <c r="G2498" s="74"/>
      <c r="H2498" s="74"/>
      <c r="I2498" s="74" t="s">
        <v>391</v>
      </c>
      <c r="J2498" s="74"/>
      <c r="K2498" s="74">
        <v>102.4</v>
      </c>
      <c r="L2498" s="74">
        <v>92.16</v>
      </c>
      <c r="M2498" s="74"/>
      <c r="N2498" s="74" t="s">
        <v>392</v>
      </c>
      <c r="O2498" s="74" t="s">
        <v>393</v>
      </c>
      <c r="P2498" s="74"/>
      <c r="Q2498" s="74" t="s">
        <v>3890</v>
      </c>
    </row>
    <row r="2499" spans="3:17" x14ac:dyDescent="0.25">
      <c r="C2499" s="74" t="s">
        <v>3891</v>
      </c>
      <c r="D2499" s="74" t="s">
        <v>3892</v>
      </c>
      <c r="E2499" s="74" t="s">
        <v>391</v>
      </c>
      <c r="F2499" s="74">
        <v>0.1</v>
      </c>
      <c r="G2499" s="74"/>
      <c r="H2499" s="74"/>
      <c r="I2499" s="74" t="s">
        <v>391</v>
      </c>
      <c r="J2499" s="74"/>
      <c r="K2499" s="74">
        <v>102.4</v>
      </c>
      <c r="L2499" s="74">
        <v>92.16</v>
      </c>
      <c r="M2499" s="74"/>
      <c r="N2499" s="74" t="s">
        <v>392</v>
      </c>
      <c r="O2499" s="74" t="s">
        <v>393</v>
      </c>
      <c r="P2499" s="74"/>
      <c r="Q2499" s="74" t="s">
        <v>3893</v>
      </c>
    </row>
    <row r="2500" spans="3:17" x14ac:dyDescent="0.25">
      <c r="C2500" s="74" t="s">
        <v>3894</v>
      </c>
      <c r="D2500" s="74" t="s">
        <v>3895</v>
      </c>
      <c r="E2500" s="74" t="s">
        <v>391</v>
      </c>
      <c r="F2500" s="74">
        <v>0.1</v>
      </c>
      <c r="G2500" s="74"/>
      <c r="H2500" s="74"/>
      <c r="I2500" s="74" t="s">
        <v>391</v>
      </c>
      <c r="J2500" s="74"/>
      <c r="K2500" s="74">
        <v>102.4</v>
      </c>
      <c r="L2500" s="74">
        <v>92.16</v>
      </c>
      <c r="M2500" s="74"/>
      <c r="N2500" s="74" t="s">
        <v>392</v>
      </c>
      <c r="O2500" s="74" t="s">
        <v>393</v>
      </c>
      <c r="P2500" s="74"/>
      <c r="Q2500" s="74" t="s">
        <v>3896</v>
      </c>
    </row>
    <row r="2501" spans="3:17" x14ac:dyDescent="0.25">
      <c r="C2501" s="74" t="s">
        <v>3901</v>
      </c>
      <c r="D2501" s="74" t="s">
        <v>3902</v>
      </c>
      <c r="E2501" s="74" t="s">
        <v>391</v>
      </c>
      <c r="F2501" s="74">
        <v>0.1</v>
      </c>
      <c r="G2501" s="74"/>
      <c r="H2501" s="74"/>
      <c r="I2501" s="74" t="s">
        <v>391</v>
      </c>
      <c r="J2501" s="74"/>
      <c r="K2501" s="74">
        <v>102.4</v>
      </c>
      <c r="L2501" s="74">
        <v>92.16</v>
      </c>
      <c r="M2501" s="74"/>
      <c r="N2501" s="74" t="s">
        <v>392</v>
      </c>
      <c r="O2501" s="74" t="s">
        <v>393</v>
      </c>
      <c r="P2501" s="74"/>
      <c r="Q2501" s="74" t="s">
        <v>3903</v>
      </c>
    </row>
    <row r="2502" spans="3:17" x14ac:dyDescent="0.25">
      <c r="C2502" s="74" t="s">
        <v>3922</v>
      </c>
      <c r="D2502" s="74" t="s">
        <v>3923</v>
      </c>
      <c r="E2502" s="74" t="s">
        <v>391</v>
      </c>
      <c r="F2502" s="74">
        <v>0.1</v>
      </c>
      <c r="G2502" s="74"/>
      <c r="H2502" s="74"/>
      <c r="I2502" s="74" t="s">
        <v>391</v>
      </c>
      <c r="J2502" s="74"/>
      <c r="K2502" s="74">
        <v>102.4</v>
      </c>
      <c r="L2502" s="74">
        <v>92.16</v>
      </c>
      <c r="M2502" s="74"/>
      <c r="N2502" s="74" t="s">
        <v>392</v>
      </c>
      <c r="O2502" s="74" t="s">
        <v>393</v>
      </c>
      <c r="P2502" s="74"/>
      <c r="Q2502" s="74" t="s">
        <v>3924</v>
      </c>
    </row>
    <row r="2503" spans="3:17" x14ac:dyDescent="0.25">
      <c r="C2503" s="74" t="s">
        <v>3936</v>
      </c>
      <c r="D2503" s="74" t="s">
        <v>3937</v>
      </c>
      <c r="E2503" s="74" t="s">
        <v>391</v>
      </c>
      <c r="F2503" s="74">
        <v>0.1</v>
      </c>
      <c r="G2503" s="74"/>
      <c r="H2503" s="74"/>
      <c r="I2503" s="74" t="s">
        <v>391</v>
      </c>
      <c r="J2503" s="74"/>
      <c r="K2503" s="74">
        <v>102.4</v>
      </c>
      <c r="L2503" s="74">
        <v>92.16</v>
      </c>
      <c r="M2503" s="74"/>
      <c r="N2503" s="74" t="s">
        <v>392</v>
      </c>
      <c r="O2503" s="74" t="s">
        <v>393</v>
      </c>
      <c r="P2503" s="74"/>
      <c r="Q2503" s="74" t="s">
        <v>3938</v>
      </c>
    </row>
    <row r="2504" spans="3:17" x14ac:dyDescent="0.25">
      <c r="C2504" s="74" t="s">
        <v>3945</v>
      </c>
      <c r="D2504" s="74" t="s">
        <v>3946</v>
      </c>
      <c r="E2504" s="74" t="s">
        <v>391</v>
      </c>
      <c r="F2504" s="74">
        <v>0.1</v>
      </c>
      <c r="G2504" s="74"/>
      <c r="H2504" s="74"/>
      <c r="I2504" s="74" t="s">
        <v>391</v>
      </c>
      <c r="J2504" s="74"/>
      <c r="K2504" s="74">
        <v>102.4</v>
      </c>
      <c r="L2504" s="74">
        <v>92.16</v>
      </c>
      <c r="M2504" s="74"/>
      <c r="N2504" s="74" t="s">
        <v>392</v>
      </c>
      <c r="O2504" s="74" t="s">
        <v>393</v>
      </c>
      <c r="P2504" s="74"/>
      <c r="Q2504" s="74" t="s">
        <v>3946</v>
      </c>
    </row>
    <row r="2505" spans="3:17" x14ac:dyDescent="0.25">
      <c r="C2505" s="74" t="s">
        <v>3947</v>
      </c>
      <c r="D2505" s="74" t="s">
        <v>3948</v>
      </c>
      <c r="E2505" s="74" t="s">
        <v>391</v>
      </c>
      <c r="F2505" s="74">
        <v>0.1</v>
      </c>
      <c r="G2505" s="74"/>
      <c r="H2505" s="74"/>
      <c r="I2505" s="74" t="s">
        <v>391</v>
      </c>
      <c r="J2505" s="74"/>
      <c r="K2505" s="74">
        <v>102.4</v>
      </c>
      <c r="L2505" s="74">
        <v>92.16</v>
      </c>
      <c r="M2505" s="74"/>
      <c r="N2505" s="74" t="s">
        <v>392</v>
      </c>
      <c r="O2505" s="74" t="s">
        <v>393</v>
      </c>
      <c r="P2505" s="74"/>
      <c r="Q2505" s="74" t="s">
        <v>3949</v>
      </c>
    </row>
    <row r="2506" spans="3:17" x14ac:dyDescent="0.25">
      <c r="C2506" s="74" t="s">
        <v>3954</v>
      </c>
      <c r="D2506" s="74" t="s">
        <v>3955</v>
      </c>
      <c r="E2506" s="74" t="s">
        <v>391</v>
      </c>
      <c r="F2506" s="74">
        <v>0.1</v>
      </c>
      <c r="G2506" s="74"/>
      <c r="H2506" s="74"/>
      <c r="I2506" s="74" t="s">
        <v>391</v>
      </c>
      <c r="J2506" s="74"/>
      <c r="K2506" s="74">
        <v>102.4</v>
      </c>
      <c r="L2506" s="74">
        <v>92.16</v>
      </c>
      <c r="M2506" s="74"/>
      <c r="N2506" s="74" t="s">
        <v>392</v>
      </c>
      <c r="O2506" s="74" t="s">
        <v>393</v>
      </c>
      <c r="P2506" s="74"/>
      <c r="Q2506" s="74" t="s">
        <v>3956</v>
      </c>
    </row>
    <row r="2507" spans="3:17" x14ac:dyDescent="0.25">
      <c r="C2507" s="74" t="s">
        <v>3957</v>
      </c>
      <c r="D2507" s="74" t="s">
        <v>3958</v>
      </c>
      <c r="E2507" s="74" t="s">
        <v>391</v>
      </c>
      <c r="F2507" s="74">
        <v>0.1</v>
      </c>
      <c r="G2507" s="74"/>
      <c r="H2507" s="74"/>
      <c r="I2507" s="74" t="s">
        <v>391</v>
      </c>
      <c r="J2507" s="74"/>
      <c r="K2507" s="74">
        <v>102.4</v>
      </c>
      <c r="L2507" s="74">
        <v>92.16</v>
      </c>
      <c r="M2507" s="74"/>
      <c r="N2507" s="74" t="s">
        <v>392</v>
      </c>
      <c r="O2507" s="74" t="s">
        <v>393</v>
      </c>
      <c r="P2507" s="74"/>
      <c r="Q2507" s="74" t="s">
        <v>3959</v>
      </c>
    </row>
    <row r="2508" spans="3:17" x14ac:dyDescent="0.25">
      <c r="C2508" s="74" t="s">
        <v>3960</v>
      </c>
      <c r="D2508" s="74" t="s">
        <v>3961</v>
      </c>
      <c r="E2508" s="74" t="s">
        <v>391</v>
      </c>
      <c r="F2508" s="74">
        <v>0.1</v>
      </c>
      <c r="G2508" s="74"/>
      <c r="H2508" s="74"/>
      <c r="I2508" s="74" t="s">
        <v>391</v>
      </c>
      <c r="J2508" s="74"/>
      <c r="K2508" s="74">
        <v>102.4</v>
      </c>
      <c r="L2508" s="74">
        <v>92.16</v>
      </c>
      <c r="M2508" s="74"/>
      <c r="N2508" s="74" t="s">
        <v>392</v>
      </c>
      <c r="O2508" s="74" t="s">
        <v>393</v>
      </c>
      <c r="P2508" s="74"/>
      <c r="Q2508" s="74" t="s">
        <v>3962</v>
      </c>
    </row>
    <row r="2509" spans="3:17" x14ac:dyDescent="0.25">
      <c r="C2509" s="74" t="s">
        <v>3971</v>
      </c>
      <c r="D2509" s="74" t="s">
        <v>3972</v>
      </c>
      <c r="E2509" s="74" t="s">
        <v>391</v>
      </c>
      <c r="F2509" s="74">
        <v>0.1</v>
      </c>
      <c r="G2509" s="74"/>
      <c r="H2509" s="74"/>
      <c r="I2509" s="74" t="s">
        <v>391</v>
      </c>
      <c r="J2509" s="74"/>
      <c r="K2509" s="74">
        <v>102.4</v>
      </c>
      <c r="L2509" s="74">
        <v>92.16</v>
      </c>
      <c r="M2509" s="74"/>
      <c r="N2509" s="74" t="s">
        <v>392</v>
      </c>
      <c r="O2509" s="74" t="s">
        <v>393</v>
      </c>
      <c r="P2509" s="74"/>
      <c r="Q2509" s="74" t="s">
        <v>3973</v>
      </c>
    </row>
    <row r="2510" spans="3:17" x14ac:dyDescent="0.25">
      <c r="C2510" s="74" t="s">
        <v>3978</v>
      </c>
      <c r="D2510" s="74" t="s">
        <v>3979</v>
      </c>
      <c r="E2510" s="74" t="s">
        <v>391</v>
      </c>
      <c r="F2510" s="74">
        <v>0.1</v>
      </c>
      <c r="G2510" s="74"/>
      <c r="H2510" s="74"/>
      <c r="I2510" s="74" t="s">
        <v>391</v>
      </c>
      <c r="J2510" s="74"/>
      <c r="K2510" s="74">
        <v>102.4</v>
      </c>
      <c r="L2510" s="74">
        <v>92.16</v>
      </c>
      <c r="M2510" s="74"/>
      <c r="N2510" s="74" t="s">
        <v>392</v>
      </c>
      <c r="O2510" s="74" t="s">
        <v>393</v>
      </c>
      <c r="P2510" s="74"/>
      <c r="Q2510" s="74" t="s">
        <v>3980</v>
      </c>
    </row>
    <row r="2511" spans="3:17" x14ac:dyDescent="0.25">
      <c r="C2511" s="74" t="s">
        <v>3981</v>
      </c>
      <c r="D2511" s="74" t="s">
        <v>3982</v>
      </c>
      <c r="E2511" s="74" t="s">
        <v>391</v>
      </c>
      <c r="F2511" s="74">
        <v>0.1</v>
      </c>
      <c r="G2511" s="74"/>
      <c r="H2511" s="74"/>
      <c r="I2511" s="74" t="s">
        <v>391</v>
      </c>
      <c r="J2511" s="74"/>
      <c r="K2511" s="74">
        <v>102.4</v>
      </c>
      <c r="L2511" s="74">
        <v>92.16</v>
      </c>
      <c r="M2511" s="74"/>
      <c r="N2511" s="74" t="s">
        <v>392</v>
      </c>
      <c r="O2511" s="74" t="s">
        <v>393</v>
      </c>
      <c r="P2511" s="74"/>
      <c r="Q2511" s="74" t="s">
        <v>3983</v>
      </c>
    </row>
    <row r="2512" spans="3:17" x14ac:dyDescent="0.25">
      <c r="C2512" s="74" t="s">
        <v>3995</v>
      </c>
      <c r="D2512" s="74" t="s">
        <v>3996</v>
      </c>
      <c r="E2512" s="74" t="s">
        <v>391</v>
      </c>
      <c r="F2512" s="74">
        <v>0.1</v>
      </c>
      <c r="G2512" s="74"/>
      <c r="H2512" s="74"/>
      <c r="I2512" s="74" t="s">
        <v>391</v>
      </c>
      <c r="J2512" s="74"/>
      <c r="K2512" s="74">
        <v>102.4</v>
      </c>
      <c r="L2512" s="74">
        <v>92.16</v>
      </c>
      <c r="M2512" s="74"/>
      <c r="N2512" s="74" t="s">
        <v>392</v>
      </c>
      <c r="O2512" s="74" t="s">
        <v>393</v>
      </c>
      <c r="P2512" s="74"/>
      <c r="Q2512" s="74" t="s">
        <v>3997</v>
      </c>
    </row>
    <row r="2513" spans="3:17" x14ac:dyDescent="0.25">
      <c r="C2513" s="158" t="s">
        <v>3998</v>
      </c>
      <c r="D2513" s="158" t="s">
        <v>3999</v>
      </c>
      <c r="E2513" s="158" t="s">
        <v>391</v>
      </c>
      <c r="F2513" s="158">
        <v>0.1</v>
      </c>
      <c r="I2513" s="158" t="s">
        <v>391</v>
      </c>
      <c r="K2513" s="158">
        <v>102.4</v>
      </c>
      <c r="L2513" s="158">
        <v>92.16</v>
      </c>
      <c r="N2513" s="158" t="s">
        <v>392</v>
      </c>
      <c r="O2513" s="158" t="s">
        <v>393</v>
      </c>
      <c r="Q2513" s="158" t="s">
        <v>4000</v>
      </c>
    </row>
    <row r="2514" spans="3:17" x14ac:dyDescent="0.25">
      <c r="C2514" s="74" t="s">
        <v>4001</v>
      </c>
      <c r="D2514" s="74" t="s">
        <v>4002</v>
      </c>
      <c r="E2514" s="74" t="s">
        <v>391</v>
      </c>
      <c r="F2514" s="74">
        <v>0.1</v>
      </c>
      <c r="G2514" s="74"/>
      <c r="H2514" s="74"/>
      <c r="I2514" s="74" t="s">
        <v>391</v>
      </c>
      <c r="J2514" s="74"/>
      <c r="K2514" s="74">
        <v>102.4</v>
      </c>
      <c r="L2514" s="74">
        <v>92.16</v>
      </c>
      <c r="M2514" s="74"/>
      <c r="N2514" s="74" t="s">
        <v>392</v>
      </c>
      <c r="O2514" s="74" t="s">
        <v>393</v>
      </c>
      <c r="P2514" s="74"/>
      <c r="Q2514" s="74" t="s">
        <v>4002</v>
      </c>
    </row>
    <row r="2515" spans="3:17" x14ac:dyDescent="0.25">
      <c r="C2515" s="74" t="s">
        <v>4019</v>
      </c>
      <c r="D2515" s="74" t="s">
        <v>4020</v>
      </c>
      <c r="E2515" s="74" t="s">
        <v>391</v>
      </c>
      <c r="F2515" s="74">
        <v>0.1</v>
      </c>
      <c r="G2515" s="74"/>
      <c r="H2515" s="74"/>
      <c r="I2515" s="74" t="s">
        <v>391</v>
      </c>
      <c r="J2515" s="74"/>
      <c r="K2515" s="74">
        <v>102.4</v>
      </c>
      <c r="L2515" s="74">
        <v>92.16</v>
      </c>
      <c r="M2515" s="74"/>
      <c r="N2515" s="74" t="s">
        <v>392</v>
      </c>
      <c r="O2515" s="74" t="s">
        <v>393</v>
      </c>
      <c r="P2515" s="74"/>
      <c r="Q2515" s="74" t="s">
        <v>4021</v>
      </c>
    </row>
    <row r="2516" spans="3:17" x14ac:dyDescent="0.25">
      <c r="C2516" s="74" t="s">
        <v>4037</v>
      </c>
      <c r="D2516" s="74" t="s">
        <v>4038</v>
      </c>
      <c r="E2516" s="74" t="s">
        <v>391</v>
      </c>
      <c r="F2516" s="74">
        <v>0.1</v>
      </c>
      <c r="G2516" s="74"/>
      <c r="H2516" s="74"/>
      <c r="I2516" s="74" t="s">
        <v>391</v>
      </c>
      <c r="J2516" s="74"/>
      <c r="K2516" s="74">
        <v>102.4</v>
      </c>
      <c r="L2516" s="74">
        <v>92.16</v>
      </c>
      <c r="M2516" s="74"/>
      <c r="N2516" s="74" t="s">
        <v>392</v>
      </c>
      <c r="O2516" s="74" t="s">
        <v>393</v>
      </c>
      <c r="P2516" s="74"/>
      <c r="Q2516" s="74" t="s">
        <v>4038</v>
      </c>
    </row>
    <row r="2517" spans="3:17" x14ac:dyDescent="0.25">
      <c r="C2517" s="74" t="s">
        <v>4051</v>
      </c>
      <c r="D2517" s="74" t="s">
        <v>4052</v>
      </c>
      <c r="E2517" s="74" t="s">
        <v>391</v>
      </c>
      <c r="F2517" s="74">
        <v>0.1</v>
      </c>
      <c r="G2517" s="74"/>
      <c r="H2517" s="74"/>
      <c r="I2517" s="74" t="s">
        <v>391</v>
      </c>
      <c r="J2517" s="74"/>
      <c r="K2517" s="74">
        <v>102.4</v>
      </c>
      <c r="L2517" s="74">
        <v>92.16</v>
      </c>
      <c r="M2517" s="74"/>
      <c r="N2517" s="74" t="s">
        <v>392</v>
      </c>
      <c r="O2517" s="74" t="s">
        <v>393</v>
      </c>
      <c r="P2517" s="74"/>
      <c r="Q2517" s="74" t="s">
        <v>4053</v>
      </c>
    </row>
    <row r="2518" spans="3:17" x14ac:dyDescent="0.25">
      <c r="C2518" s="74" t="s">
        <v>4054</v>
      </c>
      <c r="D2518" s="74" t="s">
        <v>4055</v>
      </c>
      <c r="E2518" s="74" t="s">
        <v>391</v>
      </c>
      <c r="F2518" s="74">
        <v>0.1</v>
      </c>
      <c r="G2518" s="74"/>
      <c r="H2518" s="74"/>
      <c r="I2518" s="74" t="s">
        <v>391</v>
      </c>
      <c r="J2518" s="74"/>
      <c r="K2518" s="74">
        <v>102.4</v>
      </c>
      <c r="L2518" s="74">
        <v>92.16</v>
      </c>
      <c r="M2518" s="74"/>
      <c r="N2518" s="74" t="s">
        <v>392</v>
      </c>
      <c r="O2518" s="74" t="s">
        <v>393</v>
      </c>
      <c r="P2518" s="74"/>
      <c r="Q2518" s="74" t="s">
        <v>4056</v>
      </c>
    </row>
    <row r="2519" spans="3:17" x14ac:dyDescent="0.25">
      <c r="C2519" s="74" t="s">
        <v>4061</v>
      </c>
      <c r="D2519" s="74" t="s">
        <v>4062</v>
      </c>
      <c r="E2519" s="74" t="s">
        <v>391</v>
      </c>
      <c r="F2519" s="74">
        <v>0.1</v>
      </c>
      <c r="G2519" s="74"/>
      <c r="H2519" s="74"/>
      <c r="I2519" s="74" t="s">
        <v>391</v>
      </c>
      <c r="J2519" s="74"/>
      <c r="K2519" s="74">
        <v>102.4</v>
      </c>
      <c r="L2519" s="74">
        <v>92.16</v>
      </c>
      <c r="M2519" s="74"/>
      <c r="N2519" s="74" t="s">
        <v>392</v>
      </c>
      <c r="O2519" s="74" t="s">
        <v>393</v>
      </c>
      <c r="P2519" s="74"/>
      <c r="Q2519" s="74" t="s">
        <v>4063</v>
      </c>
    </row>
    <row r="2520" spans="3:17" x14ac:dyDescent="0.25">
      <c r="C2520" s="74" t="s">
        <v>4064</v>
      </c>
      <c r="D2520" s="74" t="s">
        <v>2875</v>
      </c>
      <c r="E2520" s="74" t="s">
        <v>391</v>
      </c>
      <c r="F2520" s="74">
        <v>0.1</v>
      </c>
      <c r="G2520" s="74"/>
      <c r="H2520" s="74"/>
      <c r="I2520" s="74" t="s">
        <v>391</v>
      </c>
      <c r="J2520" s="74"/>
      <c r="K2520" s="74">
        <v>102.4</v>
      </c>
      <c r="L2520" s="74">
        <v>92.16</v>
      </c>
      <c r="M2520" s="74"/>
      <c r="N2520" s="74" t="s">
        <v>392</v>
      </c>
      <c r="O2520" s="74" t="s">
        <v>393</v>
      </c>
      <c r="P2520" s="74"/>
      <c r="Q2520" s="74" t="s">
        <v>4065</v>
      </c>
    </row>
    <row r="2521" spans="3:17" x14ac:dyDescent="0.25">
      <c r="C2521" s="74" t="s">
        <v>4084</v>
      </c>
      <c r="D2521" s="74" t="s">
        <v>4085</v>
      </c>
      <c r="E2521" s="74" t="s">
        <v>391</v>
      </c>
      <c r="F2521" s="74">
        <v>0.1</v>
      </c>
      <c r="G2521" s="74"/>
      <c r="H2521" s="74"/>
      <c r="I2521" s="74" t="s">
        <v>391</v>
      </c>
      <c r="J2521" s="74"/>
      <c r="K2521" s="74">
        <v>102.4</v>
      </c>
      <c r="L2521" s="74">
        <v>92.16</v>
      </c>
      <c r="M2521" s="74"/>
      <c r="N2521" s="74" t="s">
        <v>392</v>
      </c>
      <c r="O2521" s="74" t="s">
        <v>393</v>
      </c>
      <c r="P2521" s="74"/>
      <c r="Q2521" s="74" t="s">
        <v>4086</v>
      </c>
    </row>
    <row r="2522" spans="3:17" x14ac:dyDescent="0.25">
      <c r="C2522" s="74" t="s">
        <v>4091</v>
      </c>
      <c r="D2522" s="74" t="s">
        <v>4092</v>
      </c>
      <c r="E2522" s="74" t="s">
        <v>391</v>
      </c>
      <c r="F2522" s="74">
        <v>0.1</v>
      </c>
      <c r="G2522" s="74"/>
      <c r="H2522" s="74"/>
      <c r="I2522" s="74" t="s">
        <v>391</v>
      </c>
      <c r="J2522" s="74"/>
      <c r="K2522" s="74">
        <v>102.4</v>
      </c>
      <c r="L2522" s="74">
        <v>92.16</v>
      </c>
      <c r="M2522" s="74"/>
      <c r="N2522" s="74" t="s">
        <v>392</v>
      </c>
      <c r="O2522" s="74" t="s">
        <v>393</v>
      </c>
      <c r="P2522" s="74"/>
      <c r="Q2522" s="74" t="s">
        <v>4093</v>
      </c>
    </row>
    <row r="2523" spans="3:17" x14ac:dyDescent="0.25">
      <c r="C2523" s="74" t="s">
        <v>4094</v>
      </c>
      <c r="D2523" s="74" t="s">
        <v>4095</v>
      </c>
      <c r="E2523" s="74" t="s">
        <v>391</v>
      </c>
      <c r="F2523" s="74">
        <v>0.1</v>
      </c>
      <c r="G2523" s="74"/>
      <c r="H2523" s="74"/>
      <c r="I2523" s="74" t="s">
        <v>391</v>
      </c>
      <c r="J2523" s="74"/>
      <c r="K2523" s="74">
        <v>102.4</v>
      </c>
      <c r="L2523" s="74">
        <v>92.16</v>
      </c>
      <c r="M2523" s="74"/>
      <c r="N2523" s="74" t="s">
        <v>392</v>
      </c>
      <c r="O2523" s="74" t="s">
        <v>393</v>
      </c>
      <c r="P2523" s="74"/>
      <c r="Q2523" s="74" t="s">
        <v>4096</v>
      </c>
    </row>
    <row r="2524" spans="3:17" x14ac:dyDescent="0.25">
      <c r="C2524" s="74" t="s">
        <v>4097</v>
      </c>
      <c r="D2524" s="74" t="s">
        <v>4098</v>
      </c>
      <c r="E2524" s="74" t="s">
        <v>391</v>
      </c>
      <c r="F2524" s="74">
        <v>0.1</v>
      </c>
      <c r="G2524" s="74"/>
      <c r="H2524" s="74"/>
      <c r="I2524" s="74" t="s">
        <v>391</v>
      </c>
      <c r="J2524" s="74"/>
      <c r="K2524" s="74">
        <v>102.4</v>
      </c>
      <c r="L2524" s="74">
        <v>92.16</v>
      </c>
      <c r="M2524" s="74"/>
      <c r="N2524" s="74" t="s">
        <v>392</v>
      </c>
      <c r="O2524" s="74" t="s">
        <v>393</v>
      </c>
      <c r="P2524" s="74"/>
      <c r="Q2524" s="74" t="s">
        <v>4099</v>
      </c>
    </row>
    <row r="2525" spans="3:17" x14ac:dyDescent="0.25">
      <c r="C2525" s="74" t="s">
        <v>4100</v>
      </c>
      <c r="D2525" s="74" t="s">
        <v>4101</v>
      </c>
      <c r="E2525" s="74" t="s">
        <v>391</v>
      </c>
      <c r="F2525" s="74">
        <v>0.1</v>
      </c>
      <c r="G2525" s="74"/>
      <c r="H2525" s="74"/>
      <c r="I2525" s="74" t="s">
        <v>391</v>
      </c>
      <c r="J2525" s="74"/>
      <c r="K2525" s="74">
        <v>102.4</v>
      </c>
      <c r="L2525" s="74">
        <v>92.16</v>
      </c>
      <c r="M2525" s="74"/>
      <c r="N2525" s="74" t="s">
        <v>392</v>
      </c>
      <c r="O2525" s="74" t="s">
        <v>393</v>
      </c>
      <c r="P2525" s="74"/>
      <c r="Q2525" s="74" t="s">
        <v>4102</v>
      </c>
    </row>
    <row r="2526" spans="3:17" x14ac:dyDescent="0.25">
      <c r="C2526" s="74" t="s">
        <v>4103</v>
      </c>
      <c r="D2526" s="74" t="s">
        <v>4104</v>
      </c>
      <c r="E2526" s="74" t="s">
        <v>391</v>
      </c>
      <c r="F2526" s="74">
        <v>0.1</v>
      </c>
      <c r="G2526" s="74"/>
      <c r="H2526" s="74"/>
      <c r="I2526" s="74" t="s">
        <v>391</v>
      </c>
      <c r="J2526" s="74"/>
      <c r="K2526" s="74">
        <v>102.4</v>
      </c>
      <c r="L2526" s="74">
        <v>92.16</v>
      </c>
      <c r="M2526" s="74"/>
      <c r="N2526" s="74" t="s">
        <v>392</v>
      </c>
      <c r="O2526" s="74" t="s">
        <v>393</v>
      </c>
      <c r="P2526" s="74"/>
      <c r="Q2526" s="74" t="s">
        <v>4104</v>
      </c>
    </row>
    <row r="2527" spans="3:17" x14ac:dyDescent="0.25">
      <c r="C2527" s="74" t="s">
        <v>4105</v>
      </c>
      <c r="D2527" s="74" t="s">
        <v>4106</v>
      </c>
      <c r="E2527" s="74" t="s">
        <v>391</v>
      </c>
      <c r="F2527" s="74">
        <v>0.1</v>
      </c>
      <c r="G2527" s="74"/>
      <c r="H2527" s="74"/>
      <c r="I2527" s="74" t="s">
        <v>391</v>
      </c>
      <c r="J2527" s="74"/>
      <c r="K2527" s="74">
        <v>102.4</v>
      </c>
      <c r="L2527" s="74">
        <v>92.16</v>
      </c>
      <c r="M2527" s="74"/>
      <c r="N2527" s="74" t="s">
        <v>392</v>
      </c>
      <c r="O2527" s="74" t="s">
        <v>393</v>
      </c>
      <c r="P2527" s="74"/>
      <c r="Q2527" s="74" t="s">
        <v>4107</v>
      </c>
    </row>
    <row r="2528" spans="3:17" x14ac:dyDescent="0.25">
      <c r="C2528" s="74" t="s">
        <v>4142</v>
      </c>
      <c r="D2528" s="74" t="s">
        <v>4143</v>
      </c>
      <c r="E2528" s="74" t="s">
        <v>391</v>
      </c>
      <c r="F2528" s="74">
        <v>0.1</v>
      </c>
      <c r="G2528" s="74"/>
      <c r="H2528" s="74"/>
      <c r="I2528" s="74" t="s">
        <v>391</v>
      </c>
      <c r="J2528" s="74"/>
      <c r="K2528" s="74">
        <v>102.4</v>
      </c>
      <c r="L2528" s="74">
        <v>92.16</v>
      </c>
      <c r="M2528" s="74"/>
      <c r="N2528" s="74" t="s">
        <v>392</v>
      </c>
      <c r="O2528" s="74" t="s">
        <v>393</v>
      </c>
      <c r="P2528" s="74"/>
      <c r="Q2528" s="74" t="s">
        <v>4144</v>
      </c>
    </row>
    <row r="2529" spans="3:17" x14ac:dyDescent="0.25">
      <c r="C2529" s="74" t="s">
        <v>4161</v>
      </c>
      <c r="D2529" s="74" t="s">
        <v>4162</v>
      </c>
      <c r="E2529" s="74" t="s">
        <v>391</v>
      </c>
      <c r="F2529" s="74">
        <v>0.1</v>
      </c>
      <c r="G2529" s="74"/>
      <c r="H2529" s="74"/>
      <c r="I2529" s="74" t="s">
        <v>391</v>
      </c>
      <c r="J2529" s="74"/>
      <c r="K2529" s="74">
        <v>102.4</v>
      </c>
      <c r="L2529" s="74">
        <v>92.16</v>
      </c>
      <c r="M2529" s="74"/>
      <c r="N2529" s="74" t="s">
        <v>392</v>
      </c>
      <c r="O2529" s="74" t="s">
        <v>393</v>
      </c>
      <c r="P2529" s="74"/>
      <c r="Q2529" s="74" t="s">
        <v>4163</v>
      </c>
    </row>
    <row r="2530" spans="3:17" x14ac:dyDescent="0.25">
      <c r="C2530" s="74" t="s">
        <v>4172</v>
      </c>
      <c r="D2530" s="74" t="s">
        <v>4173</v>
      </c>
      <c r="E2530" s="74" t="s">
        <v>391</v>
      </c>
      <c r="F2530" s="74">
        <v>0.1</v>
      </c>
      <c r="G2530" s="74"/>
      <c r="H2530" s="74"/>
      <c r="I2530" s="74" t="s">
        <v>391</v>
      </c>
      <c r="J2530" s="74"/>
      <c r="K2530" s="74">
        <v>102.4</v>
      </c>
      <c r="L2530" s="74">
        <v>92.16</v>
      </c>
      <c r="M2530" s="74"/>
      <c r="N2530" s="74" t="s">
        <v>392</v>
      </c>
      <c r="O2530" s="74" t="s">
        <v>393</v>
      </c>
      <c r="P2530" s="74"/>
      <c r="Q2530" s="74" t="s">
        <v>4174</v>
      </c>
    </row>
    <row r="2531" spans="3:17" x14ac:dyDescent="0.25">
      <c r="C2531" s="74" t="s">
        <v>4175</v>
      </c>
      <c r="D2531" s="74" t="s">
        <v>4176</v>
      </c>
      <c r="E2531" s="74" t="s">
        <v>391</v>
      </c>
      <c r="F2531" s="74">
        <v>0.1</v>
      </c>
      <c r="G2531" s="74"/>
      <c r="H2531" s="74"/>
      <c r="I2531" s="74" t="s">
        <v>391</v>
      </c>
      <c r="J2531" s="74"/>
      <c r="K2531" s="74">
        <v>102.4</v>
      </c>
      <c r="L2531" s="74">
        <v>92.16</v>
      </c>
      <c r="M2531" s="74"/>
      <c r="N2531" s="74" t="s">
        <v>392</v>
      </c>
      <c r="O2531" s="74" t="s">
        <v>393</v>
      </c>
      <c r="P2531" s="74"/>
      <c r="Q2531" s="74" t="s">
        <v>4177</v>
      </c>
    </row>
    <row r="2532" spans="3:17" x14ac:dyDescent="0.25">
      <c r="C2532" s="74" t="s">
        <v>4182</v>
      </c>
      <c r="D2532" s="74" t="s">
        <v>4183</v>
      </c>
      <c r="E2532" s="74" t="s">
        <v>391</v>
      </c>
      <c r="F2532" s="74">
        <v>0.1</v>
      </c>
      <c r="G2532" s="74"/>
      <c r="H2532" s="74"/>
      <c r="I2532" s="74" t="s">
        <v>391</v>
      </c>
      <c r="J2532" s="74"/>
      <c r="K2532" s="74">
        <v>102.4</v>
      </c>
      <c r="L2532" s="74">
        <v>92.16</v>
      </c>
      <c r="M2532" s="74"/>
      <c r="N2532" s="74" t="s">
        <v>392</v>
      </c>
      <c r="O2532" s="74" t="s">
        <v>393</v>
      </c>
      <c r="P2532" s="74"/>
      <c r="Q2532" s="74" t="s">
        <v>4184</v>
      </c>
    </row>
    <row r="2533" spans="3:17" x14ac:dyDescent="0.25">
      <c r="C2533" s="74" t="s">
        <v>4185</v>
      </c>
      <c r="D2533" s="74" t="s">
        <v>4186</v>
      </c>
      <c r="E2533" s="74" t="s">
        <v>391</v>
      </c>
      <c r="F2533" s="74">
        <v>0.1</v>
      </c>
      <c r="G2533" s="74"/>
      <c r="H2533" s="74"/>
      <c r="I2533" s="74" t="s">
        <v>391</v>
      </c>
      <c r="J2533" s="74"/>
      <c r="K2533" s="74">
        <v>102.4</v>
      </c>
      <c r="L2533" s="74">
        <v>92.16</v>
      </c>
      <c r="M2533" s="74"/>
      <c r="N2533" s="74" t="s">
        <v>392</v>
      </c>
      <c r="O2533" s="74" t="s">
        <v>393</v>
      </c>
      <c r="P2533" s="74"/>
      <c r="Q2533" s="74" t="s">
        <v>4187</v>
      </c>
    </row>
    <row r="2534" spans="3:17" x14ac:dyDescent="0.25">
      <c r="C2534" s="74" t="s">
        <v>4188</v>
      </c>
      <c r="D2534" s="74" t="s">
        <v>4189</v>
      </c>
      <c r="E2534" s="74" t="s">
        <v>391</v>
      </c>
      <c r="F2534" s="74">
        <v>0.1</v>
      </c>
      <c r="G2534" s="74"/>
      <c r="H2534" s="74"/>
      <c r="I2534" s="74" t="s">
        <v>391</v>
      </c>
      <c r="J2534" s="74"/>
      <c r="K2534" s="74">
        <v>102.4</v>
      </c>
      <c r="L2534" s="74">
        <v>92.16</v>
      </c>
      <c r="M2534" s="74"/>
      <c r="N2534" s="74" t="s">
        <v>392</v>
      </c>
      <c r="O2534" s="74" t="s">
        <v>393</v>
      </c>
      <c r="P2534" s="74"/>
      <c r="Q2534" s="74" t="s">
        <v>4190</v>
      </c>
    </row>
    <row r="2535" spans="3:17" x14ac:dyDescent="0.25">
      <c r="C2535" s="74" t="s">
        <v>4191</v>
      </c>
      <c r="D2535" s="74" t="s">
        <v>4192</v>
      </c>
      <c r="E2535" s="74" t="s">
        <v>391</v>
      </c>
      <c r="F2535" s="74">
        <v>0.1</v>
      </c>
      <c r="G2535" s="74"/>
      <c r="H2535" s="74"/>
      <c r="I2535" s="74" t="s">
        <v>391</v>
      </c>
      <c r="J2535" s="74"/>
      <c r="K2535" s="74">
        <v>102.4</v>
      </c>
      <c r="L2535" s="74">
        <v>92.16</v>
      </c>
      <c r="M2535" s="74"/>
      <c r="N2535" s="74" t="s">
        <v>392</v>
      </c>
      <c r="O2535" s="74" t="s">
        <v>393</v>
      </c>
      <c r="P2535" s="74"/>
      <c r="Q2535" s="74" t="s">
        <v>4193</v>
      </c>
    </row>
    <row r="2536" spans="3:17" x14ac:dyDescent="0.25">
      <c r="C2536" s="74" t="s">
        <v>4194</v>
      </c>
      <c r="D2536" s="74" t="s">
        <v>4195</v>
      </c>
      <c r="E2536" s="74" t="s">
        <v>391</v>
      </c>
      <c r="F2536" s="74">
        <v>0.1</v>
      </c>
      <c r="G2536" s="74"/>
      <c r="H2536" s="74"/>
      <c r="I2536" s="74" t="s">
        <v>391</v>
      </c>
      <c r="J2536" s="74"/>
      <c r="K2536" s="74">
        <v>102.4</v>
      </c>
      <c r="L2536" s="74">
        <v>92.16</v>
      </c>
      <c r="M2536" s="74"/>
      <c r="N2536" s="74" t="s">
        <v>392</v>
      </c>
      <c r="O2536" s="74" t="s">
        <v>393</v>
      </c>
      <c r="P2536" s="74"/>
      <c r="Q2536" s="74" t="s">
        <v>4196</v>
      </c>
    </row>
    <row r="2537" spans="3:17" x14ac:dyDescent="0.25">
      <c r="C2537" s="74" t="s">
        <v>4197</v>
      </c>
      <c r="D2537" s="74" t="s">
        <v>4198</v>
      </c>
      <c r="E2537" s="74" t="s">
        <v>391</v>
      </c>
      <c r="F2537" s="74">
        <v>0.1</v>
      </c>
      <c r="G2537" s="74"/>
      <c r="H2537" s="74"/>
      <c r="I2537" s="74" t="s">
        <v>391</v>
      </c>
      <c r="J2537" s="74"/>
      <c r="K2537" s="74">
        <v>102.4</v>
      </c>
      <c r="L2537" s="74">
        <v>92.16</v>
      </c>
      <c r="M2537" s="74"/>
      <c r="N2537" s="74" t="s">
        <v>392</v>
      </c>
      <c r="O2537" s="74" t="s">
        <v>393</v>
      </c>
      <c r="P2537" s="74"/>
      <c r="Q2537" s="74" t="s">
        <v>4199</v>
      </c>
    </row>
    <row r="2538" spans="3:17" x14ac:dyDescent="0.25">
      <c r="C2538" s="74" t="s">
        <v>4204</v>
      </c>
      <c r="D2538" s="74" t="s">
        <v>4205</v>
      </c>
      <c r="E2538" s="74" t="s">
        <v>391</v>
      </c>
      <c r="F2538" s="74">
        <v>0.1</v>
      </c>
      <c r="G2538" s="74"/>
      <c r="H2538" s="74"/>
      <c r="I2538" s="74" t="s">
        <v>391</v>
      </c>
      <c r="J2538" s="74"/>
      <c r="K2538" s="74">
        <v>102.4</v>
      </c>
      <c r="L2538" s="74">
        <v>92.16</v>
      </c>
      <c r="M2538" s="74"/>
      <c r="N2538" s="74" t="s">
        <v>392</v>
      </c>
      <c r="O2538" s="74" t="s">
        <v>393</v>
      </c>
      <c r="P2538" s="74"/>
      <c r="Q2538" s="74" t="s">
        <v>4206</v>
      </c>
    </row>
    <row r="2539" spans="3:17" x14ac:dyDescent="0.25">
      <c r="C2539" s="74" t="s">
        <v>4215</v>
      </c>
      <c r="D2539" s="74" t="s">
        <v>4216</v>
      </c>
      <c r="E2539" s="74"/>
      <c r="F2539" s="74">
        <v>0.1</v>
      </c>
      <c r="G2539" s="74"/>
      <c r="H2539" s="74"/>
      <c r="I2539" s="74" t="s">
        <v>391</v>
      </c>
      <c r="J2539" s="74"/>
      <c r="K2539" s="74">
        <v>102.4</v>
      </c>
      <c r="L2539" s="74">
        <v>92.16</v>
      </c>
      <c r="M2539" s="74"/>
      <c r="N2539" s="74" t="s">
        <v>392</v>
      </c>
      <c r="O2539" s="74" t="s">
        <v>402</v>
      </c>
      <c r="P2539" s="74" t="s">
        <v>4217</v>
      </c>
      <c r="Q2539" s="74" t="s">
        <v>4218</v>
      </c>
    </row>
    <row r="2540" spans="3:17" x14ac:dyDescent="0.25">
      <c r="C2540" s="74" t="s">
        <v>4231</v>
      </c>
      <c r="D2540" s="74" t="s">
        <v>4232</v>
      </c>
      <c r="E2540" s="74" t="s">
        <v>391</v>
      </c>
      <c r="F2540" s="74">
        <v>0.1</v>
      </c>
      <c r="G2540" s="74"/>
      <c r="H2540" s="74"/>
      <c r="I2540" s="74" t="s">
        <v>391</v>
      </c>
      <c r="J2540" s="74"/>
      <c r="K2540" s="74">
        <v>102.4</v>
      </c>
      <c r="L2540" s="74">
        <v>92.16</v>
      </c>
      <c r="M2540" s="74"/>
      <c r="N2540" s="74" t="s">
        <v>392</v>
      </c>
      <c r="O2540" s="74" t="s">
        <v>393</v>
      </c>
      <c r="P2540" s="74"/>
      <c r="Q2540" s="74" t="s">
        <v>4233</v>
      </c>
    </row>
    <row r="2541" spans="3:17" x14ac:dyDescent="0.25">
      <c r="C2541" s="74" t="s">
        <v>4257</v>
      </c>
      <c r="D2541" s="74" t="s">
        <v>4258</v>
      </c>
      <c r="E2541" s="74" t="s">
        <v>391</v>
      </c>
      <c r="F2541" s="74">
        <v>0.1</v>
      </c>
      <c r="G2541" s="74"/>
      <c r="H2541" s="74"/>
      <c r="I2541" s="74" t="s">
        <v>391</v>
      </c>
      <c r="J2541" s="74"/>
      <c r="K2541" s="74">
        <v>102.4</v>
      </c>
      <c r="L2541" s="74">
        <v>92.16</v>
      </c>
      <c r="M2541" s="74"/>
      <c r="N2541" s="74" t="s">
        <v>392</v>
      </c>
      <c r="O2541" s="74" t="s">
        <v>393</v>
      </c>
      <c r="P2541" s="74"/>
      <c r="Q2541" s="74" t="s">
        <v>4259</v>
      </c>
    </row>
    <row r="2542" spans="3:17" x14ac:dyDescent="0.25">
      <c r="C2542" s="74" t="s">
        <v>4272</v>
      </c>
      <c r="D2542" s="74" t="s">
        <v>4273</v>
      </c>
      <c r="E2542" s="74" t="s">
        <v>391</v>
      </c>
      <c r="F2542" s="74">
        <v>0.1</v>
      </c>
      <c r="G2542" s="74"/>
      <c r="H2542" s="74"/>
      <c r="I2542" s="74" t="s">
        <v>391</v>
      </c>
      <c r="J2542" s="74"/>
      <c r="K2542" s="74">
        <v>102.4</v>
      </c>
      <c r="L2542" s="74">
        <v>92.16</v>
      </c>
      <c r="M2542" s="74"/>
      <c r="N2542" s="74" t="s">
        <v>392</v>
      </c>
      <c r="O2542" s="74" t="s">
        <v>393</v>
      </c>
      <c r="P2542" s="74"/>
      <c r="Q2542" s="74" t="s">
        <v>4274</v>
      </c>
    </row>
    <row r="2543" spans="3:17" x14ac:dyDescent="0.25">
      <c r="C2543" s="74" t="s">
        <v>4295</v>
      </c>
      <c r="D2543" s="74" t="s">
        <v>2909</v>
      </c>
      <c r="E2543" s="74" t="s">
        <v>391</v>
      </c>
      <c r="F2543" s="74">
        <v>0.1</v>
      </c>
      <c r="G2543" s="74"/>
      <c r="H2543" s="74"/>
      <c r="I2543" s="74" t="s">
        <v>391</v>
      </c>
      <c r="J2543" s="74"/>
      <c r="K2543" s="74">
        <v>102.4</v>
      </c>
      <c r="L2543" s="74">
        <v>92.16</v>
      </c>
      <c r="M2543" s="74"/>
      <c r="N2543" s="74" t="s">
        <v>392</v>
      </c>
      <c r="O2543" s="74" t="s">
        <v>393</v>
      </c>
      <c r="P2543" s="74"/>
      <c r="Q2543" s="74" t="s">
        <v>4296</v>
      </c>
    </row>
    <row r="2544" spans="3:17" x14ac:dyDescent="0.25">
      <c r="C2544" s="74" t="s">
        <v>4301</v>
      </c>
      <c r="D2544" s="74" t="s">
        <v>4302</v>
      </c>
      <c r="E2544" s="74" t="s">
        <v>391</v>
      </c>
      <c r="F2544" s="74">
        <v>0.1</v>
      </c>
      <c r="G2544" s="74"/>
      <c r="H2544" s="74"/>
      <c r="I2544" s="74" t="s">
        <v>391</v>
      </c>
      <c r="J2544" s="74"/>
      <c r="K2544" s="74">
        <v>102.4</v>
      </c>
      <c r="L2544" s="74">
        <v>92.16</v>
      </c>
      <c r="M2544" s="74"/>
      <c r="N2544" s="74" t="s">
        <v>392</v>
      </c>
      <c r="O2544" s="74" t="s">
        <v>393</v>
      </c>
      <c r="P2544" s="74"/>
      <c r="Q2544" s="74" t="s">
        <v>4303</v>
      </c>
    </row>
    <row r="2545" spans="3:17" x14ac:dyDescent="0.25">
      <c r="C2545" s="74" t="s">
        <v>4304</v>
      </c>
      <c r="D2545" s="74" t="s">
        <v>4305</v>
      </c>
      <c r="E2545" s="74" t="s">
        <v>391</v>
      </c>
      <c r="F2545" s="74">
        <v>0.1</v>
      </c>
      <c r="G2545" s="74"/>
      <c r="H2545" s="74"/>
      <c r="I2545" s="74" t="s">
        <v>391</v>
      </c>
      <c r="J2545" s="74"/>
      <c r="K2545" s="74">
        <v>102.4</v>
      </c>
      <c r="L2545" s="74">
        <v>92.16</v>
      </c>
      <c r="M2545" s="74"/>
      <c r="N2545" s="74" t="s">
        <v>392</v>
      </c>
      <c r="O2545" s="74" t="s">
        <v>393</v>
      </c>
      <c r="P2545" s="74"/>
      <c r="Q2545" s="74" t="s">
        <v>4306</v>
      </c>
    </row>
    <row r="2546" spans="3:17" x14ac:dyDescent="0.25">
      <c r="C2546" s="74" t="s">
        <v>4307</v>
      </c>
      <c r="D2546" s="74" t="s">
        <v>4308</v>
      </c>
      <c r="E2546" s="74" t="s">
        <v>391</v>
      </c>
      <c r="F2546" s="74">
        <v>0.1</v>
      </c>
      <c r="G2546" s="74"/>
      <c r="H2546" s="74"/>
      <c r="I2546" s="74" t="s">
        <v>391</v>
      </c>
      <c r="J2546" s="74"/>
      <c r="K2546" s="74">
        <v>102.4</v>
      </c>
      <c r="L2546" s="74">
        <v>92.16</v>
      </c>
      <c r="M2546" s="74"/>
      <c r="N2546" s="74" t="s">
        <v>392</v>
      </c>
      <c r="O2546" s="74" t="s">
        <v>393</v>
      </c>
      <c r="P2546" s="74"/>
      <c r="Q2546" s="74" t="s">
        <v>4309</v>
      </c>
    </row>
    <row r="2547" spans="3:17" x14ac:dyDescent="0.25">
      <c r="C2547" s="74" t="s">
        <v>4310</v>
      </c>
      <c r="D2547" s="74" t="s">
        <v>4311</v>
      </c>
      <c r="E2547" s="74" t="s">
        <v>391</v>
      </c>
      <c r="F2547" s="74">
        <v>0.1</v>
      </c>
      <c r="G2547" s="74"/>
      <c r="H2547" s="74"/>
      <c r="I2547" s="74" t="s">
        <v>391</v>
      </c>
      <c r="J2547" s="74"/>
      <c r="K2547" s="74">
        <v>102.4</v>
      </c>
      <c r="L2547" s="74">
        <v>92.16</v>
      </c>
      <c r="M2547" s="74"/>
      <c r="N2547" s="74" t="s">
        <v>392</v>
      </c>
      <c r="O2547" s="74" t="s">
        <v>393</v>
      </c>
      <c r="P2547" s="74"/>
      <c r="Q2547" s="74" t="s">
        <v>4311</v>
      </c>
    </row>
    <row r="2548" spans="3:17" x14ac:dyDescent="0.25">
      <c r="C2548" s="74" t="s">
        <v>4312</v>
      </c>
      <c r="D2548" s="74" t="s">
        <v>4313</v>
      </c>
      <c r="E2548" s="74" t="s">
        <v>391</v>
      </c>
      <c r="F2548" s="74">
        <v>0.1</v>
      </c>
      <c r="G2548" s="74"/>
      <c r="H2548" s="74"/>
      <c r="I2548" s="74" t="s">
        <v>391</v>
      </c>
      <c r="J2548" s="74"/>
      <c r="K2548" s="74">
        <v>102.4</v>
      </c>
      <c r="L2548" s="74">
        <v>92.16</v>
      </c>
      <c r="M2548" s="74"/>
      <c r="N2548" s="74" t="s">
        <v>392</v>
      </c>
      <c r="O2548" s="74" t="s">
        <v>393</v>
      </c>
      <c r="P2548" s="74"/>
      <c r="Q2548" s="74" t="s">
        <v>4313</v>
      </c>
    </row>
    <row r="2549" spans="3:17" x14ac:dyDescent="0.25">
      <c r="C2549" s="74" t="s">
        <v>4349</v>
      </c>
      <c r="D2549" s="74" t="s">
        <v>4350</v>
      </c>
      <c r="E2549" s="74" t="s">
        <v>391</v>
      </c>
      <c r="F2549" s="74">
        <v>0.1</v>
      </c>
      <c r="G2549" s="74"/>
      <c r="H2549" s="74"/>
      <c r="I2549" s="74" t="s">
        <v>391</v>
      </c>
      <c r="J2549" s="74"/>
      <c r="K2549" s="74">
        <v>102.4</v>
      </c>
      <c r="L2549" s="74">
        <v>92.16</v>
      </c>
      <c r="M2549" s="74"/>
      <c r="N2549" s="74" t="s">
        <v>392</v>
      </c>
      <c r="O2549" s="74" t="s">
        <v>393</v>
      </c>
      <c r="P2549" s="74"/>
      <c r="Q2549" s="74" t="s">
        <v>4351</v>
      </c>
    </row>
    <row r="2550" spans="3:17" x14ac:dyDescent="0.25">
      <c r="C2550" s="74" t="s">
        <v>4356</v>
      </c>
      <c r="D2550" s="74" t="s">
        <v>4357</v>
      </c>
      <c r="E2550" s="74" t="s">
        <v>391</v>
      </c>
      <c r="F2550" s="74">
        <v>0.1</v>
      </c>
      <c r="G2550" s="74"/>
      <c r="H2550" s="74"/>
      <c r="I2550" s="74" t="s">
        <v>391</v>
      </c>
      <c r="J2550" s="74"/>
      <c r="K2550" s="74">
        <v>102.4</v>
      </c>
      <c r="L2550" s="74">
        <v>92.16</v>
      </c>
      <c r="M2550" s="74"/>
      <c r="N2550" s="74" t="s">
        <v>392</v>
      </c>
      <c r="O2550" s="74" t="s">
        <v>393</v>
      </c>
      <c r="P2550" s="74"/>
      <c r="Q2550" s="74" t="s">
        <v>4358</v>
      </c>
    </row>
    <row r="2551" spans="3:17" x14ac:dyDescent="0.25">
      <c r="C2551" s="74" t="s">
        <v>4359</v>
      </c>
      <c r="D2551" s="74" t="s">
        <v>4360</v>
      </c>
      <c r="E2551" s="74" t="s">
        <v>391</v>
      </c>
      <c r="F2551" s="74">
        <v>0.1</v>
      </c>
      <c r="G2551" s="74"/>
      <c r="H2551" s="74"/>
      <c r="I2551" s="74" t="s">
        <v>391</v>
      </c>
      <c r="J2551" s="74"/>
      <c r="K2551" s="74">
        <v>102.4</v>
      </c>
      <c r="L2551" s="74">
        <v>92.16</v>
      </c>
      <c r="M2551" s="74"/>
      <c r="N2551" s="74" t="s">
        <v>392</v>
      </c>
      <c r="O2551" s="74" t="s">
        <v>393</v>
      </c>
      <c r="P2551" s="74"/>
      <c r="Q2551" s="74" t="s">
        <v>4361</v>
      </c>
    </row>
    <row r="2552" spans="3:17" x14ac:dyDescent="0.25">
      <c r="C2552" s="74" t="s">
        <v>4362</v>
      </c>
      <c r="D2552" s="74" t="s">
        <v>4363</v>
      </c>
      <c r="E2552" s="74" t="s">
        <v>391</v>
      </c>
      <c r="F2552" s="74">
        <v>0.1</v>
      </c>
      <c r="G2552" s="74"/>
      <c r="H2552" s="74"/>
      <c r="I2552" s="74" t="s">
        <v>391</v>
      </c>
      <c r="J2552" s="74"/>
      <c r="K2552" s="74">
        <v>102.4</v>
      </c>
      <c r="L2552" s="74">
        <v>92.16</v>
      </c>
      <c r="M2552" s="74"/>
      <c r="N2552" s="74" t="s">
        <v>392</v>
      </c>
      <c r="O2552" s="74" t="s">
        <v>393</v>
      </c>
      <c r="P2552" s="74"/>
      <c r="Q2552" s="74" t="s">
        <v>4364</v>
      </c>
    </row>
    <row r="2553" spans="3:17" x14ac:dyDescent="0.25">
      <c r="C2553" s="74" t="s">
        <v>4369</v>
      </c>
      <c r="D2553" s="74" t="s">
        <v>4370</v>
      </c>
      <c r="E2553" s="74" t="s">
        <v>391</v>
      </c>
      <c r="F2553" s="74">
        <v>0.1</v>
      </c>
      <c r="G2553" s="74"/>
      <c r="H2553" s="74"/>
      <c r="I2553" s="74" t="s">
        <v>391</v>
      </c>
      <c r="J2553" s="74"/>
      <c r="K2553" s="74">
        <v>102.4</v>
      </c>
      <c r="L2553" s="74">
        <v>92.16</v>
      </c>
      <c r="M2553" s="74"/>
      <c r="N2553" s="74" t="s">
        <v>392</v>
      </c>
      <c r="O2553" s="74" t="s">
        <v>393</v>
      </c>
      <c r="P2553" s="74"/>
      <c r="Q2553" s="74" t="s">
        <v>4370</v>
      </c>
    </row>
    <row r="2554" spans="3:17" x14ac:dyDescent="0.25">
      <c r="C2554" s="74" t="s">
        <v>4379</v>
      </c>
      <c r="D2554" s="74" t="s">
        <v>4380</v>
      </c>
      <c r="E2554" s="74" t="s">
        <v>391</v>
      </c>
      <c r="F2554" s="74">
        <v>0.1</v>
      </c>
      <c r="G2554" s="74"/>
      <c r="H2554" s="74"/>
      <c r="I2554" s="74" t="s">
        <v>391</v>
      </c>
      <c r="J2554" s="74"/>
      <c r="K2554" s="74">
        <v>102.4</v>
      </c>
      <c r="L2554" s="74">
        <v>92.16</v>
      </c>
      <c r="M2554" s="74"/>
      <c r="N2554" s="74" t="s">
        <v>392</v>
      </c>
      <c r="O2554" s="74" t="s">
        <v>393</v>
      </c>
      <c r="P2554" s="74"/>
      <c r="Q2554" s="74" t="s">
        <v>4381</v>
      </c>
    </row>
    <row r="2555" spans="3:17" x14ac:dyDescent="0.25">
      <c r="C2555" s="74" t="s">
        <v>4382</v>
      </c>
      <c r="D2555" s="74" t="s">
        <v>4383</v>
      </c>
      <c r="E2555" s="74" t="s">
        <v>391</v>
      </c>
      <c r="F2555" s="74">
        <v>0.1</v>
      </c>
      <c r="G2555" s="74"/>
      <c r="H2555" s="74"/>
      <c r="I2555" s="74" t="s">
        <v>391</v>
      </c>
      <c r="J2555" s="74"/>
      <c r="K2555" s="74">
        <v>102.4</v>
      </c>
      <c r="L2555" s="74">
        <v>92.16</v>
      </c>
      <c r="M2555" s="74"/>
      <c r="N2555" s="74" t="s">
        <v>392</v>
      </c>
      <c r="O2555" s="74" t="s">
        <v>393</v>
      </c>
      <c r="P2555" s="74"/>
      <c r="Q2555" s="74" t="s">
        <v>4384</v>
      </c>
    </row>
    <row r="2556" spans="3:17" x14ac:dyDescent="0.25">
      <c r="C2556" s="74" t="s">
        <v>4385</v>
      </c>
      <c r="D2556" s="74" t="s">
        <v>4386</v>
      </c>
      <c r="E2556" s="74" t="s">
        <v>391</v>
      </c>
      <c r="F2556" s="74">
        <v>0.1</v>
      </c>
      <c r="G2556" s="74"/>
      <c r="H2556" s="74"/>
      <c r="I2556" s="74" t="s">
        <v>391</v>
      </c>
      <c r="J2556" s="74"/>
      <c r="K2556" s="74">
        <v>102.4</v>
      </c>
      <c r="L2556" s="74">
        <v>92.16</v>
      </c>
      <c r="M2556" s="74"/>
      <c r="N2556" s="74" t="s">
        <v>392</v>
      </c>
      <c r="O2556" s="74" t="s">
        <v>393</v>
      </c>
      <c r="P2556" s="74"/>
      <c r="Q2556" s="74" t="s">
        <v>4387</v>
      </c>
    </row>
    <row r="2557" spans="3:17" x14ac:dyDescent="0.25">
      <c r="C2557" s="74" t="s">
        <v>4430</v>
      </c>
      <c r="D2557" s="74" t="s">
        <v>4431</v>
      </c>
      <c r="E2557" s="74" t="s">
        <v>391</v>
      </c>
      <c r="F2557" s="74">
        <v>0.1</v>
      </c>
      <c r="G2557" s="74"/>
      <c r="H2557" s="74"/>
      <c r="I2557" s="74" t="s">
        <v>391</v>
      </c>
      <c r="J2557" s="74"/>
      <c r="K2557" s="74">
        <v>102.4</v>
      </c>
      <c r="L2557" s="74">
        <v>92.16</v>
      </c>
      <c r="M2557" s="74"/>
      <c r="N2557" s="74" t="s">
        <v>392</v>
      </c>
      <c r="O2557" s="74" t="s">
        <v>393</v>
      </c>
      <c r="P2557" s="74"/>
      <c r="Q2557" s="74" t="s">
        <v>4432</v>
      </c>
    </row>
    <row r="2558" spans="3:17" x14ac:dyDescent="0.25">
      <c r="C2558" s="74" t="s">
        <v>4445</v>
      </c>
      <c r="D2558" s="74" t="s">
        <v>4446</v>
      </c>
      <c r="E2558" s="74" t="s">
        <v>391</v>
      </c>
      <c r="F2558" s="74">
        <v>0.1</v>
      </c>
      <c r="G2558" s="74"/>
      <c r="H2558" s="74"/>
      <c r="I2558" s="74" t="s">
        <v>391</v>
      </c>
      <c r="J2558" s="74"/>
      <c r="K2558" s="74">
        <v>102.4</v>
      </c>
      <c r="L2558" s="74">
        <v>92.16</v>
      </c>
      <c r="M2558" s="74"/>
      <c r="N2558" s="74" t="s">
        <v>392</v>
      </c>
      <c r="O2558" s="74" t="s">
        <v>393</v>
      </c>
      <c r="P2558" s="74"/>
      <c r="Q2558" s="74" t="s">
        <v>4447</v>
      </c>
    </row>
    <row r="2559" spans="3:17" x14ac:dyDescent="0.25">
      <c r="C2559" s="74" t="s">
        <v>4460</v>
      </c>
      <c r="D2559" s="74" t="s">
        <v>4461</v>
      </c>
      <c r="E2559" s="74" t="s">
        <v>391</v>
      </c>
      <c r="F2559" s="74">
        <v>0.1</v>
      </c>
      <c r="G2559" s="74"/>
      <c r="H2559" s="74"/>
      <c r="I2559" s="74" t="s">
        <v>391</v>
      </c>
      <c r="J2559" s="74"/>
      <c r="K2559" s="74">
        <v>102.4</v>
      </c>
      <c r="L2559" s="74">
        <v>92.16</v>
      </c>
      <c r="M2559" s="74"/>
      <c r="N2559" s="74" t="s">
        <v>392</v>
      </c>
      <c r="O2559" s="74" t="s">
        <v>393</v>
      </c>
      <c r="P2559" s="74"/>
      <c r="Q2559" s="74" t="s">
        <v>4462</v>
      </c>
    </row>
    <row r="2560" spans="3:17" x14ac:dyDescent="0.25">
      <c r="C2560" s="74" t="s">
        <v>4466</v>
      </c>
      <c r="D2560" s="74" t="s">
        <v>4467</v>
      </c>
      <c r="E2560" s="74" t="s">
        <v>391</v>
      </c>
      <c r="F2560" s="74">
        <v>0.1</v>
      </c>
      <c r="G2560" s="74"/>
      <c r="H2560" s="74"/>
      <c r="I2560" s="74" t="s">
        <v>391</v>
      </c>
      <c r="J2560" s="74"/>
      <c r="K2560" s="74">
        <v>102.4</v>
      </c>
      <c r="L2560" s="74">
        <v>92.16</v>
      </c>
      <c r="M2560" s="74"/>
      <c r="N2560" s="74" t="s">
        <v>392</v>
      </c>
      <c r="O2560" s="74" t="s">
        <v>393</v>
      </c>
      <c r="P2560" s="74"/>
      <c r="Q2560" s="74" t="s">
        <v>4468</v>
      </c>
    </row>
    <row r="2561" spans="3:17" x14ac:dyDescent="0.25">
      <c r="C2561" s="74" t="s">
        <v>4469</v>
      </c>
      <c r="D2561" s="74" t="s">
        <v>4470</v>
      </c>
      <c r="E2561" s="74" t="s">
        <v>391</v>
      </c>
      <c r="F2561" s="74">
        <v>0.1</v>
      </c>
      <c r="G2561" s="74"/>
      <c r="H2561" s="74"/>
      <c r="I2561" s="74" t="s">
        <v>391</v>
      </c>
      <c r="J2561" s="74"/>
      <c r="K2561" s="74">
        <v>102.4</v>
      </c>
      <c r="L2561" s="74">
        <v>92.16</v>
      </c>
      <c r="M2561" s="74"/>
      <c r="N2561" s="74" t="s">
        <v>392</v>
      </c>
      <c r="O2561" s="74" t="s">
        <v>393</v>
      </c>
      <c r="P2561" s="74"/>
      <c r="Q2561" s="74" t="s">
        <v>4471</v>
      </c>
    </row>
    <row r="2562" spans="3:17" x14ac:dyDescent="0.25">
      <c r="C2562" s="74" t="s">
        <v>4476</v>
      </c>
      <c r="D2562" s="74" t="s">
        <v>4477</v>
      </c>
      <c r="E2562" s="74" t="s">
        <v>391</v>
      </c>
      <c r="F2562" s="74">
        <v>0.1</v>
      </c>
      <c r="G2562" s="74"/>
      <c r="H2562" s="74"/>
      <c r="I2562" s="74" t="s">
        <v>391</v>
      </c>
      <c r="J2562" s="74"/>
      <c r="K2562" s="74">
        <v>102.4</v>
      </c>
      <c r="L2562" s="74">
        <v>92.16</v>
      </c>
      <c r="M2562" s="74"/>
      <c r="N2562" s="74" t="s">
        <v>392</v>
      </c>
      <c r="O2562" s="74" t="s">
        <v>393</v>
      </c>
      <c r="P2562" s="74"/>
      <c r="Q2562" s="74" t="s">
        <v>4478</v>
      </c>
    </row>
    <row r="2563" spans="3:17" x14ac:dyDescent="0.25">
      <c r="C2563" s="74" t="s">
        <v>4486</v>
      </c>
      <c r="D2563" s="74" t="s">
        <v>4487</v>
      </c>
      <c r="E2563" s="74"/>
      <c r="F2563" s="74">
        <v>0.1</v>
      </c>
      <c r="G2563" s="74"/>
      <c r="H2563" s="74"/>
      <c r="I2563" s="74" t="s">
        <v>391</v>
      </c>
      <c r="J2563" s="74"/>
      <c r="K2563" s="74">
        <v>102.4</v>
      </c>
      <c r="L2563" s="74">
        <v>92.16</v>
      </c>
      <c r="M2563" s="74"/>
      <c r="N2563" s="74" t="s">
        <v>392</v>
      </c>
      <c r="O2563" s="74" t="s">
        <v>535</v>
      </c>
      <c r="P2563" s="74"/>
      <c r="Q2563" s="74" t="s">
        <v>4488</v>
      </c>
    </row>
    <row r="2564" spans="3:17" x14ac:dyDescent="0.25">
      <c r="C2564" s="74" t="s">
        <v>4518</v>
      </c>
      <c r="D2564" s="74" t="s">
        <v>4519</v>
      </c>
      <c r="E2564" s="74" t="s">
        <v>391</v>
      </c>
      <c r="F2564" s="74">
        <v>0.1</v>
      </c>
      <c r="G2564" s="74"/>
      <c r="H2564" s="74"/>
      <c r="I2564" s="74" t="s">
        <v>391</v>
      </c>
      <c r="J2564" s="74"/>
      <c r="K2564" s="74">
        <v>102.4</v>
      </c>
      <c r="L2564" s="74">
        <v>92.16</v>
      </c>
      <c r="M2564" s="74"/>
      <c r="N2564" s="74" t="s">
        <v>392</v>
      </c>
      <c r="O2564" s="74" t="s">
        <v>393</v>
      </c>
      <c r="P2564" s="74"/>
      <c r="Q2564" s="74" t="s">
        <v>4519</v>
      </c>
    </row>
    <row r="2565" spans="3:17" x14ac:dyDescent="0.25">
      <c r="C2565" s="74" t="s">
        <v>4520</v>
      </c>
      <c r="D2565" s="74" t="s">
        <v>4521</v>
      </c>
      <c r="E2565" s="74" t="s">
        <v>391</v>
      </c>
      <c r="F2565" s="74">
        <v>0.1</v>
      </c>
      <c r="G2565" s="74"/>
      <c r="H2565" s="74"/>
      <c r="I2565" s="74" t="s">
        <v>391</v>
      </c>
      <c r="J2565" s="74"/>
      <c r="K2565" s="74">
        <v>102.4</v>
      </c>
      <c r="L2565" s="74">
        <v>92.16</v>
      </c>
      <c r="M2565" s="74"/>
      <c r="N2565" s="74" t="s">
        <v>392</v>
      </c>
      <c r="O2565" s="74" t="s">
        <v>393</v>
      </c>
      <c r="P2565" s="74"/>
      <c r="Q2565" s="74" t="s">
        <v>4521</v>
      </c>
    </row>
    <row r="2566" spans="3:17" x14ac:dyDescent="0.25">
      <c r="C2566" s="74" t="s">
        <v>4522</v>
      </c>
      <c r="D2566" s="74" t="s">
        <v>4523</v>
      </c>
      <c r="E2566" s="74" t="s">
        <v>391</v>
      </c>
      <c r="F2566" s="74">
        <v>0.1</v>
      </c>
      <c r="G2566" s="74"/>
      <c r="H2566" s="74"/>
      <c r="I2566" s="74" t="s">
        <v>391</v>
      </c>
      <c r="J2566" s="74"/>
      <c r="K2566" s="74">
        <v>102.4</v>
      </c>
      <c r="L2566" s="74">
        <v>92.16</v>
      </c>
      <c r="M2566" s="74"/>
      <c r="N2566" s="74" t="s">
        <v>392</v>
      </c>
      <c r="O2566" s="74" t="s">
        <v>393</v>
      </c>
      <c r="P2566" s="74"/>
      <c r="Q2566" s="74" t="s">
        <v>4523</v>
      </c>
    </row>
    <row r="2567" spans="3:17" x14ac:dyDescent="0.25">
      <c r="C2567" s="74" t="s">
        <v>4524</v>
      </c>
      <c r="D2567" s="74" t="s">
        <v>4525</v>
      </c>
      <c r="E2567" s="74" t="s">
        <v>391</v>
      </c>
      <c r="F2567" s="74">
        <v>0.1</v>
      </c>
      <c r="G2567" s="74"/>
      <c r="H2567" s="74"/>
      <c r="I2567" s="74" t="s">
        <v>391</v>
      </c>
      <c r="J2567" s="74"/>
      <c r="K2567" s="74">
        <v>102.4</v>
      </c>
      <c r="L2567" s="74">
        <v>92.16</v>
      </c>
      <c r="M2567" s="74"/>
      <c r="N2567" s="74" t="s">
        <v>392</v>
      </c>
      <c r="O2567" s="74" t="s">
        <v>393</v>
      </c>
      <c r="P2567" s="74"/>
      <c r="Q2567" s="74" t="s">
        <v>4525</v>
      </c>
    </row>
    <row r="2568" spans="3:17" x14ac:dyDescent="0.25">
      <c r="C2568" s="74" t="s">
        <v>4526</v>
      </c>
      <c r="D2568" s="74" t="s">
        <v>4527</v>
      </c>
      <c r="E2568" s="74" t="s">
        <v>391</v>
      </c>
      <c r="F2568" s="74">
        <v>0.1</v>
      </c>
      <c r="G2568" s="74"/>
      <c r="H2568" s="74"/>
      <c r="I2568" s="74" t="s">
        <v>391</v>
      </c>
      <c r="J2568" s="74"/>
      <c r="K2568" s="74">
        <v>102.4</v>
      </c>
      <c r="L2568" s="74">
        <v>92.16</v>
      </c>
      <c r="M2568" s="74"/>
      <c r="N2568" s="74" t="s">
        <v>392</v>
      </c>
      <c r="O2568" s="74" t="s">
        <v>393</v>
      </c>
      <c r="P2568" s="74"/>
      <c r="Q2568" s="74" t="s">
        <v>4527</v>
      </c>
    </row>
    <row r="2569" spans="3:17" x14ac:dyDescent="0.25">
      <c r="C2569" s="74" t="s">
        <v>4528</v>
      </c>
      <c r="D2569" s="74" t="s">
        <v>4529</v>
      </c>
      <c r="E2569" s="74" t="s">
        <v>391</v>
      </c>
      <c r="F2569" s="74">
        <v>0.1</v>
      </c>
      <c r="G2569" s="74"/>
      <c r="H2569" s="74"/>
      <c r="I2569" s="74" t="s">
        <v>391</v>
      </c>
      <c r="J2569" s="74"/>
      <c r="K2569" s="74">
        <v>102.4</v>
      </c>
      <c r="L2569" s="74">
        <v>92.16</v>
      </c>
      <c r="M2569" s="74"/>
      <c r="N2569" s="74" t="s">
        <v>392</v>
      </c>
      <c r="O2569" s="74" t="s">
        <v>393</v>
      </c>
      <c r="P2569" s="74"/>
      <c r="Q2569" s="74" t="s">
        <v>4529</v>
      </c>
    </row>
    <row r="2570" spans="3:17" x14ac:dyDescent="0.25">
      <c r="C2570" s="74" t="s">
        <v>4530</v>
      </c>
      <c r="D2570" s="74" t="s">
        <v>4531</v>
      </c>
      <c r="E2570" s="74" t="s">
        <v>391</v>
      </c>
      <c r="F2570" s="74">
        <v>0.1</v>
      </c>
      <c r="G2570" s="74"/>
      <c r="H2570" s="74"/>
      <c r="I2570" s="74" t="s">
        <v>391</v>
      </c>
      <c r="J2570" s="74"/>
      <c r="K2570" s="74">
        <v>102.4</v>
      </c>
      <c r="L2570" s="74">
        <v>92.16</v>
      </c>
      <c r="M2570" s="74"/>
      <c r="N2570" s="74" t="s">
        <v>392</v>
      </c>
      <c r="O2570" s="74" t="s">
        <v>393</v>
      </c>
      <c r="P2570" s="74"/>
      <c r="Q2570" s="74" t="s">
        <v>4531</v>
      </c>
    </row>
    <row r="2571" spans="3:17" x14ac:dyDescent="0.25">
      <c r="C2571" s="74" t="s">
        <v>4536</v>
      </c>
      <c r="D2571" s="74" t="s">
        <v>4537</v>
      </c>
      <c r="E2571" s="74" t="s">
        <v>391</v>
      </c>
      <c r="F2571" s="74">
        <v>0.1</v>
      </c>
      <c r="G2571" s="74"/>
      <c r="H2571" s="74"/>
      <c r="I2571" s="74" t="s">
        <v>391</v>
      </c>
      <c r="J2571" s="74"/>
      <c r="K2571" s="74">
        <v>102.4</v>
      </c>
      <c r="L2571" s="74">
        <v>92.16</v>
      </c>
      <c r="M2571" s="74"/>
      <c r="N2571" s="74" t="s">
        <v>392</v>
      </c>
      <c r="O2571" s="74" t="s">
        <v>393</v>
      </c>
      <c r="P2571" s="74"/>
      <c r="Q2571" s="74" t="s">
        <v>4538</v>
      </c>
    </row>
    <row r="2572" spans="3:17" x14ac:dyDescent="0.25">
      <c r="C2572" s="74" t="s">
        <v>4543</v>
      </c>
      <c r="D2572" s="74" t="s">
        <v>4544</v>
      </c>
      <c r="E2572" s="74" t="s">
        <v>391</v>
      </c>
      <c r="F2572" s="74">
        <v>0.1</v>
      </c>
      <c r="G2572" s="74"/>
      <c r="H2572" s="74"/>
      <c r="I2572" s="74" t="s">
        <v>391</v>
      </c>
      <c r="J2572" s="74"/>
      <c r="K2572" s="74">
        <v>102.4</v>
      </c>
      <c r="L2572" s="74">
        <v>92.16</v>
      </c>
      <c r="M2572" s="74"/>
      <c r="N2572" s="74" t="s">
        <v>392</v>
      </c>
      <c r="O2572" s="74" t="s">
        <v>393</v>
      </c>
      <c r="P2572" s="74"/>
      <c r="Q2572" s="74" t="s">
        <v>4545</v>
      </c>
    </row>
    <row r="2573" spans="3:17" x14ac:dyDescent="0.25">
      <c r="C2573" s="74" t="s">
        <v>4564</v>
      </c>
      <c r="D2573" s="74" t="s">
        <v>4565</v>
      </c>
      <c r="E2573" s="74" t="s">
        <v>391</v>
      </c>
      <c r="F2573" s="74">
        <v>0.1</v>
      </c>
      <c r="G2573" s="74"/>
      <c r="H2573" s="74"/>
      <c r="I2573" s="74" t="s">
        <v>391</v>
      </c>
      <c r="J2573" s="74"/>
      <c r="K2573" s="74">
        <v>102.4</v>
      </c>
      <c r="L2573" s="74">
        <v>92.16</v>
      </c>
      <c r="M2573" s="74"/>
      <c r="N2573" s="74" t="s">
        <v>392</v>
      </c>
      <c r="O2573" s="74" t="s">
        <v>393</v>
      </c>
      <c r="P2573" s="74"/>
      <c r="Q2573" s="74" t="s">
        <v>4566</v>
      </c>
    </row>
    <row r="2574" spans="3:17" x14ac:dyDescent="0.25">
      <c r="C2574" s="74" t="s">
        <v>4574</v>
      </c>
      <c r="D2574" s="74" t="s">
        <v>4575</v>
      </c>
      <c r="E2574" s="74" t="s">
        <v>391</v>
      </c>
      <c r="F2574" s="74">
        <v>0.1</v>
      </c>
      <c r="G2574" s="74"/>
      <c r="H2574" s="74"/>
      <c r="I2574" s="74" t="s">
        <v>391</v>
      </c>
      <c r="J2574" s="74"/>
      <c r="K2574" s="74">
        <v>102.4</v>
      </c>
      <c r="L2574" s="74">
        <v>92.16</v>
      </c>
      <c r="M2574" s="74"/>
      <c r="N2574" s="74" t="s">
        <v>392</v>
      </c>
      <c r="O2574" s="74" t="s">
        <v>393</v>
      </c>
      <c r="P2574" s="74"/>
      <c r="Q2574" s="74" t="s">
        <v>4576</v>
      </c>
    </row>
    <row r="2575" spans="3:17" x14ac:dyDescent="0.25">
      <c r="C2575" s="74" t="s">
        <v>4577</v>
      </c>
      <c r="D2575" s="74" t="s">
        <v>4578</v>
      </c>
      <c r="E2575" s="74" t="s">
        <v>391</v>
      </c>
      <c r="F2575" s="74">
        <v>0.1</v>
      </c>
      <c r="G2575" s="74"/>
      <c r="H2575" s="74"/>
      <c r="I2575" s="74" t="s">
        <v>391</v>
      </c>
      <c r="J2575" s="74"/>
      <c r="K2575" s="74">
        <v>102.4</v>
      </c>
      <c r="L2575" s="74">
        <v>92.16</v>
      </c>
      <c r="M2575" s="74"/>
      <c r="N2575" s="74" t="s">
        <v>392</v>
      </c>
      <c r="O2575" s="74" t="s">
        <v>393</v>
      </c>
      <c r="P2575" s="74"/>
      <c r="Q2575" s="74" t="s">
        <v>4579</v>
      </c>
    </row>
    <row r="2576" spans="3:17" x14ac:dyDescent="0.25">
      <c r="C2576" s="74" t="s">
        <v>4587</v>
      </c>
      <c r="D2576" s="74" t="s">
        <v>4588</v>
      </c>
      <c r="E2576" s="74" t="s">
        <v>391</v>
      </c>
      <c r="F2576" s="74">
        <v>0.1</v>
      </c>
      <c r="G2576" s="74"/>
      <c r="H2576" s="74"/>
      <c r="I2576" s="74" t="s">
        <v>391</v>
      </c>
      <c r="J2576" s="74"/>
      <c r="K2576" s="74">
        <v>102.4</v>
      </c>
      <c r="L2576" s="74">
        <v>92.16</v>
      </c>
      <c r="M2576" s="74"/>
      <c r="N2576" s="74" t="s">
        <v>392</v>
      </c>
      <c r="O2576" s="74" t="s">
        <v>393</v>
      </c>
      <c r="P2576" s="74"/>
      <c r="Q2576" s="74" t="s">
        <v>4589</v>
      </c>
    </row>
    <row r="2577" spans="3:17" x14ac:dyDescent="0.25">
      <c r="C2577" s="74" t="s">
        <v>4632</v>
      </c>
      <c r="D2577" s="74" t="s">
        <v>4633</v>
      </c>
      <c r="E2577" s="74" t="s">
        <v>391</v>
      </c>
      <c r="F2577" s="74">
        <v>0.1</v>
      </c>
      <c r="G2577" s="74"/>
      <c r="H2577" s="74"/>
      <c r="I2577" s="74" t="s">
        <v>391</v>
      </c>
      <c r="J2577" s="74"/>
      <c r="K2577" s="74">
        <v>102.4</v>
      </c>
      <c r="L2577" s="74">
        <v>92.16</v>
      </c>
      <c r="M2577" s="74"/>
      <c r="N2577" s="74" t="s">
        <v>392</v>
      </c>
      <c r="O2577" s="74" t="s">
        <v>393</v>
      </c>
      <c r="P2577" s="74"/>
      <c r="Q2577" s="74" t="s">
        <v>4634</v>
      </c>
    </row>
    <row r="2578" spans="3:17" x14ac:dyDescent="0.25">
      <c r="C2578" s="74" t="s">
        <v>4642</v>
      </c>
      <c r="D2578" s="74" t="s">
        <v>4643</v>
      </c>
      <c r="E2578" s="74" t="s">
        <v>391</v>
      </c>
      <c r="F2578" s="74">
        <v>0.1</v>
      </c>
      <c r="G2578" s="74"/>
      <c r="H2578" s="74"/>
      <c r="I2578" s="74" t="s">
        <v>391</v>
      </c>
      <c r="J2578" s="74"/>
      <c r="K2578" s="74">
        <v>102.4</v>
      </c>
      <c r="L2578" s="74">
        <v>92.16</v>
      </c>
      <c r="M2578" s="74"/>
      <c r="N2578" s="74" t="s">
        <v>392</v>
      </c>
      <c r="O2578" s="74" t="s">
        <v>393</v>
      </c>
      <c r="P2578" s="74"/>
      <c r="Q2578" s="74" t="s">
        <v>4644</v>
      </c>
    </row>
    <row r="2579" spans="3:17" x14ac:dyDescent="0.25">
      <c r="C2579" s="74" t="s">
        <v>4653</v>
      </c>
      <c r="D2579" s="74" t="s">
        <v>4654</v>
      </c>
      <c r="E2579" s="74" t="s">
        <v>391</v>
      </c>
      <c r="F2579" s="74">
        <v>0.1</v>
      </c>
      <c r="G2579" s="74"/>
      <c r="H2579" s="74"/>
      <c r="I2579" s="74" t="s">
        <v>391</v>
      </c>
      <c r="J2579" s="74"/>
      <c r="K2579" s="74">
        <v>102.4</v>
      </c>
      <c r="L2579" s="74">
        <v>92.16</v>
      </c>
      <c r="M2579" s="74"/>
      <c r="N2579" s="74" t="s">
        <v>392</v>
      </c>
      <c r="O2579" s="74" t="s">
        <v>393</v>
      </c>
      <c r="P2579" s="74"/>
      <c r="Q2579" s="74" t="s">
        <v>4655</v>
      </c>
    </row>
    <row r="2580" spans="3:17" x14ac:dyDescent="0.25">
      <c r="C2580" s="74" t="s">
        <v>4664</v>
      </c>
      <c r="D2580" s="74" t="s">
        <v>4665</v>
      </c>
      <c r="E2580" s="74" t="s">
        <v>391</v>
      </c>
      <c r="F2580" s="74">
        <v>0.1</v>
      </c>
      <c r="G2580" s="74"/>
      <c r="H2580" s="74"/>
      <c r="I2580" s="74" t="s">
        <v>391</v>
      </c>
      <c r="J2580" s="74"/>
      <c r="K2580" s="74">
        <v>102.4</v>
      </c>
      <c r="L2580" s="74">
        <v>92.16</v>
      </c>
      <c r="M2580" s="74"/>
      <c r="N2580" s="74" t="s">
        <v>392</v>
      </c>
      <c r="O2580" s="74" t="s">
        <v>393</v>
      </c>
      <c r="P2580" s="74"/>
      <c r="Q2580" s="74" t="s">
        <v>4666</v>
      </c>
    </row>
    <row r="2581" spans="3:17" x14ac:dyDescent="0.25">
      <c r="C2581" s="74" t="s">
        <v>4682</v>
      </c>
      <c r="D2581" s="74" t="s">
        <v>4683</v>
      </c>
      <c r="E2581" s="74" t="s">
        <v>391</v>
      </c>
      <c r="F2581" s="74">
        <v>0.1</v>
      </c>
      <c r="G2581" s="74"/>
      <c r="H2581" s="74"/>
      <c r="I2581" s="74" t="s">
        <v>391</v>
      </c>
      <c r="J2581" s="74"/>
      <c r="K2581" s="74">
        <v>102.4</v>
      </c>
      <c r="L2581" s="74">
        <v>92.16</v>
      </c>
      <c r="M2581" s="74"/>
      <c r="N2581" s="74" t="s">
        <v>392</v>
      </c>
      <c r="O2581" s="74" t="s">
        <v>393</v>
      </c>
      <c r="P2581" s="74"/>
      <c r="Q2581" s="74" t="s">
        <v>4684</v>
      </c>
    </row>
    <row r="2582" spans="3:17" x14ac:dyDescent="0.25">
      <c r="C2582" s="74" t="s">
        <v>4689</v>
      </c>
      <c r="D2582" s="74" t="s">
        <v>4690</v>
      </c>
      <c r="E2582" s="74" t="s">
        <v>391</v>
      </c>
      <c r="F2582" s="74">
        <v>0.1</v>
      </c>
      <c r="G2582" s="74"/>
      <c r="H2582" s="74"/>
      <c r="I2582" s="74" t="s">
        <v>391</v>
      </c>
      <c r="J2582" s="74"/>
      <c r="K2582" s="74">
        <v>102.4</v>
      </c>
      <c r="L2582" s="74">
        <v>92.16</v>
      </c>
      <c r="M2582" s="74"/>
      <c r="N2582" s="74" t="s">
        <v>392</v>
      </c>
      <c r="O2582" s="74" t="s">
        <v>393</v>
      </c>
      <c r="P2582" s="74"/>
      <c r="Q2582" s="74" t="s">
        <v>4691</v>
      </c>
    </row>
    <row r="2583" spans="3:17" x14ac:dyDescent="0.25">
      <c r="C2583" s="74" t="s">
        <v>4692</v>
      </c>
      <c r="D2583" s="74" t="s">
        <v>4693</v>
      </c>
      <c r="E2583" s="74" t="s">
        <v>391</v>
      </c>
      <c r="F2583" s="74">
        <v>0.1</v>
      </c>
      <c r="G2583" s="74"/>
      <c r="H2583" s="74"/>
      <c r="I2583" s="74" t="s">
        <v>391</v>
      </c>
      <c r="J2583" s="74"/>
      <c r="K2583" s="74">
        <v>102.4</v>
      </c>
      <c r="L2583" s="74">
        <v>92.16</v>
      </c>
      <c r="M2583" s="74"/>
      <c r="N2583" s="74" t="s">
        <v>392</v>
      </c>
      <c r="O2583" s="74" t="s">
        <v>393</v>
      </c>
      <c r="P2583" s="74"/>
      <c r="Q2583" s="74" t="s">
        <v>4694</v>
      </c>
    </row>
    <row r="2584" spans="3:17" x14ac:dyDescent="0.25">
      <c r="C2584" s="74" t="s">
        <v>4699</v>
      </c>
      <c r="D2584" s="74" t="s">
        <v>4700</v>
      </c>
      <c r="E2584" s="74" t="s">
        <v>391</v>
      </c>
      <c r="F2584" s="74">
        <v>0.1</v>
      </c>
      <c r="G2584" s="74"/>
      <c r="H2584" s="74"/>
      <c r="I2584" s="74" t="s">
        <v>391</v>
      </c>
      <c r="J2584" s="74"/>
      <c r="K2584" s="74">
        <v>102.4</v>
      </c>
      <c r="L2584" s="74">
        <v>92.16</v>
      </c>
      <c r="M2584" s="74"/>
      <c r="N2584" s="74" t="s">
        <v>392</v>
      </c>
      <c r="O2584" s="74" t="s">
        <v>393</v>
      </c>
      <c r="P2584" s="74"/>
      <c r="Q2584" s="74" t="s">
        <v>4701</v>
      </c>
    </row>
    <row r="2585" spans="3:17" x14ac:dyDescent="0.25">
      <c r="C2585" s="74" t="s">
        <v>4706</v>
      </c>
      <c r="D2585" s="74" t="s">
        <v>4707</v>
      </c>
      <c r="E2585" s="74" t="s">
        <v>391</v>
      </c>
      <c r="F2585" s="74">
        <v>0.1</v>
      </c>
      <c r="G2585" s="74"/>
      <c r="H2585" s="74"/>
      <c r="I2585" s="74" t="s">
        <v>391</v>
      </c>
      <c r="J2585" s="74"/>
      <c r="K2585" s="74">
        <v>102.4</v>
      </c>
      <c r="L2585" s="74">
        <v>92.16</v>
      </c>
      <c r="M2585" s="74"/>
      <c r="N2585" s="74" t="s">
        <v>392</v>
      </c>
      <c r="O2585" s="74" t="s">
        <v>393</v>
      </c>
      <c r="P2585" s="74"/>
      <c r="Q2585" s="74" t="s">
        <v>4708</v>
      </c>
    </row>
    <row r="2586" spans="3:17" x14ac:dyDescent="0.25">
      <c r="C2586" s="74" t="s">
        <v>4709</v>
      </c>
      <c r="D2586" s="74" t="s">
        <v>4710</v>
      </c>
      <c r="E2586" s="74" t="s">
        <v>391</v>
      </c>
      <c r="F2586" s="74">
        <v>0.1</v>
      </c>
      <c r="G2586" s="74"/>
      <c r="H2586" s="74"/>
      <c r="I2586" s="74" t="s">
        <v>391</v>
      </c>
      <c r="J2586" s="74"/>
      <c r="K2586" s="74">
        <v>102.4</v>
      </c>
      <c r="L2586" s="74">
        <v>92.16</v>
      </c>
      <c r="M2586" s="74"/>
      <c r="N2586" s="74" t="s">
        <v>392</v>
      </c>
      <c r="O2586" s="74" t="s">
        <v>393</v>
      </c>
      <c r="P2586" s="74"/>
      <c r="Q2586" s="74" t="s">
        <v>4710</v>
      </c>
    </row>
    <row r="2587" spans="3:17" x14ac:dyDescent="0.25">
      <c r="C2587" s="74" t="s">
        <v>4711</v>
      </c>
      <c r="D2587" s="74" t="s">
        <v>4712</v>
      </c>
      <c r="E2587" s="74" t="s">
        <v>391</v>
      </c>
      <c r="F2587" s="74">
        <v>0.1</v>
      </c>
      <c r="G2587" s="74"/>
      <c r="H2587" s="74"/>
      <c r="I2587" s="74" t="s">
        <v>391</v>
      </c>
      <c r="J2587" s="74"/>
      <c r="K2587" s="74">
        <v>102.4</v>
      </c>
      <c r="L2587" s="74">
        <v>92.16</v>
      </c>
      <c r="M2587" s="74"/>
      <c r="N2587" s="74" t="s">
        <v>392</v>
      </c>
      <c r="O2587" s="74" t="s">
        <v>393</v>
      </c>
      <c r="P2587" s="74"/>
      <c r="Q2587" s="74" t="s">
        <v>4713</v>
      </c>
    </row>
    <row r="2588" spans="3:17" x14ac:dyDescent="0.25">
      <c r="C2588" s="74" t="s">
        <v>4722</v>
      </c>
      <c r="D2588" s="74" t="s">
        <v>4723</v>
      </c>
      <c r="E2588" s="74" t="s">
        <v>391</v>
      </c>
      <c r="F2588" s="74">
        <v>0.1</v>
      </c>
      <c r="G2588" s="74"/>
      <c r="H2588" s="74"/>
      <c r="I2588" s="74" t="s">
        <v>391</v>
      </c>
      <c r="J2588" s="74"/>
      <c r="K2588" s="74">
        <v>102.4</v>
      </c>
      <c r="L2588" s="74">
        <v>92.16</v>
      </c>
      <c r="M2588" s="74"/>
      <c r="N2588" s="74" t="s">
        <v>392</v>
      </c>
      <c r="O2588" s="74" t="s">
        <v>393</v>
      </c>
      <c r="P2588" s="74"/>
      <c r="Q2588" s="74" t="s">
        <v>4724</v>
      </c>
    </row>
    <row r="2589" spans="3:17" x14ac:dyDescent="0.25">
      <c r="C2589" s="74" t="s">
        <v>4756</v>
      </c>
      <c r="D2589" s="74" t="s">
        <v>4757</v>
      </c>
      <c r="E2589" s="74" t="s">
        <v>391</v>
      </c>
      <c r="F2589" s="74">
        <v>0.1</v>
      </c>
      <c r="G2589" s="74"/>
      <c r="H2589" s="74"/>
      <c r="I2589" s="74" t="s">
        <v>391</v>
      </c>
      <c r="J2589" s="74"/>
      <c r="K2589" s="74">
        <v>102.4</v>
      </c>
      <c r="L2589" s="74">
        <v>92.16</v>
      </c>
      <c r="M2589" s="74"/>
      <c r="N2589" s="74" t="s">
        <v>392</v>
      </c>
      <c r="O2589" s="74" t="s">
        <v>393</v>
      </c>
      <c r="P2589" s="74"/>
      <c r="Q2589" s="74" t="s">
        <v>4758</v>
      </c>
    </row>
    <row r="2590" spans="3:17" x14ac:dyDescent="0.25">
      <c r="C2590" s="74" t="s">
        <v>4795</v>
      </c>
      <c r="D2590" s="74" t="s">
        <v>4796</v>
      </c>
      <c r="E2590" s="74" t="s">
        <v>391</v>
      </c>
      <c r="F2590" s="74">
        <v>0.1</v>
      </c>
      <c r="G2590" s="74"/>
      <c r="H2590" s="74"/>
      <c r="I2590" s="74" t="s">
        <v>391</v>
      </c>
      <c r="J2590" s="74"/>
      <c r="K2590" s="74">
        <v>102.4</v>
      </c>
      <c r="L2590" s="74">
        <v>92.16</v>
      </c>
      <c r="M2590" s="74"/>
      <c r="N2590" s="74" t="s">
        <v>392</v>
      </c>
      <c r="O2590" s="74" t="s">
        <v>393</v>
      </c>
      <c r="P2590" s="74"/>
      <c r="Q2590" s="74" t="s">
        <v>4797</v>
      </c>
    </row>
    <row r="2591" spans="3:17" x14ac:dyDescent="0.25">
      <c r="C2591" s="74" t="s">
        <v>4798</v>
      </c>
      <c r="D2591" s="74" t="s">
        <v>4799</v>
      </c>
      <c r="E2591" s="74" t="s">
        <v>391</v>
      </c>
      <c r="F2591" s="74">
        <v>0.1</v>
      </c>
      <c r="G2591" s="74"/>
      <c r="H2591" s="74"/>
      <c r="I2591" s="74" t="s">
        <v>391</v>
      </c>
      <c r="J2591" s="74"/>
      <c r="K2591" s="74">
        <v>102.4</v>
      </c>
      <c r="L2591" s="74">
        <v>92.16</v>
      </c>
      <c r="M2591" s="74"/>
      <c r="N2591" s="74" t="s">
        <v>392</v>
      </c>
      <c r="O2591" s="74" t="s">
        <v>393</v>
      </c>
      <c r="P2591" s="74"/>
      <c r="Q2591" s="74" t="s">
        <v>4800</v>
      </c>
    </row>
    <row r="2592" spans="3:17" x14ac:dyDescent="0.25">
      <c r="C2592" s="74" t="s">
        <v>4825</v>
      </c>
      <c r="D2592" s="74" t="s">
        <v>4826</v>
      </c>
      <c r="E2592" s="74" t="s">
        <v>391</v>
      </c>
      <c r="F2592" s="74">
        <v>0.1</v>
      </c>
      <c r="G2592" s="74"/>
      <c r="H2592" s="74"/>
      <c r="I2592" s="74" t="s">
        <v>391</v>
      </c>
      <c r="J2592" s="74"/>
      <c r="K2592" s="74">
        <v>102.4</v>
      </c>
      <c r="L2592" s="74">
        <v>92.16</v>
      </c>
      <c r="M2592" s="74"/>
      <c r="N2592" s="74" t="s">
        <v>392</v>
      </c>
      <c r="O2592" s="74" t="s">
        <v>393</v>
      </c>
      <c r="P2592" s="74"/>
      <c r="Q2592" s="74" t="s">
        <v>4827</v>
      </c>
    </row>
    <row r="2593" spans="3:17" x14ac:dyDescent="0.25">
      <c r="C2593" s="74" t="s">
        <v>4836</v>
      </c>
      <c r="D2593" s="74" t="s">
        <v>4837</v>
      </c>
      <c r="E2593" s="74" t="s">
        <v>391</v>
      </c>
      <c r="F2593" s="74">
        <v>0.1</v>
      </c>
      <c r="G2593" s="74"/>
      <c r="H2593" s="74"/>
      <c r="I2593" s="74" t="s">
        <v>391</v>
      </c>
      <c r="J2593" s="74"/>
      <c r="K2593" s="74">
        <v>102.4</v>
      </c>
      <c r="L2593" s="74">
        <v>92.16</v>
      </c>
      <c r="M2593" s="74"/>
      <c r="N2593" s="74" t="s">
        <v>392</v>
      </c>
      <c r="O2593" s="74" t="s">
        <v>393</v>
      </c>
      <c r="P2593" s="74"/>
      <c r="Q2593" s="74" t="s">
        <v>4838</v>
      </c>
    </row>
    <row r="2594" spans="3:17" x14ac:dyDescent="0.25">
      <c r="C2594" s="158" t="s">
        <v>4839</v>
      </c>
      <c r="D2594" s="158" t="s">
        <v>4840</v>
      </c>
      <c r="E2594" s="158" t="s">
        <v>391</v>
      </c>
      <c r="F2594" s="158">
        <v>0.1</v>
      </c>
      <c r="I2594" s="158" t="s">
        <v>391</v>
      </c>
      <c r="K2594" s="158">
        <v>102.4</v>
      </c>
      <c r="L2594" s="158">
        <v>92.16</v>
      </c>
      <c r="N2594" s="158" t="s">
        <v>392</v>
      </c>
      <c r="O2594" s="158" t="s">
        <v>393</v>
      </c>
      <c r="Q2594" s="158" t="s">
        <v>4841</v>
      </c>
    </row>
    <row r="2595" spans="3:17" x14ac:dyDescent="0.25">
      <c r="C2595" s="74" t="s">
        <v>4846</v>
      </c>
      <c r="D2595" s="74" t="s">
        <v>4847</v>
      </c>
      <c r="E2595" s="74" t="s">
        <v>391</v>
      </c>
      <c r="F2595" s="74">
        <v>0.1</v>
      </c>
      <c r="G2595" s="74"/>
      <c r="H2595" s="74"/>
      <c r="I2595" s="74" t="s">
        <v>391</v>
      </c>
      <c r="J2595" s="74"/>
      <c r="K2595" s="74">
        <v>102.4</v>
      </c>
      <c r="L2595" s="74">
        <v>92.16</v>
      </c>
      <c r="M2595" s="74"/>
      <c r="N2595" s="74" t="s">
        <v>392</v>
      </c>
      <c r="O2595" s="74" t="s">
        <v>393</v>
      </c>
      <c r="P2595" s="74"/>
      <c r="Q2595" s="74" t="s">
        <v>4848</v>
      </c>
    </row>
    <row r="2596" spans="3:17" x14ac:dyDescent="0.25">
      <c r="C2596" s="74" t="s">
        <v>4853</v>
      </c>
      <c r="D2596" s="74" t="s">
        <v>4854</v>
      </c>
      <c r="E2596" s="74" t="s">
        <v>391</v>
      </c>
      <c r="F2596" s="74">
        <v>0.1</v>
      </c>
      <c r="G2596" s="74"/>
      <c r="H2596" s="74"/>
      <c r="I2596" s="74" t="s">
        <v>391</v>
      </c>
      <c r="J2596" s="74"/>
      <c r="K2596" s="74">
        <v>102.4</v>
      </c>
      <c r="L2596" s="74">
        <v>92.16</v>
      </c>
      <c r="M2596" s="74"/>
      <c r="N2596" s="74" t="s">
        <v>392</v>
      </c>
      <c r="O2596" s="74" t="s">
        <v>393</v>
      </c>
      <c r="P2596" s="74"/>
      <c r="Q2596" s="74" t="s">
        <v>4854</v>
      </c>
    </row>
    <row r="2597" spans="3:17" x14ac:dyDescent="0.25">
      <c r="C2597" s="74" t="s">
        <v>4855</v>
      </c>
      <c r="D2597" s="74" t="s">
        <v>4856</v>
      </c>
      <c r="E2597" s="74" t="s">
        <v>391</v>
      </c>
      <c r="F2597" s="74">
        <v>0.1</v>
      </c>
      <c r="G2597" s="74"/>
      <c r="H2597" s="74"/>
      <c r="I2597" s="74" t="s">
        <v>391</v>
      </c>
      <c r="J2597" s="74"/>
      <c r="K2597" s="74">
        <v>102.4</v>
      </c>
      <c r="L2597" s="74">
        <v>92.16</v>
      </c>
      <c r="M2597" s="74"/>
      <c r="N2597" s="74" t="s">
        <v>392</v>
      </c>
      <c r="O2597" s="74" t="s">
        <v>393</v>
      </c>
      <c r="P2597" s="74"/>
      <c r="Q2597" s="74" t="s">
        <v>4857</v>
      </c>
    </row>
    <row r="2598" spans="3:17" x14ac:dyDescent="0.25">
      <c r="C2598" s="74" t="s">
        <v>4858</v>
      </c>
      <c r="D2598" s="74" t="s">
        <v>4859</v>
      </c>
      <c r="E2598" s="74" t="s">
        <v>391</v>
      </c>
      <c r="F2598" s="74">
        <v>0.1</v>
      </c>
      <c r="G2598" s="74"/>
      <c r="H2598" s="74"/>
      <c r="I2598" s="74" t="s">
        <v>391</v>
      </c>
      <c r="J2598" s="74"/>
      <c r="K2598" s="74">
        <v>102.4</v>
      </c>
      <c r="L2598" s="74">
        <v>92.16</v>
      </c>
      <c r="M2598" s="74"/>
      <c r="N2598" s="74" t="s">
        <v>392</v>
      </c>
      <c r="O2598" s="74" t="s">
        <v>393</v>
      </c>
      <c r="P2598" s="74"/>
      <c r="Q2598" s="74" t="s">
        <v>4859</v>
      </c>
    </row>
    <row r="2599" spans="3:17" x14ac:dyDescent="0.25">
      <c r="C2599" s="74" t="s">
        <v>4864</v>
      </c>
      <c r="D2599" s="74" t="s">
        <v>4865</v>
      </c>
      <c r="E2599" s="74" t="s">
        <v>391</v>
      </c>
      <c r="F2599" s="74">
        <v>0.1</v>
      </c>
      <c r="G2599" s="74"/>
      <c r="H2599" s="74"/>
      <c r="I2599" s="74" t="s">
        <v>391</v>
      </c>
      <c r="J2599" s="74"/>
      <c r="K2599" s="74">
        <v>102.4</v>
      </c>
      <c r="L2599" s="74">
        <v>92.16</v>
      </c>
      <c r="M2599" s="74"/>
      <c r="N2599" s="74" t="s">
        <v>392</v>
      </c>
      <c r="O2599" s="74" t="s">
        <v>393</v>
      </c>
      <c r="P2599" s="74"/>
      <c r="Q2599" s="74" t="s">
        <v>4866</v>
      </c>
    </row>
    <row r="2600" spans="3:17" x14ac:dyDescent="0.25">
      <c r="C2600" s="74" t="s">
        <v>4875</v>
      </c>
      <c r="D2600" s="74" t="s">
        <v>4876</v>
      </c>
      <c r="E2600" s="74" t="s">
        <v>391</v>
      </c>
      <c r="F2600" s="74">
        <v>0.1</v>
      </c>
      <c r="G2600" s="74"/>
      <c r="H2600" s="74"/>
      <c r="I2600" s="74" t="s">
        <v>391</v>
      </c>
      <c r="J2600" s="74"/>
      <c r="K2600" s="74">
        <v>102.4</v>
      </c>
      <c r="L2600" s="74">
        <v>92.16</v>
      </c>
      <c r="M2600" s="74"/>
      <c r="N2600" s="74" t="s">
        <v>392</v>
      </c>
      <c r="O2600" s="74" t="s">
        <v>393</v>
      </c>
      <c r="P2600" s="74"/>
      <c r="Q2600" s="74" t="s">
        <v>4877</v>
      </c>
    </row>
    <row r="2601" spans="3:17" x14ac:dyDescent="0.25">
      <c r="C2601" s="74" t="s">
        <v>4898</v>
      </c>
      <c r="D2601" s="74" t="s">
        <v>4899</v>
      </c>
      <c r="E2601" s="74" t="s">
        <v>391</v>
      </c>
      <c r="F2601" s="74">
        <v>0.1</v>
      </c>
      <c r="G2601" s="74"/>
      <c r="H2601" s="74"/>
      <c r="I2601" s="74" t="s">
        <v>391</v>
      </c>
      <c r="J2601" s="74"/>
      <c r="K2601" s="74">
        <v>102.4</v>
      </c>
      <c r="L2601" s="74">
        <v>92.16</v>
      </c>
      <c r="M2601" s="74"/>
      <c r="N2601" s="74" t="s">
        <v>392</v>
      </c>
      <c r="O2601" s="74" t="s">
        <v>393</v>
      </c>
      <c r="P2601" s="74"/>
      <c r="Q2601" s="74" t="s">
        <v>4900</v>
      </c>
    </row>
    <row r="2602" spans="3:17" x14ac:dyDescent="0.25">
      <c r="C2602" s="74" t="s">
        <v>4905</v>
      </c>
      <c r="D2602" s="74" t="s">
        <v>4906</v>
      </c>
      <c r="E2602" s="74" t="s">
        <v>391</v>
      </c>
      <c r="F2602" s="74">
        <v>0.1</v>
      </c>
      <c r="G2602" s="74"/>
      <c r="H2602" s="74"/>
      <c r="I2602" s="74" t="s">
        <v>391</v>
      </c>
      <c r="J2602" s="74"/>
      <c r="K2602" s="74">
        <v>102.4</v>
      </c>
      <c r="L2602" s="74">
        <v>92.16</v>
      </c>
      <c r="M2602" s="74"/>
      <c r="N2602" s="74" t="s">
        <v>392</v>
      </c>
      <c r="O2602" s="74" t="s">
        <v>393</v>
      </c>
      <c r="P2602" s="74"/>
      <c r="Q2602" s="74" t="s">
        <v>4907</v>
      </c>
    </row>
    <row r="2603" spans="3:17" x14ac:dyDescent="0.25">
      <c r="C2603" s="74" t="s">
        <v>4928</v>
      </c>
      <c r="D2603" s="74" t="s">
        <v>4929</v>
      </c>
      <c r="E2603" s="74" t="s">
        <v>391</v>
      </c>
      <c r="F2603" s="74">
        <v>0.1</v>
      </c>
      <c r="G2603" s="74"/>
      <c r="H2603" s="74"/>
      <c r="I2603" s="74" t="s">
        <v>391</v>
      </c>
      <c r="J2603" s="74"/>
      <c r="K2603" s="74">
        <v>102.4</v>
      </c>
      <c r="L2603" s="74">
        <v>92.16</v>
      </c>
      <c r="M2603" s="74"/>
      <c r="N2603" s="74" t="s">
        <v>392</v>
      </c>
      <c r="O2603" s="74" t="s">
        <v>393</v>
      </c>
      <c r="P2603" s="74"/>
      <c r="Q2603" s="74" t="s">
        <v>4930</v>
      </c>
    </row>
    <row r="2604" spans="3:17" x14ac:dyDescent="0.25">
      <c r="C2604" s="74" t="s">
        <v>4935</v>
      </c>
      <c r="D2604" s="74" t="s">
        <v>4936</v>
      </c>
      <c r="E2604" s="74" t="s">
        <v>391</v>
      </c>
      <c r="F2604" s="74">
        <v>0.1</v>
      </c>
      <c r="G2604" s="74"/>
      <c r="H2604" s="74"/>
      <c r="I2604" s="74" t="s">
        <v>391</v>
      </c>
      <c r="J2604" s="74"/>
      <c r="K2604" s="74">
        <v>102.4</v>
      </c>
      <c r="L2604" s="74">
        <v>92.16</v>
      </c>
      <c r="M2604" s="74"/>
      <c r="N2604" s="74" t="s">
        <v>392</v>
      </c>
      <c r="O2604" s="74" t="s">
        <v>393</v>
      </c>
      <c r="P2604" s="74"/>
      <c r="Q2604" s="74" t="s">
        <v>4937</v>
      </c>
    </row>
    <row r="2605" spans="3:17" x14ac:dyDescent="0.25">
      <c r="C2605" s="74" t="s">
        <v>4953</v>
      </c>
      <c r="D2605" s="74" t="s">
        <v>4954</v>
      </c>
      <c r="E2605" s="74" t="s">
        <v>391</v>
      </c>
      <c r="F2605" s="74">
        <v>0.1</v>
      </c>
      <c r="G2605" s="74"/>
      <c r="H2605" s="74"/>
      <c r="I2605" s="74" t="s">
        <v>391</v>
      </c>
      <c r="J2605" s="74"/>
      <c r="K2605" s="74">
        <v>102.4</v>
      </c>
      <c r="L2605" s="74">
        <v>92.16</v>
      </c>
      <c r="M2605" s="74"/>
      <c r="N2605" s="74" t="s">
        <v>392</v>
      </c>
      <c r="O2605" s="74" t="s">
        <v>393</v>
      </c>
      <c r="P2605" s="74"/>
      <c r="Q2605" s="74" t="s">
        <v>4955</v>
      </c>
    </row>
    <row r="2606" spans="3:17" x14ac:dyDescent="0.25">
      <c r="C2606" s="74" t="s">
        <v>4963</v>
      </c>
      <c r="D2606" s="74" t="s">
        <v>4964</v>
      </c>
      <c r="E2606" s="74" t="s">
        <v>391</v>
      </c>
      <c r="F2606" s="74">
        <v>0.1</v>
      </c>
      <c r="G2606" s="74"/>
      <c r="H2606" s="74"/>
      <c r="I2606" s="74" t="s">
        <v>391</v>
      </c>
      <c r="J2606" s="74"/>
      <c r="K2606" s="74">
        <v>102.4</v>
      </c>
      <c r="L2606" s="74">
        <v>92.16</v>
      </c>
      <c r="M2606" s="74"/>
      <c r="N2606" s="74" t="s">
        <v>392</v>
      </c>
      <c r="O2606" s="74" t="s">
        <v>393</v>
      </c>
      <c r="P2606" s="74"/>
      <c r="Q2606" s="74" t="s">
        <v>4965</v>
      </c>
    </row>
    <row r="2607" spans="3:17" x14ac:dyDescent="0.25">
      <c r="C2607" s="74" t="s">
        <v>4966</v>
      </c>
      <c r="D2607" s="74" t="s">
        <v>4967</v>
      </c>
      <c r="E2607" s="74" t="s">
        <v>391</v>
      </c>
      <c r="F2607" s="74">
        <v>0.1</v>
      </c>
      <c r="G2607" s="74"/>
      <c r="H2607" s="74"/>
      <c r="I2607" s="74" t="s">
        <v>391</v>
      </c>
      <c r="J2607" s="74"/>
      <c r="K2607" s="74">
        <v>102.4</v>
      </c>
      <c r="L2607" s="74">
        <v>92.16</v>
      </c>
      <c r="M2607" s="74"/>
      <c r="N2607" s="74" t="s">
        <v>392</v>
      </c>
      <c r="O2607" s="74" t="s">
        <v>393</v>
      </c>
      <c r="P2607" s="74"/>
      <c r="Q2607" s="74" t="s">
        <v>4968</v>
      </c>
    </row>
    <row r="2608" spans="3:17" x14ac:dyDescent="0.25">
      <c r="C2608" s="74" t="s">
        <v>4969</v>
      </c>
      <c r="D2608" s="74" t="s">
        <v>4970</v>
      </c>
      <c r="E2608" s="74" t="s">
        <v>391</v>
      </c>
      <c r="F2608" s="74">
        <v>0.1</v>
      </c>
      <c r="G2608" s="74"/>
      <c r="H2608" s="74"/>
      <c r="I2608" s="74" t="s">
        <v>391</v>
      </c>
      <c r="J2608" s="74"/>
      <c r="K2608" s="74">
        <v>102.4</v>
      </c>
      <c r="L2608" s="74">
        <v>92.16</v>
      </c>
      <c r="M2608" s="74"/>
      <c r="N2608" s="74" t="s">
        <v>392</v>
      </c>
      <c r="O2608" s="74" t="s">
        <v>393</v>
      </c>
      <c r="P2608" s="74"/>
      <c r="Q2608" s="74" t="s">
        <v>4971</v>
      </c>
    </row>
    <row r="2609" spans="3:17" x14ac:dyDescent="0.25">
      <c r="C2609" s="74" t="s">
        <v>4972</v>
      </c>
      <c r="D2609" s="74" t="s">
        <v>4973</v>
      </c>
      <c r="E2609" s="74" t="s">
        <v>391</v>
      </c>
      <c r="F2609" s="74">
        <v>0.1</v>
      </c>
      <c r="G2609" s="74"/>
      <c r="H2609" s="74"/>
      <c r="I2609" s="74" t="s">
        <v>391</v>
      </c>
      <c r="J2609" s="74"/>
      <c r="K2609" s="74">
        <v>102.4</v>
      </c>
      <c r="L2609" s="74">
        <v>92.16</v>
      </c>
      <c r="M2609" s="74"/>
      <c r="N2609" s="74" t="s">
        <v>392</v>
      </c>
      <c r="O2609" s="74" t="s">
        <v>393</v>
      </c>
      <c r="P2609" s="74"/>
      <c r="Q2609" s="74" t="s">
        <v>4974</v>
      </c>
    </row>
    <row r="2610" spans="3:17" x14ac:dyDescent="0.25">
      <c r="C2610" s="74" t="s">
        <v>4987</v>
      </c>
      <c r="D2610" s="74" t="s">
        <v>4988</v>
      </c>
      <c r="E2610" s="74" t="s">
        <v>391</v>
      </c>
      <c r="F2610" s="74">
        <v>0.1</v>
      </c>
      <c r="G2610" s="74"/>
      <c r="H2610" s="74"/>
      <c r="I2610" s="74" t="s">
        <v>391</v>
      </c>
      <c r="J2610" s="74"/>
      <c r="K2610" s="74">
        <v>102.4</v>
      </c>
      <c r="L2610" s="74">
        <v>92.16</v>
      </c>
      <c r="M2610" s="74"/>
      <c r="N2610" s="74" t="s">
        <v>392</v>
      </c>
      <c r="O2610" s="74" t="s">
        <v>393</v>
      </c>
      <c r="P2610" s="74"/>
      <c r="Q2610" s="74" t="s">
        <v>4989</v>
      </c>
    </row>
    <row r="2611" spans="3:17" x14ac:dyDescent="0.25">
      <c r="C2611" s="74" t="s">
        <v>5028</v>
      </c>
      <c r="D2611" s="74" t="s">
        <v>5029</v>
      </c>
      <c r="E2611" s="74" t="s">
        <v>391</v>
      </c>
      <c r="F2611" s="74">
        <v>0.1</v>
      </c>
      <c r="G2611" s="74"/>
      <c r="H2611" s="74"/>
      <c r="I2611" s="74" t="s">
        <v>391</v>
      </c>
      <c r="J2611" s="74"/>
      <c r="K2611" s="74">
        <v>102.4</v>
      </c>
      <c r="L2611" s="74">
        <v>92.16</v>
      </c>
      <c r="M2611" s="74"/>
      <c r="N2611" s="74" t="s">
        <v>392</v>
      </c>
      <c r="O2611" s="74" t="s">
        <v>393</v>
      </c>
      <c r="P2611" s="74"/>
      <c r="Q2611" s="74" t="s">
        <v>5030</v>
      </c>
    </row>
    <row r="2612" spans="3:17" x14ac:dyDescent="0.25">
      <c r="C2612" s="74" t="s">
        <v>5051</v>
      </c>
      <c r="D2612" s="74" t="s">
        <v>5052</v>
      </c>
      <c r="E2612" s="74" t="s">
        <v>391</v>
      </c>
      <c r="F2612" s="74">
        <v>0.1</v>
      </c>
      <c r="G2612" s="74"/>
      <c r="H2612" s="74"/>
      <c r="I2612" s="74" t="s">
        <v>391</v>
      </c>
      <c r="J2612" s="74"/>
      <c r="K2612" s="74">
        <v>102.4</v>
      </c>
      <c r="L2612" s="74">
        <v>92.16</v>
      </c>
      <c r="M2612" s="74"/>
      <c r="N2612" s="74" t="s">
        <v>392</v>
      </c>
      <c r="O2612" s="74" t="s">
        <v>393</v>
      </c>
      <c r="P2612" s="74"/>
      <c r="Q2612" s="74" t="s">
        <v>5053</v>
      </c>
    </row>
    <row r="2613" spans="3:17" x14ac:dyDescent="0.25">
      <c r="C2613" s="74" t="s">
        <v>5054</v>
      </c>
      <c r="D2613" s="74" t="s">
        <v>5055</v>
      </c>
      <c r="E2613" s="74" t="s">
        <v>391</v>
      </c>
      <c r="F2613" s="74">
        <v>0.1</v>
      </c>
      <c r="G2613" s="74"/>
      <c r="H2613" s="74"/>
      <c r="I2613" s="74" t="s">
        <v>391</v>
      </c>
      <c r="J2613" s="74"/>
      <c r="K2613" s="74">
        <v>102.4</v>
      </c>
      <c r="L2613" s="74">
        <v>92.16</v>
      </c>
      <c r="M2613" s="74"/>
      <c r="N2613" s="74" t="s">
        <v>392</v>
      </c>
      <c r="O2613" s="74" t="s">
        <v>393</v>
      </c>
      <c r="P2613" s="74"/>
      <c r="Q2613" s="74" t="s">
        <v>5056</v>
      </c>
    </row>
    <row r="2614" spans="3:17" x14ac:dyDescent="0.25">
      <c r="C2614" s="74" t="s">
        <v>5057</v>
      </c>
      <c r="D2614" s="74" t="s">
        <v>5058</v>
      </c>
      <c r="E2614" s="74" t="s">
        <v>391</v>
      </c>
      <c r="F2614" s="74">
        <v>0.1</v>
      </c>
      <c r="G2614" s="74"/>
      <c r="H2614" s="74"/>
      <c r="I2614" s="74" t="s">
        <v>391</v>
      </c>
      <c r="J2614" s="74"/>
      <c r="K2614" s="74">
        <v>102.4</v>
      </c>
      <c r="L2614" s="74">
        <v>92.16</v>
      </c>
      <c r="M2614" s="74"/>
      <c r="N2614" s="74" t="s">
        <v>392</v>
      </c>
      <c r="O2614" s="74" t="s">
        <v>393</v>
      </c>
      <c r="P2614" s="74"/>
      <c r="Q2614" s="74" t="s">
        <v>5059</v>
      </c>
    </row>
    <row r="2615" spans="3:17" x14ac:dyDescent="0.25">
      <c r="C2615" s="74" t="s">
        <v>5060</v>
      </c>
      <c r="D2615" s="74" t="s">
        <v>5061</v>
      </c>
      <c r="E2615" s="74" t="s">
        <v>391</v>
      </c>
      <c r="F2615" s="74">
        <v>0.1</v>
      </c>
      <c r="G2615" s="74"/>
      <c r="H2615" s="74"/>
      <c r="I2615" s="74" t="s">
        <v>391</v>
      </c>
      <c r="J2615" s="74"/>
      <c r="K2615" s="74">
        <v>102.4</v>
      </c>
      <c r="L2615" s="74">
        <v>92.16</v>
      </c>
      <c r="M2615" s="74"/>
      <c r="N2615" s="74" t="s">
        <v>392</v>
      </c>
      <c r="O2615" s="74" t="s">
        <v>393</v>
      </c>
      <c r="P2615" s="74"/>
      <c r="Q2615" s="74" t="s">
        <v>5062</v>
      </c>
    </row>
    <row r="2616" spans="3:17" x14ac:dyDescent="0.25">
      <c r="C2616" s="74" t="s">
        <v>5063</v>
      </c>
      <c r="D2616" s="74" t="s">
        <v>5064</v>
      </c>
      <c r="E2616" s="74" t="s">
        <v>391</v>
      </c>
      <c r="F2616" s="74">
        <v>0.1</v>
      </c>
      <c r="G2616" s="74"/>
      <c r="H2616" s="74"/>
      <c r="I2616" s="74" t="s">
        <v>391</v>
      </c>
      <c r="J2616" s="74"/>
      <c r="K2616" s="74">
        <v>102.4</v>
      </c>
      <c r="L2616" s="74">
        <v>92.16</v>
      </c>
      <c r="M2616" s="74"/>
      <c r="N2616" s="74" t="s">
        <v>392</v>
      </c>
      <c r="O2616" s="74" t="s">
        <v>393</v>
      </c>
      <c r="P2616" s="74"/>
      <c r="Q2616" s="74" t="s">
        <v>5065</v>
      </c>
    </row>
    <row r="2617" spans="3:17" x14ac:dyDescent="0.25">
      <c r="C2617" s="74" t="s">
        <v>5085</v>
      </c>
      <c r="D2617" s="74" t="s">
        <v>5086</v>
      </c>
      <c r="E2617" s="74" t="s">
        <v>391</v>
      </c>
      <c r="F2617" s="74">
        <v>0.1</v>
      </c>
      <c r="G2617" s="74"/>
      <c r="H2617" s="74"/>
      <c r="I2617" s="74" t="s">
        <v>391</v>
      </c>
      <c r="J2617" s="74"/>
      <c r="K2617" s="74">
        <v>102.4</v>
      </c>
      <c r="L2617" s="74">
        <v>92.16</v>
      </c>
      <c r="M2617" s="74"/>
      <c r="N2617" s="74" t="s">
        <v>392</v>
      </c>
      <c r="O2617" s="74" t="s">
        <v>393</v>
      </c>
      <c r="P2617" s="74"/>
      <c r="Q2617" s="74" t="s">
        <v>5087</v>
      </c>
    </row>
    <row r="2618" spans="3:17" x14ac:dyDescent="0.25">
      <c r="C2618" s="74" t="s">
        <v>5104</v>
      </c>
      <c r="D2618" s="74" t="s">
        <v>5105</v>
      </c>
      <c r="E2618" s="74" t="s">
        <v>391</v>
      </c>
      <c r="F2618" s="74">
        <v>0.1</v>
      </c>
      <c r="G2618" s="74"/>
      <c r="H2618" s="74"/>
      <c r="I2618" s="74" t="s">
        <v>391</v>
      </c>
      <c r="J2618" s="74"/>
      <c r="K2618" s="74">
        <v>102.4</v>
      </c>
      <c r="L2618" s="74">
        <v>92.16</v>
      </c>
      <c r="M2618" s="74"/>
      <c r="N2618" s="74" t="s">
        <v>392</v>
      </c>
      <c r="O2618" s="74" t="s">
        <v>393</v>
      </c>
      <c r="P2618" s="74"/>
      <c r="Q2618" s="74" t="s">
        <v>5106</v>
      </c>
    </row>
    <row r="2619" spans="3:17" x14ac:dyDescent="0.25">
      <c r="C2619" s="74" t="s">
        <v>5107</v>
      </c>
      <c r="D2619" s="74" t="s">
        <v>5108</v>
      </c>
      <c r="E2619" s="74" t="s">
        <v>391</v>
      </c>
      <c r="F2619" s="74">
        <v>0.1</v>
      </c>
      <c r="G2619" s="74"/>
      <c r="H2619" s="74"/>
      <c r="I2619" s="74" t="s">
        <v>391</v>
      </c>
      <c r="J2619" s="74"/>
      <c r="K2619" s="74">
        <v>102.4</v>
      </c>
      <c r="L2619" s="74">
        <v>92.16</v>
      </c>
      <c r="M2619" s="74"/>
      <c r="N2619" s="74" t="s">
        <v>392</v>
      </c>
      <c r="O2619" s="74" t="s">
        <v>393</v>
      </c>
      <c r="P2619" s="74"/>
      <c r="Q2619" s="74" t="s">
        <v>5109</v>
      </c>
    </row>
    <row r="2620" spans="3:17" x14ac:dyDescent="0.25">
      <c r="C2620" s="74" t="s">
        <v>5114</v>
      </c>
      <c r="D2620" s="74" t="s">
        <v>5115</v>
      </c>
      <c r="E2620" s="74" t="s">
        <v>391</v>
      </c>
      <c r="F2620" s="74">
        <v>0.1</v>
      </c>
      <c r="G2620" s="74"/>
      <c r="H2620" s="74"/>
      <c r="I2620" s="74" t="s">
        <v>391</v>
      </c>
      <c r="J2620" s="74"/>
      <c r="K2620" s="74">
        <v>102.4</v>
      </c>
      <c r="L2620" s="74">
        <v>92.16</v>
      </c>
      <c r="M2620" s="74"/>
      <c r="N2620" s="74" t="s">
        <v>392</v>
      </c>
      <c r="O2620" s="74" t="s">
        <v>393</v>
      </c>
      <c r="P2620" s="74"/>
      <c r="Q2620" s="74" t="s">
        <v>5116</v>
      </c>
    </row>
    <row r="2621" spans="3:17" x14ac:dyDescent="0.25">
      <c r="C2621" s="74" t="s">
        <v>5117</v>
      </c>
      <c r="D2621" s="74" t="s">
        <v>5118</v>
      </c>
      <c r="E2621" s="74" t="s">
        <v>391</v>
      </c>
      <c r="F2621" s="74">
        <v>0.1</v>
      </c>
      <c r="G2621" s="74"/>
      <c r="H2621" s="74"/>
      <c r="I2621" s="74" t="s">
        <v>391</v>
      </c>
      <c r="J2621" s="74"/>
      <c r="K2621" s="74">
        <v>102.4</v>
      </c>
      <c r="L2621" s="74">
        <v>92.16</v>
      </c>
      <c r="M2621" s="74"/>
      <c r="N2621" s="74" t="s">
        <v>392</v>
      </c>
      <c r="O2621" s="74" t="s">
        <v>393</v>
      </c>
      <c r="P2621" s="74"/>
      <c r="Q2621" s="74" t="s">
        <v>5119</v>
      </c>
    </row>
    <row r="2622" spans="3:17" x14ac:dyDescent="0.25">
      <c r="C2622" s="74" t="s">
        <v>5120</v>
      </c>
      <c r="D2622" s="74" t="s">
        <v>5121</v>
      </c>
      <c r="E2622" s="74" t="s">
        <v>391</v>
      </c>
      <c r="F2622" s="74">
        <v>0.1</v>
      </c>
      <c r="G2622" s="74"/>
      <c r="H2622" s="74"/>
      <c r="I2622" s="74" t="s">
        <v>391</v>
      </c>
      <c r="J2622" s="74"/>
      <c r="K2622" s="74">
        <v>102.4</v>
      </c>
      <c r="L2622" s="74">
        <v>92.16</v>
      </c>
      <c r="M2622" s="74"/>
      <c r="N2622" s="74" t="s">
        <v>392</v>
      </c>
      <c r="O2622" s="74" t="s">
        <v>393</v>
      </c>
      <c r="P2622" s="74"/>
      <c r="Q2622" s="74" t="s">
        <v>5122</v>
      </c>
    </row>
    <row r="2623" spans="3:17" x14ac:dyDescent="0.25">
      <c r="C2623" s="74" t="s">
        <v>5127</v>
      </c>
      <c r="D2623" s="74" t="s">
        <v>5128</v>
      </c>
      <c r="E2623" s="74" t="s">
        <v>391</v>
      </c>
      <c r="F2623" s="74">
        <v>0.1</v>
      </c>
      <c r="G2623" s="74"/>
      <c r="H2623" s="74"/>
      <c r="I2623" s="74" t="s">
        <v>391</v>
      </c>
      <c r="J2623" s="74"/>
      <c r="K2623" s="74">
        <v>102.4</v>
      </c>
      <c r="L2623" s="74">
        <v>92.16</v>
      </c>
      <c r="M2623" s="74"/>
      <c r="N2623" s="74" t="s">
        <v>392</v>
      </c>
      <c r="O2623" s="74" t="s">
        <v>393</v>
      </c>
      <c r="P2623" s="74"/>
      <c r="Q2623" s="74" t="s">
        <v>5129</v>
      </c>
    </row>
    <row r="2624" spans="3:17" x14ac:dyDescent="0.25">
      <c r="C2624" s="74" t="s">
        <v>5134</v>
      </c>
      <c r="D2624" s="74" t="s">
        <v>5135</v>
      </c>
      <c r="E2624" s="74" t="s">
        <v>391</v>
      </c>
      <c r="F2624" s="74">
        <v>0.1</v>
      </c>
      <c r="G2624" s="74"/>
      <c r="H2624" s="74"/>
      <c r="I2624" s="74" t="s">
        <v>391</v>
      </c>
      <c r="J2624" s="74"/>
      <c r="K2624" s="74">
        <v>102.4</v>
      </c>
      <c r="L2624" s="74">
        <v>92.16</v>
      </c>
      <c r="M2624" s="74"/>
      <c r="N2624" s="74" t="s">
        <v>392</v>
      </c>
      <c r="O2624" s="74" t="s">
        <v>393</v>
      </c>
      <c r="P2624" s="74"/>
      <c r="Q2624" s="74" t="s">
        <v>5136</v>
      </c>
    </row>
    <row r="2625" spans="3:17" x14ac:dyDescent="0.25">
      <c r="C2625" s="74" t="s">
        <v>5153</v>
      </c>
      <c r="D2625" s="74" t="s">
        <v>5154</v>
      </c>
      <c r="E2625" s="74" t="s">
        <v>391</v>
      </c>
      <c r="F2625" s="74">
        <v>0.1</v>
      </c>
      <c r="G2625" s="74"/>
      <c r="H2625" s="74"/>
      <c r="I2625" s="74" t="s">
        <v>391</v>
      </c>
      <c r="J2625" s="74"/>
      <c r="K2625" s="74">
        <v>102.4</v>
      </c>
      <c r="L2625" s="74">
        <v>92.16</v>
      </c>
      <c r="M2625" s="74"/>
      <c r="N2625" s="74" t="s">
        <v>392</v>
      </c>
      <c r="O2625" s="74" t="s">
        <v>393</v>
      </c>
      <c r="P2625" s="74"/>
      <c r="Q2625" s="74" t="s">
        <v>5155</v>
      </c>
    </row>
    <row r="2626" spans="3:17" x14ac:dyDescent="0.25">
      <c r="C2626" s="74" t="s">
        <v>5171</v>
      </c>
      <c r="D2626" s="74" t="s">
        <v>5172</v>
      </c>
      <c r="E2626" s="74" t="s">
        <v>391</v>
      </c>
      <c r="F2626" s="74">
        <v>0.1</v>
      </c>
      <c r="G2626" s="74"/>
      <c r="H2626" s="74"/>
      <c r="I2626" s="74" t="s">
        <v>391</v>
      </c>
      <c r="J2626" s="74"/>
      <c r="K2626" s="74">
        <v>102.4</v>
      </c>
      <c r="L2626" s="74">
        <v>92.16</v>
      </c>
      <c r="M2626" s="74"/>
      <c r="N2626" s="74" t="s">
        <v>392</v>
      </c>
      <c r="O2626" s="74" t="s">
        <v>393</v>
      </c>
      <c r="P2626" s="74"/>
      <c r="Q2626" s="74" t="s">
        <v>5173</v>
      </c>
    </row>
    <row r="2627" spans="3:17" x14ac:dyDescent="0.25">
      <c r="C2627" s="74" t="s">
        <v>5194</v>
      </c>
      <c r="D2627" s="74" t="s">
        <v>5195</v>
      </c>
      <c r="E2627" s="74" t="s">
        <v>391</v>
      </c>
      <c r="F2627" s="74">
        <v>0.1</v>
      </c>
      <c r="G2627" s="74"/>
      <c r="H2627" s="74"/>
      <c r="I2627" s="74" t="s">
        <v>391</v>
      </c>
      <c r="J2627" s="74"/>
      <c r="K2627" s="74">
        <v>102.4</v>
      </c>
      <c r="L2627" s="74">
        <v>92.16</v>
      </c>
      <c r="M2627" s="74"/>
      <c r="N2627" s="74" t="s">
        <v>392</v>
      </c>
      <c r="O2627" s="74" t="s">
        <v>393</v>
      </c>
      <c r="P2627" s="74"/>
      <c r="Q2627" s="74" t="s">
        <v>5196</v>
      </c>
    </row>
    <row r="2628" spans="3:17" x14ac:dyDescent="0.25">
      <c r="C2628" s="74" t="s">
        <v>5239</v>
      </c>
      <c r="D2628" s="74" t="s">
        <v>5240</v>
      </c>
      <c r="E2628" s="74" t="s">
        <v>391</v>
      </c>
      <c r="F2628" s="74">
        <v>0.1</v>
      </c>
      <c r="G2628" s="74"/>
      <c r="H2628" s="74"/>
      <c r="I2628" s="74" t="s">
        <v>391</v>
      </c>
      <c r="J2628" s="74"/>
      <c r="K2628" s="74">
        <v>102.4</v>
      </c>
      <c r="L2628" s="74">
        <v>92.16</v>
      </c>
      <c r="M2628" s="74"/>
      <c r="N2628" s="74" t="s">
        <v>392</v>
      </c>
      <c r="O2628" s="74" t="s">
        <v>393</v>
      </c>
      <c r="P2628" s="74"/>
      <c r="Q2628" s="74" t="s">
        <v>5241</v>
      </c>
    </row>
    <row r="2629" spans="3:17" x14ac:dyDescent="0.25">
      <c r="C2629" s="74" t="s">
        <v>5274</v>
      </c>
      <c r="D2629" s="74" t="s">
        <v>5275</v>
      </c>
      <c r="E2629" s="74" t="s">
        <v>391</v>
      </c>
      <c r="F2629" s="74">
        <v>0.1</v>
      </c>
      <c r="G2629" s="74"/>
      <c r="H2629" s="74"/>
      <c r="I2629" s="74" t="s">
        <v>391</v>
      </c>
      <c r="J2629" s="74"/>
      <c r="K2629" s="74">
        <v>102.4</v>
      </c>
      <c r="L2629" s="74">
        <v>92.16</v>
      </c>
      <c r="M2629" s="74"/>
      <c r="N2629" s="74" t="s">
        <v>392</v>
      </c>
      <c r="O2629" s="74" t="s">
        <v>393</v>
      </c>
      <c r="P2629" s="74"/>
      <c r="Q2629" s="74" t="s">
        <v>5276</v>
      </c>
    </row>
    <row r="2630" spans="3:17" x14ac:dyDescent="0.25">
      <c r="C2630" s="74" t="s">
        <v>5281</v>
      </c>
      <c r="D2630" s="74" t="s">
        <v>5282</v>
      </c>
      <c r="E2630" s="74" t="s">
        <v>391</v>
      </c>
      <c r="F2630" s="74">
        <v>0.1</v>
      </c>
      <c r="G2630" s="74"/>
      <c r="H2630" s="74"/>
      <c r="I2630" s="74" t="s">
        <v>391</v>
      </c>
      <c r="J2630" s="74"/>
      <c r="K2630" s="74">
        <v>102.4</v>
      </c>
      <c r="L2630" s="74">
        <v>92.16</v>
      </c>
      <c r="M2630" s="74"/>
      <c r="N2630" s="74" t="s">
        <v>392</v>
      </c>
      <c r="O2630" s="74" t="s">
        <v>393</v>
      </c>
      <c r="P2630" s="74"/>
      <c r="Q2630" s="74" t="s">
        <v>5283</v>
      </c>
    </row>
    <row r="2631" spans="3:17" x14ac:dyDescent="0.25">
      <c r="C2631" s="74" t="s">
        <v>5295</v>
      </c>
      <c r="D2631" s="74" t="s">
        <v>5296</v>
      </c>
      <c r="E2631" s="74" t="s">
        <v>391</v>
      </c>
      <c r="F2631" s="74">
        <v>0.1</v>
      </c>
      <c r="G2631" s="74"/>
      <c r="H2631" s="74"/>
      <c r="I2631" s="74" t="s">
        <v>391</v>
      </c>
      <c r="J2631" s="74"/>
      <c r="K2631" s="74">
        <v>102.4</v>
      </c>
      <c r="L2631" s="74">
        <v>92.16</v>
      </c>
      <c r="M2631" s="74"/>
      <c r="N2631" s="74" t="s">
        <v>392</v>
      </c>
      <c r="O2631" s="74" t="s">
        <v>393</v>
      </c>
      <c r="P2631" s="74"/>
      <c r="Q2631" s="74" t="s">
        <v>5297</v>
      </c>
    </row>
    <row r="2632" spans="3:17" x14ac:dyDescent="0.25">
      <c r="C2632" s="74" t="s">
        <v>5309</v>
      </c>
      <c r="D2632" s="74" t="s">
        <v>5310</v>
      </c>
      <c r="E2632" s="74" t="s">
        <v>391</v>
      </c>
      <c r="F2632" s="74">
        <v>0.1</v>
      </c>
      <c r="G2632" s="74"/>
      <c r="H2632" s="74"/>
      <c r="I2632" s="74" t="s">
        <v>391</v>
      </c>
      <c r="J2632" s="74"/>
      <c r="K2632" s="74">
        <v>102.4</v>
      </c>
      <c r="L2632" s="74">
        <v>92.16</v>
      </c>
      <c r="M2632" s="74"/>
      <c r="N2632" s="74" t="s">
        <v>392</v>
      </c>
      <c r="O2632" s="74" t="s">
        <v>393</v>
      </c>
      <c r="P2632" s="74"/>
      <c r="Q2632" s="74" t="s">
        <v>5311</v>
      </c>
    </row>
    <row r="2633" spans="3:17" x14ac:dyDescent="0.25">
      <c r="C2633" s="74" t="s">
        <v>5316</v>
      </c>
      <c r="D2633" s="74" t="s">
        <v>5317</v>
      </c>
      <c r="E2633" s="74" t="s">
        <v>391</v>
      </c>
      <c r="F2633" s="74">
        <v>0.1</v>
      </c>
      <c r="G2633" s="74"/>
      <c r="H2633" s="74"/>
      <c r="I2633" s="74" t="s">
        <v>391</v>
      </c>
      <c r="J2633" s="74"/>
      <c r="K2633" s="74">
        <v>102.4</v>
      </c>
      <c r="L2633" s="74">
        <v>92.16</v>
      </c>
      <c r="M2633" s="74"/>
      <c r="N2633" s="74" t="s">
        <v>392</v>
      </c>
      <c r="O2633" s="74" t="s">
        <v>393</v>
      </c>
      <c r="P2633" s="74"/>
      <c r="Q2633" s="74" t="s">
        <v>5318</v>
      </c>
    </row>
    <row r="2634" spans="3:17" x14ac:dyDescent="0.25">
      <c r="C2634" s="74" t="s">
        <v>5343</v>
      </c>
      <c r="D2634" s="74" t="s">
        <v>5344</v>
      </c>
      <c r="E2634" s="74" t="s">
        <v>391</v>
      </c>
      <c r="F2634" s="74">
        <v>0.1</v>
      </c>
      <c r="G2634" s="74"/>
      <c r="H2634" s="74"/>
      <c r="I2634" s="74" t="s">
        <v>391</v>
      </c>
      <c r="J2634" s="74"/>
      <c r="K2634" s="74">
        <v>102.4</v>
      </c>
      <c r="L2634" s="74">
        <v>92.16</v>
      </c>
      <c r="M2634" s="74"/>
      <c r="N2634" s="74" t="s">
        <v>392</v>
      </c>
      <c r="O2634" s="74" t="s">
        <v>393</v>
      </c>
      <c r="P2634" s="74"/>
      <c r="Q2634" s="74" t="s">
        <v>5345</v>
      </c>
    </row>
    <row r="2635" spans="3:17" x14ac:dyDescent="0.25">
      <c r="C2635" s="74" t="s">
        <v>5350</v>
      </c>
      <c r="D2635" s="74" t="s">
        <v>5351</v>
      </c>
      <c r="E2635" s="74" t="s">
        <v>391</v>
      </c>
      <c r="F2635" s="74">
        <v>0.1</v>
      </c>
      <c r="G2635" s="74"/>
      <c r="H2635" s="74"/>
      <c r="I2635" s="74" t="s">
        <v>391</v>
      </c>
      <c r="J2635" s="74"/>
      <c r="K2635" s="74">
        <v>102.4</v>
      </c>
      <c r="L2635" s="74">
        <v>92.16</v>
      </c>
      <c r="M2635" s="74"/>
      <c r="N2635" s="74" t="s">
        <v>392</v>
      </c>
      <c r="O2635" s="74" t="s">
        <v>393</v>
      </c>
      <c r="P2635" s="74"/>
      <c r="Q2635" s="74" t="s">
        <v>5352</v>
      </c>
    </row>
    <row r="2636" spans="3:17" x14ac:dyDescent="0.25">
      <c r="C2636" s="74" t="s">
        <v>5357</v>
      </c>
      <c r="D2636" s="74" t="s">
        <v>5358</v>
      </c>
      <c r="E2636" s="74" t="s">
        <v>391</v>
      </c>
      <c r="F2636" s="74">
        <v>0.1</v>
      </c>
      <c r="G2636" s="74"/>
      <c r="H2636" s="74"/>
      <c r="I2636" s="74" t="s">
        <v>391</v>
      </c>
      <c r="J2636" s="74"/>
      <c r="K2636" s="74">
        <v>102.4</v>
      </c>
      <c r="L2636" s="74">
        <v>92.16</v>
      </c>
      <c r="M2636" s="74"/>
      <c r="N2636" s="74" t="s">
        <v>392</v>
      </c>
      <c r="O2636" s="74" t="s">
        <v>393</v>
      </c>
      <c r="P2636" s="74"/>
      <c r="Q2636" s="74" t="s">
        <v>5359</v>
      </c>
    </row>
    <row r="2637" spans="3:17" x14ac:dyDescent="0.25">
      <c r="C2637" s="74" t="s">
        <v>5360</v>
      </c>
      <c r="D2637" s="74" t="s">
        <v>5361</v>
      </c>
      <c r="E2637" s="74" t="s">
        <v>391</v>
      </c>
      <c r="F2637" s="74">
        <v>0.1</v>
      </c>
      <c r="G2637" s="74"/>
      <c r="H2637" s="74"/>
      <c r="I2637" s="74" t="s">
        <v>391</v>
      </c>
      <c r="J2637" s="74"/>
      <c r="K2637" s="74">
        <v>102.4</v>
      </c>
      <c r="L2637" s="74">
        <v>92.16</v>
      </c>
      <c r="M2637" s="74"/>
      <c r="N2637" s="74" t="s">
        <v>392</v>
      </c>
      <c r="O2637" s="74" t="s">
        <v>393</v>
      </c>
      <c r="P2637" s="74"/>
      <c r="Q2637" s="74" t="s">
        <v>5362</v>
      </c>
    </row>
    <row r="2638" spans="3:17" x14ac:dyDescent="0.25">
      <c r="C2638" s="74" t="s">
        <v>5385</v>
      </c>
      <c r="D2638" s="74" t="s">
        <v>5386</v>
      </c>
      <c r="E2638" s="74" t="s">
        <v>391</v>
      </c>
      <c r="F2638" s="74">
        <v>0.1</v>
      </c>
      <c r="G2638" s="74"/>
      <c r="H2638" s="74"/>
      <c r="I2638" s="74" t="s">
        <v>391</v>
      </c>
      <c r="J2638" s="74"/>
      <c r="K2638" s="74">
        <v>102.4</v>
      </c>
      <c r="L2638" s="74">
        <v>92.16</v>
      </c>
      <c r="M2638" s="74"/>
      <c r="N2638" s="74" t="s">
        <v>392</v>
      </c>
      <c r="O2638" s="74" t="s">
        <v>393</v>
      </c>
      <c r="P2638" s="74"/>
      <c r="Q2638" s="74" t="s">
        <v>5387</v>
      </c>
    </row>
    <row r="2639" spans="3:17" x14ac:dyDescent="0.25">
      <c r="C2639" s="74" t="s">
        <v>5388</v>
      </c>
      <c r="D2639" s="74" t="s">
        <v>5389</v>
      </c>
      <c r="E2639" s="74" t="s">
        <v>391</v>
      </c>
      <c r="F2639" s="74">
        <v>0.1</v>
      </c>
      <c r="G2639" s="74"/>
      <c r="H2639" s="74"/>
      <c r="I2639" s="74" t="s">
        <v>391</v>
      </c>
      <c r="J2639" s="74"/>
      <c r="K2639" s="74">
        <v>102.4</v>
      </c>
      <c r="L2639" s="74">
        <v>92.16</v>
      </c>
      <c r="M2639" s="74"/>
      <c r="N2639" s="74" t="s">
        <v>392</v>
      </c>
      <c r="O2639" s="74" t="s">
        <v>393</v>
      </c>
      <c r="P2639" s="74"/>
      <c r="Q2639" s="74" t="s">
        <v>5390</v>
      </c>
    </row>
    <row r="2640" spans="3:17" x14ac:dyDescent="0.25">
      <c r="C2640" s="74" t="s">
        <v>5399</v>
      </c>
      <c r="D2640" s="74" t="s">
        <v>5400</v>
      </c>
      <c r="E2640" s="74" t="s">
        <v>391</v>
      </c>
      <c r="F2640" s="74">
        <v>0.1</v>
      </c>
      <c r="G2640" s="74"/>
      <c r="H2640" s="74"/>
      <c r="I2640" s="74" t="s">
        <v>391</v>
      </c>
      <c r="J2640" s="74"/>
      <c r="K2640" s="74">
        <v>102.4</v>
      </c>
      <c r="L2640" s="74">
        <v>92.16</v>
      </c>
      <c r="M2640" s="74"/>
      <c r="N2640" s="74" t="s">
        <v>392</v>
      </c>
      <c r="O2640" s="74" t="s">
        <v>393</v>
      </c>
      <c r="P2640" s="74"/>
      <c r="Q2640" s="74" t="s">
        <v>5401</v>
      </c>
    </row>
    <row r="2641" spans="3:17" x14ac:dyDescent="0.25">
      <c r="C2641" s="74" t="s">
        <v>5410</v>
      </c>
      <c r="D2641" s="74" t="s">
        <v>5411</v>
      </c>
      <c r="E2641" s="74" t="s">
        <v>391</v>
      </c>
      <c r="F2641" s="74">
        <v>0.1</v>
      </c>
      <c r="G2641" s="74"/>
      <c r="H2641" s="74"/>
      <c r="I2641" s="74" t="s">
        <v>391</v>
      </c>
      <c r="J2641" s="74"/>
      <c r="K2641" s="74">
        <v>102.4</v>
      </c>
      <c r="L2641" s="74">
        <v>92.16</v>
      </c>
      <c r="M2641" s="74"/>
      <c r="N2641" s="74" t="s">
        <v>392</v>
      </c>
      <c r="O2641" s="74" t="s">
        <v>393</v>
      </c>
      <c r="P2641" s="74"/>
      <c r="Q2641" s="74" t="s">
        <v>5412</v>
      </c>
    </row>
    <row r="2642" spans="3:17" x14ac:dyDescent="0.25">
      <c r="C2642" s="74" t="s">
        <v>5420</v>
      </c>
      <c r="D2642" s="74" t="s">
        <v>5421</v>
      </c>
      <c r="E2642" s="74" t="s">
        <v>391</v>
      </c>
      <c r="F2642" s="74">
        <v>0.1</v>
      </c>
      <c r="G2642" s="74"/>
      <c r="H2642" s="74"/>
      <c r="I2642" s="74" t="s">
        <v>391</v>
      </c>
      <c r="J2642" s="74"/>
      <c r="K2642" s="74">
        <v>102.4</v>
      </c>
      <c r="L2642" s="74">
        <v>92.16</v>
      </c>
      <c r="M2642" s="74"/>
      <c r="N2642" s="74" t="s">
        <v>392</v>
      </c>
      <c r="O2642" s="74" t="s">
        <v>393</v>
      </c>
      <c r="P2642" s="74"/>
      <c r="Q2642" s="74" t="s">
        <v>5422</v>
      </c>
    </row>
    <row r="2643" spans="3:17" x14ac:dyDescent="0.25">
      <c r="C2643" s="74" t="s">
        <v>5430</v>
      </c>
      <c r="D2643" s="74" t="s">
        <v>5431</v>
      </c>
      <c r="E2643" s="74" t="s">
        <v>391</v>
      </c>
      <c r="F2643" s="74">
        <v>0.1</v>
      </c>
      <c r="G2643" s="74"/>
      <c r="H2643" s="74"/>
      <c r="I2643" s="74" t="s">
        <v>391</v>
      </c>
      <c r="J2643" s="74"/>
      <c r="K2643" s="74">
        <v>102.4</v>
      </c>
      <c r="L2643" s="74">
        <v>92.16</v>
      </c>
      <c r="M2643" s="74"/>
      <c r="N2643" s="74" t="s">
        <v>392</v>
      </c>
      <c r="O2643" s="74" t="s">
        <v>393</v>
      </c>
      <c r="P2643" s="74"/>
      <c r="Q2643" s="74" t="s">
        <v>5431</v>
      </c>
    </row>
    <row r="2644" spans="3:17" x14ac:dyDescent="0.25">
      <c r="C2644" s="74" t="s">
        <v>5436</v>
      </c>
      <c r="D2644" s="74" t="s">
        <v>5437</v>
      </c>
      <c r="E2644" s="74" t="s">
        <v>391</v>
      </c>
      <c r="F2644" s="74">
        <v>0.1</v>
      </c>
      <c r="G2644" s="74"/>
      <c r="H2644" s="74"/>
      <c r="I2644" s="74" t="s">
        <v>391</v>
      </c>
      <c r="J2644" s="74"/>
      <c r="K2644" s="74">
        <v>102.4</v>
      </c>
      <c r="L2644" s="74">
        <v>92.16</v>
      </c>
      <c r="M2644" s="74"/>
      <c r="N2644" s="74" t="s">
        <v>392</v>
      </c>
      <c r="O2644" s="74" t="s">
        <v>393</v>
      </c>
      <c r="P2644" s="74"/>
      <c r="Q2644" s="74" t="s">
        <v>5438</v>
      </c>
    </row>
    <row r="2645" spans="3:17" x14ac:dyDescent="0.25">
      <c r="C2645" s="74" t="s">
        <v>5442</v>
      </c>
      <c r="D2645" s="74" t="s">
        <v>5443</v>
      </c>
      <c r="E2645" s="74" t="s">
        <v>391</v>
      </c>
      <c r="F2645" s="74">
        <v>0.1</v>
      </c>
      <c r="G2645" s="74"/>
      <c r="H2645" s="74"/>
      <c r="I2645" s="74" t="s">
        <v>391</v>
      </c>
      <c r="J2645" s="74"/>
      <c r="K2645" s="74">
        <v>102.4</v>
      </c>
      <c r="L2645" s="74">
        <v>92.16</v>
      </c>
      <c r="M2645" s="74"/>
      <c r="N2645" s="74" t="s">
        <v>392</v>
      </c>
      <c r="O2645" s="74" t="s">
        <v>393</v>
      </c>
      <c r="P2645" s="74"/>
      <c r="Q2645" s="74" t="s">
        <v>5444</v>
      </c>
    </row>
    <row r="2646" spans="3:17" x14ac:dyDescent="0.25">
      <c r="C2646" s="74" t="s">
        <v>5448</v>
      </c>
      <c r="D2646" s="74" t="s">
        <v>5449</v>
      </c>
      <c r="E2646" s="74" t="s">
        <v>391</v>
      </c>
      <c r="F2646" s="74">
        <v>0.1</v>
      </c>
      <c r="G2646" s="74"/>
      <c r="H2646" s="74"/>
      <c r="I2646" s="74" t="s">
        <v>391</v>
      </c>
      <c r="J2646" s="74"/>
      <c r="K2646" s="74">
        <v>102.4</v>
      </c>
      <c r="L2646" s="74">
        <v>92.16</v>
      </c>
      <c r="M2646" s="74"/>
      <c r="N2646" s="74" t="s">
        <v>392</v>
      </c>
      <c r="O2646" s="74" t="s">
        <v>393</v>
      </c>
      <c r="P2646" s="74"/>
      <c r="Q2646" s="74" t="s">
        <v>5450</v>
      </c>
    </row>
    <row r="2647" spans="3:17" x14ac:dyDescent="0.25">
      <c r="C2647" s="74" t="s">
        <v>5451</v>
      </c>
      <c r="D2647" s="74" t="s">
        <v>5452</v>
      </c>
      <c r="E2647" s="74" t="s">
        <v>391</v>
      </c>
      <c r="F2647" s="74">
        <v>0.1</v>
      </c>
      <c r="G2647" s="74"/>
      <c r="H2647" s="74"/>
      <c r="I2647" s="74" t="s">
        <v>391</v>
      </c>
      <c r="J2647" s="74"/>
      <c r="K2647" s="74">
        <v>102.4</v>
      </c>
      <c r="L2647" s="74">
        <v>92.16</v>
      </c>
      <c r="M2647" s="74"/>
      <c r="N2647" s="74" t="s">
        <v>392</v>
      </c>
      <c r="O2647" s="74" t="s">
        <v>393</v>
      </c>
      <c r="P2647" s="74"/>
      <c r="Q2647" s="74" t="s">
        <v>5453</v>
      </c>
    </row>
    <row r="2648" spans="3:17" x14ac:dyDescent="0.25">
      <c r="C2648" s="74" t="s">
        <v>5461</v>
      </c>
      <c r="D2648" s="74" t="s">
        <v>5462</v>
      </c>
      <c r="E2648" s="74" t="s">
        <v>391</v>
      </c>
      <c r="F2648" s="74">
        <v>0.1</v>
      </c>
      <c r="G2648" s="74"/>
      <c r="H2648" s="74"/>
      <c r="I2648" s="74" t="s">
        <v>391</v>
      </c>
      <c r="J2648" s="74"/>
      <c r="K2648" s="74">
        <v>102.4</v>
      </c>
      <c r="L2648" s="74">
        <v>92.16</v>
      </c>
      <c r="M2648" s="74"/>
      <c r="N2648" s="74" t="s">
        <v>392</v>
      </c>
      <c r="O2648" s="74" t="s">
        <v>393</v>
      </c>
      <c r="P2648" s="74"/>
      <c r="Q2648" s="74" t="s">
        <v>5463</v>
      </c>
    </row>
    <row r="2649" spans="3:17" x14ac:dyDescent="0.25">
      <c r="C2649" s="74" t="s">
        <v>5506</v>
      </c>
      <c r="D2649" s="74" t="s">
        <v>5507</v>
      </c>
      <c r="E2649" s="74" t="s">
        <v>391</v>
      </c>
      <c r="F2649" s="74">
        <v>0.1</v>
      </c>
      <c r="G2649" s="74"/>
      <c r="H2649" s="74"/>
      <c r="I2649" s="74" t="s">
        <v>391</v>
      </c>
      <c r="J2649" s="74"/>
      <c r="K2649" s="74">
        <v>102.4</v>
      </c>
      <c r="L2649" s="74">
        <v>92.16</v>
      </c>
      <c r="M2649" s="74"/>
      <c r="N2649" s="74" t="s">
        <v>392</v>
      </c>
      <c r="O2649" s="74" t="s">
        <v>393</v>
      </c>
      <c r="P2649" s="74"/>
      <c r="Q2649" s="74" t="s">
        <v>5508</v>
      </c>
    </row>
    <row r="2650" spans="3:17" x14ac:dyDescent="0.25">
      <c r="C2650" s="74" t="s">
        <v>5513</v>
      </c>
      <c r="D2650" s="74" t="s">
        <v>5514</v>
      </c>
      <c r="E2650" s="74" t="s">
        <v>391</v>
      </c>
      <c r="F2650" s="74">
        <v>0.1</v>
      </c>
      <c r="G2650" s="74"/>
      <c r="H2650" s="74"/>
      <c r="I2650" s="74" t="s">
        <v>391</v>
      </c>
      <c r="J2650" s="74"/>
      <c r="K2650" s="74">
        <v>102.4</v>
      </c>
      <c r="L2650" s="74">
        <v>92.16</v>
      </c>
      <c r="M2650" s="74"/>
      <c r="N2650" s="74" t="s">
        <v>392</v>
      </c>
      <c r="O2650" s="74" t="s">
        <v>393</v>
      </c>
      <c r="P2650" s="74"/>
      <c r="Q2650" s="74" t="s">
        <v>5515</v>
      </c>
    </row>
    <row r="2651" spans="3:17" x14ac:dyDescent="0.25">
      <c r="C2651" s="74" t="s">
        <v>5516</v>
      </c>
      <c r="D2651" s="74" t="s">
        <v>5517</v>
      </c>
      <c r="E2651" s="74" t="s">
        <v>391</v>
      </c>
      <c r="F2651" s="74">
        <v>0.1</v>
      </c>
      <c r="G2651" s="74"/>
      <c r="H2651" s="74"/>
      <c r="I2651" s="74" t="s">
        <v>391</v>
      </c>
      <c r="J2651" s="74"/>
      <c r="K2651" s="74">
        <v>102.4</v>
      </c>
      <c r="L2651" s="74">
        <v>92.16</v>
      </c>
      <c r="M2651" s="74"/>
      <c r="N2651" s="74" t="s">
        <v>392</v>
      </c>
      <c r="O2651" s="74" t="s">
        <v>393</v>
      </c>
      <c r="P2651" s="74"/>
      <c r="Q2651" s="74" t="s">
        <v>5518</v>
      </c>
    </row>
    <row r="2652" spans="3:17" x14ac:dyDescent="0.25">
      <c r="C2652" s="74" t="s">
        <v>5538</v>
      </c>
      <c r="D2652" s="74" t="s">
        <v>5539</v>
      </c>
      <c r="E2652" s="74" t="s">
        <v>391</v>
      </c>
      <c r="F2652" s="74">
        <v>0.1</v>
      </c>
      <c r="G2652" s="74"/>
      <c r="H2652" s="74"/>
      <c r="I2652" s="74" t="s">
        <v>391</v>
      </c>
      <c r="J2652" s="74"/>
      <c r="K2652" s="74">
        <v>102.4</v>
      </c>
      <c r="L2652" s="74">
        <v>92.16</v>
      </c>
      <c r="M2652" s="74"/>
      <c r="N2652" s="74" t="s">
        <v>392</v>
      </c>
      <c r="O2652" s="74" t="s">
        <v>393</v>
      </c>
      <c r="P2652" s="74"/>
      <c r="Q2652" s="74" t="s">
        <v>5540</v>
      </c>
    </row>
    <row r="2653" spans="3:17" x14ac:dyDescent="0.25">
      <c r="C2653" s="74" t="s">
        <v>5545</v>
      </c>
      <c r="D2653" s="74" t="s">
        <v>5546</v>
      </c>
      <c r="E2653" s="74" t="s">
        <v>391</v>
      </c>
      <c r="F2653" s="74">
        <v>0.1</v>
      </c>
      <c r="G2653" s="74"/>
      <c r="H2653" s="74"/>
      <c r="I2653" s="74" t="s">
        <v>391</v>
      </c>
      <c r="J2653" s="74"/>
      <c r="K2653" s="74">
        <v>102.4</v>
      </c>
      <c r="L2653" s="74">
        <v>92.16</v>
      </c>
      <c r="M2653" s="74"/>
      <c r="N2653" s="74" t="s">
        <v>392</v>
      </c>
      <c r="O2653" s="74" t="s">
        <v>393</v>
      </c>
      <c r="P2653" s="74"/>
      <c r="Q2653" s="74" t="s">
        <v>5547</v>
      </c>
    </row>
    <row r="2654" spans="3:17" x14ac:dyDescent="0.25">
      <c r="C2654" s="74" t="s">
        <v>5556</v>
      </c>
      <c r="D2654" s="74" t="s">
        <v>5557</v>
      </c>
      <c r="E2654" s="74" t="s">
        <v>391</v>
      </c>
      <c r="F2654" s="74">
        <v>0.1</v>
      </c>
      <c r="G2654" s="74"/>
      <c r="H2654" s="74"/>
      <c r="I2654" s="74" t="s">
        <v>391</v>
      </c>
      <c r="J2654" s="74"/>
      <c r="K2654" s="74">
        <v>102.4</v>
      </c>
      <c r="L2654" s="74">
        <v>92.16</v>
      </c>
      <c r="M2654" s="74"/>
      <c r="N2654" s="74" t="s">
        <v>392</v>
      </c>
      <c r="O2654" s="74" t="s">
        <v>393</v>
      </c>
      <c r="P2654" s="74"/>
      <c r="Q2654" s="74" t="s">
        <v>5558</v>
      </c>
    </row>
    <row r="2655" spans="3:17" x14ac:dyDescent="0.25">
      <c r="C2655" s="74" t="s">
        <v>5568</v>
      </c>
      <c r="D2655" s="74" t="s">
        <v>5569</v>
      </c>
      <c r="E2655" s="74" t="s">
        <v>391</v>
      </c>
      <c r="F2655" s="74">
        <v>0.1</v>
      </c>
      <c r="G2655" s="74"/>
      <c r="H2655" s="74"/>
      <c r="I2655" s="74" t="s">
        <v>391</v>
      </c>
      <c r="J2655" s="74"/>
      <c r="K2655" s="74">
        <v>102.4</v>
      </c>
      <c r="L2655" s="74">
        <v>92.16</v>
      </c>
      <c r="M2655" s="74"/>
      <c r="N2655" s="74" t="s">
        <v>392</v>
      </c>
      <c r="O2655" s="74" t="s">
        <v>393</v>
      </c>
      <c r="P2655" s="74"/>
      <c r="Q2655" s="74" t="s">
        <v>5570</v>
      </c>
    </row>
    <row r="2656" spans="3:17" x14ac:dyDescent="0.25">
      <c r="C2656" s="74" t="s">
        <v>5571</v>
      </c>
      <c r="D2656" s="74" t="s">
        <v>5572</v>
      </c>
      <c r="E2656" s="74" t="s">
        <v>391</v>
      </c>
      <c r="F2656" s="74">
        <v>0.1</v>
      </c>
      <c r="G2656" s="74"/>
      <c r="H2656" s="74"/>
      <c r="I2656" s="74" t="s">
        <v>391</v>
      </c>
      <c r="J2656" s="74"/>
      <c r="K2656" s="74">
        <v>102.4</v>
      </c>
      <c r="L2656" s="74">
        <v>92.16</v>
      </c>
      <c r="M2656" s="74"/>
      <c r="N2656" s="74" t="s">
        <v>392</v>
      </c>
      <c r="O2656" s="74" t="s">
        <v>393</v>
      </c>
      <c r="P2656" s="74"/>
      <c r="Q2656" s="74" t="s">
        <v>5573</v>
      </c>
    </row>
    <row r="2657" spans="3:17" x14ac:dyDescent="0.25">
      <c r="C2657" s="74" t="s">
        <v>5585</v>
      </c>
      <c r="D2657" s="74" t="s">
        <v>5586</v>
      </c>
      <c r="E2657" s="74" t="s">
        <v>391</v>
      </c>
      <c r="F2657" s="74">
        <v>0.1</v>
      </c>
      <c r="G2657" s="74"/>
      <c r="H2657" s="74"/>
      <c r="I2657" s="74" t="s">
        <v>391</v>
      </c>
      <c r="J2657" s="74"/>
      <c r="K2657" s="74">
        <v>102.4</v>
      </c>
      <c r="L2657" s="74">
        <v>92.16</v>
      </c>
      <c r="M2657" s="74"/>
      <c r="N2657" s="74" t="s">
        <v>392</v>
      </c>
      <c r="O2657" s="74" t="s">
        <v>393</v>
      </c>
      <c r="P2657" s="74"/>
      <c r="Q2657" s="74" t="s">
        <v>5587</v>
      </c>
    </row>
    <row r="2658" spans="3:17" x14ac:dyDescent="0.25">
      <c r="C2658" s="74" t="s">
        <v>5592</v>
      </c>
      <c r="D2658" s="74" t="s">
        <v>5593</v>
      </c>
      <c r="E2658" s="74" t="s">
        <v>391</v>
      </c>
      <c r="F2658" s="74">
        <v>0.1</v>
      </c>
      <c r="G2658" s="74"/>
      <c r="H2658" s="74"/>
      <c r="I2658" s="74" t="s">
        <v>391</v>
      </c>
      <c r="J2658" s="74"/>
      <c r="K2658" s="74">
        <v>102.4</v>
      </c>
      <c r="L2658" s="74">
        <v>92.16</v>
      </c>
      <c r="M2658" s="74"/>
      <c r="N2658" s="74" t="s">
        <v>392</v>
      </c>
      <c r="O2658" s="74" t="s">
        <v>393</v>
      </c>
      <c r="P2658" s="74"/>
      <c r="Q2658" s="74" t="s">
        <v>5594</v>
      </c>
    </row>
    <row r="2659" spans="3:17" x14ac:dyDescent="0.25">
      <c r="C2659" s="74" t="s">
        <v>5603</v>
      </c>
      <c r="D2659" s="74" t="s">
        <v>5604</v>
      </c>
      <c r="E2659" s="74" t="s">
        <v>391</v>
      </c>
      <c r="F2659" s="74">
        <v>0.1</v>
      </c>
      <c r="G2659" s="74"/>
      <c r="H2659" s="74"/>
      <c r="I2659" s="74" t="s">
        <v>391</v>
      </c>
      <c r="J2659" s="74"/>
      <c r="K2659" s="74">
        <v>102.4</v>
      </c>
      <c r="L2659" s="74">
        <v>92.16</v>
      </c>
      <c r="M2659" s="74"/>
      <c r="N2659" s="74" t="s">
        <v>392</v>
      </c>
      <c r="O2659" s="74" t="s">
        <v>393</v>
      </c>
      <c r="P2659" s="74"/>
      <c r="Q2659" s="74" t="s">
        <v>5605</v>
      </c>
    </row>
    <row r="2660" spans="3:17" x14ac:dyDescent="0.25">
      <c r="C2660" s="74" t="s">
        <v>5610</v>
      </c>
      <c r="D2660" s="74" t="s">
        <v>5611</v>
      </c>
      <c r="E2660" s="74" t="s">
        <v>391</v>
      </c>
      <c r="F2660" s="74">
        <v>0.1</v>
      </c>
      <c r="G2660" s="74"/>
      <c r="H2660" s="74"/>
      <c r="I2660" s="74" t="s">
        <v>391</v>
      </c>
      <c r="J2660" s="74"/>
      <c r="K2660" s="74">
        <v>102.4</v>
      </c>
      <c r="L2660" s="74">
        <v>92.16</v>
      </c>
      <c r="M2660" s="74"/>
      <c r="N2660" s="74" t="s">
        <v>392</v>
      </c>
      <c r="O2660" s="74" t="s">
        <v>393</v>
      </c>
      <c r="P2660" s="74"/>
      <c r="Q2660" s="74" t="s">
        <v>5612</v>
      </c>
    </row>
    <row r="2661" spans="3:17" x14ac:dyDescent="0.25">
      <c r="C2661" s="74" t="s">
        <v>5619</v>
      </c>
      <c r="D2661" s="74" t="s">
        <v>5620</v>
      </c>
      <c r="E2661" s="74" t="s">
        <v>391</v>
      </c>
      <c r="F2661" s="74">
        <v>0.1</v>
      </c>
      <c r="G2661" s="74"/>
      <c r="H2661" s="74"/>
      <c r="I2661" s="74" t="s">
        <v>391</v>
      </c>
      <c r="J2661" s="74"/>
      <c r="K2661" s="74">
        <v>102.4</v>
      </c>
      <c r="L2661" s="74">
        <v>92.16</v>
      </c>
      <c r="M2661" s="74"/>
      <c r="N2661" s="74" t="s">
        <v>392</v>
      </c>
      <c r="O2661" s="74" t="s">
        <v>5621</v>
      </c>
      <c r="P2661" s="74"/>
      <c r="Q2661" s="74" t="s">
        <v>5622</v>
      </c>
    </row>
    <row r="2662" spans="3:17" x14ac:dyDescent="0.25">
      <c r="C2662" s="74" t="s">
        <v>5623</v>
      </c>
      <c r="D2662" s="74" t="s">
        <v>5624</v>
      </c>
      <c r="E2662" s="74" t="s">
        <v>391</v>
      </c>
      <c r="F2662" s="74">
        <v>0.1</v>
      </c>
      <c r="G2662" s="74"/>
      <c r="H2662" s="74"/>
      <c r="I2662" s="74" t="s">
        <v>391</v>
      </c>
      <c r="J2662" s="74"/>
      <c r="K2662" s="74">
        <v>102.4</v>
      </c>
      <c r="L2662" s="74">
        <v>92.16</v>
      </c>
      <c r="M2662" s="74"/>
      <c r="N2662" s="74" t="s">
        <v>392</v>
      </c>
      <c r="O2662" s="74" t="s">
        <v>393</v>
      </c>
      <c r="P2662" s="74"/>
      <c r="Q2662" s="74" t="s">
        <v>5625</v>
      </c>
    </row>
    <row r="2663" spans="3:17" x14ac:dyDescent="0.25">
      <c r="C2663" s="74" t="s">
        <v>5626</v>
      </c>
      <c r="D2663" s="74" t="s">
        <v>5627</v>
      </c>
      <c r="E2663" s="74" t="s">
        <v>391</v>
      </c>
      <c r="F2663" s="74">
        <v>0.1</v>
      </c>
      <c r="G2663" s="74"/>
      <c r="H2663" s="74"/>
      <c r="I2663" s="74" t="s">
        <v>391</v>
      </c>
      <c r="J2663" s="74"/>
      <c r="K2663" s="74">
        <v>102.4</v>
      </c>
      <c r="L2663" s="74">
        <v>92.16</v>
      </c>
      <c r="M2663" s="74"/>
      <c r="N2663" s="74" t="s">
        <v>392</v>
      </c>
      <c r="O2663" s="74" t="s">
        <v>393</v>
      </c>
      <c r="P2663" s="74"/>
      <c r="Q2663" s="74" t="s">
        <v>5628</v>
      </c>
    </row>
    <row r="2664" spans="3:17" x14ac:dyDescent="0.25">
      <c r="C2664" s="74" t="s">
        <v>5629</v>
      </c>
      <c r="D2664" s="74" t="s">
        <v>5630</v>
      </c>
      <c r="E2664" s="74" t="s">
        <v>391</v>
      </c>
      <c r="F2664" s="74">
        <v>0.1</v>
      </c>
      <c r="G2664" s="74"/>
      <c r="H2664" s="74"/>
      <c r="I2664" s="74" t="s">
        <v>391</v>
      </c>
      <c r="J2664" s="74"/>
      <c r="K2664" s="74">
        <v>102.4</v>
      </c>
      <c r="L2664" s="74">
        <v>92.16</v>
      </c>
      <c r="M2664" s="74"/>
      <c r="N2664" s="74" t="s">
        <v>392</v>
      </c>
      <c r="O2664" s="74" t="s">
        <v>393</v>
      </c>
      <c r="P2664" s="74"/>
      <c r="Q2664" s="74" t="s">
        <v>5631</v>
      </c>
    </row>
    <row r="2665" spans="3:17" x14ac:dyDescent="0.25">
      <c r="C2665" s="74" t="s">
        <v>5632</v>
      </c>
      <c r="D2665" s="74" t="s">
        <v>5633</v>
      </c>
      <c r="E2665" s="74" t="s">
        <v>391</v>
      </c>
      <c r="F2665" s="74">
        <v>0.1</v>
      </c>
      <c r="G2665" s="74"/>
      <c r="H2665" s="74"/>
      <c r="I2665" s="74" t="s">
        <v>391</v>
      </c>
      <c r="J2665" s="74"/>
      <c r="K2665" s="74">
        <v>102.4</v>
      </c>
      <c r="L2665" s="74">
        <v>92.16</v>
      </c>
      <c r="M2665" s="74"/>
      <c r="N2665" s="74" t="s">
        <v>392</v>
      </c>
      <c r="O2665" s="74" t="s">
        <v>393</v>
      </c>
      <c r="P2665" s="74"/>
      <c r="Q2665" s="74" t="s">
        <v>5634</v>
      </c>
    </row>
    <row r="2666" spans="3:17" x14ac:dyDescent="0.25">
      <c r="C2666" s="74" t="s">
        <v>5635</v>
      </c>
      <c r="D2666" s="74" t="s">
        <v>5636</v>
      </c>
      <c r="E2666" s="74" t="s">
        <v>391</v>
      </c>
      <c r="F2666" s="74">
        <v>0.1</v>
      </c>
      <c r="G2666" s="74"/>
      <c r="H2666" s="74"/>
      <c r="I2666" s="74" t="s">
        <v>391</v>
      </c>
      <c r="J2666" s="74"/>
      <c r="K2666" s="74">
        <v>102.4</v>
      </c>
      <c r="L2666" s="74">
        <v>92.16</v>
      </c>
      <c r="M2666" s="74"/>
      <c r="N2666" s="74" t="s">
        <v>392</v>
      </c>
      <c r="O2666" s="74" t="s">
        <v>393</v>
      </c>
      <c r="P2666" s="74"/>
      <c r="Q2666" s="74" t="s">
        <v>5637</v>
      </c>
    </row>
    <row r="2667" spans="3:17" x14ac:dyDescent="0.25">
      <c r="C2667" s="74" t="s">
        <v>5642</v>
      </c>
      <c r="D2667" s="74" t="s">
        <v>5643</v>
      </c>
      <c r="E2667" s="74" t="s">
        <v>391</v>
      </c>
      <c r="F2667" s="74">
        <v>0.1</v>
      </c>
      <c r="G2667" s="74"/>
      <c r="H2667" s="74"/>
      <c r="I2667" s="74" t="s">
        <v>391</v>
      </c>
      <c r="J2667" s="74"/>
      <c r="K2667" s="74">
        <v>102.4</v>
      </c>
      <c r="L2667" s="74">
        <v>92.16</v>
      </c>
      <c r="M2667" s="74"/>
      <c r="N2667" s="74" t="s">
        <v>392</v>
      </c>
      <c r="O2667" s="74" t="s">
        <v>393</v>
      </c>
      <c r="P2667" s="74"/>
      <c r="Q2667" s="74" t="s">
        <v>5644</v>
      </c>
    </row>
    <row r="2668" spans="3:17" x14ac:dyDescent="0.25">
      <c r="C2668" s="74" t="s">
        <v>5672</v>
      </c>
      <c r="D2668" s="74" t="s">
        <v>5673</v>
      </c>
      <c r="E2668" s="74" t="s">
        <v>391</v>
      </c>
      <c r="F2668" s="74">
        <v>0.1</v>
      </c>
      <c r="G2668" s="74"/>
      <c r="H2668" s="74"/>
      <c r="I2668" s="74" t="s">
        <v>391</v>
      </c>
      <c r="J2668" s="74"/>
      <c r="K2668" s="74">
        <v>102.4</v>
      </c>
      <c r="L2668" s="74">
        <v>92.16</v>
      </c>
      <c r="M2668" s="74"/>
      <c r="N2668" s="74" t="s">
        <v>392</v>
      </c>
      <c r="O2668" s="74" t="s">
        <v>393</v>
      </c>
      <c r="P2668" s="74"/>
      <c r="Q2668" s="74" t="s">
        <v>5674</v>
      </c>
    </row>
    <row r="2669" spans="3:17" x14ac:dyDescent="0.25">
      <c r="C2669" s="74" t="s">
        <v>5689</v>
      </c>
      <c r="D2669" s="74" t="s">
        <v>5690</v>
      </c>
      <c r="E2669" s="74" t="s">
        <v>391</v>
      </c>
      <c r="F2669" s="74">
        <v>0.1</v>
      </c>
      <c r="G2669" s="74"/>
      <c r="H2669" s="74"/>
      <c r="I2669" s="74" t="s">
        <v>391</v>
      </c>
      <c r="J2669" s="74"/>
      <c r="K2669" s="74">
        <v>102.4</v>
      </c>
      <c r="L2669" s="74">
        <v>92.16</v>
      </c>
      <c r="M2669" s="74"/>
      <c r="N2669" s="74" t="s">
        <v>392</v>
      </c>
      <c r="O2669" s="74" t="s">
        <v>393</v>
      </c>
      <c r="P2669" s="74"/>
      <c r="Q2669" s="74" t="s">
        <v>5691</v>
      </c>
    </row>
    <row r="2670" spans="3:17" x14ac:dyDescent="0.25">
      <c r="C2670" s="74" t="s">
        <v>5696</v>
      </c>
      <c r="D2670" s="74" t="s">
        <v>5697</v>
      </c>
      <c r="E2670" s="74" t="s">
        <v>391</v>
      </c>
      <c r="F2670" s="74">
        <v>0.1</v>
      </c>
      <c r="G2670" s="74"/>
      <c r="H2670" s="74"/>
      <c r="I2670" s="74" t="s">
        <v>391</v>
      </c>
      <c r="J2670" s="74"/>
      <c r="K2670" s="74">
        <v>102.4</v>
      </c>
      <c r="L2670" s="74">
        <v>92.16</v>
      </c>
      <c r="M2670" s="74"/>
      <c r="N2670" s="74" t="s">
        <v>392</v>
      </c>
      <c r="O2670" s="74" t="s">
        <v>393</v>
      </c>
      <c r="P2670" s="74"/>
      <c r="Q2670" s="74" t="s">
        <v>5698</v>
      </c>
    </row>
    <row r="2671" spans="3:17" x14ac:dyDescent="0.25">
      <c r="C2671" s="74" t="s">
        <v>5699</v>
      </c>
      <c r="D2671" s="74" t="s">
        <v>5700</v>
      </c>
      <c r="E2671" s="74" t="s">
        <v>391</v>
      </c>
      <c r="F2671" s="74">
        <v>0.1</v>
      </c>
      <c r="G2671" s="74"/>
      <c r="H2671" s="74"/>
      <c r="I2671" s="74" t="s">
        <v>391</v>
      </c>
      <c r="J2671" s="74"/>
      <c r="K2671" s="74">
        <v>102.4</v>
      </c>
      <c r="L2671" s="74">
        <v>92.16</v>
      </c>
      <c r="M2671" s="74"/>
      <c r="N2671" s="74" t="s">
        <v>392</v>
      </c>
      <c r="O2671" s="74" t="s">
        <v>393</v>
      </c>
      <c r="P2671" s="74"/>
      <c r="Q2671" s="74" t="s">
        <v>5701</v>
      </c>
    </row>
    <row r="2672" spans="3:17" x14ac:dyDescent="0.25">
      <c r="C2672" s="74" t="s">
        <v>5702</v>
      </c>
      <c r="D2672" s="74" t="s">
        <v>5703</v>
      </c>
      <c r="E2672" s="74" t="s">
        <v>391</v>
      </c>
      <c r="F2672" s="74">
        <v>0.1</v>
      </c>
      <c r="G2672" s="74"/>
      <c r="H2672" s="74"/>
      <c r="I2672" s="74" t="s">
        <v>391</v>
      </c>
      <c r="J2672" s="74"/>
      <c r="K2672" s="74">
        <v>102.4</v>
      </c>
      <c r="L2672" s="74">
        <v>92.16</v>
      </c>
      <c r="M2672" s="74"/>
      <c r="N2672" s="74" t="s">
        <v>392</v>
      </c>
      <c r="O2672" s="74" t="s">
        <v>393</v>
      </c>
      <c r="P2672" s="74"/>
      <c r="Q2672" s="74" t="s">
        <v>5704</v>
      </c>
    </row>
    <row r="2673" spans="3:17" x14ac:dyDescent="0.25">
      <c r="C2673" s="74" t="s">
        <v>5717</v>
      </c>
      <c r="D2673" s="74" t="s">
        <v>5718</v>
      </c>
      <c r="E2673" s="74" t="s">
        <v>391</v>
      </c>
      <c r="F2673" s="74">
        <v>0.1</v>
      </c>
      <c r="G2673" s="74"/>
      <c r="H2673" s="74"/>
      <c r="I2673" s="74" t="s">
        <v>391</v>
      </c>
      <c r="J2673" s="74"/>
      <c r="K2673" s="74">
        <v>102.4</v>
      </c>
      <c r="L2673" s="74">
        <v>92.16</v>
      </c>
      <c r="M2673" s="74"/>
      <c r="N2673" s="74" t="s">
        <v>392</v>
      </c>
      <c r="O2673" s="74" t="s">
        <v>393</v>
      </c>
      <c r="P2673" s="74"/>
      <c r="Q2673" s="74" t="s">
        <v>5719</v>
      </c>
    </row>
    <row r="2674" spans="3:17" x14ac:dyDescent="0.25">
      <c r="C2674" s="74" t="s">
        <v>5720</v>
      </c>
      <c r="D2674" s="74" t="s">
        <v>5721</v>
      </c>
      <c r="E2674" s="74" t="s">
        <v>391</v>
      </c>
      <c r="F2674" s="74">
        <v>0.1</v>
      </c>
      <c r="G2674" s="74"/>
      <c r="H2674" s="74"/>
      <c r="I2674" s="74" t="s">
        <v>391</v>
      </c>
      <c r="J2674" s="74"/>
      <c r="K2674" s="74">
        <v>102.4</v>
      </c>
      <c r="L2674" s="74">
        <v>92.16</v>
      </c>
      <c r="M2674" s="74"/>
      <c r="N2674" s="74" t="s">
        <v>392</v>
      </c>
      <c r="O2674" s="74" t="s">
        <v>393</v>
      </c>
      <c r="P2674" s="74"/>
      <c r="Q2674" s="74" t="s">
        <v>5722</v>
      </c>
    </row>
    <row r="2675" spans="3:17" x14ac:dyDescent="0.25">
      <c r="C2675" s="74" t="s">
        <v>5723</v>
      </c>
      <c r="D2675" s="74" t="s">
        <v>5724</v>
      </c>
      <c r="E2675" s="74" t="s">
        <v>391</v>
      </c>
      <c r="F2675" s="74">
        <v>0.1</v>
      </c>
      <c r="G2675" s="74"/>
      <c r="H2675" s="74"/>
      <c r="I2675" s="74" t="s">
        <v>391</v>
      </c>
      <c r="J2675" s="74"/>
      <c r="K2675" s="74">
        <v>102.4</v>
      </c>
      <c r="L2675" s="74">
        <v>92.16</v>
      </c>
      <c r="M2675" s="74"/>
      <c r="N2675" s="74" t="s">
        <v>392</v>
      </c>
      <c r="O2675" s="74" t="s">
        <v>393</v>
      </c>
      <c r="P2675" s="74"/>
      <c r="Q2675" s="74" t="s">
        <v>5724</v>
      </c>
    </row>
    <row r="2676" spans="3:17" x14ac:dyDescent="0.25">
      <c r="C2676" s="74" t="s">
        <v>5733</v>
      </c>
      <c r="D2676" s="74" t="s">
        <v>5734</v>
      </c>
      <c r="E2676" s="74"/>
      <c r="F2676" s="74">
        <v>0.1</v>
      </c>
      <c r="G2676" s="74"/>
      <c r="H2676" s="74"/>
      <c r="I2676" s="74" t="s">
        <v>391</v>
      </c>
      <c r="J2676" s="74"/>
      <c r="K2676" s="74">
        <v>102.4</v>
      </c>
      <c r="L2676" s="74">
        <v>92.16</v>
      </c>
      <c r="M2676" s="74"/>
      <c r="N2676" s="74" t="s">
        <v>392</v>
      </c>
      <c r="O2676" s="74" t="s">
        <v>402</v>
      </c>
      <c r="P2676" s="74" t="s">
        <v>5735</v>
      </c>
      <c r="Q2676" s="74" t="s">
        <v>5736</v>
      </c>
    </row>
    <row r="2677" spans="3:17" x14ac:dyDescent="0.25">
      <c r="C2677" s="158" t="s">
        <v>5737</v>
      </c>
      <c r="D2677" s="158" t="s">
        <v>5738</v>
      </c>
      <c r="E2677" s="158" t="s">
        <v>391</v>
      </c>
      <c r="F2677" s="158">
        <v>0.1</v>
      </c>
      <c r="I2677" s="158" t="s">
        <v>391</v>
      </c>
      <c r="K2677" s="158">
        <v>102.4</v>
      </c>
      <c r="L2677" s="158">
        <v>92.16</v>
      </c>
      <c r="N2677" s="158" t="s">
        <v>392</v>
      </c>
      <c r="O2677" s="158" t="s">
        <v>393</v>
      </c>
      <c r="Q2677" s="158" t="s">
        <v>5739</v>
      </c>
    </row>
    <row r="2678" spans="3:17" x14ac:dyDescent="0.25">
      <c r="C2678" s="74" t="s">
        <v>5743</v>
      </c>
      <c r="D2678" s="74" t="s">
        <v>5744</v>
      </c>
      <c r="E2678" s="74" t="s">
        <v>391</v>
      </c>
      <c r="F2678" s="74">
        <v>0.1</v>
      </c>
      <c r="G2678" s="74"/>
      <c r="H2678" s="74"/>
      <c r="I2678" s="74" t="s">
        <v>391</v>
      </c>
      <c r="J2678" s="74"/>
      <c r="K2678" s="74">
        <v>102.4</v>
      </c>
      <c r="L2678" s="74">
        <v>92.16</v>
      </c>
      <c r="M2678" s="74"/>
      <c r="N2678" s="74" t="s">
        <v>392</v>
      </c>
      <c r="O2678" s="74" t="s">
        <v>393</v>
      </c>
      <c r="P2678" s="74"/>
      <c r="Q2678" s="74" t="s">
        <v>5745</v>
      </c>
    </row>
    <row r="2679" spans="3:17" x14ac:dyDescent="0.25">
      <c r="C2679" s="74" t="s">
        <v>5746</v>
      </c>
      <c r="D2679" s="74" t="s">
        <v>5747</v>
      </c>
      <c r="E2679" s="74" t="s">
        <v>391</v>
      </c>
      <c r="F2679" s="74">
        <v>0.1</v>
      </c>
      <c r="G2679" s="74"/>
      <c r="H2679" s="74"/>
      <c r="I2679" s="74" t="s">
        <v>391</v>
      </c>
      <c r="J2679" s="74"/>
      <c r="K2679" s="74">
        <v>102.4</v>
      </c>
      <c r="L2679" s="74">
        <v>92.16</v>
      </c>
      <c r="M2679" s="74"/>
      <c r="N2679" s="74" t="s">
        <v>392</v>
      </c>
      <c r="O2679" s="74" t="s">
        <v>393</v>
      </c>
      <c r="P2679" s="74"/>
      <c r="Q2679" s="74" t="s">
        <v>5748</v>
      </c>
    </row>
    <row r="2680" spans="3:17" x14ac:dyDescent="0.25">
      <c r="C2680" s="74" t="s">
        <v>5768</v>
      </c>
      <c r="D2680" s="74" t="s">
        <v>5769</v>
      </c>
      <c r="E2680" s="74" t="s">
        <v>391</v>
      </c>
      <c r="F2680" s="74">
        <v>0.1</v>
      </c>
      <c r="G2680" s="74"/>
      <c r="H2680" s="74"/>
      <c r="I2680" s="74" t="s">
        <v>391</v>
      </c>
      <c r="J2680" s="74"/>
      <c r="K2680" s="74">
        <v>102.4</v>
      </c>
      <c r="L2680" s="74">
        <v>92.16</v>
      </c>
      <c r="M2680" s="74"/>
      <c r="N2680" s="74" t="s">
        <v>392</v>
      </c>
      <c r="O2680" s="74" t="s">
        <v>393</v>
      </c>
      <c r="P2680" s="74"/>
      <c r="Q2680" s="74" t="s">
        <v>5770</v>
      </c>
    </row>
    <row r="2681" spans="3:17" x14ac:dyDescent="0.25">
      <c r="C2681" s="74" t="s">
        <v>5779</v>
      </c>
      <c r="D2681" s="74" t="s">
        <v>5780</v>
      </c>
      <c r="E2681" s="74" t="s">
        <v>391</v>
      </c>
      <c r="F2681" s="74">
        <v>0.1</v>
      </c>
      <c r="G2681" s="74"/>
      <c r="H2681" s="74"/>
      <c r="I2681" s="74" t="s">
        <v>391</v>
      </c>
      <c r="J2681" s="74"/>
      <c r="K2681" s="74">
        <v>102.4</v>
      </c>
      <c r="L2681" s="74">
        <v>92.16</v>
      </c>
      <c r="M2681" s="74"/>
      <c r="N2681" s="74" t="s">
        <v>392</v>
      </c>
      <c r="O2681" s="74" t="s">
        <v>393</v>
      </c>
      <c r="P2681" s="74"/>
      <c r="Q2681" s="74" t="s">
        <v>5781</v>
      </c>
    </row>
    <row r="2682" spans="3:17" x14ac:dyDescent="0.25">
      <c r="C2682" s="74" t="s">
        <v>5782</v>
      </c>
      <c r="D2682" s="74" t="s">
        <v>5783</v>
      </c>
      <c r="E2682" s="74" t="s">
        <v>391</v>
      </c>
      <c r="F2682" s="74">
        <v>0.1</v>
      </c>
      <c r="G2682" s="74"/>
      <c r="H2682" s="74"/>
      <c r="I2682" s="74" t="s">
        <v>391</v>
      </c>
      <c r="J2682" s="74"/>
      <c r="K2682" s="74">
        <v>102.4</v>
      </c>
      <c r="L2682" s="74">
        <v>92.16</v>
      </c>
      <c r="M2682" s="74"/>
      <c r="N2682" s="74" t="s">
        <v>392</v>
      </c>
      <c r="O2682" s="74" t="s">
        <v>393</v>
      </c>
      <c r="P2682" s="74"/>
      <c r="Q2682" s="74" t="s">
        <v>5784</v>
      </c>
    </row>
    <row r="2683" spans="3:17" x14ac:dyDescent="0.25">
      <c r="C2683" s="74" t="s">
        <v>5785</v>
      </c>
      <c r="D2683" s="74" t="s">
        <v>5786</v>
      </c>
      <c r="E2683" s="74" t="s">
        <v>391</v>
      </c>
      <c r="F2683" s="74">
        <v>0.1</v>
      </c>
      <c r="G2683" s="74"/>
      <c r="H2683" s="74"/>
      <c r="I2683" s="74" t="s">
        <v>391</v>
      </c>
      <c r="J2683" s="74"/>
      <c r="K2683" s="74">
        <v>102.4</v>
      </c>
      <c r="L2683" s="74">
        <v>92.16</v>
      </c>
      <c r="M2683" s="74"/>
      <c r="N2683" s="74" t="s">
        <v>392</v>
      </c>
      <c r="O2683" s="74" t="s">
        <v>393</v>
      </c>
      <c r="P2683" s="74"/>
      <c r="Q2683" s="74" t="s">
        <v>5787</v>
      </c>
    </row>
    <row r="2684" spans="3:17" x14ac:dyDescent="0.25">
      <c r="C2684" s="74" t="s">
        <v>5788</v>
      </c>
      <c r="D2684" s="74" t="s">
        <v>5789</v>
      </c>
      <c r="E2684" s="74" t="s">
        <v>391</v>
      </c>
      <c r="F2684" s="74">
        <v>0.1</v>
      </c>
      <c r="G2684" s="74"/>
      <c r="H2684" s="74"/>
      <c r="I2684" s="74" t="s">
        <v>391</v>
      </c>
      <c r="J2684" s="74"/>
      <c r="K2684" s="74">
        <v>102.4</v>
      </c>
      <c r="L2684" s="74">
        <v>92.16</v>
      </c>
      <c r="M2684" s="74"/>
      <c r="N2684" s="74" t="s">
        <v>392</v>
      </c>
      <c r="O2684" s="74" t="s">
        <v>393</v>
      </c>
      <c r="P2684" s="74"/>
      <c r="Q2684" s="74" t="s">
        <v>5790</v>
      </c>
    </row>
    <row r="2685" spans="3:17" x14ac:dyDescent="0.25">
      <c r="C2685" s="74" t="s">
        <v>5798</v>
      </c>
      <c r="D2685" s="74" t="s">
        <v>5799</v>
      </c>
      <c r="E2685" s="74" t="s">
        <v>391</v>
      </c>
      <c r="F2685" s="74">
        <v>0.1</v>
      </c>
      <c r="G2685" s="74"/>
      <c r="H2685" s="74"/>
      <c r="I2685" s="74" t="s">
        <v>391</v>
      </c>
      <c r="J2685" s="74"/>
      <c r="K2685" s="74">
        <v>102.4</v>
      </c>
      <c r="L2685" s="74">
        <v>92.16</v>
      </c>
      <c r="M2685" s="74"/>
      <c r="N2685" s="74" t="s">
        <v>392</v>
      </c>
      <c r="O2685" s="74" t="s">
        <v>393</v>
      </c>
      <c r="P2685" s="74"/>
      <c r="Q2685" s="74" t="s">
        <v>5800</v>
      </c>
    </row>
    <row r="2686" spans="3:17" x14ac:dyDescent="0.25">
      <c r="C2686" s="74" t="s">
        <v>5835</v>
      </c>
      <c r="D2686" s="74" t="s">
        <v>5836</v>
      </c>
      <c r="E2686" s="74" t="s">
        <v>391</v>
      </c>
      <c r="F2686" s="74">
        <v>0.1</v>
      </c>
      <c r="G2686" s="74"/>
      <c r="H2686" s="74"/>
      <c r="I2686" s="74" t="s">
        <v>391</v>
      </c>
      <c r="J2686" s="74"/>
      <c r="K2686" s="74">
        <v>102.4</v>
      </c>
      <c r="L2686" s="74">
        <v>92.16</v>
      </c>
      <c r="M2686" s="74"/>
      <c r="N2686" s="74" t="s">
        <v>392</v>
      </c>
      <c r="O2686" s="74" t="s">
        <v>393</v>
      </c>
      <c r="P2686" s="74"/>
      <c r="Q2686" s="74" t="s">
        <v>5837</v>
      </c>
    </row>
    <row r="2687" spans="3:17" x14ac:dyDescent="0.25">
      <c r="C2687" s="74" t="s">
        <v>5838</v>
      </c>
      <c r="D2687" s="74" t="s">
        <v>5839</v>
      </c>
      <c r="E2687" s="74" t="s">
        <v>391</v>
      </c>
      <c r="F2687" s="74">
        <v>0.1</v>
      </c>
      <c r="G2687" s="74"/>
      <c r="H2687" s="74"/>
      <c r="I2687" s="74" t="s">
        <v>391</v>
      </c>
      <c r="J2687" s="74"/>
      <c r="K2687" s="74">
        <v>102.4</v>
      </c>
      <c r="L2687" s="74">
        <v>92.16</v>
      </c>
      <c r="M2687" s="74"/>
      <c r="N2687" s="74" t="s">
        <v>392</v>
      </c>
      <c r="O2687" s="74" t="s">
        <v>393</v>
      </c>
      <c r="P2687" s="74"/>
      <c r="Q2687" s="74" t="s">
        <v>5840</v>
      </c>
    </row>
    <row r="2688" spans="3:17" x14ac:dyDescent="0.25">
      <c r="C2688" s="74" t="s">
        <v>5841</v>
      </c>
      <c r="D2688" s="74" t="s">
        <v>5842</v>
      </c>
      <c r="E2688" s="74" t="s">
        <v>391</v>
      </c>
      <c r="F2688" s="74">
        <v>0.1</v>
      </c>
      <c r="G2688" s="74"/>
      <c r="H2688" s="74"/>
      <c r="I2688" s="74" t="s">
        <v>391</v>
      </c>
      <c r="J2688" s="74"/>
      <c r="K2688" s="74">
        <v>102.4</v>
      </c>
      <c r="L2688" s="74">
        <v>92.16</v>
      </c>
      <c r="M2688" s="74"/>
      <c r="N2688" s="74" t="s">
        <v>392</v>
      </c>
      <c r="O2688" s="74" t="s">
        <v>393</v>
      </c>
      <c r="P2688" s="74"/>
      <c r="Q2688" s="74" t="s">
        <v>5843</v>
      </c>
    </row>
    <row r="2689" spans="3:17" x14ac:dyDescent="0.25">
      <c r="C2689" s="74" t="s">
        <v>5844</v>
      </c>
      <c r="D2689" s="74" t="s">
        <v>5845</v>
      </c>
      <c r="E2689" s="74" t="s">
        <v>391</v>
      </c>
      <c r="F2689" s="74">
        <v>0.1</v>
      </c>
      <c r="G2689" s="74"/>
      <c r="H2689" s="74"/>
      <c r="I2689" s="74" t="s">
        <v>391</v>
      </c>
      <c r="J2689" s="74"/>
      <c r="K2689" s="74">
        <v>102.4</v>
      </c>
      <c r="L2689" s="74">
        <v>92.16</v>
      </c>
      <c r="M2689" s="74"/>
      <c r="N2689" s="74" t="s">
        <v>392</v>
      </c>
      <c r="O2689" s="74" t="s">
        <v>393</v>
      </c>
      <c r="P2689" s="74"/>
      <c r="Q2689" s="74" t="s">
        <v>5846</v>
      </c>
    </row>
    <row r="2690" spans="3:17" x14ac:dyDescent="0.25">
      <c r="C2690" s="74" t="s">
        <v>5854</v>
      </c>
      <c r="D2690" s="74" t="s">
        <v>5855</v>
      </c>
      <c r="E2690" s="74" t="s">
        <v>391</v>
      </c>
      <c r="F2690" s="74">
        <v>0.1</v>
      </c>
      <c r="G2690" s="74"/>
      <c r="H2690" s="74"/>
      <c r="I2690" s="74" t="s">
        <v>391</v>
      </c>
      <c r="J2690" s="74"/>
      <c r="K2690" s="74">
        <v>102.4</v>
      </c>
      <c r="L2690" s="74">
        <v>92.16</v>
      </c>
      <c r="M2690" s="74"/>
      <c r="N2690" s="74" t="s">
        <v>392</v>
      </c>
      <c r="O2690" s="74" t="s">
        <v>393</v>
      </c>
      <c r="P2690" s="74"/>
      <c r="Q2690" s="74" t="s">
        <v>5856</v>
      </c>
    </row>
    <row r="2691" spans="3:17" x14ac:dyDescent="0.25">
      <c r="C2691" s="74" t="s">
        <v>5865</v>
      </c>
      <c r="D2691" s="74" t="s">
        <v>5866</v>
      </c>
      <c r="E2691" s="74" t="s">
        <v>391</v>
      </c>
      <c r="F2691" s="74">
        <v>0.1</v>
      </c>
      <c r="G2691" s="74"/>
      <c r="H2691" s="74"/>
      <c r="I2691" s="74" t="s">
        <v>391</v>
      </c>
      <c r="J2691" s="74"/>
      <c r="K2691" s="74">
        <v>102.4</v>
      </c>
      <c r="L2691" s="74">
        <v>92.16</v>
      </c>
      <c r="M2691" s="74"/>
      <c r="N2691" s="74" t="s">
        <v>392</v>
      </c>
      <c r="O2691" s="74" t="s">
        <v>393</v>
      </c>
      <c r="P2691" s="74"/>
      <c r="Q2691" s="74" t="s">
        <v>5867</v>
      </c>
    </row>
    <row r="2692" spans="3:17" x14ac:dyDescent="0.25">
      <c r="C2692" s="74" t="s">
        <v>5868</v>
      </c>
      <c r="D2692" s="74" t="s">
        <v>5869</v>
      </c>
      <c r="E2692" s="74" t="s">
        <v>391</v>
      </c>
      <c r="F2692" s="74">
        <v>0.1</v>
      </c>
      <c r="G2692" s="74"/>
      <c r="H2692" s="74"/>
      <c r="I2692" s="74" t="s">
        <v>391</v>
      </c>
      <c r="J2692" s="74"/>
      <c r="K2692" s="74">
        <v>102.4</v>
      </c>
      <c r="L2692" s="74">
        <v>92.16</v>
      </c>
      <c r="M2692" s="74"/>
      <c r="N2692" s="74" t="s">
        <v>392</v>
      </c>
      <c r="O2692" s="74" t="s">
        <v>393</v>
      </c>
      <c r="P2692" s="74"/>
      <c r="Q2692" s="74" t="s">
        <v>5870</v>
      </c>
    </row>
    <row r="2693" spans="3:17" x14ac:dyDescent="0.25">
      <c r="C2693" s="74" t="s">
        <v>5875</v>
      </c>
      <c r="D2693" s="74" t="s">
        <v>5876</v>
      </c>
      <c r="E2693" s="74" t="s">
        <v>391</v>
      </c>
      <c r="F2693" s="74">
        <v>0.1</v>
      </c>
      <c r="G2693" s="74"/>
      <c r="H2693" s="74"/>
      <c r="I2693" s="74" t="s">
        <v>391</v>
      </c>
      <c r="J2693" s="74"/>
      <c r="K2693" s="74">
        <v>102.4</v>
      </c>
      <c r="L2693" s="74">
        <v>92.16</v>
      </c>
      <c r="M2693" s="74"/>
      <c r="N2693" s="74" t="s">
        <v>392</v>
      </c>
      <c r="O2693" s="74" t="s">
        <v>393</v>
      </c>
      <c r="P2693" s="74"/>
      <c r="Q2693" s="74" t="s">
        <v>5877</v>
      </c>
    </row>
    <row r="2694" spans="3:17" x14ac:dyDescent="0.25">
      <c r="C2694" s="74" t="s">
        <v>5889</v>
      </c>
      <c r="D2694" s="74" t="s">
        <v>5890</v>
      </c>
      <c r="E2694" s="74" t="s">
        <v>391</v>
      </c>
      <c r="F2694" s="74">
        <v>0.1</v>
      </c>
      <c r="G2694" s="74"/>
      <c r="H2694" s="74"/>
      <c r="I2694" s="74" t="s">
        <v>391</v>
      </c>
      <c r="J2694" s="74"/>
      <c r="K2694" s="74">
        <v>102.4</v>
      </c>
      <c r="L2694" s="74">
        <v>92.16</v>
      </c>
      <c r="M2694" s="74"/>
      <c r="N2694" s="74" t="s">
        <v>392</v>
      </c>
      <c r="O2694" s="74" t="s">
        <v>393</v>
      </c>
      <c r="P2694" s="74"/>
      <c r="Q2694" s="74" t="s">
        <v>5891</v>
      </c>
    </row>
    <row r="2695" spans="3:17" x14ac:dyDescent="0.25">
      <c r="C2695" s="74" t="s">
        <v>5900</v>
      </c>
      <c r="D2695" s="74" t="s">
        <v>5901</v>
      </c>
      <c r="E2695" s="74" t="s">
        <v>391</v>
      </c>
      <c r="F2695" s="74">
        <v>0.1</v>
      </c>
      <c r="G2695" s="74"/>
      <c r="H2695" s="74"/>
      <c r="I2695" s="74" t="s">
        <v>391</v>
      </c>
      <c r="J2695" s="74"/>
      <c r="K2695" s="74">
        <v>102.4</v>
      </c>
      <c r="L2695" s="74">
        <v>92.16</v>
      </c>
      <c r="M2695" s="74"/>
      <c r="N2695" s="74" t="s">
        <v>392</v>
      </c>
      <c r="O2695" s="74" t="s">
        <v>393</v>
      </c>
      <c r="P2695" s="74"/>
      <c r="Q2695" s="74" t="s">
        <v>5902</v>
      </c>
    </row>
    <row r="2696" spans="3:17" x14ac:dyDescent="0.25">
      <c r="C2696" s="74" t="s">
        <v>5903</v>
      </c>
      <c r="D2696" s="74" t="s">
        <v>5904</v>
      </c>
      <c r="E2696" s="74" t="s">
        <v>391</v>
      </c>
      <c r="F2696" s="74">
        <v>0.1</v>
      </c>
      <c r="G2696" s="74"/>
      <c r="H2696" s="74"/>
      <c r="I2696" s="74" t="s">
        <v>391</v>
      </c>
      <c r="J2696" s="74"/>
      <c r="K2696" s="74">
        <v>102.4</v>
      </c>
      <c r="L2696" s="74">
        <v>92.16</v>
      </c>
      <c r="M2696" s="74"/>
      <c r="N2696" s="74" t="s">
        <v>392</v>
      </c>
      <c r="O2696" s="74" t="s">
        <v>393</v>
      </c>
      <c r="P2696" s="74"/>
      <c r="Q2696" s="74" t="s">
        <v>5905</v>
      </c>
    </row>
    <row r="2697" spans="3:17" x14ac:dyDescent="0.25">
      <c r="C2697" s="74" t="s">
        <v>5910</v>
      </c>
      <c r="D2697" s="74" t="s">
        <v>5911</v>
      </c>
      <c r="E2697" s="74" t="s">
        <v>391</v>
      </c>
      <c r="F2697" s="74">
        <v>0.1</v>
      </c>
      <c r="G2697" s="74"/>
      <c r="H2697" s="74"/>
      <c r="I2697" s="74" t="s">
        <v>391</v>
      </c>
      <c r="J2697" s="74"/>
      <c r="K2697" s="74">
        <v>102.4</v>
      </c>
      <c r="L2697" s="74">
        <v>92.16</v>
      </c>
      <c r="M2697" s="74"/>
      <c r="N2697" s="74" t="s">
        <v>392</v>
      </c>
      <c r="O2697" s="74" t="s">
        <v>393</v>
      </c>
      <c r="P2697" s="74"/>
      <c r="Q2697" s="74" t="s">
        <v>5912</v>
      </c>
    </row>
    <row r="2698" spans="3:17" x14ac:dyDescent="0.25">
      <c r="C2698" s="74" t="s">
        <v>5917</v>
      </c>
      <c r="D2698" s="74" t="s">
        <v>5918</v>
      </c>
      <c r="E2698" s="74" t="s">
        <v>391</v>
      </c>
      <c r="F2698" s="74">
        <v>0.1</v>
      </c>
      <c r="G2698" s="74"/>
      <c r="H2698" s="74"/>
      <c r="I2698" s="74" t="s">
        <v>391</v>
      </c>
      <c r="J2698" s="74"/>
      <c r="K2698" s="74">
        <v>102.4</v>
      </c>
      <c r="L2698" s="74">
        <v>92.16</v>
      </c>
      <c r="M2698" s="74"/>
      <c r="N2698" s="74" t="s">
        <v>392</v>
      </c>
      <c r="O2698" s="74" t="s">
        <v>393</v>
      </c>
      <c r="P2698" s="74"/>
      <c r="Q2698" s="74" t="s">
        <v>5919</v>
      </c>
    </row>
    <row r="2699" spans="3:17" x14ac:dyDescent="0.25">
      <c r="C2699" s="74" t="s">
        <v>5928</v>
      </c>
      <c r="D2699" s="74" t="s">
        <v>5929</v>
      </c>
      <c r="E2699" s="74" t="s">
        <v>391</v>
      </c>
      <c r="F2699" s="74">
        <v>0.1</v>
      </c>
      <c r="G2699" s="74"/>
      <c r="H2699" s="74"/>
      <c r="I2699" s="74" t="s">
        <v>391</v>
      </c>
      <c r="J2699" s="74"/>
      <c r="K2699" s="74">
        <v>102.4</v>
      </c>
      <c r="L2699" s="74">
        <v>92.16</v>
      </c>
      <c r="M2699" s="74"/>
      <c r="N2699" s="74" t="s">
        <v>392</v>
      </c>
      <c r="O2699" s="74" t="s">
        <v>393</v>
      </c>
      <c r="P2699" s="74"/>
      <c r="Q2699" s="74" t="s">
        <v>5930</v>
      </c>
    </row>
    <row r="2700" spans="3:17" x14ac:dyDescent="0.25">
      <c r="C2700" s="74" t="s">
        <v>5939</v>
      </c>
      <c r="D2700" s="74" t="s">
        <v>5940</v>
      </c>
      <c r="E2700" s="74" t="s">
        <v>391</v>
      </c>
      <c r="F2700" s="74">
        <v>0.1</v>
      </c>
      <c r="G2700" s="74"/>
      <c r="H2700" s="74"/>
      <c r="I2700" s="74" t="s">
        <v>391</v>
      </c>
      <c r="J2700" s="74"/>
      <c r="K2700" s="74">
        <v>102.4</v>
      </c>
      <c r="L2700" s="74">
        <v>92.16</v>
      </c>
      <c r="M2700" s="74"/>
      <c r="N2700" s="74" t="s">
        <v>392</v>
      </c>
      <c r="O2700" s="74" t="s">
        <v>393</v>
      </c>
      <c r="P2700" s="74"/>
      <c r="Q2700" s="74" t="s">
        <v>5941</v>
      </c>
    </row>
    <row r="2701" spans="3:17" x14ac:dyDescent="0.25">
      <c r="C2701" s="74" t="s">
        <v>5953</v>
      </c>
      <c r="D2701" s="74" t="s">
        <v>5954</v>
      </c>
      <c r="E2701" s="74" t="s">
        <v>391</v>
      </c>
      <c r="F2701" s="74">
        <v>0.1</v>
      </c>
      <c r="G2701" s="74"/>
      <c r="H2701" s="74"/>
      <c r="I2701" s="74" t="s">
        <v>391</v>
      </c>
      <c r="J2701" s="74"/>
      <c r="K2701" s="74">
        <v>102.4</v>
      </c>
      <c r="L2701" s="74">
        <v>92.16</v>
      </c>
      <c r="M2701" s="74"/>
      <c r="N2701" s="74" t="s">
        <v>392</v>
      </c>
      <c r="O2701" s="74" t="s">
        <v>393</v>
      </c>
      <c r="P2701" s="74"/>
      <c r="Q2701" s="74" t="s">
        <v>5955</v>
      </c>
    </row>
    <row r="2702" spans="3:17" x14ac:dyDescent="0.25">
      <c r="C2702" s="74" t="s">
        <v>5956</v>
      </c>
      <c r="D2702" s="74" t="s">
        <v>5957</v>
      </c>
      <c r="E2702" s="74" t="s">
        <v>391</v>
      </c>
      <c r="F2702" s="74">
        <v>0.1</v>
      </c>
      <c r="G2702" s="74"/>
      <c r="H2702" s="74"/>
      <c r="I2702" s="74" t="s">
        <v>391</v>
      </c>
      <c r="J2702" s="74"/>
      <c r="K2702" s="74">
        <v>102.4</v>
      </c>
      <c r="L2702" s="74">
        <v>92.16</v>
      </c>
      <c r="M2702" s="74"/>
      <c r="N2702" s="74" t="s">
        <v>392</v>
      </c>
      <c r="O2702" s="74" t="s">
        <v>393</v>
      </c>
      <c r="P2702" s="74"/>
      <c r="Q2702" s="74" t="s">
        <v>5958</v>
      </c>
    </row>
    <row r="2703" spans="3:17" x14ac:dyDescent="0.25">
      <c r="C2703" s="74" t="s">
        <v>5997</v>
      </c>
      <c r="D2703" s="74" t="s">
        <v>5998</v>
      </c>
      <c r="E2703" s="74" t="s">
        <v>391</v>
      </c>
      <c r="F2703" s="74">
        <v>0.1</v>
      </c>
      <c r="G2703" s="74"/>
      <c r="H2703" s="74"/>
      <c r="I2703" s="74" t="s">
        <v>391</v>
      </c>
      <c r="J2703" s="74"/>
      <c r="K2703" s="74">
        <v>102.4</v>
      </c>
      <c r="L2703" s="74">
        <v>92.16</v>
      </c>
      <c r="M2703" s="74"/>
      <c r="N2703" s="74" t="s">
        <v>392</v>
      </c>
      <c r="O2703" s="74" t="s">
        <v>393</v>
      </c>
      <c r="P2703" s="74"/>
      <c r="Q2703" s="74" t="s">
        <v>5999</v>
      </c>
    </row>
    <row r="2704" spans="3:17" x14ac:dyDescent="0.25">
      <c r="C2704" s="74" t="s">
        <v>6023</v>
      </c>
      <c r="D2704" s="74" t="s">
        <v>6024</v>
      </c>
      <c r="E2704" s="74" t="s">
        <v>391</v>
      </c>
      <c r="F2704" s="74">
        <v>0.1</v>
      </c>
      <c r="G2704" s="74"/>
      <c r="H2704" s="74"/>
      <c r="I2704" s="74" t="s">
        <v>391</v>
      </c>
      <c r="J2704" s="74"/>
      <c r="K2704" s="74">
        <v>102.4</v>
      </c>
      <c r="L2704" s="74">
        <v>92.16</v>
      </c>
      <c r="M2704" s="74"/>
      <c r="N2704" s="74" t="s">
        <v>392</v>
      </c>
      <c r="O2704" s="74" t="s">
        <v>393</v>
      </c>
      <c r="P2704" s="74"/>
      <c r="Q2704" s="74" t="s">
        <v>6025</v>
      </c>
    </row>
    <row r="2705" spans="3:17" x14ac:dyDescent="0.25">
      <c r="C2705" s="74" t="s">
        <v>6026</v>
      </c>
      <c r="D2705" s="74" t="s">
        <v>6027</v>
      </c>
      <c r="E2705" s="74" t="s">
        <v>391</v>
      </c>
      <c r="F2705" s="74">
        <v>0.1</v>
      </c>
      <c r="G2705" s="74"/>
      <c r="H2705" s="74"/>
      <c r="I2705" s="74" t="s">
        <v>391</v>
      </c>
      <c r="J2705" s="74"/>
      <c r="K2705" s="74">
        <v>102.4</v>
      </c>
      <c r="L2705" s="74">
        <v>92.16</v>
      </c>
      <c r="M2705" s="74"/>
      <c r="N2705" s="74" t="s">
        <v>392</v>
      </c>
      <c r="O2705" s="74" t="s">
        <v>393</v>
      </c>
      <c r="P2705" s="74"/>
      <c r="Q2705" s="74" t="s">
        <v>6028</v>
      </c>
    </row>
    <row r="2706" spans="3:17" x14ac:dyDescent="0.25">
      <c r="C2706" s="74" t="s">
        <v>6029</v>
      </c>
      <c r="D2706" s="74" t="s">
        <v>6030</v>
      </c>
      <c r="E2706" s="74" t="s">
        <v>391</v>
      </c>
      <c r="F2706" s="74">
        <v>0.1</v>
      </c>
      <c r="G2706" s="74"/>
      <c r="H2706" s="74"/>
      <c r="I2706" s="74" t="s">
        <v>391</v>
      </c>
      <c r="J2706" s="74"/>
      <c r="K2706" s="74">
        <v>102.4</v>
      </c>
      <c r="L2706" s="74">
        <v>92.16</v>
      </c>
      <c r="M2706" s="74"/>
      <c r="N2706" s="74" t="s">
        <v>392</v>
      </c>
      <c r="O2706" s="74" t="s">
        <v>393</v>
      </c>
      <c r="P2706" s="74"/>
      <c r="Q2706" s="74" t="s">
        <v>6031</v>
      </c>
    </row>
    <row r="2707" spans="3:17" x14ac:dyDescent="0.25">
      <c r="C2707" s="74" t="s">
        <v>6036</v>
      </c>
      <c r="D2707" s="74" t="s">
        <v>6037</v>
      </c>
      <c r="E2707" s="74" t="s">
        <v>391</v>
      </c>
      <c r="F2707" s="74">
        <v>0.1</v>
      </c>
      <c r="G2707" s="74"/>
      <c r="H2707" s="74"/>
      <c r="I2707" s="74" t="s">
        <v>391</v>
      </c>
      <c r="J2707" s="74"/>
      <c r="K2707" s="74">
        <v>102.4</v>
      </c>
      <c r="L2707" s="74">
        <v>92.16</v>
      </c>
      <c r="M2707" s="74"/>
      <c r="N2707" s="74" t="s">
        <v>392</v>
      </c>
      <c r="O2707" s="74" t="s">
        <v>393</v>
      </c>
      <c r="P2707" s="74"/>
      <c r="Q2707" s="74" t="s">
        <v>6038</v>
      </c>
    </row>
    <row r="2708" spans="3:17" x14ac:dyDescent="0.25">
      <c r="C2708" s="74" t="s">
        <v>6043</v>
      </c>
      <c r="D2708" s="74" t="s">
        <v>6044</v>
      </c>
      <c r="E2708" s="74" t="s">
        <v>391</v>
      </c>
      <c r="F2708" s="74">
        <v>0.1</v>
      </c>
      <c r="G2708" s="74"/>
      <c r="H2708" s="74"/>
      <c r="I2708" s="74" t="s">
        <v>391</v>
      </c>
      <c r="J2708" s="74"/>
      <c r="K2708" s="74">
        <v>102.4</v>
      </c>
      <c r="L2708" s="74">
        <v>92.16</v>
      </c>
      <c r="M2708" s="74"/>
      <c r="N2708" s="74" t="s">
        <v>392</v>
      </c>
      <c r="O2708" s="74" t="s">
        <v>393</v>
      </c>
      <c r="P2708" s="74"/>
      <c r="Q2708" s="74" t="s">
        <v>6045</v>
      </c>
    </row>
    <row r="2709" spans="3:17" x14ac:dyDescent="0.25">
      <c r="C2709" s="74" t="s">
        <v>6054</v>
      </c>
      <c r="D2709" s="74" t="s">
        <v>6055</v>
      </c>
      <c r="E2709" s="74" t="s">
        <v>391</v>
      </c>
      <c r="F2709" s="74">
        <v>0.1</v>
      </c>
      <c r="G2709" s="74"/>
      <c r="H2709" s="74"/>
      <c r="I2709" s="74" t="s">
        <v>391</v>
      </c>
      <c r="J2709" s="74"/>
      <c r="K2709" s="74">
        <v>102.4</v>
      </c>
      <c r="L2709" s="74">
        <v>92.16</v>
      </c>
      <c r="M2709" s="74"/>
      <c r="N2709" s="74" t="s">
        <v>392</v>
      </c>
      <c r="O2709" s="74" t="s">
        <v>393</v>
      </c>
      <c r="P2709" s="74"/>
      <c r="Q2709" s="74" t="s">
        <v>6056</v>
      </c>
    </row>
    <row r="2710" spans="3:17" x14ac:dyDescent="0.25">
      <c r="C2710" s="74" t="s">
        <v>6074</v>
      </c>
      <c r="D2710" s="74" t="s">
        <v>6075</v>
      </c>
      <c r="E2710" s="74" t="s">
        <v>391</v>
      </c>
      <c r="F2710" s="74">
        <v>0.1</v>
      </c>
      <c r="G2710" s="74"/>
      <c r="H2710" s="74"/>
      <c r="I2710" s="74" t="s">
        <v>391</v>
      </c>
      <c r="J2710" s="74"/>
      <c r="K2710" s="74">
        <v>102.4</v>
      </c>
      <c r="L2710" s="74">
        <v>92.16</v>
      </c>
      <c r="M2710" s="74"/>
      <c r="N2710" s="74" t="s">
        <v>392</v>
      </c>
      <c r="O2710" s="74" t="s">
        <v>393</v>
      </c>
      <c r="P2710" s="74"/>
      <c r="Q2710" s="74" t="s">
        <v>6076</v>
      </c>
    </row>
    <row r="2711" spans="3:17" x14ac:dyDescent="0.25">
      <c r="C2711" s="74" t="s">
        <v>6100</v>
      </c>
      <c r="D2711" s="74" t="s">
        <v>6101</v>
      </c>
      <c r="E2711" s="74" t="s">
        <v>391</v>
      </c>
      <c r="F2711" s="74">
        <v>0.1</v>
      </c>
      <c r="G2711" s="74"/>
      <c r="H2711" s="74"/>
      <c r="I2711" s="74" t="s">
        <v>391</v>
      </c>
      <c r="J2711" s="74"/>
      <c r="K2711" s="74">
        <v>102.4</v>
      </c>
      <c r="L2711" s="74">
        <v>92.16</v>
      </c>
      <c r="M2711" s="74"/>
      <c r="N2711" s="74" t="s">
        <v>392</v>
      </c>
      <c r="O2711" s="74" t="s">
        <v>393</v>
      </c>
      <c r="P2711" s="74"/>
      <c r="Q2711" s="74" t="s">
        <v>6102</v>
      </c>
    </row>
    <row r="2712" spans="3:17" x14ac:dyDescent="0.25">
      <c r="C2712" s="74" t="s">
        <v>6115</v>
      </c>
      <c r="D2712" s="74" t="s">
        <v>6116</v>
      </c>
      <c r="E2712" s="74" t="s">
        <v>391</v>
      </c>
      <c r="F2712" s="74">
        <v>0.1</v>
      </c>
      <c r="G2712" s="74"/>
      <c r="H2712" s="74"/>
      <c r="I2712" s="74" t="s">
        <v>391</v>
      </c>
      <c r="J2712" s="74"/>
      <c r="K2712" s="74">
        <v>102.4</v>
      </c>
      <c r="L2712" s="74">
        <v>92.16</v>
      </c>
      <c r="M2712" s="74"/>
      <c r="N2712" s="74" t="s">
        <v>392</v>
      </c>
      <c r="O2712" s="74" t="s">
        <v>393</v>
      </c>
      <c r="P2712" s="74"/>
      <c r="Q2712" s="74" t="s">
        <v>6117</v>
      </c>
    </row>
    <row r="2713" spans="3:17" x14ac:dyDescent="0.25">
      <c r="C2713" s="74" t="s">
        <v>6118</v>
      </c>
      <c r="D2713" s="74" t="s">
        <v>6119</v>
      </c>
      <c r="E2713" s="74" t="s">
        <v>391</v>
      </c>
      <c r="F2713" s="74">
        <v>0.1</v>
      </c>
      <c r="G2713" s="74"/>
      <c r="H2713" s="74"/>
      <c r="I2713" s="74" t="s">
        <v>391</v>
      </c>
      <c r="J2713" s="74"/>
      <c r="K2713" s="74">
        <v>102.4</v>
      </c>
      <c r="L2713" s="74">
        <v>92.16</v>
      </c>
      <c r="M2713" s="74"/>
      <c r="N2713" s="74" t="s">
        <v>392</v>
      </c>
      <c r="O2713" s="74" t="s">
        <v>393</v>
      </c>
      <c r="P2713" s="74"/>
      <c r="Q2713" s="74" t="s">
        <v>6120</v>
      </c>
    </row>
    <row r="2714" spans="3:17" x14ac:dyDescent="0.25">
      <c r="C2714" s="74" t="s">
        <v>6125</v>
      </c>
      <c r="D2714" s="74" t="s">
        <v>6126</v>
      </c>
      <c r="E2714" s="74" t="s">
        <v>391</v>
      </c>
      <c r="F2714" s="74">
        <v>0.1</v>
      </c>
      <c r="G2714" s="74"/>
      <c r="H2714" s="74"/>
      <c r="I2714" s="74" t="s">
        <v>391</v>
      </c>
      <c r="J2714" s="74"/>
      <c r="K2714" s="74">
        <v>102.4</v>
      </c>
      <c r="L2714" s="74">
        <v>92.16</v>
      </c>
      <c r="M2714" s="74"/>
      <c r="N2714" s="74" t="s">
        <v>392</v>
      </c>
      <c r="O2714" s="74" t="s">
        <v>393</v>
      </c>
      <c r="P2714" s="74"/>
      <c r="Q2714" s="74" t="s">
        <v>6127</v>
      </c>
    </row>
    <row r="2715" spans="3:17" x14ac:dyDescent="0.25">
      <c r="C2715" s="74" t="s">
        <v>6128</v>
      </c>
      <c r="D2715" s="74" t="s">
        <v>6129</v>
      </c>
      <c r="E2715" s="74" t="s">
        <v>391</v>
      </c>
      <c r="F2715" s="74">
        <v>0.1</v>
      </c>
      <c r="G2715" s="74"/>
      <c r="H2715" s="74"/>
      <c r="I2715" s="74" t="s">
        <v>391</v>
      </c>
      <c r="J2715" s="74"/>
      <c r="K2715" s="74">
        <v>102.4</v>
      </c>
      <c r="L2715" s="74">
        <v>92.16</v>
      </c>
      <c r="M2715" s="74"/>
      <c r="N2715" s="74" t="s">
        <v>392</v>
      </c>
      <c r="O2715" s="74" t="s">
        <v>393</v>
      </c>
      <c r="P2715" s="74"/>
      <c r="Q2715" s="74" t="s">
        <v>6130</v>
      </c>
    </row>
    <row r="2716" spans="3:17" x14ac:dyDescent="0.25">
      <c r="C2716" s="74" t="s">
        <v>6131</v>
      </c>
      <c r="D2716" s="74" t="s">
        <v>6132</v>
      </c>
      <c r="E2716" s="74" t="s">
        <v>391</v>
      </c>
      <c r="F2716" s="74">
        <v>0.1</v>
      </c>
      <c r="G2716" s="74"/>
      <c r="H2716" s="74"/>
      <c r="I2716" s="74" t="s">
        <v>391</v>
      </c>
      <c r="J2716" s="74"/>
      <c r="K2716" s="74">
        <v>102.4</v>
      </c>
      <c r="L2716" s="74">
        <v>92.16</v>
      </c>
      <c r="M2716" s="74"/>
      <c r="N2716" s="74" t="s">
        <v>392</v>
      </c>
      <c r="O2716" s="74" t="s">
        <v>393</v>
      </c>
      <c r="P2716" s="74"/>
      <c r="Q2716" s="74" t="s">
        <v>6133</v>
      </c>
    </row>
    <row r="2717" spans="3:17" x14ac:dyDescent="0.25">
      <c r="C2717" s="74" t="s">
        <v>6134</v>
      </c>
      <c r="D2717" s="74" t="s">
        <v>6135</v>
      </c>
      <c r="E2717" s="74" t="s">
        <v>391</v>
      </c>
      <c r="F2717" s="74">
        <v>0.1</v>
      </c>
      <c r="G2717" s="74"/>
      <c r="H2717" s="74"/>
      <c r="I2717" s="74" t="s">
        <v>391</v>
      </c>
      <c r="J2717" s="74"/>
      <c r="K2717" s="74">
        <v>102.4</v>
      </c>
      <c r="L2717" s="74">
        <v>92.16</v>
      </c>
      <c r="M2717" s="74"/>
      <c r="N2717" s="74" t="s">
        <v>392</v>
      </c>
      <c r="O2717" s="74" t="s">
        <v>393</v>
      </c>
      <c r="P2717" s="74"/>
      <c r="Q2717" s="74" t="s">
        <v>6136</v>
      </c>
    </row>
    <row r="2718" spans="3:17" x14ac:dyDescent="0.25">
      <c r="C2718" s="74" t="s">
        <v>6145</v>
      </c>
      <c r="D2718" s="74" t="s">
        <v>6146</v>
      </c>
      <c r="E2718" s="74" t="s">
        <v>391</v>
      </c>
      <c r="F2718" s="74">
        <v>0.1</v>
      </c>
      <c r="G2718" s="74"/>
      <c r="H2718" s="74"/>
      <c r="I2718" s="74" t="s">
        <v>391</v>
      </c>
      <c r="J2718" s="74"/>
      <c r="K2718" s="74">
        <v>102.4</v>
      </c>
      <c r="L2718" s="74">
        <v>92.16</v>
      </c>
      <c r="M2718" s="74"/>
      <c r="N2718" s="74" t="s">
        <v>392</v>
      </c>
      <c r="O2718" s="74" t="s">
        <v>393</v>
      </c>
      <c r="P2718" s="74"/>
      <c r="Q2718" s="74" t="s">
        <v>6147</v>
      </c>
    </row>
    <row r="2719" spans="3:17" x14ac:dyDescent="0.25">
      <c r="C2719" s="74" t="s">
        <v>6156</v>
      </c>
      <c r="D2719" s="74" t="s">
        <v>6157</v>
      </c>
      <c r="E2719" s="74" t="s">
        <v>391</v>
      </c>
      <c r="F2719" s="74">
        <v>0.1</v>
      </c>
      <c r="G2719" s="74"/>
      <c r="H2719" s="74"/>
      <c r="I2719" s="74" t="s">
        <v>391</v>
      </c>
      <c r="J2719" s="74"/>
      <c r="K2719" s="74">
        <v>102.4</v>
      </c>
      <c r="L2719" s="74">
        <v>92.16</v>
      </c>
      <c r="M2719" s="74"/>
      <c r="N2719" s="74" t="s">
        <v>392</v>
      </c>
      <c r="O2719" s="74" t="s">
        <v>393</v>
      </c>
      <c r="P2719" s="74"/>
      <c r="Q2719" s="74" t="s">
        <v>6158</v>
      </c>
    </row>
    <row r="2720" spans="3:17" x14ac:dyDescent="0.25">
      <c r="C2720" s="74" t="s">
        <v>6159</v>
      </c>
      <c r="D2720" s="74" t="s">
        <v>6160</v>
      </c>
      <c r="E2720" s="74" t="s">
        <v>391</v>
      </c>
      <c r="F2720" s="74">
        <v>0.1</v>
      </c>
      <c r="G2720" s="74"/>
      <c r="H2720" s="74"/>
      <c r="I2720" s="74" t="s">
        <v>391</v>
      </c>
      <c r="J2720" s="74"/>
      <c r="K2720" s="74">
        <v>102.4</v>
      </c>
      <c r="L2720" s="74">
        <v>92.16</v>
      </c>
      <c r="M2720" s="74"/>
      <c r="N2720" s="74" t="s">
        <v>392</v>
      </c>
      <c r="O2720" s="74" t="s">
        <v>393</v>
      </c>
      <c r="P2720" s="74"/>
      <c r="Q2720" s="74" t="s">
        <v>6161</v>
      </c>
    </row>
    <row r="2721" spans="3:17" x14ac:dyDescent="0.25">
      <c r="C2721" s="74" t="s">
        <v>6169</v>
      </c>
      <c r="D2721" s="74" t="s">
        <v>6170</v>
      </c>
      <c r="E2721" s="74" t="s">
        <v>391</v>
      </c>
      <c r="F2721" s="74">
        <v>0.1</v>
      </c>
      <c r="G2721" s="74"/>
      <c r="H2721" s="74"/>
      <c r="I2721" s="74" t="s">
        <v>391</v>
      </c>
      <c r="J2721" s="74"/>
      <c r="K2721" s="74">
        <v>102.4</v>
      </c>
      <c r="L2721" s="74">
        <v>92.16</v>
      </c>
      <c r="M2721" s="74"/>
      <c r="N2721" s="74" t="s">
        <v>392</v>
      </c>
      <c r="O2721" s="74" t="s">
        <v>393</v>
      </c>
      <c r="P2721" s="74"/>
      <c r="Q2721" s="74" t="s">
        <v>6171</v>
      </c>
    </row>
    <row r="2722" spans="3:17" x14ac:dyDescent="0.25">
      <c r="C2722" s="74" t="s">
        <v>6187</v>
      </c>
      <c r="D2722" s="74" t="s">
        <v>6188</v>
      </c>
      <c r="E2722" s="74" t="s">
        <v>391</v>
      </c>
      <c r="F2722" s="74">
        <v>0.1</v>
      </c>
      <c r="G2722" s="74"/>
      <c r="H2722" s="74"/>
      <c r="I2722" s="74" t="s">
        <v>391</v>
      </c>
      <c r="J2722" s="74"/>
      <c r="K2722" s="74">
        <v>102.4</v>
      </c>
      <c r="L2722" s="74">
        <v>92.16</v>
      </c>
      <c r="M2722" s="74"/>
      <c r="N2722" s="74" t="s">
        <v>392</v>
      </c>
      <c r="O2722" s="74" t="s">
        <v>393</v>
      </c>
      <c r="P2722" s="74"/>
      <c r="Q2722" s="74" t="s">
        <v>6189</v>
      </c>
    </row>
    <row r="2723" spans="3:17" x14ac:dyDescent="0.25">
      <c r="C2723" s="74" t="s">
        <v>6190</v>
      </c>
      <c r="D2723" s="74" t="s">
        <v>6191</v>
      </c>
      <c r="E2723" s="74" t="s">
        <v>391</v>
      </c>
      <c r="F2723" s="74">
        <v>0.1</v>
      </c>
      <c r="G2723" s="74"/>
      <c r="H2723" s="74"/>
      <c r="I2723" s="74" t="s">
        <v>391</v>
      </c>
      <c r="J2723" s="74"/>
      <c r="K2723" s="74">
        <v>102.4</v>
      </c>
      <c r="L2723" s="74">
        <v>92.16</v>
      </c>
      <c r="M2723" s="74"/>
      <c r="N2723" s="74" t="s">
        <v>392</v>
      </c>
      <c r="O2723" s="74" t="s">
        <v>393</v>
      </c>
      <c r="P2723" s="74"/>
      <c r="Q2723" s="74" t="s">
        <v>6191</v>
      </c>
    </row>
    <row r="2724" spans="3:17" x14ac:dyDescent="0.25">
      <c r="C2724" s="74" t="s">
        <v>6196</v>
      </c>
      <c r="D2724" s="74" t="s">
        <v>6197</v>
      </c>
      <c r="E2724" s="74" t="s">
        <v>391</v>
      </c>
      <c r="F2724" s="74">
        <v>0.1</v>
      </c>
      <c r="G2724" s="74"/>
      <c r="H2724" s="74"/>
      <c r="I2724" s="74" t="s">
        <v>391</v>
      </c>
      <c r="J2724" s="74"/>
      <c r="K2724" s="74">
        <v>102.4</v>
      </c>
      <c r="L2724" s="74">
        <v>92.16</v>
      </c>
      <c r="M2724" s="74"/>
      <c r="N2724" s="74" t="s">
        <v>392</v>
      </c>
      <c r="O2724" s="74" t="s">
        <v>393</v>
      </c>
      <c r="P2724" s="74"/>
      <c r="Q2724" s="74" t="s">
        <v>6198</v>
      </c>
    </row>
    <row r="2725" spans="3:17" x14ac:dyDescent="0.25">
      <c r="C2725" s="74" t="s">
        <v>6226</v>
      </c>
      <c r="D2725" s="74" t="s">
        <v>6227</v>
      </c>
      <c r="E2725" s="74" t="s">
        <v>391</v>
      </c>
      <c r="F2725" s="74">
        <v>0.1</v>
      </c>
      <c r="G2725" s="74"/>
      <c r="H2725" s="74"/>
      <c r="I2725" s="74" t="s">
        <v>391</v>
      </c>
      <c r="J2725" s="74"/>
      <c r="K2725" s="74">
        <v>102.4</v>
      </c>
      <c r="L2725" s="74">
        <v>92.16</v>
      </c>
      <c r="M2725" s="74"/>
      <c r="N2725" s="74" t="s">
        <v>392</v>
      </c>
      <c r="O2725" s="74" t="s">
        <v>393</v>
      </c>
      <c r="P2725" s="74"/>
      <c r="Q2725" s="74" t="s">
        <v>6228</v>
      </c>
    </row>
    <row r="2726" spans="3:17" x14ac:dyDescent="0.25">
      <c r="C2726" s="74" t="s">
        <v>6229</v>
      </c>
      <c r="D2726" s="74" t="s">
        <v>6230</v>
      </c>
      <c r="E2726" s="74" t="s">
        <v>391</v>
      </c>
      <c r="F2726" s="74">
        <v>0.1</v>
      </c>
      <c r="G2726" s="74"/>
      <c r="H2726" s="74"/>
      <c r="I2726" s="74" t="s">
        <v>391</v>
      </c>
      <c r="J2726" s="74"/>
      <c r="K2726" s="74">
        <v>102.4</v>
      </c>
      <c r="L2726" s="74">
        <v>92.16</v>
      </c>
      <c r="M2726" s="74"/>
      <c r="N2726" s="74" t="s">
        <v>392</v>
      </c>
      <c r="O2726" s="74" t="s">
        <v>393</v>
      </c>
      <c r="P2726" s="74"/>
      <c r="Q2726" s="74" t="s">
        <v>6231</v>
      </c>
    </row>
    <row r="2727" spans="3:17" x14ac:dyDescent="0.25">
      <c r="C2727" s="74" t="s">
        <v>6232</v>
      </c>
      <c r="D2727" s="74" t="s">
        <v>6233</v>
      </c>
      <c r="E2727" s="74" t="s">
        <v>391</v>
      </c>
      <c r="F2727" s="74">
        <v>0.1</v>
      </c>
      <c r="G2727" s="74"/>
      <c r="H2727" s="74"/>
      <c r="I2727" s="74" t="s">
        <v>391</v>
      </c>
      <c r="J2727" s="74"/>
      <c r="K2727" s="74">
        <v>102.4</v>
      </c>
      <c r="L2727" s="74">
        <v>92.16</v>
      </c>
      <c r="M2727" s="74"/>
      <c r="N2727" s="74" t="s">
        <v>392</v>
      </c>
      <c r="O2727" s="74" t="s">
        <v>393</v>
      </c>
      <c r="P2727" s="74"/>
      <c r="Q2727" s="74" t="s">
        <v>6234</v>
      </c>
    </row>
    <row r="2728" spans="3:17" x14ac:dyDescent="0.25">
      <c r="C2728" s="74" t="s">
        <v>6256</v>
      </c>
      <c r="D2728" s="74" t="s">
        <v>6257</v>
      </c>
      <c r="E2728" s="74" t="s">
        <v>391</v>
      </c>
      <c r="F2728" s="74">
        <v>0.1</v>
      </c>
      <c r="G2728" s="74"/>
      <c r="H2728" s="74"/>
      <c r="I2728" s="74" t="s">
        <v>391</v>
      </c>
      <c r="J2728" s="74"/>
      <c r="K2728" s="74">
        <v>102.4</v>
      </c>
      <c r="L2728" s="74">
        <v>92.16</v>
      </c>
      <c r="M2728" s="74"/>
      <c r="N2728" s="74" t="s">
        <v>392</v>
      </c>
      <c r="O2728" s="74" t="s">
        <v>393</v>
      </c>
      <c r="P2728" s="74"/>
      <c r="Q2728" s="74" t="s">
        <v>6258</v>
      </c>
    </row>
    <row r="2729" spans="3:17" x14ac:dyDescent="0.25">
      <c r="C2729" s="74" t="s">
        <v>6271</v>
      </c>
      <c r="D2729" s="74" t="s">
        <v>6272</v>
      </c>
      <c r="E2729" s="74" t="s">
        <v>391</v>
      </c>
      <c r="F2729" s="74">
        <v>0.1</v>
      </c>
      <c r="G2729" s="74"/>
      <c r="H2729" s="74"/>
      <c r="I2729" s="74" t="s">
        <v>391</v>
      </c>
      <c r="J2729" s="74"/>
      <c r="K2729" s="74">
        <v>102.4</v>
      </c>
      <c r="L2729" s="74">
        <v>92.16</v>
      </c>
      <c r="M2729" s="74"/>
      <c r="N2729" s="74" t="s">
        <v>392</v>
      </c>
      <c r="O2729" s="74" t="s">
        <v>393</v>
      </c>
      <c r="P2729" s="74"/>
      <c r="Q2729" s="74" t="s">
        <v>6273</v>
      </c>
    </row>
    <row r="2730" spans="3:17" x14ac:dyDescent="0.25">
      <c r="C2730" s="74" t="s">
        <v>6301</v>
      </c>
      <c r="D2730" s="74" t="s">
        <v>6302</v>
      </c>
      <c r="E2730" s="74"/>
      <c r="F2730" s="74">
        <v>0.1</v>
      </c>
      <c r="G2730" s="74"/>
      <c r="H2730" s="74"/>
      <c r="I2730" s="74" t="s">
        <v>391</v>
      </c>
      <c r="J2730" s="74"/>
      <c r="K2730" s="74">
        <v>102.4</v>
      </c>
      <c r="L2730" s="74">
        <v>92.16</v>
      </c>
      <c r="M2730" s="74"/>
      <c r="N2730" s="74" t="s">
        <v>392</v>
      </c>
      <c r="O2730" s="74" t="s">
        <v>402</v>
      </c>
      <c r="P2730" s="74" t="s">
        <v>6303</v>
      </c>
      <c r="Q2730" s="74" t="s">
        <v>6304</v>
      </c>
    </row>
    <row r="2731" spans="3:17" x14ac:dyDescent="0.25">
      <c r="C2731" s="74" t="s">
        <v>6309</v>
      </c>
      <c r="D2731" s="74" t="s">
        <v>6310</v>
      </c>
      <c r="E2731" s="74" t="s">
        <v>391</v>
      </c>
      <c r="F2731" s="74">
        <v>0.1</v>
      </c>
      <c r="G2731" s="74"/>
      <c r="H2731" s="74"/>
      <c r="I2731" s="74" t="s">
        <v>391</v>
      </c>
      <c r="J2731" s="74"/>
      <c r="K2731" s="74">
        <v>102.4</v>
      </c>
      <c r="L2731" s="74">
        <v>92.16</v>
      </c>
      <c r="M2731" s="74"/>
      <c r="N2731" s="74" t="s">
        <v>392</v>
      </c>
      <c r="O2731" s="74" t="s">
        <v>393</v>
      </c>
      <c r="P2731" s="74"/>
      <c r="Q2731" s="74" t="s">
        <v>6311</v>
      </c>
    </row>
    <row r="2732" spans="3:17" x14ac:dyDescent="0.25">
      <c r="C2732" s="74" t="s">
        <v>6312</v>
      </c>
      <c r="D2732" s="74" t="s">
        <v>6313</v>
      </c>
      <c r="E2732" s="74" t="s">
        <v>391</v>
      </c>
      <c r="F2732" s="74">
        <v>0.1</v>
      </c>
      <c r="G2732" s="74"/>
      <c r="H2732" s="74"/>
      <c r="I2732" s="74" t="s">
        <v>391</v>
      </c>
      <c r="J2732" s="74"/>
      <c r="K2732" s="74">
        <v>102.4</v>
      </c>
      <c r="L2732" s="74">
        <v>92.16</v>
      </c>
      <c r="M2732" s="74"/>
      <c r="N2732" s="74" t="s">
        <v>392</v>
      </c>
      <c r="O2732" s="74" t="s">
        <v>393</v>
      </c>
      <c r="P2732" s="74"/>
      <c r="Q2732" s="74" t="s">
        <v>6313</v>
      </c>
    </row>
    <row r="2733" spans="3:17" x14ac:dyDescent="0.25">
      <c r="C2733" s="74" t="s">
        <v>6318</v>
      </c>
      <c r="D2733" s="74" t="s">
        <v>6319</v>
      </c>
      <c r="E2733" s="74"/>
      <c r="F2733" s="74">
        <v>0.1</v>
      </c>
      <c r="G2733" s="74"/>
      <c r="H2733" s="74"/>
      <c r="I2733" s="74" t="s">
        <v>391</v>
      </c>
      <c r="J2733" s="74"/>
      <c r="K2733" s="74">
        <v>102.4</v>
      </c>
      <c r="L2733" s="74">
        <v>92.16</v>
      </c>
      <c r="M2733" s="74"/>
      <c r="N2733" s="74" t="s">
        <v>392</v>
      </c>
      <c r="O2733" s="74" t="s">
        <v>402</v>
      </c>
      <c r="P2733" s="74"/>
      <c r="Q2733" s="74" t="s">
        <v>6320</v>
      </c>
    </row>
    <row r="2734" spans="3:17" x14ac:dyDescent="0.25">
      <c r="C2734" s="74" t="s">
        <v>6340</v>
      </c>
      <c r="D2734" s="74" t="s">
        <v>6341</v>
      </c>
      <c r="E2734" s="74" t="s">
        <v>391</v>
      </c>
      <c r="F2734" s="74">
        <v>0.1</v>
      </c>
      <c r="G2734" s="74"/>
      <c r="H2734" s="74"/>
      <c r="I2734" s="74" t="s">
        <v>391</v>
      </c>
      <c r="J2734" s="74"/>
      <c r="K2734" s="74">
        <v>102.4</v>
      </c>
      <c r="L2734" s="74">
        <v>92.16</v>
      </c>
      <c r="M2734" s="74"/>
      <c r="N2734" s="74" t="s">
        <v>392</v>
      </c>
      <c r="O2734" s="74" t="s">
        <v>393</v>
      </c>
      <c r="P2734" s="74"/>
      <c r="Q2734" s="74" t="s">
        <v>6342</v>
      </c>
    </row>
    <row r="2735" spans="3:17" x14ac:dyDescent="0.25">
      <c r="C2735" s="74" t="s">
        <v>6343</v>
      </c>
      <c r="D2735" s="74" t="s">
        <v>6344</v>
      </c>
      <c r="E2735" s="74" t="s">
        <v>391</v>
      </c>
      <c r="F2735" s="74">
        <v>0.1</v>
      </c>
      <c r="G2735" s="74"/>
      <c r="H2735" s="74"/>
      <c r="I2735" s="74" t="s">
        <v>391</v>
      </c>
      <c r="J2735" s="74"/>
      <c r="K2735" s="74">
        <v>102.4</v>
      </c>
      <c r="L2735" s="74">
        <v>92.16</v>
      </c>
      <c r="M2735" s="74"/>
      <c r="N2735" s="74" t="s">
        <v>392</v>
      </c>
      <c r="O2735" s="74" t="s">
        <v>393</v>
      </c>
      <c r="P2735" s="74"/>
      <c r="Q2735" s="74" t="s">
        <v>6345</v>
      </c>
    </row>
    <row r="2736" spans="3:17" x14ac:dyDescent="0.25">
      <c r="C2736" s="74" t="s">
        <v>6354</v>
      </c>
      <c r="D2736" s="74" t="s">
        <v>6355</v>
      </c>
      <c r="E2736" s="74" t="s">
        <v>391</v>
      </c>
      <c r="F2736" s="74">
        <v>0.1</v>
      </c>
      <c r="G2736" s="74"/>
      <c r="H2736" s="74"/>
      <c r="I2736" s="74" t="s">
        <v>391</v>
      </c>
      <c r="J2736" s="74"/>
      <c r="K2736" s="74">
        <v>102.4</v>
      </c>
      <c r="L2736" s="74">
        <v>92.16</v>
      </c>
      <c r="M2736" s="74"/>
      <c r="N2736" s="74" t="s">
        <v>392</v>
      </c>
      <c r="O2736" s="74" t="s">
        <v>393</v>
      </c>
      <c r="P2736" s="74"/>
      <c r="Q2736" s="74" t="s">
        <v>6356</v>
      </c>
    </row>
    <row r="2737" spans="3:17" x14ac:dyDescent="0.25">
      <c r="C2737" s="74" t="s">
        <v>6361</v>
      </c>
      <c r="D2737" s="74" t="s">
        <v>6362</v>
      </c>
      <c r="E2737" s="74" t="s">
        <v>391</v>
      </c>
      <c r="F2737" s="74">
        <v>0.1</v>
      </c>
      <c r="G2737" s="74"/>
      <c r="H2737" s="74"/>
      <c r="I2737" s="74" t="s">
        <v>391</v>
      </c>
      <c r="J2737" s="74"/>
      <c r="K2737" s="74">
        <v>102.4</v>
      </c>
      <c r="L2737" s="74">
        <v>92.16</v>
      </c>
      <c r="M2737" s="74"/>
      <c r="N2737" s="74" t="s">
        <v>392</v>
      </c>
      <c r="O2737" s="74" t="s">
        <v>393</v>
      </c>
      <c r="P2737" s="74"/>
      <c r="Q2737" s="74" t="s">
        <v>6363</v>
      </c>
    </row>
    <row r="2738" spans="3:17" x14ac:dyDescent="0.25">
      <c r="C2738" s="74" t="s">
        <v>6364</v>
      </c>
      <c r="D2738" s="74" t="s">
        <v>6365</v>
      </c>
      <c r="E2738" s="74" t="s">
        <v>391</v>
      </c>
      <c r="F2738" s="74">
        <v>0.1</v>
      </c>
      <c r="G2738" s="74"/>
      <c r="H2738" s="74"/>
      <c r="I2738" s="74" t="s">
        <v>391</v>
      </c>
      <c r="J2738" s="74"/>
      <c r="K2738" s="74">
        <v>102.4</v>
      </c>
      <c r="L2738" s="74">
        <v>92.16</v>
      </c>
      <c r="M2738" s="74"/>
      <c r="N2738" s="74" t="s">
        <v>392</v>
      </c>
      <c r="O2738" s="74" t="s">
        <v>393</v>
      </c>
      <c r="P2738" s="74"/>
      <c r="Q2738" s="74" t="s">
        <v>6366</v>
      </c>
    </row>
    <row r="2739" spans="3:17" x14ac:dyDescent="0.25">
      <c r="C2739" s="74" t="s">
        <v>6367</v>
      </c>
      <c r="D2739" s="74" t="s">
        <v>6368</v>
      </c>
      <c r="E2739" s="74" t="s">
        <v>391</v>
      </c>
      <c r="F2739" s="74">
        <v>0.1</v>
      </c>
      <c r="G2739" s="74"/>
      <c r="H2739" s="74"/>
      <c r="I2739" s="74" t="s">
        <v>391</v>
      </c>
      <c r="J2739" s="74"/>
      <c r="K2739" s="74">
        <v>102.4</v>
      </c>
      <c r="L2739" s="74">
        <v>92.16</v>
      </c>
      <c r="M2739" s="74"/>
      <c r="N2739" s="74" t="s">
        <v>392</v>
      </c>
      <c r="O2739" s="74" t="s">
        <v>393</v>
      </c>
      <c r="P2739" s="74"/>
      <c r="Q2739" s="74" t="s">
        <v>6369</v>
      </c>
    </row>
    <row r="2740" spans="3:17" x14ac:dyDescent="0.25">
      <c r="C2740" s="74" t="s">
        <v>6378</v>
      </c>
      <c r="D2740" s="74" t="s">
        <v>6379</v>
      </c>
      <c r="E2740" s="74" t="s">
        <v>391</v>
      </c>
      <c r="F2740" s="74">
        <v>0.1</v>
      </c>
      <c r="G2740" s="74"/>
      <c r="H2740" s="74"/>
      <c r="I2740" s="74" t="s">
        <v>391</v>
      </c>
      <c r="J2740" s="74"/>
      <c r="K2740" s="74">
        <v>102.4</v>
      </c>
      <c r="L2740" s="74">
        <v>92.16</v>
      </c>
      <c r="M2740" s="74"/>
      <c r="N2740" s="74" t="s">
        <v>392</v>
      </c>
      <c r="O2740" s="74" t="s">
        <v>393</v>
      </c>
      <c r="P2740" s="74"/>
      <c r="Q2740" s="74" t="s">
        <v>6380</v>
      </c>
    </row>
    <row r="2741" spans="3:17" x14ac:dyDescent="0.25">
      <c r="C2741" s="74" t="s">
        <v>6381</v>
      </c>
      <c r="D2741" s="74" t="s">
        <v>6382</v>
      </c>
      <c r="E2741" s="74" t="s">
        <v>391</v>
      </c>
      <c r="F2741" s="74">
        <v>0.1</v>
      </c>
      <c r="G2741" s="74"/>
      <c r="H2741" s="74"/>
      <c r="I2741" s="74" t="s">
        <v>391</v>
      </c>
      <c r="J2741" s="74"/>
      <c r="K2741" s="74">
        <v>102.4</v>
      </c>
      <c r="L2741" s="74">
        <v>92.16</v>
      </c>
      <c r="M2741" s="74"/>
      <c r="N2741" s="74" t="s">
        <v>392</v>
      </c>
      <c r="O2741" s="74" t="s">
        <v>393</v>
      </c>
      <c r="P2741" s="74"/>
      <c r="Q2741" s="74" t="s">
        <v>6383</v>
      </c>
    </row>
    <row r="2742" spans="3:17" x14ac:dyDescent="0.25">
      <c r="C2742" s="74" t="s">
        <v>6394</v>
      </c>
      <c r="D2742" s="74" t="s">
        <v>6395</v>
      </c>
      <c r="E2742" s="74" t="s">
        <v>391</v>
      </c>
      <c r="F2742" s="74">
        <v>0.1</v>
      </c>
      <c r="G2742" s="74"/>
      <c r="H2742" s="74"/>
      <c r="I2742" s="74" t="s">
        <v>391</v>
      </c>
      <c r="J2742" s="74"/>
      <c r="K2742" s="74">
        <v>102.4</v>
      </c>
      <c r="L2742" s="74">
        <v>92.16</v>
      </c>
      <c r="M2742" s="74"/>
      <c r="N2742" s="74" t="s">
        <v>392</v>
      </c>
      <c r="O2742" s="74" t="s">
        <v>393</v>
      </c>
      <c r="P2742" s="74"/>
      <c r="Q2742" s="74" t="s">
        <v>6396</v>
      </c>
    </row>
    <row r="2743" spans="3:17" x14ac:dyDescent="0.25">
      <c r="C2743" s="74" t="s">
        <v>6397</v>
      </c>
      <c r="D2743" s="74" t="s">
        <v>6398</v>
      </c>
      <c r="E2743" s="74" t="s">
        <v>391</v>
      </c>
      <c r="F2743" s="74">
        <v>0.1</v>
      </c>
      <c r="G2743" s="74"/>
      <c r="H2743" s="74"/>
      <c r="I2743" s="74" t="s">
        <v>391</v>
      </c>
      <c r="J2743" s="74"/>
      <c r="K2743" s="74">
        <v>102.4</v>
      </c>
      <c r="L2743" s="74">
        <v>92.16</v>
      </c>
      <c r="M2743" s="74"/>
      <c r="N2743" s="74" t="s">
        <v>392</v>
      </c>
      <c r="O2743" s="74" t="s">
        <v>393</v>
      </c>
      <c r="P2743" s="74"/>
      <c r="Q2743" s="74" t="s">
        <v>6399</v>
      </c>
    </row>
    <row r="2744" spans="3:17" x14ac:dyDescent="0.25">
      <c r="C2744" s="74" t="s">
        <v>6408</v>
      </c>
      <c r="D2744" s="74" t="s">
        <v>6409</v>
      </c>
      <c r="E2744" s="74" t="s">
        <v>391</v>
      </c>
      <c r="F2744" s="74">
        <v>0.1</v>
      </c>
      <c r="G2744" s="74"/>
      <c r="H2744" s="74"/>
      <c r="I2744" s="74" t="s">
        <v>391</v>
      </c>
      <c r="J2744" s="74"/>
      <c r="K2744" s="74">
        <v>102.4</v>
      </c>
      <c r="L2744" s="74">
        <v>92.16</v>
      </c>
      <c r="M2744" s="74"/>
      <c r="N2744" s="74" t="s">
        <v>392</v>
      </c>
      <c r="O2744" s="74" t="s">
        <v>393</v>
      </c>
      <c r="P2744" s="74"/>
      <c r="Q2744" s="74" t="s">
        <v>6410</v>
      </c>
    </row>
    <row r="2745" spans="3:17" x14ac:dyDescent="0.25">
      <c r="C2745" s="74" t="s">
        <v>6415</v>
      </c>
      <c r="D2745" s="74" t="s">
        <v>6416</v>
      </c>
      <c r="E2745" s="74" t="s">
        <v>391</v>
      </c>
      <c r="F2745" s="74">
        <v>0.1</v>
      </c>
      <c r="G2745" s="74"/>
      <c r="H2745" s="74"/>
      <c r="I2745" s="74" t="s">
        <v>391</v>
      </c>
      <c r="J2745" s="74"/>
      <c r="K2745" s="74">
        <v>102.4</v>
      </c>
      <c r="L2745" s="74">
        <v>92.16</v>
      </c>
      <c r="M2745" s="74"/>
      <c r="N2745" s="74" t="s">
        <v>392</v>
      </c>
      <c r="O2745" s="74" t="s">
        <v>393</v>
      </c>
      <c r="P2745" s="74"/>
      <c r="Q2745" s="74" t="s">
        <v>6417</v>
      </c>
    </row>
    <row r="2746" spans="3:17" x14ac:dyDescent="0.25">
      <c r="C2746" s="74" t="s">
        <v>6456</v>
      </c>
      <c r="D2746" s="74" t="s">
        <v>6457</v>
      </c>
      <c r="E2746" s="74" t="s">
        <v>391</v>
      </c>
      <c r="F2746" s="74">
        <v>0.1</v>
      </c>
      <c r="G2746" s="74"/>
      <c r="H2746" s="74"/>
      <c r="I2746" s="74" t="s">
        <v>391</v>
      </c>
      <c r="J2746" s="74"/>
      <c r="K2746" s="74">
        <v>102.4</v>
      </c>
      <c r="L2746" s="74">
        <v>92.16</v>
      </c>
      <c r="M2746" s="74"/>
      <c r="N2746" s="74" t="s">
        <v>392</v>
      </c>
      <c r="O2746" s="74" t="s">
        <v>393</v>
      </c>
      <c r="P2746" s="74"/>
      <c r="Q2746" s="74" t="s">
        <v>6457</v>
      </c>
    </row>
    <row r="2747" spans="3:17" x14ac:dyDescent="0.25">
      <c r="C2747" s="74" t="s">
        <v>6462</v>
      </c>
      <c r="D2747" s="74" t="s">
        <v>6463</v>
      </c>
      <c r="E2747" s="74" t="s">
        <v>391</v>
      </c>
      <c r="F2747" s="74">
        <v>0.1</v>
      </c>
      <c r="G2747" s="74"/>
      <c r="H2747" s="74"/>
      <c r="I2747" s="74" t="s">
        <v>391</v>
      </c>
      <c r="J2747" s="74"/>
      <c r="K2747" s="74">
        <v>102.4</v>
      </c>
      <c r="L2747" s="74">
        <v>92.16</v>
      </c>
      <c r="M2747" s="74"/>
      <c r="N2747" s="74" t="s">
        <v>392</v>
      </c>
      <c r="O2747" s="74" t="s">
        <v>393</v>
      </c>
      <c r="P2747" s="74"/>
      <c r="Q2747" s="74" t="s">
        <v>6464</v>
      </c>
    </row>
    <row r="2748" spans="3:17" x14ac:dyDescent="0.25">
      <c r="C2748" s="74" t="s">
        <v>6469</v>
      </c>
      <c r="D2748" s="74" t="s">
        <v>6470</v>
      </c>
      <c r="E2748" s="74" t="s">
        <v>391</v>
      </c>
      <c r="F2748" s="74">
        <v>0.1</v>
      </c>
      <c r="G2748" s="74"/>
      <c r="H2748" s="74"/>
      <c r="I2748" s="74" t="s">
        <v>391</v>
      </c>
      <c r="J2748" s="74"/>
      <c r="K2748" s="74">
        <v>102.4</v>
      </c>
      <c r="L2748" s="74">
        <v>92.16</v>
      </c>
      <c r="M2748" s="74"/>
      <c r="N2748" s="74" t="s">
        <v>392</v>
      </c>
      <c r="O2748" s="74" t="s">
        <v>393</v>
      </c>
      <c r="P2748" s="74"/>
      <c r="Q2748" s="74" t="s">
        <v>6471</v>
      </c>
    </row>
    <row r="2749" spans="3:17" x14ac:dyDescent="0.25">
      <c r="C2749" s="74" t="s">
        <v>6472</v>
      </c>
      <c r="D2749" s="74" t="s">
        <v>6473</v>
      </c>
      <c r="E2749" s="74" t="s">
        <v>391</v>
      </c>
      <c r="F2749" s="74">
        <v>0.1</v>
      </c>
      <c r="G2749" s="74"/>
      <c r="H2749" s="74"/>
      <c r="I2749" s="74" t="s">
        <v>391</v>
      </c>
      <c r="J2749" s="74"/>
      <c r="K2749" s="74">
        <v>102.4</v>
      </c>
      <c r="L2749" s="74">
        <v>92.16</v>
      </c>
      <c r="M2749" s="74"/>
      <c r="N2749" s="74" t="s">
        <v>392</v>
      </c>
      <c r="O2749" s="74" t="s">
        <v>393</v>
      </c>
      <c r="P2749" s="74"/>
      <c r="Q2749" s="74" t="s">
        <v>6474</v>
      </c>
    </row>
    <row r="2750" spans="3:17" x14ac:dyDescent="0.25">
      <c r="C2750" s="74" t="s">
        <v>6503</v>
      </c>
      <c r="D2750" s="74" t="s">
        <v>6504</v>
      </c>
      <c r="E2750" s="74" t="s">
        <v>391</v>
      </c>
      <c r="F2750" s="74">
        <v>0.1</v>
      </c>
      <c r="G2750" s="74"/>
      <c r="H2750" s="74"/>
      <c r="I2750" s="74" t="s">
        <v>391</v>
      </c>
      <c r="J2750" s="74"/>
      <c r="K2750" s="74">
        <v>102.4</v>
      </c>
      <c r="L2750" s="74">
        <v>92.16</v>
      </c>
      <c r="M2750" s="74"/>
      <c r="N2750" s="74" t="s">
        <v>392</v>
      </c>
      <c r="O2750" s="74" t="s">
        <v>393</v>
      </c>
      <c r="P2750" s="74"/>
      <c r="Q2750" s="74" t="s">
        <v>6505</v>
      </c>
    </row>
    <row r="2751" spans="3:17" x14ac:dyDescent="0.25">
      <c r="C2751" s="74" t="s">
        <v>6506</v>
      </c>
      <c r="D2751" s="74" t="s">
        <v>6507</v>
      </c>
      <c r="E2751" s="74" t="s">
        <v>391</v>
      </c>
      <c r="F2751" s="74">
        <v>0.1</v>
      </c>
      <c r="G2751" s="74"/>
      <c r="H2751" s="74"/>
      <c r="I2751" s="74" t="s">
        <v>391</v>
      </c>
      <c r="J2751" s="74"/>
      <c r="K2751" s="74">
        <v>102.4</v>
      </c>
      <c r="L2751" s="74">
        <v>92.16</v>
      </c>
      <c r="M2751" s="74"/>
      <c r="N2751" s="74" t="s">
        <v>392</v>
      </c>
      <c r="O2751" s="74" t="s">
        <v>393</v>
      </c>
      <c r="P2751" s="74"/>
      <c r="Q2751" s="74" t="s">
        <v>6508</v>
      </c>
    </row>
    <row r="2752" spans="3:17" x14ac:dyDescent="0.25">
      <c r="C2752" s="74" t="s">
        <v>6509</v>
      </c>
      <c r="D2752" s="74" t="s">
        <v>6510</v>
      </c>
      <c r="E2752" s="74" t="s">
        <v>391</v>
      </c>
      <c r="F2752" s="74">
        <v>0.1</v>
      </c>
      <c r="G2752" s="74"/>
      <c r="H2752" s="74"/>
      <c r="I2752" s="74" t="s">
        <v>391</v>
      </c>
      <c r="J2752" s="74"/>
      <c r="K2752" s="74">
        <v>102.4</v>
      </c>
      <c r="L2752" s="74">
        <v>92.16</v>
      </c>
      <c r="M2752" s="74"/>
      <c r="N2752" s="74" t="s">
        <v>392</v>
      </c>
      <c r="O2752" s="74" t="s">
        <v>393</v>
      </c>
      <c r="P2752" s="74"/>
      <c r="Q2752" s="74" t="s">
        <v>6511</v>
      </c>
    </row>
    <row r="2753" spans="3:17" x14ac:dyDescent="0.25">
      <c r="C2753" s="74" t="s">
        <v>6512</v>
      </c>
      <c r="D2753" s="74" t="s">
        <v>6513</v>
      </c>
      <c r="E2753" s="74" t="s">
        <v>391</v>
      </c>
      <c r="F2753" s="74">
        <v>0.1</v>
      </c>
      <c r="G2753" s="74"/>
      <c r="H2753" s="74"/>
      <c r="I2753" s="74" t="s">
        <v>391</v>
      </c>
      <c r="J2753" s="74"/>
      <c r="K2753" s="74">
        <v>102.4</v>
      </c>
      <c r="L2753" s="74">
        <v>92.16</v>
      </c>
      <c r="M2753" s="74"/>
      <c r="N2753" s="74" t="s">
        <v>392</v>
      </c>
      <c r="O2753" s="74" t="s">
        <v>393</v>
      </c>
      <c r="P2753" s="74"/>
      <c r="Q2753" s="74" t="s">
        <v>6514</v>
      </c>
    </row>
    <row r="2754" spans="3:17" x14ac:dyDescent="0.25">
      <c r="C2754" s="74" t="s">
        <v>6522</v>
      </c>
      <c r="D2754" s="74" t="s">
        <v>6523</v>
      </c>
      <c r="E2754" s="74" t="s">
        <v>391</v>
      </c>
      <c r="F2754" s="74">
        <v>0.1</v>
      </c>
      <c r="G2754" s="74"/>
      <c r="H2754" s="74"/>
      <c r="I2754" s="74" t="s">
        <v>391</v>
      </c>
      <c r="J2754" s="74"/>
      <c r="K2754" s="74">
        <v>102.4</v>
      </c>
      <c r="L2754" s="74">
        <v>92.16</v>
      </c>
      <c r="M2754" s="74"/>
      <c r="N2754" s="74" t="s">
        <v>392</v>
      </c>
      <c r="O2754" s="74" t="s">
        <v>393</v>
      </c>
      <c r="P2754" s="74"/>
      <c r="Q2754" s="74" t="s">
        <v>6524</v>
      </c>
    </row>
    <row r="2755" spans="3:17" x14ac:dyDescent="0.25">
      <c r="C2755" s="74" t="s">
        <v>6529</v>
      </c>
      <c r="D2755" s="74" t="s">
        <v>6530</v>
      </c>
      <c r="E2755" s="74" t="s">
        <v>391</v>
      </c>
      <c r="F2755" s="74">
        <v>0.1</v>
      </c>
      <c r="G2755" s="74"/>
      <c r="H2755" s="74"/>
      <c r="I2755" s="74" t="s">
        <v>391</v>
      </c>
      <c r="J2755" s="74"/>
      <c r="K2755" s="74">
        <v>102.4</v>
      </c>
      <c r="L2755" s="74">
        <v>92.16</v>
      </c>
      <c r="M2755" s="74"/>
      <c r="N2755" s="74" t="s">
        <v>392</v>
      </c>
      <c r="O2755" s="74" t="s">
        <v>393</v>
      </c>
      <c r="P2755" s="74"/>
      <c r="Q2755" s="74" t="s">
        <v>6531</v>
      </c>
    </row>
    <row r="2756" spans="3:17" x14ac:dyDescent="0.25">
      <c r="C2756" s="74" t="s">
        <v>6532</v>
      </c>
      <c r="D2756" s="74" t="s">
        <v>6533</v>
      </c>
      <c r="E2756" s="74" t="s">
        <v>391</v>
      </c>
      <c r="F2756" s="74">
        <v>0.1</v>
      </c>
      <c r="G2756" s="74"/>
      <c r="H2756" s="74"/>
      <c r="I2756" s="74" t="s">
        <v>391</v>
      </c>
      <c r="J2756" s="74"/>
      <c r="K2756" s="74">
        <v>102.4</v>
      </c>
      <c r="L2756" s="74">
        <v>92.16</v>
      </c>
      <c r="M2756" s="74"/>
      <c r="N2756" s="74" t="s">
        <v>392</v>
      </c>
      <c r="O2756" s="74" t="s">
        <v>393</v>
      </c>
      <c r="P2756" s="74"/>
      <c r="Q2756" s="74" t="s">
        <v>6534</v>
      </c>
    </row>
    <row r="2757" spans="3:17" x14ac:dyDescent="0.25">
      <c r="C2757" s="74" t="s">
        <v>6539</v>
      </c>
      <c r="D2757" s="74" t="s">
        <v>6540</v>
      </c>
      <c r="E2757" s="74" t="s">
        <v>391</v>
      </c>
      <c r="F2757" s="74">
        <v>0.1</v>
      </c>
      <c r="G2757" s="74"/>
      <c r="H2757" s="74"/>
      <c r="I2757" s="74" t="s">
        <v>391</v>
      </c>
      <c r="J2757" s="74"/>
      <c r="K2757" s="74">
        <v>102.4</v>
      </c>
      <c r="L2757" s="74">
        <v>92.16</v>
      </c>
      <c r="M2757" s="74"/>
      <c r="N2757" s="74" t="s">
        <v>392</v>
      </c>
      <c r="O2757" s="74" t="s">
        <v>393</v>
      </c>
      <c r="P2757" s="74"/>
      <c r="Q2757" s="74" t="s">
        <v>6541</v>
      </c>
    </row>
    <row r="2758" spans="3:17" x14ac:dyDescent="0.25">
      <c r="C2758" s="74" t="s">
        <v>6542</v>
      </c>
      <c r="D2758" s="74" t="s">
        <v>6543</v>
      </c>
      <c r="E2758" s="74" t="s">
        <v>391</v>
      </c>
      <c r="F2758" s="74">
        <v>0.1</v>
      </c>
      <c r="G2758" s="74"/>
      <c r="H2758" s="74"/>
      <c r="I2758" s="74" t="s">
        <v>391</v>
      </c>
      <c r="J2758" s="74"/>
      <c r="K2758" s="74">
        <v>102.4</v>
      </c>
      <c r="L2758" s="74">
        <v>92.16</v>
      </c>
      <c r="M2758" s="74"/>
      <c r="N2758" s="74" t="s">
        <v>392</v>
      </c>
      <c r="O2758" s="74" t="s">
        <v>393</v>
      </c>
      <c r="P2758" s="74"/>
      <c r="Q2758" s="74" t="s">
        <v>6544</v>
      </c>
    </row>
    <row r="2759" spans="3:17" x14ac:dyDescent="0.25">
      <c r="C2759" s="74" t="s">
        <v>6549</v>
      </c>
      <c r="D2759" s="74" t="s">
        <v>6550</v>
      </c>
      <c r="E2759" s="74" t="s">
        <v>391</v>
      </c>
      <c r="F2759" s="74">
        <v>0.1</v>
      </c>
      <c r="G2759" s="74"/>
      <c r="H2759" s="74"/>
      <c r="I2759" s="74" t="s">
        <v>391</v>
      </c>
      <c r="J2759" s="74"/>
      <c r="K2759" s="74">
        <v>102.4</v>
      </c>
      <c r="L2759" s="74">
        <v>92.16</v>
      </c>
      <c r="M2759" s="74"/>
      <c r="N2759" s="74" t="s">
        <v>392</v>
      </c>
      <c r="O2759" s="74" t="s">
        <v>393</v>
      </c>
      <c r="P2759" s="74"/>
      <c r="Q2759" s="74" t="s">
        <v>6551</v>
      </c>
    </row>
    <row r="2760" spans="3:17" x14ac:dyDescent="0.25">
      <c r="C2760" s="74" t="s">
        <v>6556</v>
      </c>
      <c r="D2760" s="74" t="s">
        <v>6557</v>
      </c>
      <c r="E2760" s="74" t="s">
        <v>391</v>
      </c>
      <c r="F2760" s="74">
        <v>0.1</v>
      </c>
      <c r="G2760" s="74"/>
      <c r="H2760" s="74"/>
      <c r="I2760" s="74" t="s">
        <v>391</v>
      </c>
      <c r="J2760" s="74"/>
      <c r="K2760" s="74">
        <v>102.4</v>
      </c>
      <c r="L2760" s="74">
        <v>92.16</v>
      </c>
      <c r="M2760" s="74"/>
      <c r="N2760" s="74" t="s">
        <v>392</v>
      </c>
      <c r="O2760" s="74" t="s">
        <v>393</v>
      </c>
      <c r="P2760" s="74"/>
      <c r="Q2760" s="74" t="s">
        <v>6558</v>
      </c>
    </row>
    <row r="2761" spans="3:17" x14ac:dyDescent="0.25">
      <c r="C2761" s="74" t="s">
        <v>6559</v>
      </c>
      <c r="D2761" s="74" t="s">
        <v>6560</v>
      </c>
      <c r="E2761" s="74" t="s">
        <v>391</v>
      </c>
      <c r="F2761" s="74">
        <v>0.1</v>
      </c>
      <c r="G2761" s="74"/>
      <c r="H2761" s="74"/>
      <c r="I2761" s="74" t="s">
        <v>391</v>
      </c>
      <c r="J2761" s="74"/>
      <c r="K2761" s="74">
        <v>102.4</v>
      </c>
      <c r="L2761" s="74">
        <v>92.16</v>
      </c>
      <c r="M2761" s="74"/>
      <c r="N2761" s="74" t="s">
        <v>392</v>
      </c>
      <c r="O2761" s="74" t="s">
        <v>393</v>
      </c>
      <c r="P2761" s="74"/>
      <c r="Q2761" s="74" t="s">
        <v>6561</v>
      </c>
    </row>
    <row r="2762" spans="3:17" x14ac:dyDescent="0.25">
      <c r="C2762" s="74" t="s">
        <v>6565</v>
      </c>
      <c r="D2762" s="74" t="s">
        <v>6566</v>
      </c>
      <c r="E2762" s="74" t="s">
        <v>391</v>
      </c>
      <c r="F2762" s="74">
        <v>0.1</v>
      </c>
      <c r="G2762" s="74"/>
      <c r="H2762" s="74"/>
      <c r="I2762" s="74" t="s">
        <v>391</v>
      </c>
      <c r="J2762" s="74"/>
      <c r="K2762" s="74">
        <v>102.4</v>
      </c>
      <c r="L2762" s="74">
        <v>92.16</v>
      </c>
      <c r="M2762" s="74"/>
      <c r="N2762" s="74" t="s">
        <v>392</v>
      </c>
      <c r="O2762" s="74" t="s">
        <v>393</v>
      </c>
      <c r="P2762" s="74"/>
      <c r="Q2762" s="74" t="s">
        <v>6567</v>
      </c>
    </row>
    <row r="2763" spans="3:17" x14ac:dyDescent="0.25">
      <c r="C2763" s="74" t="s">
        <v>6593</v>
      </c>
      <c r="D2763" s="74" t="s">
        <v>6594</v>
      </c>
      <c r="E2763" s="74" t="s">
        <v>391</v>
      </c>
      <c r="F2763" s="74">
        <v>0.1</v>
      </c>
      <c r="G2763" s="74"/>
      <c r="H2763" s="74"/>
      <c r="I2763" s="74" t="s">
        <v>391</v>
      </c>
      <c r="J2763" s="74"/>
      <c r="K2763" s="74">
        <v>102.4</v>
      </c>
      <c r="L2763" s="74">
        <v>92.16</v>
      </c>
      <c r="M2763" s="74"/>
      <c r="N2763" s="74" t="s">
        <v>392</v>
      </c>
      <c r="O2763" s="74" t="s">
        <v>393</v>
      </c>
      <c r="P2763" s="74"/>
      <c r="Q2763" s="74" t="s">
        <v>6595</v>
      </c>
    </row>
    <row r="2764" spans="3:17" x14ac:dyDescent="0.25">
      <c r="C2764" s="74" t="s">
        <v>6600</v>
      </c>
      <c r="D2764" s="74" t="s">
        <v>6601</v>
      </c>
      <c r="E2764" s="74" t="s">
        <v>391</v>
      </c>
      <c r="F2764" s="74">
        <v>0.1</v>
      </c>
      <c r="G2764" s="74"/>
      <c r="H2764" s="74"/>
      <c r="I2764" s="74" t="s">
        <v>391</v>
      </c>
      <c r="J2764" s="74"/>
      <c r="K2764" s="74">
        <v>102.4</v>
      </c>
      <c r="L2764" s="74">
        <v>92.16</v>
      </c>
      <c r="M2764" s="74"/>
      <c r="N2764" s="74" t="s">
        <v>392</v>
      </c>
      <c r="O2764" s="74" t="s">
        <v>393</v>
      </c>
      <c r="P2764" s="74"/>
      <c r="Q2764" s="74" t="s">
        <v>6602</v>
      </c>
    </row>
    <row r="2765" spans="3:17" x14ac:dyDescent="0.25">
      <c r="C2765" s="74" t="s">
        <v>6618</v>
      </c>
      <c r="D2765" s="74" t="s">
        <v>6619</v>
      </c>
      <c r="E2765" s="74" t="s">
        <v>391</v>
      </c>
      <c r="F2765" s="74">
        <v>0.1</v>
      </c>
      <c r="G2765" s="74"/>
      <c r="H2765" s="74"/>
      <c r="I2765" s="74" t="s">
        <v>391</v>
      </c>
      <c r="J2765" s="74"/>
      <c r="K2765" s="74">
        <v>102.4</v>
      </c>
      <c r="L2765" s="74">
        <v>92.16</v>
      </c>
      <c r="M2765" s="74"/>
      <c r="N2765" s="74" t="s">
        <v>392</v>
      </c>
      <c r="O2765" s="74" t="s">
        <v>393</v>
      </c>
      <c r="P2765" s="74"/>
      <c r="Q2765" s="74" t="s">
        <v>6620</v>
      </c>
    </row>
    <row r="2766" spans="3:17" x14ac:dyDescent="0.25">
      <c r="C2766" s="74" t="s">
        <v>6629</v>
      </c>
      <c r="D2766" s="74" t="s">
        <v>6630</v>
      </c>
      <c r="E2766" s="74" t="s">
        <v>391</v>
      </c>
      <c r="F2766" s="74">
        <v>0.1</v>
      </c>
      <c r="G2766" s="74"/>
      <c r="H2766" s="74"/>
      <c r="I2766" s="74" t="s">
        <v>391</v>
      </c>
      <c r="J2766" s="74"/>
      <c r="K2766" s="74">
        <v>102.4</v>
      </c>
      <c r="L2766" s="74">
        <v>92.16</v>
      </c>
      <c r="M2766" s="74"/>
      <c r="N2766" s="74" t="s">
        <v>392</v>
      </c>
      <c r="O2766" s="74" t="s">
        <v>393</v>
      </c>
      <c r="P2766" s="74"/>
      <c r="Q2766" s="74" t="s">
        <v>6631</v>
      </c>
    </row>
    <row r="2767" spans="3:17" x14ac:dyDescent="0.25">
      <c r="C2767" s="74" t="s">
        <v>6643</v>
      </c>
      <c r="D2767" s="74" t="s">
        <v>6644</v>
      </c>
      <c r="E2767" s="74" t="s">
        <v>391</v>
      </c>
      <c r="F2767" s="74">
        <v>0.1</v>
      </c>
      <c r="G2767" s="74"/>
      <c r="H2767" s="74"/>
      <c r="I2767" s="74" t="s">
        <v>391</v>
      </c>
      <c r="J2767" s="74"/>
      <c r="K2767" s="74">
        <v>102.4</v>
      </c>
      <c r="L2767" s="74">
        <v>92.16</v>
      </c>
      <c r="M2767" s="74"/>
      <c r="N2767" s="74" t="s">
        <v>392</v>
      </c>
      <c r="O2767" s="74" t="s">
        <v>393</v>
      </c>
      <c r="P2767" s="74"/>
      <c r="Q2767" s="74" t="s">
        <v>6645</v>
      </c>
    </row>
    <row r="2768" spans="3:17" x14ac:dyDescent="0.25">
      <c r="C2768" s="74" t="s">
        <v>6646</v>
      </c>
      <c r="D2768" s="74" t="s">
        <v>6647</v>
      </c>
      <c r="E2768" s="74" t="s">
        <v>391</v>
      </c>
      <c r="F2768" s="74">
        <v>0.1</v>
      </c>
      <c r="G2768" s="74"/>
      <c r="H2768" s="74"/>
      <c r="I2768" s="74" t="s">
        <v>391</v>
      </c>
      <c r="J2768" s="74"/>
      <c r="K2768" s="74">
        <v>102.4</v>
      </c>
      <c r="L2768" s="74">
        <v>92.16</v>
      </c>
      <c r="M2768" s="74"/>
      <c r="N2768" s="74" t="s">
        <v>392</v>
      </c>
      <c r="O2768" s="74" t="s">
        <v>393</v>
      </c>
      <c r="P2768" s="74"/>
      <c r="Q2768" s="74" t="s">
        <v>6647</v>
      </c>
    </row>
    <row r="2769" spans="3:17" x14ac:dyDescent="0.25">
      <c r="C2769" s="74" t="s">
        <v>6652</v>
      </c>
      <c r="D2769" s="74" t="s">
        <v>6653</v>
      </c>
      <c r="E2769" s="74" t="s">
        <v>391</v>
      </c>
      <c r="F2769" s="74">
        <v>0.1</v>
      </c>
      <c r="G2769" s="74"/>
      <c r="H2769" s="74"/>
      <c r="I2769" s="74" t="s">
        <v>391</v>
      </c>
      <c r="J2769" s="74"/>
      <c r="K2769" s="74">
        <v>102.4</v>
      </c>
      <c r="L2769" s="74">
        <v>92.16</v>
      </c>
      <c r="M2769" s="74"/>
      <c r="N2769" s="74" t="s">
        <v>392</v>
      </c>
      <c r="O2769" s="74" t="s">
        <v>393</v>
      </c>
      <c r="P2769" s="74"/>
      <c r="Q2769" s="74" t="s">
        <v>6654</v>
      </c>
    </row>
    <row r="2770" spans="3:17" x14ac:dyDescent="0.25">
      <c r="C2770" s="74" t="s">
        <v>6677</v>
      </c>
      <c r="D2770" s="74" t="s">
        <v>6678</v>
      </c>
      <c r="E2770" s="74" t="s">
        <v>391</v>
      </c>
      <c r="F2770" s="74">
        <v>0.1</v>
      </c>
      <c r="G2770" s="74"/>
      <c r="H2770" s="74"/>
      <c r="I2770" s="74" t="s">
        <v>391</v>
      </c>
      <c r="J2770" s="74"/>
      <c r="K2770" s="74">
        <v>102.4</v>
      </c>
      <c r="L2770" s="74">
        <v>92.16</v>
      </c>
      <c r="M2770" s="74"/>
      <c r="N2770" s="74" t="s">
        <v>392</v>
      </c>
      <c r="O2770" s="74" t="s">
        <v>393</v>
      </c>
      <c r="P2770" s="74"/>
      <c r="Q2770" s="74" t="s">
        <v>6679</v>
      </c>
    </row>
    <row r="2771" spans="3:17" x14ac:dyDescent="0.25">
      <c r="C2771" s="74" t="s">
        <v>6684</v>
      </c>
      <c r="D2771" s="74" t="s">
        <v>6685</v>
      </c>
      <c r="E2771" s="74" t="s">
        <v>391</v>
      </c>
      <c r="F2771" s="74">
        <v>0.1</v>
      </c>
      <c r="G2771" s="74"/>
      <c r="H2771" s="74"/>
      <c r="I2771" s="74" t="s">
        <v>391</v>
      </c>
      <c r="J2771" s="74"/>
      <c r="K2771" s="74">
        <v>102.4</v>
      </c>
      <c r="L2771" s="74">
        <v>92.16</v>
      </c>
      <c r="M2771" s="74"/>
      <c r="N2771" s="74" t="s">
        <v>392</v>
      </c>
      <c r="O2771" s="74" t="s">
        <v>393</v>
      </c>
      <c r="P2771" s="74"/>
      <c r="Q2771" s="74" t="s">
        <v>6686</v>
      </c>
    </row>
    <row r="2772" spans="3:17" x14ac:dyDescent="0.25">
      <c r="C2772" s="74" t="s">
        <v>6687</v>
      </c>
      <c r="D2772" s="74" t="s">
        <v>6688</v>
      </c>
      <c r="E2772" s="74" t="s">
        <v>391</v>
      </c>
      <c r="F2772" s="74">
        <v>0.1</v>
      </c>
      <c r="G2772" s="74"/>
      <c r="H2772" s="74"/>
      <c r="I2772" s="74" t="s">
        <v>391</v>
      </c>
      <c r="J2772" s="74"/>
      <c r="K2772" s="74">
        <v>102.4</v>
      </c>
      <c r="L2772" s="74">
        <v>92.16</v>
      </c>
      <c r="M2772" s="74"/>
      <c r="N2772" s="74" t="s">
        <v>392</v>
      </c>
      <c r="O2772" s="74" t="s">
        <v>393</v>
      </c>
      <c r="P2772" s="74"/>
      <c r="Q2772" s="74" t="s">
        <v>6689</v>
      </c>
    </row>
    <row r="2773" spans="3:17" x14ac:dyDescent="0.25">
      <c r="C2773" s="74" t="s">
        <v>6698</v>
      </c>
      <c r="D2773" s="74" t="s">
        <v>6699</v>
      </c>
      <c r="E2773" s="74" t="s">
        <v>391</v>
      </c>
      <c r="F2773" s="74">
        <v>0.1</v>
      </c>
      <c r="G2773" s="74"/>
      <c r="H2773" s="74"/>
      <c r="I2773" s="74" t="s">
        <v>391</v>
      </c>
      <c r="J2773" s="74"/>
      <c r="K2773" s="74">
        <v>102.4</v>
      </c>
      <c r="L2773" s="74">
        <v>92.16</v>
      </c>
      <c r="M2773" s="74"/>
      <c r="N2773" s="74" t="s">
        <v>392</v>
      </c>
      <c r="O2773" s="74" t="s">
        <v>393</v>
      </c>
      <c r="P2773" s="74"/>
      <c r="Q2773" s="74" t="s">
        <v>6700</v>
      </c>
    </row>
    <row r="2774" spans="3:17" x14ac:dyDescent="0.25">
      <c r="C2774" s="74" t="s">
        <v>6715</v>
      </c>
      <c r="D2774" s="74" t="s">
        <v>6716</v>
      </c>
      <c r="E2774" s="74" t="s">
        <v>391</v>
      </c>
      <c r="F2774" s="74">
        <v>0.1</v>
      </c>
      <c r="G2774" s="74"/>
      <c r="H2774" s="74"/>
      <c r="I2774" s="74" t="s">
        <v>391</v>
      </c>
      <c r="J2774" s="74"/>
      <c r="K2774" s="74">
        <v>102.4</v>
      </c>
      <c r="L2774" s="74">
        <v>92.16</v>
      </c>
      <c r="M2774" s="74"/>
      <c r="N2774" s="74" t="s">
        <v>392</v>
      </c>
      <c r="O2774" s="74" t="s">
        <v>393</v>
      </c>
      <c r="P2774" s="74"/>
      <c r="Q2774" s="74" t="s">
        <v>6717</v>
      </c>
    </row>
    <row r="2775" spans="3:17" x14ac:dyDescent="0.25">
      <c r="C2775" s="74" t="s">
        <v>6730</v>
      </c>
      <c r="D2775" s="74" t="s">
        <v>6731</v>
      </c>
      <c r="E2775" s="74" t="s">
        <v>391</v>
      </c>
      <c r="F2775" s="74">
        <v>0.1</v>
      </c>
      <c r="G2775" s="74"/>
      <c r="H2775" s="74"/>
      <c r="I2775" s="74" t="s">
        <v>391</v>
      </c>
      <c r="J2775" s="74"/>
      <c r="K2775" s="74">
        <v>102.4</v>
      </c>
      <c r="L2775" s="74">
        <v>92.16</v>
      </c>
      <c r="M2775" s="74"/>
      <c r="N2775" s="74" t="s">
        <v>392</v>
      </c>
      <c r="O2775" s="74" t="s">
        <v>393</v>
      </c>
      <c r="P2775" s="74"/>
      <c r="Q2775" s="74" t="s">
        <v>6732</v>
      </c>
    </row>
    <row r="2776" spans="3:17" x14ac:dyDescent="0.25">
      <c r="C2776" s="74" t="s">
        <v>6740</v>
      </c>
      <c r="D2776" s="74" t="s">
        <v>6741</v>
      </c>
      <c r="E2776" s="74" t="s">
        <v>391</v>
      </c>
      <c r="F2776" s="74">
        <v>0.1</v>
      </c>
      <c r="G2776" s="74"/>
      <c r="H2776" s="74"/>
      <c r="I2776" s="74" t="s">
        <v>391</v>
      </c>
      <c r="J2776" s="74"/>
      <c r="K2776" s="74">
        <v>102.4</v>
      </c>
      <c r="L2776" s="74">
        <v>92.16</v>
      </c>
      <c r="M2776" s="74"/>
      <c r="N2776" s="74" t="s">
        <v>392</v>
      </c>
      <c r="O2776" s="74" t="s">
        <v>393</v>
      </c>
      <c r="P2776" s="74"/>
      <c r="Q2776" s="74" t="s">
        <v>6742</v>
      </c>
    </row>
    <row r="2777" spans="3:17" x14ac:dyDescent="0.25">
      <c r="C2777" s="74" t="s">
        <v>6756</v>
      </c>
      <c r="D2777" s="74" t="s">
        <v>6757</v>
      </c>
      <c r="E2777" s="74" t="s">
        <v>391</v>
      </c>
      <c r="F2777" s="74">
        <v>0.1</v>
      </c>
      <c r="G2777" s="74"/>
      <c r="H2777" s="74"/>
      <c r="I2777" s="74" t="s">
        <v>391</v>
      </c>
      <c r="J2777" s="74"/>
      <c r="K2777" s="74">
        <v>102.4</v>
      </c>
      <c r="L2777" s="74">
        <v>92.16</v>
      </c>
      <c r="M2777" s="74"/>
      <c r="N2777" s="74" t="s">
        <v>392</v>
      </c>
      <c r="O2777" s="74" t="s">
        <v>393</v>
      </c>
      <c r="P2777" s="74"/>
      <c r="Q2777" s="74" t="s">
        <v>6758</v>
      </c>
    </row>
    <row r="2778" spans="3:17" x14ac:dyDescent="0.25">
      <c r="C2778" s="74" t="s">
        <v>6763</v>
      </c>
      <c r="D2778" s="74" t="s">
        <v>6764</v>
      </c>
      <c r="E2778" s="74" t="s">
        <v>391</v>
      </c>
      <c r="F2778" s="74">
        <v>0.1</v>
      </c>
      <c r="G2778" s="74"/>
      <c r="H2778" s="74"/>
      <c r="I2778" s="74" t="s">
        <v>391</v>
      </c>
      <c r="J2778" s="74"/>
      <c r="K2778" s="74">
        <v>102.4</v>
      </c>
      <c r="L2778" s="74">
        <v>92.16</v>
      </c>
      <c r="M2778" s="74"/>
      <c r="N2778" s="74" t="s">
        <v>392</v>
      </c>
      <c r="O2778" s="74" t="s">
        <v>393</v>
      </c>
      <c r="P2778" s="74"/>
      <c r="Q2778" s="74" t="s">
        <v>6765</v>
      </c>
    </row>
    <row r="2779" spans="3:17" x14ac:dyDescent="0.25">
      <c r="C2779" s="74" t="s">
        <v>6801</v>
      </c>
      <c r="D2779" s="74" t="s">
        <v>6802</v>
      </c>
      <c r="E2779" s="74" t="s">
        <v>391</v>
      </c>
      <c r="F2779" s="74">
        <v>0.1</v>
      </c>
      <c r="G2779" s="74"/>
      <c r="H2779" s="74"/>
      <c r="I2779" s="74" t="s">
        <v>391</v>
      </c>
      <c r="J2779" s="74"/>
      <c r="K2779" s="74">
        <v>102.4</v>
      </c>
      <c r="L2779" s="74">
        <v>92.16</v>
      </c>
      <c r="M2779" s="74"/>
      <c r="N2779" s="74" t="s">
        <v>392</v>
      </c>
      <c r="O2779" s="74" t="s">
        <v>393</v>
      </c>
      <c r="P2779" s="74"/>
      <c r="Q2779" s="74" t="s">
        <v>6803</v>
      </c>
    </row>
    <row r="2780" spans="3:17" x14ac:dyDescent="0.25">
      <c r="C2780" s="74" t="s">
        <v>6804</v>
      </c>
      <c r="D2780" s="74" t="s">
        <v>6805</v>
      </c>
      <c r="E2780" s="74" t="s">
        <v>391</v>
      </c>
      <c r="F2780" s="74">
        <v>0.1</v>
      </c>
      <c r="G2780" s="74"/>
      <c r="H2780" s="74"/>
      <c r="I2780" s="74" t="s">
        <v>391</v>
      </c>
      <c r="J2780" s="74"/>
      <c r="K2780" s="74">
        <v>102.4</v>
      </c>
      <c r="L2780" s="74">
        <v>92.16</v>
      </c>
      <c r="M2780" s="74"/>
      <c r="N2780" s="74" t="s">
        <v>392</v>
      </c>
      <c r="O2780" s="74" t="s">
        <v>393</v>
      </c>
      <c r="P2780" s="74"/>
      <c r="Q2780" s="74" t="s">
        <v>6806</v>
      </c>
    </row>
    <row r="2781" spans="3:17" x14ac:dyDescent="0.25">
      <c r="C2781" s="74" t="s">
        <v>6807</v>
      </c>
      <c r="D2781" s="74" t="s">
        <v>6808</v>
      </c>
      <c r="E2781" s="74" t="s">
        <v>391</v>
      </c>
      <c r="F2781" s="74">
        <v>0.1</v>
      </c>
      <c r="G2781" s="74"/>
      <c r="H2781" s="74"/>
      <c r="I2781" s="74" t="s">
        <v>391</v>
      </c>
      <c r="J2781" s="74"/>
      <c r="K2781" s="74">
        <v>102.4</v>
      </c>
      <c r="L2781" s="74">
        <v>92.16</v>
      </c>
      <c r="M2781" s="74"/>
      <c r="N2781" s="74" t="s">
        <v>392</v>
      </c>
      <c r="O2781" s="74" t="s">
        <v>393</v>
      </c>
      <c r="P2781" s="74"/>
      <c r="Q2781" s="74" t="s">
        <v>6809</v>
      </c>
    </row>
    <row r="2782" spans="3:17" x14ac:dyDescent="0.25">
      <c r="C2782" s="74" t="s">
        <v>6843</v>
      </c>
      <c r="D2782" s="74" t="s">
        <v>6844</v>
      </c>
      <c r="E2782" s="74" t="s">
        <v>391</v>
      </c>
      <c r="F2782" s="74">
        <v>0.1</v>
      </c>
      <c r="G2782" s="74"/>
      <c r="H2782" s="74"/>
      <c r="I2782" s="74" t="s">
        <v>391</v>
      </c>
      <c r="J2782" s="74"/>
      <c r="K2782" s="74">
        <v>102.4</v>
      </c>
      <c r="L2782" s="74">
        <v>92.16</v>
      </c>
      <c r="M2782" s="74"/>
      <c r="N2782" s="74" t="s">
        <v>392</v>
      </c>
      <c r="O2782" s="74" t="s">
        <v>393</v>
      </c>
      <c r="P2782" s="74"/>
      <c r="Q2782" s="74" t="s">
        <v>6845</v>
      </c>
    </row>
    <row r="2783" spans="3:17" x14ac:dyDescent="0.25">
      <c r="C2783" s="74" t="s">
        <v>6854</v>
      </c>
      <c r="D2783" s="74" t="s">
        <v>6855</v>
      </c>
      <c r="E2783" s="74" t="s">
        <v>391</v>
      </c>
      <c r="F2783" s="74">
        <v>0.1</v>
      </c>
      <c r="G2783" s="74"/>
      <c r="H2783" s="74"/>
      <c r="I2783" s="74" t="s">
        <v>391</v>
      </c>
      <c r="J2783" s="74"/>
      <c r="K2783" s="74">
        <v>102.4</v>
      </c>
      <c r="L2783" s="74">
        <v>92.16</v>
      </c>
      <c r="M2783" s="74"/>
      <c r="N2783" s="74" t="s">
        <v>392</v>
      </c>
      <c r="O2783" s="74" t="s">
        <v>393</v>
      </c>
      <c r="P2783" s="74"/>
      <c r="Q2783" s="74" t="s">
        <v>6856</v>
      </c>
    </row>
    <row r="2784" spans="3:17" x14ac:dyDescent="0.25">
      <c r="C2784" s="74" t="s">
        <v>6857</v>
      </c>
      <c r="D2784" s="74" t="s">
        <v>6858</v>
      </c>
      <c r="E2784" s="74" t="s">
        <v>391</v>
      </c>
      <c r="F2784" s="74">
        <v>0.1</v>
      </c>
      <c r="G2784" s="74"/>
      <c r="H2784" s="74"/>
      <c r="I2784" s="74" t="s">
        <v>391</v>
      </c>
      <c r="J2784" s="74"/>
      <c r="K2784" s="74">
        <v>102.4</v>
      </c>
      <c r="L2784" s="74">
        <v>92.16</v>
      </c>
      <c r="M2784" s="74"/>
      <c r="N2784" s="74" t="s">
        <v>392</v>
      </c>
      <c r="O2784" s="74" t="s">
        <v>393</v>
      </c>
      <c r="P2784" s="74"/>
      <c r="Q2784" s="74" t="s">
        <v>6858</v>
      </c>
    </row>
    <row r="2785" spans="3:17" x14ac:dyDescent="0.25">
      <c r="C2785" s="74" t="s">
        <v>6878</v>
      </c>
      <c r="D2785" s="74" t="s">
        <v>6879</v>
      </c>
      <c r="E2785" s="74" t="s">
        <v>391</v>
      </c>
      <c r="F2785" s="74">
        <v>0.1</v>
      </c>
      <c r="G2785" s="74"/>
      <c r="H2785" s="74"/>
      <c r="I2785" s="74" t="s">
        <v>391</v>
      </c>
      <c r="J2785" s="74"/>
      <c r="K2785" s="74">
        <v>102.4</v>
      </c>
      <c r="L2785" s="74">
        <v>92.16</v>
      </c>
      <c r="M2785" s="74"/>
      <c r="N2785" s="74" t="s">
        <v>392</v>
      </c>
      <c r="O2785" s="74" t="s">
        <v>393</v>
      </c>
      <c r="P2785" s="74"/>
      <c r="Q2785" s="74" t="s">
        <v>6880</v>
      </c>
    </row>
    <row r="2786" spans="3:17" x14ac:dyDescent="0.25">
      <c r="C2786" s="74" t="s">
        <v>6881</v>
      </c>
      <c r="D2786" s="74" t="s">
        <v>6882</v>
      </c>
      <c r="E2786" s="74" t="s">
        <v>391</v>
      </c>
      <c r="F2786" s="74">
        <v>0.1</v>
      </c>
      <c r="G2786" s="74"/>
      <c r="H2786" s="74"/>
      <c r="I2786" s="74" t="s">
        <v>391</v>
      </c>
      <c r="J2786" s="74"/>
      <c r="K2786" s="74">
        <v>102.4</v>
      </c>
      <c r="L2786" s="74">
        <v>92.16</v>
      </c>
      <c r="M2786" s="74"/>
      <c r="N2786" s="74" t="s">
        <v>392</v>
      </c>
      <c r="O2786" s="74" t="s">
        <v>393</v>
      </c>
      <c r="P2786" s="74"/>
      <c r="Q2786" s="74" t="s">
        <v>6883</v>
      </c>
    </row>
    <row r="2787" spans="3:17" x14ac:dyDescent="0.25">
      <c r="C2787" s="74" t="s">
        <v>6884</v>
      </c>
      <c r="D2787" s="74" t="s">
        <v>6885</v>
      </c>
      <c r="E2787" s="74" t="s">
        <v>391</v>
      </c>
      <c r="F2787" s="74">
        <v>0.1</v>
      </c>
      <c r="G2787" s="74"/>
      <c r="H2787" s="74"/>
      <c r="I2787" s="74" t="s">
        <v>391</v>
      </c>
      <c r="J2787" s="74"/>
      <c r="K2787" s="74">
        <v>102.4</v>
      </c>
      <c r="L2787" s="74">
        <v>92.16</v>
      </c>
      <c r="M2787" s="74"/>
      <c r="N2787" s="74" t="s">
        <v>392</v>
      </c>
      <c r="O2787" s="74" t="s">
        <v>393</v>
      </c>
      <c r="P2787" s="74"/>
      <c r="Q2787" s="74" t="s">
        <v>6886</v>
      </c>
    </row>
    <row r="2788" spans="3:17" x14ac:dyDescent="0.25">
      <c r="C2788" s="74" t="s">
        <v>6899</v>
      </c>
      <c r="D2788" s="74" t="s">
        <v>6900</v>
      </c>
      <c r="E2788" s="74" t="s">
        <v>391</v>
      </c>
      <c r="F2788" s="74">
        <v>0.1</v>
      </c>
      <c r="G2788" s="74"/>
      <c r="H2788" s="74"/>
      <c r="I2788" s="74" t="s">
        <v>391</v>
      </c>
      <c r="J2788" s="74"/>
      <c r="K2788" s="74">
        <v>102.4</v>
      </c>
      <c r="L2788" s="74">
        <v>92.16</v>
      </c>
      <c r="M2788" s="74"/>
      <c r="N2788" s="74" t="s">
        <v>392</v>
      </c>
      <c r="O2788" s="74" t="s">
        <v>393</v>
      </c>
      <c r="P2788" s="74"/>
      <c r="Q2788" s="74" t="s">
        <v>6901</v>
      </c>
    </row>
    <row r="2789" spans="3:17" x14ac:dyDescent="0.25">
      <c r="C2789" s="74" t="s">
        <v>6902</v>
      </c>
      <c r="D2789" s="74" t="s">
        <v>6903</v>
      </c>
      <c r="E2789" s="74" t="s">
        <v>391</v>
      </c>
      <c r="F2789" s="74">
        <v>0.1</v>
      </c>
      <c r="G2789" s="74"/>
      <c r="H2789" s="74"/>
      <c r="I2789" s="74" t="s">
        <v>391</v>
      </c>
      <c r="J2789" s="74"/>
      <c r="K2789" s="74">
        <v>102.4</v>
      </c>
      <c r="L2789" s="74">
        <v>92.16</v>
      </c>
      <c r="M2789" s="74"/>
      <c r="N2789" s="74" t="s">
        <v>392</v>
      </c>
      <c r="O2789" s="74" t="s">
        <v>393</v>
      </c>
      <c r="P2789" s="74"/>
      <c r="Q2789" s="74" t="s">
        <v>6903</v>
      </c>
    </row>
    <row r="2790" spans="3:17" x14ac:dyDescent="0.25">
      <c r="C2790" s="74" t="s">
        <v>6908</v>
      </c>
      <c r="D2790" s="74" t="s">
        <v>6909</v>
      </c>
      <c r="E2790" s="74" t="s">
        <v>391</v>
      </c>
      <c r="F2790" s="74">
        <v>0.1</v>
      </c>
      <c r="G2790" s="74"/>
      <c r="H2790" s="74"/>
      <c r="I2790" s="74" t="s">
        <v>391</v>
      </c>
      <c r="J2790" s="74"/>
      <c r="K2790" s="74">
        <v>102.4</v>
      </c>
      <c r="L2790" s="74">
        <v>92.16</v>
      </c>
      <c r="M2790" s="74"/>
      <c r="N2790" s="74" t="s">
        <v>392</v>
      </c>
      <c r="O2790" s="74" t="s">
        <v>393</v>
      </c>
      <c r="P2790" s="74"/>
      <c r="Q2790" s="74" t="s">
        <v>6909</v>
      </c>
    </row>
    <row r="2791" spans="3:17" x14ac:dyDescent="0.25">
      <c r="C2791" s="74" t="s">
        <v>6918</v>
      </c>
      <c r="D2791" s="74" t="s">
        <v>6919</v>
      </c>
      <c r="E2791" s="74" t="s">
        <v>391</v>
      </c>
      <c r="F2791" s="74">
        <v>0.1</v>
      </c>
      <c r="G2791" s="74"/>
      <c r="H2791" s="74"/>
      <c r="I2791" s="74" t="s">
        <v>391</v>
      </c>
      <c r="J2791" s="74"/>
      <c r="K2791" s="74">
        <v>102.4</v>
      </c>
      <c r="L2791" s="74">
        <v>92.16</v>
      </c>
      <c r="M2791" s="74"/>
      <c r="N2791" s="74" t="s">
        <v>392</v>
      </c>
      <c r="O2791" s="74" t="s">
        <v>393</v>
      </c>
      <c r="P2791" s="74"/>
      <c r="Q2791" s="74" t="s">
        <v>6920</v>
      </c>
    </row>
    <row r="2792" spans="3:17" x14ac:dyDescent="0.25">
      <c r="C2792" s="74" t="s">
        <v>6921</v>
      </c>
      <c r="D2792" s="74" t="s">
        <v>6798</v>
      </c>
      <c r="E2792" s="74" t="s">
        <v>391</v>
      </c>
      <c r="F2792" s="74">
        <v>0.1</v>
      </c>
      <c r="G2792" s="74"/>
      <c r="H2792" s="74"/>
      <c r="I2792" s="74" t="s">
        <v>391</v>
      </c>
      <c r="J2792" s="74"/>
      <c r="K2792" s="74">
        <v>102.4</v>
      </c>
      <c r="L2792" s="74">
        <v>92.16</v>
      </c>
      <c r="M2792" s="74"/>
      <c r="N2792" s="74" t="s">
        <v>392</v>
      </c>
      <c r="O2792" s="74" t="s">
        <v>393</v>
      </c>
      <c r="P2792" s="74"/>
      <c r="Q2792" s="74" t="s">
        <v>6922</v>
      </c>
    </row>
    <row r="2793" spans="3:17" x14ac:dyDescent="0.25">
      <c r="C2793" s="74" t="s">
        <v>6935</v>
      </c>
      <c r="D2793" s="74" t="s">
        <v>6936</v>
      </c>
      <c r="E2793" s="74" t="s">
        <v>391</v>
      </c>
      <c r="F2793" s="74">
        <v>0.1</v>
      </c>
      <c r="G2793" s="74"/>
      <c r="H2793" s="74"/>
      <c r="I2793" s="74" t="s">
        <v>391</v>
      </c>
      <c r="J2793" s="74"/>
      <c r="K2793" s="74">
        <v>102.4</v>
      </c>
      <c r="L2793" s="74">
        <v>92.16</v>
      </c>
      <c r="M2793" s="74"/>
      <c r="N2793" s="74" t="s">
        <v>392</v>
      </c>
      <c r="O2793" s="74" t="s">
        <v>393</v>
      </c>
      <c r="P2793" s="74"/>
      <c r="Q2793" s="74" t="s">
        <v>6937</v>
      </c>
    </row>
    <row r="2794" spans="3:17" x14ac:dyDescent="0.25">
      <c r="C2794" s="74" t="s">
        <v>6957</v>
      </c>
      <c r="D2794" s="74" t="s">
        <v>6958</v>
      </c>
      <c r="E2794" s="74" t="s">
        <v>391</v>
      </c>
      <c r="F2794" s="74">
        <v>0.1</v>
      </c>
      <c r="G2794" s="74"/>
      <c r="H2794" s="74"/>
      <c r="I2794" s="74" t="s">
        <v>391</v>
      </c>
      <c r="J2794" s="74"/>
      <c r="K2794" s="74">
        <v>102.4</v>
      </c>
      <c r="L2794" s="74">
        <v>92.16</v>
      </c>
      <c r="M2794" s="74"/>
      <c r="N2794" s="74" t="s">
        <v>392</v>
      </c>
      <c r="O2794" s="74" t="s">
        <v>393</v>
      </c>
      <c r="P2794" s="74"/>
      <c r="Q2794" s="74" t="s">
        <v>6959</v>
      </c>
    </row>
    <row r="2795" spans="3:17" x14ac:dyDescent="0.25">
      <c r="C2795" s="74" t="s">
        <v>6968</v>
      </c>
      <c r="D2795" s="74" t="s">
        <v>6969</v>
      </c>
      <c r="E2795" s="74" t="s">
        <v>391</v>
      </c>
      <c r="F2795" s="74">
        <v>0.1</v>
      </c>
      <c r="G2795" s="74"/>
      <c r="H2795" s="74"/>
      <c r="I2795" s="74" t="s">
        <v>391</v>
      </c>
      <c r="J2795" s="74"/>
      <c r="K2795" s="74">
        <v>102.4</v>
      </c>
      <c r="L2795" s="74">
        <v>92.16</v>
      </c>
      <c r="M2795" s="74"/>
      <c r="N2795" s="74" t="s">
        <v>392</v>
      </c>
      <c r="O2795" s="74" t="s">
        <v>393</v>
      </c>
      <c r="P2795" s="74"/>
      <c r="Q2795" s="74" t="s">
        <v>6970</v>
      </c>
    </row>
    <row r="2796" spans="3:17" x14ac:dyDescent="0.25">
      <c r="C2796" s="74" t="s">
        <v>6971</v>
      </c>
      <c r="D2796" s="74" t="s">
        <v>6972</v>
      </c>
      <c r="E2796" s="74" t="s">
        <v>391</v>
      </c>
      <c r="F2796" s="74">
        <v>0.1</v>
      </c>
      <c r="G2796" s="74"/>
      <c r="H2796" s="74"/>
      <c r="I2796" s="74" t="s">
        <v>391</v>
      </c>
      <c r="J2796" s="74"/>
      <c r="K2796" s="74">
        <v>102.4</v>
      </c>
      <c r="L2796" s="74">
        <v>92.16</v>
      </c>
      <c r="M2796" s="74"/>
      <c r="N2796" s="74" t="s">
        <v>392</v>
      </c>
      <c r="O2796" s="74" t="s">
        <v>393</v>
      </c>
      <c r="P2796" s="74"/>
      <c r="Q2796" s="74" t="s">
        <v>6973</v>
      </c>
    </row>
    <row r="2797" spans="3:17" x14ac:dyDescent="0.25">
      <c r="C2797" s="74" t="s">
        <v>6990</v>
      </c>
      <c r="D2797" s="74" t="s">
        <v>6991</v>
      </c>
      <c r="E2797" s="74" t="s">
        <v>391</v>
      </c>
      <c r="F2797" s="74">
        <v>0.1</v>
      </c>
      <c r="G2797" s="74"/>
      <c r="H2797" s="74"/>
      <c r="I2797" s="74" t="s">
        <v>391</v>
      </c>
      <c r="J2797" s="74"/>
      <c r="K2797" s="74">
        <v>102.4</v>
      </c>
      <c r="L2797" s="74">
        <v>92.16</v>
      </c>
      <c r="M2797" s="74"/>
      <c r="N2797" s="74" t="s">
        <v>392</v>
      </c>
      <c r="O2797" s="74" t="s">
        <v>393</v>
      </c>
      <c r="P2797" s="74"/>
      <c r="Q2797" s="74" t="s">
        <v>6992</v>
      </c>
    </row>
    <row r="2798" spans="3:17" x14ac:dyDescent="0.25">
      <c r="C2798" s="74" t="s">
        <v>6997</v>
      </c>
      <c r="D2798" s="74" t="s">
        <v>6998</v>
      </c>
      <c r="E2798" s="74" t="s">
        <v>391</v>
      </c>
      <c r="F2798" s="74">
        <v>0.1</v>
      </c>
      <c r="G2798" s="74"/>
      <c r="H2798" s="74"/>
      <c r="I2798" s="74" t="s">
        <v>391</v>
      </c>
      <c r="J2798" s="74"/>
      <c r="K2798" s="74">
        <v>102.4</v>
      </c>
      <c r="L2798" s="74">
        <v>92.16</v>
      </c>
      <c r="M2798" s="74"/>
      <c r="N2798" s="74" t="s">
        <v>392</v>
      </c>
      <c r="O2798" s="74" t="s">
        <v>393</v>
      </c>
      <c r="P2798" s="74"/>
      <c r="Q2798" s="74" t="s">
        <v>6999</v>
      </c>
    </row>
    <row r="2799" spans="3:17" x14ac:dyDescent="0.25">
      <c r="C2799" s="74" t="s">
        <v>7028</v>
      </c>
      <c r="D2799" s="74" t="s">
        <v>7029</v>
      </c>
      <c r="E2799" s="74" t="s">
        <v>391</v>
      </c>
      <c r="F2799" s="74">
        <v>0.1</v>
      </c>
      <c r="G2799" s="74"/>
      <c r="H2799" s="74"/>
      <c r="I2799" s="74" t="s">
        <v>391</v>
      </c>
      <c r="J2799" s="74"/>
      <c r="K2799" s="74">
        <v>102.4</v>
      </c>
      <c r="L2799" s="74">
        <v>92.16</v>
      </c>
      <c r="M2799" s="74"/>
      <c r="N2799" s="74" t="s">
        <v>392</v>
      </c>
      <c r="O2799" s="74" t="s">
        <v>393</v>
      </c>
      <c r="P2799" s="74"/>
      <c r="Q2799" s="74" t="s">
        <v>7030</v>
      </c>
    </row>
    <row r="2800" spans="3:17" x14ac:dyDescent="0.25">
      <c r="C2800" s="74" t="s">
        <v>7075</v>
      </c>
      <c r="D2800" s="74" t="s">
        <v>7076</v>
      </c>
      <c r="E2800" s="74" t="s">
        <v>391</v>
      </c>
      <c r="F2800" s="74">
        <v>0.1</v>
      </c>
      <c r="G2800" s="74"/>
      <c r="H2800" s="74"/>
      <c r="I2800" s="74" t="s">
        <v>391</v>
      </c>
      <c r="J2800" s="74"/>
      <c r="K2800" s="74">
        <v>102.4</v>
      </c>
      <c r="L2800" s="74">
        <v>92.16</v>
      </c>
      <c r="M2800" s="74"/>
      <c r="N2800" s="74" t="s">
        <v>392</v>
      </c>
      <c r="O2800" s="74" t="s">
        <v>393</v>
      </c>
      <c r="P2800" s="74"/>
      <c r="Q2800" s="74" t="s">
        <v>7076</v>
      </c>
    </row>
    <row r="2801" spans="3:17" x14ac:dyDescent="0.25">
      <c r="C2801" s="74" t="s">
        <v>7077</v>
      </c>
      <c r="D2801" s="74" t="s">
        <v>7078</v>
      </c>
      <c r="E2801" s="74" t="s">
        <v>391</v>
      </c>
      <c r="F2801" s="74">
        <v>0.1</v>
      </c>
      <c r="G2801" s="74"/>
      <c r="H2801" s="74"/>
      <c r="I2801" s="74" t="s">
        <v>391</v>
      </c>
      <c r="J2801" s="74"/>
      <c r="K2801" s="74">
        <v>102.4</v>
      </c>
      <c r="L2801" s="74">
        <v>92.16</v>
      </c>
      <c r="M2801" s="74"/>
      <c r="N2801" s="74" t="s">
        <v>392</v>
      </c>
      <c r="O2801" s="74" t="s">
        <v>393</v>
      </c>
      <c r="P2801" s="74"/>
      <c r="Q2801" s="74" t="s">
        <v>7079</v>
      </c>
    </row>
    <row r="2802" spans="3:17" x14ac:dyDescent="0.25">
      <c r="C2802" s="74" t="s">
        <v>7104</v>
      </c>
      <c r="D2802" s="74" t="s">
        <v>7105</v>
      </c>
      <c r="E2802" s="74" t="s">
        <v>391</v>
      </c>
      <c r="F2802" s="74">
        <v>0.1</v>
      </c>
      <c r="G2802" s="74"/>
      <c r="H2802" s="74"/>
      <c r="I2802" s="74" t="s">
        <v>391</v>
      </c>
      <c r="J2802" s="74"/>
      <c r="K2802" s="74">
        <v>102.4</v>
      </c>
      <c r="L2802" s="74">
        <v>92.16</v>
      </c>
      <c r="M2802" s="74"/>
      <c r="N2802" s="74" t="s">
        <v>392</v>
      </c>
      <c r="O2802" s="74" t="s">
        <v>393</v>
      </c>
      <c r="P2802" s="74"/>
      <c r="Q2802" s="74" t="s">
        <v>7106</v>
      </c>
    </row>
    <row r="2803" spans="3:17" x14ac:dyDescent="0.25">
      <c r="C2803" s="74" t="s">
        <v>7111</v>
      </c>
      <c r="D2803" s="74" t="s">
        <v>7112</v>
      </c>
      <c r="E2803" s="74" t="s">
        <v>391</v>
      </c>
      <c r="F2803" s="74">
        <v>0.1</v>
      </c>
      <c r="G2803" s="74"/>
      <c r="H2803" s="74"/>
      <c r="I2803" s="74" t="s">
        <v>391</v>
      </c>
      <c r="J2803" s="74"/>
      <c r="K2803" s="74">
        <v>102.4</v>
      </c>
      <c r="L2803" s="74">
        <v>92.16</v>
      </c>
      <c r="M2803" s="74"/>
      <c r="N2803" s="74" t="s">
        <v>392</v>
      </c>
      <c r="O2803" s="74" t="s">
        <v>393</v>
      </c>
      <c r="P2803" s="74"/>
      <c r="Q2803" s="74" t="s">
        <v>7113</v>
      </c>
    </row>
    <row r="2804" spans="3:17" x14ac:dyDescent="0.25">
      <c r="C2804" s="74" t="s">
        <v>7114</v>
      </c>
      <c r="D2804" s="74" t="s">
        <v>7115</v>
      </c>
      <c r="E2804" s="74" t="s">
        <v>391</v>
      </c>
      <c r="F2804" s="74">
        <v>0.1</v>
      </c>
      <c r="G2804" s="74"/>
      <c r="H2804" s="74"/>
      <c r="I2804" s="74" t="s">
        <v>391</v>
      </c>
      <c r="J2804" s="74"/>
      <c r="K2804" s="74">
        <v>102.4</v>
      </c>
      <c r="L2804" s="74">
        <v>92.16</v>
      </c>
      <c r="M2804" s="74"/>
      <c r="N2804" s="74" t="s">
        <v>392</v>
      </c>
      <c r="O2804" s="74" t="s">
        <v>393</v>
      </c>
      <c r="P2804" s="74"/>
      <c r="Q2804" s="74" t="s">
        <v>7116</v>
      </c>
    </row>
    <row r="2805" spans="3:17" x14ac:dyDescent="0.25">
      <c r="C2805" s="74" t="s">
        <v>7121</v>
      </c>
      <c r="D2805" s="74" t="s">
        <v>7122</v>
      </c>
      <c r="E2805" s="74" t="s">
        <v>391</v>
      </c>
      <c r="F2805" s="74">
        <v>0.1</v>
      </c>
      <c r="G2805" s="74"/>
      <c r="H2805" s="74"/>
      <c r="I2805" s="74" t="s">
        <v>391</v>
      </c>
      <c r="J2805" s="74"/>
      <c r="K2805" s="74">
        <v>102.4</v>
      </c>
      <c r="L2805" s="74">
        <v>92.16</v>
      </c>
      <c r="M2805" s="74"/>
      <c r="N2805" s="74" t="s">
        <v>392</v>
      </c>
      <c r="O2805" s="74" t="s">
        <v>393</v>
      </c>
      <c r="P2805" s="74"/>
      <c r="Q2805" s="74" t="s">
        <v>7123</v>
      </c>
    </row>
    <row r="2806" spans="3:17" x14ac:dyDescent="0.25">
      <c r="C2806" s="74" t="s">
        <v>7124</v>
      </c>
      <c r="D2806" s="74" t="s">
        <v>7125</v>
      </c>
      <c r="E2806" s="74" t="s">
        <v>391</v>
      </c>
      <c r="F2806" s="74">
        <v>0.1</v>
      </c>
      <c r="G2806" s="74"/>
      <c r="H2806" s="74"/>
      <c r="I2806" s="74" t="s">
        <v>391</v>
      </c>
      <c r="J2806" s="74"/>
      <c r="K2806" s="74">
        <v>102.4</v>
      </c>
      <c r="L2806" s="74">
        <v>92.16</v>
      </c>
      <c r="M2806" s="74"/>
      <c r="N2806" s="74" t="s">
        <v>392</v>
      </c>
      <c r="O2806" s="74" t="s">
        <v>393</v>
      </c>
      <c r="P2806" s="74"/>
      <c r="Q2806" s="74" t="s">
        <v>7126</v>
      </c>
    </row>
    <row r="2807" spans="3:17" x14ac:dyDescent="0.25">
      <c r="C2807" s="74" t="s">
        <v>7127</v>
      </c>
      <c r="D2807" s="74" t="s">
        <v>7128</v>
      </c>
      <c r="E2807" s="74" t="s">
        <v>391</v>
      </c>
      <c r="F2807" s="74">
        <v>0.1</v>
      </c>
      <c r="G2807" s="74"/>
      <c r="H2807" s="74"/>
      <c r="I2807" s="74" t="s">
        <v>391</v>
      </c>
      <c r="J2807" s="74"/>
      <c r="K2807" s="74">
        <v>102.4</v>
      </c>
      <c r="L2807" s="74">
        <v>92.16</v>
      </c>
      <c r="M2807" s="74"/>
      <c r="N2807" s="74" t="s">
        <v>392</v>
      </c>
      <c r="O2807" s="74" t="s">
        <v>393</v>
      </c>
      <c r="P2807" s="74"/>
      <c r="Q2807" s="74" t="s">
        <v>7129</v>
      </c>
    </row>
    <row r="2808" spans="3:17" x14ac:dyDescent="0.25">
      <c r="C2808" s="74" t="s">
        <v>7130</v>
      </c>
      <c r="D2808" s="74" t="s">
        <v>7131</v>
      </c>
      <c r="E2808" s="74" t="s">
        <v>391</v>
      </c>
      <c r="F2808" s="74">
        <v>0.1</v>
      </c>
      <c r="G2808" s="74"/>
      <c r="H2808" s="74"/>
      <c r="I2808" s="74" t="s">
        <v>391</v>
      </c>
      <c r="J2808" s="74"/>
      <c r="K2808" s="74">
        <v>102.4</v>
      </c>
      <c r="L2808" s="74">
        <v>92.16</v>
      </c>
      <c r="M2808" s="74"/>
      <c r="N2808" s="74" t="s">
        <v>392</v>
      </c>
      <c r="O2808" s="74" t="s">
        <v>393</v>
      </c>
      <c r="P2808" s="74"/>
      <c r="Q2808" s="74" t="s">
        <v>7132</v>
      </c>
    </row>
    <row r="2809" spans="3:17" x14ac:dyDescent="0.25">
      <c r="C2809" s="74" t="s">
        <v>7141</v>
      </c>
      <c r="D2809" s="74" t="s">
        <v>7142</v>
      </c>
      <c r="E2809" s="74" t="s">
        <v>391</v>
      </c>
      <c r="F2809" s="74">
        <v>0.1</v>
      </c>
      <c r="G2809" s="74"/>
      <c r="H2809" s="74"/>
      <c r="I2809" s="74" t="s">
        <v>391</v>
      </c>
      <c r="J2809" s="74"/>
      <c r="K2809" s="74">
        <v>102.4</v>
      </c>
      <c r="L2809" s="74">
        <v>92.16</v>
      </c>
      <c r="M2809" s="74"/>
      <c r="N2809" s="74" t="s">
        <v>392</v>
      </c>
      <c r="O2809" s="74" t="s">
        <v>393</v>
      </c>
      <c r="P2809" s="74"/>
      <c r="Q2809" s="74" t="s">
        <v>7143</v>
      </c>
    </row>
    <row r="2810" spans="3:17" x14ac:dyDescent="0.25">
      <c r="C2810" s="74" t="s">
        <v>7170</v>
      </c>
      <c r="D2810" s="74" t="s">
        <v>7171</v>
      </c>
      <c r="E2810" s="74" t="s">
        <v>391</v>
      </c>
      <c r="F2810" s="74">
        <v>0.1</v>
      </c>
      <c r="G2810" s="74"/>
      <c r="H2810" s="74"/>
      <c r="I2810" s="74" t="s">
        <v>391</v>
      </c>
      <c r="J2810" s="74"/>
      <c r="K2810" s="74">
        <v>102.4</v>
      </c>
      <c r="L2810" s="74">
        <v>92.16</v>
      </c>
      <c r="M2810" s="74"/>
      <c r="N2810" s="74" t="s">
        <v>392</v>
      </c>
      <c r="O2810" s="74" t="s">
        <v>393</v>
      </c>
      <c r="P2810" s="74"/>
      <c r="Q2810" s="74" t="s">
        <v>7172</v>
      </c>
    </row>
    <row r="2811" spans="3:17" x14ac:dyDescent="0.25">
      <c r="C2811" s="74" t="s">
        <v>7177</v>
      </c>
      <c r="D2811" s="74" t="s">
        <v>7178</v>
      </c>
      <c r="E2811" s="74" t="s">
        <v>391</v>
      </c>
      <c r="F2811" s="74">
        <v>0.1</v>
      </c>
      <c r="G2811" s="74"/>
      <c r="H2811" s="74"/>
      <c r="I2811" s="74" t="s">
        <v>391</v>
      </c>
      <c r="J2811" s="74"/>
      <c r="K2811" s="74">
        <v>102.4</v>
      </c>
      <c r="L2811" s="74">
        <v>92.16</v>
      </c>
      <c r="M2811" s="74"/>
      <c r="N2811" s="74" t="s">
        <v>392</v>
      </c>
      <c r="O2811" s="74" t="s">
        <v>393</v>
      </c>
      <c r="P2811" s="74"/>
      <c r="Q2811" s="74" t="s">
        <v>7179</v>
      </c>
    </row>
    <row r="2812" spans="3:17" x14ac:dyDescent="0.25">
      <c r="C2812" s="74" t="s">
        <v>7215</v>
      </c>
      <c r="D2812" s="74" t="s">
        <v>7216</v>
      </c>
      <c r="E2812" s="74" t="s">
        <v>391</v>
      </c>
      <c r="F2812" s="74">
        <v>0.1</v>
      </c>
      <c r="G2812" s="74"/>
      <c r="H2812" s="74"/>
      <c r="I2812" s="74" t="s">
        <v>391</v>
      </c>
      <c r="J2812" s="74"/>
      <c r="K2812" s="74">
        <v>102.4</v>
      </c>
      <c r="L2812" s="74">
        <v>92.16</v>
      </c>
      <c r="M2812" s="74"/>
      <c r="N2812" s="74" t="s">
        <v>392</v>
      </c>
      <c r="O2812" s="74" t="s">
        <v>393</v>
      </c>
      <c r="P2812" s="74"/>
      <c r="Q2812" s="74" t="s">
        <v>7217</v>
      </c>
    </row>
    <row r="2813" spans="3:17" x14ac:dyDescent="0.25">
      <c r="C2813" s="74" t="s">
        <v>7218</v>
      </c>
      <c r="D2813" s="74" t="s">
        <v>7219</v>
      </c>
      <c r="E2813" s="74" t="s">
        <v>391</v>
      </c>
      <c r="F2813" s="74">
        <v>0.1</v>
      </c>
      <c r="G2813" s="74"/>
      <c r="H2813" s="74"/>
      <c r="I2813" s="74" t="s">
        <v>391</v>
      </c>
      <c r="J2813" s="74"/>
      <c r="K2813" s="74">
        <v>102.4</v>
      </c>
      <c r="L2813" s="74">
        <v>92.16</v>
      </c>
      <c r="M2813" s="74"/>
      <c r="N2813" s="74" t="s">
        <v>392</v>
      </c>
      <c r="O2813" s="74" t="s">
        <v>393</v>
      </c>
      <c r="P2813" s="74"/>
      <c r="Q2813" s="74" t="s">
        <v>7220</v>
      </c>
    </row>
    <row r="2814" spans="3:17" x14ac:dyDescent="0.25">
      <c r="C2814" s="74" t="s">
        <v>7229</v>
      </c>
      <c r="D2814" s="74" t="s">
        <v>7230</v>
      </c>
      <c r="E2814" s="74" t="s">
        <v>391</v>
      </c>
      <c r="F2814" s="74">
        <v>0.1</v>
      </c>
      <c r="G2814" s="74"/>
      <c r="H2814" s="74"/>
      <c r="I2814" s="74" t="s">
        <v>391</v>
      </c>
      <c r="J2814" s="74"/>
      <c r="K2814" s="74">
        <v>102.4</v>
      </c>
      <c r="L2814" s="74">
        <v>92.16</v>
      </c>
      <c r="M2814" s="74"/>
      <c r="N2814" s="74" t="s">
        <v>392</v>
      </c>
      <c r="O2814" s="74" t="s">
        <v>393</v>
      </c>
      <c r="P2814" s="74"/>
      <c r="Q2814" s="74" t="s">
        <v>7231</v>
      </c>
    </row>
    <row r="2815" spans="3:17" x14ac:dyDescent="0.25">
      <c r="C2815" s="74" t="s">
        <v>7254</v>
      </c>
      <c r="D2815" s="74" t="s">
        <v>7255</v>
      </c>
      <c r="E2815" s="74" t="s">
        <v>391</v>
      </c>
      <c r="F2815" s="74">
        <v>0.1</v>
      </c>
      <c r="G2815" s="74"/>
      <c r="H2815" s="74"/>
      <c r="I2815" s="74" t="s">
        <v>391</v>
      </c>
      <c r="J2815" s="74"/>
      <c r="K2815" s="74">
        <v>102.4</v>
      </c>
      <c r="L2815" s="74">
        <v>92.16</v>
      </c>
      <c r="M2815" s="74"/>
      <c r="N2815" s="74" t="s">
        <v>392</v>
      </c>
      <c r="O2815" s="74" t="s">
        <v>393</v>
      </c>
      <c r="P2815" s="74"/>
      <c r="Q2815" s="74" t="s">
        <v>7256</v>
      </c>
    </row>
    <row r="2816" spans="3:17" x14ac:dyDescent="0.25">
      <c r="C2816" s="74" t="s">
        <v>7276</v>
      </c>
      <c r="D2816" s="74" t="s">
        <v>7277</v>
      </c>
      <c r="E2816" s="74" t="s">
        <v>391</v>
      </c>
      <c r="F2816" s="74">
        <v>0.1</v>
      </c>
      <c r="G2816" s="74"/>
      <c r="H2816" s="74"/>
      <c r="I2816" s="74" t="s">
        <v>391</v>
      </c>
      <c r="J2816" s="74"/>
      <c r="K2816" s="74">
        <v>102.4</v>
      </c>
      <c r="L2816" s="74">
        <v>92.16</v>
      </c>
      <c r="M2816" s="74"/>
      <c r="N2816" s="74" t="s">
        <v>392</v>
      </c>
      <c r="O2816" s="74" t="s">
        <v>393</v>
      </c>
      <c r="P2816" s="74"/>
      <c r="Q2816" s="74" t="s">
        <v>7278</v>
      </c>
    </row>
    <row r="2817" spans="3:17" x14ac:dyDescent="0.25">
      <c r="C2817" s="74" t="s">
        <v>7279</v>
      </c>
      <c r="D2817" s="74" t="s">
        <v>7280</v>
      </c>
      <c r="E2817" s="74" t="s">
        <v>391</v>
      </c>
      <c r="F2817" s="74">
        <v>0.1</v>
      </c>
      <c r="G2817" s="74"/>
      <c r="H2817" s="74"/>
      <c r="I2817" s="74" t="s">
        <v>391</v>
      </c>
      <c r="J2817" s="74"/>
      <c r="K2817" s="74">
        <v>102.4</v>
      </c>
      <c r="L2817" s="74">
        <v>92.16</v>
      </c>
      <c r="M2817" s="74"/>
      <c r="N2817" s="74" t="s">
        <v>392</v>
      </c>
      <c r="O2817" s="74" t="s">
        <v>393</v>
      </c>
      <c r="P2817" s="74"/>
      <c r="Q2817" s="74" t="s">
        <v>7281</v>
      </c>
    </row>
    <row r="2818" spans="3:17" x14ac:dyDescent="0.25">
      <c r="C2818" s="74" t="s">
        <v>7282</v>
      </c>
      <c r="D2818" s="74" t="s">
        <v>7283</v>
      </c>
      <c r="E2818" s="74" t="s">
        <v>391</v>
      </c>
      <c r="F2818" s="74">
        <v>0.1</v>
      </c>
      <c r="G2818" s="74"/>
      <c r="H2818" s="74"/>
      <c r="I2818" s="74" t="s">
        <v>391</v>
      </c>
      <c r="J2818" s="74"/>
      <c r="K2818" s="74">
        <v>102.4</v>
      </c>
      <c r="L2818" s="74">
        <v>92.16</v>
      </c>
      <c r="M2818" s="74"/>
      <c r="N2818" s="74" t="s">
        <v>392</v>
      </c>
      <c r="O2818" s="74" t="s">
        <v>393</v>
      </c>
      <c r="P2818" s="74"/>
      <c r="Q2818" s="74" t="s">
        <v>7284</v>
      </c>
    </row>
    <row r="2819" spans="3:17" x14ac:dyDescent="0.25">
      <c r="C2819" s="74" t="s">
        <v>7308</v>
      </c>
      <c r="D2819" s="74" t="s">
        <v>7309</v>
      </c>
      <c r="E2819" s="74" t="s">
        <v>391</v>
      </c>
      <c r="F2819" s="74">
        <v>0.1</v>
      </c>
      <c r="G2819" s="74"/>
      <c r="H2819" s="74"/>
      <c r="I2819" s="74" t="s">
        <v>391</v>
      </c>
      <c r="J2819" s="74"/>
      <c r="K2819" s="74">
        <v>102.4</v>
      </c>
      <c r="L2819" s="74">
        <v>92.16</v>
      </c>
      <c r="M2819" s="74"/>
      <c r="N2819" s="74" t="s">
        <v>392</v>
      </c>
      <c r="O2819" s="74" t="s">
        <v>393</v>
      </c>
      <c r="P2819" s="74"/>
      <c r="Q2819" s="74" t="s">
        <v>7310</v>
      </c>
    </row>
    <row r="2820" spans="3:17" x14ac:dyDescent="0.25">
      <c r="C2820" s="74" t="s">
        <v>7331</v>
      </c>
      <c r="D2820" s="74" t="s">
        <v>7332</v>
      </c>
      <c r="E2820" s="74" t="s">
        <v>391</v>
      </c>
      <c r="F2820" s="74">
        <v>0.1</v>
      </c>
      <c r="G2820" s="74"/>
      <c r="H2820" s="74"/>
      <c r="I2820" s="74" t="s">
        <v>391</v>
      </c>
      <c r="J2820" s="74"/>
      <c r="K2820" s="74">
        <v>102.4</v>
      </c>
      <c r="L2820" s="74">
        <v>92.16</v>
      </c>
      <c r="M2820" s="74"/>
      <c r="N2820" s="74" t="s">
        <v>392</v>
      </c>
      <c r="O2820" s="74" t="s">
        <v>393</v>
      </c>
      <c r="P2820" s="74"/>
      <c r="Q2820" s="74" t="s">
        <v>7333</v>
      </c>
    </row>
    <row r="2821" spans="3:17" x14ac:dyDescent="0.25">
      <c r="C2821" s="74" t="s">
        <v>7346</v>
      </c>
      <c r="D2821" s="74" t="s">
        <v>7347</v>
      </c>
      <c r="E2821" s="74" t="s">
        <v>391</v>
      </c>
      <c r="F2821" s="74">
        <v>0.1</v>
      </c>
      <c r="G2821" s="74"/>
      <c r="H2821" s="74"/>
      <c r="I2821" s="74" t="s">
        <v>391</v>
      </c>
      <c r="J2821" s="74"/>
      <c r="K2821" s="74">
        <v>102.4</v>
      </c>
      <c r="L2821" s="74">
        <v>92.16</v>
      </c>
      <c r="M2821" s="74"/>
      <c r="N2821" s="74" t="s">
        <v>392</v>
      </c>
      <c r="O2821" s="74" t="s">
        <v>393</v>
      </c>
      <c r="P2821" s="74"/>
      <c r="Q2821" s="74" t="s">
        <v>7348</v>
      </c>
    </row>
    <row r="2822" spans="3:17" x14ac:dyDescent="0.25">
      <c r="C2822" s="74" t="s">
        <v>7349</v>
      </c>
      <c r="D2822" s="74" t="s">
        <v>7350</v>
      </c>
      <c r="E2822" s="74" t="s">
        <v>391</v>
      </c>
      <c r="F2822" s="74">
        <v>0.1</v>
      </c>
      <c r="G2822" s="74"/>
      <c r="H2822" s="74"/>
      <c r="I2822" s="74" t="s">
        <v>391</v>
      </c>
      <c r="J2822" s="74"/>
      <c r="K2822" s="74">
        <v>102.4</v>
      </c>
      <c r="L2822" s="74">
        <v>92.16</v>
      </c>
      <c r="M2822" s="74"/>
      <c r="N2822" s="74" t="s">
        <v>392</v>
      </c>
      <c r="O2822" s="74" t="s">
        <v>393</v>
      </c>
      <c r="P2822" s="74"/>
      <c r="Q2822" s="74" t="s">
        <v>7351</v>
      </c>
    </row>
    <row r="2823" spans="3:17" x14ac:dyDescent="0.25">
      <c r="C2823" s="74" t="s">
        <v>7360</v>
      </c>
      <c r="D2823" s="74" t="s">
        <v>7361</v>
      </c>
      <c r="E2823" s="74"/>
      <c r="F2823" s="74">
        <v>0.1</v>
      </c>
      <c r="G2823" s="74"/>
      <c r="H2823" s="74"/>
      <c r="I2823" s="74" t="s">
        <v>391</v>
      </c>
      <c r="J2823" s="74"/>
      <c r="K2823" s="74">
        <v>102.4</v>
      </c>
      <c r="L2823" s="74">
        <v>92.16</v>
      </c>
      <c r="M2823" s="74"/>
      <c r="N2823" s="74" t="s">
        <v>392</v>
      </c>
      <c r="O2823" s="74" t="s">
        <v>402</v>
      </c>
      <c r="P2823" s="74" t="s">
        <v>7362</v>
      </c>
      <c r="Q2823" s="74" t="s">
        <v>7363</v>
      </c>
    </row>
    <row r="2824" spans="3:17" x14ac:dyDescent="0.25">
      <c r="C2824" s="74" t="s">
        <v>7368</v>
      </c>
      <c r="D2824" s="74" t="s">
        <v>7369</v>
      </c>
      <c r="E2824" s="74" t="s">
        <v>391</v>
      </c>
      <c r="F2824" s="74">
        <v>0.1</v>
      </c>
      <c r="G2824" s="74"/>
      <c r="H2824" s="74"/>
      <c r="I2824" s="74" t="s">
        <v>391</v>
      </c>
      <c r="J2824" s="74"/>
      <c r="K2824" s="74">
        <v>102.4</v>
      </c>
      <c r="L2824" s="74">
        <v>92.16</v>
      </c>
      <c r="M2824" s="74"/>
      <c r="N2824" s="74" t="s">
        <v>392</v>
      </c>
      <c r="O2824" s="74" t="s">
        <v>393</v>
      </c>
      <c r="P2824" s="74"/>
      <c r="Q2824" s="74" t="s">
        <v>7370</v>
      </c>
    </row>
    <row r="2825" spans="3:17" x14ac:dyDescent="0.25">
      <c r="C2825" s="74" t="s">
        <v>7390</v>
      </c>
      <c r="D2825" s="74" t="s">
        <v>7391</v>
      </c>
      <c r="E2825" s="74" t="s">
        <v>391</v>
      </c>
      <c r="F2825" s="74">
        <v>0.1</v>
      </c>
      <c r="G2825" s="74"/>
      <c r="H2825" s="74"/>
      <c r="I2825" s="74" t="s">
        <v>391</v>
      </c>
      <c r="J2825" s="74"/>
      <c r="K2825" s="74">
        <v>102.4</v>
      </c>
      <c r="L2825" s="74">
        <v>92.16</v>
      </c>
      <c r="M2825" s="74"/>
      <c r="N2825" s="74" t="s">
        <v>392</v>
      </c>
      <c r="O2825" s="74" t="s">
        <v>393</v>
      </c>
      <c r="P2825" s="74"/>
      <c r="Q2825" s="74" t="s">
        <v>7392</v>
      </c>
    </row>
    <row r="2826" spans="3:17" x14ac:dyDescent="0.25">
      <c r="C2826" s="74" t="s">
        <v>7405</v>
      </c>
      <c r="D2826" s="74" t="s">
        <v>7406</v>
      </c>
      <c r="E2826" s="74" t="s">
        <v>391</v>
      </c>
      <c r="F2826" s="74">
        <v>0.1</v>
      </c>
      <c r="G2826" s="74"/>
      <c r="H2826" s="74"/>
      <c r="I2826" s="74" t="s">
        <v>391</v>
      </c>
      <c r="J2826" s="74"/>
      <c r="K2826" s="74">
        <v>102.4</v>
      </c>
      <c r="L2826" s="74">
        <v>92.16</v>
      </c>
      <c r="M2826" s="74"/>
      <c r="N2826" s="74" t="s">
        <v>392</v>
      </c>
      <c r="O2826" s="74" t="s">
        <v>393</v>
      </c>
      <c r="P2826" s="74"/>
      <c r="Q2826" s="74" t="s">
        <v>7407</v>
      </c>
    </row>
    <row r="2827" spans="3:17" x14ac:dyDescent="0.25">
      <c r="C2827" s="74" t="s">
        <v>7408</v>
      </c>
      <c r="D2827" s="74" t="s">
        <v>7409</v>
      </c>
      <c r="E2827" s="74" t="s">
        <v>391</v>
      </c>
      <c r="F2827" s="74">
        <v>0.1</v>
      </c>
      <c r="G2827" s="74"/>
      <c r="H2827" s="74"/>
      <c r="I2827" s="74" t="s">
        <v>391</v>
      </c>
      <c r="J2827" s="74"/>
      <c r="K2827" s="74">
        <v>102.4</v>
      </c>
      <c r="L2827" s="74">
        <v>92.16</v>
      </c>
      <c r="M2827" s="74"/>
      <c r="N2827" s="74" t="s">
        <v>392</v>
      </c>
      <c r="O2827" s="74" t="s">
        <v>393</v>
      </c>
      <c r="P2827" s="74"/>
      <c r="Q2827" s="74" t="s">
        <v>7409</v>
      </c>
    </row>
    <row r="2828" spans="3:17" x14ac:dyDescent="0.25">
      <c r="C2828" s="74" t="s">
        <v>7433</v>
      </c>
      <c r="D2828" s="74" t="s">
        <v>7434</v>
      </c>
      <c r="E2828" s="74" t="s">
        <v>391</v>
      </c>
      <c r="F2828" s="74">
        <v>0.1</v>
      </c>
      <c r="G2828" s="74"/>
      <c r="H2828" s="74"/>
      <c r="I2828" s="74" t="s">
        <v>391</v>
      </c>
      <c r="J2828" s="74"/>
      <c r="K2828" s="74">
        <v>102.4</v>
      </c>
      <c r="L2828" s="74">
        <v>92.16</v>
      </c>
      <c r="M2828" s="74"/>
      <c r="N2828" s="74" t="s">
        <v>392</v>
      </c>
      <c r="O2828" s="74" t="s">
        <v>393</v>
      </c>
      <c r="P2828" s="74"/>
      <c r="Q2828" s="74" t="s">
        <v>7435</v>
      </c>
    </row>
    <row r="2829" spans="3:17" x14ac:dyDescent="0.25">
      <c r="C2829" s="74" t="s">
        <v>7439</v>
      </c>
      <c r="D2829" s="74" t="s">
        <v>7440</v>
      </c>
      <c r="E2829" s="74" t="s">
        <v>391</v>
      </c>
      <c r="F2829" s="74">
        <v>0.1</v>
      </c>
      <c r="G2829" s="74"/>
      <c r="H2829" s="74"/>
      <c r="I2829" s="74" t="s">
        <v>391</v>
      </c>
      <c r="J2829" s="74"/>
      <c r="K2829" s="74">
        <v>102.4</v>
      </c>
      <c r="L2829" s="74">
        <v>92.16</v>
      </c>
      <c r="M2829" s="74"/>
      <c r="N2829" s="74" t="s">
        <v>392</v>
      </c>
      <c r="O2829" s="74" t="s">
        <v>393</v>
      </c>
      <c r="P2829" s="74"/>
      <c r="Q2829" s="74" t="s">
        <v>7441</v>
      </c>
    </row>
    <row r="2830" spans="3:17" x14ac:dyDescent="0.25">
      <c r="C2830" s="74" t="s">
        <v>7442</v>
      </c>
      <c r="D2830" s="74" t="s">
        <v>7443</v>
      </c>
      <c r="E2830" s="74" t="s">
        <v>391</v>
      </c>
      <c r="F2830" s="74">
        <v>0.1</v>
      </c>
      <c r="G2830" s="74"/>
      <c r="H2830" s="74"/>
      <c r="I2830" s="74" t="s">
        <v>391</v>
      </c>
      <c r="J2830" s="74"/>
      <c r="K2830" s="74">
        <v>102.4</v>
      </c>
      <c r="L2830" s="74">
        <v>92.16</v>
      </c>
      <c r="M2830" s="74"/>
      <c r="N2830" s="74" t="s">
        <v>392</v>
      </c>
      <c r="O2830" s="74" t="s">
        <v>393</v>
      </c>
      <c r="P2830" s="74"/>
      <c r="Q2830" s="74" t="s">
        <v>7444</v>
      </c>
    </row>
    <row r="2831" spans="3:17" x14ac:dyDescent="0.25">
      <c r="C2831" s="74" t="s">
        <v>7449</v>
      </c>
      <c r="D2831" s="74" t="s">
        <v>7450</v>
      </c>
      <c r="E2831" s="74" t="s">
        <v>391</v>
      </c>
      <c r="F2831" s="74">
        <v>0.1</v>
      </c>
      <c r="G2831" s="74"/>
      <c r="H2831" s="74"/>
      <c r="I2831" s="74" t="s">
        <v>391</v>
      </c>
      <c r="J2831" s="74"/>
      <c r="K2831" s="74">
        <v>102.4</v>
      </c>
      <c r="L2831" s="74">
        <v>92.16</v>
      </c>
      <c r="M2831" s="74"/>
      <c r="N2831" s="74" t="s">
        <v>392</v>
      </c>
      <c r="O2831" s="74" t="s">
        <v>393</v>
      </c>
      <c r="P2831" s="74"/>
      <c r="Q2831" s="74" t="s">
        <v>7451</v>
      </c>
    </row>
    <row r="2832" spans="3:17" x14ac:dyDescent="0.25">
      <c r="C2832" s="74" t="s">
        <v>7452</v>
      </c>
      <c r="D2832" s="74" t="s">
        <v>7453</v>
      </c>
      <c r="E2832" s="74" t="s">
        <v>391</v>
      </c>
      <c r="F2832" s="74">
        <v>0.1</v>
      </c>
      <c r="G2832" s="74"/>
      <c r="H2832" s="74"/>
      <c r="I2832" s="74" t="s">
        <v>391</v>
      </c>
      <c r="J2832" s="74"/>
      <c r="K2832" s="74">
        <v>102.4</v>
      </c>
      <c r="L2832" s="74">
        <v>92.16</v>
      </c>
      <c r="M2832" s="74"/>
      <c r="N2832" s="74" t="s">
        <v>392</v>
      </c>
      <c r="O2832" s="74" t="s">
        <v>393</v>
      </c>
      <c r="P2832" s="74"/>
      <c r="Q2832" s="74" t="s">
        <v>7454</v>
      </c>
    </row>
    <row r="2833" spans="3:17" x14ac:dyDescent="0.25">
      <c r="C2833" s="74" t="s">
        <v>7462</v>
      </c>
      <c r="D2833" s="74" t="s">
        <v>7463</v>
      </c>
      <c r="E2833" s="74" t="s">
        <v>391</v>
      </c>
      <c r="F2833" s="74">
        <v>0.1</v>
      </c>
      <c r="G2833" s="74"/>
      <c r="H2833" s="74"/>
      <c r="I2833" s="74" t="s">
        <v>391</v>
      </c>
      <c r="J2833" s="74"/>
      <c r="K2833" s="74">
        <v>102.4</v>
      </c>
      <c r="L2833" s="74">
        <v>92.16</v>
      </c>
      <c r="M2833" s="74"/>
      <c r="N2833" s="74" t="s">
        <v>392</v>
      </c>
      <c r="O2833" s="74" t="s">
        <v>393</v>
      </c>
      <c r="P2833" s="74"/>
      <c r="Q2833" s="74" t="s">
        <v>7464</v>
      </c>
    </row>
    <row r="2834" spans="3:17" x14ac:dyDescent="0.25">
      <c r="C2834" s="74" t="s">
        <v>7484</v>
      </c>
      <c r="D2834" s="74" t="s">
        <v>7485</v>
      </c>
      <c r="E2834" s="74" t="s">
        <v>391</v>
      </c>
      <c r="F2834" s="74">
        <v>0.1</v>
      </c>
      <c r="G2834" s="74"/>
      <c r="H2834" s="74"/>
      <c r="I2834" s="74" t="s">
        <v>391</v>
      </c>
      <c r="J2834" s="74"/>
      <c r="K2834" s="74">
        <v>102.4</v>
      </c>
      <c r="L2834" s="74">
        <v>92.16</v>
      </c>
      <c r="M2834" s="74"/>
      <c r="N2834" s="74" t="s">
        <v>392</v>
      </c>
      <c r="O2834" s="74" t="s">
        <v>393</v>
      </c>
      <c r="P2834" s="74"/>
      <c r="Q2834" s="74" t="s">
        <v>7486</v>
      </c>
    </row>
    <row r="2835" spans="3:17" x14ac:dyDescent="0.25">
      <c r="C2835" s="74" t="s">
        <v>7493</v>
      </c>
      <c r="D2835" s="74" t="s">
        <v>7494</v>
      </c>
      <c r="E2835" s="74" t="s">
        <v>391</v>
      </c>
      <c r="F2835" s="74">
        <v>0.1</v>
      </c>
      <c r="G2835" s="74"/>
      <c r="H2835" s="74"/>
      <c r="I2835" s="74" t="s">
        <v>391</v>
      </c>
      <c r="J2835" s="74"/>
      <c r="K2835" s="74">
        <v>102.4</v>
      </c>
      <c r="L2835" s="74">
        <v>92.16</v>
      </c>
      <c r="M2835" s="74"/>
      <c r="N2835" s="74" t="s">
        <v>392</v>
      </c>
      <c r="O2835" s="74" t="s">
        <v>393</v>
      </c>
      <c r="P2835" s="74"/>
      <c r="Q2835" s="74" t="s">
        <v>7495</v>
      </c>
    </row>
    <row r="2836" spans="3:17" x14ac:dyDescent="0.25">
      <c r="C2836" s="74" t="s">
        <v>7500</v>
      </c>
      <c r="D2836" s="74" t="s">
        <v>7501</v>
      </c>
      <c r="E2836" s="74" t="s">
        <v>391</v>
      </c>
      <c r="F2836" s="74">
        <v>0.1</v>
      </c>
      <c r="G2836" s="74"/>
      <c r="H2836" s="74"/>
      <c r="I2836" s="74" t="s">
        <v>391</v>
      </c>
      <c r="J2836" s="74"/>
      <c r="K2836" s="74">
        <v>102.4</v>
      </c>
      <c r="L2836" s="74">
        <v>92.16</v>
      </c>
      <c r="M2836" s="74"/>
      <c r="N2836" s="74" t="s">
        <v>392</v>
      </c>
      <c r="O2836" s="74" t="s">
        <v>393</v>
      </c>
      <c r="P2836" s="74"/>
      <c r="Q2836" s="74" t="s">
        <v>7502</v>
      </c>
    </row>
    <row r="2837" spans="3:17" x14ac:dyDescent="0.25">
      <c r="C2837" s="74" t="s">
        <v>7534</v>
      </c>
      <c r="D2837" s="74" t="s">
        <v>7535</v>
      </c>
      <c r="E2837" s="74" t="s">
        <v>391</v>
      </c>
      <c r="F2837" s="74">
        <v>0.1</v>
      </c>
      <c r="G2837" s="74"/>
      <c r="H2837" s="74"/>
      <c r="I2837" s="74" t="s">
        <v>391</v>
      </c>
      <c r="J2837" s="74"/>
      <c r="K2837" s="74">
        <v>102.4</v>
      </c>
      <c r="L2837" s="74">
        <v>92.16</v>
      </c>
      <c r="M2837" s="74"/>
      <c r="N2837" s="74" t="s">
        <v>392</v>
      </c>
      <c r="O2837" s="74" t="s">
        <v>393</v>
      </c>
      <c r="P2837" s="74"/>
      <c r="Q2837" s="74" t="s">
        <v>7536</v>
      </c>
    </row>
    <row r="2838" spans="3:17" x14ac:dyDescent="0.25">
      <c r="C2838" s="74" t="s">
        <v>7541</v>
      </c>
      <c r="D2838" s="74" t="s">
        <v>7542</v>
      </c>
      <c r="E2838" s="74" t="s">
        <v>391</v>
      </c>
      <c r="F2838" s="74">
        <v>0.1</v>
      </c>
      <c r="G2838" s="74"/>
      <c r="H2838" s="74"/>
      <c r="I2838" s="74" t="s">
        <v>391</v>
      </c>
      <c r="J2838" s="74"/>
      <c r="K2838" s="74">
        <v>102.4</v>
      </c>
      <c r="L2838" s="74">
        <v>92.16</v>
      </c>
      <c r="M2838" s="74"/>
      <c r="N2838" s="74" t="s">
        <v>392</v>
      </c>
      <c r="O2838" s="74" t="s">
        <v>393</v>
      </c>
      <c r="P2838" s="74"/>
      <c r="Q2838" s="74" t="s">
        <v>7543</v>
      </c>
    </row>
    <row r="2839" spans="3:17" x14ac:dyDescent="0.25">
      <c r="C2839" s="74" t="s">
        <v>7544</v>
      </c>
      <c r="D2839" s="74" t="s">
        <v>7545</v>
      </c>
      <c r="E2839" s="74" t="s">
        <v>391</v>
      </c>
      <c r="F2839" s="74">
        <v>0.1</v>
      </c>
      <c r="G2839" s="74"/>
      <c r="H2839" s="74"/>
      <c r="I2839" s="74" t="s">
        <v>391</v>
      </c>
      <c r="J2839" s="74"/>
      <c r="K2839" s="74">
        <v>102.4</v>
      </c>
      <c r="L2839" s="74">
        <v>92.16</v>
      </c>
      <c r="M2839" s="74"/>
      <c r="N2839" s="74" t="s">
        <v>392</v>
      </c>
      <c r="O2839" s="74" t="s">
        <v>393</v>
      </c>
      <c r="P2839" s="74"/>
      <c r="Q2839" s="74" t="s">
        <v>7546</v>
      </c>
    </row>
    <row r="2840" spans="3:17" x14ac:dyDescent="0.25">
      <c r="C2840" s="74" t="s">
        <v>7547</v>
      </c>
      <c r="D2840" s="74" t="s">
        <v>7548</v>
      </c>
      <c r="E2840" s="74" t="s">
        <v>391</v>
      </c>
      <c r="F2840" s="74">
        <v>0.1</v>
      </c>
      <c r="G2840" s="74"/>
      <c r="H2840" s="74"/>
      <c r="I2840" s="74" t="s">
        <v>391</v>
      </c>
      <c r="J2840" s="74"/>
      <c r="K2840" s="74">
        <v>102.4</v>
      </c>
      <c r="L2840" s="74">
        <v>92.16</v>
      </c>
      <c r="M2840" s="74"/>
      <c r="N2840" s="74" t="s">
        <v>392</v>
      </c>
      <c r="O2840" s="74" t="s">
        <v>393</v>
      </c>
      <c r="P2840" s="74"/>
      <c r="Q2840" s="74" t="s">
        <v>7549</v>
      </c>
    </row>
    <row r="2841" spans="3:17" x14ac:dyDescent="0.25">
      <c r="C2841" s="74" t="s">
        <v>7566</v>
      </c>
      <c r="D2841" s="74" t="s">
        <v>7567</v>
      </c>
      <c r="E2841" s="74" t="s">
        <v>391</v>
      </c>
      <c r="F2841" s="74">
        <v>0.1</v>
      </c>
      <c r="G2841" s="74"/>
      <c r="H2841" s="74"/>
      <c r="I2841" s="74" t="s">
        <v>391</v>
      </c>
      <c r="J2841" s="74"/>
      <c r="K2841" s="74">
        <v>102.4</v>
      </c>
      <c r="L2841" s="74">
        <v>92.16</v>
      </c>
      <c r="M2841" s="74"/>
      <c r="N2841" s="74" t="s">
        <v>392</v>
      </c>
      <c r="O2841" s="74" t="s">
        <v>393</v>
      </c>
      <c r="P2841" s="74"/>
      <c r="Q2841" s="74" t="s">
        <v>7568</v>
      </c>
    </row>
    <row r="2842" spans="3:17" x14ac:dyDescent="0.25">
      <c r="C2842" s="74" t="s">
        <v>7580</v>
      </c>
      <c r="D2842" s="74" t="s">
        <v>7581</v>
      </c>
      <c r="E2842" s="74" t="s">
        <v>391</v>
      </c>
      <c r="F2842" s="74">
        <v>0.1</v>
      </c>
      <c r="G2842" s="74"/>
      <c r="H2842" s="74"/>
      <c r="I2842" s="74" t="s">
        <v>391</v>
      </c>
      <c r="J2842" s="74"/>
      <c r="K2842" s="74">
        <v>102.4</v>
      </c>
      <c r="L2842" s="74">
        <v>92.16</v>
      </c>
      <c r="M2842" s="74"/>
      <c r="N2842" s="74" t="s">
        <v>392</v>
      </c>
      <c r="O2842" s="74" t="s">
        <v>393</v>
      </c>
      <c r="P2842" s="74"/>
      <c r="Q2842" s="74" t="s">
        <v>7582</v>
      </c>
    </row>
    <row r="2843" spans="3:17" x14ac:dyDescent="0.25">
      <c r="C2843" s="74" t="s">
        <v>7591</v>
      </c>
      <c r="D2843" s="74" t="s">
        <v>7592</v>
      </c>
      <c r="E2843" s="74" t="s">
        <v>391</v>
      </c>
      <c r="F2843" s="74">
        <v>0.1</v>
      </c>
      <c r="G2843" s="74"/>
      <c r="H2843" s="74"/>
      <c r="I2843" s="74" t="s">
        <v>391</v>
      </c>
      <c r="J2843" s="74"/>
      <c r="K2843" s="74">
        <v>102.4</v>
      </c>
      <c r="L2843" s="74">
        <v>92.16</v>
      </c>
      <c r="M2843" s="74"/>
      <c r="N2843" s="74" t="s">
        <v>392</v>
      </c>
      <c r="O2843" s="74" t="s">
        <v>393</v>
      </c>
      <c r="P2843" s="74"/>
      <c r="Q2843" s="74" t="s">
        <v>7593</v>
      </c>
    </row>
    <row r="2844" spans="3:17" x14ac:dyDescent="0.25">
      <c r="C2844" s="74" t="s">
        <v>7600</v>
      </c>
      <c r="D2844" s="74" t="s">
        <v>7601</v>
      </c>
      <c r="E2844" s="74" t="s">
        <v>391</v>
      </c>
      <c r="F2844" s="74">
        <v>0.1</v>
      </c>
      <c r="G2844" s="74"/>
      <c r="H2844" s="74"/>
      <c r="I2844" s="74" t="s">
        <v>391</v>
      </c>
      <c r="J2844" s="74"/>
      <c r="K2844" s="74">
        <v>102.4</v>
      </c>
      <c r="L2844" s="74">
        <v>92.16</v>
      </c>
      <c r="M2844" s="74"/>
      <c r="N2844" s="74" t="s">
        <v>392</v>
      </c>
      <c r="O2844" s="74" t="s">
        <v>393</v>
      </c>
      <c r="P2844" s="74"/>
      <c r="Q2844" s="74" t="s">
        <v>7602</v>
      </c>
    </row>
    <row r="2845" spans="3:17" x14ac:dyDescent="0.25">
      <c r="C2845" s="74" t="s">
        <v>7603</v>
      </c>
      <c r="D2845" s="74" t="s">
        <v>7604</v>
      </c>
      <c r="E2845" s="74" t="s">
        <v>391</v>
      </c>
      <c r="F2845" s="74">
        <v>0.1</v>
      </c>
      <c r="G2845" s="74"/>
      <c r="H2845" s="74"/>
      <c r="I2845" s="74" t="s">
        <v>391</v>
      </c>
      <c r="J2845" s="74"/>
      <c r="K2845" s="74">
        <v>102.4</v>
      </c>
      <c r="L2845" s="74">
        <v>92.16</v>
      </c>
      <c r="M2845" s="74"/>
      <c r="N2845" s="74" t="s">
        <v>392</v>
      </c>
      <c r="O2845" s="74" t="s">
        <v>393</v>
      </c>
      <c r="P2845" s="74"/>
      <c r="Q2845" s="74" t="s">
        <v>7605</v>
      </c>
    </row>
    <row r="2846" spans="3:17" x14ac:dyDescent="0.25">
      <c r="C2846" s="74" t="s">
        <v>7614</v>
      </c>
      <c r="D2846" s="74" t="s">
        <v>7615</v>
      </c>
      <c r="E2846" s="74" t="s">
        <v>391</v>
      </c>
      <c r="F2846" s="74">
        <v>0.1</v>
      </c>
      <c r="G2846" s="74"/>
      <c r="H2846" s="74"/>
      <c r="I2846" s="74" t="s">
        <v>391</v>
      </c>
      <c r="J2846" s="74"/>
      <c r="K2846" s="74">
        <v>102.4</v>
      </c>
      <c r="L2846" s="74">
        <v>92.16</v>
      </c>
      <c r="M2846" s="74"/>
      <c r="N2846" s="74" t="s">
        <v>392</v>
      </c>
      <c r="O2846" s="74" t="s">
        <v>393</v>
      </c>
      <c r="P2846" s="74"/>
      <c r="Q2846" s="74" t="s">
        <v>7616</v>
      </c>
    </row>
    <row r="2847" spans="3:17" x14ac:dyDescent="0.25">
      <c r="C2847" s="74" t="s">
        <v>7617</v>
      </c>
      <c r="D2847" s="74" t="s">
        <v>7618</v>
      </c>
      <c r="E2847" s="74" t="s">
        <v>391</v>
      </c>
      <c r="F2847" s="74">
        <v>0.1</v>
      </c>
      <c r="G2847" s="74"/>
      <c r="H2847" s="74"/>
      <c r="I2847" s="74" t="s">
        <v>391</v>
      </c>
      <c r="J2847" s="74"/>
      <c r="K2847" s="74">
        <v>102.4</v>
      </c>
      <c r="L2847" s="74">
        <v>92.16</v>
      </c>
      <c r="M2847" s="74"/>
      <c r="N2847" s="74" t="s">
        <v>392</v>
      </c>
      <c r="O2847" s="74" t="s">
        <v>393</v>
      </c>
      <c r="P2847" s="74"/>
      <c r="Q2847" s="74" t="s">
        <v>7618</v>
      </c>
    </row>
    <row r="2848" spans="3:17" x14ac:dyDescent="0.25">
      <c r="C2848" s="74" t="s">
        <v>7623</v>
      </c>
      <c r="D2848" s="74" t="s">
        <v>7624</v>
      </c>
      <c r="E2848" s="74" t="s">
        <v>391</v>
      </c>
      <c r="F2848" s="74">
        <v>0.1</v>
      </c>
      <c r="G2848" s="74"/>
      <c r="H2848" s="74"/>
      <c r="I2848" s="74" t="s">
        <v>391</v>
      </c>
      <c r="J2848" s="74"/>
      <c r="K2848" s="74">
        <v>102.4</v>
      </c>
      <c r="L2848" s="74">
        <v>92.16</v>
      </c>
      <c r="M2848" s="74"/>
      <c r="N2848" s="74" t="s">
        <v>392</v>
      </c>
      <c r="O2848" s="74" t="s">
        <v>393</v>
      </c>
      <c r="P2848" s="74"/>
      <c r="Q2848" s="74" t="s">
        <v>7625</v>
      </c>
    </row>
    <row r="2849" spans="3:17" x14ac:dyDescent="0.25">
      <c r="C2849" s="74" t="s">
        <v>7626</v>
      </c>
      <c r="D2849" s="74" t="s">
        <v>7627</v>
      </c>
      <c r="E2849" s="74" t="s">
        <v>391</v>
      </c>
      <c r="F2849" s="74">
        <v>0.1</v>
      </c>
      <c r="G2849" s="74"/>
      <c r="H2849" s="74"/>
      <c r="I2849" s="74" t="s">
        <v>391</v>
      </c>
      <c r="J2849" s="74"/>
      <c r="K2849" s="74">
        <v>102.4</v>
      </c>
      <c r="L2849" s="74">
        <v>92.16</v>
      </c>
      <c r="M2849" s="74"/>
      <c r="N2849" s="74" t="s">
        <v>392</v>
      </c>
      <c r="O2849" s="74" t="s">
        <v>393</v>
      </c>
      <c r="P2849" s="74"/>
      <c r="Q2849" s="74" t="s">
        <v>7628</v>
      </c>
    </row>
    <row r="2850" spans="3:17" x14ac:dyDescent="0.25">
      <c r="C2850" s="74" t="s">
        <v>7629</v>
      </c>
      <c r="D2850" s="74" t="s">
        <v>7630</v>
      </c>
      <c r="E2850" s="74" t="s">
        <v>391</v>
      </c>
      <c r="F2850" s="74">
        <v>0.1</v>
      </c>
      <c r="G2850" s="74"/>
      <c r="H2850" s="74"/>
      <c r="I2850" s="74" t="s">
        <v>391</v>
      </c>
      <c r="J2850" s="74"/>
      <c r="K2850" s="74">
        <v>102.4</v>
      </c>
      <c r="L2850" s="74">
        <v>92.16</v>
      </c>
      <c r="M2850" s="74"/>
      <c r="N2850" s="74" t="s">
        <v>392</v>
      </c>
      <c r="O2850" s="74" t="s">
        <v>393</v>
      </c>
      <c r="P2850" s="74"/>
      <c r="Q2850" s="74" t="s">
        <v>7631</v>
      </c>
    </row>
    <row r="2851" spans="3:17" x14ac:dyDescent="0.25">
      <c r="C2851" s="74" t="s">
        <v>7636</v>
      </c>
      <c r="D2851" s="74" t="s">
        <v>7637</v>
      </c>
      <c r="E2851" s="74" t="s">
        <v>391</v>
      </c>
      <c r="F2851" s="74">
        <v>0.1</v>
      </c>
      <c r="G2851" s="74"/>
      <c r="H2851" s="74"/>
      <c r="I2851" s="74" t="s">
        <v>391</v>
      </c>
      <c r="J2851" s="74"/>
      <c r="K2851" s="74">
        <v>102.4</v>
      </c>
      <c r="L2851" s="74">
        <v>92.16</v>
      </c>
      <c r="M2851" s="74"/>
      <c r="N2851" s="74" t="s">
        <v>392</v>
      </c>
      <c r="O2851" s="74" t="s">
        <v>393</v>
      </c>
      <c r="P2851" s="74"/>
      <c r="Q2851" s="74" t="s">
        <v>7638</v>
      </c>
    </row>
    <row r="2852" spans="3:17" x14ac:dyDescent="0.25">
      <c r="C2852" s="74" t="s">
        <v>7642</v>
      </c>
      <c r="D2852" s="74" t="s">
        <v>7643</v>
      </c>
      <c r="E2852" s="74" t="s">
        <v>391</v>
      </c>
      <c r="F2852" s="74">
        <v>0.1</v>
      </c>
      <c r="G2852" s="74"/>
      <c r="H2852" s="74"/>
      <c r="I2852" s="74" t="s">
        <v>391</v>
      </c>
      <c r="J2852" s="74"/>
      <c r="K2852" s="74">
        <v>102.4</v>
      </c>
      <c r="L2852" s="74">
        <v>92.16</v>
      </c>
      <c r="M2852" s="74"/>
      <c r="N2852" s="74" t="s">
        <v>392</v>
      </c>
      <c r="O2852" s="74" t="s">
        <v>393</v>
      </c>
      <c r="P2852" s="74"/>
      <c r="Q2852" s="74" t="s">
        <v>7644</v>
      </c>
    </row>
    <row r="2853" spans="3:17" x14ac:dyDescent="0.25">
      <c r="C2853" s="74" t="s">
        <v>7650</v>
      </c>
      <c r="D2853" s="74" t="s">
        <v>7651</v>
      </c>
      <c r="E2853" s="74" t="s">
        <v>391</v>
      </c>
      <c r="F2853" s="74">
        <v>0.1</v>
      </c>
      <c r="G2853" s="74"/>
      <c r="H2853" s="74"/>
      <c r="I2853" s="74" t="s">
        <v>391</v>
      </c>
      <c r="J2853" s="74"/>
      <c r="K2853" s="74">
        <v>102.4</v>
      </c>
      <c r="L2853" s="74">
        <v>92.16</v>
      </c>
      <c r="M2853" s="74"/>
      <c r="N2853" s="74" t="s">
        <v>392</v>
      </c>
      <c r="O2853" s="74" t="s">
        <v>393</v>
      </c>
      <c r="P2853" s="74"/>
      <c r="Q2853" s="74" t="s">
        <v>7652</v>
      </c>
    </row>
    <row r="2854" spans="3:17" x14ac:dyDescent="0.25">
      <c r="C2854" s="74" t="s">
        <v>7657</v>
      </c>
      <c r="D2854" s="74" t="s">
        <v>7658</v>
      </c>
      <c r="E2854" s="74" t="s">
        <v>391</v>
      </c>
      <c r="F2854" s="74">
        <v>0.1</v>
      </c>
      <c r="G2854" s="74"/>
      <c r="H2854" s="74"/>
      <c r="I2854" s="74" t="s">
        <v>391</v>
      </c>
      <c r="J2854" s="74"/>
      <c r="K2854" s="74">
        <v>102.4</v>
      </c>
      <c r="L2854" s="74">
        <v>92.16</v>
      </c>
      <c r="M2854" s="74"/>
      <c r="N2854" s="74" t="s">
        <v>392</v>
      </c>
      <c r="O2854" s="74" t="s">
        <v>393</v>
      </c>
      <c r="P2854" s="74"/>
      <c r="Q2854" s="74" t="s">
        <v>7659</v>
      </c>
    </row>
    <row r="2855" spans="3:17" x14ac:dyDescent="0.25">
      <c r="C2855" s="158" t="s">
        <v>7674</v>
      </c>
      <c r="D2855" s="158" t="s">
        <v>7675</v>
      </c>
      <c r="E2855" s="158" t="s">
        <v>391</v>
      </c>
      <c r="F2855" s="158">
        <v>0.1</v>
      </c>
      <c r="I2855" s="158" t="s">
        <v>391</v>
      </c>
      <c r="K2855" s="158">
        <v>102.4</v>
      </c>
      <c r="L2855" s="158">
        <v>92.16</v>
      </c>
      <c r="N2855" s="158" t="s">
        <v>392</v>
      </c>
      <c r="O2855" s="158" t="s">
        <v>393</v>
      </c>
      <c r="Q2855" s="158" t="s">
        <v>7676</v>
      </c>
    </row>
    <row r="2856" spans="3:17" x14ac:dyDescent="0.25">
      <c r="C2856" s="74" t="s">
        <v>7677</v>
      </c>
      <c r="D2856" s="74" t="s">
        <v>7678</v>
      </c>
      <c r="E2856" s="74" t="s">
        <v>391</v>
      </c>
      <c r="F2856" s="74">
        <v>0.1</v>
      </c>
      <c r="G2856" s="74"/>
      <c r="H2856" s="74"/>
      <c r="I2856" s="74" t="s">
        <v>391</v>
      </c>
      <c r="J2856" s="74"/>
      <c r="K2856" s="74">
        <v>102.4</v>
      </c>
      <c r="L2856" s="74">
        <v>92.16</v>
      </c>
      <c r="M2856" s="74"/>
      <c r="N2856" s="74" t="s">
        <v>392</v>
      </c>
      <c r="O2856" s="74" t="s">
        <v>393</v>
      </c>
      <c r="P2856" s="74"/>
      <c r="Q2856" s="74" t="s">
        <v>7679</v>
      </c>
    </row>
    <row r="2857" spans="3:17" x14ac:dyDescent="0.25">
      <c r="C2857" s="74" t="s">
        <v>7680</v>
      </c>
      <c r="D2857" s="74" t="s">
        <v>7681</v>
      </c>
      <c r="E2857" s="74" t="s">
        <v>391</v>
      </c>
      <c r="F2857" s="74">
        <v>0.1</v>
      </c>
      <c r="G2857" s="74"/>
      <c r="H2857" s="74"/>
      <c r="I2857" s="74" t="s">
        <v>391</v>
      </c>
      <c r="J2857" s="74"/>
      <c r="K2857" s="74">
        <v>102.4</v>
      </c>
      <c r="L2857" s="74">
        <v>92.16</v>
      </c>
      <c r="M2857" s="74"/>
      <c r="N2857" s="74" t="s">
        <v>392</v>
      </c>
      <c r="O2857" s="74" t="s">
        <v>393</v>
      </c>
      <c r="P2857" s="74"/>
      <c r="Q2857" s="74" t="s">
        <v>7682</v>
      </c>
    </row>
    <row r="2858" spans="3:17" x14ac:dyDescent="0.25">
      <c r="C2858" s="74" t="s">
        <v>7687</v>
      </c>
      <c r="D2858" s="74" t="s">
        <v>7688</v>
      </c>
      <c r="E2858" s="74" t="s">
        <v>391</v>
      </c>
      <c r="F2858" s="74">
        <v>0.1</v>
      </c>
      <c r="G2858" s="74"/>
      <c r="H2858" s="74"/>
      <c r="I2858" s="74" t="s">
        <v>391</v>
      </c>
      <c r="J2858" s="74"/>
      <c r="K2858" s="74">
        <v>102.4</v>
      </c>
      <c r="L2858" s="74">
        <v>92.16</v>
      </c>
      <c r="M2858" s="74"/>
      <c r="N2858" s="74" t="s">
        <v>392</v>
      </c>
      <c r="O2858" s="74" t="s">
        <v>393</v>
      </c>
      <c r="P2858" s="74"/>
      <c r="Q2858" s="74" t="s">
        <v>7689</v>
      </c>
    </row>
    <row r="2859" spans="3:17" x14ac:dyDescent="0.25">
      <c r="C2859" s="74" t="s">
        <v>7714</v>
      </c>
      <c r="D2859" s="74" t="s">
        <v>7715</v>
      </c>
      <c r="E2859" s="74" t="s">
        <v>391</v>
      </c>
      <c r="F2859" s="74">
        <v>0.1</v>
      </c>
      <c r="G2859" s="74"/>
      <c r="H2859" s="74"/>
      <c r="I2859" s="74" t="s">
        <v>391</v>
      </c>
      <c r="J2859" s="74"/>
      <c r="K2859" s="74">
        <v>102.4</v>
      </c>
      <c r="L2859" s="74">
        <v>92.16</v>
      </c>
      <c r="M2859" s="74"/>
      <c r="N2859" s="74" t="s">
        <v>392</v>
      </c>
      <c r="O2859" s="74" t="s">
        <v>393</v>
      </c>
      <c r="P2859" s="74"/>
      <c r="Q2859" s="74" t="s">
        <v>7716</v>
      </c>
    </row>
    <row r="2860" spans="3:17" x14ac:dyDescent="0.25">
      <c r="C2860" s="74" t="s">
        <v>7717</v>
      </c>
      <c r="D2860" s="74" t="s">
        <v>7718</v>
      </c>
      <c r="E2860" s="74" t="s">
        <v>391</v>
      </c>
      <c r="F2860" s="74">
        <v>0.1</v>
      </c>
      <c r="G2860" s="74"/>
      <c r="H2860" s="74"/>
      <c r="I2860" s="74" t="s">
        <v>391</v>
      </c>
      <c r="J2860" s="74"/>
      <c r="K2860" s="74">
        <v>102.4</v>
      </c>
      <c r="L2860" s="74">
        <v>92.16</v>
      </c>
      <c r="M2860" s="74"/>
      <c r="N2860" s="74" t="s">
        <v>392</v>
      </c>
      <c r="O2860" s="74" t="s">
        <v>393</v>
      </c>
      <c r="P2860" s="74"/>
      <c r="Q2860" s="74" t="s">
        <v>7719</v>
      </c>
    </row>
    <row r="2861" spans="3:17" x14ac:dyDescent="0.25">
      <c r="C2861" s="74" t="s">
        <v>7724</v>
      </c>
      <c r="D2861" s="74" t="s">
        <v>7725</v>
      </c>
      <c r="E2861" s="74" t="s">
        <v>391</v>
      </c>
      <c r="F2861" s="74">
        <v>0.1</v>
      </c>
      <c r="G2861" s="74"/>
      <c r="H2861" s="74"/>
      <c r="I2861" s="74" t="s">
        <v>391</v>
      </c>
      <c r="J2861" s="74"/>
      <c r="K2861" s="74">
        <v>102.4</v>
      </c>
      <c r="L2861" s="74">
        <v>92.16</v>
      </c>
      <c r="M2861" s="74"/>
      <c r="N2861" s="74" t="s">
        <v>392</v>
      </c>
      <c r="O2861" s="74" t="s">
        <v>393</v>
      </c>
      <c r="P2861" s="74"/>
      <c r="Q2861" s="74" t="s">
        <v>7726</v>
      </c>
    </row>
    <row r="2862" spans="3:17" x14ac:dyDescent="0.25">
      <c r="C2862" s="74" t="s">
        <v>7735</v>
      </c>
      <c r="D2862" s="74" t="s">
        <v>7736</v>
      </c>
      <c r="E2862" s="74" t="s">
        <v>391</v>
      </c>
      <c r="F2862" s="74">
        <v>0.1</v>
      </c>
      <c r="G2862" s="74"/>
      <c r="H2862" s="74"/>
      <c r="I2862" s="74" t="s">
        <v>391</v>
      </c>
      <c r="J2862" s="74"/>
      <c r="K2862" s="74">
        <v>102.4</v>
      </c>
      <c r="L2862" s="74">
        <v>92.16</v>
      </c>
      <c r="M2862" s="74"/>
      <c r="N2862" s="74" t="s">
        <v>392</v>
      </c>
      <c r="O2862" s="74" t="s">
        <v>393</v>
      </c>
      <c r="P2862" s="74"/>
      <c r="Q2862" s="74" t="s">
        <v>7737</v>
      </c>
    </row>
    <row r="2863" spans="3:17" x14ac:dyDescent="0.25">
      <c r="C2863" s="74" t="s">
        <v>7738</v>
      </c>
      <c r="D2863" s="74" t="s">
        <v>7739</v>
      </c>
      <c r="E2863" s="74" t="s">
        <v>391</v>
      </c>
      <c r="F2863" s="74">
        <v>0.1</v>
      </c>
      <c r="G2863" s="74"/>
      <c r="H2863" s="74"/>
      <c r="I2863" s="74" t="s">
        <v>391</v>
      </c>
      <c r="J2863" s="74"/>
      <c r="K2863" s="74">
        <v>102.4</v>
      </c>
      <c r="L2863" s="74">
        <v>92.16</v>
      </c>
      <c r="M2863" s="74"/>
      <c r="N2863" s="74" t="s">
        <v>392</v>
      </c>
      <c r="O2863" s="74" t="s">
        <v>393</v>
      </c>
      <c r="P2863" s="74"/>
      <c r="Q2863" s="74" t="s">
        <v>7740</v>
      </c>
    </row>
    <row r="2864" spans="3:17" x14ac:dyDescent="0.25">
      <c r="C2864" s="74" t="s">
        <v>7757</v>
      </c>
      <c r="D2864" s="74" t="s">
        <v>7758</v>
      </c>
      <c r="E2864" s="74" t="s">
        <v>391</v>
      </c>
      <c r="F2864" s="74">
        <v>0.1</v>
      </c>
      <c r="G2864" s="74"/>
      <c r="H2864" s="74"/>
      <c r="I2864" s="74" t="s">
        <v>391</v>
      </c>
      <c r="J2864" s="74"/>
      <c r="K2864" s="74">
        <v>102.4</v>
      </c>
      <c r="L2864" s="74">
        <v>92.16</v>
      </c>
      <c r="M2864" s="74"/>
      <c r="N2864" s="74" t="s">
        <v>392</v>
      </c>
      <c r="O2864" s="74" t="s">
        <v>393</v>
      </c>
      <c r="P2864" s="74"/>
      <c r="Q2864" s="74" t="s">
        <v>7759</v>
      </c>
    </row>
    <row r="2865" spans="3:17" x14ac:dyDescent="0.25">
      <c r="C2865" s="74" t="s">
        <v>7763</v>
      </c>
      <c r="D2865" s="74" t="s">
        <v>7764</v>
      </c>
      <c r="E2865" s="74" t="s">
        <v>391</v>
      </c>
      <c r="F2865" s="74">
        <v>0.1</v>
      </c>
      <c r="G2865" s="74"/>
      <c r="H2865" s="74"/>
      <c r="I2865" s="74" t="s">
        <v>391</v>
      </c>
      <c r="J2865" s="74"/>
      <c r="K2865" s="74">
        <v>102.4</v>
      </c>
      <c r="L2865" s="74">
        <v>92.16</v>
      </c>
      <c r="M2865" s="74"/>
      <c r="N2865" s="74" t="s">
        <v>392</v>
      </c>
      <c r="O2865" s="74" t="s">
        <v>393</v>
      </c>
      <c r="P2865" s="74"/>
      <c r="Q2865" s="74" t="s">
        <v>7765</v>
      </c>
    </row>
    <row r="2866" spans="3:17" x14ac:dyDescent="0.25">
      <c r="C2866" s="74" t="s">
        <v>7766</v>
      </c>
      <c r="D2866" s="74" t="s">
        <v>7767</v>
      </c>
      <c r="E2866" s="74" t="s">
        <v>391</v>
      </c>
      <c r="F2866" s="74">
        <v>0.1</v>
      </c>
      <c r="G2866" s="74"/>
      <c r="H2866" s="74"/>
      <c r="I2866" s="74" t="s">
        <v>391</v>
      </c>
      <c r="J2866" s="74"/>
      <c r="K2866" s="74">
        <v>102.4</v>
      </c>
      <c r="L2866" s="74">
        <v>92.16</v>
      </c>
      <c r="M2866" s="74"/>
      <c r="N2866" s="74" t="s">
        <v>392</v>
      </c>
      <c r="O2866" s="74" t="s">
        <v>393</v>
      </c>
      <c r="P2866" s="74"/>
      <c r="Q2866" s="74" t="s">
        <v>7768</v>
      </c>
    </row>
    <row r="2867" spans="3:17" x14ac:dyDescent="0.25">
      <c r="C2867" s="74" t="s">
        <v>7769</v>
      </c>
      <c r="D2867" s="74" t="s">
        <v>7770</v>
      </c>
      <c r="E2867" s="74" t="s">
        <v>391</v>
      </c>
      <c r="F2867" s="74">
        <v>0.1</v>
      </c>
      <c r="G2867" s="74"/>
      <c r="H2867" s="74"/>
      <c r="I2867" s="74" t="s">
        <v>391</v>
      </c>
      <c r="J2867" s="74"/>
      <c r="K2867" s="74">
        <v>102.4</v>
      </c>
      <c r="L2867" s="74">
        <v>92.16</v>
      </c>
      <c r="M2867" s="74"/>
      <c r="N2867" s="74" t="s">
        <v>392</v>
      </c>
      <c r="O2867" s="74" t="s">
        <v>393</v>
      </c>
      <c r="P2867" s="74"/>
      <c r="Q2867" s="74" t="s">
        <v>7771</v>
      </c>
    </row>
    <row r="2868" spans="3:17" x14ac:dyDescent="0.25">
      <c r="C2868" s="74" t="s">
        <v>7800</v>
      </c>
      <c r="D2868" s="74" t="s">
        <v>7801</v>
      </c>
      <c r="E2868" s="74" t="s">
        <v>391</v>
      </c>
      <c r="F2868" s="74">
        <v>0.1</v>
      </c>
      <c r="G2868" s="74"/>
      <c r="H2868" s="74"/>
      <c r="I2868" s="74" t="s">
        <v>391</v>
      </c>
      <c r="J2868" s="74"/>
      <c r="K2868" s="74">
        <v>102.4</v>
      </c>
      <c r="L2868" s="74">
        <v>92.16</v>
      </c>
      <c r="M2868" s="74"/>
      <c r="N2868" s="74" t="s">
        <v>392</v>
      </c>
      <c r="O2868" s="74" t="s">
        <v>393</v>
      </c>
      <c r="P2868" s="74"/>
      <c r="Q2868" s="74" t="s">
        <v>7802</v>
      </c>
    </row>
    <row r="2869" spans="3:17" x14ac:dyDescent="0.25">
      <c r="C2869" s="74" t="s">
        <v>7803</v>
      </c>
      <c r="D2869" s="74" t="s">
        <v>7804</v>
      </c>
      <c r="E2869" s="74" t="s">
        <v>391</v>
      </c>
      <c r="F2869" s="74">
        <v>0.1</v>
      </c>
      <c r="G2869" s="74"/>
      <c r="H2869" s="74"/>
      <c r="I2869" s="74" t="s">
        <v>391</v>
      </c>
      <c r="J2869" s="74"/>
      <c r="K2869" s="74">
        <v>102.4</v>
      </c>
      <c r="L2869" s="74">
        <v>92.16</v>
      </c>
      <c r="M2869" s="74"/>
      <c r="N2869" s="74" t="s">
        <v>392</v>
      </c>
      <c r="O2869" s="74" t="s">
        <v>393</v>
      </c>
      <c r="P2869" s="74"/>
      <c r="Q2869" s="74" t="s">
        <v>7805</v>
      </c>
    </row>
    <row r="2870" spans="3:17" x14ac:dyDescent="0.25">
      <c r="C2870" s="74" t="s">
        <v>7816</v>
      </c>
      <c r="D2870" s="74" t="s">
        <v>7817</v>
      </c>
      <c r="E2870" s="74" t="s">
        <v>391</v>
      </c>
      <c r="F2870" s="74">
        <v>0.1</v>
      </c>
      <c r="G2870" s="74"/>
      <c r="H2870" s="74"/>
      <c r="I2870" s="74" t="s">
        <v>391</v>
      </c>
      <c r="J2870" s="74"/>
      <c r="K2870" s="74">
        <v>102.4</v>
      </c>
      <c r="L2870" s="74">
        <v>92.16</v>
      </c>
      <c r="M2870" s="74"/>
      <c r="N2870" s="74" t="s">
        <v>392</v>
      </c>
      <c r="O2870" s="74" t="s">
        <v>393</v>
      </c>
      <c r="P2870" s="74"/>
      <c r="Q2870" s="74" t="s">
        <v>7818</v>
      </c>
    </row>
    <row r="2871" spans="3:17" x14ac:dyDescent="0.25">
      <c r="C2871" s="74" t="s">
        <v>7819</v>
      </c>
      <c r="D2871" s="74" t="s">
        <v>7820</v>
      </c>
      <c r="E2871" s="74" t="s">
        <v>391</v>
      </c>
      <c r="F2871" s="74">
        <v>0.1</v>
      </c>
      <c r="G2871" s="74"/>
      <c r="H2871" s="74"/>
      <c r="I2871" s="74" t="s">
        <v>391</v>
      </c>
      <c r="J2871" s="74"/>
      <c r="K2871" s="74">
        <v>102.4</v>
      </c>
      <c r="L2871" s="74">
        <v>92.16</v>
      </c>
      <c r="M2871" s="74"/>
      <c r="N2871" s="74" t="s">
        <v>392</v>
      </c>
      <c r="O2871" s="74" t="s">
        <v>393</v>
      </c>
      <c r="P2871" s="74"/>
      <c r="Q2871" s="74" t="s">
        <v>7821</v>
      </c>
    </row>
    <row r="2872" spans="3:17" x14ac:dyDescent="0.25">
      <c r="C2872" s="74" t="s">
        <v>7826</v>
      </c>
      <c r="D2872" s="74" t="s">
        <v>7827</v>
      </c>
      <c r="E2872" s="74" t="s">
        <v>391</v>
      </c>
      <c r="F2872" s="74">
        <v>0.1</v>
      </c>
      <c r="G2872" s="74"/>
      <c r="H2872" s="74"/>
      <c r="I2872" s="74" t="s">
        <v>391</v>
      </c>
      <c r="J2872" s="74"/>
      <c r="K2872" s="74">
        <v>102.4</v>
      </c>
      <c r="L2872" s="74">
        <v>92.16</v>
      </c>
      <c r="M2872" s="74"/>
      <c r="N2872" s="74" t="s">
        <v>392</v>
      </c>
      <c r="O2872" s="74" t="s">
        <v>393</v>
      </c>
      <c r="P2872" s="74"/>
      <c r="Q2872" s="74" t="s">
        <v>7828</v>
      </c>
    </row>
    <row r="2873" spans="3:17" x14ac:dyDescent="0.25">
      <c r="C2873" s="74" t="s">
        <v>7829</v>
      </c>
      <c r="D2873" s="74" t="s">
        <v>7830</v>
      </c>
      <c r="E2873" s="74" t="s">
        <v>391</v>
      </c>
      <c r="F2873" s="74">
        <v>0.1</v>
      </c>
      <c r="G2873" s="74"/>
      <c r="H2873" s="74"/>
      <c r="I2873" s="74" t="s">
        <v>391</v>
      </c>
      <c r="J2873" s="74"/>
      <c r="K2873" s="74">
        <v>102.4</v>
      </c>
      <c r="L2873" s="74">
        <v>92.16</v>
      </c>
      <c r="M2873" s="74"/>
      <c r="N2873" s="74" t="s">
        <v>392</v>
      </c>
      <c r="O2873" s="74" t="s">
        <v>393</v>
      </c>
      <c r="P2873" s="74"/>
      <c r="Q2873" s="74" t="s">
        <v>7831</v>
      </c>
    </row>
    <row r="2874" spans="3:17" x14ac:dyDescent="0.25">
      <c r="C2874" s="74" t="s">
        <v>7844</v>
      </c>
      <c r="D2874" s="74" t="s">
        <v>7845</v>
      </c>
      <c r="E2874" s="74" t="s">
        <v>391</v>
      </c>
      <c r="F2874" s="74">
        <v>0.1</v>
      </c>
      <c r="G2874" s="74"/>
      <c r="H2874" s="74"/>
      <c r="I2874" s="74" t="s">
        <v>391</v>
      </c>
      <c r="J2874" s="74"/>
      <c r="K2874" s="74">
        <v>102.4</v>
      </c>
      <c r="L2874" s="74">
        <v>92.16</v>
      </c>
      <c r="M2874" s="74"/>
      <c r="N2874" s="74" t="s">
        <v>392</v>
      </c>
      <c r="O2874" s="74" t="s">
        <v>393</v>
      </c>
      <c r="P2874" s="74"/>
      <c r="Q2874" s="74" t="s">
        <v>7846</v>
      </c>
    </row>
    <row r="2875" spans="3:17" x14ac:dyDescent="0.25">
      <c r="C2875" s="74" t="s">
        <v>7851</v>
      </c>
      <c r="D2875" s="74" t="s">
        <v>7852</v>
      </c>
      <c r="E2875" s="74" t="s">
        <v>391</v>
      </c>
      <c r="F2875" s="74">
        <v>0.1</v>
      </c>
      <c r="G2875" s="74"/>
      <c r="H2875" s="74"/>
      <c r="I2875" s="74" t="s">
        <v>391</v>
      </c>
      <c r="J2875" s="74"/>
      <c r="K2875" s="74">
        <v>102.4</v>
      </c>
      <c r="L2875" s="74">
        <v>92.16</v>
      </c>
      <c r="M2875" s="74"/>
      <c r="N2875" s="74" t="s">
        <v>392</v>
      </c>
      <c r="O2875" s="74" t="s">
        <v>393</v>
      </c>
      <c r="P2875" s="74"/>
      <c r="Q2875" s="74" t="s">
        <v>7853</v>
      </c>
    </row>
    <row r="2876" spans="3:17" x14ac:dyDescent="0.25">
      <c r="C2876" s="74" t="s">
        <v>7858</v>
      </c>
      <c r="D2876" s="74" t="s">
        <v>7859</v>
      </c>
      <c r="E2876" s="74" t="s">
        <v>391</v>
      </c>
      <c r="F2876" s="74">
        <v>0.1</v>
      </c>
      <c r="G2876" s="74"/>
      <c r="H2876" s="74"/>
      <c r="I2876" s="74" t="s">
        <v>391</v>
      </c>
      <c r="J2876" s="74"/>
      <c r="K2876" s="74">
        <v>102.4</v>
      </c>
      <c r="L2876" s="74">
        <v>92.16</v>
      </c>
      <c r="M2876" s="74"/>
      <c r="N2876" s="74" t="s">
        <v>392</v>
      </c>
      <c r="O2876" s="74" t="s">
        <v>393</v>
      </c>
      <c r="P2876" s="74"/>
      <c r="Q2876" s="74" t="s">
        <v>7860</v>
      </c>
    </row>
    <row r="2877" spans="3:17" x14ac:dyDescent="0.25">
      <c r="C2877" s="74" t="s">
        <v>7861</v>
      </c>
      <c r="D2877" s="74" t="s">
        <v>7862</v>
      </c>
      <c r="E2877" s="74" t="s">
        <v>391</v>
      </c>
      <c r="F2877" s="74">
        <v>0.1</v>
      </c>
      <c r="G2877" s="74"/>
      <c r="H2877" s="74"/>
      <c r="I2877" s="74" t="s">
        <v>391</v>
      </c>
      <c r="J2877" s="74"/>
      <c r="K2877" s="74">
        <v>102.4</v>
      </c>
      <c r="L2877" s="74">
        <v>92.16</v>
      </c>
      <c r="M2877" s="74"/>
      <c r="N2877" s="74" t="s">
        <v>392</v>
      </c>
      <c r="O2877" s="74" t="s">
        <v>393</v>
      </c>
      <c r="P2877" s="74"/>
      <c r="Q2877" s="74" t="s">
        <v>7863</v>
      </c>
    </row>
    <row r="2878" spans="3:17" x14ac:dyDescent="0.25">
      <c r="C2878" s="74" t="s">
        <v>7882</v>
      </c>
      <c r="D2878" s="74" t="s">
        <v>7883</v>
      </c>
      <c r="E2878" s="74" t="s">
        <v>391</v>
      </c>
      <c r="F2878" s="74">
        <v>0.1</v>
      </c>
      <c r="G2878" s="74"/>
      <c r="H2878" s="74"/>
      <c r="I2878" s="74" t="s">
        <v>391</v>
      </c>
      <c r="J2878" s="74"/>
      <c r="K2878" s="74">
        <v>102.4</v>
      </c>
      <c r="L2878" s="74">
        <v>92.16</v>
      </c>
      <c r="M2878" s="74"/>
      <c r="N2878" s="74" t="s">
        <v>392</v>
      </c>
      <c r="O2878" s="74" t="s">
        <v>393</v>
      </c>
      <c r="P2878" s="74"/>
      <c r="Q2878" s="74" t="s">
        <v>7884</v>
      </c>
    </row>
    <row r="2879" spans="3:17" x14ac:dyDescent="0.25">
      <c r="C2879" s="74" t="s">
        <v>7885</v>
      </c>
      <c r="D2879" s="74" t="s">
        <v>7886</v>
      </c>
      <c r="E2879" s="74" t="s">
        <v>391</v>
      </c>
      <c r="F2879" s="74">
        <v>0.1</v>
      </c>
      <c r="G2879" s="74"/>
      <c r="H2879" s="74"/>
      <c r="I2879" s="74" t="s">
        <v>391</v>
      </c>
      <c r="J2879" s="74"/>
      <c r="K2879" s="74">
        <v>102.4</v>
      </c>
      <c r="L2879" s="74">
        <v>92.16</v>
      </c>
      <c r="M2879" s="74"/>
      <c r="N2879" s="74" t="s">
        <v>392</v>
      </c>
      <c r="O2879" s="74" t="s">
        <v>393</v>
      </c>
      <c r="P2879" s="74"/>
      <c r="Q2879" s="74" t="s">
        <v>7887</v>
      </c>
    </row>
    <row r="2880" spans="3:17" x14ac:dyDescent="0.25">
      <c r="C2880" s="74" t="s">
        <v>7888</v>
      </c>
      <c r="D2880" s="74" t="s">
        <v>7889</v>
      </c>
      <c r="E2880" s="74" t="s">
        <v>391</v>
      </c>
      <c r="F2880" s="74">
        <v>0.1</v>
      </c>
      <c r="G2880" s="74"/>
      <c r="H2880" s="74"/>
      <c r="I2880" s="74" t="s">
        <v>391</v>
      </c>
      <c r="J2880" s="74"/>
      <c r="K2880" s="74">
        <v>102.4</v>
      </c>
      <c r="L2880" s="74">
        <v>92.16</v>
      </c>
      <c r="M2880" s="74"/>
      <c r="N2880" s="74" t="s">
        <v>392</v>
      </c>
      <c r="O2880" s="74" t="s">
        <v>393</v>
      </c>
      <c r="P2880" s="74"/>
      <c r="Q2880" s="74" t="s">
        <v>7889</v>
      </c>
    </row>
    <row r="2881" spans="3:17" x14ac:dyDescent="0.25">
      <c r="C2881" s="74" t="s">
        <v>7890</v>
      </c>
      <c r="D2881" s="74" t="s">
        <v>7891</v>
      </c>
      <c r="E2881" s="74" t="s">
        <v>391</v>
      </c>
      <c r="F2881" s="74">
        <v>0.1</v>
      </c>
      <c r="G2881" s="74"/>
      <c r="H2881" s="74"/>
      <c r="I2881" s="74" t="s">
        <v>391</v>
      </c>
      <c r="J2881" s="74"/>
      <c r="K2881" s="74">
        <v>102.4</v>
      </c>
      <c r="L2881" s="74">
        <v>92.16</v>
      </c>
      <c r="M2881" s="74"/>
      <c r="N2881" s="74" t="s">
        <v>392</v>
      </c>
      <c r="O2881" s="74" t="s">
        <v>393</v>
      </c>
      <c r="P2881" s="74"/>
      <c r="Q2881" s="74" t="s">
        <v>7892</v>
      </c>
    </row>
    <row r="2882" spans="3:17" x14ac:dyDescent="0.25">
      <c r="C2882" s="158" t="s">
        <v>7893</v>
      </c>
      <c r="D2882" s="158" t="s">
        <v>7894</v>
      </c>
      <c r="E2882" s="158" t="s">
        <v>391</v>
      </c>
      <c r="F2882" s="158">
        <v>0.1</v>
      </c>
      <c r="I2882" s="158" t="s">
        <v>391</v>
      </c>
      <c r="K2882" s="158">
        <v>102.4</v>
      </c>
      <c r="L2882" s="158">
        <v>92.16</v>
      </c>
      <c r="N2882" s="158" t="s">
        <v>392</v>
      </c>
      <c r="O2882" s="158" t="s">
        <v>393</v>
      </c>
      <c r="Q2882" s="158" t="s">
        <v>7891</v>
      </c>
    </row>
    <row r="2883" spans="3:17" x14ac:dyDescent="0.25">
      <c r="C2883" s="74" t="s">
        <v>7903</v>
      </c>
      <c r="D2883" s="74" t="s">
        <v>7904</v>
      </c>
      <c r="E2883" s="74" t="s">
        <v>391</v>
      </c>
      <c r="F2883" s="74">
        <v>0.1</v>
      </c>
      <c r="G2883" s="74"/>
      <c r="H2883" s="74"/>
      <c r="I2883" s="74" t="s">
        <v>391</v>
      </c>
      <c r="J2883" s="74"/>
      <c r="K2883" s="74">
        <v>102.4</v>
      </c>
      <c r="L2883" s="74">
        <v>92.16</v>
      </c>
      <c r="M2883" s="74"/>
      <c r="N2883" s="74" t="s">
        <v>392</v>
      </c>
      <c r="O2883" s="74" t="s">
        <v>393</v>
      </c>
      <c r="P2883" s="74"/>
      <c r="Q2883" s="74" t="s">
        <v>7904</v>
      </c>
    </row>
    <row r="2884" spans="3:17" x14ac:dyDescent="0.25">
      <c r="C2884" s="74" t="s">
        <v>7908</v>
      </c>
      <c r="D2884" s="74" t="s">
        <v>7909</v>
      </c>
      <c r="E2884" s="74" t="s">
        <v>391</v>
      </c>
      <c r="F2884" s="74">
        <v>0.1</v>
      </c>
      <c r="G2884" s="74"/>
      <c r="H2884" s="74"/>
      <c r="I2884" s="74" t="s">
        <v>391</v>
      </c>
      <c r="J2884" s="74"/>
      <c r="K2884" s="74">
        <v>102.4</v>
      </c>
      <c r="L2884" s="74">
        <v>92.16</v>
      </c>
      <c r="M2884" s="74"/>
      <c r="N2884" s="74" t="s">
        <v>392</v>
      </c>
      <c r="O2884" s="74" t="s">
        <v>393</v>
      </c>
      <c r="P2884" s="74"/>
      <c r="Q2884" s="74" t="s">
        <v>7910</v>
      </c>
    </row>
    <row r="2885" spans="3:17" x14ac:dyDescent="0.25">
      <c r="C2885" s="74" t="s">
        <v>7923</v>
      </c>
      <c r="D2885" s="74" t="s">
        <v>7924</v>
      </c>
      <c r="E2885" s="74" t="s">
        <v>391</v>
      </c>
      <c r="F2885" s="74">
        <v>0.1</v>
      </c>
      <c r="G2885" s="74"/>
      <c r="H2885" s="74"/>
      <c r="I2885" s="74" t="s">
        <v>391</v>
      </c>
      <c r="J2885" s="74"/>
      <c r="K2885" s="74">
        <v>102.4</v>
      </c>
      <c r="L2885" s="74">
        <v>92.16</v>
      </c>
      <c r="M2885" s="74"/>
      <c r="N2885" s="74" t="s">
        <v>392</v>
      </c>
      <c r="O2885" s="74" t="s">
        <v>393</v>
      </c>
      <c r="P2885" s="74"/>
      <c r="Q2885" s="74" t="s">
        <v>7925</v>
      </c>
    </row>
    <row r="2886" spans="3:17" x14ac:dyDescent="0.25">
      <c r="C2886" s="74" t="s">
        <v>7926</v>
      </c>
      <c r="D2886" s="74" t="s">
        <v>7927</v>
      </c>
      <c r="E2886" s="74" t="s">
        <v>391</v>
      </c>
      <c r="F2886" s="74">
        <v>0.1</v>
      </c>
      <c r="G2886" s="74"/>
      <c r="H2886" s="74"/>
      <c r="I2886" s="74" t="s">
        <v>391</v>
      </c>
      <c r="J2886" s="74"/>
      <c r="K2886" s="74">
        <v>102.4</v>
      </c>
      <c r="L2886" s="74">
        <v>92.16</v>
      </c>
      <c r="M2886" s="74"/>
      <c r="N2886" s="74" t="s">
        <v>392</v>
      </c>
      <c r="O2886" s="74" t="s">
        <v>393</v>
      </c>
      <c r="P2886" s="74"/>
      <c r="Q2886" s="74" t="s">
        <v>7928</v>
      </c>
    </row>
    <row r="2887" spans="3:17" x14ac:dyDescent="0.25">
      <c r="C2887" s="74" t="s">
        <v>7946</v>
      </c>
      <c r="D2887" s="74" t="s">
        <v>7947</v>
      </c>
      <c r="E2887" s="74" t="s">
        <v>391</v>
      </c>
      <c r="F2887" s="74">
        <v>0.1</v>
      </c>
      <c r="G2887" s="74"/>
      <c r="H2887" s="74"/>
      <c r="I2887" s="74" t="s">
        <v>391</v>
      </c>
      <c r="J2887" s="74"/>
      <c r="K2887" s="74">
        <v>102.4</v>
      </c>
      <c r="L2887" s="74">
        <v>92.16</v>
      </c>
      <c r="M2887" s="74"/>
      <c r="N2887" s="74" t="s">
        <v>392</v>
      </c>
      <c r="O2887" s="74" t="s">
        <v>393</v>
      </c>
      <c r="P2887" s="74"/>
      <c r="Q2887" s="74" t="s">
        <v>7948</v>
      </c>
    </row>
    <row r="2888" spans="3:17" x14ac:dyDescent="0.25">
      <c r="C2888" s="74" t="s">
        <v>7953</v>
      </c>
      <c r="D2888" s="74" t="s">
        <v>7954</v>
      </c>
      <c r="E2888" s="74" t="s">
        <v>391</v>
      </c>
      <c r="F2888" s="74">
        <v>0.1</v>
      </c>
      <c r="G2888" s="74"/>
      <c r="H2888" s="74"/>
      <c r="I2888" s="74" t="s">
        <v>391</v>
      </c>
      <c r="J2888" s="74"/>
      <c r="K2888" s="74">
        <v>102.4</v>
      </c>
      <c r="L2888" s="74">
        <v>92.16</v>
      </c>
      <c r="M2888" s="74"/>
      <c r="N2888" s="74" t="s">
        <v>392</v>
      </c>
      <c r="O2888" s="74" t="s">
        <v>393</v>
      </c>
      <c r="P2888" s="74"/>
      <c r="Q2888" s="74" t="s">
        <v>7955</v>
      </c>
    </row>
    <row r="2889" spans="3:17" x14ac:dyDescent="0.25">
      <c r="C2889" s="74" t="s">
        <v>7968</v>
      </c>
      <c r="D2889" s="74" t="s">
        <v>7969</v>
      </c>
      <c r="E2889" s="74" t="s">
        <v>391</v>
      </c>
      <c r="F2889" s="74">
        <v>0.1</v>
      </c>
      <c r="G2889" s="74"/>
      <c r="H2889" s="74"/>
      <c r="I2889" s="74" t="s">
        <v>391</v>
      </c>
      <c r="J2889" s="74"/>
      <c r="K2889" s="74">
        <v>102.4</v>
      </c>
      <c r="L2889" s="74">
        <v>92.16</v>
      </c>
      <c r="M2889" s="74"/>
      <c r="N2889" s="74" t="s">
        <v>392</v>
      </c>
      <c r="O2889" s="74" t="s">
        <v>393</v>
      </c>
      <c r="P2889" s="74"/>
      <c r="Q2889" s="74" t="s">
        <v>7970</v>
      </c>
    </row>
    <row r="2890" spans="3:17" x14ac:dyDescent="0.25">
      <c r="C2890" s="74" t="s">
        <v>7971</v>
      </c>
      <c r="D2890" s="74" t="s">
        <v>7972</v>
      </c>
      <c r="E2890" s="74" t="s">
        <v>391</v>
      </c>
      <c r="F2890" s="74">
        <v>0.1</v>
      </c>
      <c r="G2890" s="74"/>
      <c r="H2890" s="74"/>
      <c r="I2890" s="74" t="s">
        <v>391</v>
      </c>
      <c r="J2890" s="74"/>
      <c r="K2890" s="74">
        <v>102.4</v>
      </c>
      <c r="L2890" s="74">
        <v>92.16</v>
      </c>
      <c r="M2890" s="74"/>
      <c r="N2890" s="74" t="s">
        <v>392</v>
      </c>
      <c r="O2890" s="74" t="s">
        <v>393</v>
      </c>
      <c r="P2890" s="74"/>
      <c r="Q2890" s="74" t="s">
        <v>7973</v>
      </c>
    </row>
    <row r="2891" spans="3:17" x14ac:dyDescent="0.25">
      <c r="C2891" s="74" t="s">
        <v>7977</v>
      </c>
      <c r="D2891" s="74" t="s">
        <v>7978</v>
      </c>
      <c r="E2891" s="74" t="s">
        <v>391</v>
      </c>
      <c r="F2891" s="74">
        <v>0.1</v>
      </c>
      <c r="G2891" s="74"/>
      <c r="H2891" s="74"/>
      <c r="I2891" s="74" t="s">
        <v>391</v>
      </c>
      <c r="J2891" s="74"/>
      <c r="K2891" s="74">
        <v>102.4</v>
      </c>
      <c r="L2891" s="74">
        <v>92.16</v>
      </c>
      <c r="M2891" s="74"/>
      <c r="N2891" s="74" t="s">
        <v>392</v>
      </c>
      <c r="O2891" s="74" t="s">
        <v>393</v>
      </c>
      <c r="P2891" s="74"/>
      <c r="Q2891" s="74" t="s">
        <v>7978</v>
      </c>
    </row>
    <row r="2892" spans="3:17" x14ac:dyDescent="0.25">
      <c r="C2892" s="74" t="s">
        <v>8004</v>
      </c>
      <c r="D2892" s="74" t="s">
        <v>8005</v>
      </c>
      <c r="E2892" s="74" t="s">
        <v>391</v>
      </c>
      <c r="F2892" s="74">
        <v>0.1</v>
      </c>
      <c r="G2892" s="74"/>
      <c r="H2892" s="74"/>
      <c r="I2892" s="74" t="s">
        <v>391</v>
      </c>
      <c r="J2892" s="74"/>
      <c r="K2892" s="74">
        <v>102.4</v>
      </c>
      <c r="L2892" s="74">
        <v>92.16</v>
      </c>
      <c r="M2892" s="74"/>
      <c r="N2892" s="74" t="s">
        <v>392</v>
      </c>
      <c r="O2892" s="74" t="s">
        <v>393</v>
      </c>
      <c r="P2892" s="74"/>
      <c r="Q2892" s="74" t="s">
        <v>8006</v>
      </c>
    </row>
    <row r="2893" spans="3:17" x14ac:dyDescent="0.25">
      <c r="C2893" s="74" t="s">
        <v>8011</v>
      </c>
      <c r="D2893" s="74" t="s">
        <v>8012</v>
      </c>
      <c r="E2893" s="74" t="s">
        <v>391</v>
      </c>
      <c r="F2893" s="74">
        <v>0.1</v>
      </c>
      <c r="G2893" s="74"/>
      <c r="H2893" s="74"/>
      <c r="I2893" s="74" t="s">
        <v>391</v>
      </c>
      <c r="J2893" s="74"/>
      <c r="K2893" s="74">
        <v>102.4</v>
      </c>
      <c r="L2893" s="74">
        <v>92.16</v>
      </c>
      <c r="M2893" s="74"/>
      <c r="N2893" s="74" t="s">
        <v>392</v>
      </c>
      <c r="O2893" s="74" t="s">
        <v>393</v>
      </c>
      <c r="P2893" s="74"/>
      <c r="Q2893" s="74" t="s">
        <v>8013</v>
      </c>
    </row>
    <row r="2894" spans="3:17" x14ac:dyDescent="0.25">
      <c r="C2894" s="74" t="s">
        <v>8014</v>
      </c>
      <c r="D2894" s="74" t="s">
        <v>8015</v>
      </c>
      <c r="E2894" s="74" t="s">
        <v>391</v>
      </c>
      <c r="F2894" s="74">
        <v>0.1</v>
      </c>
      <c r="G2894" s="74"/>
      <c r="H2894" s="74"/>
      <c r="I2894" s="74" t="s">
        <v>391</v>
      </c>
      <c r="J2894" s="74"/>
      <c r="K2894" s="74">
        <v>102.4</v>
      </c>
      <c r="L2894" s="74">
        <v>92.16</v>
      </c>
      <c r="M2894" s="74"/>
      <c r="N2894" s="74" t="s">
        <v>392</v>
      </c>
      <c r="O2894" s="74" t="s">
        <v>393</v>
      </c>
      <c r="P2894" s="74"/>
      <c r="Q2894" s="74" t="s">
        <v>8015</v>
      </c>
    </row>
    <row r="2895" spans="3:17" x14ac:dyDescent="0.25">
      <c r="C2895" s="74" t="s">
        <v>8020</v>
      </c>
      <c r="D2895" s="74" t="s">
        <v>8021</v>
      </c>
      <c r="E2895" s="74" t="s">
        <v>391</v>
      </c>
      <c r="F2895" s="74">
        <v>0.1</v>
      </c>
      <c r="G2895" s="74"/>
      <c r="H2895" s="74"/>
      <c r="I2895" s="74" t="s">
        <v>391</v>
      </c>
      <c r="J2895" s="74"/>
      <c r="K2895" s="74">
        <v>102.4</v>
      </c>
      <c r="L2895" s="74">
        <v>92.16</v>
      </c>
      <c r="M2895" s="74"/>
      <c r="N2895" s="74" t="s">
        <v>392</v>
      </c>
      <c r="O2895" s="74" t="s">
        <v>393</v>
      </c>
      <c r="P2895" s="74"/>
      <c r="Q2895" s="74" t="s">
        <v>8022</v>
      </c>
    </row>
    <row r="2896" spans="3:17" x14ac:dyDescent="0.25">
      <c r="C2896" s="74" t="s">
        <v>8023</v>
      </c>
      <c r="D2896" s="74" t="s">
        <v>8024</v>
      </c>
      <c r="E2896" s="74" t="s">
        <v>391</v>
      </c>
      <c r="F2896" s="74">
        <v>0.1</v>
      </c>
      <c r="G2896" s="74"/>
      <c r="H2896" s="74"/>
      <c r="I2896" s="74" t="s">
        <v>391</v>
      </c>
      <c r="J2896" s="74"/>
      <c r="K2896" s="74">
        <v>102.4</v>
      </c>
      <c r="L2896" s="74">
        <v>92.16</v>
      </c>
      <c r="M2896" s="74"/>
      <c r="N2896" s="74" t="s">
        <v>392</v>
      </c>
      <c r="O2896" s="74" t="s">
        <v>393</v>
      </c>
      <c r="P2896" s="74"/>
      <c r="Q2896" s="74" t="s">
        <v>8024</v>
      </c>
    </row>
    <row r="2897" spans="3:17" x14ac:dyDescent="0.25">
      <c r="C2897" s="74" t="s">
        <v>8029</v>
      </c>
      <c r="D2897" s="74" t="s">
        <v>8030</v>
      </c>
      <c r="E2897" s="74" t="s">
        <v>391</v>
      </c>
      <c r="F2897" s="74">
        <v>0.1</v>
      </c>
      <c r="G2897" s="74"/>
      <c r="H2897" s="74"/>
      <c r="I2897" s="74" t="s">
        <v>391</v>
      </c>
      <c r="J2897" s="74"/>
      <c r="K2897" s="74">
        <v>102.4</v>
      </c>
      <c r="L2897" s="74">
        <v>92.16</v>
      </c>
      <c r="M2897" s="74"/>
      <c r="N2897" s="74" t="s">
        <v>392</v>
      </c>
      <c r="O2897" s="74" t="s">
        <v>393</v>
      </c>
      <c r="P2897" s="74"/>
      <c r="Q2897" s="74" t="s">
        <v>8031</v>
      </c>
    </row>
    <row r="2898" spans="3:17" x14ac:dyDescent="0.25">
      <c r="C2898" s="74" t="s">
        <v>8032</v>
      </c>
      <c r="D2898" s="74" t="s">
        <v>8033</v>
      </c>
      <c r="E2898" s="74" t="s">
        <v>391</v>
      </c>
      <c r="F2898" s="74">
        <v>0.1</v>
      </c>
      <c r="G2898" s="74"/>
      <c r="H2898" s="74"/>
      <c r="I2898" s="74" t="s">
        <v>391</v>
      </c>
      <c r="J2898" s="74"/>
      <c r="K2898" s="74">
        <v>102.4</v>
      </c>
      <c r="L2898" s="74">
        <v>92.16</v>
      </c>
      <c r="M2898" s="74"/>
      <c r="N2898" s="74" t="s">
        <v>392</v>
      </c>
      <c r="O2898" s="74" t="s">
        <v>393</v>
      </c>
      <c r="P2898" s="74"/>
      <c r="Q2898" s="74" t="s">
        <v>8034</v>
      </c>
    </row>
    <row r="2899" spans="3:17" x14ac:dyDescent="0.25">
      <c r="C2899" s="74" t="s">
        <v>8042</v>
      </c>
      <c r="D2899" s="74" t="s">
        <v>8043</v>
      </c>
      <c r="E2899" s="74" t="s">
        <v>391</v>
      </c>
      <c r="F2899" s="74">
        <v>0.1</v>
      </c>
      <c r="G2899" s="74"/>
      <c r="H2899" s="74"/>
      <c r="I2899" s="74" t="s">
        <v>391</v>
      </c>
      <c r="J2899" s="74"/>
      <c r="K2899" s="74">
        <v>102.4</v>
      </c>
      <c r="L2899" s="74">
        <v>92.16</v>
      </c>
      <c r="M2899" s="74"/>
      <c r="N2899" s="74" t="s">
        <v>392</v>
      </c>
      <c r="O2899" s="74" t="s">
        <v>393</v>
      </c>
      <c r="P2899" s="74"/>
      <c r="Q2899" s="74" t="s">
        <v>8044</v>
      </c>
    </row>
    <row r="2900" spans="3:17" x14ac:dyDescent="0.25">
      <c r="C2900" s="74" t="s">
        <v>8045</v>
      </c>
      <c r="D2900" s="74" t="s">
        <v>8046</v>
      </c>
      <c r="E2900" s="74" t="s">
        <v>391</v>
      </c>
      <c r="F2900" s="74">
        <v>0.1</v>
      </c>
      <c r="G2900" s="74"/>
      <c r="H2900" s="74"/>
      <c r="I2900" s="74" t="s">
        <v>391</v>
      </c>
      <c r="J2900" s="74"/>
      <c r="K2900" s="74">
        <v>102.4</v>
      </c>
      <c r="L2900" s="74">
        <v>92.16</v>
      </c>
      <c r="M2900" s="74"/>
      <c r="N2900" s="74" t="s">
        <v>392</v>
      </c>
      <c r="O2900" s="74" t="s">
        <v>393</v>
      </c>
      <c r="P2900" s="74"/>
      <c r="Q2900" s="74" t="s">
        <v>8047</v>
      </c>
    </row>
    <row r="2901" spans="3:17" x14ac:dyDescent="0.25">
      <c r="C2901" s="74" t="s">
        <v>8056</v>
      </c>
      <c r="D2901" s="74" t="s">
        <v>8057</v>
      </c>
      <c r="E2901" s="74" t="s">
        <v>391</v>
      </c>
      <c r="F2901" s="74">
        <v>0.1</v>
      </c>
      <c r="G2901" s="74"/>
      <c r="H2901" s="74"/>
      <c r="I2901" s="74" t="s">
        <v>391</v>
      </c>
      <c r="J2901" s="74"/>
      <c r="K2901" s="74">
        <v>102.4</v>
      </c>
      <c r="L2901" s="74">
        <v>92.16</v>
      </c>
      <c r="M2901" s="74"/>
      <c r="N2901" s="74" t="s">
        <v>392</v>
      </c>
      <c r="O2901" s="74" t="s">
        <v>393</v>
      </c>
      <c r="P2901" s="74"/>
      <c r="Q2901" s="74" t="s">
        <v>8058</v>
      </c>
    </row>
    <row r="2902" spans="3:17" x14ac:dyDescent="0.25">
      <c r="C2902" s="74" t="s">
        <v>8059</v>
      </c>
      <c r="D2902" s="74" t="s">
        <v>8060</v>
      </c>
      <c r="E2902" s="74" t="s">
        <v>391</v>
      </c>
      <c r="F2902" s="74">
        <v>0.1</v>
      </c>
      <c r="G2902" s="74"/>
      <c r="H2902" s="74"/>
      <c r="I2902" s="74" t="s">
        <v>391</v>
      </c>
      <c r="J2902" s="74"/>
      <c r="K2902" s="74">
        <v>102.4</v>
      </c>
      <c r="L2902" s="74">
        <v>92.16</v>
      </c>
      <c r="M2902" s="74"/>
      <c r="N2902" s="74" t="s">
        <v>392</v>
      </c>
      <c r="O2902" s="74" t="s">
        <v>393</v>
      </c>
      <c r="P2902" s="74"/>
      <c r="Q2902" s="74" t="s">
        <v>8061</v>
      </c>
    </row>
    <row r="2903" spans="3:17" x14ac:dyDescent="0.25">
      <c r="C2903" s="74" t="s">
        <v>8062</v>
      </c>
      <c r="D2903" s="74" t="s">
        <v>8063</v>
      </c>
      <c r="E2903" s="74" t="s">
        <v>391</v>
      </c>
      <c r="F2903" s="74">
        <v>0.1</v>
      </c>
      <c r="G2903" s="74"/>
      <c r="H2903" s="74"/>
      <c r="I2903" s="74" t="s">
        <v>391</v>
      </c>
      <c r="J2903" s="74"/>
      <c r="K2903" s="74">
        <v>102.4</v>
      </c>
      <c r="L2903" s="74">
        <v>92.16</v>
      </c>
      <c r="M2903" s="74"/>
      <c r="N2903" s="74" t="s">
        <v>392</v>
      </c>
      <c r="O2903" s="74" t="s">
        <v>393</v>
      </c>
      <c r="P2903" s="74"/>
      <c r="Q2903" s="74" t="s">
        <v>8064</v>
      </c>
    </row>
    <row r="2904" spans="3:17" x14ac:dyDescent="0.25">
      <c r="C2904" s="74" t="s">
        <v>8073</v>
      </c>
      <c r="D2904" s="74" t="s">
        <v>8074</v>
      </c>
      <c r="E2904" s="74" t="s">
        <v>391</v>
      </c>
      <c r="F2904" s="74">
        <v>0.1</v>
      </c>
      <c r="G2904" s="74"/>
      <c r="H2904" s="74"/>
      <c r="I2904" s="74" t="s">
        <v>391</v>
      </c>
      <c r="J2904" s="74"/>
      <c r="K2904" s="74">
        <v>102.4</v>
      </c>
      <c r="L2904" s="74">
        <v>92.16</v>
      </c>
      <c r="M2904" s="74"/>
      <c r="N2904" s="74" t="s">
        <v>392</v>
      </c>
      <c r="O2904" s="74" t="s">
        <v>393</v>
      </c>
      <c r="P2904" s="74"/>
      <c r="Q2904" s="74" t="s">
        <v>8075</v>
      </c>
    </row>
    <row r="2905" spans="3:17" x14ac:dyDescent="0.25">
      <c r="C2905" s="74" t="s">
        <v>8076</v>
      </c>
      <c r="D2905" s="74" t="s">
        <v>8077</v>
      </c>
      <c r="E2905" s="74" t="s">
        <v>391</v>
      </c>
      <c r="F2905" s="74">
        <v>0.1</v>
      </c>
      <c r="G2905" s="74"/>
      <c r="H2905" s="74"/>
      <c r="I2905" s="74" t="s">
        <v>391</v>
      </c>
      <c r="J2905" s="74"/>
      <c r="K2905" s="74">
        <v>102.4</v>
      </c>
      <c r="L2905" s="74">
        <v>92.16</v>
      </c>
      <c r="M2905" s="74"/>
      <c r="N2905" s="74" t="s">
        <v>392</v>
      </c>
      <c r="O2905" s="74" t="s">
        <v>393</v>
      </c>
      <c r="P2905" s="74"/>
      <c r="Q2905" s="74" t="s">
        <v>8078</v>
      </c>
    </row>
    <row r="2906" spans="3:17" x14ac:dyDescent="0.25">
      <c r="C2906" s="74" t="s">
        <v>8091</v>
      </c>
      <c r="D2906" s="74" t="s">
        <v>8092</v>
      </c>
      <c r="E2906" s="74" t="s">
        <v>391</v>
      </c>
      <c r="F2906" s="74">
        <v>0.1</v>
      </c>
      <c r="G2906" s="74"/>
      <c r="H2906" s="74"/>
      <c r="I2906" s="74" t="s">
        <v>391</v>
      </c>
      <c r="J2906" s="74"/>
      <c r="K2906" s="74">
        <v>102.4</v>
      </c>
      <c r="L2906" s="74">
        <v>92.16</v>
      </c>
      <c r="M2906" s="74"/>
      <c r="N2906" s="74" t="s">
        <v>392</v>
      </c>
      <c r="O2906" s="74" t="s">
        <v>393</v>
      </c>
      <c r="P2906" s="74"/>
      <c r="Q2906" s="74" t="s">
        <v>8093</v>
      </c>
    </row>
    <row r="2907" spans="3:17" x14ac:dyDescent="0.25">
      <c r="C2907" s="74" t="s">
        <v>8097</v>
      </c>
      <c r="D2907" s="74" t="s">
        <v>8098</v>
      </c>
      <c r="E2907" s="74" t="s">
        <v>391</v>
      </c>
      <c r="F2907" s="74">
        <v>0.1</v>
      </c>
      <c r="G2907" s="74"/>
      <c r="H2907" s="74"/>
      <c r="I2907" s="74" t="s">
        <v>391</v>
      </c>
      <c r="J2907" s="74"/>
      <c r="K2907" s="74">
        <v>102.4</v>
      </c>
      <c r="L2907" s="74">
        <v>92.16</v>
      </c>
      <c r="M2907" s="74"/>
      <c r="N2907" s="74" t="s">
        <v>392</v>
      </c>
      <c r="O2907" s="74" t="s">
        <v>393</v>
      </c>
      <c r="P2907" s="74"/>
      <c r="Q2907" s="74" t="s">
        <v>8099</v>
      </c>
    </row>
    <row r="2908" spans="3:17" x14ac:dyDescent="0.25">
      <c r="C2908" s="74" t="s">
        <v>8123</v>
      </c>
      <c r="D2908" s="74" t="s">
        <v>8124</v>
      </c>
      <c r="E2908" s="74" t="s">
        <v>391</v>
      </c>
      <c r="F2908" s="74">
        <v>0.1</v>
      </c>
      <c r="G2908" s="74"/>
      <c r="H2908" s="74"/>
      <c r="I2908" s="74" t="s">
        <v>391</v>
      </c>
      <c r="J2908" s="74"/>
      <c r="K2908" s="74">
        <v>102.4</v>
      </c>
      <c r="L2908" s="74">
        <v>92.16</v>
      </c>
      <c r="M2908" s="74"/>
      <c r="N2908" s="74" t="s">
        <v>392</v>
      </c>
      <c r="O2908" s="74" t="s">
        <v>393</v>
      </c>
      <c r="P2908" s="74"/>
      <c r="Q2908" s="74" t="s">
        <v>8125</v>
      </c>
    </row>
    <row r="2909" spans="3:17" x14ac:dyDescent="0.25">
      <c r="C2909" s="74" t="s">
        <v>8126</v>
      </c>
      <c r="D2909" s="74" t="s">
        <v>8127</v>
      </c>
      <c r="E2909" s="74" t="s">
        <v>391</v>
      </c>
      <c r="F2909" s="74">
        <v>0.1</v>
      </c>
      <c r="G2909" s="74"/>
      <c r="H2909" s="74"/>
      <c r="I2909" s="74" t="s">
        <v>391</v>
      </c>
      <c r="J2909" s="74"/>
      <c r="K2909" s="74">
        <v>102.4</v>
      </c>
      <c r="L2909" s="74">
        <v>92.16</v>
      </c>
      <c r="M2909" s="74"/>
      <c r="N2909" s="74" t="s">
        <v>392</v>
      </c>
      <c r="O2909" s="74" t="s">
        <v>393</v>
      </c>
      <c r="P2909" s="74"/>
      <c r="Q2909" s="74" t="s">
        <v>8128</v>
      </c>
    </row>
    <row r="2910" spans="3:17" x14ac:dyDescent="0.25">
      <c r="C2910" s="74" t="s">
        <v>8129</v>
      </c>
      <c r="D2910" s="74" t="s">
        <v>8130</v>
      </c>
      <c r="E2910" s="74" t="s">
        <v>391</v>
      </c>
      <c r="F2910" s="74">
        <v>0.1</v>
      </c>
      <c r="G2910" s="74"/>
      <c r="H2910" s="74"/>
      <c r="I2910" s="74" t="s">
        <v>391</v>
      </c>
      <c r="J2910" s="74"/>
      <c r="K2910" s="74">
        <v>102.4</v>
      </c>
      <c r="L2910" s="74">
        <v>92.16</v>
      </c>
      <c r="M2910" s="74"/>
      <c r="N2910" s="74" t="s">
        <v>392</v>
      </c>
      <c r="O2910" s="74" t="s">
        <v>393</v>
      </c>
      <c r="P2910" s="74"/>
      <c r="Q2910" s="74" t="s">
        <v>8131</v>
      </c>
    </row>
    <row r="2911" spans="3:17" x14ac:dyDescent="0.25">
      <c r="C2911" s="74" t="s">
        <v>8152</v>
      </c>
      <c r="D2911" s="74" t="s">
        <v>8153</v>
      </c>
      <c r="E2911" s="74" t="s">
        <v>391</v>
      </c>
      <c r="F2911" s="74">
        <v>0.1</v>
      </c>
      <c r="G2911" s="74"/>
      <c r="H2911" s="74"/>
      <c r="I2911" s="74" t="s">
        <v>391</v>
      </c>
      <c r="J2911" s="74"/>
      <c r="K2911" s="74">
        <v>102.4</v>
      </c>
      <c r="L2911" s="74">
        <v>92.16</v>
      </c>
      <c r="M2911" s="74"/>
      <c r="N2911" s="74" t="s">
        <v>392</v>
      </c>
      <c r="O2911" s="74" t="s">
        <v>393</v>
      </c>
      <c r="P2911" s="74"/>
      <c r="Q2911" s="74" t="s">
        <v>8154</v>
      </c>
    </row>
    <row r="2912" spans="3:17" x14ac:dyDescent="0.25">
      <c r="C2912" s="74" t="s">
        <v>8163</v>
      </c>
      <c r="D2912" s="74" t="s">
        <v>8164</v>
      </c>
      <c r="E2912" s="74" t="s">
        <v>391</v>
      </c>
      <c r="F2912" s="74">
        <v>0.1</v>
      </c>
      <c r="G2912" s="74"/>
      <c r="H2912" s="74"/>
      <c r="I2912" s="74" t="s">
        <v>391</v>
      </c>
      <c r="J2912" s="74"/>
      <c r="K2912" s="74">
        <v>102.4</v>
      </c>
      <c r="L2912" s="74">
        <v>92.16</v>
      </c>
      <c r="M2912" s="74"/>
      <c r="N2912" s="74" t="s">
        <v>392</v>
      </c>
      <c r="O2912" s="74" t="s">
        <v>393</v>
      </c>
      <c r="P2912" s="74"/>
      <c r="Q2912" s="74" t="s">
        <v>8165</v>
      </c>
    </row>
    <row r="2913" spans="3:17" x14ac:dyDescent="0.25">
      <c r="C2913" s="74" t="s">
        <v>8166</v>
      </c>
      <c r="D2913" s="74" t="s">
        <v>8167</v>
      </c>
      <c r="E2913" s="74" t="s">
        <v>391</v>
      </c>
      <c r="F2913" s="74">
        <v>0.1</v>
      </c>
      <c r="G2913" s="74"/>
      <c r="H2913" s="74"/>
      <c r="I2913" s="74" t="s">
        <v>391</v>
      </c>
      <c r="J2913" s="74"/>
      <c r="K2913" s="74">
        <v>102.4</v>
      </c>
      <c r="L2913" s="74">
        <v>92.16</v>
      </c>
      <c r="M2913" s="74"/>
      <c r="N2913" s="74" t="s">
        <v>392</v>
      </c>
      <c r="O2913" s="74" t="s">
        <v>393</v>
      </c>
      <c r="P2913" s="74"/>
      <c r="Q2913" s="74" t="s">
        <v>8168</v>
      </c>
    </row>
    <row r="2914" spans="3:17" x14ac:dyDescent="0.25">
      <c r="C2914" s="74" t="s">
        <v>8169</v>
      </c>
      <c r="D2914" s="74" t="s">
        <v>8170</v>
      </c>
      <c r="E2914" s="74" t="s">
        <v>391</v>
      </c>
      <c r="F2914" s="74">
        <v>0.1</v>
      </c>
      <c r="G2914" s="74"/>
      <c r="H2914" s="74"/>
      <c r="I2914" s="74" t="s">
        <v>391</v>
      </c>
      <c r="J2914" s="74"/>
      <c r="K2914" s="74">
        <v>102.4</v>
      </c>
      <c r="L2914" s="74">
        <v>92.16</v>
      </c>
      <c r="M2914" s="74"/>
      <c r="N2914" s="74" t="s">
        <v>392</v>
      </c>
      <c r="O2914" s="74" t="s">
        <v>393</v>
      </c>
      <c r="P2914" s="74"/>
      <c r="Q2914" s="74" t="s">
        <v>8171</v>
      </c>
    </row>
    <row r="2915" spans="3:17" x14ac:dyDescent="0.25">
      <c r="C2915" s="74" t="s">
        <v>8198</v>
      </c>
      <c r="D2915" s="74" t="s">
        <v>8199</v>
      </c>
      <c r="E2915" s="74" t="s">
        <v>391</v>
      </c>
      <c r="F2915" s="74">
        <v>0.1</v>
      </c>
      <c r="G2915" s="74"/>
      <c r="H2915" s="74"/>
      <c r="I2915" s="74" t="s">
        <v>391</v>
      </c>
      <c r="J2915" s="74"/>
      <c r="K2915" s="74">
        <v>102.4</v>
      </c>
      <c r="L2915" s="74">
        <v>92.16</v>
      </c>
      <c r="M2915" s="74"/>
      <c r="N2915" s="74" t="s">
        <v>392</v>
      </c>
      <c r="O2915" s="74" t="s">
        <v>393</v>
      </c>
      <c r="P2915" s="74"/>
      <c r="Q2915" s="74" t="s">
        <v>8200</v>
      </c>
    </row>
    <row r="2916" spans="3:17" x14ac:dyDescent="0.25">
      <c r="C2916" s="74" t="s">
        <v>8205</v>
      </c>
      <c r="D2916" s="74" t="s">
        <v>8206</v>
      </c>
      <c r="E2916" s="74" t="s">
        <v>391</v>
      </c>
      <c r="F2916" s="74">
        <v>0.1</v>
      </c>
      <c r="G2916" s="74"/>
      <c r="H2916" s="74"/>
      <c r="I2916" s="74" t="s">
        <v>391</v>
      </c>
      <c r="J2916" s="74"/>
      <c r="K2916" s="74">
        <v>102.4</v>
      </c>
      <c r="L2916" s="74">
        <v>92.16</v>
      </c>
      <c r="M2916" s="74"/>
      <c r="N2916" s="74" t="s">
        <v>392</v>
      </c>
      <c r="O2916" s="74" t="s">
        <v>393</v>
      </c>
      <c r="P2916" s="74"/>
      <c r="Q2916" s="74" t="s">
        <v>8206</v>
      </c>
    </row>
    <row r="2917" spans="3:17" x14ac:dyDescent="0.25">
      <c r="C2917" s="74" t="s">
        <v>8207</v>
      </c>
      <c r="D2917" s="74" t="s">
        <v>8208</v>
      </c>
      <c r="E2917" s="74" t="s">
        <v>391</v>
      </c>
      <c r="F2917" s="74">
        <v>0.1</v>
      </c>
      <c r="G2917" s="74"/>
      <c r="H2917" s="74"/>
      <c r="I2917" s="74" t="s">
        <v>391</v>
      </c>
      <c r="J2917" s="74"/>
      <c r="K2917" s="74">
        <v>102.4</v>
      </c>
      <c r="L2917" s="74">
        <v>92.16</v>
      </c>
      <c r="M2917" s="74"/>
      <c r="N2917" s="74" t="s">
        <v>392</v>
      </c>
      <c r="O2917" s="74" t="s">
        <v>393</v>
      </c>
      <c r="P2917" s="74"/>
      <c r="Q2917" s="74" t="s">
        <v>8209</v>
      </c>
    </row>
    <row r="2918" spans="3:17" x14ac:dyDescent="0.25">
      <c r="C2918" s="74" t="s">
        <v>8216</v>
      </c>
      <c r="D2918" s="74" t="s">
        <v>8217</v>
      </c>
      <c r="E2918" s="74" t="s">
        <v>391</v>
      </c>
      <c r="F2918" s="74">
        <v>0.1</v>
      </c>
      <c r="G2918" s="74"/>
      <c r="H2918" s="74"/>
      <c r="I2918" s="74" t="s">
        <v>391</v>
      </c>
      <c r="J2918" s="74"/>
      <c r="K2918" s="74">
        <v>102.4</v>
      </c>
      <c r="L2918" s="74">
        <v>92.16</v>
      </c>
      <c r="M2918" s="74"/>
      <c r="N2918" s="74" t="s">
        <v>392</v>
      </c>
      <c r="O2918" s="74" t="s">
        <v>393</v>
      </c>
      <c r="P2918" s="74"/>
      <c r="Q2918" s="74" t="s">
        <v>8217</v>
      </c>
    </row>
    <row r="2919" spans="3:17" x14ac:dyDescent="0.25">
      <c r="C2919" s="74" t="s">
        <v>8221</v>
      </c>
      <c r="D2919" s="74" t="s">
        <v>8222</v>
      </c>
      <c r="E2919" s="74" t="s">
        <v>391</v>
      </c>
      <c r="F2919" s="74">
        <v>0.1</v>
      </c>
      <c r="G2919" s="74"/>
      <c r="H2919" s="74"/>
      <c r="I2919" s="74" t="s">
        <v>391</v>
      </c>
      <c r="J2919" s="74"/>
      <c r="K2919" s="74">
        <v>102.4</v>
      </c>
      <c r="L2919" s="74">
        <v>92.16</v>
      </c>
      <c r="M2919" s="74"/>
      <c r="N2919" s="74" t="s">
        <v>392</v>
      </c>
      <c r="O2919" s="74" t="s">
        <v>393</v>
      </c>
      <c r="P2919" s="74"/>
      <c r="Q2919" s="74" t="s">
        <v>8223</v>
      </c>
    </row>
    <row r="2920" spans="3:17" x14ac:dyDescent="0.25">
      <c r="C2920" s="74" t="s">
        <v>8224</v>
      </c>
      <c r="D2920" s="74" t="s">
        <v>8225</v>
      </c>
      <c r="E2920" s="74" t="s">
        <v>391</v>
      </c>
      <c r="F2920" s="74">
        <v>0.1</v>
      </c>
      <c r="G2920" s="74"/>
      <c r="H2920" s="74"/>
      <c r="I2920" s="74" t="s">
        <v>391</v>
      </c>
      <c r="J2920" s="74"/>
      <c r="K2920" s="74">
        <v>102.4</v>
      </c>
      <c r="L2920" s="74">
        <v>92.16</v>
      </c>
      <c r="M2920" s="74"/>
      <c r="N2920" s="74" t="s">
        <v>392</v>
      </c>
      <c r="O2920" s="74" t="s">
        <v>393</v>
      </c>
      <c r="P2920" s="74"/>
      <c r="Q2920" s="74" t="s">
        <v>8226</v>
      </c>
    </row>
    <row r="2921" spans="3:17" x14ac:dyDescent="0.25">
      <c r="C2921" s="74" t="s">
        <v>8241</v>
      </c>
      <c r="D2921" s="74" t="s">
        <v>8242</v>
      </c>
      <c r="E2921" s="74" t="s">
        <v>391</v>
      </c>
      <c r="F2921" s="74">
        <v>0.1</v>
      </c>
      <c r="G2921" s="74"/>
      <c r="H2921" s="74"/>
      <c r="I2921" s="74" t="s">
        <v>391</v>
      </c>
      <c r="J2921" s="74"/>
      <c r="K2921" s="74">
        <v>102.4</v>
      </c>
      <c r="L2921" s="74">
        <v>92.16</v>
      </c>
      <c r="M2921" s="74"/>
      <c r="N2921" s="74" t="s">
        <v>392</v>
      </c>
      <c r="O2921" s="74" t="s">
        <v>393</v>
      </c>
      <c r="P2921" s="74"/>
      <c r="Q2921" s="74" t="s">
        <v>8243</v>
      </c>
    </row>
    <row r="2922" spans="3:17" x14ac:dyDescent="0.25">
      <c r="C2922" s="74" t="s">
        <v>8248</v>
      </c>
      <c r="D2922" s="74" t="s">
        <v>8249</v>
      </c>
      <c r="E2922" s="74" t="s">
        <v>391</v>
      </c>
      <c r="F2922" s="74">
        <v>0.1</v>
      </c>
      <c r="G2922" s="74"/>
      <c r="H2922" s="74"/>
      <c r="I2922" s="74" t="s">
        <v>391</v>
      </c>
      <c r="J2922" s="74"/>
      <c r="K2922" s="74">
        <v>102.4</v>
      </c>
      <c r="L2922" s="74">
        <v>92.16</v>
      </c>
      <c r="M2922" s="74"/>
      <c r="N2922" s="74" t="s">
        <v>392</v>
      </c>
      <c r="O2922" s="74" t="s">
        <v>393</v>
      </c>
      <c r="P2922" s="74"/>
      <c r="Q2922" s="74" t="s">
        <v>8249</v>
      </c>
    </row>
    <row r="2923" spans="3:17" x14ac:dyDescent="0.25">
      <c r="C2923" s="74" t="s">
        <v>8250</v>
      </c>
      <c r="D2923" s="74" t="s">
        <v>8251</v>
      </c>
      <c r="E2923" s="74" t="s">
        <v>391</v>
      </c>
      <c r="F2923" s="74">
        <v>0.1</v>
      </c>
      <c r="G2923" s="74"/>
      <c r="H2923" s="74"/>
      <c r="I2923" s="74" t="s">
        <v>391</v>
      </c>
      <c r="J2923" s="74"/>
      <c r="K2923" s="74">
        <v>102.4</v>
      </c>
      <c r="L2923" s="74">
        <v>92.16</v>
      </c>
      <c r="M2923" s="74"/>
      <c r="N2923" s="74" t="s">
        <v>392</v>
      </c>
      <c r="O2923" s="74" t="s">
        <v>393</v>
      </c>
      <c r="P2923" s="74"/>
      <c r="Q2923" s="74" t="s">
        <v>8252</v>
      </c>
    </row>
    <row r="2924" spans="3:17" x14ac:dyDescent="0.25">
      <c r="C2924" s="74" t="s">
        <v>8257</v>
      </c>
      <c r="D2924" s="74" t="s">
        <v>8258</v>
      </c>
      <c r="E2924" s="74" t="s">
        <v>391</v>
      </c>
      <c r="F2924" s="74">
        <v>0.1</v>
      </c>
      <c r="G2924" s="74"/>
      <c r="H2924" s="74"/>
      <c r="I2924" s="74" t="s">
        <v>391</v>
      </c>
      <c r="J2924" s="74"/>
      <c r="K2924" s="74">
        <v>102.4</v>
      </c>
      <c r="L2924" s="74">
        <v>92.16</v>
      </c>
      <c r="M2924" s="74"/>
      <c r="N2924" s="74" t="s">
        <v>392</v>
      </c>
      <c r="O2924" s="74" t="s">
        <v>393</v>
      </c>
      <c r="P2924" s="74"/>
      <c r="Q2924" s="74" t="s">
        <v>8259</v>
      </c>
    </row>
    <row r="2925" spans="3:17" x14ac:dyDescent="0.25">
      <c r="C2925" s="74" t="s">
        <v>8268</v>
      </c>
      <c r="D2925" s="74" t="s">
        <v>8269</v>
      </c>
      <c r="E2925" s="74" t="s">
        <v>391</v>
      </c>
      <c r="F2925" s="74">
        <v>0.1</v>
      </c>
      <c r="G2925" s="74"/>
      <c r="H2925" s="74"/>
      <c r="I2925" s="74" t="s">
        <v>391</v>
      </c>
      <c r="J2925" s="74"/>
      <c r="K2925" s="74">
        <v>102.4</v>
      </c>
      <c r="L2925" s="74">
        <v>92.16</v>
      </c>
      <c r="M2925" s="74"/>
      <c r="N2925" s="74" t="s">
        <v>392</v>
      </c>
      <c r="O2925" s="74" t="s">
        <v>393</v>
      </c>
      <c r="P2925" s="74"/>
      <c r="Q2925" s="74" t="s">
        <v>8270</v>
      </c>
    </row>
    <row r="2926" spans="3:17" x14ac:dyDescent="0.25">
      <c r="C2926" s="74" t="s">
        <v>8275</v>
      </c>
      <c r="D2926" s="74" t="s">
        <v>8276</v>
      </c>
      <c r="E2926" s="74" t="s">
        <v>391</v>
      </c>
      <c r="F2926" s="74">
        <v>0.1</v>
      </c>
      <c r="G2926" s="74"/>
      <c r="H2926" s="74"/>
      <c r="I2926" s="74" t="s">
        <v>391</v>
      </c>
      <c r="J2926" s="74"/>
      <c r="K2926" s="74">
        <v>102.4</v>
      </c>
      <c r="L2926" s="74">
        <v>92.16</v>
      </c>
      <c r="M2926" s="74"/>
      <c r="N2926" s="74" t="s">
        <v>392</v>
      </c>
      <c r="O2926" s="74" t="s">
        <v>393</v>
      </c>
      <c r="P2926" s="74"/>
      <c r="Q2926" s="74" t="s">
        <v>8277</v>
      </c>
    </row>
    <row r="2927" spans="3:17" x14ac:dyDescent="0.25">
      <c r="C2927" s="74" t="s">
        <v>8278</v>
      </c>
      <c r="D2927" s="74" t="s">
        <v>8279</v>
      </c>
      <c r="E2927" s="74" t="s">
        <v>391</v>
      </c>
      <c r="F2927" s="74">
        <v>0.1</v>
      </c>
      <c r="G2927" s="74"/>
      <c r="H2927" s="74"/>
      <c r="I2927" s="74" t="s">
        <v>391</v>
      </c>
      <c r="J2927" s="74"/>
      <c r="K2927" s="74">
        <v>102.4</v>
      </c>
      <c r="L2927" s="74">
        <v>92.16</v>
      </c>
      <c r="M2927" s="74"/>
      <c r="N2927" s="74" t="s">
        <v>392</v>
      </c>
      <c r="O2927" s="74" t="s">
        <v>393</v>
      </c>
      <c r="P2927" s="74"/>
      <c r="Q2927" s="74" t="s">
        <v>8280</v>
      </c>
    </row>
    <row r="2928" spans="3:17" x14ac:dyDescent="0.25">
      <c r="C2928" s="74" t="s">
        <v>8289</v>
      </c>
      <c r="D2928" s="74" t="s">
        <v>8290</v>
      </c>
      <c r="E2928" s="74" t="s">
        <v>391</v>
      </c>
      <c r="F2928" s="74">
        <v>0.1</v>
      </c>
      <c r="G2928" s="74"/>
      <c r="H2928" s="74"/>
      <c r="I2928" s="74" t="s">
        <v>391</v>
      </c>
      <c r="J2928" s="74"/>
      <c r="K2928" s="74">
        <v>102.4</v>
      </c>
      <c r="L2928" s="74">
        <v>92.16</v>
      </c>
      <c r="M2928" s="74"/>
      <c r="N2928" s="74" t="s">
        <v>392</v>
      </c>
      <c r="O2928" s="74" t="s">
        <v>393</v>
      </c>
      <c r="P2928" s="74"/>
      <c r="Q2928" s="74" t="s">
        <v>8291</v>
      </c>
    </row>
    <row r="2929" spans="3:17" x14ac:dyDescent="0.25">
      <c r="C2929" s="74" t="s">
        <v>8310</v>
      </c>
      <c r="D2929" s="74" t="s">
        <v>8311</v>
      </c>
      <c r="E2929" s="74" t="s">
        <v>391</v>
      </c>
      <c r="F2929" s="74">
        <v>0.1</v>
      </c>
      <c r="G2929" s="74"/>
      <c r="H2929" s="74"/>
      <c r="I2929" s="74" t="s">
        <v>391</v>
      </c>
      <c r="J2929" s="74"/>
      <c r="K2929" s="74">
        <v>102.4</v>
      </c>
      <c r="L2929" s="74">
        <v>92.16</v>
      </c>
      <c r="M2929" s="74"/>
      <c r="N2929" s="74" t="s">
        <v>392</v>
      </c>
      <c r="O2929" s="74" t="s">
        <v>393</v>
      </c>
      <c r="P2929" s="74"/>
      <c r="Q2929" s="74" t="s">
        <v>8312</v>
      </c>
    </row>
    <row r="2930" spans="3:17" x14ac:dyDescent="0.25">
      <c r="C2930" s="74" t="s">
        <v>8331</v>
      </c>
      <c r="D2930" s="74" t="s">
        <v>8332</v>
      </c>
      <c r="E2930" s="74" t="s">
        <v>391</v>
      </c>
      <c r="F2930" s="74">
        <v>0.1</v>
      </c>
      <c r="G2930" s="74"/>
      <c r="H2930" s="74"/>
      <c r="I2930" s="74" t="s">
        <v>391</v>
      </c>
      <c r="J2930" s="74"/>
      <c r="K2930" s="74">
        <v>102.4</v>
      </c>
      <c r="L2930" s="74">
        <v>92.16</v>
      </c>
      <c r="M2930" s="74"/>
      <c r="N2930" s="74" t="s">
        <v>392</v>
      </c>
      <c r="O2930" s="74" t="s">
        <v>393</v>
      </c>
      <c r="P2930" s="74"/>
      <c r="Q2930" s="74" t="s">
        <v>8333</v>
      </c>
    </row>
    <row r="2931" spans="3:17" x14ac:dyDescent="0.25">
      <c r="C2931" s="74" t="s">
        <v>8353</v>
      </c>
      <c r="D2931" s="74" t="s">
        <v>8354</v>
      </c>
      <c r="E2931" s="74" t="s">
        <v>391</v>
      </c>
      <c r="F2931" s="74">
        <v>0.1</v>
      </c>
      <c r="G2931" s="74"/>
      <c r="H2931" s="74"/>
      <c r="I2931" s="74" t="s">
        <v>391</v>
      </c>
      <c r="J2931" s="74"/>
      <c r="K2931" s="74">
        <v>102.4</v>
      </c>
      <c r="L2931" s="74">
        <v>92.16</v>
      </c>
      <c r="M2931" s="74"/>
      <c r="N2931" s="74" t="s">
        <v>392</v>
      </c>
      <c r="O2931" s="74" t="s">
        <v>393</v>
      </c>
      <c r="P2931" s="74"/>
      <c r="Q2931" s="74" t="s">
        <v>8355</v>
      </c>
    </row>
    <row r="2932" spans="3:17" x14ac:dyDescent="0.25">
      <c r="C2932" s="74" t="s">
        <v>8398</v>
      </c>
      <c r="D2932" s="74" t="s">
        <v>8399</v>
      </c>
      <c r="E2932" s="74" t="s">
        <v>391</v>
      </c>
      <c r="F2932" s="74">
        <v>0.1</v>
      </c>
      <c r="G2932" s="74"/>
      <c r="H2932" s="74"/>
      <c r="I2932" s="74" t="s">
        <v>391</v>
      </c>
      <c r="J2932" s="74"/>
      <c r="K2932" s="74">
        <v>102.4</v>
      </c>
      <c r="L2932" s="74">
        <v>92.16</v>
      </c>
      <c r="M2932" s="74"/>
      <c r="N2932" s="74" t="s">
        <v>392</v>
      </c>
      <c r="O2932" s="74" t="s">
        <v>393</v>
      </c>
      <c r="P2932" s="74"/>
      <c r="Q2932" s="74" t="s">
        <v>8400</v>
      </c>
    </row>
    <row r="2933" spans="3:17" x14ac:dyDescent="0.25">
      <c r="C2933" s="74" t="s">
        <v>8401</v>
      </c>
      <c r="D2933" s="74" t="s">
        <v>8402</v>
      </c>
      <c r="E2933" s="74" t="s">
        <v>391</v>
      </c>
      <c r="F2933" s="74">
        <v>0.1</v>
      </c>
      <c r="G2933" s="74"/>
      <c r="H2933" s="74"/>
      <c r="I2933" s="74" t="s">
        <v>391</v>
      </c>
      <c r="J2933" s="74"/>
      <c r="K2933" s="74">
        <v>102.4</v>
      </c>
      <c r="L2933" s="74">
        <v>92.16</v>
      </c>
      <c r="M2933" s="74"/>
      <c r="N2933" s="74" t="s">
        <v>392</v>
      </c>
      <c r="O2933" s="74" t="s">
        <v>393</v>
      </c>
      <c r="P2933" s="74"/>
      <c r="Q2933" s="74" t="s">
        <v>8403</v>
      </c>
    </row>
    <row r="2934" spans="3:17" x14ac:dyDescent="0.25">
      <c r="C2934" s="74" t="s">
        <v>8407</v>
      </c>
      <c r="D2934" s="74" t="s">
        <v>8408</v>
      </c>
      <c r="E2934" s="74" t="s">
        <v>391</v>
      </c>
      <c r="F2934" s="74">
        <v>0.1</v>
      </c>
      <c r="G2934" s="74"/>
      <c r="H2934" s="74"/>
      <c r="I2934" s="74" t="s">
        <v>391</v>
      </c>
      <c r="J2934" s="74"/>
      <c r="K2934" s="74">
        <v>102.4</v>
      </c>
      <c r="L2934" s="74">
        <v>92.16</v>
      </c>
      <c r="M2934" s="74"/>
      <c r="N2934" s="74" t="s">
        <v>392</v>
      </c>
      <c r="O2934" s="74" t="s">
        <v>393</v>
      </c>
      <c r="P2934" s="74"/>
      <c r="Q2934" s="74" t="s">
        <v>8409</v>
      </c>
    </row>
    <row r="2935" spans="3:17" x14ac:dyDescent="0.25">
      <c r="C2935" s="74" t="s">
        <v>8413</v>
      </c>
      <c r="D2935" s="74" t="s">
        <v>8414</v>
      </c>
      <c r="E2935" s="74" t="s">
        <v>391</v>
      </c>
      <c r="F2935" s="74">
        <v>0.1</v>
      </c>
      <c r="G2935" s="74"/>
      <c r="H2935" s="74"/>
      <c r="I2935" s="74" t="s">
        <v>391</v>
      </c>
      <c r="J2935" s="74"/>
      <c r="K2935" s="74">
        <v>102.4</v>
      </c>
      <c r="L2935" s="74">
        <v>92.16</v>
      </c>
      <c r="M2935" s="74"/>
      <c r="N2935" s="74" t="s">
        <v>392</v>
      </c>
      <c r="O2935" s="74" t="s">
        <v>393</v>
      </c>
      <c r="P2935" s="74"/>
      <c r="Q2935" s="74" t="s">
        <v>8415</v>
      </c>
    </row>
    <row r="2936" spans="3:17" x14ac:dyDescent="0.25">
      <c r="C2936" s="74" t="s">
        <v>8416</v>
      </c>
      <c r="D2936" s="74" t="s">
        <v>8417</v>
      </c>
      <c r="E2936" s="74" t="s">
        <v>391</v>
      </c>
      <c r="F2936" s="74">
        <v>0.1</v>
      </c>
      <c r="G2936" s="74"/>
      <c r="H2936" s="74"/>
      <c r="I2936" s="74" t="s">
        <v>391</v>
      </c>
      <c r="J2936" s="74"/>
      <c r="K2936" s="74">
        <v>102.4</v>
      </c>
      <c r="L2936" s="74">
        <v>92.16</v>
      </c>
      <c r="M2936" s="74"/>
      <c r="N2936" s="74" t="s">
        <v>392</v>
      </c>
      <c r="O2936" s="74" t="s">
        <v>393</v>
      </c>
      <c r="P2936" s="74"/>
      <c r="Q2936" s="74" t="s">
        <v>8418</v>
      </c>
    </row>
    <row r="2937" spans="3:17" x14ac:dyDescent="0.25">
      <c r="C2937" s="74" t="s">
        <v>8422</v>
      </c>
      <c r="D2937" s="74" t="s">
        <v>8423</v>
      </c>
      <c r="E2937" s="74" t="s">
        <v>391</v>
      </c>
      <c r="F2937" s="74">
        <v>0.1</v>
      </c>
      <c r="G2937" s="74"/>
      <c r="H2937" s="74"/>
      <c r="I2937" s="74" t="s">
        <v>391</v>
      </c>
      <c r="J2937" s="74"/>
      <c r="K2937" s="74">
        <v>102.4</v>
      </c>
      <c r="L2937" s="74">
        <v>92.16</v>
      </c>
      <c r="M2937" s="74"/>
      <c r="N2937" s="74" t="s">
        <v>392</v>
      </c>
      <c r="O2937" s="74" t="s">
        <v>393</v>
      </c>
      <c r="P2937" s="74"/>
      <c r="Q2937" s="74" t="s">
        <v>8424</v>
      </c>
    </row>
    <row r="2938" spans="3:17" x14ac:dyDescent="0.25">
      <c r="C2938" s="74" t="s">
        <v>8447</v>
      </c>
      <c r="D2938" s="74" t="s">
        <v>8448</v>
      </c>
      <c r="E2938" s="74" t="s">
        <v>391</v>
      </c>
      <c r="F2938" s="74">
        <v>0.1</v>
      </c>
      <c r="G2938" s="74"/>
      <c r="H2938" s="74"/>
      <c r="I2938" s="74" t="s">
        <v>391</v>
      </c>
      <c r="J2938" s="74"/>
      <c r="K2938" s="74">
        <v>102.4</v>
      </c>
      <c r="L2938" s="74">
        <v>92.16</v>
      </c>
      <c r="M2938" s="74"/>
      <c r="N2938" s="74" t="s">
        <v>392</v>
      </c>
      <c r="O2938" s="74" t="s">
        <v>393</v>
      </c>
      <c r="P2938" s="74"/>
      <c r="Q2938" s="74" t="s">
        <v>8449</v>
      </c>
    </row>
    <row r="2939" spans="3:17" x14ac:dyDescent="0.25">
      <c r="C2939" s="74" t="s">
        <v>8453</v>
      </c>
      <c r="D2939" s="74" t="s">
        <v>8454</v>
      </c>
      <c r="E2939" s="74" t="s">
        <v>391</v>
      </c>
      <c r="F2939" s="74">
        <v>0.1</v>
      </c>
      <c r="G2939" s="74"/>
      <c r="H2939" s="74"/>
      <c r="I2939" s="74" t="s">
        <v>391</v>
      </c>
      <c r="J2939" s="74"/>
      <c r="K2939" s="74">
        <v>102.4</v>
      </c>
      <c r="L2939" s="74">
        <v>92.16</v>
      </c>
      <c r="M2939" s="74"/>
      <c r="N2939" s="74" t="s">
        <v>392</v>
      </c>
      <c r="O2939" s="74" t="s">
        <v>393</v>
      </c>
      <c r="P2939" s="74"/>
      <c r="Q2939" s="74" t="s">
        <v>8455</v>
      </c>
    </row>
    <row r="2940" spans="3:17" x14ac:dyDescent="0.25">
      <c r="C2940" s="74" t="s">
        <v>8456</v>
      </c>
      <c r="D2940" s="74" t="s">
        <v>8457</v>
      </c>
      <c r="E2940" s="74" t="s">
        <v>391</v>
      </c>
      <c r="F2940" s="74">
        <v>0.1</v>
      </c>
      <c r="G2940" s="74"/>
      <c r="H2940" s="74"/>
      <c r="I2940" s="74" t="s">
        <v>391</v>
      </c>
      <c r="J2940" s="74"/>
      <c r="K2940" s="74">
        <v>102.4</v>
      </c>
      <c r="L2940" s="74">
        <v>92.16</v>
      </c>
      <c r="M2940" s="74"/>
      <c r="N2940" s="74" t="s">
        <v>392</v>
      </c>
      <c r="O2940" s="74" t="s">
        <v>393</v>
      </c>
      <c r="P2940" s="74"/>
      <c r="Q2940" s="74" t="s">
        <v>8457</v>
      </c>
    </row>
    <row r="2941" spans="3:17" x14ac:dyDescent="0.25">
      <c r="C2941" s="74" t="s">
        <v>8458</v>
      </c>
      <c r="D2941" s="74" t="s">
        <v>8459</v>
      </c>
      <c r="E2941" s="74" t="s">
        <v>391</v>
      </c>
      <c r="F2941" s="74">
        <v>0.1</v>
      </c>
      <c r="G2941" s="74"/>
      <c r="H2941" s="74"/>
      <c r="I2941" s="74" t="s">
        <v>391</v>
      </c>
      <c r="J2941" s="74"/>
      <c r="K2941" s="74">
        <v>102.4</v>
      </c>
      <c r="L2941" s="74">
        <v>92.16</v>
      </c>
      <c r="M2941" s="74"/>
      <c r="N2941" s="74" t="s">
        <v>392</v>
      </c>
      <c r="O2941" s="74" t="s">
        <v>393</v>
      </c>
      <c r="P2941" s="74"/>
      <c r="Q2941" s="74" t="s">
        <v>8460</v>
      </c>
    </row>
    <row r="2942" spans="3:17" x14ac:dyDescent="0.25">
      <c r="C2942" s="74" t="s">
        <v>8468</v>
      </c>
      <c r="D2942" s="74" t="s">
        <v>8469</v>
      </c>
      <c r="E2942" s="74" t="s">
        <v>391</v>
      </c>
      <c r="F2942" s="74">
        <v>0.1</v>
      </c>
      <c r="G2942" s="74"/>
      <c r="H2942" s="74"/>
      <c r="I2942" s="74" t="s">
        <v>391</v>
      </c>
      <c r="J2942" s="74"/>
      <c r="K2942" s="74">
        <v>102.4</v>
      </c>
      <c r="L2942" s="74">
        <v>92.16</v>
      </c>
      <c r="M2942" s="74"/>
      <c r="N2942" s="74" t="s">
        <v>392</v>
      </c>
      <c r="O2942" s="74" t="s">
        <v>393</v>
      </c>
      <c r="P2942" s="74"/>
      <c r="Q2942" s="74" t="s">
        <v>8470</v>
      </c>
    </row>
    <row r="2943" spans="3:17" x14ac:dyDescent="0.25">
      <c r="C2943" s="74" t="s">
        <v>8475</v>
      </c>
      <c r="D2943" s="74" t="s">
        <v>8476</v>
      </c>
      <c r="E2943" s="74" t="s">
        <v>391</v>
      </c>
      <c r="F2943" s="74">
        <v>0.1</v>
      </c>
      <c r="G2943" s="74"/>
      <c r="H2943" s="74"/>
      <c r="I2943" s="74" t="s">
        <v>391</v>
      </c>
      <c r="J2943" s="74"/>
      <c r="K2943" s="74">
        <v>102.4</v>
      </c>
      <c r="L2943" s="74">
        <v>92.16</v>
      </c>
      <c r="M2943" s="74"/>
      <c r="N2943" s="74" t="s">
        <v>392</v>
      </c>
      <c r="O2943" s="74" t="s">
        <v>393</v>
      </c>
      <c r="P2943" s="74"/>
      <c r="Q2943" s="74" t="s">
        <v>8477</v>
      </c>
    </row>
    <row r="2944" spans="3:17" x14ac:dyDescent="0.25">
      <c r="C2944" s="74" t="s">
        <v>8478</v>
      </c>
      <c r="D2944" s="74" t="s">
        <v>8479</v>
      </c>
      <c r="E2944" s="74" t="s">
        <v>391</v>
      </c>
      <c r="F2944" s="74">
        <v>0.1</v>
      </c>
      <c r="G2944" s="74"/>
      <c r="H2944" s="74"/>
      <c r="I2944" s="74" t="s">
        <v>391</v>
      </c>
      <c r="J2944" s="74"/>
      <c r="K2944" s="74">
        <v>102.4</v>
      </c>
      <c r="L2944" s="74">
        <v>92.16</v>
      </c>
      <c r="M2944" s="74"/>
      <c r="N2944" s="74" t="s">
        <v>392</v>
      </c>
      <c r="O2944" s="74" t="s">
        <v>393</v>
      </c>
      <c r="P2944" s="74"/>
      <c r="Q2944" s="74" t="s">
        <v>8480</v>
      </c>
    </row>
    <row r="2945" spans="3:17" x14ac:dyDescent="0.25">
      <c r="C2945" s="74" t="s">
        <v>8496</v>
      </c>
      <c r="D2945" s="74" t="s">
        <v>8497</v>
      </c>
      <c r="E2945" s="74" t="s">
        <v>391</v>
      </c>
      <c r="F2945" s="74">
        <v>0.1</v>
      </c>
      <c r="G2945" s="74"/>
      <c r="H2945" s="74"/>
      <c r="I2945" s="74" t="s">
        <v>391</v>
      </c>
      <c r="J2945" s="74"/>
      <c r="K2945" s="74">
        <v>102.4</v>
      </c>
      <c r="L2945" s="74">
        <v>92.16</v>
      </c>
      <c r="M2945" s="74"/>
      <c r="N2945" s="74" t="s">
        <v>392</v>
      </c>
      <c r="O2945" s="74" t="s">
        <v>393</v>
      </c>
      <c r="P2945" s="74"/>
      <c r="Q2945" s="74" t="s">
        <v>8498</v>
      </c>
    </row>
    <row r="2946" spans="3:17" x14ac:dyDescent="0.25">
      <c r="C2946" s="74" t="s">
        <v>8522</v>
      </c>
      <c r="D2946" s="74" t="s">
        <v>8523</v>
      </c>
      <c r="E2946" s="74" t="s">
        <v>391</v>
      </c>
      <c r="F2946" s="74">
        <v>0.1</v>
      </c>
      <c r="G2946" s="74"/>
      <c r="H2946" s="74"/>
      <c r="I2946" s="74" t="s">
        <v>391</v>
      </c>
      <c r="J2946" s="74"/>
      <c r="K2946" s="74">
        <v>102.4</v>
      </c>
      <c r="L2946" s="74">
        <v>92.16</v>
      </c>
      <c r="M2946" s="74"/>
      <c r="N2946" s="74" t="s">
        <v>392</v>
      </c>
      <c r="O2946" s="74" t="s">
        <v>393</v>
      </c>
      <c r="P2946" s="74"/>
      <c r="Q2946" s="74" t="s">
        <v>8524</v>
      </c>
    </row>
    <row r="2947" spans="3:17" x14ac:dyDescent="0.25">
      <c r="C2947" s="74" t="s">
        <v>8525</v>
      </c>
      <c r="D2947" s="74" t="s">
        <v>8526</v>
      </c>
      <c r="E2947" s="74" t="s">
        <v>391</v>
      </c>
      <c r="F2947" s="74">
        <v>0.1</v>
      </c>
      <c r="G2947" s="74"/>
      <c r="H2947" s="74"/>
      <c r="I2947" s="74" t="s">
        <v>391</v>
      </c>
      <c r="J2947" s="74"/>
      <c r="K2947" s="74">
        <v>102.4</v>
      </c>
      <c r="L2947" s="74">
        <v>92.16</v>
      </c>
      <c r="M2947" s="74"/>
      <c r="N2947" s="74" t="s">
        <v>392</v>
      </c>
      <c r="O2947" s="74" t="s">
        <v>393</v>
      </c>
      <c r="P2947" s="74"/>
      <c r="Q2947" s="74" t="s">
        <v>8527</v>
      </c>
    </row>
    <row r="2948" spans="3:17" x14ac:dyDescent="0.25">
      <c r="C2948" s="74" t="s">
        <v>8536</v>
      </c>
      <c r="D2948" s="74" t="s">
        <v>8537</v>
      </c>
      <c r="E2948" s="74" t="s">
        <v>391</v>
      </c>
      <c r="F2948" s="74">
        <v>0.1</v>
      </c>
      <c r="G2948" s="74"/>
      <c r="H2948" s="74"/>
      <c r="I2948" s="74" t="s">
        <v>391</v>
      </c>
      <c r="J2948" s="74"/>
      <c r="K2948" s="74">
        <v>102.4</v>
      </c>
      <c r="L2948" s="74">
        <v>92.16</v>
      </c>
      <c r="M2948" s="74"/>
      <c r="N2948" s="74" t="s">
        <v>392</v>
      </c>
      <c r="O2948" s="74" t="s">
        <v>393</v>
      </c>
      <c r="P2948" s="74"/>
      <c r="Q2948" s="74" t="s">
        <v>8537</v>
      </c>
    </row>
    <row r="2949" spans="3:17" x14ac:dyDescent="0.25">
      <c r="C2949" s="74" t="s">
        <v>8538</v>
      </c>
      <c r="D2949" s="74" t="s">
        <v>8539</v>
      </c>
      <c r="E2949" s="74" t="s">
        <v>391</v>
      </c>
      <c r="F2949" s="74">
        <v>0.1</v>
      </c>
      <c r="G2949" s="74"/>
      <c r="H2949" s="74"/>
      <c r="I2949" s="74" t="s">
        <v>391</v>
      </c>
      <c r="J2949" s="74"/>
      <c r="K2949" s="74">
        <v>102.4</v>
      </c>
      <c r="L2949" s="74">
        <v>92.16</v>
      </c>
      <c r="M2949" s="74"/>
      <c r="N2949" s="74" t="s">
        <v>392</v>
      </c>
      <c r="O2949" s="74" t="s">
        <v>393</v>
      </c>
      <c r="P2949" s="74"/>
      <c r="Q2949" s="74" t="s">
        <v>8540</v>
      </c>
    </row>
    <row r="2950" spans="3:17" x14ac:dyDescent="0.25">
      <c r="C2950" s="74" t="s">
        <v>8541</v>
      </c>
      <c r="D2950" s="74" t="s">
        <v>8542</v>
      </c>
      <c r="E2950" s="74" t="s">
        <v>391</v>
      </c>
      <c r="F2950" s="74">
        <v>0.1</v>
      </c>
      <c r="G2950" s="74"/>
      <c r="H2950" s="74"/>
      <c r="I2950" s="74" t="s">
        <v>391</v>
      </c>
      <c r="J2950" s="74"/>
      <c r="K2950" s="74">
        <v>102.4</v>
      </c>
      <c r="L2950" s="74">
        <v>92.16</v>
      </c>
      <c r="M2950" s="74"/>
      <c r="N2950" s="74" t="s">
        <v>392</v>
      </c>
      <c r="O2950" s="74" t="s">
        <v>393</v>
      </c>
      <c r="P2950" s="74"/>
      <c r="Q2950" s="74" t="s">
        <v>8543</v>
      </c>
    </row>
    <row r="2951" spans="3:17" x14ac:dyDescent="0.25">
      <c r="C2951" s="74" t="s">
        <v>8547</v>
      </c>
      <c r="D2951" s="74" t="s">
        <v>8548</v>
      </c>
      <c r="E2951" s="74" t="s">
        <v>391</v>
      </c>
      <c r="F2951" s="74">
        <v>0.1</v>
      </c>
      <c r="G2951" s="74"/>
      <c r="H2951" s="74"/>
      <c r="I2951" s="74" t="s">
        <v>391</v>
      </c>
      <c r="J2951" s="74"/>
      <c r="K2951" s="74">
        <v>102.4</v>
      </c>
      <c r="L2951" s="74">
        <v>92.16</v>
      </c>
      <c r="M2951" s="74"/>
      <c r="N2951" s="74" t="s">
        <v>392</v>
      </c>
      <c r="O2951" s="74" t="s">
        <v>393</v>
      </c>
      <c r="P2951" s="74"/>
      <c r="Q2951" s="74" t="s">
        <v>8549</v>
      </c>
    </row>
    <row r="2952" spans="3:17" x14ac:dyDescent="0.25">
      <c r="C2952" s="74" t="s">
        <v>8550</v>
      </c>
      <c r="D2952" s="74" t="s">
        <v>8551</v>
      </c>
      <c r="E2952" s="74" t="s">
        <v>391</v>
      </c>
      <c r="F2952" s="74">
        <v>0.1</v>
      </c>
      <c r="G2952" s="74"/>
      <c r="H2952" s="74"/>
      <c r="I2952" s="74" t="s">
        <v>391</v>
      </c>
      <c r="J2952" s="74"/>
      <c r="K2952" s="74">
        <v>102.4</v>
      </c>
      <c r="L2952" s="74">
        <v>92.16</v>
      </c>
      <c r="M2952" s="74"/>
      <c r="N2952" s="74" t="s">
        <v>392</v>
      </c>
      <c r="O2952" s="74" t="s">
        <v>393</v>
      </c>
      <c r="P2952" s="74"/>
      <c r="Q2952" s="74" t="s">
        <v>8552</v>
      </c>
    </row>
    <row r="2953" spans="3:17" x14ac:dyDescent="0.25">
      <c r="C2953" s="74" t="s">
        <v>8564</v>
      </c>
      <c r="D2953" s="74" t="s">
        <v>8565</v>
      </c>
      <c r="E2953" s="74" t="s">
        <v>391</v>
      </c>
      <c r="F2953" s="74">
        <v>0.1</v>
      </c>
      <c r="G2953" s="74"/>
      <c r="H2953" s="74"/>
      <c r="I2953" s="74" t="s">
        <v>391</v>
      </c>
      <c r="J2953" s="74"/>
      <c r="K2953" s="74">
        <v>102.4</v>
      </c>
      <c r="L2953" s="74">
        <v>92.16</v>
      </c>
      <c r="M2953" s="74"/>
      <c r="N2953" s="74" t="s">
        <v>392</v>
      </c>
      <c r="O2953" s="74" t="s">
        <v>393</v>
      </c>
      <c r="P2953" s="74"/>
      <c r="Q2953" s="74" t="s">
        <v>8566</v>
      </c>
    </row>
    <row r="2954" spans="3:17" x14ac:dyDescent="0.25">
      <c r="C2954" s="74" t="s">
        <v>8567</v>
      </c>
      <c r="D2954" s="74" t="s">
        <v>8568</v>
      </c>
      <c r="E2954" s="74" t="s">
        <v>391</v>
      </c>
      <c r="F2954" s="74">
        <v>0.1</v>
      </c>
      <c r="G2954" s="74"/>
      <c r="H2954" s="74"/>
      <c r="I2954" s="74" t="s">
        <v>391</v>
      </c>
      <c r="J2954" s="74"/>
      <c r="K2954" s="74">
        <v>102.4</v>
      </c>
      <c r="L2954" s="74">
        <v>92.16</v>
      </c>
      <c r="M2954" s="74"/>
      <c r="N2954" s="74" t="s">
        <v>392</v>
      </c>
      <c r="O2954" s="74" t="s">
        <v>393</v>
      </c>
      <c r="P2954" s="74"/>
      <c r="Q2954" s="74" t="s">
        <v>8569</v>
      </c>
    </row>
    <row r="2955" spans="3:17" x14ac:dyDescent="0.25">
      <c r="C2955" s="74" t="s">
        <v>8570</v>
      </c>
      <c r="D2955" s="74" t="s">
        <v>8571</v>
      </c>
      <c r="E2955" s="74" t="s">
        <v>391</v>
      </c>
      <c r="F2955" s="74">
        <v>0.1</v>
      </c>
      <c r="G2955" s="74"/>
      <c r="H2955" s="74"/>
      <c r="I2955" s="74" t="s">
        <v>391</v>
      </c>
      <c r="J2955" s="74"/>
      <c r="K2955" s="74">
        <v>102.4</v>
      </c>
      <c r="L2955" s="74">
        <v>92.16</v>
      </c>
      <c r="M2955" s="74"/>
      <c r="N2955" s="74" t="s">
        <v>392</v>
      </c>
      <c r="O2955" s="74" t="s">
        <v>393</v>
      </c>
      <c r="P2955" s="74"/>
      <c r="Q2955" s="74" t="s">
        <v>8572</v>
      </c>
    </row>
    <row r="2956" spans="3:17" x14ac:dyDescent="0.25">
      <c r="C2956" s="74" t="s">
        <v>8577</v>
      </c>
      <c r="D2956" s="74" t="s">
        <v>8578</v>
      </c>
      <c r="E2956" s="74" t="s">
        <v>391</v>
      </c>
      <c r="F2956" s="74">
        <v>0.1</v>
      </c>
      <c r="G2956" s="74"/>
      <c r="H2956" s="74"/>
      <c r="I2956" s="74" t="s">
        <v>391</v>
      </c>
      <c r="J2956" s="74"/>
      <c r="K2956" s="74">
        <v>102.4</v>
      </c>
      <c r="L2956" s="74">
        <v>92.16</v>
      </c>
      <c r="M2956" s="74"/>
      <c r="N2956" s="74" t="s">
        <v>392</v>
      </c>
      <c r="O2956" s="74" t="s">
        <v>393</v>
      </c>
      <c r="P2956" s="74"/>
      <c r="Q2956" s="74" t="s">
        <v>8579</v>
      </c>
    </row>
    <row r="2957" spans="3:17" x14ac:dyDescent="0.25">
      <c r="C2957" s="74" t="s">
        <v>8584</v>
      </c>
      <c r="D2957" s="74" t="s">
        <v>8585</v>
      </c>
      <c r="E2957" s="74" t="s">
        <v>391</v>
      </c>
      <c r="F2957" s="74">
        <v>0.1</v>
      </c>
      <c r="G2957" s="74"/>
      <c r="H2957" s="74"/>
      <c r="I2957" s="74" t="s">
        <v>391</v>
      </c>
      <c r="J2957" s="74"/>
      <c r="K2957" s="74">
        <v>102.4</v>
      </c>
      <c r="L2957" s="74">
        <v>92.16</v>
      </c>
      <c r="M2957" s="74"/>
      <c r="N2957" s="74" t="s">
        <v>392</v>
      </c>
      <c r="O2957" s="74" t="s">
        <v>393</v>
      </c>
      <c r="P2957" s="74"/>
      <c r="Q2957" s="74" t="s">
        <v>8586</v>
      </c>
    </row>
    <row r="2958" spans="3:17" x14ac:dyDescent="0.25">
      <c r="C2958" s="74" t="s">
        <v>8587</v>
      </c>
      <c r="D2958" s="74" t="s">
        <v>8588</v>
      </c>
      <c r="E2958" s="74" t="s">
        <v>391</v>
      </c>
      <c r="F2958" s="74">
        <v>0.1</v>
      </c>
      <c r="G2958" s="74"/>
      <c r="H2958" s="74"/>
      <c r="I2958" s="74" t="s">
        <v>391</v>
      </c>
      <c r="J2958" s="74"/>
      <c r="K2958" s="74">
        <v>102.4</v>
      </c>
      <c r="L2958" s="74">
        <v>92.16</v>
      </c>
      <c r="M2958" s="74"/>
      <c r="N2958" s="74" t="s">
        <v>392</v>
      </c>
      <c r="O2958" s="74" t="s">
        <v>393</v>
      </c>
      <c r="P2958" s="74"/>
      <c r="Q2958" s="74" t="s">
        <v>8589</v>
      </c>
    </row>
    <row r="2959" spans="3:17" x14ac:dyDescent="0.25">
      <c r="C2959" s="74" t="s">
        <v>8590</v>
      </c>
      <c r="D2959" s="74" t="s">
        <v>8591</v>
      </c>
      <c r="E2959" s="74" t="s">
        <v>391</v>
      </c>
      <c r="F2959" s="74">
        <v>0.1</v>
      </c>
      <c r="G2959" s="74"/>
      <c r="H2959" s="74"/>
      <c r="I2959" s="74" t="s">
        <v>391</v>
      </c>
      <c r="J2959" s="74"/>
      <c r="K2959" s="74">
        <v>102.4</v>
      </c>
      <c r="L2959" s="74">
        <v>92.16</v>
      </c>
      <c r="M2959" s="74"/>
      <c r="N2959" s="74" t="s">
        <v>392</v>
      </c>
      <c r="O2959" s="74" t="s">
        <v>393</v>
      </c>
      <c r="P2959" s="74"/>
      <c r="Q2959" s="74" t="s">
        <v>8591</v>
      </c>
    </row>
    <row r="2960" spans="3:17" x14ac:dyDescent="0.25">
      <c r="C2960" s="74" t="s">
        <v>8595</v>
      </c>
      <c r="D2960" s="74" t="s">
        <v>8596</v>
      </c>
      <c r="E2960" s="74" t="s">
        <v>391</v>
      </c>
      <c r="F2960" s="74">
        <v>0.1</v>
      </c>
      <c r="G2960" s="74"/>
      <c r="H2960" s="74"/>
      <c r="I2960" s="74" t="s">
        <v>391</v>
      </c>
      <c r="J2960" s="74"/>
      <c r="K2960" s="74">
        <v>102.4</v>
      </c>
      <c r="L2960" s="74">
        <v>92.16</v>
      </c>
      <c r="M2960" s="74"/>
      <c r="N2960" s="74" t="s">
        <v>392</v>
      </c>
      <c r="O2960" s="74" t="s">
        <v>393</v>
      </c>
      <c r="P2960" s="74"/>
      <c r="Q2960" s="74" t="s">
        <v>8597</v>
      </c>
    </row>
    <row r="2961" spans="3:17" x14ac:dyDescent="0.25">
      <c r="C2961" s="74" t="s">
        <v>8621</v>
      </c>
      <c r="D2961" s="74" t="s">
        <v>8622</v>
      </c>
      <c r="E2961" s="74" t="s">
        <v>391</v>
      </c>
      <c r="F2961" s="74">
        <v>0.1</v>
      </c>
      <c r="G2961" s="74"/>
      <c r="H2961" s="74"/>
      <c r="I2961" s="74" t="s">
        <v>391</v>
      </c>
      <c r="J2961" s="74"/>
      <c r="K2961" s="74">
        <v>102.4</v>
      </c>
      <c r="L2961" s="74">
        <v>92.16</v>
      </c>
      <c r="M2961" s="74"/>
      <c r="N2961" s="74" t="s">
        <v>392</v>
      </c>
      <c r="O2961" s="74" t="s">
        <v>393</v>
      </c>
      <c r="P2961" s="74"/>
      <c r="Q2961" s="74" t="s">
        <v>8623</v>
      </c>
    </row>
    <row r="2962" spans="3:17" x14ac:dyDescent="0.25">
      <c r="C2962" s="74" t="s">
        <v>8632</v>
      </c>
      <c r="D2962" s="74" t="s">
        <v>8633</v>
      </c>
      <c r="E2962" s="74" t="s">
        <v>391</v>
      </c>
      <c r="F2962" s="74">
        <v>0.1</v>
      </c>
      <c r="G2962" s="74"/>
      <c r="H2962" s="74"/>
      <c r="I2962" s="74" t="s">
        <v>391</v>
      </c>
      <c r="J2962" s="74"/>
      <c r="K2962" s="74">
        <v>102.4</v>
      </c>
      <c r="L2962" s="74">
        <v>92.16</v>
      </c>
      <c r="M2962" s="74"/>
      <c r="N2962" s="74" t="s">
        <v>392</v>
      </c>
      <c r="O2962" s="74" t="s">
        <v>393</v>
      </c>
      <c r="P2962" s="74"/>
      <c r="Q2962" s="74" t="s">
        <v>8634</v>
      </c>
    </row>
    <row r="2963" spans="3:17" x14ac:dyDescent="0.25">
      <c r="C2963" s="74" t="s">
        <v>8639</v>
      </c>
      <c r="D2963" s="74" t="s">
        <v>8640</v>
      </c>
      <c r="E2963" s="74" t="s">
        <v>391</v>
      </c>
      <c r="F2963" s="74">
        <v>0.1</v>
      </c>
      <c r="G2963" s="74"/>
      <c r="H2963" s="74"/>
      <c r="I2963" s="74" t="s">
        <v>391</v>
      </c>
      <c r="J2963" s="74"/>
      <c r="K2963" s="74">
        <v>102.4</v>
      </c>
      <c r="L2963" s="74">
        <v>92.16</v>
      </c>
      <c r="M2963" s="74"/>
      <c r="N2963" s="74" t="s">
        <v>392</v>
      </c>
      <c r="O2963" s="74" t="s">
        <v>393</v>
      </c>
      <c r="P2963" s="74"/>
      <c r="Q2963" s="74" t="s">
        <v>8641</v>
      </c>
    </row>
    <row r="2964" spans="3:17" x14ac:dyDescent="0.25">
      <c r="C2964" s="74" t="s">
        <v>8645</v>
      </c>
      <c r="D2964" s="74" t="s">
        <v>8646</v>
      </c>
      <c r="E2964" s="74" t="s">
        <v>391</v>
      </c>
      <c r="F2964" s="74">
        <v>0.1</v>
      </c>
      <c r="G2964" s="74"/>
      <c r="H2964" s="74"/>
      <c r="I2964" s="74" t="s">
        <v>391</v>
      </c>
      <c r="J2964" s="74"/>
      <c r="K2964" s="74">
        <v>102.4</v>
      </c>
      <c r="L2964" s="74">
        <v>92.16</v>
      </c>
      <c r="M2964" s="74"/>
      <c r="N2964" s="74" t="s">
        <v>392</v>
      </c>
      <c r="O2964" s="74" t="s">
        <v>393</v>
      </c>
      <c r="P2964" s="74"/>
      <c r="Q2964" s="74" t="s">
        <v>8647</v>
      </c>
    </row>
    <row r="2965" spans="3:17" x14ac:dyDescent="0.25">
      <c r="C2965" s="74" t="s">
        <v>8666</v>
      </c>
      <c r="D2965" s="74" t="s">
        <v>8667</v>
      </c>
      <c r="E2965" s="74" t="s">
        <v>391</v>
      </c>
      <c r="F2965" s="74">
        <v>0.1</v>
      </c>
      <c r="G2965" s="74"/>
      <c r="H2965" s="74"/>
      <c r="I2965" s="74" t="s">
        <v>391</v>
      </c>
      <c r="J2965" s="74"/>
      <c r="K2965" s="74">
        <v>102.4</v>
      </c>
      <c r="L2965" s="74">
        <v>92.16</v>
      </c>
      <c r="M2965" s="74"/>
      <c r="N2965" s="74" t="s">
        <v>392</v>
      </c>
      <c r="O2965" s="74" t="s">
        <v>393</v>
      </c>
      <c r="P2965" s="74"/>
      <c r="Q2965" s="74" t="s">
        <v>8668</v>
      </c>
    </row>
    <row r="2966" spans="3:17" x14ac:dyDescent="0.25">
      <c r="C2966" s="74" t="s">
        <v>8673</v>
      </c>
      <c r="D2966" s="74" t="s">
        <v>8674</v>
      </c>
      <c r="E2966" s="74" t="s">
        <v>391</v>
      </c>
      <c r="F2966" s="74">
        <v>0.1</v>
      </c>
      <c r="G2966" s="74"/>
      <c r="H2966" s="74"/>
      <c r="I2966" s="74" t="s">
        <v>391</v>
      </c>
      <c r="J2966" s="74"/>
      <c r="K2966" s="74">
        <v>102.4</v>
      </c>
      <c r="L2966" s="74">
        <v>92.16</v>
      </c>
      <c r="M2966" s="74"/>
      <c r="N2966" s="74" t="s">
        <v>392</v>
      </c>
      <c r="O2966" s="74" t="s">
        <v>393</v>
      </c>
      <c r="P2966" s="74"/>
      <c r="Q2966" s="74" t="s">
        <v>8675</v>
      </c>
    </row>
    <row r="2967" spans="3:17" x14ac:dyDescent="0.25">
      <c r="C2967" s="74" t="s">
        <v>8676</v>
      </c>
      <c r="D2967" s="74" t="s">
        <v>8677</v>
      </c>
      <c r="E2967" s="74" t="s">
        <v>391</v>
      </c>
      <c r="F2967" s="74">
        <v>0.1</v>
      </c>
      <c r="G2967" s="74"/>
      <c r="H2967" s="74"/>
      <c r="I2967" s="74" t="s">
        <v>391</v>
      </c>
      <c r="J2967" s="74"/>
      <c r="K2967" s="74">
        <v>102.4</v>
      </c>
      <c r="L2967" s="74">
        <v>92.16</v>
      </c>
      <c r="M2967" s="74"/>
      <c r="N2967" s="74" t="s">
        <v>392</v>
      </c>
      <c r="O2967" s="74" t="s">
        <v>393</v>
      </c>
      <c r="P2967" s="74"/>
      <c r="Q2967" s="74" t="s">
        <v>8678</v>
      </c>
    </row>
    <row r="2968" spans="3:17" x14ac:dyDescent="0.25">
      <c r="C2968" s="74" t="s">
        <v>8687</v>
      </c>
      <c r="D2968" s="74" t="s">
        <v>8688</v>
      </c>
      <c r="E2968" s="74" t="s">
        <v>391</v>
      </c>
      <c r="F2968" s="74">
        <v>0.1</v>
      </c>
      <c r="G2968" s="74"/>
      <c r="H2968" s="74"/>
      <c r="I2968" s="74" t="s">
        <v>391</v>
      </c>
      <c r="J2968" s="74"/>
      <c r="K2968" s="74">
        <v>102.4</v>
      </c>
      <c r="L2968" s="74">
        <v>92.16</v>
      </c>
      <c r="M2968" s="74"/>
      <c r="N2968" s="74" t="s">
        <v>392</v>
      </c>
      <c r="O2968" s="74" t="s">
        <v>393</v>
      </c>
      <c r="P2968" s="74"/>
      <c r="Q2968" s="74" t="s">
        <v>8689</v>
      </c>
    </row>
    <row r="2969" spans="3:17" x14ac:dyDescent="0.25">
      <c r="C2969" s="74" t="s">
        <v>8690</v>
      </c>
      <c r="D2969" s="74" t="s">
        <v>8691</v>
      </c>
      <c r="E2969" s="74" t="s">
        <v>391</v>
      </c>
      <c r="F2969" s="74">
        <v>0.1</v>
      </c>
      <c r="G2969" s="74"/>
      <c r="H2969" s="74"/>
      <c r="I2969" s="74" t="s">
        <v>391</v>
      </c>
      <c r="J2969" s="74"/>
      <c r="K2969" s="74">
        <v>102.4</v>
      </c>
      <c r="L2969" s="74">
        <v>92.16</v>
      </c>
      <c r="M2969" s="74"/>
      <c r="N2969" s="74" t="s">
        <v>392</v>
      </c>
      <c r="O2969" s="74" t="s">
        <v>393</v>
      </c>
      <c r="P2969" s="74"/>
      <c r="Q2969" s="74" t="s">
        <v>8692</v>
      </c>
    </row>
    <row r="2970" spans="3:17" x14ac:dyDescent="0.25">
      <c r="C2970" s="74" t="s">
        <v>8699</v>
      </c>
      <c r="D2970" s="74" t="s">
        <v>8700</v>
      </c>
      <c r="E2970" s="74" t="s">
        <v>391</v>
      </c>
      <c r="F2970" s="74">
        <v>0.1</v>
      </c>
      <c r="G2970" s="74"/>
      <c r="H2970" s="74"/>
      <c r="I2970" s="74" t="s">
        <v>391</v>
      </c>
      <c r="J2970" s="74"/>
      <c r="K2970" s="74">
        <v>102.4</v>
      </c>
      <c r="L2970" s="74">
        <v>92.16</v>
      </c>
      <c r="M2970" s="74"/>
      <c r="N2970" s="74" t="s">
        <v>392</v>
      </c>
      <c r="O2970" s="74" t="s">
        <v>393</v>
      </c>
      <c r="P2970" s="74"/>
      <c r="Q2970" s="74" t="s">
        <v>8701</v>
      </c>
    </row>
    <row r="2971" spans="3:17" x14ac:dyDescent="0.25">
      <c r="C2971" s="74" t="s">
        <v>8702</v>
      </c>
      <c r="D2971" s="74" t="s">
        <v>8703</v>
      </c>
      <c r="E2971" s="74" t="s">
        <v>391</v>
      </c>
      <c r="F2971" s="74">
        <v>0.1</v>
      </c>
      <c r="G2971" s="74"/>
      <c r="H2971" s="74"/>
      <c r="I2971" s="74" t="s">
        <v>391</v>
      </c>
      <c r="J2971" s="74"/>
      <c r="K2971" s="74">
        <v>102.4</v>
      </c>
      <c r="L2971" s="74">
        <v>92.16</v>
      </c>
      <c r="M2971" s="74"/>
      <c r="N2971" s="74" t="s">
        <v>392</v>
      </c>
      <c r="O2971" s="74" t="s">
        <v>393</v>
      </c>
      <c r="P2971" s="74"/>
      <c r="Q2971" s="74" t="s">
        <v>8704</v>
      </c>
    </row>
    <row r="2972" spans="3:17" x14ac:dyDescent="0.25">
      <c r="C2972" s="74" t="s">
        <v>8705</v>
      </c>
      <c r="D2972" s="74" t="s">
        <v>8706</v>
      </c>
      <c r="E2972" s="74" t="s">
        <v>391</v>
      </c>
      <c r="F2972" s="74">
        <v>0.1</v>
      </c>
      <c r="G2972" s="74"/>
      <c r="H2972" s="74"/>
      <c r="I2972" s="74" t="s">
        <v>391</v>
      </c>
      <c r="J2972" s="74"/>
      <c r="K2972" s="74">
        <v>102.4</v>
      </c>
      <c r="L2972" s="74">
        <v>92.16</v>
      </c>
      <c r="M2972" s="74"/>
      <c r="N2972" s="74" t="s">
        <v>392</v>
      </c>
      <c r="O2972" s="74" t="s">
        <v>393</v>
      </c>
      <c r="P2972" s="74"/>
      <c r="Q2972" s="74" t="s">
        <v>8707</v>
      </c>
    </row>
    <row r="2973" spans="3:17" x14ac:dyDescent="0.25">
      <c r="C2973" s="74" t="s">
        <v>8723</v>
      </c>
      <c r="D2973" s="74" t="s">
        <v>8724</v>
      </c>
      <c r="E2973" s="74" t="s">
        <v>391</v>
      </c>
      <c r="F2973" s="74">
        <v>0.1</v>
      </c>
      <c r="G2973" s="74"/>
      <c r="H2973" s="74"/>
      <c r="I2973" s="74" t="s">
        <v>391</v>
      </c>
      <c r="J2973" s="74"/>
      <c r="K2973" s="74">
        <v>102.4</v>
      </c>
      <c r="L2973" s="74">
        <v>92.16</v>
      </c>
      <c r="M2973" s="74"/>
      <c r="N2973" s="74" t="s">
        <v>392</v>
      </c>
      <c r="O2973" s="74" t="s">
        <v>393</v>
      </c>
      <c r="P2973" s="74"/>
      <c r="Q2973" s="74" t="s">
        <v>8725</v>
      </c>
    </row>
    <row r="2974" spans="3:17" x14ac:dyDescent="0.25">
      <c r="C2974" s="74" t="s">
        <v>8737</v>
      </c>
      <c r="D2974" s="74" t="s">
        <v>8738</v>
      </c>
      <c r="E2974" s="74" t="s">
        <v>391</v>
      </c>
      <c r="F2974" s="74">
        <v>0.1</v>
      </c>
      <c r="G2974" s="74"/>
      <c r="H2974" s="74"/>
      <c r="I2974" s="74" t="s">
        <v>391</v>
      </c>
      <c r="J2974" s="74"/>
      <c r="K2974" s="74">
        <v>102.4</v>
      </c>
      <c r="L2974" s="74">
        <v>92.16</v>
      </c>
      <c r="M2974" s="74"/>
      <c r="N2974" s="74" t="s">
        <v>392</v>
      </c>
      <c r="O2974" s="74" t="s">
        <v>393</v>
      </c>
      <c r="P2974" s="74"/>
      <c r="Q2974" s="74" t="s">
        <v>8739</v>
      </c>
    </row>
    <row r="2975" spans="3:17" x14ac:dyDescent="0.25">
      <c r="C2975" s="74" t="s">
        <v>8744</v>
      </c>
      <c r="D2975" s="74" t="s">
        <v>8745</v>
      </c>
      <c r="E2975" s="74" t="s">
        <v>391</v>
      </c>
      <c r="F2975" s="74">
        <v>0.1</v>
      </c>
      <c r="G2975" s="74"/>
      <c r="H2975" s="74"/>
      <c r="I2975" s="74" t="s">
        <v>391</v>
      </c>
      <c r="J2975" s="74"/>
      <c r="K2975" s="74">
        <v>102.4</v>
      </c>
      <c r="L2975" s="74">
        <v>92.16</v>
      </c>
      <c r="M2975" s="74"/>
      <c r="N2975" s="74" t="s">
        <v>392</v>
      </c>
      <c r="O2975" s="74" t="s">
        <v>393</v>
      </c>
      <c r="P2975" s="74"/>
      <c r="Q2975" s="74" t="s">
        <v>8746</v>
      </c>
    </row>
    <row r="2976" spans="3:17" x14ac:dyDescent="0.25">
      <c r="C2976" s="74" t="s">
        <v>8747</v>
      </c>
      <c r="D2976" s="74" t="s">
        <v>8748</v>
      </c>
      <c r="E2976" s="74" t="s">
        <v>391</v>
      </c>
      <c r="F2976" s="74">
        <v>0.1</v>
      </c>
      <c r="G2976" s="74"/>
      <c r="H2976" s="74"/>
      <c r="I2976" s="74" t="s">
        <v>391</v>
      </c>
      <c r="J2976" s="74"/>
      <c r="K2976" s="74">
        <v>102.4</v>
      </c>
      <c r="L2976" s="74">
        <v>92.16</v>
      </c>
      <c r="M2976" s="74"/>
      <c r="N2976" s="74" t="s">
        <v>392</v>
      </c>
      <c r="O2976" s="74" t="s">
        <v>393</v>
      </c>
      <c r="P2976" s="74"/>
      <c r="Q2976" s="74" t="s">
        <v>8748</v>
      </c>
    </row>
    <row r="2977" spans="3:17" x14ac:dyDescent="0.25">
      <c r="C2977" s="74" t="s">
        <v>8753</v>
      </c>
      <c r="D2977" s="74" t="s">
        <v>8754</v>
      </c>
      <c r="E2977" s="74" t="s">
        <v>391</v>
      </c>
      <c r="F2977" s="74">
        <v>0.1</v>
      </c>
      <c r="G2977" s="74"/>
      <c r="H2977" s="74"/>
      <c r="I2977" s="74" t="s">
        <v>391</v>
      </c>
      <c r="J2977" s="74"/>
      <c r="K2977" s="74">
        <v>102.4</v>
      </c>
      <c r="L2977" s="74">
        <v>92.16</v>
      </c>
      <c r="M2977" s="74"/>
      <c r="N2977" s="74" t="s">
        <v>392</v>
      </c>
      <c r="O2977" s="74" t="s">
        <v>393</v>
      </c>
      <c r="P2977" s="74"/>
      <c r="Q2977" s="74" t="s">
        <v>8755</v>
      </c>
    </row>
    <row r="2978" spans="3:17" x14ac:dyDescent="0.25">
      <c r="C2978" s="74" t="s">
        <v>8763</v>
      </c>
      <c r="D2978" s="74" t="s">
        <v>8764</v>
      </c>
      <c r="E2978" s="74" t="s">
        <v>391</v>
      </c>
      <c r="F2978" s="74">
        <v>0.1</v>
      </c>
      <c r="G2978" s="74"/>
      <c r="H2978" s="74"/>
      <c r="I2978" s="74" t="s">
        <v>391</v>
      </c>
      <c r="J2978" s="74"/>
      <c r="K2978" s="74">
        <v>102.4</v>
      </c>
      <c r="L2978" s="74">
        <v>92.16</v>
      </c>
      <c r="M2978" s="74"/>
      <c r="N2978" s="74" t="s">
        <v>392</v>
      </c>
      <c r="O2978" s="74" t="s">
        <v>393</v>
      </c>
      <c r="P2978" s="74"/>
      <c r="Q2978" s="74" t="s">
        <v>8765</v>
      </c>
    </row>
    <row r="2979" spans="3:17" x14ac:dyDescent="0.25">
      <c r="C2979" s="74" t="s">
        <v>8766</v>
      </c>
      <c r="D2979" s="74" t="s">
        <v>8767</v>
      </c>
      <c r="E2979" s="74" t="s">
        <v>391</v>
      </c>
      <c r="F2979" s="74">
        <v>0.1</v>
      </c>
      <c r="G2979" s="74"/>
      <c r="H2979" s="74"/>
      <c r="I2979" s="74" t="s">
        <v>391</v>
      </c>
      <c r="J2979" s="74"/>
      <c r="K2979" s="74">
        <v>102.4</v>
      </c>
      <c r="L2979" s="74">
        <v>92.16</v>
      </c>
      <c r="M2979" s="74"/>
      <c r="N2979" s="74" t="s">
        <v>392</v>
      </c>
      <c r="O2979" s="74" t="s">
        <v>393</v>
      </c>
      <c r="P2979" s="74"/>
      <c r="Q2979" s="74" t="s">
        <v>8768</v>
      </c>
    </row>
    <row r="2980" spans="3:17" x14ac:dyDescent="0.25">
      <c r="C2980" s="74" t="s">
        <v>8781</v>
      </c>
      <c r="D2980" s="74" t="s">
        <v>8782</v>
      </c>
      <c r="E2980" s="74" t="s">
        <v>391</v>
      </c>
      <c r="F2980" s="74">
        <v>0.1</v>
      </c>
      <c r="G2980" s="74"/>
      <c r="H2980" s="74"/>
      <c r="I2980" s="74" t="s">
        <v>391</v>
      </c>
      <c r="J2980" s="74"/>
      <c r="K2980" s="74">
        <v>102.4</v>
      </c>
      <c r="L2980" s="74">
        <v>92.16</v>
      </c>
      <c r="M2980" s="74"/>
      <c r="N2980" s="74" t="s">
        <v>392</v>
      </c>
      <c r="O2980" s="74" t="s">
        <v>393</v>
      </c>
      <c r="P2980" s="74"/>
      <c r="Q2980" s="74" t="s">
        <v>8783</v>
      </c>
    </row>
    <row r="2981" spans="3:17" x14ac:dyDescent="0.25">
      <c r="C2981" s="74" t="s">
        <v>8788</v>
      </c>
      <c r="D2981" s="74" t="s">
        <v>8789</v>
      </c>
      <c r="E2981" s="74" t="s">
        <v>391</v>
      </c>
      <c r="F2981" s="74">
        <v>0.1</v>
      </c>
      <c r="G2981" s="74"/>
      <c r="H2981" s="74"/>
      <c r="I2981" s="74" t="s">
        <v>391</v>
      </c>
      <c r="J2981" s="74"/>
      <c r="K2981" s="74">
        <v>102.4</v>
      </c>
      <c r="L2981" s="74">
        <v>92.16</v>
      </c>
      <c r="M2981" s="74"/>
      <c r="N2981" s="74" t="s">
        <v>392</v>
      </c>
      <c r="O2981" s="74" t="s">
        <v>393</v>
      </c>
      <c r="P2981" s="74"/>
      <c r="Q2981" s="74" t="s">
        <v>8790</v>
      </c>
    </row>
    <row r="2982" spans="3:17" x14ac:dyDescent="0.25">
      <c r="C2982" s="74" t="s">
        <v>8795</v>
      </c>
      <c r="D2982" s="74" t="s">
        <v>8796</v>
      </c>
      <c r="E2982" s="74" t="s">
        <v>391</v>
      </c>
      <c r="F2982" s="74">
        <v>0.1</v>
      </c>
      <c r="G2982" s="74"/>
      <c r="H2982" s="74"/>
      <c r="I2982" s="74" t="s">
        <v>391</v>
      </c>
      <c r="J2982" s="74"/>
      <c r="K2982" s="74">
        <v>102.4</v>
      </c>
      <c r="L2982" s="74">
        <v>92.16</v>
      </c>
      <c r="M2982" s="74"/>
      <c r="N2982" s="74" t="s">
        <v>392</v>
      </c>
      <c r="O2982" s="74" t="s">
        <v>393</v>
      </c>
      <c r="P2982" s="74"/>
      <c r="Q2982" s="74" t="s">
        <v>8797</v>
      </c>
    </row>
    <row r="2983" spans="3:17" x14ac:dyDescent="0.25">
      <c r="C2983" s="158" t="s">
        <v>8806</v>
      </c>
      <c r="D2983" s="158" t="s">
        <v>8807</v>
      </c>
      <c r="E2983" s="158" t="s">
        <v>391</v>
      </c>
      <c r="F2983" s="158">
        <v>0.1</v>
      </c>
      <c r="I2983" s="158" t="s">
        <v>391</v>
      </c>
      <c r="K2983" s="158">
        <v>102.4</v>
      </c>
      <c r="L2983" s="158">
        <v>92.16</v>
      </c>
      <c r="N2983" s="158" t="s">
        <v>392</v>
      </c>
      <c r="O2983" s="158" t="s">
        <v>393</v>
      </c>
      <c r="Q2983" s="158" t="s">
        <v>8808</v>
      </c>
    </row>
    <row r="2984" spans="3:17" x14ac:dyDescent="0.25">
      <c r="C2984" s="74" t="s">
        <v>8817</v>
      </c>
      <c r="D2984" s="74" t="s">
        <v>8818</v>
      </c>
      <c r="E2984" s="74" t="s">
        <v>391</v>
      </c>
      <c r="F2984" s="74">
        <v>0.1</v>
      </c>
      <c r="G2984" s="74"/>
      <c r="H2984" s="74"/>
      <c r="I2984" s="74" t="s">
        <v>391</v>
      </c>
      <c r="J2984" s="74"/>
      <c r="K2984" s="74">
        <v>102.4</v>
      </c>
      <c r="L2984" s="74">
        <v>92.16</v>
      </c>
      <c r="M2984" s="74"/>
      <c r="N2984" s="74" t="s">
        <v>392</v>
      </c>
      <c r="O2984" s="74" t="s">
        <v>393</v>
      </c>
      <c r="P2984" s="74"/>
      <c r="Q2984" s="74" t="s">
        <v>8819</v>
      </c>
    </row>
    <row r="2985" spans="3:17" x14ac:dyDescent="0.25">
      <c r="C2985" s="74" t="s">
        <v>8820</v>
      </c>
      <c r="D2985" s="74" t="s">
        <v>8821</v>
      </c>
      <c r="E2985" s="74" t="s">
        <v>391</v>
      </c>
      <c r="F2985" s="74">
        <v>0.1</v>
      </c>
      <c r="G2985" s="74"/>
      <c r="H2985" s="74"/>
      <c r="I2985" s="74" t="s">
        <v>391</v>
      </c>
      <c r="J2985" s="74"/>
      <c r="K2985" s="74">
        <v>102.4</v>
      </c>
      <c r="L2985" s="74">
        <v>92.16</v>
      </c>
      <c r="M2985" s="74"/>
      <c r="N2985" s="74" t="s">
        <v>392</v>
      </c>
      <c r="O2985" s="74" t="s">
        <v>393</v>
      </c>
      <c r="P2985" s="74"/>
      <c r="Q2985" s="74" t="s">
        <v>8822</v>
      </c>
    </row>
    <row r="2986" spans="3:17" x14ac:dyDescent="0.25">
      <c r="C2986" s="74" t="s">
        <v>8827</v>
      </c>
      <c r="D2986" s="74" t="s">
        <v>8828</v>
      </c>
      <c r="E2986" s="74" t="s">
        <v>391</v>
      </c>
      <c r="F2986" s="74">
        <v>0.1</v>
      </c>
      <c r="G2986" s="74"/>
      <c r="H2986" s="74"/>
      <c r="I2986" s="74" t="s">
        <v>391</v>
      </c>
      <c r="J2986" s="74"/>
      <c r="K2986" s="74">
        <v>102.4</v>
      </c>
      <c r="L2986" s="74">
        <v>92.16</v>
      </c>
      <c r="M2986" s="74"/>
      <c r="N2986" s="74" t="s">
        <v>392</v>
      </c>
      <c r="O2986" s="74" t="s">
        <v>393</v>
      </c>
      <c r="P2986" s="74"/>
      <c r="Q2986" s="74" t="s">
        <v>8829</v>
      </c>
    </row>
    <row r="2987" spans="3:17" x14ac:dyDescent="0.25">
      <c r="C2987" s="74" t="s">
        <v>8830</v>
      </c>
      <c r="D2987" s="74" t="s">
        <v>8831</v>
      </c>
      <c r="E2987" s="74" t="s">
        <v>391</v>
      </c>
      <c r="F2987" s="74">
        <v>0.1</v>
      </c>
      <c r="G2987" s="74"/>
      <c r="H2987" s="74"/>
      <c r="I2987" s="74" t="s">
        <v>391</v>
      </c>
      <c r="J2987" s="74"/>
      <c r="K2987" s="74">
        <v>102.4</v>
      </c>
      <c r="L2987" s="74">
        <v>92.16</v>
      </c>
      <c r="M2987" s="74"/>
      <c r="N2987" s="74" t="s">
        <v>392</v>
      </c>
      <c r="O2987" s="74" t="s">
        <v>393</v>
      </c>
      <c r="P2987" s="74"/>
      <c r="Q2987" s="74" t="s">
        <v>8832</v>
      </c>
    </row>
    <row r="2988" spans="3:17" x14ac:dyDescent="0.25">
      <c r="C2988" s="74" t="s">
        <v>8837</v>
      </c>
      <c r="D2988" s="74" t="s">
        <v>8838</v>
      </c>
      <c r="E2988" s="74" t="s">
        <v>391</v>
      </c>
      <c r="F2988" s="74">
        <v>0.1</v>
      </c>
      <c r="G2988" s="74"/>
      <c r="H2988" s="74"/>
      <c r="I2988" s="74" t="s">
        <v>391</v>
      </c>
      <c r="J2988" s="74"/>
      <c r="K2988" s="74">
        <v>102.4</v>
      </c>
      <c r="L2988" s="74">
        <v>92.16</v>
      </c>
      <c r="M2988" s="74"/>
      <c r="N2988" s="74" t="s">
        <v>392</v>
      </c>
      <c r="O2988" s="74" t="s">
        <v>393</v>
      </c>
      <c r="P2988" s="74"/>
      <c r="Q2988" s="74" t="s">
        <v>8839</v>
      </c>
    </row>
    <row r="2989" spans="3:17" x14ac:dyDescent="0.25">
      <c r="C2989" s="74" t="s">
        <v>8844</v>
      </c>
      <c r="D2989" s="74" t="s">
        <v>8845</v>
      </c>
      <c r="E2989" s="74" t="s">
        <v>391</v>
      </c>
      <c r="F2989" s="74">
        <v>0.1</v>
      </c>
      <c r="G2989" s="74"/>
      <c r="H2989" s="74"/>
      <c r="I2989" s="74" t="s">
        <v>391</v>
      </c>
      <c r="J2989" s="74"/>
      <c r="K2989" s="74">
        <v>102.4</v>
      </c>
      <c r="L2989" s="74">
        <v>92.16</v>
      </c>
      <c r="M2989" s="74"/>
      <c r="N2989" s="74" t="s">
        <v>392</v>
      </c>
      <c r="O2989" s="74" t="s">
        <v>393</v>
      </c>
      <c r="P2989" s="74"/>
      <c r="Q2989" s="74" t="s">
        <v>8846</v>
      </c>
    </row>
    <row r="2990" spans="3:17" x14ac:dyDescent="0.25">
      <c r="C2990" s="74" t="s">
        <v>8847</v>
      </c>
      <c r="D2990" s="74" t="s">
        <v>8848</v>
      </c>
      <c r="E2990" s="74" t="s">
        <v>391</v>
      </c>
      <c r="F2990" s="74">
        <v>0.1</v>
      </c>
      <c r="G2990" s="74"/>
      <c r="H2990" s="74"/>
      <c r="I2990" s="74" t="s">
        <v>391</v>
      </c>
      <c r="J2990" s="74"/>
      <c r="K2990" s="74">
        <v>102.4</v>
      </c>
      <c r="L2990" s="74">
        <v>92.16</v>
      </c>
      <c r="M2990" s="74"/>
      <c r="N2990" s="74" t="s">
        <v>392</v>
      </c>
      <c r="O2990" s="74" t="s">
        <v>393</v>
      </c>
      <c r="P2990" s="74"/>
      <c r="Q2990" s="74" t="s">
        <v>8849</v>
      </c>
    </row>
    <row r="2991" spans="3:17" x14ac:dyDescent="0.25">
      <c r="C2991" s="74" t="s">
        <v>8853</v>
      </c>
      <c r="D2991" s="74" t="s">
        <v>8854</v>
      </c>
      <c r="E2991" s="74" t="s">
        <v>391</v>
      </c>
      <c r="F2991" s="74">
        <v>0.1</v>
      </c>
      <c r="G2991" s="74"/>
      <c r="H2991" s="74"/>
      <c r="I2991" s="74" t="s">
        <v>391</v>
      </c>
      <c r="J2991" s="74"/>
      <c r="K2991" s="74">
        <v>102.4</v>
      </c>
      <c r="L2991" s="74">
        <v>92.16</v>
      </c>
      <c r="M2991" s="74"/>
      <c r="N2991" s="74" t="s">
        <v>392</v>
      </c>
      <c r="O2991" s="74" t="s">
        <v>393</v>
      </c>
      <c r="P2991" s="74"/>
      <c r="Q2991" s="74" t="s">
        <v>8855</v>
      </c>
    </row>
    <row r="2992" spans="3:17" x14ac:dyDescent="0.25">
      <c r="C2992" s="74" t="s">
        <v>8872</v>
      </c>
      <c r="D2992" s="74" t="s">
        <v>8873</v>
      </c>
      <c r="E2992" s="74" t="s">
        <v>391</v>
      </c>
      <c r="F2992" s="74">
        <v>0.1</v>
      </c>
      <c r="G2992" s="74"/>
      <c r="H2992" s="74"/>
      <c r="I2992" s="74" t="s">
        <v>391</v>
      </c>
      <c r="J2992" s="74"/>
      <c r="K2992" s="74">
        <v>102.4</v>
      </c>
      <c r="L2992" s="74">
        <v>92.16</v>
      </c>
      <c r="M2992" s="74"/>
      <c r="N2992" s="74" t="s">
        <v>392</v>
      </c>
      <c r="O2992" s="74" t="s">
        <v>393</v>
      </c>
      <c r="P2992" s="74"/>
      <c r="Q2992" s="74" t="s">
        <v>8874</v>
      </c>
    </row>
    <row r="2993" spans="3:17" x14ac:dyDescent="0.25">
      <c r="C2993" s="74" t="s">
        <v>8879</v>
      </c>
      <c r="D2993" s="74" t="s">
        <v>8880</v>
      </c>
      <c r="E2993" s="74" t="s">
        <v>391</v>
      </c>
      <c r="F2993" s="74">
        <v>0.1</v>
      </c>
      <c r="G2993" s="74"/>
      <c r="H2993" s="74"/>
      <c r="I2993" s="74" t="s">
        <v>391</v>
      </c>
      <c r="J2993" s="74"/>
      <c r="K2993" s="74">
        <v>102.4</v>
      </c>
      <c r="L2993" s="74">
        <v>92.16</v>
      </c>
      <c r="M2993" s="74"/>
      <c r="N2993" s="74" t="s">
        <v>392</v>
      </c>
      <c r="O2993" s="74" t="s">
        <v>393</v>
      </c>
      <c r="P2993" s="74"/>
      <c r="Q2993" s="74" t="s">
        <v>8881</v>
      </c>
    </row>
    <row r="2994" spans="3:17" x14ac:dyDescent="0.25">
      <c r="C2994" s="74" t="s">
        <v>8893</v>
      </c>
      <c r="D2994" s="74" t="s">
        <v>8894</v>
      </c>
      <c r="E2994" s="74" t="s">
        <v>391</v>
      </c>
      <c r="F2994" s="74">
        <v>0.1</v>
      </c>
      <c r="G2994" s="74"/>
      <c r="H2994" s="74"/>
      <c r="I2994" s="74" t="s">
        <v>391</v>
      </c>
      <c r="J2994" s="74"/>
      <c r="K2994" s="74">
        <v>102.4</v>
      </c>
      <c r="L2994" s="74">
        <v>92.16</v>
      </c>
      <c r="M2994" s="74"/>
      <c r="N2994" s="74" t="s">
        <v>392</v>
      </c>
      <c r="O2994" s="74" t="s">
        <v>393</v>
      </c>
      <c r="P2994" s="74"/>
      <c r="Q2994" s="74" t="s">
        <v>8895</v>
      </c>
    </row>
    <row r="2995" spans="3:17" x14ac:dyDescent="0.25">
      <c r="C2995" s="74" t="s">
        <v>8903</v>
      </c>
      <c r="D2995" s="74" t="s">
        <v>8904</v>
      </c>
      <c r="E2995" s="74" t="s">
        <v>391</v>
      </c>
      <c r="F2995" s="74">
        <v>0.1</v>
      </c>
      <c r="G2995" s="74"/>
      <c r="H2995" s="74"/>
      <c r="I2995" s="74" t="s">
        <v>391</v>
      </c>
      <c r="J2995" s="74"/>
      <c r="K2995" s="74">
        <v>102.4</v>
      </c>
      <c r="L2995" s="74">
        <v>92.16</v>
      </c>
      <c r="M2995" s="74"/>
      <c r="N2995" s="74" t="s">
        <v>392</v>
      </c>
      <c r="O2995" s="74" t="s">
        <v>393</v>
      </c>
      <c r="P2995" s="74"/>
      <c r="Q2995" s="74" t="s">
        <v>8904</v>
      </c>
    </row>
    <row r="2996" spans="3:17" x14ac:dyDescent="0.25">
      <c r="C2996" s="74" t="s">
        <v>8909</v>
      </c>
      <c r="D2996" s="74" t="s">
        <v>8910</v>
      </c>
      <c r="E2996" s="74" t="s">
        <v>391</v>
      </c>
      <c r="F2996" s="74">
        <v>0.1</v>
      </c>
      <c r="G2996" s="74"/>
      <c r="H2996" s="74"/>
      <c r="I2996" s="74" t="s">
        <v>391</v>
      </c>
      <c r="J2996" s="74"/>
      <c r="K2996" s="74">
        <v>102.4</v>
      </c>
      <c r="L2996" s="74">
        <v>92.16</v>
      </c>
      <c r="M2996" s="74"/>
      <c r="N2996" s="74" t="s">
        <v>392</v>
      </c>
      <c r="O2996" s="74" t="s">
        <v>393</v>
      </c>
      <c r="P2996" s="74"/>
      <c r="Q2996" s="74" t="s">
        <v>8911</v>
      </c>
    </row>
    <row r="2997" spans="3:17" x14ac:dyDescent="0.25">
      <c r="C2997" s="74" t="s">
        <v>8912</v>
      </c>
      <c r="D2997" s="74" t="s">
        <v>8913</v>
      </c>
      <c r="E2997" s="74" t="s">
        <v>391</v>
      </c>
      <c r="F2997" s="74">
        <v>0.1</v>
      </c>
      <c r="G2997" s="74"/>
      <c r="H2997" s="74"/>
      <c r="I2997" s="74" t="s">
        <v>391</v>
      </c>
      <c r="J2997" s="74"/>
      <c r="K2997" s="74">
        <v>102.4</v>
      </c>
      <c r="L2997" s="74">
        <v>92.16</v>
      </c>
      <c r="M2997" s="74"/>
      <c r="N2997" s="74" t="s">
        <v>392</v>
      </c>
      <c r="O2997" s="74" t="s">
        <v>393</v>
      </c>
      <c r="P2997" s="74"/>
      <c r="Q2997" s="74" t="s">
        <v>8914</v>
      </c>
    </row>
    <row r="2998" spans="3:17" x14ac:dyDescent="0.25">
      <c r="C2998" s="74" t="s">
        <v>8926</v>
      </c>
      <c r="D2998" s="74" t="s">
        <v>8927</v>
      </c>
      <c r="E2998" s="74" t="s">
        <v>391</v>
      </c>
      <c r="F2998" s="74">
        <v>0.1</v>
      </c>
      <c r="G2998" s="74"/>
      <c r="H2998" s="74"/>
      <c r="I2998" s="74" t="s">
        <v>391</v>
      </c>
      <c r="J2998" s="74"/>
      <c r="K2998" s="74">
        <v>102.4</v>
      </c>
      <c r="L2998" s="74">
        <v>92.16</v>
      </c>
      <c r="M2998" s="74"/>
      <c r="N2998" s="74" t="s">
        <v>392</v>
      </c>
      <c r="O2998" s="74" t="s">
        <v>393</v>
      </c>
      <c r="P2998" s="74"/>
      <c r="Q2998" s="74" t="s">
        <v>8928</v>
      </c>
    </row>
    <row r="2999" spans="3:17" x14ac:dyDescent="0.25">
      <c r="C2999" s="74" t="s">
        <v>8941</v>
      </c>
      <c r="D2999" s="74" t="s">
        <v>8942</v>
      </c>
      <c r="E2999" s="74" t="s">
        <v>391</v>
      </c>
      <c r="F2999" s="74">
        <v>0.1</v>
      </c>
      <c r="G2999" s="74"/>
      <c r="H2999" s="74"/>
      <c r="I2999" s="74" t="s">
        <v>391</v>
      </c>
      <c r="J2999" s="74"/>
      <c r="K2999" s="74">
        <v>102.4</v>
      </c>
      <c r="L2999" s="74">
        <v>92.16</v>
      </c>
      <c r="M2999" s="74"/>
      <c r="N2999" s="74" t="s">
        <v>392</v>
      </c>
      <c r="O2999" s="74" t="s">
        <v>393</v>
      </c>
      <c r="P2999" s="74"/>
      <c r="Q2999" s="74" t="s">
        <v>8943</v>
      </c>
    </row>
    <row r="3000" spans="3:17" x14ac:dyDescent="0.25">
      <c r="C3000" s="74" t="s">
        <v>8944</v>
      </c>
      <c r="D3000" s="74" t="s">
        <v>8945</v>
      </c>
      <c r="E3000" s="74" t="s">
        <v>391</v>
      </c>
      <c r="F3000" s="74">
        <v>0.1</v>
      </c>
      <c r="G3000" s="74"/>
      <c r="H3000" s="74"/>
      <c r="I3000" s="74" t="s">
        <v>391</v>
      </c>
      <c r="J3000" s="74"/>
      <c r="K3000" s="74">
        <v>102.4</v>
      </c>
      <c r="L3000" s="74">
        <v>92.16</v>
      </c>
      <c r="M3000" s="74"/>
      <c r="N3000" s="74" t="s">
        <v>392</v>
      </c>
      <c r="O3000" s="74" t="s">
        <v>393</v>
      </c>
      <c r="P3000" s="74"/>
      <c r="Q3000" s="74" t="s">
        <v>8946</v>
      </c>
    </row>
    <row r="3001" spans="3:17" x14ac:dyDescent="0.25">
      <c r="C3001" s="74" t="s">
        <v>8947</v>
      </c>
      <c r="D3001" s="74" t="s">
        <v>8948</v>
      </c>
      <c r="E3001" s="74" t="s">
        <v>391</v>
      </c>
      <c r="F3001" s="74">
        <v>0.1</v>
      </c>
      <c r="G3001" s="74"/>
      <c r="H3001" s="74"/>
      <c r="I3001" s="74" t="s">
        <v>391</v>
      </c>
      <c r="J3001" s="74"/>
      <c r="K3001" s="74">
        <v>102.4</v>
      </c>
      <c r="L3001" s="74">
        <v>92.16</v>
      </c>
      <c r="M3001" s="74"/>
      <c r="N3001" s="74" t="s">
        <v>392</v>
      </c>
      <c r="O3001" s="74" t="s">
        <v>393</v>
      </c>
      <c r="P3001" s="74"/>
      <c r="Q3001" s="74" t="s">
        <v>8949</v>
      </c>
    </row>
    <row r="3002" spans="3:17" x14ac:dyDescent="0.25">
      <c r="C3002" s="74" t="s">
        <v>8954</v>
      </c>
      <c r="D3002" s="74" t="s">
        <v>8955</v>
      </c>
      <c r="E3002" s="74" t="s">
        <v>391</v>
      </c>
      <c r="F3002" s="74">
        <v>0.1</v>
      </c>
      <c r="G3002" s="74"/>
      <c r="H3002" s="74"/>
      <c r="I3002" s="74" t="s">
        <v>391</v>
      </c>
      <c r="J3002" s="74"/>
      <c r="K3002" s="74">
        <v>102.4</v>
      </c>
      <c r="L3002" s="74">
        <v>92.16</v>
      </c>
      <c r="M3002" s="74"/>
      <c r="N3002" s="74" t="s">
        <v>392</v>
      </c>
      <c r="O3002" s="74" t="s">
        <v>393</v>
      </c>
      <c r="P3002" s="74"/>
      <c r="Q3002" s="74" t="s">
        <v>8956</v>
      </c>
    </row>
    <row r="3003" spans="3:17" x14ac:dyDescent="0.25">
      <c r="C3003" s="74" t="s">
        <v>8965</v>
      </c>
      <c r="D3003" s="74" t="s">
        <v>8966</v>
      </c>
      <c r="E3003" s="74"/>
      <c r="F3003" s="74">
        <v>0.1</v>
      </c>
      <c r="G3003" s="74"/>
      <c r="H3003" s="74"/>
      <c r="I3003" s="74" t="s">
        <v>391</v>
      </c>
      <c r="J3003" s="74"/>
      <c r="K3003" s="74">
        <v>102.4</v>
      </c>
      <c r="L3003" s="74">
        <v>92.16</v>
      </c>
      <c r="M3003" s="74"/>
      <c r="N3003" s="74" t="s">
        <v>392</v>
      </c>
      <c r="O3003" s="74" t="s">
        <v>402</v>
      </c>
      <c r="P3003" s="74" t="s">
        <v>8967</v>
      </c>
      <c r="Q3003" s="74" t="s">
        <v>8968</v>
      </c>
    </row>
    <row r="3004" spans="3:17" x14ac:dyDescent="0.25">
      <c r="C3004" s="74" t="s">
        <v>8973</v>
      </c>
      <c r="D3004" s="74" t="s">
        <v>8974</v>
      </c>
      <c r="E3004" s="74" t="s">
        <v>391</v>
      </c>
      <c r="F3004" s="74">
        <v>0.1</v>
      </c>
      <c r="G3004" s="74"/>
      <c r="H3004" s="74"/>
      <c r="I3004" s="74" t="s">
        <v>391</v>
      </c>
      <c r="J3004" s="74"/>
      <c r="K3004" s="74">
        <v>102.4</v>
      </c>
      <c r="L3004" s="74">
        <v>92.16</v>
      </c>
      <c r="M3004" s="74"/>
      <c r="N3004" s="74" t="s">
        <v>392</v>
      </c>
      <c r="O3004" s="74" t="s">
        <v>393</v>
      </c>
      <c r="P3004" s="74"/>
      <c r="Q3004" s="74" t="s">
        <v>8975</v>
      </c>
    </row>
    <row r="3005" spans="3:17" x14ac:dyDescent="0.25">
      <c r="C3005" s="74" t="s">
        <v>8976</v>
      </c>
      <c r="D3005" s="74" t="s">
        <v>8977</v>
      </c>
      <c r="E3005" s="74" t="s">
        <v>391</v>
      </c>
      <c r="F3005" s="74">
        <v>0.1</v>
      </c>
      <c r="G3005" s="74"/>
      <c r="H3005" s="74"/>
      <c r="I3005" s="74" t="s">
        <v>391</v>
      </c>
      <c r="J3005" s="74"/>
      <c r="K3005" s="74">
        <v>102.4</v>
      </c>
      <c r="L3005" s="74">
        <v>92.16</v>
      </c>
      <c r="M3005" s="74"/>
      <c r="N3005" s="74" t="s">
        <v>392</v>
      </c>
      <c r="O3005" s="74" t="s">
        <v>393</v>
      </c>
      <c r="P3005" s="74"/>
      <c r="Q3005" s="74" t="s">
        <v>8978</v>
      </c>
    </row>
    <row r="3006" spans="3:17" x14ac:dyDescent="0.25">
      <c r="C3006" s="74" t="s">
        <v>8995</v>
      </c>
      <c r="D3006" s="74" t="s">
        <v>8996</v>
      </c>
      <c r="E3006" s="74" t="s">
        <v>391</v>
      </c>
      <c r="F3006" s="74">
        <v>0.1</v>
      </c>
      <c r="G3006" s="74"/>
      <c r="H3006" s="74"/>
      <c r="I3006" s="74" t="s">
        <v>391</v>
      </c>
      <c r="J3006" s="74"/>
      <c r="K3006" s="74">
        <v>102.4</v>
      </c>
      <c r="L3006" s="74">
        <v>92.16</v>
      </c>
      <c r="M3006" s="74"/>
      <c r="N3006" s="74" t="s">
        <v>392</v>
      </c>
      <c r="O3006" s="74" t="s">
        <v>393</v>
      </c>
      <c r="P3006" s="74"/>
      <c r="Q3006" s="74" t="s">
        <v>8997</v>
      </c>
    </row>
    <row r="3007" spans="3:17" x14ac:dyDescent="0.25">
      <c r="C3007" s="74" t="s">
        <v>9002</v>
      </c>
      <c r="D3007" s="74" t="s">
        <v>9003</v>
      </c>
      <c r="E3007" s="74" t="s">
        <v>391</v>
      </c>
      <c r="F3007" s="74">
        <v>0.1</v>
      </c>
      <c r="G3007" s="74"/>
      <c r="H3007" s="74"/>
      <c r="I3007" s="74" t="s">
        <v>391</v>
      </c>
      <c r="J3007" s="74"/>
      <c r="K3007" s="74">
        <v>102.4</v>
      </c>
      <c r="L3007" s="74">
        <v>92.16</v>
      </c>
      <c r="M3007" s="74"/>
      <c r="N3007" s="74" t="s">
        <v>392</v>
      </c>
      <c r="O3007" s="74" t="s">
        <v>393</v>
      </c>
      <c r="P3007" s="74"/>
      <c r="Q3007" s="74" t="s">
        <v>9004</v>
      </c>
    </row>
    <row r="3008" spans="3:17" x14ac:dyDescent="0.25">
      <c r="C3008" s="74" t="s">
        <v>9005</v>
      </c>
      <c r="D3008" s="74" t="s">
        <v>9006</v>
      </c>
      <c r="E3008" s="74" t="s">
        <v>391</v>
      </c>
      <c r="F3008" s="74">
        <v>0.1</v>
      </c>
      <c r="G3008" s="74"/>
      <c r="H3008" s="74"/>
      <c r="I3008" s="74" t="s">
        <v>391</v>
      </c>
      <c r="J3008" s="74"/>
      <c r="K3008" s="74">
        <v>102.4</v>
      </c>
      <c r="L3008" s="74">
        <v>92.16</v>
      </c>
      <c r="M3008" s="74"/>
      <c r="N3008" s="74" t="s">
        <v>392</v>
      </c>
      <c r="O3008" s="74" t="s">
        <v>393</v>
      </c>
      <c r="P3008" s="74"/>
      <c r="Q3008" s="74" t="s">
        <v>9007</v>
      </c>
    </row>
    <row r="3009" spans="3:17" x14ac:dyDescent="0.25">
      <c r="C3009" s="74" t="s">
        <v>9047</v>
      </c>
      <c r="D3009" s="74" t="s">
        <v>9048</v>
      </c>
      <c r="E3009" s="74" t="s">
        <v>391</v>
      </c>
      <c r="F3009" s="74">
        <v>0.1</v>
      </c>
      <c r="G3009" s="74"/>
      <c r="H3009" s="74"/>
      <c r="I3009" s="74" t="s">
        <v>391</v>
      </c>
      <c r="J3009" s="74"/>
      <c r="K3009" s="74">
        <v>102.4</v>
      </c>
      <c r="L3009" s="74">
        <v>92.16</v>
      </c>
      <c r="M3009" s="74"/>
      <c r="N3009" s="74" t="s">
        <v>392</v>
      </c>
      <c r="O3009" s="74" t="s">
        <v>393</v>
      </c>
      <c r="P3009" s="74"/>
      <c r="Q3009" s="74" t="s">
        <v>9049</v>
      </c>
    </row>
    <row r="3010" spans="3:17" x14ac:dyDescent="0.25">
      <c r="C3010" s="74" t="s">
        <v>9054</v>
      </c>
      <c r="D3010" s="74" t="s">
        <v>9055</v>
      </c>
      <c r="E3010" s="74" t="s">
        <v>391</v>
      </c>
      <c r="F3010" s="74">
        <v>0.1</v>
      </c>
      <c r="G3010" s="74"/>
      <c r="H3010" s="74"/>
      <c r="I3010" s="74" t="s">
        <v>391</v>
      </c>
      <c r="J3010" s="74"/>
      <c r="K3010" s="74">
        <v>102.4</v>
      </c>
      <c r="L3010" s="74">
        <v>92.16</v>
      </c>
      <c r="M3010" s="74"/>
      <c r="N3010" s="74" t="s">
        <v>392</v>
      </c>
      <c r="O3010" s="74" t="s">
        <v>393</v>
      </c>
      <c r="P3010" s="74"/>
      <c r="Q3010" s="74" t="s">
        <v>9056</v>
      </c>
    </row>
    <row r="3011" spans="3:17" x14ac:dyDescent="0.25">
      <c r="C3011" s="74" t="s">
        <v>9089</v>
      </c>
      <c r="D3011" s="74" t="s">
        <v>9090</v>
      </c>
      <c r="E3011" s="74" t="s">
        <v>391</v>
      </c>
      <c r="F3011" s="74">
        <v>0.1</v>
      </c>
      <c r="G3011" s="74"/>
      <c r="H3011" s="74"/>
      <c r="I3011" s="74" t="s">
        <v>391</v>
      </c>
      <c r="J3011" s="74"/>
      <c r="K3011" s="74">
        <v>102.4</v>
      </c>
      <c r="L3011" s="74">
        <v>92.16</v>
      </c>
      <c r="M3011" s="74"/>
      <c r="N3011" s="74" t="s">
        <v>392</v>
      </c>
      <c r="O3011" s="74" t="s">
        <v>393</v>
      </c>
      <c r="P3011" s="74"/>
      <c r="Q3011" s="74" t="s">
        <v>9091</v>
      </c>
    </row>
    <row r="3012" spans="3:17" x14ac:dyDescent="0.25">
      <c r="C3012" s="74" t="s">
        <v>9115</v>
      </c>
      <c r="D3012" s="74" t="s">
        <v>9116</v>
      </c>
      <c r="E3012" s="74" t="s">
        <v>391</v>
      </c>
      <c r="F3012" s="74">
        <v>0.1</v>
      </c>
      <c r="G3012" s="74"/>
      <c r="H3012" s="74"/>
      <c r="I3012" s="74" t="s">
        <v>391</v>
      </c>
      <c r="J3012" s="74"/>
      <c r="K3012" s="74">
        <v>102.4</v>
      </c>
      <c r="L3012" s="74">
        <v>92.16</v>
      </c>
      <c r="M3012" s="74"/>
      <c r="N3012" s="74" t="s">
        <v>392</v>
      </c>
      <c r="O3012" s="74" t="s">
        <v>393</v>
      </c>
      <c r="P3012" s="74"/>
      <c r="Q3012" s="74" t="s">
        <v>9117</v>
      </c>
    </row>
    <row r="3013" spans="3:17" x14ac:dyDescent="0.25">
      <c r="C3013" s="74" t="s">
        <v>9118</v>
      </c>
      <c r="D3013" s="74" t="s">
        <v>9119</v>
      </c>
      <c r="E3013" s="74" t="s">
        <v>391</v>
      </c>
      <c r="F3013" s="74">
        <v>0.1</v>
      </c>
      <c r="G3013" s="74"/>
      <c r="H3013" s="74"/>
      <c r="I3013" s="74" t="s">
        <v>391</v>
      </c>
      <c r="J3013" s="74"/>
      <c r="K3013" s="74">
        <v>102.4</v>
      </c>
      <c r="L3013" s="74">
        <v>92.16</v>
      </c>
      <c r="M3013" s="74"/>
      <c r="N3013" s="74" t="s">
        <v>392</v>
      </c>
      <c r="O3013" s="74" t="s">
        <v>393</v>
      </c>
      <c r="P3013" s="74"/>
      <c r="Q3013" s="74" t="s">
        <v>9120</v>
      </c>
    </row>
    <row r="3014" spans="3:17" x14ac:dyDescent="0.25">
      <c r="C3014" s="74" t="s">
        <v>9133</v>
      </c>
      <c r="D3014" s="74" t="s">
        <v>9134</v>
      </c>
      <c r="E3014" s="74" t="s">
        <v>391</v>
      </c>
      <c r="F3014" s="74">
        <v>0.1</v>
      </c>
      <c r="G3014" s="74"/>
      <c r="H3014" s="74"/>
      <c r="I3014" s="74" t="s">
        <v>391</v>
      </c>
      <c r="J3014" s="74"/>
      <c r="K3014" s="74">
        <v>102.4</v>
      </c>
      <c r="L3014" s="74">
        <v>92.16</v>
      </c>
      <c r="M3014" s="74"/>
      <c r="N3014" s="74" t="s">
        <v>392</v>
      </c>
      <c r="O3014" s="74" t="s">
        <v>393</v>
      </c>
      <c r="P3014" s="74"/>
      <c r="Q3014" s="74" t="s">
        <v>9135</v>
      </c>
    </row>
    <row r="3015" spans="3:17" x14ac:dyDescent="0.25">
      <c r="C3015" s="74" t="s">
        <v>9140</v>
      </c>
      <c r="D3015" s="74" t="s">
        <v>9141</v>
      </c>
      <c r="E3015" s="74" t="s">
        <v>391</v>
      </c>
      <c r="F3015" s="74">
        <v>0.1</v>
      </c>
      <c r="G3015" s="74"/>
      <c r="H3015" s="74"/>
      <c r="I3015" s="74" t="s">
        <v>391</v>
      </c>
      <c r="J3015" s="74"/>
      <c r="K3015" s="74">
        <v>102.4</v>
      </c>
      <c r="L3015" s="74">
        <v>92.16</v>
      </c>
      <c r="M3015" s="74"/>
      <c r="N3015" s="74" t="s">
        <v>392</v>
      </c>
      <c r="O3015" s="74" t="s">
        <v>393</v>
      </c>
      <c r="P3015" s="74"/>
      <c r="Q3015" s="74" t="s">
        <v>9142</v>
      </c>
    </row>
    <row r="3016" spans="3:17" x14ac:dyDescent="0.25">
      <c r="C3016" s="74" t="s">
        <v>9143</v>
      </c>
      <c r="D3016" s="74" t="s">
        <v>9144</v>
      </c>
      <c r="E3016" s="74" t="s">
        <v>391</v>
      </c>
      <c r="F3016" s="74">
        <v>0.1</v>
      </c>
      <c r="G3016" s="74"/>
      <c r="H3016" s="74"/>
      <c r="I3016" s="74" t="s">
        <v>391</v>
      </c>
      <c r="J3016" s="74"/>
      <c r="K3016" s="74">
        <v>102.4</v>
      </c>
      <c r="L3016" s="74">
        <v>92.16</v>
      </c>
      <c r="M3016" s="74"/>
      <c r="N3016" s="74" t="s">
        <v>392</v>
      </c>
      <c r="O3016" s="74" t="s">
        <v>393</v>
      </c>
      <c r="P3016" s="74"/>
      <c r="Q3016" s="74" t="s">
        <v>9145</v>
      </c>
    </row>
    <row r="3017" spans="3:17" x14ac:dyDescent="0.25">
      <c r="C3017" s="74" t="s">
        <v>9153</v>
      </c>
      <c r="D3017" s="74" t="s">
        <v>9154</v>
      </c>
      <c r="E3017" s="74" t="s">
        <v>391</v>
      </c>
      <c r="F3017" s="74">
        <v>0.1</v>
      </c>
      <c r="G3017" s="74"/>
      <c r="H3017" s="74"/>
      <c r="I3017" s="74" t="s">
        <v>391</v>
      </c>
      <c r="J3017" s="74"/>
      <c r="K3017" s="74">
        <v>102.4</v>
      </c>
      <c r="L3017" s="74">
        <v>92.16</v>
      </c>
      <c r="M3017" s="74"/>
      <c r="N3017" s="74" t="s">
        <v>392</v>
      </c>
      <c r="O3017" s="74" t="s">
        <v>393</v>
      </c>
      <c r="P3017" s="74"/>
      <c r="Q3017" s="74" t="s">
        <v>9155</v>
      </c>
    </row>
    <row r="3018" spans="3:17" x14ac:dyDescent="0.25">
      <c r="C3018" s="74" t="s">
        <v>9167</v>
      </c>
      <c r="D3018" s="74" t="s">
        <v>9168</v>
      </c>
      <c r="E3018" s="74" t="s">
        <v>391</v>
      </c>
      <c r="F3018" s="74">
        <v>0.1</v>
      </c>
      <c r="G3018" s="74"/>
      <c r="H3018" s="74"/>
      <c r="I3018" s="74" t="s">
        <v>391</v>
      </c>
      <c r="J3018" s="74"/>
      <c r="K3018" s="74">
        <v>102.4</v>
      </c>
      <c r="L3018" s="74">
        <v>92.16</v>
      </c>
      <c r="M3018" s="74"/>
      <c r="N3018" s="74" t="s">
        <v>392</v>
      </c>
      <c r="O3018" s="74" t="s">
        <v>393</v>
      </c>
      <c r="P3018" s="74"/>
      <c r="Q3018" s="74" t="s">
        <v>9169</v>
      </c>
    </row>
    <row r="3019" spans="3:17" x14ac:dyDescent="0.25">
      <c r="C3019" s="74" t="s">
        <v>9173</v>
      </c>
      <c r="D3019" s="74" t="s">
        <v>9174</v>
      </c>
      <c r="E3019" s="74" t="s">
        <v>391</v>
      </c>
      <c r="F3019" s="74">
        <v>0.1</v>
      </c>
      <c r="G3019" s="74"/>
      <c r="H3019" s="74"/>
      <c r="I3019" s="74" t="s">
        <v>391</v>
      </c>
      <c r="J3019" s="74"/>
      <c r="K3019" s="74">
        <v>102.4</v>
      </c>
      <c r="L3019" s="74">
        <v>92.16</v>
      </c>
      <c r="M3019" s="74"/>
      <c r="N3019" s="74" t="s">
        <v>392</v>
      </c>
      <c r="O3019" s="74" t="s">
        <v>393</v>
      </c>
      <c r="P3019" s="74"/>
      <c r="Q3019" s="74" t="s">
        <v>9175</v>
      </c>
    </row>
    <row r="3020" spans="3:17" x14ac:dyDescent="0.25">
      <c r="C3020" s="74" t="s">
        <v>9176</v>
      </c>
      <c r="D3020" s="74" t="s">
        <v>9177</v>
      </c>
      <c r="E3020" s="74" t="s">
        <v>391</v>
      </c>
      <c r="F3020" s="74">
        <v>0.1</v>
      </c>
      <c r="G3020" s="74"/>
      <c r="H3020" s="74"/>
      <c r="I3020" s="74" t="s">
        <v>391</v>
      </c>
      <c r="J3020" s="74"/>
      <c r="K3020" s="74">
        <v>102.4</v>
      </c>
      <c r="L3020" s="74">
        <v>92.16</v>
      </c>
      <c r="M3020" s="74"/>
      <c r="N3020" s="74" t="s">
        <v>392</v>
      </c>
      <c r="O3020" s="74" t="s">
        <v>393</v>
      </c>
      <c r="P3020" s="74"/>
      <c r="Q3020" s="74" t="s">
        <v>9178</v>
      </c>
    </row>
    <row r="3021" spans="3:17" x14ac:dyDescent="0.25">
      <c r="C3021" s="74" t="s">
        <v>9179</v>
      </c>
      <c r="D3021" s="74" t="s">
        <v>9180</v>
      </c>
      <c r="E3021" s="74" t="s">
        <v>391</v>
      </c>
      <c r="F3021" s="74">
        <v>0.1</v>
      </c>
      <c r="G3021" s="74"/>
      <c r="H3021" s="74"/>
      <c r="I3021" s="74" t="s">
        <v>391</v>
      </c>
      <c r="J3021" s="74"/>
      <c r="K3021" s="74">
        <v>102.4</v>
      </c>
      <c r="L3021" s="74">
        <v>92.16</v>
      </c>
      <c r="M3021" s="74"/>
      <c r="N3021" s="74" t="s">
        <v>392</v>
      </c>
      <c r="O3021" s="74" t="s">
        <v>393</v>
      </c>
      <c r="P3021" s="74"/>
      <c r="Q3021" s="74" t="s">
        <v>9181</v>
      </c>
    </row>
    <row r="3022" spans="3:17" x14ac:dyDescent="0.25">
      <c r="C3022" s="74" t="s">
        <v>9196</v>
      </c>
      <c r="D3022" s="74" t="s">
        <v>9197</v>
      </c>
      <c r="E3022" s="74" t="s">
        <v>391</v>
      </c>
      <c r="F3022" s="74">
        <v>0.1</v>
      </c>
      <c r="G3022" s="74"/>
      <c r="H3022" s="74"/>
      <c r="I3022" s="74" t="s">
        <v>391</v>
      </c>
      <c r="J3022" s="74"/>
      <c r="K3022" s="74">
        <v>102.4</v>
      </c>
      <c r="L3022" s="74">
        <v>92.16</v>
      </c>
      <c r="M3022" s="74"/>
      <c r="N3022" s="74" t="s">
        <v>392</v>
      </c>
      <c r="O3022" s="74" t="s">
        <v>393</v>
      </c>
      <c r="P3022" s="74"/>
      <c r="Q3022" s="74" t="s">
        <v>9197</v>
      </c>
    </row>
    <row r="3023" spans="3:17" x14ac:dyDescent="0.25">
      <c r="C3023" s="74" t="s">
        <v>9198</v>
      </c>
      <c r="D3023" s="74" t="s">
        <v>9199</v>
      </c>
      <c r="E3023" s="74" t="s">
        <v>391</v>
      </c>
      <c r="F3023" s="74">
        <v>0.1</v>
      </c>
      <c r="G3023" s="74"/>
      <c r="H3023" s="74"/>
      <c r="I3023" s="74" t="s">
        <v>391</v>
      </c>
      <c r="J3023" s="74"/>
      <c r="K3023" s="74">
        <v>102.4</v>
      </c>
      <c r="L3023" s="74">
        <v>92.16</v>
      </c>
      <c r="M3023" s="74"/>
      <c r="N3023" s="74" t="s">
        <v>392</v>
      </c>
      <c r="O3023" s="74" t="s">
        <v>393</v>
      </c>
      <c r="P3023" s="74"/>
      <c r="Q3023" s="74" t="s">
        <v>9200</v>
      </c>
    </row>
    <row r="3024" spans="3:17" x14ac:dyDescent="0.25">
      <c r="C3024" s="74" t="s">
        <v>9201</v>
      </c>
      <c r="D3024" s="74" t="s">
        <v>9202</v>
      </c>
      <c r="E3024" s="74" t="s">
        <v>391</v>
      </c>
      <c r="F3024" s="74">
        <v>0.1</v>
      </c>
      <c r="G3024" s="74"/>
      <c r="H3024" s="74"/>
      <c r="I3024" s="74" t="s">
        <v>391</v>
      </c>
      <c r="J3024" s="74"/>
      <c r="K3024" s="74">
        <v>102.4</v>
      </c>
      <c r="L3024" s="74">
        <v>92.16</v>
      </c>
      <c r="M3024" s="74"/>
      <c r="N3024" s="74" t="s">
        <v>392</v>
      </c>
      <c r="O3024" s="74" t="s">
        <v>393</v>
      </c>
      <c r="P3024" s="74"/>
      <c r="Q3024" s="74" t="s">
        <v>9203</v>
      </c>
    </row>
    <row r="3025" spans="3:17" x14ac:dyDescent="0.25">
      <c r="C3025" s="74" t="s">
        <v>9208</v>
      </c>
      <c r="D3025" s="74" t="s">
        <v>9209</v>
      </c>
      <c r="E3025" s="74" t="s">
        <v>391</v>
      </c>
      <c r="F3025" s="74">
        <v>0.1</v>
      </c>
      <c r="G3025" s="74"/>
      <c r="H3025" s="74"/>
      <c r="I3025" s="74" t="s">
        <v>391</v>
      </c>
      <c r="J3025" s="74"/>
      <c r="K3025" s="74">
        <v>102.4</v>
      </c>
      <c r="L3025" s="74">
        <v>92.16</v>
      </c>
      <c r="M3025" s="74"/>
      <c r="N3025" s="74" t="s">
        <v>392</v>
      </c>
      <c r="O3025" s="74" t="s">
        <v>393</v>
      </c>
      <c r="P3025" s="74"/>
      <c r="Q3025" s="74" t="s">
        <v>9210</v>
      </c>
    </row>
    <row r="3026" spans="3:17" x14ac:dyDescent="0.25">
      <c r="C3026" s="74" t="s">
        <v>9238</v>
      </c>
      <c r="D3026" s="74" t="s">
        <v>9239</v>
      </c>
      <c r="E3026" s="74" t="s">
        <v>391</v>
      </c>
      <c r="F3026" s="74">
        <v>0.1</v>
      </c>
      <c r="G3026" s="74"/>
      <c r="H3026" s="74"/>
      <c r="I3026" s="74" t="s">
        <v>391</v>
      </c>
      <c r="J3026" s="74"/>
      <c r="K3026" s="74">
        <v>102.4</v>
      </c>
      <c r="L3026" s="74">
        <v>92.16</v>
      </c>
      <c r="M3026" s="74"/>
      <c r="N3026" s="74" t="s">
        <v>392</v>
      </c>
      <c r="O3026" s="74" t="s">
        <v>393</v>
      </c>
      <c r="P3026" s="74"/>
      <c r="Q3026" s="74" t="s">
        <v>9240</v>
      </c>
    </row>
    <row r="3027" spans="3:17" x14ac:dyDescent="0.25">
      <c r="C3027" s="74" t="s">
        <v>9262</v>
      </c>
      <c r="D3027" s="74" t="s">
        <v>9263</v>
      </c>
      <c r="E3027" s="74" t="s">
        <v>391</v>
      </c>
      <c r="F3027" s="74">
        <v>0.1</v>
      </c>
      <c r="G3027" s="74"/>
      <c r="H3027" s="74"/>
      <c r="I3027" s="74" t="s">
        <v>391</v>
      </c>
      <c r="J3027" s="74"/>
      <c r="K3027" s="74">
        <v>102.4</v>
      </c>
      <c r="L3027" s="74">
        <v>92.16</v>
      </c>
      <c r="M3027" s="74"/>
      <c r="N3027" s="74" t="s">
        <v>392</v>
      </c>
      <c r="O3027" s="74" t="s">
        <v>393</v>
      </c>
      <c r="P3027" s="74"/>
      <c r="Q3027" s="74" t="s">
        <v>9264</v>
      </c>
    </row>
    <row r="3028" spans="3:17" x14ac:dyDescent="0.25">
      <c r="C3028" s="74" t="s">
        <v>9281</v>
      </c>
      <c r="D3028" s="74" t="s">
        <v>9282</v>
      </c>
      <c r="E3028" s="74" t="s">
        <v>391</v>
      </c>
      <c r="F3028" s="74">
        <v>0.1</v>
      </c>
      <c r="G3028" s="74"/>
      <c r="H3028" s="74"/>
      <c r="I3028" s="74" t="s">
        <v>391</v>
      </c>
      <c r="J3028" s="74"/>
      <c r="K3028" s="74">
        <v>102.4</v>
      </c>
      <c r="L3028" s="74">
        <v>92.16</v>
      </c>
      <c r="M3028" s="74"/>
      <c r="N3028" s="74" t="s">
        <v>392</v>
      </c>
      <c r="O3028" s="74" t="s">
        <v>393</v>
      </c>
      <c r="P3028" s="74"/>
      <c r="Q3028" s="74" t="s">
        <v>9283</v>
      </c>
    </row>
    <row r="3029" spans="3:17" x14ac:dyDescent="0.25">
      <c r="C3029" s="74" t="s">
        <v>9303</v>
      </c>
      <c r="D3029" s="74" t="s">
        <v>9304</v>
      </c>
      <c r="E3029" s="74" t="s">
        <v>391</v>
      </c>
      <c r="F3029" s="74">
        <v>0.1</v>
      </c>
      <c r="G3029" s="74"/>
      <c r="H3029" s="74"/>
      <c r="I3029" s="74" t="s">
        <v>391</v>
      </c>
      <c r="J3029" s="74"/>
      <c r="K3029" s="74">
        <v>102.4</v>
      </c>
      <c r="L3029" s="74">
        <v>92.16</v>
      </c>
      <c r="M3029" s="74"/>
      <c r="N3029" s="74" t="s">
        <v>392</v>
      </c>
      <c r="O3029" s="74" t="s">
        <v>393</v>
      </c>
      <c r="P3029" s="74"/>
      <c r="Q3029" s="74" t="s">
        <v>9304</v>
      </c>
    </row>
    <row r="3030" spans="3:17" x14ac:dyDescent="0.25">
      <c r="C3030" s="74" t="s">
        <v>9305</v>
      </c>
      <c r="D3030" s="74" t="s">
        <v>9306</v>
      </c>
      <c r="E3030" s="74" t="s">
        <v>391</v>
      </c>
      <c r="F3030" s="74">
        <v>0.1</v>
      </c>
      <c r="G3030" s="74"/>
      <c r="H3030" s="74"/>
      <c r="I3030" s="74" t="s">
        <v>391</v>
      </c>
      <c r="J3030" s="74"/>
      <c r="K3030" s="74">
        <v>102.4</v>
      </c>
      <c r="L3030" s="74">
        <v>92.16</v>
      </c>
      <c r="M3030" s="74"/>
      <c r="N3030" s="74" t="s">
        <v>392</v>
      </c>
      <c r="O3030" s="74" t="s">
        <v>393</v>
      </c>
      <c r="P3030" s="74"/>
      <c r="Q3030" s="74" t="s">
        <v>9307</v>
      </c>
    </row>
    <row r="3031" spans="3:17" x14ac:dyDescent="0.25">
      <c r="C3031" s="74" t="s">
        <v>9308</v>
      </c>
      <c r="D3031" s="74" t="s">
        <v>9309</v>
      </c>
      <c r="E3031" s="74" t="s">
        <v>391</v>
      </c>
      <c r="F3031" s="74">
        <v>0.1</v>
      </c>
      <c r="G3031" s="74"/>
      <c r="H3031" s="74"/>
      <c r="I3031" s="74" t="s">
        <v>391</v>
      </c>
      <c r="J3031" s="74"/>
      <c r="K3031" s="74">
        <v>102.4</v>
      </c>
      <c r="L3031" s="74">
        <v>92.16</v>
      </c>
      <c r="M3031" s="74"/>
      <c r="N3031" s="74" t="s">
        <v>392</v>
      </c>
      <c r="O3031" s="74" t="s">
        <v>393</v>
      </c>
      <c r="P3031" s="74"/>
      <c r="Q3031" s="74" t="s">
        <v>9310</v>
      </c>
    </row>
    <row r="3032" spans="3:17" x14ac:dyDescent="0.25">
      <c r="C3032" s="74" t="s">
        <v>9311</v>
      </c>
      <c r="D3032" s="74" t="s">
        <v>9312</v>
      </c>
      <c r="E3032" s="74" t="s">
        <v>391</v>
      </c>
      <c r="F3032" s="74">
        <v>0.1</v>
      </c>
      <c r="G3032" s="74"/>
      <c r="H3032" s="74"/>
      <c r="I3032" s="74" t="s">
        <v>391</v>
      </c>
      <c r="J3032" s="74"/>
      <c r="K3032" s="74">
        <v>102.4</v>
      </c>
      <c r="L3032" s="74">
        <v>92.16</v>
      </c>
      <c r="M3032" s="74"/>
      <c r="N3032" s="74" t="s">
        <v>392</v>
      </c>
      <c r="O3032" s="74" t="s">
        <v>393</v>
      </c>
      <c r="P3032" s="74"/>
      <c r="Q3032" s="74" t="s">
        <v>9313</v>
      </c>
    </row>
    <row r="3033" spans="3:17" x14ac:dyDescent="0.25">
      <c r="C3033" s="74" t="s">
        <v>9314</v>
      </c>
      <c r="D3033" s="74" t="s">
        <v>9315</v>
      </c>
      <c r="E3033" s="74" t="s">
        <v>391</v>
      </c>
      <c r="F3033" s="74">
        <v>0.1</v>
      </c>
      <c r="G3033" s="74"/>
      <c r="H3033" s="74"/>
      <c r="I3033" s="74" t="s">
        <v>391</v>
      </c>
      <c r="J3033" s="74"/>
      <c r="K3033" s="74">
        <v>102.4</v>
      </c>
      <c r="L3033" s="74">
        <v>92.16</v>
      </c>
      <c r="M3033" s="74"/>
      <c r="N3033" s="74" t="s">
        <v>392</v>
      </c>
      <c r="O3033" s="74" t="s">
        <v>393</v>
      </c>
      <c r="P3033" s="74"/>
      <c r="Q3033" s="74" t="s">
        <v>9316</v>
      </c>
    </row>
    <row r="3034" spans="3:17" x14ac:dyDescent="0.25">
      <c r="C3034" s="74" t="s">
        <v>9317</v>
      </c>
      <c r="D3034" s="74" t="s">
        <v>9318</v>
      </c>
      <c r="E3034" s="74" t="s">
        <v>391</v>
      </c>
      <c r="F3034" s="74">
        <v>0.1</v>
      </c>
      <c r="G3034" s="74"/>
      <c r="H3034" s="74"/>
      <c r="I3034" s="74" t="s">
        <v>391</v>
      </c>
      <c r="J3034" s="74"/>
      <c r="K3034" s="74">
        <v>102.4</v>
      </c>
      <c r="L3034" s="74">
        <v>92.16</v>
      </c>
      <c r="M3034" s="74"/>
      <c r="N3034" s="74" t="s">
        <v>392</v>
      </c>
      <c r="O3034" s="74" t="s">
        <v>393</v>
      </c>
      <c r="P3034" s="74"/>
      <c r="Q3034" s="74" t="s">
        <v>9319</v>
      </c>
    </row>
    <row r="3035" spans="3:17" x14ac:dyDescent="0.25">
      <c r="C3035" s="74" t="s">
        <v>9339</v>
      </c>
      <c r="D3035" s="74" t="s">
        <v>9340</v>
      </c>
      <c r="E3035" s="74" t="s">
        <v>391</v>
      </c>
      <c r="F3035" s="74">
        <v>0.1</v>
      </c>
      <c r="G3035" s="74"/>
      <c r="H3035" s="74"/>
      <c r="I3035" s="74" t="s">
        <v>391</v>
      </c>
      <c r="J3035" s="74"/>
      <c r="K3035" s="74">
        <v>102.4</v>
      </c>
      <c r="L3035" s="74">
        <v>92.16</v>
      </c>
      <c r="M3035" s="74"/>
      <c r="N3035" s="74" t="s">
        <v>392</v>
      </c>
      <c r="O3035" s="74" t="s">
        <v>393</v>
      </c>
      <c r="P3035" s="74"/>
      <c r="Q3035" s="74" t="s">
        <v>9341</v>
      </c>
    </row>
    <row r="3036" spans="3:17" x14ac:dyDescent="0.25">
      <c r="C3036" s="74" t="s">
        <v>9342</v>
      </c>
      <c r="D3036" s="74" t="s">
        <v>9343</v>
      </c>
      <c r="E3036" s="74" t="s">
        <v>391</v>
      </c>
      <c r="F3036" s="74">
        <v>0.1</v>
      </c>
      <c r="G3036" s="74"/>
      <c r="H3036" s="74"/>
      <c r="I3036" s="74" t="s">
        <v>391</v>
      </c>
      <c r="J3036" s="74"/>
      <c r="K3036" s="74">
        <v>102.4</v>
      </c>
      <c r="L3036" s="74">
        <v>92.16</v>
      </c>
      <c r="M3036" s="74"/>
      <c r="N3036" s="74" t="s">
        <v>392</v>
      </c>
      <c r="O3036" s="74" t="s">
        <v>393</v>
      </c>
      <c r="P3036" s="74"/>
      <c r="Q3036" s="74" t="s">
        <v>9344</v>
      </c>
    </row>
    <row r="3037" spans="3:17" x14ac:dyDescent="0.25">
      <c r="C3037" s="74" t="s">
        <v>9349</v>
      </c>
      <c r="D3037" s="74" t="s">
        <v>9350</v>
      </c>
      <c r="E3037" s="74" t="s">
        <v>391</v>
      </c>
      <c r="F3037" s="74">
        <v>0.1</v>
      </c>
      <c r="G3037" s="74"/>
      <c r="H3037" s="74"/>
      <c r="I3037" s="74" t="s">
        <v>391</v>
      </c>
      <c r="J3037" s="74"/>
      <c r="K3037" s="74">
        <v>102.4</v>
      </c>
      <c r="L3037" s="74">
        <v>92.16</v>
      </c>
      <c r="M3037" s="74"/>
      <c r="N3037" s="74" t="s">
        <v>392</v>
      </c>
      <c r="O3037" s="74" t="s">
        <v>393</v>
      </c>
      <c r="P3037" s="74"/>
      <c r="Q3037" s="74" t="s">
        <v>9350</v>
      </c>
    </row>
    <row r="3038" spans="3:17" x14ac:dyDescent="0.25">
      <c r="C3038" s="74" t="s">
        <v>9359</v>
      </c>
      <c r="D3038" s="74" t="s">
        <v>9360</v>
      </c>
      <c r="E3038" s="74" t="s">
        <v>391</v>
      </c>
      <c r="F3038" s="74">
        <v>0.1</v>
      </c>
      <c r="G3038" s="74"/>
      <c r="H3038" s="74"/>
      <c r="I3038" s="74" t="s">
        <v>391</v>
      </c>
      <c r="J3038" s="74"/>
      <c r="K3038" s="74">
        <v>102.4</v>
      </c>
      <c r="L3038" s="74">
        <v>92.16</v>
      </c>
      <c r="M3038" s="74"/>
      <c r="N3038" s="74" t="s">
        <v>392</v>
      </c>
      <c r="O3038" s="74" t="s">
        <v>393</v>
      </c>
      <c r="P3038" s="74"/>
      <c r="Q3038" s="74" t="s">
        <v>9361</v>
      </c>
    </row>
    <row r="3039" spans="3:17" x14ac:dyDescent="0.25">
      <c r="C3039" s="74" t="s">
        <v>9362</v>
      </c>
      <c r="D3039" s="74" t="s">
        <v>9363</v>
      </c>
      <c r="E3039" s="74" t="s">
        <v>391</v>
      </c>
      <c r="F3039" s="74">
        <v>0.1</v>
      </c>
      <c r="G3039" s="74"/>
      <c r="H3039" s="74"/>
      <c r="I3039" s="74" t="s">
        <v>391</v>
      </c>
      <c r="J3039" s="74"/>
      <c r="K3039" s="74">
        <v>102.4</v>
      </c>
      <c r="L3039" s="74">
        <v>92.16</v>
      </c>
      <c r="M3039" s="74"/>
      <c r="N3039" s="74" t="s">
        <v>392</v>
      </c>
      <c r="O3039" s="74" t="s">
        <v>393</v>
      </c>
      <c r="P3039" s="74"/>
      <c r="Q3039" s="74" t="s">
        <v>9364</v>
      </c>
    </row>
    <row r="3040" spans="3:17" x14ac:dyDescent="0.25">
      <c r="C3040" s="74" t="s">
        <v>9372</v>
      </c>
      <c r="D3040" s="74" t="s">
        <v>9373</v>
      </c>
      <c r="E3040" s="74" t="s">
        <v>391</v>
      </c>
      <c r="F3040" s="74">
        <v>0.1</v>
      </c>
      <c r="G3040" s="74"/>
      <c r="H3040" s="74"/>
      <c r="I3040" s="74" t="s">
        <v>391</v>
      </c>
      <c r="J3040" s="74"/>
      <c r="K3040" s="74">
        <v>102.4</v>
      </c>
      <c r="L3040" s="74">
        <v>92.16</v>
      </c>
      <c r="M3040" s="74"/>
      <c r="N3040" s="74" t="s">
        <v>392</v>
      </c>
      <c r="O3040" s="74" t="s">
        <v>393</v>
      </c>
      <c r="P3040" s="74"/>
      <c r="Q3040" s="74" t="s">
        <v>9374</v>
      </c>
    </row>
    <row r="3041" spans="3:17" x14ac:dyDescent="0.25">
      <c r="C3041" s="74" t="s">
        <v>9375</v>
      </c>
      <c r="D3041" s="74" t="s">
        <v>9376</v>
      </c>
      <c r="E3041" s="74" t="s">
        <v>391</v>
      </c>
      <c r="F3041" s="74">
        <v>0.1</v>
      </c>
      <c r="G3041" s="74"/>
      <c r="H3041" s="74"/>
      <c r="I3041" s="74" t="s">
        <v>391</v>
      </c>
      <c r="J3041" s="74"/>
      <c r="K3041" s="74">
        <v>102.4</v>
      </c>
      <c r="L3041" s="74">
        <v>92.16</v>
      </c>
      <c r="M3041" s="74"/>
      <c r="N3041" s="74" t="s">
        <v>392</v>
      </c>
      <c r="O3041" s="74" t="s">
        <v>393</v>
      </c>
      <c r="P3041" s="74"/>
      <c r="Q3041" s="74" t="s">
        <v>9377</v>
      </c>
    </row>
    <row r="3042" spans="3:17" x14ac:dyDescent="0.25">
      <c r="C3042" s="74" t="s">
        <v>9378</v>
      </c>
      <c r="D3042" s="74" t="s">
        <v>9379</v>
      </c>
      <c r="E3042" s="74" t="s">
        <v>391</v>
      </c>
      <c r="F3042" s="74">
        <v>0.1</v>
      </c>
      <c r="G3042" s="74"/>
      <c r="H3042" s="74"/>
      <c r="I3042" s="74" t="s">
        <v>391</v>
      </c>
      <c r="J3042" s="74"/>
      <c r="K3042" s="74">
        <v>102.4</v>
      </c>
      <c r="L3042" s="74">
        <v>92.16</v>
      </c>
      <c r="M3042" s="74"/>
      <c r="N3042" s="74" t="s">
        <v>392</v>
      </c>
      <c r="O3042" s="74" t="s">
        <v>393</v>
      </c>
      <c r="P3042" s="74"/>
      <c r="Q3042" s="74" t="s">
        <v>9379</v>
      </c>
    </row>
    <row r="3043" spans="3:17" x14ac:dyDescent="0.25">
      <c r="C3043" s="74" t="s">
        <v>9380</v>
      </c>
      <c r="D3043" s="74" t="s">
        <v>9381</v>
      </c>
      <c r="E3043" s="74" t="s">
        <v>391</v>
      </c>
      <c r="F3043" s="74">
        <v>0.1</v>
      </c>
      <c r="G3043" s="74"/>
      <c r="H3043" s="74"/>
      <c r="I3043" s="74" t="s">
        <v>391</v>
      </c>
      <c r="J3043" s="74"/>
      <c r="K3043" s="74">
        <v>102.4</v>
      </c>
      <c r="L3043" s="74">
        <v>92.16</v>
      </c>
      <c r="M3043" s="74"/>
      <c r="N3043" s="74" t="s">
        <v>392</v>
      </c>
      <c r="O3043" s="74" t="s">
        <v>393</v>
      </c>
      <c r="P3043" s="74"/>
      <c r="Q3043" s="74" t="s">
        <v>9382</v>
      </c>
    </row>
    <row r="3044" spans="3:17" x14ac:dyDescent="0.25">
      <c r="C3044" s="74" t="s">
        <v>9398</v>
      </c>
      <c r="D3044" s="74" t="s">
        <v>9399</v>
      </c>
      <c r="E3044" s="74" t="s">
        <v>391</v>
      </c>
      <c r="F3044" s="74">
        <v>0.1</v>
      </c>
      <c r="G3044" s="74"/>
      <c r="H3044" s="74"/>
      <c r="I3044" s="74" t="s">
        <v>391</v>
      </c>
      <c r="J3044" s="74"/>
      <c r="K3044" s="74">
        <v>102.4</v>
      </c>
      <c r="L3044" s="74">
        <v>92.16</v>
      </c>
      <c r="M3044" s="74"/>
      <c r="N3044" s="74" t="s">
        <v>392</v>
      </c>
      <c r="O3044" s="74" t="s">
        <v>393</v>
      </c>
      <c r="P3044" s="74"/>
      <c r="Q3044" s="74" t="s">
        <v>9400</v>
      </c>
    </row>
    <row r="3045" spans="3:17" x14ac:dyDescent="0.25">
      <c r="C3045" s="74" t="s">
        <v>9405</v>
      </c>
      <c r="D3045" s="74" t="s">
        <v>9406</v>
      </c>
      <c r="E3045" s="74" t="s">
        <v>391</v>
      </c>
      <c r="F3045" s="74">
        <v>0.1</v>
      </c>
      <c r="G3045" s="74"/>
      <c r="H3045" s="74"/>
      <c r="I3045" s="74" t="s">
        <v>391</v>
      </c>
      <c r="J3045" s="74"/>
      <c r="K3045" s="74">
        <v>102.4</v>
      </c>
      <c r="L3045" s="74">
        <v>92.16</v>
      </c>
      <c r="M3045" s="74"/>
      <c r="N3045" s="74" t="s">
        <v>392</v>
      </c>
      <c r="O3045" s="74" t="s">
        <v>393</v>
      </c>
      <c r="P3045" s="74"/>
      <c r="Q3045" s="74" t="s">
        <v>9407</v>
      </c>
    </row>
    <row r="3046" spans="3:17" x14ac:dyDescent="0.25">
      <c r="C3046" s="74" t="s">
        <v>9408</v>
      </c>
      <c r="D3046" s="74" t="s">
        <v>9409</v>
      </c>
      <c r="E3046" s="74" t="s">
        <v>391</v>
      </c>
      <c r="F3046" s="74">
        <v>0.1</v>
      </c>
      <c r="G3046" s="74"/>
      <c r="H3046" s="74"/>
      <c r="I3046" s="74" t="s">
        <v>391</v>
      </c>
      <c r="J3046" s="74"/>
      <c r="K3046" s="74">
        <v>102.4</v>
      </c>
      <c r="L3046" s="74">
        <v>92.16</v>
      </c>
      <c r="M3046" s="74"/>
      <c r="N3046" s="74" t="s">
        <v>392</v>
      </c>
      <c r="O3046" s="74" t="s">
        <v>393</v>
      </c>
      <c r="P3046" s="74"/>
      <c r="Q3046" s="74" t="s">
        <v>9410</v>
      </c>
    </row>
    <row r="3047" spans="3:17" x14ac:dyDescent="0.25">
      <c r="C3047" s="74" t="s">
        <v>9417</v>
      </c>
      <c r="D3047" s="74" t="s">
        <v>9418</v>
      </c>
      <c r="E3047" s="74" t="s">
        <v>391</v>
      </c>
      <c r="F3047" s="74">
        <v>0.1</v>
      </c>
      <c r="G3047" s="74"/>
      <c r="H3047" s="74"/>
      <c r="I3047" s="74" t="s">
        <v>391</v>
      </c>
      <c r="J3047" s="74"/>
      <c r="K3047" s="74">
        <v>102.4</v>
      </c>
      <c r="L3047" s="74">
        <v>92.16</v>
      </c>
      <c r="M3047" s="74"/>
      <c r="N3047" s="74" t="s">
        <v>392</v>
      </c>
      <c r="O3047" s="74" t="s">
        <v>393</v>
      </c>
      <c r="P3047" s="74"/>
      <c r="Q3047" s="74" t="s">
        <v>9419</v>
      </c>
    </row>
    <row r="3048" spans="3:17" x14ac:dyDescent="0.25">
      <c r="C3048" s="74" t="s">
        <v>9424</v>
      </c>
      <c r="D3048" s="74" t="s">
        <v>9425</v>
      </c>
      <c r="E3048" s="74"/>
      <c r="F3048" s="74">
        <v>0.1</v>
      </c>
      <c r="G3048" s="74"/>
      <c r="H3048" s="74"/>
      <c r="I3048" s="74" t="s">
        <v>391</v>
      </c>
      <c r="J3048" s="74"/>
      <c r="K3048" s="74">
        <v>102.4</v>
      </c>
      <c r="L3048" s="74">
        <v>92.16</v>
      </c>
      <c r="M3048" s="74"/>
      <c r="N3048" s="74" t="s">
        <v>392</v>
      </c>
      <c r="O3048" s="74" t="s">
        <v>402</v>
      </c>
      <c r="P3048" s="74" t="s">
        <v>9426</v>
      </c>
      <c r="Q3048" s="74" t="s">
        <v>9427</v>
      </c>
    </row>
    <row r="3049" spans="3:17" x14ac:dyDescent="0.25">
      <c r="C3049" s="158" t="s">
        <v>9448</v>
      </c>
      <c r="D3049" s="158" t="s">
        <v>9449</v>
      </c>
      <c r="E3049" s="158" t="s">
        <v>391</v>
      </c>
      <c r="F3049" s="158">
        <v>0.1</v>
      </c>
      <c r="I3049" s="158" t="s">
        <v>391</v>
      </c>
      <c r="K3049" s="158">
        <v>102.4</v>
      </c>
      <c r="L3049" s="158">
        <v>92.16</v>
      </c>
      <c r="N3049" s="158" t="s">
        <v>392</v>
      </c>
      <c r="O3049" s="158" t="s">
        <v>393</v>
      </c>
      <c r="Q3049" s="158" t="s">
        <v>9450</v>
      </c>
    </row>
    <row r="3050" spans="3:17" x14ac:dyDescent="0.25">
      <c r="C3050" s="74" t="s">
        <v>9455</v>
      </c>
      <c r="D3050" s="74" t="s">
        <v>9456</v>
      </c>
      <c r="E3050" s="74" t="s">
        <v>391</v>
      </c>
      <c r="F3050" s="74">
        <v>0.1</v>
      </c>
      <c r="G3050" s="74"/>
      <c r="H3050" s="74"/>
      <c r="I3050" s="74" t="s">
        <v>391</v>
      </c>
      <c r="J3050" s="74"/>
      <c r="K3050" s="74">
        <v>102.4</v>
      </c>
      <c r="L3050" s="74">
        <v>92.16</v>
      </c>
      <c r="M3050" s="74"/>
      <c r="N3050" s="74" t="s">
        <v>392</v>
      </c>
      <c r="O3050" s="74" t="s">
        <v>393</v>
      </c>
      <c r="P3050" s="74"/>
      <c r="Q3050" s="74" t="s">
        <v>9457</v>
      </c>
    </row>
    <row r="3051" spans="3:17" x14ac:dyDescent="0.25">
      <c r="C3051" s="74" t="s">
        <v>9462</v>
      </c>
      <c r="D3051" s="74" t="s">
        <v>9463</v>
      </c>
      <c r="E3051" s="74" t="s">
        <v>391</v>
      </c>
      <c r="F3051" s="74">
        <v>0.1</v>
      </c>
      <c r="G3051" s="74"/>
      <c r="H3051" s="74"/>
      <c r="I3051" s="74" t="s">
        <v>391</v>
      </c>
      <c r="J3051" s="74"/>
      <c r="K3051" s="74">
        <v>102.4</v>
      </c>
      <c r="L3051" s="74">
        <v>92.16</v>
      </c>
      <c r="M3051" s="74"/>
      <c r="N3051" s="74" t="s">
        <v>392</v>
      </c>
      <c r="O3051" s="74" t="s">
        <v>393</v>
      </c>
      <c r="P3051" s="74"/>
      <c r="Q3051" s="74" t="s">
        <v>9464</v>
      </c>
    </row>
    <row r="3052" spans="3:17" x14ac:dyDescent="0.25">
      <c r="C3052" s="74" t="s">
        <v>9465</v>
      </c>
      <c r="D3052" s="74" t="s">
        <v>9466</v>
      </c>
      <c r="E3052" s="74" t="s">
        <v>391</v>
      </c>
      <c r="F3052" s="74">
        <v>0.1</v>
      </c>
      <c r="G3052" s="74"/>
      <c r="H3052" s="74"/>
      <c r="I3052" s="74" t="s">
        <v>391</v>
      </c>
      <c r="J3052" s="74"/>
      <c r="K3052" s="74">
        <v>102.4</v>
      </c>
      <c r="L3052" s="74">
        <v>92.16</v>
      </c>
      <c r="M3052" s="74"/>
      <c r="N3052" s="74" t="s">
        <v>392</v>
      </c>
      <c r="O3052" s="74" t="s">
        <v>393</v>
      </c>
      <c r="P3052" s="74"/>
      <c r="Q3052" s="74" t="s">
        <v>9467</v>
      </c>
    </row>
    <row r="3053" spans="3:17" x14ac:dyDescent="0.25">
      <c r="C3053" s="74" t="s">
        <v>9476</v>
      </c>
      <c r="D3053" s="74" t="s">
        <v>9477</v>
      </c>
      <c r="E3053" s="74" t="s">
        <v>391</v>
      </c>
      <c r="F3053" s="74">
        <v>0.1</v>
      </c>
      <c r="G3053" s="74"/>
      <c r="H3053" s="74"/>
      <c r="I3053" s="74" t="s">
        <v>391</v>
      </c>
      <c r="J3053" s="74"/>
      <c r="K3053" s="74">
        <v>102.4</v>
      </c>
      <c r="L3053" s="74">
        <v>92.16</v>
      </c>
      <c r="M3053" s="74"/>
      <c r="N3053" s="74" t="s">
        <v>392</v>
      </c>
      <c r="O3053" s="74" t="s">
        <v>393</v>
      </c>
      <c r="P3053" s="74"/>
      <c r="Q3053" s="74" t="s">
        <v>9478</v>
      </c>
    </row>
    <row r="3054" spans="3:17" x14ac:dyDescent="0.25">
      <c r="C3054" s="74" t="s">
        <v>9483</v>
      </c>
      <c r="D3054" s="74" t="s">
        <v>9484</v>
      </c>
      <c r="E3054" s="74" t="s">
        <v>391</v>
      </c>
      <c r="F3054" s="74">
        <v>0.1</v>
      </c>
      <c r="G3054" s="74"/>
      <c r="H3054" s="74"/>
      <c r="I3054" s="74" t="s">
        <v>391</v>
      </c>
      <c r="J3054" s="74"/>
      <c r="K3054" s="74">
        <v>102.4</v>
      </c>
      <c r="L3054" s="74">
        <v>92.16</v>
      </c>
      <c r="M3054" s="74"/>
      <c r="N3054" s="74" t="s">
        <v>392</v>
      </c>
      <c r="O3054" s="74" t="s">
        <v>393</v>
      </c>
      <c r="P3054" s="74"/>
      <c r="Q3054" s="74" t="s">
        <v>9485</v>
      </c>
    </row>
    <row r="3055" spans="3:17" x14ac:dyDescent="0.25">
      <c r="C3055" s="74" t="s">
        <v>9490</v>
      </c>
      <c r="D3055" s="74" t="s">
        <v>9491</v>
      </c>
      <c r="E3055" s="74" t="s">
        <v>391</v>
      </c>
      <c r="F3055" s="74">
        <v>0.1</v>
      </c>
      <c r="G3055" s="74"/>
      <c r="H3055" s="74"/>
      <c r="I3055" s="74" t="s">
        <v>391</v>
      </c>
      <c r="J3055" s="74"/>
      <c r="K3055" s="74">
        <v>102.4</v>
      </c>
      <c r="L3055" s="74">
        <v>92.16</v>
      </c>
      <c r="M3055" s="74"/>
      <c r="N3055" s="74" t="s">
        <v>392</v>
      </c>
      <c r="O3055" s="74" t="s">
        <v>393</v>
      </c>
      <c r="P3055" s="74"/>
      <c r="Q3055" s="74" t="s">
        <v>9492</v>
      </c>
    </row>
    <row r="3056" spans="3:17" x14ac:dyDescent="0.25">
      <c r="C3056" s="74" t="s">
        <v>9520</v>
      </c>
      <c r="D3056" s="74" t="s">
        <v>9521</v>
      </c>
      <c r="E3056" s="74" t="s">
        <v>391</v>
      </c>
      <c r="F3056" s="74">
        <v>0.1</v>
      </c>
      <c r="G3056" s="74"/>
      <c r="H3056" s="74"/>
      <c r="I3056" s="74" t="s">
        <v>391</v>
      </c>
      <c r="J3056" s="74"/>
      <c r="K3056" s="74">
        <v>102.4</v>
      </c>
      <c r="L3056" s="74">
        <v>92.16</v>
      </c>
      <c r="M3056" s="74"/>
      <c r="N3056" s="74" t="s">
        <v>392</v>
      </c>
      <c r="O3056" s="74" t="s">
        <v>393</v>
      </c>
      <c r="P3056" s="74"/>
      <c r="Q3056" s="74" t="s">
        <v>9522</v>
      </c>
    </row>
    <row r="3057" spans="3:17" x14ac:dyDescent="0.25">
      <c r="C3057" s="74" t="s">
        <v>9551</v>
      </c>
      <c r="D3057" s="74" t="s">
        <v>9552</v>
      </c>
      <c r="E3057" s="74" t="s">
        <v>391</v>
      </c>
      <c r="F3057" s="74">
        <v>0.1</v>
      </c>
      <c r="G3057" s="74"/>
      <c r="H3057" s="74"/>
      <c r="I3057" s="74" t="s">
        <v>391</v>
      </c>
      <c r="J3057" s="74"/>
      <c r="K3057" s="74">
        <v>102.4</v>
      </c>
      <c r="L3057" s="74">
        <v>92.16</v>
      </c>
      <c r="M3057" s="74"/>
      <c r="N3057" s="74" t="s">
        <v>392</v>
      </c>
      <c r="O3057" s="74" t="s">
        <v>393</v>
      </c>
      <c r="P3057" s="74"/>
      <c r="Q3057" s="74" t="s">
        <v>9553</v>
      </c>
    </row>
    <row r="3058" spans="3:17" x14ac:dyDescent="0.25">
      <c r="C3058" s="74" t="s">
        <v>9554</v>
      </c>
      <c r="D3058" s="74" t="s">
        <v>9555</v>
      </c>
      <c r="E3058" s="74" t="s">
        <v>391</v>
      </c>
      <c r="F3058" s="74">
        <v>0.1</v>
      </c>
      <c r="G3058" s="74"/>
      <c r="H3058" s="74"/>
      <c r="I3058" s="74" t="s">
        <v>391</v>
      </c>
      <c r="J3058" s="74"/>
      <c r="K3058" s="74">
        <v>102.4</v>
      </c>
      <c r="L3058" s="74">
        <v>92.16</v>
      </c>
      <c r="M3058" s="74"/>
      <c r="N3058" s="74" t="s">
        <v>392</v>
      </c>
      <c r="O3058" s="74" t="s">
        <v>393</v>
      </c>
      <c r="P3058" s="74"/>
      <c r="Q3058" s="74" t="s">
        <v>9556</v>
      </c>
    </row>
    <row r="3059" spans="3:17" x14ac:dyDescent="0.25">
      <c r="C3059" s="74" t="s">
        <v>9591</v>
      </c>
      <c r="D3059" s="74" t="s">
        <v>9592</v>
      </c>
      <c r="E3059" s="74" t="s">
        <v>391</v>
      </c>
      <c r="F3059" s="74">
        <v>0.1</v>
      </c>
      <c r="G3059" s="74"/>
      <c r="H3059" s="74"/>
      <c r="I3059" s="74" t="s">
        <v>391</v>
      </c>
      <c r="J3059" s="74"/>
      <c r="K3059" s="74">
        <v>102.4</v>
      </c>
      <c r="L3059" s="74">
        <v>92.16</v>
      </c>
      <c r="M3059" s="74"/>
      <c r="N3059" s="74" t="s">
        <v>392</v>
      </c>
      <c r="O3059" s="74" t="s">
        <v>393</v>
      </c>
      <c r="P3059" s="74"/>
      <c r="Q3059" s="74" t="s">
        <v>9593</v>
      </c>
    </row>
    <row r="3060" spans="3:17" x14ac:dyDescent="0.25">
      <c r="C3060" s="74" t="s">
        <v>9612</v>
      </c>
      <c r="D3060" s="74" t="s">
        <v>9613</v>
      </c>
      <c r="E3060" s="74" t="s">
        <v>391</v>
      </c>
      <c r="F3060" s="74">
        <v>0.1</v>
      </c>
      <c r="G3060" s="74"/>
      <c r="H3060" s="74"/>
      <c r="I3060" s="74" t="s">
        <v>391</v>
      </c>
      <c r="J3060" s="74"/>
      <c r="K3060" s="74">
        <v>102.4</v>
      </c>
      <c r="L3060" s="74">
        <v>92.16</v>
      </c>
      <c r="M3060" s="74"/>
      <c r="N3060" s="74" t="s">
        <v>392</v>
      </c>
      <c r="O3060" s="74" t="s">
        <v>393</v>
      </c>
      <c r="P3060" s="74"/>
      <c r="Q3060" s="74" t="s">
        <v>9614</v>
      </c>
    </row>
    <row r="3061" spans="3:17" x14ac:dyDescent="0.25">
      <c r="C3061" s="74" t="s">
        <v>9639</v>
      </c>
      <c r="D3061" s="74" t="s">
        <v>9640</v>
      </c>
      <c r="E3061" s="74" t="s">
        <v>391</v>
      </c>
      <c r="F3061" s="74">
        <v>0.1</v>
      </c>
      <c r="G3061" s="74"/>
      <c r="H3061" s="74"/>
      <c r="I3061" s="74" t="s">
        <v>391</v>
      </c>
      <c r="J3061" s="74"/>
      <c r="K3061" s="74">
        <v>102.4</v>
      </c>
      <c r="L3061" s="74">
        <v>92.16</v>
      </c>
      <c r="M3061" s="74"/>
      <c r="N3061" s="74" t="s">
        <v>392</v>
      </c>
      <c r="O3061" s="74" t="s">
        <v>393</v>
      </c>
      <c r="P3061" s="74"/>
      <c r="Q3061" s="74" t="s">
        <v>9641</v>
      </c>
    </row>
    <row r="3062" spans="3:17" x14ac:dyDescent="0.25">
      <c r="C3062" s="74" t="s">
        <v>9646</v>
      </c>
      <c r="D3062" s="74" t="s">
        <v>9647</v>
      </c>
      <c r="E3062" s="74" t="s">
        <v>391</v>
      </c>
      <c r="F3062" s="74">
        <v>0.1</v>
      </c>
      <c r="G3062" s="74"/>
      <c r="H3062" s="74"/>
      <c r="I3062" s="74" t="s">
        <v>391</v>
      </c>
      <c r="J3062" s="74"/>
      <c r="K3062" s="74">
        <v>102.4</v>
      </c>
      <c r="L3062" s="74">
        <v>92.16</v>
      </c>
      <c r="M3062" s="74"/>
      <c r="N3062" s="74" t="s">
        <v>392</v>
      </c>
      <c r="O3062" s="74" t="s">
        <v>393</v>
      </c>
      <c r="P3062" s="74"/>
      <c r="Q3062" s="74" t="s">
        <v>9648</v>
      </c>
    </row>
    <row r="3063" spans="3:17" x14ac:dyDescent="0.25">
      <c r="C3063" s="74" t="s">
        <v>9649</v>
      </c>
      <c r="D3063" s="74" t="s">
        <v>9650</v>
      </c>
      <c r="E3063" s="74" t="s">
        <v>391</v>
      </c>
      <c r="F3063" s="74">
        <v>0.1</v>
      </c>
      <c r="G3063" s="74"/>
      <c r="H3063" s="74"/>
      <c r="I3063" s="74" t="s">
        <v>391</v>
      </c>
      <c r="J3063" s="74"/>
      <c r="K3063" s="74">
        <v>102.4</v>
      </c>
      <c r="L3063" s="74">
        <v>92.16</v>
      </c>
      <c r="M3063" s="74"/>
      <c r="N3063" s="74" t="s">
        <v>392</v>
      </c>
      <c r="O3063" s="74" t="s">
        <v>393</v>
      </c>
      <c r="P3063" s="74"/>
      <c r="Q3063" s="74" t="s">
        <v>9651</v>
      </c>
    </row>
    <row r="3064" spans="3:17" x14ac:dyDescent="0.25">
      <c r="C3064" s="74" t="s">
        <v>9652</v>
      </c>
      <c r="D3064" s="74" t="s">
        <v>9653</v>
      </c>
      <c r="E3064" s="74" t="s">
        <v>391</v>
      </c>
      <c r="F3064" s="74">
        <v>0.1</v>
      </c>
      <c r="G3064" s="74"/>
      <c r="H3064" s="74"/>
      <c r="I3064" s="74" t="s">
        <v>391</v>
      </c>
      <c r="J3064" s="74"/>
      <c r="K3064" s="74">
        <v>102.4</v>
      </c>
      <c r="L3064" s="74">
        <v>92.16</v>
      </c>
      <c r="M3064" s="74"/>
      <c r="N3064" s="74" t="s">
        <v>392</v>
      </c>
      <c r="O3064" s="74" t="s">
        <v>393</v>
      </c>
      <c r="P3064" s="74"/>
      <c r="Q3064" s="74" t="s">
        <v>9654</v>
      </c>
    </row>
    <row r="3065" spans="3:17" x14ac:dyDescent="0.25">
      <c r="C3065" s="74" t="s">
        <v>9655</v>
      </c>
      <c r="D3065" s="74" t="s">
        <v>9656</v>
      </c>
      <c r="E3065" s="74" t="s">
        <v>391</v>
      </c>
      <c r="F3065" s="74">
        <v>0.1</v>
      </c>
      <c r="G3065" s="74"/>
      <c r="H3065" s="74"/>
      <c r="I3065" s="74" t="s">
        <v>391</v>
      </c>
      <c r="J3065" s="74"/>
      <c r="K3065" s="74">
        <v>102.4</v>
      </c>
      <c r="L3065" s="74">
        <v>92.16</v>
      </c>
      <c r="M3065" s="74"/>
      <c r="N3065" s="74" t="s">
        <v>392</v>
      </c>
      <c r="O3065" s="74" t="s">
        <v>393</v>
      </c>
      <c r="P3065" s="74"/>
      <c r="Q3065" s="74" t="s">
        <v>9657</v>
      </c>
    </row>
    <row r="3066" spans="3:17" x14ac:dyDescent="0.25">
      <c r="C3066" s="74" t="s">
        <v>9658</v>
      </c>
      <c r="D3066" s="74" t="s">
        <v>9659</v>
      </c>
      <c r="E3066" s="74" t="s">
        <v>391</v>
      </c>
      <c r="F3066" s="74">
        <v>0.1</v>
      </c>
      <c r="G3066" s="74"/>
      <c r="H3066" s="74"/>
      <c r="I3066" s="74" t="s">
        <v>391</v>
      </c>
      <c r="J3066" s="74"/>
      <c r="K3066" s="74">
        <v>102.4</v>
      </c>
      <c r="L3066" s="74">
        <v>92.16</v>
      </c>
      <c r="M3066" s="74"/>
      <c r="N3066" s="74" t="s">
        <v>392</v>
      </c>
      <c r="O3066" s="74" t="s">
        <v>393</v>
      </c>
      <c r="P3066" s="74"/>
      <c r="Q3066" s="74" t="s">
        <v>9660</v>
      </c>
    </row>
    <row r="3067" spans="3:17" x14ac:dyDescent="0.25">
      <c r="C3067" s="74" t="s">
        <v>9665</v>
      </c>
      <c r="D3067" s="74" t="s">
        <v>9666</v>
      </c>
      <c r="E3067" s="74" t="s">
        <v>391</v>
      </c>
      <c r="F3067" s="74">
        <v>0.1</v>
      </c>
      <c r="G3067" s="74"/>
      <c r="H3067" s="74"/>
      <c r="I3067" s="74" t="s">
        <v>391</v>
      </c>
      <c r="J3067" s="74"/>
      <c r="K3067" s="74">
        <v>102.4</v>
      </c>
      <c r="L3067" s="74">
        <v>92.16</v>
      </c>
      <c r="M3067" s="74"/>
      <c r="N3067" s="74" t="s">
        <v>392</v>
      </c>
      <c r="O3067" s="74" t="s">
        <v>393</v>
      </c>
      <c r="P3067" s="74"/>
      <c r="Q3067" s="74" t="s">
        <v>9667</v>
      </c>
    </row>
    <row r="3068" spans="3:17" x14ac:dyDescent="0.25">
      <c r="C3068" s="74" t="s">
        <v>9668</v>
      </c>
      <c r="D3068" s="74" t="s">
        <v>9669</v>
      </c>
      <c r="E3068" s="74" t="s">
        <v>391</v>
      </c>
      <c r="F3068" s="74">
        <v>0.1</v>
      </c>
      <c r="G3068" s="74"/>
      <c r="H3068" s="74"/>
      <c r="I3068" s="74" t="s">
        <v>391</v>
      </c>
      <c r="J3068" s="74"/>
      <c r="K3068" s="74">
        <v>102.4</v>
      </c>
      <c r="L3068" s="74">
        <v>92.16</v>
      </c>
      <c r="M3068" s="74"/>
      <c r="N3068" s="74" t="s">
        <v>392</v>
      </c>
      <c r="O3068" s="74" t="s">
        <v>393</v>
      </c>
      <c r="P3068" s="74"/>
      <c r="Q3068" s="74" t="s">
        <v>9670</v>
      </c>
    </row>
    <row r="3069" spans="3:17" x14ac:dyDescent="0.25">
      <c r="C3069" s="74" t="s">
        <v>9671</v>
      </c>
      <c r="D3069" s="74" t="s">
        <v>9672</v>
      </c>
      <c r="E3069" s="74" t="s">
        <v>391</v>
      </c>
      <c r="F3069" s="74">
        <v>0.1</v>
      </c>
      <c r="G3069" s="74"/>
      <c r="H3069" s="74"/>
      <c r="I3069" s="74" t="s">
        <v>391</v>
      </c>
      <c r="J3069" s="74"/>
      <c r="K3069" s="74">
        <v>102.4</v>
      </c>
      <c r="L3069" s="74">
        <v>92.16</v>
      </c>
      <c r="M3069" s="74"/>
      <c r="N3069" s="74" t="s">
        <v>392</v>
      </c>
      <c r="O3069" s="74" t="s">
        <v>393</v>
      </c>
      <c r="P3069" s="74"/>
      <c r="Q3069" s="74" t="s">
        <v>9673</v>
      </c>
    </row>
    <row r="3070" spans="3:17" x14ac:dyDescent="0.25">
      <c r="C3070" s="74" t="s">
        <v>9693</v>
      </c>
      <c r="D3070" s="74" t="s">
        <v>9694</v>
      </c>
      <c r="E3070" s="74" t="s">
        <v>391</v>
      </c>
      <c r="F3070" s="74">
        <v>0.1</v>
      </c>
      <c r="G3070" s="74"/>
      <c r="H3070" s="74"/>
      <c r="I3070" s="74" t="s">
        <v>391</v>
      </c>
      <c r="J3070" s="74"/>
      <c r="K3070" s="74">
        <v>102.4</v>
      </c>
      <c r="L3070" s="74">
        <v>92.16</v>
      </c>
      <c r="M3070" s="74"/>
      <c r="N3070" s="74" t="s">
        <v>392</v>
      </c>
      <c r="O3070" s="74" t="s">
        <v>393</v>
      </c>
      <c r="P3070" s="74"/>
      <c r="Q3070" s="74" t="s">
        <v>9695</v>
      </c>
    </row>
    <row r="3071" spans="3:17" x14ac:dyDescent="0.25">
      <c r="C3071" s="74" t="s">
        <v>9708</v>
      </c>
      <c r="D3071" s="74" t="s">
        <v>9709</v>
      </c>
      <c r="E3071" s="74" t="s">
        <v>391</v>
      </c>
      <c r="F3071" s="74">
        <v>0.1</v>
      </c>
      <c r="G3071" s="74"/>
      <c r="H3071" s="74"/>
      <c r="I3071" s="74" t="s">
        <v>391</v>
      </c>
      <c r="J3071" s="74"/>
      <c r="K3071" s="74">
        <v>102.4</v>
      </c>
      <c r="L3071" s="74">
        <v>92.16</v>
      </c>
      <c r="M3071" s="74"/>
      <c r="N3071" s="74" t="s">
        <v>392</v>
      </c>
      <c r="O3071" s="74" t="s">
        <v>393</v>
      </c>
      <c r="P3071" s="74"/>
      <c r="Q3071" s="74" t="s">
        <v>9710</v>
      </c>
    </row>
    <row r="3072" spans="3:17" x14ac:dyDescent="0.25">
      <c r="C3072" s="74" t="s">
        <v>9715</v>
      </c>
      <c r="D3072" s="74" t="s">
        <v>9716</v>
      </c>
      <c r="E3072" s="74" t="s">
        <v>391</v>
      </c>
      <c r="F3072" s="74">
        <v>0.1</v>
      </c>
      <c r="G3072" s="74"/>
      <c r="H3072" s="74"/>
      <c r="I3072" s="74" t="s">
        <v>391</v>
      </c>
      <c r="J3072" s="74"/>
      <c r="K3072" s="74">
        <v>102.4</v>
      </c>
      <c r="L3072" s="74">
        <v>92.16</v>
      </c>
      <c r="M3072" s="74"/>
      <c r="N3072" s="74" t="s">
        <v>392</v>
      </c>
      <c r="O3072" s="74" t="s">
        <v>393</v>
      </c>
      <c r="P3072" s="74"/>
      <c r="Q3072" s="74" t="s">
        <v>9717</v>
      </c>
    </row>
    <row r="3073" spans="3:17" x14ac:dyDescent="0.25">
      <c r="C3073" s="74" t="s">
        <v>9718</v>
      </c>
      <c r="D3073" s="74" t="s">
        <v>9719</v>
      </c>
      <c r="E3073" s="74" t="s">
        <v>391</v>
      </c>
      <c r="F3073" s="74">
        <v>0.1</v>
      </c>
      <c r="G3073" s="74"/>
      <c r="H3073" s="74"/>
      <c r="I3073" s="74" t="s">
        <v>391</v>
      </c>
      <c r="J3073" s="74"/>
      <c r="K3073" s="74">
        <v>102.4</v>
      </c>
      <c r="L3073" s="74">
        <v>92.16</v>
      </c>
      <c r="M3073" s="74"/>
      <c r="N3073" s="74" t="s">
        <v>392</v>
      </c>
      <c r="O3073" s="74" t="s">
        <v>393</v>
      </c>
      <c r="P3073" s="74"/>
      <c r="Q3073" s="74" t="s">
        <v>9720</v>
      </c>
    </row>
    <row r="3074" spans="3:17" x14ac:dyDescent="0.25">
      <c r="C3074" s="74" t="s">
        <v>9729</v>
      </c>
      <c r="D3074" s="74" t="s">
        <v>9730</v>
      </c>
      <c r="E3074" s="74" t="s">
        <v>391</v>
      </c>
      <c r="F3074" s="74">
        <v>0.1</v>
      </c>
      <c r="G3074" s="74"/>
      <c r="H3074" s="74"/>
      <c r="I3074" s="74" t="s">
        <v>391</v>
      </c>
      <c r="J3074" s="74"/>
      <c r="K3074" s="74">
        <v>102.4</v>
      </c>
      <c r="L3074" s="74">
        <v>92.16</v>
      </c>
      <c r="M3074" s="74"/>
      <c r="N3074" s="74" t="s">
        <v>392</v>
      </c>
      <c r="O3074" s="74" t="s">
        <v>393</v>
      </c>
      <c r="P3074" s="74"/>
      <c r="Q3074" s="74" t="s">
        <v>9731</v>
      </c>
    </row>
    <row r="3075" spans="3:17" x14ac:dyDescent="0.25">
      <c r="C3075" s="74" t="s">
        <v>9779</v>
      </c>
      <c r="D3075" s="74" t="s">
        <v>9780</v>
      </c>
      <c r="E3075" s="74" t="s">
        <v>391</v>
      </c>
      <c r="F3075" s="74">
        <v>0.1</v>
      </c>
      <c r="G3075" s="74"/>
      <c r="H3075" s="74"/>
      <c r="I3075" s="74" t="s">
        <v>391</v>
      </c>
      <c r="J3075" s="74"/>
      <c r="K3075" s="74">
        <v>102.4</v>
      </c>
      <c r="L3075" s="74">
        <v>92.16</v>
      </c>
      <c r="M3075" s="74"/>
      <c r="N3075" s="74" t="s">
        <v>392</v>
      </c>
      <c r="O3075" s="74" t="s">
        <v>393</v>
      </c>
      <c r="P3075" s="74"/>
      <c r="Q3075" s="74" t="s">
        <v>9781</v>
      </c>
    </row>
    <row r="3076" spans="3:17" x14ac:dyDescent="0.25">
      <c r="C3076" s="74" t="s">
        <v>9790</v>
      </c>
      <c r="D3076" s="74" t="s">
        <v>9791</v>
      </c>
      <c r="E3076" s="74" t="s">
        <v>391</v>
      </c>
      <c r="F3076" s="74">
        <v>0.1</v>
      </c>
      <c r="G3076" s="74"/>
      <c r="H3076" s="74"/>
      <c r="I3076" s="74" t="s">
        <v>391</v>
      </c>
      <c r="J3076" s="74"/>
      <c r="K3076" s="74">
        <v>102.4</v>
      </c>
      <c r="L3076" s="74">
        <v>92.16</v>
      </c>
      <c r="M3076" s="74"/>
      <c r="N3076" s="74" t="s">
        <v>392</v>
      </c>
      <c r="O3076" s="74" t="s">
        <v>393</v>
      </c>
      <c r="P3076" s="74"/>
      <c r="Q3076" s="74" t="s">
        <v>9792</v>
      </c>
    </row>
    <row r="3077" spans="3:17" x14ac:dyDescent="0.25">
      <c r="C3077" s="74" t="s">
        <v>9793</v>
      </c>
      <c r="D3077" s="74" t="s">
        <v>9794</v>
      </c>
      <c r="E3077" s="74" t="s">
        <v>391</v>
      </c>
      <c r="F3077" s="74">
        <v>0.1</v>
      </c>
      <c r="G3077" s="74"/>
      <c r="H3077" s="74"/>
      <c r="I3077" s="74" t="s">
        <v>391</v>
      </c>
      <c r="J3077" s="74"/>
      <c r="K3077" s="74">
        <v>102.4</v>
      </c>
      <c r="L3077" s="74">
        <v>92.16</v>
      </c>
      <c r="M3077" s="74"/>
      <c r="N3077" s="74" t="s">
        <v>392</v>
      </c>
      <c r="O3077" s="74" t="s">
        <v>393</v>
      </c>
      <c r="P3077" s="74"/>
      <c r="Q3077" s="74" t="s">
        <v>9795</v>
      </c>
    </row>
    <row r="3078" spans="3:17" x14ac:dyDescent="0.25">
      <c r="C3078" s="74" t="s">
        <v>9803</v>
      </c>
      <c r="D3078" s="74" t="s">
        <v>9804</v>
      </c>
      <c r="E3078" s="74" t="s">
        <v>391</v>
      </c>
      <c r="F3078" s="74">
        <v>0.1</v>
      </c>
      <c r="G3078" s="74"/>
      <c r="H3078" s="74"/>
      <c r="I3078" s="74" t="s">
        <v>391</v>
      </c>
      <c r="J3078" s="74"/>
      <c r="K3078" s="74">
        <v>102.4</v>
      </c>
      <c r="L3078" s="74">
        <v>92.16</v>
      </c>
      <c r="M3078" s="74"/>
      <c r="N3078" s="74" t="s">
        <v>392</v>
      </c>
      <c r="O3078" s="74" t="s">
        <v>393</v>
      </c>
      <c r="P3078" s="74"/>
      <c r="Q3078" s="74" t="s">
        <v>9805</v>
      </c>
    </row>
    <row r="3079" spans="3:17" x14ac:dyDescent="0.25">
      <c r="C3079" s="74" t="s">
        <v>9822</v>
      </c>
      <c r="D3079" s="74" t="s">
        <v>9823</v>
      </c>
      <c r="E3079" s="74" t="s">
        <v>391</v>
      </c>
      <c r="F3079" s="74">
        <v>0.1</v>
      </c>
      <c r="G3079" s="74"/>
      <c r="H3079" s="74"/>
      <c r="I3079" s="74" t="s">
        <v>391</v>
      </c>
      <c r="J3079" s="74"/>
      <c r="K3079" s="74">
        <v>102.4</v>
      </c>
      <c r="L3079" s="74">
        <v>92.16</v>
      </c>
      <c r="M3079" s="74"/>
      <c r="N3079" s="74" t="s">
        <v>392</v>
      </c>
      <c r="O3079" s="74" t="s">
        <v>393</v>
      </c>
      <c r="P3079" s="74"/>
      <c r="Q3079" s="74" t="s">
        <v>9824</v>
      </c>
    </row>
    <row r="3080" spans="3:17" x14ac:dyDescent="0.25">
      <c r="C3080" s="74" t="s">
        <v>9841</v>
      </c>
      <c r="D3080" s="74" t="s">
        <v>9842</v>
      </c>
      <c r="E3080" s="74" t="s">
        <v>391</v>
      </c>
      <c r="F3080" s="74">
        <v>0.1</v>
      </c>
      <c r="G3080" s="74"/>
      <c r="H3080" s="74"/>
      <c r="I3080" s="74" t="s">
        <v>391</v>
      </c>
      <c r="J3080" s="74"/>
      <c r="K3080" s="74">
        <v>102.4</v>
      </c>
      <c r="L3080" s="74">
        <v>92.16</v>
      </c>
      <c r="M3080" s="74"/>
      <c r="N3080" s="74" t="s">
        <v>392</v>
      </c>
      <c r="O3080" s="74" t="s">
        <v>393</v>
      </c>
      <c r="P3080" s="74"/>
      <c r="Q3080" s="74" t="s">
        <v>9843</v>
      </c>
    </row>
    <row r="3081" spans="3:17" x14ac:dyDescent="0.25">
      <c r="C3081" s="74" t="s">
        <v>9850</v>
      </c>
      <c r="D3081" s="74" t="s">
        <v>9851</v>
      </c>
      <c r="E3081" s="74" t="s">
        <v>391</v>
      </c>
      <c r="F3081" s="74">
        <v>0.1</v>
      </c>
      <c r="G3081" s="74"/>
      <c r="H3081" s="74"/>
      <c r="I3081" s="74" t="s">
        <v>391</v>
      </c>
      <c r="J3081" s="74"/>
      <c r="K3081" s="74">
        <v>102.4</v>
      </c>
      <c r="L3081" s="74">
        <v>92.16</v>
      </c>
      <c r="M3081" s="74"/>
      <c r="N3081" s="74" t="s">
        <v>392</v>
      </c>
      <c r="O3081" s="74" t="s">
        <v>393</v>
      </c>
      <c r="P3081" s="74"/>
      <c r="Q3081" s="74" t="s">
        <v>9852</v>
      </c>
    </row>
    <row r="3082" spans="3:17" x14ac:dyDescent="0.25">
      <c r="C3082" s="74" t="s">
        <v>9853</v>
      </c>
      <c r="D3082" s="74" t="s">
        <v>9854</v>
      </c>
      <c r="E3082" s="74" t="s">
        <v>391</v>
      </c>
      <c r="F3082" s="74">
        <v>0.1</v>
      </c>
      <c r="G3082" s="74"/>
      <c r="H3082" s="74"/>
      <c r="I3082" s="74" t="s">
        <v>391</v>
      </c>
      <c r="J3082" s="74"/>
      <c r="K3082" s="74">
        <v>102.4</v>
      </c>
      <c r="L3082" s="74">
        <v>92.16</v>
      </c>
      <c r="M3082" s="74"/>
      <c r="N3082" s="74" t="s">
        <v>392</v>
      </c>
      <c r="O3082" s="74" t="s">
        <v>393</v>
      </c>
      <c r="P3082" s="74"/>
      <c r="Q3082" s="74" t="s">
        <v>9855</v>
      </c>
    </row>
    <row r="3083" spans="3:17" x14ac:dyDescent="0.25">
      <c r="C3083" s="74" t="s">
        <v>9860</v>
      </c>
      <c r="D3083" s="74" t="s">
        <v>9861</v>
      </c>
      <c r="E3083" s="74" t="s">
        <v>391</v>
      </c>
      <c r="F3083" s="74">
        <v>0.1</v>
      </c>
      <c r="G3083" s="74"/>
      <c r="H3083" s="74"/>
      <c r="I3083" s="74" t="s">
        <v>391</v>
      </c>
      <c r="J3083" s="74"/>
      <c r="K3083" s="74">
        <v>102.4</v>
      </c>
      <c r="L3083" s="74">
        <v>92.16</v>
      </c>
      <c r="M3083" s="74"/>
      <c r="N3083" s="74" t="s">
        <v>392</v>
      </c>
      <c r="O3083" s="74" t="s">
        <v>393</v>
      </c>
      <c r="P3083" s="74"/>
      <c r="Q3083" s="74" t="s">
        <v>9862</v>
      </c>
    </row>
    <row r="3084" spans="3:17" x14ac:dyDescent="0.25">
      <c r="C3084" s="74" t="s">
        <v>9867</v>
      </c>
      <c r="D3084" s="74" t="s">
        <v>9868</v>
      </c>
      <c r="E3084" s="74" t="s">
        <v>391</v>
      </c>
      <c r="F3084" s="74">
        <v>0.1</v>
      </c>
      <c r="G3084" s="74"/>
      <c r="H3084" s="74"/>
      <c r="I3084" s="74" t="s">
        <v>391</v>
      </c>
      <c r="J3084" s="74"/>
      <c r="K3084" s="74">
        <v>102.4</v>
      </c>
      <c r="L3084" s="74">
        <v>92.16</v>
      </c>
      <c r="M3084" s="74"/>
      <c r="N3084" s="74" t="s">
        <v>392</v>
      </c>
      <c r="O3084" s="74" t="s">
        <v>393</v>
      </c>
      <c r="P3084" s="74"/>
      <c r="Q3084" s="74" t="s">
        <v>9869</v>
      </c>
    </row>
    <row r="3085" spans="3:17" x14ac:dyDescent="0.25">
      <c r="C3085" s="74" t="s">
        <v>9870</v>
      </c>
      <c r="D3085" s="74" t="s">
        <v>9871</v>
      </c>
      <c r="E3085" s="74" t="s">
        <v>391</v>
      </c>
      <c r="F3085" s="74">
        <v>0.1</v>
      </c>
      <c r="G3085" s="74"/>
      <c r="H3085" s="74"/>
      <c r="I3085" s="74" t="s">
        <v>391</v>
      </c>
      <c r="J3085" s="74"/>
      <c r="K3085" s="74">
        <v>102.4</v>
      </c>
      <c r="L3085" s="74">
        <v>92.16</v>
      </c>
      <c r="M3085" s="74"/>
      <c r="N3085" s="74" t="s">
        <v>392</v>
      </c>
      <c r="O3085" s="74" t="s">
        <v>393</v>
      </c>
      <c r="P3085" s="74"/>
      <c r="Q3085" s="74" t="s">
        <v>9872</v>
      </c>
    </row>
    <row r="3086" spans="3:17" x14ac:dyDescent="0.25">
      <c r="C3086" s="74" t="s">
        <v>9901</v>
      </c>
      <c r="D3086" s="74" t="s">
        <v>9902</v>
      </c>
      <c r="E3086" s="74" t="s">
        <v>391</v>
      </c>
      <c r="F3086" s="74">
        <v>0.1</v>
      </c>
      <c r="G3086" s="74"/>
      <c r="H3086" s="74"/>
      <c r="I3086" s="74" t="s">
        <v>391</v>
      </c>
      <c r="J3086" s="74"/>
      <c r="K3086" s="74">
        <v>102.4</v>
      </c>
      <c r="L3086" s="74">
        <v>92.16</v>
      </c>
      <c r="M3086" s="74"/>
      <c r="N3086" s="74" t="s">
        <v>392</v>
      </c>
      <c r="O3086" s="74" t="s">
        <v>393</v>
      </c>
      <c r="P3086" s="74"/>
      <c r="Q3086" s="74" t="s">
        <v>9903</v>
      </c>
    </row>
    <row r="3087" spans="3:17" x14ac:dyDescent="0.25">
      <c r="C3087" s="74" t="s">
        <v>9904</v>
      </c>
      <c r="D3087" s="74" t="s">
        <v>9905</v>
      </c>
      <c r="E3087" s="74" t="s">
        <v>391</v>
      </c>
      <c r="F3087" s="74">
        <v>0.1</v>
      </c>
      <c r="G3087" s="74"/>
      <c r="H3087" s="74"/>
      <c r="I3087" s="74" t="s">
        <v>391</v>
      </c>
      <c r="J3087" s="74"/>
      <c r="K3087" s="74">
        <v>102.4</v>
      </c>
      <c r="L3087" s="74">
        <v>92.16</v>
      </c>
      <c r="M3087" s="74"/>
      <c r="N3087" s="74" t="s">
        <v>392</v>
      </c>
      <c r="O3087" s="74" t="s">
        <v>393</v>
      </c>
      <c r="P3087" s="74"/>
      <c r="Q3087" s="74" t="s">
        <v>9906</v>
      </c>
    </row>
    <row r="3088" spans="3:17" x14ac:dyDescent="0.25">
      <c r="C3088" s="74" t="s">
        <v>9910</v>
      </c>
      <c r="D3088" s="74" t="s">
        <v>9911</v>
      </c>
      <c r="E3088" s="74"/>
      <c r="F3088" s="74">
        <v>0.1</v>
      </c>
      <c r="G3088" s="74"/>
      <c r="H3088" s="74"/>
      <c r="I3088" s="74" t="s">
        <v>391</v>
      </c>
      <c r="J3088" s="74"/>
      <c r="K3088" s="74">
        <v>102.4</v>
      </c>
      <c r="L3088" s="74">
        <v>92.16</v>
      </c>
      <c r="M3088" s="74"/>
      <c r="N3088" s="74" t="s">
        <v>392</v>
      </c>
      <c r="O3088" s="74" t="s">
        <v>402</v>
      </c>
      <c r="P3088" s="74" t="s">
        <v>9912</v>
      </c>
      <c r="Q3088" s="74" t="s">
        <v>9913</v>
      </c>
    </row>
    <row r="3089" spans="3:17" x14ac:dyDescent="0.25">
      <c r="C3089" s="74" t="s">
        <v>9926</v>
      </c>
      <c r="D3089" s="74" t="s">
        <v>9927</v>
      </c>
      <c r="E3089" s="74" t="s">
        <v>391</v>
      </c>
      <c r="F3089" s="74">
        <v>0.1</v>
      </c>
      <c r="G3089" s="74"/>
      <c r="H3089" s="74"/>
      <c r="I3089" s="74" t="s">
        <v>391</v>
      </c>
      <c r="J3089" s="74"/>
      <c r="K3089" s="74">
        <v>102.4</v>
      </c>
      <c r="L3089" s="74">
        <v>92.16</v>
      </c>
      <c r="M3089" s="74"/>
      <c r="N3089" s="74" t="s">
        <v>392</v>
      </c>
      <c r="O3089" s="74" t="s">
        <v>393</v>
      </c>
      <c r="P3089" s="74"/>
      <c r="Q3089" s="74" t="s">
        <v>9928</v>
      </c>
    </row>
    <row r="3090" spans="3:17" x14ac:dyDescent="0.25">
      <c r="C3090" s="74" t="s">
        <v>9937</v>
      </c>
      <c r="D3090" s="74" t="s">
        <v>9938</v>
      </c>
      <c r="E3090" s="74" t="s">
        <v>391</v>
      </c>
      <c r="F3090" s="74">
        <v>0.1</v>
      </c>
      <c r="G3090" s="74"/>
      <c r="H3090" s="74"/>
      <c r="I3090" s="74" t="s">
        <v>391</v>
      </c>
      <c r="J3090" s="74"/>
      <c r="K3090" s="74">
        <v>102.4</v>
      </c>
      <c r="L3090" s="74">
        <v>92.16</v>
      </c>
      <c r="M3090" s="74"/>
      <c r="N3090" s="74" t="s">
        <v>392</v>
      </c>
      <c r="O3090" s="74" t="s">
        <v>393</v>
      </c>
      <c r="P3090" s="74"/>
      <c r="Q3090" s="74" t="s">
        <v>9939</v>
      </c>
    </row>
    <row r="3091" spans="3:17" x14ac:dyDescent="0.25">
      <c r="C3091" s="74" t="s">
        <v>9940</v>
      </c>
      <c r="D3091" s="74" t="s">
        <v>9941</v>
      </c>
      <c r="E3091" s="74" t="s">
        <v>391</v>
      </c>
      <c r="F3091" s="74">
        <v>0.1</v>
      </c>
      <c r="G3091" s="74"/>
      <c r="H3091" s="74"/>
      <c r="I3091" s="74" t="s">
        <v>391</v>
      </c>
      <c r="J3091" s="74"/>
      <c r="K3091" s="74">
        <v>102.4</v>
      </c>
      <c r="L3091" s="74">
        <v>92.16</v>
      </c>
      <c r="M3091" s="74"/>
      <c r="N3091" s="74" t="s">
        <v>392</v>
      </c>
      <c r="O3091" s="74" t="s">
        <v>393</v>
      </c>
      <c r="P3091" s="74"/>
      <c r="Q3091" s="74" t="s">
        <v>9942</v>
      </c>
    </row>
    <row r="3092" spans="3:17" x14ac:dyDescent="0.25">
      <c r="C3092" s="74" t="s">
        <v>9951</v>
      </c>
      <c r="D3092" s="74" t="s">
        <v>9952</v>
      </c>
      <c r="E3092" s="74" t="s">
        <v>391</v>
      </c>
      <c r="F3092" s="74">
        <v>0.1</v>
      </c>
      <c r="G3092" s="74"/>
      <c r="H3092" s="74"/>
      <c r="I3092" s="74" t="s">
        <v>391</v>
      </c>
      <c r="J3092" s="74"/>
      <c r="K3092" s="74">
        <v>102.4</v>
      </c>
      <c r="L3092" s="74">
        <v>92.16</v>
      </c>
      <c r="M3092" s="74"/>
      <c r="N3092" s="74" t="s">
        <v>392</v>
      </c>
      <c r="O3092" s="74" t="s">
        <v>393</v>
      </c>
      <c r="P3092" s="74"/>
      <c r="Q3092" s="74" t="s">
        <v>9953</v>
      </c>
    </row>
    <row r="3093" spans="3:17" x14ac:dyDescent="0.25">
      <c r="C3093" s="74" t="s">
        <v>9954</v>
      </c>
      <c r="D3093" s="74" t="s">
        <v>9955</v>
      </c>
      <c r="E3093" s="74" t="s">
        <v>391</v>
      </c>
      <c r="F3093" s="74">
        <v>0.1</v>
      </c>
      <c r="G3093" s="74"/>
      <c r="H3093" s="74"/>
      <c r="I3093" s="74" t="s">
        <v>391</v>
      </c>
      <c r="J3093" s="74"/>
      <c r="K3093" s="74">
        <v>102.4</v>
      </c>
      <c r="L3093" s="74">
        <v>92.16</v>
      </c>
      <c r="M3093" s="74"/>
      <c r="N3093" s="74" t="s">
        <v>392</v>
      </c>
      <c r="O3093" s="74" t="s">
        <v>393</v>
      </c>
      <c r="P3093" s="74"/>
      <c r="Q3093" s="74" t="s">
        <v>9956</v>
      </c>
    </row>
    <row r="3094" spans="3:17" x14ac:dyDescent="0.25">
      <c r="C3094" s="74" t="s">
        <v>9961</v>
      </c>
      <c r="D3094" s="74" t="s">
        <v>9962</v>
      </c>
      <c r="E3094" s="74" t="s">
        <v>391</v>
      </c>
      <c r="F3094" s="74">
        <v>0.1</v>
      </c>
      <c r="G3094" s="74"/>
      <c r="H3094" s="74"/>
      <c r="I3094" s="74" t="s">
        <v>391</v>
      </c>
      <c r="J3094" s="74"/>
      <c r="K3094" s="74">
        <v>102.4</v>
      </c>
      <c r="L3094" s="74">
        <v>92.16</v>
      </c>
      <c r="M3094" s="74"/>
      <c r="N3094" s="74" t="s">
        <v>392</v>
      </c>
      <c r="O3094" s="74" t="s">
        <v>393</v>
      </c>
      <c r="P3094" s="74"/>
      <c r="Q3094" s="74" t="s">
        <v>9963</v>
      </c>
    </row>
    <row r="3095" spans="3:17" x14ac:dyDescent="0.25">
      <c r="C3095" s="74" t="s">
        <v>9964</v>
      </c>
      <c r="D3095" s="74" t="s">
        <v>9965</v>
      </c>
      <c r="E3095" s="74" t="s">
        <v>391</v>
      </c>
      <c r="F3095" s="74">
        <v>0.1</v>
      </c>
      <c r="G3095" s="74"/>
      <c r="H3095" s="74"/>
      <c r="I3095" s="74" t="s">
        <v>391</v>
      </c>
      <c r="J3095" s="74"/>
      <c r="K3095" s="74">
        <v>102.4</v>
      </c>
      <c r="L3095" s="74">
        <v>92.16</v>
      </c>
      <c r="M3095" s="74"/>
      <c r="N3095" s="74" t="s">
        <v>392</v>
      </c>
      <c r="O3095" s="74" t="s">
        <v>393</v>
      </c>
      <c r="P3095" s="74"/>
      <c r="Q3095" s="74" t="s">
        <v>9966</v>
      </c>
    </row>
    <row r="3096" spans="3:17" x14ac:dyDescent="0.25">
      <c r="C3096" s="74" t="s">
        <v>9971</v>
      </c>
      <c r="D3096" s="74" t="s">
        <v>9972</v>
      </c>
      <c r="E3096" s="74" t="s">
        <v>391</v>
      </c>
      <c r="F3096" s="74">
        <v>0.1</v>
      </c>
      <c r="G3096" s="74"/>
      <c r="H3096" s="74"/>
      <c r="I3096" s="74" t="s">
        <v>391</v>
      </c>
      <c r="J3096" s="74"/>
      <c r="K3096" s="74">
        <v>102.4</v>
      </c>
      <c r="L3096" s="74">
        <v>92.16</v>
      </c>
      <c r="M3096" s="74"/>
      <c r="N3096" s="74" t="s">
        <v>392</v>
      </c>
      <c r="O3096" s="74" t="s">
        <v>393</v>
      </c>
      <c r="P3096" s="74"/>
      <c r="Q3096" s="74" t="s">
        <v>9973</v>
      </c>
    </row>
    <row r="3097" spans="3:17" x14ac:dyDescent="0.25">
      <c r="C3097" s="74" t="s">
        <v>9978</v>
      </c>
      <c r="D3097" s="74" t="s">
        <v>9979</v>
      </c>
      <c r="E3097" s="74" t="s">
        <v>391</v>
      </c>
      <c r="F3097" s="74">
        <v>0.1</v>
      </c>
      <c r="G3097" s="74"/>
      <c r="H3097" s="74"/>
      <c r="I3097" s="74" t="s">
        <v>391</v>
      </c>
      <c r="J3097" s="74"/>
      <c r="K3097" s="74">
        <v>102.4</v>
      </c>
      <c r="L3097" s="74">
        <v>92.16</v>
      </c>
      <c r="M3097" s="74"/>
      <c r="N3097" s="74" t="s">
        <v>392</v>
      </c>
      <c r="O3097" s="74" t="s">
        <v>393</v>
      </c>
      <c r="P3097" s="74"/>
      <c r="Q3097" s="74" t="s">
        <v>9980</v>
      </c>
    </row>
    <row r="3098" spans="3:17" x14ac:dyDescent="0.25">
      <c r="C3098" s="74" t="s">
        <v>9989</v>
      </c>
      <c r="D3098" s="74" t="s">
        <v>9990</v>
      </c>
      <c r="E3098" s="74" t="s">
        <v>391</v>
      </c>
      <c r="F3098" s="74">
        <v>0.1</v>
      </c>
      <c r="G3098" s="74"/>
      <c r="H3098" s="74"/>
      <c r="I3098" s="74" t="s">
        <v>391</v>
      </c>
      <c r="J3098" s="74"/>
      <c r="K3098" s="74">
        <v>102.4</v>
      </c>
      <c r="L3098" s="74">
        <v>92.16</v>
      </c>
      <c r="M3098" s="74"/>
      <c r="N3098" s="74" t="s">
        <v>392</v>
      </c>
      <c r="O3098" s="74" t="s">
        <v>393</v>
      </c>
      <c r="P3098" s="74"/>
      <c r="Q3098" s="74" t="s">
        <v>9991</v>
      </c>
    </row>
    <row r="3099" spans="3:17" x14ac:dyDescent="0.25">
      <c r="C3099" s="74" t="s">
        <v>9992</v>
      </c>
      <c r="D3099" s="74" t="s">
        <v>9993</v>
      </c>
      <c r="E3099" s="74" t="s">
        <v>391</v>
      </c>
      <c r="F3099" s="74">
        <v>0.1</v>
      </c>
      <c r="G3099" s="74"/>
      <c r="H3099" s="74"/>
      <c r="I3099" s="74" t="s">
        <v>391</v>
      </c>
      <c r="J3099" s="74"/>
      <c r="K3099" s="74">
        <v>102.4</v>
      </c>
      <c r="L3099" s="74">
        <v>92.16</v>
      </c>
      <c r="M3099" s="74"/>
      <c r="N3099" s="74" t="s">
        <v>392</v>
      </c>
      <c r="O3099" s="74" t="s">
        <v>393</v>
      </c>
      <c r="P3099" s="74"/>
      <c r="Q3099" s="74" t="s">
        <v>9994</v>
      </c>
    </row>
    <row r="3100" spans="3:17" x14ac:dyDescent="0.25">
      <c r="C3100" s="74" t="s">
        <v>10003</v>
      </c>
      <c r="D3100" s="74" t="s">
        <v>10004</v>
      </c>
      <c r="E3100" s="74" t="s">
        <v>391</v>
      </c>
      <c r="F3100" s="74">
        <v>0.1</v>
      </c>
      <c r="G3100" s="74"/>
      <c r="H3100" s="74"/>
      <c r="I3100" s="74" t="s">
        <v>391</v>
      </c>
      <c r="J3100" s="74"/>
      <c r="K3100" s="74">
        <v>102.4</v>
      </c>
      <c r="L3100" s="74">
        <v>92.16</v>
      </c>
      <c r="M3100" s="74"/>
      <c r="N3100" s="74" t="s">
        <v>392</v>
      </c>
      <c r="O3100" s="74" t="s">
        <v>393</v>
      </c>
      <c r="P3100" s="74"/>
      <c r="Q3100" s="74" t="s">
        <v>10005</v>
      </c>
    </row>
    <row r="3101" spans="3:17" x14ac:dyDescent="0.25">
      <c r="C3101" s="74" t="s">
        <v>10013</v>
      </c>
      <c r="D3101" s="74" t="s">
        <v>10014</v>
      </c>
      <c r="E3101" s="74" t="s">
        <v>391</v>
      </c>
      <c r="F3101" s="74">
        <v>0.1</v>
      </c>
      <c r="G3101" s="74"/>
      <c r="H3101" s="74"/>
      <c r="I3101" s="74" t="s">
        <v>391</v>
      </c>
      <c r="J3101" s="74"/>
      <c r="K3101" s="74">
        <v>102.4</v>
      </c>
      <c r="L3101" s="74">
        <v>92.16</v>
      </c>
      <c r="M3101" s="74"/>
      <c r="N3101" s="74" t="s">
        <v>392</v>
      </c>
      <c r="O3101" s="74" t="s">
        <v>393</v>
      </c>
      <c r="P3101" s="74"/>
      <c r="Q3101" s="74" t="s">
        <v>10015</v>
      </c>
    </row>
    <row r="3102" spans="3:17" x14ac:dyDescent="0.25">
      <c r="C3102" s="74" t="s">
        <v>10023</v>
      </c>
      <c r="D3102" s="74" t="s">
        <v>10024</v>
      </c>
      <c r="E3102" s="74" t="s">
        <v>391</v>
      </c>
      <c r="F3102" s="74">
        <v>0.1</v>
      </c>
      <c r="G3102" s="74"/>
      <c r="H3102" s="74"/>
      <c r="I3102" s="74" t="s">
        <v>391</v>
      </c>
      <c r="J3102" s="74"/>
      <c r="K3102" s="74">
        <v>102.4</v>
      </c>
      <c r="L3102" s="74">
        <v>92.16</v>
      </c>
      <c r="M3102" s="74"/>
      <c r="N3102" s="74" t="s">
        <v>392</v>
      </c>
      <c r="O3102" s="74" t="s">
        <v>393</v>
      </c>
      <c r="P3102" s="74"/>
      <c r="Q3102" s="74" t="s">
        <v>10025</v>
      </c>
    </row>
    <row r="3103" spans="3:17" x14ac:dyDescent="0.25">
      <c r="C3103" s="74" t="s">
        <v>10030</v>
      </c>
      <c r="D3103" s="74" t="s">
        <v>10031</v>
      </c>
      <c r="E3103" s="74" t="s">
        <v>391</v>
      </c>
      <c r="F3103" s="74">
        <v>0.1</v>
      </c>
      <c r="G3103" s="74"/>
      <c r="H3103" s="74"/>
      <c r="I3103" s="74" t="s">
        <v>391</v>
      </c>
      <c r="J3103" s="74"/>
      <c r="K3103" s="74">
        <v>102.4</v>
      </c>
      <c r="L3103" s="74">
        <v>92.16</v>
      </c>
      <c r="M3103" s="74"/>
      <c r="N3103" s="74" t="s">
        <v>392</v>
      </c>
      <c r="O3103" s="74" t="s">
        <v>393</v>
      </c>
      <c r="P3103" s="74"/>
      <c r="Q3103" s="74" t="s">
        <v>10032</v>
      </c>
    </row>
    <row r="3104" spans="3:17" x14ac:dyDescent="0.25">
      <c r="C3104" s="74" t="s">
        <v>10053</v>
      </c>
      <c r="D3104" s="74" t="s">
        <v>10054</v>
      </c>
      <c r="E3104" s="74" t="s">
        <v>391</v>
      </c>
      <c r="F3104" s="74">
        <v>0.1</v>
      </c>
      <c r="G3104" s="74"/>
      <c r="H3104" s="74"/>
      <c r="I3104" s="74" t="s">
        <v>391</v>
      </c>
      <c r="J3104" s="74"/>
      <c r="K3104" s="74">
        <v>102.4</v>
      </c>
      <c r="L3104" s="74">
        <v>92.16</v>
      </c>
      <c r="M3104" s="74"/>
      <c r="N3104" s="74" t="s">
        <v>392</v>
      </c>
      <c r="O3104" s="74" t="s">
        <v>393</v>
      </c>
      <c r="P3104" s="74"/>
      <c r="Q3104" s="74" t="s">
        <v>10055</v>
      </c>
    </row>
    <row r="3105" spans="3:17" x14ac:dyDescent="0.25">
      <c r="C3105" s="74" t="s">
        <v>10059</v>
      </c>
      <c r="D3105" s="74" t="s">
        <v>10060</v>
      </c>
      <c r="E3105" s="74" t="s">
        <v>391</v>
      </c>
      <c r="F3105" s="74">
        <v>0.1</v>
      </c>
      <c r="G3105" s="74"/>
      <c r="H3105" s="74"/>
      <c r="I3105" s="74" t="s">
        <v>391</v>
      </c>
      <c r="J3105" s="74"/>
      <c r="K3105" s="74">
        <v>102.4</v>
      </c>
      <c r="L3105" s="74">
        <v>92.16</v>
      </c>
      <c r="M3105" s="74"/>
      <c r="N3105" s="74" t="s">
        <v>392</v>
      </c>
      <c r="O3105" s="74" t="s">
        <v>393</v>
      </c>
      <c r="P3105" s="74"/>
      <c r="Q3105" s="74" t="s">
        <v>10061</v>
      </c>
    </row>
    <row r="3106" spans="3:17" x14ac:dyDescent="0.25">
      <c r="C3106" s="74" t="s">
        <v>10074</v>
      </c>
      <c r="D3106" s="74" t="s">
        <v>10075</v>
      </c>
      <c r="E3106" s="74" t="s">
        <v>391</v>
      </c>
      <c r="F3106" s="74">
        <v>0.1</v>
      </c>
      <c r="G3106" s="74"/>
      <c r="H3106" s="74"/>
      <c r="I3106" s="74" t="s">
        <v>391</v>
      </c>
      <c r="J3106" s="74"/>
      <c r="K3106" s="74">
        <v>102.4</v>
      </c>
      <c r="L3106" s="74">
        <v>92.16</v>
      </c>
      <c r="M3106" s="74"/>
      <c r="N3106" s="74" t="s">
        <v>392</v>
      </c>
      <c r="O3106" s="74" t="s">
        <v>393</v>
      </c>
      <c r="P3106" s="74"/>
      <c r="Q3106" s="74" t="s">
        <v>10076</v>
      </c>
    </row>
    <row r="3107" spans="3:17" x14ac:dyDescent="0.25">
      <c r="C3107" s="74" t="s">
        <v>10093</v>
      </c>
      <c r="D3107" s="74" t="s">
        <v>10094</v>
      </c>
      <c r="E3107" s="74" t="s">
        <v>391</v>
      </c>
      <c r="F3107" s="74">
        <v>0.1</v>
      </c>
      <c r="G3107" s="74"/>
      <c r="H3107" s="74"/>
      <c r="I3107" s="74" t="s">
        <v>391</v>
      </c>
      <c r="J3107" s="74"/>
      <c r="K3107" s="74">
        <v>102.4</v>
      </c>
      <c r="L3107" s="74">
        <v>92.16</v>
      </c>
      <c r="M3107" s="74"/>
      <c r="N3107" s="74" t="s">
        <v>392</v>
      </c>
      <c r="O3107" s="74" t="s">
        <v>393</v>
      </c>
      <c r="P3107" s="74"/>
      <c r="Q3107" s="74" t="s">
        <v>10095</v>
      </c>
    </row>
    <row r="3108" spans="3:17" x14ac:dyDescent="0.25">
      <c r="C3108" s="74" t="s">
        <v>10100</v>
      </c>
      <c r="D3108" s="74" t="s">
        <v>10101</v>
      </c>
      <c r="E3108" s="74" t="s">
        <v>391</v>
      </c>
      <c r="F3108" s="74">
        <v>0.1</v>
      </c>
      <c r="G3108" s="74"/>
      <c r="H3108" s="74"/>
      <c r="I3108" s="74" t="s">
        <v>391</v>
      </c>
      <c r="J3108" s="74"/>
      <c r="K3108" s="74">
        <v>102.4</v>
      </c>
      <c r="L3108" s="74">
        <v>92.16</v>
      </c>
      <c r="M3108" s="74"/>
      <c r="N3108" s="74" t="s">
        <v>392</v>
      </c>
      <c r="O3108" s="74" t="s">
        <v>393</v>
      </c>
      <c r="P3108" s="74"/>
      <c r="Q3108" s="74" t="s">
        <v>10102</v>
      </c>
    </row>
    <row r="3109" spans="3:17" x14ac:dyDescent="0.25">
      <c r="C3109" s="74" t="s">
        <v>10111</v>
      </c>
      <c r="D3109" s="74" t="s">
        <v>10112</v>
      </c>
      <c r="E3109" s="74" t="s">
        <v>391</v>
      </c>
      <c r="F3109" s="74">
        <v>0.1</v>
      </c>
      <c r="G3109" s="74"/>
      <c r="H3109" s="74"/>
      <c r="I3109" s="74" t="s">
        <v>391</v>
      </c>
      <c r="J3109" s="74"/>
      <c r="K3109" s="74">
        <v>102.4</v>
      </c>
      <c r="L3109" s="74">
        <v>92.16</v>
      </c>
      <c r="M3109" s="74"/>
      <c r="N3109" s="74" t="s">
        <v>392</v>
      </c>
      <c r="O3109" s="74" t="s">
        <v>393</v>
      </c>
      <c r="P3109" s="74"/>
      <c r="Q3109" s="74" t="s">
        <v>10113</v>
      </c>
    </row>
    <row r="3110" spans="3:17" x14ac:dyDescent="0.25">
      <c r="C3110" s="74" t="s">
        <v>10136</v>
      </c>
      <c r="D3110" s="74" t="s">
        <v>10137</v>
      </c>
      <c r="E3110" s="74" t="s">
        <v>391</v>
      </c>
      <c r="F3110" s="74">
        <v>0.1</v>
      </c>
      <c r="G3110" s="74"/>
      <c r="H3110" s="74"/>
      <c r="I3110" s="74" t="s">
        <v>391</v>
      </c>
      <c r="J3110" s="74"/>
      <c r="K3110" s="74">
        <v>102.4</v>
      </c>
      <c r="L3110" s="74">
        <v>92.16</v>
      </c>
      <c r="M3110" s="74"/>
      <c r="N3110" s="74" t="s">
        <v>392</v>
      </c>
      <c r="O3110" s="74" t="s">
        <v>393</v>
      </c>
      <c r="P3110" s="74"/>
      <c r="Q3110" s="74" t="s">
        <v>10138</v>
      </c>
    </row>
    <row r="3111" spans="3:17" x14ac:dyDescent="0.25">
      <c r="C3111" s="74" t="s">
        <v>10142</v>
      </c>
      <c r="D3111" s="74" t="s">
        <v>10143</v>
      </c>
      <c r="E3111" s="74" t="s">
        <v>391</v>
      </c>
      <c r="F3111" s="74">
        <v>0.1</v>
      </c>
      <c r="G3111" s="74"/>
      <c r="H3111" s="74"/>
      <c r="I3111" s="74" t="s">
        <v>391</v>
      </c>
      <c r="J3111" s="74"/>
      <c r="K3111" s="74">
        <v>102.4</v>
      </c>
      <c r="L3111" s="74">
        <v>92.16</v>
      </c>
      <c r="M3111" s="74"/>
      <c r="N3111" s="74" t="s">
        <v>392</v>
      </c>
      <c r="O3111" s="74" t="s">
        <v>393</v>
      </c>
      <c r="P3111" s="74"/>
      <c r="Q3111" s="74" t="s">
        <v>10144</v>
      </c>
    </row>
    <row r="3112" spans="3:17" x14ac:dyDescent="0.25">
      <c r="C3112" s="74" t="s">
        <v>10148</v>
      </c>
      <c r="D3112" s="74" t="s">
        <v>10149</v>
      </c>
      <c r="E3112" s="74" t="s">
        <v>391</v>
      </c>
      <c r="F3112" s="74">
        <v>0.1</v>
      </c>
      <c r="G3112" s="74"/>
      <c r="H3112" s="74"/>
      <c r="I3112" s="74" t="s">
        <v>391</v>
      </c>
      <c r="J3112" s="74"/>
      <c r="K3112" s="74">
        <v>102.4</v>
      </c>
      <c r="L3112" s="74">
        <v>92.16</v>
      </c>
      <c r="M3112" s="74"/>
      <c r="N3112" s="74" t="s">
        <v>392</v>
      </c>
      <c r="O3112" s="74" t="s">
        <v>393</v>
      </c>
      <c r="P3112" s="74"/>
      <c r="Q3112" s="74" t="s">
        <v>10149</v>
      </c>
    </row>
    <row r="3113" spans="3:17" x14ac:dyDescent="0.25">
      <c r="C3113" s="74" t="s">
        <v>10170</v>
      </c>
      <c r="D3113" s="74" t="s">
        <v>10171</v>
      </c>
      <c r="E3113" s="74" t="s">
        <v>391</v>
      </c>
      <c r="F3113" s="74">
        <v>0.1</v>
      </c>
      <c r="G3113" s="74"/>
      <c r="H3113" s="74"/>
      <c r="I3113" s="74" t="s">
        <v>391</v>
      </c>
      <c r="J3113" s="74"/>
      <c r="K3113" s="74">
        <v>102.4</v>
      </c>
      <c r="L3113" s="74">
        <v>92.16</v>
      </c>
      <c r="M3113" s="74"/>
      <c r="N3113" s="74" t="s">
        <v>392</v>
      </c>
      <c r="O3113" s="74" t="s">
        <v>393</v>
      </c>
      <c r="P3113" s="74"/>
      <c r="Q3113" s="74" t="s">
        <v>10172</v>
      </c>
    </row>
    <row r="3114" spans="3:17" x14ac:dyDescent="0.25">
      <c r="C3114" s="74" t="s">
        <v>10226</v>
      </c>
      <c r="D3114" s="74" t="s">
        <v>10227</v>
      </c>
      <c r="E3114" s="74" t="s">
        <v>391</v>
      </c>
      <c r="F3114" s="74">
        <v>0.1</v>
      </c>
      <c r="G3114" s="74"/>
      <c r="H3114" s="74"/>
      <c r="I3114" s="74" t="s">
        <v>391</v>
      </c>
      <c r="J3114" s="74"/>
      <c r="K3114" s="74">
        <v>102.4</v>
      </c>
      <c r="L3114" s="74">
        <v>92.16</v>
      </c>
      <c r="M3114" s="74"/>
      <c r="N3114" s="74" t="s">
        <v>392</v>
      </c>
      <c r="O3114" s="74" t="s">
        <v>393</v>
      </c>
      <c r="P3114" s="74"/>
      <c r="Q3114" s="74" t="s">
        <v>10228</v>
      </c>
    </row>
    <row r="3115" spans="3:17" x14ac:dyDescent="0.25">
      <c r="C3115" s="74" t="s">
        <v>10233</v>
      </c>
      <c r="D3115" s="74" t="s">
        <v>10234</v>
      </c>
      <c r="E3115" s="74" t="s">
        <v>391</v>
      </c>
      <c r="F3115" s="74">
        <v>0.1</v>
      </c>
      <c r="G3115" s="74"/>
      <c r="H3115" s="74"/>
      <c r="I3115" s="74" t="s">
        <v>391</v>
      </c>
      <c r="J3115" s="74"/>
      <c r="K3115" s="74">
        <v>102.4</v>
      </c>
      <c r="L3115" s="74">
        <v>92.16</v>
      </c>
      <c r="M3115" s="74"/>
      <c r="N3115" s="74" t="s">
        <v>392</v>
      </c>
      <c r="O3115" s="74" t="s">
        <v>393</v>
      </c>
      <c r="P3115" s="74"/>
      <c r="Q3115" s="74" t="s">
        <v>10234</v>
      </c>
    </row>
    <row r="3116" spans="3:17" x14ac:dyDescent="0.25">
      <c r="C3116" s="74" t="s">
        <v>10250</v>
      </c>
      <c r="D3116" s="74" t="s">
        <v>10251</v>
      </c>
      <c r="E3116" s="74" t="s">
        <v>391</v>
      </c>
      <c r="F3116" s="74">
        <v>0.1</v>
      </c>
      <c r="G3116" s="74"/>
      <c r="H3116" s="74"/>
      <c r="I3116" s="74" t="s">
        <v>391</v>
      </c>
      <c r="J3116" s="74"/>
      <c r="K3116" s="74">
        <v>102.4</v>
      </c>
      <c r="L3116" s="74">
        <v>92.16</v>
      </c>
      <c r="M3116" s="74"/>
      <c r="N3116" s="74" t="s">
        <v>392</v>
      </c>
      <c r="O3116" s="74" t="s">
        <v>393</v>
      </c>
      <c r="P3116" s="74"/>
      <c r="Q3116" s="74" t="s">
        <v>10252</v>
      </c>
    </row>
    <row r="3117" spans="3:17" x14ac:dyDescent="0.25">
      <c r="C3117" s="74" t="s">
        <v>10256</v>
      </c>
      <c r="D3117" s="74" t="s">
        <v>10257</v>
      </c>
      <c r="E3117" s="74" t="s">
        <v>391</v>
      </c>
      <c r="F3117" s="74">
        <v>0.1</v>
      </c>
      <c r="G3117" s="74"/>
      <c r="H3117" s="74"/>
      <c r="I3117" s="74" t="s">
        <v>391</v>
      </c>
      <c r="J3117" s="74"/>
      <c r="K3117" s="74">
        <v>102.4</v>
      </c>
      <c r="L3117" s="74">
        <v>92.16</v>
      </c>
      <c r="M3117" s="74"/>
      <c r="N3117" s="74" t="s">
        <v>392</v>
      </c>
      <c r="O3117" s="74" t="s">
        <v>393</v>
      </c>
      <c r="P3117" s="74"/>
      <c r="Q3117" s="74" t="s">
        <v>10258</v>
      </c>
    </row>
    <row r="3118" spans="3:17" x14ac:dyDescent="0.25">
      <c r="C3118" s="74" t="s">
        <v>10263</v>
      </c>
      <c r="D3118" s="74" t="s">
        <v>10264</v>
      </c>
      <c r="E3118" s="74" t="s">
        <v>391</v>
      </c>
      <c r="F3118" s="74">
        <v>0.1</v>
      </c>
      <c r="G3118" s="74"/>
      <c r="H3118" s="74"/>
      <c r="I3118" s="74" t="s">
        <v>391</v>
      </c>
      <c r="J3118" s="74"/>
      <c r="K3118" s="74">
        <v>102.4</v>
      </c>
      <c r="L3118" s="74">
        <v>92.16</v>
      </c>
      <c r="M3118" s="74"/>
      <c r="N3118" s="74" t="s">
        <v>392</v>
      </c>
      <c r="O3118" s="74" t="s">
        <v>393</v>
      </c>
      <c r="P3118" s="74"/>
      <c r="Q3118" s="74" t="s">
        <v>10265</v>
      </c>
    </row>
    <row r="3119" spans="3:17" x14ac:dyDescent="0.25">
      <c r="C3119" s="74" t="s">
        <v>10266</v>
      </c>
      <c r="D3119" s="74" t="s">
        <v>10267</v>
      </c>
      <c r="E3119" s="74" t="s">
        <v>391</v>
      </c>
      <c r="F3119" s="74">
        <v>0.1</v>
      </c>
      <c r="G3119" s="74"/>
      <c r="H3119" s="74"/>
      <c r="I3119" s="74" t="s">
        <v>391</v>
      </c>
      <c r="J3119" s="74"/>
      <c r="K3119" s="74">
        <v>102.4</v>
      </c>
      <c r="L3119" s="74">
        <v>92.16</v>
      </c>
      <c r="M3119" s="74"/>
      <c r="N3119" s="74" t="s">
        <v>392</v>
      </c>
      <c r="O3119" s="74" t="s">
        <v>393</v>
      </c>
      <c r="P3119" s="74"/>
      <c r="Q3119" s="74" t="s">
        <v>10267</v>
      </c>
    </row>
    <row r="3120" spans="3:17" x14ac:dyDescent="0.25">
      <c r="C3120" s="74" t="s">
        <v>10280</v>
      </c>
      <c r="D3120" s="74" t="s">
        <v>10281</v>
      </c>
      <c r="E3120" s="74" t="s">
        <v>391</v>
      </c>
      <c r="F3120" s="74">
        <v>0.1</v>
      </c>
      <c r="G3120" s="74"/>
      <c r="H3120" s="74"/>
      <c r="I3120" s="74" t="s">
        <v>391</v>
      </c>
      <c r="J3120" s="74"/>
      <c r="K3120" s="74">
        <v>102.4</v>
      </c>
      <c r="L3120" s="74">
        <v>92.16</v>
      </c>
      <c r="M3120" s="74"/>
      <c r="N3120" s="74" t="s">
        <v>392</v>
      </c>
      <c r="O3120" s="74" t="s">
        <v>393</v>
      </c>
      <c r="P3120" s="74"/>
      <c r="Q3120" s="74" t="s">
        <v>10282</v>
      </c>
    </row>
    <row r="3121" spans="3:17" x14ac:dyDescent="0.25">
      <c r="C3121" s="74" t="s">
        <v>10298</v>
      </c>
      <c r="D3121" s="74" t="s">
        <v>10299</v>
      </c>
      <c r="E3121" s="74" t="s">
        <v>391</v>
      </c>
      <c r="F3121" s="74">
        <v>0.1</v>
      </c>
      <c r="G3121" s="74"/>
      <c r="H3121" s="74"/>
      <c r="I3121" s="74" t="s">
        <v>391</v>
      </c>
      <c r="J3121" s="74"/>
      <c r="K3121" s="74">
        <v>102.4</v>
      </c>
      <c r="L3121" s="74">
        <v>92.16</v>
      </c>
      <c r="M3121" s="74"/>
      <c r="N3121" s="74" t="s">
        <v>392</v>
      </c>
      <c r="O3121" s="74" t="s">
        <v>393</v>
      </c>
      <c r="P3121" s="74"/>
      <c r="Q3121" s="74" t="s">
        <v>10300</v>
      </c>
    </row>
    <row r="3122" spans="3:17" x14ac:dyDescent="0.25">
      <c r="C3122" s="74" t="s">
        <v>10309</v>
      </c>
      <c r="D3122" s="74" t="s">
        <v>10310</v>
      </c>
      <c r="E3122" s="74" t="s">
        <v>391</v>
      </c>
      <c r="F3122" s="74">
        <v>0.1</v>
      </c>
      <c r="G3122" s="74"/>
      <c r="H3122" s="74"/>
      <c r="I3122" s="74" t="s">
        <v>391</v>
      </c>
      <c r="J3122" s="74"/>
      <c r="K3122" s="74">
        <v>102.4</v>
      </c>
      <c r="L3122" s="74">
        <v>92.16</v>
      </c>
      <c r="M3122" s="74"/>
      <c r="N3122" s="74" t="s">
        <v>392</v>
      </c>
      <c r="O3122" s="74" t="s">
        <v>393</v>
      </c>
      <c r="P3122" s="74"/>
      <c r="Q3122" s="74" t="s">
        <v>10311</v>
      </c>
    </row>
    <row r="3123" spans="3:17" x14ac:dyDescent="0.25">
      <c r="C3123" s="74" t="s">
        <v>10316</v>
      </c>
      <c r="D3123" s="74" t="s">
        <v>10317</v>
      </c>
      <c r="E3123" s="74" t="s">
        <v>391</v>
      </c>
      <c r="F3123" s="74">
        <v>0.1</v>
      </c>
      <c r="G3123" s="74"/>
      <c r="H3123" s="74"/>
      <c r="I3123" s="74" t="s">
        <v>391</v>
      </c>
      <c r="J3123" s="74"/>
      <c r="K3123" s="74">
        <v>102.4</v>
      </c>
      <c r="L3123" s="74">
        <v>92.16</v>
      </c>
      <c r="M3123" s="74"/>
      <c r="N3123" s="74" t="s">
        <v>392</v>
      </c>
      <c r="O3123" s="74" t="s">
        <v>393</v>
      </c>
      <c r="P3123" s="74"/>
      <c r="Q3123" s="74" t="s">
        <v>10318</v>
      </c>
    </row>
    <row r="3124" spans="3:17" x14ac:dyDescent="0.25">
      <c r="C3124" s="74" t="s">
        <v>10346</v>
      </c>
      <c r="D3124" s="74" t="s">
        <v>10347</v>
      </c>
      <c r="E3124" s="74" t="s">
        <v>391</v>
      </c>
      <c r="F3124" s="74">
        <v>0.1</v>
      </c>
      <c r="G3124" s="74"/>
      <c r="H3124" s="74"/>
      <c r="I3124" s="74" t="s">
        <v>391</v>
      </c>
      <c r="J3124" s="74"/>
      <c r="K3124" s="74">
        <v>102.4</v>
      </c>
      <c r="L3124" s="74">
        <v>92.16</v>
      </c>
      <c r="M3124" s="74"/>
      <c r="N3124" s="74" t="s">
        <v>392</v>
      </c>
      <c r="O3124" s="74" t="s">
        <v>393</v>
      </c>
      <c r="P3124" s="74" t="s">
        <v>10348</v>
      </c>
      <c r="Q3124" s="74" t="s">
        <v>10349</v>
      </c>
    </row>
    <row r="3125" spans="3:17" x14ac:dyDescent="0.25">
      <c r="C3125" s="74" t="s">
        <v>10366</v>
      </c>
      <c r="D3125" s="74" t="s">
        <v>10367</v>
      </c>
      <c r="E3125" s="74" t="s">
        <v>391</v>
      </c>
      <c r="F3125" s="74">
        <v>0.1</v>
      </c>
      <c r="G3125" s="74"/>
      <c r="H3125" s="74"/>
      <c r="I3125" s="74" t="s">
        <v>391</v>
      </c>
      <c r="J3125" s="74"/>
      <c r="K3125" s="74">
        <v>102.4</v>
      </c>
      <c r="L3125" s="74">
        <v>92.16</v>
      </c>
      <c r="M3125" s="74"/>
      <c r="N3125" s="74" t="s">
        <v>392</v>
      </c>
      <c r="O3125" s="74" t="s">
        <v>393</v>
      </c>
      <c r="P3125" s="74"/>
      <c r="Q3125" s="74" t="s">
        <v>10368</v>
      </c>
    </row>
    <row r="3126" spans="3:17" x14ac:dyDescent="0.25">
      <c r="C3126" s="74" t="s">
        <v>10376</v>
      </c>
      <c r="D3126" s="74" t="s">
        <v>10377</v>
      </c>
      <c r="E3126" s="74" t="s">
        <v>391</v>
      </c>
      <c r="F3126" s="74">
        <v>0.1</v>
      </c>
      <c r="G3126" s="74"/>
      <c r="H3126" s="74"/>
      <c r="I3126" s="74" t="s">
        <v>391</v>
      </c>
      <c r="J3126" s="74"/>
      <c r="K3126" s="74">
        <v>102.4</v>
      </c>
      <c r="L3126" s="74">
        <v>92.16</v>
      </c>
      <c r="M3126" s="74"/>
      <c r="N3126" s="74" t="s">
        <v>392</v>
      </c>
      <c r="O3126" s="74" t="s">
        <v>393</v>
      </c>
      <c r="P3126" s="74"/>
      <c r="Q3126" s="74" t="s">
        <v>10378</v>
      </c>
    </row>
    <row r="3127" spans="3:17" x14ac:dyDescent="0.25">
      <c r="C3127" s="74" t="s">
        <v>10379</v>
      </c>
      <c r="D3127" s="74" t="s">
        <v>10380</v>
      </c>
      <c r="E3127" s="74" t="s">
        <v>391</v>
      </c>
      <c r="F3127" s="74">
        <v>0.1</v>
      </c>
      <c r="G3127" s="74"/>
      <c r="H3127" s="74"/>
      <c r="I3127" s="74" t="s">
        <v>391</v>
      </c>
      <c r="J3127" s="74"/>
      <c r="K3127" s="74">
        <v>102.4</v>
      </c>
      <c r="L3127" s="74">
        <v>92.16</v>
      </c>
      <c r="M3127" s="74"/>
      <c r="N3127" s="74" t="s">
        <v>392</v>
      </c>
      <c r="O3127" s="74" t="s">
        <v>393</v>
      </c>
      <c r="P3127" s="74"/>
      <c r="Q3127" s="74" t="s">
        <v>10381</v>
      </c>
    </row>
    <row r="3128" spans="3:17" x14ac:dyDescent="0.25">
      <c r="C3128" s="74" t="s">
        <v>10385</v>
      </c>
      <c r="D3128" s="74" t="s">
        <v>10386</v>
      </c>
      <c r="E3128" s="74" t="s">
        <v>391</v>
      </c>
      <c r="F3128" s="74">
        <v>0.1</v>
      </c>
      <c r="G3128" s="74"/>
      <c r="H3128" s="74"/>
      <c r="I3128" s="74" t="s">
        <v>391</v>
      </c>
      <c r="J3128" s="74"/>
      <c r="K3128" s="74">
        <v>102.4</v>
      </c>
      <c r="L3128" s="74">
        <v>92.16</v>
      </c>
      <c r="M3128" s="74"/>
      <c r="N3128" s="74" t="s">
        <v>392</v>
      </c>
      <c r="O3128" s="74" t="s">
        <v>393</v>
      </c>
      <c r="P3128" s="74"/>
      <c r="Q3128" s="74" t="s">
        <v>10387</v>
      </c>
    </row>
    <row r="3129" spans="3:17" x14ac:dyDescent="0.25">
      <c r="C3129" s="74" t="s">
        <v>10396</v>
      </c>
      <c r="D3129" s="74" t="s">
        <v>10397</v>
      </c>
      <c r="E3129" s="74" t="s">
        <v>391</v>
      </c>
      <c r="F3129" s="74">
        <v>0.1</v>
      </c>
      <c r="G3129" s="74"/>
      <c r="H3129" s="74"/>
      <c r="I3129" s="74" t="s">
        <v>391</v>
      </c>
      <c r="J3129" s="74"/>
      <c r="K3129" s="74">
        <v>102.4</v>
      </c>
      <c r="L3129" s="74">
        <v>92.16</v>
      </c>
      <c r="M3129" s="74"/>
      <c r="N3129" s="74" t="s">
        <v>392</v>
      </c>
      <c r="O3129" s="74" t="s">
        <v>393</v>
      </c>
      <c r="P3129" s="74"/>
      <c r="Q3129" s="74" t="s">
        <v>10398</v>
      </c>
    </row>
    <row r="3130" spans="3:17" x14ac:dyDescent="0.25">
      <c r="C3130" s="74" t="s">
        <v>10399</v>
      </c>
      <c r="D3130" s="74" t="s">
        <v>10400</v>
      </c>
      <c r="E3130" s="74" t="s">
        <v>391</v>
      </c>
      <c r="F3130" s="74">
        <v>0.1</v>
      </c>
      <c r="G3130" s="74"/>
      <c r="H3130" s="74"/>
      <c r="I3130" s="74" t="s">
        <v>391</v>
      </c>
      <c r="J3130" s="74"/>
      <c r="K3130" s="74">
        <v>102.4</v>
      </c>
      <c r="L3130" s="74">
        <v>92.16</v>
      </c>
      <c r="M3130" s="74"/>
      <c r="N3130" s="74" t="s">
        <v>392</v>
      </c>
      <c r="O3130" s="74" t="s">
        <v>393</v>
      </c>
      <c r="P3130" s="74"/>
      <c r="Q3130" s="74" t="s">
        <v>10401</v>
      </c>
    </row>
    <row r="3131" spans="3:17" x14ac:dyDescent="0.25">
      <c r="C3131" s="74" t="s">
        <v>10424</v>
      </c>
      <c r="D3131" s="74" t="s">
        <v>10425</v>
      </c>
      <c r="E3131" s="74" t="s">
        <v>391</v>
      </c>
      <c r="F3131" s="74">
        <v>0.1</v>
      </c>
      <c r="G3131" s="74"/>
      <c r="H3131" s="74"/>
      <c r="I3131" s="74" t="s">
        <v>391</v>
      </c>
      <c r="J3131" s="74"/>
      <c r="K3131" s="74">
        <v>102.4</v>
      </c>
      <c r="L3131" s="74">
        <v>92.16</v>
      </c>
      <c r="M3131" s="74"/>
      <c r="N3131" s="74" t="s">
        <v>392</v>
      </c>
      <c r="O3131" s="74" t="s">
        <v>393</v>
      </c>
      <c r="P3131" s="74"/>
      <c r="Q3131" s="74" t="s">
        <v>10426</v>
      </c>
    </row>
    <row r="3132" spans="3:17" x14ac:dyDescent="0.25">
      <c r="C3132" s="74" t="s">
        <v>10427</v>
      </c>
      <c r="D3132" s="74" t="s">
        <v>10428</v>
      </c>
      <c r="E3132" s="74" t="s">
        <v>391</v>
      </c>
      <c r="F3132" s="74">
        <v>0.1</v>
      </c>
      <c r="G3132" s="74"/>
      <c r="H3132" s="74"/>
      <c r="I3132" s="74" t="s">
        <v>391</v>
      </c>
      <c r="J3132" s="74"/>
      <c r="K3132" s="74">
        <v>102.4</v>
      </c>
      <c r="L3132" s="74">
        <v>92.16</v>
      </c>
      <c r="M3132" s="74"/>
      <c r="N3132" s="74" t="s">
        <v>392</v>
      </c>
      <c r="O3132" s="74" t="s">
        <v>393</v>
      </c>
      <c r="P3132" s="74"/>
      <c r="Q3132" s="74" t="s">
        <v>10429</v>
      </c>
    </row>
    <row r="3133" spans="3:17" x14ac:dyDescent="0.25">
      <c r="C3133" s="74" t="s">
        <v>10430</v>
      </c>
      <c r="D3133" s="74" t="s">
        <v>10431</v>
      </c>
      <c r="E3133" s="74" t="s">
        <v>391</v>
      </c>
      <c r="F3133" s="74">
        <v>0.1</v>
      </c>
      <c r="G3133" s="74"/>
      <c r="H3133" s="74"/>
      <c r="I3133" s="74" t="s">
        <v>391</v>
      </c>
      <c r="J3133" s="74"/>
      <c r="K3133" s="74">
        <v>102.4</v>
      </c>
      <c r="L3133" s="74">
        <v>92.16</v>
      </c>
      <c r="M3133" s="74"/>
      <c r="N3133" s="74" t="s">
        <v>392</v>
      </c>
      <c r="O3133" s="74" t="s">
        <v>393</v>
      </c>
      <c r="P3133" s="74"/>
      <c r="Q3133" s="74" t="s">
        <v>10432</v>
      </c>
    </row>
    <row r="3134" spans="3:17" x14ac:dyDescent="0.25">
      <c r="C3134" s="74" t="s">
        <v>10433</v>
      </c>
      <c r="D3134" s="74" t="s">
        <v>10434</v>
      </c>
      <c r="E3134" s="74" t="s">
        <v>391</v>
      </c>
      <c r="F3134" s="74">
        <v>0.1</v>
      </c>
      <c r="G3134" s="74"/>
      <c r="H3134" s="74"/>
      <c r="I3134" s="74" t="s">
        <v>391</v>
      </c>
      <c r="J3134" s="74"/>
      <c r="K3134" s="74">
        <v>102.4</v>
      </c>
      <c r="L3134" s="74">
        <v>92.16</v>
      </c>
      <c r="M3134" s="74"/>
      <c r="N3134" s="74" t="s">
        <v>392</v>
      </c>
      <c r="O3134" s="74" t="s">
        <v>393</v>
      </c>
      <c r="P3134" s="74"/>
      <c r="Q3134" s="74" t="s">
        <v>10435</v>
      </c>
    </row>
    <row r="3135" spans="3:17" x14ac:dyDescent="0.25">
      <c r="C3135" s="74" t="s">
        <v>10440</v>
      </c>
      <c r="D3135" s="74" t="s">
        <v>10441</v>
      </c>
      <c r="E3135" s="74" t="s">
        <v>391</v>
      </c>
      <c r="F3135" s="74">
        <v>0.1</v>
      </c>
      <c r="G3135" s="74"/>
      <c r="H3135" s="74"/>
      <c r="I3135" s="74" t="s">
        <v>391</v>
      </c>
      <c r="J3135" s="74"/>
      <c r="K3135" s="74">
        <v>102.4</v>
      </c>
      <c r="L3135" s="74">
        <v>92.16</v>
      </c>
      <c r="M3135" s="74"/>
      <c r="N3135" s="74" t="s">
        <v>392</v>
      </c>
      <c r="O3135" s="74" t="s">
        <v>393</v>
      </c>
      <c r="P3135" s="74"/>
      <c r="Q3135" s="74" t="s">
        <v>10442</v>
      </c>
    </row>
    <row r="3136" spans="3:17" x14ac:dyDescent="0.25">
      <c r="C3136" s="74" t="s">
        <v>10443</v>
      </c>
      <c r="D3136" s="74" t="s">
        <v>10444</v>
      </c>
      <c r="E3136" s="74" t="s">
        <v>391</v>
      </c>
      <c r="F3136" s="74">
        <v>0.1</v>
      </c>
      <c r="G3136" s="74"/>
      <c r="H3136" s="74"/>
      <c r="I3136" s="74" t="s">
        <v>391</v>
      </c>
      <c r="J3136" s="74"/>
      <c r="K3136" s="74">
        <v>102.4</v>
      </c>
      <c r="L3136" s="74">
        <v>92.16</v>
      </c>
      <c r="M3136" s="74"/>
      <c r="N3136" s="74" t="s">
        <v>392</v>
      </c>
      <c r="O3136" s="74" t="s">
        <v>393</v>
      </c>
      <c r="P3136" s="74"/>
      <c r="Q3136" s="74" t="s">
        <v>10445</v>
      </c>
    </row>
    <row r="3137" spans="3:17" x14ac:dyDescent="0.25">
      <c r="C3137" s="74" t="s">
        <v>10453</v>
      </c>
      <c r="D3137" s="74" t="s">
        <v>10454</v>
      </c>
      <c r="E3137" s="74" t="s">
        <v>391</v>
      </c>
      <c r="F3137" s="74">
        <v>0.1</v>
      </c>
      <c r="G3137" s="74"/>
      <c r="H3137" s="74"/>
      <c r="I3137" s="74" t="s">
        <v>391</v>
      </c>
      <c r="J3137" s="74"/>
      <c r="K3137" s="74">
        <v>102.4</v>
      </c>
      <c r="L3137" s="74">
        <v>92.16</v>
      </c>
      <c r="M3137" s="74"/>
      <c r="N3137" s="74" t="s">
        <v>392</v>
      </c>
      <c r="O3137" s="74" t="s">
        <v>393</v>
      </c>
      <c r="P3137" s="74"/>
      <c r="Q3137" s="74" t="s">
        <v>10455</v>
      </c>
    </row>
    <row r="3138" spans="3:17" x14ac:dyDescent="0.25">
      <c r="C3138" s="74" t="s">
        <v>10460</v>
      </c>
      <c r="D3138" s="74" t="s">
        <v>10461</v>
      </c>
      <c r="E3138" s="74" t="s">
        <v>391</v>
      </c>
      <c r="F3138" s="74">
        <v>0.1</v>
      </c>
      <c r="G3138" s="74"/>
      <c r="H3138" s="74"/>
      <c r="I3138" s="74" t="s">
        <v>391</v>
      </c>
      <c r="J3138" s="74"/>
      <c r="K3138" s="74">
        <v>102.4</v>
      </c>
      <c r="L3138" s="74">
        <v>92.16</v>
      </c>
      <c r="M3138" s="74"/>
      <c r="N3138" s="74" t="s">
        <v>392</v>
      </c>
      <c r="O3138" s="74" t="s">
        <v>393</v>
      </c>
      <c r="P3138" s="74"/>
      <c r="Q3138" s="74" t="s">
        <v>10462</v>
      </c>
    </row>
    <row r="3139" spans="3:17" x14ac:dyDescent="0.25">
      <c r="C3139" s="74" t="s">
        <v>10467</v>
      </c>
      <c r="D3139" s="74" t="s">
        <v>10468</v>
      </c>
      <c r="E3139" s="74" t="s">
        <v>391</v>
      </c>
      <c r="F3139" s="74">
        <v>0.1</v>
      </c>
      <c r="G3139" s="74"/>
      <c r="H3139" s="74"/>
      <c r="I3139" s="74" t="s">
        <v>391</v>
      </c>
      <c r="J3139" s="74"/>
      <c r="K3139" s="74">
        <v>102.4</v>
      </c>
      <c r="L3139" s="74">
        <v>92.16</v>
      </c>
      <c r="M3139" s="74"/>
      <c r="N3139" s="74" t="s">
        <v>392</v>
      </c>
      <c r="O3139" s="74" t="s">
        <v>393</v>
      </c>
      <c r="P3139" s="74"/>
      <c r="Q3139" s="74" t="s">
        <v>10469</v>
      </c>
    </row>
    <row r="3140" spans="3:17" x14ac:dyDescent="0.25">
      <c r="C3140" s="74" t="s">
        <v>10498</v>
      </c>
      <c r="D3140" s="74" t="s">
        <v>10499</v>
      </c>
      <c r="E3140" s="74" t="s">
        <v>391</v>
      </c>
      <c r="F3140" s="74">
        <v>0.1</v>
      </c>
      <c r="G3140" s="74"/>
      <c r="H3140" s="74"/>
      <c r="I3140" s="74" t="s">
        <v>391</v>
      </c>
      <c r="J3140" s="74"/>
      <c r="K3140" s="74">
        <v>102.4</v>
      </c>
      <c r="L3140" s="74">
        <v>92.16</v>
      </c>
      <c r="M3140" s="74"/>
      <c r="N3140" s="74" t="s">
        <v>392</v>
      </c>
      <c r="O3140" s="74" t="s">
        <v>393</v>
      </c>
      <c r="P3140" s="74"/>
      <c r="Q3140" s="74" t="s">
        <v>10500</v>
      </c>
    </row>
    <row r="3141" spans="3:17" x14ac:dyDescent="0.25">
      <c r="C3141" s="74" t="s">
        <v>10505</v>
      </c>
      <c r="D3141" s="74" t="s">
        <v>10506</v>
      </c>
      <c r="E3141" s="74" t="s">
        <v>391</v>
      </c>
      <c r="F3141" s="74">
        <v>0.1</v>
      </c>
      <c r="G3141" s="74"/>
      <c r="H3141" s="74"/>
      <c r="I3141" s="74" t="s">
        <v>391</v>
      </c>
      <c r="J3141" s="74"/>
      <c r="K3141" s="74">
        <v>102.4</v>
      </c>
      <c r="L3141" s="74">
        <v>92.16</v>
      </c>
      <c r="M3141" s="74"/>
      <c r="N3141" s="74" t="s">
        <v>392</v>
      </c>
      <c r="O3141" s="74" t="s">
        <v>393</v>
      </c>
      <c r="P3141" s="74"/>
      <c r="Q3141" s="74" t="s">
        <v>10507</v>
      </c>
    </row>
    <row r="3142" spans="3:17" x14ac:dyDescent="0.25">
      <c r="C3142" s="74" t="s">
        <v>10508</v>
      </c>
      <c r="D3142" s="74" t="s">
        <v>10509</v>
      </c>
      <c r="E3142" s="74" t="s">
        <v>391</v>
      </c>
      <c r="F3142" s="74">
        <v>0.1</v>
      </c>
      <c r="G3142" s="74"/>
      <c r="H3142" s="74"/>
      <c r="I3142" s="74" t="s">
        <v>391</v>
      </c>
      <c r="J3142" s="74"/>
      <c r="K3142" s="74">
        <v>102.4</v>
      </c>
      <c r="L3142" s="74">
        <v>92.16</v>
      </c>
      <c r="M3142" s="74"/>
      <c r="N3142" s="74" t="s">
        <v>392</v>
      </c>
      <c r="O3142" s="74" t="s">
        <v>393</v>
      </c>
      <c r="P3142" s="74"/>
      <c r="Q3142" s="74" t="s">
        <v>10510</v>
      </c>
    </row>
    <row r="3143" spans="3:17" x14ac:dyDescent="0.25">
      <c r="C3143" s="74" t="s">
        <v>10523</v>
      </c>
      <c r="D3143" s="74" t="s">
        <v>10524</v>
      </c>
      <c r="E3143" s="74" t="s">
        <v>391</v>
      </c>
      <c r="F3143" s="74">
        <v>0.1</v>
      </c>
      <c r="G3143" s="74"/>
      <c r="H3143" s="74"/>
      <c r="I3143" s="74" t="s">
        <v>391</v>
      </c>
      <c r="J3143" s="74"/>
      <c r="K3143" s="74">
        <v>102.4</v>
      </c>
      <c r="L3143" s="74">
        <v>92.16</v>
      </c>
      <c r="M3143" s="74"/>
      <c r="N3143" s="74" t="s">
        <v>392</v>
      </c>
      <c r="O3143" s="74" t="s">
        <v>393</v>
      </c>
      <c r="P3143" s="74"/>
      <c r="Q3143" s="74" t="s">
        <v>10525</v>
      </c>
    </row>
    <row r="3144" spans="3:17" x14ac:dyDescent="0.25">
      <c r="C3144" s="74" t="s">
        <v>10526</v>
      </c>
      <c r="D3144" s="74" t="s">
        <v>10527</v>
      </c>
      <c r="E3144" s="74" t="s">
        <v>391</v>
      </c>
      <c r="F3144" s="74">
        <v>0.1</v>
      </c>
      <c r="G3144" s="74"/>
      <c r="H3144" s="74"/>
      <c r="I3144" s="74" t="s">
        <v>391</v>
      </c>
      <c r="J3144" s="74"/>
      <c r="K3144" s="74">
        <v>102.4</v>
      </c>
      <c r="L3144" s="74">
        <v>92.16</v>
      </c>
      <c r="M3144" s="74"/>
      <c r="N3144" s="74" t="s">
        <v>392</v>
      </c>
      <c r="O3144" s="74" t="s">
        <v>393</v>
      </c>
      <c r="P3144" s="74"/>
      <c r="Q3144" s="74" t="s">
        <v>10528</v>
      </c>
    </row>
    <row r="3145" spans="3:17" x14ac:dyDescent="0.25">
      <c r="C3145" s="74" t="s">
        <v>10529</v>
      </c>
      <c r="D3145" s="74" t="s">
        <v>10530</v>
      </c>
      <c r="E3145" s="74" t="s">
        <v>391</v>
      </c>
      <c r="F3145" s="74">
        <v>0.1</v>
      </c>
      <c r="G3145" s="74"/>
      <c r="H3145" s="74"/>
      <c r="I3145" s="74" t="s">
        <v>391</v>
      </c>
      <c r="J3145" s="74"/>
      <c r="K3145" s="74">
        <v>102.4</v>
      </c>
      <c r="L3145" s="74">
        <v>92.16</v>
      </c>
      <c r="M3145" s="74"/>
      <c r="N3145" s="74" t="s">
        <v>392</v>
      </c>
      <c r="O3145" s="74" t="s">
        <v>393</v>
      </c>
      <c r="P3145" s="74"/>
      <c r="Q3145" s="74" t="s">
        <v>10531</v>
      </c>
    </row>
    <row r="3146" spans="3:17" x14ac:dyDescent="0.25">
      <c r="C3146" s="74" t="s">
        <v>10548</v>
      </c>
      <c r="D3146" s="74" t="s">
        <v>10549</v>
      </c>
      <c r="E3146" s="74" t="s">
        <v>391</v>
      </c>
      <c r="F3146" s="74">
        <v>0.1</v>
      </c>
      <c r="G3146" s="74"/>
      <c r="H3146" s="74"/>
      <c r="I3146" s="74" t="s">
        <v>391</v>
      </c>
      <c r="J3146" s="74"/>
      <c r="K3146" s="74">
        <v>102.4</v>
      </c>
      <c r="L3146" s="74">
        <v>92.16</v>
      </c>
      <c r="M3146" s="74"/>
      <c r="N3146" s="74" t="s">
        <v>392</v>
      </c>
      <c r="O3146" s="74" t="s">
        <v>393</v>
      </c>
      <c r="P3146" s="74"/>
      <c r="Q3146" s="74" t="s">
        <v>10550</v>
      </c>
    </row>
    <row r="3147" spans="3:17" x14ac:dyDescent="0.25">
      <c r="C3147" s="74" t="s">
        <v>10559</v>
      </c>
      <c r="D3147" s="74" t="s">
        <v>10560</v>
      </c>
      <c r="E3147" s="74" t="s">
        <v>391</v>
      </c>
      <c r="F3147" s="74">
        <v>0.1</v>
      </c>
      <c r="G3147" s="74"/>
      <c r="H3147" s="74"/>
      <c r="I3147" s="74" t="s">
        <v>391</v>
      </c>
      <c r="J3147" s="74"/>
      <c r="K3147" s="74">
        <v>102.4</v>
      </c>
      <c r="L3147" s="74">
        <v>92.16</v>
      </c>
      <c r="M3147" s="74"/>
      <c r="N3147" s="74" t="s">
        <v>392</v>
      </c>
      <c r="O3147" s="74" t="s">
        <v>393</v>
      </c>
      <c r="P3147" s="74"/>
      <c r="Q3147" s="74" t="s">
        <v>10561</v>
      </c>
    </row>
    <row r="3148" spans="3:17" x14ac:dyDescent="0.25">
      <c r="C3148" s="74" t="s">
        <v>10562</v>
      </c>
      <c r="D3148" s="74" t="s">
        <v>10563</v>
      </c>
      <c r="E3148" s="74" t="s">
        <v>391</v>
      </c>
      <c r="F3148" s="74">
        <v>0.1</v>
      </c>
      <c r="G3148" s="74"/>
      <c r="H3148" s="74"/>
      <c r="I3148" s="74" t="s">
        <v>391</v>
      </c>
      <c r="J3148" s="74"/>
      <c r="K3148" s="74">
        <v>102.4</v>
      </c>
      <c r="L3148" s="74">
        <v>92.16</v>
      </c>
      <c r="M3148" s="74"/>
      <c r="N3148" s="74" t="s">
        <v>392</v>
      </c>
      <c r="O3148" s="74" t="s">
        <v>393</v>
      </c>
      <c r="P3148" s="74"/>
      <c r="Q3148" s="74" t="s">
        <v>10564</v>
      </c>
    </row>
    <row r="3149" spans="3:17" x14ac:dyDescent="0.25">
      <c r="C3149" s="74" t="s">
        <v>10581</v>
      </c>
      <c r="D3149" s="74" t="s">
        <v>10582</v>
      </c>
      <c r="E3149" s="74" t="s">
        <v>391</v>
      </c>
      <c r="F3149" s="74">
        <v>0.1</v>
      </c>
      <c r="G3149" s="74"/>
      <c r="H3149" s="74"/>
      <c r="I3149" s="74" t="s">
        <v>391</v>
      </c>
      <c r="J3149" s="74"/>
      <c r="K3149" s="74">
        <v>102.4</v>
      </c>
      <c r="L3149" s="74">
        <v>92.16</v>
      </c>
      <c r="M3149" s="74"/>
      <c r="N3149" s="74" t="s">
        <v>392</v>
      </c>
      <c r="O3149" s="74" t="s">
        <v>393</v>
      </c>
      <c r="P3149" s="74"/>
      <c r="Q3149" s="74" t="s">
        <v>10583</v>
      </c>
    </row>
    <row r="3150" spans="3:17" x14ac:dyDescent="0.25">
      <c r="C3150" s="74" t="s">
        <v>10599</v>
      </c>
      <c r="D3150" s="74" t="s">
        <v>10600</v>
      </c>
      <c r="E3150" s="74" t="s">
        <v>391</v>
      </c>
      <c r="F3150" s="74">
        <v>0.1</v>
      </c>
      <c r="G3150" s="74"/>
      <c r="H3150" s="74"/>
      <c r="I3150" s="74" t="s">
        <v>391</v>
      </c>
      <c r="J3150" s="74"/>
      <c r="K3150" s="74">
        <v>102.4</v>
      </c>
      <c r="L3150" s="74">
        <v>92.16</v>
      </c>
      <c r="M3150" s="74"/>
      <c r="N3150" s="74" t="s">
        <v>392</v>
      </c>
      <c r="O3150" s="74" t="s">
        <v>393</v>
      </c>
      <c r="P3150" s="74"/>
      <c r="Q3150" s="74" t="s">
        <v>10601</v>
      </c>
    </row>
    <row r="3151" spans="3:17" x14ac:dyDescent="0.25">
      <c r="C3151" s="74" t="s">
        <v>10605</v>
      </c>
      <c r="D3151" s="74" t="s">
        <v>10606</v>
      </c>
      <c r="E3151" s="74" t="s">
        <v>391</v>
      </c>
      <c r="F3151" s="74">
        <v>0.1</v>
      </c>
      <c r="G3151" s="74"/>
      <c r="H3151" s="74"/>
      <c r="I3151" s="74" t="s">
        <v>391</v>
      </c>
      <c r="J3151" s="74"/>
      <c r="K3151" s="74">
        <v>102.4</v>
      </c>
      <c r="L3151" s="74">
        <v>92.16</v>
      </c>
      <c r="M3151" s="74"/>
      <c r="N3151" s="74" t="s">
        <v>392</v>
      </c>
      <c r="O3151" s="74" t="s">
        <v>393</v>
      </c>
      <c r="P3151" s="74"/>
      <c r="Q3151" s="74" t="s">
        <v>10607</v>
      </c>
    </row>
    <row r="3152" spans="3:17" x14ac:dyDescent="0.25">
      <c r="C3152" s="74" t="s">
        <v>10617</v>
      </c>
      <c r="D3152" s="74" t="s">
        <v>10618</v>
      </c>
      <c r="E3152" s="74" t="s">
        <v>391</v>
      </c>
      <c r="F3152" s="74">
        <v>0.1</v>
      </c>
      <c r="G3152" s="74"/>
      <c r="H3152" s="74"/>
      <c r="I3152" s="74" t="s">
        <v>391</v>
      </c>
      <c r="J3152" s="74"/>
      <c r="K3152" s="74">
        <v>102.4</v>
      </c>
      <c r="L3152" s="74">
        <v>92.16</v>
      </c>
      <c r="M3152" s="74"/>
      <c r="N3152" s="74" t="s">
        <v>392</v>
      </c>
      <c r="O3152" s="74" t="s">
        <v>393</v>
      </c>
      <c r="P3152" s="74"/>
      <c r="Q3152" s="74" t="s">
        <v>10619</v>
      </c>
    </row>
    <row r="3153" spans="3:17" x14ac:dyDescent="0.25">
      <c r="C3153" s="74" t="s">
        <v>10620</v>
      </c>
      <c r="D3153" s="74" t="s">
        <v>10621</v>
      </c>
      <c r="E3153" s="74" t="s">
        <v>391</v>
      </c>
      <c r="F3153" s="74">
        <v>0.1</v>
      </c>
      <c r="G3153" s="74"/>
      <c r="H3153" s="74"/>
      <c r="I3153" s="74" t="s">
        <v>391</v>
      </c>
      <c r="J3153" s="74"/>
      <c r="K3153" s="74">
        <v>102.4</v>
      </c>
      <c r="L3153" s="74">
        <v>92.16</v>
      </c>
      <c r="M3153" s="74"/>
      <c r="N3153" s="74" t="s">
        <v>392</v>
      </c>
      <c r="O3153" s="74" t="s">
        <v>393</v>
      </c>
      <c r="P3153" s="74"/>
      <c r="Q3153" s="74" t="s">
        <v>10622</v>
      </c>
    </row>
    <row r="3154" spans="3:17" x14ac:dyDescent="0.25">
      <c r="C3154" s="74" t="s">
        <v>10626</v>
      </c>
      <c r="D3154" s="74" t="s">
        <v>10627</v>
      </c>
      <c r="E3154" s="74" t="s">
        <v>391</v>
      </c>
      <c r="F3154" s="74">
        <v>0.1</v>
      </c>
      <c r="G3154" s="74"/>
      <c r="H3154" s="74"/>
      <c r="I3154" s="74" t="s">
        <v>391</v>
      </c>
      <c r="J3154" s="74"/>
      <c r="K3154" s="74">
        <v>102.4</v>
      </c>
      <c r="L3154" s="74">
        <v>92.16</v>
      </c>
      <c r="M3154" s="74"/>
      <c r="N3154" s="74" t="s">
        <v>392</v>
      </c>
      <c r="O3154" s="74" t="s">
        <v>393</v>
      </c>
      <c r="P3154" s="74"/>
      <c r="Q3154" s="74" t="s">
        <v>10628</v>
      </c>
    </row>
    <row r="3155" spans="3:17" x14ac:dyDescent="0.25">
      <c r="C3155" s="74" t="s">
        <v>10629</v>
      </c>
      <c r="D3155" s="74" t="s">
        <v>10630</v>
      </c>
      <c r="E3155" s="74" t="s">
        <v>391</v>
      </c>
      <c r="F3155" s="74">
        <v>0.1</v>
      </c>
      <c r="G3155" s="74"/>
      <c r="H3155" s="74"/>
      <c r="I3155" s="74" t="s">
        <v>391</v>
      </c>
      <c r="J3155" s="74"/>
      <c r="K3155" s="74">
        <v>102.4</v>
      </c>
      <c r="L3155" s="74">
        <v>92.16</v>
      </c>
      <c r="M3155" s="74"/>
      <c r="N3155" s="74" t="s">
        <v>392</v>
      </c>
      <c r="O3155" s="74" t="s">
        <v>393</v>
      </c>
      <c r="P3155" s="74"/>
      <c r="Q3155" s="74" t="s">
        <v>10631</v>
      </c>
    </row>
    <row r="3156" spans="3:17" x14ac:dyDescent="0.25">
      <c r="C3156" s="74" t="s">
        <v>10639</v>
      </c>
      <c r="D3156" s="74" t="s">
        <v>10640</v>
      </c>
      <c r="E3156" s="74" t="s">
        <v>391</v>
      </c>
      <c r="F3156" s="74">
        <v>0.1</v>
      </c>
      <c r="G3156" s="74"/>
      <c r="H3156" s="74"/>
      <c r="I3156" s="74" t="s">
        <v>391</v>
      </c>
      <c r="J3156" s="74"/>
      <c r="K3156" s="74">
        <v>102.4</v>
      </c>
      <c r="L3156" s="74">
        <v>92.16</v>
      </c>
      <c r="M3156" s="74"/>
      <c r="N3156" s="74" t="s">
        <v>392</v>
      </c>
      <c r="O3156" s="74" t="s">
        <v>393</v>
      </c>
      <c r="P3156" s="74"/>
      <c r="Q3156" s="74" t="s">
        <v>10641</v>
      </c>
    </row>
    <row r="3157" spans="3:17" x14ac:dyDescent="0.25">
      <c r="C3157" s="74" t="s">
        <v>10642</v>
      </c>
      <c r="D3157" s="74" t="s">
        <v>10643</v>
      </c>
      <c r="E3157" s="74" t="s">
        <v>391</v>
      </c>
      <c r="F3157" s="74">
        <v>0.1</v>
      </c>
      <c r="G3157" s="74"/>
      <c r="H3157" s="74"/>
      <c r="I3157" s="74" t="s">
        <v>391</v>
      </c>
      <c r="J3157" s="74"/>
      <c r="K3157" s="74">
        <v>102.4</v>
      </c>
      <c r="L3157" s="74">
        <v>92.16</v>
      </c>
      <c r="M3157" s="74"/>
      <c r="N3157" s="74" t="s">
        <v>392</v>
      </c>
      <c r="O3157" s="74" t="s">
        <v>393</v>
      </c>
      <c r="P3157" s="74"/>
      <c r="Q3157" s="74" t="s">
        <v>10644</v>
      </c>
    </row>
    <row r="3158" spans="3:17" x14ac:dyDescent="0.25">
      <c r="C3158" s="74" t="s">
        <v>10649</v>
      </c>
      <c r="D3158" s="74" t="s">
        <v>10650</v>
      </c>
      <c r="E3158" s="74" t="s">
        <v>391</v>
      </c>
      <c r="F3158" s="74">
        <v>0.1</v>
      </c>
      <c r="G3158" s="74"/>
      <c r="H3158" s="74"/>
      <c r="I3158" s="74" t="s">
        <v>391</v>
      </c>
      <c r="J3158" s="74"/>
      <c r="K3158" s="74">
        <v>102.4</v>
      </c>
      <c r="L3158" s="74">
        <v>92.16</v>
      </c>
      <c r="M3158" s="74"/>
      <c r="N3158" s="74" t="s">
        <v>392</v>
      </c>
      <c r="O3158" s="74" t="s">
        <v>393</v>
      </c>
      <c r="P3158" s="74"/>
      <c r="Q3158" s="74" t="s">
        <v>10651</v>
      </c>
    </row>
    <row r="3159" spans="3:17" x14ac:dyDescent="0.25">
      <c r="C3159" s="74" t="s">
        <v>10652</v>
      </c>
      <c r="D3159" s="74" t="s">
        <v>10653</v>
      </c>
      <c r="E3159" s="74" t="s">
        <v>391</v>
      </c>
      <c r="F3159" s="74">
        <v>0.1</v>
      </c>
      <c r="G3159" s="74"/>
      <c r="H3159" s="74"/>
      <c r="I3159" s="74" t="s">
        <v>391</v>
      </c>
      <c r="J3159" s="74"/>
      <c r="K3159" s="74">
        <v>102.4</v>
      </c>
      <c r="L3159" s="74">
        <v>92.16</v>
      </c>
      <c r="M3159" s="74"/>
      <c r="N3159" s="74" t="s">
        <v>392</v>
      </c>
      <c r="O3159" s="74" t="s">
        <v>393</v>
      </c>
      <c r="P3159" s="74"/>
      <c r="Q3159" s="74" t="s">
        <v>10654</v>
      </c>
    </row>
    <row r="3160" spans="3:17" x14ac:dyDescent="0.25">
      <c r="C3160" s="74" t="s">
        <v>10663</v>
      </c>
      <c r="D3160" s="74" t="s">
        <v>10664</v>
      </c>
      <c r="E3160" s="74" t="s">
        <v>391</v>
      </c>
      <c r="F3160" s="74">
        <v>0.1</v>
      </c>
      <c r="G3160" s="74"/>
      <c r="H3160" s="74"/>
      <c r="I3160" s="74" t="s">
        <v>391</v>
      </c>
      <c r="J3160" s="74"/>
      <c r="K3160" s="74">
        <v>102.4</v>
      </c>
      <c r="L3160" s="74">
        <v>92.16</v>
      </c>
      <c r="M3160" s="74"/>
      <c r="N3160" s="74" t="s">
        <v>392</v>
      </c>
      <c r="O3160" s="74" t="s">
        <v>393</v>
      </c>
      <c r="P3160" s="74"/>
      <c r="Q3160" s="74" t="s">
        <v>10665</v>
      </c>
    </row>
    <row r="3161" spans="3:17" x14ac:dyDescent="0.25">
      <c r="C3161" s="74" t="s">
        <v>10666</v>
      </c>
      <c r="D3161" s="74" t="s">
        <v>10667</v>
      </c>
      <c r="E3161" s="74" t="s">
        <v>391</v>
      </c>
      <c r="F3161" s="74">
        <v>0.1</v>
      </c>
      <c r="G3161" s="74"/>
      <c r="H3161" s="74"/>
      <c r="I3161" s="74" t="s">
        <v>391</v>
      </c>
      <c r="J3161" s="74"/>
      <c r="K3161" s="74">
        <v>102.4</v>
      </c>
      <c r="L3161" s="74">
        <v>92.16</v>
      </c>
      <c r="M3161" s="74"/>
      <c r="N3161" s="74" t="s">
        <v>392</v>
      </c>
      <c r="O3161" s="74" t="s">
        <v>393</v>
      </c>
      <c r="P3161" s="74"/>
      <c r="Q3161" s="74" t="s">
        <v>10668</v>
      </c>
    </row>
    <row r="3162" spans="3:17" x14ac:dyDescent="0.25">
      <c r="C3162" s="74" t="s">
        <v>10669</v>
      </c>
      <c r="D3162" s="74" t="s">
        <v>10670</v>
      </c>
      <c r="E3162" s="74" t="s">
        <v>391</v>
      </c>
      <c r="F3162" s="74">
        <v>0.1</v>
      </c>
      <c r="G3162" s="74"/>
      <c r="H3162" s="74"/>
      <c r="I3162" s="74" t="s">
        <v>391</v>
      </c>
      <c r="J3162" s="74"/>
      <c r="K3162" s="74">
        <v>102.4</v>
      </c>
      <c r="L3162" s="74">
        <v>92.16</v>
      </c>
      <c r="M3162" s="74"/>
      <c r="N3162" s="74" t="s">
        <v>392</v>
      </c>
      <c r="O3162" s="74" t="s">
        <v>393</v>
      </c>
      <c r="P3162" s="74"/>
      <c r="Q3162" s="74" t="s">
        <v>10671</v>
      </c>
    </row>
    <row r="3163" spans="3:17" x14ac:dyDescent="0.25">
      <c r="C3163" s="158" t="s">
        <v>10672</v>
      </c>
      <c r="D3163" s="158" t="s">
        <v>10673</v>
      </c>
      <c r="E3163" s="158" t="s">
        <v>391</v>
      </c>
      <c r="F3163" s="158">
        <v>0.1</v>
      </c>
      <c r="I3163" s="158" t="s">
        <v>391</v>
      </c>
      <c r="K3163" s="158">
        <v>102.4</v>
      </c>
      <c r="L3163" s="158">
        <v>92.16</v>
      </c>
      <c r="N3163" s="158" t="s">
        <v>392</v>
      </c>
      <c r="O3163" s="158" t="s">
        <v>393</v>
      </c>
      <c r="Q3163" s="158" t="s">
        <v>10674</v>
      </c>
    </row>
    <row r="3164" spans="3:17" x14ac:dyDescent="0.25">
      <c r="C3164" s="74" t="s">
        <v>10678</v>
      </c>
      <c r="D3164" s="74" t="s">
        <v>10679</v>
      </c>
      <c r="E3164" s="74" t="s">
        <v>391</v>
      </c>
      <c r="F3164" s="74">
        <v>0.1</v>
      </c>
      <c r="G3164" s="74"/>
      <c r="H3164" s="74"/>
      <c r="I3164" s="74" t="s">
        <v>391</v>
      </c>
      <c r="J3164" s="74"/>
      <c r="K3164" s="74">
        <v>102.4</v>
      </c>
      <c r="L3164" s="74">
        <v>92.16</v>
      </c>
      <c r="M3164" s="74"/>
      <c r="N3164" s="74" t="s">
        <v>392</v>
      </c>
      <c r="O3164" s="74" t="s">
        <v>393</v>
      </c>
      <c r="P3164" s="74"/>
      <c r="Q3164" s="74" t="s">
        <v>10680</v>
      </c>
    </row>
    <row r="3165" spans="3:17" x14ac:dyDescent="0.25">
      <c r="C3165" s="74" t="s">
        <v>10685</v>
      </c>
      <c r="D3165" s="74" t="s">
        <v>10686</v>
      </c>
      <c r="E3165" s="74" t="s">
        <v>391</v>
      </c>
      <c r="F3165" s="74">
        <v>0.1</v>
      </c>
      <c r="G3165" s="74"/>
      <c r="H3165" s="74"/>
      <c r="I3165" s="74" t="s">
        <v>391</v>
      </c>
      <c r="J3165" s="74"/>
      <c r="K3165" s="74">
        <v>102.4</v>
      </c>
      <c r="L3165" s="74">
        <v>92.16</v>
      </c>
      <c r="M3165" s="74"/>
      <c r="N3165" s="74" t="s">
        <v>392</v>
      </c>
      <c r="O3165" s="74" t="s">
        <v>393</v>
      </c>
      <c r="P3165" s="74"/>
      <c r="Q3165" s="74" t="s">
        <v>10687</v>
      </c>
    </row>
    <row r="3166" spans="3:17" x14ac:dyDescent="0.25">
      <c r="C3166" s="74" t="s">
        <v>10688</v>
      </c>
      <c r="D3166" s="74" t="s">
        <v>10689</v>
      </c>
      <c r="E3166" s="74" t="s">
        <v>391</v>
      </c>
      <c r="F3166" s="74">
        <v>0.1</v>
      </c>
      <c r="G3166" s="74"/>
      <c r="H3166" s="74"/>
      <c r="I3166" s="74" t="s">
        <v>391</v>
      </c>
      <c r="J3166" s="74"/>
      <c r="K3166" s="74">
        <v>102.4</v>
      </c>
      <c r="L3166" s="74">
        <v>92.16</v>
      </c>
      <c r="M3166" s="74"/>
      <c r="N3166" s="74" t="s">
        <v>392</v>
      </c>
      <c r="O3166" s="74" t="s">
        <v>393</v>
      </c>
      <c r="P3166" s="74"/>
      <c r="Q3166" s="74" t="s">
        <v>10690</v>
      </c>
    </row>
    <row r="3167" spans="3:17" x14ac:dyDescent="0.25">
      <c r="C3167" s="74" t="s">
        <v>10698</v>
      </c>
      <c r="D3167" s="74" t="s">
        <v>10699</v>
      </c>
      <c r="E3167" s="74" t="s">
        <v>391</v>
      </c>
      <c r="F3167" s="74">
        <v>0.1</v>
      </c>
      <c r="G3167" s="74"/>
      <c r="H3167" s="74"/>
      <c r="I3167" s="74" t="s">
        <v>391</v>
      </c>
      <c r="J3167" s="74"/>
      <c r="K3167" s="74">
        <v>102.4</v>
      </c>
      <c r="L3167" s="74">
        <v>92.16</v>
      </c>
      <c r="M3167" s="74"/>
      <c r="N3167" s="74" t="s">
        <v>392</v>
      </c>
      <c r="O3167" s="74" t="s">
        <v>393</v>
      </c>
      <c r="P3167" s="74"/>
      <c r="Q3167" s="74" t="s">
        <v>10700</v>
      </c>
    </row>
    <row r="3168" spans="3:17" x14ac:dyDescent="0.25">
      <c r="C3168" s="74" t="s">
        <v>10701</v>
      </c>
      <c r="D3168" s="74" t="s">
        <v>10702</v>
      </c>
      <c r="E3168" s="74" t="s">
        <v>391</v>
      </c>
      <c r="F3168" s="74">
        <v>0.1</v>
      </c>
      <c r="G3168" s="74"/>
      <c r="H3168" s="74"/>
      <c r="I3168" s="74" t="s">
        <v>391</v>
      </c>
      <c r="J3168" s="74"/>
      <c r="K3168" s="74">
        <v>102.4</v>
      </c>
      <c r="L3168" s="74">
        <v>92.16</v>
      </c>
      <c r="M3168" s="74"/>
      <c r="N3168" s="74" t="s">
        <v>392</v>
      </c>
      <c r="O3168" s="74" t="s">
        <v>393</v>
      </c>
      <c r="P3168" s="74"/>
      <c r="Q3168" s="74" t="s">
        <v>10703</v>
      </c>
    </row>
    <row r="3169" spans="3:17" x14ac:dyDescent="0.25">
      <c r="C3169" s="74" t="s">
        <v>10708</v>
      </c>
      <c r="D3169" s="74" t="s">
        <v>10709</v>
      </c>
      <c r="E3169" s="74" t="s">
        <v>391</v>
      </c>
      <c r="F3169" s="74">
        <v>0.1</v>
      </c>
      <c r="G3169" s="74"/>
      <c r="H3169" s="74"/>
      <c r="I3169" s="74" t="s">
        <v>391</v>
      </c>
      <c r="J3169" s="74"/>
      <c r="K3169" s="74">
        <v>102.4</v>
      </c>
      <c r="L3169" s="74">
        <v>92.16</v>
      </c>
      <c r="M3169" s="74"/>
      <c r="N3169" s="74" t="s">
        <v>392</v>
      </c>
      <c r="O3169" s="74" t="s">
        <v>393</v>
      </c>
      <c r="P3169" s="74"/>
      <c r="Q3169" s="74" t="s">
        <v>10710</v>
      </c>
    </row>
    <row r="3170" spans="3:17" x14ac:dyDescent="0.25">
      <c r="C3170" s="74" t="s">
        <v>10711</v>
      </c>
      <c r="D3170" s="74" t="s">
        <v>10712</v>
      </c>
      <c r="E3170" s="74" t="s">
        <v>391</v>
      </c>
      <c r="F3170" s="74">
        <v>0.1</v>
      </c>
      <c r="G3170" s="74"/>
      <c r="H3170" s="74"/>
      <c r="I3170" s="74" t="s">
        <v>391</v>
      </c>
      <c r="J3170" s="74"/>
      <c r="K3170" s="74">
        <v>102.4</v>
      </c>
      <c r="L3170" s="74">
        <v>92.16</v>
      </c>
      <c r="M3170" s="74"/>
      <c r="N3170" s="74" t="s">
        <v>392</v>
      </c>
      <c r="O3170" s="74" t="s">
        <v>393</v>
      </c>
      <c r="P3170" s="74"/>
      <c r="Q3170" s="74" t="s">
        <v>10713</v>
      </c>
    </row>
    <row r="3171" spans="3:17" x14ac:dyDescent="0.25">
      <c r="C3171" s="74" t="s">
        <v>10730</v>
      </c>
      <c r="D3171" s="74" t="s">
        <v>10731</v>
      </c>
      <c r="E3171" s="74" t="s">
        <v>391</v>
      </c>
      <c r="F3171" s="74">
        <v>0.1</v>
      </c>
      <c r="G3171" s="74"/>
      <c r="H3171" s="74"/>
      <c r="I3171" s="74" t="s">
        <v>391</v>
      </c>
      <c r="J3171" s="74"/>
      <c r="K3171" s="74">
        <v>102.4</v>
      </c>
      <c r="L3171" s="74">
        <v>92.16</v>
      </c>
      <c r="M3171" s="74"/>
      <c r="N3171" s="74" t="s">
        <v>392</v>
      </c>
      <c r="O3171" s="74" t="s">
        <v>393</v>
      </c>
      <c r="P3171" s="74"/>
      <c r="Q3171" s="74" t="s">
        <v>10732</v>
      </c>
    </row>
    <row r="3172" spans="3:17" x14ac:dyDescent="0.25">
      <c r="C3172" s="74" t="s">
        <v>10745</v>
      </c>
      <c r="D3172" s="74" t="s">
        <v>10746</v>
      </c>
      <c r="E3172" s="74" t="s">
        <v>391</v>
      </c>
      <c r="F3172" s="74">
        <v>0.1</v>
      </c>
      <c r="G3172" s="74"/>
      <c r="H3172" s="74"/>
      <c r="I3172" s="74" t="s">
        <v>391</v>
      </c>
      <c r="J3172" s="74"/>
      <c r="K3172" s="74">
        <v>102.4</v>
      </c>
      <c r="L3172" s="74">
        <v>92.16</v>
      </c>
      <c r="M3172" s="74"/>
      <c r="N3172" s="74" t="s">
        <v>392</v>
      </c>
      <c r="O3172" s="74" t="s">
        <v>393</v>
      </c>
      <c r="P3172" s="74"/>
      <c r="Q3172" s="74" t="s">
        <v>10746</v>
      </c>
    </row>
    <row r="3173" spans="3:17" x14ac:dyDescent="0.25">
      <c r="C3173" s="74" t="s">
        <v>10755</v>
      </c>
      <c r="D3173" s="74" t="s">
        <v>10756</v>
      </c>
      <c r="E3173" s="74"/>
      <c r="F3173" s="74">
        <v>0.1</v>
      </c>
      <c r="G3173" s="74"/>
      <c r="H3173" s="74"/>
      <c r="I3173" s="74" t="s">
        <v>391</v>
      </c>
      <c r="J3173" s="74"/>
      <c r="K3173" s="74">
        <v>102.4</v>
      </c>
      <c r="L3173" s="74">
        <v>92.16</v>
      </c>
      <c r="M3173" s="74"/>
      <c r="N3173" s="74" t="s">
        <v>392</v>
      </c>
      <c r="O3173" s="74" t="s">
        <v>393</v>
      </c>
      <c r="P3173" s="74" t="s">
        <v>10757</v>
      </c>
      <c r="Q3173" s="74" t="s">
        <v>10758</v>
      </c>
    </row>
    <row r="3174" spans="3:17" x14ac:dyDescent="0.25">
      <c r="C3174" s="74" t="s">
        <v>10767</v>
      </c>
      <c r="D3174" s="74" t="s">
        <v>10768</v>
      </c>
      <c r="E3174" s="74" t="s">
        <v>391</v>
      </c>
      <c r="F3174" s="74">
        <v>0.1</v>
      </c>
      <c r="G3174" s="74"/>
      <c r="H3174" s="74"/>
      <c r="I3174" s="74" t="s">
        <v>391</v>
      </c>
      <c r="J3174" s="74"/>
      <c r="K3174" s="74">
        <v>102.4</v>
      </c>
      <c r="L3174" s="74">
        <v>92.16</v>
      </c>
      <c r="M3174" s="74"/>
      <c r="N3174" s="74" t="s">
        <v>392</v>
      </c>
      <c r="O3174" s="74" t="s">
        <v>393</v>
      </c>
      <c r="P3174" s="74"/>
      <c r="Q3174" s="74" t="s">
        <v>10769</v>
      </c>
    </row>
    <row r="3175" spans="3:17" x14ac:dyDescent="0.25">
      <c r="C3175" s="74" t="s">
        <v>10770</v>
      </c>
      <c r="D3175" s="74" t="s">
        <v>10771</v>
      </c>
      <c r="E3175" s="74" t="s">
        <v>391</v>
      </c>
      <c r="F3175" s="74">
        <v>0.1</v>
      </c>
      <c r="G3175" s="74"/>
      <c r="H3175" s="74"/>
      <c r="I3175" s="74" t="s">
        <v>391</v>
      </c>
      <c r="J3175" s="74"/>
      <c r="K3175" s="74">
        <v>102.4</v>
      </c>
      <c r="L3175" s="74">
        <v>92.16</v>
      </c>
      <c r="M3175" s="74"/>
      <c r="N3175" s="74" t="s">
        <v>392</v>
      </c>
      <c r="O3175" s="74" t="s">
        <v>393</v>
      </c>
      <c r="P3175" s="74"/>
      <c r="Q3175" s="74" t="s">
        <v>10772</v>
      </c>
    </row>
    <row r="3176" spans="3:17" x14ac:dyDescent="0.25">
      <c r="C3176" s="74" t="s">
        <v>10777</v>
      </c>
      <c r="D3176" s="74" t="s">
        <v>10778</v>
      </c>
      <c r="E3176" s="74" t="s">
        <v>391</v>
      </c>
      <c r="F3176" s="74">
        <v>0.1</v>
      </c>
      <c r="G3176" s="74"/>
      <c r="H3176" s="74"/>
      <c r="I3176" s="74" t="s">
        <v>391</v>
      </c>
      <c r="J3176" s="74"/>
      <c r="K3176" s="74">
        <v>102.4</v>
      </c>
      <c r="L3176" s="74">
        <v>92.16</v>
      </c>
      <c r="M3176" s="74"/>
      <c r="N3176" s="74" t="s">
        <v>392</v>
      </c>
      <c r="O3176" s="74" t="s">
        <v>393</v>
      </c>
      <c r="P3176" s="74"/>
      <c r="Q3176" s="74" t="s">
        <v>10779</v>
      </c>
    </row>
    <row r="3177" spans="3:17" x14ac:dyDescent="0.25">
      <c r="C3177" s="74" t="s">
        <v>10784</v>
      </c>
      <c r="D3177" s="74" t="s">
        <v>10785</v>
      </c>
      <c r="E3177" s="74" t="s">
        <v>391</v>
      </c>
      <c r="F3177" s="74">
        <v>0.1</v>
      </c>
      <c r="G3177" s="74"/>
      <c r="H3177" s="74"/>
      <c r="I3177" s="74" t="s">
        <v>391</v>
      </c>
      <c r="J3177" s="74"/>
      <c r="K3177" s="74">
        <v>102.4</v>
      </c>
      <c r="L3177" s="74">
        <v>92.16</v>
      </c>
      <c r="M3177" s="74"/>
      <c r="N3177" s="74" t="s">
        <v>392</v>
      </c>
      <c r="O3177" s="74" t="s">
        <v>393</v>
      </c>
      <c r="P3177" s="74"/>
      <c r="Q3177" s="74" t="s">
        <v>10786</v>
      </c>
    </row>
    <row r="3178" spans="3:17" x14ac:dyDescent="0.25">
      <c r="C3178" s="74" t="s">
        <v>10791</v>
      </c>
      <c r="D3178" s="74" t="s">
        <v>10792</v>
      </c>
      <c r="E3178" s="74" t="s">
        <v>391</v>
      </c>
      <c r="F3178" s="74">
        <v>0.1</v>
      </c>
      <c r="G3178" s="74"/>
      <c r="H3178" s="74"/>
      <c r="I3178" s="74" t="s">
        <v>391</v>
      </c>
      <c r="J3178" s="74"/>
      <c r="K3178" s="74">
        <v>102.4</v>
      </c>
      <c r="L3178" s="74">
        <v>92.16</v>
      </c>
      <c r="M3178" s="74"/>
      <c r="N3178" s="74" t="s">
        <v>392</v>
      </c>
      <c r="O3178" s="74" t="s">
        <v>393</v>
      </c>
      <c r="P3178" s="74"/>
      <c r="Q3178" s="74" t="s">
        <v>10793</v>
      </c>
    </row>
    <row r="3179" spans="3:17" x14ac:dyDescent="0.25">
      <c r="C3179" s="74" t="s">
        <v>10794</v>
      </c>
      <c r="D3179" s="74" t="s">
        <v>10795</v>
      </c>
      <c r="E3179" s="74" t="s">
        <v>391</v>
      </c>
      <c r="F3179" s="74">
        <v>0.1</v>
      </c>
      <c r="G3179" s="74"/>
      <c r="H3179" s="74"/>
      <c r="I3179" s="74" t="s">
        <v>391</v>
      </c>
      <c r="J3179" s="74"/>
      <c r="K3179" s="74">
        <v>102.4</v>
      </c>
      <c r="L3179" s="74">
        <v>92.16</v>
      </c>
      <c r="M3179" s="74"/>
      <c r="N3179" s="74" t="s">
        <v>392</v>
      </c>
      <c r="O3179" s="74" t="s">
        <v>393</v>
      </c>
      <c r="P3179" s="74"/>
      <c r="Q3179" s="74" t="s">
        <v>10796</v>
      </c>
    </row>
    <row r="3180" spans="3:17" x14ac:dyDescent="0.25">
      <c r="C3180" s="74" t="s">
        <v>10797</v>
      </c>
      <c r="D3180" s="74" t="s">
        <v>10798</v>
      </c>
      <c r="E3180" s="74" t="s">
        <v>391</v>
      </c>
      <c r="F3180" s="74">
        <v>0.1</v>
      </c>
      <c r="G3180" s="74"/>
      <c r="H3180" s="74"/>
      <c r="I3180" s="74" t="s">
        <v>391</v>
      </c>
      <c r="J3180" s="74"/>
      <c r="K3180" s="74">
        <v>102.4</v>
      </c>
      <c r="L3180" s="74">
        <v>92.16</v>
      </c>
      <c r="M3180" s="74"/>
      <c r="N3180" s="74" t="s">
        <v>392</v>
      </c>
      <c r="O3180" s="74" t="s">
        <v>393</v>
      </c>
      <c r="P3180" s="74"/>
      <c r="Q3180" s="74" t="s">
        <v>10799</v>
      </c>
    </row>
    <row r="3181" spans="3:17" x14ac:dyDescent="0.25">
      <c r="C3181" s="74" t="s">
        <v>10804</v>
      </c>
      <c r="D3181" s="74" t="s">
        <v>10805</v>
      </c>
      <c r="E3181" s="74" t="s">
        <v>391</v>
      </c>
      <c r="F3181" s="74">
        <v>0.1</v>
      </c>
      <c r="G3181" s="74"/>
      <c r="H3181" s="74"/>
      <c r="I3181" s="74" t="s">
        <v>391</v>
      </c>
      <c r="J3181" s="74"/>
      <c r="K3181" s="74">
        <v>102.4</v>
      </c>
      <c r="L3181" s="74">
        <v>92.16</v>
      </c>
      <c r="M3181" s="74"/>
      <c r="N3181" s="74" t="s">
        <v>392</v>
      </c>
      <c r="O3181" s="74" t="s">
        <v>393</v>
      </c>
      <c r="P3181" s="74"/>
      <c r="Q3181" s="74" t="s">
        <v>10806</v>
      </c>
    </row>
    <row r="3182" spans="3:17" x14ac:dyDescent="0.25">
      <c r="C3182" s="74" t="s">
        <v>10807</v>
      </c>
      <c r="D3182" s="74" t="s">
        <v>10808</v>
      </c>
      <c r="E3182" s="74" t="s">
        <v>391</v>
      </c>
      <c r="F3182" s="74">
        <v>0.1</v>
      </c>
      <c r="G3182" s="74"/>
      <c r="H3182" s="74"/>
      <c r="I3182" s="74" t="s">
        <v>391</v>
      </c>
      <c r="J3182" s="74"/>
      <c r="K3182" s="74">
        <v>102.4</v>
      </c>
      <c r="L3182" s="74">
        <v>92.16</v>
      </c>
      <c r="M3182" s="74"/>
      <c r="N3182" s="74" t="s">
        <v>392</v>
      </c>
      <c r="O3182" s="74" t="s">
        <v>393</v>
      </c>
      <c r="P3182" s="74"/>
      <c r="Q3182" s="74" t="s">
        <v>10809</v>
      </c>
    </row>
    <row r="3183" spans="3:17" x14ac:dyDescent="0.25">
      <c r="C3183" s="74" t="s">
        <v>10810</v>
      </c>
      <c r="D3183" s="74" t="s">
        <v>10811</v>
      </c>
      <c r="E3183" s="74" t="s">
        <v>391</v>
      </c>
      <c r="F3183" s="74">
        <v>0.1</v>
      </c>
      <c r="G3183" s="74"/>
      <c r="H3183" s="74"/>
      <c r="I3183" s="74" t="s">
        <v>391</v>
      </c>
      <c r="J3183" s="74"/>
      <c r="K3183" s="74">
        <v>102.4</v>
      </c>
      <c r="L3183" s="74">
        <v>92.16</v>
      </c>
      <c r="M3183" s="74"/>
      <c r="N3183" s="74" t="s">
        <v>392</v>
      </c>
      <c r="O3183" s="74" t="s">
        <v>393</v>
      </c>
      <c r="P3183" s="74"/>
      <c r="Q3183" s="74" t="s">
        <v>10812</v>
      </c>
    </row>
    <row r="3184" spans="3:17" x14ac:dyDescent="0.25">
      <c r="C3184" s="74" t="s">
        <v>10813</v>
      </c>
      <c r="D3184" s="74" t="s">
        <v>10814</v>
      </c>
      <c r="E3184" s="74" t="s">
        <v>391</v>
      </c>
      <c r="F3184" s="74">
        <v>0.1</v>
      </c>
      <c r="G3184" s="74"/>
      <c r="H3184" s="74"/>
      <c r="I3184" s="74" t="s">
        <v>391</v>
      </c>
      <c r="J3184" s="74"/>
      <c r="K3184" s="74">
        <v>102.4</v>
      </c>
      <c r="L3184" s="74">
        <v>92.16</v>
      </c>
      <c r="M3184" s="74"/>
      <c r="N3184" s="74" t="s">
        <v>392</v>
      </c>
      <c r="O3184" s="74" t="s">
        <v>393</v>
      </c>
      <c r="P3184" s="74"/>
      <c r="Q3184" s="74" t="s">
        <v>10815</v>
      </c>
    </row>
    <row r="3185" spans="3:17" x14ac:dyDescent="0.25">
      <c r="C3185" s="74" t="s">
        <v>10816</v>
      </c>
      <c r="D3185" s="74" t="s">
        <v>10817</v>
      </c>
      <c r="E3185" s="74" t="s">
        <v>391</v>
      </c>
      <c r="F3185" s="74">
        <v>0.1</v>
      </c>
      <c r="G3185" s="74"/>
      <c r="H3185" s="74"/>
      <c r="I3185" s="74" t="s">
        <v>391</v>
      </c>
      <c r="J3185" s="74"/>
      <c r="K3185" s="74">
        <v>102.4</v>
      </c>
      <c r="L3185" s="74">
        <v>92.16</v>
      </c>
      <c r="M3185" s="74"/>
      <c r="N3185" s="74" t="s">
        <v>392</v>
      </c>
      <c r="O3185" s="74" t="s">
        <v>393</v>
      </c>
      <c r="P3185" s="74"/>
      <c r="Q3185" s="74" t="s">
        <v>10818</v>
      </c>
    </row>
    <row r="3186" spans="3:17" x14ac:dyDescent="0.25">
      <c r="C3186" s="74" t="s">
        <v>10839</v>
      </c>
      <c r="D3186" s="74" t="s">
        <v>10840</v>
      </c>
      <c r="E3186" s="74" t="s">
        <v>391</v>
      </c>
      <c r="F3186" s="74">
        <v>0.1</v>
      </c>
      <c r="G3186" s="74"/>
      <c r="H3186" s="74"/>
      <c r="I3186" s="74" t="s">
        <v>391</v>
      </c>
      <c r="J3186" s="74"/>
      <c r="K3186" s="74">
        <v>102.4</v>
      </c>
      <c r="L3186" s="74">
        <v>92.16</v>
      </c>
      <c r="M3186" s="74"/>
      <c r="N3186" s="74" t="s">
        <v>392</v>
      </c>
      <c r="O3186" s="74" t="s">
        <v>393</v>
      </c>
      <c r="P3186" s="74"/>
      <c r="Q3186" s="74" t="s">
        <v>10841</v>
      </c>
    </row>
    <row r="3187" spans="3:17" x14ac:dyDescent="0.25">
      <c r="C3187" s="74" t="s">
        <v>10845</v>
      </c>
      <c r="D3187" s="74" t="s">
        <v>10846</v>
      </c>
      <c r="E3187" s="74" t="s">
        <v>391</v>
      </c>
      <c r="F3187" s="74">
        <v>0.1</v>
      </c>
      <c r="G3187" s="74"/>
      <c r="H3187" s="74"/>
      <c r="I3187" s="74" t="s">
        <v>391</v>
      </c>
      <c r="J3187" s="74"/>
      <c r="K3187" s="74">
        <v>102.4</v>
      </c>
      <c r="L3187" s="74">
        <v>92.16</v>
      </c>
      <c r="M3187" s="74"/>
      <c r="N3187" s="74" t="s">
        <v>392</v>
      </c>
      <c r="O3187" s="74" t="s">
        <v>393</v>
      </c>
      <c r="P3187" s="74"/>
      <c r="Q3187" s="74" t="s">
        <v>10847</v>
      </c>
    </row>
    <row r="3188" spans="3:17" x14ac:dyDescent="0.25">
      <c r="C3188" s="74" t="s">
        <v>10856</v>
      </c>
      <c r="D3188" s="74" t="s">
        <v>10857</v>
      </c>
      <c r="E3188" s="74" t="s">
        <v>391</v>
      </c>
      <c r="F3188" s="74">
        <v>0.1</v>
      </c>
      <c r="G3188" s="74"/>
      <c r="H3188" s="74"/>
      <c r="I3188" s="74" t="s">
        <v>391</v>
      </c>
      <c r="J3188" s="74"/>
      <c r="K3188" s="74">
        <v>102.4</v>
      </c>
      <c r="L3188" s="74">
        <v>92.16</v>
      </c>
      <c r="M3188" s="74"/>
      <c r="N3188" s="74" t="s">
        <v>392</v>
      </c>
      <c r="O3188" s="74" t="s">
        <v>393</v>
      </c>
      <c r="P3188" s="74"/>
      <c r="Q3188" s="74" t="s">
        <v>10858</v>
      </c>
    </row>
    <row r="3189" spans="3:17" x14ac:dyDescent="0.25">
      <c r="C3189" s="74" t="s">
        <v>10870</v>
      </c>
      <c r="D3189" s="74" t="s">
        <v>10871</v>
      </c>
      <c r="E3189" s="74" t="s">
        <v>391</v>
      </c>
      <c r="F3189" s="74">
        <v>0.1</v>
      </c>
      <c r="G3189" s="74"/>
      <c r="H3189" s="74"/>
      <c r="I3189" s="74" t="s">
        <v>391</v>
      </c>
      <c r="J3189" s="74"/>
      <c r="K3189" s="74">
        <v>102.4</v>
      </c>
      <c r="L3189" s="74">
        <v>92.16</v>
      </c>
      <c r="M3189" s="74"/>
      <c r="N3189" s="74" t="s">
        <v>392</v>
      </c>
      <c r="O3189" s="74" t="s">
        <v>393</v>
      </c>
      <c r="P3189" s="74"/>
      <c r="Q3189" s="74" t="s">
        <v>10872</v>
      </c>
    </row>
    <row r="3190" spans="3:17" x14ac:dyDescent="0.25">
      <c r="C3190" s="74" t="s">
        <v>10873</v>
      </c>
      <c r="D3190" s="74" t="s">
        <v>10874</v>
      </c>
      <c r="E3190" s="74" t="s">
        <v>391</v>
      </c>
      <c r="F3190" s="74">
        <v>0.1</v>
      </c>
      <c r="G3190" s="74"/>
      <c r="H3190" s="74"/>
      <c r="I3190" s="74" t="s">
        <v>391</v>
      </c>
      <c r="J3190" s="74"/>
      <c r="K3190" s="74">
        <v>102.4</v>
      </c>
      <c r="L3190" s="74">
        <v>92.16</v>
      </c>
      <c r="M3190" s="74"/>
      <c r="N3190" s="74" t="s">
        <v>392</v>
      </c>
      <c r="O3190" s="74" t="s">
        <v>393</v>
      </c>
      <c r="P3190" s="74"/>
      <c r="Q3190" s="74" t="s">
        <v>10875</v>
      </c>
    </row>
    <row r="3191" spans="3:17" x14ac:dyDescent="0.25">
      <c r="C3191" s="74" t="s">
        <v>10906</v>
      </c>
      <c r="D3191" s="74" t="s">
        <v>10907</v>
      </c>
      <c r="E3191" s="74" t="s">
        <v>391</v>
      </c>
      <c r="F3191" s="74">
        <v>0.1</v>
      </c>
      <c r="G3191" s="74"/>
      <c r="H3191" s="74"/>
      <c r="I3191" s="74" t="s">
        <v>391</v>
      </c>
      <c r="J3191" s="74"/>
      <c r="K3191" s="74">
        <v>102.4</v>
      </c>
      <c r="L3191" s="74">
        <v>92.16</v>
      </c>
      <c r="M3191" s="74"/>
      <c r="N3191" s="74" t="s">
        <v>392</v>
      </c>
      <c r="O3191" s="74" t="s">
        <v>393</v>
      </c>
      <c r="P3191" s="74"/>
      <c r="Q3191" s="74" t="s">
        <v>10908</v>
      </c>
    </row>
    <row r="3192" spans="3:17" x14ac:dyDescent="0.25">
      <c r="C3192" s="74" t="s">
        <v>10909</v>
      </c>
      <c r="D3192" s="74" t="s">
        <v>10910</v>
      </c>
      <c r="E3192" s="74" t="s">
        <v>391</v>
      </c>
      <c r="F3192" s="74">
        <v>0.1</v>
      </c>
      <c r="G3192" s="74"/>
      <c r="H3192" s="74"/>
      <c r="I3192" s="74" t="s">
        <v>391</v>
      </c>
      <c r="J3192" s="74"/>
      <c r="K3192" s="74">
        <v>102.4</v>
      </c>
      <c r="L3192" s="74">
        <v>92.16</v>
      </c>
      <c r="M3192" s="74"/>
      <c r="N3192" s="74" t="s">
        <v>392</v>
      </c>
      <c r="O3192" s="74" t="s">
        <v>393</v>
      </c>
      <c r="P3192" s="74"/>
      <c r="Q3192" s="74" t="s">
        <v>10910</v>
      </c>
    </row>
    <row r="3193" spans="3:17" x14ac:dyDescent="0.25">
      <c r="C3193" s="74" t="s">
        <v>10915</v>
      </c>
      <c r="D3193" s="74" t="s">
        <v>10916</v>
      </c>
      <c r="E3193" s="74" t="s">
        <v>391</v>
      </c>
      <c r="F3193" s="74">
        <v>0.1</v>
      </c>
      <c r="G3193" s="74"/>
      <c r="H3193" s="74"/>
      <c r="I3193" s="74" t="s">
        <v>391</v>
      </c>
      <c r="J3193" s="74"/>
      <c r="K3193" s="74">
        <v>102.4</v>
      </c>
      <c r="L3193" s="74">
        <v>92.16</v>
      </c>
      <c r="M3193" s="74"/>
      <c r="N3193" s="74" t="s">
        <v>392</v>
      </c>
      <c r="O3193" s="74" t="s">
        <v>393</v>
      </c>
      <c r="P3193" s="74"/>
      <c r="Q3193" s="74" t="s">
        <v>10917</v>
      </c>
    </row>
    <row r="3194" spans="3:17" x14ac:dyDescent="0.25">
      <c r="C3194" s="74" t="s">
        <v>10918</v>
      </c>
      <c r="D3194" s="74" t="s">
        <v>10919</v>
      </c>
      <c r="E3194" s="74" t="s">
        <v>391</v>
      </c>
      <c r="F3194" s="74">
        <v>0.1</v>
      </c>
      <c r="G3194" s="74"/>
      <c r="H3194" s="74"/>
      <c r="I3194" s="74" t="s">
        <v>391</v>
      </c>
      <c r="J3194" s="74"/>
      <c r="K3194" s="74">
        <v>102.4</v>
      </c>
      <c r="L3194" s="74">
        <v>92.16</v>
      </c>
      <c r="M3194" s="74"/>
      <c r="N3194" s="74" t="s">
        <v>392</v>
      </c>
      <c r="O3194" s="74" t="s">
        <v>393</v>
      </c>
      <c r="P3194" s="74"/>
      <c r="Q3194" s="74" t="s">
        <v>10920</v>
      </c>
    </row>
    <row r="3195" spans="3:17" x14ac:dyDescent="0.25">
      <c r="C3195" s="74" t="s">
        <v>10925</v>
      </c>
      <c r="D3195" s="74" t="s">
        <v>10926</v>
      </c>
      <c r="E3195" s="74" t="s">
        <v>391</v>
      </c>
      <c r="F3195" s="74">
        <v>0.1</v>
      </c>
      <c r="G3195" s="74"/>
      <c r="H3195" s="74"/>
      <c r="I3195" s="74" t="s">
        <v>391</v>
      </c>
      <c r="J3195" s="74"/>
      <c r="K3195" s="74">
        <v>102.4</v>
      </c>
      <c r="L3195" s="74">
        <v>92.16</v>
      </c>
      <c r="M3195" s="74"/>
      <c r="N3195" s="74" t="s">
        <v>392</v>
      </c>
      <c r="O3195" s="74" t="s">
        <v>393</v>
      </c>
      <c r="P3195" s="74"/>
      <c r="Q3195" s="74" t="s">
        <v>10927</v>
      </c>
    </row>
    <row r="3196" spans="3:17" x14ac:dyDescent="0.25">
      <c r="C3196" s="74" t="s">
        <v>10932</v>
      </c>
      <c r="D3196" s="74" t="s">
        <v>10933</v>
      </c>
      <c r="E3196" s="74" t="s">
        <v>391</v>
      </c>
      <c r="F3196" s="74">
        <v>0.1</v>
      </c>
      <c r="G3196" s="74"/>
      <c r="H3196" s="74"/>
      <c r="I3196" s="74" t="s">
        <v>391</v>
      </c>
      <c r="J3196" s="74"/>
      <c r="K3196" s="74">
        <v>102.4</v>
      </c>
      <c r="L3196" s="74">
        <v>92.16</v>
      </c>
      <c r="M3196" s="74"/>
      <c r="N3196" s="74" t="s">
        <v>392</v>
      </c>
      <c r="O3196" s="74" t="s">
        <v>393</v>
      </c>
      <c r="P3196" s="74"/>
      <c r="Q3196" s="74" t="s">
        <v>10934</v>
      </c>
    </row>
    <row r="3197" spans="3:17" x14ac:dyDescent="0.25">
      <c r="C3197" s="74" t="s">
        <v>10946</v>
      </c>
      <c r="D3197" s="74" t="s">
        <v>10947</v>
      </c>
      <c r="E3197" s="74" t="s">
        <v>391</v>
      </c>
      <c r="F3197" s="74">
        <v>0.1</v>
      </c>
      <c r="G3197" s="74"/>
      <c r="H3197" s="74"/>
      <c r="I3197" s="74" t="s">
        <v>391</v>
      </c>
      <c r="J3197" s="74"/>
      <c r="K3197" s="74">
        <v>102.4</v>
      </c>
      <c r="L3197" s="74">
        <v>92.16</v>
      </c>
      <c r="M3197" s="74"/>
      <c r="N3197" s="74" t="s">
        <v>392</v>
      </c>
      <c r="O3197" s="74" t="s">
        <v>393</v>
      </c>
      <c r="P3197" s="74"/>
      <c r="Q3197" s="74" t="s">
        <v>10948</v>
      </c>
    </row>
    <row r="3198" spans="3:17" x14ac:dyDescent="0.25">
      <c r="C3198" s="74" t="s">
        <v>10957</v>
      </c>
      <c r="D3198" s="74" t="s">
        <v>10958</v>
      </c>
      <c r="E3198" s="74" t="s">
        <v>391</v>
      </c>
      <c r="F3198" s="74">
        <v>0.1</v>
      </c>
      <c r="G3198" s="74"/>
      <c r="H3198" s="74"/>
      <c r="I3198" s="74" t="s">
        <v>391</v>
      </c>
      <c r="J3198" s="74"/>
      <c r="K3198" s="74">
        <v>102.4</v>
      </c>
      <c r="L3198" s="74">
        <v>92.16</v>
      </c>
      <c r="M3198" s="74"/>
      <c r="N3198" s="74" t="s">
        <v>392</v>
      </c>
      <c r="O3198" s="74" t="s">
        <v>393</v>
      </c>
      <c r="P3198" s="74"/>
      <c r="Q3198" s="74" t="s">
        <v>10959</v>
      </c>
    </row>
    <row r="3199" spans="3:17" x14ac:dyDescent="0.25">
      <c r="C3199" s="74" t="s">
        <v>10960</v>
      </c>
      <c r="D3199" s="74" t="s">
        <v>10961</v>
      </c>
      <c r="E3199" s="74"/>
      <c r="F3199" s="74">
        <v>0.1</v>
      </c>
      <c r="G3199" s="74"/>
      <c r="H3199" s="74"/>
      <c r="I3199" s="74" t="s">
        <v>391</v>
      </c>
      <c r="J3199" s="74"/>
      <c r="K3199" s="74">
        <v>102.4</v>
      </c>
      <c r="L3199" s="74">
        <v>92.16</v>
      </c>
      <c r="M3199" s="74"/>
      <c r="N3199" s="74" t="s">
        <v>392</v>
      </c>
      <c r="O3199" s="74" t="s">
        <v>402</v>
      </c>
      <c r="P3199" s="74" t="s">
        <v>10962</v>
      </c>
      <c r="Q3199" s="74" t="s">
        <v>10963</v>
      </c>
    </row>
    <row r="3200" spans="3:17" x14ac:dyDescent="0.25">
      <c r="C3200" s="74" t="s">
        <v>10968</v>
      </c>
      <c r="D3200" s="74" t="s">
        <v>10969</v>
      </c>
      <c r="E3200" s="74" t="s">
        <v>391</v>
      </c>
      <c r="F3200" s="74">
        <v>0.1</v>
      </c>
      <c r="G3200" s="74"/>
      <c r="H3200" s="74"/>
      <c r="I3200" s="74" t="s">
        <v>391</v>
      </c>
      <c r="J3200" s="74"/>
      <c r="K3200" s="74">
        <v>102.4</v>
      </c>
      <c r="L3200" s="74">
        <v>92.16</v>
      </c>
      <c r="M3200" s="74"/>
      <c r="N3200" s="74" t="s">
        <v>392</v>
      </c>
      <c r="O3200" s="74" t="s">
        <v>393</v>
      </c>
      <c r="P3200" s="74"/>
      <c r="Q3200" s="74" t="s">
        <v>10969</v>
      </c>
    </row>
    <row r="3201" spans="3:17" x14ac:dyDescent="0.25">
      <c r="C3201" s="74" t="s">
        <v>10981</v>
      </c>
      <c r="D3201" s="74" t="s">
        <v>10982</v>
      </c>
      <c r="E3201" s="74" t="s">
        <v>391</v>
      </c>
      <c r="F3201" s="74">
        <v>0.1</v>
      </c>
      <c r="G3201" s="74"/>
      <c r="H3201" s="74"/>
      <c r="I3201" s="74" t="s">
        <v>391</v>
      </c>
      <c r="J3201" s="74"/>
      <c r="K3201" s="74">
        <v>102.4</v>
      </c>
      <c r="L3201" s="74">
        <v>92.16</v>
      </c>
      <c r="M3201" s="74"/>
      <c r="N3201" s="74" t="s">
        <v>392</v>
      </c>
      <c r="O3201" s="74" t="s">
        <v>393</v>
      </c>
      <c r="P3201" s="74"/>
      <c r="Q3201" s="74" t="s">
        <v>10983</v>
      </c>
    </row>
    <row r="3202" spans="3:17" x14ac:dyDescent="0.25">
      <c r="C3202" s="74" t="s">
        <v>10988</v>
      </c>
      <c r="D3202" s="74" t="s">
        <v>10989</v>
      </c>
      <c r="E3202" s="74" t="s">
        <v>391</v>
      </c>
      <c r="F3202" s="74">
        <v>0.1</v>
      </c>
      <c r="G3202" s="74"/>
      <c r="H3202" s="74"/>
      <c r="I3202" s="74" t="s">
        <v>391</v>
      </c>
      <c r="J3202" s="74"/>
      <c r="K3202" s="74">
        <v>102.4</v>
      </c>
      <c r="L3202" s="74">
        <v>92.16</v>
      </c>
      <c r="M3202" s="74"/>
      <c r="N3202" s="74" t="s">
        <v>392</v>
      </c>
      <c r="O3202" s="74" t="s">
        <v>393</v>
      </c>
      <c r="P3202" s="74"/>
      <c r="Q3202" s="74" t="s">
        <v>10990</v>
      </c>
    </row>
    <row r="3203" spans="3:17" x14ac:dyDescent="0.25">
      <c r="C3203" s="74" t="s">
        <v>10991</v>
      </c>
      <c r="D3203" s="74" t="s">
        <v>10992</v>
      </c>
      <c r="E3203" s="74" t="s">
        <v>391</v>
      </c>
      <c r="F3203" s="74">
        <v>0.1</v>
      </c>
      <c r="G3203" s="74"/>
      <c r="H3203" s="74"/>
      <c r="I3203" s="74" t="s">
        <v>391</v>
      </c>
      <c r="J3203" s="74"/>
      <c r="K3203" s="74">
        <v>102.4</v>
      </c>
      <c r="L3203" s="74">
        <v>92.16</v>
      </c>
      <c r="M3203" s="74"/>
      <c r="N3203" s="74" t="s">
        <v>392</v>
      </c>
      <c r="O3203" s="74" t="s">
        <v>393</v>
      </c>
      <c r="P3203" s="74"/>
      <c r="Q3203" s="74" t="s">
        <v>10993</v>
      </c>
    </row>
    <row r="3204" spans="3:17" x14ac:dyDescent="0.25">
      <c r="C3204" s="74" t="s">
        <v>11010</v>
      </c>
      <c r="D3204" s="74" t="s">
        <v>11011</v>
      </c>
      <c r="E3204" s="74" t="s">
        <v>391</v>
      </c>
      <c r="F3204" s="74">
        <v>0.1</v>
      </c>
      <c r="G3204" s="74"/>
      <c r="H3204" s="74"/>
      <c r="I3204" s="74" t="s">
        <v>391</v>
      </c>
      <c r="J3204" s="74"/>
      <c r="K3204" s="74">
        <v>102.4</v>
      </c>
      <c r="L3204" s="74">
        <v>92.16</v>
      </c>
      <c r="M3204" s="74"/>
      <c r="N3204" s="74" t="s">
        <v>392</v>
      </c>
      <c r="O3204" s="74" t="s">
        <v>393</v>
      </c>
      <c r="P3204" s="74"/>
      <c r="Q3204" s="74" t="s">
        <v>11011</v>
      </c>
    </row>
    <row r="3205" spans="3:17" x14ac:dyDescent="0.25">
      <c r="C3205" s="74" t="s">
        <v>11012</v>
      </c>
      <c r="D3205" s="74" t="s">
        <v>11013</v>
      </c>
      <c r="E3205" s="74" t="s">
        <v>391</v>
      </c>
      <c r="F3205" s="74">
        <v>0.1</v>
      </c>
      <c r="G3205" s="74"/>
      <c r="H3205" s="74"/>
      <c r="I3205" s="74" t="s">
        <v>391</v>
      </c>
      <c r="J3205" s="74"/>
      <c r="K3205" s="74">
        <v>102.4</v>
      </c>
      <c r="L3205" s="74">
        <v>92.16</v>
      </c>
      <c r="M3205" s="74"/>
      <c r="N3205" s="74" t="s">
        <v>392</v>
      </c>
      <c r="O3205" s="74" t="s">
        <v>393</v>
      </c>
      <c r="P3205" s="74"/>
      <c r="Q3205" s="74" t="s">
        <v>11014</v>
      </c>
    </row>
    <row r="3206" spans="3:17" x14ac:dyDescent="0.25">
      <c r="C3206" s="74" t="s">
        <v>11030</v>
      </c>
      <c r="D3206" s="74" t="s">
        <v>11031</v>
      </c>
      <c r="E3206" s="74" t="s">
        <v>391</v>
      </c>
      <c r="F3206" s="74">
        <v>0.1</v>
      </c>
      <c r="G3206" s="74"/>
      <c r="H3206" s="74"/>
      <c r="I3206" s="74" t="s">
        <v>391</v>
      </c>
      <c r="J3206" s="74"/>
      <c r="K3206" s="74">
        <v>102.4</v>
      </c>
      <c r="L3206" s="74">
        <v>92.16</v>
      </c>
      <c r="M3206" s="74"/>
      <c r="N3206" s="74" t="s">
        <v>392</v>
      </c>
      <c r="O3206" s="74" t="s">
        <v>393</v>
      </c>
      <c r="P3206" s="74"/>
      <c r="Q3206" s="74" t="s">
        <v>11032</v>
      </c>
    </row>
    <row r="3207" spans="3:17" x14ac:dyDescent="0.25">
      <c r="C3207" s="74" t="s">
        <v>11033</v>
      </c>
      <c r="D3207" s="74" t="s">
        <v>11034</v>
      </c>
      <c r="E3207" s="74" t="s">
        <v>391</v>
      </c>
      <c r="F3207" s="74">
        <v>0.1</v>
      </c>
      <c r="G3207" s="74"/>
      <c r="H3207" s="74"/>
      <c r="I3207" s="74" t="s">
        <v>391</v>
      </c>
      <c r="J3207" s="74"/>
      <c r="K3207" s="74">
        <v>102.4</v>
      </c>
      <c r="L3207" s="74">
        <v>92.16</v>
      </c>
      <c r="M3207" s="74"/>
      <c r="N3207" s="74" t="s">
        <v>392</v>
      </c>
      <c r="O3207" s="74" t="s">
        <v>393</v>
      </c>
      <c r="P3207" s="74"/>
      <c r="Q3207" s="74" t="s">
        <v>11035</v>
      </c>
    </row>
    <row r="3208" spans="3:17" x14ac:dyDescent="0.25">
      <c r="C3208" s="74" t="s">
        <v>11036</v>
      </c>
      <c r="D3208" s="74" t="s">
        <v>11037</v>
      </c>
      <c r="E3208" s="74" t="s">
        <v>391</v>
      </c>
      <c r="F3208" s="74">
        <v>0.1</v>
      </c>
      <c r="G3208" s="74"/>
      <c r="H3208" s="74"/>
      <c r="I3208" s="74" t="s">
        <v>391</v>
      </c>
      <c r="J3208" s="74"/>
      <c r="K3208" s="74">
        <v>102.4</v>
      </c>
      <c r="L3208" s="74">
        <v>92.16</v>
      </c>
      <c r="M3208" s="74"/>
      <c r="N3208" s="74" t="s">
        <v>392</v>
      </c>
      <c r="O3208" s="74" t="s">
        <v>393</v>
      </c>
      <c r="P3208" s="74"/>
      <c r="Q3208" s="74" t="s">
        <v>11038</v>
      </c>
    </row>
    <row r="3209" spans="3:17" x14ac:dyDescent="0.25">
      <c r="C3209" s="74" t="s">
        <v>11047</v>
      </c>
      <c r="D3209" s="74" t="s">
        <v>11048</v>
      </c>
      <c r="E3209" s="74" t="s">
        <v>391</v>
      </c>
      <c r="F3209" s="74">
        <v>0.1</v>
      </c>
      <c r="G3209" s="74"/>
      <c r="H3209" s="74"/>
      <c r="I3209" s="74" t="s">
        <v>391</v>
      </c>
      <c r="J3209" s="74"/>
      <c r="K3209" s="74">
        <v>102.4</v>
      </c>
      <c r="L3209" s="74">
        <v>92.16</v>
      </c>
      <c r="M3209" s="74"/>
      <c r="N3209" s="74" t="s">
        <v>392</v>
      </c>
      <c r="O3209" s="74" t="s">
        <v>393</v>
      </c>
      <c r="P3209" s="74"/>
      <c r="Q3209" s="74" t="s">
        <v>11049</v>
      </c>
    </row>
    <row r="3210" spans="3:17" x14ac:dyDescent="0.25">
      <c r="C3210" s="74" t="s">
        <v>11065</v>
      </c>
      <c r="D3210" s="74" t="s">
        <v>11066</v>
      </c>
      <c r="E3210" s="74" t="s">
        <v>391</v>
      </c>
      <c r="F3210" s="74">
        <v>0.1</v>
      </c>
      <c r="G3210" s="74"/>
      <c r="H3210" s="74"/>
      <c r="I3210" s="74" t="s">
        <v>391</v>
      </c>
      <c r="J3210" s="74"/>
      <c r="K3210" s="74">
        <v>102.4</v>
      </c>
      <c r="L3210" s="74">
        <v>92.16</v>
      </c>
      <c r="M3210" s="74"/>
      <c r="N3210" s="74" t="s">
        <v>392</v>
      </c>
      <c r="O3210" s="74" t="s">
        <v>393</v>
      </c>
      <c r="P3210" s="74"/>
      <c r="Q3210" s="74" t="s">
        <v>11067</v>
      </c>
    </row>
    <row r="3211" spans="3:17" x14ac:dyDescent="0.25">
      <c r="C3211" s="74" t="s">
        <v>11094</v>
      </c>
      <c r="D3211" s="74" t="s">
        <v>11095</v>
      </c>
      <c r="E3211" s="74" t="s">
        <v>391</v>
      </c>
      <c r="F3211" s="74">
        <v>0.1</v>
      </c>
      <c r="G3211" s="74"/>
      <c r="H3211" s="74"/>
      <c r="I3211" s="74" t="s">
        <v>391</v>
      </c>
      <c r="J3211" s="74"/>
      <c r="K3211" s="74">
        <v>102.4</v>
      </c>
      <c r="L3211" s="74">
        <v>92.16</v>
      </c>
      <c r="M3211" s="74"/>
      <c r="N3211" s="74" t="s">
        <v>392</v>
      </c>
      <c r="O3211" s="74" t="s">
        <v>393</v>
      </c>
      <c r="P3211" s="74"/>
      <c r="Q3211" s="74" t="s">
        <v>11096</v>
      </c>
    </row>
    <row r="3212" spans="3:17" x14ac:dyDescent="0.25">
      <c r="C3212" s="74" t="s">
        <v>11097</v>
      </c>
      <c r="D3212" s="74" t="s">
        <v>11098</v>
      </c>
      <c r="E3212" s="74" t="s">
        <v>391</v>
      </c>
      <c r="F3212" s="74">
        <v>0.1</v>
      </c>
      <c r="G3212" s="74"/>
      <c r="H3212" s="74"/>
      <c r="I3212" s="74" t="s">
        <v>391</v>
      </c>
      <c r="J3212" s="74"/>
      <c r="K3212" s="74">
        <v>102.4</v>
      </c>
      <c r="L3212" s="74">
        <v>92.16</v>
      </c>
      <c r="M3212" s="74"/>
      <c r="N3212" s="74" t="s">
        <v>392</v>
      </c>
      <c r="O3212" s="74" t="s">
        <v>393</v>
      </c>
      <c r="P3212" s="74"/>
      <c r="Q3212" s="74" t="s">
        <v>11099</v>
      </c>
    </row>
    <row r="3213" spans="3:17" x14ac:dyDescent="0.25">
      <c r="C3213" s="74" t="s">
        <v>11135</v>
      </c>
      <c r="D3213" s="74" t="s">
        <v>11136</v>
      </c>
      <c r="E3213" s="74" t="s">
        <v>391</v>
      </c>
      <c r="F3213" s="74">
        <v>0.1</v>
      </c>
      <c r="G3213" s="74"/>
      <c r="H3213" s="74"/>
      <c r="I3213" s="74" t="s">
        <v>391</v>
      </c>
      <c r="J3213" s="74"/>
      <c r="K3213" s="74">
        <v>102.4</v>
      </c>
      <c r="L3213" s="74">
        <v>92.16</v>
      </c>
      <c r="M3213" s="74"/>
      <c r="N3213" s="74" t="s">
        <v>392</v>
      </c>
      <c r="O3213" s="74" t="s">
        <v>393</v>
      </c>
      <c r="P3213" s="74"/>
      <c r="Q3213" s="74" t="s">
        <v>11137</v>
      </c>
    </row>
    <row r="3214" spans="3:17" x14ac:dyDescent="0.25">
      <c r="C3214" s="74" t="s">
        <v>11150</v>
      </c>
      <c r="D3214" s="74" t="s">
        <v>11151</v>
      </c>
      <c r="E3214" s="74" t="s">
        <v>391</v>
      </c>
      <c r="F3214" s="74">
        <v>0.1</v>
      </c>
      <c r="G3214" s="74"/>
      <c r="H3214" s="74"/>
      <c r="I3214" s="74" t="s">
        <v>391</v>
      </c>
      <c r="J3214" s="74"/>
      <c r="K3214" s="74">
        <v>102.4</v>
      </c>
      <c r="L3214" s="74">
        <v>92.16</v>
      </c>
      <c r="M3214" s="74"/>
      <c r="N3214" s="74" t="s">
        <v>392</v>
      </c>
      <c r="O3214" s="74" t="s">
        <v>393</v>
      </c>
      <c r="P3214" s="74"/>
      <c r="Q3214" s="74" t="s">
        <v>11152</v>
      </c>
    </row>
    <row r="3215" spans="3:17" x14ac:dyDescent="0.25">
      <c r="C3215" s="74" t="s">
        <v>11153</v>
      </c>
      <c r="D3215" s="74" t="s">
        <v>11154</v>
      </c>
      <c r="E3215" s="74" t="s">
        <v>391</v>
      </c>
      <c r="F3215" s="74">
        <v>0.1</v>
      </c>
      <c r="G3215" s="74"/>
      <c r="H3215" s="74"/>
      <c r="I3215" s="74" t="s">
        <v>391</v>
      </c>
      <c r="J3215" s="74"/>
      <c r="K3215" s="74">
        <v>102.4</v>
      </c>
      <c r="L3215" s="74">
        <v>92.16</v>
      </c>
      <c r="M3215" s="74"/>
      <c r="N3215" s="74" t="s">
        <v>392</v>
      </c>
      <c r="O3215" s="74" t="s">
        <v>393</v>
      </c>
      <c r="P3215" s="74"/>
      <c r="Q3215" s="74" t="s">
        <v>11154</v>
      </c>
    </row>
    <row r="3216" spans="3:17" x14ac:dyDescent="0.25">
      <c r="C3216" s="74" t="s">
        <v>11163</v>
      </c>
      <c r="D3216" s="74" t="s">
        <v>11164</v>
      </c>
      <c r="E3216" s="74" t="s">
        <v>391</v>
      </c>
      <c r="F3216" s="74">
        <v>0.1</v>
      </c>
      <c r="G3216" s="74"/>
      <c r="H3216" s="74"/>
      <c r="I3216" s="74" t="s">
        <v>391</v>
      </c>
      <c r="J3216" s="74"/>
      <c r="K3216" s="74">
        <v>102.4</v>
      </c>
      <c r="L3216" s="74">
        <v>92.16</v>
      </c>
      <c r="M3216" s="74"/>
      <c r="N3216" s="74" t="s">
        <v>392</v>
      </c>
      <c r="O3216" s="74" t="s">
        <v>393</v>
      </c>
      <c r="P3216" s="74"/>
      <c r="Q3216" s="74" t="s">
        <v>11165</v>
      </c>
    </row>
    <row r="3217" spans="3:17" x14ac:dyDescent="0.25">
      <c r="C3217" s="74" t="s">
        <v>11166</v>
      </c>
      <c r="D3217" s="74" t="s">
        <v>11167</v>
      </c>
      <c r="E3217" s="74" t="s">
        <v>391</v>
      </c>
      <c r="F3217" s="74">
        <v>0.1</v>
      </c>
      <c r="G3217" s="74"/>
      <c r="H3217" s="74"/>
      <c r="I3217" s="74" t="s">
        <v>391</v>
      </c>
      <c r="J3217" s="74"/>
      <c r="K3217" s="74">
        <v>102.4</v>
      </c>
      <c r="L3217" s="74">
        <v>92.16</v>
      </c>
      <c r="M3217" s="74"/>
      <c r="N3217" s="74" t="s">
        <v>392</v>
      </c>
      <c r="O3217" s="74" t="s">
        <v>393</v>
      </c>
      <c r="P3217" s="74"/>
      <c r="Q3217" s="74" t="s">
        <v>11168</v>
      </c>
    </row>
    <row r="3218" spans="3:17" x14ac:dyDescent="0.25">
      <c r="C3218" s="74" t="s">
        <v>11176</v>
      </c>
      <c r="D3218" s="74" t="s">
        <v>11177</v>
      </c>
      <c r="E3218" s="74" t="s">
        <v>391</v>
      </c>
      <c r="F3218" s="74">
        <v>0.1</v>
      </c>
      <c r="G3218" s="74"/>
      <c r="H3218" s="74"/>
      <c r="I3218" s="74" t="s">
        <v>391</v>
      </c>
      <c r="J3218" s="74"/>
      <c r="K3218" s="74">
        <v>102.4</v>
      </c>
      <c r="L3218" s="74">
        <v>92.16</v>
      </c>
      <c r="M3218" s="74"/>
      <c r="N3218" s="74" t="s">
        <v>392</v>
      </c>
      <c r="O3218" s="74" t="s">
        <v>393</v>
      </c>
      <c r="P3218" s="74"/>
      <c r="Q3218" s="74" t="s">
        <v>11178</v>
      </c>
    </row>
    <row r="3219" spans="3:17" x14ac:dyDescent="0.25">
      <c r="C3219" s="74" t="s">
        <v>11203</v>
      </c>
      <c r="D3219" s="74" t="s">
        <v>11204</v>
      </c>
      <c r="E3219" s="74" t="s">
        <v>391</v>
      </c>
      <c r="F3219" s="74">
        <v>0.1</v>
      </c>
      <c r="G3219" s="74"/>
      <c r="H3219" s="74"/>
      <c r="I3219" s="74" t="s">
        <v>391</v>
      </c>
      <c r="J3219" s="74"/>
      <c r="K3219" s="74">
        <v>102.4</v>
      </c>
      <c r="L3219" s="74">
        <v>92.16</v>
      </c>
      <c r="M3219" s="74"/>
      <c r="N3219" s="74" t="s">
        <v>392</v>
      </c>
      <c r="O3219" s="74" t="s">
        <v>393</v>
      </c>
      <c r="P3219" s="74"/>
      <c r="Q3219" s="74" t="s">
        <v>11205</v>
      </c>
    </row>
    <row r="3220" spans="3:17" x14ac:dyDescent="0.25">
      <c r="C3220" s="74" t="s">
        <v>11217</v>
      </c>
      <c r="D3220" s="74" t="s">
        <v>11218</v>
      </c>
      <c r="E3220" s="74" t="s">
        <v>391</v>
      </c>
      <c r="F3220" s="74">
        <v>0.1</v>
      </c>
      <c r="G3220" s="74"/>
      <c r="H3220" s="74"/>
      <c r="I3220" s="74" t="s">
        <v>391</v>
      </c>
      <c r="J3220" s="74"/>
      <c r="K3220" s="74">
        <v>102.4</v>
      </c>
      <c r="L3220" s="74">
        <v>92.16</v>
      </c>
      <c r="M3220" s="74"/>
      <c r="N3220" s="74" t="s">
        <v>392</v>
      </c>
      <c r="O3220" s="74" t="s">
        <v>393</v>
      </c>
      <c r="P3220" s="74"/>
      <c r="Q3220" s="74" t="s">
        <v>11219</v>
      </c>
    </row>
    <row r="3221" spans="3:17" x14ac:dyDescent="0.25">
      <c r="C3221" s="74" t="s">
        <v>11220</v>
      </c>
      <c r="D3221" s="74" t="s">
        <v>11221</v>
      </c>
      <c r="E3221" s="74" t="s">
        <v>391</v>
      </c>
      <c r="F3221" s="74">
        <v>0.1</v>
      </c>
      <c r="G3221" s="74"/>
      <c r="H3221" s="74"/>
      <c r="I3221" s="74" t="s">
        <v>391</v>
      </c>
      <c r="J3221" s="74"/>
      <c r="K3221" s="74">
        <v>102.4</v>
      </c>
      <c r="L3221" s="74">
        <v>92.16</v>
      </c>
      <c r="M3221" s="74"/>
      <c r="N3221" s="74" t="s">
        <v>392</v>
      </c>
      <c r="O3221" s="74" t="s">
        <v>393</v>
      </c>
      <c r="P3221" s="74"/>
      <c r="Q3221" s="74" t="s">
        <v>11222</v>
      </c>
    </row>
    <row r="3222" spans="3:17" x14ac:dyDescent="0.25">
      <c r="C3222" s="74" t="s">
        <v>11231</v>
      </c>
      <c r="D3222" s="74" t="s">
        <v>11232</v>
      </c>
      <c r="E3222" s="74" t="s">
        <v>391</v>
      </c>
      <c r="F3222" s="74">
        <v>0.1</v>
      </c>
      <c r="G3222" s="74"/>
      <c r="H3222" s="74"/>
      <c r="I3222" s="74" t="s">
        <v>391</v>
      </c>
      <c r="J3222" s="74"/>
      <c r="K3222" s="74">
        <v>102.4</v>
      </c>
      <c r="L3222" s="74">
        <v>92.16</v>
      </c>
      <c r="M3222" s="74"/>
      <c r="N3222" s="74" t="s">
        <v>392</v>
      </c>
      <c r="O3222" s="74" t="s">
        <v>393</v>
      </c>
      <c r="P3222" s="74"/>
      <c r="Q3222" s="74" t="s">
        <v>11233</v>
      </c>
    </row>
    <row r="3223" spans="3:17" x14ac:dyDescent="0.25">
      <c r="C3223" s="74" t="s">
        <v>11234</v>
      </c>
      <c r="D3223" s="74" t="s">
        <v>11235</v>
      </c>
      <c r="E3223" s="74" t="s">
        <v>391</v>
      </c>
      <c r="F3223" s="74">
        <v>0.1</v>
      </c>
      <c r="G3223" s="74"/>
      <c r="H3223" s="74"/>
      <c r="I3223" s="74" t="s">
        <v>391</v>
      </c>
      <c r="J3223" s="74"/>
      <c r="K3223" s="74">
        <v>102.4</v>
      </c>
      <c r="L3223" s="74">
        <v>92.16</v>
      </c>
      <c r="M3223" s="74"/>
      <c r="N3223" s="74" t="s">
        <v>392</v>
      </c>
      <c r="O3223" s="74" t="s">
        <v>393</v>
      </c>
      <c r="P3223" s="74"/>
      <c r="Q3223" s="74" t="s">
        <v>11236</v>
      </c>
    </row>
    <row r="3224" spans="3:17" x14ac:dyDescent="0.25">
      <c r="C3224" s="74" t="s">
        <v>11237</v>
      </c>
      <c r="D3224" s="74" t="s">
        <v>11238</v>
      </c>
      <c r="E3224" s="74" t="s">
        <v>391</v>
      </c>
      <c r="F3224" s="74">
        <v>0.1</v>
      </c>
      <c r="G3224" s="74"/>
      <c r="H3224" s="74"/>
      <c r="I3224" s="74" t="s">
        <v>391</v>
      </c>
      <c r="J3224" s="74"/>
      <c r="K3224" s="74">
        <v>102.4</v>
      </c>
      <c r="L3224" s="74">
        <v>92.16</v>
      </c>
      <c r="M3224" s="74"/>
      <c r="N3224" s="74" t="s">
        <v>392</v>
      </c>
      <c r="O3224" s="74" t="s">
        <v>393</v>
      </c>
      <c r="P3224" s="74"/>
      <c r="Q3224" s="74" t="s">
        <v>11239</v>
      </c>
    </row>
    <row r="3225" spans="3:17" x14ac:dyDescent="0.25">
      <c r="C3225" s="74" t="s">
        <v>11259</v>
      </c>
      <c r="D3225" s="74" t="s">
        <v>11260</v>
      </c>
      <c r="E3225" s="74" t="s">
        <v>391</v>
      </c>
      <c r="F3225" s="74">
        <v>0.1</v>
      </c>
      <c r="G3225" s="74"/>
      <c r="H3225" s="74"/>
      <c r="I3225" s="74" t="s">
        <v>391</v>
      </c>
      <c r="J3225" s="74"/>
      <c r="K3225" s="74">
        <v>102.4</v>
      </c>
      <c r="L3225" s="74">
        <v>92.16</v>
      </c>
      <c r="M3225" s="74"/>
      <c r="N3225" s="74" t="s">
        <v>392</v>
      </c>
      <c r="O3225" s="74" t="s">
        <v>393</v>
      </c>
      <c r="P3225" s="74"/>
      <c r="Q3225" s="74" t="s">
        <v>11261</v>
      </c>
    </row>
    <row r="3226" spans="3:17" x14ac:dyDescent="0.25">
      <c r="C3226" s="74" t="s">
        <v>11289</v>
      </c>
      <c r="D3226" s="74" t="s">
        <v>11290</v>
      </c>
      <c r="E3226" s="74" t="s">
        <v>391</v>
      </c>
      <c r="F3226" s="74">
        <v>0.1</v>
      </c>
      <c r="G3226" s="74"/>
      <c r="H3226" s="74"/>
      <c r="I3226" s="74" t="s">
        <v>391</v>
      </c>
      <c r="J3226" s="74"/>
      <c r="K3226" s="74">
        <v>102.4</v>
      </c>
      <c r="L3226" s="74">
        <v>92.16</v>
      </c>
      <c r="M3226" s="74"/>
      <c r="N3226" s="74" t="s">
        <v>392</v>
      </c>
      <c r="O3226" s="74" t="s">
        <v>393</v>
      </c>
      <c r="P3226" s="74"/>
      <c r="Q3226" s="74" t="s">
        <v>11290</v>
      </c>
    </row>
    <row r="3227" spans="3:17" x14ac:dyDescent="0.25">
      <c r="C3227" s="74" t="s">
        <v>11348</v>
      </c>
      <c r="D3227" s="74" t="s">
        <v>11349</v>
      </c>
      <c r="E3227" s="74" t="s">
        <v>391</v>
      </c>
      <c r="F3227" s="74">
        <v>0.1</v>
      </c>
      <c r="G3227" s="74"/>
      <c r="H3227" s="74"/>
      <c r="I3227" s="74" t="s">
        <v>391</v>
      </c>
      <c r="J3227" s="74"/>
      <c r="K3227" s="74">
        <v>102.4</v>
      </c>
      <c r="L3227" s="74">
        <v>92.16</v>
      </c>
      <c r="M3227" s="74"/>
      <c r="N3227" s="74" t="s">
        <v>392</v>
      </c>
      <c r="O3227" s="74" t="s">
        <v>393</v>
      </c>
      <c r="P3227" s="74"/>
      <c r="Q3227" s="74" t="s">
        <v>11350</v>
      </c>
    </row>
    <row r="3228" spans="3:17" x14ac:dyDescent="0.25">
      <c r="C3228" s="74" t="s">
        <v>11355</v>
      </c>
      <c r="D3228" s="74" t="s">
        <v>11356</v>
      </c>
      <c r="E3228" s="74" t="s">
        <v>391</v>
      </c>
      <c r="F3228" s="74">
        <v>0.1</v>
      </c>
      <c r="G3228" s="74"/>
      <c r="H3228" s="74"/>
      <c r="I3228" s="74" t="s">
        <v>391</v>
      </c>
      <c r="J3228" s="74"/>
      <c r="K3228" s="74">
        <v>102.4</v>
      </c>
      <c r="L3228" s="74">
        <v>92.16</v>
      </c>
      <c r="M3228" s="74"/>
      <c r="N3228" s="74" t="s">
        <v>392</v>
      </c>
      <c r="O3228" s="74" t="s">
        <v>393</v>
      </c>
      <c r="P3228" s="74"/>
      <c r="Q3228" s="74" t="s">
        <v>11357</v>
      </c>
    </row>
    <row r="3229" spans="3:17" x14ac:dyDescent="0.25">
      <c r="C3229" s="74" t="s">
        <v>11358</v>
      </c>
      <c r="D3229" s="74" t="s">
        <v>11359</v>
      </c>
      <c r="E3229" s="74" t="s">
        <v>391</v>
      </c>
      <c r="F3229" s="74">
        <v>0.1</v>
      </c>
      <c r="G3229" s="74"/>
      <c r="H3229" s="74"/>
      <c r="I3229" s="74" t="s">
        <v>391</v>
      </c>
      <c r="J3229" s="74"/>
      <c r="K3229" s="74">
        <v>102.4</v>
      </c>
      <c r="L3229" s="74">
        <v>92.16</v>
      </c>
      <c r="M3229" s="74"/>
      <c r="N3229" s="74" t="s">
        <v>392</v>
      </c>
      <c r="O3229" s="74" t="s">
        <v>393</v>
      </c>
      <c r="P3229" s="74"/>
      <c r="Q3229" s="74" t="s">
        <v>11360</v>
      </c>
    </row>
    <row r="3230" spans="3:17" x14ac:dyDescent="0.25">
      <c r="C3230" s="74" t="s">
        <v>11365</v>
      </c>
      <c r="D3230" s="74" t="s">
        <v>11366</v>
      </c>
      <c r="E3230" s="74" t="s">
        <v>391</v>
      </c>
      <c r="F3230" s="74">
        <v>0.1</v>
      </c>
      <c r="G3230" s="74"/>
      <c r="H3230" s="74"/>
      <c r="I3230" s="74" t="s">
        <v>391</v>
      </c>
      <c r="J3230" s="74"/>
      <c r="K3230" s="74">
        <v>102.4</v>
      </c>
      <c r="L3230" s="74">
        <v>92.16</v>
      </c>
      <c r="M3230" s="74"/>
      <c r="N3230" s="74" t="s">
        <v>392</v>
      </c>
      <c r="O3230" s="74" t="s">
        <v>393</v>
      </c>
      <c r="P3230" s="74"/>
      <c r="Q3230" s="74" t="s">
        <v>11367</v>
      </c>
    </row>
    <row r="3231" spans="3:17" x14ac:dyDescent="0.25">
      <c r="C3231" s="74" t="s">
        <v>11368</v>
      </c>
      <c r="D3231" s="74" t="s">
        <v>11369</v>
      </c>
      <c r="E3231" s="74" t="s">
        <v>391</v>
      </c>
      <c r="F3231" s="74">
        <v>0.1</v>
      </c>
      <c r="G3231" s="74"/>
      <c r="H3231" s="74"/>
      <c r="I3231" s="74" t="s">
        <v>391</v>
      </c>
      <c r="J3231" s="74"/>
      <c r="K3231" s="74">
        <v>102.4</v>
      </c>
      <c r="L3231" s="74">
        <v>92.16</v>
      </c>
      <c r="M3231" s="74"/>
      <c r="N3231" s="74" t="s">
        <v>392</v>
      </c>
      <c r="O3231" s="74" t="s">
        <v>393</v>
      </c>
      <c r="P3231" s="74"/>
      <c r="Q3231" s="74" t="s">
        <v>11370</v>
      </c>
    </row>
    <row r="3232" spans="3:17" x14ac:dyDescent="0.25">
      <c r="C3232" s="74" t="s">
        <v>11375</v>
      </c>
      <c r="D3232" s="74" t="s">
        <v>11376</v>
      </c>
      <c r="E3232" s="74" t="s">
        <v>391</v>
      </c>
      <c r="F3232" s="74">
        <v>0.1</v>
      </c>
      <c r="G3232" s="74"/>
      <c r="H3232" s="74"/>
      <c r="I3232" s="74" t="s">
        <v>391</v>
      </c>
      <c r="J3232" s="74"/>
      <c r="K3232" s="74">
        <v>102.4</v>
      </c>
      <c r="L3232" s="74">
        <v>92.16</v>
      </c>
      <c r="M3232" s="74"/>
      <c r="N3232" s="74" t="s">
        <v>392</v>
      </c>
      <c r="O3232" s="74" t="s">
        <v>393</v>
      </c>
      <c r="P3232" s="74"/>
      <c r="Q3232" s="74" t="s">
        <v>11377</v>
      </c>
    </row>
    <row r="3233" spans="3:17" x14ac:dyDescent="0.25">
      <c r="C3233" s="74" t="s">
        <v>11378</v>
      </c>
      <c r="D3233" s="74" t="s">
        <v>11379</v>
      </c>
      <c r="E3233" s="74" t="s">
        <v>391</v>
      </c>
      <c r="F3233" s="74">
        <v>0.1</v>
      </c>
      <c r="G3233" s="74"/>
      <c r="H3233" s="74"/>
      <c r="I3233" s="74" t="s">
        <v>391</v>
      </c>
      <c r="J3233" s="74"/>
      <c r="K3233" s="74">
        <v>102.4</v>
      </c>
      <c r="L3233" s="74">
        <v>92.16</v>
      </c>
      <c r="M3233" s="74"/>
      <c r="N3233" s="74" t="s">
        <v>392</v>
      </c>
      <c r="O3233" s="74" t="s">
        <v>393</v>
      </c>
      <c r="P3233" s="74"/>
      <c r="Q3233" s="74" t="s">
        <v>11380</v>
      </c>
    </row>
    <row r="3234" spans="3:17" x14ac:dyDescent="0.25">
      <c r="C3234" s="74" t="s">
        <v>11396</v>
      </c>
      <c r="D3234" s="74" t="s">
        <v>11397</v>
      </c>
      <c r="E3234" s="74" t="s">
        <v>391</v>
      </c>
      <c r="F3234" s="74">
        <v>0.1</v>
      </c>
      <c r="G3234" s="74"/>
      <c r="H3234" s="74"/>
      <c r="I3234" s="74" t="s">
        <v>391</v>
      </c>
      <c r="J3234" s="74"/>
      <c r="K3234" s="74">
        <v>102.4</v>
      </c>
      <c r="L3234" s="74">
        <v>92.16</v>
      </c>
      <c r="M3234" s="74"/>
      <c r="N3234" s="74" t="s">
        <v>392</v>
      </c>
      <c r="O3234" s="74" t="s">
        <v>393</v>
      </c>
      <c r="P3234" s="74"/>
      <c r="Q3234" s="74" t="s">
        <v>11398</v>
      </c>
    </row>
    <row r="3235" spans="3:17" x14ac:dyDescent="0.25">
      <c r="C3235" s="74" t="s">
        <v>11414</v>
      </c>
      <c r="D3235" s="74" t="s">
        <v>11415</v>
      </c>
      <c r="E3235" s="74" t="s">
        <v>391</v>
      </c>
      <c r="F3235" s="74">
        <v>0.1</v>
      </c>
      <c r="G3235" s="74"/>
      <c r="H3235" s="74"/>
      <c r="I3235" s="74" t="s">
        <v>391</v>
      </c>
      <c r="J3235" s="74"/>
      <c r="K3235" s="74">
        <v>102.4</v>
      </c>
      <c r="L3235" s="74">
        <v>92.16</v>
      </c>
      <c r="M3235" s="74"/>
      <c r="N3235" s="74" t="s">
        <v>392</v>
      </c>
      <c r="O3235" s="74" t="s">
        <v>393</v>
      </c>
      <c r="P3235" s="74"/>
      <c r="Q3235" s="74" t="s">
        <v>11416</v>
      </c>
    </row>
    <row r="3236" spans="3:17" x14ac:dyDescent="0.25">
      <c r="C3236" s="74" t="s">
        <v>11417</v>
      </c>
      <c r="D3236" s="74" t="s">
        <v>11418</v>
      </c>
      <c r="E3236" s="74" t="s">
        <v>391</v>
      </c>
      <c r="F3236" s="74">
        <v>0.1</v>
      </c>
      <c r="G3236" s="74"/>
      <c r="H3236" s="74"/>
      <c r="I3236" s="74" t="s">
        <v>391</v>
      </c>
      <c r="J3236" s="74"/>
      <c r="K3236" s="74">
        <v>102.4</v>
      </c>
      <c r="L3236" s="74">
        <v>92.16</v>
      </c>
      <c r="M3236" s="74"/>
      <c r="N3236" s="74" t="s">
        <v>392</v>
      </c>
      <c r="O3236" s="74" t="s">
        <v>393</v>
      </c>
      <c r="P3236" s="74"/>
      <c r="Q3236" s="74" t="s">
        <v>11419</v>
      </c>
    </row>
    <row r="3237" spans="3:17" x14ac:dyDescent="0.25">
      <c r="C3237" s="74" t="s">
        <v>11428</v>
      </c>
      <c r="D3237" s="74" t="s">
        <v>11429</v>
      </c>
      <c r="E3237" s="74" t="s">
        <v>391</v>
      </c>
      <c r="F3237" s="74">
        <v>0.1</v>
      </c>
      <c r="G3237" s="74"/>
      <c r="H3237" s="74"/>
      <c r="I3237" s="74" t="s">
        <v>391</v>
      </c>
      <c r="J3237" s="74"/>
      <c r="K3237" s="74">
        <v>102.4</v>
      </c>
      <c r="L3237" s="74">
        <v>92.16</v>
      </c>
      <c r="M3237" s="74"/>
      <c r="N3237" s="74" t="s">
        <v>392</v>
      </c>
      <c r="O3237" s="74" t="s">
        <v>393</v>
      </c>
      <c r="P3237" s="74"/>
      <c r="Q3237" s="74" t="s">
        <v>11430</v>
      </c>
    </row>
    <row r="3238" spans="3:17" x14ac:dyDescent="0.25">
      <c r="C3238" s="74" t="s">
        <v>11435</v>
      </c>
      <c r="D3238" s="74" t="s">
        <v>11436</v>
      </c>
      <c r="E3238" s="74" t="s">
        <v>391</v>
      </c>
      <c r="F3238" s="74">
        <v>0.1</v>
      </c>
      <c r="G3238" s="74"/>
      <c r="H3238" s="74"/>
      <c r="I3238" s="74" t="s">
        <v>391</v>
      </c>
      <c r="J3238" s="74"/>
      <c r="K3238" s="74">
        <v>102.4</v>
      </c>
      <c r="L3238" s="74">
        <v>92.16</v>
      </c>
      <c r="M3238" s="74"/>
      <c r="N3238" s="74" t="s">
        <v>392</v>
      </c>
      <c r="O3238" s="74" t="s">
        <v>393</v>
      </c>
      <c r="P3238" s="74"/>
      <c r="Q3238" s="74" t="s">
        <v>11437</v>
      </c>
    </row>
    <row r="3239" spans="3:17" x14ac:dyDescent="0.25">
      <c r="C3239" s="74" t="s">
        <v>11446</v>
      </c>
      <c r="D3239" s="74" t="s">
        <v>11447</v>
      </c>
      <c r="E3239" s="74" t="s">
        <v>391</v>
      </c>
      <c r="F3239" s="74">
        <v>0.1</v>
      </c>
      <c r="G3239" s="74"/>
      <c r="H3239" s="74"/>
      <c r="I3239" s="74" t="s">
        <v>391</v>
      </c>
      <c r="J3239" s="74"/>
      <c r="K3239" s="74">
        <v>102.4</v>
      </c>
      <c r="L3239" s="74">
        <v>92.16</v>
      </c>
      <c r="M3239" s="74"/>
      <c r="N3239" s="74" t="s">
        <v>392</v>
      </c>
      <c r="O3239" s="74" t="s">
        <v>393</v>
      </c>
      <c r="P3239" s="74"/>
      <c r="Q3239" s="74" t="s">
        <v>11448</v>
      </c>
    </row>
    <row r="3240" spans="3:17" x14ac:dyDescent="0.25">
      <c r="C3240" s="74" t="s">
        <v>11472</v>
      </c>
      <c r="D3240" s="74" t="s">
        <v>11473</v>
      </c>
      <c r="E3240" s="74" t="s">
        <v>391</v>
      </c>
      <c r="F3240" s="74">
        <v>0.1</v>
      </c>
      <c r="G3240" s="74"/>
      <c r="H3240" s="74"/>
      <c r="I3240" s="74" t="s">
        <v>391</v>
      </c>
      <c r="J3240" s="74"/>
      <c r="K3240" s="74">
        <v>102.4</v>
      </c>
      <c r="L3240" s="74">
        <v>92.16</v>
      </c>
      <c r="M3240" s="74"/>
      <c r="N3240" s="74" t="s">
        <v>392</v>
      </c>
      <c r="O3240" s="74" t="s">
        <v>393</v>
      </c>
      <c r="P3240" s="74"/>
      <c r="Q3240" s="74" t="s">
        <v>11474</v>
      </c>
    </row>
    <row r="3241" spans="3:17" x14ac:dyDescent="0.25">
      <c r="C3241" s="74" t="s">
        <v>11486</v>
      </c>
      <c r="D3241" s="74" t="s">
        <v>11487</v>
      </c>
      <c r="E3241" s="74" t="s">
        <v>391</v>
      </c>
      <c r="F3241" s="74">
        <v>0.1</v>
      </c>
      <c r="G3241" s="74"/>
      <c r="H3241" s="74"/>
      <c r="I3241" s="74" t="s">
        <v>391</v>
      </c>
      <c r="J3241" s="74"/>
      <c r="K3241" s="74">
        <v>102.4</v>
      </c>
      <c r="L3241" s="74">
        <v>92.16</v>
      </c>
      <c r="M3241" s="74"/>
      <c r="N3241" s="74" t="s">
        <v>392</v>
      </c>
      <c r="O3241" s="74" t="s">
        <v>393</v>
      </c>
      <c r="P3241" s="74"/>
      <c r="Q3241" s="74" t="s">
        <v>11488</v>
      </c>
    </row>
    <row r="3242" spans="3:17" x14ac:dyDescent="0.25">
      <c r="C3242" s="74" t="s">
        <v>11493</v>
      </c>
      <c r="D3242" s="74" t="s">
        <v>11494</v>
      </c>
      <c r="E3242" s="74" t="s">
        <v>391</v>
      </c>
      <c r="F3242" s="74">
        <v>0.1</v>
      </c>
      <c r="G3242" s="74"/>
      <c r="H3242" s="74"/>
      <c r="I3242" s="74" t="s">
        <v>391</v>
      </c>
      <c r="J3242" s="74"/>
      <c r="K3242" s="74">
        <v>102.4</v>
      </c>
      <c r="L3242" s="74">
        <v>92.16</v>
      </c>
      <c r="M3242" s="74"/>
      <c r="N3242" s="74" t="s">
        <v>392</v>
      </c>
      <c r="O3242" s="74" t="s">
        <v>393</v>
      </c>
      <c r="P3242" s="74"/>
      <c r="Q3242" s="74" t="s">
        <v>11495</v>
      </c>
    </row>
    <row r="3243" spans="3:17" x14ac:dyDescent="0.25">
      <c r="C3243" s="74" t="s">
        <v>11511</v>
      </c>
      <c r="D3243" s="74" t="s">
        <v>11512</v>
      </c>
      <c r="E3243" s="74" t="s">
        <v>391</v>
      </c>
      <c r="F3243" s="74">
        <v>0.1</v>
      </c>
      <c r="G3243" s="74"/>
      <c r="H3243" s="74"/>
      <c r="I3243" s="74" t="s">
        <v>391</v>
      </c>
      <c r="J3243" s="74"/>
      <c r="K3243" s="74">
        <v>102.4</v>
      </c>
      <c r="L3243" s="74">
        <v>92.16</v>
      </c>
      <c r="M3243" s="74"/>
      <c r="N3243" s="74" t="s">
        <v>392</v>
      </c>
      <c r="O3243" s="74" t="s">
        <v>393</v>
      </c>
      <c r="P3243" s="74"/>
      <c r="Q3243" s="74" t="s">
        <v>11513</v>
      </c>
    </row>
    <row r="3244" spans="3:17" x14ac:dyDescent="0.25">
      <c r="C3244" s="74" t="s">
        <v>11514</v>
      </c>
      <c r="D3244" s="74" t="s">
        <v>11515</v>
      </c>
      <c r="E3244" s="74" t="s">
        <v>391</v>
      </c>
      <c r="F3244" s="74">
        <v>0.1</v>
      </c>
      <c r="G3244" s="74"/>
      <c r="H3244" s="74"/>
      <c r="I3244" s="74" t="s">
        <v>391</v>
      </c>
      <c r="J3244" s="74"/>
      <c r="K3244" s="74">
        <v>102.4</v>
      </c>
      <c r="L3244" s="74">
        <v>92.16</v>
      </c>
      <c r="M3244" s="74"/>
      <c r="N3244" s="74" t="s">
        <v>392</v>
      </c>
      <c r="O3244" s="74" t="s">
        <v>393</v>
      </c>
      <c r="P3244" s="74"/>
      <c r="Q3244" s="74" t="s">
        <v>11516</v>
      </c>
    </row>
    <row r="3245" spans="3:17" x14ac:dyDescent="0.25">
      <c r="C3245" s="74" t="s">
        <v>11517</v>
      </c>
      <c r="D3245" s="74" t="s">
        <v>11518</v>
      </c>
      <c r="E3245" s="74" t="s">
        <v>391</v>
      </c>
      <c r="F3245" s="74">
        <v>0.1</v>
      </c>
      <c r="G3245" s="74"/>
      <c r="H3245" s="74"/>
      <c r="I3245" s="74" t="s">
        <v>391</v>
      </c>
      <c r="J3245" s="74"/>
      <c r="K3245" s="74">
        <v>102.4</v>
      </c>
      <c r="L3245" s="74">
        <v>92.16</v>
      </c>
      <c r="M3245" s="74"/>
      <c r="N3245" s="74" t="s">
        <v>392</v>
      </c>
      <c r="O3245" s="74" t="s">
        <v>393</v>
      </c>
      <c r="P3245" s="74"/>
      <c r="Q3245" s="74" t="s">
        <v>11519</v>
      </c>
    </row>
    <row r="3246" spans="3:17" x14ac:dyDescent="0.25">
      <c r="C3246" s="74" t="s">
        <v>11520</v>
      </c>
      <c r="D3246" s="74" t="s">
        <v>11521</v>
      </c>
      <c r="E3246" s="74" t="s">
        <v>391</v>
      </c>
      <c r="F3246" s="74">
        <v>0.1</v>
      </c>
      <c r="G3246" s="74"/>
      <c r="H3246" s="74"/>
      <c r="I3246" s="74" t="s">
        <v>391</v>
      </c>
      <c r="J3246" s="74"/>
      <c r="K3246" s="74">
        <v>102.4</v>
      </c>
      <c r="L3246" s="74">
        <v>92.16</v>
      </c>
      <c r="M3246" s="74"/>
      <c r="N3246" s="74" t="s">
        <v>392</v>
      </c>
      <c r="O3246" s="74" t="s">
        <v>393</v>
      </c>
      <c r="P3246" s="74"/>
      <c r="Q3246" s="74" t="s">
        <v>11522</v>
      </c>
    </row>
    <row r="3247" spans="3:17" x14ac:dyDescent="0.25">
      <c r="C3247" s="74" t="s">
        <v>11538</v>
      </c>
      <c r="D3247" s="74" t="s">
        <v>11539</v>
      </c>
      <c r="E3247" s="74" t="s">
        <v>391</v>
      </c>
      <c r="F3247" s="74">
        <v>0.1</v>
      </c>
      <c r="G3247" s="74"/>
      <c r="H3247" s="74"/>
      <c r="I3247" s="74" t="s">
        <v>391</v>
      </c>
      <c r="J3247" s="74"/>
      <c r="K3247" s="74">
        <v>102.4</v>
      </c>
      <c r="L3247" s="74">
        <v>92.16</v>
      </c>
      <c r="M3247" s="74"/>
      <c r="N3247" s="74" t="s">
        <v>392</v>
      </c>
      <c r="O3247" s="74" t="s">
        <v>393</v>
      </c>
      <c r="P3247" s="74"/>
      <c r="Q3247" s="74" t="s">
        <v>11540</v>
      </c>
    </row>
    <row r="3248" spans="3:17" x14ac:dyDescent="0.25">
      <c r="C3248" s="74" t="s">
        <v>11541</v>
      </c>
      <c r="D3248" s="74" t="s">
        <v>11542</v>
      </c>
      <c r="E3248" s="74" t="s">
        <v>391</v>
      </c>
      <c r="F3248" s="74">
        <v>0.1</v>
      </c>
      <c r="G3248" s="74"/>
      <c r="H3248" s="74"/>
      <c r="I3248" s="74" t="s">
        <v>391</v>
      </c>
      <c r="J3248" s="74"/>
      <c r="K3248" s="74">
        <v>102.4</v>
      </c>
      <c r="L3248" s="74">
        <v>92.16</v>
      </c>
      <c r="M3248" s="74"/>
      <c r="N3248" s="74" t="s">
        <v>392</v>
      </c>
      <c r="O3248" s="74" t="s">
        <v>393</v>
      </c>
      <c r="P3248" s="74"/>
      <c r="Q3248" s="74" t="s">
        <v>11543</v>
      </c>
    </row>
    <row r="3249" spans="3:17" x14ac:dyDescent="0.25">
      <c r="C3249" s="74" t="s">
        <v>11548</v>
      </c>
      <c r="D3249" s="74" t="s">
        <v>11549</v>
      </c>
      <c r="E3249" s="74" t="s">
        <v>391</v>
      </c>
      <c r="F3249" s="74">
        <v>0.1</v>
      </c>
      <c r="G3249" s="74"/>
      <c r="H3249" s="74"/>
      <c r="I3249" s="74" t="s">
        <v>391</v>
      </c>
      <c r="J3249" s="74"/>
      <c r="K3249" s="74">
        <v>102.4</v>
      </c>
      <c r="L3249" s="74">
        <v>92.16</v>
      </c>
      <c r="M3249" s="74"/>
      <c r="N3249" s="74" t="s">
        <v>392</v>
      </c>
      <c r="O3249" s="74" t="s">
        <v>393</v>
      </c>
      <c r="P3249" s="74"/>
      <c r="Q3249" s="74" t="s">
        <v>11550</v>
      </c>
    </row>
    <row r="3250" spans="3:17" x14ac:dyDescent="0.25">
      <c r="C3250" s="74" t="s">
        <v>11563</v>
      </c>
      <c r="D3250" s="74" t="s">
        <v>11564</v>
      </c>
      <c r="E3250" s="74" t="s">
        <v>391</v>
      </c>
      <c r="F3250" s="74">
        <v>0.1</v>
      </c>
      <c r="G3250" s="74"/>
      <c r="H3250" s="74"/>
      <c r="I3250" s="74" t="s">
        <v>391</v>
      </c>
      <c r="J3250" s="74"/>
      <c r="K3250" s="74">
        <v>102.4</v>
      </c>
      <c r="L3250" s="74">
        <v>92.16</v>
      </c>
      <c r="M3250" s="74"/>
      <c r="N3250" s="74" t="s">
        <v>392</v>
      </c>
      <c r="O3250" s="74" t="s">
        <v>393</v>
      </c>
      <c r="P3250" s="74"/>
      <c r="Q3250" s="74" t="s">
        <v>11565</v>
      </c>
    </row>
    <row r="3251" spans="3:17" x14ac:dyDescent="0.25">
      <c r="C3251" s="74" t="s">
        <v>11578</v>
      </c>
      <c r="D3251" s="74" t="s">
        <v>11579</v>
      </c>
      <c r="E3251" s="74" t="s">
        <v>391</v>
      </c>
      <c r="F3251" s="74">
        <v>0.1</v>
      </c>
      <c r="G3251" s="74"/>
      <c r="H3251" s="74"/>
      <c r="I3251" s="74" t="s">
        <v>391</v>
      </c>
      <c r="J3251" s="74"/>
      <c r="K3251" s="74">
        <v>102.4</v>
      </c>
      <c r="L3251" s="74">
        <v>92.16</v>
      </c>
      <c r="M3251" s="74"/>
      <c r="N3251" s="74" t="s">
        <v>392</v>
      </c>
      <c r="O3251" s="74" t="s">
        <v>393</v>
      </c>
      <c r="P3251" s="74"/>
      <c r="Q3251" s="74" t="s">
        <v>11580</v>
      </c>
    </row>
    <row r="3252" spans="3:17" x14ac:dyDescent="0.25">
      <c r="C3252" s="74" t="s">
        <v>11592</v>
      </c>
      <c r="D3252" s="74" t="s">
        <v>11593</v>
      </c>
      <c r="E3252" s="74" t="s">
        <v>391</v>
      </c>
      <c r="F3252" s="74">
        <v>0.1</v>
      </c>
      <c r="G3252" s="74"/>
      <c r="H3252" s="74"/>
      <c r="I3252" s="74" t="s">
        <v>391</v>
      </c>
      <c r="J3252" s="74"/>
      <c r="K3252" s="74">
        <v>102.4</v>
      </c>
      <c r="L3252" s="74">
        <v>92.16</v>
      </c>
      <c r="M3252" s="74"/>
      <c r="N3252" s="74" t="s">
        <v>392</v>
      </c>
      <c r="O3252" s="74" t="s">
        <v>393</v>
      </c>
      <c r="P3252" s="74"/>
      <c r="Q3252" s="74" t="s">
        <v>11594</v>
      </c>
    </row>
    <row r="3253" spans="3:17" x14ac:dyDescent="0.25">
      <c r="C3253" s="74" t="s">
        <v>11615</v>
      </c>
      <c r="D3253" s="74" t="s">
        <v>11616</v>
      </c>
      <c r="E3253" s="74" t="s">
        <v>391</v>
      </c>
      <c r="F3253" s="74">
        <v>0.1</v>
      </c>
      <c r="G3253" s="74"/>
      <c r="H3253" s="74"/>
      <c r="I3253" s="74" t="s">
        <v>391</v>
      </c>
      <c r="J3253" s="74"/>
      <c r="K3253" s="74">
        <v>102.4</v>
      </c>
      <c r="L3253" s="74">
        <v>92.16</v>
      </c>
      <c r="M3253" s="74"/>
      <c r="N3253" s="74" t="s">
        <v>392</v>
      </c>
      <c r="O3253" s="74" t="s">
        <v>393</v>
      </c>
      <c r="P3253" s="74"/>
      <c r="Q3253" s="74" t="s">
        <v>11617</v>
      </c>
    </row>
    <row r="3254" spans="3:17" x14ac:dyDescent="0.25">
      <c r="C3254" s="74" t="s">
        <v>11618</v>
      </c>
      <c r="D3254" s="74" t="s">
        <v>11619</v>
      </c>
      <c r="E3254" s="74" t="s">
        <v>391</v>
      </c>
      <c r="F3254" s="74">
        <v>0.1</v>
      </c>
      <c r="G3254" s="74"/>
      <c r="H3254" s="74"/>
      <c r="I3254" s="74" t="s">
        <v>391</v>
      </c>
      <c r="J3254" s="74"/>
      <c r="K3254" s="74">
        <v>102.4</v>
      </c>
      <c r="L3254" s="74">
        <v>92.16</v>
      </c>
      <c r="M3254" s="74"/>
      <c r="N3254" s="74" t="s">
        <v>392</v>
      </c>
      <c r="O3254" s="74" t="s">
        <v>393</v>
      </c>
      <c r="P3254" s="74"/>
      <c r="Q3254" s="74" t="s">
        <v>11620</v>
      </c>
    </row>
    <row r="3255" spans="3:17" x14ac:dyDescent="0.25">
      <c r="C3255" s="74" t="s">
        <v>11625</v>
      </c>
      <c r="D3255" s="74" t="s">
        <v>11626</v>
      </c>
      <c r="E3255" s="74" t="s">
        <v>391</v>
      </c>
      <c r="F3255" s="74">
        <v>0.1</v>
      </c>
      <c r="G3255" s="74"/>
      <c r="H3255" s="74"/>
      <c r="I3255" s="74" t="s">
        <v>391</v>
      </c>
      <c r="J3255" s="74"/>
      <c r="K3255" s="74">
        <v>102.4</v>
      </c>
      <c r="L3255" s="74">
        <v>92.16</v>
      </c>
      <c r="M3255" s="74"/>
      <c r="N3255" s="74" t="s">
        <v>392</v>
      </c>
      <c r="O3255" s="74" t="s">
        <v>393</v>
      </c>
      <c r="P3255" s="74"/>
      <c r="Q3255" s="74" t="s">
        <v>11627</v>
      </c>
    </row>
    <row r="3256" spans="3:17" x14ac:dyDescent="0.25">
      <c r="C3256" s="74" t="s">
        <v>11628</v>
      </c>
      <c r="D3256" s="74" t="s">
        <v>11629</v>
      </c>
      <c r="E3256" s="74" t="s">
        <v>391</v>
      </c>
      <c r="F3256" s="74">
        <v>0.1</v>
      </c>
      <c r="G3256" s="74"/>
      <c r="H3256" s="74"/>
      <c r="I3256" s="74" t="s">
        <v>391</v>
      </c>
      <c r="J3256" s="74"/>
      <c r="K3256" s="74">
        <v>102.4</v>
      </c>
      <c r="L3256" s="74">
        <v>92.16</v>
      </c>
      <c r="M3256" s="74"/>
      <c r="N3256" s="74" t="s">
        <v>392</v>
      </c>
      <c r="O3256" s="74" t="s">
        <v>393</v>
      </c>
      <c r="P3256" s="74"/>
      <c r="Q3256" s="74" t="s">
        <v>11630</v>
      </c>
    </row>
    <row r="3257" spans="3:17" x14ac:dyDescent="0.25">
      <c r="C3257" s="74" t="s">
        <v>11635</v>
      </c>
      <c r="D3257" s="74" t="s">
        <v>11636</v>
      </c>
      <c r="E3257" s="74" t="s">
        <v>391</v>
      </c>
      <c r="F3257" s="74">
        <v>0.1</v>
      </c>
      <c r="G3257" s="74"/>
      <c r="H3257" s="74"/>
      <c r="I3257" s="74" t="s">
        <v>391</v>
      </c>
      <c r="J3257" s="74"/>
      <c r="K3257" s="74">
        <v>102.4</v>
      </c>
      <c r="L3257" s="74">
        <v>92.16</v>
      </c>
      <c r="M3257" s="74"/>
      <c r="N3257" s="74" t="s">
        <v>392</v>
      </c>
      <c r="O3257" s="74" t="s">
        <v>393</v>
      </c>
      <c r="P3257" s="74"/>
      <c r="Q3257" s="74" t="s">
        <v>11636</v>
      </c>
    </row>
    <row r="3258" spans="3:17" x14ac:dyDescent="0.25">
      <c r="C3258" s="74" t="s">
        <v>11644</v>
      </c>
      <c r="D3258" s="74" t="s">
        <v>11645</v>
      </c>
      <c r="E3258" s="74" t="s">
        <v>391</v>
      </c>
      <c r="F3258" s="74">
        <v>0.1</v>
      </c>
      <c r="G3258" s="74"/>
      <c r="H3258" s="74"/>
      <c r="I3258" s="74" t="s">
        <v>391</v>
      </c>
      <c r="J3258" s="74"/>
      <c r="K3258" s="74">
        <v>102.4</v>
      </c>
      <c r="L3258" s="74">
        <v>92.16</v>
      </c>
      <c r="M3258" s="74"/>
      <c r="N3258" s="74" t="s">
        <v>392</v>
      </c>
      <c r="O3258" s="74" t="s">
        <v>393</v>
      </c>
      <c r="P3258" s="74"/>
      <c r="Q3258" s="74" t="s">
        <v>11646</v>
      </c>
    </row>
    <row r="3259" spans="3:17" x14ac:dyDescent="0.25">
      <c r="C3259" s="74" t="s">
        <v>11650</v>
      </c>
      <c r="D3259" s="74" t="s">
        <v>11651</v>
      </c>
      <c r="E3259" s="74" t="s">
        <v>391</v>
      </c>
      <c r="F3259" s="74">
        <v>0.1</v>
      </c>
      <c r="G3259" s="74"/>
      <c r="H3259" s="74"/>
      <c r="I3259" s="74" t="s">
        <v>391</v>
      </c>
      <c r="J3259" s="74"/>
      <c r="K3259" s="74">
        <v>102.4</v>
      </c>
      <c r="L3259" s="74">
        <v>92.16</v>
      </c>
      <c r="M3259" s="74"/>
      <c r="N3259" s="74" t="s">
        <v>392</v>
      </c>
      <c r="O3259" s="74" t="s">
        <v>393</v>
      </c>
      <c r="P3259" s="74"/>
      <c r="Q3259" s="74" t="s">
        <v>11652</v>
      </c>
    </row>
    <row r="3260" spans="3:17" x14ac:dyDescent="0.25">
      <c r="C3260" s="74" t="s">
        <v>11653</v>
      </c>
      <c r="D3260" s="74" t="s">
        <v>11654</v>
      </c>
      <c r="E3260" s="74" t="s">
        <v>391</v>
      </c>
      <c r="F3260" s="74">
        <v>0.1</v>
      </c>
      <c r="G3260" s="74"/>
      <c r="H3260" s="74"/>
      <c r="I3260" s="74" t="s">
        <v>391</v>
      </c>
      <c r="J3260" s="74"/>
      <c r="K3260" s="74">
        <v>102.4</v>
      </c>
      <c r="L3260" s="74">
        <v>92.16</v>
      </c>
      <c r="M3260" s="74"/>
      <c r="N3260" s="74" t="s">
        <v>392</v>
      </c>
      <c r="O3260" s="74" t="s">
        <v>393</v>
      </c>
      <c r="P3260" s="74"/>
      <c r="Q3260" s="74" t="s">
        <v>11655</v>
      </c>
    </row>
    <row r="3261" spans="3:17" x14ac:dyDescent="0.25">
      <c r="C3261" s="74" t="s">
        <v>11676</v>
      </c>
      <c r="D3261" s="74" t="s">
        <v>11677</v>
      </c>
      <c r="E3261" s="74" t="s">
        <v>391</v>
      </c>
      <c r="F3261" s="74">
        <v>0.1</v>
      </c>
      <c r="G3261" s="74"/>
      <c r="H3261" s="74"/>
      <c r="I3261" s="74" t="s">
        <v>391</v>
      </c>
      <c r="J3261" s="74"/>
      <c r="K3261" s="74">
        <v>102.4</v>
      </c>
      <c r="L3261" s="74">
        <v>92.16</v>
      </c>
      <c r="M3261" s="74"/>
      <c r="N3261" s="74" t="s">
        <v>392</v>
      </c>
      <c r="O3261" s="74" t="s">
        <v>393</v>
      </c>
      <c r="P3261" s="74"/>
      <c r="Q3261" s="74" t="s">
        <v>11678</v>
      </c>
    </row>
    <row r="3262" spans="3:17" x14ac:dyDescent="0.25">
      <c r="C3262" s="74" t="s">
        <v>11679</v>
      </c>
      <c r="D3262" s="74" t="s">
        <v>11680</v>
      </c>
      <c r="E3262" s="74" t="s">
        <v>391</v>
      </c>
      <c r="F3262" s="74">
        <v>0.1</v>
      </c>
      <c r="G3262" s="74"/>
      <c r="H3262" s="74"/>
      <c r="I3262" s="74" t="s">
        <v>391</v>
      </c>
      <c r="J3262" s="74"/>
      <c r="K3262" s="74">
        <v>102.4</v>
      </c>
      <c r="L3262" s="74">
        <v>92.16</v>
      </c>
      <c r="M3262" s="74"/>
      <c r="N3262" s="74" t="s">
        <v>392</v>
      </c>
      <c r="O3262" s="74" t="s">
        <v>393</v>
      </c>
      <c r="P3262" s="74"/>
      <c r="Q3262" s="74" t="s">
        <v>11681</v>
      </c>
    </row>
    <row r="3263" spans="3:17" x14ac:dyDescent="0.25">
      <c r="C3263" s="74" t="s">
        <v>11682</v>
      </c>
      <c r="D3263" s="74" t="s">
        <v>11683</v>
      </c>
      <c r="E3263" s="74" t="s">
        <v>391</v>
      </c>
      <c r="F3263" s="74">
        <v>0.1</v>
      </c>
      <c r="G3263" s="74"/>
      <c r="H3263" s="74"/>
      <c r="I3263" s="74" t="s">
        <v>391</v>
      </c>
      <c r="J3263" s="74"/>
      <c r="K3263" s="74">
        <v>102.4</v>
      </c>
      <c r="L3263" s="74">
        <v>92.16</v>
      </c>
      <c r="M3263" s="74"/>
      <c r="N3263" s="74" t="s">
        <v>392</v>
      </c>
      <c r="O3263" s="74" t="s">
        <v>393</v>
      </c>
      <c r="P3263" s="74"/>
      <c r="Q3263" s="74" t="s">
        <v>11684</v>
      </c>
    </row>
    <row r="3264" spans="3:17" x14ac:dyDescent="0.25">
      <c r="C3264" s="74" t="s">
        <v>11685</v>
      </c>
      <c r="D3264" s="74" t="s">
        <v>11686</v>
      </c>
      <c r="E3264" s="74" t="s">
        <v>391</v>
      </c>
      <c r="F3264" s="74">
        <v>0.1</v>
      </c>
      <c r="G3264" s="74"/>
      <c r="H3264" s="74"/>
      <c r="I3264" s="74" t="s">
        <v>391</v>
      </c>
      <c r="J3264" s="74"/>
      <c r="K3264" s="74">
        <v>102.4</v>
      </c>
      <c r="L3264" s="74">
        <v>92.16</v>
      </c>
      <c r="M3264" s="74"/>
      <c r="N3264" s="74" t="s">
        <v>392</v>
      </c>
      <c r="O3264" s="74" t="s">
        <v>393</v>
      </c>
      <c r="P3264" s="74"/>
      <c r="Q3264" s="74" t="s">
        <v>11687</v>
      </c>
    </row>
    <row r="3265" spans="3:17" x14ac:dyDescent="0.25">
      <c r="C3265" s="74" t="s">
        <v>11695</v>
      </c>
      <c r="D3265" s="74" t="s">
        <v>11696</v>
      </c>
      <c r="E3265" s="74" t="s">
        <v>391</v>
      </c>
      <c r="F3265" s="74">
        <v>0.1</v>
      </c>
      <c r="G3265" s="74"/>
      <c r="H3265" s="74"/>
      <c r="I3265" s="74" t="s">
        <v>391</v>
      </c>
      <c r="J3265" s="74"/>
      <c r="K3265" s="74">
        <v>102.4</v>
      </c>
      <c r="L3265" s="74">
        <v>92.16</v>
      </c>
      <c r="M3265" s="74"/>
      <c r="N3265" s="74" t="s">
        <v>392</v>
      </c>
      <c r="O3265" s="74" t="s">
        <v>393</v>
      </c>
      <c r="P3265" s="74"/>
      <c r="Q3265" s="74" t="s">
        <v>11697</v>
      </c>
    </row>
    <row r="3266" spans="3:17" x14ac:dyDescent="0.25">
      <c r="C3266" s="74" t="s">
        <v>11722</v>
      </c>
      <c r="D3266" s="74" t="s">
        <v>11723</v>
      </c>
      <c r="E3266" s="74" t="s">
        <v>391</v>
      </c>
      <c r="F3266" s="74">
        <v>0.1</v>
      </c>
      <c r="G3266" s="74"/>
      <c r="H3266" s="74"/>
      <c r="I3266" s="74" t="s">
        <v>391</v>
      </c>
      <c r="J3266" s="74"/>
      <c r="K3266" s="74">
        <v>102.4</v>
      </c>
      <c r="L3266" s="74">
        <v>92.16</v>
      </c>
      <c r="M3266" s="74"/>
      <c r="N3266" s="74" t="s">
        <v>392</v>
      </c>
      <c r="O3266" s="74" t="s">
        <v>393</v>
      </c>
      <c r="P3266" s="74"/>
      <c r="Q3266" s="74" t="s">
        <v>11724</v>
      </c>
    </row>
    <row r="3267" spans="3:17" x14ac:dyDescent="0.25">
      <c r="C3267" s="74" t="s">
        <v>11725</v>
      </c>
      <c r="D3267" s="74" t="s">
        <v>11726</v>
      </c>
      <c r="E3267" s="74" t="s">
        <v>391</v>
      </c>
      <c r="F3267" s="74">
        <v>0.1</v>
      </c>
      <c r="G3267" s="74"/>
      <c r="H3267" s="74"/>
      <c r="I3267" s="74" t="s">
        <v>391</v>
      </c>
      <c r="J3267" s="74"/>
      <c r="K3267" s="74">
        <v>102.4</v>
      </c>
      <c r="L3267" s="74">
        <v>92.16</v>
      </c>
      <c r="M3267" s="74"/>
      <c r="N3267" s="74" t="s">
        <v>392</v>
      </c>
      <c r="O3267" s="74" t="s">
        <v>393</v>
      </c>
      <c r="P3267" s="74"/>
      <c r="Q3267" s="74" t="s">
        <v>11727</v>
      </c>
    </row>
    <row r="3268" spans="3:17" x14ac:dyDescent="0.25">
      <c r="C3268" s="74" t="s">
        <v>11732</v>
      </c>
      <c r="D3268" s="74" t="s">
        <v>11733</v>
      </c>
      <c r="E3268" s="74" t="s">
        <v>391</v>
      </c>
      <c r="F3268" s="74">
        <v>0.1</v>
      </c>
      <c r="G3268" s="74"/>
      <c r="H3268" s="74"/>
      <c r="I3268" s="74" t="s">
        <v>391</v>
      </c>
      <c r="J3268" s="74"/>
      <c r="K3268" s="74">
        <v>102.4</v>
      </c>
      <c r="L3268" s="74">
        <v>92.16</v>
      </c>
      <c r="M3268" s="74"/>
      <c r="N3268" s="74" t="s">
        <v>392</v>
      </c>
      <c r="O3268" s="74" t="s">
        <v>393</v>
      </c>
      <c r="P3268" s="74"/>
      <c r="Q3268" s="74" t="s">
        <v>11734</v>
      </c>
    </row>
    <row r="3269" spans="3:17" x14ac:dyDescent="0.25">
      <c r="C3269" s="74" t="s">
        <v>11777</v>
      </c>
      <c r="D3269" s="74" t="s">
        <v>11778</v>
      </c>
      <c r="E3269" s="74" t="s">
        <v>391</v>
      </c>
      <c r="F3269" s="74">
        <v>0.1</v>
      </c>
      <c r="G3269" s="74"/>
      <c r="H3269" s="74"/>
      <c r="I3269" s="74" t="s">
        <v>391</v>
      </c>
      <c r="J3269" s="74"/>
      <c r="K3269" s="74">
        <v>102.4</v>
      </c>
      <c r="L3269" s="74">
        <v>92.16</v>
      </c>
      <c r="M3269" s="74"/>
      <c r="N3269" s="74" t="s">
        <v>392</v>
      </c>
      <c r="O3269" s="74" t="s">
        <v>393</v>
      </c>
      <c r="P3269" s="74"/>
      <c r="Q3269" s="74" t="s">
        <v>11779</v>
      </c>
    </row>
    <row r="3270" spans="3:17" x14ac:dyDescent="0.25">
      <c r="C3270" s="74" t="s">
        <v>11795</v>
      </c>
      <c r="D3270" s="74" t="s">
        <v>11796</v>
      </c>
      <c r="E3270" s="74" t="s">
        <v>391</v>
      </c>
      <c r="F3270" s="74">
        <v>0.1</v>
      </c>
      <c r="G3270" s="74"/>
      <c r="H3270" s="74"/>
      <c r="I3270" s="74" t="s">
        <v>391</v>
      </c>
      <c r="J3270" s="74"/>
      <c r="K3270" s="74">
        <v>102.4</v>
      </c>
      <c r="L3270" s="74">
        <v>92.16</v>
      </c>
      <c r="M3270" s="74"/>
      <c r="N3270" s="74" t="s">
        <v>392</v>
      </c>
      <c r="O3270" s="74" t="s">
        <v>393</v>
      </c>
      <c r="P3270" s="74"/>
      <c r="Q3270" s="74" t="s">
        <v>11797</v>
      </c>
    </row>
    <row r="3271" spans="3:17" x14ac:dyDescent="0.25">
      <c r="C3271" s="74" t="s">
        <v>11826</v>
      </c>
      <c r="D3271" s="74" t="s">
        <v>11827</v>
      </c>
      <c r="E3271" s="74" t="s">
        <v>391</v>
      </c>
      <c r="F3271" s="74">
        <v>0.1</v>
      </c>
      <c r="G3271" s="74"/>
      <c r="H3271" s="74"/>
      <c r="I3271" s="74" t="s">
        <v>391</v>
      </c>
      <c r="J3271" s="74"/>
      <c r="K3271" s="74">
        <v>102.4</v>
      </c>
      <c r="L3271" s="74">
        <v>92.16</v>
      </c>
      <c r="M3271" s="74"/>
      <c r="N3271" s="74" t="s">
        <v>392</v>
      </c>
      <c r="O3271" s="74" t="s">
        <v>393</v>
      </c>
      <c r="P3271" s="74"/>
      <c r="Q3271" s="74" t="s">
        <v>11828</v>
      </c>
    </row>
    <row r="3272" spans="3:17" x14ac:dyDescent="0.25">
      <c r="C3272" s="74" t="s">
        <v>11836</v>
      </c>
      <c r="D3272" s="74" t="s">
        <v>11837</v>
      </c>
      <c r="E3272" s="74" t="s">
        <v>391</v>
      </c>
      <c r="F3272" s="74">
        <v>0.1</v>
      </c>
      <c r="G3272" s="74"/>
      <c r="H3272" s="74"/>
      <c r="I3272" s="74" t="s">
        <v>391</v>
      </c>
      <c r="J3272" s="74"/>
      <c r="K3272" s="74">
        <v>102.4</v>
      </c>
      <c r="L3272" s="74">
        <v>92.16</v>
      </c>
      <c r="M3272" s="74"/>
      <c r="N3272" s="74" t="s">
        <v>392</v>
      </c>
      <c r="O3272" s="74" t="s">
        <v>393</v>
      </c>
      <c r="P3272" s="74"/>
      <c r="Q3272" s="74" t="s">
        <v>11838</v>
      </c>
    </row>
    <row r="3273" spans="3:17" x14ac:dyDescent="0.25">
      <c r="C3273" s="74" t="s">
        <v>11847</v>
      </c>
      <c r="D3273" s="74" t="s">
        <v>11848</v>
      </c>
      <c r="E3273" s="74" t="s">
        <v>391</v>
      </c>
      <c r="F3273" s="74">
        <v>0.1</v>
      </c>
      <c r="G3273" s="74"/>
      <c r="H3273" s="74"/>
      <c r="I3273" s="74" t="s">
        <v>391</v>
      </c>
      <c r="J3273" s="74"/>
      <c r="K3273" s="74">
        <v>102.4</v>
      </c>
      <c r="L3273" s="74">
        <v>92.16</v>
      </c>
      <c r="M3273" s="74"/>
      <c r="N3273" s="74" t="s">
        <v>392</v>
      </c>
      <c r="O3273" s="74" t="s">
        <v>393</v>
      </c>
      <c r="P3273" s="74"/>
      <c r="Q3273" s="74" t="s">
        <v>11849</v>
      </c>
    </row>
    <row r="3274" spans="3:17" x14ac:dyDescent="0.25">
      <c r="C3274" s="74" t="s">
        <v>11854</v>
      </c>
      <c r="D3274" s="74" t="s">
        <v>11855</v>
      </c>
      <c r="E3274" s="74" t="s">
        <v>391</v>
      </c>
      <c r="F3274" s="74">
        <v>0.1</v>
      </c>
      <c r="G3274" s="74"/>
      <c r="H3274" s="74"/>
      <c r="I3274" s="74" t="s">
        <v>391</v>
      </c>
      <c r="J3274" s="74"/>
      <c r="K3274" s="74">
        <v>102.4</v>
      </c>
      <c r="L3274" s="74">
        <v>92.16</v>
      </c>
      <c r="M3274" s="74"/>
      <c r="N3274" s="74" t="s">
        <v>392</v>
      </c>
      <c r="O3274" s="74" t="s">
        <v>393</v>
      </c>
      <c r="P3274" s="74"/>
      <c r="Q3274" s="74" t="s">
        <v>11856</v>
      </c>
    </row>
    <row r="3275" spans="3:17" x14ac:dyDescent="0.25">
      <c r="C3275" s="74" t="s">
        <v>11860</v>
      </c>
      <c r="D3275" s="74" t="s">
        <v>11861</v>
      </c>
      <c r="E3275" s="74" t="s">
        <v>391</v>
      </c>
      <c r="F3275" s="74">
        <v>0.1</v>
      </c>
      <c r="G3275" s="74"/>
      <c r="H3275" s="74"/>
      <c r="I3275" s="74" t="s">
        <v>391</v>
      </c>
      <c r="J3275" s="74"/>
      <c r="K3275" s="74">
        <v>102.4</v>
      </c>
      <c r="L3275" s="74">
        <v>92.16</v>
      </c>
      <c r="M3275" s="74"/>
      <c r="N3275" s="74" t="s">
        <v>392</v>
      </c>
      <c r="O3275" s="74" t="s">
        <v>393</v>
      </c>
      <c r="P3275" s="74"/>
      <c r="Q3275" s="74" t="s">
        <v>11862</v>
      </c>
    </row>
    <row r="3276" spans="3:17" x14ac:dyDescent="0.25">
      <c r="C3276" s="74" t="s">
        <v>11863</v>
      </c>
      <c r="D3276" s="74" t="s">
        <v>11864</v>
      </c>
      <c r="E3276" s="74" t="s">
        <v>391</v>
      </c>
      <c r="F3276" s="74">
        <v>0.1</v>
      </c>
      <c r="G3276" s="74"/>
      <c r="H3276" s="74"/>
      <c r="I3276" s="74" t="s">
        <v>391</v>
      </c>
      <c r="J3276" s="74"/>
      <c r="K3276" s="74">
        <v>102.4</v>
      </c>
      <c r="L3276" s="74">
        <v>92.16</v>
      </c>
      <c r="M3276" s="74"/>
      <c r="N3276" s="74" t="s">
        <v>392</v>
      </c>
      <c r="O3276" s="74" t="s">
        <v>393</v>
      </c>
      <c r="P3276" s="74"/>
      <c r="Q3276" s="74" t="s">
        <v>11865</v>
      </c>
    </row>
    <row r="3277" spans="3:17" x14ac:dyDescent="0.25">
      <c r="C3277" s="74" t="s">
        <v>11866</v>
      </c>
      <c r="D3277" s="74" t="s">
        <v>11867</v>
      </c>
      <c r="E3277" s="74" t="s">
        <v>391</v>
      </c>
      <c r="F3277" s="74">
        <v>0.1</v>
      </c>
      <c r="G3277" s="74"/>
      <c r="H3277" s="74"/>
      <c r="I3277" s="74" t="s">
        <v>391</v>
      </c>
      <c r="J3277" s="74"/>
      <c r="K3277" s="74">
        <v>102.4</v>
      </c>
      <c r="L3277" s="74">
        <v>92.16</v>
      </c>
      <c r="M3277" s="74"/>
      <c r="N3277" s="74" t="s">
        <v>392</v>
      </c>
      <c r="O3277" s="74" t="s">
        <v>393</v>
      </c>
      <c r="P3277" s="74"/>
      <c r="Q3277" s="74" t="s">
        <v>11868</v>
      </c>
    </row>
    <row r="3278" spans="3:17" x14ac:dyDescent="0.25">
      <c r="C3278" s="74" t="s">
        <v>11869</v>
      </c>
      <c r="D3278" s="74" t="s">
        <v>11870</v>
      </c>
      <c r="E3278" s="74" t="s">
        <v>391</v>
      </c>
      <c r="F3278" s="74">
        <v>0.1</v>
      </c>
      <c r="G3278" s="74"/>
      <c r="H3278" s="74"/>
      <c r="I3278" s="74" t="s">
        <v>391</v>
      </c>
      <c r="J3278" s="74"/>
      <c r="K3278" s="74">
        <v>102.4</v>
      </c>
      <c r="L3278" s="74">
        <v>92.16</v>
      </c>
      <c r="M3278" s="74"/>
      <c r="N3278" s="74" t="s">
        <v>392</v>
      </c>
      <c r="O3278" s="74" t="s">
        <v>393</v>
      </c>
      <c r="P3278" s="74"/>
      <c r="Q3278" s="74" t="s">
        <v>11871</v>
      </c>
    </row>
    <row r="3279" spans="3:17" x14ac:dyDescent="0.25">
      <c r="C3279" s="74" t="s">
        <v>11872</v>
      </c>
      <c r="D3279" s="74" t="s">
        <v>11873</v>
      </c>
      <c r="E3279" s="74" t="s">
        <v>391</v>
      </c>
      <c r="F3279" s="74">
        <v>0.1</v>
      </c>
      <c r="G3279" s="74"/>
      <c r="H3279" s="74"/>
      <c r="I3279" s="74" t="s">
        <v>391</v>
      </c>
      <c r="J3279" s="74"/>
      <c r="K3279" s="74">
        <v>102.4</v>
      </c>
      <c r="L3279" s="74">
        <v>92.16</v>
      </c>
      <c r="M3279" s="74"/>
      <c r="N3279" s="74" t="s">
        <v>392</v>
      </c>
      <c r="O3279" s="74" t="s">
        <v>393</v>
      </c>
      <c r="P3279" s="74"/>
      <c r="Q3279" s="74" t="s">
        <v>11873</v>
      </c>
    </row>
    <row r="3280" spans="3:17" x14ac:dyDescent="0.25">
      <c r="C3280" s="74" t="s">
        <v>11877</v>
      </c>
      <c r="D3280" s="74" t="s">
        <v>11878</v>
      </c>
      <c r="E3280" s="74" t="s">
        <v>391</v>
      </c>
      <c r="F3280" s="74">
        <v>0.1</v>
      </c>
      <c r="G3280" s="74"/>
      <c r="H3280" s="74"/>
      <c r="I3280" s="74" t="s">
        <v>391</v>
      </c>
      <c r="J3280" s="74"/>
      <c r="K3280" s="74">
        <v>102.4</v>
      </c>
      <c r="L3280" s="74">
        <v>92.16</v>
      </c>
      <c r="M3280" s="74"/>
      <c r="N3280" s="74" t="s">
        <v>392</v>
      </c>
      <c r="O3280" s="74" t="s">
        <v>393</v>
      </c>
      <c r="P3280" s="74"/>
      <c r="Q3280" s="74" t="s">
        <v>11879</v>
      </c>
    </row>
    <row r="3281" spans="3:17" x14ac:dyDescent="0.25">
      <c r="C3281" s="74" t="s">
        <v>11884</v>
      </c>
      <c r="D3281" s="74" t="s">
        <v>11885</v>
      </c>
      <c r="E3281" s="74" t="s">
        <v>391</v>
      </c>
      <c r="F3281" s="74">
        <v>0.1</v>
      </c>
      <c r="G3281" s="74"/>
      <c r="H3281" s="74"/>
      <c r="I3281" s="74" t="s">
        <v>391</v>
      </c>
      <c r="J3281" s="74"/>
      <c r="K3281" s="74">
        <v>102.4</v>
      </c>
      <c r="L3281" s="74">
        <v>92.16</v>
      </c>
      <c r="M3281" s="74"/>
      <c r="N3281" s="74" t="s">
        <v>392</v>
      </c>
      <c r="O3281" s="74" t="s">
        <v>393</v>
      </c>
      <c r="P3281" s="74"/>
      <c r="Q3281" s="74" t="s">
        <v>11886</v>
      </c>
    </row>
    <row r="3282" spans="3:17" x14ac:dyDescent="0.25">
      <c r="C3282" s="74" t="s">
        <v>11891</v>
      </c>
      <c r="D3282" s="74" t="s">
        <v>11771</v>
      </c>
      <c r="E3282" s="74" t="s">
        <v>391</v>
      </c>
      <c r="F3282" s="74">
        <v>0.1</v>
      </c>
      <c r="G3282" s="74"/>
      <c r="H3282" s="74"/>
      <c r="I3282" s="74" t="s">
        <v>391</v>
      </c>
      <c r="J3282" s="74"/>
      <c r="K3282" s="74">
        <v>102.4</v>
      </c>
      <c r="L3282" s="74">
        <v>92.16</v>
      </c>
      <c r="M3282" s="74"/>
      <c r="N3282" s="74" t="s">
        <v>392</v>
      </c>
      <c r="O3282" s="74" t="s">
        <v>393</v>
      </c>
      <c r="P3282" s="74"/>
      <c r="Q3282" s="74" t="s">
        <v>11892</v>
      </c>
    </row>
    <row r="3283" spans="3:17" x14ac:dyDescent="0.25">
      <c r="C3283" s="74" t="s">
        <v>11900</v>
      </c>
      <c r="D3283" s="74" t="s">
        <v>11901</v>
      </c>
      <c r="E3283" s="74" t="s">
        <v>391</v>
      </c>
      <c r="F3283" s="74">
        <v>0.1</v>
      </c>
      <c r="G3283" s="74"/>
      <c r="H3283" s="74"/>
      <c r="I3283" s="74" t="s">
        <v>391</v>
      </c>
      <c r="J3283" s="74"/>
      <c r="K3283" s="74">
        <v>102.4</v>
      </c>
      <c r="L3283" s="74">
        <v>92.16</v>
      </c>
      <c r="M3283" s="74"/>
      <c r="N3283" s="74" t="s">
        <v>392</v>
      </c>
      <c r="O3283" s="74" t="s">
        <v>393</v>
      </c>
      <c r="P3283" s="74"/>
      <c r="Q3283" s="74" t="s">
        <v>11901</v>
      </c>
    </row>
    <row r="3284" spans="3:17" x14ac:dyDescent="0.25">
      <c r="C3284" s="74" t="s">
        <v>11902</v>
      </c>
      <c r="D3284" s="74" t="s">
        <v>11903</v>
      </c>
      <c r="E3284" s="74" t="s">
        <v>391</v>
      </c>
      <c r="F3284" s="74">
        <v>0.1</v>
      </c>
      <c r="G3284" s="74"/>
      <c r="H3284" s="74"/>
      <c r="I3284" s="74" t="s">
        <v>391</v>
      </c>
      <c r="J3284" s="74"/>
      <c r="K3284" s="74">
        <v>102.4</v>
      </c>
      <c r="L3284" s="74">
        <v>92.16</v>
      </c>
      <c r="M3284" s="74"/>
      <c r="N3284" s="74" t="s">
        <v>392</v>
      </c>
      <c r="O3284" s="74" t="s">
        <v>393</v>
      </c>
      <c r="P3284" s="74"/>
      <c r="Q3284" s="74" t="s">
        <v>11904</v>
      </c>
    </row>
    <row r="3285" spans="3:17" x14ac:dyDescent="0.25">
      <c r="C3285" s="74" t="s">
        <v>11927</v>
      </c>
      <c r="D3285" s="74" t="s">
        <v>11928</v>
      </c>
      <c r="E3285" s="74" t="s">
        <v>391</v>
      </c>
      <c r="F3285" s="74">
        <v>0.1</v>
      </c>
      <c r="G3285" s="74"/>
      <c r="H3285" s="74"/>
      <c r="I3285" s="74" t="s">
        <v>391</v>
      </c>
      <c r="J3285" s="74"/>
      <c r="K3285" s="74">
        <v>102.4</v>
      </c>
      <c r="L3285" s="74">
        <v>92.16</v>
      </c>
      <c r="M3285" s="74"/>
      <c r="N3285" s="74" t="s">
        <v>392</v>
      </c>
      <c r="O3285" s="74" t="s">
        <v>393</v>
      </c>
      <c r="P3285" s="74"/>
      <c r="Q3285" s="74" t="s">
        <v>11929</v>
      </c>
    </row>
    <row r="3286" spans="3:17" x14ac:dyDescent="0.25">
      <c r="C3286" s="74" t="s">
        <v>11930</v>
      </c>
      <c r="D3286" s="74" t="s">
        <v>11931</v>
      </c>
      <c r="E3286" s="74" t="s">
        <v>391</v>
      </c>
      <c r="F3286" s="74">
        <v>0.1</v>
      </c>
      <c r="G3286" s="74"/>
      <c r="H3286" s="74"/>
      <c r="I3286" s="74" t="s">
        <v>391</v>
      </c>
      <c r="J3286" s="74"/>
      <c r="K3286" s="74">
        <v>102.4</v>
      </c>
      <c r="L3286" s="74">
        <v>92.16</v>
      </c>
      <c r="M3286" s="74"/>
      <c r="N3286" s="74" t="s">
        <v>392</v>
      </c>
      <c r="O3286" s="74" t="s">
        <v>393</v>
      </c>
      <c r="P3286" s="74"/>
      <c r="Q3286" s="74" t="s">
        <v>11932</v>
      </c>
    </row>
    <row r="3287" spans="3:17" x14ac:dyDescent="0.25">
      <c r="C3287" s="74" t="s">
        <v>11937</v>
      </c>
      <c r="D3287" s="74" t="s">
        <v>11938</v>
      </c>
      <c r="E3287" s="74" t="s">
        <v>391</v>
      </c>
      <c r="F3287" s="74">
        <v>0.1</v>
      </c>
      <c r="G3287" s="74"/>
      <c r="H3287" s="74"/>
      <c r="I3287" s="74" t="s">
        <v>391</v>
      </c>
      <c r="J3287" s="74"/>
      <c r="K3287" s="74">
        <v>102.4</v>
      </c>
      <c r="L3287" s="74">
        <v>92.16</v>
      </c>
      <c r="M3287" s="74"/>
      <c r="N3287" s="74" t="s">
        <v>392</v>
      </c>
      <c r="O3287" s="74" t="s">
        <v>393</v>
      </c>
      <c r="P3287" s="74"/>
      <c r="Q3287" s="74" t="s">
        <v>11939</v>
      </c>
    </row>
    <row r="3288" spans="3:17" x14ac:dyDescent="0.25">
      <c r="C3288" s="74" t="s">
        <v>11948</v>
      </c>
      <c r="D3288" s="74" t="s">
        <v>11949</v>
      </c>
      <c r="E3288" s="74" t="s">
        <v>391</v>
      </c>
      <c r="F3288" s="74">
        <v>0.1</v>
      </c>
      <c r="G3288" s="74"/>
      <c r="H3288" s="74"/>
      <c r="I3288" s="74" t="s">
        <v>391</v>
      </c>
      <c r="J3288" s="74"/>
      <c r="K3288" s="74">
        <v>102.4</v>
      </c>
      <c r="L3288" s="74">
        <v>92.16</v>
      </c>
      <c r="M3288" s="74"/>
      <c r="N3288" s="74" t="s">
        <v>392</v>
      </c>
      <c r="O3288" s="74" t="s">
        <v>393</v>
      </c>
      <c r="P3288" s="74"/>
      <c r="Q3288" s="74" t="s">
        <v>11950</v>
      </c>
    </row>
    <row r="3289" spans="3:17" x14ac:dyDescent="0.25">
      <c r="C3289" s="74" t="s">
        <v>11955</v>
      </c>
      <c r="D3289" s="74" t="s">
        <v>11956</v>
      </c>
      <c r="E3289" s="74" t="s">
        <v>391</v>
      </c>
      <c r="F3289" s="74">
        <v>0.1</v>
      </c>
      <c r="G3289" s="74"/>
      <c r="H3289" s="74"/>
      <c r="I3289" s="74" t="s">
        <v>391</v>
      </c>
      <c r="J3289" s="74"/>
      <c r="K3289" s="74">
        <v>102.4</v>
      </c>
      <c r="L3289" s="74">
        <v>92.16</v>
      </c>
      <c r="M3289" s="74"/>
      <c r="N3289" s="74" t="s">
        <v>392</v>
      </c>
      <c r="O3289" s="74" t="s">
        <v>393</v>
      </c>
      <c r="P3289" s="74"/>
      <c r="Q3289" s="74" t="s">
        <v>11957</v>
      </c>
    </row>
    <row r="3290" spans="3:17" x14ac:dyDescent="0.25">
      <c r="C3290" s="74" t="s">
        <v>11958</v>
      </c>
      <c r="D3290" s="74" t="s">
        <v>11959</v>
      </c>
      <c r="E3290" s="74" t="s">
        <v>391</v>
      </c>
      <c r="F3290" s="74">
        <v>0.1</v>
      </c>
      <c r="G3290" s="74"/>
      <c r="H3290" s="74"/>
      <c r="I3290" s="74" t="s">
        <v>391</v>
      </c>
      <c r="J3290" s="74"/>
      <c r="K3290" s="74">
        <v>102.4</v>
      </c>
      <c r="L3290" s="74">
        <v>92.16</v>
      </c>
      <c r="M3290" s="74"/>
      <c r="N3290" s="74" t="s">
        <v>392</v>
      </c>
      <c r="O3290" s="74" t="s">
        <v>393</v>
      </c>
      <c r="P3290" s="74"/>
      <c r="Q3290" s="74" t="s">
        <v>11960</v>
      </c>
    </row>
    <row r="3291" spans="3:17" x14ac:dyDescent="0.25">
      <c r="C3291" s="74" t="s">
        <v>11969</v>
      </c>
      <c r="D3291" s="74" t="s">
        <v>11970</v>
      </c>
      <c r="E3291" s="74" t="s">
        <v>391</v>
      </c>
      <c r="F3291" s="74">
        <v>0.1</v>
      </c>
      <c r="G3291" s="74"/>
      <c r="H3291" s="74"/>
      <c r="I3291" s="74" t="s">
        <v>391</v>
      </c>
      <c r="J3291" s="74"/>
      <c r="K3291" s="74">
        <v>102.4</v>
      </c>
      <c r="L3291" s="74">
        <v>92.16</v>
      </c>
      <c r="M3291" s="74"/>
      <c r="N3291" s="74" t="s">
        <v>392</v>
      </c>
      <c r="O3291" s="74" t="s">
        <v>393</v>
      </c>
      <c r="P3291" s="74"/>
      <c r="Q3291" s="74" t="s">
        <v>11971</v>
      </c>
    </row>
    <row r="3292" spans="3:17" x14ac:dyDescent="0.25">
      <c r="C3292" s="74" t="s">
        <v>11980</v>
      </c>
      <c r="D3292" s="74" t="s">
        <v>11981</v>
      </c>
      <c r="E3292" s="74" t="s">
        <v>391</v>
      </c>
      <c r="F3292" s="74">
        <v>0.1</v>
      </c>
      <c r="G3292" s="74"/>
      <c r="H3292" s="74"/>
      <c r="I3292" s="74" t="s">
        <v>391</v>
      </c>
      <c r="J3292" s="74"/>
      <c r="K3292" s="74">
        <v>102.4</v>
      </c>
      <c r="L3292" s="74">
        <v>92.16</v>
      </c>
      <c r="M3292" s="74"/>
      <c r="N3292" s="74" t="s">
        <v>392</v>
      </c>
      <c r="O3292" s="74" t="s">
        <v>393</v>
      </c>
      <c r="P3292" s="74"/>
      <c r="Q3292" s="74" t="s">
        <v>11982</v>
      </c>
    </row>
    <row r="3293" spans="3:17" x14ac:dyDescent="0.25">
      <c r="C3293" s="74" t="s">
        <v>11987</v>
      </c>
      <c r="D3293" s="74" t="s">
        <v>11988</v>
      </c>
      <c r="E3293" s="74" t="s">
        <v>391</v>
      </c>
      <c r="F3293" s="74">
        <v>0.1</v>
      </c>
      <c r="G3293" s="74"/>
      <c r="H3293" s="74"/>
      <c r="I3293" s="74" t="s">
        <v>391</v>
      </c>
      <c r="J3293" s="74"/>
      <c r="K3293" s="74">
        <v>102.4</v>
      </c>
      <c r="L3293" s="74">
        <v>92.16</v>
      </c>
      <c r="M3293" s="74"/>
      <c r="N3293" s="74" t="s">
        <v>392</v>
      </c>
      <c r="O3293" s="74" t="s">
        <v>393</v>
      </c>
      <c r="P3293" s="74"/>
      <c r="Q3293" s="74" t="s">
        <v>11989</v>
      </c>
    </row>
    <row r="3294" spans="3:17" x14ac:dyDescent="0.25">
      <c r="C3294" s="74" t="s">
        <v>11990</v>
      </c>
      <c r="D3294" s="74" t="s">
        <v>11991</v>
      </c>
      <c r="E3294" s="74" t="s">
        <v>391</v>
      </c>
      <c r="F3294" s="74">
        <v>0.1</v>
      </c>
      <c r="G3294" s="74"/>
      <c r="H3294" s="74"/>
      <c r="I3294" s="74" t="s">
        <v>391</v>
      </c>
      <c r="J3294" s="74"/>
      <c r="K3294" s="74">
        <v>102.4</v>
      </c>
      <c r="L3294" s="74">
        <v>92.16</v>
      </c>
      <c r="M3294" s="74"/>
      <c r="N3294" s="74" t="s">
        <v>392</v>
      </c>
      <c r="O3294" s="74" t="s">
        <v>393</v>
      </c>
      <c r="P3294" s="74"/>
      <c r="Q3294" s="74" t="s">
        <v>11992</v>
      </c>
    </row>
    <row r="3295" spans="3:17" x14ac:dyDescent="0.25">
      <c r="C3295" s="74" t="s">
        <v>12004</v>
      </c>
      <c r="D3295" s="74" t="s">
        <v>12005</v>
      </c>
      <c r="E3295" s="74" t="s">
        <v>391</v>
      </c>
      <c r="F3295" s="74">
        <v>0.1</v>
      </c>
      <c r="G3295" s="74"/>
      <c r="H3295" s="74"/>
      <c r="I3295" s="74" t="s">
        <v>391</v>
      </c>
      <c r="J3295" s="74"/>
      <c r="K3295" s="74">
        <v>102.4</v>
      </c>
      <c r="L3295" s="74">
        <v>92.16</v>
      </c>
      <c r="M3295" s="74"/>
      <c r="N3295" s="74" t="s">
        <v>392</v>
      </c>
      <c r="O3295" s="74" t="s">
        <v>393</v>
      </c>
      <c r="P3295" s="74"/>
      <c r="Q3295" s="74" t="s">
        <v>12006</v>
      </c>
    </row>
    <row r="3296" spans="3:17" x14ac:dyDescent="0.25">
      <c r="C3296" s="74" t="s">
        <v>12007</v>
      </c>
      <c r="D3296" s="74" t="s">
        <v>12008</v>
      </c>
      <c r="E3296" s="74" t="s">
        <v>391</v>
      </c>
      <c r="F3296" s="74">
        <v>0.1</v>
      </c>
      <c r="G3296" s="74"/>
      <c r="H3296" s="74"/>
      <c r="I3296" s="74" t="s">
        <v>391</v>
      </c>
      <c r="J3296" s="74"/>
      <c r="K3296" s="74">
        <v>102.4</v>
      </c>
      <c r="L3296" s="74">
        <v>92.16</v>
      </c>
      <c r="M3296" s="74"/>
      <c r="N3296" s="74" t="s">
        <v>392</v>
      </c>
      <c r="O3296" s="74" t="s">
        <v>393</v>
      </c>
      <c r="P3296" s="74"/>
      <c r="Q3296" s="74" t="s">
        <v>12009</v>
      </c>
    </row>
    <row r="3297" spans="3:17" x14ac:dyDescent="0.25">
      <c r="C3297" s="74" t="s">
        <v>12014</v>
      </c>
      <c r="D3297" s="74" t="s">
        <v>12015</v>
      </c>
      <c r="E3297" s="74" t="s">
        <v>391</v>
      </c>
      <c r="F3297" s="74">
        <v>0.1</v>
      </c>
      <c r="G3297" s="74"/>
      <c r="H3297" s="74"/>
      <c r="I3297" s="74" t="s">
        <v>391</v>
      </c>
      <c r="J3297" s="74"/>
      <c r="K3297" s="74">
        <v>102.4</v>
      </c>
      <c r="L3297" s="74">
        <v>92.16</v>
      </c>
      <c r="M3297" s="74"/>
      <c r="N3297" s="74" t="s">
        <v>392</v>
      </c>
      <c r="O3297" s="74" t="s">
        <v>393</v>
      </c>
      <c r="P3297" s="74"/>
      <c r="Q3297" s="74" t="s">
        <v>12016</v>
      </c>
    </row>
    <row r="3298" spans="3:17" x14ac:dyDescent="0.25">
      <c r="C3298" s="74" t="s">
        <v>12021</v>
      </c>
      <c r="D3298" s="74" t="s">
        <v>12022</v>
      </c>
      <c r="E3298" s="74" t="s">
        <v>391</v>
      </c>
      <c r="F3298" s="74">
        <v>0.1</v>
      </c>
      <c r="G3298" s="74"/>
      <c r="H3298" s="74"/>
      <c r="I3298" s="74" t="s">
        <v>391</v>
      </c>
      <c r="J3298" s="74"/>
      <c r="K3298" s="74">
        <v>102.4</v>
      </c>
      <c r="L3298" s="74">
        <v>92.16</v>
      </c>
      <c r="M3298" s="74"/>
      <c r="N3298" s="74" t="s">
        <v>392</v>
      </c>
      <c r="O3298" s="74" t="s">
        <v>393</v>
      </c>
      <c r="P3298" s="74"/>
      <c r="Q3298" s="74" t="s">
        <v>12023</v>
      </c>
    </row>
    <row r="3299" spans="3:17" x14ac:dyDescent="0.25">
      <c r="C3299" s="74" t="s">
        <v>12028</v>
      </c>
      <c r="D3299" s="74" t="s">
        <v>12029</v>
      </c>
      <c r="E3299" s="74" t="s">
        <v>391</v>
      </c>
      <c r="F3299" s="74">
        <v>0.1</v>
      </c>
      <c r="G3299" s="74"/>
      <c r="H3299" s="74"/>
      <c r="I3299" s="74" t="s">
        <v>391</v>
      </c>
      <c r="J3299" s="74"/>
      <c r="K3299" s="74">
        <v>102.4</v>
      </c>
      <c r="L3299" s="74">
        <v>92.16</v>
      </c>
      <c r="M3299" s="74"/>
      <c r="N3299" s="74" t="s">
        <v>392</v>
      </c>
      <c r="O3299" s="74" t="s">
        <v>393</v>
      </c>
      <c r="P3299" s="74"/>
      <c r="Q3299" s="74" t="s">
        <v>12030</v>
      </c>
    </row>
    <row r="3300" spans="3:17" x14ac:dyDescent="0.25">
      <c r="C3300" s="74" t="s">
        <v>12042</v>
      </c>
      <c r="D3300" s="74" t="s">
        <v>12043</v>
      </c>
      <c r="E3300" s="74" t="s">
        <v>391</v>
      </c>
      <c r="F3300" s="74">
        <v>0.1</v>
      </c>
      <c r="G3300" s="74"/>
      <c r="H3300" s="74"/>
      <c r="I3300" s="74" t="s">
        <v>391</v>
      </c>
      <c r="J3300" s="74"/>
      <c r="K3300" s="74">
        <v>102.4</v>
      </c>
      <c r="L3300" s="74">
        <v>92.16</v>
      </c>
      <c r="M3300" s="74"/>
      <c r="N3300" s="74" t="s">
        <v>392</v>
      </c>
      <c r="O3300" s="74" t="s">
        <v>393</v>
      </c>
      <c r="P3300" s="74"/>
      <c r="Q3300" s="74" t="s">
        <v>12044</v>
      </c>
    </row>
    <row r="3301" spans="3:17" x14ac:dyDescent="0.25">
      <c r="C3301" s="74" t="s">
        <v>12045</v>
      </c>
      <c r="D3301" s="74" t="s">
        <v>12046</v>
      </c>
      <c r="E3301" s="74" t="s">
        <v>391</v>
      </c>
      <c r="F3301" s="74">
        <v>0.1</v>
      </c>
      <c r="G3301" s="74"/>
      <c r="H3301" s="74"/>
      <c r="I3301" s="74" t="s">
        <v>391</v>
      </c>
      <c r="J3301" s="74"/>
      <c r="K3301" s="74">
        <v>102.4</v>
      </c>
      <c r="L3301" s="74">
        <v>92.16</v>
      </c>
      <c r="M3301" s="74"/>
      <c r="N3301" s="74" t="s">
        <v>392</v>
      </c>
      <c r="O3301" s="74" t="s">
        <v>393</v>
      </c>
      <c r="P3301" s="74"/>
      <c r="Q3301" s="74" t="s">
        <v>12047</v>
      </c>
    </row>
    <row r="3302" spans="3:17" x14ac:dyDescent="0.25">
      <c r="C3302" s="74" t="s">
        <v>12052</v>
      </c>
      <c r="D3302" s="74" t="s">
        <v>12053</v>
      </c>
      <c r="E3302" s="74" t="s">
        <v>391</v>
      </c>
      <c r="F3302" s="74">
        <v>0.1</v>
      </c>
      <c r="G3302" s="74"/>
      <c r="H3302" s="74"/>
      <c r="I3302" s="74" t="s">
        <v>391</v>
      </c>
      <c r="J3302" s="74"/>
      <c r="K3302" s="74">
        <v>102.4</v>
      </c>
      <c r="L3302" s="74">
        <v>92.16</v>
      </c>
      <c r="M3302" s="74"/>
      <c r="N3302" s="74" t="s">
        <v>392</v>
      </c>
      <c r="O3302" s="74" t="s">
        <v>393</v>
      </c>
      <c r="P3302" s="74"/>
      <c r="Q3302" s="74" t="s">
        <v>12054</v>
      </c>
    </row>
    <row r="3303" spans="3:17" x14ac:dyDescent="0.25">
      <c r="C3303" s="74" t="s">
        <v>12066</v>
      </c>
      <c r="D3303" s="74" t="s">
        <v>12067</v>
      </c>
      <c r="E3303" s="74" t="s">
        <v>391</v>
      </c>
      <c r="F3303" s="74">
        <v>0.1</v>
      </c>
      <c r="G3303" s="74"/>
      <c r="H3303" s="74"/>
      <c r="I3303" s="74" t="s">
        <v>391</v>
      </c>
      <c r="J3303" s="74"/>
      <c r="K3303" s="74">
        <v>102.4</v>
      </c>
      <c r="L3303" s="74">
        <v>92.16</v>
      </c>
      <c r="M3303" s="74"/>
      <c r="N3303" s="74" t="s">
        <v>392</v>
      </c>
      <c r="O3303" s="74" t="s">
        <v>393</v>
      </c>
      <c r="P3303" s="74"/>
      <c r="Q3303" s="74" t="s">
        <v>12068</v>
      </c>
    </row>
    <row r="3304" spans="3:17" x14ac:dyDescent="0.25">
      <c r="C3304" s="74" t="s">
        <v>12087</v>
      </c>
      <c r="D3304" s="74" t="s">
        <v>12088</v>
      </c>
      <c r="E3304" s="74" t="s">
        <v>391</v>
      </c>
      <c r="F3304" s="74">
        <v>0.1</v>
      </c>
      <c r="G3304" s="74"/>
      <c r="H3304" s="74"/>
      <c r="I3304" s="74" t="s">
        <v>391</v>
      </c>
      <c r="J3304" s="74"/>
      <c r="K3304" s="74">
        <v>102.4</v>
      </c>
      <c r="L3304" s="74">
        <v>92.16</v>
      </c>
      <c r="M3304" s="74"/>
      <c r="N3304" s="74" t="s">
        <v>392</v>
      </c>
      <c r="O3304" s="74" t="s">
        <v>393</v>
      </c>
      <c r="P3304" s="74"/>
      <c r="Q3304" s="74" t="s">
        <v>12089</v>
      </c>
    </row>
    <row r="3305" spans="3:17" x14ac:dyDescent="0.25">
      <c r="C3305" s="74" t="s">
        <v>12090</v>
      </c>
      <c r="D3305" s="74" t="s">
        <v>12091</v>
      </c>
      <c r="E3305" s="74" t="s">
        <v>391</v>
      </c>
      <c r="F3305" s="74">
        <v>0.1</v>
      </c>
      <c r="G3305" s="74"/>
      <c r="H3305" s="74"/>
      <c r="I3305" s="74" t="s">
        <v>391</v>
      </c>
      <c r="J3305" s="74"/>
      <c r="K3305" s="74">
        <v>102.4</v>
      </c>
      <c r="L3305" s="74">
        <v>92.16</v>
      </c>
      <c r="M3305" s="74"/>
      <c r="N3305" s="74" t="s">
        <v>392</v>
      </c>
      <c r="O3305" s="74" t="s">
        <v>393</v>
      </c>
      <c r="P3305" s="74"/>
      <c r="Q3305" s="74" t="s">
        <v>12092</v>
      </c>
    </row>
    <row r="3306" spans="3:17" x14ac:dyDescent="0.25">
      <c r="C3306" s="74" t="s">
        <v>12101</v>
      </c>
      <c r="D3306" s="74" t="s">
        <v>12102</v>
      </c>
      <c r="E3306" s="74" t="s">
        <v>391</v>
      </c>
      <c r="F3306" s="74">
        <v>0.1</v>
      </c>
      <c r="G3306" s="74"/>
      <c r="H3306" s="74"/>
      <c r="I3306" s="74" t="s">
        <v>391</v>
      </c>
      <c r="J3306" s="74"/>
      <c r="K3306" s="74">
        <v>102.4</v>
      </c>
      <c r="L3306" s="74">
        <v>92.16</v>
      </c>
      <c r="M3306" s="74"/>
      <c r="N3306" s="74" t="s">
        <v>392</v>
      </c>
      <c r="O3306" s="74" t="s">
        <v>393</v>
      </c>
      <c r="P3306" s="74"/>
      <c r="Q3306" s="74" t="s">
        <v>12103</v>
      </c>
    </row>
    <row r="3307" spans="3:17" x14ac:dyDescent="0.25">
      <c r="C3307" s="74" t="s">
        <v>12107</v>
      </c>
      <c r="D3307" s="74" t="s">
        <v>12108</v>
      </c>
      <c r="E3307" s="74" t="s">
        <v>391</v>
      </c>
      <c r="F3307" s="74">
        <v>0.1</v>
      </c>
      <c r="G3307" s="74"/>
      <c r="H3307" s="74"/>
      <c r="I3307" s="74" t="s">
        <v>391</v>
      </c>
      <c r="J3307" s="74"/>
      <c r="K3307" s="74">
        <v>102.4</v>
      </c>
      <c r="L3307" s="74">
        <v>92.16</v>
      </c>
      <c r="M3307" s="74"/>
      <c r="N3307" s="74" t="s">
        <v>392</v>
      </c>
      <c r="O3307" s="74" t="s">
        <v>393</v>
      </c>
      <c r="P3307" s="74"/>
      <c r="Q3307" s="74" t="s">
        <v>12109</v>
      </c>
    </row>
    <row r="3308" spans="3:17" x14ac:dyDescent="0.25">
      <c r="C3308" s="74" t="s">
        <v>12110</v>
      </c>
      <c r="D3308" s="74" t="s">
        <v>12111</v>
      </c>
      <c r="E3308" s="74" t="s">
        <v>391</v>
      </c>
      <c r="F3308" s="74">
        <v>0.1</v>
      </c>
      <c r="G3308" s="74"/>
      <c r="H3308" s="74"/>
      <c r="I3308" s="74" t="s">
        <v>391</v>
      </c>
      <c r="J3308" s="74"/>
      <c r="K3308" s="74">
        <v>102.4</v>
      </c>
      <c r="L3308" s="74">
        <v>92.16</v>
      </c>
      <c r="M3308" s="74"/>
      <c r="N3308" s="74" t="s">
        <v>392</v>
      </c>
      <c r="O3308" s="74" t="s">
        <v>393</v>
      </c>
      <c r="P3308" s="74"/>
      <c r="Q3308" s="74" t="s">
        <v>12112</v>
      </c>
    </row>
    <row r="3309" spans="3:17" x14ac:dyDescent="0.25">
      <c r="C3309" s="74" t="s">
        <v>12116</v>
      </c>
      <c r="D3309" s="74" t="s">
        <v>12117</v>
      </c>
      <c r="E3309" s="74" t="s">
        <v>391</v>
      </c>
      <c r="F3309" s="74">
        <v>0.1</v>
      </c>
      <c r="G3309" s="74"/>
      <c r="H3309" s="74"/>
      <c r="I3309" s="74" t="s">
        <v>391</v>
      </c>
      <c r="J3309" s="74"/>
      <c r="K3309" s="74">
        <v>102.4</v>
      </c>
      <c r="L3309" s="74">
        <v>92.16</v>
      </c>
      <c r="M3309" s="74"/>
      <c r="N3309" s="74" t="s">
        <v>392</v>
      </c>
      <c r="O3309" s="74" t="s">
        <v>393</v>
      </c>
      <c r="P3309" s="74"/>
      <c r="Q3309" s="74" t="s">
        <v>12118</v>
      </c>
    </row>
    <row r="3310" spans="3:17" x14ac:dyDescent="0.25">
      <c r="C3310" s="74" t="s">
        <v>12123</v>
      </c>
      <c r="D3310" s="74" t="s">
        <v>12124</v>
      </c>
      <c r="E3310" s="74" t="s">
        <v>391</v>
      </c>
      <c r="F3310" s="74">
        <v>0.1</v>
      </c>
      <c r="G3310" s="74"/>
      <c r="H3310" s="74"/>
      <c r="I3310" s="74" t="s">
        <v>391</v>
      </c>
      <c r="J3310" s="74"/>
      <c r="K3310" s="74">
        <v>102.4</v>
      </c>
      <c r="L3310" s="74">
        <v>92.16</v>
      </c>
      <c r="M3310" s="74"/>
      <c r="N3310" s="74" t="s">
        <v>392</v>
      </c>
      <c r="O3310" s="74" t="s">
        <v>393</v>
      </c>
      <c r="P3310" s="74"/>
      <c r="Q3310" s="74" t="s">
        <v>12125</v>
      </c>
    </row>
    <row r="3311" spans="3:17" x14ac:dyDescent="0.25">
      <c r="C3311" s="74" t="s">
        <v>12138</v>
      </c>
      <c r="D3311" s="74" t="s">
        <v>12139</v>
      </c>
      <c r="E3311" s="74" t="s">
        <v>391</v>
      </c>
      <c r="F3311" s="74">
        <v>0.1</v>
      </c>
      <c r="G3311" s="74"/>
      <c r="H3311" s="74"/>
      <c r="I3311" s="74" t="s">
        <v>391</v>
      </c>
      <c r="J3311" s="74"/>
      <c r="K3311" s="74">
        <v>102.4</v>
      </c>
      <c r="L3311" s="74">
        <v>92.16</v>
      </c>
      <c r="M3311" s="74"/>
      <c r="N3311" s="74" t="s">
        <v>392</v>
      </c>
      <c r="O3311" s="74" t="s">
        <v>393</v>
      </c>
      <c r="P3311" s="74"/>
      <c r="Q3311" s="74" t="s">
        <v>12139</v>
      </c>
    </row>
    <row r="3312" spans="3:17" x14ac:dyDescent="0.25">
      <c r="C3312" s="74" t="s">
        <v>12144</v>
      </c>
      <c r="D3312" s="74" t="s">
        <v>12145</v>
      </c>
      <c r="E3312" s="74" t="s">
        <v>391</v>
      </c>
      <c r="F3312" s="74">
        <v>0.1</v>
      </c>
      <c r="G3312" s="74"/>
      <c r="H3312" s="74"/>
      <c r="I3312" s="74" t="s">
        <v>391</v>
      </c>
      <c r="J3312" s="74"/>
      <c r="K3312" s="74">
        <v>102.4</v>
      </c>
      <c r="L3312" s="74">
        <v>92.16</v>
      </c>
      <c r="M3312" s="74"/>
      <c r="N3312" s="74" t="s">
        <v>392</v>
      </c>
      <c r="O3312" s="74" t="s">
        <v>393</v>
      </c>
      <c r="P3312" s="74"/>
      <c r="Q3312" s="74" t="s">
        <v>12146</v>
      </c>
    </row>
    <row r="3313" spans="3:17" x14ac:dyDescent="0.25">
      <c r="C3313" s="74" t="s">
        <v>12158</v>
      </c>
      <c r="D3313" s="74" t="s">
        <v>12159</v>
      </c>
      <c r="E3313" s="74" t="s">
        <v>391</v>
      </c>
      <c r="F3313" s="74">
        <v>0.1</v>
      </c>
      <c r="G3313" s="74"/>
      <c r="H3313" s="74"/>
      <c r="I3313" s="74" t="s">
        <v>391</v>
      </c>
      <c r="J3313" s="74"/>
      <c r="K3313" s="74">
        <v>102.4</v>
      </c>
      <c r="L3313" s="74">
        <v>92.16</v>
      </c>
      <c r="M3313" s="74"/>
      <c r="N3313" s="74" t="s">
        <v>392</v>
      </c>
      <c r="O3313" s="74" t="s">
        <v>393</v>
      </c>
      <c r="P3313" s="74"/>
      <c r="Q3313" s="74" t="s">
        <v>12160</v>
      </c>
    </row>
    <row r="3314" spans="3:17" x14ac:dyDescent="0.25">
      <c r="C3314" s="74" t="s">
        <v>12168</v>
      </c>
      <c r="D3314" s="74" t="s">
        <v>12169</v>
      </c>
      <c r="E3314" s="74" t="s">
        <v>391</v>
      </c>
      <c r="F3314" s="74">
        <v>0.1</v>
      </c>
      <c r="G3314" s="74"/>
      <c r="H3314" s="74"/>
      <c r="I3314" s="74" t="s">
        <v>391</v>
      </c>
      <c r="J3314" s="74"/>
      <c r="K3314" s="74">
        <v>102.4</v>
      </c>
      <c r="L3314" s="74">
        <v>92.16</v>
      </c>
      <c r="M3314" s="74"/>
      <c r="N3314" s="74" t="s">
        <v>392</v>
      </c>
      <c r="O3314" s="74" t="s">
        <v>393</v>
      </c>
      <c r="P3314" s="74"/>
      <c r="Q3314" s="74" t="s">
        <v>12170</v>
      </c>
    </row>
    <row r="3315" spans="3:17" x14ac:dyDescent="0.25">
      <c r="C3315" s="74" t="s">
        <v>12171</v>
      </c>
      <c r="D3315" s="74" t="s">
        <v>12172</v>
      </c>
      <c r="E3315" s="74" t="s">
        <v>391</v>
      </c>
      <c r="F3315" s="74">
        <v>0.1</v>
      </c>
      <c r="G3315" s="74"/>
      <c r="H3315" s="74"/>
      <c r="I3315" s="74" t="s">
        <v>391</v>
      </c>
      <c r="J3315" s="74"/>
      <c r="K3315" s="74">
        <v>102.4</v>
      </c>
      <c r="L3315" s="74">
        <v>92.16</v>
      </c>
      <c r="M3315" s="74"/>
      <c r="N3315" s="74" t="s">
        <v>392</v>
      </c>
      <c r="O3315" s="74" t="s">
        <v>393</v>
      </c>
      <c r="P3315" s="74"/>
      <c r="Q3315" s="74" t="s">
        <v>12173</v>
      </c>
    </row>
    <row r="3316" spans="3:17" x14ac:dyDescent="0.25">
      <c r="C3316" s="74" t="s">
        <v>12182</v>
      </c>
      <c r="D3316" s="74" t="s">
        <v>12183</v>
      </c>
      <c r="E3316" s="74" t="s">
        <v>391</v>
      </c>
      <c r="F3316" s="74">
        <v>0.1</v>
      </c>
      <c r="G3316" s="74"/>
      <c r="H3316" s="74"/>
      <c r="I3316" s="74" t="s">
        <v>391</v>
      </c>
      <c r="J3316" s="74"/>
      <c r="K3316" s="74">
        <v>102.4</v>
      </c>
      <c r="L3316" s="74">
        <v>92.16</v>
      </c>
      <c r="M3316" s="74"/>
      <c r="N3316" s="74" t="s">
        <v>392</v>
      </c>
      <c r="O3316" s="74" t="s">
        <v>393</v>
      </c>
      <c r="P3316" s="74"/>
      <c r="Q3316" s="74" t="s">
        <v>12184</v>
      </c>
    </row>
    <row r="3317" spans="3:17" x14ac:dyDescent="0.25">
      <c r="C3317" s="74" t="s">
        <v>12200</v>
      </c>
      <c r="D3317" s="74" t="s">
        <v>12201</v>
      </c>
      <c r="E3317" s="74" t="s">
        <v>391</v>
      </c>
      <c r="F3317" s="74">
        <v>0.1</v>
      </c>
      <c r="G3317" s="74"/>
      <c r="H3317" s="74"/>
      <c r="I3317" s="74" t="s">
        <v>391</v>
      </c>
      <c r="J3317" s="74"/>
      <c r="K3317" s="74">
        <v>102.4</v>
      </c>
      <c r="L3317" s="74">
        <v>92.16</v>
      </c>
      <c r="M3317" s="74"/>
      <c r="N3317" s="74" t="s">
        <v>392</v>
      </c>
      <c r="O3317" s="74" t="s">
        <v>393</v>
      </c>
      <c r="P3317" s="74"/>
      <c r="Q3317" s="74" t="s">
        <v>12202</v>
      </c>
    </row>
    <row r="3318" spans="3:17" x14ac:dyDescent="0.25">
      <c r="C3318" s="74" t="s">
        <v>12203</v>
      </c>
      <c r="D3318" s="74" t="s">
        <v>12204</v>
      </c>
      <c r="E3318" s="74" t="s">
        <v>391</v>
      </c>
      <c r="F3318" s="74">
        <v>0.1</v>
      </c>
      <c r="G3318" s="74"/>
      <c r="H3318" s="74"/>
      <c r="I3318" s="74" t="s">
        <v>391</v>
      </c>
      <c r="J3318" s="74"/>
      <c r="K3318" s="74">
        <v>102.4</v>
      </c>
      <c r="L3318" s="74">
        <v>92.16</v>
      </c>
      <c r="M3318" s="74"/>
      <c r="N3318" s="74" t="s">
        <v>392</v>
      </c>
      <c r="O3318" s="74" t="s">
        <v>393</v>
      </c>
      <c r="P3318" s="74"/>
      <c r="Q3318" s="74" t="s">
        <v>12205</v>
      </c>
    </row>
    <row r="3319" spans="3:17" x14ac:dyDescent="0.25">
      <c r="C3319" s="74" t="s">
        <v>12210</v>
      </c>
      <c r="D3319" s="74" t="s">
        <v>12211</v>
      </c>
      <c r="E3319" s="74" t="s">
        <v>391</v>
      </c>
      <c r="F3319" s="74">
        <v>0.1</v>
      </c>
      <c r="G3319" s="74"/>
      <c r="H3319" s="74"/>
      <c r="I3319" s="74" t="s">
        <v>391</v>
      </c>
      <c r="J3319" s="74"/>
      <c r="K3319" s="74">
        <v>102.4</v>
      </c>
      <c r="L3319" s="74">
        <v>92.16</v>
      </c>
      <c r="M3319" s="74"/>
      <c r="N3319" s="74" t="s">
        <v>392</v>
      </c>
      <c r="O3319" s="74" t="s">
        <v>393</v>
      </c>
      <c r="P3319" s="74"/>
      <c r="Q3319" s="74" t="s">
        <v>12212</v>
      </c>
    </row>
    <row r="3320" spans="3:17" x14ac:dyDescent="0.25">
      <c r="C3320" s="74" t="s">
        <v>12220</v>
      </c>
      <c r="D3320" s="74" t="s">
        <v>12221</v>
      </c>
      <c r="E3320" s="74" t="s">
        <v>391</v>
      </c>
      <c r="F3320" s="74">
        <v>0.1</v>
      </c>
      <c r="G3320" s="74"/>
      <c r="H3320" s="74"/>
      <c r="I3320" s="74" t="s">
        <v>391</v>
      </c>
      <c r="J3320" s="74"/>
      <c r="K3320" s="74">
        <v>102.4</v>
      </c>
      <c r="L3320" s="74">
        <v>92.16</v>
      </c>
      <c r="M3320" s="74"/>
      <c r="N3320" s="74" t="s">
        <v>392</v>
      </c>
      <c r="O3320" s="74" t="s">
        <v>393</v>
      </c>
      <c r="P3320" s="74"/>
      <c r="Q3320" s="74" t="s">
        <v>12222</v>
      </c>
    </row>
    <row r="3321" spans="3:17" x14ac:dyDescent="0.25">
      <c r="C3321" s="74" t="s">
        <v>12227</v>
      </c>
      <c r="D3321" s="74" t="s">
        <v>12228</v>
      </c>
      <c r="E3321" s="74" t="s">
        <v>391</v>
      </c>
      <c r="F3321" s="74">
        <v>0.1</v>
      </c>
      <c r="G3321" s="74"/>
      <c r="H3321" s="74"/>
      <c r="I3321" s="74" t="s">
        <v>391</v>
      </c>
      <c r="J3321" s="74"/>
      <c r="K3321" s="74">
        <v>102.4</v>
      </c>
      <c r="L3321" s="74">
        <v>92.16</v>
      </c>
      <c r="M3321" s="74"/>
      <c r="N3321" s="74" t="s">
        <v>392</v>
      </c>
      <c r="O3321" s="74" t="s">
        <v>393</v>
      </c>
      <c r="P3321" s="74"/>
      <c r="Q3321" s="74" t="s">
        <v>12229</v>
      </c>
    </row>
    <row r="3322" spans="3:17" x14ac:dyDescent="0.25">
      <c r="C3322" s="74" t="s">
        <v>12230</v>
      </c>
      <c r="D3322" s="74" t="s">
        <v>12231</v>
      </c>
      <c r="E3322" s="74" t="s">
        <v>391</v>
      </c>
      <c r="F3322" s="74">
        <v>0.1</v>
      </c>
      <c r="G3322" s="74"/>
      <c r="H3322" s="74"/>
      <c r="I3322" s="74" t="s">
        <v>391</v>
      </c>
      <c r="J3322" s="74"/>
      <c r="K3322" s="74">
        <v>102.4</v>
      </c>
      <c r="L3322" s="74">
        <v>92.16</v>
      </c>
      <c r="M3322" s="74"/>
      <c r="N3322" s="74" t="s">
        <v>392</v>
      </c>
      <c r="O3322" s="74" t="s">
        <v>393</v>
      </c>
      <c r="P3322" s="74"/>
      <c r="Q3322" s="74" t="s">
        <v>12231</v>
      </c>
    </row>
    <row r="3323" spans="3:17" x14ac:dyDescent="0.25">
      <c r="C3323" s="74" t="s">
        <v>12232</v>
      </c>
      <c r="D3323" s="74" t="s">
        <v>12233</v>
      </c>
      <c r="E3323" s="74" t="s">
        <v>391</v>
      </c>
      <c r="F3323" s="74">
        <v>0.1</v>
      </c>
      <c r="G3323" s="74"/>
      <c r="H3323" s="74"/>
      <c r="I3323" s="74" t="s">
        <v>391</v>
      </c>
      <c r="J3323" s="74"/>
      <c r="K3323" s="74">
        <v>102.4</v>
      </c>
      <c r="L3323" s="74">
        <v>92.16</v>
      </c>
      <c r="M3323" s="74"/>
      <c r="N3323" s="74" t="s">
        <v>392</v>
      </c>
      <c r="O3323" s="74" t="s">
        <v>393</v>
      </c>
      <c r="P3323" s="74"/>
      <c r="Q3323" s="74" t="s">
        <v>12234</v>
      </c>
    </row>
    <row r="3324" spans="3:17" x14ac:dyDescent="0.25">
      <c r="C3324" s="158" t="s">
        <v>12235</v>
      </c>
      <c r="D3324" s="158" t="s">
        <v>12236</v>
      </c>
      <c r="E3324" s="158" t="s">
        <v>391</v>
      </c>
      <c r="F3324" s="158">
        <v>0.1</v>
      </c>
      <c r="I3324" s="158" t="s">
        <v>391</v>
      </c>
      <c r="K3324" s="158">
        <v>102.4</v>
      </c>
      <c r="L3324" s="158">
        <v>92.16</v>
      </c>
      <c r="N3324" s="158" t="s">
        <v>392</v>
      </c>
      <c r="O3324" s="158" t="s">
        <v>393</v>
      </c>
      <c r="Q3324" s="158" t="s">
        <v>12237</v>
      </c>
    </row>
    <row r="3325" spans="3:17" x14ac:dyDescent="0.25">
      <c r="C3325" s="74" t="s">
        <v>12267</v>
      </c>
      <c r="D3325" s="74" t="s">
        <v>12268</v>
      </c>
      <c r="E3325" s="74" t="s">
        <v>391</v>
      </c>
      <c r="F3325" s="74">
        <v>0.1</v>
      </c>
      <c r="G3325" s="74"/>
      <c r="H3325" s="74"/>
      <c r="I3325" s="74" t="s">
        <v>391</v>
      </c>
      <c r="J3325" s="74"/>
      <c r="K3325" s="74">
        <v>102.4</v>
      </c>
      <c r="L3325" s="74">
        <v>92.16</v>
      </c>
      <c r="M3325" s="74"/>
      <c r="N3325" s="74" t="s">
        <v>392</v>
      </c>
      <c r="O3325" s="74" t="s">
        <v>393</v>
      </c>
      <c r="P3325" s="74"/>
      <c r="Q3325" s="74" t="s">
        <v>12269</v>
      </c>
    </row>
    <row r="3326" spans="3:17" x14ac:dyDescent="0.25">
      <c r="C3326" s="74" t="s">
        <v>12274</v>
      </c>
      <c r="D3326" s="74" t="s">
        <v>12275</v>
      </c>
      <c r="E3326" s="74" t="s">
        <v>391</v>
      </c>
      <c r="F3326" s="74">
        <v>0.1</v>
      </c>
      <c r="G3326" s="74"/>
      <c r="H3326" s="74"/>
      <c r="I3326" s="74" t="s">
        <v>391</v>
      </c>
      <c r="J3326" s="74"/>
      <c r="K3326" s="74">
        <v>102.4</v>
      </c>
      <c r="L3326" s="74">
        <v>92.16</v>
      </c>
      <c r="M3326" s="74"/>
      <c r="N3326" s="74" t="s">
        <v>392</v>
      </c>
      <c r="O3326" s="74" t="s">
        <v>393</v>
      </c>
      <c r="P3326" s="74"/>
      <c r="Q3326" s="74" t="s">
        <v>12276</v>
      </c>
    </row>
    <row r="3327" spans="3:17" x14ac:dyDescent="0.25">
      <c r="C3327" s="74" t="s">
        <v>12277</v>
      </c>
      <c r="D3327" s="74" t="s">
        <v>12278</v>
      </c>
      <c r="E3327" s="74" t="s">
        <v>391</v>
      </c>
      <c r="F3327" s="74">
        <v>0.1</v>
      </c>
      <c r="G3327" s="74"/>
      <c r="H3327" s="74"/>
      <c r="I3327" s="74" t="s">
        <v>391</v>
      </c>
      <c r="J3327" s="74"/>
      <c r="K3327" s="74">
        <v>102.4</v>
      </c>
      <c r="L3327" s="74">
        <v>92.16</v>
      </c>
      <c r="M3327" s="74"/>
      <c r="N3327" s="74" t="s">
        <v>392</v>
      </c>
      <c r="O3327" s="74" t="s">
        <v>393</v>
      </c>
      <c r="P3327" s="74"/>
      <c r="Q3327" s="74" t="s">
        <v>12279</v>
      </c>
    </row>
    <row r="3328" spans="3:17" x14ac:dyDescent="0.25">
      <c r="C3328" s="74" t="s">
        <v>12282</v>
      </c>
      <c r="D3328" s="74" t="s">
        <v>12283</v>
      </c>
      <c r="E3328" s="74" t="s">
        <v>391</v>
      </c>
      <c r="F3328" s="74">
        <v>0.1</v>
      </c>
      <c r="G3328" s="74"/>
      <c r="H3328" s="74"/>
      <c r="I3328" s="74" t="s">
        <v>391</v>
      </c>
      <c r="J3328" s="74"/>
      <c r="K3328" s="74">
        <v>102.4</v>
      </c>
      <c r="L3328" s="74">
        <v>92.16</v>
      </c>
      <c r="M3328" s="74"/>
      <c r="N3328" s="74" t="s">
        <v>392</v>
      </c>
      <c r="O3328" s="74" t="s">
        <v>393</v>
      </c>
      <c r="P3328" s="74"/>
      <c r="Q3328" s="74" t="s">
        <v>12284</v>
      </c>
    </row>
    <row r="3329" spans="3:17" x14ac:dyDescent="0.25">
      <c r="C3329" s="74" t="s">
        <v>12297</v>
      </c>
      <c r="D3329" s="74" t="s">
        <v>12298</v>
      </c>
      <c r="E3329" s="74" t="s">
        <v>391</v>
      </c>
      <c r="F3329" s="74">
        <v>0.1</v>
      </c>
      <c r="G3329" s="74"/>
      <c r="H3329" s="74"/>
      <c r="I3329" s="74" t="s">
        <v>391</v>
      </c>
      <c r="J3329" s="74"/>
      <c r="K3329" s="74">
        <v>102.4</v>
      </c>
      <c r="L3329" s="74">
        <v>92.16</v>
      </c>
      <c r="M3329" s="74"/>
      <c r="N3329" s="74" t="s">
        <v>392</v>
      </c>
      <c r="O3329" s="74" t="s">
        <v>393</v>
      </c>
      <c r="P3329" s="74"/>
      <c r="Q3329" s="74" t="s">
        <v>12299</v>
      </c>
    </row>
    <row r="3330" spans="3:17" x14ac:dyDescent="0.25">
      <c r="C3330" s="74" t="s">
        <v>12300</v>
      </c>
      <c r="D3330" s="74" t="s">
        <v>12301</v>
      </c>
      <c r="E3330" s="74" t="s">
        <v>391</v>
      </c>
      <c r="F3330" s="74">
        <v>0.1</v>
      </c>
      <c r="G3330" s="74"/>
      <c r="H3330" s="74"/>
      <c r="I3330" s="74" t="s">
        <v>391</v>
      </c>
      <c r="J3330" s="74"/>
      <c r="K3330" s="74">
        <v>102.4</v>
      </c>
      <c r="L3330" s="74">
        <v>92.16</v>
      </c>
      <c r="M3330" s="74"/>
      <c r="N3330" s="74" t="s">
        <v>392</v>
      </c>
      <c r="O3330" s="74" t="s">
        <v>393</v>
      </c>
      <c r="P3330" s="74"/>
      <c r="Q3330" s="74" t="s">
        <v>12302</v>
      </c>
    </row>
    <row r="3331" spans="3:17" x14ac:dyDescent="0.25">
      <c r="C3331" s="74" t="s">
        <v>12311</v>
      </c>
      <c r="D3331" s="74" t="s">
        <v>12312</v>
      </c>
      <c r="E3331" s="74" t="s">
        <v>391</v>
      </c>
      <c r="F3331" s="74">
        <v>0.1</v>
      </c>
      <c r="G3331" s="74"/>
      <c r="H3331" s="74"/>
      <c r="I3331" s="74" t="s">
        <v>391</v>
      </c>
      <c r="J3331" s="74"/>
      <c r="K3331" s="74">
        <v>102.4</v>
      </c>
      <c r="L3331" s="74">
        <v>92.16</v>
      </c>
      <c r="M3331" s="74"/>
      <c r="N3331" s="74" t="s">
        <v>392</v>
      </c>
      <c r="O3331" s="74" t="s">
        <v>393</v>
      </c>
      <c r="P3331" s="74"/>
      <c r="Q3331" s="74" t="s">
        <v>12313</v>
      </c>
    </row>
    <row r="3332" spans="3:17" x14ac:dyDescent="0.25">
      <c r="C3332" s="74" t="s">
        <v>12322</v>
      </c>
      <c r="D3332" s="74" t="s">
        <v>12323</v>
      </c>
      <c r="E3332" s="74" t="s">
        <v>391</v>
      </c>
      <c r="F3332" s="74">
        <v>0.1</v>
      </c>
      <c r="G3332" s="74"/>
      <c r="H3332" s="74"/>
      <c r="I3332" s="74" t="s">
        <v>391</v>
      </c>
      <c r="J3332" s="74"/>
      <c r="K3332" s="74">
        <v>102.4</v>
      </c>
      <c r="L3332" s="74">
        <v>92.16</v>
      </c>
      <c r="M3332" s="74"/>
      <c r="N3332" s="74" t="s">
        <v>392</v>
      </c>
      <c r="O3332" s="74" t="s">
        <v>393</v>
      </c>
      <c r="P3332" s="74"/>
      <c r="Q3332" s="74" t="s">
        <v>12324</v>
      </c>
    </row>
    <row r="3333" spans="3:17" x14ac:dyDescent="0.25">
      <c r="C3333" s="74" t="s">
        <v>12353</v>
      </c>
      <c r="D3333" s="74" t="s">
        <v>12354</v>
      </c>
      <c r="E3333" s="74" t="s">
        <v>391</v>
      </c>
      <c r="F3333" s="74">
        <v>0.1</v>
      </c>
      <c r="G3333" s="74"/>
      <c r="H3333" s="74"/>
      <c r="I3333" s="74" t="s">
        <v>391</v>
      </c>
      <c r="J3333" s="74"/>
      <c r="K3333" s="74">
        <v>102.4</v>
      </c>
      <c r="L3333" s="74">
        <v>92.16</v>
      </c>
      <c r="M3333" s="74"/>
      <c r="N3333" s="74" t="s">
        <v>392</v>
      </c>
      <c r="O3333" s="74" t="s">
        <v>393</v>
      </c>
      <c r="P3333" s="74"/>
      <c r="Q3333" s="74" t="s">
        <v>12355</v>
      </c>
    </row>
    <row r="3334" spans="3:17" x14ac:dyDescent="0.25">
      <c r="C3334" s="74" t="s">
        <v>12356</v>
      </c>
      <c r="D3334" s="74" t="s">
        <v>12357</v>
      </c>
      <c r="E3334" s="74" t="s">
        <v>391</v>
      </c>
      <c r="F3334" s="74">
        <v>0.1</v>
      </c>
      <c r="G3334" s="74"/>
      <c r="H3334" s="74"/>
      <c r="I3334" s="74" t="s">
        <v>391</v>
      </c>
      <c r="J3334" s="74"/>
      <c r="K3334" s="74">
        <v>102.4</v>
      </c>
      <c r="L3334" s="74">
        <v>92.16</v>
      </c>
      <c r="M3334" s="74"/>
      <c r="N3334" s="74" t="s">
        <v>392</v>
      </c>
      <c r="O3334" s="74" t="s">
        <v>393</v>
      </c>
      <c r="P3334" s="74"/>
      <c r="Q3334" s="74" t="s">
        <v>12357</v>
      </c>
    </row>
    <row r="3335" spans="3:17" x14ac:dyDescent="0.25">
      <c r="C3335" s="74" t="s">
        <v>12358</v>
      </c>
      <c r="D3335" s="74" t="s">
        <v>12359</v>
      </c>
      <c r="E3335" s="74" t="s">
        <v>391</v>
      </c>
      <c r="F3335" s="74">
        <v>0.1</v>
      </c>
      <c r="G3335" s="74"/>
      <c r="H3335" s="74"/>
      <c r="I3335" s="74" t="s">
        <v>391</v>
      </c>
      <c r="J3335" s="74"/>
      <c r="K3335" s="74">
        <v>102.4</v>
      </c>
      <c r="L3335" s="74">
        <v>92.16</v>
      </c>
      <c r="M3335" s="74"/>
      <c r="N3335" s="74" t="s">
        <v>392</v>
      </c>
      <c r="O3335" s="74" t="s">
        <v>393</v>
      </c>
      <c r="P3335" s="74"/>
      <c r="Q3335" s="74" t="s">
        <v>12359</v>
      </c>
    </row>
    <row r="3336" spans="3:17" x14ac:dyDescent="0.25">
      <c r="C3336" s="74" t="s">
        <v>12360</v>
      </c>
      <c r="D3336" s="74" t="s">
        <v>12361</v>
      </c>
      <c r="E3336" s="74" t="s">
        <v>391</v>
      </c>
      <c r="F3336" s="74">
        <v>0.1</v>
      </c>
      <c r="G3336" s="74"/>
      <c r="H3336" s="74"/>
      <c r="I3336" s="74" t="s">
        <v>391</v>
      </c>
      <c r="J3336" s="74"/>
      <c r="K3336" s="74">
        <v>102.4</v>
      </c>
      <c r="L3336" s="74">
        <v>92.16</v>
      </c>
      <c r="M3336" s="74"/>
      <c r="N3336" s="74" t="s">
        <v>392</v>
      </c>
      <c r="O3336" s="74" t="s">
        <v>393</v>
      </c>
      <c r="P3336" s="74"/>
      <c r="Q3336" s="74" t="s">
        <v>12362</v>
      </c>
    </row>
    <row r="3337" spans="3:17" x14ac:dyDescent="0.25">
      <c r="C3337" s="74" t="s">
        <v>12363</v>
      </c>
      <c r="D3337" s="74" t="s">
        <v>12364</v>
      </c>
      <c r="E3337" s="74" t="s">
        <v>391</v>
      </c>
      <c r="F3337" s="74">
        <v>0.1</v>
      </c>
      <c r="G3337" s="74"/>
      <c r="H3337" s="74"/>
      <c r="I3337" s="74" t="s">
        <v>391</v>
      </c>
      <c r="J3337" s="74"/>
      <c r="K3337" s="74">
        <v>102.4</v>
      </c>
      <c r="L3337" s="74">
        <v>92.16</v>
      </c>
      <c r="M3337" s="74"/>
      <c r="N3337" s="74" t="s">
        <v>392</v>
      </c>
      <c r="O3337" s="74" t="s">
        <v>393</v>
      </c>
      <c r="P3337" s="74"/>
      <c r="Q3337" s="74" t="s">
        <v>12365</v>
      </c>
    </row>
    <row r="3338" spans="3:17" x14ac:dyDescent="0.25">
      <c r="C3338" s="74" t="s">
        <v>12374</v>
      </c>
      <c r="D3338" s="74" t="s">
        <v>12375</v>
      </c>
      <c r="E3338" s="74" t="s">
        <v>391</v>
      </c>
      <c r="F3338" s="74">
        <v>0.1</v>
      </c>
      <c r="G3338" s="74"/>
      <c r="H3338" s="74"/>
      <c r="I3338" s="74" t="s">
        <v>391</v>
      </c>
      <c r="J3338" s="74"/>
      <c r="K3338" s="74">
        <v>102.4</v>
      </c>
      <c r="L3338" s="74">
        <v>92.16</v>
      </c>
      <c r="M3338" s="74"/>
      <c r="N3338" s="74" t="s">
        <v>392</v>
      </c>
      <c r="O3338" s="74" t="s">
        <v>393</v>
      </c>
      <c r="P3338" s="74"/>
      <c r="Q3338" s="74" t="s">
        <v>12376</v>
      </c>
    </row>
    <row r="3339" spans="3:17" x14ac:dyDescent="0.25">
      <c r="C3339" s="74" t="s">
        <v>12396</v>
      </c>
      <c r="D3339" s="74" t="s">
        <v>12397</v>
      </c>
      <c r="E3339" s="74" t="s">
        <v>391</v>
      </c>
      <c r="F3339" s="74">
        <v>0.1</v>
      </c>
      <c r="G3339" s="74"/>
      <c r="H3339" s="74"/>
      <c r="I3339" s="74" t="s">
        <v>391</v>
      </c>
      <c r="J3339" s="74"/>
      <c r="K3339" s="74">
        <v>102.4</v>
      </c>
      <c r="L3339" s="74">
        <v>92.16</v>
      </c>
      <c r="M3339" s="74"/>
      <c r="N3339" s="74" t="s">
        <v>392</v>
      </c>
      <c r="O3339" s="74" t="s">
        <v>393</v>
      </c>
      <c r="P3339" s="74"/>
      <c r="Q3339" s="74" t="s">
        <v>12398</v>
      </c>
    </row>
    <row r="3340" spans="3:17" x14ac:dyDescent="0.25">
      <c r="C3340" s="74" t="s">
        <v>12402</v>
      </c>
      <c r="D3340" s="74" t="s">
        <v>12403</v>
      </c>
      <c r="E3340" s="74" t="s">
        <v>391</v>
      </c>
      <c r="F3340" s="74">
        <v>0.1</v>
      </c>
      <c r="G3340" s="74"/>
      <c r="H3340" s="74"/>
      <c r="I3340" s="74" t="s">
        <v>391</v>
      </c>
      <c r="J3340" s="74"/>
      <c r="K3340" s="74">
        <v>102.4</v>
      </c>
      <c r="L3340" s="74">
        <v>92.16</v>
      </c>
      <c r="M3340" s="74"/>
      <c r="N3340" s="74" t="s">
        <v>392</v>
      </c>
      <c r="O3340" s="74" t="s">
        <v>393</v>
      </c>
      <c r="P3340" s="74"/>
      <c r="Q3340" s="74" t="s">
        <v>12404</v>
      </c>
    </row>
    <row r="3341" spans="3:17" x14ac:dyDescent="0.25">
      <c r="C3341" s="74" t="s">
        <v>12405</v>
      </c>
      <c r="D3341" s="74" t="s">
        <v>11763</v>
      </c>
      <c r="E3341" s="74" t="s">
        <v>391</v>
      </c>
      <c r="F3341" s="74">
        <v>0.1</v>
      </c>
      <c r="G3341" s="74"/>
      <c r="H3341" s="74"/>
      <c r="I3341" s="74" t="s">
        <v>391</v>
      </c>
      <c r="J3341" s="74"/>
      <c r="K3341" s="74">
        <v>102.4</v>
      </c>
      <c r="L3341" s="74">
        <v>92.16</v>
      </c>
      <c r="M3341" s="74"/>
      <c r="N3341" s="74" t="s">
        <v>392</v>
      </c>
      <c r="O3341" s="74" t="s">
        <v>393</v>
      </c>
      <c r="P3341" s="74"/>
      <c r="Q3341" s="74" t="s">
        <v>12406</v>
      </c>
    </row>
    <row r="3342" spans="3:17" x14ac:dyDescent="0.25">
      <c r="C3342" s="74" t="s">
        <v>12407</v>
      </c>
      <c r="D3342" s="74" t="s">
        <v>12408</v>
      </c>
      <c r="E3342" s="74" t="s">
        <v>391</v>
      </c>
      <c r="F3342" s="74">
        <v>0.1</v>
      </c>
      <c r="G3342" s="74"/>
      <c r="H3342" s="74"/>
      <c r="I3342" s="74" t="s">
        <v>391</v>
      </c>
      <c r="J3342" s="74"/>
      <c r="K3342" s="74">
        <v>102.4</v>
      </c>
      <c r="L3342" s="74">
        <v>92.16</v>
      </c>
      <c r="M3342" s="74"/>
      <c r="N3342" s="74" t="s">
        <v>392</v>
      </c>
      <c r="O3342" s="74" t="s">
        <v>393</v>
      </c>
      <c r="P3342" s="74"/>
      <c r="Q3342" s="74" t="s">
        <v>12409</v>
      </c>
    </row>
    <row r="3343" spans="3:17" x14ac:dyDescent="0.25">
      <c r="C3343" s="74" t="s">
        <v>12410</v>
      </c>
      <c r="D3343" s="74" t="s">
        <v>12411</v>
      </c>
      <c r="E3343" s="74" t="s">
        <v>391</v>
      </c>
      <c r="F3343" s="74">
        <v>0.1</v>
      </c>
      <c r="G3343" s="74"/>
      <c r="H3343" s="74"/>
      <c r="I3343" s="74" t="s">
        <v>391</v>
      </c>
      <c r="J3343" s="74"/>
      <c r="K3343" s="74">
        <v>102.4</v>
      </c>
      <c r="L3343" s="74">
        <v>92.16</v>
      </c>
      <c r="M3343" s="74"/>
      <c r="N3343" s="74" t="s">
        <v>392</v>
      </c>
      <c r="O3343" s="74" t="s">
        <v>393</v>
      </c>
      <c r="P3343" s="74"/>
      <c r="Q3343" s="74" t="s">
        <v>12412</v>
      </c>
    </row>
    <row r="3344" spans="3:17" x14ac:dyDescent="0.25">
      <c r="C3344" s="74" t="s">
        <v>12413</v>
      </c>
      <c r="D3344" s="74" t="s">
        <v>12414</v>
      </c>
      <c r="E3344" s="74" t="s">
        <v>391</v>
      </c>
      <c r="F3344" s="74">
        <v>0.1</v>
      </c>
      <c r="G3344" s="74"/>
      <c r="H3344" s="74"/>
      <c r="I3344" s="74" t="s">
        <v>391</v>
      </c>
      <c r="J3344" s="74"/>
      <c r="K3344" s="74">
        <v>102.4</v>
      </c>
      <c r="L3344" s="74">
        <v>92.16</v>
      </c>
      <c r="M3344" s="74"/>
      <c r="N3344" s="74" t="s">
        <v>392</v>
      </c>
      <c r="O3344" s="74" t="s">
        <v>393</v>
      </c>
      <c r="P3344" s="74"/>
      <c r="Q3344" s="74" t="s">
        <v>12415</v>
      </c>
    </row>
    <row r="3345" spans="3:17" x14ac:dyDescent="0.25">
      <c r="C3345" s="74" t="s">
        <v>12424</v>
      </c>
      <c r="D3345" s="74" t="s">
        <v>12425</v>
      </c>
      <c r="E3345" s="74" t="s">
        <v>391</v>
      </c>
      <c r="F3345" s="74">
        <v>0.1</v>
      </c>
      <c r="G3345" s="74"/>
      <c r="H3345" s="74"/>
      <c r="I3345" s="74" t="s">
        <v>391</v>
      </c>
      <c r="J3345" s="74"/>
      <c r="K3345" s="74">
        <v>102.4</v>
      </c>
      <c r="L3345" s="74">
        <v>92.16</v>
      </c>
      <c r="M3345" s="74"/>
      <c r="N3345" s="74" t="s">
        <v>392</v>
      </c>
      <c r="O3345" s="74" t="s">
        <v>393</v>
      </c>
      <c r="P3345" s="74"/>
      <c r="Q3345" s="74" t="s">
        <v>12426</v>
      </c>
    </row>
    <row r="3346" spans="3:17" x14ac:dyDescent="0.25">
      <c r="C3346" s="74" t="s">
        <v>12427</v>
      </c>
      <c r="D3346" s="74" t="s">
        <v>12428</v>
      </c>
      <c r="E3346" s="74" t="s">
        <v>391</v>
      </c>
      <c r="F3346" s="74">
        <v>0.1</v>
      </c>
      <c r="G3346" s="74"/>
      <c r="H3346" s="74"/>
      <c r="I3346" s="74" t="s">
        <v>391</v>
      </c>
      <c r="J3346" s="74"/>
      <c r="K3346" s="74">
        <v>102.4</v>
      </c>
      <c r="L3346" s="74">
        <v>92.16</v>
      </c>
      <c r="M3346" s="74"/>
      <c r="N3346" s="74" t="s">
        <v>392</v>
      </c>
      <c r="O3346" s="74" t="s">
        <v>393</v>
      </c>
      <c r="P3346" s="74"/>
      <c r="Q3346" s="74" t="s">
        <v>12429</v>
      </c>
    </row>
    <row r="3347" spans="3:17" x14ac:dyDescent="0.25">
      <c r="C3347" s="74" t="s">
        <v>12430</v>
      </c>
      <c r="D3347" s="74" t="s">
        <v>12431</v>
      </c>
      <c r="E3347" s="74" t="s">
        <v>391</v>
      </c>
      <c r="F3347" s="74">
        <v>0.1</v>
      </c>
      <c r="G3347" s="74"/>
      <c r="H3347" s="74"/>
      <c r="I3347" s="74" t="s">
        <v>391</v>
      </c>
      <c r="J3347" s="74"/>
      <c r="K3347" s="74">
        <v>102.4</v>
      </c>
      <c r="L3347" s="74">
        <v>92.16</v>
      </c>
      <c r="M3347" s="74"/>
      <c r="N3347" s="74" t="s">
        <v>392</v>
      </c>
      <c r="O3347" s="74" t="s">
        <v>393</v>
      </c>
      <c r="P3347" s="74"/>
      <c r="Q3347" s="74" t="s">
        <v>12432</v>
      </c>
    </row>
    <row r="3348" spans="3:17" x14ac:dyDescent="0.25">
      <c r="C3348" s="74" t="s">
        <v>12433</v>
      </c>
      <c r="D3348" s="74" t="s">
        <v>12434</v>
      </c>
      <c r="E3348" s="74" t="s">
        <v>391</v>
      </c>
      <c r="F3348" s="74">
        <v>0.1</v>
      </c>
      <c r="G3348" s="74"/>
      <c r="H3348" s="74"/>
      <c r="I3348" s="74" t="s">
        <v>391</v>
      </c>
      <c r="J3348" s="74"/>
      <c r="K3348" s="74">
        <v>102.4</v>
      </c>
      <c r="L3348" s="74">
        <v>92.16</v>
      </c>
      <c r="M3348" s="74"/>
      <c r="N3348" s="74" t="s">
        <v>392</v>
      </c>
      <c r="O3348" s="74" t="s">
        <v>393</v>
      </c>
      <c r="P3348" s="74"/>
      <c r="Q3348" s="74" t="s">
        <v>12435</v>
      </c>
    </row>
    <row r="3349" spans="3:17" x14ac:dyDescent="0.25">
      <c r="C3349" s="74" t="s">
        <v>12442</v>
      </c>
      <c r="D3349" s="74" t="s">
        <v>12443</v>
      </c>
      <c r="E3349" s="74" t="s">
        <v>391</v>
      </c>
      <c r="F3349" s="74">
        <v>0.1</v>
      </c>
      <c r="G3349" s="74"/>
      <c r="H3349" s="74"/>
      <c r="I3349" s="74" t="s">
        <v>391</v>
      </c>
      <c r="J3349" s="74"/>
      <c r="K3349" s="74">
        <v>102.4</v>
      </c>
      <c r="L3349" s="74">
        <v>92.16</v>
      </c>
      <c r="M3349" s="74"/>
      <c r="N3349" s="74" t="s">
        <v>392</v>
      </c>
      <c r="O3349" s="74" t="s">
        <v>393</v>
      </c>
      <c r="P3349" s="74"/>
      <c r="Q3349" s="74" t="s">
        <v>12444</v>
      </c>
    </row>
    <row r="3350" spans="3:17" x14ac:dyDescent="0.25">
      <c r="C3350" s="74" t="s">
        <v>12445</v>
      </c>
      <c r="D3350" s="74" t="s">
        <v>12446</v>
      </c>
      <c r="E3350" s="74" t="s">
        <v>391</v>
      </c>
      <c r="F3350" s="74">
        <v>0.1</v>
      </c>
      <c r="G3350" s="74"/>
      <c r="H3350" s="74"/>
      <c r="I3350" s="74" t="s">
        <v>391</v>
      </c>
      <c r="J3350" s="74"/>
      <c r="K3350" s="74">
        <v>102.4</v>
      </c>
      <c r="L3350" s="74">
        <v>92.16</v>
      </c>
      <c r="M3350" s="74"/>
      <c r="N3350" s="74" t="s">
        <v>392</v>
      </c>
      <c r="O3350" s="74" t="s">
        <v>393</v>
      </c>
      <c r="P3350" s="74"/>
      <c r="Q3350" s="74" t="s">
        <v>12447</v>
      </c>
    </row>
    <row r="3351" spans="3:17" x14ac:dyDescent="0.25">
      <c r="C3351" s="74" t="s">
        <v>12448</v>
      </c>
      <c r="D3351" s="74" t="s">
        <v>12449</v>
      </c>
      <c r="E3351" s="74" t="s">
        <v>391</v>
      </c>
      <c r="F3351" s="74">
        <v>0.1</v>
      </c>
      <c r="G3351" s="74"/>
      <c r="H3351" s="74"/>
      <c r="I3351" s="74" t="s">
        <v>391</v>
      </c>
      <c r="J3351" s="74"/>
      <c r="K3351" s="74">
        <v>102.4</v>
      </c>
      <c r="L3351" s="74">
        <v>92.16</v>
      </c>
      <c r="M3351" s="74"/>
      <c r="N3351" s="74" t="s">
        <v>392</v>
      </c>
      <c r="O3351" s="74" t="s">
        <v>393</v>
      </c>
      <c r="P3351" s="74"/>
      <c r="Q3351" s="74" t="s">
        <v>12450</v>
      </c>
    </row>
    <row r="3352" spans="3:17" x14ac:dyDescent="0.25">
      <c r="C3352" s="74" t="s">
        <v>12451</v>
      </c>
      <c r="D3352" s="74" t="s">
        <v>12452</v>
      </c>
      <c r="E3352" s="74" t="s">
        <v>391</v>
      </c>
      <c r="F3352" s="74">
        <v>0.1</v>
      </c>
      <c r="G3352" s="74"/>
      <c r="H3352" s="74"/>
      <c r="I3352" s="74" t="s">
        <v>391</v>
      </c>
      <c r="J3352" s="74"/>
      <c r="K3352" s="74">
        <v>102.4</v>
      </c>
      <c r="L3352" s="74">
        <v>92.16</v>
      </c>
      <c r="M3352" s="74"/>
      <c r="N3352" s="74" t="s">
        <v>392</v>
      </c>
      <c r="O3352" s="74" t="s">
        <v>393</v>
      </c>
      <c r="P3352" s="74"/>
      <c r="Q3352" s="74" t="s">
        <v>12453</v>
      </c>
    </row>
    <row r="3353" spans="3:17" x14ac:dyDescent="0.25">
      <c r="C3353" s="74" t="s">
        <v>12458</v>
      </c>
      <c r="D3353" s="74" t="s">
        <v>12459</v>
      </c>
      <c r="E3353" s="74" t="s">
        <v>391</v>
      </c>
      <c r="F3353" s="74">
        <v>0.1</v>
      </c>
      <c r="G3353" s="74"/>
      <c r="H3353" s="74"/>
      <c r="I3353" s="74" t="s">
        <v>391</v>
      </c>
      <c r="J3353" s="74"/>
      <c r="K3353" s="74">
        <v>102.4</v>
      </c>
      <c r="L3353" s="74">
        <v>92.16</v>
      </c>
      <c r="M3353" s="74"/>
      <c r="N3353" s="74" t="s">
        <v>392</v>
      </c>
      <c r="O3353" s="74" t="s">
        <v>393</v>
      </c>
      <c r="P3353" s="74"/>
      <c r="Q3353" s="74" t="s">
        <v>12459</v>
      </c>
    </row>
    <row r="3354" spans="3:17" x14ac:dyDescent="0.25">
      <c r="C3354" s="74" t="s">
        <v>12460</v>
      </c>
      <c r="D3354" s="74" t="s">
        <v>12461</v>
      </c>
      <c r="E3354" s="74" t="s">
        <v>391</v>
      </c>
      <c r="F3354" s="74">
        <v>0.1</v>
      </c>
      <c r="G3354" s="74"/>
      <c r="H3354" s="74"/>
      <c r="I3354" s="74" t="s">
        <v>391</v>
      </c>
      <c r="J3354" s="74"/>
      <c r="K3354" s="74">
        <v>102.4</v>
      </c>
      <c r="L3354" s="74">
        <v>92.16</v>
      </c>
      <c r="M3354" s="74"/>
      <c r="N3354" s="74" t="s">
        <v>392</v>
      </c>
      <c r="O3354" s="74" t="s">
        <v>393</v>
      </c>
      <c r="P3354" s="74"/>
      <c r="Q3354" s="74" t="s">
        <v>12462</v>
      </c>
    </row>
    <row r="3355" spans="3:17" x14ac:dyDescent="0.25">
      <c r="C3355" s="74" t="s">
        <v>12463</v>
      </c>
      <c r="D3355" s="74" t="s">
        <v>12464</v>
      </c>
      <c r="E3355" s="74" t="s">
        <v>391</v>
      </c>
      <c r="F3355" s="74">
        <v>0.1</v>
      </c>
      <c r="G3355" s="74"/>
      <c r="H3355" s="74"/>
      <c r="I3355" s="74" t="s">
        <v>391</v>
      </c>
      <c r="J3355" s="74"/>
      <c r="K3355" s="74">
        <v>102.4</v>
      </c>
      <c r="L3355" s="74">
        <v>92.16</v>
      </c>
      <c r="M3355" s="74"/>
      <c r="N3355" s="74" t="s">
        <v>392</v>
      </c>
      <c r="O3355" s="74" t="s">
        <v>393</v>
      </c>
      <c r="P3355" s="74"/>
      <c r="Q3355" s="74" t="s">
        <v>12465</v>
      </c>
    </row>
    <row r="3356" spans="3:17" x14ac:dyDescent="0.25">
      <c r="C3356" s="74" t="s">
        <v>12466</v>
      </c>
      <c r="D3356" s="74" t="s">
        <v>12467</v>
      </c>
      <c r="E3356" s="74" t="s">
        <v>391</v>
      </c>
      <c r="F3356" s="74">
        <v>0.1</v>
      </c>
      <c r="G3356" s="74"/>
      <c r="H3356" s="74"/>
      <c r="I3356" s="74" t="s">
        <v>391</v>
      </c>
      <c r="J3356" s="74"/>
      <c r="K3356" s="74">
        <v>102.4</v>
      </c>
      <c r="L3356" s="74">
        <v>92.16</v>
      </c>
      <c r="M3356" s="74"/>
      <c r="N3356" s="74" t="s">
        <v>392</v>
      </c>
      <c r="O3356" s="74" t="s">
        <v>393</v>
      </c>
      <c r="P3356" s="74"/>
      <c r="Q3356" s="74" t="s">
        <v>12468</v>
      </c>
    </row>
    <row r="3357" spans="3:17" x14ac:dyDescent="0.25">
      <c r="C3357" s="74" t="s">
        <v>12476</v>
      </c>
      <c r="D3357" s="74" t="s">
        <v>12477</v>
      </c>
      <c r="E3357" s="74" t="s">
        <v>391</v>
      </c>
      <c r="F3357" s="74">
        <v>0.1</v>
      </c>
      <c r="G3357" s="74"/>
      <c r="H3357" s="74"/>
      <c r="I3357" s="74" t="s">
        <v>391</v>
      </c>
      <c r="J3357" s="74"/>
      <c r="K3357" s="74">
        <v>102.4</v>
      </c>
      <c r="L3357" s="74">
        <v>92.16</v>
      </c>
      <c r="M3357" s="74"/>
      <c r="N3357" s="74" t="s">
        <v>392</v>
      </c>
      <c r="O3357" s="74" t="s">
        <v>393</v>
      </c>
      <c r="P3357" s="74"/>
      <c r="Q3357" s="74" t="s">
        <v>12478</v>
      </c>
    </row>
    <row r="3358" spans="3:17" x14ac:dyDescent="0.25">
      <c r="C3358" s="74" t="s">
        <v>12479</v>
      </c>
      <c r="D3358" s="74" t="s">
        <v>12480</v>
      </c>
      <c r="E3358" s="74" t="s">
        <v>391</v>
      </c>
      <c r="F3358" s="74">
        <v>0.1</v>
      </c>
      <c r="G3358" s="74"/>
      <c r="H3358" s="74"/>
      <c r="I3358" s="74" t="s">
        <v>391</v>
      </c>
      <c r="J3358" s="74"/>
      <c r="K3358" s="74">
        <v>102.4</v>
      </c>
      <c r="L3358" s="74">
        <v>92.16</v>
      </c>
      <c r="M3358" s="74"/>
      <c r="N3358" s="74" t="s">
        <v>392</v>
      </c>
      <c r="O3358" s="74" t="s">
        <v>393</v>
      </c>
      <c r="P3358" s="74"/>
      <c r="Q3358" s="74" t="s">
        <v>12481</v>
      </c>
    </row>
    <row r="3359" spans="3:17" x14ac:dyDescent="0.25">
      <c r="C3359" s="74" t="s">
        <v>12502</v>
      </c>
      <c r="D3359" s="74" t="s">
        <v>12503</v>
      </c>
      <c r="E3359" s="74" t="s">
        <v>391</v>
      </c>
      <c r="F3359" s="74">
        <v>0.1</v>
      </c>
      <c r="G3359" s="74"/>
      <c r="H3359" s="74"/>
      <c r="I3359" s="74" t="s">
        <v>391</v>
      </c>
      <c r="J3359" s="74"/>
      <c r="K3359" s="74">
        <v>102.4</v>
      </c>
      <c r="L3359" s="74">
        <v>92.16</v>
      </c>
      <c r="M3359" s="74"/>
      <c r="N3359" s="74" t="s">
        <v>392</v>
      </c>
      <c r="O3359" s="74" t="s">
        <v>393</v>
      </c>
      <c r="P3359" s="74"/>
      <c r="Q3359" s="74" t="s">
        <v>12504</v>
      </c>
    </row>
    <row r="3360" spans="3:17" x14ac:dyDescent="0.25">
      <c r="C3360" s="74" t="s">
        <v>12513</v>
      </c>
      <c r="D3360" s="74" t="s">
        <v>12514</v>
      </c>
      <c r="E3360" s="74" t="s">
        <v>391</v>
      </c>
      <c r="F3360" s="74">
        <v>0.1</v>
      </c>
      <c r="G3360" s="74"/>
      <c r="H3360" s="74"/>
      <c r="I3360" s="74" t="s">
        <v>391</v>
      </c>
      <c r="J3360" s="74"/>
      <c r="K3360" s="74">
        <v>102.4</v>
      </c>
      <c r="L3360" s="74">
        <v>92.16</v>
      </c>
      <c r="M3360" s="74"/>
      <c r="N3360" s="74" t="s">
        <v>392</v>
      </c>
      <c r="O3360" s="74" t="s">
        <v>393</v>
      </c>
      <c r="P3360" s="74"/>
      <c r="Q3360" s="74" t="s">
        <v>12515</v>
      </c>
    </row>
    <row r="3361" spans="3:17" x14ac:dyDescent="0.25">
      <c r="C3361" s="74" t="s">
        <v>12553</v>
      </c>
      <c r="D3361" s="74" t="s">
        <v>12554</v>
      </c>
      <c r="E3361" s="74" t="s">
        <v>391</v>
      </c>
      <c r="F3361" s="74">
        <v>0.1</v>
      </c>
      <c r="G3361" s="74"/>
      <c r="H3361" s="74"/>
      <c r="I3361" s="74" t="s">
        <v>391</v>
      </c>
      <c r="J3361" s="74"/>
      <c r="K3361" s="74">
        <v>102.4</v>
      </c>
      <c r="L3361" s="74">
        <v>92.16</v>
      </c>
      <c r="M3361" s="74"/>
      <c r="N3361" s="74" t="s">
        <v>392</v>
      </c>
      <c r="O3361" s="74" t="s">
        <v>393</v>
      </c>
      <c r="P3361" s="74"/>
      <c r="Q3361" s="74" t="s">
        <v>12555</v>
      </c>
    </row>
    <row r="3362" spans="3:17" x14ac:dyDescent="0.25">
      <c r="C3362" s="74" t="s">
        <v>12574</v>
      </c>
      <c r="D3362" s="74" t="s">
        <v>12575</v>
      </c>
      <c r="E3362" s="74" t="s">
        <v>391</v>
      </c>
      <c r="F3362" s="74">
        <v>0.1</v>
      </c>
      <c r="G3362" s="74"/>
      <c r="H3362" s="74"/>
      <c r="I3362" s="74" t="s">
        <v>391</v>
      </c>
      <c r="J3362" s="74"/>
      <c r="K3362" s="74">
        <v>102.4</v>
      </c>
      <c r="L3362" s="74">
        <v>92.16</v>
      </c>
      <c r="M3362" s="74"/>
      <c r="N3362" s="74" t="s">
        <v>392</v>
      </c>
      <c r="O3362" s="74" t="s">
        <v>393</v>
      </c>
      <c r="P3362" s="74"/>
      <c r="Q3362" s="74" t="s">
        <v>12576</v>
      </c>
    </row>
    <row r="3363" spans="3:17" x14ac:dyDescent="0.25">
      <c r="C3363" s="74" t="s">
        <v>12577</v>
      </c>
      <c r="D3363" s="74" t="s">
        <v>12578</v>
      </c>
      <c r="E3363" s="74" t="s">
        <v>391</v>
      </c>
      <c r="F3363" s="74">
        <v>0.1</v>
      </c>
      <c r="G3363" s="74"/>
      <c r="H3363" s="74"/>
      <c r="I3363" s="74" t="s">
        <v>391</v>
      </c>
      <c r="J3363" s="74"/>
      <c r="K3363" s="74">
        <v>102.4</v>
      </c>
      <c r="L3363" s="74">
        <v>92.16</v>
      </c>
      <c r="M3363" s="74"/>
      <c r="N3363" s="74" t="s">
        <v>392</v>
      </c>
      <c r="O3363" s="74" t="s">
        <v>393</v>
      </c>
      <c r="P3363" s="74"/>
      <c r="Q3363" s="74" t="s">
        <v>12579</v>
      </c>
    </row>
    <row r="3364" spans="3:17" x14ac:dyDescent="0.25">
      <c r="C3364" s="74" t="s">
        <v>12580</v>
      </c>
      <c r="D3364" s="74" t="s">
        <v>12581</v>
      </c>
      <c r="E3364" s="74"/>
      <c r="F3364" s="74">
        <v>0.1</v>
      </c>
      <c r="G3364" s="74"/>
      <c r="H3364" s="74"/>
      <c r="I3364" s="74" t="s">
        <v>391</v>
      </c>
      <c r="J3364" s="74"/>
      <c r="K3364" s="74">
        <v>102.4</v>
      </c>
      <c r="L3364" s="74">
        <v>92.16</v>
      </c>
      <c r="M3364" s="74"/>
      <c r="N3364" s="74" t="s">
        <v>392</v>
      </c>
      <c r="O3364" s="74" t="s">
        <v>402</v>
      </c>
      <c r="P3364" s="74" t="s">
        <v>12582</v>
      </c>
      <c r="Q3364" s="74" t="s">
        <v>12583</v>
      </c>
    </row>
    <row r="3365" spans="3:17" x14ac:dyDescent="0.25">
      <c r="C3365" s="74" t="s">
        <v>12584</v>
      </c>
      <c r="D3365" s="74" t="s">
        <v>12585</v>
      </c>
      <c r="E3365" s="74" t="s">
        <v>391</v>
      </c>
      <c r="F3365" s="74">
        <v>0.1</v>
      </c>
      <c r="G3365" s="74"/>
      <c r="H3365" s="74"/>
      <c r="I3365" s="74" t="s">
        <v>391</v>
      </c>
      <c r="J3365" s="74"/>
      <c r="K3365" s="74">
        <v>102.4</v>
      </c>
      <c r="L3365" s="74">
        <v>92.16</v>
      </c>
      <c r="M3365" s="74"/>
      <c r="N3365" s="74" t="s">
        <v>392</v>
      </c>
      <c r="O3365" s="74" t="s">
        <v>393</v>
      </c>
      <c r="P3365" s="74"/>
      <c r="Q3365" s="74" t="s">
        <v>12586</v>
      </c>
    </row>
    <row r="3366" spans="3:17" x14ac:dyDescent="0.25">
      <c r="C3366" s="74" t="s">
        <v>12590</v>
      </c>
      <c r="D3366" s="74" t="s">
        <v>12591</v>
      </c>
      <c r="E3366" s="74" t="s">
        <v>391</v>
      </c>
      <c r="F3366" s="74">
        <v>0.1</v>
      </c>
      <c r="G3366" s="74"/>
      <c r="H3366" s="74"/>
      <c r="I3366" s="74" t="s">
        <v>391</v>
      </c>
      <c r="J3366" s="74"/>
      <c r="K3366" s="74">
        <v>102.4</v>
      </c>
      <c r="L3366" s="74">
        <v>92.16</v>
      </c>
      <c r="M3366" s="74"/>
      <c r="N3366" s="74" t="s">
        <v>392</v>
      </c>
      <c r="O3366" s="74" t="s">
        <v>393</v>
      </c>
      <c r="P3366" s="74"/>
      <c r="Q3366" s="74" t="s">
        <v>12592</v>
      </c>
    </row>
    <row r="3367" spans="3:17" x14ac:dyDescent="0.25">
      <c r="C3367" s="74" t="s">
        <v>12593</v>
      </c>
      <c r="D3367" s="74" t="s">
        <v>12594</v>
      </c>
      <c r="E3367" s="74" t="s">
        <v>391</v>
      </c>
      <c r="F3367" s="74">
        <v>0.1</v>
      </c>
      <c r="G3367" s="74"/>
      <c r="H3367" s="74"/>
      <c r="I3367" s="74" t="s">
        <v>391</v>
      </c>
      <c r="J3367" s="74"/>
      <c r="K3367" s="74">
        <v>102.4</v>
      </c>
      <c r="L3367" s="74">
        <v>92.16</v>
      </c>
      <c r="M3367" s="74"/>
      <c r="N3367" s="74" t="s">
        <v>392</v>
      </c>
      <c r="O3367" s="74" t="s">
        <v>393</v>
      </c>
      <c r="P3367" s="74"/>
      <c r="Q3367" s="74" t="s">
        <v>12595</v>
      </c>
    </row>
    <row r="3368" spans="3:17" x14ac:dyDescent="0.25">
      <c r="C3368" s="74" t="s">
        <v>12600</v>
      </c>
      <c r="D3368" s="74" t="s">
        <v>12601</v>
      </c>
      <c r="E3368" s="74" t="s">
        <v>391</v>
      </c>
      <c r="F3368" s="74">
        <v>0.1</v>
      </c>
      <c r="G3368" s="74"/>
      <c r="H3368" s="74"/>
      <c r="I3368" s="74" t="s">
        <v>391</v>
      </c>
      <c r="J3368" s="74"/>
      <c r="K3368" s="74">
        <v>102.4</v>
      </c>
      <c r="L3368" s="74">
        <v>92.16</v>
      </c>
      <c r="M3368" s="74"/>
      <c r="N3368" s="74" t="s">
        <v>392</v>
      </c>
      <c r="O3368" s="74" t="s">
        <v>393</v>
      </c>
      <c r="P3368" s="74"/>
      <c r="Q3368" s="74" t="s">
        <v>12602</v>
      </c>
    </row>
    <row r="3369" spans="3:17" x14ac:dyDescent="0.25">
      <c r="C3369" s="74" t="s">
        <v>12645</v>
      </c>
      <c r="D3369" s="74" t="s">
        <v>12646</v>
      </c>
      <c r="E3369" s="74" t="s">
        <v>391</v>
      </c>
      <c r="F3369" s="74">
        <v>0.1</v>
      </c>
      <c r="G3369" s="74"/>
      <c r="H3369" s="74"/>
      <c r="I3369" s="74" t="s">
        <v>391</v>
      </c>
      <c r="J3369" s="74"/>
      <c r="K3369" s="74">
        <v>102.4</v>
      </c>
      <c r="L3369" s="74">
        <v>92.16</v>
      </c>
      <c r="M3369" s="74"/>
      <c r="N3369" s="74" t="s">
        <v>392</v>
      </c>
      <c r="O3369" s="74" t="s">
        <v>393</v>
      </c>
      <c r="P3369" s="74"/>
      <c r="Q3369" s="74" t="s">
        <v>12647</v>
      </c>
    </row>
    <row r="3370" spans="3:17" x14ac:dyDescent="0.25">
      <c r="C3370" s="74" t="s">
        <v>12648</v>
      </c>
      <c r="D3370" s="74" t="s">
        <v>12649</v>
      </c>
      <c r="E3370" s="74" t="s">
        <v>391</v>
      </c>
      <c r="F3370" s="74">
        <v>0.1</v>
      </c>
      <c r="G3370" s="74"/>
      <c r="H3370" s="74"/>
      <c r="I3370" s="74" t="s">
        <v>391</v>
      </c>
      <c r="J3370" s="74"/>
      <c r="K3370" s="74">
        <v>102.4</v>
      </c>
      <c r="L3370" s="74">
        <v>92.16</v>
      </c>
      <c r="M3370" s="74"/>
      <c r="N3370" s="74" t="s">
        <v>392</v>
      </c>
      <c r="O3370" s="74" t="s">
        <v>393</v>
      </c>
      <c r="P3370" s="74"/>
      <c r="Q3370" s="74" t="s">
        <v>12650</v>
      </c>
    </row>
    <row r="3371" spans="3:17" x14ac:dyDescent="0.25">
      <c r="C3371" s="74" t="s">
        <v>12651</v>
      </c>
      <c r="D3371" s="74" t="s">
        <v>12652</v>
      </c>
      <c r="E3371" s="74" t="s">
        <v>391</v>
      </c>
      <c r="F3371" s="74">
        <v>0.1</v>
      </c>
      <c r="G3371" s="74"/>
      <c r="H3371" s="74"/>
      <c r="I3371" s="74" t="s">
        <v>391</v>
      </c>
      <c r="J3371" s="74"/>
      <c r="K3371" s="74">
        <v>102.4</v>
      </c>
      <c r="L3371" s="74">
        <v>92.16</v>
      </c>
      <c r="M3371" s="74"/>
      <c r="N3371" s="74" t="s">
        <v>392</v>
      </c>
      <c r="O3371" s="74" t="s">
        <v>393</v>
      </c>
      <c r="P3371" s="74"/>
      <c r="Q3371" s="74" t="s">
        <v>12653</v>
      </c>
    </row>
    <row r="3372" spans="3:17" x14ac:dyDescent="0.25">
      <c r="C3372" s="74" t="s">
        <v>12654</v>
      </c>
      <c r="D3372" s="74" t="s">
        <v>12655</v>
      </c>
      <c r="E3372" s="74" t="s">
        <v>391</v>
      </c>
      <c r="F3372" s="74">
        <v>0.1</v>
      </c>
      <c r="G3372" s="74"/>
      <c r="H3372" s="74"/>
      <c r="I3372" s="74" t="s">
        <v>391</v>
      </c>
      <c r="J3372" s="74"/>
      <c r="K3372" s="74">
        <v>102.4</v>
      </c>
      <c r="L3372" s="74">
        <v>92.16</v>
      </c>
      <c r="M3372" s="74"/>
      <c r="N3372" s="74" t="s">
        <v>392</v>
      </c>
      <c r="O3372" s="74" t="s">
        <v>393</v>
      </c>
      <c r="P3372" s="74"/>
      <c r="Q3372" s="74" t="s">
        <v>12656</v>
      </c>
    </row>
    <row r="3373" spans="3:17" x14ac:dyDescent="0.25">
      <c r="C3373" s="74" t="s">
        <v>12657</v>
      </c>
      <c r="D3373" s="74" t="s">
        <v>12658</v>
      </c>
      <c r="E3373" s="74" t="s">
        <v>391</v>
      </c>
      <c r="F3373" s="74">
        <v>0.1</v>
      </c>
      <c r="G3373" s="74"/>
      <c r="H3373" s="74"/>
      <c r="I3373" s="74" t="s">
        <v>391</v>
      </c>
      <c r="J3373" s="74"/>
      <c r="K3373" s="74">
        <v>102.4</v>
      </c>
      <c r="L3373" s="74">
        <v>92.16</v>
      </c>
      <c r="M3373" s="74"/>
      <c r="N3373" s="74" t="s">
        <v>392</v>
      </c>
      <c r="O3373" s="74" t="s">
        <v>393</v>
      </c>
      <c r="P3373" s="74"/>
      <c r="Q3373" s="74" t="s">
        <v>12659</v>
      </c>
    </row>
    <row r="3374" spans="3:17" x14ac:dyDescent="0.25">
      <c r="C3374" s="74" t="s">
        <v>12663</v>
      </c>
      <c r="D3374" s="74" t="s">
        <v>12664</v>
      </c>
      <c r="E3374" s="74" t="s">
        <v>391</v>
      </c>
      <c r="F3374" s="74">
        <v>0.1</v>
      </c>
      <c r="G3374" s="74"/>
      <c r="H3374" s="74"/>
      <c r="I3374" s="74" t="s">
        <v>391</v>
      </c>
      <c r="J3374" s="74"/>
      <c r="K3374" s="74">
        <v>102.4</v>
      </c>
      <c r="L3374" s="74">
        <v>92.16</v>
      </c>
      <c r="M3374" s="74"/>
      <c r="N3374" s="74" t="s">
        <v>392</v>
      </c>
      <c r="O3374" s="74" t="s">
        <v>393</v>
      </c>
      <c r="P3374" s="74"/>
      <c r="Q3374" s="74" t="s">
        <v>12665</v>
      </c>
    </row>
    <row r="3375" spans="3:17" x14ac:dyDescent="0.25">
      <c r="C3375" s="74" t="s">
        <v>12666</v>
      </c>
      <c r="D3375" s="74" t="s">
        <v>12667</v>
      </c>
      <c r="E3375" s="74" t="s">
        <v>391</v>
      </c>
      <c r="F3375" s="74">
        <v>0.1</v>
      </c>
      <c r="G3375" s="74"/>
      <c r="H3375" s="74"/>
      <c r="I3375" s="74" t="s">
        <v>391</v>
      </c>
      <c r="J3375" s="74"/>
      <c r="K3375" s="74">
        <v>102.4</v>
      </c>
      <c r="L3375" s="74">
        <v>92.16</v>
      </c>
      <c r="M3375" s="74"/>
      <c r="N3375" s="74" t="s">
        <v>392</v>
      </c>
      <c r="O3375" s="74" t="s">
        <v>393</v>
      </c>
      <c r="P3375" s="74"/>
      <c r="Q3375" s="74" t="s">
        <v>12668</v>
      </c>
    </row>
    <row r="3376" spans="3:17" x14ac:dyDescent="0.25">
      <c r="C3376" s="74" t="s">
        <v>12680</v>
      </c>
      <c r="D3376" s="74" t="s">
        <v>12681</v>
      </c>
      <c r="E3376" s="74" t="s">
        <v>391</v>
      </c>
      <c r="F3376" s="74">
        <v>0.1</v>
      </c>
      <c r="G3376" s="74"/>
      <c r="H3376" s="74"/>
      <c r="I3376" s="74" t="s">
        <v>391</v>
      </c>
      <c r="J3376" s="74"/>
      <c r="K3376" s="74">
        <v>102.4</v>
      </c>
      <c r="L3376" s="74">
        <v>92.16</v>
      </c>
      <c r="M3376" s="74"/>
      <c r="N3376" s="74" t="s">
        <v>392</v>
      </c>
      <c r="O3376" s="74" t="s">
        <v>393</v>
      </c>
      <c r="P3376" s="74"/>
      <c r="Q3376" s="74" t="s">
        <v>12682</v>
      </c>
    </row>
    <row r="3377" spans="3:17" x14ac:dyDescent="0.25">
      <c r="C3377" s="74" t="s">
        <v>12683</v>
      </c>
      <c r="D3377" s="74" t="s">
        <v>12684</v>
      </c>
      <c r="E3377" s="74" t="s">
        <v>391</v>
      </c>
      <c r="F3377" s="74">
        <v>0.1</v>
      </c>
      <c r="G3377" s="74"/>
      <c r="H3377" s="74"/>
      <c r="I3377" s="74" t="s">
        <v>391</v>
      </c>
      <c r="J3377" s="74"/>
      <c r="K3377" s="74">
        <v>102.4</v>
      </c>
      <c r="L3377" s="74">
        <v>92.16</v>
      </c>
      <c r="M3377" s="74"/>
      <c r="N3377" s="74" t="s">
        <v>392</v>
      </c>
      <c r="O3377" s="74" t="s">
        <v>393</v>
      </c>
      <c r="P3377" s="74"/>
      <c r="Q3377" s="74" t="s">
        <v>12685</v>
      </c>
    </row>
    <row r="3378" spans="3:17" x14ac:dyDescent="0.25">
      <c r="C3378" s="74" t="s">
        <v>12690</v>
      </c>
      <c r="D3378" s="74" t="s">
        <v>12691</v>
      </c>
      <c r="E3378" s="74" t="s">
        <v>391</v>
      </c>
      <c r="F3378" s="74">
        <v>0.1</v>
      </c>
      <c r="G3378" s="74"/>
      <c r="H3378" s="74"/>
      <c r="I3378" s="74" t="s">
        <v>391</v>
      </c>
      <c r="J3378" s="74"/>
      <c r="K3378" s="74">
        <v>102.4</v>
      </c>
      <c r="L3378" s="74">
        <v>92.16</v>
      </c>
      <c r="M3378" s="74"/>
      <c r="N3378" s="74" t="s">
        <v>392</v>
      </c>
      <c r="O3378" s="74" t="s">
        <v>393</v>
      </c>
      <c r="P3378" s="74"/>
      <c r="Q3378" s="74" t="s">
        <v>12692</v>
      </c>
    </row>
    <row r="3379" spans="3:17" x14ac:dyDescent="0.25">
      <c r="C3379" s="74" t="s">
        <v>12701</v>
      </c>
      <c r="D3379" s="74" t="s">
        <v>12702</v>
      </c>
      <c r="E3379" s="74" t="s">
        <v>391</v>
      </c>
      <c r="F3379" s="74">
        <v>0.1</v>
      </c>
      <c r="G3379" s="74"/>
      <c r="H3379" s="74"/>
      <c r="I3379" s="74" t="s">
        <v>391</v>
      </c>
      <c r="J3379" s="74"/>
      <c r="K3379" s="74">
        <v>102.4</v>
      </c>
      <c r="L3379" s="74">
        <v>92.16</v>
      </c>
      <c r="M3379" s="74"/>
      <c r="N3379" s="74" t="s">
        <v>392</v>
      </c>
      <c r="O3379" s="74" t="s">
        <v>393</v>
      </c>
      <c r="P3379" s="74"/>
      <c r="Q3379" s="74" t="s">
        <v>12703</v>
      </c>
    </row>
    <row r="3380" spans="3:17" x14ac:dyDescent="0.25">
      <c r="C3380" s="74" t="s">
        <v>12704</v>
      </c>
      <c r="D3380" s="74" t="s">
        <v>12705</v>
      </c>
      <c r="E3380" s="74" t="s">
        <v>391</v>
      </c>
      <c r="F3380" s="74">
        <v>0.1</v>
      </c>
      <c r="G3380" s="74"/>
      <c r="H3380" s="74"/>
      <c r="I3380" s="74" t="s">
        <v>391</v>
      </c>
      <c r="J3380" s="74"/>
      <c r="K3380" s="74">
        <v>102.4</v>
      </c>
      <c r="L3380" s="74">
        <v>92.16</v>
      </c>
      <c r="M3380" s="74"/>
      <c r="N3380" s="74" t="s">
        <v>392</v>
      </c>
      <c r="O3380" s="74" t="s">
        <v>393</v>
      </c>
      <c r="P3380" s="74"/>
      <c r="Q3380" s="74" t="s">
        <v>12706</v>
      </c>
    </row>
    <row r="3381" spans="3:17" x14ac:dyDescent="0.25">
      <c r="C3381" s="74" t="s">
        <v>12721</v>
      </c>
      <c r="D3381" s="74" t="s">
        <v>12722</v>
      </c>
      <c r="E3381" s="74" t="s">
        <v>391</v>
      </c>
      <c r="F3381" s="74">
        <v>0.1</v>
      </c>
      <c r="G3381" s="74"/>
      <c r="H3381" s="74"/>
      <c r="I3381" s="74" t="s">
        <v>391</v>
      </c>
      <c r="J3381" s="74"/>
      <c r="K3381" s="74">
        <v>102.4</v>
      </c>
      <c r="L3381" s="74">
        <v>92.16</v>
      </c>
      <c r="M3381" s="74"/>
      <c r="N3381" s="74" t="s">
        <v>392</v>
      </c>
      <c r="O3381" s="74" t="s">
        <v>393</v>
      </c>
      <c r="P3381" s="74"/>
      <c r="Q3381" s="74" t="s">
        <v>12723</v>
      </c>
    </row>
    <row r="3382" spans="3:17" x14ac:dyDescent="0.25">
      <c r="C3382" s="74" t="s">
        <v>12724</v>
      </c>
      <c r="D3382" s="74" t="s">
        <v>12725</v>
      </c>
      <c r="E3382" s="74" t="s">
        <v>391</v>
      </c>
      <c r="F3382" s="74">
        <v>0.1</v>
      </c>
      <c r="G3382" s="74"/>
      <c r="H3382" s="74"/>
      <c r="I3382" s="74" t="s">
        <v>391</v>
      </c>
      <c r="J3382" s="74"/>
      <c r="K3382" s="74">
        <v>102.4</v>
      </c>
      <c r="L3382" s="74">
        <v>92.16</v>
      </c>
      <c r="M3382" s="74"/>
      <c r="N3382" s="74" t="s">
        <v>392</v>
      </c>
      <c r="O3382" s="74" t="s">
        <v>393</v>
      </c>
      <c r="P3382" s="74"/>
      <c r="Q3382" s="74" t="s">
        <v>12726</v>
      </c>
    </row>
    <row r="3383" spans="3:17" x14ac:dyDescent="0.25">
      <c r="C3383" s="74" t="s">
        <v>12756</v>
      </c>
      <c r="D3383" s="74" t="s">
        <v>12757</v>
      </c>
      <c r="E3383" s="74" t="s">
        <v>391</v>
      </c>
      <c r="F3383" s="74">
        <v>0.1</v>
      </c>
      <c r="G3383" s="74"/>
      <c r="H3383" s="74"/>
      <c r="I3383" s="74" t="s">
        <v>391</v>
      </c>
      <c r="J3383" s="74"/>
      <c r="K3383" s="74">
        <v>102.4</v>
      </c>
      <c r="L3383" s="74">
        <v>92.16</v>
      </c>
      <c r="M3383" s="74"/>
      <c r="N3383" s="74" t="s">
        <v>392</v>
      </c>
      <c r="O3383" s="74" t="s">
        <v>393</v>
      </c>
      <c r="P3383" s="74"/>
      <c r="Q3383" s="74" t="s">
        <v>12758</v>
      </c>
    </row>
    <row r="3384" spans="3:17" x14ac:dyDescent="0.25">
      <c r="C3384" s="74" t="s">
        <v>12763</v>
      </c>
      <c r="D3384" s="74" t="s">
        <v>12764</v>
      </c>
      <c r="E3384" s="74" t="s">
        <v>391</v>
      </c>
      <c r="F3384" s="74">
        <v>0.1</v>
      </c>
      <c r="G3384" s="74"/>
      <c r="H3384" s="74"/>
      <c r="I3384" s="74" t="s">
        <v>391</v>
      </c>
      <c r="J3384" s="74"/>
      <c r="K3384" s="74">
        <v>102.4</v>
      </c>
      <c r="L3384" s="74">
        <v>92.16</v>
      </c>
      <c r="M3384" s="74"/>
      <c r="N3384" s="74" t="s">
        <v>392</v>
      </c>
      <c r="O3384" s="74" t="s">
        <v>393</v>
      </c>
      <c r="P3384" s="74"/>
      <c r="Q3384" s="74" t="s">
        <v>12765</v>
      </c>
    </row>
    <row r="3385" spans="3:17" x14ac:dyDescent="0.25">
      <c r="C3385" s="74" t="s">
        <v>12793</v>
      </c>
      <c r="D3385" s="74" t="s">
        <v>12794</v>
      </c>
      <c r="E3385" s="74" t="s">
        <v>391</v>
      </c>
      <c r="F3385" s="74">
        <v>0.1</v>
      </c>
      <c r="G3385" s="74"/>
      <c r="H3385" s="74"/>
      <c r="I3385" s="74" t="s">
        <v>391</v>
      </c>
      <c r="J3385" s="74"/>
      <c r="K3385" s="74">
        <v>102.4</v>
      </c>
      <c r="L3385" s="74">
        <v>92.16</v>
      </c>
      <c r="M3385" s="74"/>
      <c r="N3385" s="74" t="s">
        <v>392</v>
      </c>
      <c r="O3385" s="74" t="s">
        <v>393</v>
      </c>
      <c r="P3385" s="74"/>
      <c r="Q3385" s="74" t="s">
        <v>12795</v>
      </c>
    </row>
    <row r="3386" spans="3:17" x14ac:dyDescent="0.25">
      <c r="C3386" s="74" t="s">
        <v>12796</v>
      </c>
      <c r="D3386" s="74" t="s">
        <v>12797</v>
      </c>
      <c r="E3386" s="74" t="s">
        <v>391</v>
      </c>
      <c r="F3386" s="74">
        <v>0.1</v>
      </c>
      <c r="G3386" s="74"/>
      <c r="H3386" s="74"/>
      <c r="I3386" s="74" t="s">
        <v>391</v>
      </c>
      <c r="J3386" s="74"/>
      <c r="K3386" s="74">
        <v>102.4</v>
      </c>
      <c r="L3386" s="74">
        <v>92.16</v>
      </c>
      <c r="M3386" s="74"/>
      <c r="N3386" s="74" t="s">
        <v>392</v>
      </c>
      <c r="O3386" s="74" t="s">
        <v>393</v>
      </c>
      <c r="P3386" s="74"/>
      <c r="Q3386" s="74" t="s">
        <v>12798</v>
      </c>
    </row>
    <row r="3387" spans="3:17" x14ac:dyDescent="0.25">
      <c r="C3387" s="74" t="s">
        <v>12799</v>
      </c>
      <c r="D3387" s="74" t="s">
        <v>12800</v>
      </c>
      <c r="E3387" s="74" t="s">
        <v>391</v>
      </c>
      <c r="F3387" s="74">
        <v>0.1</v>
      </c>
      <c r="G3387" s="74"/>
      <c r="H3387" s="74"/>
      <c r="I3387" s="74" t="s">
        <v>391</v>
      </c>
      <c r="J3387" s="74"/>
      <c r="K3387" s="74">
        <v>102.4</v>
      </c>
      <c r="L3387" s="74">
        <v>92.16</v>
      </c>
      <c r="M3387" s="74"/>
      <c r="N3387" s="74" t="s">
        <v>392</v>
      </c>
      <c r="O3387" s="74" t="s">
        <v>393</v>
      </c>
      <c r="P3387" s="74"/>
      <c r="Q3387" s="74" t="s">
        <v>12801</v>
      </c>
    </row>
    <row r="3388" spans="3:17" x14ac:dyDescent="0.25">
      <c r="C3388" s="74" t="s">
        <v>12802</v>
      </c>
      <c r="D3388" s="74" t="s">
        <v>12803</v>
      </c>
      <c r="E3388" s="74" t="s">
        <v>391</v>
      </c>
      <c r="F3388" s="74">
        <v>0.1</v>
      </c>
      <c r="G3388" s="74"/>
      <c r="H3388" s="74"/>
      <c r="I3388" s="74" t="s">
        <v>391</v>
      </c>
      <c r="J3388" s="74"/>
      <c r="K3388" s="74">
        <v>102.4</v>
      </c>
      <c r="L3388" s="74">
        <v>92.16</v>
      </c>
      <c r="M3388" s="74"/>
      <c r="N3388" s="74" t="s">
        <v>392</v>
      </c>
      <c r="O3388" s="74" t="s">
        <v>393</v>
      </c>
      <c r="P3388" s="74"/>
      <c r="Q3388" s="74" t="s">
        <v>12804</v>
      </c>
    </row>
    <row r="3389" spans="3:17" x14ac:dyDescent="0.25">
      <c r="C3389" s="74" t="s">
        <v>12816</v>
      </c>
      <c r="D3389" s="74" t="s">
        <v>12817</v>
      </c>
      <c r="E3389" s="74" t="s">
        <v>391</v>
      </c>
      <c r="F3389" s="74">
        <v>0.1</v>
      </c>
      <c r="G3389" s="74"/>
      <c r="H3389" s="74"/>
      <c r="I3389" s="74" t="s">
        <v>391</v>
      </c>
      <c r="J3389" s="74"/>
      <c r="K3389" s="74">
        <v>102.4</v>
      </c>
      <c r="L3389" s="74">
        <v>92.16</v>
      </c>
      <c r="M3389" s="74"/>
      <c r="N3389" s="74" t="s">
        <v>392</v>
      </c>
      <c r="O3389" s="74" t="s">
        <v>393</v>
      </c>
      <c r="P3389" s="74"/>
      <c r="Q3389" s="74" t="s">
        <v>12818</v>
      </c>
    </row>
    <row r="3390" spans="3:17" x14ac:dyDescent="0.25">
      <c r="C3390" s="74" t="s">
        <v>12819</v>
      </c>
      <c r="D3390" s="74" t="s">
        <v>12820</v>
      </c>
      <c r="E3390" s="74" t="s">
        <v>391</v>
      </c>
      <c r="F3390" s="74">
        <v>0.1</v>
      </c>
      <c r="G3390" s="74"/>
      <c r="H3390" s="74"/>
      <c r="I3390" s="74" t="s">
        <v>391</v>
      </c>
      <c r="J3390" s="74"/>
      <c r="K3390" s="74">
        <v>102.4</v>
      </c>
      <c r="L3390" s="74">
        <v>92.16</v>
      </c>
      <c r="M3390" s="74"/>
      <c r="N3390" s="74" t="s">
        <v>392</v>
      </c>
      <c r="O3390" s="74" t="s">
        <v>393</v>
      </c>
      <c r="P3390" s="74"/>
      <c r="Q3390" s="74" t="s">
        <v>12821</v>
      </c>
    </row>
    <row r="3391" spans="3:17" x14ac:dyDescent="0.25">
      <c r="C3391" s="74" t="s">
        <v>12836</v>
      </c>
      <c r="D3391" s="74" t="s">
        <v>12837</v>
      </c>
      <c r="E3391" s="74" t="s">
        <v>391</v>
      </c>
      <c r="F3391" s="74">
        <v>0.1</v>
      </c>
      <c r="G3391" s="74"/>
      <c r="H3391" s="74"/>
      <c r="I3391" s="74" t="s">
        <v>391</v>
      </c>
      <c r="J3391" s="74"/>
      <c r="K3391" s="74">
        <v>102.4</v>
      </c>
      <c r="L3391" s="74">
        <v>92.16</v>
      </c>
      <c r="M3391" s="74"/>
      <c r="N3391" s="74" t="s">
        <v>392</v>
      </c>
      <c r="O3391" s="74" t="s">
        <v>393</v>
      </c>
      <c r="P3391" s="74"/>
      <c r="Q3391" s="74" t="s">
        <v>12838</v>
      </c>
    </row>
    <row r="3392" spans="3:17" x14ac:dyDescent="0.25">
      <c r="C3392" s="74" t="s">
        <v>12839</v>
      </c>
      <c r="D3392" s="74" t="s">
        <v>12840</v>
      </c>
      <c r="E3392" s="74" t="s">
        <v>391</v>
      </c>
      <c r="F3392" s="74">
        <v>0.1</v>
      </c>
      <c r="G3392" s="74"/>
      <c r="H3392" s="74"/>
      <c r="I3392" s="74" t="s">
        <v>391</v>
      </c>
      <c r="J3392" s="74"/>
      <c r="K3392" s="74">
        <v>102.4</v>
      </c>
      <c r="L3392" s="74">
        <v>92.16</v>
      </c>
      <c r="M3392" s="74"/>
      <c r="N3392" s="74" t="s">
        <v>392</v>
      </c>
      <c r="O3392" s="74" t="s">
        <v>393</v>
      </c>
      <c r="P3392" s="74"/>
      <c r="Q3392" s="74" t="s">
        <v>12841</v>
      </c>
    </row>
    <row r="3393" spans="3:17" x14ac:dyDescent="0.25">
      <c r="C3393" s="74" t="s">
        <v>12846</v>
      </c>
      <c r="D3393" s="74" t="s">
        <v>11747</v>
      </c>
      <c r="E3393" s="74" t="s">
        <v>391</v>
      </c>
      <c r="F3393" s="74">
        <v>0.1</v>
      </c>
      <c r="G3393" s="74"/>
      <c r="H3393" s="74"/>
      <c r="I3393" s="74" t="s">
        <v>391</v>
      </c>
      <c r="J3393" s="74"/>
      <c r="K3393" s="74">
        <v>102.4</v>
      </c>
      <c r="L3393" s="74">
        <v>92.16</v>
      </c>
      <c r="M3393" s="74"/>
      <c r="N3393" s="74" t="s">
        <v>392</v>
      </c>
      <c r="O3393" s="74" t="s">
        <v>393</v>
      </c>
      <c r="P3393" s="74"/>
      <c r="Q3393" s="74" t="s">
        <v>12847</v>
      </c>
    </row>
    <row r="3394" spans="3:17" x14ac:dyDescent="0.25">
      <c r="C3394" s="74" t="s">
        <v>12856</v>
      </c>
      <c r="D3394" s="74" t="s">
        <v>12857</v>
      </c>
      <c r="E3394" s="74" t="s">
        <v>391</v>
      </c>
      <c r="F3394" s="74">
        <v>0.1</v>
      </c>
      <c r="G3394" s="74"/>
      <c r="H3394" s="74"/>
      <c r="I3394" s="74" t="s">
        <v>391</v>
      </c>
      <c r="J3394" s="74"/>
      <c r="K3394" s="74">
        <v>102.4</v>
      </c>
      <c r="L3394" s="74">
        <v>92.16</v>
      </c>
      <c r="M3394" s="74"/>
      <c r="N3394" s="74" t="s">
        <v>392</v>
      </c>
      <c r="O3394" s="74" t="s">
        <v>393</v>
      </c>
      <c r="P3394" s="74"/>
      <c r="Q3394" s="74" t="s">
        <v>12858</v>
      </c>
    </row>
    <row r="3395" spans="3:17" x14ac:dyDescent="0.25">
      <c r="C3395" s="74" t="s">
        <v>12866</v>
      </c>
      <c r="D3395" s="74" t="s">
        <v>12867</v>
      </c>
      <c r="E3395" s="74" t="s">
        <v>391</v>
      </c>
      <c r="F3395" s="74">
        <v>0.1</v>
      </c>
      <c r="G3395" s="74"/>
      <c r="H3395" s="74"/>
      <c r="I3395" s="74" t="s">
        <v>391</v>
      </c>
      <c r="J3395" s="74"/>
      <c r="K3395" s="74">
        <v>102.4</v>
      </c>
      <c r="L3395" s="74">
        <v>92.16</v>
      </c>
      <c r="M3395" s="74"/>
      <c r="N3395" s="74" t="s">
        <v>392</v>
      </c>
      <c r="O3395" s="74" t="s">
        <v>393</v>
      </c>
      <c r="P3395" s="74"/>
      <c r="Q3395" s="74" t="s">
        <v>12868</v>
      </c>
    </row>
    <row r="3396" spans="3:17" x14ac:dyDescent="0.25">
      <c r="C3396" s="74" t="s">
        <v>12873</v>
      </c>
      <c r="D3396" s="74" t="s">
        <v>12874</v>
      </c>
      <c r="E3396" s="74" t="s">
        <v>391</v>
      </c>
      <c r="F3396" s="74">
        <v>0.1</v>
      </c>
      <c r="G3396" s="74"/>
      <c r="H3396" s="74"/>
      <c r="I3396" s="74" t="s">
        <v>391</v>
      </c>
      <c r="J3396" s="74"/>
      <c r="K3396" s="74">
        <v>102.4</v>
      </c>
      <c r="L3396" s="74">
        <v>92.16</v>
      </c>
      <c r="M3396" s="74"/>
      <c r="N3396" s="74" t="s">
        <v>392</v>
      </c>
      <c r="O3396" s="74" t="s">
        <v>393</v>
      </c>
      <c r="P3396" s="74"/>
      <c r="Q3396" s="74" t="s">
        <v>12874</v>
      </c>
    </row>
    <row r="3397" spans="3:17" x14ac:dyDescent="0.25">
      <c r="C3397" s="74" t="s">
        <v>12875</v>
      </c>
      <c r="D3397" s="74" t="s">
        <v>12876</v>
      </c>
      <c r="E3397" s="74" t="s">
        <v>391</v>
      </c>
      <c r="F3397" s="74">
        <v>0.1</v>
      </c>
      <c r="G3397" s="74"/>
      <c r="H3397" s="74"/>
      <c r="I3397" s="74" t="s">
        <v>391</v>
      </c>
      <c r="J3397" s="74"/>
      <c r="K3397" s="74">
        <v>102.4</v>
      </c>
      <c r="L3397" s="74">
        <v>92.16</v>
      </c>
      <c r="M3397" s="74"/>
      <c r="N3397" s="74" t="s">
        <v>392</v>
      </c>
      <c r="O3397" s="74" t="s">
        <v>393</v>
      </c>
      <c r="P3397" s="74"/>
      <c r="Q3397" s="74" t="s">
        <v>12877</v>
      </c>
    </row>
    <row r="3398" spans="3:17" x14ac:dyDescent="0.25">
      <c r="C3398" s="74" t="s">
        <v>12893</v>
      </c>
      <c r="D3398" s="74" t="s">
        <v>12894</v>
      </c>
      <c r="E3398" s="74" t="s">
        <v>391</v>
      </c>
      <c r="F3398" s="74">
        <v>0.1</v>
      </c>
      <c r="G3398" s="74"/>
      <c r="H3398" s="74"/>
      <c r="I3398" s="74" t="s">
        <v>391</v>
      </c>
      <c r="J3398" s="74"/>
      <c r="K3398" s="74">
        <v>102.4</v>
      </c>
      <c r="L3398" s="74">
        <v>92.16</v>
      </c>
      <c r="M3398" s="74"/>
      <c r="N3398" s="74" t="s">
        <v>392</v>
      </c>
      <c r="O3398" s="74" t="s">
        <v>393</v>
      </c>
      <c r="P3398" s="74"/>
      <c r="Q3398" s="74" t="s">
        <v>12895</v>
      </c>
    </row>
    <row r="3399" spans="3:17" x14ac:dyDescent="0.25">
      <c r="C3399" s="74" t="s">
        <v>12899</v>
      </c>
      <c r="D3399" s="74" t="s">
        <v>12900</v>
      </c>
      <c r="E3399" s="74" t="s">
        <v>391</v>
      </c>
      <c r="F3399" s="74">
        <v>0.1</v>
      </c>
      <c r="G3399" s="74"/>
      <c r="H3399" s="74"/>
      <c r="I3399" s="74" t="s">
        <v>391</v>
      </c>
      <c r="J3399" s="74"/>
      <c r="K3399" s="74">
        <v>102.4</v>
      </c>
      <c r="L3399" s="74">
        <v>92.16</v>
      </c>
      <c r="M3399" s="74"/>
      <c r="N3399" s="74" t="s">
        <v>392</v>
      </c>
      <c r="O3399" s="74" t="s">
        <v>393</v>
      </c>
      <c r="P3399" s="74"/>
      <c r="Q3399" s="74" t="s">
        <v>12901</v>
      </c>
    </row>
    <row r="3400" spans="3:17" x14ac:dyDescent="0.25">
      <c r="C3400" s="74" t="s">
        <v>12918</v>
      </c>
      <c r="D3400" s="74" t="s">
        <v>12919</v>
      </c>
      <c r="E3400" s="74" t="s">
        <v>391</v>
      </c>
      <c r="F3400" s="74">
        <v>0.1</v>
      </c>
      <c r="G3400" s="74"/>
      <c r="H3400" s="74"/>
      <c r="I3400" s="74" t="s">
        <v>391</v>
      </c>
      <c r="J3400" s="74"/>
      <c r="K3400" s="74">
        <v>102.4</v>
      </c>
      <c r="L3400" s="74">
        <v>92.16</v>
      </c>
      <c r="M3400" s="74"/>
      <c r="N3400" s="74" t="s">
        <v>392</v>
      </c>
      <c r="O3400" s="74" t="s">
        <v>393</v>
      </c>
      <c r="P3400" s="74"/>
      <c r="Q3400" s="74" t="s">
        <v>12920</v>
      </c>
    </row>
    <row r="3401" spans="3:17" x14ac:dyDescent="0.25">
      <c r="C3401" s="74" t="s">
        <v>12932</v>
      </c>
      <c r="D3401" s="74" t="s">
        <v>12933</v>
      </c>
      <c r="E3401" s="74" t="s">
        <v>391</v>
      </c>
      <c r="F3401" s="74">
        <v>0.1</v>
      </c>
      <c r="G3401" s="74"/>
      <c r="H3401" s="74"/>
      <c r="I3401" s="74" t="s">
        <v>391</v>
      </c>
      <c r="J3401" s="74"/>
      <c r="K3401" s="74">
        <v>102.4</v>
      </c>
      <c r="L3401" s="74">
        <v>92.16</v>
      </c>
      <c r="M3401" s="74"/>
      <c r="N3401" s="74" t="s">
        <v>392</v>
      </c>
      <c r="O3401" s="74" t="s">
        <v>393</v>
      </c>
      <c r="P3401" s="74"/>
      <c r="Q3401" s="74" t="s">
        <v>12934</v>
      </c>
    </row>
    <row r="3402" spans="3:17" x14ac:dyDescent="0.25">
      <c r="C3402" s="74" t="s">
        <v>12957</v>
      </c>
      <c r="D3402" s="74" t="s">
        <v>12958</v>
      </c>
      <c r="E3402" s="74" t="s">
        <v>391</v>
      </c>
      <c r="F3402" s="74">
        <v>0.1</v>
      </c>
      <c r="G3402" s="74"/>
      <c r="H3402" s="74"/>
      <c r="I3402" s="74" t="s">
        <v>391</v>
      </c>
      <c r="J3402" s="74"/>
      <c r="K3402" s="74">
        <v>102.4</v>
      </c>
      <c r="L3402" s="74">
        <v>92.16</v>
      </c>
      <c r="M3402" s="74"/>
      <c r="N3402" s="74" t="s">
        <v>392</v>
      </c>
      <c r="O3402" s="74" t="s">
        <v>393</v>
      </c>
      <c r="P3402" s="74"/>
      <c r="Q3402" s="74" t="s">
        <v>12959</v>
      </c>
    </row>
    <row r="3403" spans="3:17" x14ac:dyDescent="0.25">
      <c r="C3403" s="74" t="s">
        <v>12964</v>
      </c>
      <c r="D3403" s="74" t="s">
        <v>12965</v>
      </c>
      <c r="E3403" s="74" t="s">
        <v>391</v>
      </c>
      <c r="F3403" s="74">
        <v>0.1</v>
      </c>
      <c r="G3403" s="74"/>
      <c r="H3403" s="74"/>
      <c r="I3403" s="74" t="s">
        <v>391</v>
      </c>
      <c r="J3403" s="74"/>
      <c r="K3403" s="74">
        <v>102.4</v>
      </c>
      <c r="L3403" s="74">
        <v>92.16</v>
      </c>
      <c r="M3403" s="74"/>
      <c r="N3403" s="74" t="s">
        <v>392</v>
      </c>
      <c r="O3403" s="74" t="s">
        <v>393</v>
      </c>
      <c r="P3403" s="74"/>
      <c r="Q3403" s="74" t="s">
        <v>12966</v>
      </c>
    </row>
    <row r="3404" spans="3:17" x14ac:dyDescent="0.25">
      <c r="C3404" s="74" t="s">
        <v>12974</v>
      </c>
      <c r="D3404" s="74" t="s">
        <v>12975</v>
      </c>
      <c r="E3404" s="74" t="s">
        <v>391</v>
      </c>
      <c r="F3404" s="74">
        <v>0.1</v>
      </c>
      <c r="G3404" s="74"/>
      <c r="H3404" s="74"/>
      <c r="I3404" s="74" t="s">
        <v>391</v>
      </c>
      <c r="J3404" s="74"/>
      <c r="K3404" s="74">
        <v>102.4</v>
      </c>
      <c r="L3404" s="74">
        <v>92.16</v>
      </c>
      <c r="M3404" s="74"/>
      <c r="N3404" s="74" t="s">
        <v>392</v>
      </c>
      <c r="O3404" s="74" t="s">
        <v>393</v>
      </c>
      <c r="P3404" s="74"/>
      <c r="Q3404" s="74" t="s">
        <v>12976</v>
      </c>
    </row>
    <row r="3405" spans="3:17" x14ac:dyDescent="0.25">
      <c r="C3405" s="74" t="s">
        <v>12977</v>
      </c>
      <c r="D3405" s="74" t="s">
        <v>12971</v>
      </c>
      <c r="E3405" s="74" t="s">
        <v>391</v>
      </c>
      <c r="F3405" s="74">
        <v>0.1</v>
      </c>
      <c r="G3405" s="74"/>
      <c r="H3405" s="74"/>
      <c r="I3405" s="74" t="s">
        <v>391</v>
      </c>
      <c r="J3405" s="74"/>
      <c r="K3405" s="74">
        <v>102.4</v>
      </c>
      <c r="L3405" s="74">
        <v>92.16</v>
      </c>
      <c r="M3405" s="74"/>
      <c r="N3405" s="74" t="s">
        <v>392</v>
      </c>
      <c r="O3405" s="74" t="s">
        <v>393</v>
      </c>
      <c r="P3405" s="74"/>
      <c r="Q3405" s="74" t="s">
        <v>12978</v>
      </c>
    </row>
    <row r="3406" spans="3:17" x14ac:dyDescent="0.25">
      <c r="C3406" s="74" t="s">
        <v>12982</v>
      </c>
      <c r="D3406" s="74" t="s">
        <v>12983</v>
      </c>
      <c r="E3406" s="74" t="s">
        <v>391</v>
      </c>
      <c r="F3406" s="74">
        <v>0.1</v>
      </c>
      <c r="G3406" s="74"/>
      <c r="H3406" s="74"/>
      <c r="I3406" s="74" t="s">
        <v>391</v>
      </c>
      <c r="J3406" s="74"/>
      <c r="K3406" s="74">
        <v>102.4</v>
      </c>
      <c r="L3406" s="74">
        <v>92.16</v>
      </c>
      <c r="M3406" s="74"/>
      <c r="N3406" s="74" t="s">
        <v>392</v>
      </c>
      <c r="O3406" s="74" t="s">
        <v>393</v>
      </c>
      <c r="P3406" s="74"/>
      <c r="Q3406" s="74" t="s">
        <v>12984</v>
      </c>
    </row>
    <row r="3407" spans="3:17" x14ac:dyDescent="0.25">
      <c r="C3407" s="74" t="s">
        <v>12985</v>
      </c>
      <c r="D3407" s="74" t="s">
        <v>12986</v>
      </c>
      <c r="E3407" s="74" t="s">
        <v>391</v>
      </c>
      <c r="F3407" s="74">
        <v>0.1</v>
      </c>
      <c r="G3407" s="74"/>
      <c r="H3407" s="74"/>
      <c r="I3407" s="74" t="s">
        <v>391</v>
      </c>
      <c r="J3407" s="74"/>
      <c r="K3407" s="74">
        <v>102.4</v>
      </c>
      <c r="L3407" s="74">
        <v>92.16</v>
      </c>
      <c r="M3407" s="74"/>
      <c r="N3407" s="74" t="s">
        <v>392</v>
      </c>
      <c r="O3407" s="74" t="s">
        <v>393</v>
      </c>
      <c r="P3407" s="74"/>
      <c r="Q3407" s="74" t="s">
        <v>12987</v>
      </c>
    </row>
    <row r="3408" spans="3:17" x14ac:dyDescent="0.25">
      <c r="C3408" s="74" t="s">
        <v>12988</v>
      </c>
      <c r="D3408" s="74" t="s">
        <v>12989</v>
      </c>
      <c r="E3408" s="74" t="s">
        <v>391</v>
      </c>
      <c r="F3408" s="74">
        <v>0.1</v>
      </c>
      <c r="G3408" s="74"/>
      <c r="H3408" s="74"/>
      <c r="I3408" s="74" t="s">
        <v>391</v>
      </c>
      <c r="J3408" s="74"/>
      <c r="K3408" s="74">
        <v>102.4</v>
      </c>
      <c r="L3408" s="74">
        <v>92.16</v>
      </c>
      <c r="M3408" s="74"/>
      <c r="N3408" s="74" t="s">
        <v>392</v>
      </c>
      <c r="O3408" s="74" t="s">
        <v>393</v>
      </c>
      <c r="P3408" s="74"/>
      <c r="Q3408" s="74" t="s">
        <v>12990</v>
      </c>
    </row>
    <row r="3409" spans="3:17" x14ac:dyDescent="0.25">
      <c r="C3409" s="74" t="s">
        <v>12997</v>
      </c>
      <c r="D3409" s="74" t="s">
        <v>12998</v>
      </c>
      <c r="E3409" s="74" t="s">
        <v>391</v>
      </c>
      <c r="F3409" s="74">
        <v>0.1</v>
      </c>
      <c r="G3409" s="74"/>
      <c r="H3409" s="74"/>
      <c r="I3409" s="74" t="s">
        <v>391</v>
      </c>
      <c r="J3409" s="74"/>
      <c r="K3409" s="74">
        <v>102.4</v>
      </c>
      <c r="L3409" s="74">
        <v>92.16</v>
      </c>
      <c r="M3409" s="74"/>
      <c r="N3409" s="74" t="s">
        <v>392</v>
      </c>
      <c r="O3409" s="74" t="s">
        <v>393</v>
      </c>
      <c r="P3409" s="74"/>
      <c r="Q3409" s="74" t="s">
        <v>12999</v>
      </c>
    </row>
    <row r="3410" spans="3:17" x14ac:dyDescent="0.25">
      <c r="C3410" s="74" t="s">
        <v>13004</v>
      </c>
      <c r="D3410" s="74" t="s">
        <v>13005</v>
      </c>
      <c r="E3410" s="74" t="s">
        <v>391</v>
      </c>
      <c r="F3410" s="74">
        <v>0.1</v>
      </c>
      <c r="G3410" s="74"/>
      <c r="H3410" s="74"/>
      <c r="I3410" s="74" t="s">
        <v>391</v>
      </c>
      <c r="J3410" s="74"/>
      <c r="K3410" s="74">
        <v>102.4</v>
      </c>
      <c r="L3410" s="74">
        <v>92.16</v>
      </c>
      <c r="M3410" s="74"/>
      <c r="N3410" s="74" t="s">
        <v>392</v>
      </c>
      <c r="O3410" s="74" t="s">
        <v>393</v>
      </c>
      <c r="P3410" s="74"/>
      <c r="Q3410" s="74" t="s">
        <v>13005</v>
      </c>
    </row>
    <row r="3411" spans="3:17" x14ac:dyDescent="0.25">
      <c r="C3411" s="74" t="s">
        <v>13006</v>
      </c>
      <c r="D3411" s="74" t="s">
        <v>13007</v>
      </c>
      <c r="E3411" s="74" t="s">
        <v>391</v>
      </c>
      <c r="F3411" s="74">
        <v>0.1</v>
      </c>
      <c r="G3411" s="74"/>
      <c r="H3411" s="74"/>
      <c r="I3411" s="74" t="s">
        <v>391</v>
      </c>
      <c r="J3411" s="74"/>
      <c r="K3411" s="74">
        <v>102.4</v>
      </c>
      <c r="L3411" s="74">
        <v>92.16</v>
      </c>
      <c r="M3411" s="74"/>
      <c r="N3411" s="74" t="s">
        <v>392</v>
      </c>
      <c r="O3411" s="74" t="s">
        <v>393</v>
      </c>
      <c r="P3411" s="74"/>
      <c r="Q3411" s="74" t="s">
        <v>13007</v>
      </c>
    </row>
    <row r="3412" spans="3:17" x14ac:dyDescent="0.25">
      <c r="C3412" s="74" t="s">
        <v>13027</v>
      </c>
      <c r="D3412" s="74" t="s">
        <v>13028</v>
      </c>
      <c r="E3412" s="74" t="s">
        <v>391</v>
      </c>
      <c r="F3412" s="74">
        <v>0.1</v>
      </c>
      <c r="G3412" s="74"/>
      <c r="H3412" s="74"/>
      <c r="I3412" s="74" t="s">
        <v>391</v>
      </c>
      <c r="J3412" s="74"/>
      <c r="K3412" s="74">
        <v>102.4</v>
      </c>
      <c r="L3412" s="74">
        <v>92.16</v>
      </c>
      <c r="M3412" s="74"/>
      <c r="N3412" s="74" t="s">
        <v>392</v>
      </c>
      <c r="O3412" s="74" t="s">
        <v>393</v>
      </c>
      <c r="P3412" s="74"/>
      <c r="Q3412" s="74" t="s">
        <v>13029</v>
      </c>
    </row>
    <row r="3413" spans="3:17" x14ac:dyDescent="0.25">
      <c r="C3413" s="74" t="s">
        <v>13045</v>
      </c>
      <c r="D3413" s="74" t="s">
        <v>13046</v>
      </c>
      <c r="E3413" s="74" t="s">
        <v>391</v>
      </c>
      <c r="F3413" s="74">
        <v>0.1</v>
      </c>
      <c r="G3413" s="74"/>
      <c r="H3413" s="74"/>
      <c r="I3413" s="74" t="s">
        <v>391</v>
      </c>
      <c r="J3413" s="74"/>
      <c r="K3413" s="74">
        <v>102.4</v>
      </c>
      <c r="L3413" s="74">
        <v>92.16</v>
      </c>
      <c r="M3413" s="74"/>
      <c r="N3413" s="74" t="s">
        <v>392</v>
      </c>
      <c r="O3413" s="74" t="s">
        <v>393</v>
      </c>
      <c r="P3413" s="74"/>
      <c r="Q3413" s="74" t="s">
        <v>13047</v>
      </c>
    </row>
    <row r="3414" spans="3:17" x14ac:dyDescent="0.25">
      <c r="C3414" s="74" t="s">
        <v>13048</v>
      </c>
      <c r="D3414" s="74" t="s">
        <v>13049</v>
      </c>
      <c r="E3414" s="74" t="s">
        <v>391</v>
      </c>
      <c r="F3414" s="74">
        <v>0.1</v>
      </c>
      <c r="G3414" s="74"/>
      <c r="H3414" s="74"/>
      <c r="I3414" s="74" t="s">
        <v>391</v>
      </c>
      <c r="J3414" s="74"/>
      <c r="K3414" s="74">
        <v>102.4</v>
      </c>
      <c r="L3414" s="74">
        <v>92.16</v>
      </c>
      <c r="M3414" s="74"/>
      <c r="N3414" s="74" t="s">
        <v>392</v>
      </c>
      <c r="O3414" s="74" t="s">
        <v>393</v>
      </c>
      <c r="P3414" s="74"/>
      <c r="Q3414" s="74" t="s">
        <v>13050</v>
      </c>
    </row>
    <row r="3415" spans="3:17" x14ac:dyDescent="0.25">
      <c r="C3415" s="74" t="s">
        <v>13051</v>
      </c>
      <c r="D3415" s="74" t="s">
        <v>13052</v>
      </c>
      <c r="E3415" s="74" t="s">
        <v>391</v>
      </c>
      <c r="F3415" s="74">
        <v>0.1</v>
      </c>
      <c r="G3415" s="74"/>
      <c r="H3415" s="74"/>
      <c r="I3415" s="74" t="s">
        <v>391</v>
      </c>
      <c r="J3415" s="74"/>
      <c r="K3415" s="74">
        <v>102.4</v>
      </c>
      <c r="L3415" s="74">
        <v>92.16</v>
      </c>
      <c r="M3415" s="74"/>
      <c r="N3415" s="74" t="s">
        <v>392</v>
      </c>
      <c r="O3415" s="74" t="s">
        <v>393</v>
      </c>
      <c r="P3415" s="74"/>
      <c r="Q3415" s="74" t="s">
        <v>13053</v>
      </c>
    </row>
    <row r="3416" spans="3:17" x14ac:dyDescent="0.25">
      <c r="C3416" s="74" t="s">
        <v>13054</v>
      </c>
      <c r="D3416" s="74" t="s">
        <v>13055</v>
      </c>
      <c r="E3416" s="74" t="s">
        <v>391</v>
      </c>
      <c r="F3416" s="74">
        <v>0.1</v>
      </c>
      <c r="G3416" s="74"/>
      <c r="H3416" s="74"/>
      <c r="I3416" s="74" t="s">
        <v>391</v>
      </c>
      <c r="J3416" s="74"/>
      <c r="K3416" s="74">
        <v>102.4</v>
      </c>
      <c r="L3416" s="74">
        <v>92.16</v>
      </c>
      <c r="M3416" s="74"/>
      <c r="N3416" s="74" t="s">
        <v>392</v>
      </c>
      <c r="O3416" s="74" t="s">
        <v>393</v>
      </c>
      <c r="P3416" s="74"/>
      <c r="Q3416" s="74" t="s">
        <v>13056</v>
      </c>
    </row>
    <row r="3417" spans="3:17" x14ac:dyDescent="0.25">
      <c r="C3417" s="74" t="s">
        <v>13065</v>
      </c>
      <c r="D3417" s="74" t="s">
        <v>13066</v>
      </c>
      <c r="E3417" s="74" t="s">
        <v>391</v>
      </c>
      <c r="F3417" s="74">
        <v>0.1</v>
      </c>
      <c r="G3417" s="74"/>
      <c r="H3417" s="74"/>
      <c r="I3417" s="74" t="s">
        <v>391</v>
      </c>
      <c r="J3417" s="74"/>
      <c r="K3417" s="74">
        <v>102.4</v>
      </c>
      <c r="L3417" s="74">
        <v>92.16</v>
      </c>
      <c r="M3417" s="74"/>
      <c r="N3417" s="74" t="s">
        <v>392</v>
      </c>
      <c r="O3417" s="74" t="s">
        <v>393</v>
      </c>
      <c r="P3417" s="74"/>
      <c r="Q3417" s="74" t="s">
        <v>13067</v>
      </c>
    </row>
    <row r="3418" spans="3:17" x14ac:dyDescent="0.25">
      <c r="C3418" s="74" t="s">
        <v>13072</v>
      </c>
      <c r="D3418" s="74" t="s">
        <v>13073</v>
      </c>
      <c r="E3418" s="74" t="s">
        <v>391</v>
      </c>
      <c r="F3418" s="74">
        <v>0.1</v>
      </c>
      <c r="G3418" s="74"/>
      <c r="H3418" s="74"/>
      <c r="I3418" s="74" t="s">
        <v>391</v>
      </c>
      <c r="J3418" s="74"/>
      <c r="K3418" s="74">
        <v>102.4</v>
      </c>
      <c r="L3418" s="74">
        <v>92.16</v>
      </c>
      <c r="M3418" s="74"/>
      <c r="N3418" s="74" t="s">
        <v>392</v>
      </c>
      <c r="O3418" s="74" t="s">
        <v>393</v>
      </c>
      <c r="P3418" s="74"/>
      <c r="Q3418" s="74" t="s">
        <v>13074</v>
      </c>
    </row>
    <row r="3419" spans="3:17" x14ac:dyDescent="0.25">
      <c r="C3419" s="74" t="s">
        <v>13090</v>
      </c>
      <c r="D3419" s="74" t="s">
        <v>13091</v>
      </c>
      <c r="E3419" s="74" t="s">
        <v>391</v>
      </c>
      <c r="F3419" s="74">
        <v>0.1</v>
      </c>
      <c r="G3419" s="74"/>
      <c r="H3419" s="74"/>
      <c r="I3419" s="74" t="s">
        <v>391</v>
      </c>
      <c r="J3419" s="74"/>
      <c r="K3419" s="74">
        <v>102.4</v>
      </c>
      <c r="L3419" s="74">
        <v>92.16</v>
      </c>
      <c r="M3419" s="74"/>
      <c r="N3419" s="74" t="s">
        <v>392</v>
      </c>
      <c r="O3419" s="74" t="s">
        <v>393</v>
      </c>
      <c r="P3419" s="74"/>
      <c r="Q3419" s="74" t="s">
        <v>13092</v>
      </c>
    </row>
    <row r="3420" spans="3:17" x14ac:dyDescent="0.25">
      <c r="C3420" s="74" t="s">
        <v>13093</v>
      </c>
      <c r="D3420" s="74" t="s">
        <v>13094</v>
      </c>
      <c r="E3420" s="74" t="s">
        <v>391</v>
      </c>
      <c r="F3420" s="74">
        <v>0.1</v>
      </c>
      <c r="G3420" s="74"/>
      <c r="H3420" s="74"/>
      <c r="I3420" s="74" t="s">
        <v>391</v>
      </c>
      <c r="J3420" s="74"/>
      <c r="K3420" s="74">
        <v>102.4</v>
      </c>
      <c r="L3420" s="74">
        <v>92.16</v>
      </c>
      <c r="M3420" s="74"/>
      <c r="N3420" s="74" t="s">
        <v>392</v>
      </c>
      <c r="O3420" s="74" t="s">
        <v>393</v>
      </c>
      <c r="P3420" s="74"/>
      <c r="Q3420" s="74" t="s">
        <v>13095</v>
      </c>
    </row>
    <row r="3421" spans="3:17" x14ac:dyDescent="0.25">
      <c r="C3421" s="74" t="s">
        <v>13104</v>
      </c>
      <c r="D3421" s="74" t="s">
        <v>13105</v>
      </c>
      <c r="E3421" s="74" t="s">
        <v>391</v>
      </c>
      <c r="F3421" s="74">
        <v>0.1</v>
      </c>
      <c r="G3421" s="74"/>
      <c r="H3421" s="74"/>
      <c r="I3421" s="74" t="s">
        <v>391</v>
      </c>
      <c r="J3421" s="74"/>
      <c r="K3421" s="74">
        <v>102.4</v>
      </c>
      <c r="L3421" s="74">
        <v>92.16</v>
      </c>
      <c r="M3421" s="74"/>
      <c r="N3421" s="74" t="s">
        <v>392</v>
      </c>
      <c r="O3421" s="74" t="s">
        <v>393</v>
      </c>
      <c r="P3421" s="74"/>
      <c r="Q3421" s="74" t="s">
        <v>13106</v>
      </c>
    </row>
    <row r="3422" spans="3:17" x14ac:dyDescent="0.25">
      <c r="C3422" s="74" t="s">
        <v>13111</v>
      </c>
      <c r="D3422" s="74" t="s">
        <v>13112</v>
      </c>
      <c r="E3422" s="74" t="s">
        <v>391</v>
      </c>
      <c r="F3422" s="74">
        <v>0.1</v>
      </c>
      <c r="G3422" s="74"/>
      <c r="H3422" s="74"/>
      <c r="I3422" s="74" t="s">
        <v>391</v>
      </c>
      <c r="J3422" s="74"/>
      <c r="K3422" s="74">
        <v>102.4</v>
      </c>
      <c r="L3422" s="74">
        <v>92.16</v>
      </c>
      <c r="M3422" s="74"/>
      <c r="N3422" s="74" t="s">
        <v>392</v>
      </c>
      <c r="O3422" s="74" t="s">
        <v>393</v>
      </c>
      <c r="P3422" s="74"/>
      <c r="Q3422" s="74" t="s">
        <v>13113</v>
      </c>
    </row>
    <row r="3423" spans="3:17" x14ac:dyDescent="0.25">
      <c r="C3423" s="74" t="s">
        <v>13132</v>
      </c>
      <c r="D3423" s="74" t="s">
        <v>13133</v>
      </c>
      <c r="E3423" s="74" t="s">
        <v>391</v>
      </c>
      <c r="F3423" s="74">
        <v>0.1</v>
      </c>
      <c r="G3423" s="74"/>
      <c r="H3423" s="74"/>
      <c r="I3423" s="74" t="s">
        <v>391</v>
      </c>
      <c r="J3423" s="74"/>
      <c r="K3423" s="74">
        <v>102.4</v>
      </c>
      <c r="L3423" s="74">
        <v>92.16</v>
      </c>
      <c r="M3423" s="74"/>
      <c r="N3423" s="74" t="s">
        <v>392</v>
      </c>
      <c r="O3423" s="74" t="s">
        <v>393</v>
      </c>
      <c r="P3423" s="74"/>
      <c r="Q3423" s="74" t="s">
        <v>13134</v>
      </c>
    </row>
    <row r="3424" spans="3:17" x14ac:dyDescent="0.25">
      <c r="C3424" s="74" t="s">
        <v>13138</v>
      </c>
      <c r="D3424" s="74" t="s">
        <v>13139</v>
      </c>
      <c r="E3424" s="74" t="s">
        <v>391</v>
      </c>
      <c r="F3424" s="74">
        <v>0.1</v>
      </c>
      <c r="G3424" s="74"/>
      <c r="H3424" s="74"/>
      <c r="I3424" s="74" t="s">
        <v>391</v>
      </c>
      <c r="J3424" s="74"/>
      <c r="K3424" s="74">
        <v>102.4</v>
      </c>
      <c r="L3424" s="74">
        <v>92.16</v>
      </c>
      <c r="M3424" s="74"/>
      <c r="N3424" s="74" t="s">
        <v>392</v>
      </c>
      <c r="O3424" s="74" t="s">
        <v>393</v>
      </c>
      <c r="P3424" s="74"/>
      <c r="Q3424" s="74" t="s">
        <v>13140</v>
      </c>
    </row>
    <row r="3425" spans="3:17" x14ac:dyDescent="0.25">
      <c r="C3425" s="74" t="s">
        <v>13194</v>
      </c>
      <c r="D3425" s="74" t="s">
        <v>13195</v>
      </c>
      <c r="E3425" s="74" t="s">
        <v>391</v>
      </c>
      <c r="F3425" s="74">
        <v>0.1</v>
      </c>
      <c r="G3425" s="74"/>
      <c r="H3425" s="74"/>
      <c r="I3425" s="74" t="s">
        <v>391</v>
      </c>
      <c r="J3425" s="74"/>
      <c r="K3425" s="74">
        <v>102.4</v>
      </c>
      <c r="L3425" s="74">
        <v>92.16</v>
      </c>
      <c r="M3425" s="74"/>
      <c r="N3425" s="74" t="s">
        <v>392</v>
      </c>
      <c r="O3425" s="74" t="s">
        <v>393</v>
      </c>
      <c r="P3425" s="74"/>
      <c r="Q3425" s="74" t="s">
        <v>13195</v>
      </c>
    </row>
    <row r="3426" spans="3:17" x14ac:dyDescent="0.25">
      <c r="C3426" s="74" t="s">
        <v>13203</v>
      </c>
      <c r="D3426" s="74" t="s">
        <v>13204</v>
      </c>
      <c r="E3426" s="74" t="s">
        <v>391</v>
      </c>
      <c r="F3426" s="74">
        <v>0.1</v>
      </c>
      <c r="G3426" s="74"/>
      <c r="H3426" s="74"/>
      <c r="I3426" s="74" t="s">
        <v>391</v>
      </c>
      <c r="J3426" s="74"/>
      <c r="K3426" s="74">
        <v>102.4</v>
      </c>
      <c r="L3426" s="74">
        <v>92.16</v>
      </c>
      <c r="M3426" s="74"/>
      <c r="N3426" s="74" t="s">
        <v>392</v>
      </c>
      <c r="O3426" s="74" t="s">
        <v>393</v>
      </c>
      <c r="P3426" s="74"/>
      <c r="Q3426" s="74" t="s">
        <v>13205</v>
      </c>
    </row>
    <row r="3427" spans="3:17" x14ac:dyDescent="0.25">
      <c r="C3427" s="74" t="s">
        <v>13206</v>
      </c>
      <c r="D3427" s="74" t="s">
        <v>13207</v>
      </c>
      <c r="E3427" s="74" t="s">
        <v>391</v>
      </c>
      <c r="F3427" s="74">
        <v>0.1</v>
      </c>
      <c r="G3427" s="74"/>
      <c r="H3427" s="74"/>
      <c r="I3427" s="74" t="s">
        <v>391</v>
      </c>
      <c r="J3427" s="74"/>
      <c r="K3427" s="74">
        <v>102.4</v>
      </c>
      <c r="L3427" s="74">
        <v>92.16</v>
      </c>
      <c r="M3427" s="74"/>
      <c r="N3427" s="74" t="s">
        <v>392</v>
      </c>
      <c r="O3427" s="74" t="s">
        <v>393</v>
      </c>
      <c r="P3427" s="74"/>
      <c r="Q3427" s="74" t="s">
        <v>13208</v>
      </c>
    </row>
    <row r="3428" spans="3:17" x14ac:dyDescent="0.25">
      <c r="C3428" s="74" t="s">
        <v>13209</v>
      </c>
      <c r="D3428" s="74" t="s">
        <v>13210</v>
      </c>
      <c r="E3428" s="74" t="s">
        <v>391</v>
      </c>
      <c r="F3428" s="74">
        <v>0.1</v>
      </c>
      <c r="G3428" s="74"/>
      <c r="H3428" s="74"/>
      <c r="I3428" s="74" t="s">
        <v>391</v>
      </c>
      <c r="J3428" s="74"/>
      <c r="K3428" s="74">
        <v>102.4</v>
      </c>
      <c r="L3428" s="74">
        <v>92.16</v>
      </c>
      <c r="M3428" s="74"/>
      <c r="N3428" s="74" t="s">
        <v>392</v>
      </c>
      <c r="O3428" s="74" t="s">
        <v>393</v>
      </c>
      <c r="P3428" s="74"/>
      <c r="Q3428" s="74" t="s">
        <v>13211</v>
      </c>
    </row>
    <row r="3429" spans="3:17" x14ac:dyDescent="0.25">
      <c r="C3429" s="74" t="s">
        <v>13212</v>
      </c>
      <c r="D3429" s="74" t="s">
        <v>13213</v>
      </c>
      <c r="E3429" s="74" t="s">
        <v>391</v>
      </c>
      <c r="F3429" s="74">
        <v>0.1</v>
      </c>
      <c r="G3429" s="74"/>
      <c r="H3429" s="74"/>
      <c r="I3429" s="74" t="s">
        <v>391</v>
      </c>
      <c r="J3429" s="74"/>
      <c r="K3429" s="74">
        <v>102.4</v>
      </c>
      <c r="L3429" s="74">
        <v>92.16</v>
      </c>
      <c r="M3429" s="74"/>
      <c r="N3429" s="74" t="s">
        <v>392</v>
      </c>
      <c r="O3429" s="74" t="s">
        <v>393</v>
      </c>
      <c r="P3429" s="74"/>
      <c r="Q3429" s="74" t="s">
        <v>13214</v>
      </c>
    </row>
    <row r="3430" spans="3:17" x14ac:dyDescent="0.25">
      <c r="C3430" s="74" t="s">
        <v>13227</v>
      </c>
      <c r="D3430" s="74" t="s">
        <v>13228</v>
      </c>
      <c r="E3430" s="74" t="s">
        <v>391</v>
      </c>
      <c r="F3430" s="74">
        <v>0.1</v>
      </c>
      <c r="G3430" s="74"/>
      <c r="H3430" s="74"/>
      <c r="I3430" s="74" t="s">
        <v>391</v>
      </c>
      <c r="J3430" s="74"/>
      <c r="K3430" s="74">
        <v>102.4</v>
      </c>
      <c r="L3430" s="74">
        <v>92.16</v>
      </c>
      <c r="M3430" s="74"/>
      <c r="N3430" s="74" t="s">
        <v>392</v>
      </c>
      <c r="O3430" s="74" t="s">
        <v>393</v>
      </c>
      <c r="P3430" s="74"/>
      <c r="Q3430" s="74" t="s">
        <v>13229</v>
      </c>
    </row>
    <row r="3431" spans="3:17" x14ac:dyDescent="0.25">
      <c r="C3431" s="74" t="s">
        <v>13230</v>
      </c>
      <c r="D3431" s="74" t="s">
        <v>13231</v>
      </c>
      <c r="E3431" s="74" t="s">
        <v>391</v>
      </c>
      <c r="F3431" s="74">
        <v>0.1</v>
      </c>
      <c r="G3431" s="74"/>
      <c r="H3431" s="74"/>
      <c r="I3431" s="74" t="s">
        <v>391</v>
      </c>
      <c r="J3431" s="74"/>
      <c r="K3431" s="74">
        <v>102.4</v>
      </c>
      <c r="L3431" s="74">
        <v>92.16</v>
      </c>
      <c r="M3431" s="74"/>
      <c r="N3431" s="74" t="s">
        <v>392</v>
      </c>
      <c r="O3431" s="74" t="s">
        <v>393</v>
      </c>
      <c r="P3431" s="74"/>
      <c r="Q3431" s="74" t="s">
        <v>13232</v>
      </c>
    </row>
    <row r="3432" spans="3:17" x14ac:dyDescent="0.25">
      <c r="C3432" s="74" t="s">
        <v>13233</v>
      </c>
      <c r="D3432" s="74" t="s">
        <v>13234</v>
      </c>
      <c r="E3432" s="74" t="s">
        <v>391</v>
      </c>
      <c r="F3432" s="74">
        <v>0.1</v>
      </c>
      <c r="G3432" s="74"/>
      <c r="H3432" s="74"/>
      <c r="I3432" s="74" t="s">
        <v>391</v>
      </c>
      <c r="J3432" s="74"/>
      <c r="K3432" s="74">
        <v>102.4</v>
      </c>
      <c r="L3432" s="74">
        <v>92.16</v>
      </c>
      <c r="M3432" s="74"/>
      <c r="N3432" s="74" t="s">
        <v>392</v>
      </c>
      <c r="O3432" s="74" t="s">
        <v>393</v>
      </c>
      <c r="P3432" s="74"/>
      <c r="Q3432" s="74" t="s">
        <v>13235</v>
      </c>
    </row>
    <row r="3433" spans="3:17" x14ac:dyDescent="0.25">
      <c r="C3433" s="74" t="s">
        <v>13243</v>
      </c>
      <c r="D3433" s="74" t="s">
        <v>13244</v>
      </c>
      <c r="E3433" s="74" t="s">
        <v>391</v>
      </c>
      <c r="F3433" s="74">
        <v>0.1</v>
      </c>
      <c r="G3433" s="74"/>
      <c r="H3433" s="74"/>
      <c r="I3433" s="74" t="s">
        <v>391</v>
      </c>
      <c r="J3433" s="74"/>
      <c r="K3433" s="74">
        <v>102.4</v>
      </c>
      <c r="L3433" s="74">
        <v>92.16</v>
      </c>
      <c r="M3433" s="74"/>
      <c r="N3433" s="74" t="s">
        <v>392</v>
      </c>
      <c r="O3433" s="74" t="s">
        <v>393</v>
      </c>
      <c r="P3433" s="74"/>
      <c r="Q3433" s="74" t="s">
        <v>13245</v>
      </c>
    </row>
    <row r="3434" spans="3:17" x14ac:dyDescent="0.25">
      <c r="C3434" s="74" t="s">
        <v>13296</v>
      </c>
      <c r="D3434" s="74" t="s">
        <v>13297</v>
      </c>
      <c r="E3434" s="74" t="s">
        <v>391</v>
      </c>
      <c r="F3434" s="74">
        <v>0.1</v>
      </c>
      <c r="G3434" s="74"/>
      <c r="H3434" s="74"/>
      <c r="I3434" s="74" t="s">
        <v>391</v>
      </c>
      <c r="J3434" s="74"/>
      <c r="K3434" s="74">
        <v>102.4</v>
      </c>
      <c r="L3434" s="74">
        <v>92.16</v>
      </c>
      <c r="M3434" s="74"/>
      <c r="N3434" s="74" t="s">
        <v>392</v>
      </c>
      <c r="O3434" s="74" t="s">
        <v>393</v>
      </c>
      <c r="P3434" s="74"/>
      <c r="Q3434" s="74" t="s">
        <v>13298</v>
      </c>
    </row>
    <row r="3435" spans="3:17" x14ac:dyDescent="0.25">
      <c r="C3435" s="74" t="s">
        <v>13299</v>
      </c>
      <c r="D3435" s="74" t="s">
        <v>13300</v>
      </c>
      <c r="E3435" s="74" t="s">
        <v>391</v>
      </c>
      <c r="F3435" s="74">
        <v>0.1</v>
      </c>
      <c r="G3435" s="74"/>
      <c r="H3435" s="74"/>
      <c r="I3435" s="74" t="s">
        <v>391</v>
      </c>
      <c r="J3435" s="74"/>
      <c r="K3435" s="74">
        <v>102.4</v>
      </c>
      <c r="L3435" s="74">
        <v>92.16</v>
      </c>
      <c r="M3435" s="74"/>
      <c r="N3435" s="74" t="s">
        <v>392</v>
      </c>
      <c r="O3435" s="74" t="s">
        <v>393</v>
      </c>
      <c r="P3435" s="74"/>
      <c r="Q3435" s="74" t="s">
        <v>13301</v>
      </c>
    </row>
    <row r="3436" spans="3:17" x14ac:dyDescent="0.25">
      <c r="C3436" s="74" t="s">
        <v>13311</v>
      </c>
      <c r="D3436" s="74" t="s">
        <v>13312</v>
      </c>
      <c r="E3436" s="74" t="s">
        <v>391</v>
      </c>
      <c r="F3436" s="74">
        <v>0.1</v>
      </c>
      <c r="G3436" s="74"/>
      <c r="H3436" s="74"/>
      <c r="I3436" s="74" t="s">
        <v>391</v>
      </c>
      <c r="J3436" s="74"/>
      <c r="K3436" s="74">
        <v>102.4</v>
      </c>
      <c r="L3436" s="74">
        <v>92.16</v>
      </c>
      <c r="M3436" s="74"/>
      <c r="N3436" s="74" t="s">
        <v>392</v>
      </c>
      <c r="O3436" s="74" t="s">
        <v>393</v>
      </c>
      <c r="P3436" s="74"/>
      <c r="Q3436" s="74" t="s">
        <v>13313</v>
      </c>
    </row>
    <row r="3437" spans="3:17" x14ac:dyDescent="0.25">
      <c r="C3437" s="74" t="s">
        <v>13314</v>
      </c>
      <c r="D3437" s="74" t="s">
        <v>13315</v>
      </c>
      <c r="E3437" s="74" t="s">
        <v>391</v>
      </c>
      <c r="F3437" s="74">
        <v>0.1</v>
      </c>
      <c r="G3437" s="74"/>
      <c r="H3437" s="74"/>
      <c r="I3437" s="74" t="s">
        <v>391</v>
      </c>
      <c r="J3437" s="74"/>
      <c r="K3437" s="74">
        <v>102.4</v>
      </c>
      <c r="L3437" s="74">
        <v>92.16</v>
      </c>
      <c r="M3437" s="74"/>
      <c r="N3437" s="74" t="s">
        <v>392</v>
      </c>
      <c r="O3437" s="74" t="s">
        <v>393</v>
      </c>
      <c r="P3437" s="74"/>
      <c r="Q3437" s="74" t="s">
        <v>13316</v>
      </c>
    </row>
    <row r="3438" spans="3:17" x14ac:dyDescent="0.25">
      <c r="C3438" s="74" t="s">
        <v>13321</v>
      </c>
      <c r="D3438" s="74" t="s">
        <v>13322</v>
      </c>
      <c r="E3438" s="74" t="s">
        <v>391</v>
      </c>
      <c r="F3438" s="74">
        <v>0.1</v>
      </c>
      <c r="G3438" s="74"/>
      <c r="H3438" s="74"/>
      <c r="I3438" s="74" t="s">
        <v>391</v>
      </c>
      <c r="J3438" s="74"/>
      <c r="K3438" s="74">
        <v>102.4</v>
      </c>
      <c r="L3438" s="74">
        <v>92.16</v>
      </c>
      <c r="M3438" s="74"/>
      <c r="N3438" s="74" t="s">
        <v>392</v>
      </c>
      <c r="O3438" s="74" t="s">
        <v>393</v>
      </c>
      <c r="P3438" s="74"/>
      <c r="Q3438" s="74" t="s">
        <v>13323</v>
      </c>
    </row>
    <row r="3439" spans="3:17" x14ac:dyDescent="0.25">
      <c r="C3439" s="74" t="s">
        <v>13324</v>
      </c>
      <c r="D3439" s="74" t="s">
        <v>13325</v>
      </c>
      <c r="E3439" s="74" t="s">
        <v>391</v>
      </c>
      <c r="F3439" s="74">
        <v>0.1</v>
      </c>
      <c r="G3439" s="74"/>
      <c r="H3439" s="74"/>
      <c r="I3439" s="74" t="s">
        <v>391</v>
      </c>
      <c r="J3439" s="74"/>
      <c r="K3439" s="74">
        <v>102.4</v>
      </c>
      <c r="L3439" s="74">
        <v>92.16</v>
      </c>
      <c r="M3439" s="74"/>
      <c r="N3439" s="74" t="s">
        <v>392</v>
      </c>
      <c r="O3439" s="74" t="s">
        <v>393</v>
      </c>
      <c r="P3439" s="74"/>
      <c r="Q3439" s="74" t="s">
        <v>13326</v>
      </c>
    </row>
    <row r="3440" spans="3:17" x14ac:dyDescent="0.25">
      <c r="C3440" s="74" t="s">
        <v>13330</v>
      </c>
      <c r="D3440" s="74" t="s">
        <v>13331</v>
      </c>
      <c r="E3440" s="74" t="s">
        <v>391</v>
      </c>
      <c r="F3440" s="74">
        <v>0.1</v>
      </c>
      <c r="G3440" s="74"/>
      <c r="H3440" s="74"/>
      <c r="I3440" s="74" t="s">
        <v>391</v>
      </c>
      <c r="J3440" s="74"/>
      <c r="K3440" s="74">
        <v>102.4</v>
      </c>
      <c r="L3440" s="74">
        <v>92.16</v>
      </c>
      <c r="M3440" s="74"/>
      <c r="N3440" s="74" t="s">
        <v>392</v>
      </c>
      <c r="O3440" s="74" t="s">
        <v>393</v>
      </c>
      <c r="P3440" s="74"/>
      <c r="Q3440" s="74" t="s">
        <v>13332</v>
      </c>
    </row>
    <row r="3441" spans="3:17" x14ac:dyDescent="0.25">
      <c r="C3441" s="74" t="s">
        <v>13333</v>
      </c>
      <c r="D3441" s="74" t="s">
        <v>13334</v>
      </c>
      <c r="E3441" s="74" t="s">
        <v>391</v>
      </c>
      <c r="F3441" s="74">
        <v>0.1</v>
      </c>
      <c r="G3441" s="74"/>
      <c r="H3441" s="74"/>
      <c r="I3441" s="74" t="s">
        <v>391</v>
      </c>
      <c r="J3441" s="74"/>
      <c r="K3441" s="74">
        <v>102.4</v>
      </c>
      <c r="L3441" s="74">
        <v>92.16</v>
      </c>
      <c r="M3441" s="74"/>
      <c r="N3441" s="74" t="s">
        <v>392</v>
      </c>
      <c r="O3441" s="74" t="s">
        <v>393</v>
      </c>
      <c r="P3441" s="74"/>
      <c r="Q3441" s="74" t="s">
        <v>13334</v>
      </c>
    </row>
    <row r="3442" spans="3:17" x14ac:dyDescent="0.25">
      <c r="C3442" s="74" t="s">
        <v>13335</v>
      </c>
      <c r="D3442" s="74" t="s">
        <v>13336</v>
      </c>
      <c r="E3442" s="74" t="s">
        <v>391</v>
      </c>
      <c r="F3442" s="74">
        <v>0.1</v>
      </c>
      <c r="G3442" s="74"/>
      <c r="H3442" s="74"/>
      <c r="I3442" s="74" t="s">
        <v>391</v>
      </c>
      <c r="J3442" s="74"/>
      <c r="K3442" s="74">
        <v>102.4</v>
      </c>
      <c r="L3442" s="74">
        <v>92.16</v>
      </c>
      <c r="M3442" s="74"/>
      <c r="N3442" s="74" t="s">
        <v>392</v>
      </c>
      <c r="O3442" s="74" t="s">
        <v>393</v>
      </c>
      <c r="P3442" s="74"/>
      <c r="Q3442" s="74" t="s">
        <v>13337</v>
      </c>
    </row>
    <row r="3443" spans="3:17" x14ac:dyDescent="0.25">
      <c r="C3443" s="74" t="s">
        <v>13338</v>
      </c>
      <c r="D3443" s="74" t="s">
        <v>13339</v>
      </c>
      <c r="E3443" s="74" t="s">
        <v>391</v>
      </c>
      <c r="F3443" s="74">
        <v>0.1</v>
      </c>
      <c r="G3443" s="74"/>
      <c r="H3443" s="74"/>
      <c r="I3443" s="74" t="s">
        <v>391</v>
      </c>
      <c r="J3443" s="74"/>
      <c r="K3443" s="74">
        <v>102.4</v>
      </c>
      <c r="L3443" s="74">
        <v>92.16</v>
      </c>
      <c r="M3443" s="74"/>
      <c r="N3443" s="74" t="s">
        <v>392</v>
      </c>
      <c r="O3443" s="74" t="s">
        <v>393</v>
      </c>
      <c r="P3443" s="74"/>
      <c r="Q3443" s="74" t="s">
        <v>13340</v>
      </c>
    </row>
    <row r="3444" spans="3:17" x14ac:dyDescent="0.25">
      <c r="C3444" s="74" t="s">
        <v>13348</v>
      </c>
      <c r="D3444" s="74" t="s">
        <v>13349</v>
      </c>
      <c r="E3444" s="74" t="s">
        <v>391</v>
      </c>
      <c r="F3444" s="74">
        <v>0.1</v>
      </c>
      <c r="G3444" s="74"/>
      <c r="H3444" s="74"/>
      <c r="I3444" s="74" t="s">
        <v>391</v>
      </c>
      <c r="J3444" s="74"/>
      <c r="K3444" s="74">
        <v>102.4</v>
      </c>
      <c r="L3444" s="74">
        <v>92.16</v>
      </c>
      <c r="M3444" s="74"/>
      <c r="N3444" s="74" t="s">
        <v>392</v>
      </c>
      <c r="O3444" s="74" t="s">
        <v>393</v>
      </c>
      <c r="P3444" s="74"/>
      <c r="Q3444" s="74" t="s">
        <v>13350</v>
      </c>
    </row>
    <row r="3445" spans="3:17" x14ac:dyDescent="0.25">
      <c r="C3445" s="74" t="s">
        <v>13362</v>
      </c>
      <c r="D3445" s="74" t="s">
        <v>13363</v>
      </c>
      <c r="E3445" s="74" t="s">
        <v>391</v>
      </c>
      <c r="F3445" s="74">
        <v>0.1</v>
      </c>
      <c r="G3445" s="74"/>
      <c r="H3445" s="74"/>
      <c r="I3445" s="74" t="s">
        <v>391</v>
      </c>
      <c r="J3445" s="74"/>
      <c r="K3445" s="74">
        <v>102.4</v>
      </c>
      <c r="L3445" s="74">
        <v>92.16</v>
      </c>
      <c r="M3445" s="74"/>
      <c r="N3445" s="74" t="s">
        <v>392</v>
      </c>
      <c r="O3445" s="74" t="s">
        <v>393</v>
      </c>
      <c r="P3445" s="74"/>
      <c r="Q3445" s="74" t="s">
        <v>13364</v>
      </c>
    </row>
    <row r="3446" spans="3:17" x14ac:dyDescent="0.25">
      <c r="C3446" s="74" t="s">
        <v>13373</v>
      </c>
      <c r="D3446" s="74" t="s">
        <v>13374</v>
      </c>
      <c r="E3446" s="74" t="s">
        <v>391</v>
      </c>
      <c r="F3446" s="74">
        <v>0.1</v>
      </c>
      <c r="G3446" s="74"/>
      <c r="H3446" s="74"/>
      <c r="I3446" s="74" t="s">
        <v>391</v>
      </c>
      <c r="J3446" s="74"/>
      <c r="K3446" s="74">
        <v>102.4</v>
      </c>
      <c r="L3446" s="74">
        <v>92.16</v>
      </c>
      <c r="M3446" s="74"/>
      <c r="N3446" s="74" t="s">
        <v>392</v>
      </c>
      <c r="O3446" s="74" t="s">
        <v>393</v>
      </c>
      <c r="P3446" s="74"/>
      <c r="Q3446" s="74" t="s">
        <v>13375</v>
      </c>
    </row>
    <row r="3447" spans="3:17" x14ac:dyDescent="0.25">
      <c r="C3447" s="74" t="s">
        <v>13379</v>
      </c>
      <c r="D3447" s="74" t="s">
        <v>13380</v>
      </c>
      <c r="E3447" s="74" t="s">
        <v>391</v>
      </c>
      <c r="F3447" s="74">
        <v>0.1</v>
      </c>
      <c r="G3447" s="74"/>
      <c r="H3447" s="74"/>
      <c r="I3447" s="74" t="s">
        <v>391</v>
      </c>
      <c r="J3447" s="74"/>
      <c r="K3447" s="74">
        <v>102.4</v>
      </c>
      <c r="L3447" s="74">
        <v>92.16</v>
      </c>
      <c r="M3447" s="74"/>
      <c r="N3447" s="74" t="s">
        <v>392</v>
      </c>
      <c r="O3447" s="74" t="s">
        <v>393</v>
      </c>
      <c r="P3447" s="74"/>
      <c r="Q3447" s="74" t="s">
        <v>13381</v>
      </c>
    </row>
    <row r="3448" spans="3:17" x14ac:dyDescent="0.25">
      <c r="C3448" s="74" t="s">
        <v>13382</v>
      </c>
      <c r="D3448" s="74" t="s">
        <v>13383</v>
      </c>
      <c r="E3448" s="74" t="s">
        <v>391</v>
      </c>
      <c r="F3448" s="74">
        <v>0.1</v>
      </c>
      <c r="G3448" s="74"/>
      <c r="H3448" s="74"/>
      <c r="I3448" s="74" t="s">
        <v>391</v>
      </c>
      <c r="J3448" s="74"/>
      <c r="K3448" s="74">
        <v>102.4</v>
      </c>
      <c r="L3448" s="74">
        <v>92.16</v>
      </c>
      <c r="M3448" s="74"/>
      <c r="N3448" s="74" t="s">
        <v>392</v>
      </c>
      <c r="O3448" s="74" t="s">
        <v>393</v>
      </c>
      <c r="P3448" s="74"/>
      <c r="Q3448" s="74" t="s">
        <v>13384</v>
      </c>
    </row>
    <row r="3449" spans="3:17" x14ac:dyDescent="0.25">
      <c r="C3449" s="74" t="s">
        <v>13388</v>
      </c>
      <c r="D3449" s="74" t="s">
        <v>13389</v>
      </c>
      <c r="E3449" s="74" t="s">
        <v>391</v>
      </c>
      <c r="F3449" s="74">
        <v>0.1</v>
      </c>
      <c r="G3449" s="74"/>
      <c r="H3449" s="74"/>
      <c r="I3449" s="74" t="s">
        <v>391</v>
      </c>
      <c r="J3449" s="74"/>
      <c r="K3449" s="74">
        <v>102.4</v>
      </c>
      <c r="L3449" s="74">
        <v>92.16</v>
      </c>
      <c r="M3449" s="74"/>
      <c r="N3449" s="74" t="s">
        <v>392</v>
      </c>
      <c r="O3449" s="74" t="s">
        <v>393</v>
      </c>
      <c r="P3449" s="74"/>
      <c r="Q3449" s="74" t="s">
        <v>13390</v>
      </c>
    </row>
    <row r="3450" spans="3:17" x14ac:dyDescent="0.25">
      <c r="C3450" s="74" t="s">
        <v>13395</v>
      </c>
      <c r="D3450" s="74" t="s">
        <v>13396</v>
      </c>
      <c r="E3450" s="74" t="s">
        <v>391</v>
      </c>
      <c r="F3450" s="74">
        <v>0.1</v>
      </c>
      <c r="G3450" s="74"/>
      <c r="H3450" s="74"/>
      <c r="I3450" s="74" t="s">
        <v>391</v>
      </c>
      <c r="J3450" s="74"/>
      <c r="K3450" s="74">
        <v>102.4</v>
      </c>
      <c r="L3450" s="74">
        <v>92.16</v>
      </c>
      <c r="M3450" s="74"/>
      <c r="N3450" s="74" t="s">
        <v>392</v>
      </c>
      <c r="O3450" s="74" t="s">
        <v>393</v>
      </c>
      <c r="P3450" s="74"/>
      <c r="Q3450" s="74" t="s">
        <v>13397</v>
      </c>
    </row>
    <row r="3451" spans="3:17" x14ac:dyDescent="0.25">
      <c r="C3451" s="74" t="s">
        <v>13402</v>
      </c>
      <c r="D3451" s="74" t="s">
        <v>13403</v>
      </c>
      <c r="E3451" s="74" t="s">
        <v>391</v>
      </c>
      <c r="F3451" s="74">
        <v>0.1</v>
      </c>
      <c r="G3451" s="74"/>
      <c r="H3451" s="74"/>
      <c r="I3451" s="74" t="s">
        <v>391</v>
      </c>
      <c r="J3451" s="74"/>
      <c r="K3451" s="74">
        <v>102.4</v>
      </c>
      <c r="L3451" s="74">
        <v>92.16</v>
      </c>
      <c r="M3451" s="74"/>
      <c r="N3451" s="74" t="s">
        <v>392</v>
      </c>
      <c r="O3451" s="74" t="s">
        <v>393</v>
      </c>
      <c r="P3451" s="74"/>
      <c r="Q3451" s="74" t="s">
        <v>13404</v>
      </c>
    </row>
    <row r="3452" spans="3:17" x14ac:dyDescent="0.25">
      <c r="C3452" s="74" t="s">
        <v>13423</v>
      </c>
      <c r="D3452" s="74" t="s">
        <v>13424</v>
      </c>
      <c r="E3452" s="74" t="s">
        <v>391</v>
      </c>
      <c r="F3452" s="74">
        <v>0.1</v>
      </c>
      <c r="G3452" s="74"/>
      <c r="H3452" s="74"/>
      <c r="I3452" s="74" t="s">
        <v>391</v>
      </c>
      <c r="J3452" s="74"/>
      <c r="K3452" s="74">
        <v>102.4</v>
      </c>
      <c r="L3452" s="74">
        <v>92.16</v>
      </c>
      <c r="M3452" s="74"/>
      <c r="N3452" s="74" t="s">
        <v>392</v>
      </c>
      <c r="O3452" s="74" t="s">
        <v>393</v>
      </c>
      <c r="P3452" s="74"/>
      <c r="Q3452" s="74" t="s">
        <v>13425</v>
      </c>
    </row>
    <row r="3453" spans="3:17" x14ac:dyDescent="0.25">
      <c r="C3453" s="74" t="s">
        <v>13426</v>
      </c>
      <c r="D3453" s="74" t="s">
        <v>13427</v>
      </c>
      <c r="E3453" s="74" t="s">
        <v>391</v>
      </c>
      <c r="F3453" s="74">
        <v>0.1</v>
      </c>
      <c r="G3453" s="74"/>
      <c r="H3453" s="74"/>
      <c r="I3453" s="74" t="s">
        <v>391</v>
      </c>
      <c r="J3453" s="74"/>
      <c r="K3453" s="74">
        <v>102.4</v>
      </c>
      <c r="L3453" s="74">
        <v>92.16</v>
      </c>
      <c r="M3453" s="74"/>
      <c r="N3453" s="74" t="s">
        <v>392</v>
      </c>
      <c r="O3453" s="74" t="s">
        <v>393</v>
      </c>
      <c r="P3453" s="74"/>
      <c r="Q3453" s="74" t="s">
        <v>13428</v>
      </c>
    </row>
    <row r="3454" spans="3:17" x14ac:dyDescent="0.25">
      <c r="C3454" s="74" t="s">
        <v>13429</v>
      </c>
      <c r="D3454" s="74" t="s">
        <v>13430</v>
      </c>
      <c r="E3454" s="74" t="s">
        <v>391</v>
      </c>
      <c r="F3454" s="74">
        <v>0.1</v>
      </c>
      <c r="G3454" s="74"/>
      <c r="H3454" s="74"/>
      <c r="I3454" s="74" t="s">
        <v>391</v>
      </c>
      <c r="J3454" s="74"/>
      <c r="K3454" s="74">
        <v>102.4</v>
      </c>
      <c r="L3454" s="74">
        <v>92.16</v>
      </c>
      <c r="M3454" s="74"/>
      <c r="N3454" s="74" t="s">
        <v>392</v>
      </c>
      <c r="O3454" s="74" t="s">
        <v>393</v>
      </c>
      <c r="P3454" s="74"/>
      <c r="Q3454" s="74" t="s">
        <v>13431</v>
      </c>
    </row>
    <row r="3455" spans="3:17" x14ac:dyDescent="0.25">
      <c r="C3455" s="74" t="s">
        <v>13466</v>
      </c>
      <c r="D3455" s="74" t="s">
        <v>13467</v>
      </c>
      <c r="E3455" s="74" t="s">
        <v>391</v>
      </c>
      <c r="F3455" s="74">
        <v>0.1</v>
      </c>
      <c r="G3455" s="74"/>
      <c r="H3455" s="74"/>
      <c r="I3455" s="74" t="s">
        <v>391</v>
      </c>
      <c r="J3455" s="74"/>
      <c r="K3455" s="74">
        <v>102.4</v>
      </c>
      <c r="L3455" s="74">
        <v>92.16</v>
      </c>
      <c r="M3455" s="74"/>
      <c r="N3455" s="74" t="s">
        <v>392</v>
      </c>
      <c r="O3455" s="74" t="s">
        <v>393</v>
      </c>
      <c r="P3455" s="74"/>
      <c r="Q3455" s="74" t="s">
        <v>13468</v>
      </c>
    </row>
    <row r="3456" spans="3:17" x14ac:dyDescent="0.25">
      <c r="C3456" s="74" t="s">
        <v>13508</v>
      </c>
      <c r="D3456" s="74" t="s">
        <v>13509</v>
      </c>
      <c r="E3456" s="74" t="s">
        <v>391</v>
      </c>
      <c r="F3456" s="74">
        <v>0.1</v>
      </c>
      <c r="G3456" s="74"/>
      <c r="H3456" s="74"/>
      <c r="I3456" s="74" t="s">
        <v>391</v>
      </c>
      <c r="J3456" s="74"/>
      <c r="K3456" s="74">
        <v>102.4</v>
      </c>
      <c r="L3456" s="74">
        <v>92.16</v>
      </c>
      <c r="M3456" s="74"/>
      <c r="N3456" s="74" t="s">
        <v>392</v>
      </c>
      <c r="O3456" s="74" t="s">
        <v>393</v>
      </c>
      <c r="P3456" s="74"/>
      <c r="Q3456" s="74" t="s">
        <v>13510</v>
      </c>
    </row>
    <row r="3457" spans="3:17" x14ac:dyDescent="0.25">
      <c r="C3457" s="74" t="s">
        <v>13531</v>
      </c>
      <c r="D3457" s="74" t="s">
        <v>13532</v>
      </c>
      <c r="E3457" s="74" t="s">
        <v>391</v>
      </c>
      <c r="F3457" s="74">
        <v>0.1</v>
      </c>
      <c r="G3457" s="74"/>
      <c r="H3457" s="74"/>
      <c r="I3457" s="74" t="s">
        <v>391</v>
      </c>
      <c r="J3457" s="74"/>
      <c r="K3457" s="74">
        <v>102.4</v>
      </c>
      <c r="L3457" s="74">
        <v>92.16</v>
      </c>
      <c r="M3457" s="74"/>
      <c r="N3457" s="74" t="s">
        <v>392</v>
      </c>
      <c r="O3457" s="74" t="s">
        <v>393</v>
      </c>
      <c r="P3457" s="74"/>
      <c r="Q3457" s="74" t="s">
        <v>13533</v>
      </c>
    </row>
    <row r="3458" spans="3:17" x14ac:dyDescent="0.25">
      <c r="C3458" s="74" t="s">
        <v>13538</v>
      </c>
      <c r="D3458" s="74" t="s">
        <v>13539</v>
      </c>
      <c r="E3458" s="74" t="s">
        <v>391</v>
      </c>
      <c r="F3458" s="74">
        <v>0.1</v>
      </c>
      <c r="G3458" s="74"/>
      <c r="H3458" s="74"/>
      <c r="I3458" s="74" t="s">
        <v>391</v>
      </c>
      <c r="J3458" s="74"/>
      <c r="K3458" s="74">
        <v>102.4</v>
      </c>
      <c r="L3458" s="74">
        <v>92.16</v>
      </c>
      <c r="M3458" s="74"/>
      <c r="N3458" s="74" t="s">
        <v>392</v>
      </c>
      <c r="O3458" s="74" t="s">
        <v>393</v>
      </c>
      <c r="P3458" s="74"/>
      <c r="Q3458" s="74" t="s">
        <v>13540</v>
      </c>
    </row>
    <row r="3459" spans="3:17" x14ac:dyDescent="0.25">
      <c r="C3459" s="74" t="s">
        <v>13545</v>
      </c>
      <c r="D3459" s="74" t="s">
        <v>13546</v>
      </c>
      <c r="E3459" s="74" t="s">
        <v>391</v>
      </c>
      <c r="F3459" s="74">
        <v>0.1</v>
      </c>
      <c r="G3459" s="74"/>
      <c r="H3459" s="74"/>
      <c r="I3459" s="74" t="s">
        <v>391</v>
      </c>
      <c r="J3459" s="74"/>
      <c r="K3459" s="74">
        <v>102.4</v>
      </c>
      <c r="L3459" s="74">
        <v>92.16</v>
      </c>
      <c r="M3459" s="74"/>
      <c r="N3459" s="74" t="s">
        <v>392</v>
      </c>
      <c r="O3459" s="74" t="s">
        <v>393</v>
      </c>
      <c r="P3459" s="74"/>
      <c r="Q3459" s="74" t="s">
        <v>13547</v>
      </c>
    </row>
    <row r="3460" spans="3:17" x14ac:dyDescent="0.25">
      <c r="C3460" s="74" t="s">
        <v>13556</v>
      </c>
      <c r="D3460" s="74" t="s">
        <v>13557</v>
      </c>
      <c r="E3460" s="74" t="s">
        <v>391</v>
      </c>
      <c r="F3460" s="74">
        <v>0.1</v>
      </c>
      <c r="G3460" s="74"/>
      <c r="H3460" s="74"/>
      <c r="I3460" s="74" t="s">
        <v>391</v>
      </c>
      <c r="J3460" s="74"/>
      <c r="K3460" s="74">
        <v>102.4</v>
      </c>
      <c r="L3460" s="74">
        <v>92.16</v>
      </c>
      <c r="M3460" s="74"/>
      <c r="N3460" s="74" t="s">
        <v>392</v>
      </c>
      <c r="O3460" s="74" t="s">
        <v>393</v>
      </c>
      <c r="P3460" s="74"/>
      <c r="Q3460" s="74" t="s">
        <v>13558</v>
      </c>
    </row>
    <row r="3461" spans="3:17" x14ac:dyDescent="0.25">
      <c r="C3461" s="74" t="s">
        <v>13570</v>
      </c>
      <c r="D3461" s="74" t="s">
        <v>13571</v>
      </c>
      <c r="E3461" s="74" t="s">
        <v>391</v>
      </c>
      <c r="F3461" s="74">
        <v>0.1</v>
      </c>
      <c r="G3461" s="74"/>
      <c r="H3461" s="74"/>
      <c r="I3461" s="74" t="s">
        <v>391</v>
      </c>
      <c r="J3461" s="74"/>
      <c r="K3461" s="74">
        <v>102.4</v>
      </c>
      <c r="L3461" s="74">
        <v>92.16</v>
      </c>
      <c r="M3461" s="74"/>
      <c r="N3461" s="74" t="s">
        <v>392</v>
      </c>
      <c r="O3461" s="74" t="s">
        <v>393</v>
      </c>
      <c r="P3461" s="74"/>
      <c r="Q3461" s="74" t="s">
        <v>13572</v>
      </c>
    </row>
    <row r="3462" spans="3:17" x14ac:dyDescent="0.25">
      <c r="C3462" s="74" t="s">
        <v>13624</v>
      </c>
      <c r="D3462" s="74" t="s">
        <v>13625</v>
      </c>
      <c r="E3462" s="74" t="s">
        <v>391</v>
      </c>
      <c r="F3462" s="74">
        <v>0.1</v>
      </c>
      <c r="G3462" s="74"/>
      <c r="H3462" s="74"/>
      <c r="I3462" s="74" t="s">
        <v>391</v>
      </c>
      <c r="J3462" s="74"/>
      <c r="K3462" s="74">
        <v>102.4</v>
      </c>
      <c r="L3462" s="74">
        <v>92.16</v>
      </c>
      <c r="M3462" s="74"/>
      <c r="N3462" s="74" t="s">
        <v>392</v>
      </c>
      <c r="O3462" s="74" t="s">
        <v>393</v>
      </c>
      <c r="P3462" s="74"/>
      <c r="Q3462" s="74" t="s">
        <v>13625</v>
      </c>
    </row>
    <row r="3463" spans="3:17" x14ac:dyDescent="0.25">
      <c r="C3463" s="74" t="s">
        <v>13637</v>
      </c>
      <c r="D3463" s="74" t="s">
        <v>13638</v>
      </c>
      <c r="E3463" s="74" t="s">
        <v>391</v>
      </c>
      <c r="F3463" s="74">
        <v>0.1</v>
      </c>
      <c r="G3463" s="74"/>
      <c r="H3463" s="74"/>
      <c r="I3463" s="74" t="s">
        <v>391</v>
      </c>
      <c r="J3463" s="74"/>
      <c r="K3463" s="74">
        <v>102.4</v>
      </c>
      <c r="L3463" s="74">
        <v>92.16</v>
      </c>
      <c r="M3463" s="74"/>
      <c r="N3463" s="74" t="s">
        <v>392</v>
      </c>
      <c r="O3463" s="74" t="s">
        <v>393</v>
      </c>
      <c r="P3463" s="74"/>
      <c r="Q3463" s="74" t="s">
        <v>13639</v>
      </c>
    </row>
    <row r="3464" spans="3:17" x14ac:dyDescent="0.25">
      <c r="C3464" s="74" t="s">
        <v>13644</v>
      </c>
      <c r="D3464" s="74" t="s">
        <v>13645</v>
      </c>
      <c r="E3464" s="74" t="s">
        <v>391</v>
      </c>
      <c r="F3464" s="74">
        <v>0.1</v>
      </c>
      <c r="G3464" s="74"/>
      <c r="H3464" s="74"/>
      <c r="I3464" s="74" t="s">
        <v>391</v>
      </c>
      <c r="J3464" s="74"/>
      <c r="K3464" s="74">
        <v>102.4</v>
      </c>
      <c r="L3464" s="74">
        <v>92.16</v>
      </c>
      <c r="M3464" s="74"/>
      <c r="N3464" s="74" t="s">
        <v>392</v>
      </c>
      <c r="O3464" s="74" t="s">
        <v>393</v>
      </c>
      <c r="P3464" s="74"/>
      <c r="Q3464" s="74" t="s">
        <v>13646</v>
      </c>
    </row>
    <row r="3465" spans="3:17" x14ac:dyDescent="0.25">
      <c r="C3465" s="74" t="s">
        <v>13663</v>
      </c>
      <c r="D3465" s="74" t="s">
        <v>13664</v>
      </c>
      <c r="E3465" s="74" t="s">
        <v>391</v>
      </c>
      <c r="F3465" s="74">
        <v>0.1</v>
      </c>
      <c r="G3465" s="74"/>
      <c r="H3465" s="74"/>
      <c r="I3465" s="74" t="s">
        <v>391</v>
      </c>
      <c r="J3465" s="74"/>
      <c r="K3465" s="74">
        <v>102.4</v>
      </c>
      <c r="L3465" s="74">
        <v>92.16</v>
      </c>
      <c r="M3465" s="74"/>
      <c r="N3465" s="74" t="s">
        <v>392</v>
      </c>
      <c r="O3465" s="74" t="s">
        <v>393</v>
      </c>
      <c r="P3465" s="74"/>
      <c r="Q3465" s="74" t="s">
        <v>13665</v>
      </c>
    </row>
    <row r="3466" spans="3:17" x14ac:dyDescent="0.25">
      <c r="C3466" s="74" t="s">
        <v>13692</v>
      </c>
      <c r="D3466" s="74" t="s">
        <v>13693</v>
      </c>
      <c r="E3466" s="74" t="s">
        <v>391</v>
      </c>
      <c r="F3466" s="74">
        <v>0.1</v>
      </c>
      <c r="G3466" s="74"/>
      <c r="H3466" s="74"/>
      <c r="I3466" s="74" t="s">
        <v>391</v>
      </c>
      <c r="J3466" s="74"/>
      <c r="K3466" s="74">
        <v>102.4</v>
      </c>
      <c r="L3466" s="74">
        <v>92.16</v>
      </c>
      <c r="M3466" s="74"/>
      <c r="N3466" s="74" t="s">
        <v>392</v>
      </c>
      <c r="O3466" s="74" t="s">
        <v>393</v>
      </c>
      <c r="P3466" s="74"/>
      <c r="Q3466" s="74" t="s">
        <v>13694</v>
      </c>
    </row>
    <row r="3467" spans="3:17" x14ac:dyDescent="0.25">
      <c r="C3467" s="74" t="s">
        <v>13695</v>
      </c>
      <c r="D3467" s="74" t="s">
        <v>13696</v>
      </c>
      <c r="E3467" s="74" t="s">
        <v>391</v>
      </c>
      <c r="F3467" s="74">
        <v>0.1</v>
      </c>
      <c r="G3467" s="74"/>
      <c r="H3467" s="74"/>
      <c r="I3467" s="74" t="s">
        <v>391</v>
      </c>
      <c r="J3467" s="74"/>
      <c r="K3467" s="74">
        <v>102.4</v>
      </c>
      <c r="L3467" s="74">
        <v>92.16</v>
      </c>
      <c r="M3467" s="74"/>
      <c r="N3467" s="74" t="s">
        <v>392</v>
      </c>
      <c r="O3467" s="74" t="s">
        <v>393</v>
      </c>
      <c r="P3467" s="74"/>
      <c r="Q3467" s="74" t="s">
        <v>13697</v>
      </c>
    </row>
    <row r="3468" spans="3:17" x14ac:dyDescent="0.25">
      <c r="C3468" s="74" t="s">
        <v>13706</v>
      </c>
      <c r="D3468" s="74" t="s">
        <v>13707</v>
      </c>
      <c r="E3468" s="74" t="s">
        <v>391</v>
      </c>
      <c r="F3468" s="74">
        <v>0.1</v>
      </c>
      <c r="G3468" s="74"/>
      <c r="H3468" s="74"/>
      <c r="I3468" s="74" t="s">
        <v>391</v>
      </c>
      <c r="J3468" s="74"/>
      <c r="K3468" s="74">
        <v>102.4</v>
      </c>
      <c r="L3468" s="74">
        <v>92.16</v>
      </c>
      <c r="M3468" s="74"/>
      <c r="N3468" s="74" t="s">
        <v>392</v>
      </c>
      <c r="O3468" s="74" t="s">
        <v>393</v>
      </c>
      <c r="P3468" s="74"/>
      <c r="Q3468" s="74" t="s">
        <v>13708</v>
      </c>
    </row>
    <row r="3469" spans="3:17" x14ac:dyDescent="0.25">
      <c r="C3469" s="74" t="s">
        <v>13717</v>
      </c>
      <c r="D3469" s="74" t="s">
        <v>13718</v>
      </c>
      <c r="E3469" s="74" t="s">
        <v>391</v>
      </c>
      <c r="F3469" s="74">
        <v>0.1</v>
      </c>
      <c r="G3469" s="74"/>
      <c r="H3469" s="74"/>
      <c r="I3469" s="74" t="s">
        <v>391</v>
      </c>
      <c r="J3469" s="74"/>
      <c r="K3469" s="74">
        <v>102.4</v>
      </c>
      <c r="L3469" s="74">
        <v>92.16</v>
      </c>
      <c r="M3469" s="74"/>
      <c r="N3469" s="74" t="s">
        <v>392</v>
      </c>
      <c r="O3469" s="74" t="s">
        <v>393</v>
      </c>
      <c r="P3469" s="74"/>
      <c r="Q3469" s="74" t="s">
        <v>13719</v>
      </c>
    </row>
    <row r="3470" spans="3:17" x14ac:dyDescent="0.25">
      <c r="C3470" s="74" t="s">
        <v>13724</v>
      </c>
      <c r="D3470" s="74" t="s">
        <v>13725</v>
      </c>
      <c r="E3470" s="74" t="s">
        <v>391</v>
      </c>
      <c r="F3470" s="74">
        <v>0.1</v>
      </c>
      <c r="G3470" s="74"/>
      <c r="H3470" s="74"/>
      <c r="I3470" s="74" t="s">
        <v>391</v>
      </c>
      <c r="J3470" s="74"/>
      <c r="K3470" s="74">
        <v>102.4</v>
      </c>
      <c r="L3470" s="74">
        <v>92.16</v>
      </c>
      <c r="M3470" s="74"/>
      <c r="N3470" s="74" t="s">
        <v>392</v>
      </c>
      <c r="O3470" s="74" t="s">
        <v>393</v>
      </c>
      <c r="P3470" s="74"/>
      <c r="Q3470" s="74" t="s">
        <v>13726</v>
      </c>
    </row>
    <row r="3471" spans="3:17" x14ac:dyDescent="0.25">
      <c r="C3471" s="74" t="s">
        <v>13727</v>
      </c>
      <c r="D3471" s="74" t="s">
        <v>13728</v>
      </c>
      <c r="E3471" s="74" t="s">
        <v>391</v>
      </c>
      <c r="F3471" s="74">
        <v>0.1</v>
      </c>
      <c r="G3471" s="74"/>
      <c r="H3471" s="74"/>
      <c r="I3471" s="74" t="s">
        <v>391</v>
      </c>
      <c r="J3471" s="74"/>
      <c r="K3471" s="74">
        <v>102.4</v>
      </c>
      <c r="L3471" s="74">
        <v>92.16</v>
      </c>
      <c r="M3471" s="74"/>
      <c r="N3471" s="74" t="s">
        <v>392</v>
      </c>
      <c r="O3471" s="74" t="s">
        <v>393</v>
      </c>
      <c r="P3471" s="74"/>
      <c r="Q3471" s="74" t="s">
        <v>13729</v>
      </c>
    </row>
    <row r="3472" spans="3:17" x14ac:dyDescent="0.25">
      <c r="C3472" s="74" t="s">
        <v>13737</v>
      </c>
      <c r="D3472" s="74" t="s">
        <v>13738</v>
      </c>
      <c r="E3472" s="74" t="s">
        <v>391</v>
      </c>
      <c r="F3472" s="74">
        <v>0.1</v>
      </c>
      <c r="G3472" s="74"/>
      <c r="H3472" s="74"/>
      <c r="I3472" s="74" t="s">
        <v>391</v>
      </c>
      <c r="J3472" s="74"/>
      <c r="K3472" s="74">
        <v>102.4</v>
      </c>
      <c r="L3472" s="74">
        <v>92.16</v>
      </c>
      <c r="M3472" s="74"/>
      <c r="N3472" s="74" t="s">
        <v>392</v>
      </c>
      <c r="O3472" s="74" t="s">
        <v>393</v>
      </c>
      <c r="P3472" s="74"/>
      <c r="Q3472" s="74" t="s">
        <v>13739</v>
      </c>
    </row>
    <row r="3473" spans="3:17" x14ac:dyDescent="0.25">
      <c r="C3473" s="74" t="s">
        <v>13744</v>
      </c>
      <c r="D3473" s="74" t="s">
        <v>13745</v>
      </c>
      <c r="E3473" s="74" t="s">
        <v>391</v>
      </c>
      <c r="F3473" s="74">
        <v>0.1</v>
      </c>
      <c r="G3473" s="74"/>
      <c r="H3473" s="74"/>
      <c r="I3473" s="74" t="s">
        <v>391</v>
      </c>
      <c r="J3473" s="74"/>
      <c r="K3473" s="74">
        <v>102.4</v>
      </c>
      <c r="L3473" s="74">
        <v>92.16</v>
      </c>
      <c r="M3473" s="74"/>
      <c r="N3473" s="74" t="s">
        <v>392</v>
      </c>
      <c r="O3473" s="74" t="s">
        <v>393</v>
      </c>
      <c r="P3473" s="74"/>
      <c r="Q3473" s="74" t="s">
        <v>13746</v>
      </c>
    </row>
    <row r="3474" spans="3:17" x14ac:dyDescent="0.25">
      <c r="C3474" s="74" t="s">
        <v>13750</v>
      </c>
      <c r="D3474" s="74" t="s">
        <v>13751</v>
      </c>
      <c r="E3474" s="74" t="s">
        <v>391</v>
      </c>
      <c r="F3474" s="74">
        <v>0.1</v>
      </c>
      <c r="G3474" s="74"/>
      <c r="H3474" s="74"/>
      <c r="I3474" s="74" t="s">
        <v>391</v>
      </c>
      <c r="J3474" s="74"/>
      <c r="K3474" s="74">
        <v>102.4</v>
      </c>
      <c r="L3474" s="74">
        <v>92.16</v>
      </c>
      <c r="M3474" s="74"/>
      <c r="N3474" s="74" t="s">
        <v>392</v>
      </c>
      <c r="O3474" s="74" t="s">
        <v>393</v>
      </c>
      <c r="P3474" s="74"/>
      <c r="Q3474" s="74" t="s">
        <v>13752</v>
      </c>
    </row>
    <row r="3475" spans="3:17" x14ac:dyDescent="0.25">
      <c r="C3475" s="74" t="s">
        <v>13772</v>
      </c>
      <c r="D3475" s="74" t="s">
        <v>13773</v>
      </c>
      <c r="E3475" s="74" t="s">
        <v>391</v>
      </c>
      <c r="F3475" s="74">
        <v>0.1</v>
      </c>
      <c r="G3475" s="74"/>
      <c r="H3475" s="74"/>
      <c r="I3475" s="74" t="s">
        <v>391</v>
      </c>
      <c r="J3475" s="74"/>
      <c r="K3475" s="74">
        <v>102.4</v>
      </c>
      <c r="L3475" s="74">
        <v>92.16</v>
      </c>
      <c r="M3475" s="74"/>
      <c r="N3475" s="74" t="s">
        <v>392</v>
      </c>
      <c r="O3475" s="74" t="s">
        <v>393</v>
      </c>
      <c r="P3475" s="74"/>
      <c r="Q3475" s="74" t="s">
        <v>13774</v>
      </c>
    </row>
    <row r="3476" spans="3:17" x14ac:dyDescent="0.25">
      <c r="C3476" s="74" t="s">
        <v>13775</v>
      </c>
      <c r="D3476" s="74" t="s">
        <v>13776</v>
      </c>
      <c r="E3476" s="74" t="s">
        <v>391</v>
      </c>
      <c r="F3476" s="74">
        <v>0.1</v>
      </c>
      <c r="G3476" s="74"/>
      <c r="H3476" s="74"/>
      <c r="I3476" s="74" t="s">
        <v>391</v>
      </c>
      <c r="J3476" s="74"/>
      <c r="K3476" s="74">
        <v>102.4</v>
      </c>
      <c r="L3476" s="74">
        <v>92.16</v>
      </c>
      <c r="M3476" s="74"/>
      <c r="N3476" s="74" t="s">
        <v>392</v>
      </c>
      <c r="O3476" s="74" t="s">
        <v>393</v>
      </c>
      <c r="P3476" s="74"/>
      <c r="Q3476" s="74" t="s">
        <v>13777</v>
      </c>
    </row>
    <row r="3477" spans="3:17" x14ac:dyDescent="0.25">
      <c r="C3477" s="74" t="s">
        <v>13782</v>
      </c>
      <c r="D3477" s="74" t="s">
        <v>13783</v>
      </c>
      <c r="E3477" s="74" t="s">
        <v>391</v>
      </c>
      <c r="F3477" s="74">
        <v>0.1</v>
      </c>
      <c r="G3477" s="74"/>
      <c r="H3477" s="74"/>
      <c r="I3477" s="74" t="s">
        <v>391</v>
      </c>
      <c r="J3477" s="74"/>
      <c r="K3477" s="74">
        <v>102.4</v>
      </c>
      <c r="L3477" s="74">
        <v>92.16</v>
      </c>
      <c r="M3477" s="74"/>
      <c r="N3477" s="74" t="s">
        <v>392</v>
      </c>
      <c r="O3477" s="74" t="s">
        <v>393</v>
      </c>
      <c r="P3477" s="74"/>
      <c r="Q3477" s="74" t="s">
        <v>13784</v>
      </c>
    </row>
    <row r="3478" spans="3:17" x14ac:dyDescent="0.25">
      <c r="C3478" s="74" t="s">
        <v>13785</v>
      </c>
      <c r="D3478" s="74" t="s">
        <v>13786</v>
      </c>
      <c r="E3478" s="74" t="s">
        <v>391</v>
      </c>
      <c r="F3478" s="74">
        <v>0.1</v>
      </c>
      <c r="G3478" s="74"/>
      <c r="H3478" s="74"/>
      <c r="I3478" s="74" t="s">
        <v>391</v>
      </c>
      <c r="J3478" s="74"/>
      <c r="K3478" s="74">
        <v>102.4</v>
      </c>
      <c r="L3478" s="74">
        <v>92.16</v>
      </c>
      <c r="M3478" s="74"/>
      <c r="N3478" s="74" t="s">
        <v>392</v>
      </c>
      <c r="O3478" s="74" t="s">
        <v>393</v>
      </c>
      <c r="P3478" s="74"/>
      <c r="Q3478" s="74" t="s">
        <v>13787</v>
      </c>
    </row>
    <row r="3479" spans="3:17" x14ac:dyDescent="0.25">
      <c r="C3479" s="74" t="s">
        <v>13795</v>
      </c>
      <c r="D3479" s="74" t="s">
        <v>13796</v>
      </c>
      <c r="E3479" s="74" t="s">
        <v>391</v>
      </c>
      <c r="F3479" s="74">
        <v>0.1</v>
      </c>
      <c r="G3479" s="74"/>
      <c r="H3479" s="74"/>
      <c r="I3479" s="74" t="s">
        <v>391</v>
      </c>
      <c r="J3479" s="74"/>
      <c r="K3479" s="74">
        <v>102.4</v>
      </c>
      <c r="L3479" s="74">
        <v>92.16</v>
      </c>
      <c r="M3479" s="74"/>
      <c r="N3479" s="74" t="s">
        <v>392</v>
      </c>
      <c r="O3479" s="74" t="s">
        <v>393</v>
      </c>
      <c r="P3479" s="74"/>
      <c r="Q3479" s="74" t="s">
        <v>13797</v>
      </c>
    </row>
    <row r="3480" spans="3:17" x14ac:dyDescent="0.25">
      <c r="C3480" s="74" t="s">
        <v>13798</v>
      </c>
      <c r="D3480" s="74" t="s">
        <v>13799</v>
      </c>
      <c r="E3480" s="74" t="s">
        <v>391</v>
      </c>
      <c r="F3480" s="74">
        <v>0.1</v>
      </c>
      <c r="G3480" s="74"/>
      <c r="H3480" s="74"/>
      <c r="I3480" s="74" t="s">
        <v>391</v>
      </c>
      <c r="J3480" s="74"/>
      <c r="K3480" s="74">
        <v>102.4</v>
      </c>
      <c r="L3480" s="74">
        <v>92.16</v>
      </c>
      <c r="M3480" s="74"/>
      <c r="N3480" s="74" t="s">
        <v>392</v>
      </c>
      <c r="O3480" s="74" t="s">
        <v>393</v>
      </c>
      <c r="P3480" s="74"/>
      <c r="Q3480" s="74" t="s">
        <v>13799</v>
      </c>
    </row>
    <row r="3481" spans="3:17" x14ac:dyDescent="0.25">
      <c r="C3481" s="74" t="s">
        <v>13800</v>
      </c>
      <c r="D3481" s="74" t="s">
        <v>13801</v>
      </c>
      <c r="E3481" s="74" t="s">
        <v>391</v>
      </c>
      <c r="F3481" s="74">
        <v>0.1</v>
      </c>
      <c r="G3481" s="74"/>
      <c r="H3481" s="74"/>
      <c r="I3481" s="74" t="s">
        <v>391</v>
      </c>
      <c r="J3481" s="74"/>
      <c r="K3481" s="74">
        <v>102.4</v>
      </c>
      <c r="L3481" s="74">
        <v>92.16</v>
      </c>
      <c r="M3481" s="74"/>
      <c r="N3481" s="74" t="s">
        <v>392</v>
      </c>
      <c r="O3481" s="74" t="s">
        <v>393</v>
      </c>
      <c r="P3481" s="74"/>
      <c r="Q3481" s="74" t="s">
        <v>13802</v>
      </c>
    </row>
    <row r="3482" spans="3:17" x14ac:dyDescent="0.25">
      <c r="C3482" s="74" t="s">
        <v>13825</v>
      </c>
      <c r="D3482" s="74" t="s">
        <v>13826</v>
      </c>
      <c r="E3482" s="74" t="s">
        <v>391</v>
      </c>
      <c r="F3482" s="74">
        <v>0.1</v>
      </c>
      <c r="G3482" s="74"/>
      <c r="H3482" s="74"/>
      <c r="I3482" s="74" t="s">
        <v>391</v>
      </c>
      <c r="J3482" s="74"/>
      <c r="K3482" s="74">
        <v>102.4</v>
      </c>
      <c r="L3482" s="74">
        <v>92.16</v>
      </c>
      <c r="M3482" s="74"/>
      <c r="N3482" s="74" t="s">
        <v>392</v>
      </c>
      <c r="O3482" s="74" t="s">
        <v>393</v>
      </c>
      <c r="P3482" s="74"/>
      <c r="Q3482" s="74" t="s">
        <v>13827</v>
      </c>
    </row>
    <row r="3483" spans="3:17" x14ac:dyDescent="0.25">
      <c r="C3483" s="74" t="s">
        <v>13860</v>
      </c>
      <c r="D3483" s="74" t="s">
        <v>13861</v>
      </c>
      <c r="E3483" s="74" t="s">
        <v>391</v>
      </c>
      <c r="F3483" s="74">
        <v>0.1</v>
      </c>
      <c r="G3483" s="74"/>
      <c r="H3483" s="74"/>
      <c r="I3483" s="74" t="s">
        <v>391</v>
      </c>
      <c r="J3483" s="74"/>
      <c r="K3483" s="74">
        <v>102.4</v>
      </c>
      <c r="L3483" s="74">
        <v>92.16</v>
      </c>
      <c r="M3483" s="74"/>
      <c r="N3483" s="74" t="s">
        <v>392</v>
      </c>
      <c r="O3483" s="74" t="s">
        <v>393</v>
      </c>
      <c r="P3483" s="74"/>
      <c r="Q3483" s="74" t="s">
        <v>13862</v>
      </c>
    </row>
    <row r="3484" spans="3:17" x14ac:dyDescent="0.25">
      <c r="C3484" s="74" t="s">
        <v>13879</v>
      </c>
      <c r="D3484" s="74" t="s">
        <v>13880</v>
      </c>
      <c r="E3484" s="74" t="s">
        <v>391</v>
      </c>
      <c r="F3484" s="74">
        <v>0.1</v>
      </c>
      <c r="G3484" s="74"/>
      <c r="H3484" s="74"/>
      <c r="I3484" s="74" t="s">
        <v>391</v>
      </c>
      <c r="J3484" s="74"/>
      <c r="K3484" s="74">
        <v>102.4</v>
      </c>
      <c r="L3484" s="74">
        <v>92.16</v>
      </c>
      <c r="M3484" s="74"/>
      <c r="N3484" s="74" t="s">
        <v>392</v>
      </c>
      <c r="O3484" s="74" t="s">
        <v>393</v>
      </c>
      <c r="P3484" s="74"/>
      <c r="Q3484" s="74" t="s">
        <v>13880</v>
      </c>
    </row>
    <row r="3485" spans="3:17" x14ac:dyDescent="0.25">
      <c r="C3485" s="74" t="s">
        <v>13905</v>
      </c>
      <c r="D3485" s="74" t="s">
        <v>13906</v>
      </c>
      <c r="E3485" s="74" t="s">
        <v>391</v>
      </c>
      <c r="F3485" s="74">
        <v>0.1</v>
      </c>
      <c r="G3485" s="74"/>
      <c r="H3485" s="74"/>
      <c r="I3485" s="74" t="s">
        <v>391</v>
      </c>
      <c r="J3485" s="74"/>
      <c r="K3485" s="74">
        <v>102.4</v>
      </c>
      <c r="L3485" s="74">
        <v>92.16</v>
      </c>
      <c r="M3485" s="74"/>
      <c r="N3485" s="74" t="s">
        <v>392</v>
      </c>
      <c r="O3485" s="74" t="s">
        <v>393</v>
      </c>
      <c r="P3485" s="74"/>
      <c r="Q3485" s="74" t="s">
        <v>13907</v>
      </c>
    </row>
    <row r="3486" spans="3:17" x14ac:dyDescent="0.25">
      <c r="C3486" s="74" t="s">
        <v>13915</v>
      </c>
      <c r="D3486" s="74" t="s">
        <v>13916</v>
      </c>
      <c r="E3486" s="74" t="s">
        <v>391</v>
      </c>
      <c r="F3486" s="74">
        <v>0.1</v>
      </c>
      <c r="G3486" s="74"/>
      <c r="H3486" s="74"/>
      <c r="I3486" s="74" t="s">
        <v>391</v>
      </c>
      <c r="J3486" s="74"/>
      <c r="K3486" s="74">
        <v>102.4</v>
      </c>
      <c r="L3486" s="74">
        <v>92.16</v>
      </c>
      <c r="M3486" s="74"/>
      <c r="N3486" s="74" t="s">
        <v>392</v>
      </c>
      <c r="O3486" s="74" t="s">
        <v>393</v>
      </c>
      <c r="P3486" s="74"/>
      <c r="Q3486" s="74" t="s">
        <v>13917</v>
      </c>
    </row>
    <row r="3487" spans="3:17" x14ac:dyDescent="0.25">
      <c r="C3487" s="74" t="s">
        <v>13926</v>
      </c>
      <c r="D3487" s="74" t="s">
        <v>13927</v>
      </c>
      <c r="E3487" s="74" t="s">
        <v>391</v>
      </c>
      <c r="F3487" s="74">
        <v>0.1</v>
      </c>
      <c r="G3487" s="74"/>
      <c r="H3487" s="74"/>
      <c r="I3487" s="74" t="s">
        <v>391</v>
      </c>
      <c r="J3487" s="74"/>
      <c r="K3487" s="74">
        <v>102.4</v>
      </c>
      <c r="L3487" s="74">
        <v>92.16</v>
      </c>
      <c r="M3487" s="74"/>
      <c r="N3487" s="74" t="s">
        <v>392</v>
      </c>
      <c r="O3487" s="74" t="s">
        <v>393</v>
      </c>
      <c r="P3487" s="74"/>
      <c r="Q3487" s="74" t="s">
        <v>13928</v>
      </c>
    </row>
    <row r="3488" spans="3:17" x14ac:dyDescent="0.25">
      <c r="C3488" s="74" t="s">
        <v>13945</v>
      </c>
      <c r="D3488" s="74" t="s">
        <v>13946</v>
      </c>
      <c r="E3488" s="74" t="s">
        <v>391</v>
      </c>
      <c r="F3488" s="74">
        <v>0.1</v>
      </c>
      <c r="G3488" s="74"/>
      <c r="H3488" s="74"/>
      <c r="I3488" s="74" t="s">
        <v>391</v>
      </c>
      <c r="J3488" s="74"/>
      <c r="K3488" s="74">
        <v>102.4</v>
      </c>
      <c r="L3488" s="74">
        <v>92.16</v>
      </c>
      <c r="M3488" s="74"/>
      <c r="N3488" s="74" t="s">
        <v>392</v>
      </c>
      <c r="O3488" s="74" t="s">
        <v>393</v>
      </c>
      <c r="P3488" s="74"/>
      <c r="Q3488" s="74" t="s">
        <v>13947</v>
      </c>
    </row>
    <row r="3489" spans="3:17" x14ac:dyDescent="0.25">
      <c r="C3489" s="74" t="s">
        <v>13948</v>
      </c>
      <c r="D3489" s="74" t="s">
        <v>13949</v>
      </c>
      <c r="E3489" s="74" t="s">
        <v>391</v>
      </c>
      <c r="F3489" s="74">
        <v>0.1</v>
      </c>
      <c r="G3489" s="74"/>
      <c r="H3489" s="74"/>
      <c r="I3489" s="74" t="s">
        <v>391</v>
      </c>
      <c r="J3489" s="74"/>
      <c r="K3489" s="74">
        <v>102.4</v>
      </c>
      <c r="L3489" s="74">
        <v>92.16</v>
      </c>
      <c r="M3489" s="74"/>
      <c r="N3489" s="74" t="s">
        <v>392</v>
      </c>
      <c r="O3489" s="74" t="s">
        <v>393</v>
      </c>
      <c r="P3489" s="74"/>
      <c r="Q3489" s="74" t="s">
        <v>13950</v>
      </c>
    </row>
    <row r="3490" spans="3:17" x14ac:dyDescent="0.25">
      <c r="C3490" s="74" t="s">
        <v>13955</v>
      </c>
      <c r="D3490" s="74" t="s">
        <v>13956</v>
      </c>
      <c r="E3490" s="74" t="s">
        <v>391</v>
      </c>
      <c r="F3490" s="74">
        <v>0.1</v>
      </c>
      <c r="G3490" s="74"/>
      <c r="H3490" s="74"/>
      <c r="I3490" s="74" t="s">
        <v>391</v>
      </c>
      <c r="J3490" s="74"/>
      <c r="K3490" s="74">
        <v>102.4</v>
      </c>
      <c r="L3490" s="74">
        <v>92.16</v>
      </c>
      <c r="M3490" s="74"/>
      <c r="N3490" s="74" t="s">
        <v>392</v>
      </c>
      <c r="O3490" s="74" t="s">
        <v>393</v>
      </c>
      <c r="P3490" s="74"/>
      <c r="Q3490" s="74" t="s">
        <v>13957</v>
      </c>
    </row>
    <row r="3491" spans="3:17" x14ac:dyDescent="0.25">
      <c r="C3491" s="74" t="s">
        <v>13982</v>
      </c>
      <c r="D3491" s="74" t="s">
        <v>12883</v>
      </c>
      <c r="E3491" s="74" t="s">
        <v>391</v>
      </c>
      <c r="F3491" s="74">
        <v>0.1</v>
      </c>
      <c r="G3491" s="74"/>
      <c r="H3491" s="74"/>
      <c r="I3491" s="74" t="s">
        <v>391</v>
      </c>
      <c r="J3491" s="74"/>
      <c r="K3491" s="74">
        <v>102.4</v>
      </c>
      <c r="L3491" s="74">
        <v>92.16</v>
      </c>
      <c r="M3491" s="74"/>
      <c r="N3491" s="74" t="s">
        <v>392</v>
      </c>
      <c r="O3491" s="74" t="s">
        <v>393</v>
      </c>
      <c r="P3491" s="74"/>
      <c r="Q3491" s="74" t="s">
        <v>13983</v>
      </c>
    </row>
    <row r="3492" spans="3:17" x14ac:dyDescent="0.25">
      <c r="C3492" s="74" t="s">
        <v>14007</v>
      </c>
      <c r="D3492" s="74" t="s">
        <v>14008</v>
      </c>
      <c r="E3492" s="74" t="s">
        <v>391</v>
      </c>
      <c r="F3492" s="74">
        <v>0.1</v>
      </c>
      <c r="G3492" s="74"/>
      <c r="H3492" s="74"/>
      <c r="I3492" s="74" t="s">
        <v>391</v>
      </c>
      <c r="J3492" s="74"/>
      <c r="K3492" s="74">
        <v>102.4</v>
      </c>
      <c r="L3492" s="74">
        <v>92.16</v>
      </c>
      <c r="M3492" s="74"/>
      <c r="N3492" s="74" t="s">
        <v>392</v>
      </c>
      <c r="O3492" s="74" t="s">
        <v>393</v>
      </c>
      <c r="P3492" s="74"/>
      <c r="Q3492" s="74" t="s">
        <v>14009</v>
      </c>
    </row>
    <row r="3493" spans="3:17" x14ac:dyDescent="0.25">
      <c r="C3493" s="74" t="s">
        <v>14013</v>
      </c>
      <c r="D3493" s="74" t="s">
        <v>14014</v>
      </c>
      <c r="E3493" s="74" t="s">
        <v>391</v>
      </c>
      <c r="F3493" s="74">
        <v>0.1</v>
      </c>
      <c r="G3493" s="74"/>
      <c r="H3493" s="74"/>
      <c r="I3493" s="74" t="s">
        <v>391</v>
      </c>
      <c r="J3493" s="74"/>
      <c r="K3493" s="74">
        <v>102.4</v>
      </c>
      <c r="L3493" s="74">
        <v>92.16</v>
      </c>
      <c r="M3493" s="74"/>
      <c r="N3493" s="74" t="s">
        <v>392</v>
      </c>
      <c r="O3493" s="74" t="s">
        <v>393</v>
      </c>
      <c r="P3493" s="74"/>
      <c r="Q3493" s="74" t="s">
        <v>14015</v>
      </c>
    </row>
    <row r="3494" spans="3:17" x14ac:dyDescent="0.25">
      <c r="C3494" s="74" t="s">
        <v>14020</v>
      </c>
      <c r="D3494" s="74" t="s">
        <v>14021</v>
      </c>
      <c r="E3494" s="74" t="s">
        <v>391</v>
      </c>
      <c r="F3494" s="74">
        <v>0.1</v>
      </c>
      <c r="G3494" s="74"/>
      <c r="H3494" s="74"/>
      <c r="I3494" s="74" t="s">
        <v>391</v>
      </c>
      <c r="J3494" s="74"/>
      <c r="K3494" s="74">
        <v>102.4</v>
      </c>
      <c r="L3494" s="74">
        <v>92.16</v>
      </c>
      <c r="M3494" s="74"/>
      <c r="N3494" s="74" t="s">
        <v>392</v>
      </c>
      <c r="O3494" s="74" t="s">
        <v>393</v>
      </c>
      <c r="P3494" s="74"/>
      <c r="Q3494" s="74" t="s">
        <v>14022</v>
      </c>
    </row>
    <row r="3495" spans="3:17" x14ac:dyDescent="0.25">
      <c r="C3495" s="74" t="s">
        <v>14023</v>
      </c>
      <c r="D3495" s="74" t="s">
        <v>14024</v>
      </c>
      <c r="E3495" s="74" t="s">
        <v>391</v>
      </c>
      <c r="F3495" s="74">
        <v>0.1</v>
      </c>
      <c r="G3495" s="74"/>
      <c r="H3495" s="74"/>
      <c r="I3495" s="74" t="s">
        <v>391</v>
      </c>
      <c r="J3495" s="74"/>
      <c r="K3495" s="74">
        <v>102.4</v>
      </c>
      <c r="L3495" s="74">
        <v>92.16</v>
      </c>
      <c r="M3495" s="74"/>
      <c r="N3495" s="74" t="s">
        <v>392</v>
      </c>
      <c r="O3495" s="74" t="s">
        <v>393</v>
      </c>
      <c r="P3495" s="74"/>
      <c r="Q3495" s="74" t="s">
        <v>14025</v>
      </c>
    </row>
    <row r="3496" spans="3:17" x14ac:dyDescent="0.25">
      <c r="C3496" s="74" t="s">
        <v>14026</v>
      </c>
      <c r="D3496" s="74" t="s">
        <v>14027</v>
      </c>
      <c r="E3496" s="74" t="s">
        <v>391</v>
      </c>
      <c r="F3496" s="74">
        <v>0.1</v>
      </c>
      <c r="G3496" s="74"/>
      <c r="H3496" s="74"/>
      <c r="I3496" s="74" t="s">
        <v>391</v>
      </c>
      <c r="J3496" s="74"/>
      <c r="K3496" s="74">
        <v>102.4</v>
      </c>
      <c r="L3496" s="74">
        <v>92.16</v>
      </c>
      <c r="M3496" s="74"/>
      <c r="N3496" s="74" t="s">
        <v>392</v>
      </c>
      <c r="O3496" s="74" t="s">
        <v>393</v>
      </c>
      <c r="P3496" s="74"/>
      <c r="Q3496" s="74" t="s">
        <v>14028</v>
      </c>
    </row>
    <row r="3497" spans="3:17" x14ac:dyDescent="0.25">
      <c r="C3497" s="74" t="s">
        <v>14033</v>
      </c>
      <c r="D3497" s="74" t="s">
        <v>14034</v>
      </c>
      <c r="E3497" s="74" t="s">
        <v>391</v>
      </c>
      <c r="F3497" s="74">
        <v>0.1</v>
      </c>
      <c r="G3497" s="74"/>
      <c r="H3497" s="74"/>
      <c r="I3497" s="74" t="s">
        <v>391</v>
      </c>
      <c r="J3497" s="74"/>
      <c r="K3497" s="74">
        <v>102.4</v>
      </c>
      <c r="L3497" s="74">
        <v>92.16</v>
      </c>
      <c r="M3497" s="74"/>
      <c r="N3497" s="74" t="s">
        <v>392</v>
      </c>
      <c r="O3497" s="74" t="s">
        <v>393</v>
      </c>
      <c r="P3497" s="74"/>
      <c r="Q3497" s="74" t="s">
        <v>14035</v>
      </c>
    </row>
    <row r="3498" spans="3:17" x14ac:dyDescent="0.25">
      <c r="C3498" s="74" t="s">
        <v>14048</v>
      </c>
      <c r="D3498" s="74" t="s">
        <v>14049</v>
      </c>
      <c r="E3498" s="74" t="s">
        <v>391</v>
      </c>
      <c r="F3498" s="74">
        <v>0.1</v>
      </c>
      <c r="G3498" s="74"/>
      <c r="H3498" s="74"/>
      <c r="I3498" s="74" t="s">
        <v>391</v>
      </c>
      <c r="J3498" s="74"/>
      <c r="K3498" s="74">
        <v>102.4</v>
      </c>
      <c r="L3498" s="74">
        <v>92.16</v>
      </c>
      <c r="M3498" s="74"/>
      <c r="N3498" s="74" t="s">
        <v>392</v>
      </c>
      <c r="O3498" s="74" t="s">
        <v>393</v>
      </c>
      <c r="P3498" s="74"/>
      <c r="Q3498" s="74" t="s">
        <v>14050</v>
      </c>
    </row>
    <row r="3499" spans="3:17" x14ac:dyDescent="0.25">
      <c r="C3499" s="74" t="s">
        <v>14070</v>
      </c>
      <c r="D3499" s="74" t="s">
        <v>14071</v>
      </c>
      <c r="E3499" s="74" t="s">
        <v>391</v>
      </c>
      <c r="F3499" s="74">
        <v>0.1</v>
      </c>
      <c r="G3499" s="74"/>
      <c r="H3499" s="74"/>
      <c r="I3499" s="74" t="s">
        <v>391</v>
      </c>
      <c r="J3499" s="74"/>
      <c r="K3499" s="74">
        <v>102.4</v>
      </c>
      <c r="L3499" s="74">
        <v>92.16</v>
      </c>
      <c r="M3499" s="74"/>
      <c r="N3499" s="74" t="s">
        <v>392</v>
      </c>
      <c r="O3499" s="74" t="s">
        <v>393</v>
      </c>
      <c r="P3499" s="74"/>
      <c r="Q3499" s="74" t="s">
        <v>14072</v>
      </c>
    </row>
    <row r="3500" spans="3:17" x14ac:dyDescent="0.25">
      <c r="C3500" s="74" t="s">
        <v>14092</v>
      </c>
      <c r="D3500" s="74" t="s">
        <v>14093</v>
      </c>
      <c r="E3500" s="74" t="s">
        <v>391</v>
      </c>
      <c r="F3500" s="74">
        <v>0.1</v>
      </c>
      <c r="G3500" s="74"/>
      <c r="H3500" s="74"/>
      <c r="I3500" s="74" t="s">
        <v>391</v>
      </c>
      <c r="J3500" s="74"/>
      <c r="K3500" s="74">
        <v>102.4</v>
      </c>
      <c r="L3500" s="74">
        <v>92.16</v>
      </c>
      <c r="M3500" s="74"/>
      <c r="N3500" s="74" t="s">
        <v>392</v>
      </c>
      <c r="O3500" s="74" t="s">
        <v>393</v>
      </c>
      <c r="P3500" s="74"/>
      <c r="Q3500" s="74" t="s">
        <v>14094</v>
      </c>
    </row>
    <row r="3501" spans="3:17" x14ac:dyDescent="0.25">
      <c r="C3501" s="74" t="s">
        <v>14103</v>
      </c>
      <c r="D3501" s="74" t="s">
        <v>14104</v>
      </c>
      <c r="E3501" s="74" t="s">
        <v>391</v>
      </c>
      <c r="F3501" s="74">
        <v>0.1</v>
      </c>
      <c r="G3501" s="74"/>
      <c r="H3501" s="74"/>
      <c r="I3501" s="74" t="s">
        <v>391</v>
      </c>
      <c r="J3501" s="74"/>
      <c r="K3501" s="74">
        <v>102.4</v>
      </c>
      <c r="L3501" s="74">
        <v>92.16</v>
      </c>
      <c r="M3501" s="74"/>
      <c r="N3501" s="74" t="s">
        <v>392</v>
      </c>
      <c r="O3501" s="74" t="s">
        <v>393</v>
      </c>
      <c r="P3501" s="74"/>
      <c r="Q3501" s="74" t="s">
        <v>14105</v>
      </c>
    </row>
    <row r="3502" spans="3:17" x14ac:dyDescent="0.25">
      <c r="C3502" s="74" t="s">
        <v>14116</v>
      </c>
      <c r="D3502" s="74" t="s">
        <v>14117</v>
      </c>
      <c r="E3502" s="74" t="s">
        <v>391</v>
      </c>
      <c r="F3502" s="74">
        <v>0.1</v>
      </c>
      <c r="G3502" s="74"/>
      <c r="H3502" s="74"/>
      <c r="I3502" s="74" t="s">
        <v>391</v>
      </c>
      <c r="J3502" s="74"/>
      <c r="K3502" s="74">
        <v>102.4</v>
      </c>
      <c r="L3502" s="74">
        <v>92.16</v>
      </c>
      <c r="M3502" s="74"/>
      <c r="N3502" s="74" t="s">
        <v>392</v>
      </c>
      <c r="O3502" s="74" t="s">
        <v>393</v>
      </c>
      <c r="P3502" s="74"/>
      <c r="Q3502" s="74" t="s">
        <v>14118</v>
      </c>
    </row>
    <row r="3503" spans="3:17" x14ac:dyDescent="0.25">
      <c r="C3503" s="74" t="s">
        <v>14119</v>
      </c>
      <c r="D3503" s="74" t="s">
        <v>14120</v>
      </c>
      <c r="E3503" s="74" t="s">
        <v>391</v>
      </c>
      <c r="F3503" s="74">
        <v>0.1</v>
      </c>
      <c r="G3503" s="74"/>
      <c r="H3503" s="74"/>
      <c r="I3503" s="74" t="s">
        <v>391</v>
      </c>
      <c r="J3503" s="74"/>
      <c r="K3503" s="74">
        <v>102.4</v>
      </c>
      <c r="L3503" s="74">
        <v>92.16</v>
      </c>
      <c r="M3503" s="74"/>
      <c r="N3503" s="74" t="s">
        <v>392</v>
      </c>
      <c r="O3503" s="74" t="s">
        <v>393</v>
      </c>
      <c r="P3503" s="74"/>
      <c r="Q3503" s="74" t="s">
        <v>14121</v>
      </c>
    </row>
    <row r="3504" spans="3:17" x14ac:dyDescent="0.25">
      <c r="C3504" s="74" t="s">
        <v>14125</v>
      </c>
      <c r="D3504" s="74" t="s">
        <v>14126</v>
      </c>
      <c r="E3504" s="74" t="s">
        <v>391</v>
      </c>
      <c r="F3504" s="74">
        <v>0.1</v>
      </c>
      <c r="G3504" s="74"/>
      <c r="H3504" s="74"/>
      <c r="I3504" s="74" t="s">
        <v>391</v>
      </c>
      <c r="J3504" s="74"/>
      <c r="K3504" s="74">
        <v>102.4</v>
      </c>
      <c r="L3504" s="74">
        <v>92.16</v>
      </c>
      <c r="M3504" s="74"/>
      <c r="N3504" s="74" t="s">
        <v>392</v>
      </c>
      <c r="O3504" s="74" t="s">
        <v>393</v>
      </c>
      <c r="P3504" s="74"/>
      <c r="Q3504" s="74" t="s">
        <v>14127</v>
      </c>
    </row>
    <row r="3505" spans="3:17" x14ac:dyDescent="0.25">
      <c r="C3505" s="74" t="s">
        <v>14128</v>
      </c>
      <c r="D3505" s="74" t="s">
        <v>14129</v>
      </c>
      <c r="E3505" s="74" t="s">
        <v>391</v>
      </c>
      <c r="F3505" s="74">
        <v>0.1</v>
      </c>
      <c r="G3505" s="74"/>
      <c r="H3505" s="74"/>
      <c r="I3505" s="74" t="s">
        <v>391</v>
      </c>
      <c r="J3505" s="74"/>
      <c r="K3505" s="74">
        <v>102.4</v>
      </c>
      <c r="L3505" s="74">
        <v>92.16</v>
      </c>
      <c r="M3505" s="74"/>
      <c r="N3505" s="74" t="s">
        <v>392</v>
      </c>
      <c r="O3505" s="74" t="s">
        <v>393</v>
      </c>
      <c r="P3505" s="74"/>
      <c r="Q3505" s="74" t="s">
        <v>14130</v>
      </c>
    </row>
    <row r="3506" spans="3:17" x14ac:dyDescent="0.25">
      <c r="C3506" s="74" t="s">
        <v>14145</v>
      </c>
      <c r="D3506" s="74" t="s">
        <v>14146</v>
      </c>
      <c r="E3506" s="74" t="s">
        <v>391</v>
      </c>
      <c r="F3506" s="74">
        <v>0.1</v>
      </c>
      <c r="G3506" s="74"/>
      <c r="H3506" s="74"/>
      <c r="I3506" s="74" t="s">
        <v>391</v>
      </c>
      <c r="J3506" s="74"/>
      <c r="K3506" s="74">
        <v>102.4</v>
      </c>
      <c r="L3506" s="74">
        <v>92.16</v>
      </c>
      <c r="M3506" s="74"/>
      <c r="N3506" s="74" t="s">
        <v>392</v>
      </c>
      <c r="O3506" s="74" t="s">
        <v>393</v>
      </c>
      <c r="P3506" s="74"/>
      <c r="Q3506" s="74" t="s">
        <v>14147</v>
      </c>
    </row>
    <row r="3507" spans="3:17" x14ac:dyDescent="0.25">
      <c r="C3507" s="74" t="s">
        <v>14148</v>
      </c>
      <c r="D3507" s="74" t="s">
        <v>14149</v>
      </c>
      <c r="E3507" s="74" t="s">
        <v>391</v>
      </c>
      <c r="F3507" s="74">
        <v>0.1</v>
      </c>
      <c r="G3507" s="74"/>
      <c r="H3507" s="74"/>
      <c r="I3507" s="74" t="s">
        <v>391</v>
      </c>
      <c r="J3507" s="74"/>
      <c r="K3507" s="74">
        <v>102.4</v>
      </c>
      <c r="L3507" s="74">
        <v>92.16</v>
      </c>
      <c r="M3507" s="74"/>
      <c r="N3507" s="74" t="s">
        <v>392</v>
      </c>
      <c r="O3507" s="74" t="s">
        <v>393</v>
      </c>
      <c r="P3507" s="74"/>
      <c r="Q3507" s="74" t="s">
        <v>14150</v>
      </c>
    </row>
    <row r="3508" spans="3:17" x14ac:dyDescent="0.25">
      <c r="C3508" s="74" t="s">
        <v>14151</v>
      </c>
      <c r="D3508" s="74" t="s">
        <v>14152</v>
      </c>
      <c r="E3508" s="74" t="s">
        <v>391</v>
      </c>
      <c r="F3508" s="74">
        <v>0.1</v>
      </c>
      <c r="G3508" s="74"/>
      <c r="H3508" s="74"/>
      <c r="I3508" s="74" t="s">
        <v>391</v>
      </c>
      <c r="J3508" s="74"/>
      <c r="K3508" s="74">
        <v>102.4</v>
      </c>
      <c r="L3508" s="74">
        <v>92.16</v>
      </c>
      <c r="M3508" s="74"/>
      <c r="N3508" s="74" t="s">
        <v>392</v>
      </c>
      <c r="O3508" s="74" t="s">
        <v>393</v>
      </c>
      <c r="P3508" s="74"/>
      <c r="Q3508" s="74" t="s">
        <v>14153</v>
      </c>
    </row>
    <row r="3509" spans="3:17" x14ac:dyDescent="0.25">
      <c r="C3509" s="74" t="s">
        <v>14162</v>
      </c>
      <c r="D3509" s="74" t="s">
        <v>14163</v>
      </c>
      <c r="E3509" s="74" t="s">
        <v>391</v>
      </c>
      <c r="F3509" s="74">
        <v>0.1</v>
      </c>
      <c r="G3509" s="74"/>
      <c r="H3509" s="74"/>
      <c r="I3509" s="74" t="s">
        <v>391</v>
      </c>
      <c r="J3509" s="74"/>
      <c r="K3509" s="74">
        <v>102.4</v>
      </c>
      <c r="L3509" s="74">
        <v>92.16</v>
      </c>
      <c r="M3509" s="74"/>
      <c r="N3509" s="74" t="s">
        <v>392</v>
      </c>
      <c r="O3509" s="74" t="s">
        <v>393</v>
      </c>
      <c r="P3509" s="74"/>
      <c r="Q3509" s="74" t="s">
        <v>14164</v>
      </c>
    </row>
    <row r="3510" spans="3:17" x14ac:dyDescent="0.25">
      <c r="C3510" s="74" t="s">
        <v>14193</v>
      </c>
      <c r="D3510" s="74" t="s">
        <v>14194</v>
      </c>
      <c r="E3510" s="74" t="s">
        <v>391</v>
      </c>
      <c r="F3510" s="74">
        <v>0.1</v>
      </c>
      <c r="G3510" s="74"/>
      <c r="H3510" s="74"/>
      <c r="I3510" s="74" t="s">
        <v>391</v>
      </c>
      <c r="J3510" s="74"/>
      <c r="K3510" s="74">
        <v>102.4</v>
      </c>
      <c r="L3510" s="74">
        <v>92.16</v>
      </c>
      <c r="M3510" s="74"/>
      <c r="N3510" s="74" t="s">
        <v>392</v>
      </c>
      <c r="O3510" s="74" t="s">
        <v>393</v>
      </c>
      <c r="P3510" s="74"/>
      <c r="Q3510" s="74" t="s">
        <v>14195</v>
      </c>
    </row>
    <row r="3511" spans="3:17" x14ac:dyDescent="0.25">
      <c r="C3511" s="74" t="s">
        <v>14210</v>
      </c>
      <c r="D3511" s="74" t="s">
        <v>14211</v>
      </c>
      <c r="E3511" s="74" t="s">
        <v>391</v>
      </c>
      <c r="F3511" s="74">
        <v>0.1</v>
      </c>
      <c r="G3511" s="74"/>
      <c r="H3511" s="74"/>
      <c r="I3511" s="74" t="s">
        <v>391</v>
      </c>
      <c r="J3511" s="74"/>
      <c r="K3511" s="74">
        <v>102.4</v>
      </c>
      <c r="L3511" s="74">
        <v>92.16</v>
      </c>
      <c r="M3511" s="74"/>
      <c r="N3511" s="74" t="s">
        <v>392</v>
      </c>
      <c r="O3511" s="74" t="s">
        <v>393</v>
      </c>
      <c r="P3511" s="74"/>
      <c r="Q3511" s="74" t="s">
        <v>14212</v>
      </c>
    </row>
    <row r="3512" spans="3:17" x14ac:dyDescent="0.25">
      <c r="C3512" s="74" t="s">
        <v>14213</v>
      </c>
      <c r="D3512" s="74" t="s">
        <v>14214</v>
      </c>
      <c r="E3512" s="74" t="s">
        <v>391</v>
      </c>
      <c r="F3512" s="74">
        <v>0.1</v>
      </c>
      <c r="G3512" s="74"/>
      <c r="H3512" s="74"/>
      <c r="I3512" s="74" t="s">
        <v>391</v>
      </c>
      <c r="J3512" s="74"/>
      <c r="K3512" s="74">
        <v>102.4</v>
      </c>
      <c r="L3512" s="74">
        <v>92.16</v>
      </c>
      <c r="M3512" s="74"/>
      <c r="N3512" s="74" t="s">
        <v>392</v>
      </c>
      <c r="O3512" s="74" t="s">
        <v>393</v>
      </c>
      <c r="P3512" s="74"/>
      <c r="Q3512" s="74" t="s">
        <v>14215</v>
      </c>
    </row>
    <row r="3513" spans="3:17" x14ac:dyDescent="0.25">
      <c r="C3513" s="74" t="s">
        <v>14243</v>
      </c>
      <c r="D3513" s="74" t="s">
        <v>14244</v>
      </c>
      <c r="E3513" s="74" t="s">
        <v>391</v>
      </c>
      <c r="F3513" s="74">
        <v>0.1</v>
      </c>
      <c r="G3513" s="74"/>
      <c r="H3513" s="74"/>
      <c r="I3513" s="74" t="s">
        <v>391</v>
      </c>
      <c r="J3513" s="74"/>
      <c r="K3513" s="74">
        <v>102.4</v>
      </c>
      <c r="L3513" s="74">
        <v>92.16</v>
      </c>
      <c r="M3513" s="74"/>
      <c r="N3513" s="74" t="s">
        <v>392</v>
      </c>
      <c r="O3513" s="74" t="s">
        <v>393</v>
      </c>
      <c r="P3513" s="74"/>
      <c r="Q3513" s="74" t="s">
        <v>14245</v>
      </c>
    </row>
    <row r="3514" spans="3:17" x14ac:dyDescent="0.25">
      <c r="C3514" s="74" t="s">
        <v>14273</v>
      </c>
      <c r="D3514" s="74" t="s">
        <v>14274</v>
      </c>
      <c r="E3514" s="74" t="s">
        <v>391</v>
      </c>
      <c r="F3514" s="74">
        <v>0.1</v>
      </c>
      <c r="G3514" s="74"/>
      <c r="H3514" s="74"/>
      <c r="I3514" s="74" t="s">
        <v>391</v>
      </c>
      <c r="J3514" s="74"/>
      <c r="K3514" s="74">
        <v>102.4</v>
      </c>
      <c r="L3514" s="74">
        <v>92.16</v>
      </c>
      <c r="M3514" s="74"/>
      <c r="N3514" s="74" t="s">
        <v>392</v>
      </c>
      <c r="O3514" s="74" t="s">
        <v>393</v>
      </c>
      <c r="P3514" s="74"/>
      <c r="Q3514" s="74" t="s">
        <v>14275</v>
      </c>
    </row>
    <row r="3515" spans="3:17" x14ac:dyDescent="0.25">
      <c r="C3515" s="74" t="s">
        <v>14297</v>
      </c>
      <c r="D3515" s="74" t="s">
        <v>14298</v>
      </c>
      <c r="E3515" s="74" t="s">
        <v>391</v>
      </c>
      <c r="F3515" s="74">
        <v>0.1</v>
      </c>
      <c r="G3515" s="74"/>
      <c r="H3515" s="74"/>
      <c r="I3515" s="74" t="s">
        <v>391</v>
      </c>
      <c r="J3515" s="74"/>
      <c r="K3515" s="74">
        <v>102.4</v>
      </c>
      <c r="L3515" s="74">
        <v>92.16</v>
      </c>
      <c r="M3515" s="74"/>
      <c r="N3515" s="74" t="s">
        <v>392</v>
      </c>
      <c r="O3515" s="74" t="s">
        <v>393</v>
      </c>
      <c r="P3515" s="74"/>
      <c r="Q3515" s="74" t="s">
        <v>14299</v>
      </c>
    </row>
    <row r="3516" spans="3:17" x14ac:dyDescent="0.25">
      <c r="C3516" s="74" t="s">
        <v>14300</v>
      </c>
      <c r="D3516" s="74" t="s">
        <v>14301</v>
      </c>
      <c r="E3516" s="74" t="s">
        <v>391</v>
      </c>
      <c r="F3516" s="74">
        <v>0.1</v>
      </c>
      <c r="G3516" s="74"/>
      <c r="H3516" s="74"/>
      <c r="I3516" s="74" t="s">
        <v>391</v>
      </c>
      <c r="J3516" s="74"/>
      <c r="K3516" s="74">
        <v>102.4</v>
      </c>
      <c r="L3516" s="74">
        <v>92.16</v>
      </c>
      <c r="M3516" s="74"/>
      <c r="N3516" s="74" t="s">
        <v>392</v>
      </c>
      <c r="O3516" s="74" t="s">
        <v>393</v>
      </c>
      <c r="P3516" s="74"/>
      <c r="Q3516" s="74" t="s">
        <v>14302</v>
      </c>
    </row>
    <row r="3517" spans="3:17" x14ac:dyDescent="0.25">
      <c r="C3517" s="74" t="s">
        <v>14303</v>
      </c>
      <c r="D3517" s="74" t="s">
        <v>14304</v>
      </c>
      <c r="E3517" s="74" t="s">
        <v>391</v>
      </c>
      <c r="F3517" s="74">
        <v>0.1</v>
      </c>
      <c r="G3517" s="74"/>
      <c r="H3517" s="74"/>
      <c r="I3517" s="74" t="s">
        <v>391</v>
      </c>
      <c r="J3517" s="74"/>
      <c r="K3517" s="74">
        <v>102.4</v>
      </c>
      <c r="L3517" s="74">
        <v>92.16</v>
      </c>
      <c r="M3517" s="74"/>
      <c r="N3517" s="74" t="s">
        <v>392</v>
      </c>
      <c r="O3517" s="74" t="s">
        <v>393</v>
      </c>
      <c r="P3517" s="74"/>
      <c r="Q3517" s="74" t="s">
        <v>14305</v>
      </c>
    </row>
    <row r="3518" spans="3:17" x14ac:dyDescent="0.25">
      <c r="C3518" s="74" t="s">
        <v>14344</v>
      </c>
      <c r="D3518" s="74" t="s">
        <v>14345</v>
      </c>
      <c r="E3518" s="74" t="s">
        <v>391</v>
      </c>
      <c r="F3518" s="74">
        <v>0.1</v>
      </c>
      <c r="G3518" s="74"/>
      <c r="H3518" s="74"/>
      <c r="I3518" s="74" t="s">
        <v>391</v>
      </c>
      <c r="J3518" s="74"/>
      <c r="K3518" s="74">
        <v>102.4</v>
      </c>
      <c r="L3518" s="74">
        <v>92.16</v>
      </c>
      <c r="M3518" s="74"/>
      <c r="N3518" s="74" t="s">
        <v>392</v>
      </c>
      <c r="O3518" s="74" t="s">
        <v>393</v>
      </c>
      <c r="P3518" s="74"/>
      <c r="Q3518" s="74" t="s">
        <v>14345</v>
      </c>
    </row>
    <row r="3519" spans="3:17" x14ac:dyDescent="0.25">
      <c r="C3519" s="74" t="s">
        <v>14346</v>
      </c>
      <c r="D3519" s="74" t="s">
        <v>14347</v>
      </c>
      <c r="E3519" s="74" t="s">
        <v>391</v>
      </c>
      <c r="F3519" s="74">
        <v>0.1</v>
      </c>
      <c r="G3519" s="74"/>
      <c r="H3519" s="74"/>
      <c r="I3519" s="74" t="s">
        <v>391</v>
      </c>
      <c r="J3519" s="74"/>
      <c r="K3519" s="74">
        <v>102.4</v>
      </c>
      <c r="L3519" s="74">
        <v>92.16</v>
      </c>
      <c r="M3519" s="74"/>
      <c r="N3519" s="74" t="s">
        <v>392</v>
      </c>
      <c r="O3519" s="74" t="s">
        <v>393</v>
      </c>
      <c r="P3519" s="74"/>
      <c r="Q3519" s="74" t="s">
        <v>14348</v>
      </c>
    </row>
    <row r="3520" spans="3:17" x14ac:dyDescent="0.25">
      <c r="C3520" s="74" t="s">
        <v>14353</v>
      </c>
      <c r="D3520" s="74" t="s">
        <v>14354</v>
      </c>
      <c r="E3520" s="74" t="s">
        <v>391</v>
      </c>
      <c r="F3520" s="74">
        <v>0.1</v>
      </c>
      <c r="G3520" s="74"/>
      <c r="H3520" s="74"/>
      <c r="I3520" s="74" t="s">
        <v>391</v>
      </c>
      <c r="J3520" s="74"/>
      <c r="K3520" s="74">
        <v>102.4</v>
      </c>
      <c r="L3520" s="74">
        <v>92.16</v>
      </c>
      <c r="M3520" s="74"/>
      <c r="N3520" s="74" t="s">
        <v>392</v>
      </c>
      <c r="O3520" s="74" t="s">
        <v>393</v>
      </c>
      <c r="P3520" s="74"/>
      <c r="Q3520" s="74" t="s">
        <v>14354</v>
      </c>
    </row>
    <row r="3521" spans="3:17" x14ac:dyDescent="0.25">
      <c r="C3521" s="74" t="s">
        <v>14363</v>
      </c>
      <c r="D3521" s="74" t="s">
        <v>14364</v>
      </c>
      <c r="E3521" s="74" t="s">
        <v>391</v>
      </c>
      <c r="F3521" s="74">
        <v>0.1</v>
      </c>
      <c r="G3521" s="74"/>
      <c r="H3521" s="74"/>
      <c r="I3521" s="74" t="s">
        <v>391</v>
      </c>
      <c r="J3521" s="74"/>
      <c r="K3521" s="74">
        <v>102.4</v>
      </c>
      <c r="L3521" s="74">
        <v>92.16</v>
      </c>
      <c r="M3521" s="74"/>
      <c r="N3521" s="74" t="s">
        <v>392</v>
      </c>
      <c r="O3521" s="74" t="s">
        <v>393</v>
      </c>
      <c r="P3521" s="74"/>
      <c r="Q3521" s="74" t="s">
        <v>14365</v>
      </c>
    </row>
    <row r="3522" spans="3:17" x14ac:dyDescent="0.25">
      <c r="C3522" s="74" t="s">
        <v>14366</v>
      </c>
      <c r="D3522" s="74" t="s">
        <v>14367</v>
      </c>
      <c r="E3522" s="74" t="s">
        <v>391</v>
      </c>
      <c r="F3522" s="74">
        <v>0.1</v>
      </c>
      <c r="G3522" s="74"/>
      <c r="H3522" s="74"/>
      <c r="I3522" s="74" t="s">
        <v>391</v>
      </c>
      <c r="J3522" s="74"/>
      <c r="K3522" s="74">
        <v>102.4</v>
      </c>
      <c r="L3522" s="74">
        <v>92.16</v>
      </c>
      <c r="M3522" s="74"/>
      <c r="N3522" s="74" t="s">
        <v>392</v>
      </c>
      <c r="O3522" s="74" t="s">
        <v>393</v>
      </c>
      <c r="P3522" s="74"/>
      <c r="Q3522" s="74" t="s">
        <v>14368</v>
      </c>
    </row>
    <row r="3523" spans="3:17" x14ac:dyDescent="0.25">
      <c r="C3523" s="74" t="s">
        <v>14381</v>
      </c>
      <c r="D3523" s="74" t="s">
        <v>14382</v>
      </c>
      <c r="E3523" s="74" t="s">
        <v>391</v>
      </c>
      <c r="F3523" s="74">
        <v>0.1</v>
      </c>
      <c r="G3523" s="74"/>
      <c r="H3523" s="74"/>
      <c r="I3523" s="74" t="s">
        <v>391</v>
      </c>
      <c r="J3523" s="74"/>
      <c r="K3523" s="74">
        <v>102.4</v>
      </c>
      <c r="L3523" s="74">
        <v>92.16</v>
      </c>
      <c r="M3523" s="74"/>
      <c r="N3523" s="74" t="s">
        <v>392</v>
      </c>
      <c r="O3523" s="74" t="s">
        <v>393</v>
      </c>
      <c r="P3523" s="74"/>
      <c r="Q3523" s="74" t="s">
        <v>14383</v>
      </c>
    </row>
    <row r="3524" spans="3:17" x14ac:dyDescent="0.25">
      <c r="C3524" s="74" t="s">
        <v>14384</v>
      </c>
      <c r="D3524" s="74" t="s">
        <v>14385</v>
      </c>
      <c r="E3524" s="74" t="s">
        <v>391</v>
      </c>
      <c r="F3524" s="74">
        <v>0.1</v>
      </c>
      <c r="G3524" s="74"/>
      <c r="H3524" s="74"/>
      <c r="I3524" s="74" t="s">
        <v>391</v>
      </c>
      <c r="J3524" s="74"/>
      <c r="K3524" s="74">
        <v>102.4</v>
      </c>
      <c r="L3524" s="74">
        <v>92.16</v>
      </c>
      <c r="M3524" s="74"/>
      <c r="N3524" s="74" t="s">
        <v>392</v>
      </c>
      <c r="O3524" s="74" t="s">
        <v>393</v>
      </c>
      <c r="P3524" s="74"/>
      <c r="Q3524" s="74" t="s">
        <v>14386</v>
      </c>
    </row>
    <row r="3525" spans="3:17" x14ac:dyDescent="0.25">
      <c r="C3525" s="74" t="s">
        <v>14407</v>
      </c>
      <c r="D3525" s="74" t="s">
        <v>14408</v>
      </c>
      <c r="E3525" s="74" t="s">
        <v>391</v>
      </c>
      <c r="F3525" s="74">
        <v>0.1</v>
      </c>
      <c r="G3525" s="74"/>
      <c r="H3525" s="74"/>
      <c r="I3525" s="74" t="s">
        <v>391</v>
      </c>
      <c r="J3525" s="74"/>
      <c r="K3525" s="74">
        <v>102.4</v>
      </c>
      <c r="L3525" s="74">
        <v>92.16</v>
      </c>
      <c r="M3525" s="74"/>
      <c r="N3525" s="74" t="s">
        <v>392</v>
      </c>
      <c r="O3525" s="74" t="s">
        <v>393</v>
      </c>
      <c r="P3525" s="74"/>
      <c r="Q3525" s="74" t="s">
        <v>14409</v>
      </c>
    </row>
    <row r="3526" spans="3:17" x14ac:dyDescent="0.25">
      <c r="C3526" s="74" t="s">
        <v>14410</v>
      </c>
      <c r="D3526" s="74" t="s">
        <v>14411</v>
      </c>
      <c r="E3526" s="74" t="s">
        <v>391</v>
      </c>
      <c r="F3526" s="74">
        <v>0.1</v>
      </c>
      <c r="G3526" s="74"/>
      <c r="H3526" s="74"/>
      <c r="I3526" s="74" t="s">
        <v>391</v>
      </c>
      <c r="J3526" s="74"/>
      <c r="K3526" s="74">
        <v>102.4</v>
      </c>
      <c r="L3526" s="74">
        <v>92.16</v>
      </c>
      <c r="M3526" s="74"/>
      <c r="N3526" s="74" t="s">
        <v>392</v>
      </c>
      <c r="O3526" s="74" t="s">
        <v>393</v>
      </c>
      <c r="P3526" s="74"/>
      <c r="Q3526" s="74" t="s">
        <v>14412</v>
      </c>
    </row>
    <row r="3527" spans="3:17" x14ac:dyDescent="0.25">
      <c r="C3527" s="74" t="s">
        <v>14413</v>
      </c>
      <c r="D3527" s="74" t="s">
        <v>14414</v>
      </c>
      <c r="E3527" s="74" t="s">
        <v>391</v>
      </c>
      <c r="F3527" s="74">
        <v>0.1</v>
      </c>
      <c r="G3527" s="74"/>
      <c r="H3527" s="74"/>
      <c r="I3527" s="74" t="s">
        <v>391</v>
      </c>
      <c r="J3527" s="74"/>
      <c r="K3527" s="74">
        <v>102.4</v>
      </c>
      <c r="L3527" s="74">
        <v>92.16</v>
      </c>
      <c r="M3527" s="74"/>
      <c r="N3527" s="74" t="s">
        <v>392</v>
      </c>
      <c r="O3527" s="74" t="s">
        <v>393</v>
      </c>
      <c r="P3527" s="74"/>
      <c r="Q3527" s="74" t="s">
        <v>14415</v>
      </c>
    </row>
    <row r="3528" spans="3:17" x14ac:dyDescent="0.25">
      <c r="C3528" s="74" t="s">
        <v>14432</v>
      </c>
      <c r="D3528" s="74" t="s">
        <v>14433</v>
      </c>
      <c r="E3528" s="74" t="s">
        <v>391</v>
      </c>
      <c r="F3528" s="74">
        <v>0.1</v>
      </c>
      <c r="G3528" s="74"/>
      <c r="H3528" s="74"/>
      <c r="I3528" s="74" t="s">
        <v>391</v>
      </c>
      <c r="J3528" s="74"/>
      <c r="K3528" s="74">
        <v>102.4</v>
      </c>
      <c r="L3528" s="74">
        <v>92.16</v>
      </c>
      <c r="M3528" s="74"/>
      <c r="N3528" s="74" t="s">
        <v>392</v>
      </c>
      <c r="O3528" s="74" t="s">
        <v>393</v>
      </c>
      <c r="P3528" s="74"/>
      <c r="Q3528" s="74" t="s">
        <v>14434</v>
      </c>
    </row>
    <row r="3529" spans="3:17" x14ac:dyDescent="0.25">
      <c r="C3529" s="74" t="s">
        <v>14443</v>
      </c>
      <c r="D3529" s="74" t="s">
        <v>14444</v>
      </c>
      <c r="E3529" s="74" t="s">
        <v>391</v>
      </c>
      <c r="F3529" s="74">
        <v>0.1</v>
      </c>
      <c r="G3529" s="74"/>
      <c r="H3529" s="74"/>
      <c r="I3529" s="74" t="s">
        <v>391</v>
      </c>
      <c r="J3529" s="74"/>
      <c r="K3529" s="74">
        <v>102.4</v>
      </c>
      <c r="L3529" s="74">
        <v>92.16</v>
      </c>
      <c r="M3529" s="74"/>
      <c r="N3529" s="74" t="s">
        <v>392</v>
      </c>
      <c r="O3529" s="74" t="s">
        <v>393</v>
      </c>
      <c r="P3529" s="74"/>
      <c r="Q3529" s="74" t="s">
        <v>14445</v>
      </c>
    </row>
    <row r="3530" spans="3:17" x14ac:dyDescent="0.25">
      <c r="C3530" s="74" t="s">
        <v>14458</v>
      </c>
      <c r="D3530" s="74" t="s">
        <v>14459</v>
      </c>
      <c r="E3530" s="74" t="s">
        <v>391</v>
      </c>
      <c r="F3530" s="74">
        <v>0.1</v>
      </c>
      <c r="G3530" s="74"/>
      <c r="H3530" s="74"/>
      <c r="I3530" s="74" t="s">
        <v>391</v>
      </c>
      <c r="J3530" s="74"/>
      <c r="K3530" s="74">
        <v>102.4</v>
      </c>
      <c r="L3530" s="74">
        <v>92.16</v>
      </c>
      <c r="M3530" s="74"/>
      <c r="N3530" s="74" t="s">
        <v>392</v>
      </c>
      <c r="O3530" s="74" t="s">
        <v>393</v>
      </c>
      <c r="P3530" s="74"/>
      <c r="Q3530" s="74" t="s">
        <v>14460</v>
      </c>
    </row>
    <row r="3531" spans="3:17" x14ac:dyDescent="0.25">
      <c r="C3531" s="74" t="s">
        <v>14465</v>
      </c>
      <c r="D3531" s="74" t="s">
        <v>14466</v>
      </c>
      <c r="E3531" s="74" t="s">
        <v>391</v>
      </c>
      <c r="F3531" s="74">
        <v>0.1</v>
      </c>
      <c r="G3531" s="74"/>
      <c r="H3531" s="74"/>
      <c r="I3531" s="74" t="s">
        <v>391</v>
      </c>
      <c r="J3531" s="74"/>
      <c r="K3531" s="74">
        <v>102.4</v>
      </c>
      <c r="L3531" s="74">
        <v>92.16</v>
      </c>
      <c r="M3531" s="74"/>
      <c r="N3531" s="74" t="s">
        <v>392</v>
      </c>
      <c r="O3531" s="74" t="s">
        <v>393</v>
      </c>
      <c r="P3531" s="74"/>
      <c r="Q3531" s="74" t="s">
        <v>14467</v>
      </c>
    </row>
    <row r="3532" spans="3:17" x14ac:dyDescent="0.25">
      <c r="C3532" s="74" t="s">
        <v>14468</v>
      </c>
      <c r="D3532" s="74" t="s">
        <v>14469</v>
      </c>
      <c r="E3532" s="74" t="s">
        <v>391</v>
      </c>
      <c r="F3532" s="74">
        <v>0.1</v>
      </c>
      <c r="G3532" s="74"/>
      <c r="H3532" s="74"/>
      <c r="I3532" s="74" t="s">
        <v>391</v>
      </c>
      <c r="J3532" s="74"/>
      <c r="K3532" s="74">
        <v>102.4</v>
      </c>
      <c r="L3532" s="74">
        <v>92.16</v>
      </c>
      <c r="M3532" s="74"/>
      <c r="N3532" s="74" t="s">
        <v>392</v>
      </c>
      <c r="O3532" s="74" t="s">
        <v>393</v>
      </c>
      <c r="P3532" s="74"/>
      <c r="Q3532" s="74" t="s">
        <v>14470</v>
      </c>
    </row>
    <row r="3533" spans="3:17" x14ac:dyDescent="0.25">
      <c r="C3533" s="74" t="s">
        <v>14479</v>
      </c>
      <c r="D3533" s="74" t="s">
        <v>14480</v>
      </c>
      <c r="E3533" s="74" t="s">
        <v>391</v>
      </c>
      <c r="F3533" s="74">
        <v>0.1</v>
      </c>
      <c r="G3533" s="74"/>
      <c r="H3533" s="74"/>
      <c r="I3533" s="74" t="s">
        <v>391</v>
      </c>
      <c r="J3533" s="74"/>
      <c r="K3533" s="74">
        <v>102.4</v>
      </c>
      <c r="L3533" s="74">
        <v>92.16</v>
      </c>
      <c r="M3533" s="74"/>
      <c r="N3533" s="74" t="s">
        <v>392</v>
      </c>
      <c r="O3533" s="74" t="s">
        <v>393</v>
      </c>
      <c r="P3533" s="74"/>
      <c r="Q3533" s="74" t="s">
        <v>14481</v>
      </c>
    </row>
    <row r="3534" spans="3:17" x14ac:dyDescent="0.25">
      <c r="C3534" s="74" t="s">
        <v>14486</v>
      </c>
      <c r="D3534" s="74" t="s">
        <v>14487</v>
      </c>
      <c r="E3534" s="74" t="s">
        <v>391</v>
      </c>
      <c r="F3534" s="74">
        <v>0.1</v>
      </c>
      <c r="G3534" s="74"/>
      <c r="H3534" s="74"/>
      <c r="I3534" s="74" t="s">
        <v>391</v>
      </c>
      <c r="J3534" s="74"/>
      <c r="K3534" s="74">
        <v>102.4</v>
      </c>
      <c r="L3534" s="74">
        <v>92.16</v>
      </c>
      <c r="M3534" s="74"/>
      <c r="N3534" s="74" t="s">
        <v>392</v>
      </c>
      <c r="O3534" s="74" t="s">
        <v>393</v>
      </c>
      <c r="P3534" s="74"/>
      <c r="Q3534" s="74" t="s">
        <v>14488</v>
      </c>
    </row>
    <row r="3535" spans="3:17" x14ac:dyDescent="0.25">
      <c r="C3535" s="74" t="s">
        <v>14489</v>
      </c>
      <c r="D3535" s="74" t="s">
        <v>14490</v>
      </c>
      <c r="E3535" s="74" t="s">
        <v>391</v>
      </c>
      <c r="F3535" s="74">
        <v>0.1</v>
      </c>
      <c r="G3535" s="74"/>
      <c r="H3535" s="74"/>
      <c r="I3535" s="74" t="s">
        <v>391</v>
      </c>
      <c r="J3535" s="74"/>
      <c r="K3535" s="74">
        <v>102.4</v>
      </c>
      <c r="L3535" s="74">
        <v>92.16</v>
      </c>
      <c r="M3535" s="74"/>
      <c r="N3535" s="74" t="s">
        <v>392</v>
      </c>
      <c r="O3535" s="74" t="s">
        <v>393</v>
      </c>
      <c r="P3535" s="74"/>
      <c r="Q3535" s="74" t="s">
        <v>14491</v>
      </c>
    </row>
    <row r="3536" spans="3:17" x14ac:dyDescent="0.25">
      <c r="C3536" s="74" t="s">
        <v>14492</v>
      </c>
      <c r="D3536" s="74" t="s">
        <v>14493</v>
      </c>
      <c r="E3536" s="74" t="s">
        <v>391</v>
      </c>
      <c r="F3536" s="74">
        <v>0.1</v>
      </c>
      <c r="G3536" s="74"/>
      <c r="H3536" s="74"/>
      <c r="I3536" s="74" t="s">
        <v>391</v>
      </c>
      <c r="J3536" s="74"/>
      <c r="K3536" s="74">
        <v>102.4</v>
      </c>
      <c r="L3536" s="74">
        <v>92.16</v>
      </c>
      <c r="M3536" s="74"/>
      <c r="N3536" s="74" t="s">
        <v>392</v>
      </c>
      <c r="O3536" s="74" t="s">
        <v>393</v>
      </c>
      <c r="P3536" s="74"/>
      <c r="Q3536" s="74" t="s">
        <v>14494</v>
      </c>
    </row>
    <row r="3537" spans="3:17" x14ac:dyDescent="0.25">
      <c r="C3537" s="74" t="s">
        <v>14507</v>
      </c>
      <c r="D3537" s="74" t="s">
        <v>14508</v>
      </c>
      <c r="E3537" s="74" t="s">
        <v>391</v>
      </c>
      <c r="F3537" s="74">
        <v>0.1</v>
      </c>
      <c r="G3537" s="74"/>
      <c r="H3537" s="74"/>
      <c r="I3537" s="74" t="s">
        <v>391</v>
      </c>
      <c r="J3537" s="74"/>
      <c r="K3537" s="74">
        <v>102.4</v>
      </c>
      <c r="L3537" s="74">
        <v>92.16</v>
      </c>
      <c r="M3537" s="74"/>
      <c r="N3537" s="74" t="s">
        <v>392</v>
      </c>
      <c r="O3537" s="74" t="s">
        <v>393</v>
      </c>
      <c r="P3537" s="74"/>
      <c r="Q3537" s="74" t="s">
        <v>14508</v>
      </c>
    </row>
    <row r="3538" spans="3:17" x14ac:dyDescent="0.25">
      <c r="C3538" s="74" t="s">
        <v>14528</v>
      </c>
      <c r="D3538" s="74" t="s">
        <v>14529</v>
      </c>
      <c r="E3538" s="74" t="s">
        <v>391</v>
      </c>
      <c r="F3538" s="74">
        <v>0.1</v>
      </c>
      <c r="G3538" s="74"/>
      <c r="H3538" s="74"/>
      <c r="I3538" s="74" t="s">
        <v>391</v>
      </c>
      <c r="J3538" s="74"/>
      <c r="K3538" s="74">
        <v>102.4</v>
      </c>
      <c r="L3538" s="74">
        <v>92.16</v>
      </c>
      <c r="M3538" s="74"/>
      <c r="N3538" s="74" t="s">
        <v>392</v>
      </c>
      <c r="O3538" s="74" t="s">
        <v>393</v>
      </c>
      <c r="P3538" s="74"/>
      <c r="Q3538" s="74" t="s">
        <v>14530</v>
      </c>
    </row>
    <row r="3539" spans="3:17" x14ac:dyDescent="0.25">
      <c r="C3539" s="74" t="s">
        <v>14531</v>
      </c>
      <c r="D3539" s="74" t="s">
        <v>14532</v>
      </c>
      <c r="E3539" s="74" t="s">
        <v>391</v>
      </c>
      <c r="F3539" s="74">
        <v>0.1</v>
      </c>
      <c r="G3539" s="74"/>
      <c r="H3539" s="74"/>
      <c r="I3539" s="74" t="s">
        <v>391</v>
      </c>
      <c r="J3539" s="74"/>
      <c r="K3539" s="74">
        <v>102.4</v>
      </c>
      <c r="L3539" s="74">
        <v>92.16</v>
      </c>
      <c r="M3539" s="74"/>
      <c r="N3539" s="74" t="s">
        <v>392</v>
      </c>
      <c r="O3539" s="74" t="s">
        <v>393</v>
      </c>
      <c r="P3539" s="74"/>
      <c r="Q3539" s="74" t="s">
        <v>14533</v>
      </c>
    </row>
    <row r="3540" spans="3:17" x14ac:dyDescent="0.25">
      <c r="C3540" s="74" t="s">
        <v>14553</v>
      </c>
      <c r="D3540" s="74" t="s">
        <v>12915</v>
      </c>
      <c r="E3540" s="74" t="s">
        <v>391</v>
      </c>
      <c r="F3540" s="74">
        <v>0.1</v>
      </c>
      <c r="G3540" s="74"/>
      <c r="H3540" s="74"/>
      <c r="I3540" s="74" t="s">
        <v>391</v>
      </c>
      <c r="J3540" s="74"/>
      <c r="K3540" s="74">
        <v>102.4</v>
      </c>
      <c r="L3540" s="74">
        <v>92.16</v>
      </c>
      <c r="M3540" s="74"/>
      <c r="N3540" s="74" t="s">
        <v>392</v>
      </c>
      <c r="O3540" s="74" t="s">
        <v>393</v>
      </c>
      <c r="P3540" s="74"/>
      <c r="Q3540" s="74" t="s">
        <v>14554</v>
      </c>
    </row>
    <row r="3541" spans="3:17" x14ac:dyDescent="0.25">
      <c r="C3541" s="74" t="s">
        <v>14570</v>
      </c>
      <c r="D3541" s="74" t="s">
        <v>14571</v>
      </c>
      <c r="E3541" s="74" t="s">
        <v>391</v>
      </c>
      <c r="F3541" s="74">
        <v>0.1</v>
      </c>
      <c r="G3541" s="74"/>
      <c r="H3541" s="74"/>
      <c r="I3541" s="74" t="s">
        <v>391</v>
      </c>
      <c r="J3541" s="74"/>
      <c r="K3541" s="74">
        <v>102.4</v>
      </c>
      <c r="L3541" s="74">
        <v>92.16</v>
      </c>
      <c r="M3541" s="74"/>
      <c r="N3541" s="74" t="s">
        <v>392</v>
      </c>
      <c r="O3541" s="74" t="s">
        <v>393</v>
      </c>
      <c r="P3541" s="74"/>
      <c r="Q3541" s="74" t="s">
        <v>14572</v>
      </c>
    </row>
    <row r="3542" spans="3:17" x14ac:dyDescent="0.25">
      <c r="C3542" s="74" t="s">
        <v>14576</v>
      </c>
      <c r="D3542" s="74" t="s">
        <v>14577</v>
      </c>
      <c r="E3542" s="74" t="s">
        <v>391</v>
      </c>
      <c r="F3542" s="74">
        <v>0.1</v>
      </c>
      <c r="G3542" s="74"/>
      <c r="H3542" s="74"/>
      <c r="I3542" s="74" t="s">
        <v>391</v>
      </c>
      <c r="J3542" s="74"/>
      <c r="K3542" s="74">
        <v>102.4</v>
      </c>
      <c r="L3542" s="74">
        <v>92.16</v>
      </c>
      <c r="M3542" s="74"/>
      <c r="N3542" s="74" t="s">
        <v>392</v>
      </c>
      <c r="O3542" s="74" t="s">
        <v>393</v>
      </c>
      <c r="P3542" s="74"/>
      <c r="Q3542" s="74" t="s">
        <v>14578</v>
      </c>
    </row>
    <row r="3543" spans="3:17" x14ac:dyDescent="0.25">
      <c r="C3543" s="74" t="s">
        <v>14579</v>
      </c>
      <c r="D3543" s="74" t="s">
        <v>14580</v>
      </c>
      <c r="E3543" s="74" t="s">
        <v>391</v>
      </c>
      <c r="F3543" s="74">
        <v>0.1</v>
      </c>
      <c r="G3543" s="74"/>
      <c r="H3543" s="74"/>
      <c r="I3543" s="74" t="s">
        <v>391</v>
      </c>
      <c r="J3543" s="74"/>
      <c r="K3543" s="74">
        <v>102.4</v>
      </c>
      <c r="L3543" s="74">
        <v>92.16</v>
      </c>
      <c r="M3543" s="74"/>
      <c r="N3543" s="74" t="s">
        <v>392</v>
      </c>
      <c r="O3543" s="74" t="s">
        <v>393</v>
      </c>
      <c r="P3543" s="74"/>
      <c r="Q3543" s="74" t="s">
        <v>14581</v>
      </c>
    </row>
    <row r="3544" spans="3:17" x14ac:dyDescent="0.25">
      <c r="C3544" s="74" t="s">
        <v>14582</v>
      </c>
      <c r="D3544" s="74" t="s">
        <v>14583</v>
      </c>
      <c r="E3544" s="74" t="s">
        <v>391</v>
      </c>
      <c r="F3544" s="74">
        <v>0.1</v>
      </c>
      <c r="G3544" s="74"/>
      <c r="H3544" s="74"/>
      <c r="I3544" s="74" t="s">
        <v>391</v>
      </c>
      <c r="J3544" s="74"/>
      <c r="K3544" s="74">
        <v>102.4</v>
      </c>
      <c r="L3544" s="74">
        <v>92.16</v>
      </c>
      <c r="M3544" s="74"/>
      <c r="N3544" s="74" t="s">
        <v>392</v>
      </c>
      <c r="O3544" s="74" t="s">
        <v>393</v>
      </c>
      <c r="P3544" s="74"/>
      <c r="Q3544" s="74" t="s">
        <v>14584</v>
      </c>
    </row>
    <row r="3545" spans="3:17" x14ac:dyDescent="0.25">
      <c r="C3545" s="74" t="s">
        <v>14619</v>
      </c>
      <c r="D3545" s="74" t="s">
        <v>14620</v>
      </c>
      <c r="E3545" s="74" t="s">
        <v>391</v>
      </c>
      <c r="F3545" s="74">
        <v>0.1</v>
      </c>
      <c r="G3545" s="74"/>
      <c r="H3545" s="74"/>
      <c r="I3545" s="74" t="s">
        <v>391</v>
      </c>
      <c r="J3545" s="74"/>
      <c r="K3545" s="74">
        <v>102.4</v>
      </c>
      <c r="L3545" s="74">
        <v>92.16</v>
      </c>
      <c r="M3545" s="74"/>
      <c r="N3545" s="74" t="s">
        <v>392</v>
      </c>
      <c r="O3545" s="74" t="s">
        <v>393</v>
      </c>
      <c r="P3545" s="74"/>
      <c r="Q3545" s="74" t="s">
        <v>14621</v>
      </c>
    </row>
    <row r="3546" spans="3:17" x14ac:dyDescent="0.25">
      <c r="C3546" s="74" t="s">
        <v>14622</v>
      </c>
      <c r="D3546" s="74" t="s">
        <v>14623</v>
      </c>
      <c r="E3546" s="74" t="s">
        <v>391</v>
      </c>
      <c r="F3546" s="74">
        <v>0.1</v>
      </c>
      <c r="G3546" s="74"/>
      <c r="H3546" s="74"/>
      <c r="I3546" s="74" t="s">
        <v>391</v>
      </c>
      <c r="J3546" s="74"/>
      <c r="K3546" s="74">
        <v>102.4</v>
      </c>
      <c r="L3546" s="74">
        <v>92.16</v>
      </c>
      <c r="M3546" s="74"/>
      <c r="N3546" s="74" t="s">
        <v>392</v>
      </c>
      <c r="O3546" s="74" t="s">
        <v>393</v>
      </c>
      <c r="P3546" s="74"/>
      <c r="Q3546" s="74" t="s">
        <v>14624</v>
      </c>
    </row>
    <row r="3547" spans="3:17" x14ac:dyDescent="0.25">
      <c r="C3547" s="74" t="s">
        <v>14629</v>
      </c>
      <c r="D3547" s="74" t="s">
        <v>14630</v>
      </c>
      <c r="E3547" s="74" t="s">
        <v>391</v>
      </c>
      <c r="F3547" s="74">
        <v>0.1</v>
      </c>
      <c r="G3547" s="74"/>
      <c r="H3547" s="74"/>
      <c r="I3547" s="74" t="s">
        <v>391</v>
      </c>
      <c r="J3547" s="74"/>
      <c r="K3547" s="74">
        <v>102.4</v>
      </c>
      <c r="L3547" s="74">
        <v>92.16</v>
      </c>
      <c r="M3547" s="74"/>
      <c r="N3547" s="74" t="s">
        <v>392</v>
      </c>
      <c r="O3547" s="74" t="s">
        <v>393</v>
      </c>
      <c r="P3547" s="74"/>
      <c r="Q3547" s="74" t="s">
        <v>14631</v>
      </c>
    </row>
    <row r="3548" spans="3:17" x14ac:dyDescent="0.25">
      <c r="C3548" s="74" t="s">
        <v>14657</v>
      </c>
      <c r="D3548" s="74" t="s">
        <v>14658</v>
      </c>
      <c r="E3548" s="74" t="s">
        <v>391</v>
      </c>
      <c r="F3548" s="74">
        <v>0.1</v>
      </c>
      <c r="G3548" s="74"/>
      <c r="H3548" s="74"/>
      <c r="I3548" s="74" t="s">
        <v>391</v>
      </c>
      <c r="J3548" s="74"/>
      <c r="K3548" s="74">
        <v>102.4</v>
      </c>
      <c r="L3548" s="74">
        <v>92.16</v>
      </c>
      <c r="M3548" s="74"/>
      <c r="N3548" s="74" t="s">
        <v>392</v>
      </c>
      <c r="O3548" s="74" t="s">
        <v>393</v>
      </c>
      <c r="P3548" s="74"/>
      <c r="Q3548" s="74" t="s">
        <v>14659</v>
      </c>
    </row>
    <row r="3549" spans="3:17" x14ac:dyDescent="0.25">
      <c r="C3549" s="74" t="s">
        <v>14660</v>
      </c>
      <c r="D3549" s="74" t="s">
        <v>14661</v>
      </c>
      <c r="E3549" s="74" t="s">
        <v>391</v>
      </c>
      <c r="F3549" s="74">
        <v>0.1</v>
      </c>
      <c r="G3549" s="74"/>
      <c r="H3549" s="74"/>
      <c r="I3549" s="74" t="s">
        <v>391</v>
      </c>
      <c r="J3549" s="74"/>
      <c r="K3549" s="74">
        <v>102.4</v>
      </c>
      <c r="L3549" s="74">
        <v>92.16</v>
      </c>
      <c r="M3549" s="74"/>
      <c r="N3549" s="74" t="s">
        <v>392</v>
      </c>
      <c r="O3549" s="74" t="s">
        <v>393</v>
      </c>
      <c r="P3549" s="74"/>
      <c r="Q3549" s="74" t="s">
        <v>14662</v>
      </c>
    </row>
    <row r="3550" spans="3:17" x14ac:dyDescent="0.25">
      <c r="C3550" s="158" t="s">
        <v>14675</v>
      </c>
      <c r="D3550" s="158" t="s">
        <v>14676</v>
      </c>
      <c r="E3550" s="158" t="s">
        <v>391</v>
      </c>
      <c r="F3550" s="158">
        <v>0.1</v>
      </c>
      <c r="I3550" s="158" t="s">
        <v>391</v>
      </c>
      <c r="K3550" s="158">
        <v>102.4</v>
      </c>
      <c r="L3550" s="158">
        <v>92.16</v>
      </c>
      <c r="N3550" s="158" t="s">
        <v>392</v>
      </c>
      <c r="O3550" s="158" t="s">
        <v>393</v>
      </c>
      <c r="Q3550" s="158" t="s">
        <v>14677</v>
      </c>
    </row>
    <row r="3551" spans="3:17" x14ac:dyDescent="0.25">
      <c r="C3551" s="74" t="s">
        <v>14678</v>
      </c>
      <c r="D3551" s="74" t="s">
        <v>14679</v>
      </c>
      <c r="E3551" s="74" t="s">
        <v>391</v>
      </c>
      <c r="F3551" s="74">
        <v>0.1</v>
      </c>
      <c r="G3551" s="74"/>
      <c r="H3551" s="74"/>
      <c r="I3551" s="74" t="s">
        <v>391</v>
      </c>
      <c r="J3551" s="74"/>
      <c r="K3551" s="74">
        <v>102.4</v>
      </c>
      <c r="L3551" s="74">
        <v>92.16</v>
      </c>
      <c r="M3551" s="74"/>
      <c r="N3551" s="74" t="s">
        <v>392</v>
      </c>
      <c r="O3551" s="74" t="s">
        <v>393</v>
      </c>
      <c r="P3551" s="74"/>
      <c r="Q3551" s="74" t="s">
        <v>14680</v>
      </c>
    </row>
    <row r="3552" spans="3:17" x14ac:dyDescent="0.25">
      <c r="C3552" s="74" t="s">
        <v>14681</v>
      </c>
      <c r="D3552" s="74" t="s">
        <v>14682</v>
      </c>
      <c r="E3552" s="74" t="s">
        <v>391</v>
      </c>
      <c r="F3552" s="74">
        <v>0.1</v>
      </c>
      <c r="G3552" s="74"/>
      <c r="H3552" s="74"/>
      <c r="I3552" s="74" t="s">
        <v>391</v>
      </c>
      <c r="J3552" s="74"/>
      <c r="K3552" s="74">
        <v>102.4</v>
      </c>
      <c r="L3552" s="74">
        <v>92.16</v>
      </c>
      <c r="M3552" s="74"/>
      <c r="N3552" s="74" t="s">
        <v>392</v>
      </c>
      <c r="O3552" s="74" t="s">
        <v>393</v>
      </c>
      <c r="P3552" s="74"/>
      <c r="Q3552" s="74" t="s">
        <v>14683</v>
      </c>
    </row>
    <row r="3553" spans="3:17" x14ac:dyDescent="0.25">
      <c r="C3553" s="74" t="s">
        <v>14684</v>
      </c>
      <c r="D3553" s="74" t="s">
        <v>14685</v>
      </c>
      <c r="E3553" s="74" t="s">
        <v>391</v>
      </c>
      <c r="F3553" s="74">
        <v>0.1</v>
      </c>
      <c r="G3553" s="74"/>
      <c r="H3553" s="74"/>
      <c r="I3553" s="74" t="s">
        <v>391</v>
      </c>
      <c r="J3553" s="74"/>
      <c r="K3553" s="74">
        <v>102.4</v>
      </c>
      <c r="L3553" s="74">
        <v>92.16</v>
      </c>
      <c r="M3553" s="74"/>
      <c r="N3553" s="74" t="s">
        <v>392</v>
      </c>
      <c r="O3553" s="74" t="s">
        <v>393</v>
      </c>
      <c r="P3553" s="74"/>
      <c r="Q3553" s="74" t="s">
        <v>14686</v>
      </c>
    </row>
    <row r="3554" spans="3:17" x14ac:dyDescent="0.25">
      <c r="C3554" s="74" t="s">
        <v>14695</v>
      </c>
      <c r="D3554" s="74" t="s">
        <v>14696</v>
      </c>
      <c r="E3554" s="74" t="s">
        <v>391</v>
      </c>
      <c r="F3554" s="74">
        <v>0.1</v>
      </c>
      <c r="G3554" s="74"/>
      <c r="H3554" s="74"/>
      <c r="I3554" s="74" t="s">
        <v>391</v>
      </c>
      <c r="J3554" s="74"/>
      <c r="K3554" s="74">
        <v>102.4</v>
      </c>
      <c r="L3554" s="74">
        <v>92.16</v>
      </c>
      <c r="M3554" s="74"/>
      <c r="N3554" s="74" t="s">
        <v>392</v>
      </c>
      <c r="O3554" s="74" t="s">
        <v>393</v>
      </c>
      <c r="P3554" s="74"/>
      <c r="Q3554" s="74" t="s">
        <v>14697</v>
      </c>
    </row>
    <row r="3555" spans="3:17" x14ac:dyDescent="0.25">
      <c r="C3555" s="74" t="s">
        <v>14702</v>
      </c>
      <c r="D3555" s="74" t="s">
        <v>14703</v>
      </c>
      <c r="E3555" s="74" t="s">
        <v>391</v>
      </c>
      <c r="F3555" s="74">
        <v>0.1</v>
      </c>
      <c r="G3555" s="74"/>
      <c r="H3555" s="74"/>
      <c r="I3555" s="74" t="s">
        <v>391</v>
      </c>
      <c r="J3555" s="74"/>
      <c r="K3555" s="74">
        <v>102.4</v>
      </c>
      <c r="L3555" s="74">
        <v>92.16</v>
      </c>
      <c r="M3555" s="74"/>
      <c r="N3555" s="74" t="s">
        <v>392</v>
      </c>
      <c r="O3555" s="74" t="s">
        <v>393</v>
      </c>
      <c r="P3555" s="74"/>
      <c r="Q3555" s="74" t="s">
        <v>14704</v>
      </c>
    </row>
    <row r="3556" spans="3:17" x14ac:dyDescent="0.25">
      <c r="C3556" s="74" t="s">
        <v>14705</v>
      </c>
      <c r="D3556" s="74" t="s">
        <v>14706</v>
      </c>
      <c r="E3556" s="74" t="s">
        <v>391</v>
      </c>
      <c r="F3556" s="74">
        <v>0.1</v>
      </c>
      <c r="G3556" s="74"/>
      <c r="H3556" s="74"/>
      <c r="I3556" s="74" t="s">
        <v>391</v>
      </c>
      <c r="J3556" s="74"/>
      <c r="K3556" s="74">
        <v>102.4</v>
      </c>
      <c r="L3556" s="74">
        <v>92.16</v>
      </c>
      <c r="M3556" s="74"/>
      <c r="N3556" s="74" t="s">
        <v>392</v>
      </c>
      <c r="O3556" s="74" t="s">
        <v>393</v>
      </c>
      <c r="P3556" s="74"/>
      <c r="Q3556" s="74" t="s">
        <v>14706</v>
      </c>
    </row>
    <row r="3557" spans="3:17" x14ac:dyDescent="0.25">
      <c r="C3557" s="74" t="s">
        <v>14715</v>
      </c>
      <c r="D3557" s="74" t="s">
        <v>14716</v>
      </c>
      <c r="E3557" s="74" t="s">
        <v>391</v>
      </c>
      <c r="F3557" s="74">
        <v>0.1</v>
      </c>
      <c r="G3557" s="74"/>
      <c r="H3557" s="74"/>
      <c r="I3557" s="74" t="s">
        <v>391</v>
      </c>
      <c r="J3557" s="74"/>
      <c r="K3557" s="74">
        <v>102.4</v>
      </c>
      <c r="L3557" s="74">
        <v>92.16</v>
      </c>
      <c r="M3557" s="74"/>
      <c r="N3557" s="74" t="s">
        <v>392</v>
      </c>
      <c r="O3557" s="74" t="s">
        <v>393</v>
      </c>
      <c r="P3557" s="74"/>
      <c r="Q3557" s="74" t="s">
        <v>14717</v>
      </c>
    </row>
    <row r="3558" spans="3:17" x14ac:dyDescent="0.25">
      <c r="C3558" s="74" t="s">
        <v>14734</v>
      </c>
      <c r="D3558" s="74" t="s">
        <v>14735</v>
      </c>
      <c r="E3558" s="74" t="s">
        <v>391</v>
      </c>
      <c r="F3558" s="74">
        <v>0.1</v>
      </c>
      <c r="G3558" s="74"/>
      <c r="H3558" s="74"/>
      <c r="I3558" s="74" t="s">
        <v>391</v>
      </c>
      <c r="J3558" s="74"/>
      <c r="K3558" s="74">
        <v>102.4</v>
      </c>
      <c r="L3558" s="74">
        <v>92.16</v>
      </c>
      <c r="M3558" s="74"/>
      <c r="N3558" s="74" t="s">
        <v>392</v>
      </c>
      <c r="O3558" s="74" t="s">
        <v>393</v>
      </c>
      <c r="P3558" s="74"/>
      <c r="Q3558" s="74" t="s">
        <v>14735</v>
      </c>
    </row>
    <row r="3559" spans="3:17" x14ac:dyDescent="0.25">
      <c r="C3559" s="74" t="s">
        <v>14747</v>
      </c>
      <c r="D3559" s="74" t="s">
        <v>14748</v>
      </c>
      <c r="E3559" s="74" t="s">
        <v>391</v>
      </c>
      <c r="F3559" s="74">
        <v>0.1</v>
      </c>
      <c r="G3559" s="74"/>
      <c r="H3559" s="74"/>
      <c r="I3559" s="74" t="s">
        <v>391</v>
      </c>
      <c r="J3559" s="74"/>
      <c r="K3559" s="74">
        <v>102.4</v>
      </c>
      <c r="L3559" s="74">
        <v>92.16</v>
      </c>
      <c r="M3559" s="74"/>
      <c r="N3559" s="74" t="s">
        <v>392</v>
      </c>
      <c r="O3559" s="74" t="s">
        <v>393</v>
      </c>
      <c r="P3559" s="74"/>
      <c r="Q3559" s="74" t="s">
        <v>14749</v>
      </c>
    </row>
    <row r="3560" spans="3:17" x14ac:dyDescent="0.25">
      <c r="C3560" s="74" t="s">
        <v>14750</v>
      </c>
      <c r="D3560" s="74" t="s">
        <v>14751</v>
      </c>
      <c r="E3560" s="74" t="s">
        <v>391</v>
      </c>
      <c r="F3560" s="74">
        <v>0.1</v>
      </c>
      <c r="G3560" s="74"/>
      <c r="H3560" s="74"/>
      <c r="I3560" s="74" t="s">
        <v>391</v>
      </c>
      <c r="J3560" s="74"/>
      <c r="K3560" s="74">
        <v>102.4</v>
      </c>
      <c r="L3560" s="74">
        <v>92.16</v>
      </c>
      <c r="M3560" s="74"/>
      <c r="N3560" s="74" t="s">
        <v>392</v>
      </c>
      <c r="O3560" s="74" t="s">
        <v>393</v>
      </c>
      <c r="P3560" s="74"/>
      <c r="Q3560" s="74" t="s">
        <v>14752</v>
      </c>
    </row>
    <row r="3561" spans="3:17" x14ac:dyDescent="0.25">
      <c r="C3561" s="74" t="s">
        <v>14756</v>
      </c>
      <c r="D3561" s="74" t="s">
        <v>14757</v>
      </c>
      <c r="E3561" s="74" t="s">
        <v>391</v>
      </c>
      <c r="F3561" s="74">
        <v>0.1</v>
      </c>
      <c r="G3561" s="74"/>
      <c r="H3561" s="74"/>
      <c r="I3561" s="74" t="s">
        <v>391</v>
      </c>
      <c r="J3561" s="74"/>
      <c r="K3561" s="74">
        <v>102.4</v>
      </c>
      <c r="L3561" s="74">
        <v>92.16</v>
      </c>
      <c r="M3561" s="74"/>
      <c r="N3561" s="74" t="s">
        <v>392</v>
      </c>
      <c r="O3561" s="74" t="s">
        <v>393</v>
      </c>
      <c r="P3561" s="74"/>
      <c r="Q3561" s="74" t="s">
        <v>14757</v>
      </c>
    </row>
    <row r="3562" spans="3:17" x14ac:dyDescent="0.25">
      <c r="C3562" s="74" t="s">
        <v>14758</v>
      </c>
      <c r="D3562" s="74" t="s">
        <v>14759</v>
      </c>
      <c r="E3562" s="74"/>
      <c r="F3562" s="74">
        <v>0.1</v>
      </c>
      <c r="G3562" s="74"/>
      <c r="H3562" s="74"/>
      <c r="I3562" s="74" t="s">
        <v>391</v>
      </c>
      <c r="J3562" s="74"/>
      <c r="K3562" s="74">
        <v>102.4</v>
      </c>
      <c r="L3562" s="74">
        <v>92.16</v>
      </c>
      <c r="M3562" s="74"/>
      <c r="N3562" s="74" t="s">
        <v>392</v>
      </c>
      <c r="O3562" s="74" t="s">
        <v>402</v>
      </c>
      <c r="P3562" s="74" t="s">
        <v>14760</v>
      </c>
      <c r="Q3562" s="74" t="s">
        <v>14761</v>
      </c>
    </row>
    <row r="3563" spans="3:17" x14ac:dyDescent="0.25">
      <c r="C3563" s="74" t="s">
        <v>14762</v>
      </c>
      <c r="D3563" s="74" t="s">
        <v>14763</v>
      </c>
      <c r="E3563" s="74" t="s">
        <v>391</v>
      </c>
      <c r="F3563" s="74">
        <v>0.1</v>
      </c>
      <c r="G3563" s="74"/>
      <c r="H3563" s="74"/>
      <c r="I3563" s="74" t="s">
        <v>391</v>
      </c>
      <c r="J3563" s="74"/>
      <c r="K3563" s="74">
        <v>102.4</v>
      </c>
      <c r="L3563" s="74">
        <v>92.16</v>
      </c>
      <c r="M3563" s="74"/>
      <c r="N3563" s="74" t="s">
        <v>392</v>
      </c>
      <c r="O3563" s="74" t="s">
        <v>393</v>
      </c>
      <c r="P3563" s="74"/>
      <c r="Q3563" s="74" t="s">
        <v>14764</v>
      </c>
    </row>
    <row r="3564" spans="3:17" x14ac:dyDescent="0.25">
      <c r="C3564" s="74" t="s">
        <v>14765</v>
      </c>
      <c r="D3564" s="74" t="s">
        <v>14766</v>
      </c>
      <c r="E3564" s="74" t="s">
        <v>391</v>
      </c>
      <c r="F3564" s="74">
        <v>0.1</v>
      </c>
      <c r="G3564" s="74"/>
      <c r="H3564" s="74"/>
      <c r="I3564" s="74" t="s">
        <v>391</v>
      </c>
      <c r="J3564" s="74"/>
      <c r="K3564" s="74">
        <v>102.4</v>
      </c>
      <c r="L3564" s="74">
        <v>92.16</v>
      </c>
      <c r="M3564" s="74"/>
      <c r="N3564" s="74" t="s">
        <v>392</v>
      </c>
      <c r="O3564" s="74" t="s">
        <v>393</v>
      </c>
      <c r="P3564" s="74"/>
      <c r="Q3564" s="74" t="s">
        <v>14767</v>
      </c>
    </row>
    <row r="3565" spans="3:17" x14ac:dyDescent="0.25">
      <c r="C3565" s="74" t="s">
        <v>14782</v>
      </c>
      <c r="D3565" s="74" t="s">
        <v>14783</v>
      </c>
      <c r="E3565" s="74" t="s">
        <v>391</v>
      </c>
      <c r="F3565" s="74">
        <v>0.1</v>
      </c>
      <c r="G3565" s="74"/>
      <c r="H3565" s="74"/>
      <c r="I3565" s="74" t="s">
        <v>391</v>
      </c>
      <c r="J3565" s="74"/>
      <c r="K3565" s="74">
        <v>102.4</v>
      </c>
      <c r="L3565" s="74">
        <v>92.16</v>
      </c>
      <c r="M3565" s="74"/>
      <c r="N3565" s="74" t="s">
        <v>392</v>
      </c>
      <c r="O3565" s="74" t="s">
        <v>393</v>
      </c>
      <c r="P3565" s="74"/>
      <c r="Q3565" s="74" t="s">
        <v>14784</v>
      </c>
    </row>
    <row r="3566" spans="3:17" x14ac:dyDescent="0.25">
      <c r="C3566" s="74" t="s">
        <v>14788</v>
      </c>
      <c r="D3566" s="74" t="s">
        <v>14789</v>
      </c>
      <c r="E3566" s="74" t="s">
        <v>391</v>
      </c>
      <c r="F3566" s="74">
        <v>0.1</v>
      </c>
      <c r="G3566" s="74"/>
      <c r="H3566" s="74"/>
      <c r="I3566" s="74" t="s">
        <v>391</v>
      </c>
      <c r="J3566" s="74"/>
      <c r="K3566" s="74">
        <v>102.4</v>
      </c>
      <c r="L3566" s="74">
        <v>92.16</v>
      </c>
      <c r="M3566" s="74"/>
      <c r="N3566" s="74" t="s">
        <v>392</v>
      </c>
      <c r="O3566" s="74" t="s">
        <v>393</v>
      </c>
      <c r="P3566" s="74"/>
      <c r="Q3566" s="74" t="s">
        <v>14790</v>
      </c>
    </row>
    <row r="3567" spans="3:17" x14ac:dyDescent="0.25">
      <c r="C3567" s="74" t="s">
        <v>14795</v>
      </c>
      <c r="D3567" s="74" t="s">
        <v>14796</v>
      </c>
      <c r="E3567" s="74" t="s">
        <v>391</v>
      </c>
      <c r="F3567" s="74">
        <v>0.1</v>
      </c>
      <c r="G3567" s="74"/>
      <c r="H3567" s="74"/>
      <c r="I3567" s="74" t="s">
        <v>391</v>
      </c>
      <c r="J3567" s="74"/>
      <c r="K3567" s="74">
        <v>102.4</v>
      </c>
      <c r="L3567" s="74">
        <v>92.16</v>
      </c>
      <c r="M3567" s="74"/>
      <c r="N3567" s="74" t="s">
        <v>392</v>
      </c>
      <c r="O3567" s="74" t="s">
        <v>393</v>
      </c>
      <c r="P3567" s="74"/>
      <c r="Q3567" s="74" t="s">
        <v>14796</v>
      </c>
    </row>
    <row r="3568" spans="3:17" x14ac:dyDescent="0.25">
      <c r="C3568" s="74" t="s">
        <v>14797</v>
      </c>
      <c r="D3568" s="74" t="s">
        <v>14798</v>
      </c>
      <c r="E3568" s="74" t="s">
        <v>391</v>
      </c>
      <c r="F3568" s="74">
        <v>0.1</v>
      </c>
      <c r="G3568" s="74"/>
      <c r="H3568" s="74"/>
      <c r="I3568" s="74" t="s">
        <v>391</v>
      </c>
      <c r="J3568" s="74"/>
      <c r="K3568" s="74">
        <v>102.4</v>
      </c>
      <c r="L3568" s="74">
        <v>92.16</v>
      </c>
      <c r="M3568" s="74"/>
      <c r="N3568" s="74" t="s">
        <v>392</v>
      </c>
      <c r="O3568" s="74" t="s">
        <v>393</v>
      </c>
      <c r="P3568" s="74"/>
      <c r="Q3568" s="74" t="s">
        <v>14799</v>
      </c>
    </row>
    <row r="3569" spans="3:17" x14ac:dyDescent="0.25">
      <c r="C3569" s="74" t="s">
        <v>14800</v>
      </c>
      <c r="D3569" s="74" t="s">
        <v>14801</v>
      </c>
      <c r="E3569" s="74" t="s">
        <v>391</v>
      </c>
      <c r="F3569" s="74">
        <v>0.1</v>
      </c>
      <c r="G3569" s="74"/>
      <c r="H3569" s="74"/>
      <c r="I3569" s="74" t="s">
        <v>391</v>
      </c>
      <c r="J3569" s="74"/>
      <c r="K3569" s="74">
        <v>102.4</v>
      </c>
      <c r="L3569" s="74">
        <v>92.16</v>
      </c>
      <c r="M3569" s="74"/>
      <c r="N3569" s="74" t="s">
        <v>392</v>
      </c>
      <c r="O3569" s="74" t="s">
        <v>393</v>
      </c>
      <c r="P3569" s="74"/>
      <c r="Q3569" s="74" t="s">
        <v>14802</v>
      </c>
    </row>
    <row r="3570" spans="3:17" x14ac:dyDescent="0.25">
      <c r="C3570" s="74" t="s">
        <v>14819</v>
      </c>
      <c r="D3570" s="74" t="s">
        <v>14820</v>
      </c>
      <c r="E3570" s="74" t="s">
        <v>391</v>
      </c>
      <c r="F3570" s="74">
        <v>0.1</v>
      </c>
      <c r="G3570" s="74"/>
      <c r="H3570" s="74"/>
      <c r="I3570" s="74" t="s">
        <v>391</v>
      </c>
      <c r="J3570" s="74"/>
      <c r="K3570" s="74">
        <v>102.4</v>
      </c>
      <c r="L3570" s="74">
        <v>92.16</v>
      </c>
      <c r="M3570" s="74"/>
      <c r="N3570" s="74" t="s">
        <v>392</v>
      </c>
      <c r="O3570" s="74" t="s">
        <v>393</v>
      </c>
      <c r="P3570" s="74"/>
      <c r="Q3570" s="74" t="s">
        <v>14821</v>
      </c>
    </row>
    <row r="3571" spans="3:17" x14ac:dyDescent="0.25">
      <c r="C3571" s="74" t="s">
        <v>14822</v>
      </c>
      <c r="D3571" s="74" t="s">
        <v>14823</v>
      </c>
      <c r="E3571" s="74" t="s">
        <v>391</v>
      </c>
      <c r="F3571" s="74">
        <v>0.1</v>
      </c>
      <c r="G3571" s="74"/>
      <c r="H3571" s="74"/>
      <c r="I3571" s="74" t="s">
        <v>391</v>
      </c>
      <c r="J3571" s="74"/>
      <c r="K3571" s="74">
        <v>102.4</v>
      </c>
      <c r="L3571" s="74">
        <v>92.16</v>
      </c>
      <c r="M3571" s="74"/>
      <c r="N3571" s="74" t="s">
        <v>392</v>
      </c>
      <c r="O3571" s="74" t="s">
        <v>393</v>
      </c>
      <c r="P3571" s="74"/>
      <c r="Q3571" s="74" t="s">
        <v>14824</v>
      </c>
    </row>
    <row r="3572" spans="3:17" x14ac:dyDescent="0.25">
      <c r="C3572" s="74" t="s">
        <v>14833</v>
      </c>
      <c r="D3572" s="74" t="s">
        <v>14834</v>
      </c>
      <c r="E3572" s="74" t="s">
        <v>391</v>
      </c>
      <c r="F3572" s="74">
        <v>0.1</v>
      </c>
      <c r="G3572" s="74"/>
      <c r="H3572" s="74"/>
      <c r="I3572" s="74" t="s">
        <v>391</v>
      </c>
      <c r="J3572" s="74"/>
      <c r="K3572" s="74">
        <v>102.4</v>
      </c>
      <c r="L3572" s="74">
        <v>92.16</v>
      </c>
      <c r="M3572" s="74"/>
      <c r="N3572" s="74" t="s">
        <v>392</v>
      </c>
      <c r="O3572" s="74" t="s">
        <v>393</v>
      </c>
      <c r="P3572" s="74"/>
      <c r="Q3572" s="74" t="s">
        <v>14835</v>
      </c>
    </row>
    <row r="3573" spans="3:17" x14ac:dyDescent="0.25">
      <c r="C3573" s="74" t="s">
        <v>14836</v>
      </c>
      <c r="D3573" s="74" t="s">
        <v>14837</v>
      </c>
      <c r="E3573" s="74" t="s">
        <v>391</v>
      </c>
      <c r="F3573" s="74">
        <v>0.1</v>
      </c>
      <c r="G3573" s="74"/>
      <c r="H3573" s="74"/>
      <c r="I3573" s="74" t="s">
        <v>391</v>
      </c>
      <c r="J3573" s="74"/>
      <c r="K3573" s="74">
        <v>102.4</v>
      </c>
      <c r="L3573" s="74">
        <v>92.16</v>
      </c>
      <c r="M3573" s="74"/>
      <c r="N3573" s="74" t="s">
        <v>392</v>
      </c>
      <c r="O3573" s="74" t="s">
        <v>393</v>
      </c>
      <c r="P3573" s="74"/>
      <c r="Q3573" s="74" t="s">
        <v>14838</v>
      </c>
    </row>
    <row r="3574" spans="3:17" x14ac:dyDescent="0.25">
      <c r="C3574" s="74" t="s">
        <v>14839</v>
      </c>
      <c r="D3574" s="74" t="s">
        <v>14840</v>
      </c>
      <c r="E3574" s="74" t="s">
        <v>391</v>
      </c>
      <c r="F3574" s="74">
        <v>0.1</v>
      </c>
      <c r="G3574" s="74"/>
      <c r="H3574" s="74"/>
      <c r="I3574" s="74" t="s">
        <v>391</v>
      </c>
      <c r="J3574" s="74"/>
      <c r="K3574" s="74">
        <v>102.4</v>
      </c>
      <c r="L3574" s="74">
        <v>92.16</v>
      </c>
      <c r="M3574" s="74"/>
      <c r="N3574" s="74" t="s">
        <v>392</v>
      </c>
      <c r="O3574" s="74" t="s">
        <v>393</v>
      </c>
      <c r="P3574" s="74"/>
      <c r="Q3574" s="74" t="s">
        <v>14841</v>
      </c>
    </row>
    <row r="3575" spans="3:17" x14ac:dyDescent="0.25">
      <c r="C3575" s="74" t="s">
        <v>14867</v>
      </c>
      <c r="D3575" s="74" t="s">
        <v>14868</v>
      </c>
      <c r="E3575" s="74" t="s">
        <v>391</v>
      </c>
      <c r="F3575" s="74">
        <v>0.1</v>
      </c>
      <c r="G3575" s="74"/>
      <c r="H3575" s="74"/>
      <c r="I3575" s="74" t="s">
        <v>391</v>
      </c>
      <c r="J3575" s="74"/>
      <c r="K3575" s="74">
        <v>102.4</v>
      </c>
      <c r="L3575" s="74">
        <v>92.16</v>
      </c>
      <c r="M3575" s="74"/>
      <c r="N3575" s="74" t="s">
        <v>392</v>
      </c>
      <c r="O3575" s="74" t="s">
        <v>393</v>
      </c>
      <c r="P3575" s="74"/>
      <c r="Q3575" s="74" t="s">
        <v>14869</v>
      </c>
    </row>
    <row r="3576" spans="3:17" x14ac:dyDescent="0.25">
      <c r="C3576" s="74" t="s">
        <v>14870</v>
      </c>
      <c r="D3576" s="74" t="s">
        <v>14871</v>
      </c>
      <c r="E3576" s="74" t="s">
        <v>391</v>
      </c>
      <c r="F3576" s="74">
        <v>0.1</v>
      </c>
      <c r="G3576" s="74"/>
      <c r="H3576" s="74"/>
      <c r="I3576" s="74" t="s">
        <v>391</v>
      </c>
      <c r="J3576" s="74"/>
      <c r="K3576" s="74">
        <v>102.4</v>
      </c>
      <c r="L3576" s="74">
        <v>92.16</v>
      </c>
      <c r="M3576" s="74"/>
      <c r="N3576" s="74" t="s">
        <v>392</v>
      </c>
      <c r="O3576" s="74" t="s">
        <v>393</v>
      </c>
      <c r="P3576" s="74"/>
      <c r="Q3576" s="74" t="s">
        <v>14872</v>
      </c>
    </row>
    <row r="3577" spans="3:17" x14ac:dyDescent="0.25">
      <c r="C3577" s="74" t="s">
        <v>14873</v>
      </c>
      <c r="D3577" s="74" t="s">
        <v>14874</v>
      </c>
      <c r="E3577" s="74" t="s">
        <v>391</v>
      </c>
      <c r="F3577" s="74">
        <v>0.1</v>
      </c>
      <c r="G3577" s="74"/>
      <c r="H3577" s="74"/>
      <c r="I3577" s="74" t="s">
        <v>391</v>
      </c>
      <c r="J3577" s="74"/>
      <c r="K3577" s="74">
        <v>102.4</v>
      </c>
      <c r="L3577" s="74">
        <v>92.16</v>
      </c>
      <c r="M3577" s="74"/>
      <c r="N3577" s="74" t="s">
        <v>392</v>
      </c>
      <c r="O3577" s="74" t="s">
        <v>393</v>
      </c>
      <c r="P3577" s="74"/>
      <c r="Q3577" s="74" t="s">
        <v>14875</v>
      </c>
    </row>
    <row r="3578" spans="3:17" x14ac:dyDescent="0.25">
      <c r="C3578" s="74" t="s">
        <v>14883</v>
      </c>
      <c r="D3578" s="74" t="s">
        <v>14884</v>
      </c>
      <c r="E3578" s="74" t="s">
        <v>391</v>
      </c>
      <c r="F3578" s="74">
        <v>0.1</v>
      </c>
      <c r="G3578" s="74"/>
      <c r="H3578" s="74"/>
      <c r="I3578" s="74" t="s">
        <v>391</v>
      </c>
      <c r="J3578" s="74"/>
      <c r="K3578" s="74">
        <v>102.4</v>
      </c>
      <c r="L3578" s="74">
        <v>92.16</v>
      </c>
      <c r="M3578" s="74"/>
      <c r="N3578" s="74" t="s">
        <v>392</v>
      </c>
      <c r="O3578" s="74" t="s">
        <v>393</v>
      </c>
      <c r="P3578" s="74"/>
      <c r="Q3578" s="74" t="s">
        <v>14885</v>
      </c>
    </row>
    <row r="3579" spans="3:17" x14ac:dyDescent="0.25">
      <c r="C3579" s="74" t="s">
        <v>14886</v>
      </c>
      <c r="D3579" s="74" t="s">
        <v>14887</v>
      </c>
      <c r="E3579" s="74" t="s">
        <v>391</v>
      </c>
      <c r="F3579" s="74">
        <v>0.1</v>
      </c>
      <c r="G3579" s="74"/>
      <c r="H3579" s="74"/>
      <c r="I3579" s="74" t="s">
        <v>391</v>
      </c>
      <c r="J3579" s="74"/>
      <c r="K3579" s="74">
        <v>102.4</v>
      </c>
      <c r="L3579" s="74">
        <v>92.16</v>
      </c>
      <c r="M3579" s="74"/>
      <c r="N3579" s="74" t="s">
        <v>392</v>
      </c>
      <c r="O3579" s="74" t="s">
        <v>393</v>
      </c>
      <c r="P3579" s="74"/>
      <c r="Q3579" s="74" t="s">
        <v>14888</v>
      </c>
    </row>
    <row r="3580" spans="3:17" x14ac:dyDescent="0.25">
      <c r="C3580" s="74" t="s">
        <v>14889</v>
      </c>
      <c r="D3580" s="74" t="s">
        <v>14890</v>
      </c>
      <c r="E3580" s="74" t="s">
        <v>391</v>
      </c>
      <c r="F3580" s="74">
        <v>0.1</v>
      </c>
      <c r="G3580" s="74"/>
      <c r="H3580" s="74"/>
      <c r="I3580" s="74" t="s">
        <v>391</v>
      </c>
      <c r="J3580" s="74"/>
      <c r="K3580" s="74">
        <v>102.4</v>
      </c>
      <c r="L3580" s="74">
        <v>92.16</v>
      </c>
      <c r="M3580" s="74"/>
      <c r="N3580" s="74" t="s">
        <v>392</v>
      </c>
      <c r="O3580" s="74" t="s">
        <v>393</v>
      </c>
      <c r="P3580" s="74"/>
      <c r="Q3580" s="74" t="s">
        <v>14890</v>
      </c>
    </row>
    <row r="3581" spans="3:17" x14ac:dyDescent="0.25">
      <c r="C3581" s="74" t="s">
        <v>14891</v>
      </c>
      <c r="D3581" s="74" t="s">
        <v>14892</v>
      </c>
      <c r="E3581" s="74" t="s">
        <v>391</v>
      </c>
      <c r="F3581" s="74">
        <v>0.1</v>
      </c>
      <c r="G3581" s="74"/>
      <c r="H3581" s="74"/>
      <c r="I3581" s="74" t="s">
        <v>391</v>
      </c>
      <c r="J3581" s="74"/>
      <c r="K3581" s="74">
        <v>102.4</v>
      </c>
      <c r="L3581" s="74">
        <v>92.16</v>
      </c>
      <c r="M3581" s="74"/>
      <c r="N3581" s="74" t="s">
        <v>392</v>
      </c>
      <c r="O3581" s="74" t="s">
        <v>393</v>
      </c>
      <c r="P3581" s="74"/>
      <c r="Q3581" s="74" t="s">
        <v>14893</v>
      </c>
    </row>
    <row r="3582" spans="3:17" x14ac:dyDescent="0.25">
      <c r="C3582" s="74" t="s">
        <v>14894</v>
      </c>
      <c r="D3582" s="74" t="s">
        <v>14895</v>
      </c>
      <c r="E3582" s="74" t="s">
        <v>391</v>
      </c>
      <c r="F3582" s="74">
        <v>0.1</v>
      </c>
      <c r="G3582" s="74"/>
      <c r="H3582" s="74"/>
      <c r="I3582" s="74" t="s">
        <v>391</v>
      </c>
      <c r="J3582" s="74"/>
      <c r="K3582" s="74">
        <v>102.4</v>
      </c>
      <c r="L3582" s="74">
        <v>92.16</v>
      </c>
      <c r="M3582" s="74"/>
      <c r="N3582" s="74" t="s">
        <v>392</v>
      </c>
      <c r="O3582" s="74" t="s">
        <v>393</v>
      </c>
      <c r="P3582" s="74"/>
      <c r="Q3582" s="74" t="s">
        <v>14896</v>
      </c>
    </row>
    <row r="3583" spans="3:17" x14ac:dyDescent="0.25">
      <c r="C3583" s="74" t="s">
        <v>14897</v>
      </c>
      <c r="D3583" s="74" t="s">
        <v>14898</v>
      </c>
      <c r="E3583" s="74" t="s">
        <v>391</v>
      </c>
      <c r="F3583" s="74">
        <v>0.1</v>
      </c>
      <c r="G3583" s="74"/>
      <c r="H3583" s="74"/>
      <c r="I3583" s="74" t="s">
        <v>391</v>
      </c>
      <c r="J3583" s="74"/>
      <c r="K3583" s="74">
        <v>102.4</v>
      </c>
      <c r="L3583" s="74">
        <v>92.16</v>
      </c>
      <c r="M3583" s="74"/>
      <c r="N3583" s="74" t="s">
        <v>392</v>
      </c>
      <c r="O3583" s="74" t="s">
        <v>393</v>
      </c>
      <c r="P3583" s="74"/>
      <c r="Q3583" s="74" t="s">
        <v>14899</v>
      </c>
    </row>
    <row r="3584" spans="3:17" x14ac:dyDescent="0.25">
      <c r="C3584" s="74" t="s">
        <v>14900</v>
      </c>
      <c r="D3584" s="74" t="s">
        <v>14901</v>
      </c>
      <c r="E3584" s="74" t="s">
        <v>391</v>
      </c>
      <c r="F3584" s="74">
        <v>0.1</v>
      </c>
      <c r="G3584" s="74"/>
      <c r="H3584" s="74"/>
      <c r="I3584" s="74" t="s">
        <v>391</v>
      </c>
      <c r="J3584" s="74"/>
      <c r="K3584" s="74">
        <v>102.4</v>
      </c>
      <c r="L3584" s="74">
        <v>92.16</v>
      </c>
      <c r="M3584" s="74"/>
      <c r="N3584" s="74" t="s">
        <v>392</v>
      </c>
      <c r="O3584" s="74" t="s">
        <v>393</v>
      </c>
      <c r="P3584" s="74"/>
      <c r="Q3584" s="74" t="s">
        <v>14902</v>
      </c>
    </row>
    <row r="3585" spans="3:17" x14ac:dyDescent="0.25">
      <c r="C3585" s="74" t="s">
        <v>14903</v>
      </c>
      <c r="D3585" s="74" t="s">
        <v>14904</v>
      </c>
      <c r="E3585" s="74" t="s">
        <v>391</v>
      </c>
      <c r="F3585" s="74">
        <v>0.1</v>
      </c>
      <c r="G3585" s="74"/>
      <c r="H3585" s="74"/>
      <c r="I3585" s="74" t="s">
        <v>391</v>
      </c>
      <c r="J3585" s="74"/>
      <c r="K3585" s="74">
        <v>102.4</v>
      </c>
      <c r="L3585" s="74">
        <v>92.16</v>
      </c>
      <c r="M3585" s="74"/>
      <c r="N3585" s="74" t="s">
        <v>392</v>
      </c>
      <c r="O3585" s="74" t="s">
        <v>393</v>
      </c>
      <c r="P3585" s="74"/>
      <c r="Q3585" s="74" t="s">
        <v>14905</v>
      </c>
    </row>
    <row r="3586" spans="3:17" x14ac:dyDescent="0.25">
      <c r="C3586" s="74" t="s">
        <v>14906</v>
      </c>
      <c r="D3586" s="74" t="s">
        <v>14907</v>
      </c>
      <c r="E3586" s="74" t="s">
        <v>391</v>
      </c>
      <c r="F3586" s="74">
        <v>0.1</v>
      </c>
      <c r="G3586" s="74"/>
      <c r="H3586" s="74"/>
      <c r="I3586" s="74" t="s">
        <v>391</v>
      </c>
      <c r="J3586" s="74"/>
      <c r="K3586" s="74">
        <v>102.4</v>
      </c>
      <c r="L3586" s="74">
        <v>92.16</v>
      </c>
      <c r="M3586" s="74"/>
      <c r="N3586" s="74" t="s">
        <v>392</v>
      </c>
      <c r="O3586" s="74" t="s">
        <v>393</v>
      </c>
      <c r="P3586" s="74"/>
      <c r="Q3586" s="74" t="s">
        <v>14908</v>
      </c>
    </row>
    <row r="3587" spans="3:17" x14ac:dyDescent="0.25">
      <c r="C3587" s="74" t="s">
        <v>14909</v>
      </c>
      <c r="D3587" s="74" t="s">
        <v>14910</v>
      </c>
      <c r="E3587" s="74" t="s">
        <v>391</v>
      </c>
      <c r="F3587" s="74">
        <v>0.1</v>
      </c>
      <c r="G3587" s="74"/>
      <c r="H3587" s="74"/>
      <c r="I3587" s="74" t="s">
        <v>391</v>
      </c>
      <c r="J3587" s="74"/>
      <c r="K3587" s="74">
        <v>102.4</v>
      </c>
      <c r="L3587" s="74">
        <v>92.16</v>
      </c>
      <c r="M3587" s="74"/>
      <c r="N3587" s="74" t="s">
        <v>392</v>
      </c>
      <c r="O3587" s="74" t="s">
        <v>393</v>
      </c>
      <c r="P3587" s="74"/>
      <c r="Q3587" s="74" t="s">
        <v>14911</v>
      </c>
    </row>
    <row r="3588" spans="3:17" x14ac:dyDescent="0.25">
      <c r="C3588" s="74" t="s">
        <v>14912</v>
      </c>
      <c r="D3588" s="74" t="s">
        <v>14913</v>
      </c>
      <c r="E3588" s="74" t="s">
        <v>391</v>
      </c>
      <c r="F3588" s="74">
        <v>0.1</v>
      </c>
      <c r="G3588" s="74"/>
      <c r="H3588" s="74"/>
      <c r="I3588" s="74" t="s">
        <v>391</v>
      </c>
      <c r="J3588" s="74"/>
      <c r="K3588" s="74">
        <v>102.4</v>
      </c>
      <c r="L3588" s="74">
        <v>92.16</v>
      </c>
      <c r="M3588" s="74"/>
      <c r="N3588" s="74" t="s">
        <v>392</v>
      </c>
      <c r="O3588" s="74" t="s">
        <v>393</v>
      </c>
      <c r="P3588" s="74"/>
      <c r="Q3588" s="74" t="s">
        <v>14914</v>
      </c>
    </row>
    <row r="3589" spans="3:17" x14ac:dyDescent="0.25">
      <c r="C3589" s="74" t="s">
        <v>14915</v>
      </c>
      <c r="D3589" s="74" t="s">
        <v>14916</v>
      </c>
      <c r="E3589" s="74" t="s">
        <v>391</v>
      </c>
      <c r="F3589" s="74">
        <v>0.1</v>
      </c>
      <c r="G3589" s="74"/>
      <c r="H3589" s="74"/>
      <c r="I3589" s="74" t="s">
        <v>391</v>
      </c>
      <c r="J3589" s="74"/>
      <c r="K3589" s="74">
        <v>102.4</v>
      </c>
      <c r="L3589" s="74">
        <v>92.16</v>
      </c>
      <c r="M3589" s="74"/>
      <c r="N3589" s="74" t="s">
        <v>392</v>
      </c>
      <c r="O3589" s="74" t="s">
        <v>393</v>
      </c>
      <c r="P3589" s="74"/>
      <c r="Q3589" s="74" t="s">
        <v>14917</v>
      </c>
    </row>
    <row r="3590" spans="3:17" x14ac:dyDescent="0.25">
      <c r="C3590" s="74" t="s">
        <v>14918</v>
      </c>
      <c r="D3590" s="74" t="s">
        <v>14919</v>
      </c>
      <c r="E3590" s="74" t="s">
        <v>391</v>
      </c>
      <c r="F3590" s="74">
        <v>0.1</v>
      </c>
      <c r="G3590" s="74"/>
      <c r="H3590" s="74"/>
      <c r="I3590" s="74" t="s">
        <v>391</v>
      </c>
      <c r="J3590" s="74"/>
      <c r="K3590" s="74">
        <v>102.4</v>
      </c>
      <c r="L3590" s="74">
        <v>92.16</v>
      </c>
      <c r="M3590" s="74"/>
      <c r="N3590" s="74" t="s">
        <v>392</v>
      </c>
      <c r="O3590" s="74" t="s">
        <v>393</v>
      </c>
      <c r="P3590" s="74"/>
      <c r="Q3590" s="74" t="s">
        <v>14920</v>
      </c>
    </row>
    <row r="3591" spans="3:17" x14ac:dyDescent="0.25">
      <c r="C3591" s="74" t="s">
        <v>14921</v>
      </c>
      <c r="D3591" s="74" t="s">
        <v>14922</v>
      </c>
      <c r="E3591" s="74" t="s">
        <v>391</v>
      </c>
      <c r="F3591" s="74">
        <v>0.1</v>
      </c>
      <c r="G3591" s="74"/>
      <c r="H3591" s="74"/>
      <c r="I3591" s="74" t="s">
        <v>391</v>
      </c>
      <c r="J3591" s="74"/>
      <c r="K3591" s="74">
        <v>102.4</v>
      </c>
      <c r="L3591" s="74">
        <v>92.16</v>
      </c>
      <c r="M3591" s="74"/>
      <c r="N3591" s="74" t="s">
        <v>392</v>
      </c>
      <c r="O3591" s="74" t="s">
        <v>393</v>
      </c>
      <c r="P3591" s="74"/>
      <c r="Q3591" s="74" t="s">
        <v>14922</v>
      </c>
    </row>
    <row r="3592" spans="3:17" x14ac:dyDescent="0.25">
      <c r="C3592" s="74" t="s">
        <v>14923</v>
      </c>
      <c r="D3592" s="74" t="s">
        <v>14924</v>
      </c>
      <c r="E3592" s="74" t="s">
        <v>391</v>
      </c>
      <c r="F3592" s="74">
        <v>0.1</v>
      </c>
      <c r="G3592" s="74"/>
      <c r="H3592" s="74"/>
      <c r="I3592" s="74" t="s">
        <v>391</v>
      </c>
      <c r="J3592" s="74"/>
      <c r="K3592" s="74">
        <v>102.4</v>
      </c>
      <c r="L3592" s="74">
        <v>92.16</v>
      </c>
      <c r="M3592" s="74"/>
      <c r="N3592" s="74" t="s">
        <v>392</v>
      </c>
      <c r="O3592" s="74" t="s">
        <v>393</v>
      </c>
      <c r="P3592" s="74"/>
      <c r="Q3592" s="74" t="s">
        <v>14925</v>
      </c>
    </row>
    <row r="3593" spans="3:17" x14ac:dyDescent="0.25">
      <c r="C3593" s="74" t="s">
        <v>14926</v>
      </c>
      <c r="D3593" s="74" t="s">
        <v>14927</v>
      </c>
      <c r="E3593" s="74" t="s">
        <v>391</v>
      </c>
      <c r="F3593" s="74">
        <v>0.1</v>
      </c>
      <c r="G3593" s="74"/>
      <c r="H3593" s="74"/>
      <c r="I3593" s="74" t="s">
        <v>391</v>
      </c>
      <c r="J3593" s="74"/>
      <c r="K3593" s="74">
        <v>102.4</v>
      </c>
      <c r="L3593" s="74">
        <v>92.16</v>
      </c>
      <c r="M3593" s="74"/>
      <c r="N3593" s="74" t="s">
        <v>392</v>
      </c>
      <c r="O3593" s="74" t="s">
        <v>393</v>
      </c>
      <c r="P3593" s="74"/>
      <c r="Q3593" s="74" t="s">
        <v>14928</v>
      </c>
    </row>
    <row r="3594" spans="3:17" x14ac:dyDescent="0.25">
      <c r="C3594" s="74" t="s">
        <v>14964</v>
      </c>
      <c r="D3594" s="74" t="s">
        <v>14965</v>
      </c>
      <c r="E3594" s="74" t="s">
        <v>391</v>
      </c>
      <c r="F3594" s="74">
        <v>0.1</v>
      </c>
      <c r="G3594" s="74"/>
      <c r="H3594" s="74"/>
      <c r="I3594" s="74" t="s">
        <v>391</v>
      </c>
      <c r="J3594" s="74"/>
      <c r="K3594" s="74">
        <v>102.4</v>
      </c>
      <c r="L3594" s="74">
        <v>92.16</v>
      </c>
      <c r="M3594" s="74"/>
      <c r="N3594" s="74" t="s">
        <v>392</v>
      </c>
      <c r="O3594" s="74" t="s">
        <v>393</v>
      </c>
      <c r="P3594" s="74"/>
      <c r="Q3594" s="74" t="s">
        <v>14966</v>
      </c>
    </row>
    <row r="3595" spans="3:17" x14ac:dyDescent="0.25">
      <c r="C3595" s="74" t="s">
        <v>15002</v>
      </c>
      <c r="D3595" s="74" t="s">
        <v>15003</v>
      </c>
      <c r="E3595" s="74" t="s">
        <v>391</v>
      </c>
      <c r="F3595" s="74">
        <v>0.1</v>
      </c>
      <c r="G3595" s="74"/>
      <c r="H3595" s="74"/>
      <c r="I3595" s="74" t="s">
        <v>391</v>
      </c>
      <c r="J3595" s="74"/>
      <c r="K3595" s="74">
        <v>102.4</v>
      </c>
      <c r="L3595" s="74">
        <v>92.16</v>
      </c>
      <c r="M3595" s="74"/>
      <c r="N3595" s="74" t="s">
        <v>392</v>
      </c>
      <c r="O3595" s="74" t="s">
        <v>393</v>
      </c>
      <c r="P3595" s="74"/>
      <c r="Q3595" s="74" t="s">
        <v>15004</v>
      </c>
    </row>
    <row r="3596" spans="3:17" x14ac:dyDescent="0.25">
      <c r="C3596" s="74" t="s">
        <v>15005</v>
      </c>
      <c r="D3596" s="74" t="s">
        <v>15006</v>
      </c>
      <c r="E3596" s="74" t="s">
        <v>391</v>
      </c>
      <c r="F3596" s="74">
        <v>0.1</v>
      </c>
      <c r="G3596" s="74"/>
      <c r="H3596" s="74"/>
      <c r="I3596" s="74" t="s">
        <v>391</v>
      </c>
      <c r="J3596" s="74"/>
      <c r="K3596" s="74">
        <v>102.4</v>
      </c>
      <c r="L3596" s="74">
        <v>92.16</v>
      </c>
      <c r="M3596" s="74"/>
      <c r="N3596" s="74" t="s">
        <v>392</v>
      </c>
      <c r="O3596" s="74" t="s">
        <v>393</v>
      </c>
      <c r="P3596" s="74"/>
      <c r="Q3596" s="74" t="s">
        <v>15007</v>
      </c>
    </row>
    <row r="3597" spans="3:17" x14ac:dyDescent="0.25">
      <c r="C3597" s="74" t="s">
        <v>15016</v>
      </c>
      <c r="D3597" s="74" t="s">
        <v>15017</v>
      </c>
      <c r="E3597" s="74" t="s">
        <v>391</v>
      </c>
      <c r="F3597" s="74">
        <v>0.1</v>
      </c>
      <c r="G3597" s="74"/>
      <c r="H3597" s="74"/>
      <c r="I3597" s="74" t="s">
        <v>391</v>
      </c>
      <c r="J3597" s="74"/>
      <c r="K3597" s="74">
        <v>102.4</v>
      </c>
      <c r="L3597" s="74">
        <v>92.16</v>
      </c>
      <c r="M3597" s="74"/>
      <c r="N3597" s="74" t="s">
        <v>392</v>
      </c>
      <c r="O3597" s="74" t="s">
        <v>393</v>
      </c>
      <c r="P3597" s="74"/>
      <c r="Q3597" s="74" t="s">
        <v>15018</v>
      </c>
    </row>
    <row r="3598" spans="3:17" x14ac:dyDescent="0.25">
      <c r="C3598" s="158" t="s">
        <v>15035</v>
      </c>
      <c r="D3598" s="158" t="s">
        <v>15036</v>
      </c>
      <c r="E3598" s="158" t="s">
        <v>391</v>
      </c>
      <c r="F3598" s="158">
        <v>0.1</v>
      </c>
      <c r="I3598" s="158" t="s">
        <v>391</v>
      </c>
      <c r="K3598" s="158">
        <v>102.4</v>
      </c>
      <c r="L3598" s="158">
        <v>92.16</v>
      </c>
      <c r="N3598" s="158" t="s">
        <v>392</v>
      </c>
      <c r="O3598" s="158" t="s">
        <v>393</v>
      </c>
      <c r="Q3598" s="158" t="s">
        <v>15037</v>
      </c>
    </row>
    <row r="3599" spans="3:17" x14ac:dyDescent="0.25">
      <c r="C3599" s="158" t="s">
        <v>15038</v>
      </c>
      <c r="D3599" s="158" t="s">
        <v>15039</v>
      </c>
      <c r="E3599" s="158" t="s">
        <v>391</v>
      </c>
      <c r="F3599" s="158">
        <v>0.1</v>
      </c>
      <c r="I3599" s="158" t="s">
        <v>391</v>
      </c>
      <c r="K3599" s="158">
        <v>102.4</v>
      </c>
      <c r="L3599" s="158">
        <v>92.16</v>
      </c>
      <c r="N3599" s="158" t="s">
        <v>392</v>
      </c>
      <c r="O3599" s="158" t="s">
        <v>393</v>
      </c>
      <c r="Q3599" s="158" t="s">
        <v>15040</v>
      </c>
    </row>
    <row r="3600" spans="3:17" x14ac:dyDescent="0.25">
      <c r="C3600" s="158" t="s">
        <v>15041</v>
      </c>
      <c r="D3600" s="158" t="s">
        <v>15042</v>
      </c>
      <c r="E3600" s="158" t="s">
        <v>391</v>
      </c>
      <c r="F3600" s="158">
        <v>0.1</v>
      </c>
      <c r="I3600" s="158" t="s">
        <v>391</v>
      </c>
      <c r="K3600" s="158">
        <v>102.4</v>
      </c>
      <c r="L3600" s="158">
        <v>92.16</v>
      </c>
      <c r="N3600" s="158" t="s">
        <v>392</v>
      </c>
      <c r="O3600" s="158" t="s">
        <v>393</v>
      </c>
      <c r="Q3600" s="158" t="s">
        <v>15043</v>
      </c>
    </row>
    <row r="3601" spans="3:17" x14ac:dyDescent="0.25">
      <c r="C3601" s="158" t="s">
        <v>15058</v>
      </c>
      <c r="D3601" s="158" t="s">
        <v>15059</v>
      </c>
      <c r="E3601" s="158" t="s">
        <v>391</v>
      </c>
      <c r="F3601" s="158">
        <v>0.1</v>
      </c>
      <c r="I3601" s="158" t="s">
        <v>391</v>
      </c>
      <c r="K3601" s="158">
        <v>102.4</v>
      </c>
      <c r="L3601" s="158">
        <v>92.16</v>
      </c>
      <c r="N3601" s="158" t="s">
        <v>392</v>
      </c>
      <c r="O3601" s="158" t="s">
        <v>393</v>
      </c>
      <c r="Q3601" s="158" t="s">
        <v>15060</v>
      </c>
    </row>
    <row r="3602" spans="3:17" x14ac:dyDescent="0.25">
      <c r="C3602" s="158" t="s">
        <v>15061</v>
      </c>
      <c r="D3602" s="158" t="s">
        <v>15062</v>
      </c>
      <c r="E3602" s="158" t="s">
        <v>391</v>
      </c>
      <c r="F3602" s="158">
        <v>0.1</v>
      </c>
      <c r="I3602" s="158" t="s">
        <v>391</v>
      </c>
      <c r="K3602" s="158">
        <v>102.4</v>
      </c>
      <c r="L3602" s="158">
        <v>92.16</v>
      </c>
      <c r="N3602" s="158" t="s">
        <v>392</v>
      </c>
      <c r="O3602" s="158" t="s">
        <v>393</v>
      </c>
      <c r="Q3602" s="158" t="s">
        <v>15063</v>
      </c>
    </row>
    <row r="3603" spans="3:17" x14ac:dyDescent="0.25">
      <c r="C3603" s="158" t="s">
        <v>15067</v>
      </c>
      <c r="D3603" s="158" t="s">
        <v>15068</v>
      </c>
      <c r="E3603" s="158" t="s">
        <v>391</v>
      </c>
      <c r="F3603" s="158">
        <v>0.1</v>
      </c>
      <c r="I3603" s="158" t="s">
        <v>391</v>
      </c>
      <c r="K3603" s="158">
        <v>102.4</v>
      </c>
      <c r="L3603" s="158">
        <v>92.16</v>
      </c>
      <c r="N3603" s="158" t="s">
        <v>392</v>
      </c>
      <c r="O3603" s="158" t="s">
        <v>393</v>
      </c>
      <c r="Q3603" s="158" t="s">
        <v>15069</v>
      </c>
    </row>
    <row r="3604" spans="3:17" x14ac:dyDescent="0.25">
      <c r="C3604" s="74" t="s">
        <v>15082</v>
      </c>
      <c r="D3604" s="74" t="s">
        <v>15083</v>
      </c>
      <c r="E3604" s="74" t="s">
        <v>391</v>
      </c>
      <c r="F3604" s="74">
        <v>0.1</v>
      </c>
      <c r="G3604" s="74"/>
      <c r="H3604" s="74"/>
      <c r="I3604" s="74" t="s">
        <v>391</v>
      </c>
      <c r="J3604" s="74"/>
      <c r="K3604" s="74">
        <v>102.4</v>
      </c>
      <c r="L3604" s="74">
        <v>92.16</v>
      </c>
      <c r="M3604" s="74"/>
      <c r="N3604" s="74" t="s">
        <v>392</v>
      </c>
      <c r="O3604" s="74" t="s">
        <v>393</v>
      </c>
      <c r="P3604" s="74"/>
      <c r="Q3604" s="74" t="s">
        <v>15084</v>
      </c>
    </row>
    <row r="3605" spans="3:17" x14ac:dyDescent="0.25">
      <c r="C3605" s="74" t="s">
        <v>15088</v>
      </c>
      <c r="D3605" s="74" t="s">
        <v>15089</v>
      </c>
      <c r="E3605" s="74" t="s">
        <v>391</v>
      </c>
      <c r="F3605" s="74">
        <v>0.1</v>
      </c>
      <c r="G3605" s="74"/>
      <c r="H3605" s="74"/>
      <c r="I3605" s="74" t="s">
        <v>391</v>
      </c>
      <c r="J3605" s="74"/>
      <c r="K3605" s="74">
        <v>102.4</v>
      </c>
      <c r="L3605" s="74">
        <v>92.16</v>
      </c>
      <c r="M3605" s="74"/>
      <c r="N3605" s="74" t="s">
        <v>392</v>
      </c>
      <c r="O3605" s="74" t="s">
        <v>393</v>
      </c>
      <c r="P3605" s="74"/>
      <c r="Q3605" s="74" t="s">
        <v>15090</v>
      </c>
    </row>
    <row r="3606" spans="3:17" x14ac:dyDescent="0.25">
      <c r="C3606" s="74" t="s">
        <v>15091</v>
      </c>
      <c r="D3606" s="74" t="s">
        <v>15092</v>
      </c>
      <c r="E3606" s="74" t="s">
        <v>391</v>
      </c>
      <c r="F3606" s="74">
        <v>0.1</v>
      </c>
      <c r="G3606" s="74"/>
      <c r="H3606" s="74"/>
      <c r="I3606" s="74" t="s">
        <v>391</v>
      </c>
      <c r="J3606" s="74"/>
      <c r="K3606" s="74">
        <v>102.4</v>
      </c>
      <c r="L3606" s="74">
        <v>92.16</v>
      </c>
      <c r="M3606" s="74"/>
      <c r="N3606" s="74" t="s">
        <v>392</v>
      </c>
      <c r="O3606" s="74" t="s">
        <v>393</v>
      </c>
      <c r="P3606" s="74"/>
      <c r="Q3606" s="74" t="s">
        <v>15093</v>
      </c>
    </row>
    <row r="3607" spans="3:17" x14ac:dyDescent="0.25">
      <c r="C3607" s="74" t="s">
        <v>15094</v>
      </c>
      <c r="D3607" s="74" t="s">
        <v>15095</v>
      </c>
      <c r="E3607" s="74"/>
      <c r="F3607" s="74">
        <v>0.1</v>
      </c>
      <c r="G3607" s="74"/>
      <c r="H3607" s="74"/>
      <c r="I3607" s="74" t="s">
        <v>391</v>
      </c>
      <c r="J3607" s="74"/>
      <c r="K3607" s="74">
        <v>102.4</v>
      </c>
      <c r="L3607" s="74">
        <v>92.16</v>
      </c>
      <c r="M3607" s="74"/>
      <c r="N3607" s="74" t="s">
        <v>392</v>
      </c>
      <c r="O3607" s="74" t="s">
        <v>402</v>
      </c>
      <c r="P3607" s="74" t="s">
        <v>15096</v>
      </c>
      <c r="Q3607" s="74" t="s">
        <v>15097</v>
      </c>
    </row>
    <row r="3608" spans="3:17" x14ac:dyDescent="0.25">
      <c r="C3608" s="74" t="s">
        <v>15102</v>
      </c>
      <c r="D3608" s="74" t="s">
        <v>15103</v>
      </c>
      <c r="E3608" s="74" t="s">
        <v>391</v>
      </c>
      <c r="F3608" s="74">
        <v>0.1</v>
      </c>
      <c r="G3608" s="74"/>
      <c r="H3608" s="74"/>
      <c r="I3608" s="74" t="s">
        <v>391</v>
      </c>
      <c r="J3608" s="74"/>
      <c r="K3608" s="74">
        <v>102.4</v>
      </c>
      <c r="L3608" s="74">
        <v>92.16</v>
      </c>
      <c r="M3608" s="74"/>
      <c r="N3608" s="74" t="s">
        <v>392</v>
      </c>
      <c r="O3608" s="74" t="s">
        <v>393</v>
      </c>
      <c r="P3608" s="74"/>
      <c r="Q3608" s="74" t="s">
        <v>15103</v>
      </c>
    </row>
    <row r="3609" spans="3:17" x14ac:dyDescent="0.25">
      <c r="C3609" s="74" t="s">
        <v>15104</v>
      </c>
      <c r="D3609" s="74" t="s">
        <v>15105</v>
      </c>
      <c r="E3609" s="74" t="s">
        <v>391</v>
      </c>
      <c r="F3609" s="74">
        <v>0.1</v>
      </c>
      <c r="G3609" s="74"/>
      <c r="H3609" s="74"/>
      <c r="I3609" s="74" t="s">
        <v>391</v>
      </c>
      <c r="J3609" s="74"/>
      <c r="K3609" s="74">
        <v>102.4</v>
      </c>
      <c r="L3609" s="74">
        <v>92.16</v>
      </c>
      <c r="M3609" s="74"/>
      <c r="N3609" s="74" t="s">
        <v>392</v>
      </c>
      <c r="O3609" s="74" t="s">
        <v>393</v>
      </c>
      <c r="P3609" s="74"/>
      <c r="Q3609" s="74" t="s">
        <v>15106</v>
      </c>
    </row>
    <row r="3610" spans="3:17" x14ac:dyDescent="0.25">
      <c r="C3610" s="74" t="s">
        <v>15110</v>
      </c>
      <c r="D3610" s="74" t="s">
        <v>15111</v>
      </c>
      <c r="E3610" s="74" t="s">
        <v>391</v>
      </c>
      <c r="F3610" s="74">
        <v>0.1</v>
      </c>
      <c r="G3610" s="74"/>
      <c r="H3610" s="74"/>
      <c r="I3610" s="74" t="s">
        <v>391</v>
      </c>
      <c r="J3610" s="74"/>
      <c r="K3610" s="74">
        <v>102.4</v>
      </c>
      <c r="L3610" s="74">
        <v>92.16</v>
      </c>
      <c r="M3610" s="74"/>
      <c r="N3610" s="74" t="s">
        <v>392</v>
      </c>
      <c r="O3610" s="74" t="s">
        <v>393</v>
      </c>
      <c r="P3610" s="74"/>
      <c r="Q3610" s="74" t="s">
        <v>15112</v>
      </c>
    </row>
    <row r="3611" spans="3:17" x14ac:dyDescent="0.25">
      <c r="C3611" s="74" t="s">
        <v>15125</v>
      </c>
      <c r="D3611" s="74" t="s">
        <v>15126</v>
      </c>
      <c r="E3611" s="74" t="s">
        <v>391</v>
      </c>
      <c r="F3611" s="74">
        <v>0.1</v>
      </c>
      <c r="G3611" s="74"/>
      <c r="H3611" s="74"/>
      <c r="I3611" s="74" t="s">
        <v>391</v>
      </c>
      <c r="J3611" s="74"/>
      <c r="K3611" s="74">
        <v>102.4</v>
      </c>
      <c r="L3611" s="74">
        <v>92.16</v>
      </c>
      <c r="M3611" s="74"/>
      <c r="N3611" s="74" t="s">
        <v>392</v>
      </c>
      <c r="O3611" s="74" t="s">
        <v>393</v>
      </c>
      <c r="P3611" s="74"/>
      <c r="Q3611" s="74" t="s">
        <v>15127</v>
      </c>
    </row>
    <row r="3612" spans="3:17" x14ac:dyDescent="0.25">
      <c r="C3612" s="74" t="s">
        <v>15128</v>
      </c>
      <c r="D3612" s="74" t="s">
        <v>14999</v>
      </c>
      <c r="E3612" s="74" t="s">
        <v>391</v>
      </c>
      <c r="F3612" s="74">
        <v>0.1</v>
      </c>
      <c r="G3612" s="74"/>
      <c r="H3612" s="74"/>
      <c r="I3612" s="74" t="s">
        <v>391</v>
      </c>
      <c r="J3612" s="74"/>
      <c r="K3612" s="74">
        <v>102.4</v>
      </c>
      <c r="L3612" s="74">
        <v>92.16</v>
      </c>
      <c r="M3612" s="74"/>
      <c r="N3612" s="74" t="s">
        <v>392</v>
      </c>
      <c r="O3612" s="74" t="s">
        <v>393</v>
      </c>
      <c r="P3612" s="74"/>
      <c r="Q3612" s="74" t="s">
        <v>15129</v>
      </c>
    </row>
    <row r="3613" spans="3:17" x14ac:dyDescent="0.25">
      <c r="C3613" s="74" t="s">
        <v>15130</v>
      </c>
      <c r="D3613" s="74" t="s">
        <v>15131</v>
      </c>
      <c r="E3613" s="74" t="s">
        <v>391</v>
      </c>
      <c r="F3613" s="74">
        <v>0.1</v>
      </c>
      <c r="G3613" s="74"/>
      <c r="H3613" s="74"/>
      <c r="I3613" s="74" t="s">
        <v>391</v>
      </c>
      <c r="J3613" s="74"/>
      <c r="K3613" s="74">
        <v>102.4</v>
      </c>
      <c r="L3613" s="74">
        <v>92.16</v>
      </c>
      <c r="M3613" s="74"/>
      <c r="N3613" s="74" t="s">
        <v>392</v>
      </c>
      <c r="O3613" s="74" t="s">
        <v>393</v>
      </c>
      <c r="P3613" s="74"/>
      <c r="Q3613" s="74" t="s">
        <v>15132</v>
      </c>
    </row>
    <row r="3614" spans="3:17" x14ac:dyDescent="0.25">
      <c r="C3614" s="74" t="s">
        <v>15133</v>
      </c>
      <c r="D3614" s="74" t="s">
        <v>15134</v>
      </c>
      <c r="E3614" s="74" t="s">
        <v>391</v>
      </c>
      <c r="F3614" s="74">
        <v>0.1</v>
      </c>
      <c r="G3614" s="74"/>
      <c r="H3614" s="74"/>
      <c r="I3614" s="74" t="s">
        <v>391</v>
      </c>
      <c r="J3614" s="74"/>
      <c r="K3614" s="74">
        <v>102.4</v>
      </c>
      <c r="L3614" s="74">
        <v>92.16</v>
      </c>
      <c r="M3614" s="74"/>
      <c r="N3614" s="74" t="s">
        <v>392</v>
      </c>
      <c r="O3614" s="74" t="s">
        <v>393</v>
      </c>
      <c r="P3614" s="74"/>
      <c r="Q3614" s="74" t="s">
        <v>15135</v>
      </c>
    </row>
    <row r="3615" spans="3:17" x14ac:dyDescent="0.25">
      <c r="C3615" s="74" t="s">
        <v>15140</v>
      </c>
      <c r="D3615" s="74" t="s">
        <v>15141</v>
      </c>
      <c r="E3615" s="74" t="s">
        <v>391</v>
      </c>
      <c r="F3615" s="74">
        <v>0.1</v>
      </c>
      <c r="G3615" s="74"/>
      <c r="H3615" s="74"/>
      <c r="I3615" s="74" t="s">
        <v>391</v>
      </c>
      <c r="J3615" s="74"/>
      <c r="K3615" s="74">
        <v>102.4</v>
      </c>
      <c r="L3615" s="74">
        <v>92.16</v>
      </c>
      <c r="M3615" s="74"/>
      <c r="N3615" s="74" t="s">
        <v>392</v>
      </c>
      <c r="O3615" s="74" t="s">
        <v>393</v>
      </c>
      <c r="P3615" s="74"/>
      <c r="Q3615" s="74" t="s">
        <v>15142</v>
      </c>
    </row>
    <row r="3616" spans="3:17" x14ac:dyDescent="0.25">
      <c r="C3616" s="74" t="s">
        <v>15145</v>
      </c>
      <c r="D3616" s="74" t="s">
        <v>15146</v>
      </c>
      <c r="E3616" s="74" t="s">
        <v>391</v>
      </c>
      <c r="F3616" s="74">
        <v>0.1</v>
      </c>
      <c r="G3616" s="74"/>
      <c r="H3616" s="74"/>
      <c r="I3616" s="74" t="s">
        <v>391</v>
      </c>
      <c r="J3616" s="74"/>
      <c r="K3616" s="74">
        <v>102.4</v>
      </c>
      <c r="L3616" s="74">
        <v>92.16</v>
      </c>
      <c r="M3616" s="74"/>
      <c r="N3616" s="74" t="s">
        <v>392</v>
      </c>
      <c r="O3616" s="74" t="s">
        <v>393</v>
      </c>
      <c r="P3616" s="74"/>
      <c r="Q3616" s="74" t="s">
        <v>15147</v>
      </c>
    </row>
    <row r="3617" spans="3:17" x14ac:dyDescent="0.25">
      <c r="C3617" s="74" t="s">
        <v>15152</v>
      </c>
      <c r="D3617" s="74" t="s">
        <v>15153</v>
      </c>
      <c r="E3617" s="74" t="s">
        <v>391</v>
      </c>
      <c r="F3617" s="74">
        <v>0.1</v>
      </c>
      <c r="G3617" s="74"/>
      <c r="H3617" s="74"/>
      <c r="I3617" s="74" t="s">
        <v>391</v>
      </c>
      <c r="J3617" s="74"/>
      <c r="K3617" s="74">
        <v>102.4</v>
      </c>
      <c r="L3617" s="74">
        <v>92.16</v>
      </c>
      <c r="M3617" s="74"/>
      <c r="N3617" s="74" t="s">
        <v>392</v>
      </c>
      <c r="O3617" s="74" t="s">
        <v>393</v>
      </c>
      <c r="P3617" s="74"/>
      <c r="Q3617" s="74" t="s">
        <v>15154</v>
      </c>
    </row>
    <row r="3618" spans="3:17" x14ac:dyDescent="0.25">
      <c r="C3618" s="74" t="s">
        <v>15200</v>
      </c>
      <c r="D3618" s="74" t="s">
        <v>15201</v>
      </c>
      <c r="E3618" s="74" t="s">
        <v>391</v>
      </c>
      <c r="F3618" s="74">
        <v>0.1</v>
      </c>
      <c r="G3618" s="74"/>
      <c r="H3618" s="74"/>
      <c r="I3618" s="74" t="s">
        <v>391</v>
      </c>
      <c r="J3618" s="74"/>
      <c r="K3618" s="74">
        <v>102.4</v>
      </c>
      <c r="L3618" s="74">
        <v>92.16</v>
      </c>
      <c r="M3618" s="74"/>
      <c r="N3618" s="74" t="s">
        <v>392</v>
      </c>
      <c r="O3618" s="74" t="s">
        <v>393</v>
      </c>
      <c r="P3618" s="74"/>
      <c r="Q3618" s="74" t="s">
        <v>15202</v>
      </c>
    </row>
    <row r="3619" spans="3:17" x14ac:dyDescent="0.25">
      <c r="C3619" s="74" t="s">
        <v>15209</v>
      </c>
      <c r="D3619" s="74" t="s">
        <v>15210</v>
      </c>
      <c r="E3619" s="74" t="s">
        <v>391</v>
      </c>
      <c r="F3619" s="74">
        <v>0.1</v>
      </c>
      <c r="G3619" s="74"/>
      <c r="H3619" s="74"/>
      <c r="I3619" s="74" t="s">
        <v>391</v>
      </c>
      <c r="J3619" s="74"/>
      <c r="K3619" s="74">
        <v>102.4</v>
      </c>
      <c r="L3619" s="74">
        <v>92.16</v>
      </c>
      <c r="M3619" s="74"/>
      <c r="N3619" s="74" t="s">
        <v>392</v>
      </c>
      <c r="O3619" s="74" t="s">
        <v>393</v>
      </c>
      <c r="P3619" s="74"/>
      <c r="Q3619" s="74" t="s">
        <v>15211</v>
      </c>
    </row>
    <row r="3620" spans="3:17" x14ac:dyDescent="0.25">
      <c r="C3620" s="74" t="s">
        <v>15220</v>
      </c>
      <c r="D3620" s="74" t="s">
        <v>15221</v>
      </c>
      <c r="E3620" s="74" t="s">
        <v>391</v>
      </c>
      <c r="F3620" s="74">
        <v>0.1</v>
      </c>
      <c r="G3620" s="74"/>
      <c r="H3620" s="74"/>
      <c r="I3620" s="74" t="s">
        <v>391</v>
      </c>
      <c r="J3620" s="74"/>
      <c r="K3620" s="74">
        <v>102.4</v>
      </c>
      <c r="L3620" s="74">
        <v>92.16</v>
      </c>
      <c r="M3620" s="74"/>
      <c r="N3620" s="74" t="s">
        <v>392</v>
      </c>
      <c r="O3620" s="74" t="s">
        <v>393</v>
      </c>
      <c r="P3620" s="74"/>
      <c r="Q3620" s="74" t="s">
        <v>15222</v>
      </c>
    </row>
    <row r="3621" spans="3:17" x14ac:dyDescent="0.25">
      <c r="C3621" s="74" t="s">
        <v>15246</v>
      </c>
      <c r="D3621" s="74" t="s">
        <v>15247</v>
      </c>
      <c r="E3621" s="74" t="s">
        <v>391</v>
      </c>
      <c r="F3621" s="74">
        <v>0.1</v>
      </c>
      <c r="G3621" s="74"/>
      <c r="H3621" s="74"/>
      <c r="I3621" s="74" t="s">
        <v>391</v>
      </c>
      <c r="J3621" s="74"/>
      <c r="K3621" s="74">
        <v>102.4</v>
      </c>
      <c r="L3621" s="74">
        <v>92.16</v>
      </c>
      <c r="M3621" s="74"/>
      <c r="N3621" s="74" t="s">
        <v>392</v>
      </c>
      <c r="O3621" s="74" t="s">
        <v>393</v>
      </c>
      <c r="P3621" s="74"/>
      <c r="Q3621" s="74" t="s">
        <v>15248</v>
      </c>
    </row>
    <row r="3622" spans="3:17" x14ac:dyDescent="0.25">
      <c r="C3622" s="74" t="s">
        <v>15249</v>
      </c>
      <c r="D3622" s="74" t="s">
        <v>15250</v>
      </c>
      <c r="E3622" s="74" t="s">
        <v>391</v>
      </c>
      <c r="F3622" s="74">
        <v>0.1</v>
      </c>
      <c r="G3622" s="74"/>
      <c r="H3622" s="74"/>
      <c r="I3622" s="74" t="s">
        <v>391</v>
      </c>
      <c r="J3622" s="74"/>
      <c r="K3622" s="74">
        <v>102.4</v>
      </c>
      <c r="L3622" s="74">
        <v>92.16</v>
      </c>
      <c r="M3622" s="74"/>
      <c r="N3622" s="74" t="s">
        <v>392</v>
      </c>
      <c r="O3622" s="74" t="s">
        <v>393</v>
      </c>
      <c r="P3622" s="74"/>
      <c r="Q3622" s="74" t="s">
        <v>15251</v>
      </c>
    </row>
    <row r="3623" spans="3:17" x14ac:dyDescent="0.25">
      <c r="C3623" s="74" t="s">
        <v>15252</v>
      </c>
      <c r="D3623" s="74" t="s">
        <v>15253</v>
      </c>
      <c r="E3623" s="74" t="s">
        <v>391</v>
      </c>
      <c r="F3623" s="74">
        <v>0.1</v>
      </c>
      <c r="G3623" s="74"/>
      <c r="H3623" s="74"/>
      <c r="I3623" s="74" t="s">
        <v>391</v>
      </c>
      <c r="J3623" s="74"/>
      <c r="K3623" s="74">
        <v>102.4</v>
      </c>
      <c r="L3623" s="74">
        <v>92.16</v>
      </c>
      <c r="M3623" s="74"/>
      <c r="N3623" s="74" t="s">
        <v>392</v>
      </c>
      <c r="O3623" s="74" t="s">
        <v>393</v>
      </c>
      <c r="P3623" s="74"/>
      <c r="Q3623" s="74" t="s">
        <v>15254</v>
      </c>
    </row>
    <row r="3624" spans="3:17" x14ac:dyDescent="0.25">
      <c r="C3624" s="74" t="s">
        <v>15255</v>
      </c>
      <c r="D3624" s="74" t="s">
        <v>15256</v>
      </c>
      <c r="E3624" s="74" t="s">
        <v>391</v>
      </c>
      <c r="F3624" s="74">
        <v>0.1</v>
      </c>
      <c r="G3624" s="74"/>
      <c r="H3624" s="74"/>
      <c r="I3624" s="74" t="s">
        <v>391</v>
      </c>
      <c r="J3624" s="74"/>
      <c r="K3624" s="74">
        <v>102.4</v>
      </c>
      <c r="L3624" s="74">
        <v>92.16</v>
      </c>
      <c r="M3624" s="74"/>
      <c r="N3624" s="74" t="s">
        <v>392</v>
      </c>
      <c r="O3624" s="74" t="s">
        <v>393</v>
      </c>
      <c r="P3624" s="74"/>
      <c r="Q3624" s="74" t="s">
        <v>15257</v>
      </c>
    </row>
    <row r="3625" spans="3:17" x14ac:dyDescent="0.25">
      <c r="C3625" s="74" t="s">
        <v>15266</v>
      </c>
      <c r="D3625" s="74" t="s">
        <v>15267</v>
      </c>
      <c r="E3625" s="74" t="s">
        <v>391</v>
      </c>
      <c r="F3625" s="74">
        <v>0.1</v>
      </c>
      <c r="G3625" s="74"/>
      <c r="H3625" s="74"/>
      <c r="I3625" s="74" t="s">
        <v>391</v>
      </c>
      <c r="J3625" s="74"/>
      <c r="K3625" s="74">
        <v>102.4</v>
      </c>
      <c r="L3625" s="74">
        <v>92.16</v>
      </c>
      <c r="M3625" s="74"/>
      <c r="N3625" s="74" t="s">
        <v>392</v>
      </c>
      <c r="O3625" s="74" t="s">
        <v>393</v>
      </c>
      <c r="P3625" s="74"/>
      <c r="Q3625" s="74" t="s">
        <v>15268</v>
      </c>
    </row>
    <row r="3626" spans="3:17" x14ac:dyDescent="0.25">
      <c r="C3626" s="74" t="s">
        <v>15269</v>
      </c>
      <c r="D3626" s="74" t="s">
        <v>15270</v>
      </c>
      <c r="E3626" s="74" t="s">
        <v>391</v>
      </c>
      <c r="F3626" s="74">
        <v>0.1</v>
      </c>
      <c r="G3626" s="74"/>
      <c r="H3626" s="74"/>
      <c r="I3626" s="74" t="s">
        <v>391</v>
      </c>
      <c r="J3626" s="74"/>
      <c r="K3626" s="74">
        <v>102.4</v>
      </c>
      <c r="L3626" s="74">
        <v>92.16</v>
      </c>
      <c r="M3626" s="74"/>
      <c r="N3626" s="74" t="s">
        <v>392</v>
      </c>
      <c r="O3626" s="74" t="s">
        <v>393</v>
      </c>
      <c r="P3626" s="74"/>
      <c r="Q3626" s="74" t="s">
        <v>15271</v>
      </c>
    </row>
    <row r="3627" spans="3:17" x14ac:dyDescent="0.25">
      <c r="C3627" s="74" t="s">
        <v>15272</v>
      </c>
      <c r="D3627" s="74" t="s">
        <v>15273</v>
      </c>
      <c r="E3627" s="74" t="s">
        <v>391</v>
      </c>
      <c r="F3627" s="74">
        <v>0.1</v>
      </c>
      <c r="G3627" s="74"/>
      <c r="H3627" s="74"/>
      <c r="I3627" s="74" t="s">
        <v>391</v>
      </c>
      <c r="J3627" s="74"/>
      <c r="K3627" s="74">
        <v>102.4</v>
      </c>
      <c r="L3627" s="74">
        <v>92.16</v>
      </c>
      <c r="M3627" s="74"/>
      <c r="N3627" s="74" t="s">
        <v>392</v>
      </c>
      <c r="O3627" s="74" t="s">
        <v>393</v>
      </c>
      <c r="P3627" s="74"/>
      <c r="Q3627" s="74" t="s">
        <v>15274</v>
      </c>
    </row>
    <row r="3628" spans="3:17" x14ac:dyDescent="0.25">
      <c r="C3628" s="74" t="s">
        <v>15296</v>
      </c>
      <c r="D3628" s="74" t="s">
        <v>14991</v>
      </c>
      <c r="E3628" s="74" t="s">
        <v>391</v>
      </c>
      <c r="F3628" s="74">
        <v>0.1</v>
      </c>
      <c r="G3628" s="74"/>
      <c r="H3628" s="74"/>
      <c r="I3628" s="74" t="s">
        <v>391</v>
      </c>
      <c r="J3628" s="74"/>
      <c r="K3628" s="74">
        <v>102.4</v>
      </c>
      <c r="L3628" s="74">
        <v>92.16</v>
      </c>
      <c r="M3628" s="74"/>
      <c r="N3628" s="74" t="s">
        <v>392</v>
      </c>
      <c r="O3628" s="74" t="s">
        <v>393</v>
      </c>
      <c r="P3628" s="74"/>
      <c r="Q3628" s="74" t="s">
        <v>15297</v>
      </c>
    </row>
    <row r="3629" spans="3:17" x14ac:dyDescent="0.25">
      <c r="C3629" s="74" t="s">
        <v>15310</v>
      </c>
      <c r="D3629" s="74" t="s">
        <v>15311</v>
      </c>
      <c r="E3629" s="74" t="s">
        <v>391</v>
      </c>
      <c r="F3629" s="74">
        <v>0.1</v>
      </c>
      <c r="G3629" s="74"/>
      <c r="H3629" s="74"/>
      <c r="I3629" s="74" t="s">
        <v>391</v>
      </c>
      <c r="J3629" s="74"/>
      <c r="K3629" s="74">
        <v>102.4</v>
      </c>
      <c r="L3629" s="74">
        <v>92.16</v>
      </c>
      <c r="M3629" s="74"/>
      <c r="N3629" s="74" t="s">
        <v>392</v>
      </c>
      <c r="O3629" s="74" t="s">
        <v>393</v>
      </c>
      <c r="P3629" s="74"/>
      <c r="Q3629" s="74" t="s">
        <v>15312</v>
      </c>
    </row>
    <row r="3630" spans="3:17" x14ac:dyDescent="0.25">
      <c r="C3630" s="74" t="s">
        <v>15367</v>
      </c>
      <c r="D3630" s="74" t="s">
        <v>15368</v>
      </c>
      <c r="E3630" s="74" t="s">
        <v>391</v>
      </c>
      <c r="F3630" s="74">
        <v>0.1</v>
      </c>
      <c r="G3630" s="74"/>
      <c r="H3630" s="74"/>
      <c r="I3630" s="74" t="s">
        <v>391</v>
      </c>
      <c r="J3630" s="74"/>
      <c r="K3630" s="74">
        <v>102.4</v>
      </c>
      <c r="L3630" s="74">
        <v>92.16</v>
      </c>
      <c r="M3630" s="74"/>
      <c r="N3630" s="74" t="s">
        <v>392</v>
      </c>
      <c r="O3630" s="74" t="s">
        <v>393</v>
      </c>
      <c r="P3630" s="74"/>
      <c r="Q3630" s="74" t="s">
        <v>15369</v>
      </c>
    </row>
    <row r="3631" spans="3:17" x14ac:dyDescent="0.25">
      <c r="C3631" s="74" t="s">
        <v>15378</v>
      </c>
      <c r="D3631" s="74" t="s">
        <v>15379</v>
      </c>
      <c r="E3631" s="74" t="s">
        <v>391</v>
      </c>
      <c r="F3631" s="74">
        <v>0.1</v>
      </c>
      <c r="G3631" s="74"/>
      <c r="H3631" s="74"/>
      <c r="I3631" s="74" t="s">
        <v>391</v>
      </c>
      <c r="J3631" s="74"/>
      <c r="K3631" s="74">
        <v>102.4</v>
      </c>
      <c r="L3631" s="74">
        <v>92.16</v>
      </c>
      <c r="M3631" s="74"/>
      <c r="N3631" s="74" t="s">
        <v>392</v>
      </c>
      <c r="O3631" s="74" t="s">
        <v>393</v>
      </c>
      <c r="P3631" s="74"/>
      <c r="Q3631" s="74" t="s">
        <v>15380</v>
      </c>
    </row>
    <row r="3632" spans="3:17" x14ac:dyDescent="0.25">
      <c r="C3632" s="74" t="s">
        <v>15381</v>
      </c>
      <c r="D3632" s="74" t="s">
        <v>15382</v>
      </c>
      <c r="E3632" s="74" t="s">
        <v>391</v>
      </c>
      <c r="F3632" s="74">
        <v>0.1</v>
      </c>
      <c r="G3632" s="74"/>
      <c r="H3632" s="74"/>
      <c r="I3632" s="74" t="s">
        <v>391</v>
      </c>
      <c r="J3632" s="74"/>
      <c r="K3632" s="74">
        <v>102.4</v>
      </c>
      <c r="L3632" s="74">
        <v>92.16</v>
      </c>
      <c r="M3632" s="74"/>
      <c r="N3632" s="74" t="s">
        <v>392</v>
      </c>
      <c r="O3632" s="74" t="s">
        <v>393</v>
      </c>
      <c r="P3632" s="74"/>
      <c r="Q3632" s="74" t="s">
        <v>15383</v>
      </c>
    </row>
    <row r="3633" spans="3:17" x14ac:dyDescent="0.25">
      <c r="C3633" s="74" t="s">
        <v>15387</v>
      </c>
      <c r="D3633" s="74" t="s">
        <v>15388</v>
      </c>
      <c r="E3633" s="74" t="s">
        <v>391</v>
      </c>
      <c r="F3633" s="74">
        <v>0.1</v>
      </c>
      <c r="G3633" s="74"/>
      <c r="H3633" s="74"/>
      <c r="I3633" s="74" t="s">
        <v>391</v>
      </c>
      <c r="J3633" s="74"/>
      <c r="K3633" s="74">
        <v>102.4</v>
      </c>
      <c r="L3633" s="74">
        <v>92.16</v>
      </c>
      <c r="M3633" s="74"/>
      <c r="N3633" s="74" t="s">
        <v>392</v>
      </c>
      <c r="O3633" s="74" t="s">
        <v>393</v>
      </c>
      <c r="P3633" s="74"/>
      <c r="Q3633" s="74" t="s">
        <v>15389</v>
      </c>
    </row>
    <row r="3634" spans="3:17" x14ac:dyDescent="0.25">
      <c r="C3634" s="74" t="s">
        <v>15398</v>
      </c>
      <c r="D3634" s="74" t="s">
        <v>15399</v>
      </c>
      <c r="E3634" s="74" t="s">
        <v>391</v>
      </c>
      <c r="F3634" s="74">
        <v>0.1</v>
      </c>
      <c r="G3634" s="74"/>
      <c r="H3634" s="74"/>
      <c r="I3634" s="74" t="s">
        <v>391</v>
      </c>
      <c r="J3634" s="74"/>
      <c r="K3634" s="74">
        <v>102.4</v>
      </c>
      <c r="L3634" s="74">
        <v>92.16</v>
      </c>
      <c r="M3634" s="74"/>
      <c r="N3634" s="74" t="s">
        <v>392</v>
      </c>
      <c r="O3634" s="74" t="s">
        <v>393</v>
      </c>
      <c r="P3634" s="74"/>
      <c r="Q3634" s="74" t="s">
        <v>15400</v>
      </c>
    </row>
    <row r="3635" spans="3:17" x14ac:dyDescent="0.25">
      <c r="C3635" s="74" t="s">
        <v>15401</v>
      </c>
      <c r="D3635" s="74" t="s">
        <v>15402</v>
      </c>
      <c r="E3635" s="74" t="s">
        <v>391</v>
      </c>
      <c r="F3635" s="74">
        <v>0.1</v>
      </c>
      <c r="G3635" s="74"/>
      <c r="H3635" s="74"/>
      <c r="I3635" s="74" t="s">
        <v>391</v>
      </c>
      <c r="J3635" s="74"/>
      <c r="K3635" s="74">
        <v>102.4</v>
      </c>
      <c r="L3635" s="74">
        <v>92.16</v>
      </c>
      <c r="M3635" s="74"/>
      <c r="N3635" s="74" t="s">
        <v>392</v>
      </c>
      <c r="O3635" s="74" t="s">
        <v>393</v>
      </c>
      <c r="P3635" s="74"/>
      <c r="Q3635" s="74" t="s">
        <v>15403</v>
      </c>
    </row>
    <row r="3636" spans="3:17" x14ac:dyDescent="0.25">
      <c r="C3636" s="74" t="s">
        <v>15404</v>
      </c>
      <c r="D3636" s="74" t="s">
        <v>15405</v>
      </c>
      <c r="E3636" s="74" t="s">
        <v>391</v>
      </c>
      <c r="F3636" s="74">
        <v>0.1</v>
      </c>
      <c r="G3636" s="74"/>
      <c r="H3636" s="74"/>
      <c r="I3636" s="74" t="s">
        <v>391</v>
      </c>
      <c r="J3636" s="74"/>
      <c r="K3636" s="74">
        <v>102.4</v>
      </c>
      <c r="L3636" s="74">
        <v>92.16</v>
      </c>
      <c r="M3636" s="74"/>
      <c r="N3636" s="74" t="s">
        <v>392</v>
      </c>
      <c r="O3636" s="74" t="s">
        <v>393</v>
      </c>
      <c r="P3636" s="74"/>
      <c r="Q3636" s="74" t="s">
        <v>15406</v>
      </c>
    </row>
    <row r="3637" spans="3:17" x14ac:dyDescent="0.25">
      <c r="C3637" s="74" t="s">
        <v>15414</v>
      </c>
      <c r="D3637" s="74" t="s">
        <v>15415</v>
      </c>
      <c r="E3637" s="74" t="s">
        <v>391</v>
      </c>
      <c r="F3637" s="74">
        <v>0.1</v>
      </c>
      <c r="G3637" s="74"/>
      <c r="H3637" s="74"/>
      <c r="I3637" s="74" t="s">
        <v>391</v>
      </c>
      <c r="J3637" s="74"/>
      <c r="K3637" s="74">
        <v>102.4</v>
      </c>
      <c r="L3637" s="74">
        <v>92.16</v>
      </c>
      <c r="M3637" s="74"/>
      <c r="N3637" s="74" t="s">
        <v>392</v>
      </c>
      <c r="O3637" s="74" t="s">
        <v>393</v>
      </c>
      <c r="P3637" s="74"/>
      <c r="Q3637" s="74" t="s">
        <v>15416</v>
      </c>
    </row>
    <row r="3638" spans="3:17" x14ac:dyDescent="0.25">
      <c r="C3638" s="74" t="s">
        <v>15425</v>
      </c>
      <c r="D3638" s="74" t="s">
        <v>15426</v>
      </c>
      <c r="E3638" s="74" t="s">
        <v>391</v>
      </c>
      <c r="F3638" s="74">
        <v>0.1</v>
      </c>
      <c r="G3638" s="74"/>
      <c r="H3638" s="74"/>
      <c r="I3638" s="74" t="s">
        <v>391</v>
      </c>
      <c r="J3638" s="74"/>
      <c r="K3638" s="74">
        <v>102.4</v>
      </c>
      <c r="L3638" s="74">
        <v>92.16</v>
      </c>
      <c r="M3638" s="74"/>
      <c r="N3638" s="74" t="s">
        <v>392</v>
      </c>
      <c r="O3638" s="74" t="s">
        <v>393</v>
      </c>
      <c r="P3638" s="74"/>
      <c r="Q3638" s="74" t="s">
        <v>15427</v>
      </c>
    </row>
    <row r="3639" spans="3:17" x14ac:dyDescent="0.25">
      <c r="C3639" s="74" t="s">
        <v>15440</v>
      </c>
      <c r="D3639" s="74" t="s">
        <v>15441</v>
      </c>
      <c r="E3639" s="74" t="s">
        <v>391</v>
      </c>
      <c r="F3639" s="74">
        <v>0.1</v>
      </c>
      <c r="G3639" s="74"/>
      <c r="H3639" s="74"/>
      <c r="I3639" s="74" t="s">
        <v>391</v>
      </c>
      <c r="J3639" s="74"/>
      <c r="K3639" s="74">
        <v>102.4</v>
      </c>
      <c r="L3639" s="74">
        <v>92.16</v>
      </c>
      <c r="M3639" s="74"/>
      <c r="N3639" s="74" t="s">
        <v>392</v>
      </c>
      <c r="O3639" s="74" t="s">
        <v>393</v>
      </c>
      <c r="P3639" s="74"/>
      <c r="Q3639" s="74" t="s">
        <v>15442</v>
      </c>
    </row>
    <row r="3640" spans="3:17" x14ac:dyDescent="0.25">
      <c r="C3640" s="74" t="s">
        <v>15443</v>
      </c>
      <c r="D3640" s="74" t="s">
        <v>15444</v>
      </c>
      <c r="E3640" s="74" t="s">
        <v>391</v>
      </c>
      <c r="F3640" s="74">
        <v>0.1</v>
      </c>
      <c r="G3640" s="74"/>
      <c r="H3640" s="74"/>
      <c r="I3640" s="74" t="s">
        <v>391</v>
      </c>
      <c r="J3640" s="74"/>
      <c r="K3640" s="74">
        <v>102.4</v>
      </c>
      <c r="L3640" s="74">
        <v>92.16</v>
      </c>
      <c r="M3640" s="74"/>
      <c r="N3640" s="74" t="s">
        <v>392</v>
      </c>
      <c r="O3640" s="74" t="s">
        <v>393</v>
      </c>
      <c r="P3640" s="74"/>
      <c r="Q3640" s="74" t="s">
        <v>15445</v>
      </c>
    </row>
    <row r="3641" spans="3:17" x14ac:dyDescent="0.25">
      <c r="C3641" s="74" t="s">
        <v>15446</v>
      </c>
      <c r="D3641" s="74" t="s">
        <v>15447</v>
      </c>
      <c r="E3641" s="74" t="s">
        <v>391</v>
      </c>
      <c r="F3641" s="74">
        <v>0.1</v>
      </c>
      <c r="G3641" s="74"/>
      <c r="H3641" s="74"/>
      <c r="I3641" s="74" t="s">
        <v>391</v>
      </c>
      <c r="J3641" s="74"/>
      <c r="K3641" s="74">
        <v>102.4</v>
      </c>
      <c r="L3641" s="74">
        <v>92.16</v>
      </c>
      <c r="M3641" s="74"/>
      <c r="N3641" s="74" t="s">
        <v>392</v>
      </c>
      <c r="O3641" s="74" t="s">
        <v>393</v>
      </c>
      <c r="P3641" s="74"/>
      <c r="Q3641" s="74" t="s">
        <v>15448</v>
      </c>
    </row>
    <row r="3642" spans="3:17" x14ac:dyDescent="0.25">
      <c r="C3642" s="74" t="s">
        <v>15449</v>
      </c>
      <c r="D3642" s="74" t="s">
        <v>15450</v>
      </c>
      <c r="E3642" s="74" t="s">
        <v>391</v>
      </c>
      <c r="F3642" s="74">
        <v>0.1</v>
      </c>
      <c r="G3642" s="74"/>
      <c r="H3642" s="74"/>
      <c r="I3642" s="74" t="s">
        <v>391</v>
      </c>
      <c r="J3642" s="74"/>
      <c r="K3642" s="74">
        <v>102.4</v>
      </c>
      <c r="L3642" s="74">
        <v>92.16</v>
      </c>
      <c r="M3642" s="74"/>
      <c r="N3642" s="74" t="s">
        <v>392</v>
      </c>
      <c r="O3642" s="74" t="s">
        <v>393</v>
      </c>
      <c r="P3642" s="74"/>
      <c r="Q3642" s="74" t="s">
        <v>15451</v>
      </c>
    </row>
    <row r="3643" spans="3:17" x14ac:dyDescent="0.25">
      <c r="C3643" s="74" t="s">
        <v>15452</v>
      </c>
      <c r="D3643" s="74" t="s">
        <v>15453</v>
      </c>
      <c r="E3643" s="74" t="s">
        <v>391</v>
      </c>
      <c r="F3643" s="74">
        <v>0.1</v>
      </c>
      <c r="G3643" s="74"/>
      <c r="H3643" s="74"/>
      <c r="I3643" s="74" t="s">
        <v>391</v>
      </c>
      <c r="J3643" s="74"/>
      <c r="K3643" s="74">
        <v>102.4</v>
      </c>
      <c r="L3643" s="74">
        <v>92.16</v>
      </c>
      <c r="M3643" s="74"/>
      <c r="N3643" s="74" t="s">
        <v>392</v>
      </c>
      <c r="O3643" s="74" t="s">
        <v>393</v>
      </c>
      <c r="P3643" s="74"/>
      <c r="Q3643" s="74" t="s">
        <v>15454</v>
      </c>
    </row>
    <row r="3644" spans="3:17" x14ac:dyDescent="0.25">
      <c r="C3644" s="74" t="s">
        <v>15455</v>
      </c>
      <c r="D3644" s="74" t="s">
        <v>15456</v>
      </c>
      <c r="E3644" s="74" t="s">
        <v>391</v>
      </c>
      <c r="F3644" s="74">
        <v>0.1</v>
      </c>
      <c r="G3644" s="74"/>
      <c r="H3644" s="74"/>
      <c r="I3644" s="74" t="s">
        <v>391</v>
      </c>
      <c r="J3644" s="74"/>
      <c r="K3644" s="74">
        <v>102.4</v>
      </c>
      <c r="L3644" s="74">
        <v>92.16</v>
      </c>
      <c r="M3644" s="74"/>
      <c r="N3644" s="74" t="s">
        <v>392</v>
      </c>
      <c r="O3644" s="74" t="s">
        <v>393</v>
      </c>
      <c r="P3644" s="74"/>
      <c r="Q3644" s="74" t="s">
        <v>15457</v>
      </c>
    </row>
    <row r="3645" spans="3:17" x14ac:dyDescent="0.25">
      <c r="C3645" s="74" t="s">
        <v>15458</v>
      </c>
      <c r="D3645" s="74" t="s">
        <v>15459</v>
      </c>
      <c r="E3645" s="74" t="s">
        <v>391</v>
      </c>
      <c r="F3645" s="74">
        <v>0.1</v>
      </c>
      <c r="G3645" s="74"/>
      <c r="H3645" s="74"/>
      <c r="I3645" s="74" t="s">
        <v>391</v>
      </c>
      <c r="J3645" s="74"/>
      <c r="K3645" s="74">
        <v>102.4</v>
      </c>
      <c r="L3645" s="74">
        <v>92.16</v>
      </c>
      <c r="M3645" s="74"/>
      <c r="N3645" s="74" t="s">
        <v>392</v>
      </c>
      <c r="O3645" s="74" t="s">
        <v>393</v>
      </c>
      <c r="P3645" s="74"/>
      <c r="Q3645" s="74" t="s">
        <v>15460</v>
      </c>
    </row>
    <row r="3646" spans="3:17" x14ac:dyDescent="0.25">
      <c r="C3646" s="74" t="s">
        <v>15465</v>
      </c>
      <c r="D3646" s="74" t="s">
        <v>15466</v>
      </c>
      <c r="E3646" s="74" t="s">
        <v>391</v>
      </c>
      <c r="F3646" s="74">
        <v>0.1</v>
      </c>
      <c r="G3646" s="74"/>
      <c r="H3646" s="74"/>
      <c r="I3646" s="74" t="s">
        <v>391</v>
      </c>
      <c r="J3646" s="74"/>
      <c r="K3646" s="74">
        <v>102.4</v>
      </c>
      <c r="L3646" s="74">
        <v>92.16</v>
      </c>
      <c r="M3646" s="74"/>
      <c r="N3646" s="74" t="s">
        <v>392</v>
      </c>
      <c r="O3646" s="74" t="s">
        <v>393</v>
      </c>
      <c r="P3646" s="74"/>
      <c r="Q3646" s="74" t="s">
        <v>15467</v>
      </c>
    </row>
    <row r="3647" spans="3:17" x14ac:dyDescent="0.25">
      <c r="C3647" s="158" t="s">
        <v>15468</v>
      </c>
      <c r="D3647" s="158" t="s">
        <v>15469</v>
      </c>
      <c r="E3647" s="158" t="s">
        <v>391</v>
      </c>
      <c r="F3647" s="158">
        <v>0.1</v>
      </c>
      <c r="I3647" s="158" t="s">
        <v>391</v>
      </c>
      <c r="K3647" s="158">
        <v>102.4</v>
      </c>
      <c r="L3647" s="158">
        <v>92.16</v>
      </c>
      <c r="N3647" s="158" t="s">
        <v>392</v>
      </c>
      <c r="O3647" s="158" t="s">
        <v>393</v>
      </c>
      <c r="Q3647" s="158" t="s">
        <v>15470</v>
      </c>
    </row>
    <row r="3648" spans="3:17" x14ac:dyDescent="0.25">
      <c r="C3648" s="74" t="s">
        <v>15478</v>
      </c>
      <c r="D3648" s="74" t="s">
        <v>15479</v>
      </c>
      <c r="E3648" s="74" t="s">
        <v>391</v>
      </c>
      <c r="F3648" s="74">
        <v>0.1</v>
      </c>
      <c r="G3648" s="74"/>
      <c r="H3648" s="74"/>
      <c r="I3648" s="74" t="s">
        <v>391</v>
      </c>
      <c r="J3648" s="74"/>
      <c r="K3648" s="74">
        <v>102.4</v>
      </c>
      <c r="L3648" s="74">
        <v>92.16</v>
      </c>
      <c r="M3648" s="74"/>
      <c r="N3648" s="74" t="s">
        <v>392</v>
      </c>
      <c r="O3648" s="74" t="s">
        <v>393</v>
      </c>
      <c r="P3648" s="74"/>
      <c r="Q3648" s="74" t="s">
        <v>15480</v>
      </c>
    </row>
    <row r="3649" spans="3:17" x14ac:dyDescent="0.25">
      <c r="C3649" s="74" t="s">
        <v>15484</v>
      </c>
      <c r="D3649" s="74" t="s">
        <v>15485</v>
      </c>
      <c r="E3649" s="74" t="s">
        <v>391</v>
      </c>
      <c r="F3649" s="74">
        <v>0.1</v>
      </c>
      <c r="G3649" s="74"/>
      <c r="H3649" s="74"/>
      <c r="I3649" s="74" t="s">
        <v>391</v>
      </c>
      <c r="J3649" s="74"/>
      <c r="K3649" s="74">
        <v>102.4</v>
      </c>
      <c r="L3649" s="74">
        <v>92.16</v>
      </c>
      <c r="M3649" s="74"/>
      <c r="N3649" s="74" t="s">
        <v>392</v>
      </c>
      <c r="O3649" s="74" t="s">
        <v>393</v>
      </c>
      <c r="P3649" s="74"/>
      <c r="Q3649" s="74" t="s">
        <v>15486</v>
      </c>
    </row>
    <row r="3650" spans="3:17" x14ac:dyDescent="0.25">
      <c r="C3650" s="74" t="s">
        <v>15499</v>
      </c>
      <c r="D3650" s="74" t="s">
        <v>15500</v>
      </c>
      <c r="E3650" s="74" t="s">
        <v>391</v>
      </c>
      <c r="F3650" s="74">
        <v>0.1</v>
      </c>
      <c r="G3650" s="74"/>
      <c r="H3650" s="74"/>
      <c r="I3650" s="74" t="s">
        <v>391</v>
      </c>
      <c r="J3650" s="74"/>
      <c r="K3650" s="74">
        <v>102.4</v>
      </c>
      <c r="L3650" s="74">
        <v>92.16</v>
      </c>
      <c r="M3650" s="74"/>
      <c r="N3650" s="74" t="s">
        <v>392</v>
      </c>
      <c r="O3650" s="74" t="s">
        <v>393</v>
      </c>
      <c r="P3650" s="74"/>
      <c r="Q3650" s="74" t="s">
        <v>15501</v>
      </c>
    </row>
    <row r="3651" spans="3:17" x14ac:dyDescent="0.25">
      <c r="C3651" s="74" t="s">
        <v>15506</v>
      </c>
      <c r="D3651" s="74" t="s">
        <v>15507</v>
      </c>
      <c r="E3651" s="74" t="s">
        <v>391</v>
      </c>
      <c r="F3651" s="74">
        <v>0.1</v>
      </c>
      <c r="G3651" s="74"/>
      <c r="H3651" s="74"/>
      <c r="I3651" s="74" t="s">
        <v>391</v>
      </c>
      <c r="J3651" s="74"/>
      <c r="K3651" s="74">
        <v>102.4</v>
      </c>
      <c r="L3651" s="74">
        <v>92.16</v>
      </c>
      <c r="M3651" s="74"/>
      <c r="N3651" s="74" t="s">
        <v>392</v>
      </c>
      <c r="O3651" s="74" t="s">
        <v>393</v>
      </c>
      <c r="P3651" s="74"/>
      <c r="Q3651" s="74" t="s">
        <v>15508</v>
      </c>
    </row>
    <row r="3652" spans="3:17" x14ac:dyDescent="0.25">
      <c r="C3652" s="74" t="s">
        <v>15509</v>
      </c>
      <c r="D3652" s="74" t="s">
        <v>15510</v>
      </c>
      <c r="E3652" s="74" t="s">
        <v>391</v>
      </c>
      <c r="F3652" s="74">
        <v>0.1</v>
      </c>
      <c r="G3652" s="74"/>
      <c r="H3652" s="74"/>
      <c r="I3652" s="74" t="s">
        <v>391</v>
      </c>
      <c r="J3652" s="74"/>
      <c r="K3652" s="74">
        <v>102.4</v>
      </c>
      <c r="L3652" s="74">
        <v>92.16</v>
      </c>
      <c r="M3652" s="74"/>
      <c r="N3652" s="74" t="s">
        <v>392</v>
      </c>
      <c r="O3652" s="74" t="s">
        <v>393</v>
      </c>
      <c r="P3652" s="74"/>
      <c r="Q3652" s="74" t="s">
        <v>15511</v>
      </c>
    </row>
    <row r="3653" spans="3:17" x14ac:dyDescent="0.25">
      <c r="C3653" s="74" t="s">
        <v>15512</v>
      </c>
      <c r="D3653" s="74" t="s">
        <v>15513</v>
      </c>
      <c r="E3653" s="74" t="s">
        <v>391</v>
      </c>
      <c r="F3653" s="74">
        <v>0.1</v>
      </c>
      <c r="G3653" s="74"/>
      <c r="H3653" s="74"/>
      <c r="I3653" s="74" t="s">
        <v>391</v>
      </c>
      <c r="J3653" s="74"/>
      <c r="K3653" s="74">
        <v>102.4</v>
      </c>
      <c r="L3653" s="74">
        <v>92.16</v>
      </c>
      <c r="M3653" s="74"/>
      <c r="N3653" s="74" t="s">
        <v>392</v>
      </c>
      <c r="O3653" s="74" t="s">
        <v>393</v>
      </c>
      <c r="P3653" s="74"/>
      <c r="Q3653" s="74" t="s">
        <v>15514</v>
      </c>
    </row>
    <row r="3654" spans="3:17" x14ac:dyDescent="0.25">
      <c r="C3654" s="74" t="s">
        <v>15515</v>
      </c>
      <c r="D3654" s="74" t="s">
        <v>15516</v>
      </c>
      <c r="E3654" s="74" t="s">
        <v>391</v>
      </c>
      <c r="F3654" s="74">
        <v>0.1</v>
      </c>
      <c r="G3654" s="74"/>
      <c r="H3654" s="74"/>
      <c r="I3654" s="74" t="s">
        <v>391</v>
      </c>
      <c r="J3654" s="74"/>
      <c r="K3654" s="74">
        <v>102.4</v>
      </c>
      <c r="L3654" s="74">
        <v>92.16</v>
      </c>
      <c r="M3654" s="74"/>
      <c r="N3654" s="74" t="s">
        <v>392</v>
      </c>
      <c r="O3654" s="74" t="s">
        <v>393</v>
      </c>
      <c r="P3654" s="74"/>
      <c r="Q3654" s="74" t="s">
        <v>15517</v>
      </c>
    </row>
    <row r="3655" spans="3:17" x14ac:dyDescent="0.25">
      <c r="C3655" s="74" t="s">
        <v>15521</v>
      </c>
      <c r="D3655" s="74" t="s">
        <v>15522</v>
      </c>
      <c r="E3655" s="74" t="s">
        <v>391</v>
      </c>
      <c r="F3655" s="74">
        <v>0.1</v>
      </c>
      <c r="G3655" s="74"/>
      <c r="H3655" s="74"/>
      <c r="I3655" s="74" t="s">
        <v>391</v>
      </c>
      <c r="J3655" s="74"/>
      <c r="K3655" s="74">
        <v>102.4</v>
      </c>
      <c r="L3655" s="74">
        <v>92.16</v>
      </c>
      <c r="M3655" s="74"/>
      <c r="N3655" s="74" t="s">
        <v>392</v>
      </c>
      <c r="O3655" s="74" t="s">
        <v>393</v>
      </c>
      <c r="P3655" s="74"/>
      <c r="Q3655" s="74" t="s">
        <v>15523</v>
      </c>
    </row>
    <row r="3656" spans="3:17" x14ac:dyDescent="0.25">
      <c r="C3656" s="74" t="s">
        <v>15528</v>
      </c>
      <c r="D3656" s="74" t="s">
        <v>15529</v>
      </c>
      <c r="E3656" s="74" t="s">
        <v>391</v>
      </c>
      <c r="F3656" s="74">
        <v>0.1</v>
      </c>
      <c r="G3656" s="74"/>
      <c r="H3656" s="74"/>
      <c r="I3656" s="74" t="s">
        <v>391</v>
      </c>
      <c r="J3656" s="74"/>
      <c r="K3656" s="74">
        <v>102.4</v>
      </c>
      <c r="L3656" s="74">
        <v>92.16</v>
      </c>
      <c r="M3656" s="74"/>
      <c r="N3656" s="74" t="s">
        <v>392</v>
      </c>
      <c r="O3656" s="74" t="s">
        <v>393</v>
      </c>
      <c r="P3656" s="74"/>
      <c r="Q3656" s="74" t="s">
        <v>15530</v>
      </c>
    </row>
    <row r="3657" spans="3:17" x14ac:dyDescent="0.25">
      <c r="C3657" s="74" t="s">
        <v>15531</v>
      </c>
      <c r="D3657" s="74" t="s">
        <v>15532</v>
      </c>
      <c r="E3657" s="74" t="s">
        <v>391</v>
      </c>
      <c r="F3657" s="74">
        <v>0.1</v>
      </c>
      <c r="G3657" s="74"/>
      <c r="H3657" s="74"/>
      <c r="I3657" s="74" t="s">
        <v>391</v>
      </c>
      <c r="J3657" s="74"/>
      <c r="K3657" s="74">
        <v>102.4</v>
      </c>
      <c r="L3657" s="74">
        <v>92.16</v>
      </c>
      <c r="M3657" s="74"/>
      <c r="N3657" s="74" t="s">
        <v>392</v>
      </c>
      <c r="O3657" s="74" t="s">
        <v>393</v>
      </c>
      <c r="P3657" s="74"/>
      <c r="Q3657" s="74" t="s">
        <v>15533</v>
      </c>
    </row>
    <row r="3658" spans="3:17" x14ac:dyDescent="0.25">
      <c r="C3658" s="74" t="s">
        <v>15546</v>
      </c>
      <c r="D3658" s="74" t="s">
        <v>15547</v>
      </c>
      <c r="E3658" s="74" t="s">
        <v>391</v>
      </c>
      <c r="F3658" s="74">
        <v>0.1</v>
      </c>
      <c r="G3658" s="74"/>
      <c r="H3658" s="74"/>
      <c r="I3658" s="74" t="s">
        <v>391</v>
      </c>
      <c r="J3658" s="74"/>
      <c r="K3658" s="74">
        <v>102.4</v>
      </c>
      <c r="L3658" s="74">
        <v>92.16</v>
      </c>
      <c r="M3658" s="74"/>
      <c r="N3658" s="74" t="s">
        <v>392</v>
      </c>
      <c r="O3658" s="74" t="s">
        <v>393</v>
      </c>
      <c r="P3658" s="74"/>
      <c r="Q3658" s="74" t="s">
        <v>15548</v>
      </c>
    </row>
    <row r="3659" spans="3:17" x14ac:dyDescent="0.25">
      <c r="C3659" s="74" t="s">
        <v>15549</v>
      </c>
      <c r="D3659" s="74" t="s">
        <v>15550</v>
      </c>
      <c r="E3659" s="74" t="s">
        <v>391</v>
      </c>
      <c r="F3659" s="74">
        <v>0.1</v>
      </c>
      <c r="G3659" s="74"/>
      <c r="H3659" s="74"/>
      <c r="I3659" s="74" t="s">
        <v>391</v>
      </c>
      <c r="J3659" s="74"/>
      <c r="K3659" s="74">
        <v>102.4</v>
      </c>
      <c r="L3659" s="74">
        <v>92.16</v>
      </c>
      <c r="M3659" s="74"/>
      <c r="N3659" s="74" t="s">
        <v>392</v>
      </c>
      <c r="O3659" s="74" t="s">
        <v>393</v>
      </c>
      <c r="P3659" s="74"/>
      <c r="Q3659" s="74" t="s">
        <v>15551</v>
      </c>
    </row>
    <row r="3660" spans="3:17" x14ac:dyDescent="0.25">
      <c r="C3660" s="74" t="s">
        <v>15560</v>
      </c>
      <c r="D3660" s="74" t="s">
        <v>15561</v>
      </c>
      <c r="E3660" s="74" t="s">
        <v>391</v>
      </c>
      <c r="F3660" s="74">
        <v>0.1</v>
      </c>
      <c r="G3660" s="74"/>
      <c r="H3660" s="74"/>
      <c r="I3660" s="74" t="s">
        <v>391</v>
      </c>
      <c r="J3660" s="74"/>
      <c r="K3660" s="74">
        <v>102.4</v>
      </c>
      <c r="L3660" s="74">
        <v>92.16</v>
      </c>
      <c r="M3660" s="74"/>
      <c r="N3660" s="74" t="s">
        <v>392</v>
      </c>
      <c r="O3660" s="74" t="s">
        <v>393</v>
      </c>
      <c r="P3660" s="74"/>
      <c r="Q3660" s="74" t="s">
        <v>15562</v>
      </c>
    </row>
    <row r="3661" spans="3:17" x14ac:dyDescent="0.25">
      <c r="C3661" s="74" t="s">
        <v>15563</v>
      </c>
      <c r="D3661" s="74" t="s">
        <v>15564</v>
      </c>
      <c r="E3661" s="74" t="s">
        <v>391</v>
      </c>
      <c r="F3661" s="74">
        <v>0.1</v>
      </c>
      <c r="G3661" s="74"/>
      <c r="H3661" s="74"/>
      <c r="I3661" s="74" t="s">
        <v>391</v>
      </c>
      <c r="J3661" s="74"/>
      <c r="K3661" s="74">
        <v>102.4</v>
      </c>
      <c r="L3661" s="74">
        <v>92.16</v>
      </c>
      <c r="M3661" s="74"/>
      <c r="N3661" s="74" t="s">
        <v>392</v>
      </c>
      <c r="O3661" s="74" t="s">
        <v>393</v>
      </c>
      <c r="P3661" s="74"/>
      <c r="Q3661" s="74" t="s">
        <v>15565</v>
      </c>
    </row>
    <row r="3662" spans="3:17" x14ac:dyDescent="0.25">
      <c r="C3662" s="74" t="s">
        <v>15566</v>
      </c>
      <c r="D3662" s="74" t="s">
        <v>15567</v>
      </c>
      <c r="E3662" s="74" t="s">
        <v>391</v>
      </c>
      <c r="F3662" s="74">
        <v>0.1</v>
      </c>
      <c r="G3662" s="74"/>
      <c r="H3662" s="74"/>
      <c r="I3662" s="74" t="s">
        <v>391</v>
      </c>
      <c r="J3662" s="74"/>
      <c r="K3662" s="74">
        <v>102.4</v>
      </c>
      <c r="L3662" s="74">
        <v>92.16</v>
      </c>
      <c r="M3662" s="74"/>
      <c r="N3662" s="74" t="s">
        <v>392</v>
      </c>
      <c r="O3662" s="74" t="s">
        <v>393</v>
      </c>
      <c r="P3662" s="74"/>
      <c r="Q3662" s="74" t="s">
        <v>15568</v>
      </c>
    </row>
    <row r="3663" spans="3:17" x14ac:dyDescent="0.25">
      <c r="C3663" s="74" t="s">
        <v>15569</v>
      </c>
      <c r="D3663" s="74" t="s">
        <v>15570</v>
      </c>
      <c r="E3663" s="74" t="s">
        <v>391</v>
      </c>
      <c r="F3663" s="74">
        <v>0.1</v>
      </c>
      <c r="G3663" s="74"/>
      <c r="H3663" s="74"/>
      <c r="I3663" s="74" t="s">
        <v>391</v>
      </c>
      <c r="J3663" s="74"/>
      <c r="K3663" s="74">
        <v>102.4</v>
      </c>
      <c r="L3663" s="74">
        <v>92.16</v>
      </c>
      <c r="M3663" s="74"/>
      <c r="N3663" s="74" t="s">
        <v>392</v>
      </c>
      <c r="O3663" s="74" t="s">
        <v>393</v>
      </c>
      <c r="P3663" s="74"/>
      <c r="Q3663" s="74" t="s">
        <v>15571</v>
      </c>
    </row>
    <row r="3664" spans="3:17" x14ac:dyDescent="0.25">
      <c r="C3664" s="74" t="s">
        <v>15572</v>
      </c>
      <c r="D3664" s="74" t="s">
        <v>15573</v>
      </c>
      <c r="E3664" s="74" t="s">
        <v>391</v>
      </c>
      <c r="F3664" s="74">
        <v>0.1</v>
      </c>
      <c r="G3664" s="74"/>
      <c r="H3664" s="74"/>
      <c r="I3664" s="74" t="s">
        <v>391</v>
      </c>
      <c r="J3664" s="74"/>
      <c r="K3664" s="74">
        <v>102.4</v>
      </c>
      <c r="L3664" s="74">
        <v>92.16</v>
      </c>
      <c r="M3664" s="74"/>
      <c r="N3664" s="74" t="s">
        <v>392</v>
      </c>
      <c r="O3664" s="74" t="s">
        <v>393</v>
      </c>
      <c r="P3664" s="74"/>
      <c r="Q3664" s="74" t="s">
        <v>15574</v>
      </c>
    </row>
    <row r="3665" spans="3:17" x14ac:dyDescent="0.25">
      <c r="C3665" s="74" t="s">
        <v>15589</v>
      </c>
      <c r="D3665" s="74" t="s">
        <v>15590</v>
      </c>
      <c r="E3665" s="74"/>
      <c r="F3665" s="74">
        <v>0.1</v>
      </c>
      <c r="G3665" s="74"/>
      <c r="H3665" s="74"/>
      <c r="I3665" s="74" t="s">
        <v>391</v>
      </c>
      <c r="J3665" s="74"/>
      <c r="K3665" s="74">
        <v>102.4</v>
      </c>
      <c r="L3665" s="74">
        <v>92.16</v>
      </c>
      <c r="M3665" s="74"/>
      <c r="N3665" s="74" t="s">
        <v>392</v>
      </c>
      <c r="O3665" s="74" t="s">
        <v>402</v>
      </c>
      <c r="P3665" s="74" t="s">
        <v>15591</v>
      </c>
      <c r="Q3665" s="74" t="s">
        <v>15592</v>
      </c>
    </row>
    <row r="3666" spans="3:17" x14ac:dyDescent="0.25">
      <c r="C3666" s="74" t="s">
        <v>15601</v>
      </c>
      <c r="D3666" s="74" t="s">
        <v>15602</v>
      </c>
      <c r="E3666" s="74" t="s">
        <v>391</v>
      </c>
      <c r="F3666" s="74">
        <v>0.1</v>
      </c>
      <c r="G3666" s="74"/>
      <c r="H3666" s="74"/>
      <c r="I3666" s="74" t="s">
        <v>391</v>
      </c>
      <c r="J3666" s="74"/>
      <c r="K3666" s="74">
        <v>102.4</v>
      </c>
      <c r="L3666" s="74">
        <v>92.16</v>
      </c>
      <c r="M3666" s="74"/>
      <c r="N3666" s="74" t="s">
        <v>392</v>
      </c>
      <c r="O3666" s="74" t="s">
        <v>393</v>
      </c>
      <c r="P3666" s="74"/>
      <c r="Q3666" s="74" t="s">
        <v>15602</v>
      </c>
    </row>
    <row r="3667" spans="3:17" x14ac:dyDescent="0.25">
      <c r="C3667" s="74" t="s">
        <v>15618</v>
      </c>
      <c r="D3667" s="74" t="s">
        <v>15619</v>
      </c>
      <c r="E3667" s="74" t="s">
        <v>391</v>
      </c>
      <c r="F3667" s="74">
        <v>0.1</v>
      </c>
      <c r="G3667" s="74"/>
      <c r="H3667" s="74"/>
      <c r="I3667" s="74" t="s">
        <v>391</v>
      </c>
      <c r="J3667" s="74"/>
      <c r="K3667" s="74">
        <v>102.4</v>
      </c>
      <c r="L3667" s="74">
        <v>92.16</v>
      </c>
      <c r="M3667" s="74"/>
      <c r="N3667" s="74" t="s">
        <v>392</v>
      </c>
      <c r="O3667" s="74" t="s">
        <v>393</v>
      </c>
      <c r="P3667" s="74"/>
      <c r="Q3667" s="74" t="s">
        <v>15620</v>
      </c>
    </row>
    <row r="3668" spans="3:17" x14ac:dyDescent="0.25">
      <c r="C3668" s="74" t="s">
        <v>15634</v>
      </c>
      <c r="D3668" s="74" t="s">
        <v>15635</v>
      </c>
      <c r="E3668" s="74" t="s">
        <v>391</v>
      </c>
      <c r="F3668" s="74">
        <v>0.1</v>
      </c>
      <c r="G3668" s="74"/>
      <c r="H3668" s="74"/>
      <c r="I3668" s="74" t="s">
        <v>391</v>
      </c>
      <c r="J3668" s="74"/>
      <c r="K3668" s="74">
        <v>102.4</v>
      </c>
      <c r="L3668" s="74">
        <v>92.16</v>
      </c>
      <c r="M3668" s="74"/>
      <c r="N3668" s="74" t="s">
        <v>392</v>
      </c>
      <c r="O3668" s="74" t="s">
        <v>393</v>
      </c>
      <c r="P3668" s="74"/>
      <c r="Q3668" s="74" t="s">
        <v>15636</v>
      </c>
    </row>
    <row r="3669" spans="3:17" x14ac:dyDescent="0.25">
      <c r="C3669" s="74" t="s">
        <v>15651</v>
      </c>
      <c r="D3669" s="74" t="s">
        <v>15652</v>
      </c>
      <c r="E3669" s="74" t="s">
        <v>391</v>
      </c>
      <c r="F3669" s="74">
        <v>0.1</v>
      </c>
      <c r="G3669" s="74"/>
      <c r="H3669" s="74"/>
      <c r="I3669" s="74" t="s">
        <v>391</v>
      </c>
      <c r="J3669" s="74"/>
      <c r="K3669" s="74">
        <v>102.4</v>
      </c>
      <c r="L3669" s="74">
        <v>92.16</v>
      </c>
      <c r="M3669" s="74"/>
      <c r="N3669" s="74" t="s">
        <v>392</v>
      </c>
      <c r="O3669" s="74" t="s">
        <v>393</v>
      </c>
      <c r="P3669" s="74"/>
      <c r="Q3669" s="74" t="s">
        <v>15653</v>
      </c>
    </row>
    <row r="3670" spans="3:17" x14ac:dyDescent="0.25">
      <c r="C3670" s="74" t="s">
        <v>15658</v>
      </c>
      <c r="D3670" s="74" t="s">
        <v>15659</v>
      </c>
      <c r="E3670" s="74" t="s">
        <v>391</v>
      </c>
      <c r="F3670" s="74">
        <v>0.1</v>
      </c>
      <c r="G3670" s="74"/>
      <c r="H3670" s="74"/>
      <c r="I3670" s="74" t="s">
        <v>391</v>
      </c>
      <c r="J3670" s="74"/>
      <c r="K3670" s="74">
        <v>102.4</v>
      </c>
      <c r="L3670" s="74">
        <v>92.16</v>
      </c>
      <c r="M3670" s="74"/>
      <c r="N3670" s="74" t="s">
        <v>392</v>
      </c>
      <c r="O3670" s="74" t="s">
        <v>393</v>
      </c>
      <c r="P3670" s="74"/>
      <c r="Q3670" s="74" t="s">
        <v>15660</v>
      </c>
    </row>
    <row r="3671" spans="3:17" x14ac:dyDescent="0.25">
      <c r="C3671" s="74" t="s">
        <v>15664</v>
      </c>
      <c r="D3671" s="74" t="s">
        <v>15665</v>
      </c>
      <c r="E3671" s="74" t="s">
        <v>391</v>
      </c>
      <c r="F3671" s="74">
        <v>0.1</v>
      </c>
      <c r="G3671" s="74"/>
      <c r="H3671" s="74"/>
      <c r="I3671" s="74" t="s">
        <v>391</v>
      </c>
      <c r="J3671" s="74"/>
      <c r="K3671" s="74">
        <v>102.4</v>
      </c>
      <c r="L3671" s="74">
        <v>92.16</v>
      </c>
      <c r="M3671" s="74"/>
      <c r="N3671" s="74" t="s">
        <v>392</v>
      </c>
      <c r="O3671" s="74" t="s">
        <v>393</v>
      </c>
      <c r="P3671" s="74"/>
      <c r="Q3671" s="74" t="s">
        <v>15666</v>
      </c>
    </row>
    <row r="3672" spans="3:17" x14ac:dyDescent="0.25">
      <c r="C3672" s="74" t="s">
        <v>15667</v>
      </c>
      <c r="D3672" s="74" t="s">
        <v>15668</v>
      </c>
      <c r="E3672" s="74" t="s">
        <v>391</v>
      </c>
      <c r="F3672" s="74">
        <v>0.1</v>
      </c>
      <c r="G3672" s="74"/>
      <c r="H3672" s="74"/>
      <c r="I3672" s="74" t="s">
        <v>391</v>
      </c>
      <c r="J3672" s="74"/>
      <c r="K3672" s="74">
        <v>102.4</v>
      </c>
      <c r="L3672" s="74">
        <v>92.16</v>
      </c>
      <c r="M3672" s="74"/>
      <c r="N3672" s="74" t="s">
        <v>392</v>
      </c>
      <c r="O3672" s="74" t="s">
        <v>393</v>
      </c>
      <c r="P3672" s="74"/>
      <c r="Q3672" s="74" t="s">
        <v>15669</v>
      </c>
    </row>
    <row r="3673" spans="3:17" x14ac:dyDescent="0.25">
      <c r="C3673" s="74" t="s">
        <v>15670</v>
      </c>
      <c r="D3673" s="74" t="s">
        <v>15671</v>
      </c>
      <c r="E3673" s="74" t="s">
        <v>391</v>
      </c>
      <c r="F3673" s="74">
        <v>0.1</v>
      </c>
      <c r="G3673" s="74"/>
      <c r="H3673" s="74"/>
      <c r="I3673" s="74" t="s">
        <v>391</v>
      </c>
      <c r="J3673" s="74"/>
      <c r="K3673" s="74">
        <v>102.4</v>
      </c>
      <c r="L3673" s="74">
        <v>92.16</v>
      </c>
      <c r="M3673" s="74"/>
      <c r="N3673" s="74" t="s">
        <v>392</v>
      </c>
      <c r="O3673" s="74" t="s">
        <v>393</v>
      </c>
      <c r="P3673" s="74"/>
      <c r="Q3673" s="74" t="s">
        <v>15672</v>
      </c>
    </row>
    <row r="3674" spans="3:17" x14ac:dyDescent="0.25">
      <c r="C3674" s="74" t="s">
        <v>15673</v>
      </c>
      <c r="D3674" s="74" t="s">
        <v>15674</v>
      </c>
      <c r="E3674" s="74" t="s">
        <v>391</v>
      </c>
      <c r="F3674" s="74">
        <v>0.1</v>
      </c>
      <c r="G3674" s="74"/>
      <c r="H3674" s="74"/>
      <c r="I3674" s="74" t="s">
        <v>391</v>
      </c>
      <c r="J3674" s="74"/>
      <c r="K3674" s="74">
        <v>102.4</v>
      </c>
      <c r="L3674" s="74">
        <v>92.16</v>
      </c>
      <c r="M3674" s="74"/>
      <c r="N3674" s="74" t="s">
        <v>392</v>
      </c>
      <c r="O3674" s="74" t="s">
        <v>393</v>
      </c>
      <c r="P3674" s="74"/>
      <c r="Q3674" s="74" t="s">
        <v>15675</v>
      </c>
    </row>
    <row r="3675" spans="3:17" x14ac:dyDescent="0.25">
      <c r="C3675" s="74" t="s">
        <v>15676</v>
      </c>
      <c r="D3675" s="74" t="s">
        <v>15677</v>
      </c>
      <c r="E3675" s="74" t="s">
        <v>391</v>
      </c>
      <c r="F3675" s="74">
        <v>0.1</v>
      </c>
      <c r="G3675" s="74"/>
      <c r="H3675" s="74"/>
      <c r="I3675" s="74" t="s">
        <v>391</v>
      </c>
      <c r="J3675" s="74"/>
      <c r="K3675" s="74">
        <v>102.4</v>
      </c>
      <c r="L3675" s="74">
        <v>92.16</v>
      </c>
      <c r="M3675" s="74"/>
      <c r="N3675" s="74" t="s">
        <v>392</v>
      </c>
      <c r="O3675" s="74" t="s">
        <v>393</v>
      </c>
      <c r="P3675" s="74"/>
      <c r="Q3675" s="74" t="s">
        <v>15678</v>
      </c>
    </row>
    <row r="3676" spans="3:17" x14ac:dyDescent="0.25">
      <c r="C3676" s="74" t="s">
        <v>15682</v>
      </c>
      <c r="D3676" s="74" t="s">
        <v>15683</v>
      </c>
      <c r="E3676" s="74" t="s">
        <v>391</v>
      </c>
      <c r="F3676" s="74">
        <v>0.1</v>
      </c>
      <c r="G3676" s="74"/>
      <c r="H3676" s="74"/>
      <c r="I3676" s="74" t="s">
        <v>391</v>
      </c>
      <c r="J3676" s="74"/>
      <c r="K3676" s="74">
        <v>102.4</v>
      </c>
      <c r="L3676" s="74">
        <v>92.16</v>
      </c>
      <c r="M3676" s="74"/>
      <c r="N3676" s="74" t="s">
        <v>392</v>
      </c>
      <c r="O3676" s="74" t="s">
        <v>393</v>
      </c>
      <c r="P3676" s="74"/>
      <c r="Q3676" s="74" t="s">
        <v>15684</v>
      </c>
    </row>
    <row r="3677" spans="3:17" x14ac:dyDescent="0.25">
      <c r="C3677" s="74" t="s">
        <v>15685</v>
      </c>
      <c r="D3677" s="74" t="s">
        <v>15686</v>
      </c>
      <c r="E3677" s="74" t="s">
        <v>391</v>
      </c>
      <c r="F3677" s="74">
        <v>0.1</v>
      </c>
      <c r="G3677" s="74"/>
      <c r="H3677" s="74"/>
      <c r="I3677" s="74" t="s">
        <v>391</v>
      </c>
      <c r="J3677" s="74"/>
      <c r="K3677" s="74">
        <v>102.4</v>
      </c>
      <c r="L3677" s="74">
        <v>92.16</v>
      </c>
      <c r="M3677" s="74"/>
      <c r="N3677" s="74" t="s">
        <v>392</v>
      </c>
      <c r="O3677" s="74" t="s">
        <v>393</v>
      </c>
      <c r="P3677" s="74"/>
      <c r="Q3677" s="74" t="s">
        <v>15687</v>
      </c>
    </row>
    <row r="3678" spans="3:17" x14ac:dyDescent="0.25">
      <c r="C3678" s="74" t="s">
        <v>15688</v>
      </c>
      <c r="D3678" s="74" t="s">
        <v>15689</v>
      </c>
      <c r="E3678" s="74" t="s">
        <v>391</v>
      </c>
      <c r="F3678" s="74">
        <v>0.1</v>
      </c>
      <c r="G3678" s="74"/>
      <c r="H3678" s="74"/>
      <c r="I3678" s="74" t="s">
        <v>391</v>
      </c>
      <c r="J3678" s="74"/>
      <c r="K3678" s="74">
        <v>102.4</v>
      </c>
      <c r="L3678" s="74">
        <v>92.16</v>
      </c>
      <c r="M3678" s="74"/>
      <c r="N3678" s="74" t="s">
        <v>392</v>
      </c>
      <c r="O3678" s="74" t="s">
        <v>393</v>
      </c>
      <c r="P3678" s="74"/>
      <c r="Q3678" s="74" t="s">
        <v>15690</v>
      </c>
    </row>
    <row r="3679" spans="3:17" x14ac:dyDescent="0.25">
      <c r="C3679" s="74" t="s">
        <v>15695</v>
      </c>
      <c r="D3679" s="74" t="s">
        <v>15696</v>
      </c>
      <c r="E3679" s="74" t="s">
        <v>391</v>
      </c>
      <c r="F3679" s="74">
        <v>0.1</v>
      </c>
      <c r="G3679" s="74"/>
      <c r="H3679" s="74"/>
      <c r="I3679" s="74" t="s">
        <v>391</v>
      </c>
      <c r="J3679" s="74"/>
      <c r="K3679" s="74">
        <v>102.4</v>
      </c>
      <c r="L3679" s="74">
        <v>92.16</v>
      </c>
      <c r="M3679" s="74"/>
      <c r="N3679" s="74" t="s">
        <v>392</v>
      </c>
      <c r="O3679" s="74" t="s">
        <v>393</v>
      </c>
      <c r="P3679" s="74"/>
      <c r="Q3679" s="74" t="s">
        <v>15697</v>
      </c>
    </row>
    <row r="3680" spans="3:17" x14ac:dyDescent="0.25">
      <c r="C3680" s="74" t="s">
        <v>15710</v>
      </c>
      <c r="D3680" s="74" t="s">
        <v>15711</v>
      </c>
      <c r="E3680" s="74" t="s">
        <v>391</v>
      </c>
      <c r="F3680" s="74">
        <v>0.1</v>
      </c>
      <c r="G3680" s="74"/>
      <c r="H3680" s="74"/>
      <c r="I3680" s="74" t="s">
        <v>391</v>
      </c>
      <c r="J3680" s="74"/>
      <c r="K3680" s="74">
        <v>102.4</v>
      </c>
      <c r="L3680" s="74">
        <v>92.16</v>
      </c>
      <c r="M3680" s="74"/>
      <c r="N3680" s="74" t="s">
        <v>392</v>
      </c>
      <c r="O3680" s="74" t="s">
        <v>393</v>
      </c>
      <c r="P3680" s="74"/>
      <c r="Q3680" s="74" t="s">
        <v>15712</v>
      </c>
    </row>
    <row r="3681" spans="3:17" x14ac:dyDescent="0.25">
      <c r="C3681" s="74" t="s">
        <v>15741</v>
      </c>
      <c r="D3681" s="74" t="s">
        <v>15742</v>
      </c>
      <c r="E3681" s="74" t="s">
        <v>391</v>
      </c>
      <c r="F3681" s="74">
        <v>0.1</v>
      </c>
      <c r="G3681" s="74"/>
      <c r="H3681" s="74"/>
      <c r="I3681" s="74" t="s">
        <v>391</v>
      </c>
      <c r="J3681" s="74"/>
      <c r="K3681" s="74">
        <v>102.4</v>
      </c>
      <c r="L3681" s="74">
        <v>92.16</v>
      </c>
      <c r="M3681" s="74"/>
      <c r="N3681" s="74" t="s">
        <v>392</v>
      </c>
      <c r="O3681" s="74" t="s">
        <v>393</v>
      </c>
      <c r="P3681" s="74"/>
      <c r="Q3681" s="74" t="s">
        <v>15743</v>
      </c>
    </row>
    <row r="3682" spans="3:17" x14ac:dyDescent="0.25">
      <c r="C3682" s="74" t="s">
        <v>15771</v>
      </c>
      <c r="D3682" s="74" t="s">
        <v>15772</v>
      </c>
      <c r="E3682" s="74" t="s">
        <v>391</v>
      </c>
      <c r="F3682" s="74">
        <v>0.1</v>
      </c>
      <c r="G3682" s="74"/>
      <c r="H3682" s="74"/>
      <c r="I3682" s="74" t="s">
        <v>391</v>
      </c>
      <c r="J3682" s="74"/>
      <c r="K3682" s="74">
        <v>102.4</v>
      </c>
      <c r="L3682" s="74">
        <v>92.16</v>
      </c>
      <c r="M3682" s="74"/>
      <c r="N3682" s="74" t="s">
        <v>392</v>
      </c>
      <c r="O3682" s="74" t="s">
        <v>393</v>
      </c>
      <c r="P3682" s="74"/>
      <c r="Q3682" s="74" t="s">
        <v>15773</v>
      </c>
    </row>
    <row r="3683" spans="3:17" x14ac:dyDescent="0.25">
      <c r="C3683" s="74" t="s">
        <v>15797</v>
      </c>
      <c r="D3683" s="74" t="s">
        <v>15798</v>
      </c>
      <c r="E3683" s="74" t="s">
        <v>391</v>
      </c>
      <c r="F3683" s="74">
        <v>0.1</v>
      </c>
      <c r="G3683" s="74"/>
      <c r="H3683" s="74"/>
      <c r="I3683" s="74" t="s">
        <v>391</v>
      </c>
      <c r="J3683" s="74"/>
      <c r="K3683" s="74">
        <v>102.4</v>
      </c>
      <c r="L3683" s="74">
        <v>92.16</v>
      </c>
      <c r="M3683" s="74"/>
      <c r="N3683" s="74" t="s">
        <v>392</v>
      </c>
      <c r="O3683" s="74" t="s">
        <v>393</v>
      </c>
      <c r="P3683" s="74"/>
      <c r="Q3683" s="74" t="s">
        <v>15799</v>
      </c>
    </row>
    <row r="3684" spans="3:17" x14ac:dyDescent="0.25">
      <c r="C3684" s="74" t="s">
        <v>15800</v>
      </c>
      <c r="D3684" s="74" t="s">
        <v>15801</v>
      </c>
      <c r="E3684" s="74" t="s">
        <v>391</v>
      </c>
      <c r="F3684" s="74">
        <v>0.1</v>
      </c>
      <c r="G3684" s="74"/>
      <c r="H3684" s="74"/>
      <c r="I3684" s="74" t="s">
        <v>391</v>
      </c>
      <c r="J3684" s="74"/>
      <c r="K3684" s="74">
        <v>102.4</v>
      </c>
      <c r="L3684" s="74">
        <v>92.16</v>
      </c>
      <c r="M3684" s="74"/>
      <c r="N3684" s="74" t="s">
        <v>392</v>
      </c>
      <c r="O3684" s="74" t="s">
        <v>393</v>
      </c>
      <c r="P3684" s="74"/>
      <c r="Q3684" s="74" t="s">
        <v>15802</v>
      </c>
    </row>
    <row r="3685" spans="3:17" x14ac:dyDescent="0.25">
      <c r="C3685" s="74" t="s">
        <v>15806</v>
      </c>
      <c r="D3685" s="74" t="s">
        <v>15807</v>
      </c>
      <c r="E3685" s="74" t="s">
        <v>391</v>
      </c>
      <c r="F3685" s="74">
        <v>0.1</v>
      </c>
      <c r="G3685" s="74"/>
      <c r="H3685" s="74"/>
      <c r="I3685" s="74" t="s">
        <v>391</v>
      </c>
      <c r="J3685" s="74"/>
      <c r="K3685" s="74">
        <v>102.4</v>
      </c>
      <c r="L3685" s="74">
        <v>92.16</v>
      </c>
      <c r="M3685" s="74"/>
      <c r="N3685" s="74" t="s">
        <v>392</v>
      </c>
      <c r="O3685" s="74" t="s">
        <v>393</v>
      </c>
      <c r="P3685" s="74"/>
      <c r="Q3685" s="74" t="s">
        <v>15808</v>
      </c>
    </row>
    <row r="3686" spans="3:17" x14ac:dyDescent="0.25">
      <c r="C3686" s="74" t="s">
        <v>15817</v>
      </c>
      <c r="D3686" s="74" t="s">
        <v>15818</v>
      </c>
      <c r="E3686" s="74" t="s">
        <v>391</v>
      </c>
      <c r="F3686" s="74">
        <v>0.1</v>
      </c>
      <c r="G3686" s="74"/>
      <c r="H3686" s="74"/>
      <c r="I3686" s="74" t="s">
        <v>391</v>
      </c>
      <c r="J3686" s="74"/>
      <c r="K3686" s="74">
        <v>102.4</v>
      </c>
      <c r="L3686" s="74">
        <v>92.16</v>
      </c>
      <c r="M3686" s="74"/>
      <c r="N3686" s="74" t="s">
        <v>392</v>
      </c>
      <c r="O3686" s="74" t="s">
        <v>393</v>
      </c>
      <c r="P3686" s="74"/>
      <c r="Q3686" s="74" t="s">
        <v>15819</v>
      </c>
    </row>
    <row r="3687" spans="3:17" x14ac:dyDescent="0.25">
      <c r="C3687" s="74" t="s">
        <v>15828</v>
      </c>
      <c r="D3687" s="74" t="s">
        <v>15829</v>
      </c>
      <c r="E3687" s="74" t="s">
        <v>391</v>
      </c>
      <c r="F3687" s="74">
        <v>0.1</v>
      </c>
      <c r="G3687" s="74"/>
      <c r="H3687" s="74"/>
      <c r="I3687" s="74" t="s">
        <v>391</v>
      </c>
      <c r="J3687" s="74"/>
      <c r="K3687" s="74">
        <v>102.4</v>
      </c>
      <c r="L3687" s="74">
        <v>92.16</v>
      </c>
      <c r="M3687" s="74"/>
      <c r="N3687" s="74" t="s">
        <v>392</v>
      </c>
      <c r="O3687" s="74" t="s">
        <v>393</v>
      </c>
      <c r="P3687" s="74"/>
      <c r="Q3687" s="74" t="s">
        <v>15830</v>
      </c>
    </row>
    <row r="3688" spans="3:17" x14ac:dyDescent="0.25">
      <c r="C3688" s="74" t="s">
        <v>15831</v>
      </c>
      <c r="D3688" s="74" t="s">
        <v>15832</v>
      </c>
      <c r="E3688" s="74" t="s">
        <v>391</v>
      </c>
      <c r="F3688" s="74">
        <v>0.1</v>
      </c>
      <c r="G3688" s="74"/>
      <c r="H3688" s="74"/>
      <c r="I3688" s="74" t="s">
        <v>391</v>
      </c>
      <c r="J3688" s="74"/>
      <c r="K3688" s="74">
        <v>102.4</v>
      </c>
      <c r="L3688" s="74">
        <v>92.16</v>
      </c>
      <c r="M3688" s="74"/>
      <c r="N3688" s="74" t="s">
        <v>392</v>
      </c>
      <c r="O3688" s="74" t="s">
        <v>393</v>
      </c>
      <c r="P3688" s="74"/>
      <c r="Q3688" s="74" t="s">
        <v>15833</v>
      </c>
    </row>
    <row r="3689" spans="3:17" x14ac:dyDescent="0.25">
      <c r="C3689" s="74" t="s">
        <v>15876</v>
      </c>
      <c r="D3689" s="74" t="s">
        <v>15877</v>
      </c>
      <c r="E3689" s="74" t="s">
        <v>391</v>
      </c>
      <c r="F3689" s="74">
        <v>0.1</v>
      </c>
      <c r="G3689" s="74"/>
      <c r="H3689" s="74"/>
      <c r="I3689" s="74" t="s">
        <v>391</v>
      </c>
      <c r="J3689" s="74"/>
      <c r="K3689" s="74">
        <v>102.4</v>
      </c>
      <c r="L3689" s="74">
        <v>92.16</v>
      </c>
      <c r="M3689" s="74"/>
      <c r="N3689" s="74" t="s">
        <v>392</v>
      </c>
      <c r="O3689" s="74" t="s">
        <v>393</v>
      </c>
      <c r="P3689" s="74"/>
      <c r="Q3689" s="74" t="s">
        <v>15878</v>
      </c>
    </row>
    <row r="3690" spans="3:17" x14ac:dyDescent="0.25">
      <c r="C3690" s="74" t="s">
        <v>15897</v>
      </c>
      <c r="D3690" s="74" t="s">
        <v>15898</v>
      </c>
      <c r="E3690" s="74" t="s">
        <v>391</v>
      </c>
      <c r="F3690" s="74">
        <v>0.1</v>
      </c>
      <c r="G3690" s="74"/>
      <c r="H3690" s="74"/>
      <c r="I3690" s="74" t="s">
        <v>391</v>
      </c>
      <c r="J3690" s="74"/>
      <c r="K3690" s="74">
        <v>102.4</v>
      </c>
      <c r="L3690" s="74">
        <v>92.16</v>
      </c>
      <c r="M3690" s="74"/>
      <c r="N3690" s="74" t="s">
        <v>392</v>
      </c>
      <c r="O3690" s="74" t="s">
        <v>393</v>
      </c>
      <c r="P3690" s="74"/>
      <c r="Q3690" s="74" t="s">
        <v>15899</v>
      </c>
    </row>
    <row r="3691" spans="3:17" x14ac:dyDescent="0.25">
      <c r="C3691" s="74" t="s">
        <v>15908</v>
      </c>
      <c r="D3691" s="74" t="s">
        <v>15909</v>
      </c>
      <c r="E3691" s="74" t="s">
        <v>391</v>
      </c>
      <c r="F3691" s="74">
        <v>0.1</v>
      </c>
      <c r="G3691" s="74"/>
      <c r="H3691" s="74"/>
      <c r="I3691" s="74" t="s">
        <v>391</v>
      </c>
      <c r="J3691" s="74"/>
      <c r="K3691" s="74">
        <v>102.4</v>
      </c>
      <c r="L3691" s="74">
        <v>92.16</v>
      </c>
      <c r="M3691" s="74"/>
      <c r="N3691" s="74" t="s">
        <v>392</v>
      </c>
      <c r="O3691" s="74" t="s">
        <v>393</v>
      </c>
      <c r="P3691" s="74"/>
      <c r="Q3691" s="74" t="s">
        <v>15910</v>
      </c>
    </row>
    <row r="3692" spans="3:17" x14ac:dyDescent="0.25">
      <c r="C3692" s="74" t="s">
        <v>15911</v>
      </c>
      <c r="D3692" s="74" t="s">
        <v>15912</v>
      </c>
      <c r="E3692" s="74"/>
      <c r="F3692" s="74">
        <v>0.1</v>
      </c>
      <c r="G3692" s="74"/>
      <c r="H3692" s="74"/>
      <c r="I3692" s="74" t="s">
        <v>391</v>
      </c>
      <c r="J3692" s="74"/>
      <c r="K3692" s="74">
        <v>102.4</v>
      </c>
      <c r="L3692" s="74">
        <v>92.16</v>
      </c>
      <c r="M3692" s="74"/>
      <c r="N3692" s="74" t="s">
        <v>392</v>
      </c>
      <c r="O3692" s="74" t="s">
        <v>402</v>
      </c>
      <c r="P3692" s="74"/>
      <c r="Q3692" s="74" t="s">
        <v>15913</v>
      </c>
    </row>
    <row r="3693" spans="3:17" x14ac:dyDescent="0.25">
      <c r="C3693" s="74" t="s">
        <v>15922</v>
      </c>
      <c r="D3693" s="74" t="s">
        <v>15923</v>
      </c>
      <c r="E3693" s="74" t="s">
        <v>391</v>
      </c>
      <c r="F3693" s="74">
        <v>0.1</v>
      </c>
      <c r="G3693" s="74"/>
      <c r="H3693" s="74"/>
      <c r="I3693" s="74" t="s">
        <v>391</v>
      </c>
      <c r="J3693" s="74"/>
      <c r="K3693" s="74">
        <v>102.4</v>
      </c>
      <c r="L3693" s="74">
        <v>92.16</v>
      </c>
      <c r="M3693" s="74"/>
      <c r="N3693" s="74" t="s">
        <v>392</v>
      </c>
      <c r="O3693" s="74" t="s">
        <v>393</v>
      </c>
      <c r="P3693" s="74"/>
      <c r="Q3693" s="74" t="s">
        <v>15924</v>
      </c>
    </row>
    <row r="3694" spans="3:17" x14ac:dyDescent="0.25">
      <c r="C3694" s="74" t="s">
        <v>15936</v>
      </c>
      <c r="D3694" s="74" t="s">
        <v>15937</v>
      </c>
      <c r="E3694" s="74" t="s">
        <v>391</v>
      </c>
      <c r="F3694" s="74">
        <v>0.1</v>
      </c>
      <c r="G3694" s="74"/>
      <c r="H3694" s="74"/>
      <c r="I3694" s="74" t="s">
        <v>391</v>
      </c>
      <c r="J3694" s="74"/>
      <c r="K3694" s="74">
        <v>102.4</v>
      </c>
      <c r="L3694" s="74">
        <v>92.16</v>
      </c>
      <c r="M3694" s="74"/>
      <c r="N3694" s="74" t="s">
        <v>392</v>
      </c>
      <c r="O3694" s="74" t="s">
        <v>393</v>
      </c>
      <c r="P3694" s="74"/>
      <c r="Q3694" s="74" t="s">
        <v>15938</v>
      </c>
    </row>
    <row r="3695" spans="3:17" x14ac:dyDescent="0.25">
      <c r="C3695" s="74" t="s">
        <v>15939</v>
      </c>
      <c r="D3695" s="74" t="s">
        <v>15940</v>
      </c>
      <c r="E3695" s="74" t="s">
        <v>391</v>
      </c>
      <c r="F3695" s="74">
        <v>0.1</v>
      </c>
      <c r="G3695" s="74"/>
      <c r="H3695" s="74"/>
      <c r="I3695" s="74" t="s">
        <v>391</v>
      </c>
      <c r="J3695" s="74"/>
      <c r="K3695" s="74">
        <v>102.4</v>
      </c>
      <c r="L3695" s="74">
        <v>92.16</v>
      </c>
      <c r="M3695" s="74"/>
      <c r="N3695" s="74" t="s">
        <v>392</v>
      </c>
      <c r="O3695" s="74" t="s">
        <v>393</v>
      </c>
      <c r="P3695" s="74"/>
      <c r="Q3695" s="74" t="s">
        <v>15941</v>
      </c>
    </row>
    <row r="3696" spans="3:17" x14ac:dyDescent="0.25">
      <c r="C3696" s="74" t="s">
        <v>15953</v>
      </c>
      <c r="D3696" s="74" t="s">
        <v>15954</v>
      </c>
      <c r="E3696" s="74" t="s">
        <v>391</v>
      </c>
      <c r="F3696" s="74">
        <v>0.1</v>
      </c>
      <c r="G3696" s="74"/>
      <c r="H3696" s="74"/>
      <c r="I3696" s="74" t="s">
        <v>391</v>
      </c>
      <c r="J3696" s="74"/>
      <c r="K3696" s="74">
        <v>102.4</v>
      </c>
      <c r="L3696" s="74">
        <v>92.16</v>
      </c>
      <c r="M3696" s="74"/>
      <c r="N3696" s="74" t="s">
        <v>392</v>
      </c>
      <c r="O3696" s="74" t="s">
        <v>393</v>
      </c>
      <c r="P3696" s="74"/>
      <c r="Q3696" s="74" t="s">
        <v>15955</v>
      </c>
    </row>
    <row r="3697" spans="3:17" x14ac:dyDescent="0.25">
      <c r="C3697" s="74" t="s">
        <v>15956</v>
      </c>
      <c r="D3697" s="74" t="s">
        <v>15957</v>
      </c>
      <c r="E3697" s="74" t="s">
        <v>391</v>
      </c>
      <c r="F3697" s="74">
        <v>0.1</v>
      </c>
      <c r="G3697" s="74"/>
      <c r="H3697" s="74"/>
      <c r="I3697" s="74" t="s">
        <v>391</v>
      </c>
      <c r="J3697" s="74"/>
      <c r="K3697" s="74">
        <v>102.4</v>
      </c>
      <c r="L3697" s="74">
        <v>92.16</v>
      </c>
      <c r="M3697" s="74"/>
      <c r="N3697" s="74" t="s">
        <v>392</v>
      </c>
      <c r="O3697" s="74" t="s">
        <v>393</v>
      </c>
      <c r="P3697" s="74"/>
      <c r="Q3697" s="74" t="s">
        <v>15958</v>
      </c>
    </row>
    <row r="3698" spans="3:17" x14ac:dyDescent="0.25">
      <c r="C3698" s="74" t="s">
        <v>15959</v>
      </c>
      <c r="D3698" s="74" t="s">
        <v>15960</v>
      </c>
      <c r="E3698" s="74" t="s">
        <v>391</v>
      </c>
      <c r="F3698" s="74">
        <v>0.1</v>
      </c>
      <c r="G3698" s="74"/>
      <c r="H3698" s="74"/>
      <c r="I3698" s="74" t="s">
        <v>391</v>
      </c>
      <c r="J3698" s="74"/>
      <c r="K3698" s="74">
        <v>102.4</v>
      </c>
      <c r="L3698" s="74">
        <v>92.16</v>
      </c>
      <c r="M3698" s="74"/>
      <c r="N3698" s="74" t="s">
        <v>392</v>
      </c>
      <c r="O3698" s="74" t="s">
        <v>393</v>
      </c>
      <c r="P3698" s="74"/>
      <c r="Q3698" s="74" t="s">
        <v>15961</v>
      </c>
    </row>
    <row r="3699" spans="3:17" x14ac:dyDescent="0.25">
      <c r="C3699" s="74" t="s">
        <v>15962</v>
      </c>
      <c r="D3699" s="74" t="s">
        <v>15963</v>
      </c>
      <c r="E3699" s="74" t="s">
        <v>391</v>
      </c>
      <c r="F3699" s="74">
        <v>0.1</v>
      </c>
      <c r="G3699" s="74"/>
      <c r="H3699" s="74"/>
      <c r="I3699" s="74" t="s">
        <v>391</v>
      </c>
      <c r="J3699" s="74"/>
      <c r="K3699" s="74">
        <v>102.4</v>
      </c>
      <c r="L3699" s="74">
        <v>92.16</v>
      </c>
      <c r="M3699" s="74"/>
      <c r="N3699" s="74" t="s">
        <v>392</v>
      </c>
      <c r="O3699" s="74" t="s">
        <v>393</v>
      </c>
      <c r="P3699" s="74"/>
      <c r="Q3699" s="74" t="s">
        <v>15964</v>
      </c>
    </row>
    <row r="3700" spans="3:17" x14ac:dyDescent="0.25">
      <c r="C3700" s="74" t="s">
        <v>16008</v>
      </c>
      <c r="D3700" s="74" t="s">
        <v>16009</v>
      </c>
      <c r="E3700" s="74" t="s">
        <v>391</v>
      </c>
      <c r="F3700" s="74">
        <v>0.1</v>
      </c>
      <c r="G3700" s="74"/>
      <c r="H3700" s="74"/>
      <c r="I3700" s="74" t="s">
        <v>391</v>
      </c>
      <c r="J3700" s="74"/>
      <c r="K3700" s="74">
        <v>102.4</v>
      </c>
      <c r="L3700" s="74">
        <v>92.16</v>
      </c>
      <c r="M3700" s="74"/>
      <c r="N3700" s="74" t="s">
        <v>392</v>
      </c>
      <c r="O3700" s="74" t="s">
        <v>393</v>
      </c>
      <c r="P3700" s="74"/>
      <c r="Q3700" s="74" t="s">
        <v>16010</v>
      </c>
    </row>
    <row r="3701" spans="3:17" x14ac:dyDescent="0.25">
      <c r="C3701" s="74" t="s">
        <v>16050</v>
      </c>
      <c r="D3701" s="74" t="s">
        <v>16051</v>
      </c>
      <c r="E3701" s="74" t="s">
        <v>391</v>
      </c>
      <c r="F3701" s="74">
        <v>0.1</v>
      </c>
      <c r="G3701" s="74"/>
      <c r="H3701" s="74"/>
      <c r="I3701" s="74" t="s">
        <v>391</v>
      </c>
      <c r="J3701" s="74"/>
      <c r="K3701" s="74">
        <v>102.4</v>
      </c>
      <c r="L3701" s="74">
        <v>92.16</v>
      </c>
      <c r="M3701" s="74"/>
      <c r="N3701" s="74" t="s">
        <v>392</v>
      </c>
      <c r="O3701" s="74" t="s">
        <v>393</v>
      </c>
      <c r="P3701" s="74"/>
      <c r="Q3701" s="74" t="s">
        <v>16052</v>
      </c>
    </row>
    <row r="3702" spans="3:17" x14ac:dyDescent="0.25">
      <c r="C3702" s="74" t="s">
        <v>16053</v>
      </c>
      <c r="D3702" s="74" t="s">
        <v>16054</v>
      </c>
      <c r="E3702" s="74" t="s">
        <v>391</v>
      </c>
      <c r="F3702" s="74">
        <v>0.1</v>
      </c>
      <c r="G3702" s="74"/>
      <c r="H3702" s="74"/>
      <c r="I3702" s="74" t="s">
        <v>391</v>
      </c>
      <c r="J3702" s="74"/>
      <c r="K3702" s="74">
        <v>102.4</v>
      </c>
      <c r="L3702" s="74">
        <v>92.16</v>
      </c>
      <c r="M3702" s="74"/>
      <c r="N3702" s="74" t="s">
        <v>392</v>
      </c>
      <c r="O3702" s="74" t="s">
        <v>393</v>
      </c>
      <c r="P3702" s="74"/>
      <c r="Q3702" s="74" t="s">
        <v>16055</v>
      </c>
    </row>
    <row r="3703" spans="3:17" x14ac:dyDescent="0.25">
      <c r="C3703" s="74" t="s">
        <v>16067</v>
      </c>
      <c r="D3703" s="74" t="s">
        <v>16068</v>
      </c>
      <c r="E3703" s="74" t="s">
        <v>391</v>
      </c>
      <c r="F3703" s="74">
        <v>0.1</v>
      </c>
      <c r="G3703" s="74"/>
      <c r="H3703" s="74"/>
      <c r="I3703" s="74" t="s">
        <v>391</v>
      </c>
      <c r="J3703" s="74"/>
      <c r="K3703" s="74">
        <v>102.4</v>
      </c>
      <c r="L3703" s="74">
        <v>92.16</v>
      </c>
      <c r="M3703" s="74"/>
      <c r="N3703" s="74" t="s">
        <v>392</v>
      </c>
      <c r="O3703" s="74" t="s">
        <v>393</v>
      </c>
      <c r="P3703" s="74"/>
      <c r="Q3703" s="74" t="s">
        <v>16069</v>
      </c>
    </row>
    <row r="3704" spans="3:17" x14ac:dyDescent="0.25">
      <c r="C3704" s="74" t="s">
        <v>16070</v>
      </c>
      <c r="D3704" s="74" t="s">
        <v>16071</v>
      </c>
      <c r="E3704" s="74" t="s">
        <v>391</v>
      </c>
      <c r="F3704" s="74">
        <v>0.1</v>
      </c>
      <c r="G3704" s="74"/>
      <c r="H3704" s="74"/>
      <c r="I3704" s="74" t="s">
        <v>391</v>
      </c>
      <c r="J3704" s="74"/>
      <c r="K3704" s="74">
        <v>102.4</v>
      </c>
      <c r="L3704" s="74">
        <v>92.16</v>
      </c>
      <c r="M3704" s="74"/>
      <c r="N3704" s="74" t="s">
        <v>392</v>
      </c>
      <c r="O3704" s="74" t="s">
        <v>393</v>
      </c>
      <c r="P3704" s="74"/>
      <c r="Q3704" s="74" t="s">
        <v>16072</v>
      </c>
    </row>
    <row r="3705" spans="3:17" x14ac:dyDescent="0.25">
      <c r="C3705" s="158" t="s">
        <v>16080</v>
      </c>
      <c r="D3705" s="158" t="s">
        <v>16081</v>
      </c>
      <c r="E3705" s="158" t="s">
        <v>391</v>
      </c>
      <c r="F3705" s="158">
        <v>0.1</v>
      </c>
      <c r="I3705" s="158" t="s">
        <v>391</v>
      </c>
      <c r="K3705" s="158">
        <v>102.4</v>
      </c>
      <c r="L3705" s="158">
        <v>92.16</v>
      </c>
      <c r="N3705" s="158" t="s">
        <v>392</v>
      </c>
      <c r="O3705" s="158" t="s">
        <v>393</v>
      </c>
      <c r="Q3705" s="158" t="s">
        <v>16082</v>
      </c>
    </row>
    <row r="3706" spans="3:17" x14ac:dyDescent="0.25">
      <c r="C3706" s="74" t="s">
        <v>16083</v>
      </c>
      <c r="D3706" s="74" t="s">
        <v>16084</v>
      </c>
      <c r="E3706" s="74" t="s">
        <v>391</v>
      </c>
      <c r="F3706" s="74">
        <v>0.1</v>
      </c>
      <c r="G3706" s="74"/>
      <c r="H3706" s="74"/>
      <c r="I3706" s="74" t="s">
        <v>391</v>
      </c>
      <c r="J3706" s="74"/>
      <c r="K3706" s="74">
        <v>102.4</v>
      </c>
      <c r="L3706" s="74">
        <v>92.16</v>
      </c>
      <c r="M3706" s="74"/>
      <c r="N3706" s="74" t="s">
        <v>392</v>
      </c>
      <c r="O3706" s="74" t="s">
        <v>393</v>
      </c>
      <c r="P3706" s="74"/>
      <c r="Q3706" s="74" t="s">
        <v>16085</v>
      </c>
    </row>
    <row r="3707" spans="3:17" x14ac:dyDescent="0.25">
      <c r="C3707" s="74" t="s">
        <v>16103</v>
      </c>
      <c r="D3707" s="74" t="s">
        <v>16104</v>
      </c>
      <c r="E3707" s="74" t="s">
        <v>391</v>
      </c>
      <c r="F3707" s="74">
        <v>0.1</v>
      </c>
      <c r="G3707" s="74"/>
      <c r="H3707" s="74"/>
      <c r="I3707" s="74" t="s">
        <v>391</v>
      </c>
      <c r="J3707" s="74"/>
      <c r="K3707" s="74">
        <v>102.4</v>
      </c>
      <c r="L3707" s="74">
        <v>92.16</v>
      </c>
      <c r="M3707" s="74"/>
      <c r="N3707" s="74" t="s">
        <v>392</v>
      </c>
      <c r="O3707" s="74" t="s">
        <v>393</v>
      </c>
      <c r="P3707" s="74"/>
      <c r="Q3707" s="74" t="s">
        <v>16105</v>
      </c>
    </row>
    <row r="3708" spans="3:17" x14ac:dyDescent="0.25">
      <c r="C3708" s="74" t="s">
        <v>16121</v>
      </c>
      <c r="D3708" s="74" t="s">
        <v>16122</v>
      </c>
      <c r="E3708" s="74" t="s">
        <v>391</v>
      </c>
      <c r="F3708" s="74">
        <v>0.1</v>
      </c>
      <c r="G3708" s="74"/>
      <c r="H3708" s="74"/>
      <c r="I3708" s="74" t="s">
        <v>391</v>
      </c>
      <c r="J3708" s="74"/>
      <c r="K3708" s="74">
        <v>102.4</v>
      </c>
      <c r="L3708" s="74">
        <v>92.16</v>
      </c>
      <c r="M3708" s="74"/>
      <c r="N3708" s="74" t="s">
        <v>392</v>
      </c>
      <c r="O3708" s="74" t="s">
        <v>393</v>
      </c>
      <c r="P3708" s="74"/>
      <c r="Q3708" s="74" t="s">
        <v>16123</v>
      </c>
    </row>
    <row r="3709" spans="3:17" x14ac:dyDescent="0.25">
      <c r="C3709" s="74" t="s">
        <v>16156</v>
      </c>
      <c r="D3709" s="74" t="s">
        <v>16157</v>
      </c>
      <c r="E3709" s="74" t="s">
        <v>391</v>
      </c>
      <c r="F3709" s="74">
        <v>0.1</v>
      </c>
      <c r="G3709" s="74"/>
      <c r="H3709" s="74"/>
      <c r="I3709" s="74" t="s">
        <v>391</v>
      </c>
      <c r="J3709" s="74"/>
      <c r="K3709" s="74">
        <v>102.4</v>
      </c>
      <c r="L3709" s="74">
        <v>92.16</v>
      </c>
      <c r="M3709" s="74"/>
      <c r="N3709" s="74" t="s">
        <v>392</v>
      </c>
      <c r="O3709" s="74" t="s">
        <v>393</v>
      </c>
      <c r="P3709" s="74"/>
      <c r="Q3709" s="74" t="s">
        <v>16158</v>
      </c>
    </row>
    <row r="3710" spans="3:17" x14ac:dyDescent="0.25">
      <c r="C3710" s="74" t="s">
        <v>16167</v>
      </c>
      <c r="D3710" s="74" t="s">
        <v>16168</v>
      </c>
      <c r="E3710" s="74" t="s">
        <v>391</v>
      </c>
      <c r="F3710" s="74">
        <v>0.1</v>
      </c>
      <c r="G3710" s="74"/>
      <c r="H3710" s="74"/>
      <c r="I3710" s="74" t="s">
        <v>391</v>
      </c>
      <c r="J3710" s="74"/>
      <c r="K3710" s="74">
        <v>102.4</v>
      </c>
      <c r="L3710" s="74">
        <v>92.16</v>
      </c>
      <c r="M3710" s="74"/>
      <c r="N3710" s="74" t="s">
        <v>392</v>
      </c>
      <c r="O3710" s="74" t="s">
        <v>393</v>
      </c>
      <c r="P3710" s="74"/>
      <c r="Q3710" s="74" t="s">
        <v>16169</v>
      </c>
    </row>
    <row r="3711" spans="3:17" x14ac:dyDescent="0.25">
      <c r="C3711" s="74" t="s">
        <v>16174</v>
      </c>
      <c r="D3711" s="74" t="s">
        <v>16175</v>
      </c>
      <c r="E3711" s="74" t="s">
        <v>391</v>
      </c>
      <c r="F3711" s="74">
        <v>0.1</v>
      </c>
      <c r="G3711" s="74"/>
      <c r="H3711" s="74"/>
      <c r="I3711" s="74" t="s">
        <v>391</v>
      </c>
      <c r="J3711" s="74"/>
      <c r="K3711" s="74">
        <v>102.4</v>
      </c>
      <c r="L3711" s="74">
        <v>92.16</v>
      </c>
      <c r="M3711" s="74"/>
      <c r="N3711" s="74" t="s">
        <v>392</v>
      </c>
      <c r="O3711" s="74" t="s">
        <v>393</v>
      </c>
      <c r="P3711" s="74"/>
      <c r="Q3711" s="74" t="s">
        <v>16176</v>
      </c>
    </row>
    <row r="3712" spans="3:17" x14ac:dyDescent="0.25">
      <c r="C3712" s="74" t="s">
        <v>16184</v>
      </c>
      <c r="D3712" s="74" t="s">
        <v>16185</v>
      </c>
      <c r="E3712" s="74" t="s">
        <v>391</v>
      </c>
      <c r="F3712" s="74">
        <v>0.1</v>
      </c>
      <c r="G3712" s="74"/>
      <c r="H3712" s="74"/>
      <c r="I3712" s="74" t="s">
        <v>391</v>
      </c>
      <c r="J3712" s="74"/>
      <c r="K3712" s="74">
        <v>102.4</v>
      </c>
      <c r="L3712" s="74">
        <v>92.16</v>
      </c>
      <c r="M3712" s="74"/>
      <c r="N3712" s="74" t="s">
        <v>392</v>
      </c>
      <c r="O3712" s="74" t="s">
        <v>393</v>
      </c>
      <c r="P3712" s="74"/>
      <c r="Q3712" s="74" t="s">
        <v>16186</v>
      </c>
    </row>
    <row r="3713" spans="3:17" x14ac:dyDescent="0.25">
      <c r="C3713" s="74" t="s">
        <v>16191</v>
      </c>
      <c r="D3713" s="74" t="s">
        <v>16192</v>
      </c>
      <c r="E3713" s="74" t="s">
        <v>391</v>
      </c>
      <c r="F3713" s="74">
        <v>0.1</v>
      </c>
      <c r="G3713" s="74"/>
      <c r="H3713" s="74"/>
      <c r="I3713" s="74" t="s">
        <v>391</v>
      </c>
      <c r="J3713" s="74"/>
      <c r="K3713" s="74">
        <v>102.4</v>
      </c>
      <c r="L3713" s="74">
        <v>92.16</v>
      </c>
      <c r="M3713" s="74"/>
      <c r="N3713" s="74" t="s">
        <v>392</v>
      </c>
      <c r="O3713" s="74" t="s">
        <v>393</v>
      </c>
      <c r="P3713" s="74"/>
      <c r="Q3713" s="74" t="s">
        <v>16193</v>
      </c>
    </row>
    <row r="3714" spans="3:17" x14ac:dyDescent="0.25">
      <c r="C3714" s="74" t="s">
        <v>16201</v>
      </c>
      <c r="D3714" s="74" t="s">
        <v>16202</v>
      </c>
      <c r="E3714" s="74" t="s">
        <v>391</v>
      </c>
      <c r="F3714" s="74">
        <v>0.1</v>
      </c>
      <c r="G3714" s="74"/>
      <c r="H3714" s="74"/>
      <c r="I3714" s="74" t="s">
        <v>391</v>
      </c>
      <c r="J3714" s="74"/>
      <c r="K3714" s="74">
        <v>102.4</v>
      </c>
      <c r="L3714" s="74">
        <v>92.16</v>
      </c>
      <c r="M3714" s="74"/>
      <c r="N3714" s="74" t="s">
        <v>392</v>
      </c>
      <c r="O3714" s="74" t="s">
        <v>393</v>
      </c>
      <c r="P3714" s="74"/>
      <c r="Q3714" s="74" t="s">
        <v>16203</v>
      </c>
    </row>
    <row r="3715" spans="3:17" x14ac:dyDescent="0.25">
      <c r="C3715" s="74" t="s">
        <v>16208</v>
      </c>
      <c r="D3715" s="74" t="s">
        <v>16209</v>
      </c>
      <c r="E3715" s="74" t="s">
        <v>391</v>
      </c>
      <c r="F3715" s="74">
        <v>0.1</v>
      </c>
      <c r="G3715" s="74"/>
      <c r="H3715" s="74"/>
      <c r="I3715" s="74" t="s">
        <v>391</v>
      </c>
      <c r="J3715" s="74"/>
      <c r="K3715" s="74">
        <v>102.4</v>
      </c>
      <c r="L3715" s="74">
        <v>92.16</v>
      </c>
      <c r="M3715" s="74"/>
      <c r="N3715" s="74" t="s">
        <v>392</v>
      </c>
      <c r="O3715" s="74" t="s">
        <v>393</v>
      </c>
      <c r="P3715" s="74"/>
      <c r="Q3715" s="74" t="s">
        <v>16210</v>
      </c>
    </row>
    <row r="3716" spans="3:17" x14ac:dyDescent="0.25">
      <c r="C3716" s="74" t="s">
        <v>16223</v>
      </c>
      <c r="D3716" s="74" t="s">
        <v>16224</v>
      </c>
      <c r="E3716" s="74" t="s">
        <v>391</v>
      </c>
      <c r="F3716" s="74">
        <v>0.1</v>
      </c>
      <c r="G3716" s="74"/>
      <c r="H3716" s="74"/>
      <c r="I3716" s="74" t="s">
        <v>391</v>
      </c>
      <c r="J3716" s="74"/>
      <c r="K3716" s="74">
        <v>102.4</v>
      </c>
      <c r="L3716" s="74">
        <v>92.16</v>
      </c>
      <c r="M3716" s="74"/>
      <c r="N3716" s="74" t="s">
        <v>392</v>
      </c>
      <c r="O3716" s="74" t="s">
        <v>393</v>
      </c>
      <c r="P3716" s="74"/>
      <c r="Q3716" s="74" t="s">
        <v>16225</v>
      </c>
    </row>
    <row r="3717" spans="3:17" x14ac:dyDescent="0.25">
      <c r="C3717" s="74" t="s">
        <v>16230</v>
      </c>
      <c r="D3717" s="74" t="s">
        <v>16231</v>
      </c>
      <c r="E3717" s="74" t="s">
        <v>391</v>
      </c>
      <c r="F3717" s="74">
        <v>0.1</v>
      </c>
      <c r="G3717" s="74"/>
      <c r="H3717" s="74"/>
      <c r="I3717" s="74" t="s">
        <v>391</v>
      </c>
      <c r="J3717" s="74"/>
      <c r="K3717" s="74">
        <v>102.4</v>
      </c>
      <c r="L3717" s="74">
        <v>92.16</v>
      </c>
      <c r="M3717" s="74"/>
      <c r="N3717" s="74" t="s">
        <v>392</v>
      </c>
      <c r="O3717" s="74" t="s">
        <v>393</v>
      </c>
      <c r="P3717" s="74"/>
      <c r="Q3717" s="74" t="s">
        <v>16232</v>
      </c>
    </row>
    <row r="3718" spans="3:17" x14ac:dyDescent="0.25">
      <c r="C3718" s="74" t="s">
        <v>16233</v>
      </c>
      <c r="D3718" s="74" t="s">
        <v>16234</v>
      </c>
      <c r="E3718" s="74" t="s">
        <v>391</v>
      </c>
      <c r="F3718" s="74">
        <v>0.1</v>
      </c>
      <c r="G3718" s="74"/>
      <c r="H3718" s="74"/>
      <c r="I3718" s="74" t="s">
        <v>391</v>
      </c>
      <c r="J3718" s="74"/>
      <c r="K3718" s="74">
        <v>102.4</v>
      </c>
      <c r="L3718" s="74">
        <v>92.16</v>
      </c>
      <c r="M3718" s="74"/>
      <c r="N3718" s="74" t="s">
        <v>392</v>
      </c>
      <c r="O3718" s="74" t="s">
        <v>393</v>
      </c>
      <c r="P3718" s="74"/>
      <c r="Q3718" s="74" t="s">
        <v>16235</v>
      </c>
    </row>
    <row r="3719" spans="3:17" x14ac:dyDescent="0.25">
      <c r="C3719" s="74" t="s">
        <v>16236</v>
      </c>
      <c r="D3719" s="74" t="s">
        <v>16237</v>
      </c>
      <c r="E3719" s="74" t="s">
        <v>391</v>
      </c>
      <c r="F3719" s="74">
        <v>0.1</v>
      </c>
      <c r="G3719" s="74"/>
      <c r="H3719" s="74"/>
      <c r="I3719" s="74" t="s">
        <v>391</v>
      </c>
      <c r="J3719" s="74"/>
      <c r="K3719" s="74">
        <v>102.4</v>
      </c>
      <c r="L3719" s="74">
        <v>92.16</v>
      </c>
      <c r="M3719" s="74"/>
      <c r="N3719" s="74" t="s">
        <v>392</v>
      </c>
      <c r="O3719" s="74" t="s">
        <v>393</v>
      </c>
      <c r="P3719" s="74"/>
      <c r="Q3719" s="74" t="s">
        <v>16238</v>
      </c>
    </row>
    <row r="3720" spans="3:17" x14ac:dyDescent="0.25">
      <c r="C3720" s="74" t="s">
        <v>16259</v>
      </c>
      <c r="D3720" s="74" t="s">
        <v>16260</v>
      </c>
      <c r="E3720" s="74" t="s">
        <v>391</v>
      </c>
      <c r="F3720" s="74">
        <v>0.1</v>
      </c>
      <c r="G3720" s="74"/>
      <c r="H3720" s="74"/>
      <c r="I3720" s="74" t="s">
        <v>391</v>
      </c>
      <c r="J3720" s="74"/>
      <c r="K3720" s="74">
        <v>102.4</v>
      </c>
      <c r="L3720" s="74">
        <v>92.16</v>
      </c>
      <c r="M3720" s="74"/>
      <c r="N3720" s="74" t="s">
        <v>392</v>
      </c>
      <c r="O3720" s="74" t="s">
        <v>393</v>
      </c>
      <c r="P3720" s="74"/>
      <c r="Q3720" s="74" t="s">
        <v>16261</v>
      </c>
    </row>
    <row r="3721" spans="3:17" x14ac:dyDescent="0.25">
      <c r="C3721" s="74" t="s">
        <v>16280</v>
      </c>
      <c r="D3721" s="74" t="s">
        <v>16281</v>
      </c>
      <c r="E3721" s="74" t="s">
        <v>391</v>
      </c>
      <c r="F3721" s="74">
        <v>0.1</v>
      </c>
      <c r="G3721" s="74"/>
      <c r="H3721" s="74"/>
      <c r="I3721" s="74" t="s">
        <v>391</v>
      </c>
      <c r="J3721" s="74"/>
      <c r="K3721" s="74">
        <v>102.4</v>
      </c>
      <c r="L3721" s="74">
        <v>92.16</v>
      </c>
      <c r="M3721" s="74"/>
      <c r="N3721" s="74" t="s">
        <v>392</v>
      </c>
      <c r="O3721" s="74" t="s">
        <v>393</v>
      </c>
      <c r="P3721" s="74"/>
      <c r="Q3721" s="74" t="s">
        <v>16282</v>
      </c>
    </row>
    <row r="3722" spans="3:17" x14ac:dyDescent="0.25">
      <c r="C3722" s="74" t="s">
        <v>16309</v>
      </c>
      <c r="D3722" s="74" t="s">
        <v>16310</v>
      </c>
      <c r="E3722" s="74" t="s">
        <v>391</v>
      </c>
      <c r="F3722" s="74">
        <v>0.1</v>
      </c>
      <c r="G3722" s="74"/>
      <c r="H3722" s="74"/>
      <c r="I3722" s="74" t="s">
        <v>391</v>
      </c>
      <c r="J3722" s="74"/>
      <c r="K3722" s="74">
        <v>102.4</v>
      </c>
      <c r="L3722" s="74">
        <v>92.16</v>
      </c>
      <c r="M3722" s="74"/>
      <c r="N3722" s="74" t="s">
        <v>392</v>
      </c>
      <c r="O3722" s="74" t="s">
        <v>393</v>
      </c>
      <c r="P3722" s="74"/>
      <c r="Q3722" s="74" t="s">
        <v>16311</v>
      </c>
    </row>
    <row r="3723" spans="3:17" x14ac:dyDescent="0.25">
      <c r="C3723" s="74" t="s">
        <v>16316</v>
      </c>
      <c r="D3723" s="74" t="s">
        <v>16317</v>
      </c>
      <c r="E3723" s="74" t="s">
        <v>391</v>
      </c>
      <c r="F3723" s="74">
        <v>0.1</v>
      </c>
      <c r="G3723" s="74"/>
      <c r="H3723" s="74"/>
      <c r="I3723" s="74" t="s">
        <v>391</v>
      </c>
      <c r="J3723" s="74"/>
      <c r="K3723" s="74">
        <v>102.4</v>
      </c>
      <c r="L3723" s="74">
        <v>92.16</v>
      </c>
      <c r="M3723" s="74"/>
      <c r="N3723" s="74" t="s">
        <v>392</v>
      </c>
      <c r="O3723" s="74" t="s">
        <v>393</v>
      </c>
      <c r="P3723" s="74"/>
      <c r="Q3723" s="74" t="s">
        <v>16318</v>
      </c>
    </row>
    <row r="3724" spans="3:17" x14ac:dyDescent="0.25">
      <c r="C3724" s="74" t="s">
        <v>16319</v>
      </c>
      <c r="D3724" s="74" t="s">
        <v>16320</v>
      </c>
      <c r="E3724" s="74" t="s">
        <v>391</v>
      </c>
      <c r="F3724" s="74">
        <v>0.1</v>
      </c>
      <c r="G3724" s="74"/>
      <c r="H3724" s="74"/>
      <c r="I3724" s="74" t="s">
        <v>391</v>
      </c>
      <c r="J3724" s="74"/>
      <c r="K3724" s="74">
        <v>102.4</v>
      </c>
      <c r="L3724" s="74">
        <v>92.16</v>
      </c>
      <c r="M3724" s="74"/>
      <c r="N3724" s="74" t="s">
        <v>392</v>
      </c>
      <c r="O3724" s="74" t="s">
        <v>393</v>
      </c>
      <c r="P3724" s="74"/>
      <c r="Q3724" s="74" t="s">
        <v>16321</v>
      </c>
    </row>
    <row r="3725" spans="3:17" x14ac:dyDescent="0.25">
      <c r="C3725" s="74" t="s">
        <v>16322</v>
      </c>
      <c r="D3725" s="74" t="s">
        <v>16323</v>
      </c>
      <c r="E3725" s="74" t="s">
        <v>391</v>
      </c>
      <c r="F3725" s="74">
        <v>0.1</v>
      </c>
      <c r="G3725" s="74"/>
      <c r="H3725" s="74"/>
      <c r="I3725" s="74" t="s">
        <v>391</v>
      </c>
      <c r="J3725" s="74"/>
      <c r="K3725" s="74">
        <v>102.4</v>
      </c>
      <c r="L3725" s="74">
        <v>92.16</v>
      </c>
      <c r="M3725" s="74"/>
      <c r="N3725" s="74" t="s">
        <v>392</v>
      </c>
      <c r="O3725" s="74" t="s">
        <v>393</v>
      </c>
      <c r="P3725" s="74"/>
      <c r="Q3725" s="74" t="s">
        <v>16324</v>
      </c>
    </row>
    <row r="3726" spans="3:17" x14ac:dyDescent="0.25">
      <c r="C3726" s="74" t="s">
        <v>16325</v>
      </c>
      <c r="D3726" s="74" t="s">
        <v>16326</v>
      </c>
      <c r="E3726" s="74" t="s">
        <v>391</v>
      </c>
      <c r="F3726" s="74">
        <v>0.1</v>
      </c>
      <c r="G3726" s="74"/>
      <c r="H3726" s="74"/>
      <c r="I3726" s="74" t="s">
        <v>391</v>
      </c>
      <c r="J3726" s="74"/>
      <c r="K3726" s="74">
        <v>102.4</v>
      </c>
      <c r="L3726" s="74">
        <v>92.16</v>
      </c>
      <c r="M3726" s="74"/>
      <c r="N3726" s="74" t="s">
        <v>392</v>
      </c>
      <c r="O3726" s="74" t="s">
        <v>393</v>
      </c>
      <c r="P3726" s="74"/>
      <c r="Q3726" s="74" t="s">
        <v>16326</v>
      </c>
    </row>
    <row r="3727" spans="3:17" x14ac:dyDescent="0.25">
      <c r="C3727" s="74" t="s">
        <v>16330</v>
      </c>
      <c r="D3727" s="74" t="s">
        <v>16331</v>
      </c>
      <c r="E3727" s="74" t="s">
        <v>391</v>
      </c>
      <c r="F3727" s="74">
        <v>0.1</v>
      </c>
      <c r="G3727" s="74"/>
      <c r="H3727" s="74"/>
      <c r="I3727" s="74" t="s">
        <v>391</v>
      </c>
      <c r="J3727" s="74"/>
      <c r="K3727" s="74">
        <v>102.4</v>
      </c>
      <c r="L3727" s="74">
        <v>92.16</v>
      </c>
      <c r="M3727" s="74"/>
      <c r="N3727" s="74" t="s">
        <v>392</v>
      </c>
      <c r="O3727" s="74" t="s">
        <v>393</v>
      </c>
      <c r="P3727" s="74"/>
      <c r="Q3727" s="74" t="s">
        <v>16332</v>
      </c>
    </row>
    <row r="3728" spans="3:17" x14ac:dyDescent="0.25">
      <c r="C3728" s="74" t="s">
        <v>16333</v>
      </c>
      <c r="D3728" s="74" t="s">
        <v>16334</v>
      </c>
      <c r="E3728" s="74" t="s">
        <v>391</v>
      </c>
      <c r="F3728" s="74">
        <v>0.1</v>
      </c>
      <c r="G3728" s="74"/>
      <c r="H3728" s="74"/>
      <c r="I3728" s="74" t="s">
        <v>391</v>
      </c>
      <c r="J3728" s="74"/>
      <c r="K3728" s="74">
        <v>102.4</v>
      </c>
      <c r="L3728" s="74">
        <v>92.16</v>
      </c>
      <c r="M3728" s="74"/>
      <c r="N3728" s="74" t="s">
        <v>392</v>
      </c>
      <c r="O3728" s="74" t="s">
        <v>393</v>
      </c>
      <c r="P3728" s="74"/>
      <c r="Q3728" s="74" t="s">
        <v>16335</v>
      </c>
    </row>
    <row r="3729" spans="3:17" x14ac:dyDescent="0.25">
      <c r="C3729" s="74" t="s">
        <v>16336</v>
      </c>
      <c r="D3729" s="74" t="s">
        <v>16337</v>
      </c>
      <c r="E3729" s="74" t="s">
        <v>391</v>
      </c>
      <c r="F3729" s="74">
        <v>0.1</v>
      </c>
      <c r="G3729" s="74"/>
      <c r="H3729" s="74"/>
      <c r="I3729" s="74" t="s">
        <v>391</v>
      </c>
      <c r="J3729" s="74"/>
      <c r="K3729" s="74">
        <v>102.4</v>
      </c>
      <c r="L3729" s="74">
        <v>92.16</v>
      </c>
      <c r="M3729" s="74"/>
      <c r="N3729" s="74" t="s">
        <v>392</v>
      </c>
      <c r="O3729" s="74" t="s">
        <v>393</v>
      </c>
      <c r="P3729" s="74"/>
      <c r="Q3729" s="74" t="s">
        <v>16338</v>
      </c>
    </row>
    <row r="3730" spans="3:17" x14ac:dyDescent="0.25">
      <c r="C3730" s="74" t="s">
        <v>16350</v>
      </c>
      <c r="D3730" s="74" t="s">
        <v>16351</v>
      </c>
      <c r="E3730" s="74" t="s">
        <v>391</v>
      </c>
      <c r="F3730" s="74">
        <v>0.1</v>
      </c>
      <c r="G3730" s="74"/>
      <c r="H3730" s="74"/>
      <c r="I3730" s="74" t="s">
        <v>391</v>
      </c>
      <c r="J3730" s="74"/>
      <c r="K3730" s="74">
        <v>102.4</v>
      </c>
      <c r="L3730" s="74">
        <v>92.16</v>
      </c>
      <c r="M3730" s="74"/>
      <c r="N3730" s="74" t="s">
        <v>392</v>
      </c>
      <c r="O3730" s="74" t="s">
        <v>393</v>
      </c>
      <c r="P3730" s="74"/>
      <c r="Q3730" s="74" t="s">
        <v>16352</v>
      </c>
    </row>
    <row r="3731" spans="3:17" x14ac:dyDescent="0.25">
      <c r="C3731" s="74" t="s">
        <v>16353</v>
      </c>
      <c r="D3731" s="74" t="s">
        <v>16354</v>
      </c>
      <c r="E3731" s="74" t="s">
        <v>391</v>
      </c>
      <c r="F3731" s="74">
        <v>0.1</v>
      </c>
      <c r="G3731" s="74"/>
      <c r="H3731" s="74"/>
      <c r="I3731" s="74" t="s">
        <v>391</v>
      </c>
      <c r="J3731" s="74"/>
      <c r="K3731" s="74">
        <v>102.4</v>
      </c>
      <c r="L3731" s="74">
        <v>92.16</v>
      </c>
      <c r="M3731" s="74"/>
      <c r="N3731" s="74" t="s">
        <v>392</v>
      </c>
      <c r="O3731" s="74" t="s">
        <v>393</v>
      </c>
      <c r="P3731" s="74"/>
      <c r="Q3731" s="74" t="s">
        <v>16355</v>
      </c>
    </row>
    <row r="3732" spans="3:17" x14ac:dyDescent="0.25">
      <c r="C3732" s="74" t="s">
        <v>16360</v>
      </c>
      <c r="D3732" s="74" t="s">
        <v>16361</v>
      </c>
      <c r="E3732" s="74" t="s">
        <v>391</v>
      </c>
      <c r="F3732" s="74">
        <v>0.1</v>
      </c>
      <c r="G3732" s="74"/>
      <c r="H3732" s="74"/>
      <c r="I3732" s="74" t="s">
        <v>391</v>
      </c>
      <c r="J3732" s="74"/>
      <c r="K3732" s="74">
        <v>102.4</v>
      </c>
      <c r="L3732" s="74">
        <v>92.16</v>
      </c>
      <c r="M3732" s="74"/>
      <c r="N3732" s="74" t="s">
        <v>392</v>
      </c>
      <c r="O3732" s="74" t="s">
        <v>393</v>
      </c>
      <c r="P3732" s="74"/>
      <c r="Q3732" s="74" t="s">
        <v>16362</v>
      </c>
    </row>
    <row r="3733" spans="3:17" x14ac:dyDescent="0.25">
      <c r="C3733" s="74" t="s">
        <v>16363</v>
      </c>
      <c r="D3733" s="74" t="s">
        <v>16364</v>
      </c>
      <c r="E3733" s="74" t="s">
        <v>391</v>
      </c>
      <c r="F3733" s="74">
        <v>0.1</v>
      </c>
      <c r="G3733" s="74"/>
      <c r="H3733" s="74"/>
      <c r="I3733" s="74" t="s">
        <v>391</v>
      </c>
      <c r="J3733" s="74"/>
      <c r="K3733" s="74">
        <v>102.4</v>
      </c>
      <c r="L3733" s="74">
        <v>92.16</v>
      </c>
      <c r="M3733" s="74"/>
      <c r="N3733" s="74" t="s">
        <v>392</v>
      </c>
      <c r="O3733" s="74" t="s">
        <v>393</v>
      </c>
      <c r="P3733" s="74"/>
      <c r="Q3733" s="74" t="s">
        <v>16365</v>
      </c>
    </row>
    <row r="3734" spans="3:17" x14ac:dyDescent="0.25">
      <c r="C3734" s="74" t="s">
        <v>16390</v>
      </c>
      <c r="D3734" s="74" t="s">
        <v>16391</v>
      </c>
      <c r="E3734" s="74" t="s">
        <v>391</v>
      </c>
      <c r="F3734" s="74">
        <v>0.1</v>
      </c>
      <c r="G3734" s="74"/>
      <c r="H3734" s="74"/>
      <c r="I3734" s="74" t="s">
        <v>391</v>
      </c>
      <c r="J3734" s="74"/>
      <c r="K3734" s="74">
        <v>102.4</v>
      </c>
      <c r="L3734" s="74">
        <v>92.16</v>
      </c>
      <c r="M3734" s="74"/>
      <c r="N3734" s="74" t="s">
        <v>392</v>
      </c>
      <c r="O3734" s="74" t="s">
        <v>393</v>
      </c>
      <c r="P3734" s="74"/>
      <c r="Q3734" s="74" t="s">
        <v>16392</v>
      </c>
    </row>
    <row r="3735" spans="3:17" x14ac:dyDescent="0.25">
      <c r="C3735" s="74" t="s">
        <v>16393</v>
      </c>
      <c r="D3735" s="74" t="s">
        <v>16394</v>
      </c>
      <c r="E3735" s="74" t="s">
        <v>391</v>
      </c>
      <c r="F3735" s="74">
        <v>0.1</v>
      </c>
      <c r="G3735" s="74"/>
      <c r="H3735" s="74"/>
      <c r="I3735" s="74" t="s">
        <v>391</v>
      </c>
      <c r="J3735" s="74"/>
      <c r="K3735" s="74">
        <v>102.4</v>
      </c>
      <c r="L3735" s="74">
        <v>92.16</v>
      </c>
      <c r="M3735" s="74"/>
      <c r="N3735" s="74" t="s">
        <v>392</v>
      </c>
      <c r="O3735" s="74" t="s">
        <v>393</v>
      </c>
      <c r="P3735" s="74"/>
      <c r="Q3735" s="74" t="s">
        <v>16395</v>
      </c>
    </row>
    <row r="3736" spans="3:17" x14ac:dyDescent="0.25">
      <c r="C3736" s="74" t="s">
        <v>16400</v>
      </c>
      <c r="D3736" s="74" t="s">
        <v>16401</v>
      </c>
      <c r="E3736" s="74" t="s">
        <v>391</v>
      </c>
      <c r="F3736" s="74">
        <v>0.1</v>
      </c>
      <c r="G3736" s="74"/>
      <c r="H3736" s="74"/>
      <c r="I3736" s="74" t="s">
        <v>391</v>
      </c>
      <c r="J3736" s="74"/>
      <c r="K3736" s="74">
        <v>102.4</v>
      </c>
      <c r="L3736" s="74">
        <v>92.16</v>
      </c>
      <c r="M3736" s="74"/>
      <c r="N3736" s="74" t="s">
        <v>392</v>
      </c>
      <c r="O3736" s="74" t="s">
        <v>393</v>
      </c>
      <c r="P3736" s="74"/>
      <c r="Q3736" s="74" t="s">
        <v>16402</v>
      </c>
    </row>
    <row r="3737" spans="3:17" x14ac:dyDescent="0.25">
      <c r="C3737" s="74" t="s">
        <v>16403</v>
      </c>
      <c r="D3737" s="74" t="s">
        <v>16404</v>
      </c>
      <c r="E3737" s="74" t="s">
        <v>391</v>
      </c>
      <c r="F3737" s="74">
        <v>0.1</v>
      </c>
      <c r="G3737" s="74"/>
      <c r="H3737" s="74"/>
      <c r="I3737" s="74" t="s">
        <v>391</v>
      </c>
      <c r="J3737" s="74"/>
      <c r="K3737" s="74">
        <v>102.4</v>
      </c>
      <c r="L3737" s="74">
        <v>92.16</v>
      </c>
      <c r="M3737" s="74"/>
      <c r="N3737" s="74" t="s">
        <v>392</v>
      </c>
      <c r="O3737" s="74" t="s">
        <v>393</v>
      </c>
      <c r="P3737" s="74"/>
      <c r="Q3737" s="74" t="s">
        <v>16405</v>
      </c>
    </row>
    <row r="3738" spans="3:17" x14ac:dyDescent="0.25">
      <c r="C3738" s="74" t="s">
        <v>16414</v>
      </c>
      <c r="D3738" s="74" t="s">
        <v>16415</v>
      </c>
      <c r="E3738" s="74" t="s">
        <v>391</v>
      </c>
      <c r="F3738" s="74">
        <v>0.1</v>
      </c>
      <c r="G3738" s="74"/>
      <c r="H3738" s="74"/>
      <c r="I3738" s="74" t="s">
        <v>391</v>
      </c>
      <c r="J3738" s="74"/>
      <c r="K3738" s="74">
        <v>102.4</v>
      </c>
      <c r="L3738" s="74">
        <v>92.16</v>
      </c>
      <c r="M3738" s="74"/>
      <c r="N3738" s="74" t="s">
        <v>392</v>
      </c>
      <c r="O3738" s="74" t="s">
        <v>393</v>
      </c>
      <c r="P3738" s="74"/>
      <c r="Q3738" s="74" t="s">
        <v>16416</v>
      </c>
    </row>
    <row r="3739" spans="3:17" x14ac:dyDescent="0.25">
      <c r="C3739" s="74" t="s">
        <v>16417</v>
      </c>
      <c r="D3739" s="74" t="s">
        <v>16418</v>
      </c>
      <c r="E3739" s="74" t="s">
        <v>391</v>
      </c>
      <c r="F3739" s="74">
        <v>0.1</v>
      </c>
      <c r="G3739" s="74"/>
      <c r="H3739" s="74"/>
      <c r="I3739" s="74" t="s">
        <v>391</v>
      </c>
      <c r="J3739" s="74"/>
      <c r="K3739" s="74">
        <v>102.4</v>
      </c>
      <c r="L3739" s="74">
        <v>92.16</v>
      </c>
      <c r="M3739" s="74"/>
      <c r="N3739" s="74" t="s">
        <v>392</v>
      </c>
      <c r="O3739" s="74" t="s">
        <v>393</v>
      </c>
      <c r="P3739" s="74"/>
      <c r="Q3739" s="74" t="s">
        <v>16419</v>
      </c>
    </row>
    <row r="3740" spans="3:17" x14ac:dyDescent="0.25">
      <c r="C3740" s="74" t="s">
        <v>16427</v>
      </c>
      <c r="D3740" s="74" t="s">
        <v>16428</v>
      </c>
      <c r="E3740" s="74" t="s">
        <v>391</v>
      </c>
      <c r="F3740" s="74">
        <v>0.1</v>
      </c>
      <c r="G3740" s="74"/>
      <c r="H3740" s="74"/>
      <c r="I3740" s="74" t="s">
        <v>391</v>
      </c>
      <c r="J3740" s="74"/>
      <c r="K3740" s="74">
        <v>102.4</v>
      </c>
      <c r="L3740" s="74">
        <v>92.16</v>
      </c>
      <c r="M3740" s="74"/>
      <c r="N3740" s="74" t="s">
        <v>392</v>
      </c>
      <c r="O3740" s="74" t="s">
        <v>393</v>
      </c>
      <c r="P3740" s="74"/>
      <c r="Q3740" s="74" t="s">
        <v>16429</v>
      </c>
    </row>
    <row r="3741" spans="3:17" x14ac:dyDescent="0.25">
      <c r="C3741" s="74" t="s">
        <v>16433</v>
      </c>
      <c r="D3741" s="74" t="s">
        <v>16434</v>
      </c>
      <c r="E3741" s="74" t="s">
        <v>391</v>
      </c>
      <c r="F3741" s="74">
        <v>0.1</v>
      </c>
      <c r="G3741" s="74"/>
      <c r="H3741" s="74"/>
      <c r="I3741" s="74" t="s">
        <v>391</v>
      </c>
      <c r="J3741" s="74"/>
      <c r="K3741" s="74">
        <v>102.4</v>
      </c>
      <c r="L3741" s="74">
        <v>92.16</v>
      </c>
      <c r="M3741" s="74"/>
      <c r="N3741" s="74" t="s">
        <v>392</v>
      </c>
      <c r="O3741" s="74" t="s">
        <v>393</v>
      </c>
      <c r="P3741" s="74"/>
      <c r="Q3741" s="74" t="s">
        <v>16435</v>
      </c>
    </row>
    <row r="3742" spans="3:17" x14ac:dyDescent="0.25">
      <c r="C3742" s="74" t="s">
        <v>16436</v>
      </c>
      <c r="D3742" s="74" t="s">
        <v>16437</v>
      </c>
      <c r="E3742" s="74" t="s">
        <v>391</v>
      </c>
      <c r="F3742" s="74">
        <v>0.1</v>
      </c>
      <c r="G3742" s="74"/>
      <c r="H3742" s="74"/>
      <c r="I3742" s="74" t="s">
        <v>391</v>
      </c>
      <c r="J3742" s="74"/>
      <c r="K3742" s="74">
        <v>102.4</v>
      </c>
      <c r="L3742" s="74">
        <v>92.16</v>
      </c>
      <c r="M3742" s="74"/>
      <c r="N3742" s="74" t="s">
        <v>392</v>
      </c>
      <c r="O3742" s="74" t="s">
        <v>393</v>
      </c>
      <c r="P3742" s="74"/>
      <c r="Q3742" s="74" t="s">
        <v>16438</v>
      </c>
    </row>
    <row r="3743" spans="3:17" x14ac:dyDescent="0.25">
      <c r="C3743" s="74" t="s">
        <v>16457</v>
      </c>
      <c r="D3743" s="74" t="s">
        <v>16458</v>
      </c>
      <c r="E3743" s="74" t="s">
        <v>391</v>
      </c>
      <c r="F3743" s="74">
        <v>0.1</v>
      </c>
      <c r="G3743" s="74"/>
      <c r="H3743" s="74"/>
      <c r="I3743" s="74" t="s">
        <v>391</v>
      </c>
      <c r="J3743" s="74"/>
      <c r="K3743" s="74">
        <v>102.4</v>
      </c>
      <c r="L3743" s="74">
        <v>92.16</v>
      </c>
      <c r="M3743" s="74"/>
      <c r="N3743" s="74" t="s">
        <v>392</v>
      </c>
      <c r="O3743" s="74" t="s">
        <v>393</v>
      </c>
      <c r="P3743" s="74"/>
      <c r="Q3743" s="74" t="s">
        <v>16459</v>
      </c>
    </row>
    <row r="3744" spans="3:17" x14ac:dyDescent="0.25">
      <c r="C3744" s="74" t="s">
        <v>16475</v>
      </c>
      <c r="D3744" s="74" t="s">
        <v>16476</v>
      </c>
      <c r="E3744" s="74" t="s">
        <v>391</v>
      </c>
      <c r="F3744" s="74">
        <v>0.1</v>
      </c>
      <c r="G3744" s="74"/>
      <c r="H3744" s="74"/>
      <c r="I3744" s="74" t="s">
        <v>391</v>
      </c>
      <c r="J3744" s="74"/>
      <c r="K3744" s="74">
        <v>102.4</v>
      </c>
      <c r="L3744" s="74">
        <v>92.16</v>
      </c>
      <c r="M3744" s="74"/>
      <c r="N3744" s="74" t="s">
        <v>392</v>
      </c>
      <c r="O3744" s="74" t="s">
        <v>393</v>
      </c>
      <c r="P3744" s="74"/>
      <c r="Q3744" s="74" t="s">
        <v>16477</v>
      </c>
    </row>
    <row r="3745" spans="3:17" x14ac:dyDescent="0.25">
      <c r="C3745" s="74" t="s">
        <v>16482</v>
      </c>
      <c r="D3745" s="74" t="s">
        <v>16483</v>
      </c>
      <c r="E3745" s="74" t="s">
        <v>391</v>
      </c>
      <c r="F3745" s="74">
        <v>0.1</v>
      </c>
      <c r="G3745" s="74"/>
      <c r="H3745" s="74"/>
      <c r="I3745" s="74" t="s">
        <v>391</v>
      </c>
      <c r="J3745" s="74"/>
      <c r="K3745" s="74">
        <v>102.4</v>
      </c>
      <c r="L3745" s="74">
        <v>92.16</v>
      </c>
      <c r="M3745" s="74"/>
      <c r="N3745" s="74" t="s">
        <v>392</v>
      </c>
      <c r="O3745" s="74" t="s">
        <v>393</v>
      </c>
      <c r="P3745" s="74"/>
      <c r="Q3745" s="74" t="s">
        <v>16484</v>
      </c>
    </row>
    <row r="3746" spans="3:17" x14ac:dyDescent="0.25">
      <c r="C3746" s="74" t="s">
        <v>16485</v>
      </c>
      <c r="D3746" s="74" t="s">
        <v>16486</v>
      </c>
      <c r="E3746" s="74" t="s">
        <v>391</v>
      </c>
      <c r="F3746" s="74">
        <v>0.1</v>
      </c>
      <c r="G3746" s="74"/>
      <c r="H3746" s="74"/>
      <c r="I3746" s="74" t="s">
        <v>391</v>
      </c>
      <c r="J3746" s="74"/>
      <c r="K3746" s="74">
        <v>102.4</v>
      </c>
      <c r="L3746" s="74">
        <v>92.16</v>
      </c>
      <c r="M3746" s="74"/>
      <c r="N3746" s="74" t="s">
        <v>392</v>
      </c>
      <c r="O3746" s="74" t="s">
        <v>393</v>
      </c>
      <c r="P3746" s="74"/>
      <c r="Q3746" s="74" t="s">
        <v>16487</v>
      </c>
    </row>
    <row r="3747" spans="3:17" x14ac:dyDescent="0.25">
      <c r="C3747" s="74" t="s">
        <v>16491</v>
      </c>
      <c r="D3747" s="74" t="s">
        <v>16492</v>
      </c>
      <c r="E3747" s="74" t="s">
        <v>391</v>
      </c>
      <c r="F3747" s="74">
        <v>0.1</v>
      </c>
      <c r="G3747" s="74"/>
      <c r="H3747" s="74"/>
      <c r="I3747" s="74" t="s">
        <v>391</v>
      </c>
      <c r="J3747" s="74"/>
      <c r="K3747" s="74">
        <v>102.4</v>
      </c>
      <c r="L3747" s="74">
        <v>92.16</v>
      </c>
      <c r="M3747" s="74"/>
      <c r="N3747" s="74" t="s">
        <v>392</v>
      </c>
      <c r="O3747" s="74" t="s">
        <v>393</v>
      </c>
      <c r="P3747" s="74"/>
      <c r="Q3747" s="74" t="s">
        <v>16493</v>
      </c>
    </row>
    <row r="3748" spans="3:17" x14ac:dyDescent="0.25">
      <c r="C3748" s="74" t="s">
        <v>16510</v>
      </c>
      <c r="D3748" s="74" t="s">
        <v>16511</v>
      </c>
      <c r="E3748" s="74" t="s">
        <v>391</v>
      </c>
      <c r="F3748" s="74">
        <v>0.1</v>
      </c>
      <c r="G3748" s="74"/>
      <c r="H3748" s="74"/>
      <c r="I3748" s="74" t="s">
        <v>391</v>
      </c>
      <c r="J3748" s="74"/>
      <c r="K3748" s="74">
        <v>102.4</v>
      </c>
      <c r="L3748" s="74">
        <v>92.16</v>
      </c>
      <c r="M3748" s="74"/>
      <c r="N3748" s="74" t="s">
        <v>392</v>
      </c>
      <c r="O3748" s="74" t="s">
        <v>393</v>
      </c>
      <c r="P3748" s="74"/>
      <c r="Q3748" s="74" t="s">
        <v>16512</v>
      </c>
    </row>
    <row r="3749" spans="3:17" x14ac:dyDescent="0.25">
      <c r="C3749" s="74" t="s">
        <v>16524</v>
      </c>
      <c r="D3749" s="74" t="s">
        <v>16525</v>
      </c>
      <c r="E3749" s="74" t="s">
        <v>391</v>
      </c>
      <c r="F3749" s="74">
        <v>0.1</v>
      </c>
      <c r="G3749" s="74"/>
      <c r="H3749" s="74"/>
      <c r="I3749" s="74" t="s">
        <v>391</v>
      </c>
      <c r="J3749" s="74"/>
      <c r="K3749" s="74">
        <v>102.4</v>
      </c>
      <c r="L3749" s="74">
        <v>92.16</v>
      </c>
      <c r="M3749" s="74"/>
      <c r="N3749" s="74" t="s">
        <v>392</v>
      </c>
      <c r="O3749" s="74" t="s">
        <v>393</v>
      </c>
      <c r="P3749" s="74"/>
      <c r="Q3749" s="74" t="s">
        <v>16526</v>
      </c>
    </row>
    <row r="3750" spans="3:17" x14ac:dyDescent="0.25">
      <c r="C3750" s="74" t="s">
        <v>16535</v>
      </c>
      <c r="D3750" s="74" t="s">
        <v>16536</v>
      </c>
      <c r="E3750" s="74" t="s">
        <v>391</v>
      </c>
      <c r="F3750" s="74">
        <v>0.1</v>
      </c>
      <c r="G3750" s="74"/>
      <c r="H3750" s="74"/>
      <c r="I3750" s="74" t="s">
        <v>391</v>
      </c>
      <c r="J3750" s="74"/>
      <c r="K3750" s="74">
        <v>102.4</v>
      </c>
      <c r="L3750" s="74">
        <v>92.16</v>
      </c>
      <c r="M3750" s="74"/>
      <c r="N3750" s="74" t="s">
        <v>392</v>
      </c>
      <c r="O3750" s="74" t="s">
        <v>393</v>
      </c>
      <c r="P3750" s="74"/>
      <c r="Q3750" s="74" t="s">
        <v>16537</v>
      </c>
    </row>
    <row r="3751" spans="3:17" x14ac:dyDescent="0.25">
      <c r="C3751" s="74" t="s">
        <v>16538</v>
      </c>
      <c r="D3751" s="74" t="s">
        <v>16539</v>
      </c>
      <c r="E3751" s="74" t="s">
        <v>391</v>
      </c>
      <c r="F3751" s="74">
        <v>0.1</v>
      </c>
      <c r="G3751" s="74"/>
      <c r="H3751" s="74"/>
      <c r="I3751" s="74" t="s">
        <v>391</v>
      </c>
      <c r="J3751" s="74"/>
      <c r="K3751" s="74">
        <v>102.4</v>
      </c>
      <c r="L3751" s="74">
        <v>92.16</v>
      </c>
      <c r="M3751" s="74"/>
      <c r="N3751" s="74" t="s">
        <v>392</v>
      </c>
      <c r="O3751" s="74" t="s">
        <v>393</v>
      </c>
      <c r="P3751" s="74"/>
      <c r="Q3751" s="74" t="s">
        <v>16540</v>
      </c>
    </row>
    <row r="3752" spans="3:17" x14ac:dyDescent="0.25">
      <c r="C3752" s="74" t="s">
        <v>16548</v>
      </c>
      <c r="D3752" s="74" t="s">
        <v>16549</v>
      </c>
      <c r="E3752" s="74" t="s">
        <v>391</v>
      </c>
      <c r="F3752" s="74">
        <v>0.1</v>
      </c>
      <c r="G3752" s="74"/>
      <c r="H3752" s="74"/>
      <c r="I3752" s="74" t="s">
        <v>391</v>
      </c>
      <c r="J3752" s="74"/>
      <c r="K3752" s="74">
        <v>102.4</v>
      </c>
      <c r="L3752" s="74">
        <v>92.16</v>
      </c>
      <c r="M3752" s="74"/>
      <c r="N3752" s="74" t="s">
        <v>392</v>
      </c>
      <c r="O3752" s="74" t="s">
        <v>393</v>
      </c>
      <c r="P3752" s="74"/>
      <c r="Q3752" s="74" t="s">
        <v>16550</v>
      </c>
    </row>
    <row r="3753" spans="3:17" x14ac:dyDescent="0.25">
      <c r="C3753" s="74" t="s">
        <v>16551</v>
      </c>
      <c r="D3753" s="74" t="s">
        <v>16552</v>
      </c>
      <c r="E3753" s="74" t="s">
        <v>391</v>
      </c>
      <c r="F3753" s="74">
        <v>0.1</v>
      </c>
      <c r="G3753" s="74"/>
      <c r="H3753" s="74"/>
      <c r="I3753" s="74" t="s">
        <v>391</v>
      </c>
      <c r="J3753" s="74"/>
      <c r="K3753" s="74">
        <v>102.4</v>
      </c>
      <c r="L3753" s="74">
        <v>92.16</v>
      </c>
      <c r="M3753" s="74"/>
      <c r="N3753" s="74" t="s">
        <v>392</v>
      </c>
      <c r="O3753" s="74" t="s">
        <v>393</v>
      </c>
      <c r="P3753" s="74"/>
      <c r="Q3753" s="74" t="s">
        <v>16553</v>
      </c>
    </row>
    <row r="3754" spans="3:17" x14ac:dyDescent="0.25">
      <c r="C3754" s="74" t="s">
        <v>16561</v>
      </c>
      <c r="D3754" s="74" t="s">
        <v>16562</v>
      </c>
      <c r="E3754" s="74" t="s">
        <v>391</v>
      </c>
      <c r="F3754" s="74">
        <v>0.1</v>
      </c>
      <c r="G3754" s="74"/>
      <c r="H3754" s="74"/>
      <c r="I3754" s="74" t="s">
        <v>391</v>
      </c>
      <c r="J3754" s="74"/>
      <c r="K3754" s="74">
        <v>102.4</v>
      </c>
      <c r="L3754" s="74">
        <v>92.16</v>
      </c>
      <c r="M3754" s="74"/>
      <c r="N3754" s="74" t="s">
        <v>392</v>
      </c>
      <c r="O3754" s="74" t="s">
        <v>393</v>
      </c>
      <c r="P3754" s="74"/>
      <c r="Q3754" s="74" t="s">
        <v>16563</v>
      </c>
    </row>
    <row r="3755" spans="3:17" x14ac:dyDescent="0.25">
      <c r="C3755" s="74" t="s">
        <v>16567</v>
      </c>
      <c r="D3755" s="74" t="s">
        <v>16568</v>
      </c>
      <c r="E3755" s="74" t="s">
        <v>391</v>
      </c>
      <c r="F3755" s="74">
        <v>0.1</v>
      </c>
      <c r="G3755" s="74"/>
      <c r="H3755" s="74"/>
      <c r="I3755" s="74" t="s">
        <v>391</v>
      </c>
      <c r="J3755" s="74"/>
      <c r="K3755" s="74">
        <v>102.4</v>
      </c>
      <c r="L3755" s="74">
        <v>92.16</v>
      </c>
      <c r="M3755" s="74"/>
      <c r="N3755" s="74" t="s">
        <v>392</v>
      </c>
      <c r="O3755" s="74" t="s">
        <v>393</v>
      </c>
      <c r="P3755" s="74"/>
      <c r="Q3755" s="74" t="s">
        <v>16569</v>
      </c>
    </row>
    <row r="3756" spans="3:17" x14ac:dyDescent="0.25">
      <c r="C3756" s="74" t="s">
        <v>16570</v>
      </c>
      <c r="D3756" s="74" t="s">
        <v>16571</v>
      </c>
      <c r="E3756" s="74" t="s">
        <v>391</v>
      </c>
      <c r="F3756" s="74">
        <v>0.1</v>
      </c>
      <c r="G3756" s="74"/>
      <c r="H3756" s="74"/>
      <c r="I3756" s="74" t="s">
        <v>391</v>
      </c>
      <c r="J3756" s="74"/>
      <c r="K3756" s="74">
        <v>102.4</v>
      </c>
      <c r="L3756" s="74">
        <v>92.16</v>
      </c>
      <c r="M3756" s="74"/>
      <c r="N3756" s="74" t="s">
        <v>392</v>
      </c>
      <c r="O3756" s="74" t="s">
        <v>393</v>
      </c>
      <c r="P3756" s="74"/>
      <c r="Q3756" s="74" t="s">
        <v>16572</v>
      </c>
    </row>
    <row r="3757" spans="3:17" x14ac:dyDescent="0.25">
      <c r="C3757" s="74" t="s">
        <v>16573</v>
      </c>
      <c r="D3757" s="74" t="s">
        <v>16574</v>
      </c>
      <c r="E3757" s="74" t="s">
        <v>391</v>
      </c>
      <c r="F3757" s="74">
        <v>0.1</v>
      </c>
      <c r="G3757" s="74"/>
      <c r="H3757" s="74"/>
      <c r="I3757" s="74" t="s">
        <v>391</v>
      </c>
      <c r="J3757" s="74"/>
      <c r="K3757" s="74">
        <v>102.4</v>
      </c>
      <c r="L3757" s="74">
        <v>92.16</v>
      </c>
      <c r="M3757" s="74"/>
      <c r="N3757" s="74" t="s">
        <v>392</v>
      </c>
      <c r="O3757" s="74" t="s">
        <v>393</v>
      </c>
      <c r="P3757" s="74"/>
      <c r="Q3757" s="74" t="s">
        <v>16575</v>
      </c>
    </row>
    <row r="3758" spans="3:17" x14ac:dyDescent="0.25">
      <c r="C3758" s="74" t="s">
        <v>16576</v>
      </c>
      <c r="D3758" s="74" t="s">
        <v>16577</v>
      </c>
      <c r="E3758" s="74" t="s">
        <v>391</v>
      </c>
      <c r="F3758" s="74">
        <v>0.1</v>
      </c>
      <c r="G3758" s="74"/>
      <c r="H3758" s="74"/>
      <c r="I3758" s="74" t="s">
        <v>391</v>
      </c>
      <c r="J3758" s="74"/>
      <c r="K3758" s="74">
        <v>102.4</v>
      </c>
      <c r="L3758" s="74">
        <v>92.16</v>
      </c>
      <c r="M3758" s="74"/>
      <c r="N3758" s="74" t="s">
        <v>392</v>
      </c>
      <c r="O3758" s="74" t="s">
        <v>393</v>
      </c>
      <c r="P3758" s="74"/>
      <c r="Q3758" s="74" t="s">
        <v>16578</v>
      </c>
    </row>
    <row r="3759" spans="3:17" x14ac:dyDescent="0.25">
      <c r="C3759" s="74" t="s">
        <v>16579</v>
      </c>
      <c r="D3759" s="74" t="s">
        <v>16580</v>
      </c>
      <c r="E3759" s="74"/>
      <c r="F3759" s="74">
        <v>0.1</v>
      </c>
      <c r="G3759" s="74"/>
      <c r="H3759" s="74"/>
      <c r="I3759" s="74" t="s">
        <v>391</v>
      </c>
      <c r="J3759" s="74"/>
      <c r="K3759" s="74">
        <v>102.4</v>
      </c>
      <c r="L3759" s="74">
        <v>92.16</v>
      </c>
      <c r="M3759" s="74"/>
      <c r="N3759" s="74" t="s">
        <v>392</v>
      </c>
      <c r="O3759" s="74" t="s">
        <v>1745</v>
      </c>
      <c r="P3759" s="74"/>
      <c r="Q3759" s="74" t="s">
        <v>16581</v>
      </c>
    </row>
    <row r="3760" spans="3:17" x14ac:dyDescent="0.25">
      <c r="C3760" s="74" t="s">
        <v>16582</v>
      </c>
      <c r="D3760" s="74" t="s">
        <v>16583</v>
      </c>
      <c r="E3760" s="74" t="s">
        <v>391</v>
      </c>
      <c r="F3760" s="74">
        <v>0.1</v>
      </c>
      <c r="G3760" s="74"/>
      <c r="H3760" s="74"/>
      <c r="I3760" s="74" t="s">
        <v>391</v>
      </c>
      <c r="J3760" s="74"/>
      <c r="K3760" s="74">
        <v>102.4</v>
      </c>
      <c r="L3760" s="74">
        <v>92.16</v>
      </c>
      <c r="M3760" s="74"/>
      <c r="N3760" s="74" t="s">
        <v>392</v>
      </c>
      <c r="O3760" s="74" t="s">
        <v>393</v>
      </c>
      <c r="P3760" s="74"/>
      <c r="Q3760" s="74" t="s">
        <v>16584</v>
      </c>
    </row>
    <row r="3761" spans="3:17" x14ac:dyDescent="0.25">
      <c r="C3761" s="74" t="s">
        <v>16585</v>
      </c>
      <c r="D3761" s="74" t="s">
        <v>16586</v>
      </c>
      <c r="E3761" s="74" t="s">
        <v>391</v>
      </c>
      <c r="F3761" s="74">
        <v>0.1</v>
      </c>
      <c r="G3761" s="74"/>
      <c r="H3761" s="74"/>
      <c r="I3761" s="74" t="s">
        <v>391</v>
      </c>
      <c r="J3761" s="74"/>
      <c r="K3761" s="74">
        <v>102.4</v>
      </c>
      <c r="L3761" s="74">
        <v>92.16</v>
      </c>
      <c r="M3761" s="74"/>
      <c r="N3761" s="74" t="s">
        <v>392</v>
      </c>
      <c r="O3761" s="74" t="s">
        <v>393</v>
      </c>
      <c r="P3761" s="74"/>
      <c r="Q3761" s="74" t="s">
        <v>16587</v>
      </c>
    </row>
    <row r="3762" spans="3:17" x14ac:dyDescent="0.25">
      <c r="C3762" s="74" t="s">
        <v>16607</v>
      </c>
      <c r="D3762" s="74" t="s">
        <v>16608</v>
      </c>
      <c r="E3762" s="74" t="s">
        <v>391</v>
      </c>
      <c r="F3762" s="74">
        <v>0.1</v>
      </c>
      <c r="G3762" s="74"/>
      <c r="H3762" s="74"/>
      <c r="I3762" s="74" t="s">
        <v>391</v>
      </c>
      <c r="J3762" s="74"/>
      <c r="K3762" s="74">
        <v>102.4</v>
      </c>
      <c r="L3762" s="74">
        <v>92.16</v>
      </c>
      <c r="M3762" s="74"/>
      <c r="N3762" s="74" t="s">
        <v>392</v>
      </c>
      <c r="O3762" s="74" t="s">
        <v>393</v>
      </c>
      <c r="P3762" s="74"/>
      <c r="Q3762" s="74" t="s">
        <v>16609</v>
      </c>
    </row>
    <row r="3763" spans="3:17" x14ac:dyDescent="0.25">
      <c r="C3763" s="74" t="s">
        <v>16614</v>
      </c>
      <c r="D3763" s="74" t="s">
        <v>16615</v>
      </c>
      <c r="E3763" s="74" t="s">
        <v>391</v>
      </c>
      <c r="F3763" s="74">
        <v>0.1</v>
      </c>
      <c r="G3763" s="74"/>
      <c r="H3763" s="74"/>
      <c r="I3763" s="74" t="s">
        <v>391</v>
      </c>
      <c r="J3763" s="74"/>
      <c r="K3763" s="74">
        <v>102.4</v>
      </c>
      <c r="L3763" s="74">
        <v>92.16</v>
      </c>
      <c r="M3763" s="74"/>
      <c r="N3763" s="74" t="s">
        <v>392</v>
      </c>
      <c r="O3763" s="74" t="s">
        <v>393</v>
      </c>
      <c r="P3763" s="74"/>
      <c r="Q3763" s="74" t="s">
        <v>16616</v>
      </c>
    </row>
    <row r="3764" spans="3:17" x14ac:dyDescent="0.25">
      <c r="C3764" s="74" t="s">
        <v>16617</v>
      </c>
      <c r="D3764" s="74" t="s">
        <v>16618</v>
      </c>
      <c r="E3764" s="74" t="s">
        <v>391</v>
      </c>
      <c r="F3764" s="74">
        <v>0.1</v>
      </c>
      <c r="G3764" s="74"/>
      <c r="H3764" s="74"/>
      <c r="I3764" s="74" t="s">
        <v>391</v>
      </c>
      <c r="J3764" s="74"/>
      <c r="K3764" s="74">
        <v>102.4</v>
      </c>
      <c r="L3764" s="74">
        <v>92.16</v>
      </c>
      <c r="M3764" s="74"/>
      <c r="N3764" s="74" t="s">
        <v>392</v>
      </c>
      <c r="O3764" s="74" t="s">
        <v>393</v>
      </c>
      <c r="P3764" s="74"/>
      <c r="Q3764" s="74" t="s">
        <v>16619</v>
      </c>
    </row>
    <row r="3765" spans="3:17" x14ac:dyDescent="0.25">
      <c r="C3765" s="74" t="s">
        <v>16624</v>
      </c>
      <c r="D3765" s="74" t="s">
        <v>16625</v>
      </c>
      <c r="E3765" s="74" t="s">
        <v>391</v>
      </c>
      <c r="F3765" s="74">
        <v>0.1</v>
      </c>
      <c r="G3765" s="74"/>
      <c r="H3765" s="74"/>
      <c r="I3765" s="74" t="s">
        <v>391</v>
      </c>
      <c r="J3765" s="74"/>
      <c r="K3765" s="74">
        <v>102.4</v>
      </c>
      <c r="L3765" s="74">
        <v>92.16</v>
      </c>
      <c r="M3765" s="74"/>
      <c r="N3765" s="74" t="s">
        <v>392</v>
      </c>
      <c r="O3765" s="74" t="s">
        <v>393</v>
      </c>
      <c r="P3765" s="74"/>
      <c r="Q3765" s="74" t="s">
        <v>16626</v>
      </c>
    </row>
    <row r="3766" spans="3:17" x14ac:dyDescent="0.25">
      <c r="C3766" s="74" t="s">
        <v>16627</v>
      </c>
      <c r="D3766" s="74" t="s">
        <v>16628</v>
      </c>
      <c r="E3766" s="74"/>
      <c r="F3766" s="74">
        <v>0.1</v>
      </c>
      <c r="G3766" s="74"/>
      <c r="H3766" s="74"/>
      <c r="I3766" s="74" t="s">
        <v>391</v>
      </c>
      <c r="J3766" s="74"/>
      <c r="K3766" s="74">
        <v>102.4</v>
      </c>
      <c r="L3766" s="74">
        <v>92.16</v>
      </c>
      <c r="M3766" s="74"/>
      <c r="N3766" s="74" t="s">
        <v>392</v>
      </c>
      <c r="O3766" s="74" t="s">
        <v>1745</v>
      </c>
      <c r="P3766" s="74"/>
      <c r="Q3766" s="74" t="s">
        <v>16629</v>
      </c>
    </row>
    <row r="3767" spans="3:17" x14ac:dyDescent="0.25">
      <c r="C3767" s="74" t="s">
        <v>16648</v>
      </c>
      <c r="D3767" s="74" t="s">
        <v>16649</v>
      </c>
      <c r="E3767" s="74" t="s">
        <v>391</v>
      </c>
      <c r="F3767" s="74">
        <v>0.1</v>
      </c>
      <c r="G3767" s="74"/>
      <c r="H3767" s="74"/>
      <c r="I3767" s="74" t="s">
        <v>391</v>
      </c>
      <c r="J3767" s="74"/>
      <c r="K3767" s="74">
        <v>102.4</v>
      </c>
      <c r="L3767" s="74">
        <v>92.16</v>
      </c>
      <c r="M3767" s="74"/>
      <c r="N3767" s="74" t="s">
        <v>392</v>
      </c>
      <c r="O3767" s="74" t="s">
        <v>393</v>
      </c>
      <c r="P3767" s="74"/>
      <c r="Q3767" s="74" t="s">
        <v>16650</v>
      </c>
    </row>
    <row r="3768" spans="3:17" x14ac:dyDescent="0.25">
      <c r="C3768" s="74" t="s">
        <v>16663</v>
      </c>
      <c r="D3768" s="74" t="s">
        <v>16664</v>
      </c>
      <c r="E3768" s="74" t="s">
        <v>391</v>
      </c>
      <c r="F3768" s="74">
        <v>0.1</v>
      </c>
      <c r="G3768" s="74"/>
      <c r="H3768" s="74"/>
      <c r="I3768" s="74" t="s">
        <v>391</v>
      </c>
      <c r="J3768" s="74"/>
      <c r="K3768" s="74">
        <v>102.4</v>
      </c>
      <c r="L3768" s="74">
        <v>92.16</v>
      </c>
      <c r="M3768" s="74"/>
      <c r="N3768" s="74" t="s">
        <v>392</v>
      </c>
      <c r="O3768" s="74" t="s">
        <v>393</v>
      </c>
      <c r="P3768" s="74"/>
      <c r="Q3768" s="74" t="s">
        <v>16665</v>
      </c>
    </row>
    <row r="3769" spans="3:17" x14ac:dyDescent="0.25">
      <c r="C3769" s="74" t="s">
        <v>16666</v>
      </c>
      <c r="D3769" s="74" t="s">
        <v>16667</v>
      </c>
      <c r="E3769" s="74" t="s">
        <v>391</v>
      </c>
      <c r="F3769" s="74">
        <v>0.1</v>
      </c>
      <c r="G3769" s="74"/>
      <c r="H3769" s="74"/>
      <c r="I3769" s="74" t="s">
        <v>391</v>
      </c>
      <c r="J3769" s="74"/>
      <c r="K3769" s="74">
        <v>102.4</v>
      </c>
      <c r="L3769" s="74">
        <v>92.16</v>
      </c>
      <c r="M3769" s="74"/>
      <c r="N3769" s="74" t="s">
        <v>392</v>
      </c>
      <c r="O3769" s="74" t="s">
        <v>393</v>
      </c>
      <c r="P3769" s="74"/>
      <c r="Q3769" s="74" t="s">
        <v>16667</v>
      </c>
    </row>
    <row r="3770" spans="3:17" x14ac:dyDescent="0.25">
      <c r="C3770" s="74" t="s">
        <v>16668</v>
      </c>
      <c r="D3770" s="74" t="s">
        <v>16669</v>
      </c>
      <c r="E3770" s="74" t="s">
        <v>391</v>
      </c>
      <c r="F3770" s="74">
        <v>0.1</v>
      </c>
      <c r="G3770" s="74"/>
      <c r="H3770" s="74"/>
      <c r="I3770" s="74" t="s">
        <v>391</v>
      </c>
      <c r="J3770" s="74"/>
      <c r="K3770" s="74">
        <v>102.4</v>
      </c>
      <c r="L3770" s="74">
        <v>92.16</v>
      </c>
      <c r="M3770" s="74"/>
      <c r="N3770" s="74" t="s">
        <v>392</v>
      </c>
      <c r="O3770" s="74" t="s">
        <v>393</v>
      </c>
      <c r="P3770" s="74"/>
      <c r="Q3770" s="74" t="s">
        <v>16670</v>
      </c>
    </row>
    <row r="3771" spans="3:17" x14ac:dyDescent="0.25">
      <c r="C3771" s="74" t="s">
        <v>16671</v>
      </c>
      <c r="D3771" s="74" t="s">
        <v>16672</v>
      </c>
      <c r="E3771" s="74" t="s">
        <v>391</v>
      </c>
      <c r="F3771" s="74">
        <v>0.1</v>
      </c>
      <c r="G3771" s="74"/>
      <c r="H3771" s="74"/>
      <c r="I3771" s="74" t="s">
        <v>391</v>
      </c>
      <c r="J3771" s="74"/>
      <c r="K3771" s="74">
        <v>102.4</v>
      </c>
      <c r="L3771" s="74">
        <v>92.16</v>
      </c>
      <c r="M3771" s="74"/>
      <c r="N3771" s="74" t="s">
        <v>392</v>
      </c>
      <c r="O3771" s="74" t="s">
        <v>393</v>
      </c>
      <c r="P3771" s="74"/>
      <c r="Q3771" s="74" t="s">
        <v>16672</v>
      </c>
    </row>
    <row r="3772" spans="3:17" x14ac:dyDescent="0.25">
      <c r="C3772" s="74" t="s">
        <v>16685</v>
      </c>
      <c r="D3772" s="74" t="s">
        <v>16686</v>
      </c>
      <c r="E3772" s="74" t="s">
        <v>391</v>
      </c>
      <c r="F3772" s="74">
        <v>0.1</v>
      </c>
      <c r="G3772" s="74"/>
      <c r="H3772" s="74"/>
      <c r="I3772" s="74" t="s">
        <v>391</v>
      </c>
      <c r="J3772" s="74"/>
      <c r="K3772" s="74">
        <v>102.4</v>
      </c>
      <c r="L3772" s="74">
        <v>92.16</v>
      </c>
      <c r="M3772" s="74"/>
      <c r="N3772" s="74" t="s">
        <v>392</v>
      </c>
      <c r="O3772" s="74" t="s">
        <v>393</v>
      </c>
      <c r="P3772" s="74"/>
      <c r="Q3772" s="74" t="s">
        <v>16687</v>
      </c>
    </row>
    <row r="3773" spans="3:17" x14ac:dyDescent="0.25">
      <c r="C3773" s="74" t="s">
        <v>16688</v>
      </c>
      <c r="D3773" s="74" t="s">
        <v>16689</v>
      </c>
      <c r="E3773" s="74" t="s">
        <v>391</v>
      </c>
      <c r="F3773" s="74">
        <v>0.1</v>
      </c>
      <c r="G3773" s="74"/>
      <c r="H3773" s="74"/>
      <c r="I3773" s="74" t="s">
        <v>391</v>
      </c>
      <c r="J3773" s="74"/>
      <c r="K3773" s="74">
        <v>102.4</v>
      </c>
      <c r="L3773" s="74">
        <v>92.16</v>
      </c>
      <c r="M3773" s="74"/>
      <c r="N3773" s="74" t="s">
        <v>392</v>
      </c>
      <c r="O3773" s="74" t="s">
        <v>393</v>
      </c>
      <c r="P3773" s="74"/>
      <c r="Q3773" s="74" t="s">
        <v>16690</v>
      </c>
    </row>
    <row r="3774" spans="3:17" x14ac:dyDescent="0.25">
      <c r="C3774" s="74" t="s">
        <v>16695</v>
      </c>
      <c r="D3774" s="74" t="s">
        <v>16696</v>
      </c>
      <c r="E3774" s="74" t="s">
        <v>391</v>
      </c>
      <c r="F3774" s="74">
        <v>0.1</v>
      </c>
      <c r="G3774" s="74"/>
      <c r="H3774" s="74"/>
      <c r="I3774" s="74" t="s">
        <v>391</v>
      </c>
      <c r="J3774" s="74"/>
      <c r="K3774" s="74">
        <v>102.4</v>
      </c>
      <c r="L3774" s="74">
        <v>92.16</v>
      </c>
      <c r="M3774" s="74"/>
      <c r="N3774" s="74" t="s">
        <v>392</v>
      </c>
      <c r="O3774" s="74" t="s">
        <v>393</v>
      </c>
      <c r="P3774" s="74"/>
      <c r="Q3774" s="74" t="s">
        <v>16697</v>
      </c>
    </row>
    <row r="3775" spans="3:17" x14ac:dyDescent="0.25">
      <c r="C3775" s="74" t="s">
        <v>16702</v>
      </c>
      <c r="D3775" s="74" t="s">
        <v>16703</v>
      </c>
      <c r="E3775" s="74" t="s">
        <v>391</v>
      </c>
      <c r="F3775" s="74">
        <v>0.1</v>
      </c>
      <c r="G3775" s="74"/>
      <c r="H3775" s="74"/>
      <c r="I3775" s="74" t="s">
        <v>391</v>
      </c>
      <c r="J3775" s="74"/>
      <c r="K3775" s="74">
        <v>102.4</v>
      </c>
      <c r="L3775" s="74">
        <v>92.16</v>
      </c>
      <c r="M3775" s="74"/>
      <c r="N3775" s="74" t="s">
        <v>392</v>
      </c>
      <c r="O3775" s="74" t="s">
        <v>393</v>
      </c>
      <c r="P3775" s="74"/>
      <c r="Q3775" s="74" t="s">
        <v>16703</v>
      </c>
    </row>
    <row r="3776" spans="3:17" x14ac:dyDescent="0.25">
      <c r="C3776" s="74" t="s">
        <v>16704</v>
      </c>
      <c r="D3776" s="74" t="s">
        <v>16705</v>
      </c>
      <c r="E3776" s="74" t="s">
        <v>391</v>
      </c>
      <c r="F3776" s="74">
        <v>0.1</v>
      </c>
      <c r="G3776" s="74"/>
      <c r="H3776" s="74"/>
      <c r="I3776" s="74" t="s">
        <v>391</v>
      </c>
      <c r="J3776" s="74"/>
      <c r="K3776" s="74">
        <v>102.4</v>
      </c>
      <c r="L3776" s="74">
        <v>92.16</v>
      </c>
      <c r="M3776" s="74"/>
      <c r="N3776" s="74" t="s">
        <v>392</v>
      </c>
      <c r="O3776" s="74" t="s">
        <v>393</v>
      </c>
      <c r="P3776" s="74"/>
      <c r="Q3776" s="74" t="s">
        <v>16706</v>
      </c>
    </row>
    <row r="3777" spans="3:17" x14ac:dyDescent="0.25">
      <c r="C3777" s="74" t="s">
        <v>16711</v>
      </c>
      <c r="D3777" s="74" t="s">
        <v>16712</v>
      </c>
      <c r="E3777" s="74" t="s">
        <v>391</v>
      </c>
      <c r="F3777" s="74">
        <v>0.1</v>
      </c>
      <c r="G3777" s="74"/>
      <c r="H3777" s="74"/>
      <c r="I3777" s="74" t="s">
        <v>391</v>
      </c>
      <c r="J3777" s="74"/>
      <c r="K3777" s="74">
        <v>102.4</v>
      </c>
      <c r="L3777" s="74">
        <v>92.16</v>
      </c>
      <c r="M3777" s="74"/>
      <c r="N3777" s="74" t="s">
        <v>392</v>
      </c>
      <c r="O3777" s="74" t="s">
        <v>393</v>
      </c>
      <c r="P3777" s="74"/>
      <c r="Q3777" s="74" t="s">
        <v>16713</v>
      </c>
    </row>
    <row r="3778" spans="3:17" x14ac:dyDescent="0.25">
      <c r="C3778" s="74" t="s">
        <v>16714</v>
      </c>
      <c r="D3778" s="74" t="s">
        <v>16715</v>
      </c>
      <c r="E3778" s="74" t="s">
        <v>391</v>
      </c>
      <c r="F3778" s="74">
        <v>0.1</v>
      </c>
      <c r="G3778" s="74"/>
      <c r="H3778" s="74"/>
      <c r="I3778" s="74" t="s">
        <v>391</v>
      </c>
      <c r="J3778" s="74"/>
      <c r="K3778" s="74">
        <v>102.4</v>
      </c>
      <c r="L3778" s="74">
        <v>92.16</v>
      </c>
      <c r="M3778" s="74"/>
      <c r="N3778" s="74" t="s">
        <v>392</v>
      </c>
      <c r="O3778" s="74" t="s">
        <v>393</v>
      </c>
      <c r="P3778" s="74"/>
      <c r="Q3778" s="74" t="s">
        <v>16716</v>
      </c>
    </row>
    <row r="3779" spans="3:17" x14ac:dyDescent="0.25">
      <c r="C3779" s="74" t="s">
        <v>16717</v>
      </c>
      <c r="D3779" s="74" t="s">
        <v>16718</v>
      </c>
      <c r="E3779" s="74" t="s">
        <v>391</v>
      </c>
      <c r="F3779" s="74">
        <v>0.1</v>
      </c>
      <c r="G3779" s="74"/>
      <c r="H3779" s="74"/>
      <c r="I3779" s="74" t="s">
        <v>391</v>
      </c>
      <c r="J3779" s="74"/>
      <c r="K3779" s="74">
        <v>102.4</v>
      </c>
      <c r="L3779" s="74">
        <v>92.16</v>
      </c>
      <c r="M3779" s="74"/>
      <c r="N3779" s="74" t="s">
        <v>392</v>
      </c>
      <c r="O3779" s="74" t="s">
        <v>393</v>
      </c>
      <c r="P3779" s="74"/>
      <c r="Q3779" s="74" t="s">
        <v>16719</v>
      </c>
    </row>
    <row r="3780" spans="3:17" x14ac:dyDescent="0.25">
      <c r="C3780" s="74" t="s">
        <v>16723</v>
      </c>
      <c r="D3780" s="74" t="s">
        <v>16724</v>
      </c>
      <c r="E3780" s="74" t="s">
        <v>391</v>
      </c>
      <c r="F3780" s="74">
        <v>0.1</v>
      </c>
      <c r="G3780" s="74"/>
      <c r="H3780" s="74"/>
      <c r="I3780" s="74" t="s">
        <v>391</v>
      </c>
      <c r="J3780" s="74"/>
      <c r="K3780" s="74">
        <v>102.4</v>
      </c>
      <c r="L3780" s="74">
        <v>92.16</v>
      </c>
      <c r="M3780" s="74"/>
      <c r="N3780" s="74" t="s">
        <v>392</v>
      </c>
      <c r="O3780" s="74" t="s">
        <v>393</v>
      </c>
      <c r="P3780" s="74"/>
      <c r="Q3780" s="74" t="s">
        <v>16725</v>
      </c>
    </row>
    <row r="3781" spans="3:17" x14ac:dyDescent="0.25">
      <c r="C3781" s="74" t="s">
        <v>16742</v>
      </c>
      <c r="D3781" s="74" t="s">
        <v>16743</v>
      </c>
      <c r="E3781" s="74" t="s">
        <v>391</v>
      </c>
      <c r="F3781" s="74">
        <v>0.1</v>
      </c>
      <c r="G3781" s="74"/>
      <c r="H3781" s="74"/>
      <c r="I3781" s="74" t="s">
        <v>391</v>
      </c>
      <c r="J3781" s="74"/>
      <c r="K3781" s="74">
        <v>102.4</v>
      </c>
      <c r="L3781" s="74">
        <v>92.16</v>
      </c>
      <c r="M3781" s="74"/>
      <c r="N3781" s="74" t="s">
        <v>392</v>
      </c>
      <c r="O3781" s="74" t="s">
        <v>393</v>
      </c>
      <c r="P3781" s="74"/>
      <c r="Q3781" s="74" t="s">
        <v>16744</v>
      </c>
    </row>
    <row r="3782" spans="3:17" x14ac:dyDescent="0.25">
      <c r="C3782" s="74" t="s">
        <v>16752</v>
      </c>
      <c r="D3782" s="74" t="s">
        <v>16753</v>
      </c>
      <c r="E3782" s="74" t="s">
        <v>391</v>
      </c>
      <c r="F3782" s="74">
        <v>0.1</v>
      </c>
      <c r="G3782" s="74"/>
      <c r="H3782" s="74"/>
      <c r="I3782" s="74" t="s">
        <v>391</v>
      </c>
      <c r="J3782" s="74"/>
      <c r="K3782" s="74">
        <v>102.4</v>
      </c>
      <c r="L3782" s="74">
        <v>92.16</v>
      </c>
      <c r="M3782" s="74"/>
      <c r="N3782" s="74" t="s">
        <v>392</v>
      </c>
      <c r="O3782" s="74" t="s">
        <v>393</v>
      </c>
      <c r="P3782" s="74"/>
      <c r="Q3782" s="74" t="s">
        <v>16754</v>
      </c>
    </row>
    <row r="3783" spans="3:17" x14ac:dyDescent="0.25">
      <c r="C3783" s="74" t="s">
        <v>16755</v>
      </c>
      <c r="D3783" s="74" t="s">
        <v>16756</v>
      </c>
      <c r="E3783" s="74" t="s">
        <v>391</v>
      </c>
      <c r="F3783" s="74">
        <v>0.1</v>
      </c>
      <c r="G3783" s="74"/>
      <c r="H3783" s="74"/>
      <c r="I3783" s="74" t="s">
        <v>391</v>
      </c>
      <c r="J3783" s="74"/>
      <c r="K3783" s="74">
        <v>102.4</v>
      </c>
      <c r="L3783" s="74">
        <v>92.16</v>
      </c>
      <c r="M3783" s="74"/>
      <c r="N3783" s="74" t="s">
        <v>392</v>
      </c>
      <c r="O3783" s="74" t="s">
        <v>393</v>
      </c>
      <c r="P3783" s="74"/>
      <c r="Q3783" s="74" t="s">
        <v>16757</v>
      </c>
    </row>
    <row r="3784" spans="3:17" x14ac:dyDescent="0.25">
      <c r="C3784" s="74" t="s">
        <v>16773</v>
      </c>
      <c r="D3784" s="74" t="s">
        <v>16774</v>
      </c>
      <c r="E3784" s="74" t="s">
        <v>391</v>
      </c>
      <c r="F3784" s="74">
        <v>0.1</v>
      </c>
      <c r="G3784" s="74"/>
      <c r="H3784" s="74"/>
      <c r="I3784" s="74" t="s">
        <v>391</v>
      </c>
      <c r="J3784" s="74"/>
      <c r="K3784" s="74">
        <v>102.4</v>
      </c>
      <c r="L3784" s="74">
        <v>92.16</v>
      </c>
      <c r="M3784" s="74"/>
      <c r="N3784" s="74" t="s">
        <v>392</v>
      </c>
      <c r="O3784" s="74" t="s">
        <v>393</v>
      </c>
      <c r="P3784" s="74"/>
      <c r="Q3784" s="74" t="s">
        <v>16774</v>
      </c>
    </row>
    <row r="3785" spans="3:17" x14ac:dyDescent="0.25">
      <c r="C3785" s="74" t="s">
        <v>16775</v>
      </c>
      <c r="D3785" s="74" t="s">
        <v>16776</v>
      </c>
      <c r="E3785" s="74" t="s">
        <v>391</v>
      </c>
      <c r="F3785" s="74">
        <v>0.1</v>
      </c>
      <c r="G3785" s="74"/>
      <c r="H3785" s="74"/>
      <c r="I3785" s="74" t="s">
        <v>391</v>
      </c>
      <c r="J3785" s="74"/>
      <c r="K3785" s="74">
        <v>102.4</v>
      </c>
      <c r="L3785" s="74">
        <v>92.16</v>
      </c>
      <c r="M3785" s="74"/>
      <c r="N3785" s="74" t="s">
        <v>392</v>
      </c>
      <c r="O3785" s="74" t="s">
        <v>393</v>
      </c>
      <c r="P3785" s="74"/>
      <c r="Q3785" s="74" t="s">
        <v>16777</v>
      </c>
    </row>
    <row r="3786" spans="3:17" x14ac:dyDescent="0.25">
      <c r="C3786" s="74" t="s">
        <v>16778</v>
      </c>
      <c r="D3786" s="74" t="s">
        <v>16779</v>
      </c>
      <c r="E3786" s="74" t="s">
        <v>391</v>
      </c>
      <c r="F3786" s="74">
        <v>0.1</v>
      </c>
      <c r="G3786" s="74"/>
      <c r="H3786" s="74"/>
      <c r="I3786" s="74" t="s">
        <v>391</v>
      </c>
      <c r="J3786" s="74"/>
      <c r="K3786" s="74">
        <v>102.4</v>
      </c>
      <c r="L3786" s="74">
        <v>92.16</v>
      </c>
      <c r="M3786" s="74"/>
      <c r="N3786" s="74" t="s">
        <v>392</v>
      </c>
      <c r="O3786" s="74" t="s">
        <v>393</v>
      </c>
      <c r="P3786" s="74"/>
      <c r="Q3786" s="74" t="s">
        <v>16780</v>
      </c>
    </row>
    <row r="3787" spans="3:17" x14ac:dyDescent="0.25">
      <c r="C3787" s="74" t="s">
        <v>16781</v>
      </c>
      <c r="D3787" s="74" t="s">
        <v>16782</v>
      </c>
      <c r="E3787" s="74" t="s">
        <v>391</v>
      </c>
      <c r="F3787" s="74">
        <v>0.1</v>
      </c>
      <c r="G3787" s="74"/>
      <c r="H3787" s="74"/>
      <c r="I3787" s="74" t="s">
        <v>391</v>
      </c>
      <c r="J3787" s="74"/>
      <c r="K3787" s="74">
        <v>102.4</v>
      </c>
      <c r="L3787" s="74">
        <v>92.16</v>
      </c>
      <c r="M3787" s="74"/>
      <c r="N3787" s="74" t="s">
        <v>392</v>
      </c>
      <c r="O3787" s="74" t="s">
        <v>393</v>
      </c>
      <c r="P3787" s="74"/>
      <c r="Q3787" s="74" t="s">
        <v>16783</v>
      </c>
    </row>
    <row r="3788" spans="3:17" x14ac:dyDescent="0.25">
      <c r="C3788" s="74" t="s">
        <v>16809</v>
      </c>
      <c r="D3788" s="74" t="s">
        <v>16810</v>
      </c>
      <c r="E3788" s="74" t="s">
        <v>391</v>
      </c>
      <c r="F3788" s="74">
        <v>0.1</v>
      </c>
      <c r="G3788" s="74"/>
      <c r="H3788" s="74"/>
      <c r="I3788" s="74" t="s">
        <v>391</v>
      </c>
      <c r="J3788" s="74"/>
      <c r="K3788" s="74">
        <v>102.4</v>
      </c>
      <c r="L3788" s="74">
        <v>92.16</v>
      </c>
      <c r="M3788" s="74"/>
      <c r="N3788" s="74" t="s">
        <v>392</v>
      </c>
      <c r="O3788" s="74" t="s">
        <v>393</v>
      </c>
      <c r="P3788" s="74"/>
      <c r="Q3788" s="74" t="s">
        <v>16811</v>
      </c>
    </row>
    <row r="3789" spans="3:17" x14ac:dyDescent="0.25">
      <c r="C3789" s="74" t="s">
        <v>16824</v>
      </c>
      <c r="D3789" s="74" t="s">
        <v>16825</v>
      </c>
      <c r="E3789" s="74" t="s">
        <v>391</v>
      </c>
      <c r="F3789" s="74">
        <v>0.1</v>
      </c>
      <c r="G3789" s="74"/>
      <c r="H3789" s="74"/>
      <c r="I3789" s="74" t="s">
        <v>391</v>
      </c>
      <c r="J3789" s="74"/>
      <c r="K3789" s="74">
        <v>102.4</v>
      </c>
      <c r="L3789" s="74">
        <v>92.16</v>
      </c>
      <c r="M3789" s="74"/>
      <c r="N3789" s="74" t="s">
        <v>392</v>
      </c>
      <c r="O3789" s="74" t="s">
        <v>393</v>
      </c>
      <c r="P3789" s="74"/>
      <c r="Q3789" s="74" t="s">
        <v>16826</v>
      </c>
    </row>
    <row r="3790" spans="3:17" x14ac:dyDescent="0.25">
      <c r="C3790" s="74" t="s">
        <v>16827</v>
      </c>
      <c r="D3790" s="74" t="s">
        <v>16828</v>
      </c>
      <c r="E3790" s="74" t="s">
        <v>391</v>
      </c>
      <c r="F3790" s="74">
        <v>0.1</v>
      </c>
      <c r="G3790" s="74"/>
      <c r="H3790" s="74"/>
      <c r="I3790" s="74" t="s">
        <v>391</v>
      </c>
      <c r="J3790" s="74"/>
      <c r="K3790" s="74">
        <v>102.4</v>
      </c>
      <c r="L3790" s="74">
        <v>92.16</v>
      </c>
      <c r="M3790" s="74"/>
      <c r="N3790" s="74" t="s">
        <v>392</v>
      </c>
      <c r="O3790" s="74" t="s">
        <v>393</v>
      </c>
      <c r="P3790" s="74"/>
      <c r="Q3790" s="74" t="s">
        <v>16829</v>
      </c>
    </row>
    <row r="3791" spans="3:17" x14ac:dyDescent="0.25">
      <c r="C3791" s="74" t="s">
        <v>16834</v>
      </c>
      <c r="D3791" s="74" t="s">
        <v>16835</v>
      </c>
      <c r="E3791" s="74" t="s">
        <v>391</v>
      </c>
      <c r="F3791" s="74">
        <v>0.1</v>
      </c>
      <c r="G3791" s="74"/>
      <c r="H3791" s="74"/>
      <c r="I3791" s="74" t="s">
        <v>391</v>
      </c>
      <c r="J3791" s="74"/>
      <c r="K3791" s="74">
        <v>102.4</v>
      </c>
      <c r="L3791" s="74">
        <v>92.16</v>
      </c>
      <c r="M3791" s="74"/>
      <c r="N3791" s="74" t="s">
        <v>392</v>
      </c>
      <c r="O3791" s="74" t="s">
        <v>393</v>
      </c>
      <c r="P3791" s="74"/>
      <c r="Q3791" s="74" t="s">
        <v>16836</v>
      </c>
    </row>
    <row r="3792" spans="3:17" x14ac:dyDescent="0.25">
      <c r="C3792" s="74" t="s">
        <v>16844</v>
      </c>
      <c r="D3792" s="74" t="s">
        <v>16845</v>
      </c>
      <c r="E3792" s="74" t="s">
        <v>391</v>
      </c>
      <c r="F3792" s="74">
        <v>0.1</v>
      </c>
      <c r="G3792" s="74"/>
      <c r="H3792" s="74"/>
      <c r="I3792" s="74" t="s">
        <v>391</v>
      </c>
      <c r="J3792" s="74"/>
      <c r="K3792" s="74">
        <v>102.4</v>
      </c>
      <c r="L3792" s="74">
        <v>92.16</v>
      </c>
      <c r="M3792" s="74"/>
      <c r="N3792" s="74" t="s">
        <v>392</v>
      </c>
      <c r="O3792" s="74" t="s">
        <v>393</v>
      </c>
      <c r="P3792" s="74"/>
      <c r="Q3792" s="74" t="s">
        <v>16846</v>
      </c>
    </row>
    <row r="3793" spans="3:17" x14ac:dyDescent="0.25">
      <c r="C3793" s="74" t="s">
        <v>16847</v>
      </c>
      <c r="D3793" s="74" t="s">
        <v>16848</v>
      </c>
      <c r="E3793" s="74" t="s">
        <v>391</v>
      </c>
      <c r="F3793" s="74">
        <v>0.1</v>
      </c>
      <c r="G3793" s="74"/>
      <c r="H3793" s="74"/>
      <c r="I3793" s="74" t="s">
        <v>391</v>
      </c>
      <c r="J3793" s="74"/>
      <c r="K3793" s="74">
        <v>102.4</v>
      </c>
      <c r="L3793" s="74">
        <v>92.16</v>
      </c>
      <c r="M3793" s="74"/>
      <c r="N3793" s="74" t="s">
        <v>392</v>
      </c>
      <c r="O3793" s="74" t="s">
        <v>393</v>
      </c>
      <c r="P3793" s="74"/>
      <c r="Q3793" s="74" t="s">
        <v>16849</v>
      </c>
    </row>
    <row r="3794" spans="3:17" x14ac:dyDescent="0.25">
      <c r="C3794" s="74" t="s">
        <v>16861</v>
      </c>
      <c r="D3794" s="74" t="s">
        <v>16862</v>
      </c>
      <c r="E3794" s="74" t="s">
        <v>391</v>
      </c>
      <c r="F3794" s="74">
        <v>0.1</v>
      </c>
      <c r="G3794" s="74"/>
      <c r="H3794" s="74"/>
      <c r="I3794" s="74" t="s">
        <v>391</v>
      </c>
      <c r="J3794" s="74"/>
      <c r="K3794" s="74">
        <v>102.4</v>
      </c>
      <c r="L3794" s="74">
        <v>92.16</v>
      </c>
      <c r="M3794" s="74"/>
      <c r="N3794" s="74" t="s">
        <v>392</v>
      </c>
      <c r="O3794" s="74" t="s">
        <v>393</v>
      </c>
      <c r="P3794" s="74"/>
      <c r="Q3794" s="74" t="s">
        <v>16863</v>
      </c>
    </row>
    <row r="3795" spans="3:17" x14ac:dyDescent="0.25">
      <c r="C3795" s="74" t="s">
        <v>16876</v>
      </c>
      <c r="D3795" s="74" t="s">
        <v>16877</v>
      </c>
      <c r="E3795" s="74" t="s">
        <v>391</v>
      </c>
      <c r="F3795" s="74">
        <v>0.1</v>
      </c>
      <c r="G3795" s="74"/>
      <c r="H3795" s="74"/>
      <c r="I3795" s="74" t="s">
        <v>391</v>
      </c>
      <c r="J3795" s="74"/>
      <c r="K3795" s="74">
        <v>102.4</v>
      </c>
      <c r="L3795" s="74">
        <v>92.16</v>
      </c>
      <c r="M3795" s="74"/>
      <c r="N3795" s="74" t="s">
        <v>392</v>
      </c>
      <c r="O3795" s="74" t="s">
        <v>393</v>
      </c>
      <c r="P3795" s="74"/>
      <c r="Q3795" s="74" t="s">
        <v>16878</v>
      </c>
    </row>
    <row r="3796" spans="3:17" x14ac:dyDescent="0.25">
      <c r="C3796" s="74" t="s">
        <v>16879</v>
      </c>
      <c r="D3796" s="74" t="s">
        <v>16880</v>
      </c>
      <c r="E3796" s="74" t="s">
        <v>391</v>
      </c>
      <c r="F3796" s="74">
        <v>0.1</v>
      </c>
      <c r="G3796" s="74"/>
      <c r="H3796" s="74"/>
      <c r="I3796" s="74" t="s">
        <v>391</v>
      </c>
      <c r="J3796" s="74"/>
      <c r="K3796" s="74">
        <v>102.4</v>
      </c>
      <c r="L3796" s="74">
        <v>92.16</v>
      </c>
      <c r="M3796" s="74"/>
      <c r="N3796" s="74" t="s">
        <v>392</v>
      </c>
      <c r="O3796" s="74" t="s">
        <v>393</v>
      </c>
      <c r="P3796" s="74"/>
      <c r="Q3796" s="74" t="s">
        <v>16881</v>
      </c>
    </row>
    <row r="3797" spans="3:17" x14ac:dyDescent="0.25">
      <c r="C3797" s="74" t="s">
        <v>16882</v>
      </c>
      <c r="D3797" s="74" t="s">
        <v>16883</v>
      </c>
      <c r="E3797" s="74" t="s">
        <v>391</v>
      </c>
      <c r="F3797" s="74">
        <v>0.1</v>
      </c>
      <c r="G3797" s="74"/>
      <c r="H3797" s="74"/>
      <c r="I3797" s="74" t="s">
        <v>391</v>
      </c>
      <c r="J3797" s="74"/>
      <c r="K3797" s="74">
        <v>102.4</v>
      </c>
      <c r="L3797" s="74">
        <v>92.16</v>
      </c>
      <c r="M3797" s="74"/>
      <c r="N3797" s="74" t="s">
        <v>392</v>
      </c>
      <c r="O3797" s="74" t="s">
        <v>393</v>
      </c>
      <c r="P3797" s="74"/>
      <c r="Q3797" s="74" t="s">
        <v>16884</v>
      </c>
    </row>
    <row r="3798" spans="3:17" x14ac:dyDescent="0.25">
      <c r="C3798" s="74" t="s">
        <v>16916</v>
      </c>
      <c r="D3798" s="74" t="s">
        <v>16917</v>
      </c>
      <c r="E3798" s="74" t="s">
        <v>391</v>
      </c>
      <c r="F3798" s="74">
        <v>0.1</v>
      </c>
      <c r="G3798" s="74"/>
      <c r="H3798" s="74"/>
      <c r="I3798" s="74" t="s">
        <v>391</v>
      </c>
      <c r="J3798" s="74"/>
      <c r="K3798" s="74">
        <v>102.4</v>
      </c>
      <c r="L3798" s="74">
        <v>92.16</v>
      </c>
      <c r="M3798" s="74"/>
      <c r="N3798" s="74" t="s">
        <v>392</v>
      </c>
      <c r="O3798" s="74" t="s">
        <v>393</v>
      </c>
      <c r="P3798" s="74"/>
      <c r="Q3798" s="74" t="s">
        <v>16918</v>
      </c>
    </row>
    <row r="3799" spans="3:17" x14ac:dyDescent="0.25">
      <c r="C3799" s="74" t="s">
        <v>16927</v>
      </c>
      <c r="D3799" s="74" t="s">
        <v>16928</v>
      </c>
      <c r="E3799" s="74" t="s">
        <v>391</v>
      </c>
      <c r="F3799" s="74">
        <v>0.1</v>
      </c>
      <c r="G3799" s="74"/>
      <c r="H3799" s="74"/>
      <c r="I3799" s="74" t="s">
        <v>391</v>
      </c>
      <c r="J3799" s="74"/>
      <c r="K3799" s="74">
        <v>102.4</v>
      </c>
      <c r="L3799" s="74">
        <v>92.16</v>
      </c>
      <c r="M3799" s="74"/>
      <c r="N3799" s="74" t="s">
        <v>392</v>
      </c>
      <c r="O3799" s="74" t="s">
        <v>393</v>
      </c>
      <c r="P3799" s="74"/>
      <c r="Q3799" s="74" t="s">
        <v>16929</v>
      </c>
    </row>
    <row r="3800" spans="3:17" x14ac:dyDescent="0.25">
      <c r="C3800" s="74" t="s">
        <v>16930</v>
      </c>
      <c r="D3800" s="74" t="s">
        <v>16931</v>
      </c>
      <c r="E3800" s="74" t="s">
        <v>391</v>
      </c>
      <c r="F3800" s="74">
        <v>0.1</v>
      </c>
      <c r="G3800" s="74"/>
      <c r="H3800" s="74"/>
      <c r="I3800" s="74" t="s">
        <v>391</v>
      </c>
      <c r="J3800" s="74"/>
      <c r="K3800" s="74">
        <v>102.4</v>
      </c>
      <c r="L3800" s="74">
        <v>92.16</v>
      </c>
      <c r="M3800" s="74"/>
      <c r="N3800" s="74" t="s">
        <v>392</v>
      </c>
      <c r="O3800" s="74" t="s">
        <v>393</v>
      </c>
      <c r="P3800" s="74"/>
      <c r="Q3800" s="74" t="s">
        <v>16932</v>
      </c>
    </row>
    <row r="3801" spans="3:17" x14ac:dyDescent="0.25">
      <c r="C3801" s="74" t="s">
        <v>16933</v>
      </c>
      <c r="D3801" s="74" t="s">
        <v>16934</v>
      </c>
      <c r="E3801" s="74" t="s">
        <v>391</v>
      </c>
      <c r="F3801" s="74">
        <v>0.1</v>
      </c>
      <c r="G3801" s="74"/>
      <c r="H3801" s="74"/>
      <c r="I3801" s="74" t="s">
        <v>391</v>
      </c>
      <c r="J3801" s="74"/>
      <c r="K3801" s="74">
        <v>102.4</v>
      </c>
      <c r="L3801" s="74">
        <v>92.16</v>
      </c>
      <c r="M3801" s="74"/>
      <c r="N3801" s="74" t="s">
        <v>392</v>
      </c>
      <c r="O3801" s="74" t="s">
        <v>393</v>
      </c>
      <c r="P3801" s="74"/>
      <c r="Q3801" s="74" t="s">
        <v>16935</v>
      </c>
    </row>
    <row r="3802" spans="3:17" x14ac:dyDescent="0.25">
      <c r="C3802" s="74" t="s">
        <v>16962</v>
      </c>
      <c r="D3802" s="74" t="s">
        <v>16963</v>
      </c>
      <c r="E3802" s="74" t="s">
        <v>391</v>
      </c>
      <c r="F3802" s="74">
        <v>0.1</v>
      </c>
      <c r="G3802" s="74"/>
      <c r="H3802" s="74"/>
      <c r="I3802" s="74" t="s">
        <v>391</v>
      </c>
      <c r="J3802" s="74"/>
      <c r="K3802" s="74">
        <v>102.4</v>
      </c>
      <c r="L3802" s="74">
        <v>92.16</v>
      </c>
      <c r="M3802" s="74"/>
      <c r="N3802" s="74" t="s">
        <v>392</v>
      </c>
      <c r="O3802" s="74" t="s">
        <v>393</v>
      </c>
      <c r="P3802" s="74"/>
      <c r="Q3802" s="74" t="s">
        <v>16964</v>
      </c>
    </row>
    <row r="3803" spans="3:17" x14ac:dyDescent="0.25">
      <c r="C3803" s="74" t="s">
        <v>16965</v>
      </c>
      <c r="D3803" s="74" t="s">
        <v>16966</v>
      </c>
      <c r="E3803" s="74" t="s">
        <v>391</v>
      </c>
      <c r="F3803" s="74">
        <v>0.1</v>
      </c>
      <c r="G3803" s="74"/>
      <c r="H3803" s="74"/>
      <c r="I3803" s="74" t="s">
        <v>391</v>
      </c>
      <c r="J3803" s="74"/>
      <c r="K3803" s="74">
        <v>102.4</v>
      </c>
      <c r="L3803" s="74">
        <v>92.16</v>
      </c>
      <c r="M3803" s="74"/>
      <c r="N3803" s="74" t="s">
        <v>392</v>
      </c>
      <c r="O3803" s="74" t="s">
        <v>393</v>
      </c>
      <c r="P3803" s="74"/>
      <c r="Q3803" s="74" t="s">
        <v>16967</v>
      </c>
    </row>
    <row r="3804" spans="3:17" x14ac:dyDescent="0.25">
      <c r="C3804" s="74" t="s">
        <v>16972</v>
      </c>
      <c r="D3804" s="74" t="s">
        <v>16973</v>
      </c>
      <c r="E3804" s="74" t="s">
        <v>391</v>
      </c>
      <c r="F3804" s="74">
        <v>0.1</v>
      </c>
      <c r="G3804" s="74"/>
      <c r="H3804" s="74"/>
      <c r="I3804" s="74" t="s">
        <v>391</v>
      </c>
      <c r="J3804" s="74"/>
      <c r="K3804" s="74">
        <v>102.4</v>
      </c>
      <c r="L3804" s="74">
        <v>92.16</v>
      </c>
      <c r="M3804" s="74"/>
      <c r="N3804" s="74" t="s">
        <v>392</v>
      </c>
      <c r="O3804" s="74" t="s">
        <v>393</v>
      </c>
      <c r="P3804" s="74"/>
      <c r="Q3804" s="74" t="s">
        <v>16974</v>
      </c>
    </row>
    <row r="3805" spans="3:17" x14ac:dyDescent="0.25">
      <c r="C3805" s="74" t="s">
        <v>16979</v>
      </c>
      <c r="D3805" s="74" t="s">
        <v>16980</v>
      </c>
      <c r="E3805" s="74" t="s">
        <v>391</v>
      </c>
      <c r="F3805" s="74">
        <v>0.1</v>
      </c>
      <c r="G3805" s="74"/>
      <c r="H3805" s="74"/>
      <c r="I3805" s="74" t="s">
        <v>391</v>
      </c>
      <c r="J3805" s="74"/>
      <c r="K3805" s="74">
        <v>102.4</v>
      </c>
      <c r="L3805" s="74">
        <v>92.16</v>
      </c>
      <c r="M3805" s="74"/>
      <c r="N3805" s="74" t="s">
        <v>392</v>
      </c>
      <c r="O3805" s="74" t="s">
        <v>393</v>
      </c>
      <c r="P3805" s="74"/>
      <c r="Q3805" s="74" t="s">
        <v>16981</v>
      </c>
    </row>
    <row r="3806" spans="3:17" x14ac:dyDescent="0.25">
      <c r="C3806" s="74" t="s">
        <v>16982</v>
      </c>
      <c r="D3806" s="74" t="s">
        <v>16983</v>
      </c>
      <c r="E3806" s="74" t="s">
        <v>391</v>
      </c>
      <c r="F3806" s="74">
        <v>0.1</v>
      </c>
      <c r="G3806" s="74"/>
      <c r="H3806" s="74"/>
      <c r="I3806" s="74" t="s">
        <v>391</v>
      </c>
      <c r="J3806" s="74"/>
      <c r="K3806" s="74">
        <v>102.4</v>
      </c>
      <c r="L3806" s="74">
        <v>92.16</v>
      </c>
      <c r="M3806" s="74"/>
      <c r="N3806" s="74" t="s">
        <v>392</v>
      </c>
      <c r="O3806" s="74" t="s">
        <v>393</v>
      </c>
      <c r="P3806" s="74"/>
      <c r="Q3806" s="74" t="s">
        <v>16984</v>
      </c>
    </row>
    <row r="3807" spans="3:17" x14ac:dyDescent="0.25">
      <c r="C3807" s="74" t="s">
        <v>16993</v>
      </c>
      <c r="D3807" s="74" t="s">
        <v>16994</v>
      </c>
      <c r="E3807" s="74" t="s">
        <v>391</v>
      </c>
      <c r="F3807" s="74">
        <v>0.1</v>
      </c>
      <c r="G3807" s="74"/>
      <c r="H3807" s="74"/>
      <c r="I3807" s="74" t="s">
        <v>391</v>
      </c>
      <c r="J3807" s="74"/>
      <c r="K3807" s="74">
        <v>102.4</v>
      </c>
      <c r="L3807" s="74">
        <v>92.16</v>
      </c>
      <c r="M3807" s="74"/>
      <c r="N3807" s="74" t="s">
        <v>392</v>
      </c>
      <c r="O3807" s="74" t="s">
        <v>393</v>
      </c>
      <c r="P3807" s="74"/>
      <c r="Q3807" s="74" t="s">
        <v>16995</v>
      </c>
    </row>
    <row r="3808" spans="3:17" x14ac:dyDescent="0.25">
      <c r="C3808" s="74" t="s">
        <v>16996</v>
      </c>
      <c r="D3808" s="74" t="s">
        <v>16997</v>
      </c>
      <c r="E3808" s="74" t="s">
        <v>391</v>
      </c>
      <c r="F3808" s="74">
        <v>0.1</v>
      </c>
      <c r="G3808" s="74"/>
      <c r="H3808" s="74"/>
      <c r="I3808" s="74" t="s">
        <v>391</v>
      </c>
      <c r="J3808" s="74"/>
      <c r="K3808" s="74">
        <v>102.4</v>
      </c>
      <c r="L3808" s="74">
        <v>92.16</v>
      </c>
      <c r="M3808" s="74"/>
      <c r="N3808" s="74" t="s">
        <v>392</v>
      </c>
      <c r="O3808" s="74" t="s">
        <v>393</v>
      </c>
      <c r="P3808" s="74"/>
      <c r="Q3808" s="74" t="s">
        <v>16997</v>
      </c>
    </row>
    <row r="3809" spans="3:17" x14ac:dyDescent="0.25">
      <c r="C3809" s="74" t="s">
        <v>16998</v>
      </c>
      <c r="D3809" s="74" t="s">
        <v>16999</v>
      </c>
      <c r="E3809" s="74" t="s">
        <v>391</v>
      </c>
      <c r="F3809" s="74">
        <v>0.1</v>
      </c>
      <c r="G3809" s="74"/>
      <c r="H3809" s="74"/>
      <c r="I3809" s="74" t="s">
        <v>391</v>
      </c>
      <c r="J3809" s="74"/>
      <c r="K3809" s="74">
        <v>102.4</v>
      </c>
      <c r="L3809" s="74">
        <v>92.16</v>
      </c>
      <c r="M3809" s="74"/>
      <c r="N3809" s="74" t="s">
        <v>392</v>
      </c>
      <c r="O3809" s="74" t="s">
        <v>393</v>
      </c>
      <c r="P3809" s="74"/>
      <c r="Q3809" s="74" t="s">
        <v>16999</v>
      </c>
    </row>
    <row r="3810" spans="3:17" x14ac:dyDescent="0.25">
      <c r="C3810" s="74" t="s">
        <v>17000</v>
      </c>
      <c r="D3810" s="74" t="s">
        <v>17001</v>
      </c>
      <c r="E3810" s="74" t="s">
        <v>391</v>
      </c>
      <c r="F3810" s="74">
        <v>0.1</v>
      </c>
      <c r="G3810" s="74"/>
      <c r="H3810" s="74"/>
      <c r="I3810" s="74" t="s">
        <v>391</v>
      </c>
      <c r="J3810" s="74"/>
      <c r="K3810" s="74">
        <v>102.4</v>
      </c>
      <c r="L3810" s="74">
        <v>92.16</v>
      </c>
      <c r="M3810" s="74"/>
      <c r="N3810" s="74" t="s">
        <v>392</v>
      </c>
      <c r="O3810" s="74" t="s">
        <v>393</v>
      </c>
      <c r="P3810" s="74"/>
      <c r="Q3810" s="74" t="s">
        <v>17002</v>
      </c>
    </row>
    <row r="3811" spans="3:17" x14ac:dyDescent="0.25">
      <c r="C3811" s="74" t="s">
        <v>17006</v>
      </c>
      <c r="D3811" s="74" t="s">
        <v>17007</v>
      </c>
      <c r="E3811" s="74" t="s">
        <v>391</v>
      </c>
      <c r="F3811" s="74">
        <v>0.1</v>
      </c>
      <c r="G3811" s="74"/>
      <c r="H3811" s="74"/>
      <c r="I3811" s="74" t="s">
        <v>391</v>
      </c>
      <c r="J3811" s="74"/>
      <c r="K3811" s="74">
        <v>102.4</v>
      </c>
      <c r="L3811" s="74">
        <v>92.16</v>
      </c>
      <c r="M3811" s="74"/>
      <c r="N3811" s="74" t="s">
        <v>392</v>
      </c>
      <c r="O3811" s="74" t="s">
        <v>393</v>
      </c>
      <c r="P3811" s="74"/>
      <c r="Q3811" s="74" t="s">
        <v>17008</v>
      </c>
    </row>
    <row r="3812" spans="3:17" x14ac:dyDescent="0.25">
      <c r="C3812" s="74" t="s">
        <v>17021</v>
      </c>
      <c r="D3812" s="74" t="s">
        <v>17022</v>
      </c>
      <c r="E3812" s="74" t="s">
        <v>391</v>
      </c>
      <c r="F3812" s="74">
        <v>0.1</v>
      </c>
      <c r="G3812" s="74"/>
      <c r="H3812" s="74"/>
      <c r="I3812" s="74" t="s">
        <v>391</v>
      </c>
      <c r="J3812" s="74"/>
      <c r="K3812" s="74">
        <v>102.4</v>
      </c>
      <c r="L3812" s="74">
        <v>92.16</v>
      </c>
      <c r="M3812" s="74"/>
      <c r="N3812" s="74" t="s">
        <v>392</v>
      </c>
      <c r="O3812" s="74" t="s">
        <v>393</v>
      </c>
      <c r="P3812" s="74"/>
      <c r="Q3812" s="74" t="s">
        <v>17023</v>
      </c>
    </row>
    <row r="3813" spans="3:17" x14ac:dyDescent="0.25">
      <c r="C3813" s="74" t="s">
        <v>17043</v>
      </c>
      <c r="D3813" s="74" t="s">
        <v>17044</v>
      </c>
      <c r="E3813" s="74" t="s">
        <v>391</v>
      </c>
      <c r="F3813" s="74">
        <v>0.1</v>
      </c>
      <c r="G3813" s="74"/>
      <c r="H3813" s="74"/>
      <c r="I3813" s="74" t="s">
        <v>391</v>
      </c>
      <c r="J3813" s="74"/>
      <c r="K3813" s="74">
        <v>102.4</v>
      </c>
      <c r="L3813" s="74">
        <v>92.16</v>
      </c>
      <c r="M3813" s="74"/>
      <c r="N3813" s="74" t="s">
        <v>392</v>
      </c>
      <c r="O3813" s="74" t="s">
        <v>393</v>
      </c>
      <c r="P3813" s="74"/>
      <c r="Q3813" s="74" t="s">
        <v>17045</v>
      </c>
    </row>
    <row r="3814" spans="3:17" x14ac:dyDescent="0.25">
      <c r="C3814" s="74" t="s">
        <v>17082</v>
      </c>
      <c r="D3814" s="74" t="s">
        <v>17083</v>
      </c>
      <c r="E3814" s="74" t="s">
        <v>391</v>
      </c>
      <c r="F3814" s="74">
        <v>0.1</v>
      </c>
      <c r="G3814" s="74"/>
      <c r="H3814" s="74"/>
      <c r="I3814" s="74" t="s">
        <v>391</v>
      </c>
      <c r="J3814" s="74"/>
      <c r="K3814" s="74">
        <v>102.4</v>
      </c>
      <c r="L3814" s="74">
        <v>92.16</v>
      </c>
      <c r="M3814" s="74"/>
      <c r="N3814" s="74" t="s">
        <v>392</v>
      </c>
      <c r="O3814" s="74" t="s">
        <v>393</v>
      </c>
      <c r="P3814" s="74"/>
      <c r="Q3814" s="74" t="s">
        <v>17084</v>
      </c>
    </row>
    <row r="3815" spans="3:17" x14ac:dyDescent="0.25">
      <c r="C3815" s="74" t="s">
        <v>17089</v>
      </c>
      <c r="D3815" s="74" t="s">
        <v>17090</v>
      </c>
      <c r="E3815" s="74" t="s">
        <v>391</v>
      </c>
      <c r="F3815" s="74">
        <v>0.1</v>
      </c>
      <c r="G3815" s="74"/>
      <c r="H3815" s="74"/>
      <c r="I3815" s="74" t="s">
        <v>391</v>
      </c>
      <c r="J3815" s="74"/>
      <c r="K3815" s="74">
        <v>102.4</v>
      </c>
      <c r="L3815" s="74">
        <v>92.16</v>
      </c>
      <c r="M3815" s="74"/>
      <c r="N3815" s="74" t="s">
        <v>392</v>
      </c>
      <c r="O3815" s="74" t="s">
        <v>393</v>
      </c>
      <c r="P3815" s="74"/>
      <c r="Q3815" s="74" t="s">
        <v>17091</v>
      </c>
    </row>
    <row r="3816" spans="3:17" x14ac:dyDescent="0.25">
      <c r="C3816" s="74" t="s">
        <v>17092</v>
      </c>
      <c r="D3816" s="74" t="s">
        <v>17093</v>
      </c>
      <c r="E3816" s="74" t="s">
        <v>391</v>
      </c>
      <c r="F3816" s="74">
        <v>0.1</v>
      </c>
      <c r="G3816" s="74"/>
      <c r="H3816" s="74"/>
      <c r="I3816" s="74" t="s">
        <v>391</v>
      </c>
      <c r="J3816" s="74"/>
      <c r="K3816" s="74">
        <v>102.4</v>
      </c>
      <c r="L3816" s="74">
        <v>92.16</v>
      </c>
      <c r="M3816" s="74"/>
      <c r="N3816" s="74" t="s">
        <v>392</v>
      </c>
      <c r="O3816" s="74" t="s">
        <v>393</v>
      </c>
      <c r="P3816" s="74"/>
      <c r="Q3816" s="74" t="s">
        <v>17094</v>
      </c>
    </row>
    <row r="3817" spans="3:17" x14ac:dyDescent="0.25">
      <c r="C3817" s="74" t="s">
        <v>17098</v>
      </c>
      <c r="D3817" s="74" t="s">
        <v>17099</v>
      </c>
      <c r="E3817" s="74" t="s">
        <v>391</v>
      </c>
      <c r="F3817" s="74">
        <v>0.1</v>
      </c>
      <c r="G3817" s="74"/>
      <c r="H3817" s="74"/>
      <c r="I3817" s="74" t="s">
        <v>391</v>
      </c>
      <c r="J3817" s="74"/>
      <c r="K3817" s="74">
        <v>102.4</v>
      </c>
      <c r="L3817" s="74">
        <v>92.16</v>
      </c>
      <c r="M3817" s="74"/>
      <c r="N3817" s="74" t="s">
        <v>392</v>
      </c>
      <c r="O3817" s="74" t="s">
        <v>393</v>
      </c>
      <c r="P3817" s="74"/>
      <c r="Q3817" s="74" t="s">
        <v>17100</v>
      </c>
    </row>
    <row r="3818" spans="3:17" x14ac:dyDescent="0.25">
      <c r="C3818" s="74" t="s">
        <v>17120</v>
      </c>
      <c r="D3818" s="74" t="s">
        <v>17121</v>
      </c>
      <c r="E3818" s="74" t="s">
        <v>391</v>
      </c>
      <c r="F3818" s="74">
        <v>0.1</v>
      </c>
      <c r="G3818" s="74"/>
      <c r="H3818" s="74"/>
      <c r="I3818" s="74" t="s">
        <v>391</v>
      </c>
      <c r="J3818" s="74"/>
      <c r="K3818" s="74">
        <v>102.4</v>
      </c>
      <c r="L3818" s="74">
        <v>92.16</v>
      </c>
      <c r="M3818" s="74"/>
      <c r="N3818" s="74" t="s">
        <v>392</v>
      </c>
      <c r="O3818" s="74" t="s">
        <v>393</v>
      </c>
      <c r="P3818" s="74"/>
      <c r="Q3818" s="74" t="s">
        <v>17122</v>
      </c>
    </row>
    <row r="3819" spans="3:17" x14ac:dyDescent="0.25">
      <c r="C3819" s="74" t="s">
        <v>17127</v>
      </c>
      <c r="D3819" s="74" t="s">
        <v>17128</v>
      </c>
      <c r="E3819" s="74" t="s">
        <v>391</v>
      </c>
      <c r="F3819" s="74">
        <v>0.1</v>
      </c>
      <c r="G3819" s="74"/>
      <c r="H3819" s="74"/>
      <c r="I3819" s="74" t="s">
        <v>391</v>
      </c>
      <c r="J3819" s="74"/>
      <c r="K3819" s="74">
        <v>102.4</v>
      </c>
      <c r="L3819" s="74">
        <v>92.16</v>
      </c>
      <c r="M3819" s="74"/>
      <c r="N3819" s="74" t="s">
        <v>392</v>
      </c>
      <c r="O3819" s="74" t="s">
        <v>393</v>
      </c>
      <c r="P3819" s="74"/>
      <c r="Q3819" s="74" t="s">
        <v>17129</v>
      </c>
    </row>
    <row r="3820" spans="3:17" x14ac:dyDescent="0.25">
      <c r="C3820" s="74" t="s">
        <v>17130</v>
      </c>
      <c r="D3820" s="74" t="s">
        <v>17131</v>
      </c>
      <c r="E3820" s="74" t="s">
        <v>391</v>
      </c>
      <c r="F3820" s="74">
        <v>0.1</v>
      </c>
      <c r="G3820" s="74"/>
      <c r="H3820" s="74"/>
      <c r="I3820" s="74" t="s">
        <v>391</v>
      </c>
      <c r="J3820" s="74"/>
      <c r="K3820" s="74">
        <v>102.4</v>
      </c>
      <c r="L3820" s="74">
        <v>92.16</v>
      </c>
      <c r="M3820" s="74"/>
      <c r="N3820" s="74" t="s">
        <v>392</v>
      </c>
      <c r="O3820" s="74" t="s">
        <v>393</v>
      </c>
      <c r="P3820" s="74"/>
      <c r="Q3820" s="74" t="s">
        <v>17132</v>
      </c>
    </row>
    <row r="3821" spans="3:17" x14ac:dyDescent="0.25">
      <c r="C3821" s="74" t="s">
        <v>17137</v>
      </c>
      <c r="D3821" s="74" t="s">
        <v>17138</v>
      </c>
      <c r="E3821" s="74" t="s">
        <v>391</v>
      </c>
      <c r="F3821" s="74">
        <v>0.1</v>
      </c>
      <c r="G3821" s="74"/>
      <c r="H3821" s="74"/>
      <c r="I3821" s="74" t="s">
        <v>391</v>
      </c>
      <c r="J3821" s="74"/>
      <c r="K3821" s="74">
        <v>102.4</v>
      </c>
      <c r="L3821" s="74">
        <v>92.16</v>
      </c>
      <c r="M3821" s="74"/>
      <c r="N3821" s="74" t="s">
        <v>392</v>
      </c>
      <c r="O3821" s="74" t="s">
        <v>393</v>
      </c>
      <c r="P3821" s="74"/>
      <c r="Q3821" s="74" t="s">
        <v>17139</v>
      </c>
    </row>
    <row r="3822" spans="3:17" x14ac:dyDescent="0.25">
      <c r="C3822" s="74" t="s">
        <v>17144</v>
      </c>
      <c r="D3822" s="74" t="s">
        <v>17145</v>
      </c>
      <c r="E3822" s="74" t="s">
        <v>391</v>
      </c>
      <c r="F3822" s="74">
        <v>0.1</v>
      </c>
      <c r="G3822" s="74"/>
      <c r="H3822" s="74"/>
      <c r="I3822" s="74" t="s">
        <v>391</v>
      </c>
      <c r="J3822" s="74"/>
      <c r="K3822" s="74">
        <v>102.4</v>
      </c>
      <c r="L3822" s="74">
        <v>92.16</v>
      </c>
      <c r="M3822" s="74"/>
      <c r="N3822" s="74" t="s">
        <v>392</v>
      </c>
      <c r="O3822" s="74" t="s">
        <v>393</v>
      </c>
      <c r="P3822" s="74"/>
      <c r="Q3822" s="74" t="s">
        <v>17146</v>
      </c>
    </row>
    <row r="3823" spans="3:17" x14ac:dyDescent="0.25">
      <c r="C3823" s="74" t="s">
        <v>17147</v>
      </c>
      <c r="D3823" s="74" t="s">
        <v>17148</v>
      </c>
      <c r="E3823" s="74" t="s">
        <v>391</v>
      </c>
      <c r="F3823" s="74">
        <v>0.1</v>
      </c>
      <c r="G3823" s="74"/>
      <c r="H3823" s="74"/>
      <c r="I3823" s="74" t="s">
        <v>391</v>
      </c>
      <c r="J3823" s="74"/>
      <c r="K3823" s="74">
        <v>102.4</v>
      </c>
      <c r="L3823" s="74">
        <v>92.16</v>
      </c>
      <c r="M3823" s="74"/>
      <c r="N3823" s="74" t="s">
        <v>392</v>
      </c>
      <c r="O3823" s="74" t="s">
        <v>393</v>
      </c>
      <c r="P3823" s="74"/>
      <c r="Q3823" s="74" t="s">
        <v>17149</v>
      </c>
    </row>
    <row r="3824" spans="3:17" x14ac:dyDescent="0.25">
      <c r="C3824" s="74" t="s">
        <v>17154</v>
      </c>
      <c r="D3824" s="74" t="s">
        <v>17155</v>
      </c>
      <c r="E3824" s="74" t="s">
        <v>391</v>
      </c>
      <c r="F3824" s="74">
        <v>0.1</v>
      </c>
      <c r="G3824" s="74"/>
      <c r="H3824" s="74"/>
      <c r="I3824" s="74" t="s">
        <v>391</v>
      </c>
      <c r="J3824" s="74"/>
      <c r="K3824" s="74">
        <v>102.4</v>
      </c>
      <c r="L3824" s="74">
        <v>92.16</v>
      </c>
      <c r="M3824" s="74"/>
      <c r="N3824" s="74" t="s">
        <v>392</v>
      </c>
      <c r="O3824" s="74" t="s">
        <v>393</v>
      </c>
      <c r="P3824" s="74"/>
      <c r="Q3824" s="74" t="s">
        <v>17156</v>
      </c>
    </row>
    <row r="3825" spans="3:17" x14ac:dyDescent="0.25">
      <c r="C3825" s="74" t="s">
        <v>17161</v>
      </c>
      <c r="D3825" s="74" t="s">
        <v>17162</v>
      </c>
      <c r="E3825" s="74"/>
      <c r="F3825" s="74">
        <v>0.1</v>
      </c>
      <c r="G3825" s="74"/>
      <c r="H3825" s="74"/>
      <c r="I3825" s="74" t="s">
        <v>391</v>
      </c>
      <c r="J3825" s="74"/>
      <c r="K3825" s="74">
        <v>102.4</v>
      </c>
      <c r="L3825" s="74">
        <v>92.16</v>
      </c>
      <c r="M3825" s="74"/>
      <c r="N3825" s="74" t="s">
        <v>392</v>
      </c>
      <c r="O3825" s="74" t="s">
        <v>402</v>
      </c>
      <c r="P3825" s="74" t="s">
        <v>17163</v>
      </c>
      <c r="Q3825" s="74" t="s">
        <v>17164</v>
      </c>
    </row>
    <row r="3826" spans="3:17" x14ac:dyDescent="0.25">
      <c r="C3826" s="74" t="s">
        <v>17165</v>
      </c>
      <c r="D3826" s="74" t="s">
        <v>17166</v>
      </c>
      <c r="E3826" s="74" t="s">
        <v>391</v>
      </c>
      <c r="F3826" s="74">
        <v>0.1</v>
      </c>
      <c r="G3826" s="74"/>
      <c r="H3826" s="74"/>
      <c r="I3826" s="74" t="s">
        <v>391</v>
      </c>
      <c r="J3826" s="74"/>
      <c r="K3826" s="74">
        <v>102.4</v>
      </c>
      <c r="L3826" s="74">
        <v>92.16</v>
      </c>
      <c r="M3826" s="74"/>
      <c r="N3826" s="74" t="s">
        <v>392</v>
      </c>
      <c r="O3826" s="74" t="s">
        <v>393</v>
      </c>
      <c r="P3826" s="74"/>
      <c r="Q3826" s="74" t="s">
        <v>17167</v>
      </c>
    </row>
    <row r="3827" spans="3:17" x14ac:dyDescent="0.25">
      <c r="C3827" s="74" t="s">
        <v>17176</v>
      </c>
      <c r="D3827" s="74" t="s">
        <v>17177</v>
      </c>
      <c r="E3827" s="74" t="s">
        <v>391</v>
      </c>
      <c r="F3827" s="74">
        <v>0.1</v>
      </c>
      <c r="G3827" s="74"/>
      <c r="H3827" s="74"/>
      <c r="I3827" s="74" t="s">
        <v>391</v>
      </c>
      <c r="J3827" s="74"/>
      <c r="K3827" s="74">
        <v>102.4</v>
      </c>
      <c r="L3827" s="74">
        <v>92.16</v>
      </c>
      <c r="M3827" s="74"/>
      <c r="N3827" s="74" t="s">
        <v>392</v>
      </c>
      <c r="O3827" s="74" t="s">
        <v>393</v>
      </c>
      <c r="P3827" s="74"/>
      <c r="Q3827" s="74" t="s">
        <v>17178</v>
      </c>
    </row>
    <row r="3828" spans="3:17" x14ac:dyDescent="0.25">
      <c r="C3828" s="74" t="s">
        <v>17186</v>
      </c>
      <c r="D3828" s="74" t="s">
        <v>17187</v>
      </c>
      <c r="E3828" s="74" t="s">
        <v>391</v>
      </c>
      <c r="F3828" s="74">
        <v>0.1</v>
      </c>
      <c r="G3828" s="74"/>
      <c r="H3828" s="74"/>
      <c r="I3828" s="74" t="s">
        <v>391</v>
      </c>
      <c r="J3828" s="74"/>
      <c r="K3828" s="74">
        <v>102.4</v>
      </c>
      <c r="L3828" s="74">
        <v>92.16</v>
      </c>
      <c r="M3828" s="74"/>
      <c r="N3828" s="74" t="s">
        <v>392</v>
      </c>
      <c r="O3828" s="74" t="s">
        <v>393</v>
      </c>
      <c r="P3828" s="74"/>
      <c r="Q3828" s="74" t="s">
        <v>17188</v>
      </c>
    </row>
    <row r="3829" spans="3:17" x14ac:dyDescent="0.25">
      <c r="C3829" s="74" t="s">
        <v>17228</v>
      </c>
      <c r="D3829" s="74" t="s">
        <v>17229</v>
      </c>
      <c r="E3829" s="74" t="s">
        <v>391</v>
      </c>
      <c r="F3829" s="74">
        <v>0.1</v>
      </c>
      <c r="G3829" s="74"/>
      <c r="H3829" s="74"/>
      <c r="I3829" s="74" t="s">
        <v>391</v>
      </c>
      <c r="J3829" s="74"/>
      <c r="K3829" s="74">
        <v>102.4</v>
      </c>
      <c r="L3829" s="74">
        <v>92.16</v>
      </c>
      <c r="M3829" s="74"/>
      <c r="N3829" s="74" t="s">
        <v>392</v>
      </c>
      <c r="O3829" s="74" t="s">
        <v>393</v>
      </c>
      <c r="P3829" s="74"/>
      <c r="Q3829" s="74" t="s">
        <v>17230</v>
      </c>
    </row>
    <row r="3830" spans="3:17" x14ac:dyDescent="0.25">
      <c r="C3830" s="74" t="s">
        <v>17249</v>
      </c>
      <c r="D3830" s="74" t="s">
        <v>17250</v>
      </c>
      <c r="E3830" s="74" t="s">
        <v>391</v>
      </c>
      <c r="F3830" s="74">
        <v>0.1</v>
      </c>
      <c r="G3830" s="74"/>
      <c r="H3830" s="74"/>
      <c r="I3830" s="74" t="s">
        <v>391</v>
      </c>
      <c r="J3830" s="74"/>
      <c r="K3830" s="74">
        <v>102.4</v>
      </c>
      <c r="L3830" s="74">
        <v>92.16</v>
      </c>
      <c r="M3830" s="74"/>
      <c r="N3830" s="74" t="s">
        <v>392</v>
      </c>
      <c r="O3830" s="74" t="s">
        <v>393</v>
      </c>
      <c r="P3830" s="74"/>
      <c r="Q3830" s="74" t="s">
        <v>17251</v>
      </c>
    </row>
    <row r="3831" spans="3:17" x14ac:dyDescent="0.25">
      <c r="C3831" s="74" t="s">
        <v>17252</v>
      </c>
      <c r="D3831" s="74" t="s">
        <v>17253</v>
      </c>
      <c r="E3831" s="74" t="s">
        <v>391</v>
      </c>
      <c r="F3831" s="74">
        <v>0.1</v>
      </c>
      <c r="G3831" s="74"/>
      <c r="H3831" s="74"/>
      <c r="I3831" s="74" t="s">
        <v>391</v>
      </c>
      <c r="J3831" s="74"/>
      <c r="K3831" s="74">
        <v>102.4</v>
      </c>
      <c r="L3831" s="74">
        <v>92.16</v>
      </c>
      <c r="M3831" s="74"/>
      <c r="N3831" s="74" t="s">
        <v>392</v>
      </c>
      <c r="O3831" s="74" t="s">
        <v>393</v>
      </c>
      <c r="P3831" s="74"/>
      <c r="Q3831" s="74" t="s">
        <v>17254</v>
      </c>
    </row>
    <row r="3832" spans="3:17" x14ac:dyDescent="0.25">
      <c r="C3832" s="74" t="s">
        <v>17255</v>
      </c>
      <c r="D3832" s="74" t="s">
        <v>17256</v>
      </c>
      <c r="E3832" s="74" t="s">
        <v>391</v>
      </c>
      <c r="F3832" s="74">
        <v>0.1</v>
      </c>
      <c r="G3832" s="74"/>
      <c r="H3832" s="74"/>
      <c r="I3832" s="74" t="s">
        <v>391</v>
      </c>
      <c r="J3832" s="74"/>
      <c r="K3832" s="74">
        <v>102.4</v>
      </c>
      <c r="L3832" s="74">
        <v>92.16</v>
      </c>
      <c r="M3832" s="74"/>
      <c r="N3832" s="74" t="s">
        <v>392</v>
      </c>
      <c r="O3832" s="74" t="s">
        <v>393</v>
      </c>
      <c r="P3832" s="74"/>
      <c r="Q3832" s="74" t="s">
        <v>17257</v>
      </c>
    </row>
    <row r="3833" spans="3:17" x14ac:dyDescent="0.25">
      <c r="C3833" s="74" t="s">
        <v>17258</v>
      </c>
      <c r="D3833" s="74" t="s">
        <v>17259</v>
      </c>
      <c r="E3833" s="74"/>
      <c r="F3833" s="74">
        <v>0.1</v>
      </c>
      <c r="G3833" s="74"/>
      <c r="H3833" s="74"/>
      <c r="I3833" s="74" t="s">
        <v>391</v>
      </c>
      <c r="J3833" s="74"/>
      <c r="K3833" s="74">
        <v>102.4</v>
      </c>
      <c r="L3833" s="74">
        <v>92.16</v>
      </c>
      <c r="M3833" s="74"/>
      <c r="N3833" s="74" t="s">
        <v>392</v>
      </c>
      <c r="O3833" s="74" t="s">
        <v>402</v>
      </c>
      <c r="P3833" s="74" t="s">
        <v>17260</v>
      </c>
      <c r="Q3833" s="74" t="s">
        <v>17261</v>
      </c>
    </row>
    <row r="3834" spans="3:17" x14ac:dyDescent="0.25">
      <c r="C3834" s="74" t="s">
        <v>17262</v>
      </c>
      <c r="D3834" s="74" t="s">
        <v>17263</v>
      </c>
      <c r="E3834" s="74" t="s">
        <v>391</v>
      </c>
      <c r="F3834" s="74">
        <v>0.1</v>
      </c>
      <c r="G3834" s="74"/>
      <c r="H3834" s="74"/>
      <c r="I3834" s="74" t="s">
        <v>391</v>
      </c>
      <c r="J3834" s="74"/>
      <c r="K3834" s="74">
        <v>102.4</v>
      </c>
      <c r="L3834" s="74">
        <v>92.16</v>
      </c>
      <c r="M3834" s="74"/>
      <c r="N3834" s="74" t="s">
        <v>392</v>
      </c>
      <c r="O3834" s="74" t="s">
        <v>393</v>
      </c>
      <c r="P3834" s="74"/>
      <c r="Q3834" s="74" t="s">
        <v>17264</v>
      </c>
    </row>
    <row r="3835" spans="3:17" x14ac:dyDescent="0.25">
      <c r="C3835" s="74" t="s">
        <v>17277</v>
      </c>
      <c r="D3835" s="74" t="s">
        <v>17278</v>
      </c>
      <c r="E3835" s="74" t="s">
        <v>391</v>
      </c>
      <c r="F3835" s="74">
        <v>0.1</v>
      </c>
      <c r="G3835" s="74"/>
      <c r="H3835" s="74"/>
      <c r="I3835" s="74" t="s">
        <v>391</v>
      </c>
      <c r="J3835" s="74"/>
      <c r="K3835" s="74">
        <v>102.4</v>
      </c>
      <c r="L3835" s="74">
        <v>92.16</v>
      </c>
      <c r="M3835" s="74"/>
      <c r="N3835" s="74" t="s">
        <v>392</v>
      </c>
      <c r="O3835" s="74" t="s">
        <v>393</v>
      </c>
      <c r="P3835" s="74"/>
      <c r="Q3835" s="74" t="s">
        <v>17279</v>
      </c>
    </row>
    <row r="3836" spans="3:17" x14ac:dyDescent="0.25">
      <c r="C3836" s="74" t="s">
        <v>17284</v>
      </c>
      <c r="D3836" s="74" t="s">
        <v>17285</v>
      </c>
      <c r="E3836" s="74" t="s">
        <v>391</v>
      </c>
      <c r="F3836" s="74">
        <v>0.1</v>
      </c>
      <c r="G3836" s="74"/>
      <c r="H3836" s="74"/>
      <c r="I3836" s="74" t="s">
        <v>391</v>
      </c>
      <c r="J3836" s="74"/>
      <c r="K3836" s="74">
        <v>102.4</v>
      </c>
      <c r="L3836" s="74">
        <v>92.16</v>
      </c>
      <c r="M3836" s="74"/>
      <c r="N3836" s="74" t="s">
        <v>392</v>
      </c>
      <c r="O3836" s="74" t="s">
        <v>393</v>
      </c>
      <c r="P3836" s="74"/>
      <c r="Q3836" s="74" t="s">
        <v>17286</v>
      </c>
    </row>
    <row r="3837" spans="3:17" x14ac:dyDescent="0.25">
      <c r="C3837" s="74" t="s">
        <v>17313</v>
      </c>
      <c r="D3837" s="74" t="s">
        <v>17314</v>
      </c>
      <c r="E3837" s="74" t="s">
        <v>391</v>
      </c>
      <c r="F3837" s="74">
        <v>0.1</v>
      </c>
      <c r="G3837" s="74"/>
      <c r="H3837" s="74"/>
      <c r="I3837" s="74" t="s">
        <v>391</v>
      </c>
      <c r="J3837" s="74"/>
      <c r="K3837" s="74">
        <v>102.4</v>
      </c>
      <c r="L3837" s="74">
        <v>92.16</v>
      </c>
      <c r="M3837" s="74"/>
      <c r="N3837" s="74" t="s">
        <v>392</v>
      </c>
      <c r="O3837" s="74" t="s">
        <v>393</v>
      </c>
      <c r="P3837" s="74"/>
      <c r="Q3837" s="74" t="s">
        <v>17315</v>
      </c>
    </row>
    <row r="3838" spans="3:17" x14ac:dyDescent="0.25">
      <c r="C3838" s="74" t="s">
        <v>17339</v>
      </c>
      <c r="D3838" s="74" t="s">
        <v>17340</v>
      </c>
      <c r="E3838" s="74" t="s">
        <v>391</v>
      </c>
      <c r="F3838" s="74">
        <v>0.1</v>
      </c>
      <c r="G3838" s="74"/>
      <c r="H3838" s="74"/>
      <c r="I3838" s="74" t="s">
        <v>391</v>
      </c>
      <c r="J3838" s="74"/>
      <c r="K3838" s="74">
        <v>102.4</v>
      </c>
      <c r="L3838" s="74">
        <v>92.16</v>
      </c>
      <c r="M3838" s="74"/>
      <c r="N3838" s="74" t="s">
        <v>392</v>
      </c>
      <c r="O3838" s="74" t="s">
        <v>393</v>
      </c>
      <c r="P3838" s="74"/>
      <c r="Q3838" s="74" t="s">
        <v>17341</v>
      </c>
    </row>
    <row r="3839" spans="3:17" x14ac:dyDescent="0.25">
      <c r="C3839" s="74" t="s">
        <v>17366</v>
      </c>
      <c r="D3839" s="74" t="s">
        <v>17367</v>
      </c>
      <c r="E3839" s="74" t="s">
        <v>391</v>
      </c>
      <c r="F3839" s="74">
        <v>0.1</v>
      </c>
      <c r="G3839" s="74"/>
      <c r="H3839" s="74"/>
      <c r="I3839" s="74" t="s">
        <v>391</v>
      </c>
      <c r="J3839" s="74"/>
      <c r="K3839" s="74">
        <v>102.4</v>
      </c>
      <c r="L3839" s="74">
        <v>92.16</v>
      </c>
      <c r="M3839" s="74"/>
      <c r="N3839" s="74" t="s">
        <v>392</v>
      </c>
      <c r="O3839" s="74" t="s">
        <v>393</v>
      </c>
      <c r="P3839" s="74"/>
      <c r="Q3839" s="74" t="s">
        <v>17368</v>
      </c>
    </row>
    <row r="3840" spans="3:17" x14ac:dyDescent="0.25">
      <c r="C3840" s="74" t="s">
        <v>17385</v>
      </c>
      <c r="D3840" s="74" t="s">
        <v>17386</v>
      </c>
      <c r="E3840" s="74" t="s">
        <v>391</v>
      </c>
      <c r="F3840" s="74">
        <v>0.1</v>
      </c>
      <c r="G3840" s="74"/>
      <c r="H3840" s="74"/>
      <c r="I3840" s="74" t="s">
        <v>391</v>
      </c>
      <c r="J3840" s="74"/>
      <c r="K3840" s="74">
        <v>102.4</v>
      </c>
      <c r="L3840" s="74">
        <v>92.16</v>
      </c>
      <c r="M3840" s="74"/>
      <c r="N3840" s="74" t="s">
        <v>392</v>
      </c>
      <c r="O3840" s="74" t="s">
        <v>393</v>
      </c>
      <c r="P3840" s="74"/>
      <c r="Q3840" s="74" t="s">
        <v>17387</v>
      </c>
    </row>
    <row r="3841" spans="3:17" x14ac:dyDescent="0.25">
      <c r="C3841" s="74" t="s">
        <v>17407</v>
      </c>
      <c r="D3841" s="74" t="s">
        <v>17408</v>
      </c>
      <c r="E3841" s="74" t="s">
        <v>391</v>
      </c>
      <c r="F3841" s="74">
        <v>0.1</v>
      </c>
      <c r="G3841" s="74"/>
      <c r="H3841" s="74"/>
      <c r="I3841" s="74" t="s">
        <v>391</v>
      </c>
      <c r="J3841" s="74"/>
      <c r="K3841" s="74">
        <v>102.4</v>
      </c>
      <c r="L3841" s="74">
        <v>92.16</v>
      </c>
      <c r="M3841" s="74"/>
      <c r="N3841" s="74" t="s">
        <v>392</v>
      </c>
      <c r="O3841" s="74" t="s">
        <v>393</v>
      </c>
      <c r="P3841" s="74"/>
      <c r="Q3841" s="74" t="s">
        <v>17409</v>
      </c>
    </row>
    <row r="3842" spans="3:17" x14ac:dyDescent="0.25">
      <c r="C3842" s="74" t="s">
        <v>17418</v>
      </c>
      <c r="D3842" s="74" t="s">
        <v>17419</v>
      </c>
      <c r="E3842" s="74" t="s">
        <v>391</v>
      </c>
      <c r="F3842" s="74">
        <v>0.1</v>
      </c>
      <c r="G3842" s="74"/>
      <c r="H3842" s="74"/>
      <c r="I3842" s="74" t="s">
        <v>391</v>
      </c>
      <c r="J3842" s="74"/>
      <c r="K3842" s="74">
        <v>102.4</v>
      </c>
      <c r="L3842" s="74">
        <v>92.16</v>
      </c>
      <c r="M3842" s="74"/>
      <c r="N3842" s="74" t="s">
        <v>392</v>
      </c>
      <c r="O3842" s="74" t="s">
        <v>393</v>
      </c>
      <c r="P3842" s="74"/>
      <c r="Q3842" s="74" t="s">
        <v>17420</v>
      </c>
    </row>
    <row r="3843" spans="3:17" x14ac:dyDescent="0.25">
      <c r="C3843" s="74" t="s">
        <v>17427</v>
      </c>
      <c r="D3843" s="74" t="s">
        <v>17428</v>
      </c>
      <c r="E3843" s="74" t="s">
        <v>391</v>
      </c>
      <c r="F3843" s="74">
        <v>0.1</v>
      </c>
      <c r="G3843" s="74"/>
      <c r="H3843" s="74"/>
      <c r="I3843" s="74" t="s">
        <v>391</v>
      </c>
      <c r="J3843" s="74"/>
      <c r="K3843" s="74">
        <v>102.4</v>
      </c>
      <c r="L3843" s="74">
        <v>92.16</v>
      </c>
      <c r="M3843" s="74"/>
      <c r="N3843" s="74" t="s">
        <v>392</v>
      </c>
      <c r="O3843" s="74" t="s">
        <v>393</v>
      </c>
      <c r="P3843" s="74"/>
      <c r="Q3843" s="74" t="s">
        <v>17429</v>
      </c>
    </row>
    <row r="3844" spans="3:17" x14ac:dyDescent="0.25">
      <c r="C3844" s="74" t="s">
        <v>17442</v>
      </c>
      <c r="D3844" s="74" t="s">
        <v>17443</v>
      </c>
      <c r="E3844" s="74" t="s">
        <v>391</v>
      </c>
      <c r="F3844" s="74">
        <v>0.1</v>
      </c>
      <c r="G3844" s="74"/>
      <c r="H3844" s="74"/>
      <c r="I3844" s="74" t="s">
        <v>391</v>
      </c>
      <c r="J3844" s="74"/>
      <c r="K3844" s="74">
        <v>102.4</v>
      </c>
      <c r="L3844" s="74">
        <v>92.16</v>
      </c>
      <c r="M3844" s="74"/>
      <c r="N3844" s="74" t="s">
        <v>392</v>
      </c>
      <c r="O3844" s="74" t="s">
        <v>393</v>
      </c>
      <c r="P3844" s="74"/>
      <c r="Q3844" s="74" t="s">
        <v>17444</v>
      </c>
    </row>
    <row r="3845" spans="3:17" x14ac:dyDescent="0.25">
      <c r="C3845" s="74" t="s">
        <v>17445</v>
      </c>
      <c r="D3845" s="74" t="s">
        <v>17446</v>
      </c>
      <c r="E3845" s="74" t="s">
        <v>391</v>
      </c>
      <c r="F3845" s="74">
        <v>0.1</v>
      </c>
      <c r="G3845" s="74"/>
      <c r="H3845" s="74"/>
      <c r="I3845" s="74" t="s">
        <v>391</v>
      </c>
      <c r="J3845" s="74"/>
      <c r="K3845" s="74">
        <v>102.4</v>
      </c>
      <c r="L3845" s="74">
        <v>92.16</v>
      </c>
      <c r="M3845" s="74"/>
      <c r="N3845" s="74" t="s">
        <v>392</v>
      </c>
      <c r="O3845" s="74" t="s">
        <v>393</v>
      </c>
      <c r="P3845" s="74"/>
      <c r="Q3845" s="74" t="s">
        <v>17447</v>
      </c>
    </row>
    <row r="3846" spans="3:17" x14ac:dyDescent="0.25">
      <c r="C3846" s="74" t="s">
        <v>17448</v>
      </c>
      <c r="D3846" s="74" t="s">
        <v>17449</v>
      </c>
      <c r="E3846" s="74" t="s">
        <v>391</v>
      </c>
      <c r="F3846" s="74">
        <v>0.1</v>
      </c>
      <c r="G3846" s="74"/>
      <c r="H3846" s="74"/>
      <c r="I3846" s="74" t="s">
        <v>391</v>
      </c>
      <c r="J3846" s="74"/>
      <c r="K3846" s="74">
        <v>102.4</v>
      </c>
      <c r="L3846" s="74">
        <v>92.16</v>
      </c>
      <c r="M3846" s="74"/>
      <c r="N3846" s="74" t="s">
        <v>392</v>
      </c>
      <c r="O3846" s="74" t="s">
        <v>393</v>
      </c>
      <c r="P3846" s="74"/>
      <c r="Q3846" s="74" t="s">
        <v>17450</v>
      </c>
    </row>
    <row r="3847" spans="3:17" x14ac:dyDescent="0.25">
      <c r="C3847" s="74" t="s">
        <v>17455</v>
      </c>
      <c r="D3847" s="74" t="s">
        <v>17456</v>
      </c>
      <c r="E3847" s="74" t="s">
        <v>391</v>
      </c>
      <c r="F3847" s="74">
        <v>0.1</v>
      </c>
      <c r="G3847" s="74"/>
      <c r="H3847" s="74"/>
      <c r="I3847" s="74" t="s">
        <v>391</v>
      </c>
      <c r="J3847" s="74"/>
      <c r="K3847" s="74">
        <v>102.4</v>
      </c>
      <c r="L3847" s="74">
        <v>92.16</v>
      </c>
      <c r="M3847" s="74"/>
      <c r="N3847" s="74" t="s">
        <v>392</v>
      </c>
      <c r="O3847" s="74" t="s">
        <v>393</v>
      </c>
      <c r="P3847" s="74"/>
      <c r="Q3847" s="74" t="s">
        <v>17457</v>
      </c>
    </row>
    <row r="3848" spans="3:17" x14ac:dyDescent="0.25">
      <c r="C3848" s="74" t="s">
        <v>17462</v>
      </c>
      <c r="D3848" s="74" t="s">
        <v>17463</v>
      </c>
      <c r="E3848" s="74" t="s">
        <v>391</v>
      </c>
      <c r="F3848" s="74">
        <v>0.1</v>
      </c>
      <c r="G3848" s="74"/>
      <c r="H3848" s="74"/>
      <c r="I3848" s="74" t="s">
        <v>391</v>
      </c>
      <c r="J3848" s="74"/>
      <c r="K3848" s="74">
        <v>102.4</v>
      </c>
      <c r="L3848" s="74">
        <v>92.16</v>
      </c>
      <c r="M3848" s="74"/>
      <c r="N3848" s="74" t="s">
        <v>392</v>
      </c>
      <c r="O3848" s="74" t="s">
        <v>393</v>
      </c>
      <c r="P3848" s="74"/>
      <c r="Q3848" s="74" t="s">
        <v>17464</v>
      </c>
    </row>
    <row r="3849" spans="3:17" x14ac:dyDescent="0.25">
      <c r="C3849" s="74" t="s">
        <v>17483</v>
      </c>
      <c r="D3849" s="74" t="s">
        <v>17484</v>
      </c>
      <c r="E3849" s="74" t="s">
        <v>391</v>
      </c>
      <c r="F3849" s="74">
        <v>0.1</v>
      </c>
      <c r="G3849" s="74"/>
      <c r="H3849" s="74"/>
      <c r="I3849" s="74" t="s">
        <v>391</v>
      </c>
      <c r="J3849" s="74"/>
      <c r="K3849" s="74">
        <v>102.4</v>
      </c>
      <c r="L3849" s="74">
        <v>92.16</v>
      </c>
      <c r="M3849" s="74"/>
      <c r="N3849" s="74" t="s">
        <v>392</v>
      </c>
      <c r="O3849" s="74" t="s">
        <v>393</v>
      </c>
      <c r="P3849" s="74"/>
      <c r="Q3849" s="74" t="s">
        <v>17485</v>
      </c>
    </row>
    <row r="3850" spans="3:17" x14ac:dyDescent="0.25">
      <c r="C3850" s="74" t="s">
        <v>17494</v>
      </c>
      <c r="D3850" s="74" t="s">
        <v>17495</v>
      </c>
      <c r="E3850" s="74" t="s">
        <v>391</v>
      </c>
      <c r="F3850" s="74">
        <v>0.1</v>
      </c>
      <c r="G3850" s="74"/>
      <c r="H3850" s="74"/>
      <c r="I3850" s="74" t="s">
        <v>391</v>
      </c>
      <c r="J3850" s="74"/>
      <c r="K3850" s="74">
        <v>102.4</v>
      </c>
      <c r="L3850" s="74">
        <v>92.16</v>
      </c>
      <c r="M3850" s="74"/>
      <c r="N3850" s="74" t="s">
        <v>392</v>
      </c>
      <c r="O3850" s="74" t="s">
        <v>393</v>
      </c>
      <c r="P3850" s="74"/>
      <c r="Q3850" s="74" t="s">
        <v>17496</v>
      </c>
    </row>
    <row r="3851" spans="3:17" x14ac:dyDescent="0.25">
      <c r="C3851" s="74" t="s">
        <v>17511</v>
      </c>
      <c r="D3851" s="74" t="s">
        <v>17512</v>
      </c>
      <c r="E3851" s="74" t="s">
        <v>391</v>
      </c>
      <c r="F3851" s="74">
        <v>0.1</v>
      </c>
      <c r="G3851" s="74"/>
      <c r="H3851" s="74"/>
      <c r="I3851" s="74" t="s">
        <v>391</v>
      </c>
      <c r="J3851" s="74"/>
      <c r="K3851" s="74">
        <v>102.4</v>
      </c>
      <c r="L3851" s="74">
        <v>92.16</v>
      </c>
      <c r="M3851" s="74"/>
      <c r="N3851" s="74" t="s">
        <v>392</v>
      </c>
      <c r="O3851" s="74" t="s">
        <v>393</v>
      </c>
      <c r="P3851" s="74"/>
      <c r="Q3851" s="74" t="s">
        <v>17513</v>
      </c>
    </row>
    <row r="3852" spans="3:17" x14ac:dyDescent="0.25">
      <c r="C3852" s="74" t="s">
        <v>17538</v>
      </c>
      <c r="D3852" s="74" t="s">
        <v>17539</v>
      </c>
      <c r="E3852" s="74" t="s">
        <v>391</v>
      </c>
      <c r="F3852" s="74">
        <v>0.1</v>
      </c>
      <c r="G3852" s="74"/>
      <c r="H3852" s="74"/>
      <c r="I3852" s="74" t="s">
        <v>391</v>
      </c>
      <c r="J3852" s="74"/>
      <c r="K3852" s="74">
        <v>102.4</v>
      </c>
      <c r="L3852" s="74">
        <v>92.16</v>
      </c>
      <c r="M3852" s="74"/>
      <c r="N3852" s="74" t="s">
        <v>392</v>
      </c>
      <c r="O3852" s="74" t="s">
        <v>393</v>
      </c>
      <c r="P3852" s="74"/>
      <c r="Q3852" s="74" t="s">
        <v>17540</v>
      </c>
    </row>
    <row r="3853" spans="3:17" x14ac:dyDescent="0.25">
      <c r="C3853" s="74" t="s">
        <v>17541</v>
      </c>
      <c r="D3853" s="74" t="s">
        <v>17542</v>
      </c>
      <c r="E3853" s="74" t="s">
        <v>391</v>
      </c>
      <c r="F3853" s="74">
        <v>0.1</v>
      </c>
      <c r="G3853" s="74"/>
      <c r="H3853" s="74"/>
      <c r="I3853" s="74" t="s">
        <v>391</v>
      </c>
      <c r="J3853" s="74"/>
      <c r="K3853" s="74">
        <v>102.4</v>
      </c>
      <c r="L3853" s="74">
        <v>92.16</v>
      </c>
      <c r="M3853" s="74"/>
      <c r="N3853" s="74" t="s">
        <v>392</v>
      </c>
      <c r="O3853" s="74" t="s">
        <v>393</v>
      </c>
      <c r="P3853" s="74"/>
      <c r="Q3853" s="74" t="s">
        <v>17543</v>
      </c>
    </row>
    <row r="3854" spans="3:17" x14ac:dyDescent="0.25">
      <c r="C3854" s="74" t="s">
        <v>17544</v>
      </c>
      <c r="D3854" s="74" t="s">
        <v>17545</v>
      </c>
      <c r="E3854" s="74" t="s">
        <v>391</v>
      </c>
      <c r="F3854" s="74">
        <v>0.1</v>
      </c>
      <c r="G3854" s="74"/>
      <c r="H3854" s="74"/>
      <c r="I3854" s="74" t="s">
        <v>391</v>
      </c>
      <c r="J3854" s="74"/>
      <c r="K3854" s="74">
        <v>102.4</v>
      </c>
      <c r="L3854" s="74">
        <v>92.16</v>
      </c>
      <c r="M3854" s="74"/>
      <c r="N3854" s="74" t="s">
        <v>392</v>
      </c>
      <c r="O3854" s="74" t="s">
        <v>393</v>
      </c>
      <c r="P3854" s="74"/>
      <c r="Q3854" s="74" t="s">
        <v>17545</v>
      </c>
    </row>
    <row r="3855" spans="3:17" x14ac:dyDescent="0.25">
      <c r="C3855" s="74" t="s">
        <v>17562</v>
      </c>
      <c r="D3855" s="74" t="s">
        <v>17563</v>
      </c>
      <c r="E3855" s="74" t="s">
        <v>391</v>
      </c>
      <c r="F3855" s="74">
        <v>0.1</v>
      </c>
      <c r="G3855" s="74"/>
      <c r="H3855" s="74"/>
      <c r="I3855" s="74" t="s">
        <v>391</v>
      </c>
      <c r="J3855" s="74"/>
      <c r="K3855" s="74">
        <v>102.4</v>
      </c>
      <c r="L3855" s="74">
        <v>92.16</v>
      </c>
      <c r="M3855" s="74"/>
      <c r="N3855" s="74" t="s">
        <v>392</v>
      </c>
      <c r="O3855" s="74" t="s">
        <v>393</v>
      </c>
      <c r="P3855" s="74"/>
      <c r="Q3855" s="74" t="s">
        <v>17564</v>
      </c>
    </row>
    <row r="3856" spans="3:17" x14ac:dyDescent="0.25">
      <c r="C3856" s="74" t="s">
        <v>17583</v>
      </c>
      <c r="D3856" s="74" t="s">
        <v>17584</v>
      </c>
      <c r="E3856" s="74" t="s">
        <v>391</v>
      </c>
      <c r="F3856" s="74">
        <v>0.1</v>
      </c>
      <c r="G3856" s="74"/>
      <c r="H3856" s="74"/>
      <c r="I3856" s="74" t="s">
        <v>391</v>
      </c>
      <c r="J3856" s="74"/>
      <c r="K3856" s="74">
        <v>102.4</v>
      </c>
      <c r="L3856" s="74">
        <v>92.16</v>
      </c>
      <c r="M3856" s="74"/>
      <c r="N3856" s="74" t="s">
        <v>392</v>
      </c>
      <c r="O3856" s="74" t="s">
        <v>393</v>
      </c>
      <c r="P3856" s="74"/>
      <c r="Q3856" s="74" t="s">
        <v>17584</v>
      </c>
    </row>
    <row r="3857" spans="3:17" x14ac:dyDescent="0.25">
      <c r="C3857" s="74" t="s">
        <v>17597</v>
      </c>
      <c r="D3857" s="74" t="s">
        <v>17598</v>
      </c>
      <c r="E3857" s="74" t="s">
        <v>391</v>
      </c>
      <c r="F3857" s="74">
        <v>0.1</v>
      </c>
      <c r="G3857" s="74"/>
      <c r="H3857" s="74"/>
      <c r="I3857" s="74" t="s">
        <v>391</v>
      </c>
      <c r="J3857" s="74"/>
      <c r="K3857" s="74">
        <v>102.4</v>
      </c>
      <c r="L3857" s="74">
        <v>92.16</v>
      </c>
      <c r="M3857" s="74"/>
      <c r="N3857" s="74" t="s">
        <v>392</v>
      </c>
      <c r="O3857" s="74" t="s">
        <v>393</v>
      </c>
      <c r="P3857" s="74"/>
      <c r="Q3857" s="74" t="s">
        <v>17598</v>
      </c>
    </row>
    <row r="3858" spans="3:17" x14ac:dyDescent="0.25">
      <c r="C3858" s="74" t="s">
        <v>17599</v>
      </c>
      <c r="D3858" s="74" t="s">
        <v>17600</v>
      </c>
      <c r="E3858" s="74" t="s">
        <v>391</v>
      </c>
      <c r="F3858" s="74">
        <v>0.1</v>
      </c>
      <c r="G3858" s="74"/>
      <c r="H3858" s="74"/>
      <c r="I3858" s="74" t="s">
        <v>391</v>
      </c>
      <c r="J3858" s="74"/>
      <c r="K3858" s="74">
        <v>102.4</v>
      </c>
      <c r="L3858" s="74">
        <v>92.16</v>
      </c>
      <c r="M3858" s="74"/>
      <c r="N3858" s="74" t="s">
        <v>392</v>
      </c>
      <c r="O3858" s="74" t="s">
        <v>393</v>
      </c>
      <c r="P3858" s="74"/>
      <c r="Q3858" s="74" t="s">
        <v>17601</v>
      </c>
    </row>
    <row r="3859" spans="3:17" x14ac:dyDescent="0.25">
      <c r="C3859" s="74" t="s">
        <v>17618</v>
      </c>
      <c r="D3859" s="74" t="s">
        <v>17619</v>
      </c>
      <c r="E3859" s="74" t="s">
        <v>391</v>
      </c>
      <c r="F3859" s="74">
        <v>0.1</v>
      </c>
      <c r="G3859" s="74"/>
      <c r="H3859" s="74"/>
      <c r="I3859" s="74" t="s">
        <v>391</v>
      </c>
      <c r="J3859" s="74"/>
      <c r="K3859" s="74">
        <v>102.4</v>
      </c>
      <c r="L3859" s="74">
        <v>92.16</v>
      </c>
      <c r="M3859" s="74"/>
      <c r="N3859" s="74" t="s">
        <v>392</v>
      </c>
      <c r="O3859" s="74" t="s">
        <v>393</v>
      </c>
      <c r="P3859" s="74"/>
      <c r="Q3859" s="74" t="s">
        <v>17620</v>
      </c>
    </row>
    <row r="3860" spans="3:17" x14ac:dyDescent="0.25">
      <c r="C3860" s="74" t="s">
        <v>17641</v>
      </c>
      <c r="D3860" s="74" t="s">
        <v>17642</v>
      </c>
      <c r="E3860" s="74" t="s">
        <v>391</v>
      </c>
      <c r="F3860" s="74">
        <v>0.1</v>
      </c>
      <c r="G3860" s="74"/>
      <c r="H3860" s="74"/>
      <c r="I3860" s="74" t="s">
        <v>391</v>
      </c>
      <c r="J3860" s="74"/>
      <c r="K3860" s="74">
        <v>102.4</v>
      </c>
      <c r="L3860" s="74">
        <v>92.16</v>
      </c>
      <c r="M3860" s="74"/>
      <c r="N3860" s="74" t="s">
        <v>392</v>
      </c>
      <c r="O3860" s="74" t="s">
        <v>393</v>
      </c>
      <c r="P3860" s="74"/>
      <c r="Q3860" s="74" t="s">
        <v>17643</v>
      </c>
    </row>
    <row r="3861" spans="3:17" x14ac:dyDescent="0.25">
      <c r="C3861" s="74" t="s">
        <v>17644</v>
      </c>
      <c r="D3861" s="74" t="s">
        <v>17645</v>
      </c>
      <c r="E3861" s="74" t="s">
        <v>391</v>
      </c>
      <c r="F3861" s="74">
        <v>0.1</v>
      </c>
      <c r="G3861" s="74"/>
      <c r="H3861" s="74"/>
      <c r="I3861" s="74" t="s">
        <v>391</v>
      </c>
      <c r="J3861" s="74"/>
      <c r="K3861" s="74">
        <v>102.4</v>
      </c>
      <c r="L3861" s="74">
        <v>92.16</v>
      </c>
      <c r="M3861" s="74"/>
      <c r="N3861" s="74" t="s">
        <v>392</v>
      </c>
      <c r="O3861" s="74" t="s">
        <v>393</v>
      </c>
      <c r="P3861" s="74"/>
      <c r="Q3861" s="74" t="s">
        <v>17645</v>
      </c>
    </row>
    <row r="3862" spans="3:17" x14ac:dyDescent="0.25">
      <c r="C3862" s="74" t="s">
        <v>17661</v>
      </c>
      <c r="D3862" s="74" t="s">
        <v>17662</v>
      </c>
      <c r="E3862" s="74" t="s">
        <v>391</v>
      </c>
      <c r="F3862" s="74">
        <v>0.1</v>
      </c>
      <c r="G3862" s="74"/>
      <c r="H3862" s="74"/>
      <c r="I3862" s="74" t="s">
        <v>391</v>
      </c>
      <c r="J3862" s="74"/>
      <c r="K3862" s="74">
        <v>102.4</v>
      </c>
      <c r="L3862" s="74">
        <v>92.16</v>
      </c>
      <c r="M3862" s="74"/>
      <c r="N3862" s="74" t="s">
        <v>392</v>
      </c>
      <c r="O3862" s="74" t="s">
        <v>393</v>
      </c>
      <c r="P3862" s="74"/>
      <c r="Q3862" s="74" t="s">
        <v>17663</v>
      </c>
    </row>
    <row r="3863" spans="3:17" x14ac:dyDescent="0.25">
      <c r="C3863" s="74" t="s">
        <v>17664</v>
      </c>
      <c r="D3863" s="74" t="s">
        <v>17665</v>
      </c>
      <c r="E3863" s="74" t="s">
        <v>391</v>
      </c>
      <c r="F3863" s="74">
        <v>0.1</v>
      </c>
      <c r="G3863" s="74"/>
      <c r="H3863" s="74"/>
      <c r="I3863" s="74" t="s">
        <v>391</v>
      </c>
      <c r="J3863" s="74"/>
      <c r="K3863" s="74">
        <v>102.4</v>
      </c>
      <c r="L3863" s="74">
        <v>92.16</v>
      </c>
      <c r="M3863" s="74"/>
      <c r="N3863" s="74" t="s">
        <v>392</v>
      </c>
      <c r="O3863" s="74" t="s">
        <v>393</v>
      </c>
      <c r="P3863" s="74"/>
      <c r="Q3863" s="74" t="s">
        <v>17666</v>
      </c>
    </row>
    <row r="3864" spans="3:17" x14ac:dyDescent="0.25">
      <c r="C3864" s="74" t="s">
        <v>17667</v>
      </c>
      <c r="D3864" s="74" t="s">
        <v>17668</v>
      </c>
      <c r="E3864" s="74" t="s">
        <v>391</v>
      </c>
      <c r="F3864" s="74">
        <v>0.1</v>
      </c>
      <c r="G3864" s="74"/>
      <c r="H3864" s="74"/>
      <c r="I3864" s="74" t="s">
        <v>391</v>
      </c>
      <c r="J3864" s="74"/>
      <c r="K3864" s="74">
        <v>102.4</v>
      </c>
      <c r="L3864" s="74">
        <v>92.16</v>
      </c>
      <c r="M3864" s="74"/>
      <c r="N3864" s="74" t="s">
        <v>392</v>
      </c>
      <c r="O3864" s="74" t="s">
        <v>393</v>
      </c>
      <c r="P3864" s="74"/>
      <c r="Q3864" s="74" t="s">
        <v>17669</v>
      </c>
    </row>
    <row r="3865" spans="3:17" x14ac:dyDescent="0.25">
      <c r="C3865" s="74" t="s">
        <v>17670</v>
      </c>
      <c r="D3865" s="74" t="s">
        <v>17671</v>
      </c>
      <c r="E3865" s="74" t="s">
        <v>391</v>
      </c>
      <c r="F3865" s="74">
        <v>0.1</v>
      </c>
      <c r="G3865" s="74"/>
      <c r="H3865" s="74"/>
      <c r="I3865" s="74" t="s">
        <v>391</v>
      </c>
      <c r="J3865" s="74"/>
      <c r="K3865" s="74">
        <v>102.4</v>
      </c>
      <c r="L3865" s="74">
        <v>92.16</v>
      </c>
      <c r="M3865" s="74"/>
      <c r="N3865" s="74" t="s">
        <v>392</v>
      </c>
      <c r="O3865" s="74" t="s">
        <v>393</v>
      </c>
      <c r="P3865" s="74"/>
      <c r="Q3865" s="74" t="s">
        <v>17672</v>
      </c>
    </row>
    <row r="3866" spans="3:17" x14ac:dyDescent="0.25">
      <c r="C3866" s="74" t="s">
        <v>17677</v>
      </c>
      <c r="D3866" s="74" t="s">
        <v>17678</v>
      </c>
      <c r="E3866" s="74" t="s">
        <v>391</v>
      </c>
      <c r="F3866" s="74">
        <v>0.1</v>
      </c>
      <c r="G3866" s="74"/>
      <c r="H3866" s="74"/>
      <c r="I3866" s="74" t="s">
        <v>391</v>
      </c>
      <c r="J3866" s="74"/>
      <c r="K3866" s="74">
        <v>102.4</v>
      </c>
      <c r="L3866" s="74">
        <v>92.16</v>
      </c>
      <c r="M3866" s="74"/>
      <c r="N3866" s="74" t="s">
        <v>392</v>
      </c>
      <c r="O3866" s="74" t="s">
        <v>393</v>
      </c>
      <c r="P3866" s="74"/>
      <c r="Q3866" s="74" t="s">
        <v>17679</v>
      </c>
    </row>
    <row r="3867" spans="3:17" x14ac:dyDescent="0.25">
      <c r="C3867" s="74" t="s">
        <v>17688</v>
      </c>
      <c r="D3867" s="74" t="s">
        <v>17689</v>
      </c>
      <c r="E3867" s="74" t="s">
        <v>391</v>
      </c>
      <c r="F3867" s="74">
        <v>0.1</v>
      </c>
      <c r="G3867" s="74"/>
      <c r="H3867" s="74"/>
      <c r="I3867" s="74" t="s">
        <v>391</v>
      </c>
      <c r="J3867" s="74"/>
      <c r="K3867" s="74">
        <v>102.4</v>
      </c>
      <c r="L3867" s="74">
        <v>92.16</v>
      </c>
      <c r="M3867" s="74"/>
      <c r="N3867" s="74" t="s">
        <v>392</v>
      </c>
      <c r="O3867" s="74" t="s">
        <v>393</v>
      </c>
      <c r="P3867" s="74"/>
      <c r="Q3867" s="74" t="s">
        <v>17690</v>
      </c>
    </row>
    <row r="3868" spans="3:17" x14ac:dyDescent="0.25">
      <c r="C3868" s="74" t="s">
        <v>17742</v>
      </c>
      <c r="D3868" s="74" t="s">
        <v>17743</v>
      </c>
      <c r="E3868" s="74" t="s">
        <v>391</v>
      </c>
      <c r="F3868" s="74">
        <v>0.1</v>
      </c>
      <c r="G3868" s="74"/>
      <c r="H3868" s="74"/>
      <c r="I3868" s="74" t="s">
        <v>391</v>
      </c>
      <c r="J3868" s="74"/>
      <c r="K3868" s="74">
        <v>102.4</v>
      </c>
      <c r="L3868" s="74">
        <v>92.16</v>
      </c>
      <c r="M3868" s="74"/>
      <c r="N3868" s="74" t="s">
        <v>392</v>
      </c>
      <c r="O3868" s="74" t="s">
        <v>393</v>
      </c>
      <c r="P3868" s="74"/>
      <c r="Q3868" s="74" t="s">
        <v>17744</v>
      </c>
    </row>
    <row r="3869" spans="3:17" x14ac:dyDescent="0.25">
      <c r="C3869" s="74" t="s">
        <v>17753</v>
      </c>
      <c r="D3869" s="74" t="s">
        <v>17754</v>
      </c>
      <c r="E3869" s="74" t="s">
        <v>391</v>
      </c>
      <c r="F3869" s="74">
        <v>0.1</v>
      </c>
      <c r="G3869" s="74"/>
      <c r="H3869" s="74"/>
      <c r="I3869" s="74" t="s">
        <v>391</v>
      </c>
      <c r="J3869" s="74"/>
      <c r="K3869" s="74">
        <v>102.4</v>
      </c>
      <c r="L3869" s="74">
        <v>92.16</v>
      </c>
      <c r="M3869" s="74"/>
      <c r="N3869" s="74" t="s">
        <v>392</v>
      </c>
      <c r="O3869" s="74" t="s">
        <v>393</v>
      </c>
      <c r="P3869" s="74"/>
      <c r="Q3869" s="74" t="s">
        <v>17755</v>
      </c>
    </row>
    <row r="3870" spans="3:17" x14ac:dyDescent="0.25">
      <c r="C3870" s="74" t="s">
        <v>17768</v>
      </c>
      <c r="D3870" s="74" t="s">
        <v>17769</v>
      </c>
      <c r="E3870" s="74" t="s">
        <v>391</v>
      </c>
      <c r="F3870" s="74">
        <v>0.1</v>
      </c>
      <c r="G3870" s="74"/>
      <c r="H3870" s="74"/>
      <c r="I3870" s="74" t="s">
        <v>391</v>
      </c>
      <c r="J3870" s="74"/>
      <c r="K3870" s="74">
        <v>102.4</v>
      </c>
      <c r="L3870" s="74">
        <v>92.16</v>
      </c>
      <c r="M3870" s="74"/>
      <c r="N3870" s="74" t="s">
        <v>392</v>
      </c>
      <c r="O3870" s="74" t="s">
        <v>393</v>
      </c>
      <c r="P3870" s="74"/>
      <c r="Q3870" s="74" t="s">
        <v>17770</v>
      </c>
    </row>
    <row r="3871" spans="3:17" x14ac:dyDescent="0.25">
      <c r="C3871" s="74" t="s">
        <v>17775</v>
      </c>
      <c r="D3871" s="74" t="s">
        <v>17776</v>
      </c>
      <c r="E3871" s="74" t="s">
        <v>391</v>
      </c>
      <c r="F3871" s="74">
        <v>0.1</v>
      </c>
      <c r="G3871" s="74"/>
      <c r="H3871" s="74"/>
      <c r="I3871" s="74" t="s">
        <v>391</v>
      </c>
      <c r="J3871" s="74"/>
      <c r="K3871" s="74">
        <v>102.4</v>
      </c>
      <c r="L3871" s="74">
        <v>92.16</v>
      </c>
      <c r="M3871" s="74"/>
      <c r="N3871" s="74" t="s">
        <v>392</v>
      </c>
      <c r="O3871" s="74" t="s">
        <v>393</v>
      </c>
      <c r="P3871" s="74"/>
      <c r="Q3871" s="74" t="s">
        <v>17777</v>
      </c>
    </row>
    <row r="3872" spans="3:17" x14ac:dyDescent="0.25">
      <c r="C3872" s="74" t="s">
        <v>17778</v>
      </c>
      <c r="D3872" s="74" t="s">
        <v>17779</v>
      </c>
      <c r="E3872" s="74" t="s">
        <v>391</v>
      </c>
      <c r="F3872" s="74">
        <v>0.1</v>
      </c>
      <c r="G3872" s="74"/>
      <c r="H3872" s="74"/>
      <c r="I3872" s="74" t="s">
        <v>391</v>
      </c>
      <c r="J3872" s="74"/>
      <c r="K3872" s="74">
        <v>102.4</v>
      </c>
      <c r="L3872" s="74">
        <v>92.16</v>
      </c>
      <c r="M3872" s="74"/>
      <c r="N3872" s="74" t="s">
        <v>392</v>
      </c>
      <c r="O3872" s="74" t="s">
        <v>393</v>
      </c>
      <c r="P3872" s="74"/>
      <c r="Q3872" s="74" t="s">
        <v>17780</v>
      </c>
    </row>
    <row r="3873" spans="3:17" x14ac:dyDescent="0.25">
      <c r="C3873" s="74" t="s">
        <v>17781</v>
      </c>
      <c r="D3873" s="74" t="s">
        <v>17782</v>
      </c>
      <c r="E3873" s="74" t="s">
        <v>391</v>
      </c>
      <c r="F3873" s="74">
        <v>0.1</v>
      </c>
      <c r="G3873" s="74"/>
      <c r="H3873" s="74"/>
      <c r="I3873" s="74" t="s">
        <v>391</v>
      </c>
      <c r="J3873" s="74"/>
      <c r="K3873" s="74">
        <v>102.4</v>
      </c>
      <c r="L3873" s="74">
        <v>92.16</v>
      </c>
      <c r="M3873" s="74"/>
      <c r="N3873" s="74" t="s">
        <v>392</v>
      </c>
      <c r="O3873" s="74" t="s">
        <v>393</v>
      </c>
      <c r="P3873" s="74"/>
      <c r="Q3873" s="74" t="s">
        <v>17783</v>
      </c>
    </row>
    <row r="3874" spans="3:17" x14ac:dyDescent="0.25">
      <c r="C3874" s="74" t="s">
        <v>17784</v>
      </c>
      <c r="D3874" s="74" t="s">
        <v>17785</v>
      </c>
      <c r="E3874" s="74" t="s">
        <v>391</v>
      </c>
      <c r="F3874" s="74">
        <v>0.1</v>
      </c>
      <c r="G3874" s="74"/>
      <c r="H3874" s="74"/>
      <c r="I3874" s="74" t="s">
        <v>391</v>
      </c>
      <c r="J3874" s="74"/>
      <c r="K3874" s="74">
        <v>102.4</v>
      </c>
      <c r="L3874" s="74">
        <v>92.16</v>
      </c>
      <c r="M3874" s="74"/>
      <c r="N3874" s="74" t="s">
        <v>392</v>
      </c>
      <c r="O3874" s="74" t="s">
        <v>393</v>
      </c>
      <c r="P3874" s="74"/>
      <c r="Q3874" s="74" t="s">
        <v>17786</v>
      </c>
    </row>
    <row r="3875" spans="3:17" x14ac:dyDescent="0.25">
      <c r="C3875" s="74" t="s">
        <v>17787</v>
      </c>
      <c r="D3875" s="74" t="s">
        <v>17788</v>
      </c>
      <c r="E3875" s="74" t="s">
        <v>391</v>
      </c>
      <c r="F3875" s="74">
        <v>0.1</v>
      </c>
      <c r="G3875" s="74"/>
      <c r="H3875" s="74"/>
      <c r="I3875" s="74" t="s">
        <v>391</v>
      </c>
      <c r="J3875" s="74"/>
      <c r="K3875" s="74">
        <v>102.4</v>
      </c>
      <c r="L3875" s="74">
        <v>92.16</v>
      </c>
      <c r="M3875" s="74"/>
      <c r="N3875" s="74" t="s">
        <v>392</v>
      </c>
      <c r="O3875" s="74" t="s">
        <v>393</v>
      </c>
      <c r="P3875" s="74"/>
      <c r="Q3875" s="74" t="s">
        <v>17789</v>
      </c>
    </row>
    <row r="3876" spans="3:17" x14ac:dyDescent="0.25">
      <c r="C3876" s="74" t="s">
        <v>17790</v>
      </c>
      <c r="D3876" s="74" t="s">
        <v>17791</v>
      </c>
      <c r="E3876" s="74" t="s">
        <v>391</v>
      </c>
      <c r="F3876" s="74">
        <v>0.1</v>
      </c>
      <c r="G3876" s="74"/>
      <c r="H3876" s="74"/>
      <c r="I3876" s="74" t="s">
        <v>391</v>
      </c>
      <c r="J3876" s="74"/>
      <c r="K3876" s="74">
        <v>102.4</v>
      </c>
      <c r="L3876" s="74">
        <v>92.16</v>
      </c>
      <c r="M3876" s="74"/>
      <c r="N3876" s="74" t="s">
        <v>392</v>
      </c>
      <c r="O3876" s="74" t="s">
        <v>393</v>
      </c>
      <c r="P3876" s="74"/>
      <c r="Q3876" s="74" t="s">
        <v>17792</v>
      </c>
    </row>
    <row r="3877" spans="3:17" x14ac:dyDescent="0.25">
      <c r="C3877" s="74" t="s">
        <v>17807</v>
      </c>
      <c r="D3877" s="74" t="s">
        <v>17808</v>
      </c>
      <c r="E3877" s="74" t="s">
        <v>391</v>
      </c>
      <c r="F3877" s="74">
        <v>0.1</v>
      </c>
      <c r="G3877" s="74"/>
      <c r="H3877" s="74"/>
      <c r="I3877" s="74" t="s">
        <v>391</v>
      </c>
      <c r="J3877" s="74"/>
      <c r="K3877" s="74">
        <v>102.4</v>
      </c>
      <c r="L3877" s="74">
        <v>92.16</v>
      </c>
      <c r="M3877" s="74"/>
      <c r="N3877" s="74" t="s">
        <v>392</v>
      </c>
      <c r="O3877" s="74" t="s">
        <v>393</v>
      </c>
      <c r="P3877" s="74"/>
      <c r="Q3877" s="74" t="s">
        <v>17809</v>
      </c>
    </row>
    <row r="3878" spans="3:17" x14ac:dyDescent="0.25">
      <c r="C3878" s="74" t="s">
        <v>17814</v>
      </c>
      <c r="D3878" s="74" t="s">
        <v>17815</v>
      </c>
      <c r="E3878" s="74" t="s">
        <v>391</v>
      </c>
      <c r="F3878" s="74">
        <v>0.1</v>
      </c>
      <c r="G3878" s="74"/>
      <c r="H3878" s="74"/>
      <c r="I3878" s="74" t="s">
        <v>391</v>
      </c>
      <c r="J3878" s="74"/>
      <c r="K3878" s="74">
        <v>102.4</v>
      </c>
      <c r="L3878" s="74">
        <v>92.16</v>
      </c>
      <c r="M3878" s="74"/>
      <c r="N3878" s="74" t="s">
        <v>392</v>
      </c>
      <c r="O3878" s="74" t="s">
        <v>393</v>
      </c>
      <c r="P3878" s="74"/>
      <c r="Q3878" s="74" t="s">
        <v>17816</v>
      </c>
    </row>
    <row r="3879" spans="3:17" x14ac:dyDescent="0.25">
      <c r="C3879" s="74" t="s">
        <v>17825</v>
      </c>
      <c r="D3879" s="74" t="s">
        <v>17826</v>
      </c>
      <c r="E3879" s="74" t="s">
        <v>391</v>
      </c>
      <c r="F3879" s="74">
        <v>0.1</v>
      </c>
      <c r="G3879" s="74"/>
      <c r="H3879" s="74"/>
      <c r="I3879" s="74" t="s">
        <v>391</v>
      </c>
      <c r="J3879" s="74"/>
      <c r="K3879" s="74">
        <v>102.4</v>
      </c>
      <c r="L3879" s="74">
        <v>92.16</v>
      </c>
      <c r="M3879" s="74"/>
      <c r="N3879" s="74" t="s">
        <v>392</v>
      </c>
      <c r="O3879" s="74" t="s">
        <v>393</v>
      </c>
      <c r="P3879" s="74"/>
      <c r="Q3879" s="74" t="s">
        <v>17827</v>
      </c>
    </row>
    <row r="3880" spans="3:17" x14ac:dyDescent="0.25">
      <c r="C3880" s="74" t="s">
        <v>17850</v>
      </c>
      <c r="D3880" s="74" t="s">
        <v>17851</v>
      </c>
      <c r="E3880" s="74" t="s">
        <v>391</v>
      </c>
      <c r="F3880" s="74">
        <v>0.1</v>
      </c>
      <c r="G3880" s="74"/>
      <c r="H3880" s="74"/>
      <c r="I3880" s="74" t="s">
        <v>391</v>
      </c>
      <c r="J3880" s="74"/>
      <c r="K3880" s="74">
        <v>102.4</v>
      </c>
      <c r="L3880" s="74">
        <v>92.16</v>
      </c>
      <c r="M3880" s="74"/>
      <c r="N3880" s="74" t="s">
        <v>392</v>
      </c>
      <c r="O3880" s="74" t="s">
        <v>393</v>
      </c>
      <c r="P3880" s="74"/>
      <c r="Q3880" s="74" t="s">
        <v>17852</v>
      </c>
    </row>
    <row r="3881" spans="3:17" x14ac:dyDescent="0.25">
      <c r="C3881" s="74" t="s">
        <v>17867</v>
      </c>
      <c r="D3881" s="74" t="s">
        <v>17868</v>
      </c>
      <c r="E3881" s="74" t="s">
        <v>391</v>
      </c>
      <c r="F3881" s="74">
        <v>0.1</v>
      </c>
      <c r="G3881" s="74"/>
      <c r="H3881" s="74"/>
      <c r="I3881" s="74" t="s">
        <v>391</v>
      </c>
      <c r="J3881" s="74"/>
      <c r="K3881" s="74">
        <v>102.4</v>
      </c>
      <c r="L3881" s="74">
        <v>92.16</v>
      </c>
      <c r="M3881" s="74"/>
      <c r="N3881" s="74" t="s">
        <v>392</v>
      </c>
      <c r="O3881" s="74" t="s">
        <v>393</v>
      </c>
      <c r="P3881" s="74"/>
      <c r="Q3881" s="74" t="s">
        <v>17869</v>
      </c>
    </row>
    <row r="3882" spans="3:17" x14ac:dyDescent="0.25">
      <c r="C3882" s="74" t="s">
        <v>17885</v>
      </c>
      <c r="D3882" s="74" t="s">
        <v>17886</v>
      </c>
      <c r="E3882" s="74" t="s">
        <v>391</v>
      </c>
      <c r="F3882" s="74">
        <v>0.1</v>
      </c>
      <c r="G3882" s="74"/>
      <c r="H3882" s="74"/>
      <c r="I3882" s="74" t="s">
        <v>391</v>
      </c>
      <c r="J3882" s="74"/>
      <c r="K3882" s="74">
        <v>102.4</v>
      </c>
      <c r="L3882" s="74">
        <v>92.16</v>
      </c>
      <c r="M3882" s="74"/>
      <c r="N3882" s="74" t="s">
        <v>392</v>
      </c>
      <c r="O3882" s="74" t="s">
        <v>393</v>
      </c>
      <c r="P3882" s="74"/>
      <c r="Q3882" s="74" t="s">
        <v>17887</v>
      </c>
    </row>
    <row r="3883" spans="3:17" x14ac:dyDescent="0.25">
      <c r="C3883" s="74" t="s">
        <v>17896</v>
      </c>
      <c r="D3883" s="74" t="s">
        <v>17897</v>
      </c>
      <c r="E3883" s="74" t="s">
        <v>391</v>
      </c>
      <c r="F3883" s="74">
        <v>0.1</v>
      </c>
      <c r="G3883" s="74"/>
      <c r="H3883" s="74"/>
      <c r="I3883" s="74" t="s">
        <v>391</v>
      </c>
      <c r="J3883" s="74"/>
      <c r="K3883" s="74">
        <v>102.4</v>
      </c>
      <c r="L3883" s="74">
        <v>92.16</v>
      </c>
      <c r="M3883" s="74"/>
      <c r="N3883" s="74" t="s">
        <v>392</v>
      </c>
      <c r="O3883" s="74" t="s">
        <v>393</v>
      </c>
      <c r="P3883" s="74"/>
      <c r="Q3883" s="74" t="s">
        <v>17898</v>
      </c>
    </row>
    <row r="3884" spans="3:17" x14ac:dyDescent="0.25">
      <c r="C3884" s="74" t="s">
        <v>17915</v>
      </c>
      <c r="D3884" s="74" t="s">
        <v>17916</v>
      </c>
      <c r="E3884" s="74" t="s">
        <v>391</v>
      </c>
      <c r="F3884" s="74">
        <v>0.1</v>
      </c>
      <c r="G3884" s="74"/>
      <c r="H3884" s="74"/>
      <c r="I3884" s="74" t="s">
        <v>391</v>
      </c>
      <c r="J3884" s="74"/>
      <c r="K3884" s="74">
        <v>102.4</v>
      </c>
      <c r="L3884" s="74">
        <v>92.16</v>
      </c>
      <c r="M3884" s="74"/>
      <c r="N3884" s="74" t="s">
        <v>392</v>
      </c>
      <c r="O3884" s="74" t="s">
        <v>393</v>
      </c>
      <c r="P3884" s="74"/>
      <c r="Q3884" s="74" t="s">
        <v>17917</v>
      </c>
    </row>
    <row r="3885" spans="3:17" x14ac:dyDescent="0.25">
      <c r="C3885" s="74" t="s">
        <v>17941</v>
      </c>
      <c r="D3885" s="74" t="s">
        <v>17942</v>
      </c>
      <c r="E3885" s="74" t="s">
        <v>391</v>
      </c>
      <c r="F3885" s="74">
        <v>0.1</v>
      </c>
      <c r="G3885" s="74"/>
      <c r="H3885" s="74"/>
      <c r="I3885" s="74" t="s">
        <v>391</v>
      </c>
      <c r="J3885" s="74"/>
      <c r="K3885" s="74">
        <v>102.4</v>
      </c>
      <c r="L3885" s="74">
        <v>92.16</v>
      </c>
      <c r="M3885" s="74"/>
      <c r="N3885" s="74" t="s">
        <v>392</v>
      </c>
      <c r="O3885" s="74" t="s">
        <v>393</v>
      </c>
      <c r="P3885" s="74"/>
      <c r="Q3885" s="74" t="s">
        <v>17942</v>
      </c>
    </row>
    <row r="3886" spans="3:17" x14ac:dyDescent="0.25">
      <c r="C3886" s="74" t="s">
        <v>17943</v>
      </c>
      <c r="D3886" s="74" t="s">
        <v>17944</v>
      </c>
      <c r="E3886" s="74" t="s">
        <v>391</v>
      </c>
      <c r="F3886" s="74">
        <v>0.1</v>
      </c>
      <c r="G3886" s="74"/>
      <c r="H3886" s="74"/>
      <c r="I3886" s="74" t="s">
        <v>391</v>
      </c>
      <c r="J3886" s="74"/>
      <c r="K3886" s="74">
        <v>102.4</v>
      </c>
      <c r="L3886" s="74">
        <v>92.16</v>
      </c>
      <c r="M3886" s="74"/>
      <c r="N3886" s="74" t="s">
        <v>392</v>
      </c>
      <c r="O3886" s="74" t="s">
        <v>393</v>
      </c>
      <c r="P3886" s="74"/>
      <c r="Q3886" s="74" t="s">
        <v>17945</v>
      </c>
    </row>
    <row r="3887" spans="3:17" x14ac:dyDescent="0.25">
      <c r="C3887" s="74" t="s">
        <v>17962</v>
      </c>
      <c r="D3887" s="74" t="s">
        <v>17963</v>
      </c>
      <c r="E3887" s="74" t="s">
        <v>391</v>
      </c>
      <c r="F3887" s="74">
        <v>0.1</v>
      </c>
      <c r="G3887" s="74"/>
      <c r="H3887" s="74"/>
      <c r="I3887" s="74" t="s">
        <v>391</v>
      </c>
      <c r="J3887" s="74"/>
      <c r="K3887" s="74">
        <v>102.4</v>
      </c>
      <c r="L3887" s="74">
        <v>92.16</v>
      </c>
      <c r="M3887" s="74"/>
      <c r="N3887" s="74" t="s">
        <v>392</v>
      </c>
      <c r="O3887" s="74" t="s">
        <v>393</v>
      </c>
      <c r="P3887" s="74"/>
      <c r="Q3887" s="74" t="s">
        <v>17964</v>
      </c>
    </row>
    <row r="3888" spans="3:17" x14ac:dyDescent="0.25">
      <c r="C3888" s="74" t="s">
        <v>17965</v>
      </c>
      <c r="D3888" s="74" t="s">
        <v>17966</v>
      </c>
      <c r="E3888" s="74" t="s">
        <v>391</v>
      </c>
      <c r="F3888" s="74">
        <v>0.1</v>
      </c>
      <c r="G3888" s="74"/>
      <c r="H3888" s="74"/>
      <c r="I3888" s="74" t="s">
        <v>391</v>
      </c>
      <c r="J3888" s="74"/>
      <c r="K3888" s="74">
        <v>102.4</v>
      </c>
      <c r="L3888" s="74">
        <v>92.16</v>
      </c>
      <c r="M3888" s="74"/>
      <c r="N3888" s="74" t="s">
        <v>392</v>
      </c>
      <c r="O3888" s="74" t="s">
        <v>393</v>
      </c>
      <c r="P3888" s="74"/>
      <c r="Q3888" s="74" t="s">
        <v>17967</v>
      </c>
    </row>
    <row r="3889" spans="3:17" x14ac:dyDescent="0.25">
      <c r="C3889" s="74" t="s">
        <v>17968</v>
      </c>
      <c r="D3889" s="74" t="s">
        <v>17969</v>
      </c>
      <c r="E3889" s="74" t="s">
        <v>391</v>
      </c>
      <c r="F3889" s="74">
        <v>0.1</v>
      </c>
      <c r="G3889" s="74"/>
      <c r="H3889" s="74"/>
      <c r="I3889" s="74" t="s">
        <v>391</v>
      </c>
      <c r="J3889" s="74"/>
      <c r="K3889" s="74">
        <v>102.4</v>
      </c>
      <c r="L3889" s="74">
        <v>92.16</v>
      </c>
      <c r="M3889" s="74"/>
      <c r="N3889" s="74" t="s">
        <v>392</v>
      </c>
      <c r="O3889" s="74" t="s">
        <v>393</v>
      </c>
      <c r="P3889" s="74"/>
      <c r="Q3889" s="74" t="s">
        <v>17970</v>
      </c>
    </row>
    <row r="3890" spans="3:17" x14ac:dyDescent="0.25">
      <c r="C3890" s="74" t="s">
        <v>17979</v>
      </c>
      <c r="D3890" s="74" t="s">
        <v>17980</v>
      </c>
      <c r="E3890" s="74" t="s">
        <v>391</v>
      </c>
      <c r="F3890" s="74">
        <v>0.1</v>
      </c>
      <c r="G3890" s="74"/>
      <c r="H3890" s="74"/>
      <c r="I3890" s="74" t="s">
        <v>391</v>
      </c>
      <c r="J3890" s="74"/>
      <c r="K3890" s="74">
        <v>102.4</v>
      </c>
      <c r="L3890" s="74">
        <v>92.16</v>
      </c>
      <c r="M3890" s="74"/>
      <c r="N3890" s="74" t="s">
        <v>392</v>
      </c>
      <c r="O3890" s="74" t="s">
        <v>393</v>
      </c>
      <c r="P3890" s="74"/>
      <c r="Q3890" s="74" t="s">
        <v>17981</v>
      </c>
    </row>
    <row r="3891" spans="3:17" x14ac:dyDescent="0.25">
      <c r="C3891" s="74" t="s">
        <v>17982</v>
      </c>
      <c r="D3891" s="74" t="s">
        <v>17983</v>
      </c>
      <c r="E3891" s="74" t="s">
        <v>391</v>
      </c>
      <c r="F3891" s="74">
        <v>0.1</v>
      </c>
      <c r="G3891" s="74"/>
      <c r="H3891" s="74"/>
      <c r="I3891" s="74" t="s">
        <v>391</v>
      </c>
      <c r="J3891" s="74"/>
      <c r="K3891" s="74">
        <v>102.4</v>
      </c>
      <c r="L3891" s="74">
        <v>92.16</v>
      </c>
      <c r="M3891" s="74"/>
      <c r="N3891" s="74" t="s">
        <v>392</v>
      </c>
      <c r="O3891" s="74" t="s">
        <v>393</v>
      </c>
      <c r="P3891" s="74"/>
      <c r="Q3891" s="74" t="s">
        <v>17983</v>
      </c>
    </row>
    <row r="3892" spans="3:17" x14ac:dyDescent="0.25">
      <c r="C3892" s="74" t="s">
        <v>17988</v>
      </c>
      <c r="D3892" s="74" t="s">
        <v>17989</v>
      </c>
      <c r="E3892" s="74" t="s">
        <v>391</v>
      </c>
      <c r="F3892" s="74">
        <v>0.1</v>
      </c>
      <c r="G3892" s="74"/>
      <c r="H3892" s="74"/>
      <c r="I3892" s="74" t="s">
        <v>391</v>
      </c>
      <c r="J3892" s="74"/>
      <c r="K3892" s="74">
        <v>102.4</v>
      </c>
      <c r="L3892" s="74">
        <v>92.16</v>
      </c>
      <c r="M3892" s="74"/>
      <c r="N3892" s="74" t="s">
        <v>392</v>
      </c>
      <c r="O3892" s="74" t="s">
        <v>393</v>
      </c>
      <c r="P3892" s="74"/>
      <c r="Q3892" s="74" t="s">
        <v>17990</v>
      </c>
    </row>
    <row r="3893" spans="3:17" x14ac:dyDescent="0.25">
      <c r="C3893" s="74" t="s">
        <v>18001</v>
      </c>
      <c r="D3893" s="74" t="s">
        <v>18002</v>
      </c>
      <c r="E3893" s="74" t="s">
        <v>391</v>
      </c>
      <c r="F3893" s="74">
        <v>0.1</v>
      </c>
      <c r="G3893" s="74"/>
      <c r="H3893" s="74"/>
      <c r="I3893" s="74" t="s">
        <v>391</v>
      </c>
      <c r="J3893" s="74"/>
      <c r="K3893" s="74">
        <v>102.4</v>
      </c>
      <c r="L3893" s="74">
        <v>92.16</v>
      </c>
      <c r="M3893" s="74"/>
      <c r="N3893" s="74" t="s">
        <v>392</v>
      </c>
      <c r="O3893" s="74" t="s">
        <v>393</v>
      </c>
      <c r="P3893" s="74"/>
      <c r="Q3893" s="74" t="s">
        <v>18003</v>
      </c>
    </row>
    <row r="3894" spans="3:17" x14ac:dyDescent="0.25">
      <c r="C3894" s="74" t="s">
        <v>18004</v>
      </c>
      <c r="D3894" s="74" t="s">
        <v>18005</v>
      </c>
      <c r="E3894" s="74" t="s">
        <v>391</v>
      </c>
      <c r="F3894" s="74">
        <v>0.1</v>
      </c>
      <c r="G3894" s="74"/>
      <c r="H3894" s="74"/>
      <c r="I3894" s="74" t="s">
        <v>391</v>
      </c>
      <c r="J3894" s="74"/>
      <c r="K3894" s="74">
        <v>102.4</v>
      </c>
      <c r="L3894" s="74">
        <v>92.16</v>
      </c>
      <c r="M3894" s="74"/>
      <c r="N3894" s="74" t="s">
        <v>392</v>
      </c>
      <c r="O3894" s="74" t="s">
        <v>393</v>
      </c>
      <c r="P3894" s="74"/>
      <c r="Q3894" s="74" t="s">
        <v>18006</v>
      </c>
    </row>
    <row r="3895" spans="3:17" x14ac:dyDescent="0.25">
      <c r="C3895" s="74" t="s">
        <v>18007</v>
      </c>
      <c r="D3895" s="74" t="s">
        <v>18008</v>
      </c>
      <c r="E3895" s="74" t="s">
        <v>391</v>
      </c>
      <c r="F3895" s="74">
        <v>0.1</v>
      </c>
      <c r="G3895" s="74"/>
      <c r="H3895" s="74"/>
      <c r="I3895" s="74" t="s">
        <v>391</v>
      </c>
      <c r="J3895" s="74"/>
      <c r="K3895" s="74">
        <v>102.4</v>
      </c>
      <c r="L3895" s="74">
        <v>92.16</v>
      </c>
      <c r="M3895" s="74"/>
      <c r="N3895" s="74" t="s">
        <v>392</v>
      </c>
      <c r="O3895" s="74" t="s">
        <v>393</v>
      </c>
      <c r="P3895" s="74"/>
      <c r="Q3895" s="74" t="s">
        <v>18009</v>
      </c>
    </row>
    <row r="3896" spans="3:17" x14ac:dyDescent="0.25">
      <c r="C3896" s="74" t="s">
        <v>18014</v>
      </c>
      <c r="D3896" s="74" t="s">
        <v>18015</v>
      </c>
      <c r="E3896" s="74" t="s">
        <v>391</v>
      </c>
      <c r="F3896" s="74">
        <v>0.1</v>
      </c>
      <c r="G3896" s="74"/>
      <c r="H3896" s="74"/>
      <c r="I3896" s="74" t="s">
        <v>391</v>
      </c>
      <c r="J3896" s="74"/>
      <c r="K3896" s="74">
        <v>102.4</v>
      </c>
      <c r="L3896" s="74">
        <v>92.16</v>
      </c>
      <c r="M3896" s="74"/>
      <c r="N3896" s="74" t="s">
        <v>392</v>
      </c>
      <c r="O3896" s="74" t="s">
        <v>393</v>
      </c>
      <c r="P3896" s="74"/>
      <c r="Q3896" s="74" t="s">
        <v>18016</v>
      </c>
    </row>
    <row r="3897" spans="3:17" x14ac:dyDescent="0.25">
      <c r="C3897" s="74" t="s">
        <v>18020</v>
      </c>
      <c r="D3897" s="74" t="s">
        <v>18021</v>
      </c>
      <c r="E3897" s="74" t="s">
        <v>391</v>
      </c>
      <c r="F3897" s="74">
        <v>0.1</v>
      </c>
      <c r="G3897" s="74"/>
      <c r="H3897" s="74"/>
      <c r="I3897" s="74" t="s">
        <v>391</v>
      </c>
      <c r="J3897" s="74"/>
      <c r="K3897" s="74">
        <v>102.4</v>
      </c>
      <c r="L3897" s="74">
        <v>92.16</v>
      </c>
      <c r="M3897" s="74"/>
      <c r="N3897" s="74" t="s">
        <v>392</v>
      </c>
      <c r="O3897" s="74" t="s">
        <v>393</v>
      </c>
      <c r="P3897" s="74"/>
      <c r="Q3897" s="74" t="s">
        <v>18022</v>
      </c>
    </row>
    <row r="3898" spans="3:17" x14ac:dyDescent="0.25">
      <c r="C3898" s="74" t="s">
        <v>18023</v>
      </c>
      <c r="D3898" s="74" t="s">
        <v>18024</v>
      </c>
      <c r="E3898" s="74" t="s">
        <v>391</v>
      </c>
      <c r="F3898" s="74">
        <v>0.1</v>
      </c>
      <c r="G3898" s="74"/>
      <c r="H3898" s="74"/>
      <c r="I3898" s="74" t="s">
        <v>391</v>
      </c>
      <c r="J3898" s="74"/>
      <c r="K3898" s="74">
        <v>102.4</v>
      </c>
      <c r="L3898" s="74">
        <v>92.16</v>
      </c>
      <c r="M3898" s="74"/>
      <c r="N3898" s="74" t="s">
        <v>392</v>
      </c>
      <c r="O3898" s="74" t="s">
        <v>393</v>
      </c>
      <c r="P3898" s="74"/>
      <c r="Q3898" s="74" t="s">
        <v>18025</v>
      </c>
    </row>
    <row r="3899" spans="3:17" x14ac:dyDescent="0.25">
      <c r="C3899" s="74" t="s">
        <v>18037</v>
      </c>
      <c r="D3899" s="74" t="s">
        <v>18038</v>
      </c>
      <c r="E3899" s="74" t="s">
        <v>391</v>
      </c>
      <c r="F3899" s="74">
        <v>0.1</v>
      </c>
      <c r="G3899" s="74"/>
      <c r="H3899" s="74"/>
      <c r="I3899" s="74" t="s">
        <v>391</v>
      </c>
      <c r="J3899" s="74"/>
      <c r="K3899" s="74">
        <v>102.4</v>
      </c>
      <c r="L3899" s="74">
        <v>92.16</v>
      </c>
      <c r="M3899" s="74"/>
      <c r="N3899" s="74" t="s">
        <v>392</v>
      </c>
      <c r="O3899" s="74" t="s">
        <v>393</v>
      </c>
      <c r="P3899" s="74"/>
      <c r="Q3899" s="74" t="s">
        <v>18039</v>
      </c>
    </row>
    <row r="3900" spans="3:17" x14ac:dyDescent="0.25">
      <c r="C3900" s="74" t="s">
        <v>18044</v>
      </c>
      <c r="D3900" s="74" t="s">
        <v>18045</v>
      </c>
      <c r="E3900" s="74" t="s">
        <v>391</v>
      </c>
      <c r="F3900" s="74">
        <v>0.1</v>
      </c>
      <c r="G3900" s="74"/>
      <c r="H3900" s="74"/>
      <c r="I3900" s="74" t="s">
        <v>391</v>
      </c>
      <c r="J3900" s="74"/>
      <c r="K3900" s="74">
        <v>102.4</v>
      </c>
      <c r="L3900" s="74">
        <v>92.16</v>
      </c>
      <c r="M3900" s="74"/>
      <c r="N3900" s="74" t="s">
        <v>392</v>
      </c>
      <c r="O3900" s="74" t="s">
        <v>393</v>
      </c>
      <c r="P3900" s="74"/>
      <c r="Q3900" s="74" t="s">
        <v>18046</v>
      </c>
    </row>
    <row r="3901" spans="3:17" x14ac:dyDescent="0.25">
      <c r="C3901" s="74" t="s">
        <v>18065</v>
      </c>
      <c r="D3901" s="74" t="s">
        <v>18066</v>
      </c>
      <c r="E3901" s="74" t="s">
        <v>391</v>
      </c>
      <c r="F3901" s="74">
        <v>0.1</v>
      </c>
      <c r="G3901" s="74"/>
      <c r="H3901" s="74"/>
      <c r="I3901" s="74" t="s">
        <v>391</v>
      </c>
      <c r="J3901" s="74"/>
      <c r="K3901" s="74">
        <v>102.4</v>
      </c>
      <c r="L3901" s="74">
        <v>92.16</v>
      </c>
      <c r="M3901" s="74"/>
      <c r="N3901" s="74" t="s">
        <v>392</v>
      </c>
      <c r="O3901" s="74" t="s">
        <v>393</v>
      </c>
      <c r="P3901" s="74"/>
      <c r="Q3901" s="74" t="s">
        <v>18067</v>
      </c>
    </row>
    <row r="3902" spans="3:17" x14ac:dyDescent="0.25">
      <c r="C3902" s="74" t="s">
        <v>18068</v>
      </c>
      <c r="D3902" s="74" t="s">
        <v>18069</v>
      </c>
      <c r="E3902" s="74" t="s">
        <v>391</v>
      </c>
      <c r="F3902" s="74">
        <v>0.1</v>
      </c>
      <c r="G3902" s="74"/>
      <c r="H3902" s="74"/>
      <c r="I3902" s="74" t="s">
        <v>391</v>
      </c>
      <c r="J3902" s="74"/>
      <c r="K3902" s="74">
        <v>102.4</v>
      </c>
      <c r="L3902" s="74">
        <v>92.16</v>
      </c>
      <c r="M3902" s="74"/>
      <c r="N3902" s="74" t="s">
        <v>392</v>
      </c>
      <c r="O3902" s="74" t="s">
        <v>393</v>
      </c>
      <c r="P3902" s="74"/>
      <c r="Q3902" s="74" t="s">
        <v>18070</v>
      </c>
    </row>
    <row r="3903" spans="3:17" x14ac:dyDescent="0.25">
      <c r="C3903" s="74" t="s">
        <v>18083</v>
      </c>
      <c r="D3903" s="74" t="s">
        <v>18084</v>
      </c>
      <c r="E3903" s="74" t="s">
        <v>391</v>
      </c>
      <c r="F3903" s="74">
        <v>0.1</v>
      </c>
      <c r="G3903" s="74"/>
      <c r="H3903" s="74"/>
      <c r="I3903" s="74" t="s">
        <v>391</v>
      </c>
      <c r="J3903" s="74"/>
      <c r="K3903" s="74">
        <v>102.4</v>
      </c>
      <c r="L3903" s="74">
        <v>92.16</v>
      </c>
      <c r="M3903" s="74"/>
      <c r="N3903" s="74" t="s">
        <v>392</v>
      </c>
      <c r="O3903" s="74" t="s">
        <v>393</v>
      </c>
      <c r="P3903" s="74"/>
      <c r="Q3903" s="74" t="s">
        <v>18085</v>
      </c>
    </row>
    <row r="3904" spans="3:17" x14ac:dyDescent="0.25">
      <c r="C3904" s="74" t="s">
        <v>18109</v>
      </c>
      <c r="D3904" s="74" t="s">
        <v>18110</v>
      </c>
      <c r="E3904" s="74"/>
      <c r="F3904" s="74">
        <v>0.1</v>
      </c>
      <c r="G3904" s="74"/>
      <c r="H3904" s="74"/>
      <c r="I3904" s="74" t="s">
        <v>391</v>
      </c>
      <c r="J3904" s="74"/>
      <c r="K3904" s="74">
        <v>102.4</v>
      </c>
      <c r="L3904" s="74">
        <v>92.16</v>
      </c>
      <c r="M3904" s="74"/>
      <c r="N3904" s="74" t="s">
        <v>392</v>
      </c>
      <c r="O3904" s="74" t="s">
        <v>402</v>
      </c>
      <c r="P3904" s="74" t="s">
        <v>18111</v>
      </c>
      <c r="Q3904" s="74" t="s">
        <v>18112</v>
      </c>
    </row>
    <row r="3905" spans="3:17" x14ac:dyDescent="0.25">
      <c r="C3905" s="74" t="s">
        <v>18117</v>
      </c>
      <c r="D3905" s="74" t="s">
        <v>18118</v>
      </c>
      <c r="E3905" s="74" t="s">
        <v>391</v>
      </c>
      <c r="F3905" s="74">
        <v>0.1</v>
      </c>
      <c r="G3905" s="74"/>
      <c r="H3905" s="74"/>
      <c r="I3905" s="74" t="s">
        <v>391</v>
      </c>
      <c r="J3905" s="74"/>
      <c r="K3905" s="74">
        <v>102.4</v>
      </c>
      <c r="L3905" s="74">
        <v>92.16</v>
      </c>
      <c r="M3905" s="74"/>
      <c r="N3905" s="74" t="s">
        <v>392</v>
      </c>
      <c r="O3905" s="74" t="s">
        <v>393</v>
      </c>
      <c r="P3905" s="74"/>
      <c r="Q3905" s="74" t="s">
        <v>18119</v>
      </c>
    </row>
    <row r="3906" spans="3:17" x14ac:dyDescent="0.25">
      <c r="C3906" s="74" t="s">
        <v>18139</v>
      </c>
      <c r="D3906" s="74" t="s">
        <v>18140</v>
      </c>
      <c r="E3906" s="74" t="s">
        <v>391</v>
      </c>
      <c r="F3906" s="74">
        <v>0.1</v>
      </c>
      <c r="G3906" s="74"/>
      <c r="H3906" s="74"/>
      <c r="I3906" s="74" t="s">
        <v>391</v>
      </c>
      <c r="J3906" s="74"/>
      <c r="K3906" s="74">
        <v>102.4</v>
      </c>
      <c r="L3906" s="74">
        <v>92.16</v>
      </c>
      <c r="M3906" s="74"/>
      <c r="N3906" s="74" t="s">
        <v>392</v>
      </c>
      <c r="O3906" s="74" t="s">
        <v>393</v>
      </c>
      <c r="P3906" s="74"/>
      <c r="Q3906" s="74" t="s">
        <v>18141</v>
      </c>
    </row>
    <row r="3907" spans="3:17" x14ac:dyDescent="0.25">
      <c r="C3907" s="74" t="s">
        <v>18150</v>
      </c>
      <c r="D3907" s="74" t="s">
        <v>18151</v>
      </c>
      <c r="E3907" s="74" t="s">
        <v>391</v>
      </c>
      <c r="F3907" s="74">
        <v>0.1</v>
      </c>
      <c r="G3907" s="74"/>
      <c r="H3907" s="74"/>
      <c r="I3907" s="74" t="s">
        <v>391</v>
      </c>
      <c r="J3907" s="74"/>
      <c r="K3907" s="74">
        <v>102.4</v>
      </c>
      <c r="L3907" s="74">
        <v>92.16</v>
      </c>
      <c r="M3907" s="74"/>
      <c r="N3907" s="74" t="s">
        <v>392</v>
      </c>
      <c r="O3907" s="74" t="s">
        <v>393</v>
      </c>
      <c r="P3907" s="74"/>
      <c r="Q3907" s="74" t="s">
        <v>18152</v>
      </c>
    </row>
    <row r="3908" spans="3:17" x14ac:dyDescent="0.25">
      <c r="C3908" s="74" t="s">
        <v>18157</v>
      </c>
      <c r="D3908" s="74" t="s">
        <v>18158</v>
      </c>
      <c r="E3908" s="74" t="s">
        <v>391</v>
      </c>
      <c r="F3908" s="74">
        <v>0.1</v>
      </c>
      <c r="G3908" s="74"/>
      <c r="H3908" s="74"/>
      <c r="I3908" s="74" t="s">
        <v>391</v>
      </c>
      <c r="J3908" s="74"/>
      <c r="K3908" s="74">
        <v>102.4</v>
      </c>
      <c r="L3908" s="74">
        <v>92.16</v>
      </c>
      <c r="M3908" s="74"/>
      <c r="N3908" s="74" t="s">
        <v>392</v>
      </c>
      <c r="O3908" s="74" t="s">
        <v>393</v>
      </c>
      <c r="P3908" s="74"/>
      <c r="Q3908" s="74" t="s">
        <v>18159</v>
      </c>
    </row>
    <row r="3909" spans="3:17" x14ac:dyDescent="0.25">
      <c r="C3909" s="74" t="s">
        <v>18160</v>
      </c>
      <c r="D3909" s="74" t="s">
        <v>18161</v>
      </c>
      <c r="E3909" s="74" t="s">
        <v>391</v>
      </c>
      <c r="F3909" s="74">
        <v>0.1</v>
      </c>
      <c r="G3909" s="74"/>
      <c r="H3909" s="74"/>
      <c r="I3909" s="74" t="s">
        <v>391</v>
      </c>
      <c r="J3909" s="74"/>
      <c r="K3909" s="74">
        <v>102.4</v>
      </c>
      <c r="L3909" s="74">
        <v>92.16</v>
      </c>
      <c r="M3909" s="74"/>
      <c r="N3909" s="74" t="s">
        <v>392</v>
      </c>
      <c r="O3909" s="74" t="s">
        <v>393</v>
      </c>
      <c r="P3909" s="74"/>
      <c r="Q3909" s="74" t="s">
        <v>18162</v>
      </c>
    </row>
    <row r="3910" spans="3:17" x14ac:dyDescent="0.25">
      <c r="C3910" s="74" t="s">
        <v>18171</v>
      </c>
      <c r="D3910" s="74" t="s">
        <v>18172</v>
      </c>
      <c r="E3910" s="74" t="s">
        <v>391</v>
      </c>
      <c r="F3910" s="74">
        <v>0.1</v>
      </c>
      <c r="G3910" s="74"/>
      <c r="H3910" s="74"/>
      <c r="I3910" s="74" t="s">
        <v>391</v>
      </c>
      <c r="J3910" s="74"/>
      <c r="K3910" s="74">
        <v>102.4</v>
      </c>
      <c r="L3910" s="74">
        <v>92.16</v>
      </c>
      <c r="M3910" s="74"/>
      <c r="N3910" s="74" t="s">
        <v>392</v>
      </c>
      <c r="O3910" s="74" t="s">
        <v>393</v>
      </c>
      <c r="P3910" s="74"/>
      <c r="Q3910" s="74" t="s">
        <v>18173</v>
      </c>
    </row>
    <row r="3911" spans="3:17" x14ac:dyDescent="0.25">
      <c r="C3911" s="74" t="s">
        <v>18174</v>
      </c>
      <c r="D3911" s="74" t="s">
        <v>18175</v>
      </c>
      <c r="E3911" s="74" t="s">
        <v>391</v>
      </c>
      <c r="F3911" s="74">
        <v>0.1</v>
      </c>
      <c r="G3911" s="74"/>
      <c r="H3911" s="74"/>
      <c r="I3911" s="74" t="s">
        <v>391</v>
      </c>
      <c r="J3911" s="74"/>
      <c r="K3911" s="74">
        <v>102.4</v>
      </c>
      <c r="L3911" s="74">
        <v>92.16</v>
      </c>
      <c r="M3911" s="74"/>
      <c r="N3911" s="74" t="s">
        <v>392</v>
      </c>
      <c r="O3911" s="74" t="s">
        <v>393</v>
      </c>
      <c r="P3911" s="74"/>
      <c r="Q3911" s="74" t="s">
        <v>18176</v>
      </c>
    </row>
    <row r="3912" spans="3:17" x14ac:dyDescent="0.25">
      <c r="C3912" s="74" t="s">
        <v>18181</v>
      </c>
      <c r="D3912" s="74" t="s">
        <v>18182</v>
      </c>
      <c r="E3912" s="74" t="s">
        <v>391</v>
      </c>
      <c r="F3912" s="74">
        <v>0.1</v>
      </c>
      <c r="G3912" s="74"/>
      <c r="H3912" s="74"/>
      <c r="I3912" s="74" t="s">
        <v>391</v>
      </c>
      <c r="J3912" s="74"/>
      <c r="K3912" s="74">
        <v>102.4</v>
      </c>
      <c r="L3912" s="74">
        <v>92.16</v>
      </c>
      <c r="M3912" s="74"/>
      <c r="N3912" s="74" t="s">
        <v>392</v>
      </c>
      <c r="O3912" s="74" t="s">
        <v>393</v>
      </c>
      <c r="P3912" s="74"/>
      <c r="Q3912" s="74" t="s">
        <v>18183</v>
      </c>
    </row>
    <row r="3913" spans="3:17" x14ac:dyDescent="0.25">
      <c r="C3913" s="158" t="s">
        <v>18184</v>
      </c>
      <c r="D3913" s="158" t="s">
        <v>18185</v>
      </c>
      <c r="E3913" s="158" t="s">
        <v>391</v>
      </c>
      <c r="F3913" s="158">
        <v>0.1</v>
      </c>
      <c r="I3913" s="158" t="s">
        <v>391</v>
      </c>
      <c r="K3913" s="158">
        <v>102.4</v>
      </c>
      <c r="L3913" s="158">
        <v>92.16</v>
      </c>
      <c r="N3913" s="158" t="s">
        <v>392</v>
      </c>
      <c r="O3913" s="158" t="s">
        <v>393</v>
      </c>
      <c r="Q3913" s="158" t="s">
        <v>18186</v>
      </c>
    </row>
    <row r="3914" spans="3:17" x14ac:dyDescent="0.25">
      <c r="C3914" s="74" t="s">
        <v>18190</v>
      </c>
      <c r="D3914" s="74" t="s">
        <v>18191</v>
      </c>
      <c r="E3914" s="74" t="s">
        <v>391</v>
      </c>
      <c r="F3914" s="74">
        <v>0.1</v>
      </c>
      <c r="G3914" s="74"/>
      <c r="H3914" s="74"/>
      <c r="I3914" s="74" t="s">
        <v>391</v>
      </c>
      <c r="J3914" s="74"/>
      <c r="K3914" s="74">
        <v>102.4</v>
      </c>
      <c r="L3914" s="74">
        <v>92.16</v>
      </c>
      <c r="M3914" s="74"/>
      <c r="N3914" s="74" t="s">
        <v>392</v>
      </c>
      <c r="O3914" s="74" t="s">
        <v>393</v>
      </c>
      <c r="P3914" s="74"/>
      <c r="Q3914" s="74" t="s">
        <v>18192</v>
      </c>
    </row>
    <row r="3915" spans="3:17" x14ac:dyDescent="0.25">
      <c r="C3915" s="74" t="s">
        <v>18203</v>
      </c>
      <c r="D3915" s="74" t="s">
        <v>18204</v>
      </c>
      <c r="E3915" s="74" t="s">
        <v>391</v>
      </c>
      <c r="F3915" s="74">
        <v>0.1</v>
      </c>
      <c r="G3915" s="74"/>
      <c r="H3915" s="74"/>
      <c r="I3915" s="74" t="s">
        <v>391</v>
      </c>
      <c r="J3915" s="74"/>
      <c r="K3915" s="74">
        <v>102.4</v>
      </c>
      <c r="L3915" s="74">
        <v>92.16</v>
      </c>
      <c r="M3915" s="74"/>
      <c r="N3915" s="74" t="s">
        <v>392</v>
      </c>
      <c r="O3915" s="74" t="s">
        <v>393</v>
      </c>
      <c r="P3915" s="74"/>
      <c r="Q3915" s="74" t="s">
        <v>18205</v>
      </c>
    </row>
    <row r="3916" spans="3:17" x14ac:dyDescent="0.25">
      <c r="C3916" s="74" t="s">
        <v>18217</v>
      </c>
      <c r="D3916" s="74" t="s">
        <v>18218</v>
      </c>
      <c r="E3916" s="74" t="s">
        <v>391</v>
      </c>
      <c r="F3916" s="74">
        <v>0.1</v>
      </c>
      <c r="G3916" s="74"/>
      <c r="H3916" s="74"/>
      <c r="I3916" s="74" t="s">
        <v>391</v>
      </c>
      <c r="J3916" s="74"/>
      <c r="K3916" s="74">
        <v>102.4</v>
      </c>
      <c r="L3916" s="74">
        <v>92.16</v>
      </c>
      <c r="M3916" s="74"/>
      <c r="N3916" s="74" t="s">
        <v>392</v>
      </c>
      <c r="O3916" s="74" t="s">
        <v>393</v>
      </c>
      <c r="P3916" s="74"/>
      <c r="Q3916" s="74" t="s">
        <v>18219</v>
      </c>
    </row>
    <row r="3917" spans="3:17" x14ac:dyDescent="0.25">
      <c r="C3917" s="74" t="s">
        <v>18232</v>
      </c>
      <c r="D3917" s="74" t="s">
        <v>18233</v>
      </c>
      <c r="E3917" s="74" t="s">
        <v>391</v>
      </c>
      <c r="F3917" s="74">
        <v>0.1</v>
      </c>
      <c r="G3917" s="74"/>
      <c r="H3917" s="74"/>
      <c r="I3917" s="74" t="s">
        <v>391</v>
      </c>
      <c r="J3917" s="74"/>
      <c r="K3917" s="74">
        <v>102.4</v>
      </c>
      <c r="L3917" s="74">
        <v>92.16</v>
      </c>
      <c r="M3917" s="74"/>
      <c r="N3917" s="74" t="s">
        <v>392</v>
      </c>
      <c r="O3917" s="74" t="s">
        <v>393</v>
      </c>
      <c r="P3917" s="74"/>
      <c r="Q3917" s="74" t="s">
        <v>18234</v>
      </c>
    </row>
    <row r="3918" spans="3:17" x14ac:dyDescent="0.25">
      <c r="C3918" s="74" t="s">
        <v>18243</v>
      </c>
      <c r="D3918" s="74" t="s">
        <v>18244</v>
      </c>
      <c r="E3918" s="74" t="s">
        <v>391</v>
      </c>
      <c r="F3918" s="74">
        <v>0.1</v>
      </c>
      <c r="G3918" s="74"/>
      <c r="H3918" s="74"/>
      <c r="I3918" s="74" t="s">
        <v>391</v>
      </c>
      <c r="J3918" s="74"/>
      <c r="K3918" s="74">
        <v>102.4</v>
      </c>
      <c r="L3918" s="74">
        <v>92.16</v>
      </c>
      <c r="M3918" s="74"/>
      <c r="N3918" s="74" t="s">
        <v>392</v>
      </c>
      <c r="O3918" s="74" t="s">
        <v>393</v>
      </c>
      <c r="P3918" s="74"/>
      <c r="Q3918" s="74" t="s">
        <v>18245</v>
      </c>
    </row>
    <row r="3919" spans="3:17" x14ac:dyDescent="0.25">
      <c r="C3919" s="74" t="s">
        <v>18246</v>
      </c>
      <c r="D3919" s="74" t="s">
        <v>18247</v>
      </c>
      <c r="E3919" s="74" t="s">
        <v>391</v>
      </c>
      <c r="F3919" s="74">
        <v>0.1</v>
      </c>
      <c r="G3919" s="74"/>
      <c r="H3919" s="74"/>
      <c r="I3919" s="74" t="s">
        <v>391</v>
      </c>
      <c r="J3919" s="74"/>
      <c r="K3919" s="74">
        <v>102.4</v>
      </c>
      <c r="L3919" s="74">
        <v>92.16</v>
      </c>
      <c r="M3919" s="74"/>
      <c r="N3919" s="74" t="s">
        <v>392</v>
      </c>
      <c r="O3919" s="74" t="s">
        <v>393</v>
      </c>
      <c r="P3919" s="74"/>
      <c r="Q3919" s="74" t="s">
        <v>18248</v>
      </c>
    </row>
    <row r="3920" spans="3:17" x14ac:dyDescent="0.25">
      <c r="C3920" s="74" t="s">
        <v>18257</v>
      </c>
      <c r="D3920" s="74" t="s">
        <v>18258</v>
      </c>
      <c r="E3920" s="74" t="s">
        <v>391</v>
      </c>
      <c r="F3920" s="74">
        <v>0.1</v>
      </c>
      <c r="G3920" s="74"/>
      <c r="H3920" s="74"/>
      <c r="I3920" s="74" t="s">
        <v>391</v>
      </c>
      <c r="J3920" s="74"/>
      <c r="K3920" s="74">
        <v>102.4</v>
      </c>
      <c r="L3920" s="74">
        <v>92.16</v>
      </c>
      <c r="M3920" s="74"/>
      <c r="N3920" s="74" t="s">
        <v>392</v>
      </c>
      <c r="O3920" s="74" t="s">
        <v>393</v>
      </c>
      <c r="P3920" s="74"/>
      <c r="Q3920" s="74" t="s">
        <v>18258</v>
      </c>
    </row>
    <row r="3921" spans="3:17" x14ac:dyDescent="0.25">
      <c r="C3921" s="74" t="s">
        <v>18259</v>
      </c>
      <c r="D3921" s="74" t="s">
        <v>18260</v>
      </c>
      <c r="E3921" s="74" t="s">
        <v>391</v>
      </c>
      <c r="F3921" s="74">
        <v>0.1</v>
      </c>
      <c r="G3921" s="74"/>
      <c r="H3921" s="74"/>
      <c r="I3921" s="74" t="s">
        <v>391</v>
      </c>
      <c r="J3921" s="74"/>
      <c r="K3921" s="74">
        <v>102.4</v>
      </c>
      <c r="L3921" s="74">
        <v>92.16</v>
      </c>
      <c r="M3921" s="74"/>
      <c r="N3921" s="74" t="s">
        <v>392</v>
      </c>
      <c r="O3921" s="74" t="s">
        <v>393</v>
      </c>
      <c r="P3921" s="74"/>
      <c r="Q3921" s="74" t="s">
        <v>18261</v>
      </c>
    </row>
    <row r="3922" spans="3:17" x14ac:dyDescent="0.25">
      <c r="C3922" s="74" t="s">
        <v>18266</v>
      </c>
      <c r="D3922" s="74" t="s">
        <v>18267</v>
      </c>
      <c r="E3922" s="74" t="s">
        <v>391</v>
      </c>
      <c r="F3922" s="74">
        <v>0.1</v>
      </c>
      <c r="G3922" s="74"/>
      <c r="H3922" s="74"/>
      <c r="I3922" s="74" t="s">
        <v>391</v>
      </c>
      <c r="J3922" s="74"/>
      <c r="K3922" s="74">
        <v>102.4</v>
      </c>
      <c r="L3922" s="74">
        <v>92.16</v>
      </c>
      <c r="M3922" s="74"/>
      <c r="N3922" s="74" t="s">
        <v>392</v>
      </c>
      <c r="O3922" s="74" t="s">
        <v>393</v>
      </c>
      <c r="P3922" s="74"/>
      <c r="Q3922" s="74" t="s">
        <v>18268</v>
      </c>
    </row>
    <row r="3923" spans="3:17" x14ac:dyDescent="0.25">
      <c r="C3923" s="74" t="s">
        <v>18300</v>
      </c>
      <c r="D3923" s="74" t="s">
        <v>18301</v>
      </c>
      <c r="E3923" s="74" t="s">
        <v>391</v>
      </c>
      <c r="F3923" s="74">
        <v>0.1</v>
      </c>
      <c r="G3923" s="74"/>
      <c r="H3923" s="74"/>
      <c r="I3923" s="74" t="s">
        <v>391</v>
      </c>
      <c r="J3923" s="74"/>
      <c r="K3923" s="74">
        <v>102.4</v>
      </c>
      <c r="L3923" s="74">
        <v>92.16</v>
      </c>
      <c r="M3923" s="74"/>
      <c r="N3923" s="74" t="s">
        <v>392</v>
      </c>
      <c r="O3923" s="74" t="s">
        <v>393</v>
      </c>
      <c r="P3923" s="74"/>
      <c r="Q3923" s="74" t="s">
        <v>18302</v>
      </c>
    </row>
    <row r="3924" spans="3:17" x14ac:dyDescent="0.25">
      <c r="C3924" s="74" t="s">
        <v>18318</v>
      </c>
      <c r="D3924" s="74" t="s">
        <v>18319</v>
      </c>
      <c r="E3924" s="74" t="s">
        <v>391</v>
      </c>
      <c r="F3924" s="74">
        <v>0.1</v>
      </c>
      <c r="G3924" s="74"/>
      <c r="H3924" s="74"/>
      <c r="I3924" s="74" t="s">
        <v>391</v>
      </c>
      <c r="J3924" s="74"/>
      <c r="K3924" s="74">
        <v>102.4</v>
      </c>
      <c r="L3924" s="74">
        <v>92.16</v>
      </c>
      <c r="M3924" s="74"/>
      <c r="N3924" s="74" t="s">
        <v>392</v>
      </c>
      <c r="O3924" s="74" t="s">
        <v>393</v>
      </c>
      <c r="P3924" s="74"/>
      <c r="Q3924" s="74" t="s">
        <v>18320</v>
      </c>
    </row>
    <row r="3925" spans="3:17" x14ac:dyDescent="0.25">
      <c r="C3925" s="74" t="s">
        <v>18321</v>
      </c>
      <c r="D3925" s="74" t="s">
        <v>18322</v>
      </c>
      <c r="E3925" s="74" t="s">
        <v>391</v>
      </c>
      <c r="F3925" s="74">
        <v>0.1</v>
      </c>
      <c r="G3925" s="74"/>
      <c r="H3925" s="74"/>
      <c r="I3925" s="74" t="s">
        <v>391</v>
      </c>
      <c r="J3925" s="74"/>
      <c r="K3925" s="74">
        <v>102.4</v>
      </c>
      <c r="L3925" s="74">
        <v>92.16</v>
      </c>
      <c r="M3925" s="74"/>
      <c r="N3925" s="74" t="s">
        <v>392</v>
      </c>
      <c r="O3925" s="74" t="s">
        <v>393</v>
      </c>
      <c r="P3925" s="74"/>
      <c r="Q3925" s="74" t="s">
        <v>18323</v>
      </c>
    </row>
    <row r="3926" spans="3:17" x14ac:dyDescent="0.25">
      <c r="C3926" s="74" t="s">
        <v>18327</v>
      </c>
      <c r="D3926" s="74" t="s">
        <v>18328</v>
      </c>
      <c r="E3926" s="74" t="s">
        <v>391</v>
      </c>
      <c r="F3926" s="74">
        <v>0.1</v>
      </c>
      <c r="G3926" s="74"/>
      <c r="H3926" s="74"/>
      <c r="I3926" s="74" t="s">
        <v>391</v>
      </c>
      <c r="J3926" s="74"/>
      <c r="K3926" s="74">
        <v>102.4</v>
      </c>
      <c r="L3926" s="74">
        <v>92.16</v>
      </c>
      <c r="M3926" s="74"/>
      <c r="N3926" s="74" t="s">
        <v>392</v>
      </c>
      <c r="O3926" s="74" t="s">
        <v>393</v>
      </c>
      <c r="P3926" s="74"/>
      <c r="Q3926" s="74" t="s">
        <v>18329</v>
      </c>
    </row>
    <row r="3927" spans="3:17" x14ac:dyDescent="0.25">
      <c r="C3927" s="74" t="s">
        <v>18357</v>
      </c>
      <c r="D3927" s="74" t="s">
        <v>18358</v>
      </c>
      <c r="E3927" s="74" t="s">
        <v>391</v>
      </c>
      <c r="F3927" s="74">
        <v>0.1</v>
      </c>
      <c r="G3927" s="74"/>
      <c r="H3927" s="74"/>
      <c r="I3927" s="74" t="s">
        <v>391</v>
      </c>
      <c r="J3927" s="74"/>
      <c r="K3927" s="74">
        <v>102.4</v>
      </c>
      <c r="L3927" s="74">
        <v>92.16</v>
      </c>
      <c r="M3927" s="74"/>
      <c r="N3927" s="74" t="s">
        <v>392</v>
      </c>
      <c r="O3927" s="74" t="s">
        <v>393</v>
      </c>
      <c r="P3927" s="74"/>
      <c r="Q3927" s="74" t="s">
        <v>18359</v>
      </c>
    </row>
    <row r="3928" spans="3:17" x14ac:dyDescent="0.25">
      <c r="C3928" s="74" t="s">
        <v>18364</v>
      </c>
      <c r="D3928" s="74" t="s">
        <v>18365</v>
      </c>
      <c r="E3928" s="74" t="s">
        <v>391</v>
      </c>
      <c r="F3928" s="74">
        <v>0.1</v>
      </c>
      <c r="G3928" s="74"/>
      <c r="H3928" s="74"/>
      <c r="I3928" s="74" t="s">
        <v>391</v>
      </c>
      <c r="J3928" s="74"/>
      <c r="K3928" s="74">
        <v>102.4</v>
      </c>
      <c r="L3928" s="74">
        <v>92.16</v>
      </c>
      <c r="M3928" s="74"/>
      <c r="N3928" s="74" t="s">
        <v>392</v>
      </c>
      <c r="O3928" s="74" t="s">
        <v>393</v>
      </c>
      <c r="P3928" s="74"/>
      <c r="Q3928" s="74" t="s">
        <v>18366</v>
      </c>
    </row>
    <row r="3929" spans="3:17" x14ac:dyDescent="0.25">
      <c r="C3929" s="74" t="s">
        <v>18367</v>
      </c>
      <c r="D3929" s="74" t="s">
        <v>18368</v>
      </c>
      <c r="E3929" s="74" t="s">
        <v>391</v>
      </c>
      <c r="F3929" s="74">
        <v>0.1</v>
      </c>
      <c r="G3929" s="74"/>
      <c r="H3929" s="74"/>
      <c r="I3929" s="74" t="s">
        <v>391</v>
      </c>
      <c r="J3929" s="74"/>
      <c r="K3929" s="74">
        <v>102.4</v>
      </c>
      <c r="L3929" s="74">
        <v>92.16</v>
      </c>
      <c r="M3929" s="74"/>
      <c r="N3929" s="74" t="s">
        <v>392</v>
      </c>
      <c r="O3929" s="74" t="s">
        <v>393</v>
      </c>
      <c r="P3929" s="74"/>
      <c r="Q3929" s="74" t="s">
        <v>18369</v>
      </c>
    </row>
    <row r="3930" spans="3:17" x14ac:dyDescent="0.25">
      <c r="C3930" s="74" t="s">
        <v>18400</v>
      </c>
      <c r="D3930" s="74" t="s">
        <v>18401</v>
      </c>
      <c r="E3930" s="74" t="s">
        <v>391</v>
      </c>
      <c r="F3930" s="74">
        <v>0.1</v>
      </c>
      <c r="G3930" s="74"/>
      <c r="H3930" s="74"/>
      <c r="I3930" s="74" t="s">
        <v>391</v>
      </c>
      <c r="J3930" s="74"/>
      <c r="K3930" s="74">
        <v>102.4</v>
      </c>
      <c r="L3930" s="74">
        <v>92.16</v>
      </c>
      <c r="M3930" s="74"/>
      <c r="N3930" s="74" t="s">
        <v>392</v>
      </c>
      <c r="O3930" s="74" t="s">
        <v>393</v>
      </c>
      <c r="P3930" s="74"/>
      <c r="Q3930" s="74" t="s">
        <v>18402</v>
      </c>
    </row>
    <row r="3931" spans="3:17" x14ac:dyDescent="0.25">
      <c r="C3931" s="158" t="s">
        <v>18422</v>
      </c>
      <c r="D3931" s="158" t="s">
        <v>18423</v>
      </c>
      <c r="E3931" s="158" t="s">
        <v>391</v>
      </c>
      <c r="F3931" s="158">
        <v>0.1</v>
      </c>
      <c r="I3931" s="158" t="s">
        <v>391</v>
      </c>
      <c r="K3931" s="158">
        <v>102.4</v>
      </c>
      <c r="L3931" s="158">
        <v>92.16</v>
      </c>
      <c r="N3931" s="158" t="s">
        <v>392</v>
      </c>
      <c r="O3931" s="158" t="s">
        <v>393</v>
      </c>
      <c r="Q3931" s="158" t="s">
        <v>18424</v>
      </c>
    </row>
    <row r="3932" spans="3:17" x14ac:dyDescent="0.25">
      <c r="C3932" s="74" t="s">
        <v>18433</v>
      </c>
      <c r="D3932" s="74" t="s">
        <v>18434</v>
      </c>
      <c r="E3932" s="74" t="s">
        <v>391</v>
      </c>
      <c r="F3932" s="74">
        <v>0.1</v>
      </c>
      <c r="G3932" s="74"/>
      <c r="H3932" s="74"/>
      <c r="I3932" s="74" t="s">
        <v>391</v>
      </c>
      <c r="J3932" s="74"/>
      <c r="K3932" s="74">
        <v>102.4</v>
      </c>
      <c r="L3932" s="74">
        <v>92.16</v>
      </c>
      <c r="M3932" s="74"/>
      <c r="N3932" s="74" t="s">
        <v>392</v>
      </c>
      <c r="O3932" s="74" t="s">
        <v>393</v>
      </c>
      <c r="P3932" s="74"/>
      <c r="Q3932" s="74" t="s">
        <v>18435</v>
      </c>
    </row>
    <row r="3933" spans="3:17" x14ac:dyDescent="0.25">
      <c r="C3933" s="74" t="s">
        <v>18440</v>
      </c>
      <c r="D3933" s="74" t="s">
        <v>17739</v>
      </c>
      <c r="E3933" s="74" t="s">
        <v>391</v>
      </c>
      <c r="F3933" s="74">
        <v>0.1</v>
      </c>
      <c r="G3933" s="74"/>
      <c r="H3933" s="74"/>
      <c r="I3933" s="74" t="s">
        <v>391</v>
      </c>
      <c r="J3933" s="74"/>
      <c r="K3933" s="74">
        <v>102.4</v>
      </c>
      <c r="L3933" s="74">
        <v>92.16</v>
      </c>
      <c r="M3933" s="74"/>
      <c r="N3933" s="74" t="s">
        <v>392</v>
      </c>
      <c r="O3933" s="74" t="s">
        <v>393</v>
      </c>
      <c r="P3933" s="74" t="s">
        <v>18441</v>
      </c>
      <c r="Q3933" s="74" t="s">
        <v>18442</v>
      </c>
    </row>
    <row r="3934" spans="3:17" x14ac:dyDescent="0.25">
      <c r="C3934" s="74" t="s">
        <v>18443</v>
      </c>
      <c r="D3934" s="74" t="s">
        <v>18444</v>
      </c>
      <c r="E3934" s="74" t="s">
        <v>391</v>
      </c>
      <c r="F3934" s="74">
        <v>0.1</v>
      </c>
      <c r="G3934" s="74"/>
      <c r="H3934" s="74"/>
      <c r="I3934" s="74" t="s">
        <v>391</v>
      </c>
      <c r="J3934" s="74"/>
      <c r="K3934" s="74">
        <v>102.4</v>
      </c>
      <c r="L3934" s="74">
        <v>92.16</v>
      </c>
      <c r="M3934" s="74"/>
      <c r="N3934" s="74" t="s">
        <v>392</v>
      </c>
      <c r="O3934" s="74" t="s">
        <v>393</v>
      </c>
      <c r="P3934" s="74"/>
      <c r="Q3934" s="74" t="s">
        <v>18445</v>
      </c>
    </row>
    <row r="3935" spans="3:17" x14ac:dyDescent="0.25">
      <c r="C3935" s="74" t="s">
        <v>18460</v>
      </c>
      <c r="D3935" s="74" t="s">
        <v>18461</v>
      </c>
      <c r="E3935" s="74" t="s">
        <v>391</v>
      </c>
      <c r="F3935" s="74">
        <v>0.1</v>
      </c>
      <c r="G3935" s="74"/>
      <c r="H3935" s="74"/>
      <c r="I3935" s="74" t="s">
        <v>391</v>
      </c>
      <c r="J3935" s="74"/>
      <c r="K3935" s="74">
        <v>102.4</v>
      </c>
      <c r="L3935" s="74">
        <v>92.16</v>
      </c>
      <c r="M3935" s="74"/>
      <c r="N3935" s="74" t="s">
        <v>392</v>
      </c>
      <c r="O3935" s="74" t="s">
        <v>393</v>
      </c>
      <c r="P3935" s="74"/>
      <c r="Q3935" s="74" t="s">
        <v>18462</v>
      </c>
    </row>
    <row r="3936" spans="3:17" x14ac:dyDescent="0.25">
      <c r="C3936" s="74" t="s">
        <v>18471</v>
      </c>
      <c r="D3936" s="74" t="s">
        <v>18472</v>
      </c>
      <c r="E3936" s="74" t="s">
        <v>391</v>
      </c>
      <c r="F3936" s="74">
        <v>0.1</v>
      </c>
      <c r="G3936" s="74"/>
      <c r="H3936" s="74"/>
      <c r="I3936" s="74" t="s">
        <v>391</v>
      </c>
      <c r="J3936" s="74"/>
      <c r="K3936" s="74">
        <v>102.4</v>
      </c>
      <c r="L3936" s="74">
        <v>92.16</v>
      </c>
      <c r="M3936" s="74"/>
      <c r="N3936" s="74" t="s">
        <v>392</v>
      </c>
      <c r="O3936" s="74" t="s">
        <v>393</v>
      </c>
      <c r="P3936" s="74"/>
      <c r="Q3936" s="74" t="s">
        <v>18473</v>
      </c>
    </row>
    <row r="3937" spans="3:17" x14ac:dyDescent="0.25">
      <c r="C3937" s="74" t="s">
        <v>18474</v>
      </c>
      <c r="D3937" s="74" t="s">
        <v>18475</v>
      </c>
      <c r="E3937" s="74" t="s">
        <v>391</v>
      </c>
      <c r="F3937" s="74">
        <v>0.1</v>
      </c>
      <c r="G3937" s="74"/>
      <c r="H3937" s="74"/>
      <c r="I3937" s="74" t="s">
        <v>391</v>
      </c>
      <c r="J3937" s="74"/>
      <c r="K3937" s="74">
        <v>102.4</v>
      </c>
      <c r="L3937" s="74">
        <v>92.16</v>
      </c>
      <c r="M3937" s="74"/>
      <c r="N3937" s="74" t="s">
        <v>392</v>
      </c>
      <c r="O3937" s="74" t="s">
        <v>393</v>
      </c>
      <c r="P3937" s="74"/>
      <c r="Q3937" s="74" t="s">
        <v>18476</v>
      </c>
    </row>
    <row r="3938" spans="3:17" x14ac:dyDescent="0.25">
      <c r="C3938" s="74" t="s">
        <v>18477</v>
      </c>
      <c r="D3938" s="74" t="s">
        <v>18478</v>
      </c>
      <c r="E3938" s="74" t="s">
        <v>391</v>
      </c>
      <c r="F3938" s="74">
        <v>0.1</v>
      </c>
      <c r="G3938" s="74"/>
      <c r="H3938" s="74"/>
      <c r="I3938" s="74" t="s">
        <v>391</v>
      </c>
      <c r="J3938" s="74"/>
      <c r="K3938" s="74">
        <v>102.4</v>
      </c>
      <c r="L3938" s="74">
        <v>92.16</v>
      </c>
      <c r="M3938" s="74"/>
      <c r="N3938" s="74" t="s">
        <v>392</v>
      </c>
      <c r="O3938" s="74" t="s">
        <v>393</v>
      </c>
      <c r="P3938" s="74"/>
      <c r="Q3938" s="74" t="s">
        <v>18479</v>
      </c>
    </row>
    <row r="3939" spans="3:17" x14ac:dyDescent="0.25">
      <c r="C3939" s="74" t="s">
        <v>18480</v>
      </c>
      <c r="D3939" s="74" t="s">
        <v>18481</v>
      </c>
      <c r="E3939" s="74" t="s">
        <v>391</v>
      </c>
      <c r="F3939" s="74">
        <v>0.1</v>
      </c>
      <c r="G3939" s="74"/>
      <c r="H3939" s="74"/>
      <c r="I3939" s="74" t="s">
        <v>391</v>
      </c>
      <c r="J3939" s="74"/>
      <c r="K3939" s="74">
        <v>102.4</v>
      </c>
      <c r="L3939" s="74">
        <v>92.16</v>
      </c>
      <c r="M3939" s="74"/>
      <c r="N3939" s="74" t="s">
        <v>392</v>
      </c>
      <c r="O3939" s="74" t="s">
        <v>393</v>
      </c>
      <c r="P3939" s="74"/>
      <c r="Q3939" s="74" t="s">
        <v>18482</v>
      </c>
    </row>
    <row r="3940" spans="3:17" x14ac:dyDescent="0.25">
      <c r="C3940" s="74" t="s">
        <v>18498</v>
      </c>
      <c r="D3940" s="74" t="s">
        <v>18499</v>
      </c>
      <c r="E3940" s="74" t="s">
        <v>391</v>
      </c>
      <c r="F3940" s="74">
        <v>0.1</v>
      </c>
      <c r="G3940" s="74"/>
      <c r="H3940" s="74"/>
      <c r="I3940" s="74" t="s">
        <v>391</v>
      </c>
      <c r="J3940" s="74"/>
      <c r="K3940" s="74">
        <v>102.4</v>
      </c>
      <c r="L3940" s="74">
        <v>92.16</v>
      </c>
      <c r="M3940" s="74"/>
      <c r="N3940" s="74" t="s">
        <v>392</v>
      </c>
      <c r="O3940" s="74" t="s">
        <v>393</v>
      </c>
      <c r="P3940" s="74"/>
      <c r="Q3940" s="74" t="s">
        <v>18500</v>
      </c>
    </row>
    <row r="3941" spans="3:17" x14ac:dyDescent="0.25">
      <c r="C3941" s="74" t="s">
        <v>18509</v>
      </c>
      <c r="D3941" s="74" t="s">
        <v>18510</v>
      </c>
      <c r="E3941" s="74" t="s">
        <v>391</v>
      </c>
      <c r="F3941" s="74">
        <v>0.1</v>
      </c>
      <c r="G3941" s="74"/>
      <c r="H3941" s="74"/>
      <c r="I3941" s="74" t="s">
        <v>391</v>
      </c>
      <c r="J3941" s="74"/>
      <c r="K3941" s="74">
        <v>102.4</v>
      </c>
      <c r="L3941" s="74">
        <v>92.16</v>
      </c>
      <c r="M3941" s="74"/>
      <c r="N3941" s="74" t="s">
        <v>392</v>
      </c>
      <c r="O3941" s="74" t="s">
        <v>393</v>
      </c>
      <c r="P3941" s="74"/>
      <c r="Q3941" s="74" t="s">
        <v>18511</v>
      </c>
    </row>
    <row r="3942" spans="3:17" x14ac:dyDescent="0.25">
      <c r="C3942" s="74" t="s">
        <v>18520</v>
      </c>
      <c r="D3942" s="74" t="s">
        <v>18521</v>
      </c>
      <c r="E3942" s="74" t="s">
        <v>391</v>
      </c>
      <c r="F3942" s="74">
        <v>0.1</v>
      </c>
      <c r="G3942" s="74"/>
      <c r="H3942" s="74"/>
      <c r="I3942" s="74" t="s">
        <v>391</v>
      </c>
      <c r="J3942" s="74"/>
      <c r="K3942" s="74">
        <v>102.4</v>
      </c>
      <c r="L3942" s="74">
        <v>92.16</v>
      </c>
      <c r="M3942" s="74"/>
      <c r="N3942" s="74" t="s">
        <v>392</v>
      </c>
      <c r="O3942" s="74" t="s">
        <v>393</v>
      </c>
      <c r="P3942" s="74"/>
      <c r="Q3942" s="74" t="s">
        <v>18522</v>
      </c>
    </row>
    <row r="3943" spans="3:17" x14ac:dyDescent="0.25">
      <c r="C3943" s="74" t="s">
        <v>18531</v>
      </c>
      <c r="D3943" s="74" t="s">
        <v>18532</v>
      </c>
      <c r="E3943" s="74" t="s">
        <v>391</v>
      </c>
      <c r="F3943" s="74">
        <v>0.1</v>
      </c>
      <c r="G3943" s="74"/>
      <c r="H3943" s="74"/>
      <c r="I3943" s="74" t="s">
        <v>391</v>
      </c>
      <c r="J3943" s="74"/>
      <c r="K3943" s="74">
        <v>102.4</v>
      </c>
      <c r="L3943" s="74">
        <v>92.16</v>
      </c>
      <c r="M3943" s="74"/>
      <c r="N3943" s="74" t="s">
        <v>392</v>
      </c>
      <c r="O3943" s="74" t="s">
        <v>393</v>
      </c>
      <c r="P3943" s="74"/>
      <c r="Q3943" s="74" t="s">
        <v>18533</v>
      </c>
    </row>
    <row r="3944" spans="3:17" x14ac:dyDescent="0.25">
      <c r="C3944" s="74" t="s">
        <v>18568</v>
      </c>
      <c r="D3944" s="74" t="s">
        <v>18569</v>
      </c>
      <c r="E3944" s="74" t="s">
        <v>391</v>
      </c>
      <c r="F3944" s="74">
        <v>0.1</v>
      </c>
      <c r="G3944" s="74"/>
      <c r="H3944" s="74"/>
      <c r="I3944" s="74" t="s">
        <v>391</v>
      </c>
      <c r="J3944" s="74"/>
      <c r="K3944" s="74">
        <v>102.4</v>
      </c>
      <c r="L3944" s="74">
        <v>92.16</v>
      </c>
      <c r="M3944" s="74"/>
      <c r="N3944" s="74" t="s">
        <v>392</v>
      </c>
      <c r="O3944" s="74" t="s">
        <v>393</v>
      </c>
      <c r="P3944" s="74"/>
      <c r="Q3944" s="74" t="s">
        <v>18570</v>
      </c>
    </row>
    <row r="3945" spans="3:17" x14ac:dyDescent="0.25">
      <c r="C3945" s="74" t="s">
        <v>18571</v>
      </c>
      <c r="D3945" s="74" t="s">
        <v>18572</v>
      </c>
      <c r="E3945" s="74" t="s">
        <v>391</v>
      </c>
      <c r="F3945" s="74">
        <v>0.1</v>
      </c>
      <c r="G3945" s="74"/>
      <c r="H3945" s="74"/>
      <c r="I3945" s="74" t="s">
        <v>391</v>
      </c>
      <c r="J3945" s="74"/>
      <c r="K3945" s="74">
        <v>102.4</v>
      </c>
      <c r="L3945" s="74">
        <v>92.16</v>
      </c>
      <c r="M3945" s="74"/>
      <c r="N3945" s="74" t="s">
        <v>392</v>
      </c>
      <c r="O3945" s="74" t="s">
        <v>393</v>
      </c>
      <c r="P3945" s="74"/>
      <c r="Q3945" s="74" t="s">
        <v>18573</v>
      </c>
    </row>
    <row r="3946" spans="3:17" x14ac:dyDescent="0.25">
      <c r="C3946" s="74" t="s">
        <v>18574</v>
      </c>
      <c r="D3946" s="74" t="s">
        <v>18575</v>
      </c>
      <c r="E3946" s="74" t="s">
        <v>391</v>
      </c>
      <c r="F3946" s="74">
        <v>0.1</v>
      </c>
      <c r="G3946" s="74"/>
      <c r="H3946" s="74"/>
      <c r="I3946" s="74" t="s">
        <v>391</v>
      </c>
      <c r="J3946" s="74"/>
      <c r="K3946" s="74">
        <v>102.4</v>
      </c>
      <c r="L3946" s="74">
        <v>92.16</v>
      </c>
      <c r="M3946" s="74"/>
      <c r="N3946" s="74" t="s">
        <v>392</v>
      </c>
      <c r="O3946" s="74" t="s">
        <v>393</v>
      </c>
      <c r="P3946" s="74"/>
      <c r="Q3946" s="74" t="s">
        <v>18576</v>
      </c>
    </row>
    <row r="3947" spans="3:17" x14ac:dyDescent="0.25">
      <c r="C3947" s="74" t="s">
        <v>18585</v>
      </c>
      <c r="D3947" s="74" t="s">
        <v>18586</v>
      </c>
      <c r="E3947" s="74" t="s">
        <v>391</v>
      </c>
      <c r="F3947" s="74">
        <v>0.1</v>
      </c>
      <c r="G3947" s="74"/>
      <c r="H3947" s="74"/>
      <c r="I3947" s="74" t="s">
        <v>391</v>
      </c>
      <c r="J3947" s="74"/>
      <c r="K3947" s="74">
        <v>102.4</v>
      </c>
      <c r="L3947" s="74">
        <v>92.16</v>
      </c>
      <c r="M3947" s="74"/>
      <c r="N3947" s="74" t="s">
        <v>392</v>
      </c>
      <c r="O3947" s="74" t="s">
        <v>393</v>
      </c>
      <c r="P3947" s="74"/>
      <c r="Q3947" s="74" t="s">
        <v>18587</v>
      </c>
    </row>
    <row r="3948" spans="3:17" x14ac:dyDescent="0.25">
      <c r="C3948" s="74" t="s">
        <v>18600</v>
      </c>
      <c r="D3948" s="74" t="s">
        <v>18601</v>
      </c>
      <c r="E3948" s="74" t="s">
        <v>391</v>
      </c>
      <c r="F3948" s="74">
        <v>0.1</v>
      </c>
      <c r="G3948" s="74"/>
      <c r="H3948" s="74"/>
      <c r="I3948" s="74" t="s">
        <v>391</v>
      </c>
      <c r="J3948" s="74"/>
      <c r="K3948" s="74">
        <v>102.4</v>
      </c>
      <c r="L3948" s="74">
        <v>92.16</v>
      </c>
      <c r="M3948" s="74"/>
      <c r="N3948" s="74" t="s">
        <v>392</v>
      </c>
      <c r="O3948" s="74" t="s">
        <v>393</v>
      </c>
      <c r="P3948" s="74"/>
      <c r="Q3948" s="74" t="s">
        <v>18602</v>
      </c>
    </row>
    <row r="3949" spans="3:17" x14ac:dyDescent="0.25">
      <c r="C3949" s="74" t="s">
        <v>18603</v>
      </c>
      <c r="D3949" s="74" t="s">
        <v>18604</v>
      </c>
      <c r="E3949" s="74" t="s">
        <v>391</v>
      </c>
      <c r="F3949" s="74">
        <v>0.1</v>
      </c>
      <c r="G3949" s="74"/>
      <c r="H3949" s="74"/>
      <c r="I3949" s="74" t="s">
        <v>391</v>
      </c>
      <c r="J3949" s="74"/>
      <c r="K3949" s="74">
        <v>102.4</v>
      </c>
      <c r="L3949" s="74">
        <v>92.16</v>
      </c>
      <c r="M3949" s="74"/>
      <c r="N3949" s="74" t="s">
        <v>392</v>
      </c>
      <c r="O3949" s="74" t="s">
        <v>393</v>
      </c>
      <c r="P3949" s="74"/>
      <c r="Q3949" s="74" t="s">
        <v>18605</v>
      </c>
    </row>
    <row r="3950" spans="3:17" x14ac:dyDescent="0.25">
      <c r="C3950" s="74" t="s">
        <v>18606</v>
      </c>
      <c r="D3950" s="74" t="s">
        <v>18607</v>
      </c>
      <c r="E3950" s="74" t="s">
        <v>391</v>
      </c>
      <c r="F3950" s="74">
        <v>0.1</v>
      </c>
      <c r="G3950" s="74"/>
      <c r="H3950" s="74"/>
      <c r="I3950" s="74" t="s">
        <v>391</v>
      </c>
      <c r="J3950" s="74"/>
      <c r="K3950" s="74">
        <v>102.4</v>
      </c>
      <c r="L3950" s="74">
        <v>92.16</v>
      </c>
      <c r="M3950" s="74"/>
      <c r="N3950" s="74" t="s">
        <v>392</v>
      </c>
      <c r="O3950" s="74" t="s">
        <v>393</v>
      </c>
      <c r="P3950" s="74"/>
      <c r="Q3950" s="74" t="s">
        <v>18608</v>
      </c>
    </row>
    <row r="3951" spans="3:17" x14ac:dyDescent="0.25">
      <c r="C3951" s="74" t="s">
        <v>18625</v>
      </c>
      <c r="D3951" s="74" t="s">
        <v>18626</v>
      </c>
      <c r="E3951" s="74" t="s">
        <v>391</v>
      </c>
      <c r="F3951" s="74">
        <v>0.1</v>
      </c>
      <c r="G3951" s="74"/>
      <c r="H3951" s="74"/>
      <c r="I3951" s="74" t="s">
        <v>391</v>
      </c>
      <c r="J3951" s="74"/>
      <c r="K3951" s="74">
        <v>102.4</v>
      </c>
      <c r="L3951" s="74">
        <v>92.16</v>
      </c>
      <c r="M3951" s="74"/>
      <c r="N3951" s="74" t="s">
        <v>392</v>
      </c>
      <c r="O3951" s="74" t="s">
        <v>393</v>
      </c>
      <c r="P3951" s="74"/>
      <c r="Q3951" s="74" t="s">
        <v>18627</v>
      </c>
    </row>
    <row r="3952" spans="3:17" x14ac:dyDescent="0.25">
      <c r="C3952" s="74" t="s">
        <v>18628</v>
      </c>
      <c r="D3952" s="74" t="s">
        <v>18629</v>
      </c>
      <c r="E3952" s="74" t="s">
        <v>391</v>
      </c>
      <c r="F3952" s="74">
        <v>0.1</v>
      </c>
      <c r="G3952" s="74"/>
      <c r="H3952" s="74"/>
      <c r="I3952" s="74" t="s">
        <v>391</v>
      </c>
      <c r="J3952" s="74"/>
      <c r="K3952" s="74">
        <v>102.4</v>
      </c>
      <c r="L3952" s="74">
        <v>92.16</v>
      </c>
      <c r="M3952" s="74"/>
      <c r="N3952" s="74" t="s">
        <v>392</v>
      </c>
      <c r="O3952" s="74" t="s">
        <v>393</v>
      </c>
      <c r="P3952" s="74"/>
      <c r="Q3952" s="74" t="s">
        <v>18630</v>
      </c>
    </row>
    <row r="3953" spans="3:17" x14ac:dyDescent="0.25">
      <c r="C3953" s="74" t="s">
        <v>18631</v>
      </c>
      <c r="D3953" s="74" t="s">
        <v>18632</v>
      </c>
      <c r="E3953" s="74" t="s">
        <v>391</v>
      </c>
      <c r="F3953" s="74">
        <v>0.1</v>
      </c>
      <c r="G3953" s="74"/>
      <c r="H3953" s="74"/>
      <c r="I3953" s="74" t="s">
        <v>391</v>
      </c>
      <c r="J3953" s="74"/>
      <c r="K3953" s="74">
        <v>102.4</v>
      </c>
      <c r="L3953" s="74">
        <v>92.16</v>
      </c>
      <c r="M3953" s="74"/>
      <c r="N3953" s="74" t="s">
        <v>392</v>
      </c>
      <c r="O3953" s="74" t="s">
        <v>393</v>
      </c>
      <c r="P3953" s="74"/>
      <c r="Q3953" s="74" t="s">
        <v>18633</v>
      </c>
    </row>
    <row r="3954" spans="3:17" x14ac:dyDescent="0.25">
      <c r="C3954" s="74" t="s">
        <v>18634</v>
      </c>
      <c r="D3954" s="74" t="s">
        <v>18635</v>
      </c>
      <c r="E3954" s="74" t="s">
        <v>391</v>
      </c>
      <c r="F3954" s="74">
        <v>0.1</v>
      </c>
      <c r="G3954" s="74"/>
      <c r="H3954" s="74"/>
      <c r="I3954" s="74" t="s">
        <v>391</v>
      </c>
      <c r="J3954" s="74"/>
      <c r="K3954" s="74">
        <v>102.4</v>
      </c>
      <c r="L3954" s="74">
        <v>92.16</v>
      </c>
      <c r="M3954" s="74"/>
      <c r="N3954" s="74" t="s">
        <v>392</v>
      </c>
      <c r="O3954" s="74" t="s">
        <v>393</v>
      </c>
      <c r="P3954" s="74"/>
      <c r="Q3954" s="74" t="s">
        <v>18636</v>
      </c>
    </row>
    <row r="3955" spans="3:17" x14ac:dyDescent="0.25">
      <c r="C3955" s="74" t="s">
        <v>18641</v>
      </c>
      <c r="D3955" s="74" t="s">
        <v>18642</v>
      </c>
      <c r="E3955" s="74" t="s">
        <v>391</v>
      </c>
      <c r="F3955" s="74">
        <v>0.1</v>
      </c>
      <c r="G3955" s="74"/>
      <c r="H3955" s="74"/>
      <c r="I3955" s="74" t="s">
        <v>391</v>
      </c>
      <c r="J3955" s="74"/>
      <c r="K3955" s="74">
        <v>102.4</v>
      </c>
      <c r="L3955" s="74">
        <v>92.16</v>
      </c>
      <c r="M3955" s="74"/>
      <c r="N3955" s="74" t="s">
        <v>392</v>
      </c>
      <c r="O3955" s="74" t="s">
        <v>393</v>
      </c>
      <c r="P3955" s="74"/>
      <c r="Q3955" s="74" t="s">
        <v>18643</v>
      </c>
    </row>
    <row r="3956" spans="3:17" x14ac:dyDescent="0.25">
      <c r="C3956" s="74" t="s">
        <v>18651</v>
      </c>
      <c r="D3956" s="74" t="s">
        <v>18652</v>
      </c>
      <c r="E3956" s="74" t="s">
        <v>391</v>
      </c>
      <c r="F3956" s="74">
        <v>0.1</v>
      </c>
      <c r="G3956" s="74"/>
      <c r="H3956" s="74"/>
      <c r="I3956" s="74" t="s">
        <v>391</v>
      </c>
      <c r="J3956" s="74"/>
      <c r="K3956" s="74">
        <v>102.4</v>
      </c>
      <c r="L3956" s="74">
        <v>92.16</v>
      </c>
      <c r="M3956" s="74"/>
      <c r="N3956" s="74" t="s">
        <v>392</v>
      </c>
      <c r="O3956" s="74" t="s">
        <v>393</v>
      </c>
      <c r="P3956" s="74"/>
      <c r="Q3956" s="74" t="s">
        <v>18653</v>
      </c>
    </row>
    <row r="3957" spans="3:17" x14ac:dyDescent="0.25">
      <c r="C3957" s="74" t="s">
        <v>18658</v>
      </c>
      <c r="D3957" s="74" t="s">
        <v>18659</v>
      </c>
      <c r="E3957" s="74" t="s">
        <v>391</v>
      </c>
      <c r="F3957" s="74">
        <v>0.1</v>
      </c>
      <c r="G3957" s="74"/>
      <c r="H3957" s="74"/>
      <c r="I3957" s="74" t="s">
        <v>391</v>
      </c>
      <c r="J3957" s="74"/>
      <c r="K3957" s="74">
        <v>102.4</v>
      </c>
      <c r="L3957" s="74">
        <v>92.16</v>
      </c>
      <c r="M3957" s="74"/>
      <c r="N3957" s="74" t="s">
        <v>392</v>
      </c>
      <c r="O3957" s="74" t="s">
        <v>393</v>
      </c>
      <c r="P3957" s="74"/>
      <c r="Q3957" s="74" t="s">
        <v>18660</v>
      </c>
    </row>
    <row r="3958" spans="3:17" x14ac:dyDescent="0.25">
      <c r="C3958" s="74" t="s">
        <v>18665</v>
      </c>
      <c r="D3958" s="74" t="s">
        <v>18666</v>
      </c>
      <c r="E3958" s="74" t="s">
        <v>391</v>
      </c>
      <c r="F3958" s="74">
        <v>0.1</v>
      </c>
      <c r="G3958" s="74"/>
      <c r="H3958" s="74"/>
      <c r="I3958" s="74" t="s">
        <v>391</v>
      </c>
      <c r="J3958" s="74"/>
      <c r="K3958" s="74">
        <v>102.4</v>
      </c>
      <c r="L3958" s="74">
        <v>92.16</v>
      </c>
      <c r="M3958" s="74"/>
      <c r="N3958" s="74" t="s">
        <v>392</v>
      </c>
      <c r="O3958" s="74" t="s">
        <v>393</v>
      </c>
      <c r="P3958" s="74"/>
      <c r="Q3958" s="74" t="s">
        <v>18667</v>
      </c>
    </row>
    <row r="3959" spans="3:17" x14ac:dyDescent="0.25">
      <c r="C3959" s="158" t="s">
        <v>18680</v>
      </c>
      <c r="D3959" s="158" t="s">
        <v>18681</v>
      </c>
      <c r="E3959" s="158" t="s">
        <v>391</v>
      </c>
      <c r="F3959" s="158">
        <v>0.1</v>
      </c>
      <c r="I3959" s="158" t="s">
        <v>391</v>
      </c>
      <c r="K3959" s="158">
        <v>102.4</v>
      </c>
      <c r="L3959" s="158">
        <v>92.16</v>
      </c>
      <c r="N3959" s="158" t="s">
        <v>392</v>
      </c>
      <c r="O3959" s="158" t="s">
        <v>393</v>
      </c>
      <c r="Q3959" s="158" t="s">
        <v>18682</v>
      </c>
    </row>
    <row r="3960" spans="3:17" x14ac:dyDescent="0.25">
      <c r="C3960" s="74" t="s">
        <v>18690</v>
      </c>
      <c r="D3960" s="74" t="s">
        <v>18691</v>
      </c>
      <c r="E3960" s="74" t="s">
        <v>391</v>
      </c>
      <c r="F3960" s="74">
        <v>0.1</v>
      </c>
      <c r="G3960" s="74"/>
      <c r="H3960" s="74"/>
      <c r="I3960" s="74" t="s">
        <v>391</v>
      </c>
      <c r="J3960" s="74"/>
      <c r="K3960" s="74">
        <v>102.4</v>
      </c>
      <c r="L3960" s="74">
        <v>92.16</v>
      </c>
      <c r="M3960" s="74"/>
      <c r="N3960" s="74" t="s">
        <v>392</v>
      </c>
      <c r="O3960" s="74" t="s">
        <v>393</v>
      </c>
      <c r="P3960" s="74"/>
      <c r="Q3960" s="74" t="s">
        <v>18692</v>
      </c>
    </row>
    <row r="3961" spans="3:17" x14ac:dyDescent="0.25">
      <c r="C3961" s="74" t="s">
        <v>18700</v>
      </c>
      <c r="D3961" s="74" t="s">
        <v>18701</v>
      </c>
      <c r="E3961" s="74" t="s">
        <v>391</v>
      </c>
      <c r="F3961" s="74">
        <v>0.1</v>
      </c>
      <c r="G3961" s="74"/>
      <c r="H3961" s="74"/>
      <c r="I3961" s="74" t="s">
        <v>391</v>
      </c>
      <c r="J3961" s="74"/>
      <c r="K3961" s="74">
        <v>102.4</v>
      </c>
      <c r="L3961" s="74">
        <v>92.16</v>
      </c>
      <c r="M3961" s="74"/>
      <c r="N3961" s="74" t="s">
        <v>392</v>
      </c>
      <c r="O3961" s="74" t="s">
        <v>393</v>
      </c>
      <c r="P3961" s="74"/>
      <c r="Q3961" s="74" t="s">
        <v>18701</v>
      </c>
    </row>
    <row r="3962" spans="3:17" x14ac:dyDescent="0.25">
      <c r="C3962" s="74" t="s">
        <v>18713</v>
      </c>
      <c r="D3962" s="74" t="s">
        <v>18714</v>
      </c>
      <c r="E3962" s="74" t="s">
        <v>391</v>
      </c>
      <c r="F3962" s="74">
        <v>0.1</v>
      </c>
      <c r="G3962" s="74"/>
      <c r="H3962" s="74"/>
      <c r="I3962" s="74" t="s">
        <v>391</v>
      </c>
      <c r="J3962" s="74"/>
      <c r="K3962" s="74">
        <v>102.4</v>
      </c>
      <c r="L3962" s="74">
        <v>92.16</v>
      </c>
      <c r="M3962" s="74"/>
      <c r="N3962" s="74" t="s">
        <v>392</v>
      </c>
      <c r="O3962" s="74" t="s">
        <v>393</v>
      </c>
      <c r="P3962" s="74"/>
      <c r="Q3962" s="74" t="s">
        <v>18715</v>
      </c>
    </row>
    <row r="3963" spans="3:17" x14ac:dyDescent="0.25">
      <c r="C3963" s="74" t="s">
        <v>18720</v>
      </c>
      <c r="D3963" s="74" t="s">
        <v>18721</v>
      </c>
      <c r="E3963" s="74" t="s">
        <v>391</v>
      </c>
      <c r="F3963" s="74">
        <v>0.1</v>
      </c>
      <c r="G3963" s="74"/>
      <c r="H3963" s="74"/>
      <c r="I3963" s="74" t="s">
        <v>391</v>
      </c>
      <c r="J3963" s="74"/>
      <c r="K3963" s="74">
        <v>102.4</v>
      </c>
      <c r="L3963" s="74">
        <v>92.16</v>
      </c>
      <c r="M3963" s="74"/>
      <c r="N3963" s="74" t="s">
        <v>392</v>
      </c>
      <c r="O3963" s="74" t="s">
        <v>393</v>
      </c>
      <c r="P3963" s="74"/>
      <c r="Q3963" s="74" t="s">
        <v>18722</v>
      </c>
    </row>
    <row r="3964" spans="3:17" x14ac:dyDescent="0.25">
      <c r="C3964" s="74" t="s">
        <v>18723</v>
      </c>
      <c r="D3964" s="74" t="s">
        <v>18724</v>
      </c>
      <c r="E3964" s="74" t="s">
        <v>391</v>
      </c>
      <c r="F3964" s="74">
        <v>0.1</v>
      </c>
      <c r="G3964" s="74"/>
      <c r="H3964" s="74"/>
      <c r="I3964" s="74" t="s">
        <v>391</v>
      </c>
      <c r="J3964" s="74"/>
      <c r="K3964" s="74">
        <v>102.4</v>
      </c>
      <c r="L3964" s="74">
        <v>92.16</v>
      </c>
      <c r="M3964" s="74"/>
      <c r="N3964" s="74" t="s">
        <v>392</v>
      </c>
      <c r="O3964" s="74" t="s">
        <v>393</v>
      </c>
      <c r="P3964" s="74"/>
      <c r="Q3964" s="74" t="s">
        <v>18725</v>
      </c>
    </row>
    <row r="3965" spans="3:17" x14ac:dyDescent="0.25">
      <c r="C3965" s="74" t="s">
        <v>18738</v>
      </c>
      <c r="D3965" s="74" t="s">
        <v>18739</v>
      </c>
      <c r="E3965" s="74" t="s">
        <v>391</v>
      </c>
      <c r="F3965" s="74">
        <v>0.1</v>
      </c>
      <c r="G3965" s="74"/>
      <c r="H3965" s="74"/>
      <c r="I3965" s="74" t="s">
        <v>391</v>
      </c>
      <c r="J3965" s="74"/>
      <c r="K3965" s="74">
        <v>102.4</v>
      </c>
      <c r="L3965" s="74">
        <v>92.16</v>
      </c>
      <c r="M3965" s="74"/>
      <c r="N3965" s="74" t="s">
        <v>392</v>
      </c>
      <c r="O3965" s="74" t="s">
        <v>393</v>
      </c>
      <c r="P3965" s="74"/>
      <c r="Q3965" s="74" t="s">
        <v>18740</v>
      </c>
    </row>
    <row r="3966" spans="3:17" x14ac:dyDescent="0.25">
      <c r="C3966" s="74" t="s">
        <v>18745</v>
      </c>
      <c r="D3966" s="74" t="s">
        <v>18746</v>
      </c>
      <c r="E3966" s="74" t="s">
        <v>391</v>
      </c>
      <c r="F3966" s="74">
        <v>0.1</v>
      </c>
      <c r="G3966" s="74"/>
      <c r="H3966" s="74"/>
      <c r="I3966" s="74" t="s">
        <v>391</v>
      </c>
      <c r="J3966" s="74"/>
      <c r="K3966" s="74">
        <v>102.4</v>
      </c>
      <c r="L3966" s="74">
        <v>92.16</v>
      </c>
      <c r="M3966" s="74"/>
      <c r="N3966" s="74" t="s">
        <v>392</v>
      </c>
      <c r="O3966" s="74" t="s">
        <v>393</v>
      </c>
      <c r="P3966" s="74"/>
      <c r="Q3966" s="74" t="s">
        <v>18747</v>
      </c>
    </row>
    <row r="3967" spans="3:17" x14ac:dyDescent="0.25">
      <c r="C3967" s="74" t="s">
        <v>18752</v>
      </c>
      <c r="D3967" s="74" t="s">
        <v>18753</v>
      </c>
      <c r="E3967" s="74" t="s">
        <v>391</v>
      </c>
      <c r="F3967" s="74">
        <v>0.1</v>
      </c>
      <c r="G3967" s="74"/>
      <c r="H3967" s="74"/>
      <c r="I3967" s="74" t="s">
        <v>391</v>
      </c>
      <c r="J3967" s="74"/>
      <c r="K3967" s="74">
        <v>102.4</v>
      </c>
      <c r="L3967" s="74">
        <v>92.16</v>
      </c>
      <c r="M3967" s="74"/>
      <c r="N3967" s="74" t="s">
        <v>392</v>
      </c>
      <c r="O3967" s="74" t="s">
        <v>393</v>
      </c>
      <c r="P3967" s="74"/>
      <c r="Q3967" s="74" t="s">
        <v>18754</v>
      </c>
    </row>
    <row r="3968" spans="3:17" x14ac:dyDescent="0.25">
      <c r="C3968" s="74" t="s">
        <v>18755</v>
      </c>
      <c r="D3968" s="74" t="s">
        <v>18756</v>
      </c>
      <c r="E3968" s="74" t="s">
        <v>391</v>
      </c>
      <c r="F3968" s="74">
        <v>0.1</v>
      </c>
      <c r="G3968" s="74"/>
      <c r="H3968" s="74"/>
      <c r="I3968" s="74" t="s">
        <v>391</v>
      </c>
      <c r="J3968" s="74"/>
      <c r="K3968" s="74">
        <v>102.4</v>
      </c>
      <c r="L3968" s="74">
        <v>92.16</v>
      </c>
      <c r="M3968" s="74"/>
      <c r="N3968" s="74" t="s">
        <v>392</v>
      </c>
      <c r="O3968" s="74" t="s">
        <v>393</v>
      </c>
      <c r="P3968" s="74"/>
      <c r="Q3968" s="74" t="s">
        <v>18757</v>
      </c>
    </row>
    <row r="3969" spans="3:17" x14ac:dyDescent="0.25">
      <c r="C3969" s="74" t="s">
        <v>18762</v>
      </c>
      <c r="D3969" s="74" t="s">
        <v>18763</v>
      </c>
      <c r="E3969" s="74" t="s">
        <v>391</v>
      </c>
      <c r="F3969" s="74">
        <v>0.1</v>
      </c>
      <c r="G3969" s="74"/>
      <c r="H3969" s="74"/>
      <c r="I3969" s="74" t="s">
        <v>391</v>
      </c>
      <c r="J3969" s="74"/>
      <c r="K3969" s="74">
        <v>102.4</v>
      </c>
      <c r="L3969" s="74">
        <v>92.16</v>
      </c>
      <c r="M3969" s="74"/>
      <c r="N3969" s="74" t="s">
        <v>392</v>
      </c>
      <c r="O3969" s="74" t="s">
        <v>393</v>
      </c>
      <c r="P3969" s="74"/>
      <c r="Q3969" s="74" t="s">
        <v>18764</v>
      </c>
    </row>
    <row r="3970" spans="3:17" x14ac:dyDescent="0.25">
      <c r="C3970" s="74" t="s">
        <v>18765</v>
      </c>
      <c r="D3970" s="74" t="s">
        <v>18766</v>
      </c>
      <c r="E3970" s="74" t="s">
        <v>391</v>
      </c>
      <c r="F3970" s="74">
        <v>0.1</v>
      </c>
      <c r="G3970" s="74"/>
      <c r="H3970" s="74"/>
      <c r="I3970" s="74" t="s">
        <v>391</v>
      </c>
      <c r="J3970" s="74"/>
      <c r="K3970" s="74">
        <v>102.4</v>
      </c>
      <c r="L3970" s="74">
        <v>92.16</v>
      </c>
      <c r="M3970" s="74"/>
      <c r="N3970" s="74" t="s">
        <v>392</v>
      </c>
      <c r="O3970" s="74" t="s">
        <v>393</v>
      </c>
      <c r="P3970" s="74"/>
      <c r="Q3970" s="74" t="s">
        <v>18767</v>
      </c>
    </row>
    <row r="3971" spans="3:17" x14ac:dyDescent="0.25">
      <c r="C3971" s="74" t="s">
        <v>18774</v>
      </c>
      <c r="D3971" s="74" t="s">
        <v>18775</v>
      </c>
      <c r="E3971" s="74" t="s">
        <v>391</v>
      </c>
      <c r="F3971" s="74">
        <v>0.1</v>
      </c>
      <c r="G3971" s="74"/>
      <c r="H3971" s="74"/>
      <c r="I3971" s="74" t="s">
        <v>391</v>
      </c>
      <c r="J3971" s="74"/>
      <c r="K3971" s="74">
        <v>102.4</v>
      </c>
      <c r="L3971" s="74">
        <v>92.16</v>
      </c>
      <c r="M3971" s="74"/>
      <c r="N3971" s="74" t="s">
        <v>392</v>
      </c>
      <c r="O3971" s="74" t="s">
        <v>393</v>
      </c>
      <c r="P3971" s="74"/>
      <c r="Q3971" s="74" t="s">
        <v>18776</v>
      </c>
    </row>
    <row r="3972" spans="3:17" x14ac:dyDescent="0.25">
      <c r="C3972" s="74" t="s">
        <v>18792</v>
      </c>
      <c r="D3972" s="74" t="s">
        <v>18793</v>
      </c>
      <c r="E3972" s="74" t="s">
        <v>391</v>
      </c>
      <c r="F3972" s="74">
        <v>0.1</v>
      </c>
      <c r="G3972" s="74"/>
      <c r="H3972" s="74"/>
      <c r="I3972" s="74" t="s">
        <v>391</v>
      </c>
      <c r="J3972" s="74"/>
      <c r="K3972" s="74">
        <v>102.4</v>
      </c>
      <c r="L3972" s="74">
        <v>92.16</v>
      </c>
      <c r="M3972" s="74"/>
      <c r="N3972" s="74" t="s">
        <v>392</v>
      </c>
      <c r="O3972" s="74" t="s">
        <v>393</v>
      </c>
      <c r="P3972" s="74"/>
      <c r="Q3972" s="74" t="s">
        <v>18794</v>
      </c>
    </row>
    <row r="3973" spans="3:17" x14ac:dyDescent="0.25">
      <c r="C3973" s="74" t="s">
        <v>18795</v>
      </c>
      <c r="D3973" s="74" t="s">
        <v>18796</v>
      </c>
      <c r="E3973" s="74"/>
      <c r="F3973" s="74">
        <v>0.1</v>
      </c>
      <c r="G3973" s="74"/>
      <c r="H3973" s="74"/>
      <c r="I3973" s="74" t="s">
        <v>391</v>
      </c>
      <c r="J3973" s="74"/>
      <c r="K3973" s="74">
        <v>102.4</v>
      </c>
      <c r="L3973" s="74">
        <v>92.16</v>
      </c>
      <c r="M3973" s="74"/>
      <c r="N3973" s="74" t="s">
        <v>392</v>
      </c>
      <c r="O3973" s="74" t="s">
        <v>5621</v>
      </c>
      <c r="P3973" s="74" t="s">
        <v>18797</v>
      </c>
      <c r="Q3973" s="74" t="s">
        <v>18798</v>
      </c>
    </row>
    <row r="3974" spans="3:17" x14ac:dyDescent="0.25">
      <c r="C3974" s="74" t="s">
        <v>18807</v>
      </c>
      <c r="D3974" s="74" t="s">
        <v>18808</v>
      </c>
      <c r="E3974" s="74" t="s">
        <v>391</v>
      </c>
      <c r="F3974" s="74">
        <v>0.1</v>
      </c>
      <c r="G3974" s="74"/>
      <c r="H3974" s="74"/>
      <c r="I3974" s="74" t="s">
        <v>391</v>
      </c>
      <c r="J3974" s="74"/>
      <c r="K3974" s="74">
        <v>102.4</v>
      </c>
      <c r="L3974" s="74">
        <v>92.16</v>
      </c>
      <c r="M3974" s="74"/>
      <c r="N3974" s="74" t="s">
        <v>392</v>
      </c>
      <c r="O3974" s="74" t="s">
        <v>393</v>
      </c>
      <c r="P3974" s="74"/>
      <c r="Q3974" s="74" t="s">
        <v>18809</v>
      </c>
    </row>
    <row r="3975" spans="3:17" x14ac:dyDescent="0.25">
      <c r="C3975" s="74" t="s">
        <v>18810</v>
      </c>
      <c r="D3975" s="74" t="s">
        <v>18811</v>
      </c>
      <c r="E3975" s="74" t="s">
        <v>391</v>
      </c>
      <c r="F3975" s="74">
        <v>0.1</v>
      </c>
      <c r="G3975" s="74"/>
      <c r="H3975" s="74"/>
      <c r="I3975" s="74" t="s">
        <v>391</v>
      </c>
      <c r="J3975" s="74"/>
      <c r="K3975" s="74">
        <v>102.4</v>
      </c>
      <c r="L3975" s="74">
        <v>92.16</v>
      </c>
      <c r="M3975" s="74"/>
      <c r="N3975" s="74" t="s">
        <v>392</v>
      </c>
      <c r="O3975" s="74" t="s">
        <v>393</v>
      </c>
      <c r="P3975" s="74"/>
      <c r="Q3975" s="74" t="s">
        <v>18812</v>
      </c>
    </row>
    <row r="3976" spans="3:17" x14ac:dyDescent="0.25">
      <c r="C3976" s="74" t="s">
        <v>18813</v>
      </c>
      <c r="D3976" s="74" t="s">
        <v>18814</v>
      </c>
      <c r="E3976" s="74" t="s">
        <v>391</v>
      </c>
      <c r="F3976" s="74">
        <v>0.1</v>
      </c>
      <c r="G3976" s="74"/>
      <c r="H3976" s="74"/>
      <c r="I3976" s="74" t="s">
        <v>391</v>
      </c>
      <c r="J3976" s="74"/>
      <c r="K3976" s="74">
        <v>102.4</v>
      </c>
      <c r="L3976" s="74">
        <v>92.16</v>
      </c>
      <c r="M3976" s="74"/>
      <c r="N3976" s="74" t="s">
        <v>392</v>
      </c>
      <c r="O3976" s="74" t="s">
        <v>393</v>
      </c>
      <c r="P3976" s="74"/>
      <c r="Q3976" s="74" t="s">
        <v>18815</v>
      </c>
    </row>
    <row r="3977" spans="3:17" x14ac:dyDescent="0.25">
      <c r="C3977" s="74" t="s">
        <v>18820</v>
      </c>
      <c r="D3977" s="74" t="s">
        <v>18821</v>
      </c>
      <c r="E3977" s="74" t="s">
        <v>391</v>
      </c>
      <c r="F3977" s="74">
        <v>0.1</v>
      </c>
      <c r="G3977" s="74"/>
      <c r="H3977" s="74"/>
      <c r="I3977" s="74" t="s">
        <v>391</v>
      </c>
      <c r="J3977" s="74"/>
      <c r="K3977" s="74">
        <v>102.4</v>
      </c>
      <c r="L3977" s="74">
        <v>92.16</v>
      </c>
      <c r="M3977" s="74"/>
      <c r="N3977" s="74" t="s">
        <v>392</v>
      </c>
      <c r="O3977" s="74" t="s">
        <v>393</v>
      </c>
      <c r="P3977" s="74"/>
      <c r="Q3977" s="74" t="s">
        <v>18822</v>
      </c>
    </row>
    <row r="3978" spans="3:17" x14ac:dyDescent="0.25">
      <c r="C3978" s="74" t="s">
        <v>18834</v>
      </c>
      <c r="D3978" s="74" t="s">
        <v>18835</v>
      </c>
      <c r="E3978" s="74" t="s">
        <v>391</v>
      </c>
      <c r="F3978" s="74">
        <v>0.1</v>
      </c>
      <c r="G3978" s="74"/>
      <c r="H3978" s="74"/>
      <c r="I3978" s="74" t="s">
        <v>391</v>
      </c>
      <c r="J3978" s="74"/>
      <c r="K3978" s="74">
        <v>102.4</v>
      </c>
      <c r="L3978" s="74">
        <v>92.16</v>
      </c>
      <c r="M3978" s="74"/>
      <c r="N3978" s="74" t="s">
        <v>392</v>
      </c>
      <c r="O3978" s="74" t="s">
        <v>393</v>
      </c>
      <c r="P3978" s="74"/>
      <c r="Q3978" s="74" t="s">
        <v>18836</v>
      </c>
    </row>
    <row r="3979" spans="3:17" x14ac:dyDescent="0.25">
      <c r="C3979" s="74" t="s">
        <v>18841</v>
      </c>
      <c r="D3979" s="74" t="s">
        <v>18842</v>
      </c>
      <c r="E3979" s="74" t="s">
        <v>391</v>
      </c>
      <c r="F3979" s="74">
        <v>0.1</v>
      </c>
      <c r="G3979" s="74"/>
      <c r="H3979" s="74"/>
      <c r="I3979" s="74" t="s">
        <v>391</v>
      </c>
      <c r="J3979" s="74"/>
      <c r="K3979" s="74">
        <v>102.4</v>
      </c>
      <c r="L3979" s="74">
        <v>92.16</v>
      </c>
      <c r="M3979" s="74"/>
      <c r="N3979" s="74" t="s">
        <v>392</v>
      </c>
      <c r="O3979" s="74" t="s">
        <v>393</v>
      </c>
      <c r="P3979" s="74"/>
      <c r="Q3979" s="74" t="s">
        <v>18843</v>
      </c>
    </row>
    <row r="3980" spans="3:17" x14ac:dyDescent="0.25">
      <c r="C3980" s="74" t="s">
        <v>18844</v>
      </c>
      <c r="D3980" s="74" t="s">
        <v>18845</v>
      </c>
      <c r="E3980" s="74" t="s">
        <v>391</v>
      </c>
      <c r="F3980" s="74">
        <v>0.1</v>
      </c>
      <c r="G3980" s="74"/>
      <c r="H3980" s="74"/>
      <c r="I3980" s="74" t="s">
        <v>391</v>
      </c>
      <c r="J3980" s="74"/>
      <c r="K3980" s="74">
        <v>102.4</v>
      </c>
      <c r="L3980" s="74">
        <v>92.16</v>
      </c>
      <c r="M3980" s="74"/>
      <c r="N3980" s="74" t="s">
        <v>392</v>
      </c>
      <c r="O3980" s="74" t="s">
        <v>393</v>
      </c>
      <c r="P3980" s="74"/>
      <c r="Q3980" s="74" t="s">
        <v>18846</v>
      </c>
    </row>
    <row r="3981" spans="3:17" x14ac:dyDescent="0.25">
      <c r="C3981" s="74" t="s">
        <v>18854</v>
      </c>
      <c r="D3981" s="74" t="s">
        <v>18855</v>
      </c>
      <c r="E3981" s="74" t="s">
        <v>391</v>
      </c>
      <c r="F3981" s="74">
        <v>0.1</v>
      </c>
      <c r="G3981" s="74"/>
      <c r="H3981" s="74"/>
      <c r="I3981" s="74" t="s">
        <v>391</v>
      </c>
      <c r="J3981" s="74"/>
      <c r="K3981" s="74">
        <v>102.4</v>
      </c>
      <c r="L3981" s="74">
        <v>92.16</v>
      </c>
      <c r="M3981" s="74"/>
      <c r="N3981" s="74" t="s">
        <v>392</v>
      </c>
      <c r="O3981" s="74" t="s">
        <v>393</v>
      </c>
      <c r="P3981" s="74"/>
      <c r="Q3981" s="74" t="s">
        <v>18856</v>
      </c>
    </row>
    <row r="3982" spans="3:17" x14ac:dyDescent="0.25">
      <c r="C3982" s="74" t="s">
        <v>18857</v>
      </c>
      <c r="D3982" s="74" t="s">
        <v>18858</v>
      </c>
      <c r="E3982" s="74" t="s">
        <v>391</v>
      </c>
      <c r="F3982" s="74">
        <v>0.1</v>
      </c>
      <c r="G3982" s="74"/>
      <c r="H3982" s="74"/>
      <c r="I3982" s="74" t="s">
        <v>391</v>
      </c>
      <c r="J3982" s="74"/>
      <c r="K3982" s="74">
        <v>102.4</v>
      </c>
      <c r="L3982" s="74">
        <v>92.16</v>
      </c>
      <c r="M3982" s="74"/>
      <c r="N3982" s="74" t="s">
        <v>392</v>
      </c>
      <c r="O3982" s="74" t="s">
        <v>393</v>
      </c>
      <c r="P3982" s="74"/>
      <c r="Q3982" s="74" t="s">
        <v>18859</v>
      </c>
    </row>
    <row r="3983" spans="3:17" x14ac:dyDescent="0.25">
      <c r="C3983" s="74" t="s">
        <v>18860</v>
      </c>
      <c r="D3983" s="74" t="s">
        <v>18861</v>
      </c>
      <c r="E3983" s="74" t="s">
        <v>391</v>
      </c>
      <c r="F3983" s="74">
        <v>0.1</v>
      </c>
      <c r="G3983" s="74"/>
      <c r="H3983" s="74"/>
      <c r="I3983" s="74" t="s">
        <v>391</v>
      </c>
      <c r="J3983" s="74"/>
      <c r="K3983" s="74">
        <v>102.4</v>
      </c>
      <c r="L3983" s="74">
        <v>92.16</v>
      </c>
      <c r="M3983" s="74"/>
      <c r="N3983" s="74" t="s">
        <v>392</v>
      </c>
      <c r="O3983" s="74" t="s">
        <v>393</v>
      </c>
      <c r="P3983" s="74"/>
      <c r="Q3983" s="74" t="s">
        <v>18862</v>
      </c>
    </row>
    <row r="3984" spans="3:17" x14ac:dyDescent="0.25">
      <c r="C3984" s="74" t="s">
        <v>18871</v>
      </c>
      <c r="D3984" s="74" t="s">
        <v>18872</v>
      </c>
      <c r="E3984" s="74" t="s">
        <v>391</v>
      </c>
      <c r="F3984" s="74">
        <v>0.1</v>
      </c>
      <c r="G3984" s="74"/>
      <c r="H3984" s="74"/>
      <c r="I3984" s="74" t="s">
        <v>391</v>
      </c>
      <c r="J3984" s="74"/>
      <c r="K3984" s="74">
        <v>102.4</v>
      </c>
      <c r="L3984" s="74">
        <v>92.16</v>
      </c>
      <c r="M3984" s="74"/>
      <c r="N3984" s="74" t="s">
        <v>392</v>
      </c>
      <c r="O3984" s="74" t="s">
        <v>393</v>
      </c>
      <c r="P3984" s="74"/>
      <c r="Q3984" s="74" t="s">
        <v>18873</v>
      </c>
    </row>
    <row r="3985" spans="3:17" x14ac:dyDescent="0.25">
      <c r="C3985" s="74" t="s">
        <v>18874</v>
      </c>
      <c r="D3985" s="74" t="s">
        <v>18875</v>
      </c>
      <c r="E3985" s="74" t="s">
        <v>391</v>
      </c>
      <c r="F3985" s="74">
        <v>0.1</v>
      </c>
      <c r="G3985" s="74"/>
      <c r="H3985" s="74"/>
      <c r="I3985" s="74" t="s">
        <v>391</v>
      </c>
      <c r="J3985" s="74"/>
      <c r="K3985" s="74">
        <v>102.4</v>
      </c>
      <c r="L3985" s="74">
        <v>92.16</v>
      </c>
      <c r="M3985" s="74"/>
      <c r="N3985" s="74" t="s">
        <v>392</v>
      </c>
      <c r="O3985" s="74" t="s">
        <v>393</v>
      </c>
      <c r="P3985" s="74"/>
      <c r="Q3985" s="74" t="s">
        <v>18876</v>
      </c>
    </row>
    <row r="3986" spans="3:17" x14ac:dyDescent="0.25">
      <c r="C3986" s="74" t="s">
        <v>18884</v>
      </c>
      <c r="D3986" s="74" t="s">
        <v>18885</v>
      </c>
      <c r="E3986" s="74" t="s">
        <v>391</v>
      </c>
      <c r="F3986" s="74">
        <v>0.1</v>
      </c>
      <c r="G3986" s="74"/>
      <c r="H3986" s="74"/>
      <c r="I3986" s="74" t="s">
        <v>391</v>
      </c>
      <c r="J3986" s="74"/>
      <c r="K3986" s="74">
        <v>102.4</v>
      </c>
      <c r="L3986" s="74">
        <v>92.16</v>
      </c>
      <c r="M3986" s="74"/>
      <c r="N3986" s="74" t="s">
        <v>392</v>
      </c>
      <c r="O3986" s="74" t="s">
        <v>393</v>
      </c>
      <c r="P3986" s="74"/>
      <c r="Q3986" s="74" t="s">
        <v>18886</v>
      </c>
    </row>
    <row r="3987" spans="3:17" x14ac:dyDescent="0.25">
      <c r="C3987" s="74" t="s">
        <v>18887</v>
      </c>
      <c r="D3987" s="74" t="s">
        <v>18888</v>
      </c>
      <c r="E3987" s="74" t="s">
        <v>391</v>
      </c>
      <c r="F3987" s="74">
        <v>0.1</v>
      </c>
      <c r="G3987" s="74"/>
      <c r="H3987" s="74"/>
      <c r="I3987" s="74" t="s">
        <v>391</v>
      </c>
      <c r="J3987" s="74"/>
      <c r="K3987" s="74">
        <v>102.4</v>
      </c>
      <c r="L3987" s="74">
        <v>92.16</v>
      </c>
      <c r="M3987" s="74"/>
      <c r="N3987" s="74" t="s">
        <v>392</v>
      </c>
      <c r="O3987" s="74" t="s">
        <v>393</v>
      </c>
      <c r="P3987" s="74"/>
      <c r="Q3987" s="74" t="s">
        <v>18889</v>
      </c>
    </row>
    <row r="3988" spans="3:17" x14ac:dyDescent="0.25">
      <c r="C3988" s="74" t="s">
        <v>18894</v>
      </c>
      <c r="D3988" s="74" t="s">
        <v>18895</v>
      </c>
      <c r="E3988" s="74" t="s">
        <v>391</v>
      </c>
      <c r="F3988" s="74">
        <v>0.1</v>
      </c>
      <c r="G3988" s="74"/>
      <c r="H3988" s="74"/>
      <c r="I3988" s="74" t="s">
        <v>391</v>
      </c>
      <c r="J3988" s="74"/>
      <c r="K3988" s="74">
        <v>102.4</v>
      </c>
      <c r="L3988" s="74">
        <v>92.16</v>
      </c>
      <c r="M3988" s="74"/>
      <c r="N3988" s="74" t="s">
        <v>392</v>
      </c>
      <c r="O3988" s="74" t="s">
        <v>393</v>
      </c>
      <c r="P3988" s="74"/>
      <c r="Q3988" s="74" t="s">
        <v>18896</v>
      </c>
    </row>
    <row r="3989" spans="3:17" x14ac:dyDescent="0.25">
      <c r="C3989" s="74" t="s">
        <v>18897</v>
      </c>
      <c r="D3989" s="74" t="s">
        <v>18898</v>
      </c>
      <c r="E3989" s="74" t="s">
        <v>391</v>
      </c>
      <c r="F3989" s="74">
        <v>0.1</v>
      </c>
      <c r="G3989" s="74"/>
      <c r="H3989" s="74"/>
      <c r="I3989" s="74" t="s">
        <v>391</v>
      </c>
      <c r="J3989" s="74"/>
      <c r="K3989" s="74">
        <v>102.4</v>
      </c>
      <c r="L3989" s="74">
        <v>92.16</v>
      </c>
      <c r="M3989" s="74"/>
      <c r="N3989" s="74" t="s">
        <v>392</v>
      </c>
      <c r="O3989" s="74" t="s">
        <v>393</v>
      </c>
      <c r="P3989" s="74"/>
      <c r="Q3989" s="74" t="s">
        <v>18899</v>
      </c>
    </row>
    <row r="3990" spans="3:17" x14ac:dyDescent="0.25">
      <c r="C3990" s="74" t="s">
        <v>18904</v>
      </c>
      <c r="D3990" s="74" t="s">
        <v>18905</v>
      </c>
      <c r="E3990" s="74" t="s">
        <v>391</v>
      </c>
      <c r="F3990" s="74">
        <v>0.1</v>
      </c>
      <c r="G3990" s="74"/>
      <c r="H3990" s="74"/>
      <c r="I3990" s="74" t="s">
        <v>391</v>
      </c>
      <c r="J3990" s="74"/>
      <c r="K3990" s="74">
        <v>102.4</v>
      </c>
      <c r="L3990" s="74">
        <v>92.16</v>
      </c>
      <c r="M3990" s="74"/>
      <c r="N3990" s="74" t="s">
        <v>392</v>
      </c>
      <c r="O3990" s="74" t="s">
        <v>393</v>
      </c>
      <c r="P3990" s="74"/>
      <c r="Q3990" s="74" t="s">
        <v>18906</v>
      </c>
    </row>
    <row r="3991" spans="3:17" x14ac:dyDescent="0.25">
      <c r="C3991" s="74" t="s">
        <v>18930</v>
      </c>
      <c r="D3991" s="74" t="s">
        <v>18931</v>
      </c>
      <c r="E3991" s="74" t="s">
        <v>391</v>
      </c>
      <c r="F3991" s="74">
        <v>0.1</v>
      </c>
      <c r="G3991" s="74"/>
      <c r="H3991" s="74"/>
      <c r="I3991" s="74" t="s">
        <v>391</v>
      </c>
      <c r="J3991" s="74"/>
      <c r="K3991" s="74">
        <v>102.4</v>
      </c>
      <c r="L3991" s="74">
        <v>92.16</v>
      </c>
      <c r="M3991" s="74"/>
      <c r="N3991" s="74" t="s">
        <v>392</v>
      </c>
      <c r="O3991" s="74" t="s">
        <v>393</v>
      </c>
      <c r="P3991" s="74"/>
      <c r="Q3991" s="74" t="s">
        <v>18932</v>
      </c>
    </row>
    <row r="3992" spans="3:17" x14ac:dyDescent="0.25">
      <c r="C3992" s="74" t="s">
        <v>18933</v>
      </c>
      <c r="D3992" s="74" t="s">
        <v>18934</v>
      </c>
      <c r="E3992" s="74" t="s">
        <v>391</v>
      </c>
      <c r="F3992" s="74">
        <v>0.1</v>
      </c>
      <c r="G3992" s="74"/>
      <c r="H3992" s="74"/>
      <c r="I3992" s="74" t="s">
        <v>391</v>
      </c>
      <c r="J3992" s="74"/>
      <c r="K3992" s="74">
        <v>102.4</v>
      </c>
      <c r="L3992" s="74">
        <v>92.16</v>
      </c>
      <c r="M3992" s="74"/>
      <c r="N3992" s="74" t="s">
        <v>392</v>
      </c>
      <c r="O3992" s="74" t="s">
        <v>393</v>
      </c>
      <c r="P3992" s="74"/>
      <c r="Q3992" s="74" t="s">
        <v>18934</v>
      </c>
    </row>
    <row r="3993" spans="3:17" x14ac:dyDescent="0.25">
      <c r="C3993" s="74" t="s">
        <v>18939</v>
      </c>
      <c r="D3993" s="74" t="s">
        <v>18940</v>
      </c>
      <c r="E3993" s="74" t="s">
        <v>391</v>
      </c>
      <c r="F3993" s="74">
        <v>0.1</v>
      </c>
      <c r="G3993" s="74"/>
      <c r="H3993" s="74"/>
      <c r="I3993" s="74" t="s">
        <v>391</v>
      </c>
      <c r="J3993" s="74"/>
      <c r="K3993" s="74">
        <v>102.4</v>
      </c>
      <c r="L3993" s="74">
        <v>92.16</v>
      </c>
      <c r="M3993" s="74"/>
      <c r="N3993" s="74" t="s">
        <v>392</v>
      </c>
      <c r="O3993" s="74" t="s">
        <v>393</v>
      </c>
      <c r="P3993" s="74"/>
      <c r="Q3993" s="74" t="s">
        <v>18941</v>
      </c>
    </row>
    <row r="3994" spans="3:17" x14ac:dyDescent="0.25">
      <c r="C3994" s="74" t="s">
        <v>18949</v>
      </c>
      <c r="D3994" s="74" t="s">
        <v>18950</v>
      </c>
      <c r="E3994" s="74" t="s">
        <v>391</v>
      </c>
      <c r="F3994" s="74">
        <v>0.1</v>
      </c>
      <c r="G3994" s="74"/>
      <c r="H3994" s="74"/>
      <c r="I3994" s="74" t="s">
        <v>391</v>
      </c>
      <c r="J3994" s="74"/>
      <c r="K3994" s="74">
        <v>102.4</v>
      </c>
      <c r="L3994" s="74">
        <v>92.16</v>
      </c>
      <c r="M3994" s="74"/>
      <c r="N3994" s="74" t="s">
        <v>392</v>
      </c>
      <c r="O3994" s="74" t="s">
        <v>393</v>
      </c>
      <c r="P3994" s="74"/>
      <c r="Q3994" s="74" t="s">
        <v>18951</v>
      </c>
    </row>
    <row r="3995" spans="3:17" x14ac:dyDescent="0.25">
      <c r="C3995" s="74" t="s">
        <v>18952</v>
      </c>
      <c r="D3995" s="74" t="s">
        <v>18953</v>
      </c>
      <c r="E3995" s="74" t="s">
        <v>391</v>
      </c>
      <c r="F3995" s="74">
        <v>0.1</v>
      </c>
      <c r="G3995" s="74"/>
      <c r="H3995" s="74"/>
      <c r="I3995" s="74" t="s">
        <v>391</v>
      </c>
      <c r="J3995" s="74"/>
      <c r="K3995" s="74">
        <v>102.4</v>
      </c>
      <c r="L3995" s="74">
        <v>92.16</v>
      </c>
      <c r="M3995" s="74"/>
      <c r="N3995" s="74" t="s">
        <v>392</v>
      </c>
      <c r="O3995" s="74" t="s">
        <v>393</v>
      </c>
      <c r="P3995" s="74"/>
      <c r="Q3995" s="74" t="s">
        <v>18954</v>
      </c>
    </row>
    <row r="3996" spans="3:17" x14ac:dyDescent="0.25">
      <c r="C3996" s="74" t="s">
        <v>18975</v>
      </c>
      <c r="D3996" s="74" t="s">
        <v>18976</v>
      </c>
      <c r="E3996" s="74" t="s">
        <v>391</v>
      </c>
      <c r="F3996" s="74">
        <v>0.1</v>
      </c>
      <c r="G3996" s="74"/>
      <c r="H3996" s="74"/>
      <c r="I3996" s="74" t="s">
        <v>391</v>
      </c>
      <c r="J3996" s="74"/>
      <c r="K3996" s="74">
        <v>102.4</v>
      </c>
      <c r="L3996" s="74">
        <v>92.16</v>
      </c>
      <c r="M3996" s="74"/>
      <c r="N3996" s="74" t="s">
        <v>392</v>
      </c>
      <c r="O3996" s="74" t="s">
        <v>393</v>
      </c>
      <c r="P3996" s="74"/>
      <c r="Q3996" s="74" t="s">
        <v>18977</v>
      </c>
    </row>
    <row r="3997" spans="3:17" x14ac:dyDescent="0.25">
      <c r="C3997" s="74" t="s">
        <v>18978</v>
      </c>
      <c r="D3997" s="74" t="s">
        <v>18979</v>
      </c>
      <c r="E3997" s="74" t="s">
        <v>391</v>
      </c>
      <c r="F3997" s="74">
        <v>0.1</v>
      </c>
      <c r="G3997" s="74"/>
      <c r="H3997" s="74"/>
      <c r="I3997" s="74" t="s">
        <v>391</v>
      </c>
      <c r="J3997" s="74"/>
      <c r="K3997" s="74">
        <v>102.4</v>
      </c>
      <c r="L3997" s="74">
        <v>92.16</v>
      </c>
      <c r="M3997" s="74"/>
      <c r="N3997" s="74" t="s">
        <v>392</v>
      </c>
      <c r="O3997" s="74" t="s">
        <v>393</v>
      </c>
      <c r="P3997" s="74"/>
      <c r="Q3997" s="74" t="s">
        <v>18980</v>
      </c>
    </row>
    <row r="3998" spans="3:17" x14ac:dyDescent="0.25">
      <c r="C3998" s="74" t="s">
        <v>18996</v>
      </c>
      <c r="D3998" s="74" t="s">
        <v>18997</v>
      </c>
      <c r="E3998" s="74" t="s">
        <v>391</v>
      </c>
      <c r="F3998" s="74">
        <v>0.1</v>
      </c>
      <c r="G3998" s="74"/>
      <c r="H3998" s="74"/>
      <c r="I3998" s="74" t="s">
        <v>391</v>
      </c>
      <c r="J3998" s="74"/>
      <c r="K3998" s="74">
        <v>102.4</v>
      </c>
      <c r="L3998" s="74">
        <v>92.16</v>
      </c>
      <c r="M3998" s="74"/>
      <c r="N3998" s="74" t="s">
        <v>392</v>
      </c>
      <c r="O3998" s="74" t="s">
        <v>393</v>
      </c>
      <c r="P3998" s="74"/>
      <c r="Q3998" s="74" t="s">
        <v>18998</v>
      </c>
    </row>
    <row r="3999" spans="3:17" x14ac:dyDescent="0.25">
      <c r="C3999" s="74" t="s">
        <v>18999</v>
      </c>
      <c r="D3999" s="74" t="s">
        <v>19000</v>
      </c>
      <c r="E3999" s="74" t="s">
        <v>391</v>
      </c>
      <c r="F3999" s="74">
        <v>0.1</v>
      </c>
      <c r="G3999" s="74"/>
      <c r="H3999" s="74"/>
      <c r="I3999" s="74" t="s">
        <v>391</v>
      </c>
      <c r="J3999" s="74"/>
      <c r="K3999" s="74">
        <v>102.4</v>
      </c>
      <c r="L3999" s="74">
        <v>92.16</v>
      </c>
      <c r="M3999" s="74"/>
      <c r="N3999" s="74" t="s">
        <v>392</v>
      </c>
      <c r="O3999" s="74" t="s">
        <v>393</v>
      </c>
      <c r="P3999" s="74"/>
      <c r="Q3999" s="74" t="s">
        <v>19001</v>
      </c>
    </row>
    <row r="4000" spans="3:17" x14ac:dyDescent="0.25">
      <c r="C4000" s="74" t="s">
        <v>19010</v>
      </c>
      <c r="D4000" s="74" t="s">
        <v>19011</v>
      </c>
      <c r="E4000" s="74" t="s">
        <v>391</v>
      </c>
      <c r="F4000" s="74">
        <v>0.1</v>
      </c>
      <c r="G4000" s="74"/>
      <c r="H4000" s="74"/>
      <c r="I4000" s="74" t="s">
        <v>391</v>
      </c>
      <c r="J4000" s="74"/>
      <c r="K4000" s="74">
        <v>102.4</v>
      </c>
      <c r="L4000" s="74">
        <v>92.16</v>
      </c>
      <c r="M4000" s="74"/>
      <c r="N4000" s="74" t="s">
        <v>392</v>
      </c>
      <c r="O4000" s="74" t="s">
        <v>393</v>
      </c>
      <c r="P4000" s="74"/>
      <c r="Q4000" s="74" t="s">
        <v>19011</v>
      </c>
    </row>
    <row r="4001" spans="3:17" x14ac:dyDescent="0.25">
      <c r="C4001" s="74" t="s">
        <v>19024</v>
      </c>
      <c r="D4001" s="74" t="s">
        <v>19025</v>
      </c>
      <c r="E4001" s="74" t="s">
        <v>391</v>
      </c>
      <c r="F4001" s="74">
        <v>0.1</v>
      </c>
      <c r="G4001" s="74"/>
      <c r="H4001" s="74"/>
      <c r="I4001" s="74" t="s">
        <v>391</v>
      </c>
      <c r="J4001" s="74"/>
      <c r="K4001" s="74">
        <v>102.4</v>
      </c>
      <c r="L4001" s="74">
        <v>92.16</v>
      </c>
      <c r="M4001" s="74"/>
      <c r="N4001" s="74" t="s">
        <v>392</v>
      </c>
      <c r="O4001" s="74" t="s">
        <v>393</v>
      </c>
      <c r="P4001" s="74"/>
      <c r="Q4001" s="74" t="s">
        <v>19026</v>
      </c>
    </row>
    <row r="4002" spans="3:17" x14ac:dyDescent="0.25">
      <c r="C4002" s="74" t="s">
        <v>19027</v>
      </c>
      <c r="D4002" s="74" t="s">
        <v>19028</v>
      </c>
      <c r="E4002" s="74" t="s">
        <v>391</v>
      </c>
      <c r="F4002" s="74">
        <v>0.1</v>
      </c>
      <c r="G4002" s="74"/>
      <c r="H4002" s="74"/>
      <c r="I4002" s="74" t="s">
        <v>391</v>
      </c>
      <c r="J4002" s="74"/>
      <c r="K4002" s="74">
        <v>102.4</v>
      </c>
      <c r="L4002" s="74">
        <v>92.16</v>
      </c>
      <c r="M4002" s="74"/>
      <c r="N4002" s="74" t="s">
        <v>392</v>
      </c>
      <c r="O4002" s="74" t="s">
        <v>393</v>
      </c>
      <c r="P4002" s="74"/>
      <c r="Q4002" s="74" t="s">
        <v>19028</v>
      </c>
    </row>
    <row r="4003" spans="3:17" x14ac:dyDescent="0.25">
      <c r="C4003" s="74" t="s">
        <v>19029</v>
      </c>
      <c r="D4003" s="74" t="s">
        <v>19030</v>
      </c>
      <c r="E4003" s="74" t="s">
        <v>391</v>
      </c>
      <c r="F4003" s="74">
        <v>0.1</v>
      </c>
      <c r="G4003" s="74"/>
      <c r="H4003" s="74"/>
      <c r="I4003" s="74" t="s">
        <v>391</v>
      </c>
      <c r="J4003" s="74"/>
      <c r="K4003" s="74">
        <v>102.4</v>
      </c>
      <c r="L4003" s="74">
        <v>92.16</v>
      </c>
      <c r="M4003" s="74"/>
      <c r="N4003" s="74" t="s">
        <v>392</v>
      </c>
      <c r="O4003" s="74" t="s">
        <v>393</v>
      </c>
      <c r="P4003" s="74"/>
      <c r="Q4003" s="74" t="s">
        <v>19030</v>
      </c>
    </row>
    <row r="4004" spans="3:17" x14ac:dyDescent="0.25">
      <c r="C4004" s="74" t="s">
        <v>19034</v>
      </c>
      <c r="D4004" s="74" t="s">
        <v>19035</v>
      </c>
      <c r="E4004" s="74" t="s">
        <v>391</v>
      </c>
      <c r="F4004" s="74">
        <v>0.1</v>
      </c>
      <c r="G4004" s="74"/>
      <c r="H4004" s="74"/>
      <c r="I4004" s="74" t="s">
        <v>391</v>
      </c>
      <c r="J4004" s="74"/>
      <c r="K4004" s="74">
        <v>102.4</v>
      </c>
      <c r="L4004" s="74">
        <v>92.16</v>
      </c>
      <c r="M4004" s="74"/>
      <c r="N4004" s="74" t="s">
        <v>392</v>
      </c>
      <c r="O4004" s="74" t="s">
        <v>393</v>
      </c>
      <c r="P4004" s="74"/>
      <c r="Q4004" s="74" t="s">
        <v>19036</v>
      </c>
    </row>
    <row r="4005" spans="3:17" x14ac:dyDescent="0.25">
      <c r="C4005" s="74" t="s">
        <v>19037</v>
      </c>
      <c r="D4005" s="74" t="s">
        <v>19038</v>
      </c>
      <c r="E4005" s="74" t="s">
        <v>391</v>
      </c>
      <c r="F4005" s="74">
        <v>0.1</v>
      </c>
      <c r="G4005" s="74"/>
      <c r="H4005" s="74"/>
      <c r="I4005" s="74" t="s">
        <v>391</v>
      </c>
      <c r="J4005" s="74"/>
      <c r="K4005" s="74">
        <v>102.4</v>
      </c>
      <c r="L4005" s="74">
        <v>92.16</v>
      </c>
      <c r="M4005" s="74"/>
      <c r="N4005" s="74" t="s">
        <v>392</v>
      </c>
      <c r="O4005" s="74" t="s">
        <v>393</v>
      </c>
      <c r="P4005" s="74"/>
      <c r="Q4005" s="74" t="s">
        <v>19038</v>
      </c>
    </row>
    <row r="4006" spans="3:17" x14ac:dyDescent="0.25">
      <c r="C4006" s="74" t="s">
        <v>19039</v>
      </c>
      <c r="D4006" s="74" t="s">
        <v>19040</v>
      </c>
      <c r="E4006" s="74" t="s">
        <v>391</v>
      </c>
      <c r="F4006" s="74">
        <v>0.1</v>
      </c>
      <c r="G4006" s="74"/>
      <c r="H4006" s="74"/>
      <c r="I4006" s="74" t="s">
        <v>391</v>
      </c>
      <c r="J4006" s="74"/>
      <c r="K4006" s="74">
        <v>102.4</v>
      </c>
      <c r="L4006" s="74">
        <v>92.16</v>
      </c>
      <c r="M4006" s="74"/>
      <c r="N4006" s="74" t="s">
        <v>392</v>
      </c>
      <c r="O4006" s="74" t="s">
        <v>393</v>
      </c>
      <c r="P4006" s="74"/>
      <c r="Q4006" s="74" t="s">
        <v>19041</v>
      </c>
    </row>
    <row r="4007" spans="3:17" x14ac:dyDescent="0.25">
      <c r="C4007" s="74" t="s">
        <v>19062</v>
      </c>
      <c r="D4007" s="74" t="s">
        <v>19063</v>
      </c>
      <c r="E4007" s="74" t="s">
        <v>391</v>
      </c>
      <c r="F4007" s="74">
        <v>0.1</v>
      </c>
      <c r="G4007" s="74"/>
      <c r="H4007" s="74"/>
      <c r="I4007" s="74" t="s">
        <v>391</v>
      </c>
      <c r="J4007" s="74"/>
      <c r="K4007" s="74">
        <v>102.4</v>
      </c>
      <c r="L4007" s="74">
        <v>92.16</v>
      </c>
      <c r="M4007" s="74"/>
      <c r="N4007" s="74" t="s">
        <v>392</v>
      </c>
      <c r="O4007" s="74" t="s">
        <v>393</v>
      </c>
      <c r="P4007" s="74"/>
      <c r="Q4007" s="74" t="s">
        <v>19064</v>
      </c>
    </row>
    <row r="4008" spans="3:17" x14ac:dyDescent="0.25">
      <c r="C4008" s="74" t="s">
        <v>19073</v>
      </c>
      <c r="D4008" s="74" t="s">
        <v>19074</v>
      </c>
      <c r="E4008" s="74" t="s">
        <v>391</v>
      </c>
      <c r="F4008" s="74">
        <v>0.1</v>
      </c>
      <c r="G4008" s="74"/>
      <c r="H4008" s="74"/>
      <c r="I4008" s="74" t="s">
        <v>391</v>
      </c>
      <c r="J4008" s="74"/>
      <c r="K4008" s="74">
        <v>102.4</v>
      </c>
      <c r="L4008" s="74">
        <v>92.16</v>
      </c>
      <c r="M4008" s="74"/>
      <c r="N4008" s="74" t="s">
        <v>392</v>
      </c>
      <c r="O4008" s="74" t="s">
        <v>393</v>
      </c>
      <c r="P4008" s="74"/>
      <c r="Q4008" s="74" t="s">
        <v>19075</v>
      </c>
    </row>
    <row r="4009" spans="3:17" x14ac:dyDescent="0.25">
      <c r="C4009" s="74" t="s">
        <v>19083</v>
      </c>
      <c r="D4009" s="74" t="s">
        <v>19084</v>
      </c>
      <c r="E4009" s="74" t="s">
        <v>391</v>
      </c>
      <c r="F4009" s="74">
        <v>0.1</v>
      </c>
      <c r="G4009" s="74"/>
      <c r="H4009" s="74"/>
      <c r="I4009" s="74" t="s">
        <v>391</v>
      </c>
      <c r="J4009" s="74"/>
      <c r="K4009" s="74">
        <v>102.4</v>
      </c>
      <c r="L4009" s="74">
        <v>92.16</v>
      </c>
      <c r="M4009" s="74"/>
      <c r="N4009" s="74" t="s">
        <v>392</v>
      </c>
      <c r="O4009" s="74" t="s">
        <v>393</v>
      </c>
      <c r="P4009" s="74"/>
      <c r="Q4009" s="74" t="s">
        <v>19085</v>
      </c>
    </row>
    <row r="4010" spans="3:17" x14ac:dyDescent="0.25">
      <c r="C4010" s="74" t="s">
        <v>19086</v>
      </c>
      <c r="D4010" s="74" t="s">
        <v>19087</v>
      </c>
      <c r="E4010" s="74" t="s">
        <v>391</v>
      </c>
      <c r="F4010" s="74">
        <v>0.1</v>
      </c>
      <c r="G4010" s="74"/>
      <c r="H4010" s="74"/>
      <c r="I4010" s="74" t="s">
        <v>391</v>
      </c>
      <c r="J4010" s="74"/>
      <c r="K4010" s="74">
        <v>102.4</v>
      </c>
      <c r="L4010" s="74">
        <v>92.16</v>
      </c>
      <c r="M4010" s="74"/>
      <c r="N4010" s="74" t="s">
        <v>392</v>
      </c>
      <c r="O4010" s="74" t="s">
        <v>393</v>
      </c>
      <c r="P4010" s="74"/>
      <c r="Q4010" s="74" t="s">
        <v>19088</v>
      </c>
    </row>
    <row r="4011" spans="3:17" x14ac:dyDescent="0.25">
      <c r="C4011" s="74" t="s">
        <v>19093</v>
      </c>
      <c r="D4011" s="74" t="s">
        <v>19094</v>
      </c>
      <c r="E4011" s="74" t="s">
        <v>391</v>
      </c>
      <c r="F4011" s="74">
        <v>0.1</v>
      </c>
      <c r="G4011" s="74"/>
      <c r="H4011" s="74"/>
      <c r="I4011" s="74" t="s">
        <v>391</v>
      </c>
      <c r="J4011" s="74"/>
      <c r="K4011" s="74">
        <v>102.4</v>
      </c>
      <c r="L4011" s="74">
        <v>92.16</v>
      </c>
      <c r="M4011" s="74"/>
      <c r="N4011" s="74" t="s">
        <v>392</v>
      </c>
      <c r="O4011" s="74" t="s">
        <v>393</v>
      </c>
      <c r="P4011" s="74"/>
      <c r="Q4011" s="74" t="s">
        <v>19095</v>
      </c>
    </row>
    <row r="4012" spans="3:17" x14ac:dyDescent="0.25">
      <c r="C4012" s="74" t="s">
        <v>19099</v>
      </c>
      <c r="D4012" s="74" t="s">
        <v>17715</v>
      </c>
      <c r="E4012" s="74" t="s">
        <v>391</v>
      </c>
      <c r="F4012" s="74">
        <v>0.1</v>
      </c>
      <c r="G4012" s="74"/>
      <c r="H4012" s="74"/>
      <c r="I4012" s="74" t="s">
        <v>391</v>
      </c>
      <c r="J4012" s="74"/>
      <c r="K4012" s="74">
        <v>102.4</v>
      </c>
      <c r="L4012" s="74">
        <v>92.16</v>
      </c>
      <c r="M4012" s="74"/>
      <c r="N4012" s="74" t="s">
        <v>392</v>
      </c>
      <c r="O4012" s="74" t="s">
        <v>393</v>
      </c>
      <c r="P4012" s="74"/>
      <c r="Q4012" s="74" t="s">
        <v>19100</v>
      </c>
    </row>
    <row r="4013" spans="3:17" x14ac:dyDescent="0.25">
      <c r="C4013" s="74" t="s">
        <v>19109</v>
      </c>
      <c r="D4013" s="74" t="s">
        <v>19110</v>
      </c>
      <c r="E4013" s="74" t="s">
        <v>391</v>
      </c>
      <c r="F4013" s="74">
        <v>0.1</v>
      </c>
      <c r="G4013" s="74"/>
      <c r="H4013" s="74"/>
      <c r="I4013" s="74" t="s">
        <v>391</v>
      </c>
      <c r="J4013" s="74"/>
      <c r="K4013" s="74">
        <v>102.4</v>
      </c>
      <c r="L4013" s="74">
        <v>92.16</v>
      </c>
      <c r="M4013" s="74"/>
      <c r="N4013" s="74" t="s">
        <v>392</v>
      </c>
      <c r="O4013" s="74" t="s">
        <v>393</v>
      </c>
      <c r="P4013" s="74"/>
      <c r="Q4013" s="74" t="s">
        <v>19111</v>
      </c>
    </row>
    <row r="4014" spans="3:17" x14ac:dyDescent="0.25">
      <c r="C4014" s="74" t="s">
        <v>19112</v>
      </c>
      <c r="D4014" s="74" t="s">
        <v>19113</v>
      </c>
      <c r="E4014" s="74" t="s">
        <v>391</v>
      </c>
      <c r="F4014" s="74">
        <v>0.1</v>
      </c>
      <c r="G4014" s="74"/>
      <c r="H4014" s="74"/>
      <c r="I4014" s="74" t="s">
        <v>391</v>
      </c>
      <c r="J4014" s="74"/>
      <c r="K4014" s="74">
        <v>102.4</v>
      </c>
      <c r="L4014" s="74">
        <v>92.16</v>
      </c>
      <c r="M4014" s="74"/>
      <c r="N4014" s="74" t="s">
        <v>392</v>
      </c>
      <c r="O4014" s="74" t="s">
        <v>393</v>
      </c>
      <c r="P4014" s="74"/>
      <c r="Q4014" s="74" t="s">
        <v>19114</v>
      </c>
    </row>
    <row r="4015" spans="3:17" x14ac:dyDescent="0.25">
      <c r="C4015" s="74" t="s">
        <v>19115</v>
      </c>
      <c r="D4015" s="74" t="s">
        <v>19116</v>
      </c>
      <c r="E4015" s="74" t="s">
        <v>391</v>
      </c>
      <c r="F4015" s="74">
        <v>0.1</v>
      </c>
      <c r="G4015" s="74"/>
      <c r="H4015" s="74"/>
      <c r="I4015" s="74" t="s">
        <v>391</v>
      </c>
      <c r="J4015" s="74"/>
      <c r="K4015" s="74">
        <v>102.4</v>
      </c>
      <c r="L4015" s="74">
        <v>92.16</v>
      </c>
      <c r="M4015" s="74"/>
      <c r="N4015" s="74" t="s">
        <v>392</v>
      </c>
      <c r="O4015" s="74" t="s">
        <v>393</v>
      </c>
      <c r="P4015" s="74"/>
      <c r="Q4015" s="74" t="s">
        <v>19117</v>
      </c>
    </row>
    <row r="4016" spans="3:17" x14ac:dyDescent="0.25">
      <c r="C4016" s="74" t="s">
        <v>19122</v>
      </c>
      <c r="D4016" s="74" t="s">
        <v>19123</v>
      </c>
      <c r="E4016" s="74" t="s">
        <v>391</v>
      </c>
      <c r="F4016" s="74">
        <v>0.1</v>
      </c>
      <c r="G4016" s="74"/>
      <c r="H4016" s="74"/>
      <c r="I4016" s="74" t="s">
        <v>391</v>
      </c>
      <c r="J4016" s="74"/>
      <c r="K4016" s="74">
        <v>102.4</v>
      </c>
      <c r="L4016" s="74">
        <v>92.16</v>
      </c>
      <c r="M4016" s="74"/>
      <c r="N4016" s="74" t="s">
        <v>392</v>
      </c>
      <c r="O4016" s="74" t="s">
        <v>393</v>
      </c>
      <c r="P4016" s="74"/>
      <c r="Q4016" s="74" t="s">
        <v>19124</v>
      </c>
    </row>
    <row r="4017" spans="3:17" x14ac:dyDescent="0.25">
      <c r="C4017" s="74" t="s">
        <v>19129</v>
      </c>
      <c r="D4017" s="74" t="s">
        <v>19130</v>
      </c>
      <c r="E4017" s="74" t="s">
        <v>391</v>
      </c>
      <c r="F4017" s="74">
        <v>0.1</v>
      </c>
      <c r="G4017" s="74"/>
      <c r="H4017" s="74"/>
      <c r="I4017" s="74" t="s">
        <v>391</v>
      </c>
      <c r="J4017" s="74"/>
      <c r="K4017" s="74">
        <v>102.4</v>
      </c>
      <c r="L4017" s="74">
        <v>92.16</v>
      </c>
      <c r="M4017" s="74"/>
      <c r="N4017" s="74" t="s">
        <v>392</v>
      </c>
      <c r="O4017" s="74" t="s">
        <v>393</v>
      </c>
      <c r="P4017" s="74"/>
      <c r="Q4017" s="74" t="s">
        <v>19131</v>
      </c>
    </row>
    <row r="4018" spans="3:17" x14ac:dyDescent="0.25">
      <c r="C4018" s="74" t="s">
        <v>19140</v>
      </c>
      <c r="D4018" s="74" t="s">
        <v>19141</v>
      </c>
      <c r="E4018" s="74" t="s">
        <v>391</v>
      </c>
      <c r="F4018" s="74">
        <v>0.1</v>
      </c>
      <c r="G4018" s="74"/>
      <c r="H4018" s="74"/>
      <c r="I4018" s="74" t="s">
        <v>391</v>
      </c>
      <c r="J4018" s="74"/>
      <c r="K4018" s="74">
        <v>102.4</v>
      </c>
      <c r="L4018" s="74">
        <v>92.16</v>
      </c>
      <c r="M4018" s="74"/>
      <c r="N4018" s="74" t="s">
        <v>392</v>
      </c>
      <c r="O4018" s="74" t="s">
        <v>393</v>
      </c>
      <c r="P4018" s="74"/>
      <c r="Q4018" s="74" t="s">
        <v>19142</v>
      </c>
    </row>
    <row r="4019" spans="3:17" x14ac:dyDescent="0.25">
      <c r="C4019" s="74" t="s">
        <v>19151</v>
      </c>
      <c r="D4019" s="74" t="s">
        <v>19152</v>
      </c>
      <c r="E4019" s="74" t="s">
        <v>391</v>
      </c>
      <c r="F4019" s="74">
        <v>0.1</v>
      </c>
      <c r="G4019" s="74"/>
      <c r="H4019" s="74"/>
      <c r="I4019" s="74" t="s">
        <v>391</v>
      </c>
      <c r="J4019" s="74"/>
      <c r="K4019" s="74">
        <v>102.4</v>
      </c>
      <c r="L4019" s="74">
        <v>92.16</v>
      </c>
      <c r="M4019" s="74"/>
      <c r="N4019" s="74" t="s">
        <v>392</v>
      </c>
      <c r="O4019" s="74" t="s">
        <v>393</v>
      </c>
      <c r="P4019" s="74"/>
      <c r="Q4019" s="74" t="s">
        <v>19153</v>
      </c>
    </row>
    <row r="4020" spans="3:17" x14ac:dyDescent="0.25">
      <c r="C4020" s="74" t="s">
        <v>19158</v>
      </c>
      <c r="D4020" s="74" t="s">
        <v>19159</v>
      </c>
      <c r="E4020" s="74" t="s">
        <v>391</v>
      </c>
      <c r="F4020" s="74">
        <v>0.1</v>
      </c>
      <c r="G4020" s="74"/>
      <c r="H4020" s="74"/>
      <c r="I4020" s="74" t="s">
        <v>391</v>
      </c>
      <c r="J4020" s="74"/>
      <c r="K4020" s="74">
        <v>102.4</v>
      </c>
      <c r="L4020" s="74">
        <v>92.16</v>
      </c>
      <c r="M4020" s="74"/>
      <c r="N4020" s="74" t="s">
        <v>392</v>
      </c>
      <c r="O4020" s="74" t="s">
        <v>393</v>
      </c>
      <c r="P4020" s="74"/>
      <c r="Q4020" s="74" t="s">
        <v>19160</v>
      </c>
    </row>
    <row r="4021" spans="3:17" x14ac:dyDescent="0.25">
      <c r="C4021" s="74" t="s">
        <v>19161</v>
      </c>
      <c r="D4021" s="74" t="s">
        <v>19162</v>
      </c>
      <c r="E4021" s="74" t="s">
        <v>391</v>
      </c>
      <c r="F4021" s="74">
        <v>0.1</v>
      </c>
      <c r="G4021" s="74"/>
      <c r="H4021" s="74"/>
      <c r="I4021" s="74" t="s">
        <v>391</v>
      </c>
      <c r="J4021" s="74"/>
      <c r="K4021" s="74">
        <v>102.4</v>
      </c>
      <c r="L4021" s="74">
        <v>92.16</v>
      </c>
      <c r="M4021" s="74"/>
      <c r="N4021" s="74" t="s">
        <v>392</v>
      </c>
      <c r="O4021" s="74" t="s">
        <v>393</v>
      </c>
      <c r="P4021" s="74"/>
      <c r="Q4021" s="74" t="s">
        <v>19163</v>
      </c>
    </row>
    <row r="4022" spans="3:17" x14ac:dyDescent="0.25">
      <c r="C4022" s="74" t="s">
        <v>19168</v>
      </c>
      <c r="D4022" s="74" t="s">
        <v>19169</v>
      </c>
      <c r="E4022" s="74" t="s">
        <v>391</v>
      </c>
      <c r="F4022" s="74">
        <v>0.1</v>
      </c>
      <c r="G4022" s="74"/>
      <c r="H4022" s="74"/>
      <c r="I4022" s="74" t="s">
        <v>391</v>
      </c>
      <c r="J4022" s="74"/>
      <c r="K4022" s="74">
        <v>102.4</v>
      </c>
      <c r="L4022" s="74">
        <v>92.16</v>
      </c>
      <c r="M4022" s="74"/>
      <c r="N4022" s="74" t="s">
        <v>392</v>
      </c>
      <c r="O4022" s="74" t="s">
        <v>393</v>
      </c>
      <c r="P4022" s="74"/>
      <c r="Q4022" s="74" t="s">
        <v>19170</v>
      </c>
    </row>
    <row r="4023" spans="3:17" x14ac:dyDescent="0.25">
      <c r="C4023" s="74" t="s">
        <v>19175</v>
      </c>
      <c r="D4023" s="74" t="s">
        <v>19176</v>
      </c>
      <c r="E4023" s="74" t="s">
        <v>391</v>
      </c>
      <c r="F4023" s="74">
        <v>0.1</v>
      </c>
      <c r="G4023" s="74"/>
      <c r="H4023" s="74"/>
      <c r="I4023" s="74" t="s">
        <v>391</v>
      </c>
      <c r="J4023" s="74"/>
      <c r="K4023" s="74">
        <v>102.4</v>
      </c>
      <c r="L4023" s="74">
        <v>92.16</v>
      </c>
      <c r="M4023" s="74"/>
      <c r="N4023" s="74" t="s">
        <v>392</v>
      </c>
      <c r="O4023" s="74" t="s">
        <v>393</v>
      </c>
      <c r="P4023" s="74"/>
      <c r="Q4023" s="74" t="s">
        <v>19176</v>
      </c>
    </row>
    <row r="4024" spans="3:17" x14ac:dyDescent="0.25">
      <c r="C4024" s="74" t="s">
        <v>19185</v>
      </c>
      <c r="D4024" s="74" t="s">
        <v>19186</v>
      </c>
      <c r="E4024" s="74" t="s">
        <v>391</v>
      </c>
      <c r="F4024" s="74">
        <v>0.1</v>
      </c>
      <c r="G4024" s="74"/>
      <c r="H4024" s="74"/>
      <c r="I4024" s="74" t="s">
        <v>391</v>
      </c>
      <c r="J4024" s="74"/>
      <c r="K4024" s="74">
        <v>102.4</v>
      </c>
      <c r="L4024" s="74">
        <v>92.16</v>
      </c>
      <c r="M4024" s="74"/>
      <c r="N4024" s="74" t="s">
        <v>392</v>
      </c>
      <c r="O4024" s="74" t="s">
        <v>393</v>
      </c>
      <c r="P4024" s="74"/>
      <c r="Q4024" s="74" t="s">
        <v>19187</v>
      </c>
    </row>
    <row r="4025" spans="3:17" x14ac:dyDescent="0.25">
      <c r="C4025" s="74" t="s">
        <v>19205</v>
      </c>
      <c r="D4025" s="74" t="s">
        <v>19206</v>
      </c>
      <c r="E4025" s="74" t="s">
        <v>391</v>
      </c>
      <c r="F4025" s="74">
        <v>0.1</v>
      </c>
      <c r="G4025" s="74"/>
      <c r="H4025" s="74"/>
      <c r="I4025" s="74" t="s">
        <v>391</v>
      </c>
      <c r="J4025" s="74"/>
      <c r="K4025" s="74">
        <v>102.4</v>
      </c>
      <c r="L4025" s="74">
        <v>92.16</v>
      </c>
      <c r="M4025" s="74"/>
      <c r="N4025" s="74" t="s">
        <v>392</v>
      </c>
      <c r="O4025" s="74" t="s">
        <v>393</v>
      </c>
      <c r="P4025" s="74"/>
      <c r="Q4025" s="74" t="s">
        <v>19207</v>
      </c>
    </row>
    <row r="4026" spans="3:17" x14ac:dyDescent="0.25">
      <c r="C4026" s="74" t="s">
        <v>19231</v>
      </c>
      <c r="D4026" s="74" t="s">
        <v>19232</v>
      </c>
      <c r="E4026" s="74" t="s">
        <v>391</v>
      </c>
      <c r="F4026" s="74">
        <v>0.1</v>
      </c>
      <c r="G4026" s="74"/>
      <c r="H4026" s="74"/>
      <c r="I4026" s="74" t="s">
        <v>391</v>
      </c>
      <c r="J4026" s="74"/>
      <c r="K4026" s="74">
        <v>102.4</v>
      </c>
      <c r="L4026" s="74">
        <v>92.16</v>
      </c>
      <c r="M4026" s="74"/>
      <c r="N4026" s="74" t="s">
        <v>392</v>
      </c>
      <c r="O4026" s="74" t="s">
        <v>393</v>
      </c>
      <c r="P4026" s="74"/>
      <c r="Q4026" s="74" t="s">
        <v>19233</v>
      </c>
    </row>
    <row r="4027" spans="3:17" x14ac:dyDescent="0.25">
      <c r="C4027" s="74" t="s">
        <v>19238</v>
      </c>
      <c r="D4027" s="74" t="s">
        <v>19239</v>
      </c>
      <c r="E4027" s="74" t="s">
        <v>391</v>
      </c>
      <c r="F4027" s="74">
        <v>0.1</v>
      </c>
      <c r="G4027" s="74"/>
      <c r="H4027" s="74"/>
      <c r="I4027" s="74" t="s">
        <v>391</v>
      </c>
      <c r="J4027" s="74"/>
      <c r="K4027" s="74">
        <v>102.4</v>
      </c>
      <c r="L4027" s="74">
        <v>92.16</v>
      </c>
      <c r="M4027" s="74"/>
      <c r="N4027" s="74" t="s">
        <v>392</v>
      </c>
      <c r="O4027" s="74" t="s">
        <v>393</v>
      </c>
      <c r="P4027" s="74"/>
      <c r="Q4027" s="74" t="s">
        <v>19240</v>
      </c>
    </row>
    <row r="4028" spans="3:17" x14ac:dyDescent="0.25">
      <c r="C4028" s="74" t="s">
        <v>19241</v>
      </c>
      <c r="D4028" s="74" t="s">
        <v>19242</v>
      </c>
      <c r="E4028" s="74" t="s">
        <v>391</v>
      </c>
      <c r="F4028" s="74">
        <v>0.1</v>
      </c>
      <c r="G4028" s="74"/>
      <c r="H4028" s="74"/>
      <c r="I4028" s="74" t="s">
        <v>391</v>
      </c>
      <c r="J4028" s="74"/>
      <c r="K4028" s="74">
        <v>102.4</v>
      </c>
      <c r="L4028" s="74">
        <v>92.16</v>
      </c>
      <c r="M4028" s="74"/>
      <c r="N4028" s="74" t="s">
        <v>392</v>
      </c>
      <c r="O4028" s="74" t="s">
        <v>393</v>
      </c>
      <c r="P4028" s="74"/>
      <c r="Q4028" s="74" t="s">
        <v>19243</v>
      </c>
    </row>
    <row r="4029" spans="3:17" x14ac:dyDescent="0.25">
      <c r="C4029" s="74" t="s">
        <v>19248</v>
      </c>
      <c r="D4029" s="74" t="s">
        <v>19249</v>
      </c>
      <c r="E4029" s="74" t="s">
        <v>391</v>
      </c>
      <c r="F4029" s="74">
        <v>0.1</v>
      </c>
      <c r="G4029" s="74"/>
      <c r="H4029" s="74"/>
      <c r="I4029" s="74" t="s">
        <v>391</v>
      </c>
      <c r="J4029" s="74"/>
      <c r="K4029" s="74">
        <v>102.4</v>
      </c>
      <c r="L4029" s="74">
        <v>92.16</v>
      </c>
      <c r="M4029" s="74"/>
      <c r="N4029" s="74" t="s">
        <v>392</v>
      </c>
      <c r="O4029" s="74" t="s">
        <v>393</v>
      </c>
      <c r="P4029" s="74"/>
      <c r="Q4029" s="74" t="s">
        <v>19250</v>
      </c>
    </row>
    <row r="4030" spans="3:17" x14ac:dyDescent="0.25">
      <c r="C4030" s="74" t="s">
        <v>19251</v>
      </c>
      <c r="D4030" s="74" t="s">
        <v>19252</v>
      </c>
      <c r="E4030" s="74" t="s">
        <v>391</v>
      </c>
      <c r="F4030" s="74">
        <v>0.1</v>
      </c>
      <c r="G4030" s="74"/>
      <c r="H4030" s="74"/>
      <c r="I4030" s="74" t="s">
        <v>391</v>
      </c>
      <c r="J4030" s="74"/>
      <c r="K4030" s="74">
        <v>102.4</v>
      </c>
      <c r="L4030" s="74">
        <v>92.16</v>
      </c>
      <c r="M4030" s="74"/>
      <c r="N4030" s="74" t="s">
        <v>392</v>
      </c>
      <c r="O4030" s="74" t="s">
        <v>393</v>
      </c>
      <c r="P4030" s="74"/>
      <c r="Q4030" s="74" t="s">
        <v>19253</v>
      </c>
    </row>
    <row r="4031" spans="3:17" x14ac:dyDescent="0.25">
      <c r="C4031" s="74" t="s">
        <v>19258</v>
      </c>
      <c r="D4031" s="74" t="s">
        <v>19259</v>
      </c>
      <c r="E4031" s="74" t="s">
        <v>391</v>
      </c>
      <c r="F4031" s="74">
        <v>0.1</v>
      </c>
      <c r="G4031" s="74"/>
      <c r="H4031" s="74"/>
      <c r="I4031" s="74" t="s">
        <v>391</v>
      </c>
      <c r="J4031" s="74"/>
      <c r="K4031" s="74">
        <v>102.4</v>
      </c>
      <c r="L4031" s="74">
        <v>92.16</v>
      </c>
      <c r="M4031" s="74"/>
      <c r="N4031" s="74" t="s">
        <v>392</v>
      </c>
      <c r="O4031" s="74" t="s">
        <v>393</v>
      </c>
      <c r="P4031" s="74"/>
      <c r="Q4031" s="74" t="s">
        <v>19260</v>
      </c>
    </row>
    <row r="4032" spans="3:17" x14ac:dyDescent="0.25">
      <c r="C4032" s="74" t="s">
        <v>19261</v>
      </c>
      <c r="D4032" s="74" t="s">
        <v>19262</v>
      </c>
      <c r="E4032" s="74" t="s">
        <v>391</v>
      </c>
      <c r="F4032" s="74">
        <v>0.1</v>
      </c>
      <c r="G4032" s="74"/>
      <c r="H4032" s="74"/>
      <c r="I4032" s="74" t="s">
        <v>391</v>
      </c>
      <c r="J4032" s="74"/>
      <c r="K4032" s="74">
        <v>102.4</v>
      </c>
      <c r="L4032" s="74">
        <v>92.16</v>
      </c>
      <c r="M4032" s="74"/>
      <c r="N4032" s="74" t="s">
        <v>392</v>
      </c>
      <c r="O4032" s="74" t="s">
        <v>393</v>
      </c>
      <c r="P4032" s="74"/>
      <c r="Q4032" s="74" t="s">
        <v>19263</v>
      </c>
    </row>
    <row r="4033" spans="3:17" x14ac:dyDescent="0.25">
      <c r="C4033" s="74" t="s">
        <v>19272</v>
      </c>
      <c r="D4033" s="74" t="s">
        <v>19273</v>
      </c>
      <c r="E4033" s="74" t="s">
        <v>391</v>
      </c>
      <c r="F4033" s="74">
        <v>0.1</v>
      </c>
      <c r="G4033" s="74"/>
      <c r="H4033" s="74"/>
      <c r="I4033" s="74" t="s">
        <v>391</v>
      </c>
      <c r="J4033" s="74"/>
      <c r="K4033" s="74">
        <v>102.4</v>
      </c>
      <c r="L4033" s="74">
        <v>92.16</v>
      </c>
      <c r="M4033" s="74"/>
      <c r="N4033" s="74" t="s">
        <v>392</v>
      </c>
      <c r="O4033" s="74" t="s">
        <v>393</v>
      </c>
      <c r="P4033" s="74"/>
      <c r="Q4033" s="74" t="s">
        <v>19274</v>
      </c>
    </row>
    <row r="4034" spans="3:17" x14ac:dyDescent="0.25">
      <c r="C4034" s="74" t="s">
        <v>19275</v>
      </c>
      <c r="D4034" s="74" t="s">
        <v>19276</v>
      </c>
      <c r="E4034" s="74" t="s">
        <v>391</v>
      </c>
      <c r="F4034" s="74">
        <v>0.1</v>
      </c>
      <c r="G4034" s="74"/>
      <c r="H4034" s="74"/>
      <c r="I4034" s="74" t="s">
        <v>391</v>
      </c>
      <c r="J4034" s="74"/>
      <c r="K4034" s="74">
        <v>102.4</v>
      </c>
      <c r="L4034" s="74">
        <v>92.16</v>
      </c>
      <c r="M4034" s="74"/>
      <c r="N4034" s="74" t="s">
        <v>392</v>
      </c>
      <c r="O4034" s="74" t="s">
        <v>393</v>
      </c>
      <c r="P4034" s="74"/>
      <c r="Q4034" s="74" t="s">
        <v>19277</v>
      </c>
    </row>
    <row r="4035" spans="3:17" x14ac:dyDescent="0.25">
      <c r="C4035" s="74" t="s">
        <v>19292</v>
      </c>
      <c r="D4035" s="74" t="s">
        <v>19293</v>
      </c>
      <c r="E4035" s="74" t="s">
        <v>391</v>
      </c>
      <c r="F4035" s="74">
        <v>0.1</v>
      </c>
      <c r="G4035" s="74"/>
      <c r="H4035" s="74"/>
      <c r="I4035" s="74" t="s">
        <v>391</v>
      </c>
      <c r="J4035" s="74"/>
      <c r="K4035" s="74">
        <v>102.4</v>
      </c>
      <c r="L4035" s="74">
        <v>92.16</v>
      </c>
      <c r="M4035" s="74"/>
      <c r="N4035" s="74" t="s">
        <v>392</v>
      </c>
      <c r="O4035" s="74" t="s">
        <v>393</v>
      </c>
      <c r="P4035" s="74"/>
      <c r="Q4035" s="74" t="s">
        <v>19294</v>
      </c>
    </row>
    <row r="4036" spans="3:17" x14ac:dyDescent="0.25">
      <c r="C4036" s="74" t="s">
        <v>19311</v>
      </c>
      <c r="D4036" s="74" t="s">
        <v>19312</v>
      </c>
      <c r="E4036" s="74" t="s">
        <v>391</v>
      </c>
      <c r="F4036" s="74">
        <v>0.1</v>
      </c>
      <c r="G4036" s="74"/>
      <c r="H4036" s="74"/>
      <c r="I4036" s="74" t="s">
        <v>391</v>
      </c>
      <c r="J4036" s="74"/>
      <c r="K4036" s="74">
        <v>102.4</v>
      </c>
      <c r="L4036" s="74">
        <v>92.16</v>
      </c>
      <c r="M4036" s="74"/>
      <c r="N4036" s="74" t="s">
        <v>392</v>
      </c>
      <c r="O4036" s="74" t="s">
        <v>393</v>
      </c>
      <c r="P4036" s="74"/>
      <c r="Q4036" s="74" t="s">
        <v>19313</v>
      </c>
    </row>
    <row r="4037" spans="3:17" x14ac:dyDescent="0.25">
      <c r="C4037" s="74" t="s">
        <v>19330</v>
      </c>
      <c r="D4037" s="74" t="s">
        <v>19331</v>
      </c>
      <c r="E4037" s="74" t="s">
        <v>391</v>
      </c>
      <c r="F4037" s="74">
        <v>0.1</v>
      </c>
      <c r="G4037" s="74"/>
      <c r="H4037" s="74"/>
      <c r="I4037" s="74" t="s">
        <v>391</v>
      </c>
      <c r="J4037" s="74"/>
      <c r="K4037" s="74">
        <v>102.4</v>
      </c>
      <c r="L4037" s="74">
        <v>92.16</v>
      </c>
      <c r="M4037" s="74"/>
      <c r="N4037" s="74" t="s">
        <v>392</v>
      </c>
      <c r="O4037" s="74" t="s">
        <v>393</v>
      </c>
      <c r="P4037" s="74"/>
      <c r="Q4037" s="74" t="s">
        <v>19332</v>
      </c>
    </row>
    <row r="4038" spans="3:17" x14ac:dyDescent="0.25">
      <c r="C4038" s="74" t="s">
        <v>19337</v>
      </c>
      <c r="D4038" s="74" t="s">
        <v>19212</v>
      </c>
      <c r="E4038" s="74" t="s">
        <v>391</v>
      </c>
      <c r="F4038" s="74">
        <v>0.1</v>
      </c>
      <c r="G4038" s="74"/>
      <c r="H4038" s="74"/>
      <c r="I4038" s="74" t="s">
        <v>391</v>
      </c>
      <c r="J4038" s="74"/>
      <c r="K4038" s="74">
        <v>102.4</v>
      </c>
      <c r="L4038" s="74">
        <v>92.16</v>
      </c>
      <c r="M4038" s="74"/>
      <c r="N4038" s="74" t="s">
        <v>392</v>
      </c>
      <c r="O4038" s="74" t="s">
        <v>393</v>
      </c>
      <c r="P4038" s="74"/>
      <c r="Q4038" s="74" t="s">
        <v>19338</v>
      </c>
    </row>
    <row r="4039" spans="3:17" x14ac:dyDescent="0.25">
      <c r="C4039" s="74" t="s">
        <v>19339</v>
      </c>
      <c r="D4039" s="74" t="s">
        <v>19340</v>
      </c>
      <c r="E4039" s="74" t="s">
        <v>391</v>
      </c>
      <c r="F4039" s="74">
        <v>0.1</v>
      </c>
      <c r="G4039" s="74"/>
      <c r="H4039" s="74"/>
      <c r="I4039" s="74" t="s">
        <v>391</v>
      </c>
      <c r="J4039" s="74"/>
      <c r="K4039" s="74">
        <v>102.4</v>
      </c>
      <c r="L4039" s="74">
        <v>92.16</v>
      </c>
      <c r="M4039" s="74"/>
      <c r="N4039" s="74" t="s">
        <v>392</v>
      </c>
      <c r="O4039" s="74" t="s">
        <v>393</v>
      </c>
      <c r="P4039" s="74"/>
      <c r="Q4039" s="74" t="s">
        <v>19341</v>
      </c>
    </row>
    <row r="4040" spans="3:17" x14ac:dyDescent="0.25">
      <c r="C4040" s="74" t="s">
        <v>19349</v>
      </c>
      <c r="D4040" s="74" t="s">
        <v>19350</v>
      </c>
      <c r="E4040" s="74" t="s">
        <v>391</v>
      </c>
      <c r="F4040" s="74">
        <v>0.1</v>
      </c>
      <c r="G4040" s="74"/>
      <c r="H4040" s="74"/>
      <c r="I4040" s="74" t="s">
        <v>391</v>
      </c>
      <c r="J4040" s="74"/>
      <c r="K4040" s="74">
        <v>102.4</v>
      </c>
      <c r="L4040" s="74">
        <v>92.16</v>
      </c>
      <c r="M4040" s="74"/>
      <c r="N4040" s="74" t="s">
        <v>392</v>
      </c>
      <c r="O4040" s="74" t="s">
        <v>393</v>
      </c>
      <c r="P4040" s="74"/>
      <c r="Q4040" s="74" t="s">
        <v>19351</v>
      </c>
    </row>
    <row r="4041" spans="3:17" x14ac:dyDescent="0.25">
      <c r="C4041" s="74" t="s">
        <v>19356</v>
      </c>
      <c r="D4041" s="74" t="s">
        <v>19357</v>
      </c>
      <c r="E4041" s="74" t="s">
        <v>391</v>
      </c>
      <c r="F4041" s="74">
        <v>0.1</v>
      </c>
      <c r="G4041" s="74"/>
      <c r="H4041" s="74"/>
      <c r="I4041" s="74" t="s">
        <v>391</v>
      </c>
      <c r="J4041" s="74"/>
      <c r="K4041" s="74">
        <v>102.4</v>
      </c>
      <c r="L4041" s="74">
        <v>92.16</v>
      </c>
      <c r="M4041" s="74"/>
      <c r="N4041" s="74" t="s">
        <v>392</v>
      </c>
      <c r="O4041" s="74" t="s">
        <v>393</v>
      </c>
      <c r="P4041" s="74"/>
      <c r="Q4041" s="74" t="s">
        <v>19358</v>
      </c>
    </row>
    <row r="4042" spans="3:17" x14ac:dyDescent="0.25">
      <c r="C4042" s="74" t="s">
        <v>19359</v>
      </c>
      <c r="D4042" s="74" t="s">
        <v>19360</v>
      </c>
      <c r="E4042" s="74" t="s">
        <v>391</v>
      </c>
      <c r="F4042" s="74">
        <v>0.1</v>
      </c>
      <c r="G4042" s="74"/>
      <c r="H4042" s="74"/>
      <c r="I4042" s="74" t="s">
        <v>391</v>
      </c>
      <c r="J4042" s="74"/>
      <c r="K4042" s="74">
        <v>102.4</v>
      </c>
      <c r="L4042" s="74">
        <v>92.16</v>
      </c>
      <c r="M4042" s="74"/>
      <c r="N4042" s="74" t="s">
        <v>392</v>
      </c>
      <c r="O4042" s="74" t="s">
        <v>393</v>
      </c>
      <c r="P4042" s="74"/>
      <c r="Q4042" s="74" t="s">
        <v>19361</v>
      </c>
    </row>
    <row r="4043" spans="3:17" x14ac:dyDescent="0.25">
      <c r="C4043" s="74" t="s">
        <v>19362</v>
      </c>
      <c r="D4043" s="74" t="s">
        <v>19363</v>
      </c>
      <c r="E4043" s="74" t="s">
        <v>391</v>
      </c>
      <c r="F4043" s="74">
        <v>0.1</v>
      </c>
      <c r="G4043" s="74"/>
      <c r="H4043" s="74"/>
      <c r="I4043" s="74" t="s">
        <v>391</v>
      </c>
      <c r="J4043" s="74"/>
      <c r="K4043" s="74">
        <v>102.4</v>
      </c>
      <c r="L4043" s="74">
        <v>92.16</v>
      </c>
      <c r="M4043" s="74"/>
      <c r="N4043" s="74" t="s">
        <v>392</v>
      </c>
      <c r="O4043" s="74" t="s">
        <v>393</v>
      </c>
      <c r="P4043" s="74"/>
      <c r="Q4043" s="74" t="s">
        <v>19364</v>
      </c>
    </row>
    <row r="4044" spans="3:17" x14ac:dyDescent="0.25">
      <c r="C4044" s="74" t="s">
        <v>19365</v>
      </c>
      <c r="D4044" s="74" t="s">
        <v>19366</v>
      </c>
      <c r="E4044" s="74" t="s">
        <v>391</v>
      </c>
      <c r="F4044" s="74">
        <v>0.1</v>
      </c>
      <c r="G4044" s="74"/>
      <c r="H4044" s="74"/>
      <c r="I4044" s="74" t="s">
        <v>391</v>
      </c>
      <c r="J4044" s="74"/>
      <c r="K4044" s="74">
        <v>102.4</v>
      </c>
      <c r="L4044" s="74">
        <v>92.16</v>
      </c>
      <c r="M4044" s="74"/>
      <c r="N4044" s="74" t="s">
        <v>392</v>
      </c>
      <c r="O4044" s="74" t="s">
        <v>393</v>
      </c>
      <c r="P4044" s="74"/>
      <c r="Q4044" s="74" t="s">
        <v>19367</v>
      </c>
    </row>
    <row r="4045" spans="3:17" x14ac:dyDescent="0.25">
      <c r="C4045" s="74" t="s">
        <v>19368</v>
      </c>
      <c r="D4045" s="74" t="s">
        <v>19369</v>
      </c>
      <c r="E4045" s="74"/>
      <c r="F4045" s="74">
        <v>0.1</v>
      </c>
      <c r="G4045" s="74"/>
      <c r="H4045" s="74"/>
      <c r="I4045" s="74" t="s">
        <v>391</v>
      </c>
      <c r="J4045" s="74"/>
      <c r="K4045" s="74">
        <v>102.4</v>
      </c>
      <c r="L4045" s="74">
        <v>92.16</v>
      </c>
      <c r="M4045" s="74"/>
      <c r="N4045" s="74" t="s">
        <v>392</v>
      </c>
      <c r="O4045" s="74" t="s">
        <v>402</v>
      </c>
      <c r="P4045" s="74" t="s">
        <v>19370</v>
      </c>
      <c r="Q4045" s="74" t="s">
        <v>19371</v>
      </c>
    </row>
    <row r="4046" spans="3:17" x14ac:dyDescent="0.25">
      <c r="C4046" s="74" t="s">
        <v>19379</v>
      </c>
      <c r="D4046" s="74" t="s">
        <v>19380</v>
      </c>
      <c r="E4046" s="74" t="s">
        <v>391</v>
      </c>
      <c r="F4046" s="74">
        <v>0.1</v>
      </c>
      <c r="G4046" s="74"/>
      <c r="H4046" s="74"/>
      <c r="I4046" s="74" t="s">
        <v>391</v>
      </c>
      <c r="J4046" s="74"/>
      <c r="K4046" s="74">
        <v>102.4</v>
      </c>
      <c r="L4046" s="74">
        <v>92.16</v>
      </c>
      <c r="M4046" s="74"/>
      <c r="N4046" s="74" t="s">
        <v>392</v>
      </c>
      <c r="O4046" s="74" t="s">
        <v>393</v>
      </c>
      <c r="P4046" s="74"/>
      <c r="Q4046" s="74" t="s">
        <v>19381</v>
      </c>
    </row>
    <row r="4047" spans="3:17" x14ac:dyDescent="0.25">
      <c r="C4047" s="74" t="s">
        <v>19382</v>
      </c>
      <c r="D4047" s="74" t="s">
        <v>19383</v>
      </c>
      <c r="E4047" s="74" t="s">
        <v>391</v>
      </c>
      <c r="F4047" s="74">
        <v>0.1</v>
      </c>
      <c r="G4047" s="74"/>
      <c r="H4047" s="74"/>
      <c r="I4047" s="74" t="s">
        <v>391</v>
      </c>
      <c r="J4047" s="74"/>
      <c r="K4047" s="74">
        <v>102.4</v>
      </c>
      <c r="L4047" s="74">
        <v>92.16</v>
      </c>
      <c r="M4047" s="74"/>
      <c r="N4047" s="74" t="s">
        <v>392</v>
      </c>
      <c r="O4047" s="74" t="s">
        <v>393</v>
      </c>
      <c r="P4047" s="74"/>
      <c r="Q4047" s="74" t="s">
        <v>19384</v>
      </c>
    </row>
    <row r="4048" spans="3:17" x14ac:dyDescent="0.25">
      <c r="C4048" s="74" t="s">
        <v>19385</v>
      </c>
      <c r="D4048" s="74" t="s">
        <v>19386</v>
      </c>
      <c r="E4048" s="74" t="s">
        <v>391</v>
      </c>
      <c r="F4048" s="74">
        <v>0.1</v>
      </c>
      <c r="G4048" s="74"/>
      <c r="H4048" s="74"/>
      <c r="I4048" s="74" t="s">
        <v>391</v>
      </c>
      <c r="J4048" s="74"/>
      <c r="K4048" s="74">
        <v>102.4</v>
      </c>
      <c r="L4048" s="74">
        <v>92.16</v>
      </c>
      <c r="M4048" s="74"/>
      <c r="N4048" s="74" t="s">
        <v>392</v>
      </c>
      <c r="O4048" s="74" t="s">
        <v>393</v>
      </c>
      <c r="P4048" s="74"/>
      <c r="Q4048" s="74" t="s">
        <v>19386</v>
      </c>
    </row>
    <row r="4049" spans="3:17" x14ac:dyDescent="0.25">
      <c r="C4049" s="74" t="s">
        <v>19394</v>
      </c>
      <c r="D4049" s="74" t="s">
        <v>19395</v>
      </c>
      <c r="E4049" s="74" t="s">
        <v>391</v>
      </c>
      <c r="F4049" s="74">
        <v>0.1</v>
      </c>
      <c r="G4049" s="74"/>
      <c r="H4049" s="74"/>
      <c r="I4049" s="74" t="s">
        <v>391</v>
      </c>
      <c r="J4049" s="74"/>
      <c r="K4049" s="74">
        <v>102.4</v>
      </c>
      <c r="L4049" s="74">
        <v>92.16</v>
      </c>
      <c r="M4049" s="74"/>
      <c r="N4049" s="74" t="s">
        <v>392</v>
      </c>
      <c r="O4049" s="74" t="s">
        <v>393</v>
      </c>
      <c r="P4049" s="74"/>
      <c r="Q4049" s="74" t="s">
        <v>19396</v>
      </c>
    </row>
    <row r="4050" spans="3:17" x14ac:dyDescent="0.25">
      <c r="C4050" s="74" t="s">
        <v>19401</v>
      </c>
      <c r="D4050" s="74" t="s">
        <v>19402</v>
      </c>
      <c r="E4050" s="74" t="s">
        <v>391</v>
      </c>
      <c r="F4050" s="74">
        <v>0.1</v>
      </c>
      <c r="G4050" s="74"/>
      <c r="H4050" s="74"/>
      <c r="I4050" s="74" t="s">
        <v>391</v>
      </c>
      <c r="J4050" s="74"/>
      <c r="K4050" s="74">
        <v>102.4</v>
      </c>
      <c r="L4050" s="74">
        <v>92.16</v>
      </c>
      <c r="M4050" s="74"/>
      <c r="N4050" s="74" t="s">
        <v>392</v>
      </c>
      <c r="O4050" s="74" t="s">
        <v>393</v>
      </c>
      <c r="P4050" s="74"/>
      <c r="Q4050" s="74" t="s">
        <v>19403</v>
      </c>
    </row>
    <row r="4051" spans="3:17" x14ac:dyDescent="0.25">
      <c r="C4051" s="74" t="s">
        <v>19404</v>
      </c>
      <c r="D4051" s="74" t="s">
        <v>19405</v>
      </c>
      <c r="E4051" s="74" t="s">
        <v>391</v>
      </c>
      <c r="F4051" s="74">
        <v>0.1</v>
      </c>
      <c r="G4051" s="74"/>
      <c r="H4051" s="74"/>
      <c r="I4051" s="74" t="s">
        <v>391</v>
      </c>
      <c r="J4051" s="74"/>
      <c r="K4051" s="74">
        <v>102.4</v>
      </c>
      <c r="L4051" s="74">
        <v>92.16</v>
      </c>
      <c r="M4051" s="74"/>
      <c r="N4051" s="74" t="s">
        <v>392</v>
      </c>
      <c r="O4051" s="74" t="s">
        <v>393</v>
      </c>
      <c r="P4051" s="74"/>
      <c r="Q4051" s="74" t="s">
        <v>19406</v>
      </c>
    </row>
    <row r="4052" spans="3:17" x14ac:dyDescent="0.25">
      <c r="C4052" s="74" t="s">
        <v>19422</v>
      </c>
      <c r="D4052" s="74" t="s">
        <v>19423</v>
      </c>
      <c r="E4052" s="74" t="s">
        <v>391</v>
      </c>
      <c r="F4052" s="74">
        <v>0.1</v>
      </c>
      <c r="G4052" s="74"/>
      <c r="H4052" s="74"/>
      <c r="I4052" s="74" t="s">
        <v>391</v>
      </c>
      <c r="J4052" s="74"/>
      <c r="K4052" s="74">
        <v>102.4</v>
      </c>
      <c r="L4052" s="74">
        <v>92.16</v>
      </c>
      <c r="M4052" s="74"/>
      <c r="N4052" s="74" t="s">
        <v>392</v>
      </c>
      <c r="O4052" s="74" t="s">
        <v>393</v>
      </c>
      <c r="P4052" s="74"/>
      <c r="Q4052" s="74" t="s">
        <v>19424</v>
      </c>
    </row>
    <row r="4053" spans="3:17" x14ac:dyDescent="0.25">
      <c r="C4053" s="74" t="s">
        <v>19425</v>
      </c>
      <c r="D4053" s="74" t="s">
        <v>19426</v>
      </c>
      <c r="E4053" s="74" t="s">
        <v>391</v>
      </c>
      <c r="F4053" s="74">
        <v>0.1</v>
      </c>
      <c r="G4053" s="74"/>
      <c r="H4053" s="74"/>
      <c r="I4053" s="74" t="s">
        <v>391</v>
      </c>
      <c r="J4053" s="74"/>
      <c r="K4053" s="74">
        <v>102.4</v>
      </c>
      <c r="L4053" s="74">
        <v>92.16</v>
      </c>
      <c r="M4053" s="74"/>
      <c r="N4053" s="74" t="s">
        <v>392</v>
      </c>
      <c r="O4053" s="74" t="s">
        <v>393</v>
      </c>
      <c r="P4053" s="74"/>
      <c r="Q4053" s="74" t="s">
        <v>19427</v>
      </c>
    </row>
    <row r="4054" spans="3:17" x14ac:dyDescent="0.25">
      <c r="C4054" s="74" t="s">
        <v>19428</v>
      </c>
      <c r="D4054" s="74" t="s">
        <v>19429</v>
      </c>
      <c r="E4054" s="74" t="s">
        <v>391</v>
      </c>
      <c r="F4054" s="74">
        <v>0.1</v>
      </c>
      <c r="G4054" s="74"/>
      <c r="H4054" s="74"/>
      <c r="I4054" s="74" t="s">
        <v>391</v>
      </c>
      <c r="J4054" s="74"/>
      <c r="K4054" s="74">
        <v>102.4</v>
      </c>
      <c r="L4054" s="74">
        <v>92.16</v>
      </c>
      <c r="M4054" s="74"/>
      <c r="N4054" s="74" t="s">
        <v>392</v>
      </c>
      <c r="O4054" s="74" t="s">
        <v>393</v>
      </c>
      <c r="P4054" s="74"/>
      <c r="Q4054" s="74" t="s">
        <v>19430</v>
      </c>
    </row>
    <row r="4055" spans="3:17" x14ac:dyDescent="0.25">
      <c r="C4055" s="74" t="s">
        <v>19431</v>
      </c>
      <c r="D4055" s="74" t="s">
        <v>19432</v>
      </c>
      <c r="E4055" s="74" t="s">
        <v>391</v>
      </c>
      <c r="F4055" s="74">
        <v>0.1</v>
      </c>
      <c r="G4055" s="74"/>
      <c r="H4055" s="74"/>
      <c r="I4055" s="74" t="s">
        <v>391</v>
      </c>
      <c r="J4055" s="74"/>
      <c r="K4055" s="74">
        <v>102.4</v>
      </c>
      <c r="L4055" s="74">
        <v>92.16</v>
      </c>
      <c r="M4055" s="74"/>
      <c r="N4055" s="74" t="s">
        <v>392</v>
      </c>
      <c r="O4055" s="74" t="s">
        <v>393</v>
      </c>
      <c r="P4055" s="74"/>
      <c r="Q4055" s="74" t="s">
        <v>19433</v>
      </c>
    </row>
    <row r="4056" spans="3:17" x14ac:dyDescent="0.25">
      <c r="C4056" s="74" t="s">
        <v>19434</v>
      </c>
      <c r="D4056" s="74" t="s">
        <v>19435</v>
      </c>
      <c r="E4056" s="74" t="s">
        <v>391</v>
      </c>
      <c r="F4056" s="74">
        <v>0.1</v>
      </c>
      <c r="G4056" s="74"/>
      <c r="H4056" s="74"/>
      <c r="I4056" s="74" t="s">
        <v>391</v>
      </c>
      <c r="J4056" s="74"/>
      <c r="K4056" s="74">
        <v>102.4</v>
      </c>
      <c r="L4056" s="74">
        <v>92.16</v>
      </c>
      <c r="M4056" s="74"/>
      <c r="N4056" s="74" t="s">
        <v>392</v>
      </c>
      <c r="O4056" s="74" t="s">
        <v>393</v>
      </c>
      <c r="P4056" s="74"/>
      <c r="Q4056" s="74" t="s">
        <v>19435</v>
      </c>
    </row>
    <row r="4057" spans="3:17" x14ac:dyDescent="0.25">
      <c r="C4057" s="74" t="s">
        <v>19436</v>
      </c>
      <c r="D4057" s="74" t="s">
        <v>19437</v>
      </c>
      <c r="E4057" s="74" t="s">
        <v>391</v>
      </c>
      <c r="F4057" s="74">
        <v>0.1</v>
      </c>
      <c r="G4057" s="74"/>
      <c r="H4057" s="74"/>
      <c r="I4057" s="74" t="s">
        <v>391</v>
      </c>
      <c r="J4057" s="74"/>
      <c r="K4057" s="74">
        <v>102.4</v>
      </c>
      <c r="L4057" s="74">
        <v>92.16</v>
      </c>
      <c r="M4057" s="74"/>
      <c r="N4057" s="74" t="s">
        <v>392</v>
      </c>
      <c r="O4057" s="74" t="s">
        <v>393</v>
      </c>
      <c r="P4057" s="74"/>
      <c r="Q4057" s="74" t="s">
        <v>19437</v>
      </c>
    </row>
    <row r="4058" spans="3:17" x14ac:dyDescent="0.25">
      <c r="C4058" s="74" t="s">
        <v>19438</v>
      </c>
      <c r="D4058" s="74" t="s">
        <v>19439</v>
      </c>
      <c r="E4058" s="74" t="s">
        <v>391</v>
      </c>
      <c r="F4058" s="74">
        <v>0.1</v>
      </c>
      <c r="G4058" s="74"/>
      <c r="H4058" s="74"/>
      <c r="I4058" s="74" t="s">
        <v>391</v>
      </c>
      <c r="J4058" s="74"/>
      <c r="K4058" s="74">
        <v>102.4</v>
      </c>
      <c r="L4058" s="74">
        <v>92.16</v>
      </c>
      <c r="M4058" s="74"/>
      <c r="N4058" s="74" t="s">
        <v>392</v>
      </c>
      <c r="O4058" s="74" t="s">
        <v>393</v>
      </c>
      <c r="P4058" s="74"/>
      <c r="Q4058" s="74" t="s">
        <v>19440</v>
      </c>
    </row>
    <row r="4059" spans="3:17" x14ac:dyDescent="0.25">
      <c r="C4059" s="74" t="s">
        <v>19445</v>
      </c>
      <c r="D4059" s="74" t="s">
        <v>19446</v>
      </c>
      <c r="E4059" s="74" t="s">
        <v>391</v>
      </c>
      <c r="F4059" s="74">
        <v>0.1</v>
      </c>
      <c r="G4059" s="74"/>
      <c r="H4059" s="74"/>
      <c r="I4059" s="74" t="s">
        <v>391</v>
      </c>
      <c r="J4059" s="74"/>
      <c r="K4059" s="74">
        <v>102.4</v>
      </c>
      <c r="L4059" s="74">
        <v>92.16</v>
      </c>
      <c r="M4059" s="74"/>
      <c r="N4059" s="74" t="s">
        <v>392</v>
      </c>
      <c r="O4059" s="74" t="s">
        <v>393</v>
      </c>
      <c r="P4059" s="74"/>
      <c r="Q4059" s="74" t="s">
        <v>19447</v>
      </c>
    </row>
    <row r="4060" spans="3:17" x14ac:dyDescent="0.25">
      <c r="C4060" s="74" t="s">
        <v>19448</v>
      </c>
      <c r="D4060" s="74" t="s">
        <v>19449</v>
      </c>
      <c r="E4060" s="74" t="s">
        <v>391</v>
      </c>
      <c r="F4060" s="74">
        <v>0.1</v>
      </c>
      <c r="G4060" s="74"/>
      <c r="H4060" s="74"/>
      <c r="I4060" s="74" t="s">
        <v>391</v>
      </c>
      <c r="J4060" s="74"/>
      <c r="K4060" s="74">
        <v>102.4</v>
      </c>
      <c r="L4060" s="74">
        <v>92.16</v>
      </c>
      <c r="M4060" s="74"/>
      <c r="N4060" s="74" t="s">
        <v>392</v>
      </c>
      <c r="O4060" s="74" t="s">
        <v>393</v>
      </c>
      <c r="P4060" s="74"/>
      <c r="Q4060" s="74" t="s">
        <v>19450</v>
      </c>
    </row>
    <row r="4061" spans="3:17" x14ac:dyDescent="0.25">
      <c r="C4061" s="74" t="s">
        <v>19455</v>
      </c>
      <c r="D4061" s="74" t="s">
        <v>19456</v>
      </c>
      <c r="E4061" s="74" t="s">
        <v>391</v>
      </c>
      <c r="F4061" s="74">
        <v>0.1</v>
      </c>
      <c r="G4061" s="74"/>
      <c r="H4061" s="74"/>
      <c r="I4061" s="74" t="s">
        <v>391</v>
      </c>
      <c r="J4061" s="74"/>
      <c r="K4061" s="74">
        <v>102.4</v>
      </c>
      <c r="L4061" s="74">
        <v>92.16</v>
      </c>
      <c r="M4061" s="74"/>
      <c r="N4061" s="74" t="s">
        <v>392</v>
      </c>
      <c r="O4061" s="74" t="s">
        <v>393</v>
      </c>
      <c r="P4061" s="74"/>
      <c r="Q4061" s="74" t="s">
        <v>19457</v>
      </c>
    </row>
    <row r="4062" spans="3:17" x14ac:dyDescent="0.25">
      <c r="C4062" s="74" t="s">
        <v>19462</v>
      </c>
      <c r="D4062" s="74" t="s">
        <v>19463</v>
      </c>
      <c r="E4062" s="74" t="s">
        <v>391</v>
      </c>
      <c r="F4062" s="74">
        <v>0.1</v>
      </c>
      <c r="G4062" s="74"/>
      <c r="H4062" s="74"/>
      <c r="I4062" s="74" t="s">
        <v>391</v>
      </c>
      <c r="J4062" s="74"/>
      <c r="K4062" s="74">
        <v>102.4</v>
      </c>
      <c r="L4062" s="74">
        <v>92.16</v>
      </c>
      <c r="M4062" s="74"/>
      <c r="N4062" s="74" t="s">
        <v>392</v>
      </c>
      <c r="O4062" s="74" t="s">
        <v>393</v>
      </c>
      <c r="P4062" s="74"/>
      <c r="Q4062" s="74" t="s">
        <v>19464</v>
      </c>
    </row>
    <row r="4063" spans="3:17" x14ac:dyDescent="0.25">
      <c r="C4063" s="74" t="s">
        <v>19469</v>
      </c>
      <c r="D4063" s="74" t="s">
        <v>19470</v>
      </c>
      <c r="E4063" s="74" t="s">
        <v>391</v>
      </c>
      <c r="F4063" s="74">
        <v>0.1</v>
      </c>
      <c r="G4063" s="74"/>
      <c r="H4063" s="74"/>
      <c r="I4063" s="74" t="s">
        <v>391</v>
      </c>
      <c r="J4063" s="74"/>
      <c r="K4063" s="74">
        <v>102.4</v>
      </c>
      <c r="L4063" s="74">
        <v>92.16</v>
      </c>
      <c r="M4063" s="74"/>
      <c r="N4063" s="74" t="s">
        <v>392</v>
      </c>
      <c r="O4063" s="74" t="s">
        <v>393</v>
      </c>
      <c r="P4063" s="74"/>
      <c r="Q4063" s="74" t="s">
        <v>19471</v>
      </c>
    </row>
    <row r="4064" spans="3:17" x14ac:dyDescent="0.25">
      <c r="C4064" s="74" t="s">
        <v>19478</v>
      </c>
      <c r="D4064" s="74" t="s">
        <v>19479</v>
      </c>
      <c r="E4064" s="74" t="s">
        <v>391</v>
      </c>
      <c r="F4064" s="74">
        <v>0.1</v>
      </c>
      <c r="G4064" s="74"/>
      <c r="H4064" s="74"/>
      <c r="I4064" s="74" t="s">
        <v>391</v>
      </c>
      <c r="J4064" s="74"/>
      <c r="K4064" s="74">
        <v>102.4</v>
      </c>
      <c r="L4064" s="74">
        <v>92.16</v>
      </c>
      <c r="M4064" s="74"/>
      <c r="N4064" s="74" t="s">
        <v>392</v>
      </c>
      <c r="O4064" s="74" t="s">
        <v>393</v>
      </c>
      <c r="P4064" s="74"/>
      <c r="Q4064" s="74" t="s">
        <v>19479</v>
      </c>
    </row>
    <row r="4065" spans="3:17" x14ac:dyDescent="0.25">
      <c r="C4065" s="74" t="s">
        <v>19480</v>
      </c>
      <c r="D4065" s="74" t="s">
        <v>19481</v>
      </c>
      <c r="E4065" s="74" t="s">
        <v>391</v>
      </c>
      <c r="F4065" s="74">
        <v>0.1</v>
      </c>
      <c r="G4065" s="74"/>
      <c r="H4065" s="74"/>
      <c r="I4065" s="74" t="s">
        <v>391</v>
      </c>
      <c r="J4065" s="74"/>
      <c r="K4065" s="74">
        <v>102.4</v>
      </c>
      <c r="L4065" s="74">
        <v>92.16</v>
      </c>
      <c r="M4065" s="74"/>
      <c r="N4065" s="74" t="s">
        <v>392</v>
      </c>
      <c r="O4065" s="74" t="s">
        <v>393</v>
      </c>
      <c r="P4065" s="74"/>
      <c r="Q4065" s="74" t="s">
        <v>19482</v>
      </c>
    </row>
    <row r="4066" spans="3:17" x14ac:dyDescent="0.25">
      <c r="C4066" s="74" t="s">
        <v>19503</v>
      </c>
      <c r="D4066" s="74" t="s">
        <v>19504</v>
      </c>
      <c r="E4066" s="74" t="s">
        <v>391</v>
      </c>
      <c r="F4066" s="74">
        <v>0.1</v>
      </c>
      <c r="G4066" s="74"/>
      <c r="H4066" s="74"/>
      <c r="I4066" s="74" t="s">
        <v>391</v>
      </c>
      <c r="J4066" s="74"/>
      <c r="K4066" s="74">
        <v>102.4</v>
      </c>
      <c r="L4066" s="74">
        <v>92.16</v>
      </c>
      <c r="M4066" s="74"/>
      <c r="N4066" s="74" t="s">
        <v>392</v>
      </c>
      <c r="O4066" s="74" t="s">
        <v>393</v>
      </c>
      <c r="P4066" s="74"/>
      <c r="Q4066" s="74" t="s">
        <v>19505</v>
      </c>
    </row>
    <row r="4067" spans="3:17" x14ac:dyDescent="0.25">
      <c r="C4067" s="74" t="s">
        <v>19506</v>
      </c>
      <c r="D4067" s="74" t="s">
        <v>19507</v>
      </c>
      <c r="E4067" s="74" t="s">
        <v>391</v>
      </c>
      <c r="F4067" s="74">
        <v>0.1</v>
      </c>
      <c r="G4067" s="74"/>
      <c r="H4067" s="74"/>
      <c r="I4067" s="74" t="s">
        <v>391</v>
      </c>
      <c r="J4067" s="74"/>
      <c r="K4067" s="74">
        <v>102.4</v>
      </c>
      <c r="L4067" s="74">
        <v>92.16</v>
      </c>
      <c r="M4067" s="74"/>
      <c r="N4067" s="74" t="s">
        <v>392</v>
      </c>
      <c r="O4067" s="74" t="s">
        <v>393</v>
      </c>
      <c r="P4067" s="74"/>
      <c r="Q4067" s="74" t="s">
        <v>19508</v>
      </c>
    </row>
    <row r="4068" spans="3:17" x14ac:dyDescent="0.25">
      <c r="C4068" s="74" t="s">
        <v>19509</v>
      </c>
      <c r="D4068" s="74" t="s">
        <v>19510</v>
      </c>
      <c r="E4068" s="74" t="s">
        <v>391</v>
      </c>
      <c r="F4068" s="74">
        <v>0.1</v>
      </c>
      <c r="G4068" s="74"/>
      <c r="H4068" s="74"/>
      <c r="I4068" s="74" t="s">
        <v>391</v>
      </c>
      <c r="J4068" s="74"/>
      <c r="K4068" s="74">
        <v>102.4</v>
      </c>
      <c r="L4068" s="74">
        <v>92.16</v>
      </c>
      <c r="M4068" s="74"/>
      <c r="N4068" s="74" t="s">
        <v>392</v>
      </c>
      <c r="O4068" s="74" t="s">
        <v>393</v>
      </c>
      <c r="P4068" s="74"/>
      <c r="Q4068" s="74" t="s">
        <v>19511</v>
      </c>
    </row>
    <row r="4069" spans="3:17" x14ac:dyDescent="0.25">
      <c r="C4069" s="74" t="s">
        <v>19527</v>
      </c>
      <c r="D4069" s="74" t="s">
        <v>19528</v>
      </c>
      <c r="E4069" s="74" t="s">
        <v>391</v>
      </c>
      <c r="F4069" s="74">
        <v>0.1</v>
      </c>
      <c r="G4069" s="74"/>
      <c r="H4069" s="74"/>
      <c r="I4069" s="74" t="s">
        <v>391</v>
      </c>
      <c r="J4069" s="74"/>
      <c r="K4069" s="74">
        <v>102.4</v>
      </c>
      <c r="L4069" s="74">
        <v>92.16</v>
      </c>
      <c r="M4069" s="74"/>
      <c r="N4069" s="74" t="s">
        <v>392</v>
      </c>
      <c r="O4069" s="74" t="s">
        <v>393</v>
      </c>
      <c r="P4069" s="74"/>
      <c r="Q4069" s="74" t="s">
        <v>19529</v>
      </c>
    </row>
    <row r="4070" spans="3:17" x14ac:dyDescent="0.25">
      <c r="C4070" s="74" t="s">
        <v>19538</v>
      </c>
      <c r="D4070" s="74" t="s">
        <v>19539</v>
      </c>
      <c r="E4070" s="74" t="s">
        <v>391</v>
      </c>
      <c r="F4070" s="74">
        <v>0.1</v>
      </c>
      <c r="G4070" s="74"/>
      <c r="H4070" s="74"/>
      <c r="I4070" s="74" t="s">
        <v>391</v>
      </c>
      <c r="J4070" s="74"/>
      <c r="K4070" s="74">
        <v>102.4</v>
      </c>
      <c r="L4070" s="74">
        <v>92.16</v>
      </c>
      <c r="M4070" s="74"/>
      <c r="N4070" s="74" t="s">
        <v>392</v>
      </c>
      <c r="O4070" s="74" t="s">
        <v>393</v>
      </c>
      <c r="P4070" s="74"/>
      <c r="Q4070" s="74" t="s">
        <v>19540</v>
      </c>
    </row>
    <row r="4071" spans="3:17" x14ac:dyDescent="0.25">
      <c r="C4071" s="74" t="s">
        <v>19541</v>
      </c>
      <c r="D4071" s="74" t="s">
        <v>19542</v>
      </c>
      <c r="E4071" s="74" t="s">
        <v>391</v>
      </c>
      <c r="F4071" s="74">
        <v>0.1</v>
      </c>
      <c r="G4071" s="74"/>
      <c r="H4071" s="74"/>
      <c r="I4071" s="74" t="s">
        <v>391</v>
      </c>
      <c r="J4071" s="74"/>
      <c r="K4071" s="74">
        <v>102.4</v>
      </c>
      <c r="L4071" s="74">
        <v>92.16</v>
      </c>
      <c r="M4071" s="74"/>
      <c r="N4071" s="74" t="s">
        <v>392</v>
      </c>
      <c r="O4071" s="74" t="s">
        <v>393</v>
      </c>
      <c r="P4071" s="74"/>
      <c r="Q4071" s="74" t="s">
        <v>19543</v>
      </c>
    </row>
    <row r="4072" spans="3:17" x14ac:dyDescent="0.25">
      <c r="C4072" s="74" t="s">
        <v>19552</v>
      </c>
      <c r="D4072" s="74" t="s">
        <v>19553</v>
      </c>
      <c r="E4072" s="74" t="s">
        <v>391</v>
      </c>
      <c r="F4072" s="74">
        <v>0.1</v>
      </c>
      <c r="G4072" s="74"/>
      <c r="H4072" s="74"/>
      <c r="I4072" s="74" t="s">
        <v>391</v>
      </c>
      <c r="J4072" s="74"/>
      <c r="K4072" s="74">
        <v>102.4</v>
      </c>
      <c r="L4072" s="74">
        <v>92.16</v>
      </c>
      <c r="M4072" s="74"/>
      <c r="N4072" s="74" t="s">
        <v>392</v>
      </c>
      <c r="O4072" s="74" t="s">
        <v>393</v>
      </c>
      <c r="P4072" s="74"/>
      <c r="Q4072" s="74" t="s">
        <v>19554</v>
      </c>
    </row>
    <row r="4073" spans="3:17" x14ac:dyDescent="0.25">
      <c r="C4073" s="74" t="s">
        <v>19555</v>
      </c>
      <c r="D4073" s="74" t="s">
        <v>19556</v>
      </c>
      <c r="E4073" s="74" t="s">
        <v>391</v>
      </c>
      <c r="F4073" s="74">
        <v>0.1</v>
      </c>
      <c r="G4073" s="74"/>
      <c r="H4073" s="74"/>
      <c r="I4073" s="74" t="s">
        <v>391</v>
      </c>
      <c r="J4073" s="74"/>
      <c r="K4073" s="74">
        <v>102.4</v>
      </c>
      <c r="L4073" s="74">
        <v>92.16</v>
      </c>
      <c r="M4073" s="74"/>
      <c r="N4073" s="74" t="s">
        <v>392</v>
      </c>
      <c r="O4073" s="74" t="s">
        <v>393</v>
      </c>
      <c r="P4073" s="74"/>
      <c r="Q4073" s="74" t="s">
        <v>19557</v>
      </c>
    </row>
    <row r="4074" spans="3:17" x14ac:dyDescent="0.25">
      <c r="C4074" s="74" t="s">
        <v>19566</v>
      </c>
      <c r="D4074" s="74" t="s">
        <v>19567</v>
      </c>
      <c r="E4074" s="74" t="s">
        <v>391</v>
      </c>
      <c r="F4074" s="74">
        <v>0.1</v>
      </c>
      <c r="G4074" s="74"/>
      <c r="H4074" s="74"/>
      <c r="I4074" s="74" t="s">
        <v>391</v>
      </c>
      <c r="J4074" s="74"/>
      <c r="K4074" s="74">
        <v>102.4</v>
      </c>
      <c r="L4074" s="74">
        <v>92.16</v>
      </c>
      <c r="M4074" s="74"/>
      <c r="N4074" s="74" t="s">
        <v>392</v>
      </c>
      <c r="O4074" s="74" t="s">
        <v>393</v>
      </c>
      <c r="P4074" s="74"/>
      <c r="Q4074" s="74" t="s">
        <v>19568</v>
      </c>
    </row>
    <row r="4075" spans="3:17" x14ac:dyDescent="0.25">
      <c r="C4075" s="74" t="s">
        <v>19569</v>
      </c>
      <c r="D4075" s="74" t="s">
        <v>19570</v>
      </c>
      <c r="E4075" s="74" t="s">
        <v>391</v>
      </c>
      <c r="F4075" s="74">
        <v>0.1</v>
      </c>
      <c r="G4075" s="74"/>
      <c r="H4075" s="74"/>
      <c r="I4075" s="74" t="s">
        <v>391</v>
      </c>
      <c r="J4075" s="74"/>
      <c r="K4075" s="74">
        <v>102.4</v>
      </c>
      <c r="L4075" s="74">
        <v>92.16</v>
      </c>
      <c r="M4075" s="74"/>
      <c r="N4075" s="74" t="s">
        <v>392</v>
      </c>
      <c r="O4075" s="74" t="s">
        <v>393</v>
      </c>
      <c r="P4075" s="74"/>
      <c r="Q4075" s="74" t="s">
        <v>19571</v>
      </c>
    </row>
    <row r="4076" spans="3:17" x14ac:dyDescent="0.25">
      <c r="C4076" s="74" t="s">
        <v>19572</v>
      </c>
      <c r="D4076" s="74" t="s">
        <v>19573</v>
      </c>
      <c r="E4076" s="74" t="s">
        <v>391</v>
      </c>
      <c r="F4076" s="74">
        <v>0.1</v>
      </c>
      <c r="G4076" s="74"/>
      <c r="H4076" s="74"/>
      <c r="I4076" s="74" t="s">
        <v>391</v>
      </c>
      <c r="J4076" s="74"/>
      <c r="K4076" s="74">
        <v>102.4</v>
      </c>
      <c r="L4076" s="74">
        <v>92.16</v>
      </c>
      <c r="M4076" s="74"/>
      <c r="N4076" s="74" t="s">
        <v>392</v>
      </c>
      <c r="O4076" s="74" t="s">
        <v>393</v>
      </c>
      <c r="P4076" s="74"/>
      <c r="Q4076" s="74" t="s">
        <v>19574</v>
      </c>
    </row>
    <row r="4077" spans="3:17" x14ac:dyDescent="0.25">
      <c r="C4077" s="74" t="s">
        <v>19606</v>
      </c>
      <c r="D4077" s="74" t="s">
        <v>19607</v>
      </c>
      <c r="E4077" s="74" t="s">
        <v>391</v>
      </c>
      <c r="F4077" s="74">
        <v>0.1</v>
      </c>
      <c r="G4077" s="74"/>
      <c r="H4077" s="74"/>
      <c r="I4077" s="74" t="s">
        <v>391</v>
      </c>
      <c r="J4077" s="74"/>
      <c r="K4077" s="74">
        <v>102.4</v>
      </c>
      <c r="L4077" s="74">
        <v>92.16</v>
      </c>
      <c r="M4077" s="74"/>
      <c r="N4077" s="74" t="s">
        <v>392</v>
      </c>
      <c r="O4077" s="74" t="s">
        <v>393</v>
      </c>
      <c r="P4077" s="74"/>
      <c r="Q4077" s="74" t="s">
        <v>19608</v>
      </c>
    </row>
    <row r="4078" spans="3:17" x14ac:dyDescent="0.25">
      <c r="C4078" s="74" t="s">
        <v>19628</v>
      </c>
      <c r="D4078" s="74" t="s">
        <v>19629</v>
      </c>
      <c r="E4078" s="74" t="s">
        <v>391</v>
      </c>
      <c r="F4078" s="74">
        <v>0.1</v>
      </c>
      <c r="G4078" s="74"/>
      <c r="H4078" s="74"/>
      <c r="I4078" s="74" t="s">
        <v>391</v>
      </c>
      <c r="J4078" s="74"/>
      <c r="K4078" s="74">
        <v>102.4</v>
      </c>
      <c r="L4078" s="74">
        <v>92.16</v>
      </c>
      <c r="M4078" s="74"/>
      <c r="N4078" s="74" t="s">
        <v>392</v>
      </c>
      <c r="O4078" s="74" t="s">
        <v>393</v>
      </c>
      <c r="P4078" s="74"/>
      <c r="Q4078" s="74" t="s">
        <v>19630</v>
      </c>
    </row>
    <row r="4079" spans="3:17" x14ac:dyDescent="0.25">
      <c r="C4079" s="74" t="s">
        <v>19638</v>
      </c>
      <c r="D4079" s="74" t="s">
        <v>19639</v>
      </c>
      <c r="E4079" s="74" t="s">
        <v>391</v>
      </c>
      <c r="F4079" s="74">
        <v>0.1</v>
      </c>
      <c r="G4079" s="74"/>
      <c r="H4079" s="74"/>
      <c r="I4079" s="74" t="s">
        <v>391</v>
      </c>
      <c r="J4079" s="74"/>
      <c r="K4079" s="74">
        <v>102.4</v>
      </c>
      <c r="L4079" s="74">
        <v>92.16</v>
      </c>
      <c r="M4079" s="74"/>
      <c r="N4079" s="74" t="s">
        <v>392</v>
      </c>
      <c r="O4079" s="74" t="s">
        <v>393</v>
      </c>
      <c r="P4079" s="74"/>
      <c r="Q4079" s="74" t="s">
        <v>19640</v>
      </c>
    </row>
    <row r="4080" spans="3:17" x14ac:dyDescent="0.25">
      <c r="C4080" s="74" t="s">
        <v>19647</v>
      </c>
      <c r="D4080" s="74" t="s">
        <v>19648</v>
      </c>
      <c r="E4080" s="74" t="s">
        <v>391</v>
      </c>
      <c r="F4080" s="74">
        <v>0.1</v>
      </c>
      <c r="G4080" s="74"/>
      <c r="H4080" s="74"/>
      <c r="I4080" s="74" t="s">
        <v>391</v>
      </c>
      <c r="J4080" s="74"/>
      <c r="K4080" s="74">
        <v>102.4</v>
      </c>
      <c r="L4080" s="74">
        <v>92.16</v>
      </c>
      <c r="M4080" s="74"/>
      <c r="N4080" s="74" t="s">
        <v>392</v>
      </c>
      <c r="O4080" s="74" t="s">
        <v>393</v>
      </c>
      <c r="P4080" s="74"/>
      <c r="Q4080" s="74" t="s">
        <v>19649</v>
      </c>
    </row>
    <row r="4081" spans="3:17" x14ac:dyDescent="0.25">
      <c r="C4081" s="74" t="s">
        <v>19650</v>
      </c>
      <c r="D4081" s="74" t="s">
        <v>19651</v>
      </c>
      <c r="E4081" s="74" t="s">
        <v>391</v>
      </c>
      <c r="F4081" s="74">
        <v>0.1</v>
      </c>
      <c r="G4081" s="74"/>
      <c r="H4081" s="74"/>
      <c r="I4081" s="74" t="s">
        <v>391</v>
      </c>
      <c r="J4081" s="74"/>
      <c r="K4081" s="74">
        <v>102.4</v>
      </c>
      <c r="L4081" s="74">
        <v>92.16</v>
      </c>
      <c r="M4081" s="74"/>
      <c r="N4081" s="74" t="s">
        <v>392</v>
      </c>
      <c r="O4081" s="74" t="s">
        <v>393</v>
      </c>
      <c r="P4081" s="74"/>
      <c r="Q4081" s="74" t="s">
        <v>19652</v>
      </c>
    </row>
    <row r="4082" spans="3:17" x14ac:dyDescent="0.25">
      <c r="C4082" s="74" t="s">
        <v>19653</v>
      </c>
      <c r="D4082" s="74" t="s">
        <v>19654</v>
      </c>
      <c r="E4082" s="74" t="s">
        <v>391</v>
      </c>
      <c r="F4082" s="74">
        <v>0.1</v>
      </c>
      <c r="G4082" s="74"/>
      <c r="H4082" s="74"/>
      <c r="I4082" s="74" t="s">
        <v>391</v>
      </c>
      <c r="J4082" s="74"/>
      <c r="K4082" s="74">
        <v>102.4</v>
      </c>
      <c r="L4082" s="74">
        <v>92.16</v>
      </c>
      <c r="M4082" s="74"/>
      <c r="N4082" s="74" t="s">
        <v>392</v>
      </c>
      <c r="O4082" s="74" t="s">
        <v>393</v>
      </c>
      <c r="P4082" s="74"/>
      <c r="Q4082" s="74" t="s">
        <v>19654</v>
      </c>
    </row>
    <row r="4083" spans="3:17" x14ac:dyDescent="0.25">
      <c r="C4083" s="74" t="s">
        <v>19659</v>
      </c>
      <c r="D4083" s="74" t="s">
        <v>19660</v>
      </c>
      <c r="E4083" s="74" t="s">
        <v>391</v>
      </c>
      <c r="F4083" s="74">
        <v>0.1</v>
      </c>
      <c r="G4083" s="74"/>
      <c r="H4083" s="74"/>
      <c r="I4083" s="74" t="s">
        <v>391</v>
      </c>
      <c r="J4083" s="74"/>
      <c r="K4083" s="74">
        <v>102.4</v>
      </c>
      <c r="L4083" s="74">
        <v>92.16</v>
      </c>
      <c r="M4083" s="74"/>
      <c r="N4083" s="74" t="s">
        <v>392</v>
      </c>
      <c r="O4083" s="74" t="s">
        <v>393</v>
      </c>
      <c r="P4083" s="74"/>
      <c r="Q4083" s="74" t="s">
        <v>19661</v>
      </c>
    </row>
    <row r="4084" spans="3:17" x14ac:dyDescent="0.25">
      <c r="C4084" s="74" t="s">
        <v>19673</v>
      </c>
      <c r="D4084" s="74" t="s">
        <v>19674</v>
      </c>
      <c r="E4084" s="74" t="s">
        <v>391</v>
      </c>
      <c r="F4084" s="74">
        <v>0.1</v>
      </c>
      <c r="G4084" s="74"/>
      <c r="H4084" s="74"/>
      <c r="I4084" s="74" t="s">
        <v>391</v>
      </c>
      <c r="J4084" s="74"/>
      <c r="K4084" s="74">
        <v>102.4</v>
      </c>
      <c r="L4084" s="74">
        <v>92.16</v>
      </c>
      <c r="M4084" s="74"/>
      <c r="N4084" s="74" t="s">
        <v>392</v>
      </c>
      <c r="O4084" s="74" t="s">
        <v>393</v>
      </c>
      <c r="P4084" s="74"/>
      <c r="Q4084" s="74" t="s">
        <v>19675</v>
      </c>
    </row>
    <row r="4085" spans="3:17" x14ac:dyDescent="0.25">
      <c r="C4085" s="74" t="s">
        <v>19676</v>
      </c>
      <c r="D4085" s="74" t="s">
        <v>19677</v>
      </c>
      <c r="E4085" s="74" t="s">
        <v>391</v>
      </c>
      <c r="F4085" s="74">
        <v>0.1</v>
      </c>
      <c r="G4085" s="74"/>
      <c r="H4085" s="74"/>
      <c r="I4085" s="74" t="s">
        <v>391</v>
      </c>
      <c r="J4085" s="74"/>
      <c r="K4085" s="74">
        <v>102.4</v>
      </c>
      <c r="L4085" s="74">
        <v>92.16</v>
      </c>
      <c r="M4085" s="74"/>
      <c r="N4085" s="74" t="s">
        <v>392</v>
      </c>
      <c r="O4085" s="74" t="s">
        <v>393</v>
      </c>
      <c r="P4085" s="74"/>
      <c r="Q4085" s="74" t="s">
        <v>19678</v>
      </c>
    </row>
    <row r="4086" spans="3:17" x14ac:dyDescent="0.25">
      <c r="C4086" s="74" t="s">
        <v>19679</v>
      </c>
      <c r="D4086" s="74" t="s">
        <v>19680</v>
      </c>
      <c r="E4086" s="74" t="s">
        <v>391</v>
      </c>
      <c r="F4086" s="74">
        <v>0.1</v>
      </c>
      <c r="G4086" s="74"/>
      <c r="H4086" s="74"/>
      <c r="I4086" s="74" t="s">
        <v>391</v>
      </c>
      <c r="J4086" s="74"/>
      <c r="K4086" s="74">
        <v>102.4</v>
      </c>
      <c r="L4086" s="74">
        <v>92.16</v>
      </c>
      <c r="M4086" s="74"/>
      <c r="N4086" s="74" t="s">
        <v>392</v>
      </c>
      <c r="O4086" s="74" t="s">
        <v>393</v>
      </c>
      <c r="P4086" s="74"/>
      <c r="Q4086" s="74" t="s">
        <v>19681</v>
      </c>
    </row>
    <row r="4087" spans="3:17" x14ac:dyDescent="0.25">
      <c r="C4087" s="74" t="s">
        <v>19694</v>
      </c>
      <c r="D4087" s="74" t="s">
        <v>19695</v>
      </c>
      <c r="E4087" s="74" t="s">
        <v>391</v>
      </c>
      <c r="F4087" s="74">
        <v>0.1</v>
      </c>
      <c r="G4087" s="74"/>
      <c r="H4087" s="74"/>
      <c r="I4087" s="74" t="s">
        <v>391</v>
      </c>
      <c r="J4087" s="74"/>
      <c r="K4087" s="74">
        <v>102.4</v>
      </c>
      <c r="L4087" s="74">
        <v>92.16</v>
      </c>
      <c r="M4087" s="74"/>
      <c r="N4087" s="74" t="s">
        <v>392</v>
      </c>
      <c r="O4087" s="74" t="s">
        <v>393</v>
      </c>
      <c r="P4087" s="74"/>
      <c r="Q4087" s="74" t="s">
        <v>19695</v>
      </c>
    </row>
    <row r="4088" spans="3:17" x14ac:dyDescent="0.25">
      <c r="C4088" s="74" t="s">
        <v>19703</v>
      </c>
      <c r="D4088" s="74" t="s">
        <v>19704</v>
      </c>
      <c r="E4088" s="74" t="s">
        <v>391</v>
      </c>
      <c r="F4088" s="74">
        <v>0.1</v>
      </c>
      <c r="G4088" s="74"/>
      <c r="H4088" s="74"/>
      <c r="I4088" s="74" t="s">
        <v>391</v>
      </c>
      <c r="J4088" s="74"/>
      <c r="K4088" s="74">
        <v>102.4</v>
      </c>
      <c r="L4088" s="74">
        <v>92.16</v>
      </c>
      <c r="M4088" s="74"/>
      <c r="N4088" s="74" t="s">
        <v>392</v>
      </c>
      <c r="O4088" s="74" t="s">
        <v>393</v>
      </c>
      <c r="P4088" s="74"/>
      <c r="Q4088" s="74" t="s">
        <v>19705</v>
      </c>
    </row>
    <row r="4089" spans="3:17" x14ac:dyDescent="0.25">
      <c r="C4089" s="74" t="s">
        <v>19723</v>
      </c>
      <c r="D4089" s="74" t="s">
        <v>19724</v>
      </c>
      <c r="E4089" s="74" t="s">
        <v>391</v>
      </c>
      <c r="F4089" s="74">
        <v>0.1</v>
      </c>
      <c r="G4089" s="74"/>
      <c r="H4089" s="74"/>
      <c r="I4089" s="74" t="s">
        <v>391</v>
      </c>
      <c r="J4089" s="74"/>
      <c r="K4089" s="74">
        <v>102.4</v>
      </c>
      <c r="L4089" s="74">
        <v>92.16</v>
      </c>
      <c r="M4089" s="74"/>
      <c r="N4089" s="74" t="s">
        <v>392</v>
      </c>
      <c r="O4089" s="74" t="s">
        <v>393</v>
      </c>
      <c r="P4089" s="74"/>
      <c r="Q4089" s="74" t="s">
        <v>19725</v>
      </c>
    </row>
    <row r="4090" spans="3:17" x14ac:dyDescent="0.25">
      <c r="C4090" s="74" t="s">
        <v>19738</v>
      </c>
      <c r="D4090" s="74" t="s">
        <v>19739</v>
      </c>
      <c r="E4090" s="74" t="s">
        <v>391</v>
      </c>
      <c r="F4090" s="74">
        <v>0.1</v>
      </c>
      <c r="G4090" s="74"/>
      <c r="H4090" s="74"/>
      <c r="I4090" s="74" t="s">
        <v>391</v>
      </c>
      <c r="J4090" s="74"/>
      <c r="K4090" s="74">
        <v>102.4</v>
      </c>
      <c r="L4090" s="74">
        <v>92.16</v>
      </c>
      <c r="M4090" s="74"/>
      <c r="N4090" s="74" t="s">
        <v>392</v>
      </c>
      <c r="O4090" s="74" t="s">
        <v>393</v>
      </c>
      <c r="P4090" s="74"/>
      <c r="Q4090" s="74" t="s">
        <v>19740</v>
      </c>
    </row>
    <row r="4091" spans="3:17" x14ac:dyDescent="0.25">
      <c r="C4091" s="74" t="s">
        <v>19745</v>
      </c>
      <c r="D4091" s="74" t="s">
        <v>19746</v>
      </c>
      <c r="E4091" s="74" t="s">
        <v>391</v>
      </c>
      <c r="F4091" s="74">
        <v>0.1</v>
      </c>
      <c r="G4091" s="74"/>
      <c r="H4091" s="74"/>
      <c r="I4091" s="74" t="s">
        <v>391</v>
      </c>
      <c r="J4091" s="74"/>
      <c r="K4091" s="74">
        <v>102.4</v>
      </c>
      <c r="L4091" s="74">
        <v>92.16</v>
      </c>
      <c r="M4091" s="74"/>
      <c r="N4091" s="74" t="s">
        <v>392</v>
      </c>
      <c r="O4091" s="74" t="s">
        <v>393</v>
      </c>
      <c r="P4091" s="74"/>
      <c r="Q4091" s="74" t="s">
        <v>19747</v>
      </c>
    </row>
    <row r="4092" spans="3:17" x14ac:dyDescent="0.25">
      <c r="C4092" s="74" t="s">
        <v>19748</v>
      </c>
      <c r="D4092" s="74" t="s">
        <v>19749</v>
      </c>
      <c r="E4092" s="74" t="s">
        <v>391</v>
      </c>
      <c r="F4092" s="74">
        <v>0.1</v>
      </c>
      <c r="G4092" s="74"/>
      <c r="H4092" s="74"/>
      <c r="I4092" s="74" t="s">
        <v>391</v>
      </c>
      <c r="J4092" s="74"/>
      <c r="K4092" s="74">
        <v>102.4</v>
      </c>
      <c r="L4092" s="74">
        <v>92.16</v>
      </c>
      <c r="M4092" s="74"/>
      <c r="N4092" s="74" t="s">
        <v>392</v>
      </c>
      <c r="O4092" s="74" t="s">
        <v>393</v>
      </c>
      <c r="P4092" s="74"/>
      <c r="Q4092" s="74" t="s">
        <v>19750</v>
      </c>
    </row>
    <row r="4093" spans="3:17" x14ac:dyDescent="0.25">
      <c r="C4093" s="74" t="s">
        <v>19755</v>
      </c>
      <c r="D4093" s="74" t="s">
        <v>19756</v>
      </c>
      <c r="E4093" s="74" t="s">
        <v>391</v>
      </c>
      <c r="F4093" s="74">
        <v>0.1</v>
      </c>
      <c r="G4093" s="74"/>
      <c r="H4093" s="74"/>
      <c r="I4093" s="74" t="s">
        <v>391</v>
      </c>
      <c r="J4093" s="74"/>
      <c r="K4093" s="74">
        <v>102.4</v>
      </c>
      <c r="L4093" s="74">
        <v>92.16</v>
      </c>
      <c r="M4093" s="74"/>
      <c r="N4093" s="74" t="s">
        <v>392</v>
      </c>
      <c r="O4093" s="74" t="s">
        <v>393</v>
      </c>
      <c r="P4093" s="74"/>
      <c r="Q4093" s="74" t="s">
        <v>19757</v>
      </c>
    </row>
    <row r="4094" spans="3:17" x14ac:dyDescent="0.25">
      <c r="C4094" s="74" t="s">
        <v>19758</v>
      </c>
      <c r="D4094" s="74" t="s">
        <v>19759</v>
      </c>
      <c r="E4094" s="74" t="s">
        <v>391</v>
      </c>
      <c r="F4094" s="74">
        <v>0.1</v>
      </c>
      <c r="G4094" s="74"/>
      <c r="H4094" s="74"/>
      <c r="I4094" s="74" t="s">
        <v>391</v>
      </c>
      <c r="J4094" s="74"/>
      <c r="K4094" s="74">
        <v>102.4</v>
      </c>
      <c r="L4094" s="74">
        <v>92.16</v>
      </c>
      <c r="M4094" s="74"/>
      <c r="N4094" s="74" t="s">
        <v>392</v>
      </c>
      <c r="O4094" s="74" t="s">
        <v>393</v>
      </c>
      <c r="P4094" s="74"/>
      <c r="Q4094" s="74" t="s">
        <v>19760</v>
      </c>
    </row>
    <row r="4095" spans="3:17" x14ac:dyDescent="0.25">
      <c r="C4095" s="74" t="s">
        <v>19765</v>
      </c>
      <c r="D4095" s="74" t="s">
        <v>19766</v>
      </c>
      <c r="E4095" s="74" t="s">
        <v>391</v>
      </c>
      <c r="F4095" s="74">
        <v>0.1</v>
      </c>
      <c r="G4095" s="74"/>
      <c r="H4095" s="74"/>
      <c r="I4095" s="74" t="s">
        <v>391</v>
      </c>
      <c r="J4095" s="74"/>
      <c r="K4095" s="74">
        <v>102.4</v>
      </c>
      <c r="L4095" s="74">
        <v>92.16</v>
      </c>
      <c r="M4095" s="74"/>
      <c r="N4095" s="74" t="s">
        <v>392</v>
      </c>
      <c r="O4095" s="74" t="s">
        <v>393</v>
      </c>
      <c r="P4095" s="74"/>
      <c r="Q4095" s="74" t="s">
        <v>19767</v>
      </c>
    </row>
    <row r="4096" spans="3:17" x14ac:dyDescent="0.25">
      <c r="C4096" s="74" t="s">
        <v>19768</v>
      </c>
      <c r="D4096" s="74" t="s">
        <v>19769</v>
      </c>
      <c r="E4096" s="74" t="s">
        <v>391</v>
      </c>
      <c r="F4096" s="74">
        <v>0.1</v>
      </c>
      <c r="G4096" s="74"/>
      <c r="H4096" s="74"/>
      <c r="I4096" s="74" t="s">
        <v>391</v>
      </c>
      <c r="J4096" s="74"/>
      <c r="K4096" s="74">
        <v>102.4</v>
      </c>
      <c r="L4096" s="74">
        <v>92.16</v>
      </c>
      <c r="M4096" s="74"/>
      <c r="N4096" s="74" t="s">
        <v>392</v>
      </c>
      <c r="O4096" s="74" t="s">
        <v>393</v>
      </c>
      <c r="P4096" s="74"/>
      <c r="Q4096" s="74" t="s">
        <v>19770</v>
      </c>
    </row>
    <row r="4097" spans="3:17" x14ac:dyDescent="0.25">
      <c r="C4097" s="74" t="s">
        <v>19771</v>
      </c>
      <c r="D4097" s="74" t="s">
        <v>19772</v>
      </c>
      <c r="E4097" s="74" t="s">
        <v>391</v>
      </c>
      <c r="F4097" s="74">
        <v>0.1</v>
      </c>
      <c r="G4097" s="74"/>
      <c r="H4097" s="74"/>
      <c r="I4097" s="74" t="s">
        <v>391</v>
      </c>
      <c r="J4097" s="74"/>
      <c r="K4097" s="74">
        <v>102.4</v>
      </c>
      <c r="L4097" s="74">
        <v>92.16</v>
      </c>
      <c r="M4097" s="74"/>
      <c r="N4097" s="74" t="s">
        <v>392</v>
      </c>
      <c r="O4097" s="74" t="s">
        <v>393</v>
      </c>
      <c r="P4097" s="74"/>
      <c r="Q4097" s="74" t="s">
        <v>19773</v>
      </c>
    </row>
    <row r="4098" spans="3:17" x14ac:dyDescent="0.25">
      <c r="C4098" s="74" t="s">
        <v>19782</v>
      </c>
      <c r="D4098" s="74" t="s">
        <v>19783</v>
      </c>
      <c r="E4098" s="74" t="s">
        <v>391</v>
      </c>
      <c r="F4098" s="74">
        <v>0.1</v>
      </c>
      <c r="G4098" s="74"/>
      <c r="H4098" s="74"/>
      <c r="I4098" s="74" t="s">
        <v>391</v>
      </c>
      <c r="J4098" s="74"/>
      <c r="K4098" s="74">
        <v>102.4</v>
      </c>
      <c r="L4098" s="74">
        <v>92.16</v>
      </c>
      <c r="M4098" s="74"/>
      <c r="N4098" s="74" t="s">
        <v>392</v>
      </c>
      <c r="O4098" s="74" t="s">
        <v>393</v>
      </c>
      <c r="P4098" s="74"/>
      <c r="Q4098" s="74" t="s">
        <v>19784</v>
      </c>
    </row>
    <row r="4099" spans="3:17" x14ac:dyDescent="0.25">
      <c r="C4099" s="74" t="s">
        <v>19789</v>
      </c>
      <c r="D4099" s="74" t="s">
        <v>19790</v>
      </c>
      <c r="E4099" s="74" t="s">
        <v>391</v>
      </c>
      <c r="F4099" s="74">
        <v>0.1</v>
      </c>
      <c r="G4099" s="74"/>
      <c r="H4099" s="74"/>
      <c r="I4099" s="74" t="s">
        <v>391</v>
      </c>
      <c r="J4099" s="74"/>
      <c r="K4099" s="74">
        <v>102.4</v>
      </c>
      <c r="L4099" s="74">
        <v>92.16</v>
      </c>
      <c r="M4099" s="74"/>
      <c r="N4099" s="74" t="s">
        <v>392</v>
      </c>
      <c r="O4099" s="74" t="s">
        <v>393</v>
      </c>
      <c r="P4099" s="74"/>
      <c r="Q4099" s="74" t="s">
        <v>19791</v>
      </c>
    </row>
    <row r="4100" spans="3:17" x14ac:dyDescent="0.25">
      <c r="C4100" s="74" t="s">
        <v>19796</v>
      </c>
      <c r="D4100" s="74" t="s">
        <v>19797</v>
      </c>
      <c r="E4100" s="74" t="s">
        <v>391</v>
      </c>
      <c r="F4100" s="74">
        <v>0.1</v>
      </c>
      <c r="G4100" s="74"/>
      <c r="H4100" s="74"/>
      <c r="I4100" s="74" t="s">
        <v>391</v>
      </c>
      <c r="J4100" s="74"/>
      <c r="K4100" s="74">
        <v>102.4</v>
      </c>
      <c r="L4100" s="74">
        <v>92.16</v>
      </c>
      <c r="M4100" s="74"/>
      <c r="N4100" s="74" t="s">
        <v>392</v>
      </c>
      <c r="O4100" s="74" t="s">
        <v>393</v>
      </c>
      <c r="P4100" s="74"/>
      <c r="Q4100" s="74" t="s">
        <v>19798</v>
      </c>
    </row>
    <row r="4101" spans="3:17" x14ac:dyDescent="0.25">
      <c r="C4101" s="74" t="s">
        <v>19799</v>
      </c>
      <c r="D4101" s="74" t="s">
        <v>19800</v>
      </c>
      <c r="E4101" s="74" t="s">
        <v>391</v>
      </c>
      <c r="F4101" s="74">
        <v>0.1</v>
      </c>
      <c r="G4101" s="74"/>
      <c r="H4101" s="74"/>
      <c r="I4101" s="74" t="s">
        <v>391</v>
      </c>
      <c r="J4101" s="74"/>
      <c r="K4101" s="74">
        <v>102.4</v>
      </c>
      <c r="L4101" s="74">
        <v>92.16</v>
      </c>
      <c r="M4101" s="74"/>
      <c r="N4101" s="74" t="s">
        <v>392</v>
      </c>
      <c r="O4101" s="74" t="s">
        <v>393</v>
      </c>
      <c r="P4101" s="74"/>
      <c r="Q4101" s="74" t="s">
        <v>19801</v>
      </c>
    </row>
    <row r="4102" spans="3:17" x14ac:dyDescent="0.25">
      <c r="C4102" s="74" t="s">
        <v>19869</v>
      </c>
      <c r="D4102" s="74" t="s">
        <v>19870</v>
      </c>
      <c r="E4102" s="74" t="s">
        <v>391</v>
      </c>
      <c r="F4102" s="74">
        <v>0.1</v>
      </c>
      <c r="G4102" s="74"/>
      <c r="H4102" s="74"/>
      <c r="I4102" s="74" t="s">
        <v>391</v>
      </c>
      <c r="J4102" s="74"/>
      <c r="K4102" s="74">
        <v>102.4</v>
      </c>
      <c r="L4102" s="74">
        <v>92.16</v>
      </c>
      <c r="M4102" s="74"/>
      <c r="N4102" s="74" t="s">
        <v>392</v>
      </c>
      <c r="O4102" s="74" t="s">
        <v>393</v>
      </c>
      <c r="P4102" s="74"/>
      <c r="Q4102" s="74" t="s">
        <v>19871</v>
      </c>
    </row>
    <row r="4103" spans="3:17" x14ac:dyDescent="0.25">
      <c r="C4103" s="74" t="s">
        <v>19872</v>
      </c>
      <c r="D4103" s="74" t="s">
        <v>19873</v>
      </c>
      <c r="E4103" s="74" t="s">
        <v>391</v>
      </c>
      <c r="F4103" s="74">
        <v>0.1</v>
      </c>
      <c r="G4103" s="74"/>
      <c r="H4103" s="74"/>
      <c r="I4103" s="74" t="s">
        <v>391</v>
      </c>
      <c r="J4103" s="74"/>
      <c r="K4103" s="74">
        <v>102.4</v>
      </c>
      <c r="L4103" s="74">
        <v>92.16</v>
      </c>
      <c r="M4103" s="74"/>
      <c r="N4103" s="74" t="s">
        <v>392</v>
      </c>
      <c r="O4103" s="74" t="s">
        <v>393</v>
      </c>
      <c r="P4103" s="74"/>
      <c r="Q4103" s="74" t="s">
        <v>19874</v>
      </c>
    </row>
    <row r="4104" spans="3:17" x14ac:dyDescent="0.25">
      <c r="C4104" s="74" t="s">
        <v>19881</v>
      </c>
      <c r="D4104" s="74" t="s">
        <v>19882</v>
      </c>
      <c r="E4104" s="74" t="s">
        <v>391</v>
      </c>
      <c r="F4104" s="74">
        <v>0.1</v>
      </c>
      <c r="G4104" s="74"/>
      <c r="H4104" s="74"/>
      <c r="I4104" s="74" t="s">
        <v>391</v>
      </c>
      <c r="J4104" s="74"/>
      <c r="K4104" s="74">
        <v>102.4</v>
      </c>
      <c r="L4104" s="74">
        <v>92.16</v>
      </c>
      <c r="M4104" s="74"/>
      <c r="N4104" s="74" t="s">
        <v>392</v>
      </c>
      <c r="O4104" s="74" t="s">
        <v>393</v>
      </c>
      <c r="P4104" s="74"/>
      <c r="Q4104" s="74" t="s">
        <v>19883</v>
      </c>
    </row>
    <row r="4105" spans="3:17" x14ac:dyDescent="0.25">
      <c r="C4105" s="74" t="s">
        <v>19916</v>
      </c>
      <c r="D4105" s="74" t="s">
        <v>19917</v>
      </c>
      <c r="E4105" s="74"/>
      <c r="F4105" s="74">
        <v>0.1</v>
      </c>
      <c r="G4105" s="74"/>
      <c r="H4105" s="74"/>
      <c r="I4105" s="74" t="s">
        <v>391</v>
      </c>
      <c r="J4105" s="74"/>
      <c r="K4105" s="74">
        <v>102.4</v>
      </c>
      <c r="L4105" s="74">
        <v>92.16</v>
      </c>
      <c r="M4105" s="74"/>
      <c r="N4105" s="74" t="s">
        <v>392</v>
      </c>
      <c r="O4105" s="74" t="s">
        <v>5621</v>
      </c>
      <c r="P4105" s="74"/>
      <c r="Q4105" s="74" t="s">
        <v>19918</v>
      </c>
    </row>
    <row r="4106" spans="3:17" x14ac:dyDescent="0.25">
      <c r="C4106" s="74" t="s">
        <v>19948</v>
      </c>
      <c r="D4106" s="74" t="s">
        <v>19949</v>
      </c>
      <c r="E4106" s="74" t="s">
        <v>391</v>
      </c>
      <c r="F4106" s="74">
        <v>0.1</v>
      </c>
      <c r="G4106" s="74"/>
      <c r="H4106" s="74"/>
      <c r="I4106" s="74" t="s">
        <v>391</v>
      </c>
      <c r="J4106" s="74"/>
      <c r="K4106" s="74">
        <v>102.4</v>
      </c>
      <c r="L4106" s="74">
        <v>92.16</v>
      </c>
      <c r="M4106" s="74"/>
      <c r="N4106" s="74" t="s">
        <v>392</v>
      </c>
      <c r="O4106" s="74" t="s">
        <v>393</v>
      </c>
      <c r="P4106" s="74"/>
      <c r="Q4106" s="74" t="s">
        <v>19950</v>
      </c>
    </row>
    <row r="4107" spans="3:17" x14ac:dyDescent="0.25">
      <c r="C4107" s="74" t="s">
        <v>19951</v>
      </c>
      <c r="D4107" s="74" t="s">
        <v>19952</v>
      </c>
      <c r="E4107" s="74" t="s">
        <v>391</v>
      </c>
      <c r="F4107" s="74">
        <v>0.1</v>
      </c>
      <c r="G4107" s="74"/>
      <c r="H4107" s="74"/>
      <c r="I4107" s="74" t="s">
        <v>391</v>
      </c>
      <c r="J4107" s="74"/>
      <c r="K4107" s="74">
        <v>102.4</v>
      </c>
      <c r="L4107" s="74">
        <v>92.16</v>
      </c>
      <c r="M4107" s="74"/>
      <c r="N4107" s="74" t="s">
        <v>392</v>
      </c>
      <c r="O4107" s="74" t="s">
        <v>393</v>
      </c>
      <c r="P4107" s="74"/>
      <c r="Q4107" s="74" t="s">
        <v>19953</v>
      </c>
    </row>
    <row r="4108" spans="3:17" x14ac:dyDescent="0.25">
      <c r="C4108" s="74" t="s">
        <v>19954</v>
      </c>
      <c r="D4108" s="74" t="s">
        <v>19955</v>
      </c>
      <c r="E4108" s="74" t="s">
        <v>391</v>
      </c>
      <c r="F4108" s="74">
        <v>0.1</v>
      </c>
      <c r="G4108" s="74"/>
      <c r="H4108" s="74"/>
      <c r="I4108" s="74" t="s">
        <v>391</v>
      </c>
      <c r="J4108" s="74"/>
      <c r="K4108" s="74">
        <v>102.4</v>
      </c>
      <c r="L4108" s="74">
        <v>92.16</v>
      </c>
      <c r="M4108" s="74"/>
      <c r="N4108" s="74" t="s">
        <v>392</v>
      </c>
      <c r="O4108" s="74" t="s">
        <v>393</v>
      </c>
      <c r="P4108" s="74"/>
      <c r="Q4108" s="74" t="s">
        <v>19956</v>
      </c>
    </row>
    <row r="4109" spans="3:17" x14ac:dyDescent="0.25">
      <c r="C4109" s="74" t="s">
        <v>19960</v>
      </c>
      <c r="D4109" s="74" t="s">
        <v>19961</v>
      </c>
      <c r="E4109" s="74" t="s">
        <v>391</v>
      </c>
      <c r="F4109" s="74">
        <v>0.1</v>
      </c>
      <c r="G4109" s="74"/>
      <c r="H4109" s="74"/>
      <c r="I4109" s="74" t="s">
        <v>391</v>
      </c>
      <c r="J4109" s="74"/>
      <c r="K4109" s="74">
        <v>102.4</v>
      </c>
      <c r="L4109" s="74">
        <v>92.16</v>
      </c>
      <c r="M4109" s="74"/>
      <c r="N4109" s="74" t="s">
        <v>392</v>
      </c>
      <c r="O4109" s="74" t="s">
        <v>393</v>
      </c>
      <c r="P4109" s="74"/>
      <c r="Q4109" s="74" t="s">
        <v>19962</v>
      </c>
    </row>
    <row r="4110" spans="3:17" x14ac:dyDescent="0.25">
      <c r="C4110" s="74" t="s">
        <v>19982</v>
      </c>
      <c r="D4110" s="74" t="s">
        <v>19983</v>
      </c>
      <c r="E4110" s="74" t="s">
        <v>391</v>
      </c>
      <c r="F4110" s="74">
        <v>0.1</v>
      </c>
      <c r="G4110" s="74"/>
      <c r="H4110" s="74"/>
      <c r="I4110" s="74" t="s">
        <v>391</v>
      </c>
      <c r="J4110" s="74"/>
      <c r="K4110" s="74">
        <v>102.4</v>
      </c>
      <c r="L4110" s="74">
        <v>92.16</v>
      </c>
      <c r="M4110" s="74"/>
      <c r="N4110" s="74" t="s">
        <v>392</v>
      </c>
      <c r="O4110" s="74" t="s">
        <v>393</v>
      </c>
      <c r="P4110" s="74"/>
      <c r="Q4110" s="74" t="s">
        <v>19984</v>
      </c>
    </row>
    <row r="4111" spans="3:17" x14ac:dyDescent="0.25">
      <c r="C4111" s="74" t="s">
        <v>19985</v>
      </c>
      <c r="D4111" s="74" t="s">
        <v>19986</v>
      </c>
      <c r="E4111" s="74" t="s">
        <v>391</v>
      </c>
      <c r="F4111" s="74">
        <v>0.1</v>
      </c>
      <c r="G4111" s="74"/>
      <c r="H4111" s="74"/>
      <c r="I4111" s="74" t="s">
        <v>391</v>
      </c>
      <c r="J4111" s="74"/>
      <c r="K4111" s="74">
        <v>102.4</v>
      </c>
      <c r="L4111" s="74">
        <v>92.16</v>
      </c>
      <c r="M4111" s="74"/>
      <c r="N4111" s="74" t="s">
        <v>392</v>
      </c>
      <c r="O4111" s="74" t="s">
        <v>393</v>
      </c>
      <c r="P4111" s="74"/>
      <c r="Q4111" s="74" t="s">
        <v>19987</v>
      </c>
    </row>
    <row r="4112" spans="3:17" x14ac:dyDescent="0.25">
      <c r="C4112" s="74" t="s">
        <v>19992</v>
      </c>
      <c r="D4112" s="74" t="s">
        <v>19993</v>
      </c>
      <c r="E4112" s="74" t="s">
        <v>391</v>
      </c>
      <c r="F4112" s="74">
        <v>0.1</v>
      </c>
      <c r="G4112" s="74"/>
      <c r="H4112" s="74"/>
      <c r="I4112" s="74" t="s">
        <v>391</v>
      </c>
      <c r="J4112" s="74"/>
      <c r="K4112" s="74">
        <v>102.4</v>
      </c>
      <c r="L4112" s="74">
        <v>92.16</v>
      </c>
      <c r="M4112" s="74"/>
      <c r="N4112" s="74" t="s">
        <v>392</v>
      </c>
      <c r="O4112" s="74" t="s">
        <v>393</v>
      </c>
      <c r="P4112" s="74"/>
      <c r="Q4112" s="74" t="s">
        <v>19994</v>
      </c>
    </row>
    <row r="4113" spans="3:17" x14ac:dyDescent="0.25">
      <c r="C4113" s="158" t="s">
        <v>20007</v>
      </c>
      <c r="D4113" s="158" t="s">
        <v>20008</v>
      </c>
      <c r="E4113" s="158" t="s">
        <v>391</v>
      </c>
      <c r="F4113" s="158">
        <v>0.1</v>
      </c>
      <c r="I4113" s="158" t="s">
        <v>391</v>
      </c>
      <c r="K4113" s="158">
        <v>102.4</v>
      </c>
      <c r="L4113" s="158">
        <v>92.16</v>
      </c>
      <c r="N4113" s="158" t="s">
        <v>392</v>
      </c>
      <c r="O4113" s="158" t="s">
        <v>393</v>
      </c>
      <c r="Q4113" s="158" t="s">
        <v>20009</v>
      </c>
    </row>
    <row r="4114" spans="3:17" x14ac:dyDescent="0.25">
      <c r="C4114" s="158" t="s">
        <v>20010</v>
      </c>
      <c r="D4114" s="158" t="s">
        <v>20011</v>
      </c>
      <c r="E4114" s="158" t="s">
        <v>391</v>
      </c>
      <c r="F4114" s="158">
        <v>0.1</v>
      </c>
      <c r="I4114" s="158" t="s">
        <v>391</v>
      </c>
      <c r="K4114" s="158">
        <v>102.4</v>
      </c>
      <c r="L4114" s="158">
        <v>92.16</v>
      </c>
      <c r="N4114" s="158" t="s">
        <v>392</v>
      </c>
      <c r="O4114" s="158" t="s">
        <v>393</v>
      </c>
      <c r="Q4114" s="158" t="s">
        <v>20012</v>
      </c>
    </row>
    <row r="4115" spans="3:17" x14ac:dyDescent="0.25">
      <c r="C4115" s="74" t="s">
        <v>20054</v>
      </c>
      <c r="D4115" s="74" t="s">
        <v>20055</v>
      </c>
      <c r="E4115" s="74" t="s">
        <v>391</v>
      </c>
      <c r="F4115" s="74">
        <v>0.1</v>
      </c>
      <c r="G4115" s="74"/>
      <c r="H4115" s="74"/>
      <c r="I4115" s="74" t="s">
        <v>391</v>
      </c>
      <c r="J4115" s="74"/>
      <c r="K4115" s="74">
        <v>102.4</v>
      </c>
      <c r="L4115" s="74">
        <v>92.16</v>
      </c>
      <c r="M4115" s="74"/>
      <c r="N4115" s="74" t="s">
        <v>392</v>
      </c>
      <c r="O4115" s="74" t="s">
        <v>393</v>
      </c>
      <c r="P4115" s="74"/>
      <c r="Q4115" s="74" t="s">
        <v>20056</v>
      </c>
    </row>
    <row r="4116" spans="3:17" x14ac:dyDescent="0.25">
      <c r="C4116" s="74" t="s">
        <v>20061</v>
      </c>
      <c r="D4116" s="74" t="s">
        <v>20062</v>
      </c>
      <c r="E4116" s="74" t="s">
        <v>391</v>
      </c>
      <c r="F4116" s="74">
        <v>0.1</v>
      </c>
      <c r="G4116" s="74"/>
      <c r="H4116" s="74"/>
      <c r="I4116" s="74" t="s">
        <v>391</v>
      </c>
      <c r="J4116" s="74"/>
      <c r="K4116" s="74">
        <v>102.4</v>
      </c>
      <c r="L4116" s="74">
        <v>92.16</v>
      </c>
      <c r="M4116" s="74"/>
      <c r="N4116" s="74" t="s">
        <v>392</v>
      </c>
      <c r="O4116" s="74" t="s">
        <v>393</v>
      </c>
      <c r="P4116" s="74"/>
      <c r="Q4116" s="74" t="s">
        <v>20062</v>
      </c>
    </row>
    <row r="4117" spans="3:17" x14ac:dyDescent="0.25">
      <c r="C4117" s="74" t="s">
        <v>20079</v>
      </c>
      <c r="D4117" s="74" t="s">
        <v>20080</v>
      </c>
      <c r="E4117" s="74" t="s">
        <v>391</v>
      </c>
      <c r="F4117" s="74">
        <v>0.1</v>
      </c>
      <c r="G4117" s="74"/>
      <c r="H4117" s="74"/>
      <c r="I4117" s="74" t="s">
        <v>391</v>
      </c>
      <c r="J4117" s="74"/>
      <c r="K4117" s="74">
        <v>102.4</v>
      </c>
      <c r="L4117" s="74">
        <v>92.16</v>
      </c>
      <c r="M4117" s="74"/>
      <c r="N4117" s="74" t="s">
        <v>392</v>
      </c>
      <c r="O4117" s="74" t="s">
        <v>393</v>
      </c>
      <c r="P4117" s="74"/>
      <c r="Q4117" s="74" t="s">
        <v>20081</v>
      </c>
    </row>
    <row r="4118" spans="3:17" x14ac:dyDescent="0.25">
      <c r="C4118" s="74" t="s">
        <v>20086</v>
      </c>
      <c r="D4118" s="74" t="s">
        <v>20087</v>
      </c>
      <c r="E4118" s="74" t="s">
        <v>391</v>
      </c>
      <c r="F4118" s="74">
        <v>0.1</v>
      </c>
      <c r="G4118" s="74"/>
      <c r="H4118" s="74"/>
      <c r="I4118" s="74" t="s">
        <v>391</v>
      </c>
      <c r="J4118" s="74"/>
      <c r="K4118" s="74">
        <v>102.4</v>
      </c>
      <c r="L4118" s="74">
        <v>92.16</v>
      </c>
      <c r="M4118" s="74"/>
      <c r="N4118" s="74" t="s">
        <v>392</v>
      </c>
      <c r="O4118" s="74" t="s">
        <v>393</v>
      </c>
      <c r="P4118" s="74"/>
      <c r="Q4118" s="74" t="s">
        <v>20088</v>
      </c>
    </row>
    <row r="4119" spans="3:17" x14ac:dyDescent="0.25">
      <c r="C4119" s="74" t="s">
        <v>20089</v>
      </c>
      <c r="D4119" s="74" t="s">
        <v>20090</v>
      </c>
      <c r="E4119" s="74" t="s">
        <v>391</v>
      </c>
      <c r="F4119" s="74">
        <v>0.1</v>
      </c>
      <c r="G4119" s="74"/>
      <c r="H4119" s="74"/>
      <c r="I4119" s="74" t="s">
        <v>391</v>
      </c>
      <c r="J4119" s="74"/>
      <c r="K4119" s="74">
        <v>102.4</v>
      </c>
      <c r="L4119" s="74">
        <v>92.16</v>
      </c>
      <c r="M4119" s="74"/>
      <c r="N4119" s="74" t="s">
        <v>392</v>
      </c>
      <c r="O4119" s="74" t="s">
        <v>393</v>
      </c>
      <c r="P4119" s="74"/>
      <c r="Q4119" s="74" t="s">
        <v>20091</v>
      </c>
    </row>
    <row r="4120" spans="3:17" x14ac:dyDescent="0.25">
      <c r="C4120" s="74" t="s">
        <v>20092</v>
      </c>
      <c r="D4120" s="74" t="s">
        <v>20093</v>
      </c>
      <c r="E4120" s="74" t="s">
        <v>391</v>
      </c>
      <c r="F4120" s="74">
        <v>0.1</v>
      </c>
      <c r="G4120" s="74"/>
      <c r="H4120" s="74"/>
      <c r="I4120" s="74" t="s">
        <v>391</v>
      </c>
      <c r="J4120" s="74"/>
      <c r="K4120" s="74">
        <v>102.4</v>
      </c>
      <c r="L4120" s="74">
        <v>92.16</v>
      </c>
      <c r="M4120" s="74"/>
      <c r="N4120" s="74" t="s">
        <v>392</v>
      </c>
      <c r="O4120" s="74" t="s">
        <v>393</v>
      </c>
      <c r="P4120" s="74"/>
      <c r="Q4120" s="74" t="s">
        <v>20094</v>
      </c>
    </row>
    <row r="4121" spans="3:17" x14ac:dyDescent="0.25">
      <c r="C4121" s="74" t="s">
        <v>20102</v>
      </c>
      <c r="D4121" s="74" t="s">
        <v>20103</v>
      </c>
      <c r="E4121" s="74" t="s">
        <v>391</v>
      </c>
      <c r="F4121" s="74">
        <v>0.1</v>
      </c>
      <c r="G4121" s="74"/>
      <c r="H4121" s="74"/>
      <c r="I4121" s="74" t="s">
        <v>391</v>
      </c>
      <c r="J4121" s="74"/>
      <c r="K4121" s="74">
        <v>102.4</v>
      </c>
      <c r="L4121" s="74">
        <v>92.16</v>
      </c>
      <c r="M4121" s="74"/>
      <c r="N4121" s="74" t="s">
        <v>392</v>
      </c>
      <c r="O4121" s="74" t="s">
        <v>393</v>
      </c>
      <c r="P4121" s="74"/>
      <c r="Q4121" s="74" t="s">
        <v>20104</v>
      </c>
    </row>
    <row r="4122" spans="3:17" x14ac:dyDescent="0.25">
      <c r="C4122" s="74" t="s">
        <v>20118</v>
      </c>
      <c r="D4122" s="74" t="s">
        <v>20119</v>
      </c>
      <c r="E4122" s="74" t="s">
        <v>391</v>
      </c>
      <c r="F4122" s="74">
        <v>0.1</v>
      </c>
      <c r="G4122" s="74"/>
      <c r="H4122" s="74"/>
      <c r="I4122" s="74" t="s">
        <v>391</v>
      </c>
      <c r="J4122" s="74"/>
      <c r="K4122" s="74">
        <v>102.4</v>
      </c>
      <c r="L4122" s="74">
        <v>92.16</v>
      </c>
      <c r="M4122" s="74"/>
      <c r="N4122" s="74" t="s">
        <v>392</v>
      </c>
      <c r="O4122" s="74" t="s">
        <v>393</v>
      </c>
      <c r="P4122" s="74"/>
      <c r="Q4122" s="74" t="s">
        <v>20120</v>
      </c>
    </row>
    <row r="4123" spans="3:17" x14ac:dyDescent="0.25">
      <c r="C4123" s="74" t="s">
        <v>20130</v>
      </c>
      <c r="D4123" s="74" t="s">
        <v>20131</v>
      </c>
      <c r="E4123" s="74" t="s">
        <v>391</v>
      </c>
      <c r="F4123" s="74">
        <v>0.1</v>
      </c>
      <c r="G4123" s="74"/>
      <c r="H4123" s="74"/>
      <c r="I4123" s="74" t="s">
        <v>391</v>
      </c>
      <c r="J4123" s="74"/>
      <c r="K4123" s="74">
        <v>102.4</v>
      </c>
      <c r="L4123" s="74">
        <v>92.16</v>
      </c>
      <c r="M4123" s="74"/>
      <c r="N4123" s="74" t="s">
        <v>392</v>
      </c>
      <c r="O4123" s="74" t="s">
        <v>393</v>
      </c>
      <c r="P4123" s="74"/>
      <c r="Q4123" s="74" t="s">
        <v>20132</v>
      </c>
    </row>
    <row r="4124" spans="3:17" x14ac:dyDescent="0.25">
      <c r="C4124" s="74" t="s">
        <v>20149</v>
      </c>
      <c r="D4124" s="74" t="s">
        <v>20150</v>
      </c>
      <c r="E4124" s="74" t="s">
        <v>391</v>
      </c>
      <c r="F4124" s="74">
        <v>0.1</v>
      </c>
      <c r="G4124" s="74"/>
      <c r="H4124" s="74"/>
      <c r="I4124" s="74" t="s">
        <v>391</v>
      </c>
      <c r="J4124" s="74"/>
      <c r="K4124" s="74">
        <v>102.4</v>
      </c>
      <c r="L4124" s="74">
        <v>92.16</v>
      </c>
      <c r="M4124" s="74"/>
      <c r="N4124" s="74" t="s">
        <v>392</v>
      </c>
      <c r="O4124" s="74" t="s">
        <v>393</v>
      </c>
      <c r="P4124" s="74"/>
      <c r="Q4124" s="74" t="s">
        <v>20150</v>
      </c>
    </row>
    <row r="4125" spans="3:17" x14ac:dyDescent="0.25">
      <c r="C4125" s="74" t="s">
        <v>20159</v>
      </c>
      <c r="D4125" s="74" t="s">
        <v>20160</v>
      </c>
      <c r="E4125" s="74" t="s">
        <v>391</v>
      </c>
      <c r="F4125" s="74">
        <v>0.1</v>
      </c>
      <c r="G4125" s="74"/>
      <c r="H4125" s="74"/>
      <c r="I4125" s="74" t="s">
        <v>391</v>
      </c>
      <c r="J4125" s="74"/>
      <c r="K4125" s="74">
        <v>102.4</v>
      </c>
      <c r="L4125" s="74">
        <v>92.16</v>
      </c>
      <c r="M4125" s="74"/>
      <c r="N4125" s="74" t="s">
        <v>392</v>
      </c>
      <c r="O4125" s="74" t="s">
        <v>393</v>
      </c>
      <c r="P4125" s="74"/>
      <c r="Q4125" s="74" t="s">
        <v>20161</v>
      </c>
    </row>
    <row r="4126" spans="3:17" x14ac:dyDescent="0.25">
      <c r="C4126" s="74" t="s">
        <v>20178</v>
      </c>
      <c r="D4126" s="74" t="s">
        <v>20179</v>
      </c>
      <c r="E4126" s="74" t="s">
        <v>391</v>
      </c>
      <c r="F4126" s="74">
        <v>0.1</v>
      </c>
      <c r="G4126" s="74"/>
      <c r="H4126" s="74"/>
      <c r="I4126" s="74" t="s">
        <v>391</v>
      </c>
      <c r="J4126" s="74"/>
      <c r="K4126" s="74">
        <v>102.4</v>
      </c>
      <c r="L4126" s="74">
        <v>92.16</v>
      </c>
      <c r="M4126" s="74"/>
      <c r="N4126" s="74" t="s">
        <v>392</v>
      </c>
      <c r="O4126" s="74" t="s">
        <v>393</v>
      </c>
      <c r="P4126" s="74"/>
      <c r="Q4126" s="74" t="s">
        <v>20180</v>
      </c>
    </row>
    <row r="4127" spans="3:17" x14ac:dyDescent="0.25">
      <c r="C4127" s="74" t="s">
        <v>20184</v>
      </c>
      <c r="D4127" s="74" t="s">
        <v>20185</v>
      </c>
      <c r="E4127" s="74" t="s">
        <v>391</v>
      </c>
      <c r="F4127" s="74">
        <v>0.1</v>
      </c>
      <c r="G4127" s="74"/>
      <c r="H4127" s="74"/>
      <c r="I4127" s="74" t="s">
        <v>391</v>
      </c>
      <c r="J4127" s="74"/>
      <c r="K4127" s="74">
        <v>102.4</v>
      </c>
      <c r="L4127" s="74">
        <v>92.16</v>
      </c>
      <c r="M4127" s="74"/>
      <c r="N4127" s="74" t="s">
        <v>392</v>
      </c>
      <c r="O4127" s="74" t="s">
        <v>393</v>
      </c>
      <c r="P4127" s="74"/>
      <c r="Q4127" s="74" t="s">
        <v>20186</v>
      </c>
    </row>
    <row r="4128" spans="3:17" x14ac:dyDescent="0.25">
      <c r="C4128" s="74" t="s">
        <v>20195</v>
      </c>
      <c r="D4128" s="74" t="s">
        <v>20196</v>
      </c>
      <c r="E4128" s="74" t="s">
        <v>391</v>
      </c>
      <c r="F4128" s="74">
        <v>0.1</v>
      </c>
      <c r="G4128" s="74"/>
      <c r="H4128" s="74"/>
      <c r="I4128" s="74" t="s">
        <v>391</v>
      </c>
      <c r="J4128" s="74"/>
      <c r="K4128" s="74">
        <v>102.4</v>
      </c>
      <c r="L4128" s="74">
        <v>92.16</v>
      </c>
      <c r="M4128" s="74"/>
      <c r="N4128" s="74" t="s">
        <v>392</v>
      </c>
      <c r="O4128" s="74" t="s">
        <v>393</v>
      </c>
      <c r="P4128" s="74"/>
      <c r="Q4128" s="74" t="s">
        <v>20197</v>
      </c>
    </row>
    <row r="4129" spans="3:17" x14ac:dyDescent="0.25">
      <c r="C4129" s="74" t="s">
        <v>20202</v>
      </c>
      <c r="D4129" s="74" t="s">
        <v>20203</v>
      </c>
      <c r="E4129" s="74" t="s">
        <v>391</v>
      </c>
      <c r="F4129" s="74">
        <v>0.1</v>
      </c>
      <c r="G4129" s="74"/>
      <c r="H4129" s="74"/>
      <c r="I4129" s="74" t="s">
        <v>391</v>
      </c>
      <c r="J4129" s="74"/>
      <c r="K4129" s="74">
        <v>102.4</v>
      </c>
      <c r="L4129" s="74">
        <v>92.16</v>
      </c>
      <c r="M4129" s="74"/>
      <c r="N4129" s="74" t="s">
        <v>392</v>
      </c>
      <c r="O4129" s="74" t="s">
        <v>393</v>
      </c>
      <c r="P4129" s="74"/>
      <c r="Q4129" s="74" t="s">
        <v>20204</v>
      </c>
    </row>
    <row r="4130" spans="3:17" x14ac:dyDescent="0.25">
      <c r="C4130" s="74" t="s">
        <v>20237</v>
      </c>
      <c r="D4130" s="74" t="s">
        <v>20238</v>
      </c>
      <c r="E4130" s="74"/>
      <c r="F4130" s="74">
        <v>0.1</v>
      </c>
      <c r="G4130" s="74"/>
      <c r="H4130" s="74"/>
      <c r="I4130" s="74" t="s">
        <v>391</v>
      </c>
      <c r="J4130" s="74"/>
      <c r="K4130" s="74">
        <v>102.4</v>
      </c>
      <c r="L4130" s="74">
        <v>92.16</v>
      </c>
      <c r="M4130" s="74"/>
      <c r="N4130" s="74" t="s">
        <v>392</v>
      </c>
      <c r="O4130" s="74" t="s">
        <v>402</v>
      </c>
      <c r="P4130" s="74" t="s">
        <v>20239</v>
      </c>
      <c r="Q4130" s="74" t="s">
        <v>20240</v>
      </c>
    </row>
    <row r="4131" spans="3:17" x14ac:dyDescent="0.25">
      <c r="C4131" s="74" t="s">
        <v>20244</v>
      </c>
      <c r="D4131" s="74" t="s">
        <v>20245</v>
      </c>
      <c r="E4131" s="74" t="s">
        <v>391</v>
      </c>
      <c r="F4131" s="74">
        <v>0.1</v>
      </c>
      <c r="G4131" s="74"/>
      <c r="H4131" s="74"/>
      <c r="I4131" s="74" t="s">
        <v>391</v>
      </c>
      <c r="J4131" s="74"/>
      <c r="K4131" s="74">
        <v>102.4</v>
      </c>
      <c r="L4131" s="74">
        <v>92.16</v>
      </c>
      <c r="M4131" s="74"/>
      <c r="N4131" s="74" t="s">
        <v>392</v>
      </c>
      <c r="O4131" s="74" t="s">
        <v>393</v>
      </c>
      <c r="P4131" s="74"/>
      <c r="Q4131" s="74" t="s">
        <v>20245</v>
      </c>
    </row>
    <row r="4132" spans="3:17" x14ac:dyDescent="0.25">
      <c r="C4132" s="74" t="s">
        <v>20246</v>
      </c>
      <c r="D4132" s="74" t="s">
        <v>20247</v>
      </c>
      <c r="E4132" s="74" t="s">
        <v>391</v>
      </c>
      <c r="F4132" s="74">
        <v>0.1</v>
      </c>
      <c r="G4132" s="74"/>
      <c r="H4132" s="74"/>
      <c r="I4132" s="74" t="s">
        <v>391</v>
      </c>
      <c r="J4132" s="74"/>
      <c r="K4132" s="74">
        <v>102.4</v>
      </c>
      <c r="L4132" s="74">
        <v>92.16</v>
      </c>
      <c r="M4132" s="74"/>
      <c r="N4132" s="74" t="s">
        <v>392</v>
      </c>
      <c r="O4132" s="74" t="s">
        <v>393</v>
      </c>
      <c r="P4132" s="74"/>
      <c r="Q4132" s="74" t="s">
        <v>20248</v>
      </c>
    </row>
    <row r="4133" spans="3:17" x14ac:dyDescent="0.25">
      <c r="C4133" s="74" t="s">
        <v>20264</v>
      </c>
      <c r="D4133" s="74" t="s">
        <v>20265</v>
      </c>
      <c r="E4133" s="74" t="s">
        <v>391</v>
      </c>
      <c r="F4133" s="74">
        <v>0.1</v>
      </c>
      <c r="G4133" s="74"/>
      <c r="H4133" s="74"/>
      <c r="I4133" s="74" t="s">
        <v>391</v>
      </c>
      <c r="J4133" s="74"/>
      <c r="K4133" s="74">
        <v>102.4</v>
      </c>
      <c r="L4133" s="74">
        <v>92.16</v>
      </c>
      <c r="M4133" s="74"/>
      <c r="N4133" s="74" t="s">
        <v>392</v>
      </c>
      <c r="O4133" s="74" t="s">
        <v>393</v>
      </c>
      <c r="P4133" s="74"/>
      <c r="Q4133" s="74" t="s">
        <v>20266</v>
      </c>
    </row>
    <row r="4134" spans="3:17" x14ac:dyDescent="0.25">
      <c r="C4134" s="74" t="s">
        <v>20267</v>
      </c>
      <c r="D4134" s="74" t="s">
        <v>20268</v>
      </c>
      <c r="E4134" s="74" t="s">
        <v>391</v>
      </c>
      <c r="F4134" s="74">
        <v>0.1</v>
      </c>
      <c r="G4134" s="74"/>
      <c r="H4134" s="74"/>
      <c r="I4134" s="74" t="s">
        <v>391</v>
      </c>
      <c r="J4134" s="74"/>
      <c r="K4134" s="74">
        <v>102.4</v>
      </c>
      <c r="L4134" s="74">
        <v>92.16</v>
      </c>
      <c r="M4134" s="74"/>
      <c r="N4134" s="74" t="s">
        <v>392</v>
      </c>
      <c r="O4134" s="74" t="s">
        <v>393</v>
      </c>
      <c r="P4134" s="74"/>
      <c r="Q4134" s="74" t="s">
        <v>20268</v>
      </c>
    </row>
    <row r="4135" spans="3:17" x14ac:dyDescent="0.25">
      <c r="C4135" s="74" t="s">
        <v>20291</v>
      </c>
      <c r="D4135" s="74" t="s">
        <v>20292</v>
      </c>
      <c r="E4135" s="74" t="s">
        <v>391</v>
      </c>
      <c r="F4135" s="74">
        <v>0.1</v>
      </c>
      <c r="G4135" s="74"/>
      <c r="H4135" s="74"/>
      <c r="I4135" s="74" t="s">
        <v>391</v>
      </c>
      <c r="J4135" s="74"/>
      <c r="K4135" s="74">
        <v>102.4</v>
      </c>
      <c r="L4135" s="74">
        <v>92.16</v>
      </c>
      <c r="M4135" s="74"/>
      <c r="N4135" s="74" t="s">
        <v>392</v>
      </c>
      <c r="O4135" s="74" t="s">
        <v>393</v>
      </c>
      <c r="P4135" s="74"/>
      <c r="Q4135" s="74" t="s">
        <v>20293</v>
      </c>
    </row>
    <row r="4136" spans="3:17" x14ac:dyDescent="0.25">
      <c r="C4136" s="74" t="s">
        <v>20298</v>
      </c>
      <c r="D4136" s="74" t="s">
        <v>20299</v>
      </c>
      <c r="E4136" s="74" t="s">
        <v>391</v>
      </c>
      <c r="F4136" s="74">
        <v>0.1</v>
      </c>
      <c r="G4136" s="74"/>
      <c r="H4136" s="74"/>
      <c r="I4136" s="74" t="s">
        <v>391</v>
      </c>
      <c r="J4136" s="74"/>
      <c r="K4136" s="74">
        <v>102.4</v>
      </c>
      <c r="L4136" s="74">
        <v>92.16</v>
      </c>
      <c r="M4136" s="74"/>
      <c r="N4136" s="74" t="s">
        <v>392</v>
      </c>
      <c r="O4136" s="74" t="s">
        <v>393</v>
      </c>
      <c r="P4136" s="74"/>
      <c r="Q4136" s="74" t="s">
        <v>20300</v>
      </c>
    </row>
    <row r="4137" spans="3:17" x14ac:dyDescent="0.25">
      <c r="C4137" s="74" t="s">
        <v>20301</v>
      </c>
      <c r="D4137" s="74" t="s">
        <v>20302</v>
      </c>
      <c r="E4137" s="74" t="s">
        <v>391</v>
      </c>
      <c r="F4137" s="74">
        <v>0.1</v>
      </c>
      <c r="G4137" s="74"/>
      <c r="H4137" s="74"/>
      <c r="I4137" s="74" t="s">
        <v>391</v>
      </c>
      <c r="J4137" s="74"/>
      <c r="K4137" s="74">
        <v>102.4</v>
      </c>
      <c r="L4137" s="74">
        <v>92.16</v>
      </c>
      <c r="M4137" s="74"/>
      <c r="N4137" s="74" t="s">
        <v>392</v>
      </c>
      <c r="O4137" s="74" t="s">
        <v>393</v>
      </c>
      <c r="P4137" s="74"/>
      <c r="Q4137" s="74" t="s">
        <v>20303</v>
      </c>
    </row>
    <row r="4138" spans="3:17" x14ac:dyDescent="0.25">
      <c r="C4138" s="74" t="s">
        <v>20304</v>
      </c>
      <c r="D4138" s="74" t="s">
        <v>20305</v>
      </c>
      <c r="E4138" s="74" t="s">
        <v>391</v>
      </c>
      <c r="F4138" s="74">
        <v>0.1</v>
      </c>
      <c r="G4138" s="74"/>
      <c r="H4138" s="74"/>
      <c r="I4138" s="74" t="s">
        <v>391</v>
      </c>
      <c r="J4138" s="74"/>
      <c r="K4138" s="74">
        <v>102.4</v>
      </c>
      <c r="L4138" s="74">
        <v>92.16</v>
      </c>
      <c r="M4138" s="74"/>
      <c r="N4138" s="74" t="s">
        <v>392</v>
      </c>
      <c r="O4138" s="74" t="s">
        <v>393</v>
      </c>
      <c r="P4138" s="74"/>
      <c r="Q4138" s="74" t="s">
        <v>20306</v>
      </c>
    </row>
    <row r="4139" spans="3:17" x14ac:dyDescent="0.25">
      <c r="C4139" s="74" t="s">
        <v>20307</v>
      </c>
      <c r="D4139" s="74" t="s">
        <v>20308</v>
      </c>
      <c r="E4139" s="74" t="s">
        <v>391</v>
      </c>
      <c r="F4139" s="74">
        <v>0.1</v>
      </c>
      <c r="G4139" s="74"/>
      <c r="H4139" s="74"/>
      <c r="I4139" s="74" t="s">
        <v>391</v>
      </c>
      <c r="J4139" s="74"/>
      <c r="K4139" s="74">
        <v>102.4</v>
      </c>
      <c r="L4139" s="74">
        <v>92.16</v>
      </c>
      <c r="M4139" s="74"/>
      <c r="N4139" s="74" t="s">
        <v>392</v>
      </c>
      <c r="O4139" s="74" t="s">
        <v>393</v>
      </c>
      <c r="P4139" s="74"/>
      <c r="Q4139" s="74" t="s">
        <v>20309</v>
      </c>
    </row>
    <row r="4140" spans="3:17" x14ac:dyDescent="0.25">
      <c r="C4140" s="74" t="s">
        <v>20310</v>
      </c>
      <c r="D4140" s="74" t="s">
        <v>20311</v>
      </c>
      <c r="E4140" s="74" t="s">
        <v>391</v>
      </c>
      <c r="F4140" s="74">
        <v>0.1</v>
      </c>
      <c r="G4140" s="74"/>
      <c r="H4140" s="74"/>
      <c r="I4140" s="74" t="s">
        <v>391</v>
      </c>
      <c r="J4140" s="74"/>
      <c r="K4140" s="74">
        <v>102.4</v>
      </c>
      <c r="L4140" s="74">
        <v>92.16</v>
      </c>
      <c r="M4140" s="74"/>
      <c r="N4140" s="74" t="s">
        <v>392</v>
      </c>
      <c r="O4140" s="74" t="s">
        <v>393</v>
      </c>
      <c r="P4140" s="74"/>
      <c r="Q4140" s="74" t="s">
        <v>20312</v>
      </c>
    </row>
    <row r="4141" spans="3:17" x14ac:dyDescent="0.25">
      <c r="C4141" s="74" t="s">
        <v>20403</v>
      </c>
      <c r="D4141" s="74" t="s">
        <v>20404</v>
      </c>
      <c r="E4141" s="74" t="s">
        <v>391</v>
      </c>
      <c r="F4141" s="74">
        <v>0.1</v>
      </c>
      <c r="G4141" s="74"/>
      <c r="H4141" s="74"/>
      <c r="I4141" s="74" t="s">
        <v>391</v>
      </c>
      <c r="J4141" s="74"/>
      <c r="K4141" s="74">
        <v>102.4</v>
      </c>
      <c r="L4141" s="74">
        <v>92.16</v>
      </c>
      <c r="M4141" s="74"/>
      <c r="N4141" s="74" t="s">
        <v>392</v>
      </c>
      <c r="O4141" s="74" t="s">
        <v>393</v>
      </c>
      <c r="P4141" s="74"/>
      <c r="Q4141" s="74" t="s">
        <v>20405</v>
      </c>
    </row>
    <row r="4142" spans="3:17" x14ac:dyDescent="0.25">
      <c r="C4142" s="74" t="s">
        <v>20406</v>
      </c>
      <c r="D4142" s="74" t="s">
        <v>20407</v>
      </c>
      <c r="E4142" s="74" t="s">
        <v>391</v>
      </c>
      <c r="F4142" s="74">
        <v>0.1</v>
      </c>
      <c r="G4142" s="74"/>
      <c r="H4142" s="74"/>
      <c r="I4142" s="74" t="s">
        <v>391</v>
      </c>
      <c r="J4142" s="74"/>
      <c r="K4142" s="74">
        <v>102.4</v>
      </c>
      <c r="L4142" s="74">
        <v>92.16</v>
      </c>
      <c r="M4142" s="74"/>
      <c r="N4142" s="74" t="s">
        <v>392</v>
      </c>
      <c r="O4142" s="74" t="s">
        <v>393</v>
      </c>
      <c r="P4142" s="74"/>
      <c r="Q4142" s="74" t="s">
        <v>20408</v>
      </c>
    </row>
    <row r="4143" spans="3:17" x14ac:dyDescent="0.25">
      <c r="C4143" s="74" t="s">
        <v>20409</v>
      </c>
      <c r="D4143" s="74" t="s">
        <v>20410</v>
      </c>
      <c r="E4143" s="74" t="s">
        <v>391</v>
      </c>
      <c r="F4143" s="74">
        <v>0.1</v>
      </c>
      <c r="G4143" s="74"/>
      <c r="H4143" s="74"/>
      <c r="I4143" s="74" t="s">
        <v>391</v>
      </c>
      <c r="J4143" s="74"/>
      <c r="K4143" s="74">
        <v>102.4</v>
      </c>
      <c r="L4143" s="74">
        <v>92.16</v>
      </c>
      <c r="M4143" s="74"/>
      <c r="N4143" s="74" t="s">
        <v>392</v>
      </c>
      <c r="O4143" s="74" t="s">
        <v>393</v>
      </c>
      <c r="P4143" s="74"/>
      <c r="Q4143" s="74" t="s">
        <v>20411</v>
      </c>
    </row>
    <row r="4144" spans="3:17" x14ac:dyDescent="0.25">
      <c r="C4144" s="74" t="s">
        <v>20412</v>
      </c>
      <c r="D4144" s="74" t="s">
        <v>20413</v>
      </c>
      <c r="E4144" s="74" t="s">
        <v>391</v>
      </c>
      <c r="F4144" s="74">
        <v>0.1</v>
      </c>
      <c r="G4144" s="74"/>
      <c r="H4144" s="74"/>
      <c r="I4144" s="74" t="s">
        <v>391</v>
      </c>
      <c r="J4144" s="74"/>
      <c r="K4144" s="74">
        <v>102.4</v>
      </c>
      <c r="L4144" s="74">
        <v>92.16</v>
      </c>
      <c r="M4144" s="74"/>
      <c r="N4144" s="74" t="s">
        <v>392</v>
      </c>
      <c r="O4144" s="74" t="s">
        <v>393</v>
      </c>
      <c r="P4144" s="74"/>
      <c r="Q4144" s="74" t="s">
        <v>20414</v>
      </c>
    </row>
    <row r="4145" spans="3:17" x14ac:dyDescent="0.25">
      <c r="C4145" s="74" t="s">
        <v>20428</v>
      </c>
      <c r="D4145" s="74" t="s">
        <v>20429</v>
      </c>
      <c r="E4145" s="74" t="s">
        <v>391</v>
      </c>
      <c r="F4145" s="74">
        <v>0.1</v>
      </c>
      <c r="G4145" s="74"/>
      <c r="H4145" s="74"/>
      <c r="I4145" s="74" t="s">
        <v>391</v>
      </c>
      <c r="J4145" s="74"/>
      <c r="K4145" s="74">
        <v>102.4</v>
      </c>
      <c r="L4145" s="74">
        <v>92.16</v>
      </c>
      <c r="M4145" s="74"/>
      <c r="N4145" s="74" t="s">
        <v>392</v>
      </c>
      <c r="O4145" s="74" t="s">
        <v>393</v>
      </c>
      <c r="P4145" s="74"/>
      <c r="Q4145" s="74" t="s">
        <v>20430</v>
      </c>
    </row>
    <row r="4146" spans="3:17" x14ac:dyDescent="0.25">
      <c r="C4146" s="74" t="s">
        <v>20435</v>
      </c>
      <c r="D4146" s="74" t="s">
        <v>20436</v>
      </c>
      <c r="E4146" s="74" t="s">
        <v>391</v>
      </c>
      <c r="F4146" s="74">
        <v>0.1</v>
      </c>
      <c r="G4146" s="74"/>
      <c r="H4146" s="74"/>
      <c r="I4146" s="74" t="s">
        <v>391</v>
      </c>
      <c r="J4146" s="74"/>
      <c r="K4146" s="74">
        <v>102.4</v>
      </c>
      <c r="L4146" s="74">
        <v>92.16</v>
      </c>
      <c r="M4146" s="74"/>
      <c r="N4146" s="74" t="s">
        <v>392</v>
      </c>
      <c r="O4146" s="74" t="s">
        <v>393</v>
      </c>
      <c r="P4146" s="74"/>
      <c r="Q4146" s="74" t="s">
        <v>20437</v>
      </c>
    </row>
    <row r="4147" spans="3:17" x14ac:dyDescent="0.25">
      <c r="C4147" s="74" t="s">
        <v>20461</v>
      </c>
      <c r="D4147" s="74" t="s">
        <v>20462</v>
      </c>
      <c r="E4147" s="74" t="s">
        <v>391</v>
      </c>
      <c r="F4147" s="74">
        <v>0.1</v>
      </c>
      <c r="G4147" s="74"/>
      <c r="H4147" s="74"/>
      <c r="I4147" s="74" t="s">
        <v>391</v>
      </c>
      <c r="J4147" s="74"/>
      <c r="K4147" s="74">
        <v>102.4</v>
      </c>
      <c r="L4147" s="74">
        <v>92.16</v>
      </c>
      <c r="M4147" s="74"/>
      <c r="N4147" s="74" t="s">
        <v>392</v>
      </c>
      <c r="O4147" s="74" t="s">
        <v>393</v>
      </c>
      <c r="P4147" s="74"/>
      <c r="Q4147" s="74" t="s">
        <v>20463</v>
      </c>
    </row>
    <row r="4148" spans="3:17" x14ac:dyDescent="0.25">
      <c r="C4148" s="74" t="s">
        <v>20470</v>
      </c>
      <c r="D4148" s="74" t="s">
        <v>20471</v>
      </c>
      <c r="E4148" s="74" t="s">
        <v>391</v>
      </c>
      <c r="F4148" s="74">
        <v>0.1</v>
      </c>
      <c r="G4148" s="74"/>
      <c r="H4148" s="74"/>
      <c r="I4148" s="74" t="s">
        <v>391</v>
      </c>
      <c r="J4148" s="74"/>
      <c r="K4148" s="74">
        <v>102.4</v>
      </c>
      <c r="L4148" s="74">
        <v>92.16</v>
      </c>
      <c r="M4148" s="74"/>
      <c r="N4148" s="74" t="s">
        <v>392</v>
      </c>
      <c r="O4148" s="74" t="s">
        <v>393</v>
      </c>
      <c r="P4148" s="74"/>
      <c r="Q4148" s="74" t="s">
        <v>20471</v>
      </c>
    </row>
    <row r="4149" spans="3:17" x14ac:dyDescent="0.25">
      <c r="C4149" s="74" t="s">
        <v>20472</v>
      </c>
      <c r="D4149" s="74" t="s">
        <v>20473</v>
      </c>
      <c r="E4149" s="74" t="s">
        <v>391</v>
      </c>
      <c r="F4149" s="74">
        <v>0.1</v>
      </c>
      <c r="G4149" s="74"/>
      <c r="H4149" s="74"/>
      <c r="I4149" s="74" t="s">
        <v>391</v>
      </c>
      <c r="J4149" s="74"/>
      <c r="K4149" s="74">
        <v>102.4</v>
      </c>
      <c r="L4149" s="74">
        <v>92.16</v>
      </c>
      <c r="M4149" s="74"/>
      <c r="N4149" s="74" t="s">
        <v>392</v>
      </c>
      <c r="O4149" s="74" t="s">
        <v>393</v>
      </c>
      <c r="P4149" s="74"/>
      <c r="Q4149" s="74" t="s">
        <v>20474</v>
      </c>
    </row>
    <row r="4150" spans="3:17" x14ac:dyDescent="0.25">
      <c r="C4150" s="74" t="s">
        <v>20479</v>
      </c>
      <c r="D4150" s="74" t="s">
        <v>20480</v>
      </c>
      <c r="E4150" s="74" t="s">
        <v>391</v>
      </c>
      <c r="F4150" s="74">
        <v>0.1</v>
      </c>
      <c r="G4150" s="74"/>
      <c r="H4150" s="74"/>
      <c r="I4150" s="74" t="s">
        <v>391</v>
      </c>
      <c r="J4150" s="74"/>
      <c r="K4150" s="74">
        <v>102.4</v>
      </c>
      <c r="L4150" s="74">
        <v>92.16</v>
      </c>
      <c r="M4150" s="74"/>
      <c r="N4150" s="74" t="s">
        <v>392</v>
      </c>
      <c r="O4150" s="74" t="s">
        <v>393</v>
      </c>
      <c r="P4150" s="74"/>
      <c r="Q4150" s="74" t="s">
        <v>20481</v>
      </c>
    </row>
    <row r="4151" spans="3:17" x14ac:dyDescent="0.25">
      <c r="C4151" s="74" t="s">
        <v>20490</v>
      </c>
      <c r="D4151" s="74" t="s">
        <v>20491</v>
      </c>
      <c r="E4151" s="74" t="s">
        <v>391</v>
      </c>
      <c r="F4151" s="74">
        <v>0.1</v>
      </c>
      <c r="G4151" s="74"/>
      <c r="H4151" s="74"/>
      <c r="I4151" s="74" t="s">
        <v>391</v>
      </c>
      <c r="J4151" s="74"/>
      <c r="K4151" s="74">
        <v>102.4</v>
      </c>
      <c r="L4151" s="74">
        <v>92.16</v>
      </c>
      <c r="M4151" s="74"/>
      <c r="N4151" s="74" t="s">
        <v>392</v>
      </c>
      <c r="O4151" s="74" t="s">
        <v>393</v>
      </c>
      <c r="P4151" s="74"/>
      <c r="Q4151" s="74" t="s">
        <v>20492</v>
      </c>
    </row>
    <row r="4152" spans="3:17" x14ac:dyDescent="0.25">
      <c r="C4152" s="74" t="s">
        <v>20501</v>
      </c>
      <c r="D4152" s="74" t="s">
        <v>20502</v>
      </c>
      <c r="E4152" s="74" t="s">
        <v>391</v>
      </c>
      <c r="F4152" s="74">
        <v>0.1</v>
      </c>
      <c r="G4152" s="74"/>
      <c r="H4152" s="74"/>
      <c r="I4152" s="74" t="s">
        <v>391</v>
      </c>
      <c r="J4152" s="74"/>
      <c r="K4152" s="74">
        <v>102.4</v>
      </c>
      <c r="L4152" s="74">
        <v>92.16</v>
      </c>
      <c r="M4152" s="74"/>
      <c r="N4152" s="74" t="s">
        <v>392</v>
      </c>
      <c r="O4152" s="74" t="s">
        <v>393</v>
      </c>
      <c r="P4152" s="74"/>
      <c r="Q4152" s="74" t="s">
        <v>20503</v>
      </c>
    </row>
    <row r="4153" spans="3:17" x14ac:dyDescent="0.25">
      <c r="C4153" s="74" t="s">
        <v>20563</v>
      </c>
      <c r="D4153" s="74" t="s">
        <v>20564</v>
      </c>
      <c r="E4153" s="74" t="s">
        <v>391</v>
      </c>
      <c r="F4153" s="74">
        <v>0.1</v>
      </c>
      <c r="G4153" s="74"/>
      <c r="H4153" s="74"/>
      <c r="I4153" s="74" t="s">
        <v>391</v>
      </c>
      <c r="J4153" s="74"/>
      <c r="K4153" s="74">
        <v>102.4</v>
      </c>
      <c r="L4153" s="74">
        <v>92.16</v>
      </c>
      <c r="M4153" s="74"/>
      <c r="N4153" s="74" t="s">
        <v>392</v>
      </c>
      <c r="O4153" s="74" t="s">
        <v>393</v>
      </c>
      <c r="P4153" s="74"/>
      <c r="Q4153" s="74" t="s">
        <v>20565</v>
      </c>
    </row>
    <row r="4154" spans="3:17" x14ac:dyDescent="0.25">
      <c r="C4154" s="74" t="s">
        <v>20566</v>
      </c>
      <c r="D4154" s="74" t="s">
        <v>20567</v>
      </c>
      <c r="E4154" s="74" t="s">
        <v>391</v>
      </c>
      <c r="F4154" s="74">
        <v>0.1</v>
      </c>
      <c r="G4154" s="74"/>
      <c r="H4154" s="74"/>
      <c r="I4154" s="74" t="s">
        <v>391</v>
      </c>
      <c r="J4154" s="74"/>
      <c r="K4154" s="74">
        <v>102.4</v>
      </c>
      <c r="L4154" s="74">
        <v>92.16</v>
      </c>
      <c r="M4154" s="74"/>
      <c r="N4154" s="74" t="s">
        <v>392</v>
      </c>
      <c r="O4154" s="74" t="s">
        <v>393</v>
      </c>
      <c r="P4154" s="74"/>
      <c r="Q4154" s="74" t="s">
        <v>20568</v>
      </c>
    </row>
    <row r="4155" spans="3:17" x14ac:dyDescent="0.25">
      <c r="C4155" s="74" t="s">
        <v>20577</v>
      </c>
      <c r="D4155" s="74" t="s">
        <v>20578</v>
      </c>
      <c r="E4155" s="74" t="s">
        <v>391</v>
      </c>
      <c r="F4155" s="74">
        <v>0.1</v>
      </c>
      <c r="G4155" s="74"/>
      <c r="H4155" s="74"/>
      <c r="I4155" s="74" t="s">
        <v>391</v>
      </c>
      <c r="J4155" s="74"/>
      <c r="K4155" s="74">
        <v>102.4</v>
      </c>
      <c r="L4155" s="74">
        <v>92.16</v>
      </c>
      <c r="M4155" s="74"/>
      <c r="N4155" s="74" t="s">
        <v>392</v>
      </c>
      <c r="O4155" s="74" t="s">
        <v>393</v>
      </c>
      <c r="P4155" s="74"/>
      <c r="Q4155" s="74" t="s">
        <v>20579</v>
      </c>
    </row>
    <row r="4156" spans="3:17" x14ac:dyDescent="0.25">
      <c r="C4156" s="74" t="s">
        <v>20584</v>
      </c>
      <c r="D4156" s="74" t="s">
        <v>20585</v>
      </c>
      <c r="E4156" s="74" t="s">
        <v>391</v>
      </c>
      <c r="F4156" s="74">
        <v>0.1</v>
      </c>
      <c r="G4156" s="74"/>
      <c r="H4156" s="74"/>
      <c r="I4156" s="74" t="s">
        <v>391</v>
      </c>
      <c r="J4156" s="74"/>
      <c r="K4156" s="74">
        <v>102.4</v>
      </c>
      <c r="L4156" s="74">
        <v>92.16</v>
      </c>
      <c r="M4156" s="74"/>
      <c r="N4156" s="74" t="s">
        <v>392</v>
      </c>
      <c r="O4156" s="74" t="s">
        <v>393</v>
      </c>
      <c r="P4156" s="74"/>
      <c r="Q4156" s="74" t="s">
        <v>20586</v>
      </c>
    </row>
    <row r="4157" spans="3:17" x14ac:dyDescent="0.25">
      <c r="C4157" s="74" t="s">
        <v>20587</v>
      </c>
      <c r="D4157" s="74" t="s">
        <v>20588</v>
      </c>
      <c r="E4157" s="74" t="s">
        <v>391</v>
      </c>
      <c r="F4157" s="74">
        <v>0.1</v>
      </c>
      <c r="G4157" s="74"/>
      <c r="H4157" s="74"/>
      <c r="I4157" s="74" t="s">
        <v>391</v>
      </c>
      <c r="J4157" s="74"/>
      <c r="K4157" s="74">
        <v>102.4</v>
      </c>
      <c r="L4157" s="74">
        <v>92.16</v>
      </c>
      <c r="M4157" s="74"/>
      <c r="N4157" s="74" t="s">
        <v>392</v>
      </c>
      <c r="O4157" s="74" t="s">
        <v>393</v>
      </c>
      <c r="P4157" s="74"/>
      <c r="Q4157" s="74" t="s">
        <v>20589</v>
      </c>
    </row>
    <row r="4158" spans="3:17" x14ac:dyDescent="0.25">
      <c r="C4158" s="74" t="s">
        <v>20598</v>
      </c>
      <c r="D4158" s="74" t="s">
        <v>20599</v>
      </c>
      <c r="E4158" s="74" t="s">
        <v>391</v>
      </c>
      <c r="F4158" s="74">
        <v>0.1</v>
      </c>
      <c r="G4158" s="74"/>
      <c r="H4158" s="74"/>
      <c r="I4158" s="74" t="s">
        <v>391</v>
      </c>
      <c r="J4158" s="74"/>
      <c r="K4158" s="74">
        <v>102.4</v>
      </c>
      <c r="L4158" s="74">
        <v>92.16</v>
      </c>
      <c r="M4158" s="74"/>
      <c r="N4158" s="74" t="s">
        <v>392</v>
      </c>
      <c r="O4158" s="74" t="s">
        <v>393</v>
      </c>
      <c r="P4158" s="74"/>
      <c r="Q4158" s="74" t="s">
        <v>20600</v>
      </c>
    </row>
    <row r="4159" spans="3:17" x14ac:dyDescent="0.25">
      <c r="C4159" s="74" t="s">
        <v>20620</v>
      </c>
      <c r="D4159" s="74" t="s">
        <v>20621</v>
      </c>
      <c r="E4159" s="74" t="s">
        <v>391</v>
      </c>
      <c r="F4159" s="74">
        <v>0.1</v>
      </c>
      <c r="G4159" s="74"/>
      <c r="H4159" s="74"/>
      <c r="I4159" s="74" t="s">
        <v>391</v>
      </c>
      <c r="J4159" s="74"/>
      <c r="K4159" s="74">
        <v>102.4</v>
      </c>
      <c r="L4159" s="74">
        <v>92.16</v>
      </c>
      <c r="M4159" s="74"/>
      <c r="N4159" s="74" t="s">
        <v>392</v>
      </c>
      <c r="O4159" s="74" t="s">
        <v>393</v>
      </c>
      <c r="P4159" s="74"/>
      <c r="Q4159" s="74" t="s">
        <v>20622</v>
      </c>
    </row>
    <row r="4160" spans="3:17" x14ac:dyDescent="0.25">
      <c r="C4160" s="74" t="s">
        <v>20623</v>
      </c>
      <c r="D4160" s="74" t="s">
        <v>20624</v>
      </c>
      <c r="E4160" s="74" t="s">
        <v>391</v>
      </c>
      <c r="F4160" s="74">
        <v>0.1</v>
      </c>
      <c r="G4160" s="74"/>
      <c r="H4160" s="74"/>
      <c r="I4160" s="74" t="s">
        <v>391</v>
      </c>
      <c r="J4160" s="74"/>
      <c r="K4160" s="74">
        <v>102.4</v>
      </c>
      <c r="L4160" s="74">
        <v>92.16</v>
      </c>
      <c r="M4160" s="74"/>
      <c r="N4160" s="74" t="s">
        <v>392</v>
      </c>
      <c r="O4160" s="74" t="s">
        <v>393</v>
      </c>
      <c r="P4160" s="74"/>
      <c r="Q4160" s="74" t="s">
        <v>20625</v>
      </c>
    </row>
    <row r="4161" spans="3:17" x14ac:dyDescent="0.25">
      <c r="C4161" s="74" t="s">
        <v>20636</v>
      </c>
      <c r="D4161" s="74" t="s">
        <v>20637</v>
      </c>
      <c r="E4161" s="74" t="s">
        <v>391</v>
      </c>
      <c r="F4161" s="74">
        <v>0.1</v>
      </c>
      <c r="G4161" s="74"/>
      <c r="H4161" s="74"/>
      <c r="I4161" s="74" t="s">
        <v>391</v>
      </c>
      <c r="J4161" s="74"/>
      <c r="K4161" s="74">
        <v>102.4</v>
      </c>
      <c r="L4161" s="74">
        <v>92.16</v>
      </c>
      <c r="M4161" s="74"/>
      <c r="N4161" s="74" t="s">
        <v>392</v>
      </c>
      <c r="O4161" s="74" t="s">
        <v>393</v>
      </c>
      <c r="P4161" s="74"/>
      <c r="Q4161" s="74" t="s">
        <v>20638</v>
      </c>
    </row>
    <row r="4162" spans="3:17" x14ac:dyDescent="0.25">
      <c r="C4162" s="74" t="s">
        <v>20639</v>
      </c>
      <c r="D4162" s="74" t="s">
        <v>20640</v>
      </c>
      <c r="E4162" s="74" t="s">
        <v>391</v>
      </c>
      <c r="F4162" s="74">
        <v>0.1</v>
      </c>
      <c r="G4162" s="74"/>
      <c r="H4162" s="74"/>
      <c r="I4162" s="74" t="s">
        <v>391</v>
      </c>
      <c r="J4162" s="74"/>
      <c r="K4162" s="74">
        <v>102.4</v>
      </c>
      <c r="L4162" s="74">
        <v>92.16</v>
      </c>
      <c r="M4162" s="74"/>
      <c r="N4162" s="74" t="s">
        <v>392</v>
      </c>
      <c r="O4162" s="74" t="s">
        <v>393</v>
      </c>
      <c r="P4162" s="74"/>
      <c r="Q4162" s="74" t="s">
        <v>20641</v>
      </c>
    </row>
    <row r="4163" spans="3:17" x14ac:dyDescent="0.25">
      <c r="C4163" s="74" t="s">
        <v>20645</v>
      </c>
      <c r="D4163" s="74" t="s">
        <v>20646</v>
      </c>
      <c r="E4163" s="74" t="s">
        <v>391</v>
      </c>
      <c r="F4163" s="74">
        <v>0.1</v>
      </c>
      <c r="G4163" s="74"/>
      <c r="H4163" s="74"/>
      <c r="I4163" s="74" t="s">
        <v>391</v>
      </c>
      <c r="J4163" s="74"/>
      <c r="K4163" s="74">
        <v>102.4</v>
      </c>
      <c r="L4163" s="74">
        <v>92.16</v>
      </c>
      <c r="M4163" s="74"/>
      <c r="N4163" s="74" t="s">
        <v>392</v>
      </c>
      <c r="O4163" s="74" t="s">
        <v>393</v>
      </c>
      <c r="P4163" s="74"/>
      <c r="Q4163" s="74" t="s">
        <v>20647</v>
      </c>
    </row>
    <row r="4164" spans="3:17" x14ac:dyDescent="0.25">
      <c r="C4164" s="74" t="s">
        <v>20666</v>
      </c>
      <c r="D4164" s="74" t="s">
        <v>20667</v>
      </c>
      <c r="E4164" s="74" t="s">
        <v>391</v>
      </c>
      <c r="F4164" s="74">
        <v>0.1</v>
      </c>
      <c r="G4164" s="74"/>
      <c r="H4164" s="74"/>
      <c r="I4164" s="74" t="s">
        <v>391</v>
      </c>
      <c r="J4164" s="74"/>
      <c r="K4164" s="74">
        <v>102.4</v>
      </c>
      <c r="L4164" s="74">
        <v>92.16</v>
      </c>
      <c r="M4164" s="74"/>
      <c r="N4164" s="74" t="s">
        <v>392</v>
      </c>
      <c r="O4164" s="74" t="s">
        <v>393</v>
      </c>
      <c r="P4164" s="74"/>
      <c r="Q4164" s="74" t="s">
        <v>20668</v>
      </c>
    </row>
    <row r="4165" spans="3:17" x14ac:dyDescent="0.25">
      <c r="C4165" s="74" t="s">
        <v>20672</v>
      </c>
      <c r="D4165" s="74" t="s">
        <v>20673</v>
      </c>
      <c r="E4165" s="74" t="s">
        <v>391</v>
      </c>
      <c r="F4165" s="74">
        <v>0.1</v>
      </c>
      <c r="G4165" s="74"/>
      <c r="H4165" s="74"/>
      <c r="I4165" s="74" t="s">
        <v>391</v>
      </c>
      <c r="J4165" s="74"/>
      <c r="K4165" s="74">
        <v>102.4</v>
      </c>
      <c r="L4165" s="74">
        <v>92.16</v>
      </c>
      <c r="M4165" s="74"/>
      <c r="N4165" s="74" t="s">
        <v>392</v>
      </c>
      <c r="O4165" s="74" t="s">
        <v>393</v>
      </c>
      <c r="P4165" s="74"/>
      <c r="Q4165" s="74" t="s">
        <v>20674</v>
      </c>
    </row>
    <row r="4166" spans="3:17" x14ac:dyDescent="0.25">
      <c r="C4166" s="74" t="s">
        <v>20679</v>
      </c>
      <c r="D4166" s="74" t="s">
        <v>20680</v>
      </c>
      <c r="E4166" s="74" t="s">
        <v>391</v>
      </c>
      <c r="F4166" s="74">
        <v>0.1</v>
      </c>
      <c r="G4166" s="74"/>
      <c r="H4166" s="74"/>
      <c r="I4166" s="74" t="s">
        <v>391</v>
      </c>
      <c r="J4166" s="74"/>
      <c r="K4166" s="74">
        <v>102.4</v>
      </c>
      <c r="L4166" s="74">
        <v>92.16</v>
      </c>
      <c r="M4166" s="74"/>
      <c r="N4166" s="74" t="s">
        <v>392</v>
      </c>
      <c r="O4166" s="74" t="s">
        <v>393</v>
      </c>
      <c r="P4166" s="74"/>
      <c r="Q4166" s="74" t="s">
        <v>20681</v>
      </c>
    </row>
    <row r="4167" spans="3:17" x14ac:dyDescent="0.25">
      <c r="C4167" s="74" t="s">
        <v>20682</v>
      </c>
      <c r="D4167" s="74" t="s">
        <v>20683</v>
      </c>
      <c r="E4167" s="74" t="s">
        <v>391</v>
      </c>
      <c r="F4167" s="74">
        <v>0.1</v>
      </c>
      <c r="G4167" s="74"/>
      <c r="H4167" s="74"/>
      <c r="I4167" s="74" t="s">
        <v>391</v>
      </c>
      <c r="J4167" s="74"/>
      <c r="K4167" s="74">
        <v>102.4</v>
      </c>
      <c r="L4167" s="74">
        <v>92.16</v>
      </c>
      <c r="M4167" s="74"/>
      <c r="N4167" s="74" t="s">
        <v>392</v>
      </c>
      <c r="O4167" s="74" t="s">
        <v>393</v>
      </c>
      <c r="P4167" s="74"/>
      <c r="Q4167" s="74" t="s">
        <v>20684</v>
      </c>
    </row>
    <row r="4168" spans="3:17" x14ac:dyDescent="0.25">
      <c r="C4168" s="74" t="s">
        <v>20685</v>
      </c>
      <c r="D4168" s="74" t="s">
        <v>20686</v>
      </c>
      <c r="E4168" s="74" t="s">
        <v>391</v>
      </c>
      <c r="F4168" s="74">
        <v>0.1</v>
      </c>
      <c r="G4168" s="74"/>
      <c r="H4168" s="74"/>
      <c r="I4168" s="74" t="s">
        <v>391</v>
      </c>
      <c r="J4168" s="74"/>
      <c r="K4168" s="74">
        <v>102.4</v>
      </c>
      <c r="L4168" s="74">
        <v>92.16</v>
      </c>
      <c r="M4168" s="74"/>
      <c r="N4168" s="74" t="s">
        <v>392</v>
      </c>
      <c r="O4168" s="74" t="s">
        <v>393</v>
      </c>
      <c r="P4168" s="74"/>
      <c r="Q4168" s="74" t="s">
        <v>20687</v>
      </c>
    </row>
    <row r="4169" spans="3:17" x14ac:dyDescent="0.25">
      <c r="C4169" s="74" t="s">
        <v>20692</v>
      </c>
      <c r="D4169" s="74" t="s">
        <v>20693</v>
      </c>
      <c r="E4169" s="74" t="s">
        <v>391</v>
      </c>
      <c r="F4169" s="74">
        <v>0.1</v>
      </c>
      <c r="G4169" s="74"/>
      <c r="H4169" s="74"/>
      <c r="I4169" s="74" t="s">
        <v>391</v>
      </c>
      <c r="J4169" s="74"/>
      <c r="K4169" s="74">
        <v>102.4</v>
      </c>
      <c r="L4169" s="74">
        <v>92.16</v>
      </c>
      <c r="M4169" s="74"/>
      <c r="N4169" s="74" t="s">
        <v>392</v>
      </c>
      <c r="O4169" s="74" t="s">
        <v>393</v>
      </c>
      <c r="P4169" s="74"/>
      <c r="Q4169" s="74" t="s">
        <v>20694</v>
      </c>
    </row>
    <row r="4170" spans="3:17" x14ac:dyDescent="0.25">
      <c r="C4170" s="74" t="s">
        <v>20721</v>
      </c>
      <c r="D4170" s="74" t="s">
        <v>20722</v>
      </c>
      <c r="E4170" s="74" t="s">
        <v>391</v>
      </c>
      <c r="F4170" s="74">
        <v>0.1</v>
      </c>
      <c r="G4170" s="74"/>
      <c r="H4170" s="74"/>
      <c r="I4170" s="74" t="s">
        <v>391</v>
      </c>
      <c r="J4170" s="74"/>
      <c r="K4170" s="74">
        <v>102.4</v>
      </c>
      <c r="L4170" s="74">
        <v>92.16</v>
      </c>
      <c r="M4170" s="74"/>
      <c r="N4170" s="74" t="s">
        <v>392</v>
      </c>
      <c r="O4170" s="74" t="s">
        <v>393</v>
      </c>
      <c r="P4170" s="74"/>
      <c r="Q4170" s="74" t="s">
        <v>20722</v>
      </c>
    </row>
    <row r="4171" spans="3:17" x14ac:dyDescent="0.25">
      <c r="C4171" s="74" t="s">
        <v>20723</v>
      </c>
      <c r="D4171" s="74" t="s">
        <v>20724</v>
      </c>
      <c r="E4171" s="74" t="s">
        <v>391</v>
      </c>
      <c r="F4171" s="74">
        <v>0.1</v>
      </c>
      <c r="G4171" s="74"/>
      <c r="H4171" s="74"/>
      <c r="I4171" s="74" t="s">
        <v>391</v>
      </c>
      <c r="J4171" s="74"/>
      <c r="K4171" s="74">
        <v>102.4</v>
      </c>
      <c r="L4171" s="74">
        <v>92.16</v>
      </c>
      <c r="M4171" s="74"/>
      <c r="N4171" s="74" t="s">
        <v>392</v>
      </c>
      <c r="O4171" s="74" t="s">
        <v>393</v>
      </c>
      <c r="P4171" s="74"/>
      <c r="Q4171" s="74" t="s">
        <v>20725</v>
      </c>
    </row>
    <row r="4172" spans="3:17" x14ac:dyDescent="0.25">
      <c r="C4172" s="74" t="s">
        <v>20730</v>
      </c>
      <c r="D4172" s="74" t="s">
        <v>20731</v>
      </c>
      <c r="E4172" s="74" t="s">
        <v>391</v>
      </c>
      <c r="F4172" s="74">
        <v>0.1</v>
      </c>
      <c r="G4172" s="74"/>
      <c r="H4172" s="74"/>
      <c r="I4172" s="74" t="s">
        <v>391</v>
      </c>
      <c r="J4172" s="74"/>
      <c r="K4172" s="74">
        <v>102.4</v>
      </c>
      <c r="L4172" s="74">
        <v>92.16</v>
      </c>
      <c r="M4172" s="74"/>
      <c r="N4172" s="74" t="s">
        <v>392</v>
      </c>
      <c r="O4172" s="74" t="s">
        <v>393</v>
      </c>
      <c r="P4172" s="74"/>
      <c r="Q4172" s="74" t="s">
        <v>20732</v>
      </c>
    </row>
    <row r="4173" spans="3:17" x14ac:dyDescent="0.25">
      <c r="C4173" s="74" t="s">
        <v>20733</v>
      </c>
      <c r="D4173" s="74" t="s">
        <v>20734</v>
      </c>
      <c r="E4173" s="74" t="s">
        <v>391</v>
      </c>
      <c r="F4173" s="74">
        <v>0.1</v>
      </c>
      <c r="G4173" s="74"/>
      <c r="H4173" s="74"/>
      <c r="I4173" s="74" t="s">
        <v>391</v>
      </c>
      <c r="J4173" s="74"/>
      <c r="K4173" s="74">
        <v>102.4</v>
      </c>
      <c r="L4173" s="74">
        <v>92.16</v>
      </c>
      <c r="M4173" s="74"/>
      <c r="N4173" s="74" t="s">
        <v>392</v>
      </c>
      <c r="O4173" s="74" t="s">
        <v>393</v>
      </c>
      <c r="P4173" s="74"/>
      <c r="Q4173" s="74" t="s">
        <v>20735</v>
      </c>
    </row>
    <row r="4174" spans="3:17" x14ac:dyDescent="0.25">
      <c r="C4174" s="74" t="s">
        <v>20736</v>
      </c>
      <c r="D4174" s="74" t="s">
        <v>20737</v>
      </c>
      <c r="E4174" s="74" t="s">
        <v>391</v>
      </c>
      <c r="F4174" s="74">
        <v>0.1</v>
      </c>
      <c r="G4174" s="74"/>
      <c r="H4174" s="74"/>
      <c r="I4174" s="74" t="s">
        <v>391</v>
      </c>
      <c r="J4174" s="74"/>
      <c r="K4174" s="74">
        <v>102.4</v>
      </c>
      <c r="L4174" s="74">
        <v>92.16</v>
      </c>
      <c r="M4174" s="74"/>
      <c r="N4174" s="74" t="s">
        <v>392</v>
      </c>
      <c r="O4174" s="74" t="s">
        <v>393</v>
      </c>
      <c r="P4174" s="74"/>
      <c r="Q4174" s="74" t="s">
        <v>20738</v>
      </c>
    </row>
    <row r="4175" spans="3:17" x14ac:dyDescent="0.25">
      <c r="C4175" s="74" t="s">
        <v>20747</v>
      </c>
      <c r="D4175" s="74" t="s">
        <v>20748</v>
      </c>
      <c r="E4175" s="74" t="s">
        <v>391</v>
      </c>
      <c r="F4175" s="74">
        <v>0.1</v>
      </c>
      <c r="G4175" s="74"/>
      <c r="H4175" s="74"/>
      <c r="I4175" s="74" t="s">
        <v>391</v>
      </c>
      <c r="J4175" s="74"/>
      <c r="K4175" s="74">
        <v>102.4</v>
      </c>
      <c r="L4175" s="74">
        <v>92.16</v>
      </c>
      <c r="M4175" s="74"/>
      <c r="N4175" s="74" t="s">
        <v>392</v>
      </c>
      <c r="O4175" s="74" t="s">
        <v>393</v>
      </c>
      <c r="P4175" s="74"/>
      <c r="Q4175" s="74" t="s">
        <v>20749</v>
      </c>
    </row>
    <row r="4176" spans="3:17" x14ac:dyDescent="0.25">
      <c r="C4176" s="74" t="s">
        <v>20754</v>
      </c>
      <c r="D4176" s="74" t="s">
        <v>20755</v>
      </c>
      <c r="E4176" s="74" t="s">
        <v>391</v>
      </c>
      <c r="F4176" s="74">
        <v>0.1</v>
      </c>
      <c r="G4176" s="74"/>
      <c r="H4176" s="74"/>
      <c r="I4176" s="74" t="s">
        <v>391</v>
      </c>
      <c r="J4176" s="74"/>
      <c r="K4176" s="74">
        <v>102.4</v>
      </c>
      <c r="L4176" s="74">
        <v>92.16</v>
      </c>
      <c r="M4176" s="74"/>
      <c r="N4176" s="74" t="s">
        <v>392</v>
      </c>
      <c r="O4176" s="74" t="s">
        <v>393</v>
      </c>
      <c r="P4176" s="74"/>
      <c r="Q4176" s="74" t="s">
        <v>20756</v>
      </c>
    </row>
    <row r="4177" spans="3:17" x14ac:dyDescent="0.25">
      <c r="C4177" s="74" t="s">
        <v>20765</v>
      </c>
      <c r="D4177" s="74" t="s">
        <v>20766</v>
      </c>
      <c r="E4177" s="74" t="s">
        <v>391</v>
      </c>
      <c r="F4177" s="74">
        <v>0.1</v>
      </c>
      <c r="G4177" s="74"/>
      <c r="H4177" s="74"/>
      <c r="I4177" s="74" t="s">
        <v>391</v>
      </c>
      <c r="J4177" s="74"/>
      <c r="K4177" s="74">
        <v>102.4</v>
      </c>
      <c r="L4177" s="74">
        <v>92.16</v>
      </c>
      <c r="M4177" s="74"/>
      <c r="N4177" s="74" t="s">
        <v>392</v>
      </c>
      <c r="O4177" s="74" t="s">
        <v>393</v>
      </c>
      <c r="P4177" s="74"/>
      <c r="Q4177" s="74" t="s">
        <v>20767</v>
      </c>
    </row>
    <row r="4178" spans="3:17" x14ac:dyDescent="0.25">
      <c r="C4178" s="74" t="s">
        <v>20772</v>
      </c>
      <c r="D4178" s="74" t="s">
        <v>20773</v>
      </c>
      <c r="E4178" s="74" t="s">
        <v>391</v>
      </c>
      <c r="F4178" s="74">
        <v>0.1</v>
      </c>
      <c r="G4178" s="74"/>
      <c r="H4178" s="74"/>
      <c r="I4178" s="74" t="s">
        <v>391</v>
      </c>
      <c r="J4178" s="74"/>
      <c r="K4178" s="74">
        <v>102.4</v>
      </c>
      <c r="L4178" s="74">
        <v>92.16</v>
      </c>
      <c r="M4178" s="74"/>
      <c r="N4178" s="74" t="s">
        <v>392</v>
      </c>
      <c r="O4178" s="74" t="s">
        <v>393</v>
      </c>
      <c r="P4178" s="74"/>
      <c r="Q4178" s="74" t="s">
        <v>20774</v>
      </c>
    </row>
    <row r="4179" spans="3:17" x14ac:dyDescent="0.25">
      <c r="C4179" s="74" t="s">
        <v>20775</v>
      </c>
      <c r="D4179" s="74" t="s">
        <v>20776</v>
      </c>
      <c r="E4179" s="74" t="s">
        <v>391</v>
      </c>
      <c r="F4179" s="74">
        <v>0.1</v>
      </c>
      <c r="G4179" s="74"/>
      <c r="H4179" s="74"/>
      <c r="I4179" s="74" t="s">
        <v>391</v>
      </c>
      <c r="J4179" s="74"/>
      <c r="K4179" s="74">
        <v>102.4</v>
      </c>
      <c r="L4179" s="74">
        <v>92.16</v>
      </c>
      <c r="M4179" s="74"/>
      <c r="N4179" s="74" t="s">
        <v>392</v>
      </c>
      <c r="O4179" s="74" t="s">
        <v>393</v>
      </c>
      <c r="P4179" s="74"/>
      <c r="Q4179" s="74" t="s">
        <v>20777</v>
      </c>
    </row>
    <row r="4180" spans="3:17" x14ac:dyDescent="0.25">
      <c r="C4180" s="74" t="s">
        <v>20811</v>
      </c>
      <c r="D4180" s="74" t="s">
        <v>20812</v>
      </c>
      <c r="E4180" s="74" t="s">
        <v>391</v>
      </c>
      <c r="F4180" s="74">
        <v>0.1</v>
      </c>
      <c r="G4180" s="74"/>
      <c r="H4180" s="74"/>
      <c r="I4180" s="74" t="s">
        <v>391</v>
      </c>
      <c r="J4180" s="74"/>
      <c r="K4180" s="74">
        <v>102.4</v>
      </c>
      <c r="L4180" s="74">
        <v>92.16</v>
      </c>
      <c r="M4180" s="74"/>
      <c r="N4180" s="74" t="s">
        <v>392</v>
      </c>
      <c r="O4180" s="74" t="s">
        <v>393</v>
      </c>
      <c r="P4180" s="74"/>
      <c r="Q4180" s="74" t="s">
        <v>20813</v>
      </c>
    </row>
    <row r="4181" spans="3:17" x14ac:dyDescent="0.25">
      <c r="C4181" s="74" t="s">
        <v>20814</v>
      </c>
      <c r="D4181" s="74" t="s">
        <v>20815</v>
      </c>
      <c r="E4181" s="74" t="s">
        <v>391</v>
      </c>
      <c r="F4181" s="74">
        <v>0.1</v>
      </c>
      <c r="G4181" s="74"/>
      <c r="H4181" s="74"/>
      <c r="I4181" s="74" t="s">
        <v>391</v>
      </c>
      <c r="J4181" s="74"/>
      <c r="K4181" s="74">
        <v>102.4</v>
      </c>
      <c r="L4181" s="74">
        <v>92.16</v>
      </c>
      <c r="M4181" s="74"/>
      <c r="N4181" s="74" t="s">
        <v>392</v>
      </c>
      <c r="O4181" s="74" t="s">
        <v>393</v>
      </c>
      <c r="P4181" s="74"/>
      <c r="Q4181" s="74" t="s">
        <v>20816</v>
      </c>
    </row>
    <row r="4182" spans="3:17" x14ac:dyDescent="0.25">
      <c r="C4182" s="74" t="s">
        <v>20817</v>
      </c>
      <c r="D4182" s="74" t="s">
        <v>20818</v>
      </c>
      <c r="E4182" s="74" t="s">
        <v>391</v>
      </c>
      <c r="F4182" s="74">
        <v>0.1</v>
      </c>
      <c r="G4182" s="74"/>
      <c r="H4182" s="74"/>
      <c r="I4182" s="74" t="s">
        <v>391</v>
      </c>
      <c r="J4182" s="74"/>
      <c r="K4182" s="74">
        <v>102.4</v>
      </c>
      <c r="L4182" s="74">
        <v>92.16</v>
      </c>
      <c r="M4182" s="74"/>
      <c r="N4182" s="74" t="s">
        <v>392</v>
      </c>
      <c r="O4182" s="74" t="s">
        <v>393</v>
      </c>
      <c r="P4182" s="74"/>
      <c r="Q4182" s="74" t="s">
        <v>20819</v>
      </c>
    </row>
    <row r="4183" spans="3:17" x14ac:dyDescent="0.25">
      <c r="C4183" s="74" t="s">
        <v>20824</v>
      </c>
      <c r="D4183" s="74" t="s">
        <v>20825</v>
      </c>
      <c r="E4183" s="74" t="s">
        <v>391</v>
      </c>
      <c r="F4183" s="74">
        <v>0.1</v>
      </c>
      <c r="G4183" s="74"/>
      <c r="H4183" s="74"/>
      <c r="I4183" s="74" t="s">
        <v>391</v>
      </c>
      <c r="J4183" s="74"/>
      <c r="K4183" s="74">
        <v>102.4</v>
      </c>
      <c r="L4183" s="74">
        <v>92.16</v>
      </c>
      <c r="M4183" s="74"/>
      <c r="N4183" s="74" t="s">
        <v>392</v>
      </c>
      <c r="O4183" s="74" t="s">
        <v>393</v>
      </c>
      <c r="P4183" s="74"/>
      <c r="Q4183" s="74" t="s">
        <v>20826</v>
      </c>
    </row>
    <row r="4184" spans="3:17" x14ac:dyDescent="0.25">
      <c r="C4184" s="74" t="s">
        <v>20831</v>
      </c>
      <c r="D4184" s="74" t="s">
        <v>20832</v>
      </c>
      <c r="E4184" s="74" t="s">
        <v>391</v>
      </c>
      <c r="F4184" s="74">
        <v>0.1</v>
      </c>
      <c r="G4184" s="74"/>
      <c r="H4184" s="74"/>
      <c r="I4184" s="74" t="s">
        <v>391</v>
      </c>
      <c r="J4184" s="74"/>
      <c r="K4184" s="74">
        <v>102.4</v>
      </c>
      <c r="L4184" s="74">
        <v>92.16</v>
      </c>
      <c r="M4184" s="74"/>
      <c r="N4184" s="74" t="s">
        <v>392</v>
      </c>
      <c r="O4184" s="74" t="s">
        <v>393</v>
      </c>
      <c r="P4184" s="74"/>
      <c r="Q4184" s="74" t="s">
        <v>20833</v>
      </c>
    </row>
    <row r="4185" spans="3:17" x14ac:dyDescent="0.25">
      <c r="C4185" s="74" t="s">
        <v>20834</v>
      </c>
      <c r="D4185" s="74" t="s">
        <v>20835</v>
      </c>
      <c r="E4185" s="74" t="s">
        <v>391</v>
      </c>
      <c r="F4185" s="74">
        <v>0.1</v>
      </c>
      <c r="G4185" s="74"/>
      <c r="H4185" s="74"/>
      <c r="I4185" s="74" t="s">
        <v>391</v>
      </c>
      <c r="J4185" s="74"/>
      <c r="K4185" s="74">
        <v>102.4</v>
      </c>
      <c r="L4185" s="74">
        <v>92.16</v>
      </c>
      <c r="M4185" s="74"/>
      <c r="N4185" s="74" t="s">
        <v>392</v>
      </c>
      <c r="O4185" s="74" t="s">
        <v>393</v>
      </c>
      <c r="P4185" s="74"/>
      <c r="Q4185" s="74" t="s">
        <v>20835</v>
      </c>
    </row>
    <row r="4186" spans="3:17" x14ac:dyDescent="0.25">
      <c r="C4186" s="74" t="s">
        <v>20859</v>
      </c>
      <c r="D4186" s="74" t="s">
        <v>20860</v>
      </c>
      <c r="E4186" s="74" t="s">
        <v>391</v>
      </c>
      <c r="F4186" s="74">
        <v>0.1</v>
      </c>
      <c r="G4186" s="74"/>
      <c r="H4186" s="74"/>
      <c r="I4186" s="74" t="s">
        <v>391</v>
      </c>
      <c r="J4186" s="74"/>
      <c r="K4186" s="74">
        <v>102.4</v>
      </c>
      <c r="L4186" s="74">
        <v>92.16</v>
      </c>
      <c r="M4186" s="74"/>
      <c r="N4186" s="74" t="s">
        <v>392</v>
      </c>
      <c r="O4186" s="74" t="s">
        <v>393</v>
      </c>
      <c r="P4186" s="74"/>
      <c r="Q4186" s="74" t="s">
        <v>20861</v>
      </c>
    </row>
    <row r="4187" spans="3:17" x14ac:dyDescent="0.25">
      <c r="C4187" s="74" t="s">
        <v>20862</v>
      </c>
      <c r="D4187" s="74" t="s">
        <v>20863</v>
      </c>
      <c r="E4187" s="74" t="s">
        <v>391</v>
      </c>
      <c r="F4187" s="74">
        <v>0.1</v>
      </c>
      <c r="G4187" s="74"/>
      <c r="H4187" s="74"/>
      <c r="I4187" s="74" t="s">
        <v>391</v>
      </c>
      <c r="J4187" s="74"/>
      <c r="K4187" s="74">
        <v>102.4</v>
      </c>
      <c r="L4187" s="74">
        <v>92.16</v>
      </c>
      <c r="M4187" s="74"/>
      <c r="N4187" s="74" t="s">
        <v>392</v>
      </c>
      <c r="O4187" s="74" t="s">
        <v>393</v>
      </c>
      <c r="P4187" s="74"/>
      <c r="Q4187" s="74" t="s">
        <v>20864</v>
      </c>
    </row>
    <row r="4188" spans="3:17" x14ac:dyDescent="0.25">
      <c r="C4188" s="74" t="s">
        <v>20865</v>
      </c>
      <c r="D4188" s="74" t="s">
        <v>20866</v>
      </c>
      <c r="E4188" s="74" t="s">
        <v>391</v>
      </c>
      <c r="F4188" s="74">
        <v>0.1</v>
      </c>
      <c r="G4188" s="74"/>
      <c r="H4188" s="74"/>
      <c r="I4188" s="74" t="s">
        <v>391</v>
      </c>
      <c r="J4188" s="74"/>
      <c r="K4188" s="74">
        <v>102.4</v>
      </c>
      <c r="L4188" s="74">
        <v>92.16</v>
      </c>
      <c r="M4188" s="74"/>
      <c r="N4188" s="74" t="s">
        <v>392</v>
      </c>
      <c r="O4188" s="74" t="s">
        <v>393</v>
      </c>
      <c r="P4188" s="74"/>
      <c r="Q4188" s="74" t="s">
        <v>20866</v>
      </c>
    </row>
    <row r="4189" spans="3:17" x14ac:dyDescent="0.25">
      <c r="C4189" s="74" t="s">
        <v>20867</v>
      </c>
      <c r="D4189" s="74" t="s">
        <v>20868</v>
      </c>
      <c r="E4189" s="74" t="s">
        <v>391</v>
      </c>
      <c r="F4189" s="74">
        <v>0.1</v>
      </c>
      <c r="G4189" s="74"/>
      <c r="H4189" s="74"/>
      <c r="I4189" s="74" t="s">
        <v>391</v>
      </c>
      <c r="J4189" s="74"/>
      <c r="K4189" s="74">
        <v>102.4</v>
      </c>
      <c r="L4189" s="74">
        <v>92.16</v>
      </c>
      <c r="M4189" s="74"/>
      <c r="N4189" s="74" t="s">
        <v>392</v>
      </c>
      <c r="O4189" s="74" t="s">
        <v>393</v>
      </c>
      <c r="P4189" s="74"/>
      <c r="Q4189" s="74" t="s">
        <v>20868</v>
      </c>
    </row>
    <row r="4190" spans="3:17" x14ac:dyDescent="0.25">
      <c r="C4190" s="74" t="s">
        <v>20908</v>
      </c>
      <c r="D4190" s="74" t="s">
        <v>20909</v>
      </c>
      <c r="E4190" s="74" t="s">
        <v>391</v>
      </c>
      <c r="F4190" s="74">
        <v>0.1</v>
      </c>
      <c r="G4190" s="74"/>
      <c r="H4190" s="74"/>
      <c r="I4190" s="74" t="s">
        <v>391</v>
      </c>
      <c r="J4190" s="74"/>
      <c r="K4190" s="74">
        <v>102.4</v>
      </c>
      <c r="L4190" s="74">
        <v>92.16</v>
      </c>
      <c r="M4190" s="74"/>
      <c r="N4190" s="74" t="s">
        <v>392</v>
      </c>
      <c r="O4190" s="74" t="s">
        <v>393</v>
      </c>
      <c r="P4190" s="74"/>
      <c r="Q4190" s="74" t="s">
        <v>20910</v>
      </c>
    </row>
    <row r="4191" spans="3:17" x14ac:dyDescent="0.25">
      <c r="C4191" s="74" t="s">
        <v>20911</v>
      </c>
      <c r="D4191" s="74" t="s">
        <v>20912</v>
      </c>
      <c r="E4191" s="74" t="s">
        <v>391</v>
      </c>
      <c r="F4191" s="74">
        <v>0.1</v>
      </c>
      <c r="G4191" s="74"/>
      <c r="H4191" s="74"/>
      <c r="I4191" s="74" t="s">
        <v>391</v>
      </c>
      <c r="J4191" s="74"/>
      <c r="K4191" s="74">
        <v>102.4</v>
      </c>
      <c r="L4191" s="74">
        <v>92.16</v>
      </c>
      <c r="M4191" s="74"/>
      <c r="N4191" s="74" t="s">
        <v>392</v>
      </c>
      <c r="O4191" s="74" t="s">
        <v>393</v>
      </c>
      <c r="P4191" s="74"/>
      <c r="Q4191" s="74" t="s">
        <v>20913</v>
      </c>
    </row>
    <row r="4192" spans="3:17" x14ac:dyDescent="0.25">
      <c r="C4192" s="74" t="s">
        <v>20936</v>
      </c>
      <c r="D4192" s="74" t="s">
        <v>20937</v>
      </c>
      <c r="E4192" s="74" t="s">
        <v>391</v>
      </c>
      <c r="F4192" s="74">
        <v>0.1</v>
      </c>
      <c r="G4192" s="74"/>
      <c r="H4192" s="74"/>
      <c r="I4192" s="74" t="s">
        <v>391</v>
      </c>
      <c r="J4192" s="74"/>
      <c r="K4192" s="74">
        <v>102.4</v>
      </c>
      <c r="L4192" s="74">
        <v>92.16</v>
      </c>
      <c r="M4192" s="74"/>
      <c r="N4192" s="74" t="s">
        <v>392</v>
      </c>
      <c r="O4192" s="74" t="s">
        <v>393</v>
      </c>
      <c r="P4192" s="74"/>
      <c r="Q4192" s="74" t="s">
        <v>20938</v>
      </c>
    </row>
    <row r="4193" spans="3:17" x14ac:dyDescent="0.25">
      <c r="C4193" s="74" t="s">
        <v>20942</v>
      </c>
      <c r="D4193" s="74" t="s">
        <v>20943</v>
      </c>
      <c r="E4193" s="74" t="s">
        <v>391</v>
      </c>
      <c r="F4193" s="74">
        <v>0.1</v>
      </c>
      <c r="G4193" s="74"/>
      <c r="H4193" s="74"/>
      <c r="I4193" s="74" t="s">
        <v>391</v>
      </c>
      <c r="J4193" s="74"/>
      <c r="K4193" s="74">
        <v>102.4</v>
      </c>
      <c r="L4193" s="74">
        <v>92.16</v>
      </c>
      <c r="M4193" s="74"/>
      <c r="N4193" s="74" t="s">
        <v>392</v>
      </c>
      <c r="O4193" s="74" t="s">
        <v>393</v>
      </c>
      <c r="P4193" s="74"/>
      <c r="Q4193" s="74" t="s">
        <v>20944</v>
      </c>
    </row>
    <row r="4194" spans="3:17" x14ac:dyDescent="0.25">
      <c r="C4194" s="74" t="s">
        <v>20949</v>
      </c>
      <c r="D4194" s="74" t="s">
        <v>20950</v>
      </c>
      <c r="E4194" s="74" t="s">
        <v>391</v>
      </c>
      <c r="F4194" s="74">
        <v>0.1</v>
      </c>
      <c r="G4194" s="74"/>
      <c r="H4194" s="74"/>
      <c r="I4194" s="74" t="s">
        <v>391</v>
      </c>
      <c r="J4194" s="74"/>
      <c r="K4194" s="74">
        <v>102.4</v>
      </c>
      <c r="L4194" s="74">
        <v>92.16</v>
      </c>
      <c r="M4194" s="74"/>
      <c r="N4194" s="74" t="s">
        <v>392</v>
      </c>
      <c r="O4194" s="74" t="s">
        <v>393</v>
      </c>
      <c r="P4194" s="74"/>
      <c r="Q4194" s="74" t="s">
        <v>20951</v>
      </c>
    </row>
    <row r="4195" spans="3:17" x14ac:dyDescent="0.25">
      <c r="C4195" s="74" t="s">
        <v>20967</v>
      </c>
      <c r="D4195" s="74" t="s">
        <v>20968</v>
      </c>
      <c r="E4195" s="74" t="s">
        <v>391</v>
      </c>
      <c r="F4195" s="74">
        <v>0.1</v>
      </c>
      <c r="G4195" s="74"/>
      <c r="H4195" s="74"/>
      <c r="I4195" s="74" t="s">
        <v>391</v>
      </c>
      <c r="J4195" s="74"/>
      <c r="K4195" s="74">
        <v>102.4</v>
      </c>
      <c r="L4195" s="74">
        <v>92.16</v>
      </c>
      <c r="M4195" s="74"/>
      <c r="N4195" s="74" t="s">
        <v>392</v>
      </c>
      <c r="O4195" s="74" t="s">
        <v>393</v>
      </c>
      <c r="P4195" s="74"/>
      <c r="Q4195" s="74" t="s">
        <v>20969</v>
      </c>
    </row>
    <row r="4196" spans="3:17" x14ac:dyDescent="0.25">
      <c r="C4196" s="74" t="s">
        <v>20974</v>
      </c>
      <c r="D4196" s="74" t="s">
        <v>20975</v>
      </c>
      <c r="E4196" s="74" t="s">
        <v>391</v>
      </c>
      <c r="F4196" s="74">
        <v>0.1</v>
      </c>
      <c r="G4196" s="74"/>
      <c r="H4196" s="74"/>
      <c r="I4196" s="74" t="s">
        <v>391</v>
      </c>
      <c r="J4196" s="74"/>
      <c r="K4196" s="74">
        <v>102.4</v>
      </c>
      <c r="L4196" s="74">
        <v>92.16</v>
      </c>
      <c r="M4196" s="74"/>
      <c r="N4196" s="74" t="s">
        <v>392</v>
      </c>
      <c r="O4196" s="74" t="s">
        <v>393</v>
      </c>
      <c r="P4196" s="74"/>
      <c r="Q4196" s="74" t="s">
        <v>20976</v>
      </c>
    </row>
    <row r="4197" spans="3:17" x14ac:dyDescent="0.25">
      <c r="C4197" s="74" t="s">
        <v>20989</v>
      </c>
      <c r="D4197" s="74" t="s">
        <v>20990</v>
      </c>
      <c r="E4197" s="74" t="s">
        <v>391</v>
      </c>
      <c r="F4197" s="74">
        <v>0.1</v>
      </c>
      <c r="G4197" s="74"/>
      <c r="H4197" s="74"/>
      <c r="I4197" s="74" t="s">
        <v>391</v>
      </c>
      <c r="J4197" s="74"/>
      <c r="K4197" s="74">
        <v>102.4</v>
      </c>
      <c r="L4197" s="74">
        <v>92.16</v>
      </c>
      <c r="M4197" s="74"/>
      <c r="N4197" s="74" t="s">
        <v>392</v>
      </c>
      <c r="O4197" s="74" t="s">
        <v>393</v>
      </c>
      <c r="P4197" s="74"/>
      <c r="Q4197" s="74" t="s">
        <v>20990</v>
      </c>
    </row>
    <row r="4198" spans="3:17" x14ac:dyDescent="0.25">
      <c r="C4198" s="74" t="s">
        <v>21005</v>
      </c>
      <c r="D4198" s="74" t="s">
        <v>21006</v>
      </c>
      <c r="E4198" s="74" t="s">
        <v>391</v>
      </c>
      <c r="F4198" s="74">
        <v>0.1</v>
      </c>
      <c r="G4198" s="74"/>
      <c r="H4198" s="74"/>
      <c r="I4198" s="74" t="s">
        <v>391</v>
      </c>
      <c r="J4198" s="74"/>
      <c r="K4198" s="74">
        <v>102.4</v>
      </c>
      <c r="L4198" s="74">
        <v>92.16</v>
      </c>
      <c r="M4198" s="74"/>
      <c r="N4198" s="74" t="s">
        <v>392</v>
      </c>
      <c r="O4198" s="74" t="s">
        <v>393</v>
      </c>
      <c r="P4198" s="74"/>
      <c r="Q4198" s="74" t="s">
        <v>21007</v>
      </c>
    </row>
    <row r="4199" spans="3:17" x14ac:dyDescent="0.25">
      <c r="C4199" s="74" t="s">
        <v>21008</v>
      </c>
      <c r="D4199" s="74" t="s">
        <v>21009</v>
      </c>
      <c r="E4199" s="74" t="s">
        <v>391</v>
      </c>
      <c r="F4199" s="74">
        <v>0.1</v>
      </c>
      <c r="G4199" s="74"/>
      <c r="H4199" s="74"/>
      <c r="I4199" s="74" t="s">
        <v>391</v>
      </c>
      <c r="J4199" s="74"/>
      <c r="K4199" s="74">
        <v>102.4</v>
      </c>
      <c r="L4199" s="74">
        <v>92.16</v>
      </c>
      <c r="M4199" s="74"/>
      <c r="N4199" s="74" t="s">
        <v>392</v>
      </c>
      <c r="O4199" s="74" t="s">
        <v>393</v>
      </c>
      <c r="P4199" s="74"/>
      <c r="Q4199" s="74" t="s">
        <v>21010</v>
      </c>
    </row>
    <row r="4200" spans="3:17" x14ac:dyDescent="0.25">
      <c r="C4200" s="74" t="s">
        <v>21011</v>
      </c>
      <c r="D4200" s="74" t="s">
        <v>21012</v>
      </c>
      <c r="E4200" s="74" t="s">
        <v>391</v>
      </c>
      <c r="F4200" s="74">
        <v>0.1</v>
      </c>
      <c r="G4200" s="74"/>
      <c r="H4200" s="74"/>
      <c r="I4200" s="74" t="s">
        <v>391</v>
      </c>
      <c r="J4200" s="74"/>
      <c r="K4200" s="74">
        <v>102.4</v>
      </c>
      <c r="L4200" s="74">
        <v>92.16</v>
      </c>
      <c r="M4200" s="74"/>
      <c r="N4200" s="74" t="s">
        <v>392</v>
      </c>
      <c r="O4200" s="74" t="s">
        <v>393</v>
      </c>
      <c r="P4200" s="74"/>
      <c r="Q4200" s="74" t="s">
        <v>21013</v>
      </c>
    </row>
    <row r="4201" spans="3:17" x14ac:dyDescent="0.25">
      <c r="C4201" s="74" t="s">
        <v>21014</v>
      </c>
      <c r="D4201" s="74" t="s">
        <v>21015</v>
      </c>
      <c r="E4201" s="74" t="s">
        <v>391</v>
      </c>
      <c r="F4201" s="74">
        <v>0.1</v>
      </c>
      <c r="G4201" s="74"/>
      <c r="H4201" s="74"/>
      <c r="I4201" s="74" t="s">
        <v>391</v>
      </c>
      <c r="J4201" s="74"/>
      <c r="K4201" s="74">
        <v>102.4</v>
      </c>
      <c r="L4201" s="74">
        <v>92.16</v>
      </c>
      <c r="M4201" s="74"/>
      <c r="N4201" s="74" t="s">
        <v>392</v>
      </c>
      <c r="O4201" s="74" t="s">
        <v>393</v>
      </c>
      <c r="P4201" s="74"/>
      <c r="Q4201" s="74" t="s">
        <v>21016</v>
      </c>
    </row>
    <row r="4202" spans="3:17" x14ac:dyDescent="0.25">
      <c r="C4202" s="74" t="s">
        <v>21017</v>
      </c>
      <c r="D4202" s="74" t="s">
        <v>21018</v>
      </c>
      <c r="E4202" s="74" t="s">
        <v>391</v>
      </c>
      <c r="F4202" s="74">
        <v>0.1</v>
      </c>
      <c r="G4202" s="74"/>
      <c r="H4202" s="74"/>
      <c r="I4202" s="74" t="s">
        <v>391</v>
      </c>
      <c r="J4202" s="74"/>
      <c r="K4202" s="74">
        <v>102.4</v>
      </c>
      <c r="L4202" s="74">
        <v>92.16</v>
      </c>
      <c r="M4202" s="74"/>
      <c r="N4202" s="74" t="s">
        <v>392</v>
      </c>
      <c r="O4202" s="74" t="s">
        <v>393</v>
      </c>
      <c r="P4202" s="74"/>
      <c r="Q4202" s="74" t="s">
        <v>21019</v>
      </c>
    </row>
    <row r="4203" spans="3:17" x14ac:dyDescent="0.25">
      <c r="C4203" s="74" t="s">
        <v>21020</v>
      </c>
      <c r="D4203" s="74" t="s">
        <v>21021</v>
      </c>
      <c r="E4203" s="74" t="s">
        <v>391</v>
      </c>
      <c r="F4203" s="74">
        <v>0.1</v>
      </c>
      <c r="G4203" s="74"/>
      <c r="H4203" s="74"/>
      <c r="I4203" s="74" t="s">
        <v>391</v>
      </c>
      <c r="J4203" s="74"/>
      <c r="K4203" s="74">
        <v>102.4</v>
      </c>
      <c r="L4203" s="74">
        <v>92.16</v>
      </c>
      <c r="M4203" s="74"/>
      <c r="N4203" s="74" t="s">
        <v>392</v>
      </c>
      <c r="O4203" s="74" t="s">
        <v>393</v>
      </c>
      <c r="P4203" s="74"/>
      <c r="Q4203" s="74" t="s">
        <v>21022</v>
      </c>
    </row>
    <row r="4204" spans="3:17" x14ac:dyDescent="0.25">
      <c r="C4204" s="74" t="s">
        <v>21029</v>
      </c>
      <c r="D4204" s="74" t="s">
        <v>21030</v>
      </c>
      <c r="E4204" s="74" t="s">
        <v>391</v>
      </c>
      <c r="F4204" s="74">
        <v>0.1</v>
      </c>
      <c r="G4204" s="74"/>
      <c r="H4204" s="74"/>
      <c r="I4204" s="74" t="s">
        <v>391</v>
      </c>
      <c r="J4204" s="74"/>
      <c r="K4204" s="74">
        <v>102.4</v>
      </c>
      <c r="L4204" s="74">
        <v>92.16</v>
      </c>
      <c r="M4204" s="74"/>
      <c r="N4204" s="74" t="s">
        <v>392</v>
      </c>
      <c r="O4204" s="74" t="s">
        <v>393</v>
      </c>
      <c r="P4204" s="74"/>
      <c r="Q4204" s="74" t="s">
        <v>21031</v>
      </c>
    </row>
    <row r="4205" spans="3:17" x14ac:dyDescent="0.25">
      <c r="C4205" s="74" t="s">
        <v>21036</v>
      </c>
      <c r="D4205" s="74" t="s">
        <v>21037</v>
      </c>
      <c r="E4205" s="74" t="s">
        <v>391</v>
      </c>
      <c r="F4205" s="74">
        <v>0.1</v>
      </c>
      <c r="G4205" s="74"/>
      <c r="H4205" s="74"/>
      <c r="I4205" s="74" t="s">
        <v>391</v>
      </c>
      <c r="J4205" s="74"/>
      <c r="K4205" s="74">
        <v>102.4</v>
      </c>
      <c r="L4205" s="74">
        <v>92.16</v>
      </c>
      <c r="M4205" s="74"/>
      <c r="N4205" s="74" t="s">
        <v>392</v>
      </c>
      <c r="O4205" s="74" t="s">
        <v>393</v>
      </c>
      <c r="P4205" s="74"/>
      <c r="Q4205" s="74" t="s">
        <v>21038</v>
      </c>
    </row>
    <row r="4206" spans="3:17" x14ac:dyDescent="0.25">
      <c r="C4206" s="74" t="s">
        <v>21046</v>
      </c>
      <c r="D4206" s="74" t="s">
        <v>21047</v>
      </c>
      <c r="E4206" s="74" t="s">
        <v>391</v>
      </c>
      <c r="F4206" s="74">
        <v>0.1</v>
      </c>
      <c r="G4206" s="74"/>
      <c r="H4206" s="74"/>
      <c r="I4206" s="74" t="s">
        <v>391</v>
      </c>
      <c r="J4206" s="74"/>
      <c r="K4206" s="74">
        <v>102.4</v>
      </c>
      <c r="L4206" s="74">
        <v>92.16</v>
      </c>
      <c r="M4206" s="74"/>
      <c r="N4206" s="74" t="s">
        <v>392</v>
      </c>
      <c r="O4206" s="74" t="s">
        <v>393</v>
      </c>
      <c r="P4206" s="74"/>
      <c r="Q4206" s="74" t="s">
        <v>21048</v>
      </c>
    </row>
    <row r="4207" spans="3:17" x14ac:dyDescent="0.25">
      <c r="C4207" s="74" t="s">
        <v>21057</v>
      </c>
      <c r="D4207" s="74" t="s">
        <v>20870</v>
      </c>
      <c r="E4207" s="74" t="s">
        <v>391</v>
      </c>
      <c r="F4207" s="74">
        <v>0.1</v>
      </c>
      <c r="G4207" s="74"/>
      <c r="H4207" s="74"/>
      <c r="I4207" s="74" t="s">
        <v>391</v>
      </c>
      <c r="J4207" s="74"/>
      <c r="K4207" s="74">
        <v>102.4</v>
      </c>
      <c r="L4207" s="74">
        <v>92.16</v>
      </c>
      <c r="M4207" s="74"/>
      <c r="N4207" s="74" t="s">
        <v>392</v>
      </c>
      <c r="O4207" s="74" t="s">
        <v>393</v>
      </c>
      <c r="P4207" s="74"/>
      <c r="Q4207" s="74" t="s">
        <v>21058</v>
      </c>
    </row>
    <row r="4208" spans="3:17" x14ac:dyDescent="0.25">
      <c r="C4208" s="74" t="s">
        <v>21059</v>
      </c>
      <c r="D4208" s="74" t="s">
        <v>21060</v>
      </c>
      <c r="E4208" s="74" t="s">
        <v>391</v>
      </c>
      <c r="F4208" s="74">
        <v>0.1</v>
      </c>
      <c r="G4208" s="74"/>
      <c r="H4208" s="74"/>
      <c r="I4208" s="74" t="s">
        <v>391</v>
      </c>
      <c r="J4208" s="74"/>
      <c r="K4208" s="74">
        <v>102.4</v>
      </c>
      <c r="L4208" s="74">
        <v>92.16</v>
      </c>
      <c r="M4208" s="74"/>
      <c r="N4208" s="74" t="s">
        <v>392</v>
      </c>
      <c r="O4208" s="74" t="s">
        <v>393</v>
      </c>
      <c r="P4208" s="74"/>
      <c r="Q4208" s="74" t="s">
        <v>21061</v>
      </c>
    </row>
    <row r="4209" spans="3:17" x14ac:dyDescent="0.25">
      <c r="C4209" s="74" t="s">
        <v>21069</v>
      </c>
      <c r="D4209" s="74" t="s">
        <v>21070</v>
      </c>
      <c r="E4209" s="74" t="s">
        <v>391</v>
      </c>
      <c r="F4209" s="74">
        <v>0.1</v>
      </c>
      <c r="G4209" s="74"/>
      <c r="H4209" s="74"/>
      <c r="I4209" s="74" t="s">
        <v>391</v>
      </c>
      <c r="J4209" s="74"/>
      <c r="K4209" s="74">
        <v>102.4</v>
      </c>
      <c r="L4209" s="74">
        <v>92.16</v>
      </c>
      <c r="M4209" s="74"/>
      <c r="N4209" s="74" t="s">
        <v>392</v>
      </c>
      <c r="O4209" s="74" t="s">
        <v>393</v>
      </c>
      <c r="P4209" s="74"/>
      <c r="Q4209" s="74" t="s">
        <v>21071</v>
      </c>
    </row>
    <row r="4210" spans="3:17" x14ac:dyDescent="0.25">
      <c r="C4210" s="74" t="s">
        <v>21088</v>
      </c>
      <c r="D4210" s="74" t="s">
        <v>21089</v>
      </c>
      <c r="E4210" s="74" t="s">
        <v>391</v>
      </c>
      <c r="F4210" s="74">
        <v>0.1</v>
      </c>
      <c r="G4210" s="74"/>
      <c r="H4210" s="74"/>
      <c r="I4210" s="74" t="s">
        <v>391</v>
      </c>
      <c r="J4210" s="74"/>
      <c r="K4210" s="74">
        <v>102.4</v>
      </c>
      <c r="L4210" s="74">
        <v>92.16</v>
      </c>
      <c r="M4210" s="74"/>
      <c r="N4210" s="74" t="s">
        <v>392</v>
      </c>
      <c r="O4210" s="74" t="s">
        <v>393</v>
      </c>
      <c r="P4210" s="74"/>
      <c r="Q4210" s="74" t="s">
        <v>21090</v>
      </c>
    </row>
    <row r="4211" spans="3:17" x14ac:dyDescent="0.25">
      <c r="C4211" s="74" t="s">
        <v>21143</v>
      </c>
      <c r="D4211" s="74" t="s">
        <v>21144</v>
      </c>
      <c r="E4211" s="74" t="s">
        <v>391</v>
      </c>
      <c r="F4211" s="74">
        <v>0.1</v>
      </c>
      <c r="G4211" s="74"/>
      <c r="H4211" s="74"/>
      <c r="I4211" s="74" t="s">
        <v>391</v>
      </c>
      <c r="J4211" s="74"/>
      <c r="K4211" s="74">
        <v>102.4</v>
      </c>
      <c r="L4211" s="74">
        <v>92.16</v>
      </c>
      <c r="M4211" s="74"/>
      <c r="N4211" s="74" t="s">
        <v>392</v>
      </c>
      <c r="O4211" s="74" t="s">
        <v>393</v>
      </c>
      <c r="P4211" s="74"/>
      <c r="Q4211" s="74" t="s">
        <v>21145</v>
      </c>
    </row>
    <row r="4212" spans="3:17" x14ac:dyDescent="0.25">
      <c r="C4212" s="74" t="s">
        <v>21149</v>
      </c>
      <c r="D4212" s="74" t="s">
        <v>21150</v>
      </c>
      <c r="E4212" s="74" t="s">
        <v>391</v>
      </c>
      <c r="F4212" s="74">
        <v>0.1</v>
      </c>
      <c r="G4212" s="74"/>
      <c r="H4212" s="74"/>
      <c r="I4212" s="74" t="s">
        <v>391</v>
      </c>
      <c r="J4212" s="74"/>
      <c r="K4212" s="74">
        <v>102.4</v>
      </c>
      <c r="L4212" s="74">
        <v>92.16</v>
      </c>
      <c r="M4212" s="74"/>
      <c r="N4212" s="74" t="s">
        <v>392</v>
      </c>
      <c r="O4212" s="74" t="s">
        <v>393</v>
      </c>
      <c r="P4212" s="74"/>
      <c r="Q4212" s="74" t="s">
        <v>21151</v>
      </c>
    </row>
    <row r="4213" spans="3:17" x14ac:dyDescent="0.25">
      <c r="C4213" s="74" t="s">
        <v>21152</v>
      </c>
      <c r="D4213" s="74" t="s">
        <v>21153</v>
      </c>
      <c r="E4213" s="74" t="s">
        <v>391</v>
      </c>
      <c r="F4213" s="74">
        <v>0.1</v>
      </c>
      <c r="G4213" s="74"/>
      <c r="H4213" s="74"/>
      <c r="I4213" s="74" t="s">
        <v>391</v>
      </c>
      <c r="J4213" s="74"/>
      <c r="K4213" s="74">
        <v>102.4</v>
      </c>
      <c r="L4213" s="74">
        <v>92.16</v>
      </c>
      <c r="M4213" s="74"/>
      <c r="N4213" s="74" t="s">
        <v>392</v>
      </c>
      <c r="O4213" s="74" t="s">
        <v>393</v>
      </c>
      <c r="P4213" s="74"/>
      <c r="Q4213" s="74" t="s">
        <v>21154</v>
      </c>
    </row>
    <row r="4214" spans="3:17" x14ac:dyDescent="0.25">
      <c r="C4214" s="74" t="s">
        <v>21159</v>
      </c>
      <c r="D4214" s="74" t="s">
        <v>21160</v>
      </c>
      <c r="E4214" s="74" t="s">
        <v>391</v>
      </c>
      <c r="F4214" s="74">
        <v>0.1</v>
      </c>
      <c r="G4214" s="74"/>
      <c r="H4214" s="74"/>
      <c r="I4214" s="74" t="s">
        <v>391</v>
      </c>
      <c r="J4214" s="74"/>
      <c r="K4214" s="74">
        <v>102.4</v>
      </c>
      <c r="L4214" s="74">
        <v>92.16</v>
      </c>
      <c r="M4214" s="74"/>
      <c r="N4214" s="74" t="s">
        <v>392</v>
      </c>
      <c r="O4214" s="74" t="s">
        <v>393</v>
      </c>
      <c r="P4214" s="74"/>
      <c r="Q4214" s="74" t="s">
        <v>21161</v>
      </c>
    </row>
    <row r="4215" spans="3:17" x14ac:dyDescent="0.25">
      <c r="C4215" s="74" t="s">
        <v>21162</v>
      </c>
      <c r="D4215" s="74" t="s">
        <v>21163</v>
      </c>
      <c r="E4215" s="74" t="s">
        <v>391</v>
      </c>
      <c r="F4215" s="74">
        <v>0.1</v>
      </c>
      <c r="G4215" s="74"/>
      <c r="H4215" s="74"/>
      <c r="I4215" s="74" t="s">
        <v>391</v>
      </c>
      <c r="J4215" s="74"/>
      <c r="K4215" s="74">
        <v>102.4</v>
      </c>
      <c r="L4215" s="74">
        <v>92.16</v>
      </c>
      <c r="M4215" s="74"/>
      <c r="N4215" s="74" t="s">
        <v>392</v>
      </c>
      <c r="O4215" s="74" t="s">
        <v>393</v>
      </c>
      <c r="P4215" s="74"/>
      <c r="Q4215" s="74" t="s">
        <v>21164</v>
      </c>
    </row>
    <row r="4216" spans="3:17" x14ac:dyDescent="0.25">
      <c r="C4216" s="74" t="s">
        <v>21180</v>
      </c>
      <c r="D4216" s="74" t="s">
        <v>21181</v>
      </c>
      <c r="E4216" s="74" t="s">
        <v>391</v>
      </c>
      <c r="F4216" s="74">
        <v>0.1</v>
      </c>
      <c r="G4216" s="74"/>
      <c r="H4216" s="74"/>
      <c r="I4216" s="74" t="s">
        <v>391</v>
      </c>
      <c r="J4216" s="74"/>
      <c r="K4216" s="74">
        <v>102.4</v>
      </c>
      <c r="L4216" s="74">
        <v>92.16</v>
      </c>
      <c r="M4216" s="74"/>
      <c r="N4216" s="74" t="s">
        <v>392</v>
      </c>
      <c r="O4216" s="74" t="s">
        <v>393</v>
      </c>
      <c r="P4216" s="74"/>
      <c r="Q4216" s="74" t="s">
        <v>21182</v>
      </c>
    </row>
    <row r="4217" spans="3:17" x14ac:dyDescent="0.25">
      <c r="C4217" s="74" t="s">
        <v>21183</v>
      </c>
      <c r="D4217" s="74" t="s">
        <v>21184</v>
      </c>
      <c r="E4217" s="74" t="s">
        <v>391</v>
      </c>
      <c r="F4217" s="74">
        <v>0.1</v>
      </c>
      <c r="G4217" s="74"/>
      <c r="H4217" s="74"/>
      <c r="I4217" s="74" t="s">
        <v>391</v>
      </c>
      <c r="J4217" s="74"/>
      <c r="K4217" s="74">
        <v>102.4</v>
      </c>
      <c r="L4217" s="74">
        <v>92.16</v>
      </c>
      <c r="M4217" s="74"/>
      <c r="N4217" s="74" t="s">
        <v>392</v>
      </c>
      <c r="O4217" s="74" t="s">
        <v>393</v>
      </c>
      <c r="P4217" s="74"/>
      <c r="Q4217" s="74" t="s">
        <v>21184</v>
      </c>
    </row>
    <row r="4218" spans="3:17" x14ac:dyDescent="0.25">
      <c r="C4218" s="158" t="s">
        <v>21192</v>
      </c>
      <c r="D4218" s="158" t="s">
        <v>21193</v>
      </c>
      <c r="E4218" s="158" t="s">
        <v>391</v>
      </c>
      <c r="F4218" s="158">
        <v>0.1</v>
      </c>
      <c r="I4218" s="158" t="s">
        <v>391</v>
      </c>
      <c r="K4218" s="158">
        <v>102.4</v>
      </c>
      <c r="L4218" s="158">
        <v>92.16</v>
      </c>
      <c r="N4218" s="158" t="s">
        <v>392</v>
      </c>
      <c r="O4218" s="158" t="s">
        <v>393</v>
      </c>
      <c r="Q4218" s="158" t="s">
        <v>21194</v>
      </c>
    </row>
    <row r="4219" spans="3:17" x14ac:dyDescent="0.25">
      <c r="C4219" s="158" t="s">
        <v>21202</v>
      </c>
      <c r="D4219" s="158" t="s">
        <v>21203</v>
      </c>
      <c r="E4219" s="158" t="s">
        <v>391</v>
      </c>
      <c r="F4219" s="158">
        <v>0.1</v>
      </c>
      <c r="I4219" s="158" t="s">
        <v>391</v>
      </c>
      <c r="K4219" s="158">
        <v>102.4</v>
      </c>
      <c r="L4219" s="158">
        <v>92.16</v>
      </c>
      <c r="N4219" s="158" t="s">
        <v>392</v>
      </c>
      <c r="O4219" s="158" t="s">
        <v>393</v>
      </c>
      <c r="Q4219" s="158" t="s">
        <v>21204</v>
      </c>
    </row>
    <row r="4220" spans="3:17" x14ac:dyDescent="0.25">
      <c r="C4220" s="158" t="s">
        <v>21240</v>
      </c>
      <c r="D4220" s="158" t="s">
        <v>21241</v>
      </c>
      <c r="E4220" s="158" t="s">
        <v>391</v>
      </c>
      <c r="F4220" s="158">
        <v>0.1</v>
      </c>
      <c r="I4220" s="158" t="s">
        <v>391</v>
      </c>
      <c r="K4220" s="158">
        <v>102.4</v>
      </c>
      <c r="L4220" s="158">
        <v>92.16</v>
      </c>
      <c r="N4220" s="158" t="s">
        <v>392</v>
      </c>
      <c r="O4220" s="158" t="s">
        <v>393</v>
      </c>
      <c r="Q4220" s="158" t="s">
        <v>21242</v>
      </c>
    </row>
    <row r="4221" spans="3:17" x14ac:dyDescent="0.25">
      <c r="C4221" s="158" t="s">
        <v>21247</v>
      </c>
      <c r="D4221" s="158" t="s">
        <v>21248</v>
      </c>
      <c r="E4221" s="158" t="s">
        <v>391</v>
      </c>
      <c r="F4221" s="158">
        <v>0.1</v>
      </c>
      <c r="I4221" s="158" t="s">
        <v>391</v>
      </c>
      <c r="K4221" s="158">
        <v>102.4</v>
      </c>
      <c r="L4221" s="158">
        <v>92.16</v>
      </c>
      <c r="N4221" s="158" t="s">
        <v>392</v>
      </c>
      <c r="O4221" s="158" t="s">
        <v>393</v>
      </c>
      <c r="Q4221" s="158" t="s">
        <v>21249</v>
      </c>
    </row>
    <row r="4222" spans="3:17" x14ac:dyDescent="0.25">
      <c r="C4222" s="158" t="s">
        <v>21250</v>
      </c>
      <c r="D4222" s="158" t="s">
        <v>21251</v>
      </c>
      <c r="E4222" s="158" t="s">
        <v>391</v>
      </c>
      <c r="F4222" s="158">
        <v>0.1</v>
      </c>
      <c r="I4222" s="158" t="s">
        <v>391</v>
      </c>
      <c r="K4222" s="158">
        <v>102.4</v>
      </c>
      <c r="L4222" s="158">
        <v>92.16</v>
      </c>
      <c r="N4222" s="158" t="s">
        <v>392</v>
      </c>
      <c r="O4222" s="158" t="s">
        <v>393</v>
      </c>
      <c r="Q4222" s="158" t="s">
        <v>21252</v>
      </c>
    </row>
    <row r="4223" spans="3:17" x14ac:dyDescent="0.25">
      <c r="C4223" s="158" t="s">
        <v>21253</v>
      </c>
      <c r="D4223" s="158" t="s">
        <v>21254</v>
      </c>
      <c r="E4223" s="158" t="s">
        <v>391</v>
      </c>
      <c r="F4223" s="158">
        <v>0.1</v>
      </c>
      <c r="I4223" s="158" t="s">
        <v>391</v>
      </c>
      <c r="K4223" s="158">
        <v>102.4</v>
      </c>
      <c r="L4223" s="158">
        <v>92.16</v>
      </c>
      <c r="N4223" s="158" t="s">
        <v>392</v>
      </c>
      <c r="O4223" s="158" t="s">
        <v>393</v>
      </c>
      <c r="Q4223" s="158" t="s">
        <v>21255</v>
      </c>
    </row>
    <row r="4224" spans="3:17" x14ac:dyDescent="0.25">
      <c r="C4224" s="158" t="s">
        <v>21264</v>
      </c>
      <c r="D4224" s="158" t="s">
        <v>21265</v>
      </c>
      <c r="E4224" s="158" t="s">
        <v>391</v>
      </c>
      <c r="F4224" s="158">
        <v>0.1</v>
      </c>
      <c r="I4224" s="158" t="s">
        <v>391</v>
      </c>
      <c r="K4224" s="158">
        <v>102.4</v>
      </c>
      <c r="L4224" s="158">
        <v>92.16</v>
      </c>
      <c r="N4224" s="158" t="s">
        <v>392</v>
      </c>
      <c r="O4224" s="158" t="s">
        <v>393</v>
      </c>
      <c r="Q4224" s="158" t="s">
        <v>21266</v>
      </c>
    </row>
    <row r="4225" spans="3:17" x14ac:dyDescent="0.25">
      <c r="C4225" s="158" t="s">
        <v>21271</v>
      </c>
      <c r="D4225" s="158" t="s">
        <v>21272</v>
      </c>
      <c r="E4225" s="158" t="s">
        <v>391</v>
      </c>
      <c r="F4225" s="158">
        <v>0.1</v>
      </c>
      <c r="I4225" s="158" t="s">
        <v>391</v>
      </c>
      <c r="K4225" s="158">
        <v>102.4</v>
      </c>
      <c r="L4225" s="158">
        <v>92.16</v>
      </c>
      <c r="N4225" s="158" t="s">
        <v>392</v>
      </c>
      <c r="O4225" s="158" t="s">
        <v>393</v>
      </c>
      <c r="Q4225" s="158" t="s">
        <v>21273</v>
      </c>
    </row>
    <row r="4226" spans="3:17" x14ac:dyDescent="0.25">
      <c r="C4226" s="158" t="s">
        <v>21278</v>
      </c>
      <c r="D4226" s="158" t="s">
        <v>21279</v>
      </c>
      <c r="E4226" s="158" t="s">
        <v>391</v>
      </c>
      <c r="F4226" s="158">
        <v>0.1</v>
      </c>
      <c r="I4226" s="158" t="s">
        <v>391</v>
      </c>
      <c r="K4226" s="158">
        <v>102.4</v>
      </c>
      <c r="L4226" s="158">
        <v>92.16</v>
      </c>
      <c r="N4226" s="158" t="s">
        <v>392</v>
      </c>
      <c r="O4226" s="158" t="s">
        <v>393</v>
      </c>
      <c r="Q4226" s="158" t="s">
        <v>21280</v>
      </c>
    </row>
    <row r="4227" spans="3:17" x14ac:dyDescent="0.25">
      <c r="C4227" s="158" t="s">
        <v>21293</v>
      </c>
      <c r="D4227" s="158" t="s">
        <v>21294</v>
      </c>
      <c r="E4227" s="158" t="s">
        <v>391</v>
      </c>
      <c r="F4227" s="158">
        <v>0.1</v>
      </c>
      <c r="I4227" s="158" t="s">
        <v>391</v>
      </c>
      <c r="K4227" s="158">
        <v>102.4</v>
      </c>
      <c r="L4227" s="158">
        <v>92.16</v>
      </c>
      <c r="N4227" s="158" t="s">
        <v>392</v>
      </c>
      <c r="O4227" s="158" t="s">
        <v>393</v>
      </c>
      <c r="Q4227" s="158" t="s">
        <v>21295</v>
      </c>
    </row>
    <row r="4228" spans="3:17" x14ac:dyDescent="0.25">
      <c r="C4228" s="158" t="s">
        <v>21296</v>
      </c>
      <c r="D4228" s="158" t="s">
        <v>21297</v>
      </c>
      <c r="E4228" s="158" t="s">
        <v>391</v>
      </c>
      <c r="F4228" s="158">
        <v>0.1</v>
      </c>
      <c r="I4228" s="158" t="s">
        <v>391</v>
      </c>
      <c r="K4228" s="158">
        <v>102.4</v>
      </c>
      <c r="L4228" s="158">
        <v>92.16</v>
      </c>
      <c r="N4228" s="158" t="s">
        <v>392</v>
      </c>
      <c r="O4228" s="158" t="s">
        <v>393</v>
      </c>
      <c r="Q4228" s="158" t="s">
        <v>21298</v>
      </c>
    </row>
    <row r="4229" spans="3:17" x14ac:dyDescent="0.25">
      <c r="C4229" s="158" t="s">
        <v>21299</v>
      </c>
      <c r="D4229" s="158" t="s">
        <v>21300</v>
      </c>
      <c r="E4229" s="158" t="s">
        <v>391</v>
      </c>
      <c r="F4229" s="158">
        <v>0.1</v>
      </c>
      <c r="I4229" s="158" t="s">
        <v>391</v>
      </c>
      <c r="K4229" s="158">
        <v>102.4</v>
      </c>
      <c r="L4229" s="158">
        <v>92.16</v>
      </c>
      <c r="N4229" s="158" t="s">
        <v>392</v>
      </c>
      <c r="O4229" s="158" t="s">
        <v>393</v>
      </c>
      <c r="Q4229" s="158" t="s">
        <v>21301</v>
      </c>
    </row>
    <row r="4230" spans="3:17" x14ac:dyDescent="0.25">
      <c r="C4230" s="158" t="s">
        <v>21302</v>
      </c>
      <c r="D4230" s="158" t="s">
        <v>21303</v>
      </c>
      <c r="E4230" s="158" t="s">
        <v>391</v>
      </c>
      <c r="F4230" s="158">
        <v>0.1</v>
      </c>
      <c r="I4230" s="158" t="s">
        <v>391</v>
      </c>
      <c r="K4230" s="158">
        <v>102.4</v>
      </c>
      <c r="L4230" s="158">
        <v>92.16</v>
      </c>
      <c r="N4230" s="158" t="s">
        <v>392</v>
      </c>
      <c r="O4230" s="158" t="s">
        <v>393</v>
      </c>
      <c r="Q4230" s="158" t="s">
        <v>21303</v>
      </c>
    </row>
    <row r="4231" spans="3:17" x14ac:dyDescent="0.25">
      <c r="C4231" s="158" t="s">
        <v>21307</v>
      </c>
      <c r="D4231" s="158" t="s">
        <v>21308</v>
      </c>
      <c r="F4231" s="158">
        <v>0.1</v>
      </c>
      <c r="I4231" s="158" t="s">
        <v>391</v>
      </c>
      <c r="K4231" s="158">
        <v>102.4</v>
      </c>
      <c r="L4231" s="158">
        <v>92.16</v>
      </c>
      <c r="N4231" s="158" t="s">
        <v>392</v>
      </c>
      <c r="O4231" s="158" t="s">
        <v>535</v>
      </c>
      <c r="P4231" s="158" t="s">
        <v>21309</v>
      </c>
      <c r="Q4231" s="158" t="s">
        <v>21310</v>
      </c>
    </row>
    <row r="4232" spans="3:17" x14ac:dyDescent="0.25">
      <c r="C4232" s="158" t="s">
        <v>21311</v>
      </c>
      <c r="D4232" s="158" t="s">
        <v>21312</v>
      </c>
      <c r="F4232" s="158">
        <v>0.1</v>
      </c>
      <c r="I4232" s="158" t="s">
        <v>391</v>
      </c>
      <c r="K4232" s="158">
        <v>102.4</v>
      </c>
      <c r="L4232" s="158">
        <v>92.16</v>
      </c>
      <c r="N4232" s="158" t="s">
        <v>392</v>
      </c>
      <c r="O4232" s="158" t="s">
        <v>1745</v>
      </c>
      <c r="Q4232" s="158" t="s">
        <v>21313</v>
      </c>
    </row>
    <row r="4233" spans="3:17" x14ac:dyDescent="0.25">
      <c r="C4233" s="74" t="s">
        <v>2372</v>
      </c>
      <c r="D4233" s="74" t="s">
        <v>2373</v>
      </c>
      <c r="E4233" s="74"/>
      <c r="F4233" s="74">
        <v>0.09</v>
      </c>
      <c r="G4233" s="74"/>
      <c r="H4233" s="74"/>
      <c r="I4233" s="74" t="s">
        <v>391</v>
      </c>
      <c r="J4233" s="74"/>
      <c r="K4233" s="74">
        <v>102.4</v>
      </c>
      <c r="L4233" s="74">
        <v>92.16</v>
      </c>
      <c r="M4233" s="74"/>
      <c r="N4233" s="74" t="s">
        <v>392</v>
      </c>
      <c r="O4233" s="74" t="s">
        <v>402</v>
      </c>
      <c r="P4233" s="74" t="s">
        <v>2374</v>
      </c>
      <c r="Q4233" s="74" t="s">
        <v>2375</v>
      </c>
    </row>
    <row r="4234" spans="3:17" x14ac:dyDescent="0.25">
      <c r="C4234" s="74" t="s">
        <v>3284</v>
      </c>
      <c r="D4234" s="74" t="s">
        <v>3285</v>
      </c>
      <c r="E4234" s="74"/>
      <c r="F4234" s="74">
        <v>0.09</v>
      </c>
      <c r="G4234" s="74"/>
      <c r="H4234" s="74"/>
      <c r="I4234" s="74" t="s">
        <v>391</v>
      </c>
      <c r="J4234" s="74"/>
      <c r="K4234" s="74">
        <v>102.4</v>
      </c>
      <c r="L4234" s="74">
        <v>92.16</v>
      </c>
      <c r="M4234" s="74"/>
      <c r="N4234" s="74" t="s">
        <v>392</v>
      </c>
      <c r="O4234" s="74" t="s">
        <v>402</v>
      </c>
      <c r="P4234" s="74" t="s">
        <v>3286</v>
      </c>
      <c r="Q4234" s="74" t="s">
        <v>3287</v>
      </c>
    </row>
    <row r="4235" spans="3:17" x14ac:dyDescent="0.25">
      <c r="C4235" s="74" t="s">
        <v>3340</v>
      </c>
      <c r="D4235" s="74" t="s">
        <v>3341</v>
      </c>
      <c r="E4235" s="74"/>
      <c r="F4235" s="74">
        <v>0.09</v>
      </c>
      <c r="G4235" s="74"/>
      <c r="H4235" s="74"/>
      <c r="I4235" s="74" t="s">
        <v>391</v>
      </c>
      <c r="J4235" s="74"/>
      <c r="K4235" s="74">
        <v>102.4</v>
      </c>
      <c r="L4235" s="74">
        <v>92.16</v>
      </c>
      <c r="M4235" s="74"/>
      <c r="N4235" s="74" t="s">
        <v>392</v>
      </c>
      <c r="O4235" s="74" t="s">
        <v>402</v>
      </c>
      <c r="P4235" s="74" t="s">
        <v>3342</v>
      </c>
      <c r="Q4235" s="74" t="s">
        <v>3343</v>
      </c>
    </row>
    <row r="4236" spans="3:17" x14ac:dyDescent="0.25">
      <c r="C4236" s="74" t="s">
        <v>3791</v>
      </c>
      <c r="D4236" s="74" t="s">
        <v>3792</v>
      </c>
      <c r="E4236" s="74"/>
      <c r="F4236" s="74">
        <v>0.09</v>
      </c>
      <c r="G4236" s="74"/>
      <c r="H4236" s="74"/>
      <c r="I4236" s="74" t="s">
        <v>391</v>
      </c>
      <c r="J4236" s="74"/>
      <c r="K4236" s="74">
        <v>102.4</v>
      </c>
      <c r="L4236" s="74">
        <v>92.16</v>
      </c>
      <c r="M4236" s="74"/>
      <c r="N4236" s="74" t="s">
        <v>392</v>
      </c>
      <c r="O4236" s="74" t="s">
        <v>402</v>
      </c>
      <c r="P4236" s="74" t="s">
        <v>3793</v>
      </c>
      <c r="Q4236" s="74" t="s">
        <v>3794</v>
      </c>
    </row>
    <row r="4237" spans="3:17" x14ac:dyDescent="0.25">
      <c r="C4237" s="74" t="s">
        <v>4275</v>
      </c>
      <c r="D4237" s="74" t="s">
        <v>4276</v>
      </c>
      <c r="E4237" s="74"/>
      <c r="F4237" s="74">
        <v>0.09</v>
      </c>
      <c r="G4237" s="74"/>
      <c r="H4237" s="74"/>
      <c r="I4237" s="74" t="s">
        <v>391</v>
      </c>
      <c r="J4237" s="74"/>
      <c r="K4237" s="74">
        <v>102.4</v>
      </c>
      <c r="L4237" s="74">
        <v>92.16</v>
      </c>
      <c r="M4237" s="74"/>
      <c r="N4237" s="74" t="s">
        <v>392</v>
      </c>
      <c r="O4237" s="74" t="s">
        <v>402</v>
      </c>
      <c r="P4237" s="74" t="s">
        <v>4277</v>
      </c>
      <c r="Q4237" s="74" t="s">
        <v>4278</v>
      </c>
    </row>
    <row r="4238" spans="3:17" x14ac:dyDescent="0.25">
      <c r="C4238" s="74" t="s">
        <v>4456</v>
      </c>
      <c r="D4238" s="74" t="s">
        <v>4457</v>
      </c>
      <c r="E4238" s="74"/>
      <c r="F4238" s="74">
        <v>0.09</v>
      </c>
      <c r="G4238" s="74"/>
      <c r="H4238" s="74"/>
      <c r="I4238" s="74" t="s">
        <v>391</v>
      </c>
      <c r="J4238" s="74"/>
      <c r="K4238" s="74">
        <v>102.4</v>
      </c>
      <c r="L4238" s="74">
        <v>92.16</v>
      </c>
      <c r="M4238" s="74"/>
      <c r="N4238" s="74" t="s">
        <v>392</v>
      </c>
      <c r="O4238" s="74" t="s">
        <v>402</v>
      </c>
      <c r="P4238" s="74" t="s">
        <v>4458</v>
      </c>
      <c r="Q4238" s="74" t="s">
        <v>4459</v>
      </c>
    </row>
    <row r="4239" spans="3:17" x14ac:dyDescent="0.25">
      <c r="C4239" s="74" t="s">
        <v>4489</v>
      </c>
      <c r="D4239" s="74" t="s">
        <v>4490</v>
      </c>
      <c r="E4239" s="74"/>
      <c r="F4239" s="74">
        <v>0.09</v>
      </c>
      <c r="G4239" s="74"/>
      <c r="H4239" s="74"/>
      <c r="I4239" s="74" t="s">
        <v>391</v>
      </c>
      <c r="J4239" s="74"/>
      <c r="K4239" s="74">
        <v>102.4</v>
      </c>
      <c r="L4239" s="74">
        <v>92.16</v>
      </c>
      <c r="M4239" s="74"/>
      <c r="N4239" s="74" t="s">
        <v>392</v>
      </c>
      <c r="O4239" s="74" t="s">
        <v>402</v>
      </c>
      <c r="P4239" s="74" t="s">
        <v>4491</v>
      </c>
      <c r="Q4239" s="74" t="s">
        <v>4492</v>
      </c>
    </row>
    <row r="4240" spans="3:17" x14ac:dyDescent="0.25">
      <c r="C4240" s="74" t="s">
        <v>4878</v>
      </c>
      <c r="D4240" s="74" t="s">
        <v>4879</v>
      </c>
      <c r="E4240" s="74"/>
      <c r="F4240" s="74">
        <v>0.09</v>
      </c>
      <c r="G4240" s="74"/>
      <c r="H4240" s="74"/>
      <c r="I4240" s="74" t="s">
        <v>391</v>
      </c>
      <c r="J4240" s="74"/>
      <c r="K4240" s="74">
        <v>102.4</v>
      </c>
      <c r="L4240" s="74">
        <v>92.16</v>
      </c>
      <c r="M4240" s="74"/>
      <c r="N4240" s="74" t="s">
        <v>392</v>
      </c>
      <c r="O4240" s="74" t="s">
        <v>402</v>
      </c>
      <c r="P4240" s="74" t="s">
        <v>4880</v>
      </c>
      <c r="Q4240" s="74" t="s">
        <v>4881</v>
      </c>
    </row>
    <row r="4241" spans="3:17" x14ac:dyDescent="0.25">
      <c r="C4241" s="74" t="s">
        <v>4921</v>
      </c>
      <c r="D4241" s="74" t="s">
        <v>4922</v>
      </c>
      <c r="E4241" s="74"/>
      <c r="F4241" s="74">
        <v>0.09</v>
      </c>
      <c r="G4241" s="74"/>
      <c r="H4241" s="74"/>
      <c r="I4241" s="74" t="s">
        <v>391</v>
      </c>
      <c r="J4241" s="74"/>
      <c r="K4241" s="74">
        <v>102.4</v>
      </c>
      <c r="L4241" s="74">
        <v>92.16</v>
      </c>
      <c r="M4241" s="74"/>
      <c r="N4241" s="74" t="s">
        <v>392</v>
      </c>
      <c r="O4241" s="74" t="s">
        <v>402</v>
      </c>
      <c r="P4241" s="74" t="s">
        <v>4923</v>
      </c>
      <c r="Q4241" s="74" t="s">
        <v>4924</v>
      </c>
    </row>
    <row r="4242" spans="3:17" x14ac:dyDescent="0.25">
      <c r="C4242" s="74" t="s">
        <v>5010</v>
      </c>
      <c r="D4242" s="74" t="s">
        <v>5011</v>
      </c>
      <c r="E4242" s="74" t="s">
        <v>391</v>
      </c>
      <c r="F4242" s="74">
        <v>0.09</v>
      </c>
      <c r="G4242" s="74"/>
      <c r="H4242" s="74"/>
      <c r="I4242" s="74" t="s">
        <v>391</v>
      </c>
      <c r="J4242" s="74"/>
      <c r="K4242" s="74">
        <v>102.4</v>
      </c>
      <c r="L4242" s="74">
        <v>92.16</v>
      </c>
      <c r="M4242" s="74"/>
      <c r="N4242" s="74" t="s">
        <v>392</v>
      </c>
      <c r="O4242" s="74" t="s">
        <v>393</v>
      </c>
      <c r="P4242" s="74"/>
      <c r="Q4242" s="74" t="s">
        <v>5012</v>
      </c>
    </row>
    <row r="4243" spans="3:17" x14ac:dyDescent="0.25">
      <c r="C4243" s="74" t="s">
        <v>5231</v>
      </c>
      <c r="D4243" s="74" t="s">
        <v>5232</v>
      </c>
      <c r="E4243" s="74"/>
      <c r="F4243" s="74">
        <v>0.09</v>
      </c>
      <c r="G4243" s="74"/>
      <c r="H4243" s="74"/>
      <c r="I4243" s="74" t="s">
        <v>391</v>
      </c>
      <c r="J4243" s="74"/>
      <c r="K4243" s="74">
        <v>102.4</v>
      </c>
      <c r="L4243" s="74">
        <v>92.16</v>
      </c>
      <c r="M4243" s="74"/>
      <c r="N4243" s="74" t="s">
        <v>392</v>
      </c>
      <c r="O4243" s="74" t="s">
        <v>402</v>
      </c>
      <c r="P4243" s="74" t="s">
        <v>5233</v>
      </c>
      <c r="Q4243" s="74" t="s">
        <v>5234</v>
      </c>
    </row>
    <row r="4244" spans="3:17" x14ac:dyDescent="0.25">
      <c r="C4244" s="74" t="s">
        <v>5861</v>
      </c>
      <c r="D4244" s="74" t="s">
        <v>5862</v>
      </c>
      <c r="E4244" s="74" t="s">
        <v>391</v>
      </c>
      <c r="F4244" s="74">
        <v>0.09</v>
      </c>
      <c r="G4244" s="74"/>
      <c r="H4244" s="74"/>
      <c r="I4244" s="74" t="s">
        <v>391</v>
      </c>
      <c r="J4244" s="74"/>
      <c r="K4244" s="74">
        <v>102.4</v>
      </c>
      <c r="L4244" s="74">
        <v>92.16</v>
      </c>
      <c r="M4244" s="74"/>
      <c r="N4244" s="74" t="s">
        <v>392</v>
      </c>
      <c r="O4244" s="74" t="s">
        <v>402</v>
      </c>
      <c r="P4244" s="74" t="s">
        <v>5863</v>
      </c>
      <c r="Q4244" s="74" t="s">
        <v>5864</v>
      </c>
    </row>
    <row r="4245" spans="3:17" x14ac:dyDescent="0.25">
      <c r="C4245" s="74" t="s">
        <v>5979</v>
      </c>
      <c r="D4245" s="74" t="s">
        <v>5980</v>
      </c>
      <c r="E4245" s="74" t="s">
        <v>391</v>
      </c>
      <c r="F4245" s="74">
        <v>0.09</v>
      </c>
      <c r="G4245" s="74"/>
      <c r="H4245" s="74"/>
      <c r="I4245" s="74" t="s">
        <v>391</v>
      </c>
      <c r="J4245" s="74"/>
      <c r="K4245" s="74">
        <v>102.4</v>
      </c>
      <c r="L4245" s="74">
        <v>92.16</v>
      </c>
      <c r="M4245" s="74"/>
      <c r="N4245" s="74" t="s">
        <v>392</v>
      </c>
      <c r="O4245" s="74" t="s">
        <v>393</v>
      </c>
      <c r="P4245" s="74"/>
      <c r="Q4245" s="74" t="s">
        <v>5981</v>
      </c>
    </row>
    <row r="4246" spans="3:17" x14ac:dyDescent="0.25">
      <c r="C4246" s="74" t="s">
        <v>6016</v>
      </c>
      <c r="D4246" s="74" t="s">
        <v>6017</v>
      </c>
      <c r="E4246" s="74" t="s">
        <v>391</v>
      </c>
      <c r="F4246" s="74">
        <v>0.09</v>
      </c>
      <c r="G4246" s="74"/>
      <c r="H4246" s="74"/>
      <c r="I4246" s="74" t="s">
        <v>391</v>
      </c>
      <c r="J4246" s="74"/>
      <c r="K4246" s="74">
        <v>102.4</v>
      </c>
      <c r="L4246" s="74">
        <v>92.16</v>
      </c>
      <c r="M4246" s="74"/>
      <c r="N4246" s="74" t="s">
        <v>392</v>
      </c>
      <c r="O4246" s="74" t="s">
        <v>393</v>
      </c>
      <c r="P4246" s="74"/>
      <c r="Q4246" s="74" t="s">
        <v>6018</v>
      </c>
    </row>
    <row r="4247" spans="3:17" x14ac:dyDescent="0.25">
      <c r="C4247" s="74" t="s">
        <v>6077</v>
      </c>
      <c r="D4247" s="74" t="s">
        <v>6078</v>
      </c>
      <c r="E4247" s="74"/>
      <c r="F4247" s="74">
        <v>0.09</v>
      </c>
      <c r="G4247" s="74"/>
      <c r="H4247" s="74"/>
      <c r="I4247" s="74" t="s">
        <v>391</v>
      </c>
      <c r="J4247" s="74"/>
      <c r="K4247" s="74">
        <v>102.4</v>
      </c>
      <c r="L4247" s="74">
        <v>92.16</v>
      </c>
      <c r="M4247" s="74"/>
      <c r="N4247" s="74" t="s">
        <v>392</v>
      </c>
      <c r="O4247" s="74" t="s">
        <v>402</v>
      </c>
      <c r="P4247" s="74"/>
      <c r="Q4247" s="74" t="s">
        <v>6079</v>
      </c>
    </row>
    <row r="4248" spans="3:17" x14ac:dyDescent="0.25">
      <c r="C4248" s="74" t="s">
        <v>6418</v>
      </c>
      <c r="D4248" s="74" t="s">
        <v>6419</v>
      </c>
      <c r="E4248" s="74"/>
      <c r="F4248" s="74">
        <v>0.09</v>
      </c>
      <c r="G4248" s="74"/>
      <c r="H4248" s="74"/>
      <c r="I4248" s="74" t="s">
        <v>391</v>
      </c>
      <c r="J4248" s="74"/>
      <c r="K4248" s="74">
        <v>102.4</v>
      </c>
      <c r="L4248" s="74">
        <v>92.16</v>
      </c>
      <c r="M4248" s="74"/>
      <c r="N4248" s="74" t="s">
        <v>392</v>
      </c>
      <c r="O4248" s="74" t="s">
        <v>402</v>
      </c>
      <c r="P4248" s="74" t="s">
        <v>6420</v>
      </c>
      <c r="Q4248" s="74" t="s">
        <v>6421</v>
      </c>
    </row>
    <row r="4249" spans="3:17" x14ac:dyDescent="0.25">
      <c r="C4249" s="74" t="s">
        <v>6606</v>
      </c>
      <c r="D4249" s="74" t="s">
        <v>6607</v>
      </c>
      <c r="E4249" s="74"/>
      <c r="F4249" s="74">
        <v>0.09</v>
      </c>
      <c r="G4249" s="74"/>
      <c r="H4249" s="74"/>
      <c r="I4249" s="74" t="s">
        <v>391</v>
      </c>
      <c r="J4249" s="74"/>
      <c r="K4249" s="74">
        <v>102.4</v>
      </c>
      <c r="L4249" s="74">
        <v>92.16</v>
      </c>
      <c r="M4249" s="74"/>
      <c r="N4249" s="74" t="s">
        <v>392</v>
      </c>
      <c r="O4249" s="74" t="s">
        <v>402</v>
      </c>
      <c r="P4249" s="74" t="s">
        <v>6608</v>
      </c>
      <c r="Q4249" s="74" t="s">
        <v>6609</v>
      </c>
    </row>
    <row r="4250" spans="3:17" x14ac:dyDescent="0.25">
      <c r="C4250" s="74" t="s">
        <v>7935</v>
      </c>
      <c r="D4250" s="74" t="s">
        <v>7936</v>
      </c>
      <c r="E4250" s="74"/>
      <c r="F4250" s="74">
        <v>0.09</v>
      </c>
      <c r="G4250" s="74"/>
      <c r="H4250" s="74"/>
      <c r="I4250" s="74" t="s">
        <v>391</v>
      </c>
      <c r="J4250" s="74"/>
      <c r="K4250" s="74">
        <v>102.4</v>
      </c>
      <c r="L4250" s="74">
        <v>92.16</v>
      </c>
      <c r="M4250" s="74"/>
      <c r="N4250" s="74" t="s">
        <v>392</v>
      </c>
      <c r="O4250" s="74" t="s">
        <v>402</v>
      </c>
      <c r="P4250" s="74"/>
      <c r="Q4250" s="74" t="s">
        <v>7937</v>
      </c>
    </row>
    <row r="4251" spans="3:17" x14ac:dyDescent="0.25">
      <c r="C4251" s="74" t="s">
        <v>10592</v>
      </c>
      <c r="D4251" s="74" t="s">
        <v>10593</v>
      </c>
      <c r="E4251" s="74"/>
      <c r="F4251" s="74">
        <v>0.09</v>
      </c>
      <c r="G4251" s="74"/>
      <c r="H4251" s="74"/>
      <c r="I4251" s="74" t="s">
        <v>391</v>
      </c>
      <c r="J4251" s="74"/>
      <c r="K4251" s="74">
        <v>102.4</v>
      </c>
      <c r="L4251" s="74">
        <v>92.16</v>
      </c>
      <c r="M4251" s="74"/>
      <c r="N4251" s="74" t="s">
        <v>392</v>
      </c>
      <c r="O4251" s="74" t="s">
        <v>402</v>
      </c>
      <c r="P4251" s="74" t="s">
        <v>10594</v>
      </c>
      <c r="Q4251" s="74" t="s">
        <v>10595</v>
      </c>
    </row>
    <row r="4252" spans="3:17" x14ac:dyDescent="0.25">
      <c r="C4252" s="74" t="s">
        <v>11227</v>
      </c>
      <c r="D4252" s="74" t="s">
        <v>11228</v>
      </c>
      <c r="E4252" s="74"/>
      <c r="F4252" s="74">
        <v>0.09</v>
      </c>
      <c r="G4252" s="74"/>
      <c r="H4252" s="74"/>
      <c r="I4252" s="74" t="s">
        <v>391</v>
      </c>
      <c r="J4252" s="74"/>
      <c r="K4252" s="74">
        <v>102.4</v>
      </c>
      <c r="L4252" s="74">
        <v>92.16</v>
      </c>
      <c r="M4252" s="74"/>
      <c r="N4252" s="74" t="s">
        <v>392</v>
      </c>
      <c r="O4252" s="74" t="s">
        <v>402</v>
      </c>
      <c r="P4252" s="74" t="s">
        <v>11229</v>
      </c>
      <c r="Q4252" s="74" t="s">
        <v>11230</v>
      </c>
    </row>
    <row r="4253" spans="3:17" x14ac:dyDescent="0.25">
      <c r="C4253" s="74" t="s">
        <v>12024</v>
      </c>
      <c r="D4253" s="74" t="s">
        <v>12025</v>
      </c>
      <c r="E4253" s="74"/>
      <c r="F4253" s="74">
        <v>0.09</v>
      </c>
      <c r="G4253" s="74"/>
      <c r="H4253" s="74"/>
      <c r="I4253" s="74" t="s">
        <v>391</v>
      </c>
      <c r="J4253" s="74"/>
      <c r="K4253" s="74">
        <v>102.4</v>
      </c>
      <c r="L4253" s="74">
        <v>92.16</v>
      </c>
      <c r="M4253" s="74"/>
      <c r="N4253" s="74" t="s">
        <v>392</v>
      </c>
      <c r="O4253" s="74" t="s">
        <v>402</v>
      </c>
      <c r="P4253" s="74" t="s">
        <v>12026</v>
      </c>
      <c r="Q4253" s="74" t="s">
        <v>12027</v>
      </c>
    </row>
    <row r="4254" spans="3:17" x14ac:dyDescent="0.25">
      <c r="C4254" s="74" t="s">
        <v>12603</v>
      </c>
      <c r="D4254" s="74" t="s">
        <v>12604</v>
      </c>
      <c r="E4254" s="74"/>
      <c r="F4254" s="74">
        <v>0.09</v>
      </c>
      <c r="G4254" s="74"/>
      <c r="H4254" s="74"/>
      <c r="I4254" s="74" t="s">
        <v>391</v>
      </c>
      <c r="J4254" s="74"/>
      <c r="K4254" s="74">
        <v>102.4</v>
      </c>
      <c r="L4254" s="74">
        <v>92.16</v>
      </c>
      <c r="M4254" s="74"/>
      <c r="N4254" s="74" t="s">
        <v>392</v>
      </c>
      <c r="O4254" s="74" t="s">
        <v>402</v>
      </c>
      <c r="P4254" s="74" t="s">
        <v>12605</v>
      </c>
      <c r="Q4254" s="74" t="s">
        <v>12606</v>
      </c>
    </row>
    <row r="4255" spans="3:17" x14ac:dyDescent="0.25">
      <c r="C4255" s="74" t="s">
        <v>12902</v>
      </c>
      <c r="D4255" s="74" t="s">
        <v>12903</v>
      </c>
      <c r="E4255" s="74"/>
      <c r="F4255" s="74">
        <v>0.09</v>
      </c>
      <c r="G4255" s="74"/>
      <c r="H4255" s="74"/>
      <c r="I4255" s="74" t="s">
        <v>391</v>
      </c>
      <c r="J4255" s="74"/>
      <c r="K4255" s="74">
        <v>102.4</v>
      </c>
      <c r="L4255" s="74">
        <v>92.16</v>
      </c>
      <c r="M4255" s="74"/>
      <c r="N4255" s="74" t="s">
        <v>392</v>
      </c>
      <c r="O4255" s="74" t="s">
        <v>402</v>
      </c>
      <c r="P4255" s="74" t="s">
        <v>12904</v>
      </c>
      <c r="Q4255" s="74" t="s">
        <v>12905</v>
      </c>
    </row>
    <row r="4256" spans="3:17" x14ac:dyDescent="0.25">
      <c r="C4256" s="74" t="s">
        <v>13871</v>
      </c>
      <c r="D4256" s="74" t="s">
        <v>13872</v>
      </c>
      <c r="E4256" s="74"/>
      <c r="F4256" s="74">
        <v>0.09</v>
      </c>
      <c r="G4256" s="74"/>
      <c r="H4256" s="74"/>
      <c r="I4256" s="74" t="s">
        <v>391</v>
      </c>
      <c r="J4256" s="74"/>
      <c r="K4256" s="74">
        <v>102.4</v>
      </c>
      <c r="L4256" s="74">
        <v>92.16</v>
      </c>
      <c r="M4256" s="74"/>
      <c r="N4256" s="74" t="s">
        <v>392</v>
      </c>
      <c r="O4256" s="74" t="s">
        <v>402</v>
      </c>
      <c r="P4256" s="74" t="s">
        <v>13873</v>
      </c>
      <c r="Q4256" s="74" t="s">
        <v>13874</v>
      </c>
    </row>
    <row r="4257" spans="3:17" x14ac:dyDescent="0.25">
      <c r="C4257" s="74" t="s">
        <v>13911</v>
      </c>
      <c r="D4257" s="74" t="s">
        <v>13912</v>
      </c>
      <c r="E4257" s="74"/>
      <c r="F4257" s="74">
        <v>0.09</v>
      </c>
      <c r="G4257" s="74"/>
      <c r="H4257" s="74"/>
      <c r="I4257" s="74" t="s">
        <v>391</v>
      </c>
      <c r="J4257" s="74"/>
      <c r="K4257" s="74">
        <v>102.4</v>
      </c>
      <c r="L4257" s="74">
        <v>92.16</v>
      </c>
      <c r="M4257" s="74"/>
      <c r="N4257" s="74" t="s">
        <v>392</v>
      </c>
      <c r="O4257" s="74" t="s">
        <v>402</v>
      </c>
      <c r="P4257" s="74" t="s">
        <v>13913</v>
      </c>
      <c r="Q4257" s="74" t="s">
        <v>13914</v>
      </c>
    </row>
    <row r="4258" spans="3:17" x14ac:dyDescent="0.25">
      <c r="C4258" s="74" t="s">
        <v>15230</v>
      </c>
      <c r="D4258" s="74" t="s">
        <v>15231</v>
      </c>
      <c r="E4258" s="74"/>
      <c r="F4258" s="74">
        <v>0.09</v>
      </c>
      <c r="G4258" s="74"/>
      <c r="H4258" s="74"/>
      <c r="I4258" s="74" t="s">
        <v>391</v>
      </c>
      <c r="J4258" s="74"/>
      <c r="K4258" s="74">
        <v>102.4</v>
      </c>
      <c r="L4258" s="74">
        <v>92.16</v>
      </c>
      <c r="M4258" s="74"/>
      <c r="N4258" s="74" t="s">
        <v>392</v>
      </c>
      <c r="O4258" s="74" t="s">
        <v>402</v>
      </c>
      <c r="P4258" s="74" t="s">
        <v>15232</v>
      </c>
      <c r="Q4258" s="74" t="s">
        <v>15233</v>
      </c>
    </row>
    <row r="4259" spans="3:17" x14ac:dyDescent="0.25">
      <c r="C4259" s="74" t="s">
        <v>15302</v>
      </c>
      <c r="D4259" s="74" t="s">
        <v>15303</v>
      </c>
      <c r="E4259" s="74"/>
      <c r="F4259" s="74">
        <v>0.09</v>
      </c>
      <c r="G4259" s="74"/>
      <c r="H4259" s="74"/>
      <c r="I4259" s="74" t="s">
        <v>391</v>
      </c>
      <c r="J4259" s="74"/>
      <c r="K4259" s="74">
        <v>102.4</v>
      </c>
      <c r="L4259" s="74">
        <v>92.16</v>
      </c>
      <c r="M4259" s="74"/>
      <c r="N4259" s="74" t="s">
        <v>392</v>
      </c>
      <c r="O4259" s="74" t="s">
        <v>402</v>
      </c>
      <c r="P4259" s="74" t="s">
        <v>15304</v>
      </c>
      <c r="Q4259" s="74" t="s">
        <v>15305</v>
      </c>
    </row>
    <row r="4260" spans="3:17" x14ac:dyDescent="0.25">
      <c r="C4260" s="74" t="s">
        <v>15706</v>
      </c>
      <c r="D4260" s="74" t="s">
        <v>15707</v>
      </c>
      <c r="E4260" s="74"/>
      <c r="F4260" s="74">
        <v>0.09</v>
      </c>
      <c r="G4260" s="74"/>
      <c r="H4260" s="74"/>
      <c r="I4260" s="74" t="s">
        <v>391</v>
      </c>
      <c r="J4260" s="74"/>
      <c r="K4260" s="74">
        <v>102.4</v>
      </c>
      <c r="L4260" s="74">
        <v>92.16</v>
      </c>
      <c r="M4260" s="74"/>
      <c r="N4260" s="74" t="s">
        <v>392</v>
      </c>
      <c r="O4260" s="74" t="s">
        <v>402</v>
      </c>
      <c r="P4260" s="74" t="s">
        <v>15708</v>
      </c>
      <c r="Q4260" s="74" t="s">
        <v>15709</v>
      </c>
    </row>
    <row r="4261" spans="3:17" x14ac:dyDescent="0.25">
      <c r="C4261" s="74" t="s">
        <v>15744</v>
      </c>
      <c r="D4261" s="74" t="s">
        <v>15745</v>
      </c>
      <c r="E4261" s="74"/>
      <c r="F4261" s="74">
        <v>0.09</v>
      </c>
      <c r="G4261" s="74"/>
      <c r="H4261" s="74"/>
      <c r="I4261" s="74" t="s">
        <v>391</v>
      </c>
      <c r="J4261" s="74"/>
      <c r="K4261" s="74">
        <v>102.4</v>
      </c>
      <c r="L4261" s="74">
        <v>92.16</v>
      </c>
      <c r="M4261" s="74"/>
      <c r="N4261" s="74" t="s">
        <v>392</v>
      </c>
      <c r="O4261" s="74" t="s">
        <v>402</v>
      </c>
      <c r="P4261" s="74" t="s">
        <v>15746</v>
      </c>
      <c r="Q4261" s="74" t="s">
        <v>15747</v>
      </c>
    </row>
    <row r="4262" spans="3:17" x14ac:dyDescent="0.25">
      <c r="C4262" s="74" t="s">
        <v>17346</v>
      </c>
      <c r="D4262" s="74" t="s">
        <v>17347</v>
      </c>
      <c r="E4262" s="74"/>
      <c r="F4262" s="74">
        <v>0.09</v>
      </c>
      <c r="G4262" s="74"/>
      <c r="H4262" s="74"/>
      <c r="I4262" s="74" t="s">
        <v>391</v>
      </c>
      <c r="J4262" s="74"/>
      <c r="K4262" s="74">
        <v>102.4</v>
      </c>
      <c r="L4262" s="74">
        <v>92.16</v>
      </c>
      <c r="M4262" s="74"/>
      <c r="N4262" s="74" t="s">
        <v>392</v>
      </c>
      <c r="O4262" s="74" t="s">
        <v>402</v>
      </c>
      <c r="P4262" s="74" t="s">
        <v>17348</v>
      </c>
      <c r="Q4262" s="74" t="s">
        <v>17349</v>
      </c>
    </row>
    <row r="4263" spans="3:17" x14ac:dyDescent="0.25">
      <c r="C4263" s="74" t="s">
        <v>17434</v>
      </c>
      <c r="D4263" s="74" t="s">
        <v>17435</v>
      </c>
      <c r="E4263" s="74"/>
      <c r="F4263" s="74">
        <v>0.09</v>
      </c>
      <c r="G4263" s="74"/>
      <c r="H4263" s="74"/>
      <c r="I4263" s="74" t="s">
        <v>391</v>
      </c>
      <c r="J4263" s="74"/>
      <c r="K4263" s="74">
        <v>102.4</v>
      </c>
      <c r="L4263" s="74">
        <v>92.16</v>
      </c>
      <c r="M4263" s="74"/>
      <c r="N4263" s="74" t="s">
        <v>392</v>
      </c>
      <c r="O4263" s="74" t="s">
        <v>402</v>
      </c>
      <c r="P4263" s="74" t="s">
        <v>17436</v>
      </c>
      <c r="Q4263" s="74" t="s">
        <v>17437</v>
      </c>
    </row>
    <row r="4264" spans="3:17" x14ac:dyDescent="0.25">
      <c r="C4264" s="74" t="s">
        <v>19785</v>
      </c>
      <c r="D4264" s="74" t="s">
        <v>19786</v>
      </c>
      <c r="E4264" s="74"/>
      <c r="F4264" s="74">
        <v>0.09</v>
      </c>
      <c r="G4264" s="74"/>
      <c r="H4264" s="74"/>
      <c r="I4264" s="74" t="s">
        <v>391</v>
      </c>
      <c r="J4264" s="74"/>
      <c r="K4264" s="74">
        <v>102.4</v>
      </c>
      <c r="L4264" s="74">
        <v>92.16</v>
      </c>
      <c r="M4264" s="74"/>
      <c r="N4264" s="74" t="s">
        <v>392</v>
      </c>
      <c r="O4264" s="74" t="s">
        <v>402</v>
      </c>
      <c r="P4264" s="74" t="s">
        <v>19787</v>
      </c>
      <c r="Q4264" s="74" t="s">
        <v>19788</v>
      </c>
    </row>
    <row r="4265" spans="3:17" x14ac:dyDescent="0.25">
      <c r="C4265" s="74" t="s">
        <v>20453</v>
      </c>
      <c r="D4265" s="74" t="s">
        <v>20454</v>
      </c>
      <c r="E4265" s="74"/>
      <c r="F4265" s="74">
        <v>0.09</v>
      </c>
      <c r="G4265" s="74"/>
      <c r="H4265" s="74"/>
      <c r="I4265" s="74" t="s">
        <v>391</v>
      </c>
      <c r="J4265" s="74"/>
      <c r="K4265" s="74">
        <v>102.4</v>
      </c>
      <c r="L4265" s="74">
        <v>92.16</v>
      </c>
      <c r="M4265" s="74"/>
      <c r="N4265" s="74" t="s">
        <v>392</v>
      </c>
      <c r="O4265" s="74" t="s">
        <v>402</v>
      </c>
      <c r="P4265" s="74" t="s">
        <v>20455</v>
      </c>
      <c r="Q4265" s="74" t="s">
        <v>20456</v>
      </c>
    </row>
    <row r="4266" spans="3:17" x14ac:dyDescent="0.25">
      <c r="C4266" s="74" t="s">
        <v>415</v>
      </c>
      <c r="D4266" s="74" t="s">
        <v>416</v>
      </c>
      <c r="E4266" s="74"/>
      <c r="F4266" s="74">
        <v>0.08</v>
      </c>
      <c r="G4266" s="74"/>
      <c r="H4266" s="74"/>
      <c r="I4266" s="74" t="s">
        <v>391</v>
      </c>
      <c r="J4266" s="74"/>
      <c r="K4266" s="74">
        <v>102.4</v>
      </c>
      <c r="L4266" s="74">
        <v>92.16</v>
      </c>
      <c r="M4266" s="74"/>
      <c r="N4266" s="74" t="s">
        <v>392</v>
      </c>
      <c r="O4266" s="74" t="s">
        <v>402</v>
      </c>
      <c r="P4266" s="74" t="s">
        <v>417</v>
      </c>
      <c r="Q4266" s="74" t="s">
        <v>418</v>
      </c>
    </row>
    <row r="4267" spans="3:17" x14ac:dyDescent="0.25">
      <c r="C4267" s="74" t="s">
        <v>1030</v>
      </c>
      <c r="D4267" s="74" t="s">
        <v>1031</v>
      </c>
      <c r="E4267" s="74" t="s">
        <v>391</v>
      </c>
      <c r="F4267" s="74">
        <v>0.08</v>
      </c>
      <c r="G4267" s="74"/>
      <c r="H4267" s="74"/>
      <c r="I4267" s="74" t="s">
        <v>391</v>
      </c>
      <c r="J4267" s="74"/>
      <c r="K4267" s="74">
        <v>102.4</v>
      </c>
      <c r="L4267" s="74">
        <v>92.16</v>
      </c>
      <c r="M4267" s="74"/>
      <c r="N4267" s="74" t="s">
        <v>392</v>
      </c>
      <c r="O4267" s="74" t="s">
        <v>393</v>
      </c>
      <c r="P4267" s="74"/>
      <c r="Q4267" s="74" t="s">
        <v>1032</v>
      </c>
    </row>
    <row r="4268" spans="3:17" x14ac:dyDescent="0.25">
      <c r="C4268" s="74" t="s">
        <v>1255</v>
      </c>
      <c r="D4268" s="74" t="s">
        <v>1256</v>
      </c>
      <c r="E4268" s="74"/>
      <c r="F4268" s="74">
        <v>0.08</v>
      </c>
      <c r="G4268" s="74"/>
      <c r="H4268" s="74"/>
      <c r="I4268" s="74" t="s">
        <v>391</v>
      </c>
      <c r="J4268" s="74"/>
      <c r="K4268" s="74">
        <v>102.4</v>
      </c>
      <c r="L4268" s="74">
        <v>92.16</v>
      </c>
      <c r="M4268" s="74"/>
      <c r="N4268" s="74" t="s">
        <v>392</v>
      </c>
      <c r="O4268" s="74" t="s">
        <v>402</v>
      </c>
      <c r="P4268" s="74" t="s">
        <v>1257</v>
      </c>
      <c r="Q4268" s="74" t="s">
        <v>1258</v>
      </c>
    </row>
    <row r="4269" spans="3:17" x14ac:dyDescent="0.25">
      <c r="C4269" s="74" t="s">
        <v>1341</v>
      </c>
      <c r="D4269" s="74" t="s">
        <v>1342</v>
      </c>
      <c r="E4269" s="74"/>
      <c r="F4269" s="74">
        <v>0.08</v>
      </c>
      <c r="G4269" s="74"/>
      <c r="H4269" s="74"/>
      <c r="I4269" s="74" t="s">
        <v>391</v>
      </c>
      <c r="J4269" s="74"/>
      <c r="K4269" s="74">
        <v>102.4</v>
      </c>
      <c r="L4269" s="74">
        <v>92.16</v>
      </c>
      <c r="M4269" s="74"/>
      <c r="N4269" s="74" t="s">
        <v>392</v>
      </c>
      <c r="O4269" s="74" t="s">
        <v>402</v>
      </c>
      <c r="P4269" s="74" t="s">
        <v>1343</v>
      </c>
      <c r="Q4269" s="74" t="s">
        <v>1344</v>
      </c>
    </row>
    <row r="4270" spans="3:17" x14ac:dyDescent="0.25">
      <c r="C4270" s="74" t="s">
        <v>1527</v>
      </c>
      <c r="D4270" s="74" t="s">
        <v>1528</v>
      </c>
      <c r="E4270" s="74" t="s">
        <v>391</v>
      </c>
      <c r="F4270" s="74">
        <v>0.08</v>
      </c>
      <c r="G4270" s="74"/>
      <c r="H4270" s="74"/>
      <c r="I4270" s="74" t="s">
        <v>391</v>
      </c>
      <c r="J4270" s="74"/>
      <c r="K4270" s="74">
        <v>102.4</v>
      </c>
      <c r="L4270" s="74">
        <v>92.16</v>
      </c>
      <c r="M4270" s="74"/>
      <c r="N4270" s="74" t="s">
        <v>392</v>
      </c>
      <c r="O4270" s="74" t="s">
        <v>393</v>
      </c>
      <c r="P4270" s="74"/>
      <c r="Q4270" s="74" t="s">
        <v>1529</v>
      </c>
    </row>
    <row r="4271" spans="3:17" x14ac:dyDescent="0.25">
      <c r="C4271" s="74" t="s">
        <v>1888</v>
      </c>
      <c r="D4271" s="74" t="s">
        <v>1889</v>
      </c>
      <c r="E4271" s="74"/>
      <c r="F4271" s="74">
        <v>0.08</v>
      </c>
      <c r="G4271" s="74"/>
      <c r="H4271" s="74"/>
      <c r="I4271" s="74" t="s">
        <v>391</v>
      </c>
      <c r="J4271" s="74"/>
      <c r="K4271" s="74">
        <v>102.4</v>
      </c>
      <c r="L4271" s="74">
        <v>92.16</v>
      </c>
      <c r="M4271" s="74"/>
      <c r="N4271" s="74" t="s">
        <v>392</v>
      </c>
      <c r="O4271" s="74" t="s">
        <v>402</v>
      </c>
      <c r="P4271" s="74" t="s">
        <v>1890</v>
      </c>
      <c r="Q4271" s="74" t="s">
        <v>1891</v>
      </c>
    </row>
    <row r="4272" spans="3:17" x14ac:dyDescent="0.25">
      <c r="C4272" s="74" t="s">
        <v>3110</v>
      </c>
      <c r="D4272" s="74" t="s">
        <v>3111</v>
      </c>
      <c r="E4272" s="74" t="s">
        <v>391</v>
      </c>
      <c r="F4272" s="74">
        <v>0.08</v>
      </c>
      <c r="G4272" s="74"/>
      <c r="H4272" s="74"/>
      <c r="I4272" s="74" t="s">
        <v>391</v>
      </c>
      <c r="J4272" s="74"/>
      <c r="K4272" s="74">
        <v>102.4</v>
      </c>
      <c r="L4272" s="74">
        <v>92.16</v>
      </c>
      <c r="M4272" s="74"/>
      <c r="N4272" s="74" t="s">
        <v>392</v>
      </c>
      <c r="O4272" s="74" t="s">
        <v>393</v>
      </c>
      <c r="P4272" s="74"/>
      <c r="Q4272" s="74" t="s">
        <v>3112</v>
      </c>
    </row>
    <row r="4273" spans="3:17" x14ac:dyDescent="0.25">
      <c r="C4273" s="74" t="s">
        <v>4112</v>
      </c>
      <c r="D4273" s="74" t="s">
        <v>4113</v>
      </c>
      <c r="E4273" s="74"/>
      <c r="F4273" s="74">
        <v>0.08</v>
      </c>
      <c r="G4273" s="74"/>
      <c r="H4273" s="74"/>
      <c r="I4273" s="74" t="s">
        <v>391</v>
      </c>
      <c r="J4273" s="74"/>
      <c r="K4273" s="74">
        <v>102.4</v>
      </c>
      <c r="L4273" s="74">
        <v>92.16</v>
      </c>
      <c r="M4273" s="74"/>
      <c r="N4273" s="74" t="s">
        <v>392</v>
      </c>
      <c r="O4273" s="74" t="s">
        <v>402</v>
      </c>
      <c r="P4273" s="74" t="s">
        <v>4114</v>
      </c>
      <c r="Q4273" s="74" t="s">
        <v>4115</v>
      </c>
    </row>
    <row r="4274" spans="3:17" x14ac:dyDescent="0.25">
      <c r="C4274" s="74" t="s">
        <v>7639</v>
      </c>
      <c r="D4274" s="74" t="s">
        <v>7640</v>
      </c>
      <c r="E4274" s="74" t="s">
        <v>391</v>
      </c>
      <c r="F4274" s="74">
        <v>0.08</v>
      </c>
      <c r="G4274" s="74"/>
      <c r="H4274" s="74"/>
      <c r="I4274" s="74" t="s">
        <v>391</v>
      </c>
      <c r="J4274" s="74"/>
      <c r="K4274" s="74">
        <v>102.4</v>
      </c>
      <c r="L4274" s="74">
        <v>92.16</v>
      </c>
      <c r="M4274" s="74"/>
      <c r="N4274" s="74" t="s">
        <v>392</v>
      </c>
      <c r="O4274" s="74" t="s">
        <v>393</v>
      </c>
      <c r="P4274" s="74"/>
      <c r="Q4274" s="74" t="s">
        <v>7641</v>
      </c>
    </row>
    <row r="4275" spans="3:17" x14ac:dyDescent="0.25">
      <c r="C4275" s="74" t="s">
        <v>7847</v>
      </c>
      <c r="D4275" s="74" t="s">
        <v>7848</v>
      </c>
      <c r="E4275" s="74"/>
      <c r="F4275" s="74">
        <v>0.08</v>
      </c>
      <c r="G4275" s="74"/>
      <c r="H4275" s="74"/>
      <c r="I4275" s="74" t="s">
        <v>391</v>
      </c>
      <c r="J4275" s="74"/>
      <c r="K4275" s="74">
        <v>102.4</v>
      </c>
      <c r="L4275" s="74">
        <v>92.16</v>
      </c>
      <c r="M4275" s="74"/>
      <c r="N4275" s="74" t="s">
        <v>392</v>
      </c>
      <c r="O4275" s="74" t="s">
        <v>402</v>
      </c>
      <c r="P4275" s="74" t="s">
        <v>7849</v>
      </c>
      <c r="Q4275" s="74" t="s">
        <v>7850</v>
      </c>
    </row>
    <row r="4276" spans="3:17" x14ac:dyDescent="0.25">
      <c r="C4276" s="74" t="s">
        <v>8104</v>
      </c>
      <c r="D4276" s="74" t="s">
        <v>8105</v>
      </c>
      <c r="E4276" s="74"/>
      <c r="F4276" s="74">
        <v>0.08</v>
      </c>
      <c r="G4276" s="74"/>
      <c r="H4276" s="74"/>
      <c r="I4276" s="74" t="s">
        <v>391</v>
      </c>
      <c r="J4276" s="74"/>
      <c r="K4276" s="74">
        <v>102.4</v>
      </c>
      <c r="L4276" s="74">
        <v>92.16</v>
      </c>
      <c r="M4276" s="74"/>
      <c r="N4276" s="74" t="s">
        <v>392</v>
      </c>
      <c r="O4276" s="74" t="s">
        <v>402</v>
      </c>
      <c r="P4276" s="74" t="s">
        <v>8106</v>
      </c>
      <c r="Q4276" s="74" t="s">
        <v>8107</v>
      </c>
    </row>
    <row r="4277" spans="3:17" x14ac:dyDescent="0.25">
      <c r="C4277" s="74" t="s">
        <v>9219</v>
      </c>
      <c r="D4277" s="74" t="s">
        <v>9220</v>
      </c>
      <c r="E4277" s="74"/>
      <c r="F4277" s="74">
        <v>0.08</v>
      </c>
      <c r="G4277" s="74"/>
      <c r="H4277" s="74"/>
      <c r="I4277" s="74" t="s">
        <v>391</v>
      </c>
      <c r="J4277" s="74"/>
      <c r="K4277" s="74">
        <v>102.4</v>
      </c>
      <c r="L4277" s="74">
        <v>92.16</v>
      </c>
      <c r="M4277" s="74"/>
      <c r="N4277" s="74" t="s">
        <v>392</v>
      </c>
      <c r="O4277" s="74" t="s">
        <v>402</v>
      </c>
      <c r="P4277" s="74" t="s">
        <v>9221</v>
      </c>
      <c r="Q4277" s="74" t="s">
        <v>9222</v>
      </c>
    </row>
    <row r="4278" spans="3:17" x14ac:dyDescent="0.25">
      <c r="C4278" s="74" t="s">
        <v>10049</v>
      </c>
      <c r="D4278" s="74" t="s">
        <v>10050</v>
      </c>
      <c r="E4278" s="74"/>
      <c r="F4278" s="74">
        <v>0.08</v>
      </c>
      <c r="G4278" s="74"/>
      <c r="H4278" s="74"/>
      <c r="I4278" s="74" t="s">
        <v>391</v>
      </c>
      <c r="J4278" s="74"/>
      <c r="K4278" s="74">
        <v>102.4</v>
      </c>
      <c r="L4278" s="74">
        <v>92.16</v>
      </c>
      <c r="M4278" s="74"/>
      <c r="N4278" s="74" t="s">
        <v>392</v>
      </c>
      <c r="O4278" s="74" t="s">
        <v>402</v>
      </c>
      <c r="P4278" s="74" t="s">
        <v>10051</v>
      </c>
      <c r="Q4278" s="74" t="s">
        <v>10052</v>
      </c>
    </row>
    <row r="4279" spans="3:17" x14ac:dyDescent="0.25">
      <c r="C4279" s="74" t="s">
        <v>10406</v>
      </c>
      <c r="D4279" s="74" t="s">
        <v>10407</v>
      </c>
      <c r="E4279" s="74" t="s">
        <v>391</v>
      </c>
      <c r="F4279" s="74">
        <v>0.08</v>
      </c>
      <c r="G4279" s="74"/>
      <c r="H4279" s="74"/>
      <c r="I4279" s="74" t="s">
        <v>391</v>
      </c>
      <c r="J4279" s="74"/>
      <c r="K4279" s="74">
        <v>102.4</v>
      </c>
      <c r="L4279" s="74">
        <v>92.16</v>
      </c>
      <c r="M4279" s="74"/>
      <c r="N4279" s="74" t="s">
        <v>392</v>
      </c>
      <c r="O4279" s="74" t="s">
        <v>402</v>
      </c>
      <c r="P4279" s="74" t="s">
        <v>10408</v>
      </c>
      <c r="Q4279" s="74" t="s">
        <v>10409</v>
      </c>
    </row>
    <row r="4280" spans="3:17" x14ac:dyDescent="0.25">
      <c r="C4280" s="74" t="s">
        <v>10436</v>
      </c>
      <c r="D4280" s="74" t="s">
        <v>10437</v>
      </c>
      <c r="E4280" s="74"/>
      <c r="F4280" s="74">
        <v>0.08</v>
      </c>
      <c r="G4280" s="74"/>
      <c r="H4280" s="74"/>
      <c r="I4280" s="74" t="s">
        <v>391</v>
      </c>
      <c r="J4280" s="74"/>
      <c r="K4280" s="74">
        <v>102.4</v>
      </c>
      <c r="L4280" s="74">
        <v>92.16</v>
      </c>
      <c r="M4280" s="74"/>
      <c r="N4280" s="74" t="s">
        <v>392</v>
      </c>
      <c r="O4280" s="74" t="s">
        <v>402</v>
      </c>
      <c r="P4280" s="74" t="s">
        <v>10438</v>
      </c>
      <c r="Q4280" s="74" t="s">
        <v>10439</v>
      </c>
    </row>
    <row r="4281" spans="3:17" x14ac:dyDescent="0.25">
      <c r="C4281" s="74" t="s">
        <v>11489</v>
      </c>
      <c r="D4281" s="74" t="s">
        <v>11490</v>
      </c>
      <c r="E4281" s="74"/>
      <c r="F4281" s="74">
        <v>0.08</v>
      </c>
      <c r="G4281" s="74"/>
      <c r="H4281" s="74"/>
      <c r="I4281" s="74" t="s">
        <v>391</v>
      </c>
      <c r="J4281" s="74"/>
      <c r="K4281" s="74">
        <v>102.4</v>
      </c>
      <c r="L4281" s="74">
        <v>92.16</v>
      </c>
      <c r="M4281" s="74"/>
      <c r="N4281" s="74" t="s">
        <v>392</v>
      </c>
      <c r="O4281" s="74" t="s">
        <v>402</v>
      </c>
      <c r="P4281" s="74" t="s">
        <v>11491</v>
      </c>
      <c r="Q4281" s="74" t="s">
        <v>11492</v>
      </c>
    </row>
    <row r="4282" spans="3:17" x14ac:dyDescent="0.25">
      <c r="C4282" s="74" t="s">
        <v>12031</v>
      </c>
      <c r="D4282" s="74" t="s">
        <v>12032</v>
      </c>
      <c r="E4282" s="74" t="s">
        <v>391</v>
      </c>
      <c r="F4282" s="74">
        <v>0.08</v>
      </c>
      <c r="G4282" s="74"/>
      <c r="H4282" s="74"/>
      <c r="I4282" s="74" t="s">
        <v>391</v>
      </c>
      <c r="J4282" s="74"/>
      <c r="K4282" s="74">
        <v>102.4</v>
      </c>
      <c r="L4282" s="74">
        <v>92.16</v>
      </c>
      <c r="M4282" s="74"/>
      <c r="N4282" s="74" t="s">
        <v>392</v>
      </c>
      <c r="O4282" s="74" t="s">
        <v>393</v>
      </c>
      <c r="P4282" s="74"/>
      <c r="Q4282" s="74" t="s">
        <v>12033</v>
      </c>
    </row>
    <row r="4283" spans="3:17" x14ac:dyDescent="0.25">
      <c r="C4283" s="74" t="s">
        <v>13288</v>
      </c>
      <c r="D4283" s="74" t="s">
        <v>13289</v>
      </c>
      <c r="E4283" s="74"/>
      <c r="F4283" s="74">
        <v>0.08</v>
      </c>
      <c r="G4283" s="74"/>
      <c r="H4283" s="74"/>
      <c r="I4283" s="74" t="s">
        <v>391</v>
      </c>
      <c r="J4283" s="74"/>
      <c r="K4283" s="74">
        <v>102.4</v>
      </c>
      <c r="L4283" s="74">
        <v>92.16</v>
      </c>
      <c r="M4283" s="74"/>
      <c r="N4283" s="74" t="s">
        <v>392</v>
      </c>
      <c r="O4283" s="74" t="s">
        <v>402</v>
      </c>
      <c r="P4283" s="74" t="s">
        <v>13290</v>
      </c>
      <c r="Q4283" s="74" t="s">
        <v>13291</v>
      </c>
    </row>
    <row r="4284" spans="3:17" x14ac:dyDescent="0.25">
      <c r="C4284" s="74" t="s">
        <v>14109</v>
      </c>
      <c r="D4284" s="74" t="s">
        <v>14110</v>
      </c>
      <c r="E4284" s="74" t="s">
        <v>391</v>
      </c>
      <c r="F4284" s="74">
        <v>0.08</v>
      </c>
      <c r="G4284" s="74"/>
      <c r="H4284" s="74"/>
      <c r="I4284" s="74" t="s">
        <v>391</v>
      </c>
      <c r="J4284" s="74"/>
      <c r="K4284" s="74">
        <v>102.4</v>
      </c>
      <c r="L4284" s="74">
        <v>92.16</v>
      </c>
      <c r="M4284" s="74"/>
      <c r="N4284" s="74" t="s">
        <v>392</v>
      </c>
      <c r="O4284" s="74" t="s">
        <v>393</v>
      </c>
      <c r="P4284" s="74"/>
      <c r="Q4284" s="74" t="s">
        <v>14111</v>
      </c>
    </row>
    <row r="4285" spans="3:17" x14ac:dyDescent="0.25">
      <c r="C4285" s="74" t="s">
        <v>14509</v>
      </c>
      <c r="D4285" s="74" t="s">
        <v>14510</v>
      </c>
      <c r="E4285" s="74"/>
      <c r="F4285" s="74">
        <v>0.08</v>
      </c>
      <c r="G4285" s="74"/>
      <c r="H4285" s="74"/>
      <c r="I4285" s="74" t="s">
        <v>391</v>
      </c>
      <c r="J4285" s="74"/>
      <c r="K4285" s="74">
        <v>102.4</v>
      </c>
      <c r="L4285" s="74">
        <v>92.16</v>
      </c>
      <c r="M4285" s="74"/>
      <c r="N4285" s="74" t="s">
        <v>392</v>
      </c>
      <c r="O4285" s="74" t="s">
        <v>402</v>
      </c>
      <c r="P4285" s="74" t="s">
        <v>14511</v>
      </c>
      <c r="Q4285" s="74" t="s">
        <v>14512</v>
      </c>
    </row>
    <row r="4286" spans="3:17" x14ac:dyDescent="0.25">
      <c r="C4286" s="74" t="s">
        <v>14998</v>
      </c>
      <c r="D4286" s="74" t="s">
        <v>14999</v>
      </c>
      <c r="E4286" s="74"/>
      <c r="F4286" s="74">
        <v>0.08</v>
      </c>
      <c r="G4286" s="74"/>
      <c r="H4286" s="74"/>
      <c r="I4286" s="74" t="s">
        <v>391</v>
      </c>
      <c r="J4286" s="74"/>
      <c r="K4286" s="74">
        <v>102.4</v>
      </c>
      <c r="L4286" s="74">
        <v>92.16</v>
      </c>
      <c r="M4286" s="74"/>
      <c r="N4286" s="74" t="s">
        <v>392</v>
      </c>
      <c r="O4286" s="74" t="s">
        <v>402</v>
      </c>
      <c r="P4286" s="74" t="s">
        <v>15000</v>
      </c>
      <c r="Q4286" s="74" t="s">
        <v>15001</v>
      </c>
    </row>
    <row r="4287" spans="3:17" x14ac:dyDescent="0.25">
      <c r="C4287" s="74" t="s">
        <v>15289</v>
      </c>
      <c r="D4287" s="74" t="s">
        <v>15290</v>
      </c>
      <c r="E4287" s="74" t="s">
        <v>391</v>
      </c>
      <c r="F4287" s="74">
        <v>0.08</v>
      </c>
      <c r="G4287" s="74"/>
      <c r="H4287" s="74"/>
      <c r="I4287" s="74" t="s">
        <v>391</v>
      </c>
      <c r="J4287" s="74"/>
      <c r="K4287" s="74">
        <v>102.4</v>
      </c>
      <c r="L4287" s="74">
        <v>92.16</v>
      </c>
      <c r="M4287" s="74"/>
      <c r="N4287" s="74" t="s">
        <v>392</v>
      </c>
      <c r="O4287" s="74" t="s">
        <v>393</v>
      </c>
      <c r="P4287" s="74"/>
      <c r="Q4287" s="74" t="s">
        <v>15291</v>
      </c>
    </row>
    <row r="4288" spans="3:17" x14ac:dyDescent="0.25">
      <c r="C4288" s="74" t="s">
        <v>15611</v>
      </c>
      <c r="D4288" s="74" t="s">
        <v>15612</v>
      </c>
      <c r="E4288" s="74" t="s">
        <v>391</v>
      </c>
      <c r="F4288" s="74">
        <v>0.08</v>
      </c>
      <c r="G4288" s="74"/>
      <c r="H4288" s="74"/>
      <c r="I4288" s="74" t="s">
        <v>391</v>
      </c>
      <c r="J4288" s="74"/>
      <c r="K4288" s="74">
        <v>102.4</v>
      </c>
      <c r="L4288" s="74">
        <v>92.16</v>
      </c>
      <c r="M4288" s="74"/>
      <c r="N4288" s="74" t="s">
        <v>392</v>
      </c>
      <c r="O4288" s="74" t="s">
        <v>393</v>
      </c>
      <c r="P4288" s="74"/>
      <c r="Q4288" s="74" t="s">
        <v>15613</v>
      </c>
    </row>
    <row r="4289" spans="3:17" x14ac:dyDescent="0.25">
      <c r="C4289" s="74" t="s">
        <v>17095</v>
      </c>
      <c r="D4289" s="74" t="s">
        <v>17096</v>
      </c>
      <c r="E4289" s="74" t="s">
        <v>391</v>
      </c>
      <c r="F4289" s="74">
        <v>0.08</v>
      </c>
      <c r="G4289" s="74"/>
      <c r="H4289" s="74"/>
      <c r="I4289" s="74" t="s">
        <v>391</v>
      </c>
      <c r="J4289" s="74"/>
      <c r="K4289" s="74">
        <v>102.4</v>
      </c>
      <c r="L4289" s="74">
        <v>92.16</v>
      </c>
      <c r="M4289" s="74"/>
      <c r="N4289" s="74" t="s">
        <v>392</v>
      </c>
      <c r="O4289" s="74" t="s">
        <v>393</v>
      </c>
      <c r="P4289" s="74"/>
      <c r="Q4289" s="74" t="s">
        <v>17097</v>
      </c>
    </row>
    <row r="4290" spans="3:17" x14ac:dyDescent="0.25">
      <c r="C4290" s="74" t="s">
        <v>17323</v>
      </c>
      <c r="D4290" s="74" t="s">
        <v>17324</v>
      </c>
      <c r="E4290" s="74"/>
      <c r="F4290" s="74">
        <v>0.08</v>
      </c>
      <c r="G4290" s="74"/>
      <c r="H4290" s="74"/>
      <c r="I4290" s="74" t="s">
        <v>391</v>
      </c>
      <c r="J4290" s="74"/>
      <c r="K4290" s="74">
        <v>102.4</v>
      </c>
      <c r="L4290" s="74">
        <v>92.16</v>
      </c>
      <c r="M4290" s="74"/>
      <c r="N4290" s="74" t="s">
        <v>392</v>
      </c>
      <c r="O4290" s="74" t="s">
        <v>402</v>
      </c>
      <c r="P4290" s="74" t="s">
        <v>17325</v>
      </c>
      <c r="Q4290" s="74" t="s">
        <v>17326</v>
      </c>
    </row>
    <row r="4291" spans="3:17" x14ac:dyDescent="0.25">
      <c r="C4291" s="74" t="s">
        <v>17734</v>
      </c>
      <c r="D4291" s="74" t="s">
        <v>17735</v>
      </c>
      <c r="E4291" s="74"/>
      <c r="F4291" s="74">
        <v>0.08</v>
      </c>
      <c r="G4291" s="74"/>
      <c r="H4291" s="74"/>
      <c r="I4291" s="74" t="s">
        <v>391</v>
      </c>
      <c r="J4291" s="74"/>
      <c r="K4291" s="74">
        <v>102.4</v>
      </c>
      <c r="L4291" s="74">
        <v>92.16</v>
      </c>
      <c r="M4291" s="74"/>
      <c r="N4291" s="74" t="s">
        <v>392</v>
      </c>
      <c r="O4291" s="74" t="s">
        <v>402</v>
      </c>
      <c r="P4291" s="74" t="s">
        <v>17736</v>
      </c>
      <c r="Q4291" s="74" t="s">
        <v>17737</v>
      </c>
    </row>
    <row r="4292" spans="3:17" x14ac:dyDescent="0.25">
      <c r="C4292" s="74" t="s">
        <v>18214</v>
      </c>
      <c r="D4292" s="74" t="s">
        <v>18215</v>
      </c>
      <c r="E4292" s="74" t="s">
        <v>391</v>
      </c>
      <c r="F4292" s="74">
        <v>0.08</v>
      </c>
      <c r="G4292" s="74"/>
      <c r="H4292" s="74"/>
      <c r="I4292" s="74" t="s">
        <v>391</v>
      </c>
      <c r="J4292" s="74"/>
      <c r="K4292" s="74">
        <v>102.4</v>
      </c>
      <c r="L4292" s="74">
        <v>92.16</v>
      </c>
      <c r="M4292" s="74"/>
      <c r="N4292" s="74" t="s">
        <v>392</v>
      </c>
      <c r="O4292" s="74" t="s">
        <v>393</v>
      </c>
      <c r="P4292" s="74"/>
      <c r="Q4292" s="74" t="s">
        <v>18216</v>
      </c>
    </row>
    <row r="4293" spans="3:17" x14ac:dyDescent="0.25">
      <c r="C4293" s="74" t="s">
        <v>19957</v>
      </c>
      <c r="D4293" s="74" t="s">
        <v>19958</v>
      </c>
      <c r="E4293" s="74" t="s">
        <v>391</v>
      </c>
      <c r="F4293" s="74">
        <v>0.08</v>
      </c>
      <c r="G4293" s="74"/>
      <c r="H4293" s="74"/>
      <c r="I4293" s="74" t="s">
        <v>391</v>
      </c>
      <c r="J4293" s="74"/>
      <c r="K4293" s="74">
        <v>102.4</v>
      </c>
      <c r="L4293" s="74">
        <v>92.16</v>
      </c>
      <c r="M4293" s="74"/>
      <c r="N4293" s="74" t="s">
        <v>392</v>
      </c>
      <c r="O4293" s="74" t="s">
        <v>393</v>
      </c>
      <c r="P4293" s="74"/>
      <c r="Q4293" s="74" t="s">
        <v>19959</v>
      </c>
    </row>
    <row r="4294" spans="3:17" x14ac:dyDescent="0.25">
      <c r="C4294" s="74" t="s">
        <v>19963</v>
      </c>
      <c r="D4294" s="74" t="s">
        <v>19964</v>
      </c>
      <c r="E4294" s="74" t="s">
        <v>391</v>
      </c>
      <c r="F4294" s="74">
        <v>0.08</v>
      </c>
      <c r="G4294" s="74"/>
      <c r="H4294" s="74"/>
      <c r="I4294" s="74" t="s">
        <v>391</v>
      </c>
      <c r="J4294" s="74"/>
      <c r="K4294" s="74">
        <v>102.4</v>
      </c>
      <c r="L4294" s="74">
        <v>92.16</v>
      </c>
      <c r="M4294" s="74"/>
      <c r="N4294" s="74" t="s">
        <v>392</v>
      </c>
      <c r="O4294" s="74" t="s">
        <v>393</v>
      </c>
      <c r="P4294" s="74"/>
      <c r="Q4294" s="74" t="s">
        <v>19965</v>
      </c>
    </row>
    <row r="4295" spans="3:17" x14ac:dyDescent="0.25">
      <c r="C4295" s="74" t="s">
        <v>20417</v>
      </c>
      <c r="D4295" s="74" t="s">
        <v>20418</v>
      </c>
      <c r="E4295" s="74" t="s">
        <v>391</v>
      </c>
      <c r="F4295" s="74">
        <v>0.08</v>
      </c>
      <c r="G4295" s="74"/>
      <c r="H4295" s="74"/>
      <c r="I4295" s="74" t="s">
        <v>391</v>
      </c>
      <c r="J4295" s="74"/>
      <c r="K4295" s="74">
        <v>102.4</v>
      </c>
      <c r="L4295" s="74">
        <v>92.16</v>
      </c>
      <c r="M4295" s="74"/>
      <c r="N4295" s="74" t="s">
        <v>392</v>
      </c>
      <c r="O4295" s="74" t="s">
        <v>393</v>
      </c>
      <c r="P4295" s="74"/>
      <c r="Q4295" s="74" t="s">
        <v>20419</v>
      </c>
    </row>
    <row r="4296" spans="3:17" x14ac:dyDescent="0.25">
      <c r="C4296" s="74" t="s">
        <v>20475</v>
      </c>
      <c r="D4296" s="74" t="s">
        <v>20476</v>
      </c>
      <c r="E4296" s="74"/>
      <c r="F4296" s="74">
        <v>0.08</v>
      </c>
      <c r="G4296" s="74"/>
      <c r="H4296" s="74"/>
      <c r="I4296" s="74" t="s">
        <v>391</v>
      </c>
      <c r="J4296" s="74"/>
      <c r="K4296" s="74">
        <v>102.4</v>
      </c>
      <c r="L4296" s="74">
        <v>92.16</v>
      </c>
      <c r="M4296" s="74"/>
      <c r="N4296" s="74" t="s">
        <v>392</v>
      </c>
      <c r="O4296" s="74" t="s">
        <v>402</v>
      </c>
      <c r="P4296" s="74" t="s">
        <v>20477</v>
      </c>
      <c r="Q4296" s="74" t="s">
        <v>20478</v>
      </c>
    </row>
    <row r="4297" spans="3:17" x14ac:dyDescent="0.25">
      <c r="C4297" s="74" t="s">
        <v>20605</v>
      </c>
      <c r="D4297" s="74" t="s">
        <v>20606</v>
      </c>
      <c r="E4297" s="74" t="s">
        <v>391</v>
      </c>
      <c r="F4297" s="74">
        <v>0.08</v>
      </c>
      <c r="G4297" s="74"/>
      <c r="H4297" s="74"/>
      <c r="I4297" s="74" t="s">
        <v>391</v>
      </c>
      <c r="J4297" s="74"/>
      <c r="K4297" s="74">
        <v>102.4</v>
      </c>
      <c r="L4297" s="74">
        <v>92.16</v>
      </c>
      <c r="M4297" s="74"/>
      <c r="N4297" s="74" t="s">
        <v>392</v>
      </c>
      <c r="O4297" s="74" t="s">
        <v>393</v>
      </c>
      <c r="P4297" s="74"/>
      <c r="Q4297" s="74" t="s">
        <v>20607</v>
      </c>
    </row>
    <row r="4298" spans="3:17" x14ac:dyDescent="0.25">
      <c r="C4298" s="74" t="s">
        <v>20699</v>
      </c>
      <c r="D4298" s="74" t="s">
        <v>20700</v>
      </c>
      <c r="E4298" s="74"/>
      <c r="F4298" s="74">
        <v>0.08</v>
      </c>
      <c r="G4298" s="74"/>
      <c r="H4298" s="74"/>
      <c r="I4298" s="74" t="s">
        <v>391</v>
      </c>
      <c r="J4298" s="74"/>
      <c r="K4298" s="74">
        <v>102.4</v>
      </c>
      <c r="L4298" s="74">
        <v>92.16</v>
      </c>
      <c r="M4298" s="74"/>
      <c r="N4298" s="74" t="s">
        <v>392</v>
      </c>
      <c r="O4298" s="74" t="s">
        <v>402</v>
      </c>
      <c r="P4298" s="74" t="s">
        <v>20701</v>
      </c>
      <c r="Q4298" s="74" t="s">
        <v>20702</v>
      </c>
    </row>
    <row r="4299" spans="3:17" x14ac:dyDescent="0.25">
      <c r="C4299" s="74" t="s">
        <v>20851</v>
      </c>
      <c r="D4299" s="74" t="s">
        <v>20852</v>
      </c>
      <c r="E4299" s="74"/>
      <c r="F4299" s="74">
        <v>0.08</v>
      </c>
      <c r="G4299" s="74"/>
      <c r="H4299" s="74"/>
      <c r="I4299" s="74" t="s">
        <v>391</v>
      </c>
      <c r="J4299" s="74"/>
      <c r="K4299" s="74">
        <v>102.4</v>
      </c>
      <c r="L4299" s="74">
        <v>92.16</v>
      </c>
      <c r="M4299" s="74"/>
      <c r="N4299" s="74" t="s">
        <v>392</v>
      </c>
      <c r="O4299" s="74" t="s">
        <v>402</v>
      </c>
      <c r="P4299" s="74" t="s">
        <v>20853</v>
      </c>
      <c r="Q4299" s="74" t="s">
        <v>20854</v>
      </c>
    </row>
    <row r="4300" spans="3:17" x14ac:dyDescent="0.25">
      <c r="C4300" s="74" t="s">
        <v>21091</v>
      </c>
      <c r="D4300" s="74" t="s">
        <v>21092</v>
      </c>
      <c r="E4300" s="74" t="s">
        <v>391</v>
      </c>
      <c r="F4300" s="74">
        <v>0.08</v>
      </c>
      <c r="G4300" s="74"/>
      <c r="H4300" s="74"/>
      <c r="I4300" s="74" t="s">
        <v>391</v>
      </c>
      <c r="J4300" s="74"/>
      <c r="K4300" s="74">
        <v>102.4</v>
      </c>
      <c r="L4300" s="74">
        <v>92.16</v>
      </c>
      <c r="M4300" s="74"/>
      <c r="N4300" s="74" t="s">
        <v>392</v>
      </c>
      <c r="O4300" s="74" t="s">
        <v>393</v>
      </c>
      <c r="P4300" s="74"/>
      <c r="Q4300" s="74" t="s">
        <v>21093</v>
      </c>
    </row>
    <row r="4301" spans="3:17" x14ac:dyDescent="0.25">
      <c r="C4301" s="158" t="s">
        <v>21236</v>
      </c>
      <c r="D4301" s="158" t="s">
        <v>21237</v>
      </c>
      <c r="F4301" s="158">
        <v>0.08</v>
      </c>
      <c r="I4301" s="158" t="s">
        <v>391</v>
      </c>
      <c r="K4301" s="158">
        <v>102.4</v>
      </c>
      <c r="L4301" s="158">
        <v>92.16</v>
      </c>
      <c r="N4301" s="158" t="s">
        <v>392</v>
      </c>
      <c r="O4301" s="158" t="s">
        <v>402</v>
      </c>
      <c r="P4301" s="158" t="s">
        <v>21238</v>
      </c>
      <c r="Q4301" s="158" t="s">
        <v>21239</v>
      </c>
    </row>
    <row r="4302" spans="3:17" x14ac:dyDescent="0.25">
      <c r="C4302" s="74" t="s">
        <v>556</v>
      </c>
      <c r="D4302" s="74" t="s">
        <v>557</v>
      </c>
      <c r="E4302" s="74" t="s">
        <v>391</v>
      </c>
      <c r="F4302" s="74">
        <v>7.0000000000000007E-2</v>
      </c>
      <c r="G4302" s="74"/>
      <c r="H4302" s="74"/>
      <c r="I4302" s="74" t="s">
        <v>391</v>
      </c>
      <c r="J4302" s="74"/>
      <c r="K4302" s="74">
        <v>102.4</v>
      </c>
      <c r="L4302" s="74">
        <v>92.16</v>
      </c>
      <c r="M4302" s="74"/>
      <c r="N4302" s="74" t="s">
        <v>392</v>
      </c>
      <c r="O4302" s="74" t="s">
        <v>393</v>
      </c>
      <c r="P4302" s="74"/>
      <c r="Q4302" s="74" t="s">
        <v>558</v>
      </c>
    </row>
    <row r="4303" spans="3:17" x14ac:dyDescent="0.25">
      <c r="C4303" s="74" t="s">
        <v>853</v>
      </c>
      <c r="D4303" s="74" t="s">
        <v>854</v>
      </c>
      <c r="E4303" s="74"/>
      <c r="F4303" s="74">
        <v>7.0000000000000007E-2</v>
      </c>
      <c r="G4303" s="74"/>
      <c r="H4303" s="74"/>
      <c r="I4303" s="74" t="s">
        <v>391</v>
      </c>
      <c r="J4303" s="74"/>
      <c r="K4303" s="74">
        <v>102.4</v>
      </c>
      <c r="L4303" s="74">
        <v>92.16</v>
      </c>
      <c r="M4303" s="74"/>
      <c r="N4303" s="74" t="s">
        <v>392</v>
      </c>
      <c r="O4303" s="74" t="s">
        <v>402</v>
      </c>
      <c r="P4303" s="74" t="s">
        <v>855</v>
      </c>
      <c r="Q4303" s="74" t="s">
        <v>856</v>
      </c>
    </row>
    <row r="4304" spans="3:17" x14ac:dyDescent="0.25">
      <c r="C4304" s="74" t="s">
        <v>1041</v>
      </c>
      <c r="D4304" s="74" t="s">
        <v>1042</v>
      </c>
      <c r="E4304" s="74"/>
      <c r="F4304" s="74">
        <v>7.0000000000000007E-2</v>
      </c>
      <c r="G4304" s="74"/>
      <c r="H4304" s="74"/>
      <c r="I4304" s="74" t="s">
        <v>391</v>
      </c>
      <c r="J4304" s="74"/>
      <c r="K4304" s="74">
        <v>102.4</v>
      </c>
      <c r="L4304" s="74">
        <v>92.16</v>
      </c>
      <c r="M4304" s="74"/>
      <c r="N4304" s="74" t="s">
        <v>392</v>
      </c>
      <c r="O4304" s="74" t="s">
        <v>402</v>
      </c>
      <c r="P4304" s="74" t="s">
        <v>1043</v>
      </c>
      <c r="Q4304" s="74" t="s">
        <v>1044</v>
      </c>
    </row>
    <row r="4305" spans="3:17" x14ac:dyDescent="0.25">
      <c r="C4305" s="158" t="s">
        <v>1390</v>
      </c>
      <c r="D4305" s="158" t="s">
        <v>1391</v>
      </c>
      <c r="F4305" s="158">
        <v>7.0000000000000007E-2</v>
      </c>
      <c r="I4305" s="158" t="s">
        <v>391</v>
      </c>
      <c r="K4305" s="158">
        <v>102.4</v>
      </c>
      <c r="L4305" s="158">
        <v>92.16</v>
      </c>
      <c r="N4305" s="158" t="s">
        <v>392</v>
      </c>
      <c r="O4305" s="158" t="s">
        <v>402</v>
      </c>
      <c r="P4305" s="158" t="s">
        <v>1392</v>
      </c>
      <c r="Q4305" s="158" t="s">
        <v>1393</v>
      </c>
    </row>
    <row r="4306" spans="3:17" x14ac:dyDescent="0.25">
      <c r="C4306" s="74" t="s">
        <v>2108</v>
      </c>
      <c r="D4306" s="74" t="s">
        <v>2109</v>
      </c>
      <c r="E4306" s="74"/>
      <c r="F4306" s="74">
        <v>7.0000000000000007E-2</v>
      </c>
      <c r="G4306" s="74"/>
      <c r="H4306" s="74"/>
      <c r="I4306" s="74" t="s">
        <v>391</v>
      </c>
      <c r="J4306" s="74"/>
      <c r="K4306" s="74">
        <v>102.4</v>
      </c>
      <c r="L4306" s="74">
        <v>92.16</v>
      </c>
      <c r="M4306" s="74"/>
      <c r="N4306" s="74" t="s">
        <v>392</v>
      </c>
      <c r="O4306" s="74" t="s">
        <v>402</v>
      </c>
      <c r="P4306" s="74" t="s">
        <v>2110</v>
      </c>
      <c r="Q4306" s="74" t="s">
        <v>2111</v>
      </c>
    </row>
    <row r="4307" spans="3:17" x14ac:dyDescent="0.25">
      <c r="C4307" s="74" t="s">
        <v>2178</v>
      </c>
      <c r="D4307" s="74" t="s">
        <v>2179</v>
      </c>
      <c r="E4307" s="74" t="s">
        <v>391</v>
      </c>
      <c r="F4307" s="74">
        <v>7.0000000000000007E-2</v>
      </c>
      <c r="G4307" s="74"/>
      <c r="H4307" s="74"/>
      <c r="I4307" s="74" t="s">
        <v>391</v>
      </c>
      <c r="J4307" s="74"/>
      <c r="K4307" s="74">
        <v>102.4</v>
      </c>
      <c r="L4307" s="74">
        <v>92.16</v>
      </c>
      <c r="M4307" s="74"/>
      <c r="N4307" s="74" t="s">
        <v>392</v>
      </c>
      <c r="O4307" s="74" t="s">
        <v>393</v>
      </c>
      <c r="P4307" s="74"/>
      <c r="Q4307" s="74" t="s">
        <v>2180</v>
      </c>
    </row>
    <row r="4308" spans="3:17" x14ac:dyDescent="0.25">
      <c r="C4308" s="74" t="s">
        <v>2773</v>
      </c>
      <c r="D4308" s="74" t="s">
        <v>2774</v>
      </c>
      <c r="E4308" s="74"/>
      <c r="F4308" s="74">
        <v>7.0000000000000007E-2</v>
      </c>
      <c r="G4308" s="74"/>
      <c r="H4308" s="74"/>
      <c r="I4308" s="74" t="s">
        <v>391</v>
      </c>
      <c r="J4308" s="74"/>
      <c r="K4308" s="74">
        <v>102.4</v>
      </c>
      <c r="L4308" s="74">
        <v>92.16</v>
      </c>
      <c r="M4308" s="74"/>
      <c r="N4308" s="74" t="s">
        <v>392</v>
      </c>
      <c r="O4308" s="74" t="s">
        <v>402</v>
      </c>
      <c r="P4308" s="74" t="s">
        <v>2775</v>
      </c>
      <c r="Q4308" s="74" t="s">
        <v>2776</v>
      </c>
    </row>
    <row r="4309" spans="3:17" x14ac:dyDescent="0.25">
      <c r="C4309" s="74" t="s">
        <v>3703</v>
      </c>
      <c r="D4309" s="74" t="s">
        <v>3704</v>
      </c>
      <c r="E4309" s="74" t="s">
        <v>391</v>
      </c>
      <c r="F4309" s="74">
        <v>7.0000000000000007E-2</v>
      </c>
      <c r="G4309" s="74"/>
      <c r="H4309" s="74"/>
      <c r="I4309" s="74" t="s">
        <v>391</v>
      </c>
      <c r="J4309" s="74"/>
      <c r="K4309" s="74">
        <v>102.4</v>
      </c>
      <c r="L4309" s="74">
        <v>92.16</v>
      </c>
      <c r="M4309" s="74"/>
      <c r="N4309" s="74" t="s">
        <v>392</v>
      </c>
      <c r="O4309" s="74" t="s">
        <v>393</v>
      </c>
      <c r="P4309" s="74"/>
      <c r="Q4309" s="74" t="s">
        <v>3705</v>
      </c>
    </row>
    <row r="4310" spans="3:17" x14ac:dyDescent="0.25">
      <c r="C4310" s="74" t="s">
        <v>4744</v>
      </c>
      <c r="D4310" s="74" t="s">
        <v>4745</v>
      </c>
      <c r="E4310" s="74"/>
      <c r="F4310" s="74">
        <v>7.0000000000000007E-2</v>
      </c>
      <c r="G4310" s="74"/>
      <c r="H4310" s="74"/>
      <c r="I4310" s="74" t="s">
        <v>391</v>
      </c>
      <c r="J4310" s="74"/>
      <c r="K4310" s="74">
        <v>102.4</v>
      </c>
      <c r="L4310" s="74">
        <v>92.16</v>
      </c>
      <c r="M4310" s="74"/>
      <c r="N4310" s="74" t="s">
        <v>392</v>
      </c>
      <c r="O4310" s="74" t="s">
        <v>402</v>
      </c>
      <c r="P4310" s="74" t="s">
        <v>4746</v>
      </c>
      <c r="Q4310" s="74" t="s">
        <v>4747</v>
      </c>
    </row>
    <row r="4311" spans="3:17" x14ac:dyDescent="0.25">
      <c r="C4311" s="74" t="s">
        <v>5284</v>
      </c>
      <c r="D4311" s="74" t="s">
        <v>5285</v>
      </c>
      <c r="E4311" s="74" t="s">
        <v>391</v>
      </c>
      <c r="F4311" s="74">
        <v>7.0000000000000007E-2</v>
      </c>
      <c r="G4311" s="74"/>
      <c r="H4311" s="74"/>
      <c r="I4311" s="74" t="s">
        <v>391</v>
      </c>
      <c r="J4311" s="74"/>
      <c r="K4311" s="74">
        <v>102.4</v>
      </c>
      <c r="L4311" s="74">
        <v>92.16</v>
      </c>
      <c r="M4311" s="74"/>
      <c r="N4311" s="74" t="s">
        <v>392</v>
      </c>
      <c r="O4311" s="74" t="s">
        <v>393</v>
      </c>
      <c r="P4311" s="74"/>
      <c r="Q4311" s="74" t="s">
        <v>5286</v>
      </c>
    </row>
    <row r="4312" spans="3:17" x14ac:dyDescent="0.25">
      <c r="C4312" s="74" t="s">
        <v>5989</v>
      </c>
      <c r="D4312" s="74" t="s">
        <v>5990</v>
      </c>
      <c r="E4312" s="74"/>
      <c r="F4312" s="74">
        <v>7.0000000000000007E-2</v>
      </c>
      <c r="G4312" s="74"/>
      <c r="H4312" s="74"/>
      <c r="I4312" s="74" t="s">
        <v>391</v>
      </c>
      <c r="J4312" s="74"/>
      <c r="K4312" s="74">
        <v>102.4</v>
      </c>
      <c r="L4312" s="74">
        <v>92.16</v>
      </c>
      <c r="M4312" s="74"/>
      <c r="N4312" s="74" t="s">
        <v>392</v>
      </c>
      <c r="O4312" s="74" t="s">
        <v>402</v>
      </c>
      <c r="P4312" s="74" t="s">
        <v>5991</v>
      </c>
      <c r="Q4312" s="74" t="s">
        <v>5992</v>
      </c>
    </row>
    <row r="4313" spans="3:17" x14ac:dyDescent="0.25">
      <c r="C4313" s="74" t="s">
        <v>6491</v>
      </c>
      <c r="D4313" s="74" t="s">
        <v>6492</v>
      </c>
      <c r="E4313" s="74"/>
      <c r="F4313" s="74">
        <v>7.0000000000000007E-2</v>
      </c>
      <c r="G4313" s="74"/>
      <c r="H4313" s="74"/>
      <c r="I4313" s="74" t="s">
        <v>391</v>
      </c>
      <c r="J4313" s="74"/>
      <c r="K4313" s="74">
        <v>102.4</v>
      </c>
      <c r="L4313" s="74">
        <v>92.16</v>
      </c>
      <c r="M4313" s="74"/>
      <c r="N4313" s="74" t="s">
        <v>392</v>
      </c>
      <c r="O4313" s="74" t="s">
        <v>402</v>
      </c>
      <c r="P4313" s="74" t="s">
        <v>6493</v>
      </c>
      <c r="Q4313" s="74" t="s">
        <v>6494</v>
      </c>
    </row>
    <row r="4314" spans="3:17" x14ac:dyDescent="0.25">
      <c r="C4314" s="74" t="s">
        <v>6515</v>
      </c>
      <c r="D4314" s="74" t="s">
        <v>6516</v>
      </c>
      <c r="E4314" s="74" t="s">
        <v>391</v>
      </c>
      <c r="F4314" s="74">
        <v>7.0000000000000007E-2</v>
      </c>
      <c r="G4314" s="74"/>
      <c r="H4314" s="74"/>
      <c r="I4314" s="74" t="s">
        <v>391</v>
      </c>
      <c r="J4314" s="74"/>
      <c r="K4314" s="74">
        <v>102.4</v>
      </c>
      <c r="L4314" s="74">
        <v>92.16</v>
      </c>
      <c r="M4314" s="74"/>
      <c r="N4314" s="74" t="s">
        <v>392</v>
      </c>
      <c r="O4314" s="74" t="s">
        <v>393</v>
      </c>
      <c r="P4314" s="74"/>
      <c r="Q4314" s="74" t="s">
        <v>6517</v>
      </c>
    </row>
    <row r="4315" spans="3:17" x14ac:dyDescent="0.25">
      <c r="C4315" s="74" t="s">
        <v>7554</v>
      </c>
      <c r="D4315" s="74" t="s">
        <v>7555</v>
      </c>
      <c r="E4315" s="74"/>
      <c r="F4315" s="74">
        <v>7.0000000000000007E-2</v>
      </c>
      <c r="G4315" s="74"/>
      <c r="H4315" s="74"/>
      <c r="I4315" s="74" t="s">
        <v>391</v>
      </c>
      <c r="J4315" s="74"/>
      <c r="K4315" s="74">
        <v>102.4</v>
      </c>
      <c r="L4315" s="74">
        <v>92.16</v>
      </c>
      <c r="M4315" s="74"/>
      <c r="N4315" s="74" t="s">
        <v>392</v>
      </c>
      <c r="O4315" s="74" t="s">
        <v>402</v>
      </c>
      <c r="P4315" s="74" t="s">
        <v>7556</v>
      </c>
      <c r="Q4315" s="74" t="s">
        <v>7557</v>
      </c>
    </row>
    <row r="4316" spans="3:17" x14ac:dyDescent="0.25">
      <c r="C4316" s="74" t="s">
        <v>7645</v>
      </c>
      <c r="D4316" s="74" t="s">
        <v>7646</v>
      </c>
      <c r="E4316" s="74" t="s">
        <v>391</v>
      </c>
      <c r="F4316" s="74">
        <v>7.0000000000000007E-2</v>
      </c>
      <c r="G4316" s="74"/>
      <c r="H4316" s="74"/>
      <c r="I4316" s="74" t="s">
        <v>391</v>
      </c>
      <c r="J4316" s="74"/>
      <c r="K4316" s="74">
        <v>102.4</v>
      </c>
      <c r="L4316" s="74">
        <v>92.16</v>
      </c>
      <c r="M4316" s="74"/>
      <c r="N4316" s="74" t="s">
        <v>392</v>
      </c>
      <c r="O4316" s="74" t="s">
        <v>393</v>
      </c>
      <c r="P4316" s="74"/>
      <c r="Q4316" s="74" t="s">
        <v>7647</v>
      </c>
    </row>
    <row r="4317" spans="3:17" x14ac:dyDescent="0.25">
      <c r="C4317" s="74" t="s">
        <v>8756</v>
      </c>
      <c r="D4317" s="74" t="s">
        <v>8757</v>
      </c>
      <c r="E4317" s="74" t="s">
        <v>391</v>
      </c>
      <c r="F4317" s="74">
        <v>7.0000000000000007E-2</v>
      </c>
      <c r="G4317" s="74"/>
      <c r="H4317" s="74"/>
      <c r="I4317" s="74" t="s">
        <v>391</v>
      </c>
      <c r="J4317" s="74"/>
      <c r="K4317" s="74">
        <v>102.4</v>
      </c>
      <c r="L4317" s="74">
        <v>92.16</v>
      </c>
      <c r="M4317" s="74"/>
      <c r="N4317" s="74" t="s">
        <v>392</v>
      </c>
      <c r="O4317" s="74" t="s">
        <v>393</v>
      </c>
      <c r="P4317" s="74"/>
      <c r="Q4317" s="74" t="s">
        <v>8758</v>
      </c>
    </row>
    <row r="4318" spans="3:17" x14ac:dyDescent="0.25">
      <c r="C4318" s="74" t="s">
        <v>8777</v>
      </c>
      <c r="D4318" s="74" t="s">
        <v>8778</v>
      </c>
      <c r="E4318" s="74"/>
      <c r="F4318" s="74">
        <v>7.0000000000000007E-2</v>
      </c>
      <c r="G4318" s="74"/>
      <c r="H4318" s="74"/>
      <c r="I4318" s="74" t="s">
        <v>391</v>
      </c>
      <c r="J4318" s="74"/>
      <c r="K4318" s="74">
        <v>102.4</v>
      </c>
      <c r="L4318" s="74">
        <v>92.16</v>
      </c>
      <c r="M4318" s="74"/>
      <c r="N4318" s="74" t="s">
        <v>392</v>
      </c>
      <c r="O4318" s="74" t="s">
        <v>402</v>
      </c>
      <c r="P4318" s="74" t="s">
        <v>8779</v>
      </c>
      <c r="Q4318" s="74" t="s">
        <v>8780</v>
      </c>
    </row>
    <row r="4319" spans="3:17" x14ac:dyDescent="0.25">
      <c r="C4319" s="74" t="s">
        <v>9583</v>
      </c>
      <c r="D4319" s="74" t="s">
        <v>9584</v>
      </c>
      <c r="E4319" s="74"/>
      <c r="F4319" s="74">
        <v>7.0000000000000007E-2</v>
      </c>
      <c r="G4319" s="74"/>
      <c r="H4319" s="74"/>
      <c r="I4319" s="74" t="s">
        <v>391</v>
      </c>
      <c r="J4319" s="74"/>
      <c r="K4319" s="74">
        <v>102.4</v>
      </c>
      <c r="L4319" s="74">
        <v>92.16</v>
      </c>
      <c r="M4319" s="74"/>
      <c r="N4319" s="74" t="s">
        <v>392</v>
      </c>
      <c r="O4319" s="74" t="s">
        <v>402</v>
      </c>
      <c r="P4319" s="74" t="s">
        <v>9585</v>
      </c>
      <c r="Q4319" s="74" t="s">
        <v>9586</v>
      </c>
    </row>
    <row r="4320" spans="3:17" x14ac:dyDescent="0.25">
      <c r="C4320" s="74" t="s">
        <v>10154</v>
      </c>
      <c r="D4320" s="74" t="s">
        <v>10155</v>
      </c>
      <c r="E4320" s="74"/>
      <c r="F4320" s="74">
        <v>7.0000000000000007E-2</v>
      </c>
      <c r="G4320" s="74"/>
      <c r="H4320" s="74"/>
      <c r="I4320" s="74" t="s">
        <v>391</v>
      </c>
      <c r="J4320" s="74"/>
      <c r="K4320" s="74">
        <v>102.4</v>
      </c>
      <c r="L4320" s="74">
        <v>92.16</v>
      </c>
      <c r="M4320" s="74"/>
      <c r="N4320" s="74" t="s">
        <v>392</v>
      </c>
      <c r="O4320" s="74" t="s">
        <v>402</v>
      </c>
      <c r="P4320" s="74" t="s">
        <v>10156</v>
      </c>
      <c r="Q4320" s="74" t="s">
        <v>10157</v>
      </c>
    </row>
    <row r="4321" spans="3:17" x14ac:dyDescent="0.25">
      <c r="C4321" s="74" t="s">
        <v>10246</v>
      </c>
      <c r="D4321" s="74" t="s">
        <v>10247</v>
      </c>
      <c r="E4321" s="74"/>
      <c r="F4321" s="74">
        <v>7.0000000000000007E-2</v>
      </c>
      <c r="G4321" s="74"/>
      <c r="H4321" s="74"/>
      <c r="I4321" s="74" t="s">
        <v>391</v>
      </c>
      <c r="J4321" s="74"/>
      <c r="K4321" s="74">
        <v>102.4</v>
      </c>
      <c r="L4321" s="74">
        <v>92.16</v>
      </c>
      <c r="M4321" s="74"/>
      <c r="N4321" s="74" t="s">
        <v>392</v>
      </c>
      <c r="O4321" s="74" t="s">
        <v>402</v>
      </c>
      <c r="P4321" s="74" t="s">
        <v>10248</v>
      </c>
      <c r="Q4321" s="74" t="s">
        <v>10249</v>
      </c>
    </row>
    <row r="4322" spans="3:17" x14ac:dyDescent="0.25">
      <c r="C4322" s="74" t="s">
        <v>10305</v>
      </c>
      <c r="D4322" s="74" t="s">
        <v>10306</v>
      </c>
      <c r="E4322" s="74"/>
      <c r="F4322" s="74">
        <v>7.0000000000000007E-2</v>
      </c>
      <c r="G4322" s="74"/>
      <c r="H4322" s="74"/>
      <c r="I4322" s="74" t="s">
        <v>391</v>
      </c>
      <c r="J4322" s="74"/>
      <c r="K4322" s="74">
        <v>102.4</v>
      </c>
      <c r="L4322" s="74">
        <v>92.16</v>
      </c>
      <c r="M4322" s="74"/>
      <c r="N4322" s="74" t="s">
        <v>392</v>
      </c>
      <c r="O4322" s="74" t="s">
        <v>402</v>
      </c>
      <c r="P4322" s="74" t="s">
        <v>10307</v>
      </c>
      <c r="Q4322" s="74" t="s">
        <v>10308</v>
      </c>
    </row>
    <row r="4323" spans="3:17" x14ac:dyDescent="0.25">
      <c r="C4323" s="74" t="s">
        <v>10388</v>
      </c>
      <c r="D4323" s="74" t="s">
        <v>10389</v>
      </c>
      <c r="E4323" s="74"/>
      <c r="F4323" s="74">
        <v>7.0000000000000007E-2</v>
      </c>
      <c r="G4323" s="74"/>
      <c r="H4323" s="74"/>
      <c r="I4323" s="74" t="s">
        <v>391</v>
      </c>
      <c r="J4323" s="74"/>
      <c r="K4323" s="74">
        <v>102.4</v>
      </c>
      <c r="L4323" s="74">
        <v>92.16</v>
      </c>
      <c r="M4323" s="74"/>
      <c r="N4323" s="74" t="s">
        <v>392</v>
      </c>
      <c r="O4323" s="74" t="s">
        <v>402</v>
      </c>
      <c r="P4323" s="74" t="s">
        <v>10390</v>
      </c>
      <c r="Q4323" s="74" t="s">
        <v>10391</v>
      </c>
    </row>
    <row r="4324" spans="3:17" x14ac:dyDescent="0.25">
      <c r="C4324" s="74" t="s">
        <v>10551</v>
      </c>
      <c r="D4324" s="74" t="s">
        <v>10552</v>
      </c>
      <c r="E4324" s="74"/>
      <c r="F4324" s="74">
        <v>7.0000000000000007E-2</v>
      </c>
      <c r="G4324" s="74"/>
      <c r="H4324" s="74"/>
      <c r="I4324" s="74" t="s">
        <v>391</v>
      </c>
      <c r="J4324" s="74"/>
      <c r="K4324" s="74">
        <v>102.4</v>
      </c>
      <c r="L4324" s="74">
        <v>92.16</v>
      </c>
      <c r="M4324" s="74"/>
      <c r="N4324" s="74" t="s">
        <v>392</v>
      </c>
      <c r="O4324" s="74" t="s">
        <v>402</v>
      </c>
      <c r="P4324" s="74" t="s">
        <v>10553</v>
      </c>
      <c r="Q4324" s="74" t="s">
        <v>10554</v>
      </c>
    </row>
    <row r="4325" spans="3:17" x14ac:dyDescent="0.25">
      <c r="C4325" s="74" t="s">
        <v>11080</v>
      </c>
      <c r="D4325" s="74" t="s">
        <v>11081</v>
      </c>
      <c r="E4325" s="74" t="s">
        <v>391</v>
      </c>
      <c r="F4325" s="74">
        <v>7.0000000000000007E-2</v>
      </c>
      <c r="G4325" s="74"/>
      <c r="H4325" s="74"/>
      <c r="I4325" s="74" t="s">
        <v>391</v>
      </c>
      <c r="J4325" s="74"/>
      <c r="K4325" s="74">
        <v>102.4</v>
      </c>
      <c r="L4325" s="74">
        <v>92.16</v>
      </c>
      <c r="M4325" s="74"/>
      <c r="N4325" s="74" t="s">
        <v>392</v>
      </c>
      <c r="O4325" s="74" t="s">
        <v>393</v>
      </c>
      <c r="P4325" s="74"/>
      <c r="Q4325" s="74" t="s">
        <v>11082</v>
      </c>
    </row>
    <row r="4326" spans="3:17" x14ac:dyDescent="0.25">
      <c r="C4326" s="74" t="s">
        <v>11523</v>
      </c>
      <c r="D4326" s="74" t="s">
        <v>11524</v>
      </c>
      <c r="E4326" s="74"/>
      <c r="F4326" s="74">
        <v>7.0000000000000007E-2</v>
      </c>
      <c r="G4326" s="74"/>
      <c r="H4326" s="74"/>
      <c r="I4326" s="74" t="s">
        <v>391</v>
      </c>
      <c r="J4326" s="74"/>
      <c r="K4326" s="74">
        <v>102.4</v>
      </c>
      <c r="L4326" s="74">
        <v>92.16</v>
      </c>
      <c r="M4326" s="74"/>
      <c r="N4326" s="74" t="s">
        <v>392</v>
      </c>
      <c r="O4326" s="74" t="s">
        <v>402</v>
      </c>
      <c r="P4326" s="74" t="s">
        <v>11525</v>
      </c>
      <c r="Q4326" s="74" t="s">
        <v>11526</v>
      </c>
    </row>
    <row r="4327" spans="3:17" x14ac:dyDescent="0.25">
      <c r="C4327" s="74" t="s">
        <v>11595</v>
      </c>
      <c r="D4327" s="74" t="s">
        <v>11596</v>
      </c>
      <c r="E4327" s="74" t="s">
        <v>391</v>
      </c>
      <c r="F4327" s="74">
        <v>7.0000000000000007E-2</v>
      </c>
      <c r="G4327" s="74"/>
      <c r="H4327" s="74"/>
      <c r="I4327" s="74" t="s">
        <v>391</v>
      </c>
      <c r="J4327" s="74"/>
      <c r="K4327" s="74">
        <v>102.4</v>
      </c>
      <c r="L4327" s="74">
        <v>92.16</v>
      </c>
      <c r="M4327" s="74"/>
      <c r="N4327" s="74" t="s">
        <v>392</v>
      </c>
      <c r="O4327" s="74" t="s">
        <v>402</v>
      </c>
      <c r="P4327" s="74" t="s">
        <v>11597</v>
      </c>
      <c r="Q4327" s="74" t="s">
        <v>11598</v>
      </c>
    </row>
    <row r="4328" spans="3:17" x14ac:dyDescent="0.25">
      <c r="C4328" s="74" t="s">
        <v>11908</v>
      </c>
      <c r="D4328" s="74" t="s">
        <v>11909</v>
      </c>
      <c r="E4328" s="74"/>
      <c r="F4328" s="74">
        <v>7.0000000000000007E-2</v>
      </c>
      <c r="G4328" s="74"/>
      <c r="H4328" s="74"/>
      <c r="I4328" s="74" t="s">
        <v>391</v>
      </c>
      <c r="J4328" s="74"/>
      <c r="K4328" s="74">
        <v>102.4</v>
      </c>
      <c r="L4328" s="74">
        <v>92.16</v>
      </c>
      <c r="M4328" s="74"/>
      <c r="N4328" s="74" t="s">
        <v>392</v>
      </c>
      <c r="O4328" s="74" t="s">
        <v>402</v>
      </c>
      <c r="P4328" s="74" t="s">
        <v>11910</v>
      </c>
      <c r="Q4328" s="74" t="s">
        <v>11911</v>
      </c>
    </row>
    <row r="4329" spans="3:17" x14ac:dyDescent="0.25">
      <c r="C4329" s="74" t="s">
        <v>12717</v>
      </c>
      <c r="D4329" s="74" t="s">
        <v>12718</v>
      </c>
      <c r="E4329" s="74"/>
      <c r="F4329" s="74">
        <v>7.0000000000000007E-2</v>
      </c>
      <c r="G4329" s="74"/>
      <c r="H4329" s="74"/>
      <c r="I4329" s="74" t="s">
        <v>391</v>
      </c>
      <c r="J4329" s="74"/>
      <c r="K4329" s="74">
        <v>102.4</v>
      </c>
      <c r="L4329" s="74">
        <v>92.16</v>
      </c>
      <c r="M4329" s="74"/>
      <c r="N4329" s="74" t="s">
        <v>392</v>
      </c>
      <c r="O4329" s="74" t="s">
        <v>402</v>
      </c>
      <c r="P4329" s="74" t="s">
        <v>12719</v>
      </c>
      <c r="Q4329" s="74" t="s">
        <v>12720</v>
      </c>
    </row>
    <row r="4330" spans="3:17" x14ac:dyDescent="0.25">
      <c r="C4330" s="158" t="s">
        <v>12924</v>
      </c>
      <c r="D4330" s="158" t="s">
        <v>12925</v>
      </c>
      <c r="E4330" s="158" t="s">
        <v>391</v>
      </c>
      <c r="F4330" s="158">
        <v>7.0000000000000007E-2</v>
      </c>
      <c r="I4330" s="158" t="s">
        <v>391</v>
      </c>
      <c r="K4330" s="158">
        <v>102.4</v>
      </c>
      <c r="L4330" s="158">
        <v>92.16</v>
      </c>
      <c r="N4330" s="158" t="s">
        <v>392</v>
      </c>
      <c r="O4330" s="158" t="s">
        <v>393</v>
      </c>
      <c r="P4330" s="158" t="s">
        <v>12926</v>
      </c>
      <c r="Q4330" s="158" t="s">
        <v>12927</v>
      </c>
    </row>
    <row r="4331" spans="3:17" x14ac:dyDescent="0.25">
      <c r="C4331" s="74" t="s">
        <v>13190</v>
      </c>
      <c r="D4331" s="74" t="s">
        <v>13191</v>
      </c>
      <c r="E4331" s="74"/>
      <c r="F4331" s="74">
        <v>7.0000000000000007E-2</v>
      </c>
      <c r="G4331" s="74"/>
      <c r="H4331" s="74"/>
      <c r="I4331" s="74" t="s">
        <v>391</v>
      </c>
      <c r="J4331" s="74"/>
      <c r="K4331" s="74">
        <v>102.4</v>
      </c>
      <c r="L4331" s="74">
        <v>92.16</v>
      </c>
      <c r="M4331" s="74"/>
      <c r="N4331" s="74" t="s">
        <v>392</v>
      </c>
      <c r="O4331" s="74" t="s">
        <v>402</v>
      </c>
      <c r="P4331" s="74" t="s">
        <v>13192</v>
      </c>
      <c r="Q4331" s="74" t="s">
        <v>13193</v>
      </c>
    </row>
    <row r="4332" spans="3:17" x14ac:dyDescent="0.25">
      <c r="C4332" s="74" t="s">
        <v>14863</v>
      </c>
      <c r="D4332" s="74" t="s">
        <v>14864</v>
      </c>
      <c r="E4332" s="74"/>
      <c r="F4332" s="74">
        <v>7.0000000000000007E-2</v>
      </c>
      <c r="G4332" s="74"/>
      <c r="H4332" s="74"/>
      <c r="I4332" s="74" t="s">
        <v>391</v>
      </c>
      <c r="J4332" s="74"/>
      <c r="K4332" s="74">
        <v>102.4</v>
      </c>
      <c r="L4332" s="74">
        <v>92.16</v>
      </c>
      <c r="M4332" s="74"/>
      <c r="N4332" s="74" t="s">
        <v>392</v>
      </c>
      <c r="O4332" s="74" t="s">
        <v>402</v>
      </c>
      <c r="P4332" s="74" t="s">
        <v>14865</v>
      </c>
      <c r="Q4332" s="74" t="s">
        <v>14866</v>
      </c>
    </row>
    <row r="4333" spans="3:17" x14ac:dyDescent="0.25">
      <c r="C4333" s="74" t="s">
        <v>15786</v>
      </c>
      <c r="D4333" s="74" t="s">
        <v>15787</v>
      </c>
      <c r="E4333" s="74" t="s">
        <v>391</v>
      </c>
      <c r="F4333" s="74">
        <v>7.0000000000000007E-2</v>
      </c>
      <c r="G4333" s="74"/>
      <c r="H4333" s="74"/>
      <c r="I4333" s="74" t="s">
        <v>391</v>
      </c>
      <c r="J4333" s="74"/>
      <c r="K4333" s="74">
        <v>102.4</v>
      </c>
      <c r="L4333" s="74">
        <v>92.16</v>
      </c>
      <c r="M4333" s="74"/>
      <c r="N4333" s="74" t="s">
        <v>392</v>
      </c>
      <c r="O4333" s="74" t="s">
        <v>393</v>
      </c>
      <c r="P4333" s="74"/>
      <c r="Q4333" s="74" t="s">
        <v>15788</v>
      </c>
    </row>
    <row r="4334" spans="3:17" x14ac:dyDescent="0.25">
      <c r="C4334" s="74" t="s">
        <v>18167</v>
      </c>
      <c r="D4334" s="74" t="s">
        <v>18168</v>
      </c>
      <c r="E4334" s="74"/>
      <c r="F4334" s="74">
        <v>7.0000000000000007E-2</v>
      </c>
      <c r="G4334" s="74"/>
      <c r="H4334" s="74"/>
      <c r="I4334" s="74" t="s">
        <v>391</v>
      </c>
      <c r="J4334" s="74"/>
      <c r="K4334" s="74">
        <v>102.4</v>
      </c>
      <c r="L4334" s="74">
        <v>92.16</v>
      </c>
      <c r="M4334" s="74"/>
      <c r="N4334" s="74" t="s">
        <v>392</v>
      </c>
      <c r="O4334" s="74" t="s">
        <v>402</v>
      </c>
      <c r="P4334" s="74" t="s">
        <v>18169</v>
      </c>
      <c r="Q4334" s="74" t="s">
        <v>18170</v>
      </c>
    </row>
    <row r="4335" spans="3:17" x14ac:dyDescent="0.25">
      <c r="C4335" s="74" t="s">
        <v>18382</v>
      </c>
      <c r="D4335" s="74" t="s">
        <v>18383</v>
      </c>
      <c r="E4335" s="74" t="s">
        <v>391</v>
      </c>
      <c r="F4335" s="74">
        <v>7.0000000000000007E-2</v>
      </c>
      <c r="G4335" s="74"/>
      <c r="H4335" s="74"/>
      <c r="I4335" s="74" t="s">
        <v>391</v>
      </c>
      <c r="J4335" s="74"/>
      <c r="K4335" s="74">
        <v>102.4</v>
      </c>
      <c r="L4335" s="74">
        <v>92.16</v>
      </c>
      <c r="M4335" s="74"/>
      <c r="N4335" s="74" t="s">
        <v>392</v>
      </c>
      <c r="O4335" s="74" t="s">
        <v>393</v>
      </c>
      <c r="P4335" s="74"/>
      <c r="Q4335" s="74" t="s">
        <v>18384</v>
      </c>
    </row>
    <row r="4336" spans="3:17" x14ac:dyDescent="0.25">
      <c r="C4336" s="74" t="s">
        <v>18965</v>
      </c>
      <c r="D4336" s="74" t="s">
        <v>18966</v>
      </c>
      <c r="E4336" s="74"/>
      <c r="F4336" s="74">
        <v>7.0000000000000007E-2</v>
      </c>
      <c r="G4336" s="74"/>
      <c r="H4336" s="74"/>
      <c r="I4336" s="74" t="s">
        <v>391</v>
      </c>
      <c r="J4336" s="74"/>
      <c r="K4336" s="74">
        <v>102.4</v>
      </c>
      <c r="L4336" s="74">
        <v>92.16</v>
      </c>
      <c r="M4336" s="74"/>
      <c r="N4336" s="74" t="s">
        <v>392</v>
      </c>
      <c r="O4336" s="74" t="s">
        <v>402</v>
      </c>
      <c r="P4336" s="74" t="s">
        <v>18967</v>
      </c>
      <c r="Q4336" s="74" t="s">
        <v>18968</v>
      </c>
    </row>
    <row r="4337" spans="3:17" x14ac:dyDescent="0.25">
      <c r="C4337" s="74" t="s">
        <v>19499</v>
      </c>
      <c r="D4337" s="74" t="s">
        <v>19500</v>
      </c>
      <c r="E4337" s="74"/>
      <c r="F4337" s="74">
        <v>7.0000000000000007E-2</v>
      </c>
      <c r="G4337" s="74"/>
      <c r="H4337" s="74"/>
      <c r="I4337" s="74" t="s">
        <v>391</v>
      </c>
      <c r="J4337" s="74"/>
      <c r="K4337" s="74">
        <v>102.4</v>
      </c>
      <c r="L4337" s="74">
        <v>92.16</v>
      </c>
      <c r="M4337" s="74"/>
      <c r="N4337" s="74" t="s">
        <v>392</v>
      </c>
      <c r="O4337" s="74" t="s">
        <v>402</v>
      </c>
      <c r="P4337" s="74" t="s">
        <v>19501</v>
      </c>
      <c r="Q4337" s="74" t="s">
        <v>19502</v>
      </c>
    </row>
    <row r="4338" spans="3:17" x14ac:dyDescent="0.25">
      <c r="C4338" s="74" t="s">
        <v>19686</v>
      </c>
      <c r="D4338" s="74" t="s">
        <v>19687</v>
      </c>
      <c r="E4338" s="74"/>
      <c r="F4338" s="74">
        <v>7.0000000000000007E-2</v>
      </c>
      <c r="G4338" s="74"/>
      <c r="H4338" s="74"/>
      <c r="I4338" s="74" t="s">
        <v>391</v>
      </c>
      <c r="J4338" s="74"/>
      <c r="K4338" s="74">
        <v>102.4</v>
      </c>
      <c r="L4338" s="74">
        <v>92.16</v>
      </c>
      <c r="M4338" s="74"/>
      <c r="N4338" s="74" t="s">
        <v>392</v>
      </c>
      <c r="O4338" s="74" t="s">
        <v>402</v>
      </c>
      <c r="P4338" s="74" t="s">
        <v>19688</v>
      </c>
      <c r="Q4338" s="74" t="s">
        <v>19689</v>
      </c>
    </row>
    <row r="4339" spans="3:17" x14ac:dyDescent="0.25">
      <c r="C4339" s="74" t="s">
        <v>20162</v>
      </c>
      <c r="D4339" s="74" t="s">
        <v>20163</v>
      </c>
      <c r="E4339" s="74"/>
      <c r="F4339" s="74">
        <v>7.0000000000000007E-2</v>
      </c>
      <c r="G4339" s="74"/>
      <c r="H4339" s="74"/>
      <c r="I4339" s="74" t="s">
        <v>391</v>
      </c>
      <c r="J4339" s="74"/>
      <c r="K4339" s="74">
        <v>102.4</v>
      </c>
      <c r="L4339" s="74">
        <v>92.16</v>
      </c>
      <c r="M4339" s="74"/>
      <c r="N4339" s="74" t="s">
        <v>392</v>
      </c>
      <c r="O4339" s="74" t="s">
        <v>402</v>
      </c>
      <c r="P4339" s="74" t="s">
        <v>20164</v>
      </c>
      <c r="Q4339" s="74" t="s">
        <v>20165</v>
      </c>
    </row>
    <row r="4340" spans="3:17" x14ac:dyDescent="0.25">
      <c r="C4340" s="74" t="s">
        <v>1163</v>
      </c>
      <c r="D4340" s="74" t="s">
        <v>1164</v>
      </c>
      <c r="E4340" s="74" t="s">
        <v>391</v>
      </c>
      <c r="F4340" s="74">
        <v>0.06</v>
      </c>
      <c r="G4340" s="74"/>
      <c r="H4340" s="74"/>
      <c r="I4340" s="74" t="s">
        <v>391</v>
      </c>
      <c r="J4340" s="74"/>
      <c r="K4340" s="74">
        <v>102.4</v>
      </c>
      <c r="L4340" s="74">
        <v>92.16</v>
      </c>
      <c r="M4340" s="74"/>
      <c r="N4340" s="74" t="s">
        <v>392</v>
      </c>
      <c r="O4340" s="74" t="s">
        <v>393</v>
      </c>
      <c r="P4340" s="74"/>
      <c r="Q4340" s="74" t="s">
        <v>1165</v>
      </c>
    </row>
    <row r="4341" spans="3:17" x14ac:dyDescent="0.25">
      <c r="C4341" s="74" t="s">
        <v>1821</v>
      </c>
      <c r="D4341" s="74" t="s">
        <v>1822</v>
      </c>
      <c r="E4341" s="74" t="s">
        <v>391</v>
      </c>
      <c r="F4341" s="74">
        <v>0.06</v>
      </c>
      <c r="G4341" s="74"/>
      <c r="H4341" s="74"/>
      <c r="I4341" s="74" t="s">
        <v>391</v>
      </c>
      <c r="J4341" s="74"/>
      <c r="K4341" s="74">
        <v>102.4</v>
      </c>
      <c r="L4341" s="74">
        <v>92.16</v>
      </c>
      <c r="M4341" s="74"/>
      <c r="N4341" s="74" t="s">
        <v>392</v>
      </c>
      <c r="O4341" s="74" t="s">
        <v>393</v>
      </c>
      <c r="P4341" s="74" t="s">
        <v>1823</v>
      </c>
      <c r="Q4341" s="74" t="s">
        <v>1824</v>
      </c>
    </row>
    <row r="4342" spans="3:17" x14ac:dyDescent="0.25">
      <c r="C4342" s="74" t="s">
        <v>2576</v>
      </c>
      <c r="D4342" s="74" t="s">
        <v>2577</v>
      </c>
      <c r="E4342" s="74"/>
      <c r="F4342" s="74">
        <v>0.06</v>
      </c>
      <c r="G4342" s="74"/>
      <c r="H4342" s="74"/>
      <c r="I4342" s="74" t="s">
        <v>391</v>
      </c>
      <c r="J4342" s="74"/>
      <c r="K4342" s="74">
        <v>102.4</v>
      </c>
      <c r="L4342" s="74">
        <v>92.16</v>
      </c>
      <c r="M4342" s="74"/>
      <c r="N4342" s="74" t="s">
        <v>392</v>
      </c>
      <c r="O4342" s="74" t="s">
        <v>402</v>
      </c>
      <c r="P4342" s="74" t="s">
        <v>2578</v>
      </c>
      <c r="Q4342" s="74" t="s">
        <v>2579</v>
      </c>
    </row>
    <row r="4343" spans="3:17" x14ac:dyDescent="0.25">
      <c r="C4343" s="74" t="s">
        <v>3626</v>
      </c>
      <c r="D4343" s="74" t="s">
        <v>2879</v>
      </c>
      <c r="E4343" s="74" t="s">
        <v>391</v>
      </c>
      <c r="F4343" s="74">
        <v>0.06</v>
      </c>
      <c r="G4343" s="74"/>
      <c r="H4343" s="74"/>
      <c r="I4343" s="74" t="s">
        <v>391</v>
      </c>
      <c r="J4343" s="74"/>
      <c r="K4343" s="74">
        <v>102.4</v>
      </c>
      <c r="L4343" s="74">
        <v>92.16</v>
      </c>
      <c r="M4343" s="74"/>
      <c r="N4343" s="74" t="s">
        <v>392</v>
      </c>
      <c r="O4343" s="74" t="s">
        <v>393</v>
      </c>
      <c r="P4343" s="74"/>
      <c r="Q4343" s="74" t="s">
        <v>3627</v>
      </c>
    </row>
    <row r="4344" spans="3:17" x14ac:dyDescent="0.25">
      <c r="C4344" s="74" t="s">
        <v>4407</v>
      </c>
      <c r="D4344" s="74" t="s">
        <v>4408</v>
      </c>
      <c r="E4344" s="74"/>
      <c r="F4344" s="74">
        <v>0.06</v>
      </c>
      <c r="G4344" s="74"/>
      <c r="H4344" s="74"/>
      <c r="I4344" s="74" t="s">
        <v>391</v>
      </c>
      <c r="J4344" s="74"/>
      <c r="K4344" s="74">
        <v>102.4</v>
      </c>
      <c r="L4344" s="74">
        <v>92.16</v>
      </c>
      <c r="M4344" s="74"/>
      <c r="N4344" s="74" t="s">
        <v>392</v>
      </c>
      <c r="O4344" s="74" t="s">
        <v>402</v>
      </c>
      <c r="P4344" s="74" t="s">
        <v>4409</v>
      </c>
      <c r="Q4344" s="74" t="s">
        <v>4410</v>
      </c>
    </row>
    <row r="4345" spans="3:17" x14ac:dyDescent="0.25">
      <c r="C4345" s="74" t="s">
        <v>4419</v>
      </c>
      <c r="D4345" s="74" t="s">
        <v>4420</v>
      </c>
      <c r="E4345" s="74" t="s">
        <v>391</v>
      </c>
      <c r="F4345" s="74">
        <v>0.06</v>
      </c>
      <c r="G4345" s="74"/>
      <c r="H4345" s="74"/>
      <c r="I4345" s="74" t="s">
        <v>391</v>
      </c>
      <c r="J4345" s="74"/>
      <c r="K4345" s="74">
        <v>102.4</v>
      </c>
      <c r="L4345" s="74">
        <v>92.16</v>
      </c>
      <c r="M4345" s="74"/>
      <c r="N4345" s="74" t="s">
        <v>392</v>
      </c>
      <c r="O4345" s="74" t="s">
        <v>393</v>
      </c>
      <c r="P4345" s="74"/>
      <c r="Q4345" s="74" t="s">
        <v>4421</v>
      </c>
    </row>
    <row r="4346" spans="3:17" x14ac:dyDescent="0.25">
      <c r="C4346" s="74" t="s">
        <v>4882</v>
      </c>
      <c r="D4346" s="74" t="s">
        <v>4883</v>
      </c>
      <c r="E4346" s="74"/>
      <c r="F4346" s="74">
        <v>0.06</v>
      </c>
      <c r="G4346" s="74"/>
      <c r="H4346" s="74"/>
      <c r="I4346" s="74" t="s">
        <v>391</v>
      </c>
      <c r="J4346" s="74"/>
      <c r="K4346" s="74">
        <v>102.4</v>
      </c>
      <c r="L4346" s="74">
        <v>92.16</v>
      </c>
      <c r="M4346" s="74"/>
      <c r="N4346" s="74" t="s">
        <v>392</v>
      </c>
      <c r="O4346" s="74" t="s">
        <v>402</v>
      </c>
      <c r="P4346" s="74" t="s">
        <v>4884</v>
      </c>
      <c r="Q4346" s="74" t="s">
        <v>4885</v>
      </c>
    </row>
    <row r="4347" spans="3:17" x14ac:dyDescent="0.25">
      <c r="C4347" s="74" t="s">
        <v>4890</v>
      </c>
      <c r="D4347" s="74" t="s">
        <v>4891</v>
      </c>
      <c r="E4347" s="74"/>
      <c r="F4347" s="74">
        <v>0.06</v>
      </c>
      <c r="G4347" s="74"/>
      <c r="H4347" s="74"/>
      <c r="I4347" s="74" t="s">
        <v>391</v>
      </c>
      <c r="J4347" s="74"/>
      <c r="K4347" s="74">
        <v>102.4</v>
      </c>
      <c r="L4347" s="74">
        <v>92.16</v>
      </c>
      <c r="M4347" s="74"/>
      <c r="N4347" s="74" t="s">
        <v>392</v>
      </c>
      <c r="O4347" s="74" t="s">
        <v>402</v>
      </c>
      <c r="P4347" s="74" t="s">
        <v>4892</v>
      </c>
      <c r="Q4347" s="74" t="s">
        <v>4893</v>
      </c>
    </row>
    <row r="4348" spans="3:17" x14ac:dyDescent="0.25">
      <c r="C4348" s="74" t="s">
        <v>5197</v>
      </c>
      <c r="D4348" s="74" t="s">
        <v>5198</v>
      </c>
      <c r="E4348" s="74" t="s">
        <v>391</v>
      </c>
      <c r="F4348" s="74">
        <v>0.06</v>
      </c>
      <c r="G4348" s="74"/>
      <c r="H4348" s="74"/>
      <c r="I4348" s="74" t="s">
        <v>391</v>
      </c>
      <c r="J4348" s="74"/>
      <c r="K4348" s="74">
        <v>102.4</v>
      </c>
      <c r="L4348" s="74">
        <v>92.16</v>
      </c>
      <c r="M4348" s="74"/>
      <c r="N4348" s="74" t="s">
        <v>392</v>
      </c>
      <c r="O4348" s="74" t="s">
        <v>393</v>
      </c>
      <c r="P4348" s="74"/>
      <c r="Q4348" s="74" t="s">
        <v>5199</v>
      </c>
    </row>
    <row r="4349" spans="3:17" x14ac:dyDescent="0.25">
      <c r="C4349" s="74" t="s">
        <v>5509</v>
      </c>
      <c r="D4349" s="74" t="s">
        <v>5510</v>
      </c>
      <c r="E4349" s="74"/>
      <c r="F4349" s="74">
        <v>0.06</v>
      </c>
      <c r="G4349" s="74"/>
      <c r="H4349" s="74"/>
      <c r="I4349" s="74" t="s">
        <v>391</v>
      </c>
      <c r="J4349" s="74"/>
      <c r="K4349" s="74">
        <v>102.4</v>
      </c>
      <c r="L4349" s="74">
        <v>92.16</v>
      </c>
      <c r="M4349" s="74"/>
      <c r="N4349" s="74" t="s">
        <v>392</v>
      </c>
      <c r="O4349" s="74" t="s">
        <v>402</v>
      </c>
      <c r="P4349" s="74" t="s">
        <v>5511</v>
      </c>
      <c r="Q4349" s="74" t="s">
        <v>5512</v>
      </c>
    </row>
    <row r="4350" spans="3:17" x14ac:dyDescent="0.25">
      <c r="C4350" s="74" t="s">
        <v>5795</v>
      </c>
      <c r="D4350" s="74" t="s">
        <v>5796</v>
      </c>
      <c r="E4350" s="74" t="s">
        <v>391</v>
      </c>
      <c r="F4350" s="74">
        <v>0.06</v>
      </c>
      <c r="G4350" s="74"/>
      <c r="H4350" s="74"/>
      <c r="I4350" s="74" t="s">
        <v>391</v>
      </c>
      <c r="J4350" s="74"/>
      <c r="K4350" s="74">
        <v>102.4</v>
      </c>
      <c r="L4350" s="74">
        <v>92.16</v>
      </c>
      <c r="M4350" s="74"/>
      <c r="N4350" s="74" t="s">
        <v>392</v>
      </c>
      <c r="O4350" s="74" t="s">
        <v>393</v>
      </c>
      <c r="P4350" s="74"/>
      <c r="Q4350" s="74" t="s">
        <v>5797</v>
      </c>
    </row>
    <row r="4351" spans="3:17" x14ac:dyDescent="0.25">
      <c r="C4351" s="74" t="s">
        <v>6332</v>
      </c>
      <c r="D4351" s="74" t="s">
        <v>6333</v>
      </c>
      <c r="E4351" s="74"/>
      <c r="F4351" s="74">
        <v>0.06</v>
      </c>
      <c r="G4351" s="74"/>
      <c r="H4351" s="74"/>
      <c r="I4351" s="74" t="s">
        <v>391</v>
      </c>
      <c r="J4351" s="74"/>
      <c r="K4351" s="74">
        <v>102.4</v>
      </c>
      <c r="L4351" s="74">
        <v>92.16</v>
      </c>
      <c r="M4351" s="74"/>
      <c r="N4351" s="74" t="s">
        <v>392</v>
      </c>
      <c r="O4351" s="74" t="s">
        <v>402</v>
      </c>
      <c r="P4351" s="74" t="s">
        <v>6334</v>
      </c>
      <c r="Q4351" s="74" t="s">
        <v>6335</v>
      </c>
    </row>
    <row r="4352" spans="3:17" x14ac:dyDescent="0.25">
      <c r="C4352" s="74" t="s">
        <v>6836</v>
      </c>
      <c r="D4352" s="74" t="s">
        <v>6837</v>
      </c>
      <c r="E4352" s="74" t="s">
        <v>391</v>
      </c>
      <c r="F4352" s="74">
        <v>0.06</v>
      </c>
      <c r="G4352" s="74"/>
      <c r="H4352" s="74"/>
      <c r="I4352" s="74" t="s">
        <v>391</v>
      </c>
      <c r="J4352" s="74"/>
      <c r="K4352" s="74">
        <v>102.4</v>
      </c>
      <c r="L4352" s="74">
        <v>92.16</v>
      </c>
      <c r="M4352" s="74"/>
      <c r="N4352" s="74" t="s">
        <v>392</v>
      </c>
      <c r="O4352" s="74" t="s">
        <v>393</v>
      </c>
      <c r="P4352" s="74"/>
      <c r="Q4352" s="74" t="s">
        <v>6838</v>
      </c>
    </row>
    <row r="4353" spans="3:17" x14ac:dyDescent="0.25">
      <c r="C4353" s="74" t="s">
        <v>7067</v>
      </c>
      <c r="D4353" s="74" t="s">
        <v>7068</v>
      </c>
      <c r="E4353" s="74"/>
      <c r="F4353" s="74">
        <v>0.06</v>
      </c>
      <c r="G4353" s="74"/>
      <c r="H4353" s="74"/>
      <c r="I4353" s="74" t="s">
        <v>391</v>
      </c>
      <c r="J4353" s="74"/>
      <c r="K4353" s="74">
        <v>102.4</v>
      </c>
      <c r="L4353" s="74">
        <v>92.16</v>
      </c>
      <c r="M4353" s="74"/>
      <c r="N4353" s="74" t="s">
        <v>392</v>
      </c>
      <c r="O4353" s="74" t="s">
        <v>402</v>
      </c>
      <c r="P4353" s="74" t="s">
        <v>7069</v>
      </c>
      <c r="Q4353" s="74" t="s">
        <v>7070</v>
      </c>
    </row>
    <row r="4354" spans="3:17" x14ac:dyDescent="0.25">
      <c r="C4354" s="74" t="s">
        <v>7487</v>
      </c>
      <c r="D4354" s="74" t="s">
        <v>7488</v>
      </c>
      <c r="E4354" s="74" t="s">
        <v>391</v>
      </c>
      <c r="F4354" s="74">
        <v>0.06</v>
      </c>
      <c r="G4354" s="74"/>
      <c r="H4354" s="74"/>
      <c r="I4354" s="74" t="s">
        <v>391</v>
      </c>
      <c r="J4354" s="74"/>
      <c r="K4354" s="74">
        <v>102.4</v>
      </c>
      <c r="L4354" s="74">
        <v>92.16</v>
      </c>
      <c r="M4354" s="74"/>
      <c r="N4354" s="74" t="s">
        <v>392</v>
      </c>
      <c r="O4354" s="74" t="s">
        <v>393</v>
      </c>
      <c r="P4354" s="74"/>
      <c r="Q4354" s="74" t="s">
        <v>7489</v>
      </c>
    </row>
    <row r="4355" spans="3:17" x14ac:dyDescent="0.25">
      <c r="C4355" s="74" t="s">
        <v>7929</v>
      </c>
      <c r="D4355" s="74" t="s">
        <v>7930</v>
      </c>
      <c r="E4355" s="74"/>
      <c r="F4355" s="74">
        <v>0.06</v>
      </c>
      <c r="G4355" s="74"/>
      <c r="H4355" s="74"/>
      <c r="I4355" s="74" t="s">
        <v>391</v>
      </c>
      <c r="J4355" s="74"/>
      <c r="K4355" s="74">
        <v>102.4</v>
      </c>
      <c r="L4355" s="74">
        <v>92.16</v>
      </c>
      <c r="M4355" s="74"/>
      <c r="N4355" s="74" t="s">
        <v>392</v>
      </c>
      <c r="O4355" s="74" t="s">
        <v>402</v>
      </c>
      <c r="P4355" s="74" t="s">
        <v>7931</v>
      </c>
      <c r="Q4355" s="74" t="s">
        <v>7932</v>
      </c>
    </row>
    <row r="4356" spans="3:17" x14ac:dyDescent="0.25">
      <c r="C4356" s="74" t="s">
        <v>8155</v>
      </c>
      <c r="D4356" s="74" t="s">
        <v>8156</v>
      </c>
      <c r="E4356" s="74"/>
      <c r="F4356" s="74">
        <v>0.06</v>
      </c>
      <c r="G4356" s="74"/>
      <c r="H4356" s="74"/>
      <c r="I4356" s="74" t="s">
        <v>391</v>
      </c>
      <c r="J4356" s="74"/>
      <c r="K4356" s="74">
        <v>102.4</v>
      </c>
      <c r="L4356" s="74">
        <v>92.16</v>
      </c>
      <c r="M4356" s="74"/>
      <c r="N4356" s="74" t="s">
        <v>392</v>
      </c>
      <c r="O4356" s="74" t="s">
        <v>402</v>
      </c>
      <c r="P4356" s="74" t="s">
        <v>8157</v>
      </c>
      <c r="Q4356" s="74" t="s">
        <v>8158</v>
      </c>
    </row>
    <row r="4357" spans="3:17" x14ac:dyDescent="0.25">
      <c r="C4357" s="74" t="s">
        <v>8573</v>
      </c>
      <c r="D4357" s="74" t="s">
        <v>8574</v>
      </c>
      <c r="E4357" s="74"/>
      <c r="F4357" s="74">
        <v>0.06</v>
      </c>
      <c r="G4357" s="74"/>
      <c r="H4357" s="74"/>
      <c r="I4357" s="74" t="s">
        <v>391</v>
      </c>
      <c r="J4357" s="74"/>
      <c r="K4357" s="74">
        <v>102.4</v>
      </c>
      <c r="L4357" s="74">
        <v>92.16</v>
      </c>
      <c r="M4357" s="74"/>
      <c r="N4357" s="74" t="s">
        <v>392</v>
      </c>
      <c r="O4357" s="74" t="s">
        <v>402</v>
      </c>
      <c r="P4357" s="74" t="s">
        <v>8575</v>
      </c>
      <c r="Q4357" s="74" t="s">
        <v>8576</v>
      </c>
    </row>
    <row r="4358" spans="3:17" x14ac:dyDescent="0.25">
      <c r="C4358" s="74" t="s">
        <v>10569</v>
      </c>
      <c r="D4358" s="74" t="s">
        <v>10570</v>
      </c>
      <c r="E4358" s="74"/>
      <c r="F4358" s="74">
        <v>0.06</v>
      </c>
      <c r="G4358" s="74"/>
      <c r="H4358" s="74"/>
      <c r="I4358" s="74" t="s">
        <v>391</v>
      </c>
      <c r="J4358" s="74"/>
      <c r="K4358" s="74">
        <v>102.4</v>
      </c>
      <c r="L4358" s="74">
        <v>92.16</v>
      </c>
      <c r="M4358" s="74"/>
      <c r="N4358" s="74" t="s">
        <v>392</v>
      </c>
      <c r="O4358" s="74" t="s">
        <v>402</v>
      </c>
      <c r="P4358" s="74" t="s">
        <v>10571</v>
      </c>
      <c r="Q4358" s="74" t="s">
        <v>10572</v>
      </c>
    </row>
    <row r="4359" spans="3:17" x14ac:dyDescent="0.25">
      <c r="C4359" s="74" t="s">
        <v>10614</v>
      </c>
      <c r="D4359" s="74" t="s">
        <v>10615</v>
      </c>
      <c r="E4359" s="74" t="s">
        <v>391</v>
      </c>
      <c r="F4359" s="74">
        <v>0.06</v>
      </c>
      <c r="G4359" s="74"/>
      <c r="H4359" s="74"/>
      <c r="I4359" s="74" t="s">
        <v>391</v>
      </c>
      <c r="J4359" s="74"/>
      <c r="K4359" s="74">
        <v>102.4</v>
      </c>
      <c r="L4359" s="74">
        <v>92.16</v>
      </c>
      <c r="M4359" s="74"/>
      <c r="N4359" s="74" t="s">
        <v>392</v>
      </c>
      <c r="O4359" s="74" t="s">
        <v>393</v>
      </c>
      <c r="P4359" s="74"/>
      <c r="Q4359" s="74" t="s">
        <v>10616</v>
      </c>
    </row>
    <row r="4360" spans="3:17" x14ac:dyDescent="0.25">
      <c r="C4360" s="74" t="s">
        <v>11460</v>
      </c>
      <c r="D4360" s="74" t="s">
        <v>11461</v>
      </c>
      <c r="E4360" s="74"/>
      <c r="F4360" s="74">
        <v>0.06</v>
      </c>
      <c r="G4360" s="74"/>
      <c r="H4360" s="74"/>
      <c r="I4360" s="74" t="s">
        <v>391</v>
      </c>
      <c r="J4360" s="74"/>
      <c r="K4360" s="74">
        <v>102.4</v>
      </c>
      <c r="L4360" s="74">
        <v>92.16</v>
      </c>
      <c r="M4360" s="74"/>
      <c r="N4360" s="74" t="s">
        <v>392</v>
      </c>
      <c r="O4360" s="74" t="s">
        <v>402</v>
      </c>
      <c r="P4360" s="74" t="s">
        <v>11462</v>
      </c>
      <c r="Q4360" s="74" t="s">
        <v>11463</v>
      </c>
    </row>
    <row r="4361" spans="3:17" x14ac:dyDescent="0.25">
      <c r="C4361" s="74" t="s">
        <v>11798</v>
      </c>
      <c r="D4361" s="74" t="s">
        <v>11799</v>
      </c>
      <c r="E4361" s="74" t="s">
        <v>391</v>
      </c>
      <c r="F4361" s="74">
        <v>0.06</v>
      </c>
      <c r="G4361" s="74"/>
      <c r="H4361" s="74"/>
      <c r="I4361" s="74" t="s">
        <v>391</v>
      </c>
      <c r="J4361" s="74"/>
      <c r="K4361" s="74">
        <v>102.4</v>
      </c>
      <c r="L4361" s="74">
        <v>92.16</v>
      </c>
      <c r="M4361" s="74"/>
      <c r="N4361" s="74" t="s">
        <v>392</v>
      </c>
      <c r="O4361" s="74" t="s">
        <v>393</v>
      </c>
      <c r="P4361" s="74" t="s">
        <v>11800</v>
      </c>
      <c r="Q4361" s="74" t="s">
        <v>11801</v>
      </c>
    </row>
    <row r="4362" spans="3:17" x14ac:dyDescent="0.25">
      <c r="C4362" s="74" t="s">
        <v>12787</v>
      </c>
      <c r="D4362" s="74" t="s">
        <v>12788</v>
      </c>
      <c r="E4362" s="74"/>
      <c r="F4362" s="74">
        <v>0.06</v>
      </c>
      <c r="G4362" s="74"/>
      <c r="H4362" s="74"/>
      <c r="I4362" s="74" t="s">
        <v>391</v>
      </c>
      <c r="J4362" s="74"/>
      <c r="K4362" s="74">
        <v>102.4</v>
      </c>
      <c r="L4362" s="74">
        <v>92.16</v>
      </c>
      <c r="M4362" s="74"/>
      <c r="N4362" s="74" t="s">
        <v>392</v>
      </c>
      <c r="O4362" s="74" t="s">
        <v>402</v>
      </c>
      <c r="P4362" s="74"/>
      <c r="Q4362" s="74" t="s">
        <v>12789</v>
      </c>
    </row>
    <row r="4363" spans="3:17" x14ac:dyDescent="0.25">
      <c r="C4363" s="74" t="s">
        <v>12967</v>
      </c>
      <c r="D4363" s="74" t="s">
        <v>12968</v>
      </c>
      <c r="E4363" s="74" t="s">
        <v>391</v>
      </c>
      <c r="F4363" s="74">
        <v>0.06</v>
      </c>
      <c r="G4363" s="74"/>
      <c r="H4363" s="74"/>
      <c r="I4363" s="74" t="s">
        <v>391</v>
      </c>
      <c r="J4363" s="74"/>
      <c r="K4363" s="74">
        <v>102.4</v>
      </c>
      <c r="L4363" s="74">
        <v>92.16</v>
      </c>
      <c r="M4363" s="74"/>
      <c r="N4363" s="74" t="s">
        <v>392</v>
      </c>
      <c r="O4363" s="74" t="s">
        <v>393</v>
      </c>
      <c r="P4363" s="74"/>
      <c r="Q4363" s="74" t="s">
        <v>12969</v>
      </c>
    </row>
    <row r="4364" spans="3:17" x14ac:dyDescent="0.25">
      <c r="C4364" s="74" t="s">
        <v>13272</v>
      </c>
      <c r="D4364" s="74" t="s">
        <v>13273</v>
      </c>
      <c r="E4364" s="74"/>
      <c r="F4364" s="74">
        <v>0.06</v>
      </c>
      <c r="G4364" s="74"/>
      <c r="H4364" s="74"/>
      <c r="I4364" s="74" t="s">
        <v>391</v>
      </c>
      <c r="J4364" s="74"/>
      <c r="K4364" s="74">
        <v>102.4</v>
      </c>
      <c r="L4364" s="74">
        <v>92.16</v>
      </c>
      <c r="M4364" s="74"/>
      <c r="N4364" s="74" t="s">
        <v>392</v>
      </c>
      <c r="O4364" s="74" t="s">
        <v>402</v>
      </c>
      <c r="P4364" s="74" t="s">
        <v>13274</v>
      </c>
      <c r="Q4364" s="74" t="s">
        <v>13275</v>
      </c>
    </row>
    <row r="4365" spans="3:17" x14ac:dyDescent="0.25">
      <c r="C4365" s="74" t="s">
        <v>13651</v>
      </c>
      <c r="D4365" s="74" t="s">
        <v>13652</v>
      </c>
      <c r="E4365" s="74"/>
      <c r="F4365" s="74">
        <v>0.06</v>
      </c>
      <c r="G4365" s="74"/>
      <c r="H4365" s="74"/>
      <c r="I4365" s="74" t="s">
        <v>391</v>
      </c>
      <c r="J4365" s="74"/>
      <c r="K4365" s="74">
        <v>102.4</v>
      </c>
      <c r="L4365" s="74">
        <v>92.16</v>
      </c>
      <c r="M4365" s="74"/>
      <c r="N4365" s="74" t="s">
        <v>392</v>
      </c>
      <c r="O4365" s="74" t="s">
        <v>402</v>
      </c>
      <c r="P4365" s="74" t="s">
        <v>13653</v>
      </c>
      <c r="Q4365" s="74" t="s">
        <v>13654</v>
      </c>
    </row>
    <row r="4366" spans="3:17" x14ac:dyDescent="0.25">
      <c r="C4366" s="74" t="s">
        <v>14387</v>
      </c>
      <c r="D4366" s="74" t="s">
        <v>14388</v>
      </c>
      <c r="E4366" s="74"/>
      <c r="F4366" s="74">
        <v>0.06</v>
      </c>
      <c r="G4366" s="74"/>
      <c r="H4366" s="74"/>
      <c r="I4366" s="74" t="s">
        <v>391</v>
      </c>
      <c r="J4366" s="74"/>
      <c r="K4366" s="74">
        <v>102.4</v>
      </c>
      <c r="L4366" s="74">
        <v>92.16</v>
      </c>
      <c r="M4366" s="74"/>
      <c r="N4366" s="74" t="s">
        <v>392</v>
      </c>
      <c r="O4366" s="74" t="s">
        <v>402</v>
      </c>
      <c r="P4366" s="74" t="s">
        <v>14389</v>
      </c>
      <c r="Q4366" s="74" t="s">
        <v>14390</v>
      </c>
    </row>
    <row r="4367" spans="3:17" x14ac:dyDescent="0.25">
      <c r="C4367" s="74" t="s">
        <v>15748</v>
      </c>
      <c r="D4367" s="74" t="s">
        <v>15749</v>
      </c>
      <c r="E4367" s="74" t="s">
        <v>391</v>
      </c>
      <c r="F4367" s="74">
        <v>0.06</v>
      </c>
      <c r="G4367" s="74"/>
      <c r="H4367" s="74"/>
      <c r="I4367" s="74" t="s">
        <v>391</v>
      </c>
      <c r="J4367" s="74"/>
      <c r="K4367" s="74">
        <v>102.4</v>
      </c>
      <c r="L4367" s="74">
        <v>92.16</v>
      </c>
      <c r="M4367" s="74"/>
      <c r="N4367" s="74" t="s">
        <v>392</v>
      </c>
      <c r="O4367" s="74" t="s">
        <v>393</v>
      </c>
      <c r="P4367" s="74"/>
      <c r="Q4367" s="74" t="s">
        <v>15750</v>
      </c>
    </row>
    <row r="4368" spans="3:17" x14ac:dyDescent="0.25">
      <c r="C4368" s="74" t="s">
        <v>15889</v>
      </c>
      <c r="D4368" s="74" t="s">
        <v>15890</v>
      </c>
      <c r="E4368" s="74"/>
      <c r="F4368" s="74">
        <v>0.06</v>
      </c>
      <c r="G4368" s="74"/>
      <c r="H4368" s="74"/>
      <c r="I4368" s="74" t="s">
        <v>391</v>
      </c>
      <c r="J4368" s="74"/>
      <c r="K4368" s="74">
        <v>102.4</v>
      </c>
      <c r="L4368" s="74">
        <v>92.16</v>
      </c>
      <c r="M4368" s="74"/>
      <c r="N4368" s="74" t="s">
        <v>392</v>
      </c>
      <c r="O4368" s="74" t="s">
        <v>402</v>
      </c>
      <c r="P4368" s="74" t="s">
        <v>15891</v>
      </c>
      <c r="Q4368" s="74" t="s">
        <v>15892</v>
      </c>
    </row>
    <row r="4369" spans="3:17" x14ac:dyDescent="0.25">
      <c r="C4369" s="74" t="s">
        <v>16226</v>
      </c>
      <c r="D4369" s="74" t="s">
        <v>16227</v>
      </c>
      <c r="E4369" s="74"/>
      <c r="F4369" s="74">
        <v>0.06</v>
      </c>
      <c r="G4369" s="74"/>
      <c r="H4369" s="74"/>
      <c r="I4369" s="74" t="s">
        <v>391</v>
      </c>
      <c r="J4369" s="74"/>
      <c r="K4369" s="74">
        <v>102.4</v>
      </c>
      <c r="L4369" s="74">
        <v>92.16</v>
      </c>
      <c r="M4369" s="74"/>
      <c r="N4369" s="74" t="s">
        <v>392</v>
      </c>
      <c r="O4369" s="74" t="s">
        <v>402</v>
      </c>
      <c r="P4369" s="74" t="s">
        <v>16228</v>
      </c>
      <c r="Q4369" s="74" t="s">
        <v>16229</v>
      </c>
    </row>
    <row r="4370" spans="3:17" x14ac:dyDescent="0.25">
      <c r="C4370" s="74" t="s">
        <v>16726</v>
      </c>
      <c r="D4370" s="74" t="s">
        <v>16727</v>
      </c>
      <c r="E4370" s="74"/>
      <c r="F4370" s="74">
        <v>0.06</v>
      </c>
      <c r="G4370" s="74"/>
      <c r="H4370" s="74"/>
      <c r="I4370" s="74" t="s">
        <v>391</v>
      </c>
      <c r="J4370" s="74"/>
      <c r="K4370" s="74">
        <v>102.4</v>
      </c>
      <c r="L4370" s="74">
        <v>92.16</v>
      </c>
      <c r="M4370" s="74"/>
      <c r="N4370" s="74" t="s">
        <v>392</v>
      </c>
      <c r="O4370" s="74" t="s">
        <v>402</v>
      </c>
      <c r="P4370" s="74" t="s">
        <v>16728</v>
      </c>
      <c r="Q4370" s="74" t="s">
        <v>16729</v>
      </c>
    </row>
    <row r="4371" spans="3:17" x14ac:dyDescent="0.25">
      <c r="C4371" s="74" t="s">
        <v>16837</v>
      </c>
      <c r="D4371" s="74" t="s">
        <v>16838</v>
      </c>
      <c r="E4371" s="74" t="s">
        <v>391</v>
      </c>
      <c r="F4371" s="74">
        <v>0.06</v>
      </c>
      <c r="G4371" s="74"/>
      <c r="H4371" s="74"/>
      <c r="I4371" s="74" t="s">
        <v>391</v>
      </c>
      <c r="J4371" s="74"/>
      <c r="K4371" s="74">
        <v>102.4</v>
      </c>
      <c r="L4371" s="74">
        <v>92.16</v>
      </c>
      <c r="M4371" s="74"/>
      <c r="N4371" s="74" t="s">
        <v>392</v>
      </c>
      <c r="O4371" s="74" t="s">
        <v>393</v>
      </c>
      <c r="P4371" s="74"/>
      <c r="Q4371" s="74" t="s">
        <v>16839</v>
      </c>
    </row>
    <row r="4372" spans="3:17" x14ac:dyDescent="0.25">
      <c r="C4372" s="74" t="s">
        <v>16968</v>
      </c>
      <c r="D4372" s="74" t="s">
        <v>16969</v>
      </c>
      <c r="E4372" s="74"/>
      <c r="F4372" s="74">
        <v>0.06</v>
      </c>
      <c r="G4372" s="74"/>
      <c r="H4372" s="74"/>
      <c r="I4372" s="74" t="s">
        <v>391</v>
      </c>
      <c r="J4372" s="74"/>
      <c r="K4372" s="74">
        <v>102.4</v>
      </c>
      <c r="L4372" s="74">
        <v>92.16</v>
      </c>
      <c r="M4372" s="74"/>
      <c r="N4372" s="74" t="s">
        <v>392</v>
      </c>
      <c r="O4372" s="74" t="s">
        <v>402</v>
      </c>
      <c r="P4372" s="74" t="s">
        <v>16970</v>
      </c>
      <c r="Q4372" s="74" t="s">
        <v>16971</v>
      </c>
    </row>
    <row r="4373" spans="3:17" x14ac:dyDescent="0.25">
      <c r="C4373" s="74" t="s">
        <v>18577</v>
      </c>
      <c r="D4373" s="74" t="s">
        <v>18578</v>
      </c>
      <c r="E4373" s="74"/>
      <c r="F4373" s="74">
        <v>0.06</v>
      </c>
      <c r="G4373" s="74"/>
      <c r="H4373" s="74"/>
      <c r="I4373" s="74" t="s">
        <v>391</v>
      </c>
      <c r="J4373" s="74"/>
      <c r="K4373" s="74">
        <v>102.4</v>
      </c>
      <c r="L4373" s="74">
        <v>92.16</v>
      </c>
      <c r="M4373" s="74"/>
      <c r="N4373" s="74" t="s">
        <v>392</v>
      </c>
      <c r="O4373" s="74" t="s">
        <v>402</v>
      </c>
      <c r="P4373" s="74" t="s">
        <v>18579</v>
      </c>
      <c r="Q4373" s="74" t="s">
        <v>18580</v>
      </c>
    </row>
    <row r="4374" spans="3:17" x14ac:dyDescent="0.25">
      <c r="C4374" s="74" t="s">
        <v>18748</v>
      </c>
      <c r="D4374" s="74" t="s">
        <v>18749</v>
      </c>
      <c r="E4374" s="74"/>
      <c r="F4374" s="74">
        <v>0.06</v>
      </c>
      <c r="G4374" s="74"/>
      <c r="H4374" s="74"/>
      <c r="I4374" s="74" t="s">
        <v>391</v>
      </c>
      <c r="J4374" s="74"/>
      <c r="K4374" s="74">
        <v>102.4</v>
      </c>
      <c r="L4374" s="74">
        <v>92.16</v>
      </c>
      <c r="M4374" s="74"/>
      <c r="N4374" s="74" t="s">
        <v>392</v>
      </c>
      <c r="O4374" s="74" t="s">
        <v>402</v>
      </c>
      <c r="P4374" s="74" t="s">
        <v>18750</v>
      </c>
      <c r="Q4374" s="74" t="s">
        <v>18751</v>
      </c>
    </row>
    <row r="4375" spans="3:17" x14ac:dyDescent="0.25">
      <c r="C4375" s="74" t="s">
        <v>18803</v>
      </c>
      <c r="D4375" s="74" t="s">
        <v>18804</v>
      </c>
      <c r="E4375" s="74"/>
      <c r="F4375" s="74">
        <v>0.06</v>
      </c>
      <c r="G4375" s="74"/>
      <c r="H4375" s="74"/>
      <c r="I4375" s="74" t="s">
        <v>391</v>
      </c>
      <c r="J4375" s="74"/>
      <c r="K4375" s="74">
        <v>102.4</v>
      </c>
      <c r="L4375" s="74">
        <v>92.16</v>
      </c>
      <c r="M4375" s="74"/>
      <c r="N4375" s="74" t="s">
        <v>392</v>
      </c>
      <c r="O4375" s="74" t="s">
        <v>402</v>
      </c>
      <c r="P4375" s="74" t="s">
        <v>18805</v>
      </c>
      <c r="Q4375" s="74" t="s">
        <v>18806</v>
      </c>
    </row>
    <row r="4376" spans="3:17" x14ac:dyDescent="0.25">
      <c r="C4376" s="74" t="s">
        <v>19096</v>
      </c>
      <c r="D4376" s="74" t="s">
        <v>19097</v>
      </c>
      <c r="E4376" s="74" t="s">
        <v>391</v>
      </c>
      <c r="F4376" s="74">
        <v>0.06</v>
      </c>
      <c r="G4376" s="74"/>
      <c r="H4376" s="74"/>
      <c r="I4376" s="74" t="s">
        <v>391</v>
      </c>
      <c r="J4376" s="74"/>
      <c r="K4376" s="74">
        <v>102.4</v>
      </c>
      <c r="L4376" s="74">
        <v>92.16</v>
      </c>
      <c r="M4376" s="74"/>
      <c r="N4376" s="74" t="s">
        <v>392</v>
      </c>
      <c r="O4376" s="74" t="s">
        <v>393</v>
      </c>
      <c r="P4376" s="74"/>
      <c r="Q4376" s="74" t="s">
        <v>19098</v>
      </c>
    </row>
    <row r="4377" spans="3:17" x14ac:dyDescent="0.25">
      <c r="C4377" s="74" t="s">
        <v>20527</v>
      </c>
      <c r="D4377" s="74" t="s">
        <v>20528</v>
      </c>
      <c r="E4377" s="74"/>
      <c r="F4377" s="74">
        <v>0.06</v>
      </c>
      <c r="G4377" s="74"/>
      <c r="H4377" s="74"/>
      <c r="I4377" s="74" t="s">
        <v>391</v>
      </c>
      <c r="J4377" s="74"/>
      <c r="K4377" s="74">
        <v>102.4</v>
      </c>
      <c r="L4377" s="74">
        <v>92.16</v>
      </c>
      <c r="M4377" s="74"/>
      <c r="N4377" s="74" t="s">
        <v>392</v>
      </c>
      <c r="O4377" s="74" t="s">
        <v>402</v>
      </c>
      <c r="P4377" s="74" t="s">
        <v>20529</v>
      </c>
      <c r="Q4377" s="74" t="s">
        <v>20530</v>
      </c>
    </row>
    <row r="4378" spans="3:17" x14ac:dyDescent="0.25">
      <c r="C4378" s="74" t="s">
        <v>20836</v>
      </c>
      <c r="D4378" s="74" t="s">
        <v>20837</v>
      </c>
      <c r="E4378" s="74"/>
      <c r="F4378" s="74">
        <v>0.06</v>
      </c>
      <c r="G4378" s="74"/>
      <c r="H4378" s="74"/>
      <c r="I4378" s="74" t="s">
        <v>391</v>
      </c>
      <c r="J4378" s="74"/>
      <c r="K4378" s="74">
        <v>102.4</v>
      </c>
      <c r="L4378" s="74">
        <v>92.16</v>
      </c>
      <c r="M4378" s="74"/>
      <c r="N4378" s="74" t="s">
        <v>392</v>
      </c>
      <c r="O4378" s="74" t="s">
        <v>402</v>
      </c>
      <c r="P4378" s="74" t="s">
        <v>20838</v>
      </c>
      <c r="Q4378" s="74" t="s">
        <v>20839</v>
      </c>
    </row>
    <row r="4379" spans="3:17" x14ac:dyDescent="0.25">
      <c r="C4379" s="74" t="s">
        <v>21084</v>
      </c>
      <c r="D4379" s="74" t="s">
        <v>21085</v>
      </c>
      <c r="E4379" s="74"/>
      <c r="F4379" s="74">
        <v>0.06</v>
      </c>
      <c r="G4379" s="74"/>
      <c r="H4379" s="74"/>
      <c r="I4379" s="74" t="s">
        <v>391</v>
      </c>
      <c r="J4379" s="74"/>
      <c r="K4379" s="74">
        <v>102.4</v>
      </c>
      <c r="L4379" s="74">
        <v>92.16</v>
      </c>
      <c r="M4379" s="74"/>
      <c r="N4379" s="74" t="s">
        <v>392</v>
      </c>
      <c r="O4379" s="74" t="s">
        <v>402</v>
      </c>
      <c r="P4379" s="74" t="s">
        <v>21086</v>
      </c>
      <c r="Q4379" s="74" t="s">
        <v>21087</v>
      </c>
    </row>
    <row r="4380" spans="3:17" x14ac:dyDescent="0.25">
      <c r="C4380" s="74" t="s">
        <v>442</v>
      </c>
      <c r="D4380" s="74" t="s">
        <v>443</v>
      </c>
      <c r="E4380" s="74" t="s">
        <v>391</v>
      </c>
      <c r="F4380" s="74">
        <v>0.05</v>
      </c>
      <c r="G4380" s="74"/>
      <c r="H4380" s="74"/>
      <c r="I4380" s="74" t="s">
        <v>391</v>
      </c>
      <c r="J4380" s="74"/>
      <c r="K4380" s="74">
        <v>102.4</v>
      </c>
      <c r="L4380" s="74">
        <v>92.16</v>
      </c>
      <c r="M4380" s="74"/>
      <c r="N4380" s="74" t="s">
        <v>392</v>
      </c>
      <c r="O4380" s="74" t="s">
        <v>393</v>
      </c>
      <c r="P4380" s="74"/>
      <c r="Q4380" s="74" t="s">
        <v>444</v>
      </c>
    </row>
    <row r="4381" spans="3:17" x14ac:dyDescent="0.25">
      <c r="C4381" s="74" t="s">
        <v>702</v>
      </c>
      <c r="D4381" s="74" t="s">
        <v>703</v>
      </c>
      <c r="E4381" s="74"/>
      <c r="F4381" s="74">
        <v>0.05</v>
      </c>
      <c r="G4381" s="74"/>
      <c r="H4381" s="74"/>
      <c r="I4381" s="74" t="s">
        <v>391</v>
      </c>
      <c r="J4381" s="74"/>
      <c r="K4381" s="74">
        <v>102.4</v>
      </c>
      <c r="L4381" s="74">
        <v>92.16</v>
      </c>
      <c r="M4381" s="74"/>
      <c r="N4381" s="74" t="s">
        <v>392</v>
      </c>
      <c r="O4381" s="74" t="s">
        <v>402</v>
      </c>
      <c r="P4381" s="74" t="s">
        <v>704</v>
      </c>
      <c r="Q4381" s="74" t="s">
        <v>705</v>
      </c>
    </row>
    <row r="4382" spans="3:17" x14ac:dyDescent="0.25">
      <c r="C4382" s="74" t="s">
        <v>949</v>
      </c>
      <c r="D4382" s="74" t="s">
        <v>950</v>
      </c>
      <c r="E4382" s="74" t="s">
        <v>391</v>
      </c>
      <c r="F4382" s="74">
        <v>0.05</v>
      </c>
      <c r="G4382" s="74"/>
      <c r="H4382" s="74"/>
      <c r="I4382" s="74" t="s">
        <v>391</v>
      </c>
      <c r="J4382" s="74"/>
      <c r="K4382" s="74">
        <v>102.4</v>
      </c>
      <c r="L4382" s="74">
        <v>92.16</v>
      </c>
      <c r="M4382" s="74"/>
      <c r="N4382" s="74" t="s">
        <v>392</v>
      </c>
      <c r="O4382" s="74" t="s">
        <v>393</v>
      </c>
      <c r="P4382" s="74"/>
      <c r="Q4382" s="74" t="s">
        <v>951</v>
      </c>
    </row>
    <row r="4383" spans="3:17" x14ac:dyDescent="0.25">
      <c r="C4383" s="74" t="s">
        <v>2324</v>
      </c>
      <c r="D4383" s="74" t="s">
        <v>2325</v>
      </c>
      <c r="E4383" s="74"/>
      <c r="F4383" s="74">
        <v>0.05</v>
      </c>
      <c r="G4383" s="74"/>
      <c r="H4383" s="74"/>
      <c r="I4383" s="74" t="s">
        <v>391</v>
      </c>
      <c r="J4383" s="74"/>
      <c r="K4383" s="74">
        <v>102.4</v>
      </c>
      <c r="L4383" s="74">
        <v>92.16</v>
      </c>
      <c r="M4383" s="74"/>
      <c r="N4383" s="74" t="s">
        <v>392</v>
      </c>
      <c r="O4383" s="74" t="s">
        <v>402</v>
      </c>
      <c r="P4383" s="74" t="s">
        <v>2326</v>
      </c>
      <c r="Q4383" s="74" t="s">
        <v>2327</v>
      </c>
    </row>
    <row r="4384" spans="3:17" x14ac:dyDescent="0.25">
      <c r="C4384" s="74" t="s">
        <v>2538</v>
      </c>
      <c r="D4384" s="74" t="s">
        <v>2539</v>
      </c>
      <c r="E4384" s="74" t="s">
        <v>391</v>
      </c>
      <c r="F4384" s="74">
        <v>0.05</v>
      </c>
      <c r="G4384" s="74"/>
      <c r="H4384" s="74"/>
      <c r="I4384" s="74" t="s">
        <v>391</v>
      </c>
      <c r="J4384" s="74"/>
      <c r="K4384" s="74">
        <v>102.4</v>
      </c>
      <c r="L4384" s="74">
        <v>92.16</v>
      </c>
      <c r="M4384" s="74"/>
      <c r="N4384" s="74" t="s">
        <v>392</v>
      </c>
      <c r="O4384" s="74" t="s">
        <v>393</v>
      </c>
      <c r="P4384" s="74"/>
      <c r="Q4384" s="74" t="s">
        <v>2540</v>
      </c>
    </row>
    <row r="4385" spans="3:17" x14ac:dyDescent="0.25">
      <c r="C4385" s="74" t="s">
        <v>2594</v>
      </c>
      <c r="D4385" s="74" t="s">
        <v>2595</v>
      </c>
      <c r="E4385" s="74" t="s">
        <v>391</v>
      </c>
      <c r="F4385" s="74">
        <v>0.05</v>
      </c>
      <c r="G4385" s="74"/>
      <c r="H4385" s="74"/>
      <c r="I4385" s="74" t="s">
        <v>391</v>
      </c>
      <c r="J4385" s="74"/>
      <c r="K4385" s="74">
        <v>102.4</v>
      </c>
      <c r="L4385" s="74">
        <v>92.16</v>
      </c>
      <c r="M4385" s="74"/>
      <c r="N4385" s="74" t="s">
        <v>392</v>
      </c>
      <c r="O4385" s="74" t="s">
        <v>393</v>
      </c>
      <c r="P4385" s="74"/>
      <c r="Q4385" s="74" t="s">
        <v>2596</v>
      </c>
    </row>
    <row r="4386" spans="3:17" x14ac:dyDescent="0.25">
      <c r="C4386" s="74" t="s">
        <v>2681</v>
      </c>
      <c r="D4386" s="74" t="s">
        <v>2682</v>
      </c>
      <c r="E4386" s="74"/>
      <c r="F4386" s="74">
        <v>0.05</v>
      </c>
      <c r="G4386" s="74"/>
      <c r="H4386" s="74"/>
      <c r="I4386" s="74" t="s">
        <v>391</v>
      </c>
      <c r="J4386" s="74"/>
      <c r="K4386" s="74">
        <v>102.4</v>
      </c>
      <c r="L4386" s="74">
        <v>92.16</v>
      </c>
      <c r="M4386" s="74"/>
      <c r="N4386" s="74" t="s">
        <v>392</v>
      </c>
      <c r="O4386" s="74" t="s">
        <v>402</v>
      </c>
      <c r="P4386" s="74" t="s">
        <v>2683</v>
      </c>
      <c r="Q4386" s="74" t="s">
        <v>2684</v>
      </c>
    </row>
    <row r="4387" spans="3:17" x14ac:dyDescent="0.25">
      <c r="C4387" s="74" t="s">
        <v>2698</v>
      </c>
      <c r="D4387" s="74" t="s">
        <v>2699</v>
      </c>
      <c r="E4387" s="74"/>
      <c r="F4387" s="74">
        <v>0.05</v>
      </c>
      <c r="G4387" s="74"/>
      <c r="H4387" s="74"/>
      <c r="I4387" s="74" t="s">
        <v>391</v>
      </c>
      <c r="J4387" s="74"/>
      <c r="K4387" s="74">
        <v>102.4</v>
      </c>
      <c r="L4387" s="74">
        <v>92.16</v>
      </c>
      <c r="M4387" s="74"/>
      <c r="N4387" s="74" t="s">
        <v>392</v>
      </c>
      <c r="O4387" s="74" t="s">
        <v>402</v>
      </c>
      <c r="P4387" s="74" t="s">
        <v>2700</v>
      </c>
      <c r="Q4387" s="74" t="s">
        <v>2701</v>
      </c>
    </row>
    <row r="4388" spans="3:17" x14ac:dyDescent="0.25">
      <c r="C4388" s="74" t="s">
        <v>3016</v>
      </c>
      <c r="D4388" s="74" t="s">
        <v>3017</v>
      </c>
      <c r="E4388" s="74" t="s">
        <v>391</v>
      </c>
      <c r="F4388" s="74">
        <v>0.05</v>
      </c>
      <c r="G4388" s="74"/>
      <c r="H4388" s="74"/>
      <c r="I4388" s="74" t="s">
        <v>391</v>
      </c>
      <c r="J4388" s="74"/>
      <c r="K4388" s="74">
        <v>102.4</v>
      </c>
      <c r="L4388" s="74">
        <v>92.16</v>
      </c>
      <c r="M4388" s="74"/>
      <c r="N4388" s="74" t="s">
        <v>392</v>
      </c>
      <c r="O4388" s="74" t="s">
        <v>393</v>
      </c>
      <c r="P4388" s="74"/>
      <c r="Q4388" s="74" t="s">
        <v>3018</v>
      </c>
    </row>
    <row r="4389" spans="3:17" x14ac:dyDescent="0.25">
      <c r="C4389" s="74" t="s">
        <v>3623</v>
      </c>
      <c r="D4389" s="74" t="s">
        <v>3624</v>
      </c>
      <c r="E4389" s="74" t="s">
        <v>391</v>
      </c>
      <c r="F4389" s="74">
        <v>0.05</v>
      </c>
      <c r="G4389" s="74"/>
      <c r="H4389" s="74"/>
      <c r="I4389" s="74" t="s">
        <v>391</v>
      </c>
      <c r="J4389" s="74"/>
      <c r="K4389" s="74">
        <v>102.4</v>
      </c>
      <c r="L4389" s="74">
        <v>92.16</v>
      </c>
      <c r="M4389" s="74"/>
      <c r="N4389" s="74" t="s">
        <v>392</v>
      </c>
      <c r="O4389" s="74" t="s">
        <v>393</v>
      </c>
      <c r="P4389" s="74"/>
      <c r="Q4389" s="74" t="s">
        <v>3625</v>
      </c>
    </row>
    <row r="4390" spans="3:17" x14ac:dyDescent="0.25">
      <c r="C4390" s="74" t="s">
        <v>3650</v>
      </c>
      <c r="D4390" s="74" t="s">
        <v>3651</v>
      </c>
      <c r="E4390" s="74"/>
      <c r="F4390" s="74">
        <v>0.05</v>
      </c>
      <c r="G4390" s="74"/>
      <c r="H4390" s="74"/>
      <c r="I4390" s="74" t="s">
        <v>391</v>
      </c>
      <c r="J4390" s="74"/>
      <c r="K4390" s="74">
        <v>102.4</v>
      </c>
      <c r="L4390" s="74">
        <v>92.16</v>
      </c>
      <c r="M4390" s="74"/>
      <c r="N4390" s="74" t="s">
        <v>392</v>
      </c>
      <c r="O4390" s="74" t="s">
        <v>402</v>
      </c>
      <c r="P4390" s="74" t="s">
        <v>3652</v>
      </c>
      <c r="Q4390" s="74" t="s">
        <v>3653</v>
      </c>
    </row>
    <row r="4391" spans="3:17" x14ac:dyDescent="0.25">
      <c r="C4391" s="74" t="s">
        <v>3817</v>
      </c>
      <c r="D4391" s="74" t="s">
        <v>3818</v>
      </c>
      <c r="E4391" s="74"/>
      <c r="F4391" s="74">
        <v>0.05</v>
      </c>
      <c r="G4391" s="74"/>
      <c r="H4391" s="74"/>
      <c r="I4391" s="74" t="s">
        <v>391</v>
      </c>
      <c r="J4391" s="74"/>
      <c r="K4391" s="74">
        <v>102.4</v>
      </c>
      <c r="L4391" s="74">
        <v>92.16</v>
      </c>
      <c r="M4391" s="74"/>
      <c r="N4391" s="74" t="s">
        <v>392</v>
      </c>
      <c r="O4391" s="74" t="s">
        <v>402</v>
      </c>
      <c r="P4391" s="74" t="s">
        <v>3819</v>
      </c>
      <c r="Q4391" s="74" t="s">
        <v>3820</v>
      </c>
    </row>
    <row r="4392" spans="3:17" x14ac:dyDescent="0.25">
      <c r="C4392" s="74" t="s">
        <v>4333</v>
      </c>
      <c r="D4392" s="74" t="s">
        <v>4334</v>
      </c>
      <c r="E4392" s="74"/>
      <c r="F4392" s="74">
        <v>0.05</v>
      </c>
      <c r="G4392" s="74"/>
      <c r="H4392" s="74"/>
      <c r="I4392" s="74" t="s">
        <v>391</v>
      </c>
      <c r="J4392" s="74"/>
      <c r="K4392" s="74">
        <v>102.4</v>
      </c>
      <c r="L4392" s="74">
        <v>92.16</v>
      </c>
      <c r="M4392" s="74"/>
      <c r="N4392" s="74" t="s">
        <v>392</v>
      </c>
      <c r="O4392" s="74" t="s">
        <v>402</v>
      </c>
      <c r="P4392" s="74" t="s">
        <v>4335</v>
      </c>
      <c r="Q4392" s="74" t="s">
        <v>4336</v>
      </c>
    </row>
    <row r="4393" spans="3:17" x14ac:dyDescent="0.25">
      <c r="C4393" s="74" t="s">
        <v>4479</v>
      </c>
      <c r="D4393" s="74" t="s">
        <v>4480</v>
      </c>
      <c r="E4393" s="74"/>
      <c r="F4393" s="74">
        <v>0.05</v>
      </c>
      <c r="G4393" s="74"/>
      <c r="H4393" s="74"/>
      <c r="I4393" s="74" t="s">
        <v>391</v>
      </c>
      <c r="J4393" s="74"/>
      <c r="K4393" s="74">
        <v>102.4</v>
      </c>
      <c r="L4393" s="74">
        <v>92.16</v>
      </c>
      <c r="M4393" s="74"/>
      <c r="N4393" s="74" t="s">
        <v>392</v>
      </c>
      <c r="O4393" s="74" t="s">
        <v>535</v>
      </c>
      <c r="P4393" s="74" t="s">
        <v>4481</v>
      </c>
      <c r="Q4393" s="74" t="s">
        <v>4482</v>
      </c>
    </row>
    <row r="4394" spans="3:17" x14ac:dyDescent="0.25">
      <c r="C4394" s="74" t="s">
        <v>5287</v>
      </c>
      <c r="D4394" s="74" t="s">
        <v>5288</v>
      </c>
      <c r="E4394" s="74"/>
      <c r="F4394" s="74">
        <v>0.05</v>
      </c>
      <c r="G4394" s="74"/>
      <c r="H4394" s="74"/>
      <c r="I4394" s="74" t="s">
        <v>391</v>
      </c>
      <c r="J4394" s="74"/>
      <c r="K4394" s="74">
        <v>102.4</v>
      </c>
      <c r="L4394" s="74">
        <v>92.16</v>
      </c>
      <c r="M4394" s="74"/>
      <c r="N4394" s="74" t="s">
        <v>392</v>
      </c>
      <c r="O4394" s="74" t="s">
        <v>402</v>
      </c>
      <c r="P4394" s="74" t="s">
        <v>5289</v>
      </c>
      <c r="Q4394" s="74" t="s">
        <v>5290</v>
      </c>
    </row>
    <row r="4395" spans="3:17" x14ac:dyDescent="0.25">
      <c r="C4395" s="74" t="s">
        <v>5530</v>
      </c>
      <c r="D4395" s="74" t="s">
        <v>5531</v>
      </c>
      <c r="E4395" s="74"/>
      <c r="F4395" s="74">
        <v>0.05</v>
      </c>
      <c r="G4395" s="74"/>
      <c r="H4395" s="74"/>
      <c r="I4395" s="74" t="s">
        <v>391</v>
      </c>
      <c r="J4395" s="74"/>
      <c r="K4395" s="74">
        <v>102.4</v>
      </c>
      <c r="L4395" s="74">
        <v>92.16</v>
      </c>
      <c r="M4395" s="74"/>
      <c r="N4395" s="74" t="s">
        <v>392</v>
      </c>
      <c r="O4395" s="74" t="s">
        <v>402</v>
      </c>
      <c r="P4395" s="74" t="s">
        <v>5532</v>
      </c>
      <c r="Q4395" s="74" t="s">
        <v>5533</v>
      </c>
    </row>
    <row r="4396" spans="3:17" x14ac:dyDescent="0.25">
      <c r="C4396" s="74" t="s">
        <v>6817</v>
      </c>
      <c r="D4396" s="74" t="s">
        <v>6818</v>
      </c>
      <c r="E4396" s="74"/>
      <c r="F4396" s="74">
        <v>0.05</v>
      </c>
      <c r="G4396" s="74"/>
      <c r="H4396" s="74"/>
      <c r="I4396" s="74" t="s">
        <v>391</v>
      </c>
      <c r="J4396" s="74"/>
      <c r="K4396" s="74">
        <v>102.4</v>
      </c>
      <c r="L4396" s="74">
        <v>92.16</v>
      </c>
      <c r="M4396" s="74"/>
      <c r="N4396" s="74" t="s">
        <v>392</v>
      </c>
      <c r="O4396" s="74" t="s">
        <v>402</v>
      </c>
      <c r="P4396" s="74" t="s">
        <v>6819</v>
      </c>
      <c r="Q4396" s="74" t="s">
        <v>6820</v>
      </c>
    </row>
    <row r="4397" spans="3:17" x14ac:dyDescent="0.25">
      <c r="C4397" s="74" t="s">
        <v>7184</v>
      </c>
      <c r="D4397" s="74" t="s">
        <v>7185</v>
      </c>
      <c r="E4397" s="74"/>
      <c r="F4397" s="74">
        <v>0.05</v>
      </c>
      <c r="G4397" s="74"/>
      <c r="H4397" s="74"/>
      <c r="I4397" s="74" t="s">
        <v>391</v>
      </c>
      <c r="J4397" s="74"/>
      <c r="K4397" s="74">
        <v>102.4</v>
      </c>
      <c r="L4397" s="74">
        <v>92.16</v>
      </c>
      <c r="M4397" s="74"/>
      <c r="N4397" s="74" t="s">
        <v>392</v>
      </c>
      <c r="O4397" s="74" t="s">
        <v>402</v>
      </c>
      <c r="P4397" s="74" t="s">
        <v>7186</v>
      </c>
      <c r="Q4397" s="74" t="s">
        <v>7187</v>
      </c>
    </row>
    <row r="4398" spans="3:17" x14ac:dyDescent="0.25">
      <c r="C4398" s="74" t="s">
        <v>7562</v>
      </c>
      <c r="D4398" s="74" t="s">
        <v>7563</v>
      </c>
      <c r="E4398" s="74"/>
      <c r="F4398" s="74">
        <v>0.05</v>
      </c>
      <c r="G4398" s="74"/>
      <c r="H4398" s="74"/>
      <c r="I4398" s="74" t="s">
        <v>391</v>
      </c>
      <c r="J4398" s="74"/>
      <c r="K4398" s="74">
        <v>102.4</v>
      </c>
      <c r="L4398" s="74">
        <v>92.16</v>
      </c>
      <c r="M4398" s="74"/>
      <c r="N4398" s="74" t="s">
        <v>392</v>
      </c>
      <c r="O4398" s="74" t="s">
        <v>402</v>
      </c>
      <c r="P4398" s="74" t="s">
        <v>7564</v>
      </c>
      <c r="Q4398" s="74" t="s">
        <v>7565</v>
      </c>
    </row>
    <row r="4399" spans="3:17" x14ac:dyDescent="0.25">
      <c r="C4399" s="74" t="s">
        <v>8218</v>
      </c>
      <c r="D4399" s="74" t="s">
        <v>8219</v>
      </c>
      <c r="E4399" s="74" t="s">
        <v>391</v>
      </c>
      <c r="F4399" s="74">
        <v>0.05</v>
      </c>
      <c r="G4399" s="74"/>
      <c r="H4399" s="74"/>
      <c r="I4399" s="74" t="s">
        <v>391</v>
      </c>
      <c r="J4399" s="74"/>
      <c r="K4399" s="74">
        <v>102.4</v>
      </c>
      <c r="L4399" s="74">
        <v>92.16</v>
      </c>
      <c r="M4399" s="74"/>
      <c r="N4399" s="74" t="s">
        <v>392</v>
      </c>
      <c r="O4399" s="74" t="s">
        <v>393</v>
      </c>
      <c r="P4399" s="74"/>
      <c r="Q4399" s="74" t="s">
        <v>8220</v>
      </c>
    </row>
    <row r="4400" spans="3:17" x14ac:dyDescent="0.25">
      <c r="C4400" s="74" t="s">
        <v>8436</v>
      </c>
      <c r="D4400" s="74" t="s">
        <v>8437</v>
      </c>
      <c r="E4400" s="74"/>
      <c r="F4400" s="74">
        <v>0.05</v>
      </c>
      <c r="G4400" s="74"/>
      <c r="H4400" s="74"/>
      <c r="I4400" s="74" t="s">
        <v>391</v>
      </c>
      <c r="J4400" s="74"/>
      <c r="K4400" s="74">
        <v>102.4</v>
      </c>
      <c r="L4400" s="74">
        <v>92.16</v>
      </c>
      <c r="M4400" s="74"/>
      <c r="N4400" s="74" t="s">
        <v>392</v>
      </c>
      <c r="O4400" s="74" t="s">
        <v>402</v>
      </c>
      <c r="P4400" s="74" t="s">
        <v>8438</v>
      </c>
      <c r="Q4400" s="74" t="s">
        <v>8439</v>
      </c>
    </row>
    <row r="4401" spans="3:17" x14ac:dyDescent="0.25">
      <c r="C4401" s="74" t="s">
        <v>9039</v>
      </c>
      <c r="D4401" s="74" t="s">
        <v>9040</v>
      </c>
      <c r="E4401" s="74" t="s">
        <v>391</v>
      </c>
      <c r="F4401" s="74">
        <v>0.05</v>
      </c>
      <c r="G4401" s="74"/>
      <c r="H4401" s="74"/>
      <c r="I4401" s="74" t="s">
        <v>391</v>
      </c>
      <c r="J4401" s="74"/>
      <c r="K4401" s="74">
        <v>102.4</v>
      </c>
      <c r="L4401" s="74">
        <v>92.16</v>
      </c>
      <c r="M4401" s="74"/>
      <c r="N4401" s="74" t="s">
        <v>392</v>
      </c>
      <c r="O4401" s="74" t="s">
        <v>393</v>
      </c>
      <c r="P4401" s="74" t="s">
        <v>9041</v>
      </c>
      <c r="Q4401" s="74" t="s">
        <v>9042</v>
      </c>
    </row>
    <row r="4402" spans="3:17" x14ac:dyDescent="0.25">
      <c r="C4402" s="74" t="s">
        <v>10787</v>
      </c>
      <c r="D4402" s="74" t="s">
        <v>10788</v>
      </c>
      <c r="E4402" s="74"/>
      <c r="F4402" s="74">
        <v>0.05</v>
      </c>
      <c r="G4402" s="74"/>
      <c r="H4402" s="74"/>
      <c r="I4402" s="74" t="s">
        <v>391</v>
      </c>
      <c r="J4402" s="74"/>
      <c r="K4402" s="74">
        <v>102.4</v>
      </c>
      <c r="L4402" s="74">
        <v>92.16</v>
      </c>
      <c r="M4402" s="74"/>
      <c r="N4402" s="74" t="s">
        <v>392</v>
      </c>
      <c r="O4402" s="74" t="s">
        <v>402</v>
      </c>
      <c r="P4402" s="74" t="s">
        <v>10789</v>
      </c>
      <c r="Q4402" s="74" t="s">
        <v>10790</v>
      </c>
    </row>
    <row r="4403" spans="3:17" x14ac:dyDescent="0.25">
      <c r="C4403" s="74" t="s">
        <v>11262</v>
      </c>
      <c r="D4403" s="74" t="s">
        <v>11263</v>
      </c>
      <c r="E4403" s="74"/>
      <c r="F4403" s="74">
        <v>0.05</v>
      </c>
      <c r="G4403" s="74"/>
      <c r="H4403" s="74"/>
      <c r="I4403" s="74" t="s">
        <v>391</v>
      </c>
      <c r="J4403" s="74"/>
      <c r="K4403" s="74">
        <v>102.4</v>
      </c>
      <c r="L4403" s="74">
        <v>92.16</v>
      </c>
      <c r="M4403" s="74"/>
      <c r="N4403" s="74" t="s">
        <v>392</v>
      </c>
      <c r="O4403" s="74" t="s">
        <v>402</v>
      </c>
      <c r="P4403" s="74" t="s">
        <v>11264</v>
      </c>
      <c r="Q4403" s="74" t="s">
        <v>11265</v>
      </c>
    </row>
    <row r="4404" spans="3:17" x14ac:dyDescent="0.25">
      <c r="C4404" s="74" t="s">
        <v>11482</v>
      </c>
      <c r="D4404" s="74" t="s">
        <v>11483</v>
      </c>
      <c r="E4404" s="74"/>
      <c r="F4404" s="74">
        <v>0.05</v>
      </c>
      <c r="G4404" s="74"/>
      <c r="H4404" s="74"/>
      <c r="I4404" s="74" t="s">
        <v>391</v>
      </c>
      <c r="J4404" s="74"/>
      <c r="K4404" s="74">
        <v>102.4</v>
      </c>
      <c r="L4404" s="74">
        <v>92.16</v>
      </c>
      <c r="M4404" s="74"/>
      <c r="N4404" s="74" t="s">
        <v>392</v>
      </c>
      <c r="O4404" s="74" t="s">
        <v>402</v>
      </c>
      <c r="P4404" s="74" t="s">
        <v>11484</v>
      </c>
      <c r="Q4404" s="74" t="s">
        <v>11485</v>
      </c>
    </row>
    <row r="4405" spans="3:17" x14ac:dyDescent="0.25">
      <c r="C4405" s="74" t="s">
        <v>11656</v>
      </c>
      <c r="D4405" s="74" t="s">
        <v>11657</v>
      </c>
      <c r="E4405" s="74" t="s">
        <v>391</v>
      </c>
      <c r="F4405" s="74">
        <v>0.05</v>
      </c>
      <c r="G4405" s="74"/>
      <c r="H4405" s="74"/>
      <c r="I4405" s="74" t="s">
        <v>391</v>
      </c>
      <c r="J4405" s="74"/>
      <c r="K4405" s="74">
        <v>102.4</v>
      </c>
      <c r="L4405" s="74">
        <v>92.16</v>
      </c>
      <c r="M4405" s="74"/>
      <c r="N4405" s="74" t="s">
        <v>392</v>
      </c>
      <c r="O4405" s="74" t="s">
        <v>402</v>
      </c>
      <c r="P4405" s="74" t="s">
        <v>11658</v>
      </c>
      <c r="Q4405" s="74" t="s">
        <v>11659</v>
      </c>
    </row>
    <row r="4406" spans="3:17" x14ac:dyDescent="0.25">
      <c r="C4406" s="74" t="s">
        <v>12325</v>
      </c>
      <c r="D4406" s="74" t="s">
        <v>12326</v>
      </c>
      <c r="E4406" s="74" t="s">
        <v>391</v>
      </c>
      <c r="F4406" s="74">
        <v>0.05</v>
      </c>
      <c r="G4406" s="74"/>
      <c r="H4406" s="74"/>
      <c r="I4406" s="74" t="s">
        <v>391</v>
      </c>
      <c r="J4406" s="74"/>
      <c r="K4406" s="74">
        <v>102.4</v>
      </c>
      <c r="L4406" s="74">
        <v>92.16</v>
      </c>
      <c r="M4406" s="74"/>
      <c r="N4406" s="74" t="s">
        <v>392</v>
      </c>
      <c r="O4406" s="74" t="s">
        <v>393</v>
      </c>
      <c r="P4406" s="74" t="s">
        <v>12327</v>
      </c>
      <c r="Q4406" s="74" t="s">
        <v>12328</v>
      </c>
    </row>
    <row r="4407" spans="3:17" x14ac:dyDescent="0.25">
      <c r="C4407" s="74" t="s">
        <v>12626</v>
      </c>
      <c r="D4407" s="74" t="s">
        <v>12627</v>
      </c>
      <c r="E4407" s="74"/>
      <c r="F4407" s="74">
        <v>0.05</v>
      </c>
      <c r="G4407" s="74"/>
      <c r="H4407" s="74"/>
      <c r="I4407" s="74" t="s">
        <v>391</v>
      </c>
      <c r="J4407" s="74"/>
      <c r="K4407" s="74">
        <v>102.4</v>
      </c>
      <c r="L4407" s="74">
        <v>92.16</v>
      </c>
      <c r="M4407" s="74"/>
      <c r="N4407" s="74" t="s">
        <v>392</v>
      </c>
      <c r="O4407" s="74" t="s">
        <v>402</v>
      </c>
      <c r="P4407" s="74" t="s">
        <v>12628</v>
      </c>
      <c r="Q4407" s="74" t="s">
        <v>12629</v>
      </c>
    </row>
    <row r="4408" spans="3:17" x14ac:dyDescent="0.25">
      <c r="C4408" s="74" t="s">
        <v>13580</v>
      </c>
      <c r="D4408" s="74" t="s">
        <v>13581</v>
      </c>
      <c r="E4408" s="74" t="s">
        <v>391</v>
      </c>
      <c r="F4408" s="74">
        <v>0.05</v>
      </c>
      <c r="G4408" s="74"/>
      <c r="H4408" s="74"/>
      <c r="I4408" s="74" t="s">
        <v>391</v>
      </c>
      <c r="J4408" s="74"/>
      <c r="K4408" s="74">
        <v>102.4</v>
      </c>
      <c r="L4408" s="74">
        <v>92.16</v>
      </c>
      <c r="M4408" s="74"/>
      <c r="N4408" s="74" t="s">
        <v>392</v>
      </c>
      <c r="O4408" s="74" t="s">
        <v>393</v>
      </c>
      <c r="P4408" s="74"/>
      <c r="Q4408" s="74" t="s">
        <v>13582</v>
      </c>
    </row>
    <row r="4409" spans="3:17" x14ac:dyDescent="0.25">
      <c r="C4409" s="74" t="s">
        <v>14736</v>
      </c>
      <c r="D4409" s="74" t="s">
        <v>14737</v>
      </c>
      <c r="E4409" s="74" t="s">
        <v>391</v>
      </c>
      <c r="F4409" s="74">
        <v>0.05</v>
      </c>
      <c r="G4409" s="74"/>
      <c r="H4409" s="74"/>
      <c r="I4409" s="74" t="s">
        <v>391</v>
      </c>
      <c r="J4409" s="74"/>
      <c r="K4409" s="74">
        <v>102.4</v>
      </c>
      <c r="L4409" s="74">
        <v>92.16</v>
      </c>
      <c r="M4409" s="74"/>
      <c r="N4409" s="74" t="s">
        <v>392</v>
      </c>
      <c r="O4409" s="74" t="s">
        <v>393</v>
      </c>
      <c r="P4409" s="74"/>
      <c r="Q4409" s="74" t="s">
        <v>14738</v>
      </c>
    </row>
    <row r="4410" spans="3:17" x14ac:dyDescent="0.25">
      <c r="C4410" s="74" t="s">
        <v>14967</v>
      </c>
      <c r="D4410" s="74" t="s">
        <v>14968</v>
      </c>
      <c r="E4410" s="74"/>
      <c r="F4410" s="74">
        <v>0.05</v>
      </c>
      <c r="G4410" s="74"/>
      <c r="H4410" s="74"/>
      <c r="I4410" s="74" t="s">
        <v>391</v>
      </c>
      <c r="J4410" s="74"/>
      <c r="K4410" s="74">
        <v>102.4</v>
      </c>
      <c r="L4410" s="74">
        <v>92.16</v>
      </c>
      <c r="M4410" s="74"/>
      <c r="N4410" s="74" t="s">
        <v>392</v>
      </c>
      <c r="O4410" s="74" t="s">
        <v>402</v>
      </c>
      <c r="P4410" s="74" t="s">
        <v>14969</v>
      </c>
      <c r="Q4410" s="74" t="s">
        <v>14970</v>
      </c>
    </row>
    <row r="4411" spans="3:17" x14ac:dyDescent="0.25">
      <c r="C4411" s="74" t="s">
        <v>16026</v>
      </c>
      <c r="D4411" s="74" t="s">
        <v>16027</v>
      </c>
      <c r="E4411" s="74"/>
      <c r="F4411" s="74">
        <v>0.05</v>
      </c>
      <c r="G4411" s="74"/>
      <c r="H4411" s="74"/>
      <c r="I4411" s="74" t="s">
        <v>391</v>
      </c>
      <c r="J4411" s="74"/>
      <c r="K4411" s="74">
        <v>102.4</v>
      </c>
      <c r="L4411" s="74">
        <v>92.16</v>
      </c>
      <c r="M4411" s="74"/>
      <c r="N4411" s="74" t="s">
        <v>392</v>
      </c>
      <c r="O4411" s="74" t="s">
        <v>402</v>
      </c>
      <c r="P4411" s="74" t="s">
        <v>16028</v>
      </c>
      <c r="Q4411" s="74" t="s">
        <v>16029</v>
      </c>
    </row>
    <row r="4412" spans="3:17" x14ac:dyDescent="0.25">
      <c r="C4412" s="74" t="s">
        <v>16502</v>
      </c>
      <c r="D4412" s="74" t="s">
        <v>16503</v>
      </c>
      <c r="E4412" s="74"/>
      <c r="F4412" s="74">
        <v>0.05</v>
      </c>
      <c r="G4412" s="74"/>
      <c r="H4412" s="74"/>
      <c r="I4412" s="74" t="s">
        <v>391</v>
      </c>
      <c r="J4412" s="74"/>
      <c r="K4412" s="74">
        <v>102.4</v>
      </c>
      <c r="L4412" s="74">
        <v>92.16</v>
      </c>
      <c r="M4412" s="74"/>
      <c r="N4412" s="74" t="s">
        <v>392</v>
      </c>
      <c r="O4412" s="74" t="s">
        <v>402</v>
      </c>
      <c r="P4412" s="74" t="s">
        <v>16504</v>
      </c>
      <c r="Q4412" s="74" t="s">
        <v>16505</v>
      </c>
    </row>
    <row r="4413" spans="3:17" x14ac:dyDescent="0.25">
      <c r="C4413" s="74" t="s">
        <v>16520</v>
      </c>
      <c r="D4413" s="74" t="s">
        <v>16521</v>
      </c>
      <c r="E4413" s="74"/>
      <c r="F4413" s="74">
        <v>0.05</v>
      </c>
      <c r="G4413" s="74"/>
      <c r="H4413" s="74"/>
      <c r="I4413" s="74" t="s">
        <v>391</v>
      </c>
      <c r="J4413" s="74"/>
      <c r="K4413" s="74">
        <v>102.4</v>
      </c>
      <c r="L4413" s="74">
        <v>92.16</v>
      </c>
      <c r="M4413" s="74"/>
      <c r="N4413" s="74" t="s">
        <v>392</v>
      </c>
      <c r="O4413" s="74" t="s">
        <v>402</v>
      </c>
      <c r="P4413" s="74" t="s">
        <v>16522</v>
      </c>
      <c r="Q4413" s="74" t="s">
        <v>16523</v>
      </c>
    </row>
    <row r="4414" spans="3:17" x14ac:dyDescent="0.25">
      <c r="C4414" s="74" t="s">
        <v>17971</v>
      </c>
      <c r="D4414" s="74" t="s">
        <v>17972</v>
      </c>
      <c r="E4414" s="74"/>
      <c r="F4414" s="74">
        <v>0.05</v>
      </c>
      <c r="G4414" s="74"/>
      <c r="H4414" s="74"/>
      <c r="I4414" s="74" t="s">
        <v>391</v>
      </c>
      <c r="J4414" s="74"/>
      <c r="K4414" s="74">
        <v>102.4</v>
      </c>
      <c r="L4414" s="74">
        <v>92.16</v>
      </c>
      <c r="M4414" s="74"/>
      <c r="N4414" s="74" t="s">
        <v>392</v>
      </c>
      <c r="O4414" s="74" t="s">
        <v>402</v>
      </c>
      <c r="P4414" s="74" t="s">
        <v>17973</v>
      </c>
      <c r="Q4414" s="74" t="s">
        <v>17974</v>
      </c>
    </row>
    <row r="4415" spans="3:17" x14ac:dyDescent="0.25">
      <c r="C4415" s="74" t="s">
        <v>18360</v>
      </c>
      <c r="D4415" s="74" t="s">
        <v>18361</v>
      </c>
      <c r="E4415" s="74"/>
      <c r="F4415" s="74">
        <v>0.05</v>
      </c>
      <c r="G4415" s="74"/>
      <c r="H4415" s="74"/>
      <c r="I4415" s="74" t="s">
        <v>391</v>
      </c>
      <c r="J4415" s="74"/>
      <c r="K4415" s="74">
        <v>102.4</v>
      </c>
      <c r="L4415" s="74">
        <v>92.16</v>
      </c>
      <c r="M4415" s="74"/>
      <c r="N4415" s="74" t="s">
        <v>392</v>
      </c>
      <c r="O4415" s="74" t="s">
        <v>402</v>
      </c>
      <c r="P4415" s="74" t="s">
        <v>18362</v>
      </c>
      <c r="Q4415" s="74" t="s">
        <v>18363</v>
      </c>
    </row>
    <row r="4416" spans="3:17" x14ac:dyDescent="0.25">
      <c r="C4416" s="74" t="s">
        <v>19282</v>
      </c>
      <c r="D4416" s="74" t="s">
        <v>19283</v>
      </c>
      <c r="E4416" s="74" t="s">
        <v>391</v>
      </c>
      <c r="F4416" s="74">
        <v>0.05</v>
      </c>
      <c r="G4416" s="74"/>
      <c r="H4416" s="74"/>
      <c r="I4416" s="74" t="s">
        <v>391</v>
      </c>
      <c r="J4416" s="74"/>
      <c r="K4416" s="74">
        <v>102.4</v>
      </c>
      <c r="L4416" s="74">
        <v>92.16</v>
      </c>
      <c r="M4416" s="74"/>
      <c r="N4416" s="74" t="s">
        <v>392</v>
      </c>
      <c r="O4416" s="74" t="s">
        <v>393</v>
      </c>
      <c r="P4416" s="74"/>
      <c r="Q4416" s="74" t="s">
        <v>19284</v>
      </c>
    </row>
    <row r="4417" spans="3:17" x14ac:dyDescent="0.25">
      <c r="C4417" s="74" t="s">
        <v>19475</v>
      </c>
      <c r="D4417" s="74" t="s">
        <v>19476</v>
      </c>
      <c r="E4417" s="74"/>
      <c r="F4417" s="74">
        <v>0.05</v>
      </c>
      <c r="G4417" s="74"/>
      <c r="H4417" s="74"/>
      <c r="I4417" s="74" t="s">
        <v>391</v>
      </c>
      <c r="J4417" s="74"/>
      <c r="K4417" s="74">
        <v>102.4</v>
      </c>
      <c r="L4417" s="74">
        <v>92.16</v>
      </c>
      <c r="M4417" s="74"/>
      <c r="N4417" s="74" t="s">
        <v>392</v>
      </c>
      <c r="O4417" s="74" t="s">
        <v>402</v>
      </c>
      <c r="P4417" s="74"/>
      <c r="Q4417" s="74" t="s">
        <v>19477</v>
      </c>
    </row>
    <row r="4418" spans="3:17" x14ac:dyDescent="0.25">
      <c r="C4418" s="74" t="s">
        <v>20276</v>
      </c>
      <c r="D4418" s="74" t="s">
        <v>20277</v>
      </c>
      <c r="E4418" s="74"/>
      <c r="F4418" s="74">
        <v>0.05</v>
      </c>
      <c r="G4418" s="74"/>
      <c r="H4418" s="74"/>
      <c r="I4418" s="74" t="s">
        <v>391</v>
      </c>
      <c r="J4418" s="74"/>
      <c r="K4418" s="74">
        <v>102.4</v>
      </c>
      <c r="L4418" s="74">
        <v>92.16</v>
      </c>
      <c r="M4418" s="74"/>
      <c r="N4418" s="74" t="s">
        <v>392</v>
      </c>
      <c r="O4418" s="74" t="s">
        <v>402</v>
      </c>
      <c r="P4418" s="74" t="s">
        <v>20278</v>
      </c>
      <c r="Q4418" s="74" t="s">
        <v>20279</v>
      </c>
    </row>
    <row r="4419" spans="3:17" x14ac:dyDescent="0.25">
      <c r="C4419" s="74" t="s">
        <v>20869</v>
      </c>
      <c r="D4419" s="74" t="s">
        <v>20870</v>
      </c>
      <c r="E4419" s="74"/>
      <c r="F4419" s="74">
        <v>0.05</v>
      </c>
      <c r="G4419" s="74"/>
      <c r="H4419" s="74"/>
      <c r="I4419" s="74" t="s">
        <v>391</v>
      </c>
      <c r="J4419" s="74"/>
      <c r="K4419" s="74">
        <v>102.4</v>
      </c>
      <c r="L4419" s="74">
        <v>92.16</v>
      </c>
      <c r="M4419" s="74"/>
      <c r="N4419" s="74" t="s">
        <v>392</v>
      </c>
      <c r="O4419" s="74" t="s">
        <v>402</v>
      </c>
      <c r="P4419" s="74" t="s">
        <v>20871</v>
      </c>
      <c r="Q4419" s="74" t="s">
        <v>20872</v>
      </c>
    </row>
    <row r="4420" spans="3:17" x14ac:dyDescent="0.25">
      <c r="C4420" s="74" t="s">
        <v>21066</v>
      </c>
      <c r="D4420" s="74" t="s">
        <v>21067</v>
      </c>
      <c r="E4420" s="74" t="s">
        <v>391</v>
      </c>
      <c r="F4420" s="74">
        <v>0.05</v>
      </c>
      <c r="G4420" s="74"/>
      <c r="H4420" s="74"/>
      <c r="I4420" s="74" t="s">
        <v>391</v>
      </c>
      <c r="J4420" s="74"/>
      <c r="K4420" s="74">
        <v>102.4</v>
      </c>
      <c r="L4420" s="74">
        <v>92.16</v>
      </c>
      <c r="M4420" s="74"/>
      <c r="N4420" s="74" t="s">
        <v>392</v>
      </c>
      <c r="O4420" s="74" t="s">
        <v>393</v>
      </c>
      <c r="P4420" s="74"/>
      <c r="Q4420" s="74" t="s">
        <v>21068</v>
      </c>
    </row>
    <row r="4421" spans="3:17" x14ac:dyDescent="0.25">
      <c r="C4421" s="74" t="s">
        <v>530</v>
      </c>
      <c r="D4421" s="74" t="s">
        <v>531</v>
      </c>
      <c r="E4421" s="74" t="s">
        <v>391</v>
      </c>
      <c r="F4421" s="74">
        <v>0.04</v>
      </c>
      <c r="G4421" s="74"/>
      <c r="H4421" s="74"/>
      <c r="I4421" s="74" t="s">
        <v>391</v>
      </c>
      <c r="J4421" s="74"/>
      <c r="K4421" s="74">
        <v>102.4</v>
      </c>
      <c r="L4421" s="74">
        <v>92.16</v>
      </c>
      <c r="M4421" s="74"/>
      <c r="N4421" s="74" t="s">
        <v>392</v>
      </c>
      <c r="O4421" s="74" t="s">
        <v>393</v>
      </c>
      <c r="P4421" s="74"/>
      <c r="Q4421" s="74" t="s">
        <v>532</v>
      </c>
    </row>
    <row r="4422" spans="3:17" x14ac:dyDescent="0.25">
      <c r="C4422" s="74" t="s">
        <v>712</v>
      </c>
      <c r="D4422" s="74" t="s">
        <v>713</v>
      </c>
      <c r="E4422" s="74" t="s">
        <v>391</v>
      </c>
      <c r="F4422" s="74">
        <v>0.04</v>
      </c>
      <c r="G4422" s="74"/>
      <c r="H4422" s="74"/>
      <c r="I4422" s="74" t="s">
        <v>391</v>
      </c>
      <c r="J4422" s="74"/>
      <c r="K4422" s="74">
        <v>102.4</v>
      </c>
      <c r="L4422" s="74">
        <v>92.16</v>
      </c>
      <c r="M4422" s="74"/>
      <c r="N4422" s="74" t="s">
        <v>392</v>
      </c>
      <c r="O4422" s="74" t="s">
        <v>393</v>
      </c>
      <c r="P4422" s="74"/>
      <c r="Q4422" s="74" t="s">
        <v>714</v>
      </c>
    </row>
    <row r="4423" spans="3:17" x14ac:dyDescent="0.25">
      <c r="C4423" s="74" t="s">
        <v>957</v>
      </c>
      <c r="D4423" s="74" t="s">
        <v>958</v>
      </c>
      <c r="E4423" s="74"/>
      <c r="F4423" s="74">
        <v>0.04</v>
      </c>
      <c r="G4423" s="74"/>
      <c r="H4423" s="74"/>
      <c r="I4423" s="74" t="s">
        <v>391</v>
      </c>
      <c r="J4423" s="74"/>
      <c r="K4423" s="74">
        <v>102.4</v>
      </c>
      <c r="L4423" s="74">
        <v>92.16</v>
      </c>
      <c r="M4423" s="74"/>
      <c r="N4423" s="74" t="s">
        <v>392</v>
      </c>
      <c r="O4423" s="74" t="s">
        <v>402</v>
      </c>
      <c r="P4423" s="74" t="s">
        <v>959</v>
      </c>
      <c r="Q4423" s="74" t="s">
        <v>960</v>
      </c>
    </row>
    <row r="4424" spans="3:17" x14ac:dyDescent="0.25">
      <c r="C4424" s="74" t="s">
        <v>1215</v>
      </c>
      <c r="D4424" s="74" t="s">
        <v>1216</v>
      </c>
      <c r="E4424" s="74" t="s">
        <v>391</v>
      </c>
      <c r="F4424" s="74">
        <v>0.04</v>
      </c>
      <c r="G4424" s="74"/>
      <c r="H4424" s="74"/>
      <c r="I4424" s="74" t="s">
        <v>391</v>
      </c>
      <c r="J4424" s="74"/>
      <c r="K4424" s="74">
        <v>102.4</v>
      </c>
      <c r="L4424" s="74">
        <v>92.16</v>
      </c>
      <c r="M4424" s="74"/>
      <c r="N4424" s="74" t="s">
        <v>392</v>
      </c>
      <c r="O4424" s="74" t="s">
        <v>393</v>
      </c>
      <c r="P4424" s="74"/>
      <c r="Q4424" s="74" t="s">
        <v>1217</v>
      </c>
    </row>
    <row r="4425" spans="3:17" x14ac:dyDescent="0.25">
      <c r="C4425" s="74" t="s">
        <v>1520</v>
      </c>
      <c r="D4425" s="74" t="s">
        <v>1521</v>
      </c>
      <c r="E4425" s="74" t="s">
        <v>391</v>
      </c>
      <c r="F4425" s="74">
        <v>0.04</v>
      </c>
      <c r="G4425" s="74"/>
      <c r="H4425" s="74"/>
      <c r="I4425" s="74" t="s">
        <v>391</v>
      </c>
      <c r="J4425" s="74"/>
      <c r="K4425" s="74">
        <v>102.4</v>
      </c>
      <c r="L4425" s="74">
        <v>92.16</v>
      </c>
      <c r="M4425" s="74"/>
      <c r="N4425" s="74" t="s">
        <v>392</v>
      </c>
      <c r="O4425" s="74" t="s">
        <v>393</v>
      </c>
      <c r="P4425" s="74"/>
      <c r="Q4425" s="74" t="s">
        <v>1522</v>
      </c>
    </row>
    <row r="4426" spans="3:17" x14ac:dyDescent="0.25">
      <c r="C4426" s="74" t="s">
        <v>1547</v>
      </c>
      <c r="D4426" s="74" t="s">
        <v>1548</v>
      </c>
      <c r="E4426" s="74" t="s">
        <v>391</v>
      </c>
      <c r="F4426" s="74">
        <v>0.04</v>
      </c>
      <c r="G4426" s="74"/>
      <c r="H4426" s="74"/>
      <c r="I4426" s="74" t="s">
        <v>391</v>
      </c>
      <c r="J4426" s="74"/>
      <c r="K4426" s="74">
        <v>102.4</v>
      </c>
      <c r="L4426" s="74">
        <v>92.16</v>
      </c>
      <c r="M4426" s="74"/>
      <c r="N4426" s="74" t="s">
        <v>392</v>
      </c>
      <c r="O4426" s="74" t="s">
        <v>393</v>
      </c>
      <c r="P4426" s="74" t="s">
        <v>1549</v>
      </c>
      <c r="Q4426" s="74" t="s">
        <v>1550</v>
      </c>
    </row>
    <row r="4427" spans="3:17" x14ac:dyDescent="0.25">
      <c r="C4427" s="74" t="s">
        <v>1732</v>
      </c>
      <c r="D4427" s="74" t="s">
        <v>1733</v>
      </c>
      <c r="E4427" s="74"/>
      <c r="F4427" s="74">
        <v>0.04</v>
      </c>
      <c r="G4427" s="74"/>
      <c r="H4427" s="74"/>
      <c r="I4427" s="74" t="s">
        <v>391</v>
      </c>
      <c r="J4427" s="74"/>
      <c r="K4427" s="74">
        <v>102.4</v>
      </c>
      <c r="L4427" s="74">
        <v>92.16</v>
      </c>
      <c r="M4427" s="74"/>
      <c r="N4427" s="74" t="s">
        <v>392</v>
      </c>
      <c r="O4427" s="74" t="s">
        <v>402</v>
      </c>
      <c r="P4427" s="74" t="s">
        <v>1734</v>
      </c>
      <c r="Q4427" s="74" t="s">
        <v>1735</v>
      </c>
    </row>
    <row r="4428" spans="3:17" x14ac:dyDescent="0.25">
      <c r="C4428" s="74" t="s">
        <v>1846</v>
      </c>
      <c r="D4428" s="74" t="s">
        <v>1847</v>
      </c>
      <c r="E4428" s="74"/>
      <c r="F4428" s="74">
        <v>0.04</v>
      </c>
      <c r="G4428" s="74"/>
      <c r="H4428" s="74"/>
      <c r="I4428" s="74" t="s">
        <v>391</v>
      </c>
      <c r="J4428" s="74"/>
      <c r="K4428" s="74">
        <v>102.4</v>
      </c>
      <c r="L4428" s="74">
        <v>92.16</v>
      </c>
      <c r="M4428" s="74"/>
      <c r="N4428" s="74" t="s">
        <v>392</v>
      </c>
      <c r="O4428" s="74" t="s">
        <v>402</v>
      </c>
      <c r="P4428" s="74" t="s">
        <v>1848</v>
      </c>
      <c r="Q4428" s="74" t="s">
        <v>1849</v>
      </c>
    </row>
    <row r="4429" spans="3:17" x14ac:dyDescent="0.25">
      <c r="C4429" s="74" t="s">
        <v>2195</v>
      </c>
      <c r="D4429" s="74" t="s">
        <v>2196</v>
      </c>
      <c r="E4429" s="74"/>
      <c r="F4429" s="74">
        <v>0.04</v>
      </c>
      <c r="G4429" s="74"/>
      <c r="H4429" s="74"/>
      <c r="I4429" s="74" t="s">
        <v>391</v>
      </c>
      <c r="J4429" s="74"/>
      <c r="K4429" s="74">
        <v>102.4</v>
      </c>
      <c r="L4429" s="74">
        <v>92.16</v>
      </c>
      <c r="M4429" s="74"/>
      <c r="N4429" s="74" t="s">
        <v>392</v>
      </c>
      <c r="O4429" s="74" t="s">
        <v>402</v>
      </c>
      <c r="P4429" s="74" t="s">
        <v>2197</v>
      </c>
      <c r="Q4429" s="74" t="s">
        <v>2198</v>
      </c>
    </row>
    <row r="4430" spans="3:17" x14ac:dyDescent="0.25">
      <c r="C4430" s="74" t="s">
        <v>2517</v>
      </c>
      <c r="D4430" s="74" t="s">
        <v>2518</v>
      </c>
      <c r="E4430" s="74"/>
      <c r="F4430" s="74">
        <v>0.04</v>
      </c>
      <c r="G4430" s="74"/>
      <c r="H4430" s="74"/>
      <c r="I4430" s="74" t="s">
        <v>391</v>
      </c>
      <c r="J4430" s="74"/>
      <c r="K4430" s="74">
        <v>102.4</v>
      </c>
      <c r="L4430" s="74">
        <v>92.16</v>
      </c>
      <c r="M4430" s="74"/>
      <c r="N4430" s="74" t="s">
        <v>392</v>
      </c>
      <c r="O4430" s="74" t="s">
        <v>402</v>
      </c>
      <c r="P4430" s="74" t="s">
        <v>2519</v>
      </c>
      <c r="Q4430" s="74" t="s">
        <v>2520</v>
      </c>
    </row>
    <row r="4431" spans="3:17" x14ac:dyDescent="0.25">
      <c r="C4431" s="74" t="s">
        <v>2889</v>
      </c>
      <c r="D4431" s="74" t="s">
        <v>2890</v>
      </c>
      <c r="E4431" s="74"/>
      <c r="F4431" s="74">
        <v>0.04</v>
      </c>
      <c r="G4431" s="74"/>
      <c r="H4431" s="74"/>
      <c r="I4431" s="74" t="s">
        <v>391</v>
      </c>
      <c r="J4431" s="74"/>
      <c r="K4431" s="74">
        <v>102.4</v>
      </c>
      <c r="L4431" s="74">
        <v>92.16</v>
      </c>
      <c r="M4431" s="74"/>
      <c r="N4431" s="74" t="s">
        <v>392</v>
      </c>
      <c r="O4431" s="74" t="s">
        <v>402</v>
      </c>
      <c r="P4431" s="74" t="s">
        <v>2891</v>
      </c>
      <c r="Q4431" s="74" t="s">
        <v>2892</v>
      </c>
    </row>
    <row r="4432" spans="3:17" x14ac:dyDescent="0.25">
      <c r="C4432" s="74" t="s">
        <v>3022</v>
      </c>
      <c r="D4432" s="74" t="s">
        <v>3023</v>
      </c>
      <c r="E4432" s="74"/>
      <c r="F4432" s="74">
        <v>0.04</v>
      </c>
      <c r="G4432" s="74"/>
      <c r="H4432" s="74"/>
      <c r="I4432" s="74" t="s">
        <v>391</v>
      </c>
      <c r="J4432" s="74"/>
      <c r="K4432" s="74">
        <v>102.4</v>
      </c>
      <c r="L4432" s="74">
        <v>92.16</v>
      </c>
      <c r="M4432" s="74"/>
      <c r="N4432" s="74" t="s">
        <v>392</v>
      </c>
      <c r="O4432" s="74" t="s">
        <v>402</v>
      </c>
      <c r="P4432" s="74"/>
      <c r="Q4432" s="74" t="s">
        <v>3024</v>
      </c>
    </row>
    <row r="4433" spans="3:17" x14ac:dyDescent="0.25">
      <c r="C4433" s="74" t="s">
        <v>3579</v>
      </c>
      <c r="D4433" s="74" t="s">
        <v>3580</v>
      </c>
      <c r="E4433" s="74" t="s">
        <v>391</v>
      </c>
      <c r="F4433" s="74">
        <v>0.04</v>
      </c>
      <c r="G4433" s="74"/>
      <c r="H4433" s="74"/>
      <c r="I4433" s="74" t="s">
        <v>391</v>
      </c>
      <c r="J4433" s="74"/>
      <c r="K4433" s="74">
        <v>102.4</v>
      </c>
      <c r="L4433" s="74">
        <v>92.16</v>
      </c>
      <c r="M4433" s="74"/>
      <c r="N4433" s="74" t="s">
        <v>392</v>
      </c>
      <c r="O4433" s="74" t="s">
        <v>393</v>
      </c>
      <c r="P4433" s="74"/>
      <c r="Q4433" s="74" t="s">
        <v>3581</v>
      </c>
    </row>
    <row r="4434" spans="3:17" x14ac:dyDescent="0.25">
      <c r="C4434" s="74" t="s">
        <v>4590</v>
      </c>
      <c r="D4434" s="74" t="s">
        <v>4591</v>
      </c>
      <c r="E4434" s="74"/>
      <c r="F4434" s="74">
        <v>0.04</v>
      </c>
      <c r="G4434" s="74"/>
      <c r="H4434" s="74"/>
      <c r="I4434" s="74" t="s">
        <v>391</v>
      </c>
      <c r="J4434" s="74"/>
      <c r="K4434" s="74">
        <v>102.4</v>
      </c>
      <c r="L4434" s="74">
        <v>92.16</v>
      </c>
      <c r="M4434" s="74"/>
      <c r="N4434" s="74" t="s">
        <v>392</v>
      </c>
      <c r="O4434" s="74" t="s">
        <v>402</v>
      </c>
      <c r="P4434" s="74" t="s">
        <v>4592</v>
      </c>
      <c r="Q4434" s="74" t="s">
        <v>4593</v>
      </c>
    </row>
    <row r="4435" spans="3:17" x14ac:dyDescent="0.25">
      <c r="C4435" s="74" t="s">
        <v>4983</v>
      </c>
      <c r="D4435" s="74" t="s">
        <v>4984</v>
      </c>
      <c r="E4435" s="74"/>
      <c r="F4435" s="74">
        <v>0.04</v>
      </c>
      <c r="G4435" s="74"/>
      <c r="H4435" s="74"/>
      <c r="I4435" s="74" t="s">
        <v>391</v>
      </c>
      <c r="J4435" s="74"/>
      <c r="K4435" s="74">
        <v>102.4</v>
      </c>
      <c r="L4435" s="74">
        <v>92.16</v>
      </c>
      <c r="M4435" s="74"/>
      <c r="N4435" s="74" t="s">
        <v>392</v>
      </c>
      <c r="O4435" s="74" t="s">
        <v>402</v>
      </c>
      <c r="P4435" s="74" t="s">
        <v>4985</v>
      </c>
      <c r="Q4435" s="74" t="s">
        <v>4986</v>
      </c>
    </row>
    <row r="4436" spans="3:17" x14ac:dyDescent="0.25">
      <c r="C4436" s="74" t="s">
        <v>5025</v>
      </c>
      <c r="D4436" s="74" t="s">
        <v>5026</v>
      </c>
      <c r="E4436" s="74" t="s">
        <v>391</v>
      </c>
      <c r="F4436" s="74">
        <v>0.04</v>
      </c>
      <c r="G4436" s="74"/>
      <c r="H4436" s="74"/>
      <c r="I4436" s="74" t="s">
        <v>391</v>
      </c>
      <c r="J4436" s="74"/>
      <c r="K4436" s="74">
        <v>102.4</v>
      </c>
      <c r="L4436" s="74">
        <v>92.16</v>
      </c>
      <c r="M4436" s="74"/>
      <c r="N4436" s="74" t="s">
        <v>392</v>
      </c>
      <c r="O4436" s="74" t="s">
        <v>393</v>
      </c>
      <c r="P4436" s="74"/>
      <c r="Q4436" s="74" t="s">
        <v>5027</v>
      </c>
    </row>
    <row r="4437" spans="3:17" x14ac:dyDescent="0.25">
      <c r="C4437" s="74" t="s">
        <v>5562</v>
      </c>
      <c r="D4437" s="74" t="s">
        <v>5563</v>
      </c>
      <c r="E4437" s="74"/>
      <c r="F4437" s="74">
        <v>0.04</v>
      </c>
      <c r="G4437" s="74"/>
      <c r="H4437" s="74"/>
      <c r="I4437" s="74" t="s">
        <v>391</v>
      </c>
      <c r="J4437" s="74"/>
      <c r="K4437" s="74">
        <v>102.4</v>
      </c>
      <c r="L4437" s="74">
        <v>92.16</v>
      </c>
      <c r="M4437" s="74"/>
      <c r="N4437" s="74" t="s">
        <v>392</v>
      </c>
      <c r="O4437" s="74" t="s">
        <v>402</v>
      </c>
      <c r="P4437" s="74" t="s">
        <v>5564</v>
      </c>
      <c r="Q4437" s="74" t="s">
        <v>5565</v>
      </c>
    </row>
    <row r="4438" spans="3:17" x14ac:dyDescent="0.25">
      <c r="C4438" s="74" t="s">
        <v>5645</v>
      </c>
      <c r="D4438" s="74" t="s">
        <v>5646</v>
      </c>
      <c r="E4438" s="74"/>
      <c r="F4438" s="74">
        <v>0.04</v>
      </c>
      <c r="G4438" s="74"/>
      <c r="H4438" s="74"/>
      <c r="I4438" s="74" t="s">
        <v>391</v>
      </c>
      <c r="J4438" s="74"/>
      <c r="K4438" s="74">
        <v>102.4</v>
      </c>
      <c r="L4438" s="74">
        <v>92.16</v>
      </c>
      <c r="M4438" s="74"/>
      <c r="N4438" s="74" t="s">
        <v>392</v>
      </c>
      <c r="O4438" s="74" t="s">
        <v>402</v>
      </c>
      <c r="P4438" s="74" t="s">
        <v>5647</v>
      </c>
      <c r="Q4438" s="74" t="s">
        <v>5648</v>
      </c>
    </row>
    <row r="4439" spans="3:17" x14ac:dyDescent="0.25">
      <c r="C4439" s="74" t="s">
        <v>5809</v>
      </c>
      <c r="D4439" s="74" t="s">
        <v>5810</v>
      </c>
      <c r="E4439" s="74"/>
      <c r="F4439" s="74">
        <v>0.04</v>
      </c>
      <c r="G4439" s="74"/>
      <c r="H4439" s="74"/>
      <c r="I4439" s="74" t="s">
        <v>391</v>
      </c>
      <c r="J4439" s="74"/>
      <c r="K4439" s="74">
        <v>102.4</v>
      </c>
      <c r="L4439" s="74">
        <v>92.16</v>
      </c>
      <c r="M4439" s="74"/>
      <c r="N4439" s="74" t="s">
        <v>392</v>
      </c>
      <c r="O4439" s="74" t="s">
        <v>402</v>
      </c>
      <c r="P4439" s="74" t="s">
        <v>5811</v>
      </c>
      <c r="Q4439" s="74" t="s">
        <v>5812</v>
      </c>
    </row>
    <row r="4440" spans="3:17" x14ac:dyDescent="0.25">
      <c r="C4440" s="74" t="s">
        <v>7251</v>
      </c>
      <c r="D4440" s="74" t="s">
        <v>7252</v>
      </c>
      <c r="E4440" s="74" t="s">
        <v>391</v>
      </c>
      <c r="F4440" s="74">
        <v>0.04</v>
      </c>
      <c r="G4440" s="74"/>
      <c r="H4440" s="74"/>
      <c r="I4440" s="74" t="s">
        <v>391</v>
      </c>
      <c r="J4440" s="74"/>
      <c r="K4440" s="74">
        <v>102.4</v>
      </c>
      <c r="L4440" s="74">
        <v>92.16</v>
      </c>
      <c r="M4440" s="74"/>
      <c r="N4440" s="74" t="s">
        <v>392</v>
      </c>
      <c r="O4440" s="74" t="s">
        <v>393</v>
      </c>
      <c r="P4440" s="74"/>
      <c r="Q4440" s="74" t="s">
        <v>7253</v>
      </c>
    </row>
    <row r="4441" spans="3:17" x14ac:dyDescent="0.25">
      <c r="C4441" s="74" t="s">
        <v>7469</v>
      </c>
      <c r="D4441" s="74" t="s">
        <v>7470</v>
      </c>
      <c r="E4441" s="74"/>
      <c r="F4441" s="74">
        <v>0.04</v>
      </c>
      <c r="G4441" s="74"/>
      <c r="H4441" s="74"/>
      <c r="I4441" s="74" t="s">
        <v>391</v>
      </c>
      <c r="J4441" s="74"/>
      <c r="K4441" s="74">
        <v>102.4</v>
      </c>
      <c r="L4441" s="74">
        <v>92.16</v>
      </c>
      <c r="M4441" s="74"/>
      <c r="N4441" s="74" t="s">
        <v>392</v>
      </c>
      <c r="O4441" s="74" t="s">
        <v>402</v>
      </c>
      <c r="P4441" s="74" t="s">
        <v>7471</v>
      </c>
      <c r="Q4441" s="74" t="s">
        <v>7472</v>
      </c>
    </row>
    <row r="4442" spans="3:17" x14ac:dyDescent="0.25">
      <c r="C4442" s="74" t="s">
        <v>7664</v>
      </c>
      <c r="D4442" s="74" t="s">
        <v>7665</v>
      </c>
      <c r="E4442" s="74" t="s">
        <v>391</v>
      </c>
      <c r="F4442" s="74">
        <v>0.04</v>
      </c>
      <c r="G4442" s="74"/>
      <c r="H4442" s="74"/>
      <c r="I4442" s="74" t="s">
        <v>391</v>
      </c>
      <c r="J4442" s="74"/>
      <c r="K4442" s="74">
        <v>102.4</v>
      </c>
      <c r="L4442" s="74">
        <v>92.16</v>
      </c>
      <c r="M4442" s="74"/>
      <c r="N4442" s="74" t="s">
        <v>392</v>
      </c>
      <c r="O4442" s="74" t="s">
        <v>393</v>
      </c>
      <c r="P4442" s="74"/>
      <c r="Q4442" s="74" t="s">
        <v>7666</v>
      </c>
    </row>
    <row r="4443" spans="3:17" x14ac:dyDescent="0.25">
      <c r="C4443" s="74" t="s">
        <v>8492</v>
      </c>
      <c r="D4443" s="74" t="s">
        <v>8493</v>
      </c>
      <c r="E4443" s="74"/>
      <c r="F4443" s="74">
        <v>0.04</v>
      </c>
      <c r="G4443" s="74"/>
      <c r="H4443" s="74"/>
      <c r="I4443" s="74" t="s">
        <v>391</v>
      </c>
      <c r="J4443" s="74"/>
      <c r="K4443" s="74">
        <v>102.4</v>
      </c>
      <c r="L4443" s="74">
        <v>92.16</v>
      </c>
      <c r="M4443" s="74"/>
      <c r="N4443" s="74" t="s">
        <v>392</v>
      </c>
      <c r="O4443" s="74" t="s">
        <v>402</v>
      </c>
      <c r="P4443" s="74" t="s">
        <v>8494</v>
      </c>
      <c r="Q4443" s="74" t="s">
        <v>8495</v>
      </c>
    </row>
    <row r="4444" spans="3:17" x14ac:dyDescent="0.25">
      <c r="C4444" s="74" t="s">
        <v>8580</v>
      </c>
      <c r="D4444" s="74" t="s">
        <v>8581</v>
      </c>
      <c r="E4444" s="74"/>
      <c r="F4444" s="74">
        <v>0.04</v>
      </c>
      <c r="G4444" s="74"/>
      <c r="H4444" s="74"/>
      <c r="I4444" s="74" t="s">
        <v>391</v>
      </c>
      <c r="J4444" s="74"/>
      <c r="K4444" s="74">
        <v>102.4</v>
      </c>
      <c r="L4444" s="74">
        <v>92.16</v>
      </c>
      <c r="M4444" s="74"/>
      <c r="N4444" s="74" t="s">
        <v>392</v>
      </c>
      <c r="O4444" s="74" t="s">
        <v>402</v>
      </c>
      <c r="P4444" s="74" t="s">
        <v>8582</v>
      </c>
      <c r="Q4444" s="74" t="s">
        <v>8583</v>
      </c>
    </row>
    <row r="4445" spans="3:17" x14ac:dyDescent="0.25">
      <c r="C4445" s="74" t="s">
        <v>8628</v>
      </c>
      <c r="D4445" s="74" t="s">
        <v>8629</v>
      </c>
      <c r="E4445" s="74"/>
      <c r="F4445" s="74">
        <v>0.04</v>
      </c>
      <c r="G4445" s="74"/>
      <c r="H4445" s="74"/>
      <c r="I4445" s="74" t="s">
        <v>391</v>
      </c>
      <c r="J4445" s="74"/>
      <c r="K4445" s="74">
        <v>102.4</v>
      </c>
      <c r="L4445" s="74">
        <v>92.16</v>
      </c>
      <c r="M4445" s="74"/>
      <c r="N4445" s="74" t="s">
        <v>392</v>
      </c>
      <c r="O4445" s="74" t="s">
        <v>402</v>
      </c>
      <c r="P4445" s="74" t="s">
        <v>8630</v>
      </c>
      <c r="Q4445" s="74" t="s">
        <v>8631</v>
      </c>
    </row>
    <row r="4446" spans="3:17" x14ac:dyDescent="0.25">
      <c r="C4446" s="74" t="s">
        <v>9156</v>
      </c>
      <c r="D4446" s="74" t="s">
        <v>9157</v>
      </c>
      <c r="E4446" s="74" t="s">
        <v>391</v>
      </c>
      <c r="F4446" s="74">
        <v>0.04</v>
      </c>
      <c r="G4446" s="74"/>
      <c r="H4446" s="74"/>
      <c r="I4446" s="74" t="s">
        <v>391</v>
      </c>
      <c r="J4446" s="74"/>
      <c r="K4446" s="74">
        <v>102.4</v>
      </c>
      <c r="L4446" s="74">
        <v>92.16</v>
      </c>
      <c r="M4446" s="74"/>
      <c r="N4446" s="74" t="s">
        <v>392</v>
      </c>
      <c r="O4446" s="74" t="s">
        <v>393</v>
      </c>
      <c r="P4446" s="74"/>
      <c r="Q4446" s="74" t="s">
        <v>9158</v>
      </c>
    </row>
    <row r="4447" spans="3:17" x14ac:dyDescent="0.25">
      <c r="C4447" s="74" t="s">
        <v>9800</v>
      </c>
      <c r="D4447" s="74" t="s">
        <v>9801</v>
      </c>
      <c r="E4447" s="74" t="s">
        <v>391</v>
      </c>
      <c r="F4447" s="74">
        <v>0.04</v>
      </c>
      <c r="G4447" s="74"/>
      <c r="H4447" s="74"/>
      <c r="I4447" s="74" t="s">
        <v>391</v>
      </c>
      <c r="J4447" s="74"/>
      <c r="K4447" s="74">
        <v>102.4</v>
      </c>
      <c r="L4447" s="74">
        <v>92.16</v>
      </c>
      <c r="M4447" s="74"/>
      <c r="N4447" s="74" t="s">
        <v>392</v>
      </c>
      <c r="O4447" s="74" t="s">
        <v>393</v>
      </c>
      <c r="P4447" s="74"/>
      <c r="Q4447" s="74" t="s">
        <v>9802</v>
      </c>
    </row>
    <row r="4448" spans="3:17" x14ac:dyDescent="0.25">
      <c r="C4448" s="74" t="s">
        <v>11206</v>
      </c>
      <c r="D4448" s="74" t="s">
        <v>11207</v>
      </c>
      <c r="E4448" s="74" t="s">
        <v>391</v>
      </c>
      <c r="F4448" s="74">
        <v>0.04</v>
      </c>
      <c r="G4448" s="74"/>
      <c r="H4448" s="74"/>
      <c r="I4448" s="74" t="s">
        <v>391</v>
      </c>
      <c r="J4448" s="74"/>
      <c r="K4448" s="74">
        <v>102.4</v>
      </c>
      <c r="L4448" s="74">
        <v>92.16</v>
      </c>
      <c r="M4448" s="74"/>
      <c r="N4448" s="74" t="s">
        <v>392</v>
      </c>
      <c r="O4448" s="74" t="s">
        <v>393</v>
      </c>
      <c r="P4448" s="74"/>
      <c r="Q4448" s="74" t="s">
        <v>11208</v>
      </c>
    </row>
    <row r="4449" spans="3:17" x14ac:dyDescent="0.25">
      <c r="C4449" s="74" t="s">
        <v>11503</v>
      </c>
      <c r="D4449" s="74" t="s">
        <v>11504</v>
      </c>
      <c r="E4449" s="74"/>
      <c r="F4449" s="74">
        <v>0.04</v>
      </c>
      <c r="G4449" s="74"/>
      <c r="H4449" s="74"/>
      <c r="I4449" s="74" t="s">
        <v>391</v>
      </c>
      <c r="J4449" s="74"/>
      <c r="K4449" s="74">
        <v>102.4</v>
      </c>
      <c r="L4449" s="74">
        <v>92.16</v>
      </c>
      <c r="M4449" s="74"/>
      <c r="N4449" s="74" t="s">
        <v>392</v>
      </c>
      <c r="O4449" s="74" t="s">
        <v>402</v>
      </c>
      <c r="P4449" s="74" t="s">
        <v>11505</v>
      </c>
      <c r="Q4449" s="74" t="s">
        <v>11506</v>
      </c>
    </row>
    <row r="4450" spans="3:17" x14ac:dyDescent="0.25">
      <c r="C4450" s="74" t="s">
        <v>11530</v>
      </c>
      <c r="D4450" s="74" t="s">
        <v>11531</v>
      </c>
      <c r="E4450" s="74"/>
      <c r="F4450" s="74">
        <v>0.04</v>
      </c>
      <c r="G4450" s="74"/>
      <c r="H4450" s="74"/>
      <c r="I4450" s="74" t="s">
        <v>391</v>
      </c>
      <c r="J4450" s="74"/>
      <c r="K4450" s="74">
        <v>102.4</v>
      </c>
      <c r="L4450" s="74">
        <v>92.16</v>
      </c>
      <c r="M4450" s="74"/>
      <c r="N4450" s="74" t="s">
        <v>392</v>
      </c>
      <c r="O4450" s="74" t="s">
        <v>402</v>
      </c>
      <c r="P4450" s="74" t="s">
        <v>11532</v>
      </c>
      <c r="Q4450" s="74" t="s">
        <v>11533</v>
      </c>
    </row>
    <row r="4451" spans="3:17" x14ac:dyDescent="0.25">
      <c r="C4451" s="74" t="s">
        <v>11896</v>
      </c>
      <c r="D4451" s="74" t="s">
        <v>11897</v>
      </c>
      <c r="E4451" s="74"/>
      <c r="F4451" s="74">
        <v>0.04</v>
      </c>
      <c r="G4451" s="74"/>
      <c r="H4451" s="74"/>
      <c r="I4451" s="74" t="s">
        <v>391</v>
      </c>
      <c r="J4451" s="74"/>
      <c r="K4451" s="74">
        <v>102.4</v>
      </c>
      <c r="L4451" s="74">
        <v>92.16</v>
      </c>
      <c r="M4451" s="74"/>
      <c r="N4451" s="74" t="s">
        <v>392</v>
      </c>
      <c r="O4451" s="74" t="s">
        <v>402</v>
      </c>
      <c r="P4451" s="74" t="s">
        <v>11898</v>
      </c>
      <c r="Q4451" s="74" t="s">
        <v>11899</v>
      </c>
    </row>
    <row r="4452" spans="3:17" x14ac:dyDescent="0.25">
      <c r="C4452" s="74" t="s">
        <v>12381</v>
      </c>
      <c r="D4452" s="74" t="s">
        <v>12382</v>
      </c>
      <c r="E4452" s="74"/>
      <c r="F4452" s="74">
        <v>0.04</v>
      </c>
      <c r="G4452" s="74"/>
      <c r="H4452" s="74"/>
      <c r="I4452" s="74" t="s">
        <v>391</v>
      </c>
      <c r="J4452" s="74"/>
      <c r="K4452" s="74">
        <v>102.4</v>
      </c>
      <c r="L4452" s="74">
        <v>92.16</v>
      </c>
      <c r="M4452" s="74"/>
      <c r="N4452" s="74" t="s">
        <v>392</v>
      </c>
      <c r="O4452" s="74" t="s">
        <v>402</v>
      </c>
      <c r="P4452" s="74" t="s">
        <v>12383</v>
      </c>
      <c r="Q4452" s="74" t="s">
        <v>12384</v>
      </c>
    </row>
    <row r="4453" spans="3:17" x14ac:dyDescent="0.25">
      <c r="C4453" s="74" t="s">
        <v>12416</v>
      </c>
      <c r="D4453" s="74" t="s">
        <v>12417</v>
      </c>
      <c r="E4453" s="74"/>
      <c r="F4453" s="74">
        <v>0.04</v>
      </c>
      <c r="G4453" s="74"/>
      <c r="H4453" s="74"/>
      <c r="I4453" s="74" t="s">
        <v>391</v>
      </c>
      <c r="J4453" s="74"/>
      <c r="K4453" s="74">
        <v>102.4</v>
      </c>
      <c r="L4453" s="74">
        <v>92.16</v>
      </c>
      <c r="M4453" s="74"/>
      <c r="N4453" s="74" t="s">
        <v>392</v>
      </c>
      <c r="O4453" s="74" t="s">
        <v>402</v>
      </c>
      <c r="P4453" s="74" t="s">
        <v>12418</v>
      </c>
      <c r="Q4453" s="74" t="s">
        <v>12419</v>
      </c>
    </row>
    <row r="4454" spans="3:17" x14ac:dyDescent="0.25">
      <c r="C4454" s="74" t="s">
        <v>12469</v>
      </c>
      <c r="D4454" s="74" t="s">
        <v>12470</v>
      </c>
      <c r="E4454" s="74" t="s">
        <v>391</v>
      </c>
      <c r="F4454" s="74">
        <v>0.04</v>
      </c>
      <c r="G4454" s="74"/>
      <c r="H4454" s="74"/>
      <c r="I4454" s="74" t="s">
        <v>391</v>
      </c>
      <c r="J4454" s="74"/>
      <c r="K4454" s="74">
        <v>102.4</v>
      </c>
      <c r="L4454" s="74">
        <v>92.16</v>
      </c>
      <c r="M4454" s="74"/>
      <c r="N4454" s="74" t="s">
        <v>392</v>
      </c>
      <c r="O4454" s="74" t="s">
        <v>393</v>
      </c>
      <c r="P4454" s="74"/>
      <c r="Q4454" s="74" t="s">
        <v>12471</v>
      </c>
    </row>
    <row r="4455" spans="3:17" x14ac:dyDescent="0.25">
      <c r="C4455" s="74" t="s">
        <v>12498</v>
      </c>
      <c r="D4455" s="74" t="s">
        <v>12499</v>
      </c>
      <c r="E4455" s="74"/>
      <c r="F4455" s="74">
        <v>0.04</v>
      </c>
      <c r="G4455" s="74"/>
      <c r="H4455" s="74"/>
      <c r="I4455" s="74" t="s">
        <v>391</v>
      </c>
      <c r="J4455" s="74"/>
      <c r="K4455" s="74">
        <v>102.4</v>
      </c>
      <c r="L4455" s="74">
        <v>92.16</v>
      </c>
      <c r="M4455" s="74"/>
      <c r="N4455" s="74" t="s">
        <v>392</v>
      </c>
      <c r="O4455" s="74" t="s">
        <v>402</v>
      </c>
      <c r="P4455" s="74" t="s">
        <v>12500</v>
      </c>
      <c r="Q4455" s="74" t="s">
        <v>12501</v>
      </c>
    </row>
    <row r="4456" spans="3:17" x14ac:dyDescent="0.25">
      <c r="C4456" s="74" t="s">
        <v>12526</v>
      </c>
      <c r="D4456" s="74" t="s">
        <v>12527</v>
      </c>
      <c r="E4456" s="74"/>
      <c r="F4456" s="74">
        <v>0.04</v>
      </c>
      <c r="G4456" s="74"/>
      <c r="H4456" s="74"/>
      <c r="I4456" s="74" t="s">
        <v>391</v>
      </c>
      <c r="J4456" s="74"/>
      <c r="K4456" s="74">
        <v>102.4</v>
      </c>
      <c r="L4456" s="74">
        <v>92.16</v>
      </c>
      <c r="M4456" s="74"/>
      <c r="N4456" s="74" t="s">
        <v>392</v>
      </c>
      <c r="O4456" s="74" t="s">
        <v>402</v>
      </c>
      <c r="P4456" s="74" t="s">
        <v>12528</v>
      </c>
      <c r="Q4456" s="74" t="s">
        <v>12529</v>
      </c>
    </row>
    <row r="4457" spans="3:17" x14ac:dyDescent="0.25">
      <c r="C4457" s="74" t="s">
        <v>12556</v>
      </c>
      <c r="D4457" s="74" t="s">
        <v>12557</v>
      </c>
      <c r="E4457" s="74"/>
      <c r="F4457" s="74">
        <v>0.04</v>
      </c>
      <c r="G4457" s="74"/>
      <c r="H4457" s="74"/>
      <c r="I4457" s="74" t="s">
        <v>391</v>
      </c>
      <c r="J4457" s="74"/>
      <c r="K4457" s="74">
        <v>102.4</v>
      </c>
      <c r="L4457" s="74">
        <v>92.16</v>
      </c>
      <c r="M4457" s="74"/>
      <c r="N4457" s="74" t="s">
        <v>392</v>
      </c>
      <c r="O4457" s="74" t="s">
        <v>402</v>
      </c>
      <c r="P4457" s="74" t="s">
        <v>12558</v>
      </c>
      <c r="Q4457" s="74" t="s">
        <v>12559</v>
      </c>
    </row>
    <row r="4458" spans="3:17" x14ac:dyDescent="0.25">
      <c r="C4458" s="74" t="s">
        <v>13125</v>
      </c>
      <c r="D4458" s="74" t="s">
        <v>13126</v>
      </c>
      <c r="E4458" s="74"/>
      <c r="F4458" s="74">
        <v>0.04</v>
      </c>
      <c r="G4458" s="74"/>
      <c r="H4458" s="74"/>
      <c r="I4458" s="74" t="s">
        <v>391</v>
      </c>
      <c r="J4458" s="74"/>
      <c r="K4458" s="74">
        <v>102.4</v>
      </c>
      <c r="L4458" s="74">
        <v>92.16</v>
      </c>
      <c r="M4458" s="74"/>
      <c r="N4458" s="74" t="s">
        <v>392</v>
      </c>
      <c r="O4458" s="74" t="s">
        <v>402</v>
      </c>
      <c r="P4458" s="74" t="s">
        <v>13127</v>
      </c>
      <c r="Q4458" s="74" t="s">
        <v>13128</v>
      </c>
    </row>
    <row r="4459" spans="3:17" x14ac:dyDescent="0.25">
      <c r="C4459" s="74" t="s">
        <v>13365</v>
      </c>
      <c r="D4459" s="74" t="s">
        <v>13366</v>
      </c>
      <c r="E4459" s="74"/>
      <c r="F4459" s="74">
        <v>0.04</v>
      </c>
      <c r="G4459" s="74"/>
      <c r="H4459" s="74"/>
      <c r="I4459" s="74" t="s">
        <v>391</v>
      </c>
      <c r="J4459" s="74"/>
      <c r="K4459" s="74">
        <v>102.4</v>
      </c>
      <c r="L4459" s="74">
        <v>92.16</v>
      </c>
      <c r="M4459" s="74"/>
      <c r="N4459" s="74" t="s">
        <v>392</v>
      </c>
      <c r="O4459" s="74" t="s">
        <v>402</v>
      </c>
      <c r="P4459" s="74" t="s">
        <v>13367</v>
      </c>
      <c r="Q4459" s="74" t="s">
        <v>13368</v>
      </c>
    </row>
    <row r="4460" spans="3:17" x14ac:dyDescent="0.25">
      <c r="C4460" s="74" t="s">
        <v>13791</v>
      </c>
      <c r="D4460" s="74" t="s">
        <v>13792</v>
      </c>
      <c r="E4460" s="74"/>
      <c r="F4460" s="74">
        <v>0.04</v>
      </c>
      <c r="G4460" s="74"/>
      <c r="H4460" s="74"/>
      <c r="I4460" s="74" t="s">
        <v>391</v>
      </c>
      <c r="J4460" s="74"/>
      <c r="K4460" s="74">
        <v>102.4</v>
      </c>
      <c r="L4460" s="74">
        <v>92.16</v>
      </c>
      <c r="M4460" s="74"/>
      <c r="N4460" s="74" t="s">
        <v>392</v>
      </c>
      <c r="O4460" s="74" t="s">
        <v>402</v>
      </c>
      <c r="P4460" s="74" t="s">
        <v>13793</v>
      </c>
      <c r="Q4460" s="74" t="s">
        <v>13794</v>
      </c>
    </row>
    <row r="4461" spans="3:17" x14ac:dyDescent="0.25">
      <c r="C4461" s="74" t="s">
        <v>13852</v>
      </c>
      <c r="D4461" s="74" t="s">
        <v>13853</v>
      </c>
      <c r="E4461" s="74"/>
      <c r="F4461" s="74">
        <v>0.04</v>
      </c>
      <c r="G4461" s="74"/>
      <c r="H4461" s="74"/>
      <c r="I4461" s="74" t="s">
        <v>391</v>
      </c>
      <c r="J4461" s="74"/>
      <c r="K4461" s="74">
        <v>102.4</v>
      </c>
      <c r="L4461" s="74">
        <v>92.16</v>
      </c>
      <c r="M4461" s="74"/>
      <c r="N4461" s="74" t="s">
        <v>392</v>
      </c>
      <c r="O4461" s="74" t="s">
        <v>402</v>
      </c>
      <c r="P4461" s="74" t="s">
        <v>13854</v>
      </c>
      <c r="Q4461" s="74" t="s">
        <v>13855</v>
      </c>
    </row>
    <row r="4462" spans="3:17" x14ac:dyDescent="0.25">
      <c r="C4462" s="74" t="s">
        <v>13968</v>
      </c>
      <c r="D4462" s="74" t="s">
        <v>13969</v>
      </c>
      <c r="E4462" s="74" t="s">
        <v>391</v>
      </c>
      <c r="F4462" s="74">
        <v>0.04</v>
      </c>
      <c r="G4462" s="74"/>
      <c r="H4462" s="74"/>
      <c r="I4462" s="74" t="s">
        <v>391</v>
      </c>
      <c r="J4462" s="74"/>
      <c r="K4462" s="74">
        <v>102.4</v>
      </c>
      <c r="L4462" s="74">
        <v>92.16</v>
      </c>
      <c r="M4462" s="74"/>
      <c r="N4462" s="74" t="s">
        <v>392</v>
      </c>
      <c r="O4462" s="74" t="s">
        <v>393</v>
      </c>
      <c r="P4462" s="74"/>
      <c r="Q4462" s="74" t="s">
        <v>13970</v>
      </c>
    </row>
    <row r="4463" spans="3:17" x14ac:dyDescent="0.25">
      <c r="C4463" s="74" t="s">
        <v>14077</v>
      </c>
      <c r="D4463" s="74" t="s">
        <v>14078</v>
      </c>
      <c r="E4463" s="74"/>
      <c r="F4463" s="74">
        <v>0.04</v>
      </c>
      <c r="G4463" s="74"/>
      <c r="H4463" s="74"/>
      <c r="I4463" s="74" t="s">
        <v>391</v>
      </c>
      <c r="J4463" s="74"/>
      <c r="K4463" s="74">
        <v>102.4</v>
      </c>
      <c r="L4463" s="74">
        <v>92.16</v>
      </c>
      <c r="M4463" s="74"/>
      <c r="N4463" s="74" t="s">
        <v>392</v>
      </c>
      <c r="O4463" s="74" t="s">
        <v>402</v>
      </c>
      <c r="P4463" s="74" t="s">
        <v>14079</v>
      </c>
      <c r="Q4463" s="74" t="s">
        <v>14080</v>
      </c>
    </row>
    <row r="4464" spans="3:17" x14ac:dyDescent="0.25">
      <c r="C4464" s="74" t="s">
        <v>14185</v>
      </c>
      <c r="D4464" s="74" t="s">
        <v>14186</v>
      </c>
      <c r="E4464" s="74"/>
      <c r="F4464" s="74">
        <v>0.04</v>
      </c>
      <c r="G4464" s="74"/>
      <c r="H4464" s="74"/>
      <c r="I4464" s="74" t="s">
        <v>391</v>
      </c>
      <c r="J4464" s="74"/>
      <c r="K4464" s="74">
        <v>102.4</v>
      </c>
      <c r="L4464" s="74">
        <v>92.16</v>
      </c>
      <c r="M4464" s="74"/>
      <c r="N4464" s="74" t="s">
        <v>392</v>
      </c>
      <c r="O4464" s="74" t="s">
        <v>402</v>
      </c>
      <c r="P4464" s="74" t="s">
        <v>14187</v>
      </c>
      <c r="Q4464" s="74" t="s">
        <v>14188</v>
      </c>
    </row>
    <row r="4465" spans="3:17" x14ac:dyDescent="0.25">
      <c r="C4465" s="74" t="s">
        <v>14879</v>
      </c>
      <c r="D4465" s="74" t="s">
        <v>14880</v>
      </c>
      <c r="E4465" s="74"/>
      <c r="F4465" s="74">
        <v>0.04</v>
      </c>
      <c r="G4465" s="74"/>
      <c r="H4465" s="74"/>
      <c r="I4465" s="74" t="s">
        <v>391</v>
      </c>
      <c r="J4465" s="74"/>
      <c r="K4465" s="74">
        <v>102.4</v>
      </c>
      <c r="L4465" s="74">
        <v>92.16</v>
      </c>
      <c r="M4465" s="74"/>
      <c r="N4465" s="74" t="s">
        <v>392</v>
      </c>
      <c r="O4465" s="74" t="s">
        <v>402</v>
      </c>
      <c r="P4465" s="74" t="s">
        <v>14881</v>
      </c>
      <c r="Q4465" s="74" t="s">
        <v>14882</v>
      </c>
    </row>
    <row r="4466" spans="3:17" x14ac:dyDescent="0.25">
      <c r="C4466" s="74" t="s">
        <v>14979</v>
      </c>
      <c r="D4466" s="74" t="s">
        <v>14980</v>
      </c>
      <c r="E4466" s="74" t="s">
        <v>391</v>
      </c>
      <c r="F4466" s="74">
        <v>0.04</v>
      </c>
      <c r="G4466" s="74"/>
      <c r="H4466" s="74"/>
      <c r="I4466" s="74" t="s">
        <v>391</v>
      </c>
      <c r="J4466" s="74"/>
      <c r="K4466" s="74">
        <v>102.4</v>
      </c>
      <c r="L4466" s="74">
        <v>92.16</v>
      </c>
      <c r="M4466" s="74"/>
      <c r="N4466" s="74" t="s">
        <v>392</v>
      </c>
      <c r="O4466" s="74" t="s">
        <v>393</v>
      </c>
      <c r="P4466" s="74"/>
      <c r="Q4466" s="74" t="s">
        <v>14981</v>
      </c>
    </row>
    <row r="4467" spans="3:17" x14ac:dyDescent="0.25">
      <c r="C4467" s="74" t="s">
        <v>15661</v>
      </c>
      <c r="D4467" s="74" t="s">
        <v>15662</v>
      </c>
      <c r="E4467" s="74" t="s">
        <v>391</v>
      </c>
      <c r="F4467" s="74">
        <v>0.04</v>
      </c>
      <c r="G4467" s="74"/>
      <c r="H4467" s="74"/>
      <c r="I4467" s="74" t="s">
        <v>391</v>
      </c>
      <c r="J4467" s="74"/>
      <c r="K4467" s="74">
        <v>102.4</v>
      </c>
      <c r="L4467" s="74">
        <v>92.16</v>
      </c>
      <c r="M4467" s="74"/>
      <c r="N4467" s="74" t="s">
        <v>392</v>
      </c>
      <c r="O4467" s="74" t="s">
        <v>393</v>
      </c>
      <c r="P4467" s="74"/>
      <c r="Q4467" s="74" t="s">
        <v>15663</v>
      </c>
    </row>
    <row r="4468" spans="3:17" x14ac:dyDescent="0.25">
      <c r="C4468" s="74" t="s">
        <v>16011</v>
      </c>
      <c r="D4468" s="74" t="s">
        <v>16012</v>
      </c>
      <c r="E4468" s="74"/>
      <c r="F4468" s="74">
        <v>0.04</v>
      </c>
      <c r="G4468" s="74"/>
      <c r="H4468" s="74"/>
      <c r="I4468" s="74" t="s">
        <v>391</v>
      </c>
      <c r="J4468" s="74"/>
      <c r="K4468" s="74">
        <v>102.4</v>
      </c>
      <c r="L4468" s="74">
        <v>92.16</v>
      </c>
      <c r="M4468" s="74"/>
      <c r="N4468" s="74" t="s">
        <v>392</v>
      </c>
      <c r="O4468" s="74" t="s">
        <v>402</v>
      </c>
      <c r="P4468" s="74" t="s">
        <v>16013</v>
      </c>
      <c r="Q4468" s="74" t="s">
        <v>16014</v>
      </c>
    </row>
    <row r="4469" spans="3:17" x14ac:dyDescent="0.25">
      <c r="C4469" s="74" t="s">
        <v>16092</v>
      </c>
      <c r="D4469" s="74" t="s">
        <v>16093</v>
      </c>
      <c r="E4469" s="74"/>
      <c r="F4469" s="74">
        <v>0.04</v>
      </c>
      <c r="G4469" s="74"/>
      <c r="H4469" s="74"/>
      <c r="I4469" s="74" t="s">
        <v>391</v>
      </c>
      <c r="J4469" s="74"/>
      <c r="K4469" s="74">
        <v>102.4</v>
      </c>
      <c r="L4469" s="74">
        <v>92.16</v>
      </c>
      <c r="M4469" s="74"/>
      <c r="N4469" s="74" t="s">
        <v>392</v>
      </c>
      <c r="O4469" s="74" t="s">
        <v>402</v>
      </c>
      <c r="P4469" s="74" t="s">
        <v>16094</v>
      </c>
      <c r="Q4469" s="74" t="s">
        <v>16095</v>
      </c>
    </row>
    <row r="4470" spans="3:17" x14ac:dyDescent="0.25">
      <c r="C4470" s="74" t="s">
        <v>16659</v>
      </c>
      <c r="D4470" s="74" t="s">
        <v>16660</v>
      </c>
      <c r="E4470" s="74"/>
      <c r="F4470" s="74">
        <v>0.04</v>
      </c>
      <c r="G4470" s="74"/>
      <c r="H4470" s="74"/>
      <c r="I4470" s="74" t="s">
        <v>391</v>
      </c>
      <c r="J4470" s="74"/>
      <c r="K4470" s="74">
        <v>102.4</v>
      </c>
      <c r="L4470" s="74">
        <v>92.16</v>
      </c>
      <c r="M4470" s="74"/>
      <c r="N4470" s="74" t="s">
        <v>392</v>
      </c>
      <c r="O4470" s="74" t="s">
        <v>402</v>
      </c>
      <c r="P4470" s="74" t="s">
        <v>16661</v>
      </c>
      <c r="Q4470" s="74" t="s">
        <v>16662</v>
      </c>
    </row>
    <row r="4471" spans="3:17" x14ac:dyDescent="0.25">
      <c r="C4471" s="74" t="s">
        <v>16795</v>
      </c>
      <c r="D4471" s="74" t="s">
        <v>16796</v>
      </c>
      <c r="E4471" s="74"/>
      <c r="F4471" s="74">
        <v>0.04</v>
      </c>
      <c r="G4471" s="74"/>
      <c r="H4471" s="74"/>
      <c r="I4471" s="74" t="s">
        <v>391</v>
      </c>
      <c r="J4471" s="74"/>
      <c r="K4471" s="74"/>
      <c r="L4471" s="74"/>
      <c r="M4471" s="74"/>
      <c r="N4471" s="74" t="s">
        <v>392</v>
      </c>
      <c r="O4471" s="74" t="s">
        <v>402</v>
      </c>
      <c r="P4471" s="74" t="s">
        <v>16797</v>
      </c>
      <c r="Q4471" s="74" t="s">
        <v>16798</v>
      </c>
    </row>
    <row r="4472" spans="3:17" x14ac:dyDescent="0.25">
      <c r="C4472" s="74" t="s">
        <v>17133</v>
      </c>
      <c r="D4472" s="74" t="s">
        <v>17134</v>
      </c>
      <c r="E4472" s="74"/>
      <c r="F4472" s="74">
        <v>0.04</v>
      </c>
      <c r="G4472" s="74"/>
      <c r="H4472" s="74"/>
      <c r="I4472" s="74" t="s">
        <v>391</v>
      </c>
      <c r="J4472" s="74"/>
      <c r="K4472" s="74">
        <v>102.4</v>
      </c>
      <c r="L4472" s="74">
        <v>92.16</v>
      </c>
      <c r="M4472" s="74"/>
      <c r="N4472" s="74" t="s">
        <v>392</v>
      </c>
      <c r="O4472" s="74" t="s">
        <v>402</v>
      </c>
      <c r="P4472" s="74" t="s">
        <v>17135</v>
      </c>
      <c r="Q4472" s="74" t="s">
        <v>17136</v>
      </c>
    </row>
    <row r="4473" spans="3:17" x14ac:dyDescent="0.25">
      <c r="C4473" s="74" t="s">
        <v>17197</v>
      </c>
      <c r="D4473" s="74" t="s">
        <v>17198</v>
      </c>
      <c r="E4473" s="74"/>
      <c r="F4473" s="74">
        <v>0.04</v>
      </c>
      <c r="G4473" s="74"/>
      <c r="H4473" s="74"/>
      <c r="I4473" s="74" t="s">
        <v>391</v>
      </c>
      <c r="J4473" s="74"/>
      <c r="K4473" s="74">
        <v>102.4</v>
      </c>
      <c r="L4473" s="74">
        <v>92.16</v>
      </c>
      <c r="M4473" s="74"/>
      <c r="N4473" s="74" t="s">
        <v>392</v>
      </c>
      <c r="O4473" s="74" t="s">
        <v>402</v>
      </c>
      <c r="P4473" s="74" t="s">
        <v>17199</v>
      </c>
      <c r="Q4473" s="74" t="s">
        <v>17200</v>
      </c>
    </row>
    <row r="4474" spans="3:17" x14ac:dyDescent="0.25">
      <c r="C4474" s="74" t="s">
        <v>17810</v>
      </c>
      <c r="D4474" s="74" t="s">
        <v>17811</v>
      </c>
      <c r="E4474" s="74" t="s">
        <v>391</v>
      </c>
      <c r="F4474" s="74">
        <v>0.04</v>
      </c>
      <c r="G4474" s="74"/>
      <c r="H4474" s="74"/>
      <c r="I4474" s="74" t="s">
        <v>391</v>
      </c>
      <c r="J4474" s="74"/>
      <c r="K4474" s="74">
        <v>102.4</v>
      </c>
      <c r="L4474" s="74">
        <v>92.16</v>
      </c>
      <c r="M4474" s="74"/>
      <c r="N4474" s="74" t="s">
        <v>392</v>
      </c>
      <c r="O4474" s="74" t="s">
        <v>393</v>
      </c>
      <c r="P4474" s="74" t="s">
        <v>17812</v>
      </c>
      <c r="Q4474" s="74" t="s">
        <v>17813</v>
      </c>
    </row>
    <row r="4475" spans="3:17" x14ac:dyDescent="0.25">
      <c r="C4475" s="74" t="s">
        <v>18303</v>
      </c>
      <c r="D4475" s="74" t="s">
        <v>18304</v>
      </c>
      <c r="E4475" s="74"/>
      <c r="F4475" s="74">
        <v>0.04</v>
      </c>
      <c r="G4475" s="74"/>
      <c r="H4475" s="74"/>
      <c r="I4475" s="74" t="s">
        <v>391</v>
      </c>
      <c r="J4475" s="74"/>
      <c r="K4475" s="74">
        <v>102.4</v>
      </c>
      <c r="L4475" s="74">
        <v>92.16</v>
      </c>
      <c r="M4475" s="74"/>
      <c r="N4475" s="74" t="s">
        <v>392</v>
      </c>
      <c r="O4475" s="74" t="s">
        <v>402</v>
      </c>
      <c r="P4475" s="74" t="s">
        <v>18305</v>
      </c>
      <c r="Q4475" s="74" t="s">
        <v>18306</v>
      </c>
    </row>
    <row r="4476" spans="3:17" x14ac:dyDescent="0.25">
      <c r="C4476" s="74" t="s">
        <v>18617</v>
      </c>
      <c r="D4476" s="74" t="s">
        <v>18618</v>
      </c>
      <c r="E4476" s="74" t="s">
        <v>391</v>
      </c>
      <c r="F4476" s="74">
        <v>0.04</v>
      </c>
      <c r="G4476" s="74"/>
      <c r="H4476" s="74"/>
      <c r="I4476" s="74" t="s">
        <v>391</v>
      </c>
      <c r="J4476" s="74"/>
      <c r="K4476" s="74">
        <v>102.4</v>
      </c>
      <c r="L4476" s="74">
        <v>92.16</v>
      </c>
      <c r="M4476" s="74"/>
      <c r="N4476" s="74" t="s">
        <v>392</v>
      </c>
      <c r="O4476" s="74" t="s">
        <v>393</v>
      </c>
      <c r="P4476" s="74" t="s">
        <v>18619</v>
      </c>
      <c r="Q4476" s="74" t="s">
        <v>18620</v>
      </c>
    </row>
    <row r="4477" spans="3:17" x14ac:dyDescent="0.25">
      <c r="C4477" s="74" t="s">
        <v>18672</v>
      </c>
      <c r="D4477" s="74" t="s">
        <v>18673</v>
      </c>
      <c r="E4477" s="74"/>
      <c r="F4477" s="74">
        <v>0.04</v>
      </c>
      <c r="G4477" s="74"/>
      <c r="H4477" s="74"/>
      <c r="I4477" s="74" t="s">
        <v>391</v>
      </c>
      <c r="J4477" s="74"/>
      <c r="K4477" s="74">
        <v>102.4</v>
      </c>
      <c r="L4477" s="74">
        <v>92.16</v>
      </c>
      <c r="M4477" s="74"/>
      <c r="N4477" s="74" t="s">
        <v>392</v>
      </c>
      <c r="O4477" s="74" t="s">
        <v>402</v>
      </c>
      <c r="P4477" s="74" t="s">
        <v>18674</v>
      </c>
      <c r="Q4477" s="74" t="s">
        <v>18675</v>
      </c>
    </row>
    <row r="4478" spans="3:17" x14ac:dyDescent="0.25">
      <c r="C4478" s="74" t="s">
        <v>18972</v>
      </c>
      <c r="D4478" s="74" t="s">
        <v>18973</v>
      </c>
      <c r="E4478" s="74" t="s">
        <v>391</v>
      </c>
      <c r="F4478" s="74">
        <v>0.04</v>
      </c>
      <c r="G4478" s="74"/>
      <c r="H4478" s="74"/>
      <c r="I4478" s="74" t="s">
        <v>391</v>
      </c>
      <c r="J4478" s="74"/>
      <c r="K4478" s="74">
        <v>102.4</v>
      </c>
      <c r="L4478" s="74">
        <v>92.16</v>
      </c>
      <c r="M4478" s="74"/>
      <c r="N4478" s="74" t="s">
        <v>392</v>
      </c>
      <c r="O4478" s="74" t="s">
        <v>393</v>
      </c>
      <c r="P4478" s="74"/>
      <c r="Q4478" s="74" t="s">
        <v>18974</v>
      </c>
    </row>
    <row r="4479" spans="3:17" x14ac:dyDescent="0.25">
      <c r="C4479" s="74" t="s">
        <v>19234</v>
      </c>
      <c r="D4479" s="74" t="s">
        <v>19235</v>
      </c>
      <c r="E4479" s="74"/>
      <c r="F4479" s="74">
        <v>0.04</v>
      </c>
      <c r="G4479" s="74"/>
      <c r="H4479" s="74"/>
      <c r="I4479" s="74" t="s">
        <v>391</v>
      </c>
      <c r="J4479" s="74"/>
      <c r="K4479" s="74">
        <v>102.4</v>
      </c>
      <c r="L4479" s="74">
        <v>92.16</v>
      </c>
      <c r="M4479" s="74"/>
      <c r="N4479" s="74" t="s">
        <v>392</v>
      </c>
      <c r="O4479" s="74" t="s">
        <v>402</v>
      </c>
      <c r="P4479" s="74" t="s">
        <v>19236</v>
      </c>
      <c r="Q4479" s="74" t="s">
        <v>19237</v>
      </c>
    </row>
    <row r="4480" spans="3:17" x14ac:dyDescent="0.25">
      <c r="C4480" s="74" t="s">
        <v>19322</v>
      </c>
      <c r="D4480" s="74" t="s">
        <v>19323</v>
      </c>
      <c r="E4480" s="74"/>
      <c r="F4480" s="74">
        <v>0.04</v>
      </c>
      <c r="G4480" s="74"/>
      <c r="H4480" s="74"/>
      <c r="I4480" s="74" t="s">
        <v>391</v>
      </c>
      <c r="J4480" s="74"/>
      <c r="K4480" s="74">
        <v>102.4</v>
      </c>
      <c r="L4480" s="74">
        <v>92.16</v>
      </c>
      <c r="M4480" s="74"/>
      <c r="N4480" s="74" t="s">
        <v>392</v>
      </c>
      <c r="O4480" s="74" t="s">
        <v>402</v>
      </c>
      <c r="P4480" s="74" t="s">
        <v>19324</v>
      </c>
      <c r="Q4480" s="74" t="s">
        <v>19325</v>
      </c>
    </row>
    <row r="4481" spans="3:17" x14ac:dyDescent="0.25">
      <c r="C4481" s="74" t="s">
        <v>19832</v>
      </c>
      <c r="D4481" s="74" t="s">
        <v>19833</v>
      </c>
      <c r="E4481" s="74" t="s">
        <v>391</v>
      </c>
      <c r="F4481" s="74">
        <v>0.04</v>
      </c>
      <c r="G4481" s="74"/>
      <c r="H4481" s="74"/>
      <c r="I4481" s="74" t="s">
        <v>391</v>
      </c>
      <c r="J4481" s="74"/>
      <c r="K4481" s="74">
        <v>102.4</v>
      </c>
      <c r="L4481" s="74">
        <v>92.16</v>
      </c>
      <c r="M4481" s="74"/>
      <c r="N4481" s="74" t="s">
        <v>392</v>
      </c>
      <c r="O4481" s="74" t="s">
        <v>393</v>
      </c>
      <c r="P4481" s="74"/>
      <c r="Q4481" s="74" t="s">
        <v>19834</v>
      </c>
    </row>
    <row r="4482" spans="3:17" x14ac:dyDescent="0.25">
      <c r="C4482" s="74" t="s">
        <v>19974</v>
      </c>
      <c r="D4482" s="74" t="s">
        <v>19975</v>
      </c>
      <c r="E4482" s="74"/>
      <c r="F4482" s="74">
        <v>0.04</v>
      </c>
      <c r="G4482" s="74"/>
      <c r="H4482" s="74"/>
      <c r="I4482" s="74" t="s">
        <v>391</v>
      </c>
      <c r="J4482" s="74"/>
      <c r="K4482" s="74">
        <v>102.4</v>
      </c>
      <c r="L4482" s="74">
        <v>92.16</v>
      </c>
      <c r="M4482" s="74"/>
      <c r="N4482" s="74" t="s">
        <v>392</v>
      </c>
      <c r="O4482" s="74" t="s">
        <v>402</v>
      </c>
      <c r="P4482" s="74" t="s">
        <v>19976</v>
      </c>
      <c r="Q4482" s="74" t="s">
        <v>19977</v>
      </c>
    </row>
    <row r="4483" spans="3:17" x14ac:dyDescent="0.25">
      <c r="C4483" s="74" t="s">
        <v>20121</v>
      </c>
      <c r="D4483" s="74" t="s">
        <v>20122</v>
      </c>
      <c r="E4483" s="74" t="s">
        <v>391</v>
      </c>
      <c r="F4483" s="74">
        <v>0.04</v>
      </c>
      <c r="G4483" s="74"/>
      <c r="H4483" s="74"/>
      <c r="I4483" s="74" t="s">
        <v>391</v>
      </c>
      <c r="J4483" s="74"/>
      <c r="K4483" s="74">
        <v>102.4</v>
      </c>
      <c r="L4483" s="74">
        <v>92.16</v>
      </c>
      <c r="M4483" s="74"/>
      <c r="N4483" s="74" t="s">
        <v>392</v>
      </c>
      <c r="O4483" s="74" t="s">
        <v>393</v>
      </c>
      <c r="P4483" s="74"/>
      <c r="Q4483" s="74" t="s">
        <v>20123</v>
      </c>
    </row>
    <row r="4484" spans="3:17" x14ac:dyDescent="0.25">
      <c r="C4484" s="74" t="s">
        <v>20590</v>
      </c>
      <c r="D4484" s="74" t="s">
        <v>20591</v>
      </c>
      <c r="E4484" s="74"/>
      <c r="F4484" s="74">
        <v>0.04</v>
      </c>
      <c r="G4484" s="74"/>
      <c r="H4484" s="74"/>
      <c r="I4484" s="74" t="s">
        <v>391</v>
      </c>
      <c r="J4484" s="74"/>
      <c r="K4484" s="74">
        <v>102.4</v>
      </c>
      <c r="L4484" s="74">
        <v>92.16</v>
      </c>
      <c r="M4484" s="74"/>
      <c r="N4484" s="74" t="s">
        <v>392</v>
      </c>
      <c r="O4484" s="74" t="s">
        <v>402</v>
      </c>
      <c r="P4484" s="74" t="s">
        <v>20592</v>
      </c>
      <c r="Q4484" s="74" t="s">
        <v>20593</v>
      </c>
    </row>
    <row r="4485" spans="3:17" x14ac:dyDescent="0.25">
      <c r="C4485" s="74" t="s">
        <v>20939</v>
      </c>
      <c r="D4485" s="74" t="s">
        <v>20940</v>
      </c>
      <c r="E4485" s="74" t="s">
        <v>391</v>
      </c>
      <c r="F4485" s="74">
        <v>0.04</v>
      </c>
      <c r="G4485" s="74"/>
      <c r="H4485" s="74"/>
      <c r="I4485" s="74" t="s">
        <v>391</v>
      </c>
      <c r="J4485" s="74"/>
      <c r="K4485" s="74">
        <v>102.4</v>
      </c>
      <c r="L4485" s="74">
        <v>92.16</v>
      </c>
      <c r="M4485" s="74"/>
      <c r="N4485" s="74" t="s">
        <v>392</v>
      </c>
      <c r="O4485" s="74" t="s">
        <v>393</v>
      </c>
      <c r="P4485" s="74"/>
      <c r="Q4485" s="74" t="s">
        <v>20941</v>
      </c>
    </row>
    <row r="4486" spans="3:17" x14ac:dyDescent="0.25">
      <c r="C4486" s="74" t="s">
        <v>20959</v>
      </c>
      <c r="D4486" s="74" t="s">
        <v>20960</v>
      </c>
      <c r="E4486" s="74"/>
      <c r="F4486" s="74">
        <v>0.04</v>
      </c>
      <c r="G4486" s="74"/>
      <c r="H4486" s="74"/>
      <c r="I4486" s="74" t="s">
        <v>391</v>
      </c>
      <c r="J4486" s="74"/>
      <c r="K4486" s="74">
        <v>102.4</v>
      </c>
      <c r="L4486" s="74">
        <v>92.16</v>
      </c>
      <c r="M4486" s="74"/>
      <c r="N4486" s="74" t="s">
        <v>392</v>
      </c>
      <c r="O4486" s="74" t="s">
        <v>402</v>
      </c>
      <c r="P4486" s="74" t="s">
        <v>20961</v>
      </c>
      <c r="Q4486" s="74" t="s">
        <v>20962</v>
      </c>
    </row>
    <row r="4487" spans="3:17" x14ac:dyDescent="0.25">
      <c r="C4487" s="74" t="s">
        <v>1017</v>
      </c>
      <c r="D4487" s="74" t="s">
        <v>1018</v>
      </c>
      <c r="E4487" s="74"/>
      <c r="F4487" s="74">
        <v>0.03</v>
      </c>
      <c r="G4487" s="74"/>
      <c r="H4487" s="74"/>
      <c r="I4487" s="74" t="s">
        <v>391</v>
      </c>
      <c r="J4487" s="74"/>
      <c r="K4487" s="74">
        <v>102.4</v>
      </c>
      <c r="L4487" s="74">
        <v>92.16</v>
      </c>
      <c r="M4487" s="74"/>
      <c r="N4487" s="74" t="s">
        <v>392</v>
      </c>
      <c r="O4487" s="74" t="s">
        <v>402</v>
      </c>
      <c r="P4487" s="74" t="s">
        <v>1019</v>
      </c>
      <c r="Q4487" s="74" t="s">
        <v>1020</v>
      </c>
    </row>
    <row r="4488" spans="3:17" x14ac:dyDescent="0.25">
      <c r="C4488" s="74" t="s">
        <v>1127</v>
      </c>
      <c r="D4488" s="74" t="s">
        <v>1128</v>
      </c>
      <c r="E4488" s="74"/>
      <c r="F4488" s="74">
        <v>0.03</v>
      </c>
      <c r="G4488" s="74"/>
      <c r="H4488" s="74"/>
      <c r="I4488" s="74" t="s">
        <v>391</v>
      </c>
      <c r="J4488" s="74"/>
      <c r="K4488" s="74">
        <v>102.4</v>
      </c>
      <c r="L4488" s="74">
        <v>92.16</v>
      </c>
      <c r="M4488" s="74"/>
      <c r="N4488" s="74" t="s">
        <v>392</v>
      </c>
      <c r="O4488" s="74" t="s">
        <v>402</v>
      </c>
      <c r="P4488" s="74" t="s">
        <v>1129</v>
      </c>
      <c r="Q4488" s="74" t="s">
        <v>1130</v>
      </c>
    </row>
    <row r="4489" spans="3:17" x14ac:dyDescent="0.25">
      <c r="C4489" s="74" t="s">
        <v>1259</v>
      </c>
      <c r="D4489" s="74" t="s">
        <v>1260</v>
      </c>
      <c r="E4489" s="74" t="s">
        <v>391</v>
      </c>
      <c r="F4489" s="74">
        <v>0.03</v>
      </c>
      <c r="G4489" s="74"/>
      <c r="H4489" s="74"/>
      <c r="I4489" s="74" t="s">
        <v>391</v>
      </c>
      <c r="J4489" s="74"/>
      <c r="K4489" s="74">
        <v>102.4</v>
      </c>
      <c r="L4489" s="74">
        <v>92.16</v>
      </c>
      <c r="M4489" s="74"/>
      <c r="N4489" s="74" t="s">
        <v>392</v>
      </c>
      <c r="O4489" s="74" t="s">
        <v>393</v>
      </c>
      <c r="P4489" s="74"/>
      <c r="Q4489" s="74" t="s">
        <v>1261</v>
      </c>
    </row>
    <row r="4490" spans="3:17" x14ac:dyDescent="0.25">
      <c r="C4490" s="74" t="s">
        <v>1634</v>
      </c>
      <c r="D4490" s="74" t="s">
        <v>1635</v>
      </c>
      <c r="E4490" s="74"/>
      <c r="F4490" s="74">
        <v>0.03</v>
      </c>
      <c r="G4490" s="74"/>
      <c r="H4490" s="74"/>
      <c r="I4490" s="74" t="s">
        <v>391</v>
      </c>
      <c r="J4490" s="74"/>
      <c r="K4490" s="74">
        <v>102.4</v>
      </c>
      <c r="L4490" s="74">
        <v>92.16</v>
      </c>
      <c r="M4490" s="74"/>
      <c r="N4490" s="74" t="s">
        <v>392</v>
      </c>
      <c r="O4490" s="74" t="s">
        <v>402</v>
      </c>
      <c r="P4490" s="74"/>
      <c r="Q4490" s="74" t="s">
        <v>1636</v>
      </c>
    </row>
    <row r="4491" spans="3:17" x14ac:dyDescent="0.25">
      <c r="C4491" s="74" t="s">
        <v>2090</v>
      </c>
      <c r="D4491" s="74" t="s">
        <v>2091</v>
      </c>
      <c r="E4491" s="74"/>
      <c r="F4491" s="74">
        <v>0.03</v>
      </c>
      <c r="G4491" s="74"/>
      <c r="H4491" s="74"/>
      <c r="I4491" s="74" t="s">
        <v>391</v>
      </c>
      <c r="J4491" s="74"/>
      <c r="K4491" s="74">
        <v>102.4</v>
      </c>
      <c r="L4491" s="74">
        <v>92.16</v>
      </c>
      <c r="M4491" s="74"/>
      <c r="N4491" s="74" t="s">
        <v>392</v>
      </c>
      <c r="O4491" s="74" t="s">
        <v>402</v>
      </c>
      <c r="P4491" s="74" t="s">
        <v>2092</v>
      </c>
      <c r="Q4491" s="74" t="s">
        <v>2093</v>
      </c>
    </row>
    <row r="4492" spans="3:17" x14ac:dyDescent="0.25">
      <c r="C4492" s="74" t="s">
        <v>2191</v>
      </c>
      <c r="D4492" s="74" t="s">
        <v>2192</v>
      </c>
      <c r="E4492" s="74"/>
      <c r="F4492" s="74">
        <v>0.03</v>
      </c>
      <c r="G4492" s="74"/>
      <c r="H4492" s="74"/>
      <c r="I4492" s="74" t="s">
        <v>391</v>
      </c>
      <c r="J4492" s="74"/>
      <c r="K4492" s="74">
        <v>102.4</v>
      </c>
      <c r="L4492" s="74">
        <v>92.16</v>
      </c>
      <c r="M4492" s="74"/>
      <c r="N4492" s="74" t="s">
        <v>392</v>
      </c>
      <c r="O4492" s="74" t="s">
        <v>402</v>
      </c>
      <c r="P4492" s="74" t="s">
        <v>2193</v>
      </c>
      <c r="Q4492" s="74" t="s">
        <v>2194</v>
      </c>
    </row>
    <row r="4493" spans="3:17" x14ac:dyDescent="0.25">
      <c r="C4493" s="74" t="s">
        <v>2452</v>
      </c>
      <c r="D4493" s="74" t="s">
        <v>2453</v>
      </c>
      <c r="E4493" s="74"/>
      <c r="F4493" s="74">
        <v>0.03</v>
      </c>
      <c r="G4493" s="74"/>
      <c r="H4493" s="74"/>
      <c r="I4493" s="74" t="s">
        <v>391</v>
      </c>
      <c r="J4493" s="74"/>
      <c r="K4493" s="74">
        <v>102.4</v>
      </c>
      <c r="L4493" s="74">
        <v>92.16</v>
      </c>
      <c r="M4493" s="74"/>
      <c r="N4493" s="74" t="s">
        <v>392</v>
      </c>
      <c r="O4493" s="74" t="s">
        <v>402</v>
      </c>
      <c r="P4493" s="74" t="s">
        <v>2454</v>
      </c>
      <c r="Q4493" s="74" t="s">
        <v>2455</v>
      </c>
    </row>
    <row r="4494" spans="3:17" x14ac:dyDescent="0.25">
      <c r="C4494" s="74" t="s">
        <v>3712</v>
      </c>
      <c r="D4494" s="74" t="s">
        <v>3713</v>
      </c>
      <c r="E4494" s="74"/>
      <c r="F4494" s="74">
        <v>0.03</v>
      </c>
      <c r="G4494" s="74"/>
      <c r="H4494" s="74"/>
      <c r="I4494" s="74" t="s">
        <v>391</v>
      </c>
      <c r="J4494" s="74"/>
      <c r="K4494" s="74">
        <v>102.4</v>
      </c>
      <c r="L4494" s="74">
        <v>92.16</v>
      </c>
      <c r="M4494" s="74"/>
      <c r="N4494" s="74" t="s">
        <v>392</v>
      </c>
      <c r="O4494" s="74" t="s">
        <v>402</v>
      </c>
      <c r="P4494" s="74" t="s">
        <v>3714</v>
      </c>
      <c r="Q4494" s="74" t="s">
        <v>3715</v>
      </c>
    </row>
    <row r="4495" spans="3:17" x14ac:dyDescent="0.25">
      <c r="C4495" s="74" t="s">
        <v>4116</v>
      </c>
      <c r="D4495" s="74" t="s">
        <v>4117</v>
      </c>
      <c r="E4495" s="74" t="s">
        <v>391</v>
      </c>
      <c r="F4495" s="74">
        <v>0.03</v>
      </c>
      <c r="G4495" s="74"/>
      <c r="H4495" s="74"/>
      <c r="I4495" s="74" t="s">
        <v>391</v>
      </c>
      <c r="J4495" s="74"/>
      <c r="K4495" s="74">
        <v>102.4</v>
      </c>
      <c r="L4495" s="74">
        <v>92.16</v>
      </c>
      <c r="M4495" s="74"/>
      <c r="N4495" s="74" t="s">
        <v>392</v>
      </c>
      <c r="O4495" s="74" t="s">
        <v>393</v>
      </c>
      <c r="P4495" s="74"/>
      <c r="Q4495" s="74" t="s">
        <v>4118</v>
      </c>
    </row>
    <row r="4496" spans="3:17" x14ac:dyDescent="0.25">
      <c r="C4496" s="74" t="s">
        <v>4279</v>
      </c>
      <c r="D4496" s="74" t="s">
        <v>4280</v>
      </c>
      <c r="E4496" s="74"/>
      <c r="F4496" s="74">
        <v>0.03</v>
      </c>
      <c r="G4496" s="74"/>
      <c r="H4496" s="74"/>
      <c r="I4496" s="74" t="s">
        <v>391</v>
      </c>
      <c r="J4496" s="74"/>
      <c r="K4496" s="74">
        <v>102.4</v>
      </c>
      <c r="L4496" s="74">
        <v>92.16</v>
      </c>
      <c r="M4496" s="74"/>
      <c r="N4496" s="74" t="s">
        <v>392</v>
      </c>
      <c r="O4496" s="74" t="s">
        <v>402</v>
      </c>
      <c r="P4496" s="74" t="s">
        <v>4281</v>
      </c>
      <c r="Q4496" s="74" t="s">
        <v>4282</v>
      </c>
    </row>
    <row r="4497" spans="3:17" x14ac:dyDescent="0.25">
      <c r="C4497" s="74" t="s">
        <v>4550</v>
      </c>
      <c r="D4497" s="74" t="s">
        <v>4551</v>
      </c>
      <c r="E4497" s="74" t="s">
        <v>391</v>
      </c>
      <c r="F4497" s="74">
        <v>0.03</v>
      </c>
      <c r="G4497" s="74"/>
      <c r="H4497" s="74"/>
      <c r="I4497" s="74" t="s">
        <v>391</v>
      </c>
      <c r="J4497" s="74"/>
      <c r="K4497" s="74">
        <v>102.4</v>
      </c>
      <c r="L4497" s="74">
        <v>92.16</v>
      </c>
      <c r="M4497" s="74"/>
      <c r="N4497" s="74" t="s">
        <v>392</v>
      </c>
      <c r="O4497" s="74" t="s">
        <v>393</v>
      </c>
      <c r="P4497" s="74"/>
      <c r="Q4497" s="74" t="s">
        <v>4552</v>
      </c>
    </row>
    <row r="4498" spans="3:17" x14ac:dyDescent="0.25">
      <c r="C4498" s="74" t="s">
        <v>4580</v>
      </c>
      <c r="D4498" s="74" t="s">
        <v>4581</v>
      </c>
      <c r="E4498" s="74"/>
      <c r="F4498" s="74">
        <v>0.03</v>
      </c>
      <c r="G4498" s="74"/>
      <c r="H4498" s="74"/>
      <c r="I4498" s="74" t="s">
        <v>391</v>
      </c>
      <c r="J4498" s="74"/>
      <c r="K4498" s="74">
        <v>102.4</v>
      </c>
      <c r="L4498" s="74">
        <v>92.16</v>
      </c>
      <c r="M4498" s="74"/>
      <c r="N4498" s="74" t="s">
        <v>392</v>
      </c>
      <c r="O4498" s="74" t="s">
        <v>402</v>
      </c>
      <c r="P4498" s="74"/>
      <c r="Q4498" s="74" t="s">
        <v>4582</v>
      </c>
    </row>
    <row r="4499" spans="3:17" x14ac:dyDescent="0.25">
      <c r="C4499" s="74" t="s">
        <v>4598</v>
      </c>
      <c r="D4499" s="74" t="s">
        <v>4599</v>
      </c>
      <c r="E4499" s="74"/>
      <c r="F4499" s="74">
        <v>0.03</v>
      </c>
      <c r="G4499" s="74"/>
      <c r="H4499" s="74"/>
      <c r="I4499" s="74" t="s">
        <v>391</v>
      </c>
      <c r="J4499" s="74"/>
      <c r="K4499" s="74">
        <v>102.4</v>
      </c>
      <c r="L4499" s="74">
        <v>92.16</v>
      </c>
      <c r="M4499" s="74"/>
      <c r="N4499" s="74" t="s">
        <v>392</v>
      </c>
      <c r="O4499" s="74" t="s">
        <v>402</v>
      </c>
      <c r="P4499" s="74"/>
      <c r="Q4499" s="74" t="s">
        <v>4600</v>
      </c>
    </row>
    <row r="4500" spans="3:17" x14ac:dyDescent="0.25">
      <c r="C4500" s="74" t="s">
        <v>4803</v>
      </c>
      <c r="D4500" s="74" t="s">
        <v>4804</v>
      </c>
      <c r="E4500" s="74" t="s">
        <v>391</v>
      </c>
      <c r="F4500" s="74">
        <v>0.03</v>
      </c>
      <c r="G4500" s="74"/>
      <c r="H4500" s="74"/>
      <c r="I4500" s="74" t="s">
        <v>391</v>
      </c>
      <c r="J4500" s="74"/>
      <c r="K4500" s="74">
        <v>102.4</v>
      </c>
      <c r="L4500" s="74">
        <v>92.16</v>
      </c>
      <c r="M4500" s="74"/>
      <c r="N4500" s="74" t="s">
        <v>392</v>
      </c>
      <c r="O4500" s="74" t="s">
        <v>393</v>
      </c>
      <c r="P4500" s="74"/>
      <c r="Q4500" s="74" t="s">
        <v>4805</v>
      </c>
    </row>
    <row r="4501" spans="3:17" x14ac:dyDescent="0.25">
      <c r="C4501" s="74" t="s">
        <v>5406</v>
      </c>
      <c r="D4501" s="74" t="s">
        <v>5407</v>
      </c>
      <c r="E4501" s="74"/>
      <c r="F4501" s="74">
        <v>0.03</v>
      </c>
      <c r="G4501" s="74"/>
      <c r="H4501" s="74"/>
      <c r="I4501" s="74" t="s">
        <v>391</v>
      </c>
      <c r="J4501" s="74"/>
      <c r="K4501" s="74">
        <v>102.4</v>
      </c>
      <c r="L4501" s="74">
        <v>92.16</v>
      </c>
      <c r="M4501" s="74"/>
      <c r="N4501" s="74" t="s">
        <v>392</v>
      </c>
      <c r="O4501" s="74" t="s">
        <v>402</v>
      </c>
      <c r="P4501" s="74" t="s">
        <v>5408</v>
      </c>
      <c r="Q4501" s="74" t="s">
        <v>5409</v>
      </c>
    </row>
    <row r="4502" spans="3:17" x14ac:dyDescent="0.25">
      <c r="C4502" s="74" t="s">
        <v>5432</v>
      </c>
      <c r="D4502" s="74" t="s">
        <v>5433</v>
      </c>
      <c r="E4502" s="74"/>
      <c r="F4502" s="74">
        <v>0.03</v>
      </c>
      <c r="G4502" s="74"/>
      <c r="H4502" s="74"/>
      <c r="I4502" s="74" t="s">
        <v>391</v>
      </c>
      <c r="J4502" s="74"/>
      <c r="K4502" s="74">
        <v>102.4</v>
      </c>
      <c r="L4502" s="74">
        <v>92.16</v>
      </c>
      <c r="M4502" s="74"/>
      <c r="N4502" s="74" t="s">
        <v>392</v>
      </c>
      <c r="O4502" s="74" t="s">
        <v>402</v>
      </c>
      <c r="P4502" s="74" t="s">
        <v>5434</v>
      </c>
      <c r="Q4502" s="74" t="s">
        <v>5435</v>
      </c>
    </row>
    <row r="4503" spans="3:17" x14ac:dyDescent="0.25">
      <c r="C4503" s="74" t="s">
        <v>5464</v>
      </c>
      <c r="D4503" s="74" t="s">
        <v>5465</v>
      </c>
      <c r="E4503" s="74"/>
      <c r="F4503" s="74">
        <v>0.03</v>
      </c>
      <c r="G4503" s="74"/>
      <c r="H4503" s="74"/>
      <c r="I4503" s="74" t="s">
        <v>391</v>
      </c>
      <c r="J4503" s="74"/>
      <c r="K4503" s="74">
        <v>102.4</v>
      </c>
      <c r="L4503" s="74">
        <v>92.16</v>
      </c>
      <c r="M4503" s="74"/>
      <c r="N4503" s="74" t="s">
        <v>392</v>
      </c>
      <c r="O4503" s="74" t="s">
        <v>402</v>
      </c>
      <c r="P4503" s="74" t="s">
        <v>5466</v>
      </c>
      <c r="Q4503" s="74" t="s">
        <v>5467</v>
      </c>
    </row>
    <row r="4504" spans="3:17" x14ac:dyDescent="0.25">
      <c r="C4504" s="74" t="s">
        <v>5541</v>
      </c>
      <c r="D4504" s="74" t="s">
        <v>5542</v>
      </c>
      <c r="E4504" s="74" t="s">
        <v>391</v>
      </c>
      <c r="F4504" s="74">
        <v>0.03</v>
      </c>
      <c r="G4504" s="74"/>
      <c r="H4504" s="74"/>
      <c r="I4504" s="74" t="s">
        <v>391</v>
      </c>
      <c r="J4504" s="74"/>
      <c r="K4504" s="74">
        <v>102.4</v>
      </c>
      <c r="L4504" s="74">
        <v>92.16</v>
      </c>
      <c r="M4504" s="74"/>
      <c r="N4504" s="74" t="s">
        <v>392</v>
      </c>
      <c r="O4504" s="74" t="s">
        <v>393</v>
      </c>
      <c r="P4504" s="74" t="s">
        <v>5543</v>
      </c>
      <c r="Q4504" s="74" t="s">
        <v>5544</v>
      </c>
    </row>
    <row r="4505" spans="3:17" x14ac:dyDescent="0.25">
      <c r="C4505" s="74" t="s">
        <v>5599</v>
      </c>
      <c r="D4505" s="74" t="s">
        <v>5600</v>
      </c>
      <c r="E4505" s="74"/>
      <c r="F4505" s="74">
        <v>0.03</v>
      </c>
      <c r="G4505" s="74"/>
      <c r="H4505" s="74"/>
      <c r="I4505" s="74" t="s">
        <v>391</v>
      </c>
      <c r="J4505" s="74"/>
      <c r="K4505" s="74">
        <v>102.4</v>
      </c>
      <c r="L4505" s="74">
        <v>92.16</v>
      </c>
      <c r="M4505" s="74"/>
      <c r="N4505" s="74" t="s">
        <v>392</v>
      </c>
      <c r="O4505" s="74" t="s">
        <v>402</v>
      </c>
      <c r="P4505" s="74" t="s">
        <v>5601</v>
      </c>
      <c r="Q4505" s="74" t="s">
        <v>5602</v>
      </c>
    </row>
    <row r="4506" spans="3:17" x14ac:dyDescent="0.25">
      <c r="C4506" s="74" t="s">
        <v>6066</v>
      </c>
      <c r="D4506" s="74" t="s">
        <v>6067</v>
      </c>
      <c r="E4506" s="74"/>
      <c r="F4506" s="74">
        <v>0.03</v>
      </c>
      <c r="G4506" s="74"/>
      <c r="H4506" s="74"/>
      <c r="I4506" s="74" t="s">
        <v>391</v>
      </c>
      <c r="J4506" s="74"/>
      <c r="K4506" s="74">
        <v>102.4</v>
      </c>
      <c r="L4506" s="74">
        <v>92.16</v>
      </c>
      <c r="M4506" s="74"/>
      <c r="N4506" s="74" t="s">
        <v>392</v>
      </c>
      <c r="O4506" s="74" t="s">
        <v>402</v>
      </c>
      <c r="P4506" s="74" t="s">
        <v>6068</v>
      </c>
      <c r="Q4506" s="74" t="s">
        <v>6069</v>
      </c>
    </row>
    <row r="4507" spans="3:17" x14ac:dyDescent="0.25">
      <c r="C4507" s="74" t="s">
        <v>6670</v>
      </c>
      <c r="D4507" s="74" t="s">
        <v>6671</v>
      </c>
      <c r="E4507" s="74" t="s">
        <v>391</v>
      </c>
      <c r="F4507" s="74">
        <v>0.03</v>
      </c>
      <c r="G4507" s="74"/>
      <c r="H4507" s="74"/>
      <c r="I4507" s="74" t="s">
        <v>391</v>
      </c>
      <c r="J4507" s="74"/>
      <c r="K4507" s="74">
        <v>102.4</v>
      </c>
      <c r="L4507" s="74">
        <v>92.16</v>
      </c>
      <c r="M4507" s="74"/>
      <c r="N4507" s="74" t="s">
        <v>392</v>
      </c>
      <c r="O4507" s="74" t="s">
        <v>393</v>
      </c>
      <c r="P4507" s="74"/>
      <c r="Q4507" s="74" t="s">
        <v>6672</v>
      </c>
    </row>
    <row r="4508" spans="3:17" x14ac:dyDescent="0.25">
      <c r="C4508" s="74" t="s">
        <v>6931</v>
      </c>
      <c r="D4508" s="74" t="s">
        <v>6932</v>
      </c>
      <c r="E4508" s="74"/>
      <c r="F4508" s="74">
        <v>0.03</v>
      </c>
      <c r="G4508" s="74"/>
      <c r="H4508" s="74"/>
      <c r="I4508" s="74" t="s">
        <v>391</v>
      </c>
      <c r="J4508" s="74"/>
      <c r="K4508" s="74">
        <v>102.4</v>
      </c>
      <c r="L4508" s="74">
        <v>92.16</v>
      </c>
      <c r="M4508" s="74"/>
      <c r="N4508" s="74" t="s">
        <v>392</v>
      </c>
      <c r="O4508" s="74" t="s">
        <v>402</v>
      </c>
      <c r="P4508" s="74" t="s">
        <v>6933</v>
      </c>
      <c r="Q4508" s="74" t="s">
        <v>6934</v>
      </c>
    </row>
    <row r="4509" spans="3:17" x14ac:dyDescent="0.25">
      <c r="C4509" s="74" t="s">
        <v>7047</v>
      </c>
      <c r="D4509" s="74" t="s">
        <v>7048</v>
      </c>
      <c r="E4509" s="74"/>
      <c r="F4509" s="74">
        <v>0.03</v>
      </c>
      <c r="G4509" s="74"/>
      <c r="H4509" s="74"/>
      <c r="I4509" s="74" t="s">
        <v>391</v>
      </c>
      <c r="J4509" s="74"/>
      <c r="K4509" s="74">
        <v>102.4</v>
      </c>
      <c r="L4509" s="74">
        <v>92.16</v>
      </c>
      <c r="M4509" s="74"/>
      <c r="N4509" s="74" t="s">
        <v>392</v>
      </c>
      <c r="O4509" s="74" t="s">
        <v>402</v>
      </c>
      <c r="P4509" s="74" t="s">
        <v>7049</v>
      </c>
      <c r="Q4509" s="74" t="s">
        <v>7050</v>
      </c>
    </row>
    <row r="4510" spans="3:17" x14ac:dyDescent="0.25">
      <c r="C4510" s="74" t="s">
        <v>7477</v>
      </c>
      <c r="D4510" s="74" t="s">
        <v>7478</v>
      </c>
      <c r="E4510" s="74"/>
      <c r="F4510" s="74">
        <v>0.03</v>
      </c>
      <c r="G4510" s="74"/>
      <c r="H4510" s="74"/>
      <c r="I4510" s="74" t="s">
        <v>391</v>
      </c>
      <c r="J4510" s="74"/>
      <c r="K4510" s="74">
        <v>102.4</v>
      </c>
      <c r="L4510" s="74">
        <v>92.16</v>
      </c>
      <c r="M4510" s="74"/>
      <c r="N4510" s="74" t="s">
        <v>392</v>
      </c>
      <c r="O4510" s="74" t="s">
        <v>402</v>
      </c>
      <c r="P4510" s="74" t="s">
        <v>7479</v>
      </c>
      <c r="Q4510" s="74" t="s">
        <v>7480</v>
      </c>
    </row>
    <row r="4511" spans="3:17" x14ac:dyDescent="0.25">
      <c r="C4511" s="74" t="s">
        <v>7490</v>
      </c>
      <c r="D4511" s="74" t="s">
        <v>7491</v>
      </c>
      <c r="E4511" s="74" t="s">
        <v>391</v>
      </c>
      <c r="F4511" s="74">
        <v>0.03</v>
      </c>
      <c r="G4511" s="74"/>
      <c r="H4511" s="74"/>
      <c r="I4511" s="74" t="s">
        <v>391</v>
      </c>
      <c r="J4511" s="74"/>
      <c r="K4511" s="74">
        <v>102.4</v>
      </c>
      <c r="L4511" s="74">
        <v>92.16</v>
      </c>
      <c r="M4511" s="74"/>
      <c r="N4511" s="74" t="s">
        <v>392</v>
      </c>
      <c r="O4511" s="74" t="s">
        <v>393</v>
      </c>
      <c r="P4511" s="74"/>
      <c r="Q4511" s="74" t="s">
        <v>7492</v>
      </c>
    </row>
    <row r="4512" spans="3:17" x14ac:dyDescent="0.25">
      <c r="C4512" s="74" t="s">
        <v>8007</v>
      </c>
      <c r="D4512" s="74" t="s">
        <v>8008</v>
      </c>
      <c r="E4512" s="74"/>
      <c r="F4512" s="74">
        <v>0.03</v>
      </c>
      <c r="G4512" s="74"/>
      <c r="H4512" s="74"/>
      <c r="I4512" s="74" t="s">
        <v>391</v>
      </c>
      <c r="J4512" s="74"/>
      <c r="K4512" s="74">
        <v>102.4</v>
      </c>
      <c r="L4512" s="74">
        <v>92.16</v>
      </c>
      <c r="M4512" s="74"/>
      <c r="N4512" s="74" t="s">
        <v>392</v>
      </c>
      <c r="O4512" s="74" t="s">
        <v>402</v>
      </c>
      <c r="P4512" s="74" t="s">
        <v>8009</v>
      </c>
      <c r="Q4512" s="74" t="s">
        <v>8010</v>
      </c>
    </row>
    <row r="4513" spans="3:17" x14ac:dyDescent="0.25">
      <c r="C4513" s="74" t="s">
        <v>8112</v>
      </c>
      <c r="D4513" s="74" t="s">
        <v>8113</v>
      </c>
      <c r="E4513" s="74"/>
      <c r="F4513" s="74">
        <v>0.03</v>
      </c>
      <c r="G4513" s="74"/>
      <c r="H4513" s="74"/>
      <c r="I4513" s="74" t="s">
        <v>391</v>
      </c>
      <c r="J4513" s="74"/>
      <c r="K4513" s="74">
        <v>102.4</v>
      </c>
      <c r="L4513" s="74">
        <v>92.16</v>
      </c>
      <c r="M4513" s="74"/>
      <c r="N4513" s="74" t="s">
        <v>392</v>
      </c>
      <c r="O4513" s="74" t="s">
        <v>402</v>
      </c>
      <c r="P4513" s="74" t="s">
        <v>8114</v>
      </c>
      <c r="Q4513" s="74" t="s">
        <v>8115</v>
      </c>
    </row>
    <row r="4514" spans="3:17" x14ac:dyDescent="0.25">
      <c r="C4514" s="74" t="s">
        <v>8230</v>
      </c>
      <c r="D4514" s="74" t="s">
        <v>8231</v>
      </c>
      <c r="E4514" s="74" t="s">
        <v>391</v>
      </c>
      <c r="F4514" s="74">
        <v>0.03</v>
      </c>
      <c r="G4514" s="74"/>
      <c r="H4514" s="74"/>
      <c r="I4514" s="74" t="s">
        <v>391</v>
      </c>
      <c r="J4514" s="74"/>
      <c r="K4514" s="74">
        <v>102.4</v>
      </c>
      <c r="L4514" s="74">
        <v>92.16</v>
      </c>
      <c r="M4514" s="74"/>
      <c r="N4514" s="74" t="s">
        <v>392</v>
      </c>
      <c r="O4514" s="74" t="s">
        <v>393</v>
      </c>
      <c r="P4514" s="74"/>
      <c r="Q4514" s="74" t="s">
        <v>8232</v>
      </c>
    </row>
    <row r="4515" spans="3:17" x14ac:dyDescent="0.25">
      <c r="C4515" s="74" t="s">
        <v>8317</v>
      </c>
      <c r="D4515" s="74" t="s">
        <v>8318</v>
      </c>
      <c r="E4515" s="74" t="s">
        <v>391</v>
      </c>
      <c r="F4515" s="74">
        <v>0.03</v>
      </c>
      <c r="G4515" s="74"/>
      <c r="H4515" s="74"/>
      <c r="I4515" s="74" t="s">
        <v>391</v>
      </c>
      <c r="J4515" s="74"/>
      <c r="K4515" s="74">
        <v>102.4</v>
      </c>
      <c r="L4515" s="74">
        <v>92.16</v>
      </c>
      <c r="M4515" s="74"/>
      <c r="N4515" s="74" t="s">
        <v>392</v>
      </c>
      <c r="O4515" s="74" t="s">
        <v>393</v>
      </c>
      <c r="P4515" s="74"/>
      <c r="Q4515" s="74" t="s">
        <v>8319</v>
      </c>
    </row>
    <row r="4516" spans="3:17" x14ac:dyDescent="0.25">
      <c r="C4516" s="74" t="s">
        <v>9674</v>
      </c>
      <c r="D4516" s="74" t="s">
        <v>9675</v>
      </c>
      <c r="E4516" s="74"/>
      <c r="F4516" s="74">
        <v>0.03</v>
      </c>
      <c r="G4516" s="74"/>
      <c r="H4516" s="74"/>
      <c r="I4516" s="74" t="s">
        <v>391</v>
      </c>
      <c r="J4516" s="74"/>
      <c r="K4516" s="74">
        <v>102.4</v>
      </c>
      <c r="L4516" s="74">
        <v>92.16</v>
      </c>
      <c r="M4516" s="74"/>
      <c r="N4516" s="74" t="s">
        <v>392</v>
      </c>
      <c r="O4516" s="74" t="s">
        <v>402</v>
      </c>
      <c r="P4516" s="74"/>
      <c r="Q4516" s="74" t="s">
        <v>9676</v>
      </c>
    </row>
    <row r="4517" spans="3:17" x14ac:dyDescent="0.25">
      <c r="C4517" s="74" t="s">
        <v>9681</v>
      </c>
      <c r="D4517" s="74" t="s">
        <v>9682</v>
      </c>
      <c r="E4517" s="74"/>
      <c r="F4517" s="74">
        <v>0.03</v>
      </c>
      <c r="G4517" s="74"/>
      <c r="H4517" s="74"/>
      <c r="I4517" s="74" t="s">
        <v>391</v>
      </c>
      <c r="J4517" s="74"/>
      <c r="K4517" s="74">
        <v>102.4</v>
      </c>
      <c r="L4517" s="74">
        <v>92.16</v>
      </c>
      <c r="M4517" s="74"/>
      <c r="N4517" s="74" t="s">
        <v>392</v>
      </c>
      <c r="O4517" s="74" t="s">
        <v>402</v>
      </c>
      <c r="P4517" s="74" t="s">
        <v>9683</v>
      </c>
      <c r="Q4517" s="74" t="s">
        <v>9684</v>
      </c>
    </row>
    <row r="4518" spans="3:17" x14ac:dyDescent="0.25">
      <c r="C4518" s="74" t="s">
        <v>10145</v>
      </c>
      <c r="D4518" s="74" t="s">
        <v>10146</v>
      </c>
      <c r="E4518" s="74" t="s">
        <v>391</v>
      </c>
      <c r="F4518" s="74">
        <v>0.03</v>
      </c>
      <c r="G4518" s="74"/>
      <c r="H4518" s="74"/>
      <c r="I4518" s="74" t="s">
        <v>391</v>
      </c>
      <c r="J4518" s="74"/>
      <c r="K4518" s="74">
        <v>102.4</v>
      </c>
      <c r="L4518" s="74">
        <v>92.16</v>
      </c>
      <c r="M4518" s="74"/>
      <c r="N4518" s="74" t="s">
        <v>392</v>
      </c>
      <c r="O4518" s="74" t="s">
        <v>393</v>
      </c>
      <c r="P4518" s="74"/>
      <c r="Q4518" s="74" t="s">
        <v>10147</v>
      </c>
    </row>
    <row r="4519" spans="3:17" x14ac:dyDescent="0.25">
      <c r="C4519" s="74" t="s">
        <v>10185</v>
      </c>
      <c r="D4519" s="74" t="s">
        <v>10186</v>
      </c>
      <c r="E4519" s="74" t="s">
        <v>391</v>
      </c>
      <c r="F4519" s="74">
        <v>0.03</v>
      </c>
      <c r="G4519" s="74"/>
      <c r="H4519" s="74"/>
      <c r="I4519" s="74" t="s">
        <v>391</v>
      </c>
      <c r="J4519" s="74"/>
      <c r="K4519" s="74">
        <v>102.4</v>
      </c>
      <c r="L4519" s="74">
        <v>92.16</v>
      </c>
      <c r="M4519" s="74"/>
      <c r="N4519" s="74" t="s">
        <v>392</v>
      </c>
      <c r="O4519" s="74" t="s">
        <v>393</v>
      </c>
      <c r="P4519" s="74"/>
      <c r="Q4519" s="74" t="s">
        <v>10187</v>
      </c>
    </row>
    <row r="4520" spans="3:17" x14ac:dyDescent="0.25">
      <c r="C4520" s="74" t="s">
        <v>10287</v>
      </c>
      <c r="D4520" s="74" t="s">
        <v>10288</v>
      </c>
      <c r="E4520" s="74"/>
      <c r="F4520" s="74">
        <v>0.03</v>
      </c>
      <c r="G4520" s="74"/>
      <c r="H4520" s="74"/>
      <c r="I4520" s="74" t="s">
        <v>391</v>
      </c>
      <c r="J4520" s="74"/>
      <c r="K4520" s="74">
        <v>102.4</v>
      </c>
      <c r="L4520" s="74">
        <v>92.16</v>
      </c>
      <c r="M4520" s="74"/>
      <c r="N4520" s="74" t="s">
        <v>392</v>
      </c>
      <c r="O4520" s="74" t="s">
        <v>402</v>
      </c>
      <c r="P4520" s="74" t="s">
        <v>10289</v>
      </c>
      <c r="Q4520" s="74" t="s">
        <v>10290</v>
      </c>
    </row>
    <row r="4521" spans="3:17" x14ac:dyDescent="0.25">
      <c r="C4521" s="74" t="s">
        <v>10456</v>
      </c>
      <c r="D4521" s="74" t="s">
        <v>10457</v>
      </c>
      <c r="E4521" s="74"/>
      <c r="F4521" s="74">
        <v>0.03</v>
      </c>
      <c r="G4521" s="74"/>
      <c r="H4521" s="74"/>
      <c r="I4521" s="74" t="s">
        <v>391</v>
      </c>
      <c r="J4521" s="74"/>
      <c r="K4521" s="74">
        <v>102.4</v>
      </c>
      <c r="L4521" s="74">
        <v>92.16</v>
      </c>
      <c r="M4521" s="74"/>
      <c r="N4521" s="74" t="s">
        <v>392</v>
      </c>
      <c r="O4521" s="74" t="s">
        <v>402</v>
      </c>
      <c r="P4521" s="74" t="s">
        <v>10458</v>
      </c>
      <c r="Q4521" s="74" t="s">
        <v>10459</v>
      </c>
    </row>
    <row r="4522" spans="3:17" x14ac:dyDescent="0.25">
      <c r="C4522" s="74" t="s">
        <v>10831</v>
      </c>
      <c r="D4522" s="74" t="s">
        <v>10832</v>
      </c>
      <c r="E4522" s="74"/>
      <c r="F4522" s="74">
        <v>0.03</v>
      </c>
      <c r="G4522" s="74"/>
      <c r="H4522" s="74"/>
      <c r="I4522" s="74" t="s">
        <v>391</v>
      </c>
      <c r="J4522" s="74"/>
      <c r="K4522" s="74">
        <v>102.4</v>
      </c>
      <c r="L4522" s="74">
        <v>92.16</v>
      </c>
      <c r="M4522" s="74"/>
      <c r="N4522" s="74" t="s">
        <v>392</v>
      </c>
      <c r="O4522" s="74" t="s">
        <v>402</v>
      </c>
      <c r="P4522" s="74" t="s">
        <v>10833</v>
      </c>
      <c r="Q4522" s="74" t="s">
        <v>10834</v>
      </c>
    </row>
    <row r="4523" spans="3:17" x14ac:dyDescent="0.25">
      <c r="C4523" s="74" t="s">
        <v>11311</v>
      </c>
      <c r="D4523" s="74" t="s">
        <v>11312</v>
      </c>
      <c r="E4523" s="74"/>
      <c r="F4523" s="74">
        <v>0.03</v>
      </c>
      <c r="G4523" s="74"/>
      <c r="H4523" s="74"/>
      <c r="I4523" s="74" t="s">
        <v>391</v>
      </c>
      <c r="J4523" s="74"/>
      <c r="K4523" s="74">
        <v>102.4</v>
      </c>
      <c r="L4523" s="74">
        <v>92.16</v>
      </c>
      <c r="M4523" s="74"/>
      <c r="N4523" s="74" t="s">
        <v>392</v>
      </c>
      <c r="O4523" s="74" t="s">
        <v>402</v>
      </c>
      <c r="P4523" s="74" t="s">
        <v>11313</v>
      </c>
      <c r="Q4523" s="74" t="s">
        <v>11314</v>
      </c>
    </row>
    <row r="4524" spans="3:17" x14ac:dyDescent="0.25">
      <c r="C4524" s="74" t="s">
        <v>11403</v>
      </c>
      <c r="D4524" s="74" t="s">
        <v>11404</v>
      </c>
      <c r="E4524" s="74"/>
      <c r="F4524" s="74">
        <v>0.03</v>
      </c>
      <c r="G4524" s="74"/>
      <c r="H4524" s="74"/>
      <c r="I4524" s="74" t="s">
        <v>391</v>
      </c>
      <c r="J4524" s="74"/>
      <c r="K4524" s="74">
        <v>102.4</v>
      </c>
      <c r="L4524" s="74">
        <v>92.16</v>
      </c>
      <c r="M4524" s="74"/>
      <c r="N4524" s="74" t="s">
        <v>392</v>
      </c>
      <c r="O4524" s="74" t="s">
        <v>402</v>
      </c>
      <c r="P4524" s="74" t="s">
        <v>11405</v>
      </c>
      <c r="Q4524" s="74" t="s">
        <v>11406</v>
      </c>
    </row>
    <row r="4525" spans="3:17" x14ac:dyDescent="0.25">
      <c r="C4525" s="74" t="s">
        <v>12017</v>
      </c>
      <c r="D4525" s="74" t="s">
        <v>12018</v>
      </c>
      <c r="E4525" s="74"/>
      <c r="F4525" s="74">
        <v>0.03</v>
      </c>
      <c r="G4525" s="74"/>
      <c r="H4525" s="74"/>
      <c r="I4525" s="74" t="s">
        <v>391</v>
      </c>
      <c r="J4525" s="74"/>
      <c r="K4525" s="74">
        <v>102.4</v>
      </c>
      <c r="L4525" s="74">
        <v>92.16</v>
      </c>
      <c r="M4525" s="74"/>
      <c r="N4525" s="74" t="s">
        <v>392</v>
      </c>
      <c r="O4525" s="74" t="s">
        <v>402</v>
      </c>
      <c r="P4525" s="74" t="s">
        <v>12019</v>
      </c>
      <c r="Q4525" s="74" t="s">
        <v>12020</v>
      </c>
    </row>
    <row r="4526" spans="3:17" x14ac:dyDescent="0.25">
      <c r="C4526" s="74" t="s">
        <v>12318</v>
      </c>
      <c r="D4526" s="74" t="s">
        <v>12319</v>
      </c>
      <c r="E4526" s="74"/>
      <c r="F4526" s="74">
        <v>0.03</v>
      </c>
      <c r="G4526" s="74"/>
      <c r="H4526" s="74"/>
      <c r="I4526" s="74" t="s">
        <v>391</v>
      </c>
      <c r="J4526" s="74"/>
      <c r="K4526" s="74">
        <v>102.4</v>
      </c>
      <c r="L4526" s="74">
        <v>92.16</v>
      </c>
      <c r="M4526" s="74"/>
      <c r="N4526" s="74" t="s">
        <v>392</v>
      </c>
      <c r="O4526" s="74" t="s">
        <v>402</v>
      </c>
      <c r="P4526" s="74" t="s">
        <v>12320</v>
      </c>
      <c r="Q4526" s="74" t="s">
        <v>12321</v>
      </c>
    </row>
    <row r="4527" spans="3:17" x14ac:dyDescent="0.25">
      <c r="C4527" s="74" t="s">
        <v>12942</v>
      </c>
      <c r="D4527" s="74" t="s">
        <v>12943</v>
      </c>
      <c r="E4527" s="74"/>
      <c r="F4527" s="74">
        <v>0.03</v>
      </c>
      <c r="G4527" s="74"/>
      <c r="H4527" s="74"/>
      <c r="I4527" s="74" t="s">
        <v>391</v>
      </c>
      <c r="J4527" s="74"/>
      <c r="K4527" s="74">
        <v>102.4</v>
      </c>
      <c r="L4527" s="74">
        <v>92.16</v>
      </c>
      <c r="M4527" s="74"/>
      <c r="N4527" s="74" t="s">
        <v>392</v>
      </c>
      <c r="O4527" s="74" t="s">
        <v>402</v>
      </c>
      <c r="P4527" s="74" t="s">
        <v>12944</v>
      </c>
      <c r="Q4527" s="74" t="s">
        <v>12945</v>
      </c>
    </row>
    <row r="4528" spans="3:17" x14ac:dyDescent="0.25">
      <c r="C4528" s="74" t="s">
        <v>13167</v>
      </c>
      <c r="D4528" s="74" t="s">
        <v>13168</v>
      </c>
      <c r="E4528" s="74"/>
      <c r="F4528" s="74">
        <v>0.03</v>
      </c>
      <c r="G4528" s="74"/>
      <c r="H4528" s="74"/>
      <c r="I4528" s="74" t="s">
        <v>391</v>
      </c>
      <c r="J4528" s="74"/>
      <c r="K4528" s="74">
        <v>102.4</v>
      </c>
      <c r="L4528" s="74">
        <v>92.16</v>
      </c>
      <c r="M4528" s="74"/>
      <c r="N4528" s="74" t="s">
        <v>392</v>
      </c>
      <c r="O4528" s="74" t="s">
        <v>402</v>
      </c>
      <c r="P4528" s="74" t="s">
        <v>13169</v>
      </c>
      <c r="Q4528" s="74" t="s">
        <v>13170</v>
      </c>
    </row>
    <row r="4529" spans="3:17" x14ac:dyDescent="0.25">
      <c r="C4529" s="74" t="s">
        <v>13187</v>
      </c>
      <c r="D4529" s="74" t="s">
        <v>13188</v>
      </c>
      <c r="E4529" s="74" t="s">
        <v>391</v>
      </c>
      <c r="F4529" s="74">
        <v>0.03</v>
      </c>
      <c r="G4529" s="74"/>
      <c r="H4529" s="74"/>
      <c r="I4529" s="74" t="s">
        <v>391</v>
      </c>
      <c r="J4529" s="74"/>
      <c r="K4529" s="74">
        <v>102.4</v>
      </c>
      <c r="L4529" s="74">
        <v>92.16</v>
      </c>
      <c r="M4529" s="74"/>
      <c r="N4529" s="74" t="s">
        <v>392</v>
      </c>
      <c r="O4529" s="74" t="s">
        <v>393</v>
      </c>
      <c r="P4529" s="74"/>
      <c r="Q4529" s="74" t="s">
        <v>13189</v>
      </c>
    </row>
    <row r="4530" spans="3:17" x14ac:dyDescent="0.25">
      <c r="C4530" s="74" t="s">
        <v>13803</v>
      </c>
      <c r="D4530" s="74" t="s">
        <v>13804</v>
      </c>
      <c r="E4530" s="74" t="s">
        <v>391</v>
      </c>
      <c r="F4530" s="74">
        <v>0.03</v>
      </c>
      <c r="G4530" s="74"/>
      <c r="H4530" s="74"/>
      <c r="I4530" s="74" t="s">
        <v>391</v>
      </c>
      <c r="J4530" s="74"/>
      <c r="K4530" s="74">
        <v>102.4</v>
      </c>
      <c r="L4530" s="74">
        <v>92.16</v>
      </c>
      <c r="M4530" s="74"/>
      <c r="N4530" s="74" t="s">
        <v>392</v>
      </c>
      <c r="O4530" s="74" t="s">
        <v>393</v>
      </c>
      <c r="P4530" s="74"/>
      <c r="Q4530" s="74" t="s">
        <v>13805</v>
      </c>
    </row>
    <row r="4531" spans="3:17" x14ac:dyDescent="0.25">
      <c r="C4531" s="74" t="s">
        <v>14168</v>
      </c>
      <c r="D4531" s="74" t="s">
        <v>14169</v>
      </c>
      <c r="E4531" s="74"/>
      <c r="F4531" s="74">
        <v>0.03</v>
      </c>
      <c r="G4531" s="74"/>
      <c r="H4531" s="74"/>
      <c r="I4531" s="74" t="s">
        <v>391</v>
      </c>
      <c r="J4531" s="74"/>
      <c r="K4531" s="74">
        <v>102.4</v>
      </c>
      <c r="L4531" s="74">
        <v>92.16</v>
      </c>
      <c r="M4531" s="74"/>
      <c r="N4531" s="74" t="s">
        <v>392</v>
      </c>
      <c r="O4531" s="74" t="s">
        <v>402</v>
      </c>
      <c r="P4531" s="74" t="s">
        <v>14170</v>
      </c>
      <c r="Q4531" s="74" t="s">
        <v>14171</v>
      </c>
    </row>
    <row r="4532" spans="3:17" x14ac:dyDescent="0.25">
      <c r="C4532" s="74" t="s">
        <v>14216</v>
      </c>
      <c r="D4532" s="74" t="s">
        <v>14217</v>
      </c>
      <c r="E4532" s="74"/>
      <c r="F4532" s="74">
        <v>0.03</v>
      </c>
      <c r="G4532" s="74"/>
      <c r="H4532" s="74"/>
      <c r="I4532" s="74" t="s">
        <v>391</v>
      </c>
      <c r="J4532" s="74"/>
      <c r="K4532" s="74">
        <v>102.4</v>
      </c>
      <c r="L4532" s="74">
        <v>92.16</v>
      </c>
      <c r="M4532" s="74"/>
      <c r="N4532" s="74" t="s">
        <v>392</v>
      </c>
      <c r="O4532" s="74" t="s">
        <v>402</v>
      </c>
      <c r="P4532" s="74" t="s">
        <v>14218</v>
      </c>
      <c r="Q4532" s="74" t="s">
        <v>14219</v>
      </c>
    </row>
    <row r="4533" spans="3:17" x14ac:dyDescent="0.25">
      <c r="C4533" s="158" t="s">
        <v>15048</v>
      </c>
      <c r="D4533" s="158" t="s">
        <v>15049</v>
      </c>
      <c r="E4533" s="158" t="s">
        <v>391</v>
      </c>
      <c r="F4533" s="158">
        <v>0.03</v>
      </c>
      <c r="I4533" s="158" t="s">
        <v>391</v>
      </c>
      <c r="K4533" s="158">
        <v>102.4</v>
      </c>
      <c r="L4533" s="158">
        <v>92.16</v>
      </c>
      <c r="N4533" s="158" t="s">
        <v>392</v>
      </c>
      <c r="O4533" s="158" t="s">
        <v>393</v>
      </c>
      <c r="Q4533" s="158" t="s">
        <v>15050</v>
      </c>
    </row>
    <row r="4534" spans="3:17" x14ac:dyDescent="0.25">
      <c r="C4534" s="74" t="s">
        <v>15107</v>
      </c>
      <c r="D4534" s="74" t="s">
        <v>15108</v>
      </c>
      <c r="E4534" s="74" t="s">
        <v>391</v>
      </c>
      <c r="F4534" s="74">
        <v>0.03</v>
      </c>
      <c r="G4534" s="74"/>
      <c r="H4534" s="74"/>
      <c r="I4534" s="74" t="s">
        <v>391</v>
      </c>
      <c r="J4534" s="74"/>
      <c r="K4534" s="74">
        <v>102.4</v>
      </c>
      <c r="L4534" s="74">
        <v>92.16</v>
      </c>
      <c r="M4534" s="74"/>
      <c r="N4534" s="74" t="s">
        <v>392</v>
      </c>
      <c r="O4534" s="74" t="s">
        <v>393</v>
      </c>
      <c r="P4534" s="74"/>
      <c r="Q4534" s="74" t="s">
        <v>15109</v>
      </c>
    </row>
    <row r="4535" spans="3:17" x14ac:dyDescent="0.25">
      <c r="C4535" s="74" t="s">
        <v>15206</v>
      </c>
      <c r="D4535" s="74" t="s">
        <v>15207</v>
      </c>
      <c r="E4535" s="74" t="s">
        <v>391</v>
      </c>
      <c r="F4535" s="74">
        <v>0.03</v>
      </c>
      <c r="G4535" s="74"/>
      <c r="H4535" s="74"/>
      <c r="I4535" s="74" t="s">
        <v>391</v>
      </c>
      <c r="J4535" s="74"/>
      <c r="K4535" s="74">
        <v>102.4</v>
      </c>
      <c r="L4535" s="74">
        <v>92.16</v>
      </c>
      <c r="M4535" s="74"/>
      <c r="N4535" s="74" t="s">
        <v>392</v>
      </c>
      <c r="O4535" s="74" t="s">
        <v>393</v>
      </c>
      <c r="P4535" s="74"/>
      <c r="Q4535" s="74" t="s">
        <v>15208</v>
      </c>
    </row>
    <row r="4536" spans="3:17" x14ac:dyDescent="0.25">
      <c r="C4536" s="74" t="s">
        <v>15298</v>
      </c>
      <c r="D4536" s="74" t="s">
        <v>15299</v>
      </c>
      <c r="E4536" s="74" t="s">
        <v>391</v>
      </c>
      <c r="F4536" s="74">
        <v>0.03</v>
      </c>
      <c r="G4536" s="74"/>
      <c r="H4536" s="74"/>
      <c r="I4536" s="74" t="s">
        <v>391</v>
      </c>
      <c r="J4536" s="74"/>
      <c r="K4536" s="74">
        <v>102.4</v>
      </c>
      <c r="L4536" s="74">
        <v>92.16</v>
      </c>
      <c r="M4536" s="74"/>
      <c r="N4536" s="74" t="s">
        <v>392</v>
      </c>
      <c r="O4536" s="74" t="s">
        <v>402</v>
      </c>
      <c r="P4536" s="74" t="s">
        <v>15300</v>
      </c>
      <c r="Q4536" s="74" t="s">
        <v>15301</v>
      </c>
    </row>
    <row r="4537" spans="3:17" x14ac:dyDescent="0.25">
      <c r="C4537" s="74" t="s">
        <v>15432</v>
      </c>
      <c r="D4537" s="74" t="s">
        <v>15433</v>
      </c>
      <c r="E4537" s="74"/>
      <c r="F4537" s="74">
        <v>0.03</v>
      </c>
      <c r="G4537" s="74"/>
      <c r="H4537" s="74"/>
      <c r="I4537" s="74" t="s">
        <v>391</v>
      </c>
      <c r="J4537" s="74"/>
      <c r="K4537" s="74">
        <v>102.4</v>
      </c>
      <c r="L4537" s="74">
        <v>92.16</v>
      </c>
      <c r="M4537" s="74"/>
      <c r="N4537" s="74" t="s">
        <v>392</v>
      </c>
      <c r="O4537" s="74" t="s">
        <v>402</v>
      </c>
      <c r="P4537" s="74" t="s">
        <v>15434</v>
      </c>
      <c r="Q4537" s="74" t="s">
        <v>15435</v>
      </c>
    </row>
    <row r="4538" spans="3:17" x14ac:dyDescent="0.25">
      <c r="C4538" s="74" t="s">
        <v>15631</v>
      </c>
      <c r="D4538" s="74" t="s">
        <v>15632</v>
      </c>
      <c r="E4538" s="74"/>
      <c r="F4538" s="74">
        <v>0.03</v>
      </c>
      <c r="G4538" s="74"/>
      <c r="H4538" s="74"/>
      <c r="I4538" s="74" t="s">
        <v>391</v>
      </c>
      <c r="J4538" s="74"/>
      <c r="K4538" s="74">
        <v>102.4</v>
      </c>
      <c r="L4538" s="74">
        <v>92.16</v>
      </c>
      <c r="M4538" s="74"/>
      <c r="N4538" s="74" t="s">
        <v>392</v>
      </c>
      <c r="O4538" s="74" t="s">
        <v>402</v>
      </c>
      <c r="P4538" s="74"/>
      <c r="Q4538" s="74" t="s">
        <v>15633</v>
      </c>
    </row>
    <row r="4539" spans="3:17" x14ac:dyDescent="0.25">
      <c r="C4539" s="74" t="s">
        <v>15883</v>
      </c>
      <c r="D4539" s="74" t="s">
        <v>15884</v>
      </c>
      <c r="E4539" s="74" t="s">
        <v>391</v>
      </c>
      <c r="F4539" s="74">
        <v>0.03</v>
      </c>
      <c r="G4539" s="74"/>
      <c r="H4539" s="74"/>
      <c r="I4539" s="74" t="s">
        <v>391</v>
      </c>
      <c r="J4539" s="74"/>
      <c r="K4539" s="74">
        <v>102.4</v>
      </c>
      <c r="L4539" s="74">
        <v>92.16</v>
      </c>
      <c r="M4539" s="74"/>
      <c r="N4539" s="74" t="s">
        <v>392</v>
      </c>
      <c r="O4539" s="74" t="s">
        <v>393</v>
      </c>
      <c r="P4539" s="74"/>
      <c r="Q4539" s="74" t="s">
        <v>15885</v>
      </c>
    </row>
    <row r="4540" spans="3:17" x14ac:dyDescent="0.25">
      <c r="C4540" s="74" t="s">
        <v>15886</v>
      </c>
      <c r="D4540" s="74" t="s">
        <v>15887</v>
      </c>
      <c r="E4540" s="74" t="s">
        <v>391</v>
      </c>
      <c r="F4540" s="74">
        <v>0.03</v>
      </c>
      <c r="G4540" s="74"/>
      <c r="H4540" s="74"/>
      <c r="I4540" s="74" t="s">
        <v>391</v>
      </c>
      <c r="J4540" s="74"/>
      <c r="K4540" s="74">
        <v>102.4</v>
      </c>
      <c r="L4540" s="74">
        <v>92.16</v>
      </c>
      <c r="M4540" s="74"/>
      <c r="N4540" s="74" t="s">
        <v>392</v>
      </c>
      <c r="O4540" s="74" t="s">
        <v>393</v>
      </c>
      <c r="P4540" s="74"/>
      <c r="Q4540" s="74" t="s">
        <v>15888</v>
      </c>
    </row>
    <row r="4541" spans="3:17" x14ac:dyDescent="0.25">
      <c r="C4541" s="74" t="s">
        <v>16038</v>
      </c>
      <c r="D4541" s="74" t="s">
        <v>16039</v>
      </c>
      <c r="E4541" s="74"/>
      <c r="F4541" s="74">
        <v>0.03</v>
      </c>
      <c r="G4541" s="74"/>
      <c r="H4541" s="74"/>
      <c r="I4541" s="74" t="s">
        <v>391</v>
      </c>
      <c r="J4541" s="74"/>
      <c r="K4541" s="74">
        <v>102.4</v>
      </c>
      <c r="L4541" s="74">
        <v>92.16</v>
      </c>
      <c r="M4541" s="74"/>
      <c r="N4541" s="74" t="s">
        <v>392</v>
      </c>
      <c r="O4541" s="74" t="s">
        <v>402</v>
      </c>
      <c r="P4541" s="74" t="s">
        <v>16040</v>
      </c>
      <c r="Q4541" s="74" t="s">
        <v>16041</v>
      </c>
    </row>
    <row r="4542" spans="3:17" x14ac:dyDescent="0.25">
      <c r="C4542" s="74" t="s">
        <v>16099</v>
      </c>
      <c r="D4542" s="74" t="s">
        <v>16100</v>
      </c>
      <c r="E4542" s="74"/>
      <c r="F4542" s="74">
        <v>0.03</v>
      </c>
      <c r="G4542" s="74"/>
      <c r="H4542" s="74"/>
      <c r="I4542" s="74" t="s">
        <v>391</v>
      </c>
      <c r="J4542" s="74"/>
      <c r="K4542" s="74">
        <v>102.4</v>
      </c>
      <c r="L4542" s="74">
        <v>92.16</v>
      </c>
      <c r="M4542" s="74"/>
      <c r="N4542" s="74" t="s">
        <v>392</v>
      </c>
      <c r="O4542" s="74" t="s">
        <v>402</v>
      </c>
      <c r="P4542" s="74" t="s">
        <v>16101</v>
      </c>
      <c r="Q4542" s="74" t="s">
        <v>16102</v>
      </c>
    </row>
    <row r="4543" spans="3:17" x14ac:dyDescent="0.25">
      <c r="C4543" s="74" t="s">
        <v>16204</v>
      </c>
      <c r="D4543" s="74" t="s">
        <v>16205</v>
      </c>
      <c r="E4543" s="74"/>
      <c r="F4543" s="74">
        <v>0.03</v>
      </c>
      <c r="G4543" s="74"/>
      <c r="H4543" s="74"/>
      <c r="I4543" s="74" t="s">
        <v>391</v>
      </c>
      <c r="J4543" s="74"/>
      <c r="K4543" s="74">
        <v>102.4</v>
      </c>
      <c r="L4543" s="74">
        <v>92.16</v>
      </c>
      <c r="M4543" s="74"/>
      <c r="N4543" s="74" t="s">
        <v>392</v>
      </c>
      <c r="O4543" s="74" t="s">
        <v>402</v>
      </c>
      <c r="P4543" s="74" t="s">
        <v>16206</v>
      </c>
      <c r="Q4543" s="74" t="s">
        <v>16207</v>
      </c>
    </row>
    <row r="4544" spans="3:17" x14ac:dyDescent="0.25">
      <c r="C4544" s="74" t="s">
        <v>17621</v>
      </c>
      <c r="D4544" s="74" t="s">
        <v>17622</v>
      </c>
      <c r="E4544" s="74"/>
      <c r="F4544" s="74">
        <v>0.03</v>
      </c>
      <c r="G4544" s="74"/>
      <c r="H4544" s="74"/>
      <c r="I4544" s="74" t="s">
        <v>391</v>
      </c>
      <c r="J4544" s="74"/>
      <c r="K4544" s="74">
        <v>102.4</v>
      </c>
      <c r="L4544" s="74">
        <v>92.16</v>
      </c>
      <c r="M4544" s="74"/>
      <c r="N4544" s="74" t="s">
        <v>392</v>
      </c>
      <c r="O4544" s="74" t="s">
        <v>402</v>
      </c>
      <c r="P4544" s="74" t="s">
        <v>17623</v>
      </c>
      <c r="Q4544" s="74" t="s">
        <v>17624</v>
      </c>
    </row>
    <row r="4545" spans="3:17" x14ac:dyDescent="0.25">
      <c r="C4545" s="74" t="s">
        <v>18851</v>
      </c>
      <c r="D4545" s="74" t="s">
        <v>18852</v>
      </c>
      <c r="E4545" s="74" t="s">
        <v>391</v>
      </c>
      <c r="F4545" s="74">
        <v>0.03</v>
      </c>
      <c r="G4545" s="74"/>
      <c r="H4545" s="74"/>
      <c r="I4545" s="74" t="s">
        <v>391</v>
      </c>
      <c r="J4545" s="74"/>
      <c r="K4545" s="74">
        <v>102.4</v>
      </c>
      <c r="L4545" s="74">
        <v>92.16</v>
      </c>
      <c r="M4545" s="74"/>
      <c r="N4545" s="74" t="s">
        <v>392</v>
      </c>
      <c r="O4545" s="74" t="s">
        <v>393</v>
      </c>
      <c r="P4545" s="74"/>
      <c r="Q4545" s="74" t="s">
        <v>18853</v>
      </c>
    </row>
    <row r="4546" spans="3:17" x14ac:dyDescent="0.25">
      <c r="C4546" s="74" t="s">
        <v>18881</v>
      </c>
      <c r="D4546" s="74" t="s">
        <v>18882</v>
      </c>
      <c r="E4546" s="74" t="s">
        <v>391</v>
      </c>
      <c r="F4546" s="74">
        <v>0.03</v>
      </c>
      <c r="G4546" s="74"/>
      <c r="H4546" s="74"/>
      <c r="I4546" s="74" t="s">
        <v>391</v>
      </c>
      <c r="J4546" s="74"/>
      <c r="K4546" s="74">
        <v>102.4</v>
      </c>
      <c r="L4546" s="74">
        <v>92.16</v>
      </c>
      <c r="M4546" s="74"/>
      <c r="N4546" s="74" t="s">
        <v>392</v>
      </c>
      <c r="O4546" s="74" t="s">
        <v>393</v>
      </c>
      <c r="P4546" s="74"/>
      <c r="Q4546" s="74" t="s">
        <v>18883</v>
      </c>
    </row>
    <row r="4547" spans="3:17" x14ac:dyDescent="0.25">
      <c r="C4547" s="74" t="s">
        <v>19031</v>
      </c>
      <c r="D4547" s="74" t="s">
        <v>19032</v>
      </c>
      <c r="E4547" s="74" t="s">
        <v>391</v>
      </c>
      <c r="F4547" s="74">
        <v>0.03</v>
      </c>
      <c r="G4547" s="74"/>
      <c r="H4547" s="74"/>
      <c r="I4547" s="74" t="s">
        <v>391</v>
      </c>
      <c r="J4547" s="74"/>
      <c r="K4547" s="74">
        <v>102.4</v>
      </c>
      <c r="L4547" s="74">
        <v>92.16</v>
      </c>
      <c r="M4547" s="74"/>
      <c r="N4547" s="74" t="s">
        <v>392</v>
      </c>
      <c r="O4547" s="74" t="s">
        <v>393</v>
      </c>
      <c r="P4547" s="74"/>
      <c r="Q4547" s="74" t="s">
        <v>19033</v>
      </c>
    </row>
    <row r="4548" spans="3:17" x14ac:dyDescent="0.25">
      <c r="C4548" s="74" t="s">
        <v>19307</v>
      </c>
      <c r="D4548" s="74" t="s">
        <v>19308</v>
      </c>
      <c r="E4548" s="74" t="s">
        <v>391</v>
      </c>
      <c r="F4548" s="74">
        <v>0.03</v>
      </c>
      <c r="G4548" s="74"/>
      <c r="H4548" s="74"/>
      <c r="I4548" s="74" t="s">
        <v>391</v>
      </c>
      <c r="J4548" s="74"/>
      <c r="K4548" s="74">
        <v>102.4</v>
      </c>
      <c r="L4548" s="74">
        <v>92.16</v>
      </c>
      <c r="M4548" s="74"/>
      <c r="N4548" s="74" t="s">
        <v>392</v>
      </c>
      <c r="O4548" s="74" t="s">
        <v>402</v>
      </c>
      <c r="P4548" s="74" t="s">
        <v>19309</v>
      </c>
      <c r="Q4548" s="74" t="s">
        <v>19310</v>
      </c>
    </row>
    <row r="4549" spans="3:17" x14ac:dyDescent="0.25">
      <c r="C4549" s="74" t="s">
        <v>19519</v>
      </c>
      <c r="D4549" s="74" t="s">
        <v>19520</v>
      </c>
      <c r="E4549" s="74"/>
      <c r="F4549" s="74">
        <v>0.03</v>
      </c>
      <c r="G4549" s="74"/>
      <c r="H4549" s="74"/>
      <c r="I4549" s="74" t="s">
        <v>391</v>
      </c>
      <c r="J4549" s="74"/>
      <c r="K4549" s="74">
        <v>102.4</v>
      </c>
      <c r="L4549" s="74">
        <v>92.16</v>
      </c>
      <c r="M4549" s="74"/>
      <c r="N4549" s="74" t="s">
        <v>392</v>
      </c>
      <c r="O4549" s="74" t="s">
        <v>402</v>
      </c>
      <c r="P4549" s="74" t="s">
        <v>19521</v>
      </c>
      <c r="Q4549" s="74" t="s">
        <v>19522</v>
      </c>
    </row>
    <row r="4550" spans="3:17" x14ac:dyDescent="0.25">
      <c r="C4550" s="74" t="s">
        <v>19850</v>
      </c>
      <c r="D4550" s="74" t="s">
        <v>19851</v>
      </c>
      <c r="E4550" s="74"/>
      <c r="F4550" s="74">
        <v>0.03</v>
      </c>
      <c r="G4550" s="74"/>
      <c r="H4550" s="74"/>
      <c r="I4550" s="74" t="s">
        <v>391</v>
      </c>
      <c r="J4550" s="74"/>
      <c r="K4550" s="74">
        <v>102.4</v>
      </c>
      <c r="L4550" s="74">
        <v>92.16</v>
      </c>
      <c r="M4550" s="74"/>
      <c r="N4550" s="74" t="s">
        <v>392</v>
      </c>
      <c r="O4550" s="74" t="s">
        <v>402</v>
      </c>
      <c r="P4550" s="74" t="s">
        <v>19852</v>
      </c>
      <c r="Q4550" s="74" t="s">
        <v>19853</v>
      </c>
    </row>
    <row r="4551" spans="3:17" x14ac:dyDescent="0.25">
      <c r="C4551" s="74" t="s">
        <v>20504</v>
      </c>
      <c r="D4551" s="74" t="s">
        <v>20505</v>
      </c>
      <c r="E4551" s="74"/>
      <c r="F4551" s="74">
        <v>0.03</v>
      </c>
      <c r="G4551" s="74"/>
      <c r="H4551" s="74"/>
      <c r="I4551" s="74" t="s">
        <v>391</v>
      </c>
      <c r="J4551" s="74"/>
      <c r="K4551" s="74">
        <v>102.4</v>
      </c>
      <c r="L4551" s="74">
        <v>92.16</v>
      </c>
      <c r="M4551" s="74"/>
      <c r="N4551" s="74" t="s">
        <v>392</v>
      </c>
      <c r="O4551" s="74" t="s">
        <v>402</v>
      </c>
      <c r="P4551" s="74" t="s">
        <v>20506</v>
      </c>
      <c r="Q4551" s="74" t="s">
        <v>20507</v>
      </c>
    </row>
    <row r="4552" spans="3:17" x14ac:dyDescent="0.25">
      <c r="C4552" s="74" t="s">
        <v>20508</v>
      </c>
      <c r="D4552" s="74" t="s">
        <v>20509</v>
      </c>
      <c r="E4552" s="74"/>
      <c r="F4552" s="74">
        <v>0.03</v>
      </c>
      <c r="G4552" s="74"/>
      <c r="H4552" s="74"/>
      <c r="I4552" s="74" t="s">
        <v>391</v>
      </c>
      <c r="J4552" s="74"/>
      <c r="K4552" s="74">
        <v>102.4</v>
      </c>
      <c r="L4552" s="74">
        <v>92.16</v>
      </c>
      <c r="M4552" s="74"/>
      <c r="N4552" s="74" t="s">
        <v>392</v>
      </c>
      <c r="O4552" s="74" t="s">
        <v>402</v>
      </c>
      <c r="P4552" s="74" t="s">
        <v>20510</v>
      </c>
      <c r="Q4552" s="74" t="s">
        <v>20511</v>
      </c>
    </row>
    <row r="4553" spans="3:17" x14ac:dyDescent="0.25">
      <c r="C4553" s="74" t="s">
        <v>20612</v>
      </c>
      <c r="D4553" s="74" t="s">
        <v>20613</v>
      </c>
      <c r="E4553" s="74"/>
      <c r="F4553" s="74">
        <v>0.03</v>
      </c>
      <c r="G4553" s="74"/>
      <c r="H4553" s="74"/>
      <c r="I4553" s="74" t="s">
        <v>391</v>
      </c>
      <c r="J4553" s="74"/>
      <c r="K4553" s="74">
        <v>102.4</v>
      </c>
      <c r="L4553" s="74">
        <v>92.16</v>
      </c>
      <c r="M4553" s="74"/>
      <c r="N4553" s="74" t="s">
        <v>392</v>
      </c>
      <c r="O4553" s="74" t="s">
        <v>402</v>
      </c>
      <c r="P4553" s="74" t="s">
        <v>20614</v>
      </c>
      <c r="Q4553" s="74" t="s">
        <v>20615</v>
      </c>
    </row>
    <row r="4554" spans="3:17" x14ac:dyDescent="0.25">
      <c r="C4554" s="74" t="s">
        <v>553</v>
      </c>
      <c r="D4554" s="74" t="s">
        <v>554</v>
      </c>
      <c r="E4554" s="74" t="s">
        <v>391</v>
      </c>
      <c r="F4554" s="74">
        <v>0.02</v>
      </c>
      <c r="G4554" s="74"/>
      <c r="H4554" s="74"/>
      <c r="I4554" s="74" t="s">
        <v>391</v>
      </c>
      <c r="J4554" s="74"/>
      <c r="K4554" s="74">
        <v>102.4</v>
      </c>
      <c r="L4554" s="74">
        <v>92.16</v>
      </c>
      <c r="M4554" s="74"/>
      <c r="N4554" s="74" t="s">
        <v>392</v>
      </c>
      <c r="O4554" s="74" t="s">
        <v>393</v>
      </c>
      <c r="P4554" s="74"/>
      <c r="Q4554" s="74" t="s">
        <v>555</v>
      </c>
    </row>
    <row r="4555" spans="3:17" x14ac:dyDescent="0.25">
      <c r="C4555" s="74" t="s">
        <v>724</v>
      </c>
      <c r="D4555" s="74" t="s">
        <v>725</v>
      </c>
      <c r="E4555" s="74"/>
      <c r="F4555" s="74">
        <v>0.02</v>
      </c>
      <c r="G4555" s="74"/>
      <c r="H4555" s="74"/>
      <c r="I4555" s="74" t="s">
        <v>391</v>
      </c>
      <c r="J4555" s="74"/>
      <c r="K4555" s="74">
        <v>102.4</v>
      </c>
      <c r="L4555" s="74">
        <v>92.16</v>
      </c>
      <c r="M4555" s="74"/>
      <c r="N4555" s="74" t="s">
        <v>392</v>
      </c>
      <c r="O4555" s="74" t="s">
        <v>402</v>
      </c>
      <c r="P4555" s="74" t="s">
        <v>726</v>
      </c>
      <c r="Q4555" s="74" t="s">
        <v>727</v>
      </c>
    </row>
    <row r="4556" spans="3:17" x14ac:dyDescent="0.25">
      <c r="C4556" s="74" t="s">
        <v>874</v>
      </c>
      <c r="D4556" s="74" t="s">
        <v>875</v>
      </c>
      <c r="E4556" s="74" t="s">
        <v>391</v>
      </c>
      <c r="F4556" s="74">
        <v>0.02</v>
      </c>
      <c r="G4556" s="74"/>
      <c r="H4556" s="74"/>
      <c r="I4556" s="74" t="s">
        <v>391</v>
      </c>
      <c r="J4556" s="74"/>
      <c r="K4556" s="74">
        <v>102.4</v>
      </c>
      <c r="L4556" s="74">
        <v>92.16</v>
      </c>
      <c r="M4556" s="74"/>
      <c r="N4556" s="74" t="s">
        <v>392</v>
      </c>
      <c r="O4556" s="74" t="s">
        <v>393</v>
      </c>
      <c r="P4556" s="74"/>
      <c r="Q4556" s="74" t="s">
        <v>876</v>
      </c>
    </row>
    <row r="4557" spans="3:17" x14ac:dyDescent="0.25">
      <c r="C4557" s="74" t="s">
        <v>1123</v>
      </c>
      <c r="D4557" s="74" t="s">
        <v>1124</v>
      </c>
      <c r="E4557" s="74"/>
      <c r="F4557" s="74">
        <v>0.02</v>
      </c>
      <c r="G4557" s="74"/>
      <c r="H4557" s="74"/>
      <c r="I4557" s="74" t="s">
        <v>391</v>
      </c>
      <c r="J4557" s="74"/>
      <c r="K4557" s="74">
        <v>102.4</v>
      </c>
      <c r="L4557" s="74">
        <v>92.16</v>
      </c>
      <c r="M4557" s="74"/>
      <c r="N4557" s="74" t="s">
        <v>392</v>
      </c>
      <c r="O4557" s="74" t="s">
        <v>402</v>
      </c>
      <c r="P4557" s="74" t="s">
        <v>1125</v>
      </c>
      <c r="Q4557" s="74" t="s">
        <v>1126</v>
      </c>
    </row>
    <row r="4558" spans="3:17" x14ac:dyDescent="0.25">
      <c r="C4558" s="74" t="s">
        <v>1688</v>
      </c>
      <c r="D4558" s="74" t="s">
        <v>1689</v>
      </c>
      <c r="E4558" s="74"/>
      <c r="F4558" s="74">
        <v>0.02</v>
      </c>
      <c r="G4558" s="74"/>
      <c r="H4558" s="74"/>
      <c r="I4558" s="74" t="s">
        <v>391</v>
      </c>
      <c r="J4558" s="74"/>
      <c r="K4558" s="74">
        <v>102.4</v>
      </c>
      <c r="L4558" s="74">
        <v>92.16</v>
      </c>
      <c r="M4558" s="74"/>
      <c r="N4558" s="74" t="s">
        <v>392</v>
      </c>
      <c r="O4558" s="74" t="s">
        <v>402</v>
      </c>
      <c r="P4558" s="74" t="s">
        <v>1690</v>
      </c>
      <c r="Q4558" s="74" t="s">
        <v>1691</v>
      </c>
    </row>
    <row r="4559" spans="3:17" x14ac:dyDescent="0.25">
      <c r="C4559" s="74" t="s">
        <v>1829</v>
      </c>
      <c r="D4559" s="74" t="s">
        <v>1830</v>
      </c>
      <c r="E4559" s="74"/>
      <c r="F4559" s="74">
        <v>0.02</v>
      </c>
      <c r="G4559" s="74"/>
      <c r="H4559" s="74"/>
      <c r="I4559" s="74" t="s">
        <v>391</v>
      </c>
      <c r="J4559" s="74"/>
      <c r="K4559" s="74">
        <v>102.4</v>
      </c>
      <c r="L4559" s="74">
        <v>92.16</v>
      </c>
      <c r="M4559" s="74"/>
      <c r="N4559" s="74" t="s">
        <v>392</v>
      </c>
      <c r="O4559" s="74" t="s">
        <v>402</v>
      </c>
      <c r="P4559" s="74" t="s">
        <v>1831</v>
      </c>
      <c r="Q4559" s="74" t="s">
        <v>1832</v>
      </c>
    </row>
    <row r="4560" spans="3:17" x14ac:dyDescent="0.25">
      <c r="C4560" s="74" t="s">
        <v>1917</v>
      </c>
      <c r="D4560" s="74" t="s">
        <v>1918</v>
      </c>
      <c r="E4560" s="74" t="s">
        <v>391</v>
      </c>
      <c r="F4560" s="74">
        <v>0.02</v>
      </c>
      <c r="G4560" s="74"/>
      <c r="H4560" s="74"/>
      <c r="I4560" s="74" t="s">
        <v>391</v>
      </c>
      <c r="J4560" s="74"/>
      <c r="K4560" s="74">
        <v>102.4</v>
      </c>
      <c r="L4560" s="74">
        <v>92.16</v>
      </c>
      <c r="M4560" s="74"/>
      <c r="N4560" s="74" t="s">
        <v>392</v>
      </c>
      <c r="O4560" s="74" t="s">
        <v>393</v>
      </c>
      <c r="P4560" s="74"/>
      <c r="Q4560" s="74" t="s">
        <v>1919</v>
      </c>
    </row>
    <row r="4561" spans="3:17" x14ac:dyDescent="0.25">
      <c r="C4561" s="74" t="s">
        <v>2157</v>
      </c>
      <c r="D4561" s="74" t="s">
        <v>2158</v>
      </c>
      <c r="E4561" s="74" t="s">
        <v>391</v>
      </c>
      <c r="F4561" s="74">
        <v>0.02</v>
      </c>
      <c r="G4561" s="74"/>
      <c r="H4561" s="74"/>
      <c r="I4561" s="74" t="s">
        <v>391</v>
      </c>
      <c r="J4561" s="74"/>
      <c r="K4561" s="74">
        <v>102.4</v>
      </c>
      <c r="L4561" s="74">
        <v>92.16</v>
      </c>
      <c r="M4561" s="74"/>
      <c r="N4561" s="74" t="s">
        <v>392</v>
      </c>
      <c r="O4561" s="74" t="s">
        <v>393</v>
      </c>
      <c r="P4561" s="74"/>
      <c r="Q4561" s="74" t="s">
        <v>2159</v>
      </c>
    </row>
    <row r="4562" spans="3:17" x14ac:dyDescent="0.25">
      <c r="C4562" s="74" t="s">
        <v>2211</v>
      </c>
      <c r="D4562" s="74" t="s">
        <v>2212</v>
      </c>
      <c r="E4562" s="74"/>
      <c r="F4562" s="74">
        <v>0.02</v>
      </c>
      <c r="G4562" s="74"/>
      <c r="H4562" s="74"/>
      <c r="I4562" s="74" t="s">
        <v>391</v>
      </c>
      <c r="J4562" s="74"/>
      <c r="K4562" s="74">
        <v>102.4</v>
      </c>
      <c r="L4562" s="74">
        <v>92.16</v>
      </c>
      <c r="M4562" s="74"/>
      <c r="N4562" s="74" t="s">
        <v>392</v>
      </c>
      <c r="O4562" s="74" t="s">
        <v>402</v>
      </c>
      <c r="P4562" s="74" t="s">
        <v>2213</v>
      </c>
      <c r="Q4562" s="74" t="s">
        <v>2214</v>
      </c>
    </row>
    <row r="4563" spans="3:17" x14ac:dyDescent="0.25">
      <c r="C4563" s="74" t="s">
        <v>2290</v>
      </c>
      <c r="D4563" s="74" t="s">
        <v>2291</v>
      </c>
      <c r="E4563" s="74"/>
      <c r="F4563" s="74">
        <v>0.02</v>
      </c>
      <c r="G4563" s="74"/>
      <c r="H4563" s="74"/>
      <c r="I4563" s="74" t="s">
        <v>391</v>
      </c>
      <c r="J4563" s="74"/>
      <c r="K4563" s="74">
        <v>102.4</v>
      </c>
      <c r="L4563" s="74">
        <v>92.16</v>
      </c>
      <c r="M4563" s="74"/>
      <c r="N4563" s="74" t="s">
        <v>392</v>
      </c>
      <c r="O4563" s="74" t="s">
        <v>402</v>
      </c>
      <c r="P4563" s="74" t="s">
        <v>2292</v>
      </c>
      <c r="Q4563" s="74" t="s">
        <v>2293</v>
      </c>
    </row>
    <row r="4564" spans="3:17" x14ac:dyDescent="0.25">
      <c r="C4564" s="74" t="s">
        <v>2489</v>
      </c>
      <c r="D4564" s="74" t="s">
        <v>2490</v>
      </c>
      <c r="E4564" s="74"/>
      <c r="F4564" s="74">
        <v>0.02</v>
      </c>
      <c r="G4564" s="74"/>
      <c r="H4564" s="74"/>
      <c r="I4564" s="74" t="s">
        <v>391</v>
      </c>
      <c r="J4564" s="74"/>
      <c r="K4564" s="74">
        <v>102.4</v>
      </c>
      <c r="L4564" s="74">
        <v>92.16</v>
      </c>
      <c r="M4564" s="74"/>
      <c r="N4564" s="74" t="s">
        <v>392</v>
      </c>
      <c r="O4564" s="74" t="s">
        <v>402</v>
      </c>
      <c r="P4564" s="74" t="s">
        <v>2491</v>
      </c>
      <c r="Q4564" s="74" t="s">
        <v>2492</v>
      </c>
    </row>
    <row r="4565" spans="3:17" x14ac:dyDescent="0.25">
      <c r="C4565" s="74" t="s">
        <v>2506</v>
      </c>
      <c r="D4565" s="74" t="s">
        <v>2507</v>
      </c>
      <c r="E4565" s="74"/>
      <c r="F4565" s="74">
        <v>0.02</v>
      </c>
      <c r="G4565" s="74"/>
      <c r="H4565" s="74"/>
      <c r="I4565" s="74" t="s">
        <v>391</v>
      </c>
      <c r="J4565" s="74"/>
      <c r="K4565" s="74">
        <v>102.4</v>
      </c>
      <c r="L4565" s="74">
        <v>92.16</v>
      </c>
      <c r="M4565" s="74"/>
      <c r="N4565" s="74" t="s">
        <v>392</v>
      </c>
      <c r="O4565" s="74" t="s">
        <v>402</v>
      </c>
      <c r="P4565" s="74" t="s">
        <v>2508</v>
      </c>
      <c r="Q4565" s="74" t="s">
        <v>2509</v>
      </c>
    </row>
    <row r="4566" spans="3:17" x14ac:dyDescent="0.25">
      <c r="C4566" s="74" t="s">
        <v>2678</v>
      </c>
      <c r="D4566" s="74" t="s">
        <v>2679</v>
      </c>
      <c r="E4566" s="74" t="s">
        <v>391</v>
      </c>
      <c r="F4566" s="74">
        <v>0.02</v>
      </c>
      <c r="G4566" s="74"/>
      <c r="H4566" s="74"/>
      <c r="I4566" s="74" t="s">
        <v>391</v>
      </c>
      <c r="J4566" s="74"/>
      <c r="K4566" s="74">
        <v>102.4</v>
      </c>
      <c r="L4566" s="74">
        <v>92.16</v>
      </c>
      <c r="M4566" s="74"/>
      <c r="N4566" s="74" t="s">
        <v>392</v>
      </c>
      <c r="O4566" s="74" t="s">
        <v>393</v>
      </c>
      <c r="P4566" s="74"/>
      <c r="Q4566" s="74" t="s">
        <v>2680</v>
      </c>
    </row>
    <row r="4567" spans="3:17" x14ac:dyDescent="0.25">
      <c r="C4567" s="74" t="s">
        <v>2908</v>
      </c>
      <c r="D4567" s="74" t="s">
        <v>2909</v>
      </c>
      <c r="E4567" s="74"/>
      <c r="F4567" s="74">
        <v>0.02</v>
      </c>
      <c r="G4567" s="74"/>
      <c r="H4567" s="74"/>
      <c r="I4567" s="74" t="s">
        <v>391</v>
      </c>
      <c r="J4567" s="74"/>
      <c r="K4567" s="74">
        <v>102.4</v>
      </c>
      <c r="L4567" s="74">
        <v>92.16</v>
      </c>
      <c r="M4567" s="74"/>
      <c r="N4567" s="74" t="s">
        <v>392</v>
      </c>
      <c r="O4567" s="74" t="s">
        <v>402</v>
      </c>
      <c r="P4567" s="74" t="s">
        <v>2910</v>
      </c>
      <c r="Q4567" s="74" t="s">
        <v>2911</v>
      </c>
    </row>
    <row r="4568" spans="3:17" x14ac:dyDescent="0.25">
      <c r="C4568" s="74" t="s">
        <v>3089</v>
      </c>
      <c r="D4568" s="74" t="s">
        <v>3090</v>
      </c>
      <c r="E4568" s="74"/>
      <c r="F4568" s="74">
        <v>0.02</v>
      </c>
      <c r="G4568" s="74"/>
      <c r="H4568" s="74"/>
      <c r="I4568" s="74" t="s">
        <v>391</v>
      </c>
      <c r="J4568" s="74"/>
      <c r="K4568" s="74">
        <v>102.4</v>
      </c>
      <c r="L4568" s="74">
        <v>92.16</v>
      </c>
      <c r="M4568" s="74"/>
      <c r="N4568" s="74" t="s">
        <v>392</v>
      </c>
      <c r="O4568" s="74" t="s">
        <v>402</v>
      </c>
      <c r="P4568" s="74" t="s">
        <v>3091</v>
      </c>
      <c r="Q4568" s="74" t="s">
        <v>3092</v>
      </c>
    </row>
    <row r="4569" spans="3:17" x14ac:dyDescent="0.25">
      <c r="C4569" s="74" t="s">
        <v>3126</v>
      </c>
      <c r="D4569" s="74" t="s">
        <v>3127</v>
      </c>
      <c r="E4569" s="74" t="s">
        <v>391</v>
      </c>
      <c r="F4569" s="74">
        <v>0.02</v>
      </c>
      <c r="G4569" s="74"/>
      <c r="H4569" s="74"/>
      <c r="I4569" s="74" t="s">
        <v>391</v>
      </c>
      <c r="J4569" s="74"/>
      <c r="K4569" s="74">
        <v>102.4</v>
      </c>
      <c r="L4569" s="74">
        <v>92.16</v>
      </c>
      <c r="M4569" s="74"/>
      <c r="N4569" s="74" t="s">
        <v>392</v>
      </c>
      <c r="O4569" s="74" t="s">
        <v>393</v>
      </c>
      <c r="P4569" s="74"/>
      <c r="Q4569" s="74" t="s">
        <v>3128</v>
      </c>
    </row>
    <row r="4570" spans="3:17" x14ac:dyDescent="0.25">
      <c r="C4570" s="74" t="s">
        <v>3140</v>
      </c>
      <c r="D4570" s="74" t="s">
        <v>3141</v>
      </c>
      <c r="E4570" s="74"/>
      <c r="F4570" s="74">
        <v>0.02</v>
      </c>
      <c r="G4570" s="74"/>
      <c r="H4570" s="74"/>
      <c r="I4570" s="74" t="s">
        <v>391</v>
      </c>
      <c r="J4570" s="74"/>
      <c r="K4570" s="74">
        <v>102.4</v>
      </c>
      <c r="L4570" s="74">
        <v>92.16</v>
      </c>
      <c r="M4570" s="74"/>
      <c r="N4570" s="74" t="s">
        <v>392</v>
      </c>
      <c r="O4570" s="74" t="s">
        <v>402</v>
      </c>
      <c r="P4570" s="74" t="s">
        <v>3142</v>
      </c>
      <c r="Q4570" s="74" t="s">
        <v>3143</v>
      </c>
    </row>
    <row r="4571" spans="3:17" x14ac:dyDescent="0.25">
      <c r="C4571" s="74" t="s">
        <v>3180</v>
      </c>
      <c r="D4571" s="74" t="s">
        <v>3181</v>
      </c>
      <c r="E4571" s="74"/>
      <c r="F4571" s="74">
        <v>0.02</v>
      </c>
      <c r="G4571" s="74"/>
      <c r="H4571" s="74"/>
      <c r="I4571" s="74" t="s">
        <v>391</v>
      </c>
      <c r="J4571" s="74"/>
      <c r="K4571" s="74">
        <v>102.4</v>
      </c>
      <c r="L4571" s="74">
        <v>92.16</v>
      </c>
      <c r="M4571" s="74"/>
      <c r="N4571" s="74" t="s">
        <v>392</v>
      </c>
      <c r="O4571" s="74" t="s">
        <v>402</v>
      </c>
      <c r="P4571" s="74"/>
      <c r="Q4571" s="74" t="s">
        <v>3182</v>
      </c>
    </row>
    <row r="4572" spans="3:17" x14ac:dyDescent="0.25">
      <c r="C4572" s="74" t="s">
        <v>3242</v>
      </c>
      <c r="D4572" s="74" t="s">
        <v>3243</v>
      </c>
      <c r="E4572" s="74"/>
      <c r="F4572" s="74">
        <v>0.02</v>
      </c>
      <c r="G4572" s="74"/>
      <c r="H4572" s="74"/>
      <c r="I4572" s="74" t="s">
        <v>391</v>
      </c>
      <c r="J4572" s="74"/>
      <c r="K4572" s="74">
        <v>102.4</v>
      </c>
      <c r="L4572" s="74">
        <v>92.16</v>
      </c>
      <c r="M4572" s="74"/>
      <c r="N4572" s="74" t="s">
        <v>392</v>
      </c>
      <c r="O4572" s="74" t="s">
        <v>402</v>
      </c>
      <c r="P4572" s="74" t="s">
        <v>3244</v>
      </c>
      <c r="Q4572" s="74" t="s">
        <v>3245</v>
      </c>
    </row>
    <row r="4573" spans="3:17" x14ac:dyDescent="0.25">
      <c r="C4573" s="74" t="s">
        <v>3524</v>
      </c>
      <c r="D4573" s="74" t="s">
        <v>3525</v>
      </c>
      <c r="E4573" s="74" t="s">
        <v>391</v>
      </c>
      <c r="F4573" s="74">
        <v>0.02</v>
      </c>
      <c r="G4573" s="74"/>
      <c r="H4573" s="74"/>
      <c r="I4573" s="74" t="s">
        <v>391</v>
      </c>
      <c r="J4573" s="74"/>
      <c r="K4573" s="74">
        <v>102.4</v>
      </c>
      <c r="L4573" s="74">
        <v>92.16</v>
      </c>
      <c r="M4573" s="74"/>
      <c r="N4573" s="74" t="s">
        <v>392</v>
      </c>
      <c r="O4573" s="74" t="s">
        <v>393</v>
      </c>
      <c r="P4573" s="74"/>
      <c r="Q4573" s="74" t="s">
        <v>3526</v>
      </c>
    </row>
    <row r="4574" spans="3:17" x14ac:dyDescent="0.25">
      <c r="C4574" s="74" t="s">
        <v>3547</v>
      </c>
      <c r="D4574" s="74" t="s">
        <v>3548</v>
      </c>
      <c r="E4574" s="74" t="s">
        <v>391</v>
      </c>
      <c r="F4574" s="74">
        <v>0.02</v>
      </c>
      <c r="G4574" s="74"/>
      <c r="H4574" s="74"/>
      <c r="I4574" s="74" t="s">
        <v>391</v>
      </c>
      <c r="J4574" s="74"/>
      <c r="K4574" s="74">
        <v>102.4</v>
      </c>
      <c r="L4574" s="74">
        <v>92.16</v>
      </c>
      <c r="M4574" s="74"/>
      <c r="N4574" s="74" t="s">
        <v>392</v>
      </c>
      <c r="O4574" s="74" t="s">
        <v>393</v>
      </c>
      <c r="P4574" s="74"/>
      <c r="Q4574" s="74" t="s">
        <v>3549</v>
      </c>
    </row>
    <row r="4575" spans="3:17" x14ac:dyDescent="0.25">
      <c r="C4575" s="74" t="s">
        <v>3617</v>
      </c>
      <c r="D4575" s="74" t="s">
        <v>3618</v>
      </c>
      <c r="E4575" s="74" t="s">
        <v>391</v>
      </c>
      <c r="F4575" s="74">
        <v>0.02</v>
      </c>
      <c r="G4575" s="74"/>
      <c r="H4575" s="74"/>
      <c r="I4575" s="74" t="s">
        <v>391</v>
      </c>
      <c r="J4575" s="74"/>
      <c r="K4575" s="74">
        <v>102.4</v>
      </c>
      <c r="L4575" s="74">
        <v>92.16</v>
      </c>
      <c r="M4575" s="74"/>
      <c r="N4575" s="74" t="s">
        <v>392</v>
      </c>
      <c r="O4575" s="74" t="s">
        <v>393</v>
      </c>
      <c r="P4575" s="74"/>
      <c r="Q4575" s="74" t="s">
        <v>3619</v>
      </c>
    </row>
    <row r="4576" spans="3:17" x14ac:dyDescent="0.25">
      <c r="C4576" s="74" t="s">
        <v>3759</v>
      </c>
      <c r="D4576" s="74" t="s">
        <v>3760</v>
      </c>
      <c r="E4576" s="74" t="s">
        <v>391</v>
      </c>
      <c r="F4576" s="74">
        <v>0.02</v>
      </c>
      <c r="G4576" s="74"/>
      <c r="H4576" s="74"/>
      <c r="I4576" s="74" t="s">
        <v>391</v>
      </c>
      <c r="J4576" s="74"/>
      <c r="K4576" s="74">
        <v>102.4</v>
      </c>
      <c r="L4576" s="74">
        <v>92.16</v>
      </c>
      <c r="M4576" s="74"/>
      <c r="N4576" s="74" t="s">
        <v>392</v>
      </c>
      <c r="O4576" s="74" t="s">
        <v>393</v>
      </c>
      <c r="P4576" s="74"/>
      <c r="Q4576" s="74" t="s">
        <v>3761</v>
      </c>
    </row>
    <row r="4577" spans="3:17" x14ac:dyDescent="0.25">
      <c r="C4577" s="74" t="s">
        <v>4066</v>
      </c>
      <c r="D4577" s="74" t="s">
        <v>4067</v>
      </c>
      <c r="E4577" s="74" t="s">
        <v>391</v>
      </c>
      <c r="F4577" s="74">
        <v>0.02</v>
      </c>
      <c r="G4577" s="74"/>
      <c r="H4577" s="74"/>
      <c r="I4577" s="74" t="s">
        <v>391</v>
      </c>
      <c r="J4577" s="74"/>
      <c r="K4577" s="74">
        <v>102.4</v>
      </c>
      <c r="L4577" s="74">
        <v>92.16</v>
      </c>
      <c r="M4577" s="74"/>
      <c r="N4577" s="74" t="s">
        <v>392</v>
      </c>
      <c r="O4577" s="74" t="s">
        <v>393</v>
      </c>
      <c r="P4577" s="74"/>
      <c r="Q4577" s="74" t="s">
        <v>4068</v>
      </c>
    </row>
    <row r="4578" spans="3:17" x14ac:dyDescent="0.25">
      <c r="C4578" s="158" t="s">
        <v>4145</v>
      </c>
      <c r="D4578" s="158" t="s">
        <v>4146</v>
      </c>
      <c r="F4578" s="158">
        <v>0.02</v>
      </c>
      <c r="I4578" s="158" t="s">
        <v>391</v>
      </c>
      <c r="K4578" s="158">
        <v>102.4</v>
      </c>
      <c r="L4578" s="158">
        <v>92.16</v>
      </c>
      <c r="N4578" s="158" t="s">
        <v>392</v>
      </c>
      <c r="O4578" s="158" t="s">
        <v>402</v>
      </c>
      <c r="P4578" s="158" t="s">
        <v>4147</v>
      </c>
      <c r="Q4578" s="158" t="s">
        <v>4148</v>
      </c>
    </row>
    <row r="4579" spans="3:17" x14ac:dyDescent="0.25">
      <c r="C4579" s="74" t="s">
        <v>4483</v>
      </c>
      <c r="D4579" s="74" t="s">
        <v>4480</v>
      </c>
      <c r="E4579" s="74"/>
      <c r="F4579" s="74">
        <v>0.02</v>
      </c>
      <c r="G4579" s="74"/>
      <c r="H4579" s="74"/>
      <c r="I4579" s="74" t="s">
        <v>391</v>
      </c>
      <c r="J4579" s="74"/>
      <c r="K4579" s="74">
        <v>102.4</v>
      </c>
      <c r="L4579" s="74">
        <v>92.16</v>
      </c>
      <c r="M4579" s="74"/>
      <c r="N4579" s="74" t="s">
        <v>392</v>
      </c>
      <c r="O4579" s="74" t="s">
        <v>535</v>
      </c>
      <c r="P4579" s="74" t="s">
        <v>4484</v>
      </c>
      <c r="Q4579" s="74" t="s">
        <v>4485</v>
      </c>
    </row>
    <row r="4580" spans="3:17" x14ac:dyDescent="0.25">
      <c r="C4580" s="74" t="s">
        <v>4511</v>
      </c>
      <c r="D4580" s="74" t="s">
        <v>4512</v>
      </c>
      <c r="E4580" s="74"/>
      <c r="F4580" s="74">
        <v>0.02</v>
      </c>
      <c r="G4580" s="74"/>
      <c r="H4580" s="74"/>
      <c r="I4580" s="74" t="s">
        <v>391</v>
      </c>
      <c r="J4580" s="74"/>
      <c r="K4580" s="74">
        <v>102.4</v>
      </c>
      <c r="L4580" s="74">
        <v>92.16</v>
      </c>
      <c r="M4580" s="74"/>
      <c r="N4580" s="74" t="s">
        <v>392</v>
      </c>
      <c r="O4580" s="74" t="s">
        <v>402</v>
      </c>
      <c r="P4580" s="74" t="s">
        <v>4513</v>
      </c>
      <c r="Q4580" s="74" t="s">
        <v>4514</v>
      </c>
    </row>
    <row r="4581" spans="3:17" x14ac:dyDescent="0.25">
      <c r="C4581" s="74" t="s">
        <v>4787</v>
      </c>
      <c r="D4581" s="74" t="s">
        <v>4788</v>
      </c>
      <c r="E4581" s="74"/>
      <c r="F4581" s="74">
        <v>0.02</v>
      </c>
      <c r="G4581" s="74"/>
      <c r="H4581" s="74"/>
      <c r="I4581" s="74" t="s">
        <v>391</v>
      </c>
      <c r="J4581" s="74"/>
      <c r="K4581" s="74">
        <v>102.4</v>
      </c>
      <c r="L4581" s="74">
        <v>92.16</v>
      </c>
      <c r="M4581" s="74"/>
      <c r="N4581" s="74" t="s">
        <v>392</v>
      </c>
      <c r="O4581" s="74" t="s">
        <v>402</v>
      </c>
      <c r="P4581" s="74" t="s">
        <v>4789</v>
      </c>
      <c r="Q4581" s="74" t="s">
        <v>4790</v>
      </c>
    </row>
    <row r="4582" spans="3:17" x14ac:dyDescent="0.25">
      <c r="C4582" s="74" t="s">
        <v>4860</v>
      </c>
      <c r="D4582" s="74" t="s">
        <v>4861</v>
      </c>
      <c r="E4582" s="74"/>
      <c r="F4582" s="74">
        <v>0.02</v>
      </c>
      <c r="G4582" s="74"/>
      <c r="H4582" s="74"/>
      <c r="I4582" s="74" t="s">
        <v>391</v>
      </c>
      <c r="J4582" s="74"/>
      <c r="K4582" s="74">
        <v>102.4</v>
      </c>
      <c r="L4582" s="74">
        <v>92.16</v>
      </c>
      <c r="M4582" s="74"/>
      <c r="N4582" s="74" t="s">
        <v>392</v>
      </c>
      <c r="O4582" s="74" t="s">
        <v>402</v>
      </c>
      <c r="P4582" s="74" t="s">
        <v>4862</v>
      </c>
      <c r="Q4582" s="74" t="s">
        <v>4863</v>
      </c>
    </row>
    <row r="4583" spans="3:17" x14ac:dyDescent="0.25">
      <c r="C4583" s="74" t="s">
        <v>4925</v>
      </c>
      <c r="D4583" s="74" t="s">
        <v>4926</v>
      </c>
      <c r="E4583" s="74"/>
      <c r="F4583" s="74">
        <v>0.02</v>
      </c>
      <c r="G4583" s="74"/>
      <c r="H4583" s="74"/>
      <c r="I4583" s="74" t="s">
        <v>391</v>
      </c>
      <c r="J4583" s="74"/>
      <c r="K4583" s="74">
        <v>102.4</v>
      </c>
      <c r="L4583" s="74">
        <v>92.16</v>
      </c>
      <c r="M4583" s="74"/>
      <c r="N4583" s="74" t="s">
        <v>392</v>
      </c>
      <c r="O4583" s="74" t="s">
        <v>402</v>
      </c>
      <c r="P4583" s="74"/>
      <c r="Q4583" s="74" t="s">
        <v>4927</v>
      </c>
    </row>
    <row r="4584" spans="3:17" x14ac:dyDescent="0.25">
      <c r="C4584" s="74" t="s">
        <v>5653</v>
      </c>
      <c r="D4584" s="74" t="s">
        <v>5654</v>
      </c>
      <c r="E4584" s="74"/>
      <c r="F4584" s="74">
        <v>0.02</v>
      </c>
      <c r="G4584" s="74"/>
      <c r="H4584" s="74"/>
      <c r="I4584" s="74" t="s">
        <v>391</v>
      </c>
      <c r="J4584" s="74"/>
      <c r="K4584" s="74">
        <v>102.4</v>
      </c>
      <c r="L4584" s="74">
        <v>92.16</v>
      </c>
      <c r="M4584" s="74"/>
      <c r="N4584" s="74" t="s">
        <v>392</v>
      </c>
      <c r="O4584" s="74" t="s">
        <v>402</v>
      </c>
      <c r="P4584" s="74" t="s">
        <v>5655</v>
      </c>
      <c r="Q4584" s="74" t="s">
        <v>5656</v>
      </c>
    </row>
    <row r="4585" spans="3:17" x14ac:dyDescent="0.25">
      <c r="C4585" s="74" t="s">
        <v>6278</v>
      </c>
      <c r="D4585" s="74" t="s">
        <v>6279</v>
      </c>
      <c r="E4585" s="74" t="s">
        <v>391</v>
      </c>
      <c r="F4585" s="74">
        <v>0.02</v>
      </c>
      <c r="G4585" s="74"/>
      <c r="H4585" s="74"/>
      <c r="I4585" s="74" t="s">
        <v>391</v>
      </c>
      <c r="J4585" s="74"/>
      <c r="K4585" s="74">
        <v>102.4</v>
      </c>
      <c r="L4585" s="74">
        <v>92.16</v>
      </c>
      <c r="M4585" s="74"/>
      <c r="N4585" s="74" t="s">
        <v>392</v>
      </c>
      <c r="O4585" s="74" t="s">
        <v>393</v>
      </c>
      <c r="P4585" s="74"/>
      <c r="Q4585" s="74" t="s">
        <v>6280</v>
      </c>
    </row>
    <row r="4586" spans="3:17" x14ac:dyDescent="0.25">
      <c r="C4586" s="74" t="s">
        <v>6285</v>
      </c>
      <c r="D4586" s="74" t="s">
        <v>6286</v>
      </c>
      <c r="E4586" s="74"/>
      <c r="F4586" s="74">
        <v>0.02</v>
      </c>
      <c r="G4586" s="74"/>
      <c r="H4586" s="74"/>
      <c r="I4586" s="74" t="s">
        <v>391</v>
      </c>
      <c r="J4586" s="74"/>
      <c r="K4586" s="74">
        <v>102.4</v>
      </c>
      <c r="L4586" s="74">
        <v>92.16</v>
      </c>
      <c r="M4586" s="74"/>
      <c r="N4586" s="74" t="s">
        <v>392</v>
      </c>
      <c r="O4586" s="74" t="s">
        <v>402</v>
      </c>
      <c r="P4586" s="74" t="s">
        <v>6287</v>
      </c>
      <c r="Q4586" s="74" t="s">
        <v>6288</v>
      </c>
    </row>
    <row r="4587" spans="3:17" x14ac:dyDescent="0.25">
      <c r="C4587" s="74" t="s">
        <v>6321</v>
      </c>
      <c r="D4587" s="74" t="s">
        <v>6322</v>
      </c>
      <c r="E4587" s="74"/>
      <c r="F4587" s="74">
        <v>0.02</v>
      </c>
      <c r="G4587" s="74"/>
      <c r="H4587" s="74"/>
      <c r="I4587" s="74" t="s">
        <v>391</v>
      </c>
      <c r="J4587" s="74"/>
      <c r="K4587" s="74">
        <v>102.4</v>
      </c>
      <c r="L4587" s="74">
        <v>92.16</v>
      </c>
      <c r="M4587" s="74"/>
      <c r="N4587" s="74" t="s">
        <v>392</v>
      </c>
      <c r="O4587" s="74" t="s">
        <v>402</v>
      </c>
      <c r="P4587" s="74" t="s">
        <v>6323</v>
      </c>
      <c r="Q4587" s="74" t="s">
        <v>6324</v>
      </c>
    </row>
    <row r="4588" spans="3:17" x14ac:dyDescent="0.25">
      <c r="C4588" s="74" t="s">
        <v>6422</v>
      </c>
      <c r="D4588" s="74" t="s">
        <v>6423</v>
      </c>
      <c r="E4588" s="74" t="s">
        <v>391</v>
      </c>
      <c r="F4588" s="74">
        <v>0.02</v>
      </c>
      <c r="G4588" s="74"/>
      <c r="H4588" s="74"/>
      <c r="I4588" s="74" t="s">
        <v>391</v>
      </c>
      <c r="J4588" s="74"/>
      <c r="K4588" s="74">
        <v>102.4</v>
      </c>
      <c r="L4588" s="74">
        <v>92.16</v>
      </c>
      <c r="M4588" s="74"/>
      <c r="N4588" s="74" t="s">
        <v>392</v>
      </c>
      <c r="O4588" s="74" t="s">
        <v>393</v>
      </c>
      <c r="P4588" s="74"/>
      <c r="Q4588" s="74" t="s">
        <v>6424</v>
      </c>
    </row>
    <row r="4589" spans="3:17" x14ac:dyDescent="0.25">
      <c r="C4589" s="74" t="s">
        <v>6478</v>
      </c>
      <c r="D4589" s="74" t="s">
        <v>6479</v>
      </c>
      <c r="E4589" s="74" t="s">
        <v>391</v>
      </c>
      <c r="F4589" s="74">
        <v>0.02</v>
      </c>
      <c r="G4589" s="74"/>
      <c r="H4589" s="74"/>
      <c r="I4589" s="74" t="s">
        <v>391</v>
      </c>
      <c r="J4589" s="74"/>
      <c r="K4589" s="74">
        <v>102.4</v>
      </c>
      <c r="L4589" s="74">
        <v>92.16</v>
      </c>
      <c r="M4589" s="74"/>
      <c r="N4589" s="74" t="s">
        <v>392</v>
      </c>
      <c r="O4589" s="74" t="s">
        <v>393</v>
      </c>
      <c r="P4589" s="74"/>
      <c r="Q4589" s="74" t="s">
        <v>6480</v>
      </c>
    </row>
    <row r="4590" spans="3:17" x14ac:dyDescent="0.25">
      <c r="C4590" s="74" t="s">
        <v>6632</v>
      </c>
      <c r="D4590" s="74" t="s">
        <v>6633</v>
      </c>
      <c r="E4590" s="74"/>
      <c r="F4590" s="74">
        <v>0.02</v>
      </c>
      <c r="G4590" s="74"/>
      <c r="H4590" s="74"/>
      <c r="I4590" s="74" t="s">
        <v>391</v>
      </c>
      <c r="J4590" s="74"/>
      <c r="K4590" s="74">
        <v>102.4</v>
      </c>
      <c r="L4590" s="74">
        <v>92.16</v>
      </c>
      <c r="M4590" s="74"/>
      <c r="N4590" s="74" t="s">
        <v>392</v>
      </c>
      <c r="O4590" s="74" t="s">
        <v>402</v>
      </c>
      <c r="P4590" s="74"/>
      <c r="Q4590" s="74" t="s">
        <v>6634</v>
      </c>
    </row>
    <row r="4591" spans="3:17" x14ac:dyDescent="0.25">
      <c r="C4591" s="74" t="s">
        <v>6655</v>
      </c>
      <c r="D4591" s="74" t="s">
        <v>6656</v>
      </c>
      <c r="E4591" s="74" t="s">
        <v>391</v>
      </c>
      <c r="F4591" s="74">
        <v>0.02</v>
      </c>
      <c r="G4591" s="74"/>
      <c r="H4591" s="74"/>
      <c r="I4591" s="74" t="s">
        <v>391</v>
      </c>
      <c r="J4591" s="74"/>
      <c r="K4591" s="74">
        <v>102.4</v>
      </c>
      <c r="L4591" s="74">
        <v>92.16</v>
      </c>
      <c r="M4591" s="74"/>
      <c r="N4591" s="74" t="s">
        <v>392</v>
      </c>
      <c r="O4591" s="74" t="s">
        <v>393</v>
      </c>
      <c r="P4591" s="74"/>
      <c r="Q4591" s="74" t="s">
        <v>6657</v>
      </c>
    </row>
    <row r="4592" spans="3:17" x14ac:dyDescent="0.25">
      <c r="C4592" s="74" t="s">
        <v>6680</v>
      </c>
      <c r="D4592" s="74" t="s">
        <v>6681</v>
      </c>
      <c r="E4592" s="74"/>
      <c r="F4592" s="74">
        <v>0.02</v>
      </c>
      <c r="G4592" s="74"/>
      <c r="H4592" s="74"/>
      <c r="I4592" s="74" t="s">
        <v>391</v>
      </c>
      <c r="J4592" s="74"/>
      <c r="K4592" s="74">
        <v>102.4</v>
      </c>
      <c r="L4592" s="74">
        <v>92.16</v>
      </c>
      <c r="M4592" s="74"/>
      <c r="N4592" s="74" t="s">
        <v>392</v>
      </c>
      <c r="O4592" s="74" t="s">
        <v>402</v>
      </c>
      <c r="P4592" s="74" t="s">
        <v>6682</v>
      </c>
      <c r="Q4592" s="74" t="s">
        <v>6683</v>
      </c>
    </row>
    <row r="4593" spans="3:17" x14ac:dyDescent="0.25">
      <c r="C4593" s="74" t="s">
        <v>7760</v>
      </c>
      <c r="D4593" s="74" t="s">
        <v>7761</v>
      </c>
      <c r="E4593" s="74" t="s">
        <v>391</v>
      </c>
      <c r="F4593" s="74">
        <v>0.02</v>
      </c>
      <c r="G4593" s="74"/>
      <c r="H4593" s="74"/>
      <c r="I4593" s="74" t="s">
        <v>391</v>
      </c>
      <c r="J4593" s="74"/>
      <c r="K4593" s="74">
        <v>102.4</v>
      </c>
      <c r="L4593" s="74">
        <v>92.16</v>
      </c>
      <c r="M4593" s="74"/>
      <c r="N4593" s="74" t="s">
        <v>392</v>
      </c>
      <c r="O4593" s="74" t="s">
        <v>393</v>
      </c>
      <c r="P4593" s="74"/>
      <c r="Q4593" s="74" t="s">
        <v>7762</v>
      </c>
    </row>
    <row r="4594" spans="3:17" x14ac:dyDescent="0.25">
      <c r="C4594" s="74" t="s">
        <v>7899</v>
      </c>
      <c r="D4594" s="74" t="s">
        <v>7900</v>
      </c>
      <c r="E4594" s="74"/>
      <c r="F4594" s="74">
        <v>0.02</v>
      </c>
      <c r="G4594" s="74"/>
      <c r="H4594" s="74"/>
      <c r="I4594" s="74" t="s">
        <v>391</v>
      </c>
      <c r="J4594" s="74"/>
      <c r="K4594" s="74">
        <v>102.4</v>
      </c>
      <c r="L4594" s="74">
        <v>92.16</v>
      </c>
      <c r="M4594" s="74"/>
      <c r="N4594" s="74" t="s">
        <v>392</v>
      </c>
      <c r="O4594" s="74" t="s">
        <v>402</v>
      </c>
      <c r="P4594" s="74" t="s">
        <v>7901</v>
      </c>
      <c r="Q4594" s="74" t="s">
        <v>7902</v>
      </c>
    </row>
    <row r="4595" spans="3:17" x14ac:dyDescent="0.25">
      <c r="C4595" s="74" t="s">
        <v>7983</v>
      </c>
      <c r="D4595" s="74" t="s">
        <v>7984</v>
      </c>
      <c r="E4595" s="74" t="s">
        <v>391</v>
      </c>
      <c r="F4595" s="74">
        <v>0.02</v>
      </c>
      <c r="G4595" s="74"/>
      <c r="H4595" s="74"/>
      <c r="I4595" s="74" t="s">
        <v>391</v>
      </c>
      <c r="J4595" s="74"/>
      <c r="K4595" s="74">
        <v>102.4</v>
      </c>
      <c r="L4595" s="74">
        <v>92.16</v>
      </c>
      <c r="M4595" s="74"/>
      <c r="N4595" s="74" t="s">
        <v>392</v>
      </c>
      <c r="O4595" s="74" t="s">
        <v>393</v>
      </c>
      <c r="P4595" s="74"/>
      <c r="Q4595" s="74" t="s">
        <v>7985</v>
      </c>
    </row>
    <row r="4596" spans="3:17" x14ac:dyDescent="0.25">
      <c r="C4596" s="74" t="s">
        <v>8094</v>
      </c>
      <c r="D4596" s="74" t="s">
        <v>8095</v>
      </c>
      <c r="E4596" s="74" t="s">
        <v>391</v>
      </c>
      <c r="F4596" s="74">
        <v>0.02</v>
      </c>
      <c r="G4596" s="74"/>
      <c r="H4596" s="74"/>
      <c r="I4596" s="74" t="s">
        <v>391</v>
      </c>
      <c r="J4596" s="74"/>
      <c r="K4596" s="74">
        <v>102.4</v>
      </c>
      <c r="L4596" s="74">
        <v>92.16</v>
      </c>
      <c r="M4596" s="74"/>
      <c r="N4596" s="74" t="s">
        <v>392</v>
      </c>
      <c r="O4596" s="74" t="s">
        <v>393</v>
      </c>
      <c r="P4596" s="74"/>
      <c r="Q4596" s="74" t="s">
        <v>8096</v>
      </c>
    </row>
    <row r="4597" spans="3:17" x14ac:dyDescent="0.25">
      <c r="C4597" s="74" t="s">
        <v>8172</v>
      </c>
      <c r="D4597" s="74" t="s">
        <v>8173</v>
      </c>
      <c r="E4597" s="74"/>
      <c r="F4597" s="74">
        <v>0.02</v>
      </c>
      <c r="G4597" s="74"/>
      <c r="H4597" s="74"/>
      <c r="I4597" s="74" t="s">
        <v>391</v>
      </c>
      <c r="J4597" s="74"/>
      <c r="K4597" s="74">
        <v>102.4</v>
      </c>
      <c r="L4597" s="74">
        <v>92.16</v>
      </c>
      <c r="M4597" s="74"/>
      <c r="N4597" s="74" t="s">
        <v>392</v>
      </c>
      <c r="O4597" s="74" t="s">
        <v>402</v>
      </c>
      <c r="P4597" s="74" t="s">
        <v>8174</v>
      </c>
      <c r="Q4597" s="74" t="s">
        <v>8175</v>
      </c>
    </row>
    <row r="4598" spans="3:17" x14ac:dyDescent="0.25">
      <c r="C4598" s="74" t="s">
        <v>8404</v>
      </c>
      <c r="D4598" s="74" t="s">
        <v>8405</v>
      </c>
      <c r="E4598" s="74" t="s">
        <v>391</v>
      </c>
      <c r="F4598" s="74">
        <v>0.02</v>
      </c>
      <c r="G4598" s="74"/>
      <c r="H4598" s="74"/>
      <c r="I4598" s="74" t="s">
        <v>391</v>
      </c>
      <c r="J4598" s="74"/>
      <c r="K4598" s="74">
        <v>102.4</v>
      </c>
      <c r="L4598" s="74">
        <v>92.16</v>
      </c>
      <c r="M4598" s="74"/>
      <c r="N4598" s="74" t="s">
        <v>392</v>
      </c>
      <c r="O4598" s="74" t="s">
        <v>393</v>
      </c>
      <c r="P4598" s="74"/>
      <c r="Q4598" s="74" t="s">
        <v>8406</v>
      </c>
    </row>
    <row r="4599" spans="3:17" x14ac:dyDescent="0.25">
      <c r="C4599" s="74" t="s">
        <v>8440</v>
      </c>
      <c r="D4599" s="74" t="s">
        <v>8441</v>
      </c>
      <c r="E4599" s="74" t="s">
        <v>391</v>
      </c>
      <c r="F4599" s="74">
        <v>0.02</v>
      </c>
      <c r="G4599" s="74"/>
      <c r="H4599" s="74"/>
      <c r="I4599" s="74" t="s">
        <v>391</v>
      </c>
      <c r="J4599" s="74"/>
      <c r="K4599" s="74">
        <v>102.4</v>
      </c>
      <c r="L4599" s="74">
        <v>92.16</v>
      </c>
      <c r="M4599" s="74"/>
      <c r="N4599" s="74" t="s">
        <v>392</v>
      </c>
      <c r="O4599" s="74" t="s">
        <v>393</v>
      </c>
      <c r="P4599" s="74"/>
      <c r="Q4599" s="74" t="s">
        <v>8442</v>
      </c>
    </row>
    <row r="4600" spans="3:17" x14ac:dyDescent="0.25">
      <c r="C4600" s="74" t="s">
        <v>8450</v>
      </c>
      <c r="D4600" s="74" t="s">
        <v>8451</v>
      </c>
      <c r="E4600" s="74" t="s">
        <v>391</v>
      </c>
      <c r="F4600" s="74">
        <v>0.02</v>
      </c>
      <c r="G4600" s="74"/>
      <c r="H4600" s="74"/>
      <c r="I4600" s="74" t="s">
        <v>391</v>
      </c>
      <c r="J4600" s="74"/>
      <c r="K4600" s="74">
        <v>102.4</v>
      </c>
      <c r="L4600" s="74">
        <v>92.16</v>
      </c>
      <c r="M4600" s="74"/>
      <c r="N4600" s="74" t="s">
        <v>392</v>
      </c>
      <c r="O4600" s="74" t="s">
        <v>393</v>
      </c>
      <c r="P4600" s="74"/>
      <c r="Q4600" s="74" t="s">
        <v>8452</v>
      </c>
    </row>
    <row r="4601" spans="3:17" x14ac:dyDescent="0.25">
      <c r="C4601" s="74" t="s">
        <v>8506</v>
      </c>
      <c r="D4601" s="74" t="s">
        <v>8507</v>
      </c>
      <c r="E4601" s="74"/>
      <c r="F4601" s="74">
        <v>0.02</v>
      </c>
      <c r="G4601" s="74"/>
      <c r="H4601" s="74"/>
      <c r="I4601" s="74" t="s">
        <v>391</v>
      </c>
      <c r="J4601" s="74"/>
      <c r="K4601" s="74">
        <v>102.4</v>
      </c>
      <c r="L4601" s="74">
        <v>92.16</v>
      </c>
      <c r="M4601" s="74"/>
      <c r="N4601" s="74" t="s">
        <v>392</v>
      </c>
      <c r="O4601" s="74" t="s">
        <v>402</v>
      </c>
      <c r="P4601" s="74" t="s">
        <v>8508</v>
      </c>
      <c r="Q4601" s="74" t="s">
        <v>8509</v>
      </c>
    </row>
    <row r="4602" spans="3:17" x14ac:dyDescent="0.25">
      <c r="C4602" s="74" t="s">
        <v>8557</v>
      </c>
      <c r="D4602" s="74" t="s">
        <v>8558</v>
      </c>
      <c r="E4602" s="74" t="s">
        <v>391</v>
      </c>
      <c r="F4602" s="74">
        <v>0.02</v>
      </c>
      <c r="G4602" s="74"/>
      <c r="H4602" s="74"/>
      <c r="I4602" s="74" t="s">
        <v>391</v>
      </c>
      <c r="J4602" s="74"/>
      <c r="K4602" s="74">
        <v>102.4</v>
      </c>
      <c r="L4602" s="74">
        <v>92.16</v>
      </c>
      <c r="M4602" s="74"/>
      <c r="N4602" s="74" t="s">
        <v>392</v>
      </c>
      <c r="O4602" s="74" t="s">
        <v>393</v>
      </c>
      <c r="P4602" s="74"/>
      <c r="Q4602" s="74" t="s">
        <v>8559</v>
      </c>
    </row>
    <row r="4603" spans="3:17" x14ac:dyDescent="0.25">
      <c r="C4603" s="74" t="s">
        <v>8663</v>
      </c>
      <c r="D4603" s="74" t="s">
        <v>8664</v>
      </c>
      <c r="E4603" s="74" t="s">
        <v>391</v>
      </c>
      <c r="F4603" s="74">
        <v>0.02</v>
      </c>
      <c r="G4603" s="74"/>
      <c r="H4603" s="74"/>
      <c r="I4603" s="74" t="s">
        <v>391</v>
      </c>
      <c r="J4603" s="74"/>
      <c r="K4603" s="74">
        <v>102.4</v>
      </c>
      <c r="L4603" s="74">
        <v>92.16</v>
      </c>
      <c r="M4603" s="74"/>
      <c r="N4603" s="74" t="s">
        <v>392</v>
      </c>
      <c r="O4603" s="74" t="s">
        <v>393</v>
      </c>
      <c r="P4603" s="74"/>
      <c r="Q4603" s="74" t="s">
        <v>8665</v>
      </c>
    </row>
    <row r="4604" spans="3:17" x14ac:dyDescent="0.25">
      <c r="C4604" s="74" t="s">
        <v>8693</v>
      </c>
      <c r="D4604" s="74" t="s">
        <v>8694</v>
      </c>
      <c r="E4604" s="74"/>
      <c r="F4604" s="74">
        <v>0.02</v>
      </c>
      <c r="G4604" s="74"/>
      <c r="H4604" s="74"/>
      <c r="I4604" s="74" t="s">
        <v>391</v>
      </c>
      <c r="J4604" s="74"/>
      <c r="K4604" s="74">
        <v>102.4</v>
      </c>
      <c r="L4604" s="74">
        <v>92.16</v>
      </c>
      <c r="M4604" s="74"/>
      <c r="N4604" s="74" t="s">
        <v>392</v>
      </c>
      <c r="O4604" s="74" t="s">
        <v>402</v>
      </c>
      <c r="P4604" s="74"/>
      <c r="Q4604" s="74" t="s">
        <v>8695</v>
      </c>
    </row>
    <row r="4605" spans="3:17" x14ac:dyDescent="0.25">
      <c r="C4605" s="74" t="s">
        <v>8726</v>
      </c>
      <c r="D4605" s="74" t="s">
        <v>8727</v>
      </c>
      <c r="E4605" s="74"/>
      <c r="F4605" s="74">
        <v>0.02</v>
      </c>
      <c r="G4605" s="74"/>
      <c r="H4605" s="74"/>
      <c r="I4605" s="74" t="s">
        <v>391</v>
      </c>
      <c r="J4605" s="74"/>
      <c r="K4605" s="74">
        <v>102.4</v>
      </c>
      <c r="L4605" s="74">
        <v>92.16</v>
      </c>
      <c r="M4605" s="74"/>
      <c r="N4605" s="74" t="s">
        <v>392</v>
      </c>
      <c r="O4605" s="74" t="s">
        <v>402</v>
      </c>
      <c r="P4605" s="74" t="s">
        <v>8728</v>
      </c>
      <c r="Q4605" s="74" t="s">
        <v>8729</v>
      </c>
    </row>
    <row r="4606" spans="3:17" x14ac:dyDescent="0.25">
      <c r="C4606" s="74" t="s">
        <v>8915</v>
      </c>
      <c r="D4606" s="74" t="s">
        <v>8916</v>
      </c>
      <c r="E4606" s="74"/>
      <c r="F4606" s="74">
        <v>0.02</v>
      </c>
      <c r="G4606" s="74"/>
      <c r="H4606" s="74"/>
      <c r="I4606" s="74" t="s">
        <v>391</v>
      </c>
      <c r="J4606" s="74"/>
      <c r="K4606" s="74">
        <v>102.4</v>
      </c>
      <c r="L4606" s="74">
        <v>92.16</v>
      </c>
      <c r="M4606" s="74"/>
      <c r="N4606" s="74" t="s">
        <v>392</v>
      </c>
      <c r="O4606" s="74" t="s">
        <v>402</v>
      </c>
      <c r="P4606" s="74" t="s">
        <v>8917</v>
      </c>
      <c r="Q4606" s="74" t="s">
        <v>8918</v>
      </c>
    </row>
    <row r="4607" spans="3:17" x14ac:dyDescent="0.25">
      <c r="C4607" s="74" t="s">
        <v>9035</v>
      </c>
      <c r="D4607" s="74" t="s">
        <v>9036</v>
      </c>
      <c r="E4607" s="74"/>
      <c r="F4607" s="74">
        <v>0.02</v>
      </c>
      <c r="G4607" s="74"/>
      <c r="H4607" s="74"/>
      <c r="I4607" s="74" t="s">
        <v>391</v>
      </c>
      <c r="J4607" s="74"/>
      <c r="K4607" s="74">
        <v>102.4</v>
      </c>
      <c r="L4607" s="74">
        <v>92.16</v>
      </c>
      <c r="M4607" s="74"/>
      <c r="N4607" s="74" t="s">
        <v>392</v>
      </c>
      <c r="O4607" s="74" t="s">
        <v>402</v>
      </c>
      <c r="P4607" s="74" t="s">
        <v>9037</v>
      </c>
      <c r="Q4607" s="74" t="s">
        <v>9038</v>
      </c>
    </row>
    <row r="4608" spans="3:17" x14ac:dyDescent="0.25">
      <c r="C4608" s="74" t="s">
        <v>9170</v>
      </c>
      <c r="D4608" s="74" t="s">
        <v>9171</v>
      </c>
      <c r="E4608" s="74" t="s">
        <v>391</v>
      </c>
      <c r="F4608" s="74">
        <v>0.02</v>
      </c>
      <c r="G4608" s="74"/>
      <c r="H4608" s="74"/>
      <c r="I4608" s="74" t="s">
        <v>391</v>
      </c>
      <c r="J4608" s="74"/>
      <c r="K4608" s="74">
        <v>102.4</v>
      </c>
      <c r="L4608" s="74">
        <v>92.16</v>
      </c>
      <c r="M4608" s="74"/>
      <c r="N4608" s="74" t="s">
        <v>392</v>
      </c>
      <c r="O4608" s="74" t="s">
        <v>393</v>
      </c>
      <c r="P4608" s="74"/>
      <c r="Q4608" s="74" t="s">
        <v>9172</v>
      </c>
    </row>
    <row r="4609" spans="3:17" x14ac:dyDescent="0.25">
      <c r="C4609" s="74" t="s">
        <v>9252</v>
      </c>
      <c r="D4609" s="74" t="s">
        <v>9253</v>
      </c>
      <c r="E4609" s="74" t="s">
        <v>391</v>
      </c>
      <c r="F4609" s="74">
        <v>0.02</v>
      </c>
      <c r="G4609" s="74"/>
      <c r="H4609" s="74"/>
      <c r="I4609" s="74" t="s">
        <v>391</v>
      </c>
      <c r="J4609" s="74"/>
      <c r="K4609" s="74">
        <v>102.4</v>
      </c>
      <c r="L4609" s="74">
        <v>92.16</v>
      </c>
      <c r="M4609" s="74"/>
      <c r="N4609" s="74" t="s">
        <v>392</v>
      </c>
      <c r="O4609" s="74" t="s">
        <v>393</v>
      </c>
      <c r="P4609" s="74"/>
      <c r="Q4609" s="74" t="s">
        <v>9254</v>
      </c>
    </row>
    <row r="4610" spans="3:17" x14ac:dyDescent="0.25">
      <c r="C4610" s="74" t="s">
        <v>9255</v>
      </c>
      <c r="D4610" s="74" t="s">
        <v>9256</v>
      </c>
      <c r="E4610" s="74"/>
      <c r="F4610" s="74">
        <v>0.02</v>
      </c>
      <c r="G4610" s="74"/>
      <c r="H4610" s="74"/>
      <c r="I4610" s="74" t="s">
        <v>391</v>
      </c>
      <c r="J4610" s="74"/>
      <c r="K4610" s="74">
        <v>102.4</v>
      </c>
      <c r="L4610" s="74">
        <v>92.16</v>
      </c>
      <c r="M4610" s="74"/>
      <c r="N4610" s="74" t="s">
        <v>392</v>
      </c>
      <c r="O4610" s="74" t="s">
        <v>402</v>
      </c>
      <c r="P4610" s="74"/>
      <c r="Q4610" s="74" t="s">
        <v>9257</v>
      </c>
    </row>
    <row r="4611" spans="3:17" x14ac:dyDescent="0.25">
      <c r="C4611" s="74" t="s">
        <v>9345</v>
      </c>
      <c r="D4611" s="74" t="s">
        <v>9346</v>
      </c>
      <c r="E4611" s="74"/>
      <c r="F4611" s="74">
        <v>0.02</v>
      </c>
      <c r="G4611" s="74"/>
      <c r="H4611" s="74"/>
      <c r="I4611" s="74" t="s">
        <v>391</v>
      </c>
      <c r="J4611" s="74"/>
      <c r="K4611" s="74">
        <v>102.4</v>
      </c>
      <c r="L4611" s="74">
        <v>92.16</v>
      </c>
      <c r="M4611" s="74"/>
      <c r="N4611" s="74" t="s">
        <v>392</v>
      </c>
      <c r="O4611" s="74" t="s">
        <v>402</v>
      </c>
      <c r="P4611" s="74" t="s">
        <v>9347</v>
      </c>
      <c r="Q4611" s="74" t="s">
        <v>9348</v>
      </c>
    </row>
    <row r="4612" spans="3:17" x14ac:dyDescent="0.25">
      <c r="C4612" s="74" t="s">
        <v>9432</v>
      </c>
      <c r="D4612" s="74" t="s">
        <v>9433</v>
      </c>
      <c r="E4612" s="74"/>
      <c r="F4612" s="74">
        <v>0.02</v>
      </c>
      <c r="G4612" s="74"/>
      <c r="H4612" s="74"/>
      <c r="I4612" s="74" t="s">
        <v>391</v>
      </c>
      <c r="J4612" s="74"/>
      <c r="K4612" s="74">
        <v>102.4</v>
      </c>
      <c r="L4612" s="74">
        <v>92.16</v>
      </c>
      <c r="M4612" s="74"/>
      <c r="N4612" s="74" t="s">
        <v>392</v>
      </c>
      <c r="O4612" s="74" t="s">
        <v>402</v>
      </c>
      <c r="P4612" s="74" t="s">
        <v>9434</v>
      </c>
      <c r="Q4612" s="74" t="s">
        <v>9435</v>
      </c>
    </row>
    <row r="4613" spans="3:17" x14ac:dyDescent="0.25">
      <c r="C4613" s="74" t="s">
        <v>9547</v>
      </c>
      <c r="D4613" s="74" t="s">
        <v>9548</v>
      </c>
      <c r="E4613" s="74"/>
      <c r="F4613" s="74">
        <v>0.02</v>
      </c>
      <c r="G4613" s="74"/>
      <c r="H4613" s="74"/>
      <c r="I4613" s="74" t="s">
        <v>391</v>
      </c>
      <c r="J4613" s="74"/>
      <c r="K4613" s="74">
        <v>102.4</v>
      </c>
      <c r="L4613" s="74">
        <v>92.16</v>
      </c>
      <c r="M4613" s="74"/>
      <c r="N4613" s="74" t="s">
        <v>392</v>
      </c>
      <c r="O4613" s="74" t="s">
        <v>402</v>
      </c>
      <c r="P4613" s="74" t="s">
        <v>9549</v>
      </c>
      <c r="Q4613" s="74" t="s">
        <v>9550</v>
      </c>
    </row>
    <row r="4614" spans="3:17" x14ac:dyDescent="0.25">
      <c r="C4614" s="74" t="s">
        <v>10126</v>
      </c>
      <c r="D4614" s="74" t="s">
        <v>10127</v>
      </c>
      <c r="E4614" s="74"/>
      <c r="F4614" s="74">
        <v>0.02</v>
      </c>
      <c r="G4614" s="74"/>
      <c r="H4614" s="74"/>
      <c r="I4614" s="74" t="s">
        <v>391</v>
      </c>
      <c r="J4614" s="74"/>
      <c r="K4614" s="74">
        <v>102.4</v>
      </c>
      <c r="L4614" s="74">
        <v>92.16</v>
      </c>
      <c r="M4614" s="74"/>
      <c r="N4614" s="74" t="s">
        <v>392</v>
      </c>
      <c r="O4614" s="74" t="s">
        <v>402</v>
      </c>
      <c r="P4614" s="74"/>
      <c r="Q4614" s="74" t="s">
        <v>10128</v>
      </c>
    </row>
    <row r="4615" spans="3:17" x14ac:dyDescent="0.25">
      <c r="C4615" s="74" t="s">
        <v>10602</v>
      </c>
      <c r="D4615" s="74" t="s">
        <v>10603</v>
      </c>
      <c r="E4615" s="74" t="s">
        <v>391</v>
      </c>
      <c r="F4615" s="74">
        <v>0.02</v>
      </c>
      <c r="G4615" s="74"/>
      <c r="H4615" s="74"/>
      <c r="I4615" s="74" t="s">
        <v>391</v>
      </c>
      <c r="J4615" s="74"/>
      <c r="K4615" s="74">
        <v>102.4</v>
      </c>
      <c r="L4615" s="74">
        <v>92.16</v>
      </c>
      <c r="M4615" s="74"/>
      <c r="N4615" s="74" t="s">
        <v>392</v>
      </c>
      <c r="O4615" s="74" t="s">
        <v>393</v>
      </c>
      <c r="P4615" s="74"/>
      <c r="Q4615" s="74" t="s">
        <v>10604</v>
      </c>
    </row>
    <row r="4616" spans="3:17" x14ac:dyDescent="0.25">
      <c r="C4616" s="74" t="s">
        <v>10903</v>
      </c>
      <c r="D4616" s="74" t="s">
        <v>10904</v>
      </c>
      <c r="E4616" s="74" t="s">
        <v>391</v>
      </c>
      <c r="F4616" s="74">
        <v>0.02</v>
      </c>
      <c r="G4616" s="74"/>
      <c r="H4616" s="74"/>
      <c r="I4616" s="74" t="s">
        <v>391</v>
      </c>
      <c r="J4616" s="74"/>
      <c r="K4616" s="74">
        <v>102.4</v>
      </c>
      <c r="L4616" s="74">
        <v>92.16</v>
      </c>
      <c r="M4616" s="74"/>
      <c r="N4616" s="74" t="s">
        <v>392</v>
      </c>
      <c r="O4616" s="74" t="s">
        <v>393</v>
      </c>
      <c r="P4616" s="74"/>
      <c r="Q4616" s="74" t="s">
        <v>10905</v>
      </c>
    </row>
    <row r="4617" spans="3:17" x14ac:dyDescent="0.25">
      <c r="C4617" s="74" t="s">
        <v>11120</v>
      </c>
      <c r="D4617" s="74" t="s">
        <v>11121</v>
      </c>
      <c r="E4617" s="74"/>
      <c r="F4617" s="74">
        <v>0.02</v>
      </c>
      <c r="G4617" s="74"/>
      <c r="H4617" s="74"/>
      <c r="I4617" s="74" t="s">
        <v>391</v>
      </c>
      <c r="J4617" s="74"/>
      <c r="K4617" s="74">
        <v>102.4</v>
      </c>
      <c r="L4617" s="74">
        <v>92.16</v>
      </c>
      <c r="M4617" s="74"/>
      <c r="N4617" s="74" t="s">
        <v>392</v>
      </c>
      <c r="O4617" s="74" t="s">
        <v>402</v>
      </c>
      <c r="P4617" s="74" t="s">
        <v>11122</v>
      </c>
      <c r="Q4617" s="74" t="s">
        <v>11123</v>
      </c>
    </row>
    <row r="4618" spans="3:17" x14ac:dyDescent="0.25">
      <c r="C4618" s="74" t="s">
        <v>11319</v>
      </c>
      <c r="D4618" s="74" t="s">
        <v>10495</v>
      </c>
      <c r="E4618" s="74" t="s">
        <v>391</v>
      </c>
      <c r="F4618" s="74">
        <v>0.02</v>
      </c>
      <c r="G4618" s="74"/>
      <c r="H4618" s="74"/>
      <c r="I4618" s="74" t="s">
        <v>391</v>
      </c>
      <c r="J4618" s="74"/>
      <c r="K4618" s="74">
        <v>102.4</v>
      </c>
      <c r="L4618" s="74">
        <v>92.16</v>
      </c>
      <c r="M4618" s="74"/>
      <c r="N4618" s="74" t="s">
        <v>392</v>
      </c>
      <c r="O4618" s="74" t="s">
        <v>393</v>
      </c>
      <c r="P4618" s="74"/>
      <c r="Q4618" s="74" t="s">
        <v>11320</v>
      </c>
    </row>
    <row r="4619" spans="3:17" x14ac:dyDescent="0.25">
      <c r="C4619" s="74" t="s">
        <v>11399</v>
      </c>
      <c r="D4619" s="74" t="s">
        <v>11400</v>
      </c>
      <c r="E4619" s="74"/>
      <c r="F4619" s="74">
        <v>0.02</v>
      </c>
      <c r="G4619" s="74"/>
      <c r="H4619" s="74"/>
      <c r="I4619" s="74" t="s">
        <v>391</v>
      </c>
      <c r="J4619" s="74"/>
      <c r="K4619" s="74">
        <v>102.4</v>
      </c>
      <c r="L4619" s="74">
        <v>92.16</v>
      </c>
      <c r="M4619" s="74"/>
      <c r="N4619" s="74" t="s">
        <v>392</v>
      </c>
      <c r="O4619" s="74" t="s">
        <v>402</v>
      </c>
      <c r="P4619" s="74" t="s">
        <v>11401</v>
      </c>
      <c r="Q4619" s="74" t="s">
        <v>11402</v>
      </c>
    </row>
    <row r="4620" spans="3:17" x14ac:dyDescent="0.25">
      <c r="C4620" s="74" t="s">
        <v>11818</v>
      </c>
      <c r="D4620" s="74" t="s">
        <v>11819</v>
      </c>
      <c r="E4620" s="74"/>
      <c r="F4620" s="74">
        <v>0.02</v>
      </c>
      <c r="G4620" s="74"/>
      <c r="H4620" s="74"/>
      <c r="I4620" s="74" t="s">
        <v>391</v>
      </c>
      <c r="J4620" s="74"/>
      <c r="K4620" s="74">
        <v>102.4</v>
      </c>
      <c r="L4620" s="74">
        <v>92.16</v>
      </c>
      <c r="M4620" s="74"/>
      <c r="N4620" s="74" t="s">
        <v>392</v>
      </c>
      <c r="O4620" s="74" t="s">
        <v>402</v>
      </c>
      <c r="P4620" s="74" t="s">
        <v>11820</v>
      </c>
      <c r="Q4620" s="74" t="s">
        <v>11821</v>
      </c>
    </row>
    <row r="4621" spans="3:17" x14ac:dyDescent="0.25">
      <c r="C4621" s="74" t="s">
        <v>12641</v>
      </c>
      <c r="D4621" s="74" t="s">
        <v>12642</v>
      </c>
      <c r="E4621" s="74"/>
      <c r="F4621" s="74">
        <v>0.02</v>
      </c>
      <c r="G4621" s="74"/>
      <c r="H4621" s="74"/>
      <c r="I4621" s="74" t="s">
        <v>391</v>
      </c>
      <c r="J4621" s="74"/>
      <c r="K4621" s="74">
        <v>102.4</v>
      </c>
      <c r="L4621" s="74">
        <v>92.16</v>
      </c>
      <c r="M4621" s="74"/>
      <c r="N4621" s="74" t="s">
        <v>392</v>
      </c>
      <c r="O4621" s="74" t="s">
        <v>402</v>
      </c>
      <c r="P4621" s="74" t="s">
        <v>12643</v>
      </c>
      <c r="Q4621" s="74" t="s">
        <v>12644</v>
      </c>
    </row>
    <row r="4622" spans="3:17" x14ac:dyDescent="0.25">
      <c r="C4622" s="74" t="s">
        <v>12759</v>
      </c>
      <c r="D4622" s="74" t="s">
        <v>12760</v>
      </c>
      <c r="E4622" s="74"/>
      <c r="F4622" s="74">
        <v>0.02</v>
      </c>
      <c r="G4622" s="74"/>
      <c r="H4622" s="74"/>
      <c r="I4622" s="74" t="s">
        <v>391</v>
      </c>
      <c r="J4622" s="74"/>
      <c r="K4622" s="74">
        <v>102.4</v>
      </c>
      <c r="L4622" s="74">
        <v>92.16</v>
      </c>
      <c r="M4622" s="74"/>
      <c r="N4622" s="74" t="s">
        <v>392</v>
      </c>
      <c r="O4622" s="74" t="s">
        <v>402</v>
      </c>
      <c r="P4622" s="74" t="s">
        <v>12761</v>
      </c>
      <c r="Q4622" s="74" t="s">
        <v>12762</v>
      </c>
    </row>
    <row r="4623" spans="3:17" x14ac:dyDescent="0.25">
      <c r="C4623" s="74" t="s">
        <v>12770</v>
      </c>
      <c r="D4623" s="74" t="s">
        <v>12771</v>
      </c>
      <c r="E4623" s="74"/>
      <c r="F4623" s="74">
        <v>0.02</v>
      </c>
      <c r="G4623" s="74"/>
      <c r="H4623" s="74"/>
      <c r="I4623" s="74" t="s">
        <v>391</v>
      </c>
      <c r="J4623" s="74"/>
      <c r="K4623" s="74">
        <v>102.4</v>
      </c>
      <c r="L4623" s="74">
        <v>92.16</v>
      </c>
      <c r="M4623" s="74"/>
      <c r="N4623" s="74" t="s">
        <v>392</v>
      </c>
      <c r="O4623" s="74" t="s">
        <v>402</v>
      </c>
      <c r="P4623" s="74"/>
      <c r="Q4623" s="74" t="s">
        <v>12772</v>
      </c>
    </row>
    <row r="4624" spans="3:17" x14ac:dyDescent="0.25">
      <c r="C4624" s="74" t="s">
        <v>12896</v>
      </c>
      <c r="D4624" s="74" t="s">
        <v>12897</v>
      </c>
      <c r="E4624" s="74" t="s">
        <v>391</v>
      </c>
      <c r="F4624" s="74">
        <v>0.02</v>
      </c>
      <c r="G4624" s="74"/>
      <c r="H4624" s="74"/>
      <c r="I4624" s="74" t="s">
        <v>391</v>
      </c>
      <c r="J4624" s="74"/>
      <c r="K4624" s="74">
        <v>102.4</v>
      </c>
      <c r="L4624" s="74">
        <v>92.16</v>
      </c>
      <c r="M4624" s="74"/>
      <c r="N4624" s="74" t="s">
        <v>392</v>
      </c>
      <c r="O4624" s="74" t="s">
        <v>393</v>
      </c>
      <c r="P4624" s="74"/>
      <c r="Q4624" s="74" t="s">
        <v>12898</v>
      </c>
    </row>
    <row r="4625" spans="3:17" x14ac:dyDescent="0.25">
      <c r="C4625" s="158" t="s">
        <v>12928</v>
      </c>
      <c r="D4625" s="158" t="s">
        <v>12929</v>
      </c>
      <c r="F4625" s="158">
        <v>0.02</v>
      </c>
      <c r="I4625" s="158" t="s">
        <v>391</v>
      </c>
      <c r="K4625" s="158">
        <v>102.4</v>
      </c>
      <c r="L4625" s="158">
        <v>92.16</v>
      </c>
      <c r="N4625" s="158" t="s">
        <v>392</v>
      </c>
      <c r="O4625" s="158" t="s">
        <v>402</v>
      </c>
      <c r="P4625" s="158" t="s">
        <v>12930</v>
      </c>
      <c r="Q4625" s="158" t="s">
        <v>12931</v>
      </c>
    </row>
    <row r="4626" spans="3:17" x14ac:dyDescent="0.25">
      <c r="C4626" s="74" t="s">
        <v>13012</v>
      </c>
      <c r="D4626" s="74" t="s">
        <v>13013</v>
      </c>
      <c r="E4626" s="74" t="s">
        <v>391</v>
      </c>
      <c r="F4626" s="74">
        <v>0.02</v>
      </c>
      <c r="G4626" s="74"/>
      <c r="H4626" s="74"/>
      <c r="I4626" s="74" t="s">
        <v>391</v>
      </c>
      <c r="J4626" s="74"/>
      <c r="K4626" s="74">
        <v>102.4</v>
      </c>
      <c r="L4626" s="74">
        <v>92.16</v>
      </c>
      <c r="M4626" s="74"/>
      <c r="N4626" s="74" t="s">
        <v>392</v>
      </c>
      <c r="O4626" s="74" t="s">
        <v>393</v>
      </c>
      <c r="P4626" s="74" t="s">
        <v>13014</v>
      </c>
      <c r="Q4626" s="74" t="s">
        <v>13015</v>
      </c>
    </row>
    <row r="4627" spans="3:17" x14ac:dyDescent="0.25">
      <c r="C4627" s="74" t="s">
        <v>13086</v>
      </c>
      <c r="D4627" s="74" t="s">
        <v>13087</v>
      </c>
      <c r="E4627" s="74"/>
      <c r="F4627" s="74">
        <v>0.02</v>
      </c>
      <c r="G4627" s="74"/>
      <c r="H4627" s="74"/>
      <c r="I4627" s="74" t="s">
        <v>391</v>
      </c>
      <c r="J4627" s="74"/>
      <c r="K4627" s="74">
        <v>102.4</v>
      </c>
      <c r="L4627" s="74">
        <v>92.16</v>
      </c>
      <c r="M4627" s="74"/>
      <c r="N4627" s="74" t="s">
        <v>392</v>
      </c>
      <c r="O4627" s="74" t="s">
        <v>402</v>
      </c>
      <c r="P4627" s="74" t="s">
        <v>13088</v>
      </c>
      <c r="Q4627" s="74" t="s">
        <v>13089</v>
      </c>
    </row>
    <row r="4628" spans="3:17" x14ac:dyDescent="0.25">
      <c r="C4628" s="74" t="s">
        <v>13436</v>
      </c>
      <c r="D4628" s="74" t="s">
        <v>13437</v>
      </c>
      <c r="E4628" s="74"/>
      <c r="F4628" s="74">
        <v>0.02</v>
      </c>
      <c r="G4628" s="74"/>
      <c r="H4628" s="74"/>
      <c r="I4628" s="74" t="s">
        <v>391</v>
      </c>
      <c r="J4628" s="74"/>
      <c r="K4628" s="74">
        <v>102.4</v>
      </c>
      <c r="L4628" s="74">
        <v>92.16</v>
      </c>
      <c r="M4628" s="74"/>
      <c r="N4628" s="74" t="s">
        <v>392</v>
      </c>
      <c r="O4628" s="74" t="s">
        <v>402</v>
      </c>
      <c r="P4628" s="74" t="s">
        <v>13438</v>
      </c>
      <c r="Q4628" s="74" t="s">
        <v>13439</v>
      </c>
    </row>
    <row r="4629" spans="3:17" x14ac:dyDescent="0.25">
      <c r="C4629" s="74" t="s">
        <v>13605</v>
      </c>
      <c r="D4629" s="74" t="s">
        <v>13606</v>
      </c>
      <c r="E4629" s="74"/>
      <c r="F4629" s="74">
        <v>0.02</v>
      </c>
      <c r="G4629" s="74"/>
      <c r="H4629" s="74"/>
      <c r="I4629" s="74" t="s">
        <v>391</v>
      </c>
      <c r="J4629" s="74"/>
      <c r="K4629" s="74">
        <v>102.4</v>
      </c>
      <c r="L4629" s="74">
        <v>92.16</v>
      </c>
      <c r="M4629" s="74"/>
      <c r="N4629" s="74" t="s">
        <v>392</v>
      </c>
      <c r="O4629" s="74" t="s">
        <v>402</v>
      </c>
      <c r="P4629" s="74" t="s">
        <v>13607</v>
      </c>
      <c r="Q4629" s="74" t="s">
        <v>13608</v>
      </c>
    </row>
    <row r="4630" spans="3:17" x14ac:dyDescent="0.25">
      <c r="C4630" s="74" t="s">
        <v>13975</v>
      </c>
      <c r="D4630" s="74" t="s">
        <v>13976</v>
      </c>
      <c r="E4630" s="74" t="s">
        <v>391</v>
      </c>
      <c r="F4630" s="74">
        <v>0.02</v>
      </c>
      <c r="G4630" s="74"/>
      <c r="H4630" s="74"/>
      <c r="I4630" s="74" t="s">
        <v>391</v>
      </c>
      <c r="J4630" s="74"/>
      <c r="K4630" s="74">
        <v>102.4</v>
      </c>
      <c r="L4630" s="74">
        <v>92.16</v>
      </c>
      <c r="M4630" s="74"/>
      <c r="N4630" s="74" t="s">
        <v>392</v>
      </c>
      <c r="O4630" s="74" t="s">
        <v>393</v>
      </c>
      <c r="P4630" s="74"/>
      <c r="Q4630" s="74" t="s">
        <v>13977</v>
      </c>
    </row>
    <row r="4631" spans="3:17" x14ac:dyDescent="0.25">
      <c r="C4631" s="74" t="s">
        <v>14106</v>
      </c>
      <c r="D4631" s="74" t="s">
        <v>14107</v>
      </c>
      <c r="E4631" s="74"/>
      <c r="F4631" s="74">
        <v>0.02</v>
      </c>
      <c r="G4631" s="74"/>
      <c r="H4631" s="74"/>
      <c r="I4631" s="74" t="s">
        <v>391</v>
      </c>
      <c r="J4631" s="74"/>
      <c r="K4631" s="74">
        <v>102.4</v>
      </c>
      <c r="L4631" s="74">
        <v>92.16</v>
      </c>
      <c r="M4631" s="74"/>
      <c r="N4631" s="74" t="s">
        <v>392</v>
      </c>
      <c r="O4631" s="74" t="s">
        <v>402</v>
      </c>
      <c r="P4631" s="74"/>
      <c r="Q4631" s="74" t="s">
        <v>14108</v>
      </c>
    </row>
    <row r="4632" spans="3:17" x14ac:dyDescent="0.25">
      <c r="C4632" s="74" t="s">
        <v>14158</v>
      </c>
      <c r="D4632" s="74" t="s">
        <v>14159</v>
      </c>
      <c r="E4632" s="74"/>
      <c r="F4632" s="74">
        <v>0.02</v>
      </c>
      <c r="G4632" s="74"/>
      <c r="H4632" s="74"/>
      <c r="I4632" s="74" t="s">
        <v>391</v>
      </c>
      <c r="J4632" s="74"/>
      <c r="K4632" s="74">
        <v>102.4</v>
      </c>
      <c r="L4632" s="74">
        <v>92.16</v>
      </c>
      <c r="M4632" s="74"/>
      <c r="N4632" s="74" t="s">
        <v>392</v>
      </c>
      <c r="O4632" s="74" t="s">
        <v>402</v>
      </c>
      <c r="P4632" s="74" t="s">
        <v>14160</v>
      </c>
      <c r="Q4632" s="74" t="s">
        <v>14161</v>
      </c>
    </row>
    <row r="4633" spans="3:17" x14ac:dyDescent="0.25">
      <c r="C4633" s="74" t="s">
        <v>14189</v>
      </c>
      <c r="D4633" s="74" t="s">
        <v>14190</v>
      </c>
      <c r="E4633" s="74"/>
      <c r="F4633" s="74">
        <v>0.02</v>
      </c>
      <c r="G4633" s="74"/>
      <c r="H4633" s="74"/>
      <c r="I4633" s="74" t="s">
        <v>391</v>
      </c>
      <c r="J4633" s="74"/>
      <c r="K4633" s="74">
        <v>102.4</v>
      </c>
      <c r="L4633" s="74">
        <v>92.16</v>
      </c>
      <c r="M4633" s="74"/>
      <c r="N4633" s="74" t="s">
        <v>392</v>
      </c>
      <c r="O4633" s="74" t="s">
        <v>402</v>
      </c>
      <c r="P4633" s="74" t="s">
        <v>14191</v>
      </c>
      <c r="Q4633" s="74" t="s">
        <v>14192</v>
      </c>
    </row>
    <row r="4634" spans="3:17" x14ac:dyDescent="0.25">
      <c r="C4634" s="74" t="s">
        <v>14317</v>
      </c>
      <c r="D4634" s="74" t="s">
        <v>14318</v>
      </c>
      <c r="E4634" s="74"/>
      <c r="F4634" s="74">
        <v>0.02</v>
      </c>
      <c r="G4634" s="74"/>
      <c r="H4634" s="74"/>
      <c r="I4634" s="74" t="s">
        <v>391</v>
      </c>
      <c r="J4634" s="74"/>
      <c r="K4634" s="74">
        <v>102.4</v>
      </c>
      <c r="L4634" s="74">
        <v>92.16</v>
      </c>
      <c r="M4634" s="74"/>
      <c r="N4634" s="74" t="s">
        <v>392</v>
      </c>
      <c r="O4634" s="74" t="s">
        <v>402</v>
      </c>
      <c r="P4634" s="74" t="s">
        <v>14319</v>
      </c>
      <c r="Q4634" s="74" t="s">
        <v>14320</v>
      </c>
    </row>
    <row r="4635" spans="3:17" x14ac:dyDescent="0.25">
      <c r="C4635" s="74" t="s">
        <v>14525</v>
      </c>
      <c r="D4635" s="74" t="s">
        <v>14526</v>
      </c>
      <c r="E4635" s="74"/>
      <c r="F4635" s="74">
        <v>0.02</v>
      </c>
      <c r="G4635" s="74"/>
      <c r="H4635" s="74"/>
      <c r="I4635" s="74" t="s">
        <v>391</v>
      </c>
      <c r="J4635" s="74"/>
      <c r="K4635" s="74">
        <v>102.4</v>
      </c>
      <c r="L4635" s="74">
        <v>92.16</v>
      </c>
      <c r="M4635" s="74"/>
      <c r="N4635" s="74" t="s">
        <v>392</v>
      </c>
      <c r="O4635" s="74" t="s">
        <v>402</v>
      </c>
      <c r="P4635" s="74"/>
      <c r="Q4635" s="74" t="s">
        <v>14527</v>
      </c>
    </row>
    <row r="4636" spans="3:17" x14ac:dyDescent="0.25">
      <c r="C4636" s="74" t="s">
        <v>14646</v>
      </c>
      <c r="D4636" s="74" t="s">
        <v>14647</v>
      </c>
      <c r="E4636" s="74"/>
      <c r="F4636" s="74">
        <v>0.02</v>
      </c>
      <c r="G4636" s="74"/>
      <c r="H4636" s="74"/>
      <c r="I4636" s="74" t="s">
        <v>391</v>
      </c>
      <c r="J4636" s="74"/>
      <c r="K4636" s="74">
        <v>102.4</v>
      </c>
      <c r="L4636" s="74">
        <v>92.16</v>
      </c>
      <c r="M4636" s="74"/>
      <c r="N4636" s="74" t="s">
        <v>392</v>
      </c>
      <c r="O4636" s="74" t="s">
        <v>402</v>
      </c>
      <c r="P4636" s="74"/>
      <c r="Q4636" s="74" t="s">
        <v>14648</v>
      </c>
    </row>
    <row r="4637" spans="3:17" x14ac:dyDescent="0.25">
      <c r="C4637" s="74" t="s">
        <v>14722</v>
      </c>
      <c r="D4637" s="74" t="s">
        <v>14723</v>
      </c>
      <c r="E4637" s="74"/>
      <c r="F4637" s="74">
        <v>0.02</v>
      </c>
      <c r="G4637" s="74"/>
      <c r="H4637" s="74"/>
      <c r="I4637" s="74" t="s">
        <v>391</v>
      </c>
      <c r="J4637" s="74"/>
      <c r="K4637" s="74">
        <v>102.4</v>
      </c>
      <c r="L4637" s="74">
        <v>92.16</v>
      </c>
      <c r="M4637" s="74"/>
      <c r="N4637" s="74" t="s">
        <v>392</v>
      </c>
      <c r="O4637" s="74" t="s">
        <v>402</v>
      </c>
      <c r="P4637" s="74" t="s">
        <v>14724</v>
      </c>
      <c r="Q4637" s="74" t="s">
        <v>14725</v>
      </c>
    </row>
    <row r="4638" spans="3:17" x14ac:dyDescent="0.25">
      <c r="C4638" s="74" t="s">
        <v>14771</v>
      </c>
      <c r="D4638" s="74" t="s">
        <v>14772</v>
      </c>
      <c r="E4638" s="74" t="s">
        <v>391</v>
      </c>
      <c r="F4638" s="74">
        <v>0.02</v>
      </c>
      <c r="G4638" s="74"/>
      <c r="H4638" s="74"/>
      <c r="I4638" s="74" t="s">
        <v>391</v>
      </c>
      <c r="J4638" s="74"/>
      <c r="K4638" s="74">
        <v>102.4</v>
      </c>
      <c r="L4638" s="74">
        <v>92.16</v>
      </c>
      <c r="M4638" s="74"/>
      <c r="N4638" s="74" t="s">
        <v>392</v>
      </c>
      <c r="O4638" s="74" t="s">
        <v>402</v>
      </c>
      <c r="P4638" s="74" t="s">
        <v>14773</v>
      </c>
      <c r="Q4638" s="74" t="s">
        <v>14774</v>
      </c>
    </row>
    <row r="4639" spans="3:17" x14ac:dyDescent="0.25">
      <c r="C4639" s="158" t="s">
        <v>15064</v>
      </c>
      <c r="D4639" s="158" t="s">
        <v>15065</v>
      </c>
      <c r="F4639" s="158">
        <v>0.02</v>
      </c>
      <c r="I4639" s="158" t="s">
        <v>391</v>
      </c>
      <c r="K4639" s="158">
        <v>102.4</v>
      </c>
      <c r="L4639" s="158">
        <v>92.16</v>
      </c>
      <c r="N4639" s="158" t="s">
        <v>392</v>
      </c>
      <c r="O4639" s="158" t="s">
        <v>402</v>
      </c>
      <c r="Q4639" s="158" t="s">
        <v>15066</v>
      </c>
    </row>
    <row r="4640" spans="3:17" x14ac:dyDescent="0.25">
      <c r="C4640" s="74" t="s">
        <v>15178</v>
      </c>
      <c r="D4640" s="74" t="s">
        <v>15179</v>
      </c>
      <c r="E4640" s="74" t="s">
        <v>391</v>
      </c>
      <c r="F4640" s="74">
        <v>0.02</v>
      </c>
      <c r="G4640" s="74"/>
      <c r="H4640" s="74"/>
      <c r="I4640" s="74" t="s">
        <v>391</v>
      </c>
      <c r="J4640" s="74"/>
      <c r="K4640" s="74">
        <v>102.4</v>
      </c>
      <c r="L4640" s="74">
        <v>92.16</v>
      </c>
      <c r="M4640" s="74"/>
      <c r="N4640" s="74" t="s">
        <v>392</v>
      </c>
      <c r="O4640" s="74" t="s">
        <v>402</v>
      </c>
      <c r="P4640" s="74" t="s">
        <v>15180</v>
      </c>
      <c r="Q4640" s="74" t="s">
        <v>15181</v>
      </c>
    </row>
    <row r="4641" spans="3:17" x14ac:dyDescent="0.25">
      <c r="C4641" s="74" t="s">
        <v>15352</v>
      </c>
      <c r="D4641" s="74" t="s">
        <v>15353</v>
      </c>
      <c r="E4641" s="74" t="s">
        <v>391</v>
      </c>
      <c r="F4641" s="74">
        <v>0.02</v>
      </c>
      <c r="G4641" s="74"/>
      <c r="H4641" s="74"/>
      <c r="I4641" s="74" t="s">
        <v>391</v>
      </c>
      <c r="J4641" s="74"/>
      <c r="K4641" s="74">
        <v>102.4</v>
      </c>
      <c r="L4641" s="74">
        <v>92.16</v>
      </c>
      <c r="M4641" s="74"/>
      <c r="N4641" s="74" t="s">
        <v>392</v>
      </c>
      <c r="O4641" s="74" t="s">
        <v>393</v>
      </c>
      <c r="P4641" s="74"/>
      <c r="Q4641" s="74" t="s">
        <v>15354</v>
      </c>
    </row>
    <row r="4642" spans="3:17" x14ac:dyDescent="0.25">
      <c r="C4642" s="74" t="s">
        <v>15586</v>
      </c>
      <c r="D4642" s="74" t="s">
        <v>15587</v>
      </c>
      <c r="E4642" s="74" t="s">
        <v>391</v>
      </c>
      <c r="F4642" s="74">
        <v>0.02</v>
      </c>
      <c r="G4642" s="74"/>
      <c r="H4642" s="74"/>
      <c r="I4642" s="74" t="s">
        <v>391</v>
      </c>
      <c r="J4642" s="74"/>
      <c r="K4642" s="74">
        <v>102.4</v>
      </c>
      <c r="L4642" s="74">
        <v>92.16</v>
      </c>
      <c r="M4642" s="74"/>
      <c r="N4642" s="74" t="s">
        <v>392</v>
      </c>
      <c r="O4642" s="74" t="s">
        <v>393</v>
      </c>
      <c r="P4642" s="74"/>
      <c r="Q4642" s="74" t="s">
        <v>15588</v>
      </c>
    </row>
    <row r="4643" spans="3:17" x14ac:dyDescent="0.25">
      <c r="C4643" s="74" t="s">
        <v>15607</v>
      </c>
      <c r="D4643" s="74" t="s">
        <v>15608</v>
      </c>
      <c r="E4643" s="74"/>
      <c r="F4643" s="74">
        <v>0.02</v>
      </c>
      <c r="G4643" s="74"/>
      <c r="H4643" s="74"/>
      <c r="I4643" s="74" t="s">
        <v>391</v>
      </c>
      <c r="J4643" s="74"/>
      <c r="K4643" s="74">
        <v>102.4</v>
      </c>
      <c r="L4643" s="74">
        <v>92.16</v>
      </c>
      <c r="M4643" s="74"/>
      <c r="N4643" s="74" t="s">
        <v>392</v>
      </c>
      <c r="O4643" s="74" t="s">
        <v>402</v>
      </c>
      <c r="P4643" s="74" t="s">
        <v>15609</v>
      </c>
      <c r="Q4643" s="74" t="s">
        <v>15610</v>
      </c>
    </row>
    <row r="4644" spans="3:17" x14ac:dyDescent="0.25">
      <c r="C4644" s="74" t="s">
        <v>15621</v>
      </c>
      <c r="D4644" s="74" t="s">
        <v>15622</v>
      </c>
      <c r="E4644" s="74" t="s">
        <v>391</v>
      </c>
      <c r="F4644" s="74">
        <v>0.02</v>
      </c>
      <c r="G4644" s="74"/>
      <c r="H4644" s="74"/>
      <c r="I4644" s="74" t="s">
        <v>391</v>
      </c>
      <c r="J4644" s="74"/>
      <c r="K4644" s="74">
        <v>102.4</v>
      </c>
      <c r="L4644" s="74">
        <v>92.16</v>
      </c>
      <c r="M4644" s="74"/>
      <c r="N4644" s="74" t="s">
        <v>392</v>
      </c>
      <c r="O4644" s="74" t="s">
        <v>393</v>
      </c>
      <c r="P4644" s="74"/>
      <c r="Q4644" s="74" t="s">
        <v>15623</v>
      </c>
    </row>
    <row r="4645" spans="3:17" x14ac:dyDescent="0.25">
      <c r="C4645" s="74" t="s">
        <v>15691</v>
      </c>
      <c r="D4645" s="74" t="s">
        <v>15692</v>
      </c>
      <c r="E4645" s="74"/>
      <c r="F4645" s="74">
        <v>0.02</v>
      </c>
      <c r="G4645" s="74"/>
      <c r="H4645" s="74"/>
      <c r="I4645" s="74" t="s">
        <v>391</v>
      </c>
      <c r="J4645" s="74"/>
      <c r="K4645" s="74">
        <v>102.4</v>
      </c>
      <c r="L4645" s="74">
        <v>92.16</v>
      </c>
      <c r="M4645" s="74"/>
      <c r="N4645" s="74" t="s">
        <v>392</v>
      </c>
      <c r="O4645" s="74" t="s">
        <v>402</v>
      </c>
      <c r="P4645" s="74" t="s">
        <v>15693</v>
      </c>
      <c r="Q4645" s="74" t="s">
        <v>15694</v>
      </c>
    </row>
    <row r="4646" spans="3:17" x14ac:dyDescent="0.25">
      <c r="C4646" s="74" t="s">
        <v>16591</v>
      </c>
      <c r="D4646" s="74" t="s">
        <v>16592</v>
      </c>
      <c r="E4646" s="74"/>
      <c r="F4646" s="74">
        <v>0.02</v>
      </c>
      <c r="G4646" s="74"/>
      <c r="H4646" s="74"/>
      <c r="I4646" s="74" t="s">
        <v>391</v>
      </c>
      <c r="J4646" s="74"/>
      <c r="K4646" s="74">
        <v>102.4</v>
      </c>
      <c r="L4646" s="74">
        <v>92.16</v>
      </c>
      <c r="M4646" s="74"/>
      <c r="N4646" s="74" t="s">
        <v>392</v>
      </c>
      <c r="O4646" s="74" t="s">
        <v>402</v>
      </c>
      <c r="P4646" s="74" t="s">
        <v>16593</v>
      </c>
      <c r="Q4646" s="74" t="s">
        <v>16594</v>
      </c>
    </row>
    <row r="4647" spans="3:17" x14ac:dyDescent="0.25">
      <c r="C4647" s="74" t="s">
        <v>16788</v>
      </c>
      <c r="D4647" s="74" t="s">
        <v>16789</v>
      </c>
      <c r="E4647" s="74" t="s">
        <v>391</v>
      </c>
      <c r="F4647" s="74">
        <v>0.02</v>
      </c>
      <c r="G4647" s="74"/>
      <c r="H4647" s="74"/>
      <c r="I4647" s="74" t="s">
        <v>391</v>
      </c>
      <c r="J4647" s="74"/>
      <c r="K4647" s="74">
        <v>102.4</v>
      </c>
      <c r="L4647" s="74">
        <v>92.16</v>
      </c>
      <c r="M4647" s="74"/>
      <c r="N4647" s="74" t="s">
        <v>392</v>
      </c>
      <c r="O4647" s="74" t="s">
        <v>393</v>
      </c>
      <c r="P4647" s="74"/>
      <c r="Q4647" s="74" t="s">
        <v>16790</v>
      </c>
    </row>
    <row r="4648" spans="3:17" x14ac:dyDescent="0.25">
      <c r="C4648" s="74" t="s">
        <v>16989</v>
      </c>
      <c r="D4648" s="74" t="s">
        <v>16990</v>
      </c>
      <c r="E4648" s="74"/>
      <c r="F4648" s="74">
        <v>0.02</v>
      </c>
      <c r="G4648" s="74"/>
      <c r="H4648" s="74"/>
      <c r="I4648" s="74" t="s">
        <v>391</v>
      </c>
      <c r="J4648" s="74"/>
      <c r="K4648" s="74">
        <v>102.4</v>
      </c>
      <c r="L4648" s="74">
        <v>92.16</v>
      </c>
      <c r="M4648" s="74"/>
      <c r="N4648" s="74" t="s">
        <v>392</v>
      </c>
      <c r="O4648" s="74" t="s">
        <v>402</v>
      </c>
      <c r="P4648" s="74" t="s">
        <v>16991</v>
      </c>
      <c r="Q4648" s="74" t="s">
        <v>16992</v>
      </c>
    </row>
    <row r="4649" spans="3:17" x14ac:dyDescent="0.25">
      <c r="C4649" s="74" t="s">
        <v>17579</v>
      </c>
      <c r="D4649" s="74" t="s">
        <v>17580</v>
      </c>
      <c r="E4649" s="74" t="s">
        <v>391</v>
      </c>
      <c r="F4649" s="74">
        <v>0.02</v>
      </c>
      <c r="G4649" s="74"/>
      <c r="H4649" s="74"/>
      <c r="I4649" s="74" t="s">
        <v>391</v>
      </c>
      <c r="J4649" s="74"/>
      <c r="K4649" s="74">
        <v>102.4</v>
      </c>
      <c r="L4649" s="74">
        <v>92.16</v>
      </c>
      <c r="M4649" s="74"/>
      <c r="N4649" s="74" t="s">
        <v>392</v>
      </c>
      <c r="O4649" s="74" t="s">
        <v>393</v>
      </c>
      <c r="P4649" s="74" t="s">
        <v>17581</v>
      </c>
      <c r="Q4649" s="74" t="s">
        <v>17582</v>
      </c>
    </row>
    <row r="4650" spans="3:17" x14ac:dyDescent="0.25">
      <c r="C4650" s="74" t="s">
        <v>18146</v>
      </c>
      <c r="D4650" s="74" t="s">
        <v>18147</v>
      </c>
      <c r="E4650" s="74"/>
      <c r="F4650" s="74">
        <v>0.02</v>
      </c>
      <c r="G4650" s="74"/>
      <c r="H4650" s="74"/>
      <c r="I4650" s="74" t="s">
        <v>391</v>
      </c>
      <c r="J4650" s="74"/>
      <c r="K4650" s="74">
        <v>102.4</v>
      </c>
      <c r="L4650" s="74">
        <v>92.16</v>
      </c>
      <c r="M4650" s="74"/>
      <c r="N4650" s="74" t="s">
        <v>392</v>
      </c>
      <c r="O4650" s="74" t="s">
        <v>402</v>
      </c>
      <c r="P4650" s="74" t="s">
        <v>18148</v>
      </c>
      <c r="Q4650" s="74" t="s">
        <v>18149</v>
      </c>
    </row>
    <row r="4651" spans="3:17" x14ac:dyDescent="0.25">
      <c r="C4651" s="74" t="s">
        <v>18235</v>
      </c>
      <c r="D4651" s="74" t="s">
        <v>18236</v>
      </c>
      <c r="E4651" s="74" t="s">
        <v>391</v>
      </c>
      <c r="F4651" s="74">
        <v>0.02</v>
      </c>
      <c r="G4651" s="74"/>
      <c r="H4651" s="74"/>
      <c r="I4651" s="74" t="s">
        <v>391</v>
      </c>
      <c r="J4651" s="74"/>
      <c r="K4651" s="74">
        <v>102.4</v>
      </c>
      <c r="L4651" s="74">
        <v>92.16</v>
      </c>
      <c r="M4651" s="74"/>
      <c r="N4651" s="74" t="s">
        <v>392</v>
      </c>
      <c r="O4651" s="74" t="s">
        <v>402</v>
      </c>
      <c r="P4651" s="74" t="s">
        <v>18237</v>
      </c>
      <c r="Q4651" s="74" t="s">
        <v>18238</v>
      </c>
    </row>
    <row r="4652" spans="3:17" x14ac:dyDescent="0.25">
      <c r="C4652" s="74" t="s">
        <v>18389</v>
      </c>
      <c r="D4652" s="74" t="s">
        <v>18390</v>
      </c>
      <c r="E4652" s="74" t="s">
        <v>391</v>
      </c>
      <c r="F4652" s="74">
        <v>0.02</v>
      </c>
      <c r="G4652" s="74"/>
      <c r="H4652" s="74"/>
      <c r="I4652" s="74" t="s">
        <v>391</v>
      </c>
      <c r="J4652" s="74"/>
      <c r="K4652" s="74">
        <v>102.4</v>
      </c>
      <c r="L4652" s="74">
        <v>92.16</v>
      </c>
      <c r="M4652" s="74"/>
      <c r="N4652" s="74" t="s">
        <v>392</v>
      </c>
      <c r="O4652" s="74" t="s">
        <v>393</v>
      </c>
      <c r="P4652" s="74"/>
      <c r="Q4652" s="74" t="s">
        <v>18391</v>
      </c>
    </row>
    <row r="4653" spans="3:17" x14ac:dyDescent="0.25">
      <c r="C4653" s="74" t="s">
        <v>18415</v>
      </c>
      <c r="D4653" s="74" t="s">
        <v>18416</v>
      </c>
      <c r="E4653" s="74" t="s">
        <v>391</v>
      </c>
      <c r="F4653" s="74">
        <v>0.02</v>
      </c>
      <c r="G4653" s="74"/>
      <c r="H4653" s="74"/>
      <c r="I4653" s="74" t="s">
        <v>391</v>
      </c>
      <c r="J4653" s="74"/>
      <c r="K4653" s="74">
        <v>102.4</v>
      </c>
      <c r="L4653" s="74">
        <v>92.16</v>
      </c>
      <c r="M4653" s="74"/>
      <c r="N4653" s="74" t="s">
        <v>392</v>
      </c>
      <c r="O4653" s="74" t="s">
        <v>393</v>
      </c>
      <c r="P4653" s="74"/>
      <c r="Q4653" s="74" t="s">
        <v>18417</v>
      </c>
    </row>
    <row r="4654" spans="3:17" x14ac:dyDescent="0.25">
      <c r="C4654" s="74" t="s">
        <v>18523</v>
      </c>
      <c r="D4654" s="74" t="s">
        <v>18524</v>
      </c>
      <c r="E4654" s="74"/>
      <c r="F4654" s="74">
        <v>0.02</v>
      </c>
      <c r="G4654" s="74"/>
      <c r="H4654" s="74"/>
      <c r="I4654" s="74" t="s">
        <v>391</v>
      </c>
      <c r="J4654" s="74"/>
      <c r="K4654" s="74">
        <v>102.4</v>
      </c>
      <c r="L4654" s="74">
        <v>92.16</v>
      </c>
      <c r="M4654" s="74"/>
      <c r="N4654" s="74" t="s">
        <v>392</v>
      </c>
      <c r="O4654" s="74" t="s">
        <v>402</v>
      </c>
      <c r="P4654" s="74" t="s">
        <v>18525</v>
      </c>
      <c r="Q4654" s="74" t="s">
        <v>18526</v>
      </c>
    </row>
    <row r="4655" spans="3:17" x14ac:dyDescent="0.25">
      <c r="C4655" s="74" t="s">
        <v>18771</v>
      </c>
      <c r="D4655" s="74" t="s">
        <v>18772</v>
      </c>
      <c r="E4655" s="74"/>
      <c r="F4655" s="74">
        <v>0.02</v>
      </c>
      <c r="G4655" s="74"/>
      <c r="H4655" s="74"/>
      <c r="I4655" s="74" t="s">
        <v>391</v>
      </c>
      <c r="J4655" s="74"/>
      <c r="K4655" s="74">
        <v>102.4</v>
      </c>
      <c r="L4655" s="74">
        <v>92.16</v>
      </c>
      <c r="M4655" s="74"/>
      <c r="N4655" s="74" t="s">
        <v>392</v>
      </c>
      <c r="O4655" s="74" t="s">
        <v>535</v>
      </c>
      <c r="P4655" s="74"/>
      <c r="Q4655" s="74" t="s">
        <v>18773</v>
      </c>
    </row>
    <row r="4656" spans="3:17" x14ac:dyDescent="0.25">
      <c r="C4656" s="74" t="s">
        <v>18984</v>
      </c>
      <c r="D4656" s="74" t="s">
        <v>18985</v>
      </c>
      <c r="E4656" s="74"/>
      <c r="F4656" s="74">
        <v>0.02</v>
      </c>
      <c r="G4656" s="74"/>
      <c r="H4656" s="74"/>
      <c r="I4656" s="74" t="s">
        <v>391</v>
      </c>
      <c r="J4656" s="74"/>
      <c r="K4656" s="74">
        <v>102.4</v>
      </c>
      <c r="L4656" s="74">
        <v>92.16</v>
      </c>
      <c r="M4656" s="74"/>
      <c r="N4656" s="74" t="s">
        <v>392</v>
      </c>
      <c r="O4656" s="74" t="s">
        <v>402</v>
      </c>
      <c r="P4656" s="74" t="s">
        <v>18986</v>
      </c>
      <c r="Q4656" s="74" t="s">
        <v>18987</v>
      </c>
    </row>
    <row r="4657" spans="3:17" x14ac:dyDescent="0.25">
      <c r="C4657" s="74" t="s">
        <v>19080</v>
      </c>
      <c r="D4657" s="74" t="s">
        <v>19081</v>
      </c>
      <c r="E4657" s="74" t="s">
        <v>391</v>
      </c>
      <c r="F4657" s="74">
        <v>0.02</v>
      </c>
      <c r="G4657" s="74"/>
      <c r="H4657" s="74"/>
      <c r="I4657" s="74" t="s">
        <v>391</v>
      </c>
      <c r="J4657" s="74"/>
      <c r="K4657" s="74">
        <v>102.4</v>
      </c>
      <c r="L4657" s="74">
        <v>92.16</v>
      </c>
      <c r="M4657" s="74"/>
      <c r="N4657" s="74" t="s">
        <v>392</v>
      </c>
      <c r="O4657" s="74" t="s">
        <v>393</v>
      </c>
      <c r="P4657" s="74"/>
      <c r="Q4657" s="74" t="s">
        <v>19082</v>
      </c>
    </row>
    <row r="4658" spans="3:17" x14ac:dyDescent="0.25">
      <c r="C4658" s="74" t="s">
        <v>19188</v>
      </c>
      <c r="D4658" s="74" t="s">
        <v>19189</v>
      </c>
      <c r="E4658" s="74"/>
      <c r="F4658" s="74">
        <v>0.02</v>
      </c>
      <c r="G4658" s="74"/>
      <c r="H4658" s="74"/>
      <c r="I4658" s="74" t="s">
        <v>391</v>
      </c>
      <c r="J4658" s="74"/>
      <c r="K4658" s="74">
        <v>102.4</v>
      </c>
      <c r="L4658" s="74">
        <v>92.16</v>
      </c>
      <c r="M4658" s="74"/>
      <c r="N4658" s="74" t="s">
        <v>392</v>
      </c>
      <c r="O4658" s="74" t="s">
        <v>402</v>
      </c>
      <c r="P4658" s="74"/>
      <c r="Q4658" s="74" t="s">
        <v>19190</v>
      </c>
    </row>
    <row r="4659" spans="3:17" x14ac:dyDescent="0.25">
      <c r="C4659" s="74" t="s">
        <v>19465</v>
      </c>
      <c r="D4659" s="74" t="s">
        <v>19466</v>
      </c>
      <c r="E4659" s="74"/>
      <c r="F4659" s="74">
        <v>0.02</v>
      </c>
      <c r="G4659" s="74"/>
      <c r="H4659" s="74"/>
      <c r="I4659" s="74" t="s">
        <v>391</v>
      </c>
      <c r="J4659" s="74"/>
      <c r="K4659" s="74">
        <v>102.4</v>
      </c>
      <c r="L4659" s="74">
        <v>92.16</v>
      </c>
      <c r="M4659" s="74"/>
      <c r="N4659" s="74" t="s">
        <v>392</v>
      </c>
      <c r="O4659" s="74" t="s">
        <v>402</v>
      </c>
      <c r="P4659" s="74" t="s">
        <v>19467</v>
      </c>
      <c r="Q4659" s="74" t="s">
        <v>19468</v>
      </c>
    </row>
    <row r="4660" spans="3:17" x14ac:dyDescent="0.25">
      <c r="C4660" s="74" t="s">
        <v>19682</v>
      </c>
      <c r="D4660" s="74" t="s">
        <v>19683</v>
      </c>
      <c r="E4660" s="74"/>
      <c r="F4660" s="74">
        <v>0.02</v>
      </c>
      <c r="G4660" s="74"/>
      <c r="H4660" s="74"/>
      <c r="I4660" s="74" t="s">
        <v>391</v>
      </c>
      <c r="J4660" s="74"/>
      <c r="K4660" s="74">
        <v>102.4</v>
      </c>
      <c r="L4660" s="74">
        <v>92.16</v>
      </c>
      <c r="M4660" s="74"/>
      <c r="N4660" s="74" t="s">
        <v>392</v>
      </c>
      <c r="O4660" s="74" t="s">
        <v>402</v>
      </c>
      <c r="P4660" s="74" t="s">
        <v>19684</v>
      </c>
      <c r="Q4660" s="74" t="s">
        <v>19685</v>
      </c>
    </row>
    <row r="4661" spans="3:17" x14ac:dyDescent="0.25">
      <c r="C4661" s="74" t="s">
        <v>19888</v>
      </c>
      <c r="D4661" s="74" t="s">
        <v>19889</v>
      </c>
      <c r="E4661" s="74"/>
      <c r="F4661" s="74">
        <v>0.02</v>
      </c>
      <c r="G4661" s="74"/>
      <c r="H4661" s="74"/>
      <c r="I4661" s="74" t="s">
        <v>391</v>
      </c>
      <c r="J4661" s="74"/>
      <c r="K4661" s="74">
        <v>102.4</v>
      </c>
      <c r="L4661" s="74">
        <v>92.16</v>
      </c>
      <c r="M4661" s="74"/>
      <c r="N4661" s="74" t="s">
        <v>392</v>
      </c>
      <c r="O4661" s="74" t="s">
        <v>5621</v>
      </c>
      <c r="P4661" s="74" t="s">
        <v>19890</v>
      </c>
      <c r="Q4661" s="74" t="s">
        <v>19891</v>
      </c>
    </row>
    <row r="4662" spans="3:17" x14ac:dyDescent="0.25">
      <c r="C4662" s="74" t="s">
        <v>20187</v>
      </c>
      <c r="D4662" s="74" t="s">
        <v>20188</v>
      </c>
      <c r="E4662" s="74"/>
      <c r="F4662" s="74">
        <v>0.02</v>
      </c>
      <c r="G4662" s="74"/>
      <c r="H4662" s="74"/>
      <c r="I4662" s="74" t="s">
        <v>391</v>
      </c>
      <c r="J4662" s="74"/>
      <c r="K4662" s="74">
        <v>102.4</v>
      </c>
      <c r="L4662" s="74">
        <v>92.16</v>
      </c>
      <c r="M4662" s="74"/>
      <c r="N4662" s="74" t="s">
        <v>392</v>
      </c>
      <c r="O4662" s="74" t="s">
        <v>402</v>
      </c>
      <c r="P4662" s="74" t="s">
        <v>20189</v>
      </c>
      <c r="Q4662" s="74" t="s">
        <v>20190</v>
      </c>
    </row>
    <row r="4663" spans="3:17" x14ac:dyDescent="0.25">
      <c r="C4663" s="74" t="s">
        <v>20450</v>
      </c>
      <c r="D4663" s="74" t="s">
        <v>20451</v>
      </c>
      <c r="E4663" s="74" t="s">
        <v>391</v>
      </c>
      <c r="F4663" s="74">
        <v>0.02</v>
      </c>
      <c r="G4663" s="74"/>
      <c r="H4663" s="74"/>
      <c r="I4663" s="74" t="s">
        <v>391</v>
      </c>
      <c r="J4663" s="74"/>
      <c r="K4663" s="74">
        <v>102.4</v>
      </c>
      <c r="L4663" s="74">
        <v>92.16</v>
      </c>
      <c r="M4663" s="74"/>
      <c r="N4663" s="74" t="s">
        <v>392</v>
      </c>
      <c r="O4663" s="74" t="s">
        <v>393</v>
      </c>
      <c r="P4663" s="74"/>
      <c r="Q4663" s="74" t="s">
        <v>20452</v>
      </c>
    </row>
    <row r="4664" spans="3:17" x14ac:dyDescent="0.25">
      <c r="C4664" s="74" t="s">
        <v>20516</v>
      </c>
      <c r="D4664" s="74" t="s">
        <v>20517</v>
      </c>
      <c r="E4664" s="74"/>
      <c r="F4664" s="74">
        <v>0.02</v>
      </c>
      <c r="G4664" s="74"/>
      <c r="H4664" s="74"/>
      <c r="I4664" s="74" t="s">
        <v>391</v>
      </c>
      <c r="J4664" s="74"/>
      <c r="K4664" s="74">
        <v>102.4</v>
      </c>
      <c r="L4664" s="74">
        <v>92.16</v>
      </c>
      <c r="M4664" s="74"/>
      <c r="N4664" s="74" t="s">
        <v>392</v>
      </c>
      <c r="O4664" s="74" t="s">
        <v>402</v>
      </c>
      <c r="P4664" s="74" t="s">
        <v>20518</v>
      </c>
      <c r="Q4664" s="74" t="s">
        <v>20519</v>
      </c>
    </row>
    <row r="4665" spans="3:17" x14ac:dyDescent="0.25">
      <c r="C4665" s="74" t="s">
        <v>21043</v>
      </c>
      <c r="D4665" s="74" t="s">
        <v>21044</v>
      </c>
      <c r="E4665" s="74"/>
      <c r="F4665" s="74">
        <v>0.02</v>
      </c>
      <c r="G4665" s="74"/>
      <c r="H4665" s="74"/>
      <c r="I4665" s="74" t="s">
        <v>391</v>
      </c>
      <c r="J4665" s="74"/>
      <c r="K4665" s="74">
        <v>102.4</v>
      </c>
      <c r="L4665" s="74">
        <v>92.16</v>
      </c>
      <c r="M4665" s="74"/>
      <c r="N4665" s="74" t="s">
        <v>392</v>
      </c>
      <c r="O4665" s="74" t="s">
        <v>402</v>
      </c>
      <c r="P4665" s="74"/>
      <c r="Q4665" s="74" t="s">
        <v>21045</v>
      </c>
    </row>
    <row r="4666" spans="3:17" x14ac:dyDescent="0.25">
      <c r="C4666" s="74" t="s">
        <v>21094</v>
      </c>
      <c r="D4666" s="74" t="s">
        <v>21095</v>
      </c>
      <c r="E4666" s="74"/>
      <c r="F4666" s="74">
        <v>0.02</v>
      </c>
      <c r="G4666" s="74"/>
      <c r="H4666" s="74"/>
      <c r="I4666" s="74" t="s">
        <v>391</v>
      </c>
      <c r="J4666" s="74"/>
      <c r="K4666" s="74">
        <v>102.4</v>
      </c>
      <c r="L4666" s="74">
        <v>92.16</v>
      </c>
      <c r="M4666" s="74"/>
      <c r="N4666" s="74" t="s">
        <v>392</v>
      </c>
      <c r="O4666" s="74" t="s">
        <v>393</v>
      </c>
      <c r="P4666" s="74" t="s">
        <v>21096</v>
      </c>
      <c r="Q4666" s="74" t="s">
        <v>21097</v>
      </c>
    </row>
    <row r="4667" spans="3:17" x14ac:dyDescent="0.25">
      <c r="C4667" s="74" t="s">
        <v>449</v>
      </c>
      <c r="D4667" s="74" t="s">
        <v>450</v>
      </c>
      <c r="E4667" s="74" t="s">
        <v>391</v>
      </c>
      <c r="F4667" s="74">
        <v>0.01</v>
      </c>
      <c r="G4667" s="74"/>
      <c r="H4667" s="74"/>
      <c r="I4667" s="74" t="s">
        <v>391</v>
      </c>
      <c r="J4667" s="74"/>
      <c r="K4667" s="74">
        <v>102.4</v>
      </c>
      <c r="L4667" s="74">
        <v>92.16</v>
      </c>
      <c r="M4667" s="74"/>
      <c r="N4667" s="74" t="s">
        <v>392</v>
      </c>
      <c r="O4667" s="74" t="s">
        <v>393</v>
      </c>
      <c r="P4667" s="74"/>
      <c r="Q4667" s="74" t="s">
        <v>451</v>
      </c>
    </row>
    <row r="4668" spans="3:17" x14ac:dyDescent="0.25">
      <c r="C4668" s="74" t="s">
        <v>522</v>
      </c>
      <c r="D4668" s="74" t="s">
        <v>523</v>
      </c>
      <c r="E4668" s="74"/>
      <c r="F4668" s="74">
        <v>0.01</v>
      </c>
      <c r="G4668" s="74"/>
      <c r="H4668" s="74"/>
      <c r="I4668" s="74" t="s">
        <v>391</v>
      </c>
      <c r="J4668" s="74"/>
      <c r="K4668" s="74">
        <v>102.4</v>
      </c>
      <c r="L4668" s="74">
        <v>92.16</v>
      </c>
      <c r="M4668" s="74"/>
      <c r="N4668" s="74" t="s">
        <v>392</v>
      </c>
      <c r="O4668" s="74" t="s">
        <v>402</v>
      </c>
      <c r="P4668" s="74" t="s">
        <v>524</v>
      </c>
      <c r="Q4668" s="74" t="s">
        <v>525</v>
      </c>
    </row>
    <row r="4669" spans="3:17" x14ac:dyDescent="0.25">
      <c r="C4669" s="74" t="s">
        <v>621</v>
      </c>
      <c r="D4669" s="74" t="s">
        <v>622</v>
      </c>
      <c r="E4669" s="74"/>
      <c r="F4669" s="74">
        <v>0.01</v>
      </c>
      <c r="G4669" s="74"/>
      <c r="H4669" s="74"/>
      <c r="I4669" s="74" t="s">
        <v>391</v>
      </c>
      <c r="J4669" s="74"/>
      <c r="K4669" s="74">
        <v>102.4</v>
      </c>
      <c r="L4669" s="74">
        <v>92.16</v>
      </c>
      <c r="M4669" s="74"/>
      <c r="N4669" s="74" t="s">
        <v>392</v>
      </c>
      <c r="O4669" s="74" t="s">
        <v>402</v>
      </c>
      <c r="P4669" s="74" t="s">
        <v>623</v>
      </c>
      <c r="Q4669" s="74" t="s">
        <v>624</v>
      </c>
    </row>
    <row r="4670" spans="3:17" x14ac:dyDescent="0.25">
      <c r="C4670" s="74" t="s">
        <v>659</v>
      </c>
      <c r="D4670" s="74" t="s">
        <v>660</v>
      </c>
      <c r="E4670" s="74"/>
      <c r="F4670" s="74">
        <v>0.01</v>
      </c>
      <c r="G4670" s="74"/>
      <c r="H4670" s="74"/>
      <c r="I4670" s="74" t="s">
        <v>391</v>
      </c>
      <c r="J4670" s="74"/>
      <c r="K4670" s="74">
        <v>102.4</v>
      </c>
      <c r="L4670" s="74">
        <v>92.16</v>
      </c>
      <c r="M4670" s="74"/>
      <c r="N4670" s="74" t="s">
        <v>392</v>
      </c>
      <c r="O4670" s="74" t="s">
        <v>402</v>
      </c>
      <c r="P4670" s="74" t="s">
        <v>661</v>
      </c>
      <c r="Q4670" s="74" t="s">
        <v>662</v>
      </c>
    </row>
    <row r="4671" spans="3:17" x14ac:dyDescent="0.25">
      <c r="C4671" s="74" t="s">
        <v>745</v>
      </c>
      <c r="D4671" s="74" t="s">
        <v>746</v>
      </c>
      <c r="E4671" s="74" t="s">
        <v>391</v>
      </c>
      <c r="F4671" s="74">
        <v>0.01</v>
      </c>
      <c r="G4671" s="74"/>
      <c r="H4671" s="74"/>
      <c r="I4671" s="74" t="s">
        <v>391</v>
      </c>
      <c r="J4671" s="74"/>
      <c r="K4671" s="74">
        <v>102.4</v>
      </c>
      <c r="L4671" s="74">
        <v>92.16</v>
      </c>
      <c r="M4671" s="74"/>
      <c r="N4671" s="74" t="s">
        <v>392</v>
      </c>
      <c r="O4671" s="74" t="s">
        <v>393</v>
      </c>
      <c r="P4671" s="74" t="s">
        <v>747</v>
      </c>
      <c r="Q4671" s="74" t="s">
        <v>748</v>
      </c>
    </row>
    <row r="4672" spans="3:17" x14ac:dyDescent="0.25">
      <c r="C4672" s="74" t="s">
        <v>824</v>
      </c>
      <c r="D4672" s="74" t="s">
        <v>825</v>
      </c>
      <c r="E4672" s="74"/>
      <c r="F4672" s="74">
        <v>0.01</v>
      </c>
      <c r="G4672" s="74"/>
      <c r="H4672" s="74"/>
      <c r="I4672" s="74" t="s">
        <v>391</v>
      </c>
      <c r="J4672" s="74"/>
      <c r="K4672" s="74">
        <v>102.4</v>
      </c>
      <c r="L4672" s="74">
        <v>92.16</v>
      </c>
      <c r="M4672" s="74"/>
      <c r="N4672" s="74" t="s">
        <v>392</v>
      </c>
      <c r="O4672" s="74" t="s">
        <v>402</v>
      </c>
      <c r="P4672" s="74"/>
      <c r="Q4672" s="74" t="s">
        <v>826</v>
      </c>
    </row>
    <row r="4673" spans="3:17" x14ac:dyDescent="0.25">
      <c r="C4673" s="74" t="s">
        <v>889</v>
      </c>
      <c r="D4673" s="74" t="s">
        <v>890</v>
      </c>
      <c r="E4673" s="74" t="s">
        <v>391</v>
      </c>
      <c r="F4673" s="74">
        <v>0.01</v>
      </c>
      <c r="G4673" s="74"/>
      <c r="H4673" s="74"/>
      <c r="I4673" s="74" t="s">
        <v>391</v>
      </c>
      <c r="J4673" s="74"/>
      <c r="K4673" s="74">
        <v>102.4</v>
      </c>
      <c r="L4673" s="74">
        <v>92.16</v>
      </c>
      <c r="M4673" s="74"/>
      <c r="N4673" s="74" t="s">
        <v>392</v>
      </c>
      <c r="O4673" s="74" t="s">
        <v>393</v>
      </c>
      <c r="P4673" s="74"/>
      <c r="Q4673" s="74" t="s">
        <v>891</v>
      </c>
    </row>
    <row r="4674" spans="3:17" x14ac:dyDescent="0.25">
      <c r="C4674" s="74" t="s">
        <v>1148</v>
      </c>
      <c r="D4674" s="74" t="s">
        <v>1149</v>
      </c>
      <c r="E4674" s="74" t="s">
        <v>391</v>
      </c>
      <c r="F4674" s="74">
        <v>0.01</v>
      </c>
      <c r="G4674" s="74"/>
      <c r="H4674" s="74"/>
      <c r="I4674" s="74" t="s">
        <v>391</v>
      </c>
      <c r="J4674" s="74"/>
      <c r="K4674" s="74">
        <v>102.4</v>
      </c>
      <c r="L4674" s="74">
        <v>92.16</v>
      </c>
      <c r="M4674" s="74"/>
      <c r="N4674" s="74" t="s">
        <v>392</v>
      </c>
      <c r="O4674" s="74" t="s">
        <v>393</v>
      </c>
      <c r="P4674" s="74"/>
      <c r="Q4674" s="74" t="s">
        <v>1150</v>
      </c>
    </row>
    <row r="4675" spans="3:17" x14ac:dyDescent="0.25">
      <c r="C4675" s="74" t="s">
        <v>1154</v>
      </c>
      <c r="D4675" s="74" t="s">
        <v>1155</v>
      </c>
      <c r="E4675" s="74" t="s">
        <v>391</v>
      </c>
      <c r="F4675" s="74">
        <v>0.01</v>
      </c>
      <c r="G4675" s="74"/>
      <c r="H4675" s="74"/>
      <c r="I4675" s="74" t="s">
        <v>391</v>
      </c>
      <c r="J4675" s="74"/>
      <c r="K4675" s="74">
        <v>102.4</v>
      </c>
      <c r="L4675" s="74">
        <v>92.16</v>
      </c>
      <c r="M4675" s="74"/>
      <c r="N4675" s="74" t="s">
        <v>392</v>
      </c>
      <c r="O4675" s="74" t="s">
        <v>393</v>
      </c>
      <c r="P4675" s="74"/>
      <c r="Q4675" s="74" t="s">
        <v>1156</v>
      </c>
    </row>
    <row r="4676" spans="3:17" x14ac:dyDescent="0.25">
      <c r="C4676" s="74" t="s">
        <v>1211</v>
      </c>
      <c r="D4676" s="74" t="s">
        <v>1212</v>
      </c>
      <c r="E4676" s="74"/>
      <c r="F4676" s="74">
        <v>0.01</v>
      </c>
      <c r="G4676" s="74"/>
      <c r="H4676" s="74"/>
      <c r="I4676" s="74" t="s">
        <v>391</v>
      </c>
      <c r="J4676" s="74"/>
      <c r="K4676" s="74">
        <v>102.4</v>
      </c>
      <c r="L4676" s="74">
        <v>92.16</v>
      </c>
      <c r="M4676" s="74"/>
      <c r="N4676" s="74" t="s">
        <v>392</v>
      </c>
      <c r="O4676" s="74" t="s">
        <v>402</v>
      </c>
      <c r="P4676" s="74" t="s">
        <v>1213</v>
      </c>
      <c r="Q4676" s="74" t="s">
        <v>1214</v>
      </c>
    </row>
    <row r="4677" spans="3:17" x14ac:dyDescent="0.25">
      <c r="C4677" s="74" t="s">
        <v>1265</v>
      </c>
      <c r="D4677" s="74" t="s">
        <v>1266</v>
      </c>
      <c r="E4677" s="74"/>
      <c r="F4677" s="74">
        <v>0.01</v>
      </c>
      <c r="G4677" s="74"/>
      <c r="H4677" s="74"/>
      <c r="I4677" s="74" t="s">
        <v>391</v>
      </c>
      <c r="J4677" s="74"/>
      <c r="K4677" s="74">
        <v>102.4</v>
      </c>
      <c r="L4677" s="74">
        <v>92.16</v>
      </c>
      <c r="M4677" s="74"/>
      <c r="N4677" s="74" t="s">
        <v>392</v>
      </c>
      <c r="O4677" s="74" t="s">
        <v>402</v>
      </c>
      <c r="P4677" s="74" t="s">
        <v>1267</v>
      </c>
      <c r="Q4677" s="74" t="s">
        <v>1268</v>
      </c>
    </row>
    <row r="4678" spans="3:17" x14ac:dyDescent="0.25">
      <c r="C4678" s="74" t="s">
        <v>1282</v>
      </c>
      <c r="D4678" s="74" t="s">
        <v>1283</v>
      </c>
      <c r="E4678" s="74" t="s">
        <v>391</v>
      </c>
      <c r="F4678" s="74">
        <v>0.01</v>
      </c>
      <c r="G4678" s="74"/>
      <c r="H4678" s="74"/>
      <c r="I4678" s="74" t="s">
        <v>391</v>
      </c>
      <c r="J4678" s="74"/>
      <c r="K4678" s="74">
        <v>102.4</v>
      </c>
      <c r="L4678" s="74">
        <v>92.16</v>
      </c>
      <c r="M4678" s="74"/>
      <c r="N4678" s="74" t="s">
        <v>392</v>
      </c>
      <c r="O4678" s="74" t="s">
        <v>393</v>
      </c>
      <c r="P4678" s="74"/>
      <c r="Q4678" s="74" t="s">
        <v>1284</v>
      </c>
    </row>
    <row r="4679" spans="3:17" x14ac:dyDescent="0.25">
      <c r="C4679" s="74" t="s">
        <v>1301</v>
      </c>
      <c r="D4679" s="74" t="s">
        <v>1302</v>
      </c>
      <c r="E4679" s="74" t="s">
        <v>391</v>
      </c>
      <c r="F4679" s="74">
        <v>0.01</v>
      </c>
      <c r="G4679" s="74"/>
      <c r="H4679" s="74"/>
      <c r="I4679" s="74" t="s">
        <v>391</v>
      </c>
      <c r="J4679" s="74"/>
      <c r="K4679" s="74">
        <v>102.4</v>
      </c>
      <c r="L4679" s="74">
        <v>92.16</v>
      </c>
      <c r="M4679" s="74"/>
      <c r="N4679" s="74" t="s">
        <v>392</v>
      </c>
      <c r="O4679" s="74" t="s">
        <v>393</v>
      </c>
      <c r="P4679" s="74"/>
      <c r="Q4679" s="74" t="s">
        <v>1303</v>
      </c>
    </row>
    <row r="4680" spans="3:17" x14ac:dyDescent="0.25">
      <c r="C4680" s="74" t="s">
        <v>1387</v>
      </c>
      <c r="D4680" s="74" t="s">
        <v>1388</v>
      </c>
      <c r="E4680" s="74" t="s">
        <v>391</v>
      </c>
      <c r="F4680" s="74">
        <v>0.01</v>
      </c>
      <c r="G4680" s="74"/>
      <c r="H4680" s="74"/>
      <c r="I4680" s="74" t="s">
        <v>391</v>
      </c>
      <c r="J4680" s="74"/>
      <c r="K4680" s="74">
        <v>102.4</v>
      </c>
      <c r="L4680" s="74">
        <v>92.16</v>
      </c>
      <c r="M4680" s="74"/>
      <c r="N4680" s="74" t="s">
        <v>392</v>
      </c>
      <c r="O4680" s="74" t="s">
        <v>393</v>
      </c>
      <c r="P4680" s="74"/>
      <c r="Q4680" s="74" t="s">
        <v>1389</v>
      </c>
    </row>
    <row r="4681" spans="3:17" x14ac:dyDescent="0.25">
      <c r="C4681" s="74" t="s">
        <v>1494</v>
      </c>
      <c r="D4681" s="74" t="s">
        <v>1495</v>
      </c>
      <c r="E4681" s="74" t="s">
        <v>391</v>
      </c>
      <c r="F4681" s="74">
        <v>0.01</v>
      </c>
      <c r="G4681" s="74"/>
      <c r="H4681" s="74"/>
      <c r="I4681" s="74" t="s">
        <v>391</v>
      </c>
      <c r="J4681" s="74"/>
      <c r="K4681" s="74">
        <v>102.4</v>
      </c>
      <c r="L4681" s="74">
        <v>92.16</v>
      </c>
      <c r="M4681" s="74"/>
      <c r="N4681" s="74" t="s">
        <v>392</v>
      </c>
      <c r="O4681" s="74" t="s">
        <v>393</v>
      </c>
      <c r="P4681" s="74"/>
      <c r="Q4681" s="74" t="s">
        <v>1496</v>
      </c>
    </row>
    <row r="4682" spans="3:17" x14ac:dyDescent="0.25">
      <c r="C4682" s="74" t="s">
        <v>1573</v>
      </c>
      <c r="D4682" s="74" t="s">
        <v>1574</v>
      </c>
      <c r="E4682" s="74"/>
      <c r="F4682" s="74">
        <v>0.01</v>
      </c>
      <c r="G4682" s="74"/>
      <c r="H4682" s="74"/>
      <c r="I4682" s="74" t="s">
        <v>391</v>
      </c>
      <c r="J4682" s="74"/>
      <c r="K4682" s="74">
        <v>102.4</v>
      </c>
      <c r="L4682" s="74">
        <v>92.16</v>
      </c>
      <c r="M4682" s="74"/>
      <c r="N4682" s="74" t="s">
        <v>392</v>
      </c>
      <c r="O4682" s="74" t="s">
        <v>402</v>
      </c>
      <c r="P4682" s="74" t="s">
        <v>1575</v>
      </c>
      <c r="Q4682" s="74" t="s">
        <v>1576</v>
      </c>
    </row>
    <row r="4683" spans="3:17" x14ac:dyDescent="0.25">
      <c r="C4683" s="74" t="s">
        <v>1684</v>
      </c>
      <c r="D4683" s="74" t="s">
        <v>1685</v>
      </c>
      <c r="E4683" s="74"/>
      <c r="F4683" s="74">
        <v>0.01</v>
      </c>
      <c r="G4683" s="74"/>
      <c r="H4683" s="74"/>
      <c r="I4683" s="74" t="s">
        <v>391</v>
      </c>
      <c r="J4683" s="74"/>
      <c r="K4683" s="74">
        <v>102.4</v>
      </c>
      <c r="L4683" s="74">
        <v>92.16</v>
      </c>
      <c r="M4683" s="74"/>
      <c r="N4683" s="74" t="s">
        <v>392</v>
      </c>
      <c r="O4683" s="74" t="s">
        <v>402</v>
      </c>
      <c r="P4683" s="74" t="s">
        <v>1686</v>
      </c>
      <c r="Q4683" s="74" t="s">
        <v>1687</v>
      </c>
    </row>
    <row r="4684" spans="3:17" x14ac:dyDescent="0.25">
      <c r="C4684" s="74" t="s">
        <v>1784</v>
      </c>
      <c r="D4684" s="74" t="s">
        <v>1785</v>
      </c>
      <c r="E4684" s="74"/>
      <c r="F4684" s="74">
        <v>0.01</v>
      </c>
      <c r="G4684" s="74"/>
      <c r="H4684" s="74"/>
      <c r="I4684" s="74" t="s">
        <v>391</v>
      </c>
      <c r="J4684" s="74"/>
      <c r="K4684" s="74">
        <v>102.4</v>
      </c>
      <c r="L4684" s="74">
        <v>92.16</v>
      </c>
      <c r="M4684" s="74"/>
      <c r="N4684" s="74" t="s">
        <v>392</v>
      </c>
      <c r="O4684" s="74" t="s">
        <v>402</v>
      </c>
      <c r="P4684" s="74" t="s">
        <v>1786</v>
      </c>
      <c r="Q4684" s="74" t="s">
        <v>1787</v>
      </c>
    </row>
    <row r="4685" spans="3:17" x14ac:dyDescent="0.25">
      <c r="C4685" s="74" t="s">
        <v>1929</v>
      </c>
      <c r="D4685" s="74" t="s">
        <v>1930</v>
      </c>
      <c r="E4685" s="74" t="s">
        <v>391</v>
      </c>
      <c r="F4685" s="74">
        <v>0.01</v>
      </c>
      <c r="G4685" s="74"/>
      <c r="H4685" s="74"/>
      <c r="I4685" s="74" t="s">
        <v>391</v>
      </c>
      <c r="J4685" s="74"/>
      <c r="K4685" s="74">
        <v>102.4</v>
      </c>
      <c r="L4685" s="74">
        <v>92.16</v>
      </c>
      <c r="M4685" s="74"/>
      <c r="N4685" s="74" t="s">
        <v>392</v>
      </c>
      <c r="O4685" s="74" t="s">
        <v>393</v>
      </c>
      <c r="P4685" s="74"/>
      <c r="Q4685" s="74" t="s">
        <v>1931</v>
      </c>
    </row>
    <row r="4686" spans="3:17" x14ac:dyDescent="0.25">
      <c r="C4686" s="74" t="s">
        <v>2042</v>
      </c>
      <c r="D4686" s="74" t="s">
        <v>2043</v>
      </c>
      <c r="E4686" s="74" t="s">
        <v>391</v>
      </c>
      <c r="F4686" s="74">
        <v>0.01</v>
      </c>
      <c r="G4686" s="74"/>
      <c r="H4686" s="74"/>
      <c r="I4686" s="74" t="s">
        <v>391</v>
      </c>
      <c r="J4686" s="74"/>
      <c r="K4686" s="74">
        <v>102.4</v>
      </c>
      <c r="L4686" s="74">
        <v>92.16</v>
      </c>
      <c r="M4686" s="74"/>
      <c r="N4686" s="74" t="s">
        <v>392</v>
      </c>
      <c r="O4686" s="74" t="s">
        <v>393</v>
      </c>
      <c r="P4686" s="74" t="s">
        <v>2044</v>
      </c>
      <c r="Q4686" s="74" t="s">
        <v>2045</v>
      </c>
    </row>
    <row r="4687" spans="3:17" x14ac:dyDescent="0.25">
      <c r="C4687" s="74" t="s">
        <v>2223</v>
      </c>
      <c r="D4687" s="74" t="s">
        <v>2224</v>
      </c>
      <c r="E4687" s="74" t="s">
        <v>391</v>
      </c>
      <c r="F4687" s="74">
        <v>0.01</v>
      </c>
      <c r="G4687" s="74"/>
      <c r="H4687" s="74"/>
      <c r="I4687" s="74" t="s">
        <v>391</v>
      </c>
      <c r="J4687" s="74"/>
      <c r="K4687" s="74">
        <v>102.4</v>
      </c>
      <c r="L4687" s="74">
        <v>92.16</v>
      </c>
      <c r="M4687" s="74"/>
      <c r="N4687" s="74" t="s">
        <v>392</v>
      </c>
      <c r="O4687" s="74" t="s">
        <v>393</v>
      </c>
      <c r="P4687" s="74"/>
      <c r="Q4687" s="74" t="s">
        <v>2225</v>
      </c>
    </row>
    <row r="4688" spans="3:17" x14ac:dyDescent="0.25">
      <c r="C4688" s="74" t="s">
        <v>2317</v>
      </c>
      <c r="D4688" s="74" t="s">
        <v>2318</v>
      </c>
      <c r="E4688" s="74"/>
      <c r="F4688" s="74">
        <v>0.01</v>
      </c>
      <c r="G4688" s="74"/>
      <c r="H4688" s="74"/>
      <c r="I4688" s="74" t="s">
        <v>391</v>
      </c>
      <c r="J4688" s="74"/>
      <c r="K4688" s="74">
        <v>102.4</v>
      </c>
      <c r="L4688" s="74">
        <v>92.16</v>
      </c>
      <c r="M4688" s="74"/>
      <c r="N4688" s="74" t="s">
        <v>392</v>
      </c>
      <c r="O4688" s="74" t="s">
        <v>402</v>
      </c>
      <c r="P4688" s="74" t="s">
        <v>2319</v>
      </c>
      <c r="Q4688" s="74" t="s">
        <v>2320</v>
      </c>
    </row>
    <row r="4689" spans="3:17" x14ac:dyDescent="0.25">
      <c r="C4689" s="74" t="s">
        <v>2469</v>
      </c>
      <c r="D4689" s="74" t="s">
        <v>2470</v>
      </c>
      <c r="E4689" s="74" t="s">
        <v>391</v>
      </c>
      <c r="F4689" s="74">
        <v>0.01</v>
      </c>
      <c r="G4689" s="74"/>
      <c r="H4689" s="74"/>
      <c r="I4689" s="74" t="s">
        <v>391</v>
      </c>
      <c r="J4689" s="74"/>
      <c r="K4689" s="74">
        <v>102.4</v>
      </c>
      <c r="L4689" s="74">
        <v>92.16</v>
      </c>
      <c r="M4689" s="74"/>
      <c r="N4689" s="74" t="s">
        <v>392</v>
      </c>
      <c r="O4689" s="74" t="s">
        <v>393</v>
      </c>
      <c r="P4689" s="74"/>
      <c r="Q4689" s="74" t="s">
        <v>2471</v>
      </c>
    </row>
    <row r="4690" spans="3:17" x14ac:dyDescent="0.25">
      <c r="C4690" s="74" t="s">
        <v>2485</v>
      </c>
      <c r="D4690" s="74" t="s">
        <v>2486</v>
      </c>
      <c r="E4690" s="74"/>
      <c r="F4690" s="74">
        <v>0.01</v>
      </c>
      <c r="G4690" s="74"/>
      <c r="H4690" s="74"/>
      <c r="I4690" s="74" t="s">
        <v>391</v>
      </c>
      <c r="J4690" s="74"/>
      <c r="K4690" s="74">
        <v>102.4</v>
      </c>
      <c r="L4690" s="74">
        <v>92.16</v>
      </c>
      <c r="M4690" s="74"/>
      <c r="N4690" s="74" t="s">
        <v>392</v>
      </c>
      <c r="O4690" s="74" t="s">
        <v>402</v>
      </c>
      <c r="P4690" s="74" t="s">
        <v>2487</v>
      </c>
      <c r="Q4690" s="74" t="s">
        <v>2488</v>
      </c>
    </row>
    <row r="4691" spans="3:17" x14ac:dyDescent="0.25">
      <c r="C4691" s="74" t="s">
        <v>2514</v>
      </c>
      <c r="D4691" s="74" t="s">
        <v>2515</v>
      </c>
      <c r="E4691" s="74" t="s">
        <v>391</v>
      </c>
      <c r="F4691" s="74">
        <v>0.01</v>
      </c>
      <c r="G4691" s="74"/>
      <c r="H4691" s="74"/>
      <c r="I4691" s="74" t="s">
        <v>391</v>
      </c>
      <c r="J4691" s="74"/>
      <c r="K4691" s="74">
        <v>102.4</v>
      </c>
      <c r="L4691" s="74">
        <v>92.16</v>
      </c>
      <c r="M4691" s="74"/>
      <c r="N4691" s="74" t="s">
        <v>392</v>
      </c>
      <c r="O4691" s="74" t="s">
        <v>393</v>
      </c>
      <c r="P4691" s="74"/>
      <c r="Q4691" s="74" t="s">
        <v>2516</v>
      </c>
    </row>
    <row r="4692" spans="3:17" x14ac:dyDescent="0.25">
      <c r="C4692" s="74" t="s">
        <v>2524</v>
      </c>
      <c r="D4692" s="74" t="s">
        <v>2525</v>
      </c>
      <c r="E4692" s="74" t="s">
        <v>391</v>
      </c>
      <c r="F4692" s="74">
        <v>0.01</v>
      </c>
      <c r="G4692" s="74"/>
      <c r="H4692" s="74"/>
      <c r="I4692" s="74" t="s">
        <v>391</v>
      </c>
      <c r="J4692" s="74"/>
      <c r="K4692" s="74">
        <v>102.4</v>
      </c>
      <c r="L4692" s="74">
        <v>92.16</v>
      </c>
      <c r="M4692" s="74"/>
      <c r="N4692" s="74" t="s">
        <v>392</v>
      </c>
      <c r="O4692" s="74" t="s">
        <v>393</v>
      </c>
      <c r="P4692" s="74"/>
      <c r="Q4692" s="74" t="s">
        <v>2526</v>
      </c>
    </row>
    <row r="4693" spans="3:17" x14ac:dyDescent="0.25">
      <c r="C4693" s="74" t="s">
        <v>2712</v>
      </c>
      <c r="D4693" s="74" t="s">
        <v>2713</v>
      </c>
      <c r="E4693" s="74" t="s">
        <v>391</v>
      </c>
      <c r="F4693" s="74">
        <v>0.01</v>
      </c>
      <c r="G4693" s="74"/>
      <c r="H4693" s="74"/>
      <c r="I4693" s="74" t="s">
        <v>391</v>
      </c>
      <c r="J4693" s="74"/>
      <c r="K4693" s="74">
        <v>102.4</v>
      </c>
      <c r="L4693" s="74">
        <v>92.16</v>
      </c>
      <c r="M4693" s="74"/>
      <c r="N4693" s="74" t="s">
        <v>392</v>
      </c>
      <c r="O4693" s="74" t="s">
        <v>402</v>
      </c>
      <c r="P4693" s="74" t="s">
        <v>2714</v>
      </c>
      <c r="Q4693" s="74" t="s">
        <v>2715</v>
      </c>
    </row>
    <row r="4694" spans="3:17" x14ac:dyDescent="0.25">
      <c r="C4694" s="74" t="s">
        <v>2764</v>
      </c>
      <c r="D4694" s="74" t="s">
        <v>2765</v>
      </c>
      <c r="E4694" s="74" t="s">
        <v>391</v>
      </c>
      <c r="F4694" s="74">
        <v>0.01</v>
      </c>
      <c r="G4694" s="74"/>
      <c r="H4694" s="74"/>
      <c r="I4694" s="74" t="s">
        <v>391</v>
      </c>
      <c r="J4694" s="74"/>
      <c r="K4694" s="74">
        <v>102.4</v>
      </c>
      <c r="L4694" s="74">
        <v>92.16</v>
      </c>
      <c r="M4694" s="74"/>
      <c r="N4694" s="74" t="s">
        <v>392</v>
      </c>
      <c r="O4694" s="74" t="s">
        <v>393</v>
      </c>
      <c r="P4694" s="74"/>
      <c r="Q4694" s="74" t="s">
        <v>2766</v>
      </c>
    </row>
    <row r="4695" spans="3:17" x14ac:dyDescent="0.25">
      <c r="C4695" s="74" t="s">
        <v>2833</v>
      </c>
      <c r="D4695" s="74" t="s">
        <v>2834</v>
      </c>
      <c r="E4695" s="74" t="s">
        <v>391</v>
      </c>
      <c r="F4695" s="74">
        <v>0.01</v>
      </c>
      <c r="G4695" s="74"/>
      <c r="H4695" s="74"/>
      <c r="I4695" s="74" t="s">
        <v>391</v>
      </c>
      <c r="J4695" s="74"/>
      <c r="K4695" s="74">
        <v>102.4</v>
      </c>
      <c r="L4695" s="74">
        <v>92.16</v>
      </c>
      <c r="M4695" s="74"/>
      <c r="N4695" s="74" t="s">
        <v>392</v>
      </c>
      <c r="O4695" s="74" t="s">
        <v>393</v>
      </c>
      <c r="P4695" s="74"/>
      <c r="Q4695" s="74" t="s">
        <v>2835</v>
      </c>
    </row>
    <row r="4696" spans="3:17" x14ac:dyDescent="0.25">
      <c r="C4696" s="74" t="s">
        <v>2874</v>
      </c>
      <c r="D4696" s="74" t="s">
        <v>2875</v>
      </c>
      <c r="E4696" s="74"/>
      <c r="F4696" s="74">
        <v>0.01</v>
      </c>
      <c r="G4696" s="74"/>
      <c r="H4696" s="74"/>
      <c r="I4696" s="74" t="s">
        <v>391</v>
      </c>
      <c r="J4696" s="74"/>
      <c r="K4696" s="74">
        <v>102.4</v>
      </c>
      <c r="L4696" s="74">
        <v>92.16</v>
      </c>
      <c r="M4696" s="74"/>
      <c r="N4696" s="74" t="s">
        <v>392</v>
      </c>
      <c r="O4696" s="74" t="s">
        <v>402</v>
      </c>
      <c r="P4696" s="74" t="s">
        <v>2876</v>
      </c>
      <c r="Q4696" s="74" t="s">
        <v>2877</v>
      </c>
    </row>
    <row r="4697" spans="3:17" x14ac:dyDescent="0.25">
      <c r="C4697" s="74" t="s">
        <v>2982</v>
      </c>
      <c r="D4697" s="74" t="s">
        <v>2983</v>
      </c>
      <c r="E4697" s="74"/>
      <c r="F4697" s="74">
        <v>0.01</v>
      </c>
      <c r="G4697" s="74"/>
      <c r="H4697" s="74"/>
      <c r="I4697" s="74" t="s">
        <v>391</v>
      </c>
      <c r="J4697" s="74"/>
      <c r="K4697" s="74">
        <v>102.4</v>
      </c>
      <c r="L4697" s="74">
        <v>92.16</v>
      </c>
      <c r="M4697" s="74"/>
      <c r="N4697" s="74" t="s">
        <v>392</v>
      </c>
      <c r="O4697" s="74" t="s">
        <v>402</v>
      </c>
      <c r="P4697" s="74" t="s">
        <v>2984</v>
      </c>
      <c r="Q4697" s="74" t="s">
        <v>2985</v>
      </c>
    </row>
    <row r="4698" spans="3:17" x14ac:dyDescent="0.25">
      <c r="C4698" s="74" t="s">
        <v>3032</v>
      </c>
      <c r="D4698" s="74" t="s">
        <v>3033</v>
      </c>
      <c r="E4698" s="74"/>
      <c r="F4698" s="74">
        <v>0.01</v>
      </c>
      <c r="G4698" s="74"/>
      <c r="H4698" s="74"/>
      <c r="I4698" s="74" t="s">
        <v>391</v>
      </c>
      <c r="J4698" s="74"/>
      <c r="K4698" s="74">
        <v>102.4</v>
      </c>
      <c r="L4698" s="74">
        <v>92.16</v>
      </c>
      <c r="M4698" s="74"/>
      <c r="N4698" s="74" t="s">
        <v>392</v>
      </c>
      <c r="O4698" s="74" t="s">
        <v>402</v>
      </c>
      <c r="P4698" s="74" t="s">
        <v>3034</v>
      </c>
      <c r="Q4698" s="74" t="s">
        <v>3035</v>
      </c>
    </row>
    <row r="4699" spans="3:17" x14ac:dyDescent="0.25">
      <c r="C4699" s="74" t="s">
        <v>3113</v>
      </c>
      <c r="D4699" s="74" t="s">
        <v>3114</v>
      </c>
      <c r="E4699" s="74"/>
      <c r="F4699" s="74">
        <v>0.01</v>
      </c>
      <c r="G4699" s="74"/>
      <c r="H4699" s="74"/>
      <c r="I4699" s="74" t="s">
        <v>391</v>
      </c>
      <c r="J4699" s="74"/>
      <c r="K4699" s="74">
        <v>102.4</v>
      </c>
      <c r="L4699" s="74">
        <v>92.16</v>
      </c>
      <c r="M4699" s="74"/>
      <c r="N4699" s="74" t="s">
        <v>392</v>
      </c>
      <c r="O4699" s="74" t="s">
        <v>402</v>
      </c>
      <c r="P4699" s="74" t="s">
        <v>3115</v>
      </c>
      <c r="Q4699" s="74" t="s">
        <v>3116</v>
      </c>
    </row>
    <row r="4700" spans="3:17" x14ac:dyDescent="0.25">
      <c r="C4700" s="74" t="s">
        <v>3321</v>
      </c>
      <c r="D4700" s="74" t="s">
        <v>3322</v>
      </c>
      <c r="E4700" s="74"/>
      <c r="F4700" s="74">
        <v>0.01</v>
      </c>
      <c r="G4700" s="74"/>
      <c r="H4700" s="74"/>
      <c r="I4700" s="74" t="s">
        <v>391</v>
      </c>
      <c r="J4700" s="74"/>
      <c r="K4700" s="74">
        <v>102.4</v>
      </c>
      <c r="L4700" s="74">
        <v>92.16</v>
      </c>
      <c r="M4700" s="74"/>
      <c r="N4700" s="74" t="s">
        <v>392</v>
      </c>
      <c r="O4700" s="74" t="s">
        <v>402</v>
      </c>
      <c r="P4700" s="74" t="s">
        <v>3323</v>
      </c>
      <c r="Q4700" s="74" t="s">
        <v>3324</v>
      </c>
    </row>
    <row r="4701" spans="3:17" x14ac:dyDescent="0.25">
      <c r="C4701" s="74" t="s">
        <v>3328</v>
      </c>
      <c r="D4701" s="74" t="s">
        <v>3329</v>
      </c>
      <c r="E4701" s="74"/>
      <c r="F4701" s="74">
        <v>0.01</v>
      </c>
      <c r="G4701" s="74"/>
      <c r="H4701" s="74"/>
      <c r="I4701" s="74" t="s">
        <v>391</v>
      </c>
      <c r="J4701" s="74"/>
      <c r="K4701" s="74">
        <v>102.4</v>
      </c>
      <c r="L4701" s="74">
        <v>92.16</v>
      </c>
      <c r="M4701" s="74"/>
      <c r="N4701" s="74" t="s">
        <v>392</v>
      </c>
      <c r="O4701" s="74" t="s">
        <v>402</v>
      </c>
      <c r="P4701" s="74" t="s">
        <v>3330</v>
      </c>
      <c r="Q4701" s="74" t="s">
        <v>3331</v>
      </c>
    </row>
    <row r="4702" spans="3:17" x14ac:dyDescent="0.25">
      <c r="C4702" s="74" t="s">
        <v>3332</v>
      </c>
      <c r="D4702" s="74" t="s">
        <v>3333</v>
      </c>
      <c r="E4702" s="74"/>
      <c r="F4702" s="74">
        <v>0.01</v>
      </c>
      <c r="G4702" s="74"/>
      <c r="H4702" s="74"/>
      <c r="I4702" s="74" t="s">
        <v>391</v>
      </c>
      <c r="J4702" s="74"/>
      <c r="K4702" s="74">
        <v>102.4</v>
      </c>
      <c r="L4702" s="74">
        <v>92.16</v>
      </c>
      <c r="M4702" s="74"/>
      <c r="N4702" s="74" t="s">
        <v>392</v>
      </c>
      <c r="O4702" s="74" t="s">
        <v>402</v>
      </c>
      <c r="P4702" s="74" t="s">
        <v>3334</v>
      </c>
      <c r="Q4702" s="74" t="s">
        <v>3335</v>
      </c>
    </row>
    <row r="4703" spans="3:17" x14ac:dyDescent="0.25">
      <c r="C4703" s="74" t="s">
        <v>3336</v>
      </c>
      <c r="D4703" s="74" t="s">
        <v>3337</v>
      </c>
      <c r="E4703" s="74" t="s">
        <v>391</v>
      </c>
      <c r="F4703" s="74">
        <v>0.01</v>
      </c>
      <c r="G4703" s="74"/>
      <c r="H4703" s="74"/>
      <c r="I4703" s="74" t="s">
        <v>391</v>
      </c>
      <c r="J4703" s="74"/>
      <c r="K4703" s="74">
        <v>102.4</v>
      </c>
      <c r="L4703" s="74">
        <v>92.16</v>
      </c>
      <c r="M4703" s="74"/>
      <c r="N4703" s="74" t="s">
        <v>392</v>
      </c>
      <c r="O4703" s="74" t="s">
        <v>402</v>
      </c>
      <c r="P4703" s="74" t="s">
        <v>3338</v>
      </c>
      <c r="Q4703" s="74" t="s">
        <v>3339</v>
      </c>
    </row>
    <row r="4704" spans="3:17" x14ac:dyDescent="0.25">
      <c r="C4704" s="74" t="s">
        <v>3349</v>
      </c>
      <c r="D4704" s="74" t="s">
        <v>3350</v>
      </c>
      <c r="E4704" s="74"/>
      <c r="F4704" s="74">
        <v>0.01</v>
      </c>
      <c r="G4704" s="74"/>
      <c r="H4704" s="74"/>
      <c r="I4704" s="74" t="s">
        <v>391</v>
      </c>
      <c r="J4704" s="74"/>
      <c r="K4704" s="74">
        <v>102.4</v>
      </c>
      <c r="L4704" s="74">
        <v>92.16</v>
      </c>
      <c r="M4704" s="74"/>
      <c r="N4704" s="74" t="s">
        <v>392</v>
      </c>
      <c r="O4704" s="74" t="s">
        <v>402</v>
      </c>
      <c r="P4704" s="74"/>
      <c r="Q4704" s="74" t="s">
        <v>3351</v>
      </c>
    </row>
    <row r="4705" spans="3:17" x14ac:dyDescent="0.25">
      <c r="C4705" s="74" t="s">
        <v>3380</v>
      </c>
      <c r="D4705" s="74" t="s">
        <v>3381</v>
      </c>
      <c r="E4705" s="74" t="s">
        <v>391</v>
      </c>
      <c r="F4705" s="74">
        <v>0.01</v>
      </c>
      <c r="G4705" s="74"/>
      <c r="H4705" s="74"/>
      <c r="I4705" s="74" t="s">
        <v>391</v>
      </c>
      <c r="J4705" s="74"/>
      <c r="K4705" s="74">
        <v>102.4</v>
      </c>
      <c r="L4705" s="74">
        <v>92.16</v>
      </c>
      <c r="M4705" s="74"/>
      <c r="N4705" s="74" t="s">
        <v>392</v>
      </c>
      <c r="O4705" s="74" t="s">
        <v>393</v>
      </c>
      <c r="P4705" s="74"/>
      <c r="Q4705" s="74" t="s">
        <v>3382</v>
      </c>
    </row>
    <row r="4706" spans="3:17" x14ac:dyDescent="0.25">
      <c r="C4706" s="74" t="s">
        <v>3383</v>
      </c>
      <c r="D4706" s="74" t="s">
        <v>3384</v>
      </c>
      <c r="E4706" s="74" t="s">
        <v>391</v>
      </c>
      <c r="F4706" s="74">
        <v>0.01</v>
      </c>
      <c r="G4706" s="74"/>
      <c r="H4706" s="74"/>
      <c r="I4706" s="74" t="s">
        <v>391</v>
      </c>
      <c r="J4706" s="74"/>
      <c r="K4706" s="74">
        <v>102.4</v>
      </c>
      <c r="L4706" s="74">
        <v>92.16</v>
      </c>
      <c r="M4706" s="74"/>
      <c r="N4706" s="74" t="s">
        <v>392</v>
      </c>
      <c r="O4706" s="74" t="s">
        <v>393</v>
      </c>
      <c r="P4706" s="74"/>
      <c r="Q4706" s="74" t="s">
        <v>3385</v>
      </c>
    </row>
    <row r="4707" spans="3:17" x14ac:dyDescent="0.25">
      <c r="C4707" s="74" t="s">
        <v>3478</v>
      </c>
      <c r="D4707" s="74" t="s">
        <v>3479</v>
      </c>
      <c r="E4707" s="74"/>
      <c r="F4707" s="74">
        <v>0.01</v>
      </c>
      <c r="G4707" s="74"/>
      <c r="H4707" s="74"/>
      <c r="I4707" s="74" t="s">
        <v>391</v>
      </c>
      <c r="J4707" s="74"/>
      <c r="K4707" s="74">
        <v>102.4</v>
      </c>
      <c r="L4707" s="74">
        <v>92.16</v>
      </c>
      <c r="M4707" s="74"/>
      <c r="N4707" s="74" t="s">
        <v>392</v>
      </c>
      <c r="O4707" s="74" t="s">
        <v>402</v>
      </c>
      <c r="P4707" s="74"/>
      <c r="Q4707" s="74" t="s">
        <v>3480</v>
      </c>
    </row>
    <row r="4708" spans="3:17" x14ac:dyDescent="0.25">
      <c r="C4708" s="74" t="s">
        <v>3530</v>
      </c>
      <c r="D4708" s="74" t="s">
        <v>3531</v>
      </c>
      <c r="E4708" s="74" t="s">
        <v>391</v>
      </c>
      <c r="F4708" s="74">
        <v>0.01</v>
      </c>
      <c r="G4708" s="74"/>
      <c r="H4708" s="74"/>
      <c r="I4708" s="74" t="s">
        <v>391</v>
      </c>
      <c r="J4708" s="74"/>
      <c r="K4708" s="74">
        <v>102.4</v>
      </c>
      <c r="L4708" s="74">
        <v>92.16</v>
      </c>
      <c r="M4708" s="74"/>
      <c r="N4708" s="74" t="s">
        <v>392</v>
      </c>
      <c r="O4708" s="74" t="s">
        <v>393</v>
      </c>
      <c r="P4708" s="74"/>
      <c r="Q4708" s="74" t="s">
        <v>3532</v>
      </c>
    </row>
    <row r="4709" spans="3:17" x14ac:dyDescent="0.25">
      <c r="C4709" s="74" t="s">
        <v>3689</v>
      </c>
      <c r="D4709" s="74" t="s">
        <v>3690</v>
      </c>
      <c r="E4709" s="74"/>
      <c r="F4709" s="74">
        <v>0.01</v>
      </c>
      <c r="G4709" s="74"/>
      <c r="H4709" s="74"/>
      <c r="I4709" s="74" t="s">
        <v>391</v>
      </c>
      <c r="J4709" s="74"/>
      <c r="K4709" s="74">
        <v>102.4</v>
      </c>
      <c r="L4709" s="74">
        <v>92.16</v>
      </c>
      <c r="M4709" s="74"/>
      <c r="N4709" s="74" t="s">
        <v>392</v>
      </c>
      <c r="O4709" s="74" t="s">
        <v>402</v>
      </c>
      <c r="P4709" s="74" t="s">
        <v>3691</v>
      </c>
      <c r="Q4709" s="74" t="s">
        <v>3692</v>
      </c>
    </row>
    <row r="4710" spans="3:17" x14ac:dyDescent="0.25">
      <c r="C4710" s="74" t="s">
        <v>3802</v>
      </c>
      <c r="D4710" s="74" t="s">
        <v>3803</v>
      </c>
      <c r="E4710" s="74"/>
      <c r="F4710" s="74">
        <v>0.01</v>
      </c>
      <c r="G4710" s="74"/>
      <c r="H4710" s="74"/>
      <c r="I4710" s="74" t="s">
        <v>391</v>
      </c>
      <c r="J4710" s="74"/>
      <c r="K4710" s="74">
        <v>102.4</v>
      </c>
      <c r="L4710" s="74">
        <v>92.16</v>
      </c>
      <c r="M4710" s="74"/>
      <c r="N4710" s="74" t="s">
        <v>392</v>
      </c>
      <c r="O4710" s="74" t="s">
        <v>402</v>
      </c>
      <c r="P4710" s="74" t="s">
        <v>3804</v>
      </c>
      <c r="Q4710" s="74" t="s">
        <v>3805</v>
      </c>
    </row>
    <row r="4711" spans="3:17" x14ac:dyDescent="0.25">
      <c r="C4711" s="74" t="s">
        <v>3879</v>
      </c>
      <c r="D4711" s="74" t="s">
        <v>3880</v>
      </c>
      <c r="E4711" s="74" t="s">
        <v>391</v>
      </c>
      <c r="F4711" s="74">
        <v>0.01</v>
      </c>
      <c r="G4711" s="74"/>
      <c r="H4711" s="74"/>
      <c r="I4711" s="74" t="s">
        <v>391</v>
      </c>
      <c r="J4711" s="74"/>
      <c r="K4711" s="74">
        <v>102.4</v>
      </c>
      <c r="L4711" s="74">
        <v>92.16</v>
      </c>
      <c r="M4711" s="74"/>
      <c r="N4711" s="74" t="s">
        <v>392</v>
      </c>
      <c r="O4711" s="74" t="s">
        <v>393</v>
      </c>
      <c r="P4711" s="74"/>
      <c r="Q4711" s="74" t="s">
        <v>3881</v>
      </c>
    </row>
    <row r="4712" spans="3:17" x14ac:dyDescent="0.25">
      <c r="C4712" s="74" t="s">
        <v>3912</v>
      </c>
      <c r="D4712" s="74" t="s">
        <v>3913</v>
      </c>
      <c r="E4712" s="74" t="s">
        <v>391</v>
      </c>
      <c r="F4712" s="74">
        <v>0.01</v>
      </c>
      <c r="G4712" s="74"/>
      <c r="H4712" s="74"/>
      <c r="I4712" s="74" t="s">
        <v>391</v>
      </c>
      <c r="J4712" s="74"/>
      <c r="K4712" s="74">
        <v>102.4</v>
      </c>
      <c r="L4712" s="74">
        <v>92.16</v>
      </c>
      <c r="M4712" s="74"/>
      <c r="N4712" s="74" t="s">
        <v>392</v>
      </c>
      <c r="O4712" s="74" t="s">
        <v>393</v>
      </c>
      <c r="P4712" s="74"/>
      <c r="Q4712" s="74" t="s">
        <v>3914</v>
      </c>
    </row>
    <row r="4713" spans="3:17" x14ac:dyDescent="0.25">
      <c r="C4713" s="74" t="s">
        <v>4123</v>
      </c>
      <c r="D4713" s="74" t="s">
        <v>4124</v>
      </c>
      <c r="E4713" s="74" t="s">
        <v>391</v>
      </c>
      <c r="F4713" s="74">
        <v>0.01</v>
      </c>
      <c r="G4713" s="74"/>
      <c r="H4713" s="74"/>
      <c r="I4713" s="74" t="s">
        <v>391</v>
      </c>
      <c r="J4713" s="74"/>
      <c r="K4713" s="74">
        <v>102.4</v>
      </c>
      <c r="L4713" s="74">
        <v>92.16</v>
      </c>
      <c r="M4713" s="74"/>
      <c r="N4713" s="74" t="s">
        <v>392</v>
      </c>
      <c r="O4713" s="74" t="s">
        <v>393</v>
      </c>
      <c r="P4713" s="74"/>
      <c r="Q4713" s="74" t="s">
        <v>4125</v>
      </c>
    </row>
    <row r="4714" spans="3:17" x14ac:dyDescent="0.25">
      <c r="C4714" s="74" t="s">
        <v>4149</v>
      </c>
      <c r="D4714" s="74" t="s">
        <v>4150</v>
      </c>
      <c r="E4714" s="74"/>
      <c r="F4714" s="74">
        <v>0.01</v>
      </c>
      <c r="G4714" s="74"/>
      <c r="H4714" s="74"/>
      <c r="I4714" s="74" t="s">
        <v>391</v>
      </c>
      <c r="J4714" s="74"/>
      <c r="K4714" s="74">
        <v>102.4</v>
      </c>
      <c r="L4714" s="74">
        <v>92.16</v>
      </c>
      <c r="M4714" s="74"/>
      <c r="N4714" s="74" t="s">
        <v>392</v>
      </c>
      <c r="O4714" s="74" t="s">
        <v>402</v>
      </c>
      <c r="P4714" s="74" t="s">
        <v>4151</v>
      </c>
      <c r="Q4714" s="74" t="s">
        <v>4152</v>
      </c>
    </row>
    <row r="4715" spans="3:17" x14ac:dyDescent="0.25">
      <c r="C4715" s="74" t="s">
        <v>4242</v>
      </c>
      <c r="D4715" s="74" t="s">
        <v>4243</v>
      </c>
      <c r="E4715" s="74" t="s">
        <v>391</v>
      </c>
      <c r="F4715" s="74">
        <v>0.01</v>
      </c>
      <c r="G4715" s="74"/>
      <c r="H4715" s="74"/>
      <c r="I4715" s="74" t="s">
        <v>391</v>
      </c>
      <c r="J4715" s="74"/>
      <c r="K4715" s="74">
        <v>102.4</v>
      </c>
      <c r="L4715" s="74">
        <v>92.16</v>
      </c>
      <c r="M4715" s="74"/>
      <c r="N4715" s="74" t="s">
        <v>392</v>
      </c>
      <c r="O4715" s="74" t="s">
        <v>393</v>
      </c>
      <c r="P4715" s="74"/>
      <c r="Q4715" s="74" t="s">
        <v>4244</v>
      </c>
    </row>
    <row r="4716" spans="3:17" x14ac:dyDescent="0.25">
      <c r="C4716" s="74" t="s">
        <v>4260</v>
      </c>
      <c r="D4716" s="74" t="s">
        <v>4261</v>
      </c>
      <c r="E4716" s="74"/>
      <c r="F4716" s="74">
        <v>0.01</v>
      </c>
      <c r="G4716" s="74"/>
      <c r="H4716" s="74"/>
      <c r="I4716" s="74" t="s">
        <v>391</v>
      </c>
      <c r="J4716" s="74"/>
      <c r="K4716" s="74">
        <v>102.4</v>
      </c>
      <c r="L4716" s="74">
        <v>92.16</v>
      </c>
      <c r="M4716" s="74"/>
      <c r="N4716" s="74" t="s">
        <v>392</v>
      </c>
      <c r="O4716" s="74" t="s">
        <v>402</v>
      </c>
      <c r="P4716" s="74" t="s">
        <v>4262</v>
      </c>
      <c r="Q4716" s="74" t="s">
        <v>4263</v>
      </c>
    </row>
    <row r="4717" spans="3:17" x14ac:dyDescent="0.25">
      <c r="C4717" s="74" t="s">
        <v>4375</v>
      </c>
      <c r="D4717" s="74" t="s">
        <v>4376</v>
      </c>
      <c r="E4717" s="74"/>
      <c r="F4717" s="74">
        <v>0.01</v>
      </c>
      <c r="G4717" s="74"/>
      <c r="H4717" s="74"/>
      <c r="I4717" s="74" t="s">
        <v>391</v>
      </c>
      <c r="J4717" s="74"/>
      <c r="K4717" s="74">
        <v>102.4</v>
      </c>
      <c r="L4717" s="74">
        <v>92.16</v>
      </c>
      <c r="M4717" s="74"/>
      <c r="N4717" s="74" t="s">
        <v>392</v>
      </c>
      <c r="O4717" s="74" t="s">
        <v>402</v>
      </c>
      <c r="P4717" s="74" t="s">
        <v>4377</v>
      </c>
      <c r="Q4717" s="74" t="s">
        <v>4378</v>
      </c>
    </row>
    <row r="4718" spans="3:17" x14ac:dyDescent="0.25">
      <c r="C4718" s="74" t="s">
        <v>4571</v>
      </c>
      <c r="D4718" s="74" t="s">
        <v>4572</v>
      </c>
      <c r="E4718" s="74" t="s">
        <v>391</v>
      </c>
      <c r="F4718" s="74">
        <v>0.01</v>
      </c>
      <c r="G4718" s="74"/>
      <c r="H4718" s="74"/>
      <c r="I4718" s="74" t="s">
        <v>391</v>
      </c>
      <c r="J4718" s="74"/>
      <c r="K4718" s="74">
        <v>102.4</v>
      </c>
      <c r="L4718" s="74">
        <v>92.16</v>
      </c>
      <c r="M4718" s="74"/>
      <c r="N4718" s="74" t="s">
        <v>392</v>
      </c>
      <c r="O4718" s="74" t="s">
        <v>393</v>
      </c>
      <c r="P4718" s="74"/>
      <c r="Q4718" s="74" t="s">
        <v>4573</v>
      </c>
    </row>
    <row r="4719" spans="3:17" x14ac:dyDescent="0.25">
      <c r="C4719" s="74" t="s">
        <v>4635</v>
      </c>
      <c r="D4719" s="74" t="s">
        <v>4636</v>
      </c>
      <c r="E4719" s="74"/>
      <c r="F4719" s="74">
        <v>0.01</v>
      </c>
      <c r="G4719" s="74"/>
      <c r="H4719" s="74"/>
      <c r="I4719" s="74" t="s">
        <v>391</v>
      </c>
      <c r="J4719" s="74"/>
      <c r="K4719" s="74">
        <v>102.4</v>
      </c>
      <c r="L4719" s="74">
        <v>92.16</v>
      </c>
      <c r="M4719" s="74"/>
      <c r="N4719" s="74" t="s">
        <v>392</v>
      </c>
      <c r="O4719" s="74" t="s">
        <v>402</v>
      </c>
      <c r="P4719" s="74"/>
      <c r="Q4719" s="74" t="s">
        <v>4637</v>
      </c>
    </row>
    <row r="4720" spans="3:17" x14ac:dyDescent="0.25">
      <c r="C4720" s="74" t="s">
        <v>4801</v>
      </c>
      <c r="D4720" s="74" t="s">
        <v>4802</v>
      </c>
      <c r="E4720" s="74" t="s">
        <v>391</v>
      </c>
      <c r="F4720" s="74">
        <v>0.01</v>
      </c>
      <c r="G4720" s="74"/>
      <c r="H4720" s="74"/>
      <c r="I4720" s="74" t="s">
        <v>391</v>
      </c>
      <c r="J4720" s="74"/>
      <c r="K4720" s="74">
        <v>102.4</v>
      </c>
      <c r="L4720" s="74">
        <v>92.16</v>
      </c>
      <c r="M4720" s="74"/>
      <c r="N4720" s="74" t="s">
        <v>392</v>
      </c>
      <c r="O4720" s="74" t="s">
        <v>393</v>
      </c>
      <c r="P4720" s="74"/>
      <c r="Q4720" s="74" t="s">
        <v>4802</v>
      </c>
    </row>
    <row r="4721" spans="3:17" x14ac:dyDescent="0.25">
      <c r="C4721" s="74" t="s">
        <v>4886</v>
      </c>
      <c r="D4721" s="74" t="s">
        <v>4887</v>
      </c>
      <c r="E4721" s="74"/>
      <c r="F4721" s="74">
        <v>0.01</v>
      </c>
      <c r="G4721" s="74"/>
      <c r="H4721" s="74"/>
      <c r="I4721" s="74" t="s">
        <v>391</v>
      </c>
      <c r="J4721" s="74"/>
      <c r="K4721" s="74">
        <v>102.4</v>
      </c>
      <c r="L4721" s="74">
        <v>92.16</v>
      </c>
      <c r="M4721" s="74"/>
      <c r="N4721" s="74" t="s">
        <v>392</v>
      </c>
      <c r="O4721" s="74" t="s">
        <v>402</v>
      </c>
      <c r="P4721" s="74" t="s">
        <v>4888</v>
      </c>
      <c r="Q4721" s="74" t="s">
        <v>4889</v>
      </c>
    </row>
    <row r="4722" spans="3:17" x14ac:dyDescent="0.25">
      <c r="C4722" s="74" t="s">
        <v>4946</v>
      </c>
      <c r="D4722" s="74" t="s">
        <v>4947</v>
      </c>
      <c r="E4722" s="74"/>
      <c r="F4722" s="74">
        <v>0.01</v>
      </c>
      <c r="G4722" s="74"/>
      <c r="H4722" s="74"/>
      <c r="I4722" s="74" t="s">
        <v>391</v>
      </c>
      <c r="J4722" s="74"/>
      <c r="K4722" s="74">
        <v>102.4</v>
      </c>
      <c r="L4722" s="74">
        <v>92.16</v>
      </c>
      <c r="M4722" s="74"/>
      <c r="N4722" s="74" t="s">
        <v>392</v>
      </c>
      <c r="O4722" s="74" t="s">
        <v>402</v>
      </c>
      <c r="P4722" s="74" t="s">
        <v>4948</v>
      </c>
      <c r="Q4722" s="74" t="s">
        <v>4949</v>
      </c>
    </row>
    <row r="4723" spans="3:17" x14ac:dyDescent="0.25">
      <c r="C4723" s="74" t="s">
        <v>5212</v>
      </c>
      <c r="D4723" s="74" t="s">
        <v>5213</v>
      </c>
      <c r="E4723" s="74" t="s">
        <v>391</v>
      </c>
      <c r="F4723" s="74">
        <v>0.01</v>
      </c>
      <c r="G4723" s="74"/>
      <c r="H4723" s="74"/>
      <c r="I4723" s="74" t="s">
        <v>391</v>
      </c>
      <c r="J4723" s="74"/>
      <c r="K4723" s="74">
        <v>102.4</v>
      </c>
      <c r="L4723" s="74">
        <v>92.16</v>
      </c>
      <c r="M4723" s="74"/>
      <c r="N4723" s="74" t="s">
        <v>392</v>
      </c>
      <c r="O4723" s="74" t="s">
        <v>393</v>
      </c>
      <c r="P4723" s="74" t="s">
        <v>5214</v>
      </c>
      <c r="Q4723" s="74" t="s">
        <v>5215</v>
      </c>
    </row>
    <row r="4724" spans="3:17" x14ac:dyDescent="0.25">
      <c r="C4724" s="158" t="s">
        <v>5228</v>
      </c>
      <c r="D4724" s="158" t="s">
        <v>5229</v>
      </c>
      <c r="E4724" s="158" t="s">
        <v>391</v>
      </c>
      <c r="F4724" s="158">
        <v>0.01</v>
      </c>
      <c r="I4724" s="158" t="s">
        <v>391</v>
      </c>
      <c r="K4724" s="158">
        <v>102.4</v>
      </c>
      <c r="L4724" s="158">
        <v>92.16</v>
      </c>
      <c r="N4724" s="158" t="s">
        <v>392</v>
      </c>
      <c r="O4724" s="158" t="s">
        <v>393</v>
      </c>
      <c r="Q4724" s="158" t="s">
        <v>5230</v>
      </c>
    </row>
    <row r="4725" spans="3:17" x14ac:dyDescent="0.25">
      <c r="C4725" s="74" t="s">
        <v>5367</v>
      </c>
      <c r="D4725" s="74" t="s">
        <v>5368</v>
      </c>
      <c r="E4725" s="74" t="s">
        <v>391</v>
      </c>
      <c r="F4725" s="74">
        <v>0.01</v>
      </c>
      <c r="G4725" s="74"/>
      <c r="H4725" s="74"/>
      <c r="I4725" s="74" t="s">
        <v>391</v>
      </c>
      <c r="J4725" s="74"/>
      <c r="K4725" s="74">
        <v>102.4</v>
      </c>
      <c r="L4725" s="74">
        <v>92.16</v>
      </c>
      <c r="M4725" s="74"/>
      <c r="N4725" s="74" t="s">
        <v>392</v>
      </c>
      <c r="O4725" s="74" t="s">
        <v>393</v>
      </c>
      <c r="P4725" s="74"/>
      <c r="Q4725" s="74" t="s">
        <v>5369</v>
      </c>
    </row>
    <row r="4726" spans="3:17" x14ac:dyDescent="0.25">
      <c r="C4726" s="74" t="s">
        <v>5479</v>
      </c>
      <c r="D4726" s="74" t="s">
        <v>5480</v>
      </c>
      <c r="E4726" s="74" t="s">
        <v>391</v>
      </c>
      <c r="F4726" s="74">
        <v>0.01</v>
      </c>
      <c r="G4726" s="74"/>
      <c r="H4726" s="74"/>
      <c r="I4726" s="74" t="s">
        <v>391</v>
      </c>
      <c r="J4726" s="74"/>
      <c r="K4726" s="74">
        <v>102.4</v>
      </c>
      <c r="L4726" s="74">
        <v>92.16</v>
      </c>
      <c r="M4726" s="74"/>
      <c r="N4726" s="74" t="s">
        <v>392</v>
      </c>
      <c r="O4726" s="74" t="s">
        <v>393</v>
      </c>
      <c r="P4726" s="74"/>
      <c r="Q4726" s="74" t="s">
        <v>5481</v>
      </c>
    </row>
    <row r="4727" spans="3:17" x14ac:dyDescent="0.25">
      <c r="C4727" s="74" t="s">
        <v>5552</v>
      </c>
      <c r="D4727" s="74" t="s">
        <v>5553</v>
      </c>
      <c r="E4727" s="74"/>
      <c r="F4727" s="74">
        <v>0.01</v>
      </c>
      <c r="G4727" s="74"/>
      <c r="H4727" s="74"/>
      <c r="I4727" s="74" t="s">
        <v>391</v>
      </c>
      <c r="J4727" s="74"/>
      <c r="K4727" s="74">
        <v>102.4</v>
      </c>
      <c r="L4727" s="74">
        <v>92.16</v>
      </c>
      <c r="M4727" s="74"/>
      <c r="N4727" s="74" t="s">
        <v>392</v>
      </c>
      <c r="O4727" s="74" t="s">
        <v>402</v>
      </c>
      <c r="P4727" s="74" t="s">
        <v>5554</v>
      </c>
      <c r="Q4727" s="74" t="s">
        <v>5555</v>
      </c>
    </row>
    <row r="4728" spans="3:17" x14ac:dyDescent="0.25">
      <c r="C4728" s="74" t="s">
        <v>5613</v>
      </c>
      <c r="D4728" s="74" t="s">
        <v>5614</v>
      </c>
      <c r="E4728" s="74" t="s">
        <v>391</v>
      </c>
      <c r="F4728" s="74">
        <v>0.01</v>
      </c>
      <c r="G4728" s="74"/>
      <c r="H4728" s="74"/>
      <c r="I4728" s="74" t="s">
        <v>391</v>
      </c>
      <c r="J4728" s="74"/>
      <c r="K4728" s="74">
        <v>102.4</v>
      </c>
      <c r="L4728" s="74">
        <v>92.16</v>
      </c>
      <c r="M4728" s="74"/>
      <c r="N4728" s="74" t="s">
        <v>392</v>
      </c>
      <c r="O4728" s="74" t="s">
        <v>393</v>
      </c>
      <c r="P4728" s="74"/>
      <c r="Q4728" s="74" t="s">
        <v>5615</v>
      </c>
    </row>
    <row r="4729" spans="3:17" x14ac:dyDescent="0.25">
      <c r="C4729" s="74" t="s">
        <v>5638</v>
      </c>
      <c r="D4729" s="74" t="s">
        <v>5639</v>
      </c>
      <c r="E4729" s="74"/>
      <c r="F4729" s="74">
        <v>0.01</v>
      </c>
      <c r="G4729" s="74"/>
      <c r="H4729" s="74"/>
      <c r="I4729" s="74" t="s">
        <v>391</v>
      </c>
      <c r="J4729" s="74"/>
      <c r="K4729" s="74">
        <v>102.4</v>
      </c>
      <c r="L4729" s="74">
        <v>92.16</v>
      </c>
      <c r="M4729" s="74"/>
      <c r="N4729" s="74" t="s">
        <v>392</v>
      </c>
      <c r="O4729" s="74" t="s">
        <v>402</v>
      </c>
      <c r="P4729" s="74" t="s">
        <v>5640</v>
      </c>
      <c r="Q4729" s="74" t="s">
        <v>5641</v>
      </c>
    </row>
    <row r="4730" spans="3:17" x14ac:dyDescent="0.25">
      <c r="C4730" s="74" t="s">
        <v>5669</v>
      </c>
      <c r="D4730" s="74" t="s">
        <v>5670</v>
      </c>
      <c r="E4730" s="74" t="s">
        <v>391</v>
      </c>
      <c r="F4730" s="74">
        <v>0.01</v>
      </c>
      <c r="G4730" s="74"/>
      <c r="H4730" s="74"/>
      <c r="I4730" s="74" t="s">
        <v>391</v>
      </c>
      <c r="J4730" s="74"/>
      <c r="K4730" s="74">
        <v>102.4</v>
      </c>
      <c r="L4730" s="74">
        <v>92.16</v>
      </c>
      <c r="M4730" s="74"/>
      <c r="N4730" s="74" t="s">
        <v>392</v>
      </c>
      <c r="O4730" s="74" t="s">
        <v>393</v>
      </c>
      <c r="P4730" s="74"/>
      <c r="Q4730" s="74" t="s">
        <v>5671</v>
      </c>
    </row>
    <row r="4731" spans="3:17" x14ac:dyDescent="0.25">
      <c r="C4731" s="74" t="s">
        <v>5832</v>
      </c>
      <c r="D4731" s="74" t="s">
        <v>5833</v>
      </c>
      <c r="E4731" s="74" t="s">
        <v>391</v>
      </c>
      <c r="F4731" s="74">
        <v>0.01</v>
      </c>
      <c r="G4731" s="74"/>
      <c r="H4731" s="74"/>
      <c r="I4731" s="74" t="s">
        <v>391</v>
      </c>
      <c r="J4731" s="74"/>
      <c r="K4731" s="74">
        <v>102.4</v>
      </c>
      <c r="L4731" s="74">
        <v>92.16</v>
      </c>
      <c r="M4731" s="74"/>
      <c r="N4731" s="74" t="s">
        <v>392</v>
      </c>
      <c r="O4731" s="74" t="s">
        <v>393</v>
      </c>
      <c r="P4731" s="74"/>
      <c r="Q4731" s="74" t="s">
        <v>5834</v>
      </c>
    </row>
    <row r="4732" spans="3:17" x14ac:dyDescent="0.25">
      <c r="C4732" s="74" t="s">
        <v>5959</v>
      </c>
      <c r="D4732" s="74" t="s">
        <v>5960</v>
      </c>
      <c r="E4732" s="74"/>
      <c r="F4732" s="74">
        <v>0.01</v>
      </c>
      <c r="G4732" s="74"/>
      <c r="H4732" s="74"/>
      <c r="I4732" s="74" t="s">
        <v>391</v>
      </c>
      <c r="J4732" s="74"/>
      <c r="K4732" s="74">
        <v>102.4</v>
      </c>
      <c r="L4732" s="74">
        <v>92.16</v>
      </c>
      <c r="M4732" s="74"/>
      <c r="N4732" s="74" t="s">
        <v>392</v>
      </c>
      <c r="O4732" s="74" t="s">
        <v>402</v>
      </c>
      <c r="P4732" s="74" t="s">
        <v>5961</v>
      </c>
      <c r="Q4732" s="74" t="s">
        <v>5962</v>
      </c>
    </row>
    <row r="4733" spans="3:17" x14ac:dyDescent="0.25">
      <c r="C4733" s="74" t="s">
        <v>6243</v>
      </c>
      <c r="D4733" s="74" t="s">
        <v>6244</v>
      </c>
      <c r="E4733" s="74"/>
      <c r="F4733" s="74">
        <v>0.01</v>
      </c>
      <c r="G4733" s="74"/>
      <c r="H4733" s="74"/>
      <c r="I4733" s="74" t="s">
        <v>391</v>
      </c>
      <c r="J4733" s="74"/>
      <c r="K4733" s="74">
        <v>102.4</v>
      </c>
      <c r="L4733" s="74">
        <v>92.16</v>
      </c>
      <c r="M4733" s="74"/>
      <c r="N4733" s="74" t="s">
        <v>392</v>
      </c>
      <c r="O4733" s="74" t="s">
        <v>402</v>
      </c>
      <c r="P4733" s="74"/>
      <c r="Q4733" s="74" t="s">
        <v>6245</v>
      </c>
    </row>
    <row r="4734" spans="3:17" x14ac:dyDescent="0.25">
      <c r="C4734" s="74" t="s">
        <v>6246</v>
      </c>
      <c r="D4734" s="74" t="s">
        <v>6247</v>
      </c>
      <c r="E4734" s="74"/>
      <c r="F4734" s="74">
        <v>0.01</v>
      </c>
      <c r="G4734" s="74"/>
      <c r="H4734" s="74"/>
      <c r="I4734" s="74" t="s">
        <v>391</v>
      </c>
      <c r="J4734" s="74"/>
      <c r="K4734" s="74">
        <v>102.4</v>
      </c>
      <c r="L4734" s="74">
        <v>92.16</v>
      </c>
      <c r="M4734" s="74"/>
      <c r="N4734" s="74" t="s">
        <v>392</v>
      </c>
      <c r="O4734" s="74" t="s">
        <v>402</v>
      </c>
      <c r="P4734" s="74"/>
      <c r="Q4734" s="74" t="s">
        <v>6248</v>
      </c>
    </row>
    <row r="4735" spans="3:17" x14ac:dyDescent="0.25">
      <c r="C4735" s="74" t="s">
        <v>6249</v>
      </c>
      <c r="D4735" s="74" t="s">
        <v>6250</v>
      </c>
      <c r="E4735" s="74"/>
      <c r="F4735" s="74">
        <v>0.01</v>
      </c>
      <c r="G4735" s="74"/>
      <c r="H4735" s="74"/>
      <c r="I4735" s="74" t="s">
        <v>391</v>
      </c>
      <c r="J4735" s="74"/>
      <c r="K4735" s="74">
        <v>102.4</v>
      </c>
      <c r="L4735" s="74">
        <v>92.16</v>
      </c>
      <c r="M4735" s="74"/>
      <c r="N4735" s="74" t="s">
        <v>392</v>
      </c>
      <c r="O4735" s="74" t="s">
        <v>402</v>
      </c>
      <c r="P4735" s="74"/>
      <c r="Q4735" s="74" t="s">
        <v>6251</v>
      </c>
    </row>
    <row r="4736" spans="3:17" x14ac:dyDescent="0.25">
      <c r="C4736" s="74" t="s">
        <v>6384</v>
      </c>
      <c r="D4736" s="74" t="s">
        <v>6385</v>
      </c>
      <c r="E4736" s="74" t="s">
        <v>391</v>
      </c>
      <c r="F4736" s="74">
        <v>0.01</v>
      </c>
      <c r="G4736" s="74"/>
      <c r="H4736" s="74"/>
      <c r="I4736" s="74" t="s">
        <v>391</v>
      </c>
      <c r="J4736" s="74"/>
      <c r="K4736" s="74">
        <v>102.4</v>
      </c>
      <c r="L4736" s="74">
        <v>92.16</v>
      </c>
      <c r="M4736" s="74"/>
      <c r="N4736" s="74" t="s">
        <v>392</v>
      </c>
      <c r="O4736" s="74" t="s">
        <v>393</v>
      </c>
      <c r="P4736" s="74"/>
      <c r="Q4736" s="74" t="s">
        <v>6386</v>
      </c>
    </row>
    <row r="4737" spans="3:17" x14ac:dyDescent="0.25">
      <c r="C4737" s="74" t="s">
        <v>6481</v>
      </c>
      <c r="D4737" s="74" t="s">
        <v>6482</v>
      </c>
      <c r="E4737" s="74" t="s">
        <v>391</v>
      </c>
      <c r="F4737" s="74">
        <v>0.01</v>
      </c>
      <c r="G4737" s="74"/>
      <c r="H4737" s="74"/>
      <c r="I4737" s="74" t="s">
        <v>391</v>
      </c>
      <c r="J4737" s="74"/>
      <c r="K4737" s="74">
        <v>102.4</v>
      </c>
      <c r="L4737" s="74">
        <v>92.16</v>
      </c>
      <c r="M4737" s="74"/>
      <c r="N4737" s="74" t="s">
        <v>392</v>
      </c>
      <c r="O4737" s="74" t="s">
        <v>393</v>
      </c>
      <c r="P4737" s="74"/>
      <c r="Q4737" s="74" t="s">
        <v>6483</v>
      </c>
    </row>
    <row r="4738" spans="3:17" x14ac:dyDescent="0.25">
      <c r="C4738" s="74" t="s">
        <v>6737</v>
      </c>
      <c r="D4738" s="74" t="s">
        <v>6738</v>
      </c>
      <c r="E4738" s="74" t="s">
        <v>391</v>
      </c>
      <c r="F4738" s="74">
        <v>0.01</v>
      </c>
      <c r="G4738" s="74"/>
      <c r="H4738" s="74"/>
      <c r="I4738" s="74" t="s">
        <v>391</v>
      </c>
      <c r="J4738" s="74"/>
      <c r="K4738" s="74">
        <v>102.4</v>
      </c>
      <c r="L4738" s="74">
        <v>92.16</v>
      </c>
      <c r="M4738" s="74"/>
      <c r="N4738" s="74" t="s">
        <v>392</v>
      </c>
      <c r="O4738" s="74" t="s">
        <v>393</v>
      </c>
      <c r="P4738" s="74"/>
      <c r="Q4738" s="74" t="s">
        <v>6739</v>
      </c>
    </row>
    <row r="4739" spans="3:17" x14ac:dyDescent="0.25">
      <c r="C4739" s="74" t="s">
        <v>6770</v>
      </c>
      <c r="D4739" s="74" t="s">
        <v>6771</v>
      </c>
      <c r="E4739" s="74" t="s">
        <v>391</v>
      </c>
      <c r="F4739" s="74">
        <v>0.01</v>
      </c>
      <c r="G4739" s="74"/>
      <c r="H4739" s="74"/>
      <c r="I4739" s="74" t="s">
        <v>391</v>
      </c>
      <c r="J4739" s="74"/>
      <c r="K4739" s="74">
        <v>102.4</v>
      </c>
      <c r="L4739" s="74">
        <v>92.16</v>
      </c>
      <c r="M4739" s="74"/>
      <c r="N4739" s="74" t="s">
        <v>392</v>
      </c>
      <c r="O4739" s="74" t="s">
        <v>393</v>
      </c>
      <c r="P4739" s="74"/>
      <c r="Q4739" s="74" t="s">
        <v>6772</v>
      </c>
    </row>
    <row r="4740" spans="3:17" x14ac:dyDescent="0.25">
      <c r="C4740" s="74" t="s">
        <v>6797</v>
      </c>
      <c r="D4740" s="74" t="s">
        <v>6798</v>
      </c>
      <c r="E4740" s="74"/>
      <c r="F4740" s="74">
        <v>0.01</v>
      </c>
      <c r="G4740" s="74"/>
      <c r="H4740" s="74"/>
      <c r="I4740" s="74" t="s">
        <v>391</v>
      </c>
      <c r="J4740" s="74"/>
      <c r="K4740" s="74">
        <v>102.4</v>
      </c>
      <c r="L4740" s="74">
        <v>92.16</v>
      </c>
      <c r="M4740" s="74"/>
      <c r="N4740" s="74" t="s">
        <v>392</v>
      </c>
      <c r="O4740" s="74" t="s">
        <v>402</v>
      </c>
      <c r="P4740" s="74" t="s">
        <v>6799</v>
      </c>
      <c r="Q4740" s="74" t="s">
        <v>6800</v>
      </c>
    </row>
    <row r="4741" spans="3:17" x14ac:dyDescent="0.25">
      <c r="C4741" s="74" t="s">
        <v>6829</v>
      </c>
      <c r="D4741" s="74" t="s">
        <v>6830</v>
      </c>
      <c r="E4741" s="74"/>
      <c r="F4741" s="74">
        <v>0.01</v>
      </c>
      <c r="G4741" s="74"/>
      <c r="H4741" s="74"/>
      <c r="I4741" s="74" t="s">
        <v>391</v>
      </c>
      <c r="J4741" s="74"/>
      <c r="K4741" s="74">
        <v>102.4</v>
      </c>
      <c r="L4741" s="74">
        <v>92.16</v>
      </c>
      <c r="M4741" s="74"/>
      <c r="N4741" s="74" t="s">
        <v>392</v>
      </c>
      <c r="O4741" s="74" t="s">
        <v>402</v>
      </c>
      <c r="P4741" s="74" t="s">
        <v>6831</v>
      </c>
      <c r="Q4741" s="74" t="s">
        <v>6832</v>
      </c>
    </row>
    <row r="4742" spans="3:17" x14ac:dyDescent="0.25">
      <c r="C4742" s="74" t="s">
        <v>6887</v>
      </c>
      <c r="D4742" s="74" t="s">
        <v>6888</v>
      </c>
      <c r="E4742" s="74"/>
      <c r="F4742" s="74">
        <v>0.01</v>
      </c>
      <c r="G4742" s="74"/>
      <c r="H4742" s="74"/>
      <c r="I4742" s="74" t="s">
        <v>391</v>
      </c>
      <c r="J4742" s="74"/>
      <c r="K4742" s="74">
        <v>102.4</v>
      </c>
      <c r="L4742" s="74">
        <v>92.16</v>
      </c>
      <c r="M4742" s="74"/>
      <c r="N4742" s="74" t="s">
        <v>392</v>
      </c>
      <c r="O4742" s="74" t="s">
        <v>402</v>
      </c>
      <c r="P4742" s="74" t="s">
        <v>6889</v>
      </c>
      <c r="Q4742" s="74" t="s">
        <v>6890</v>
      </c>
    </row>
    <row r="4743" spans="3:17" x14ac:dyDescent="0.25">
      <c r="C4743" s="74" t="s">
        <v>6910</v>
      </c>
      <c r="D4743" s="74" t="s">
        <v>6911</v>
      </c>
      <c r="E4743" s="74"/>
      <c r="F4743" s="74">
        <v>0.01</v>
      </c>
      <c r="G4743" s="74"/>
      <c r="H4743" s="74"/>
      <c r="I4743" s="74" t="s">
        <v>391</v>
      </c>
      <c r="J4743" s="74"/>
      <c r="K4743" s="74">
        <v>102.4</v>
      </c>
      <c r="L4743" s="74">
        <v>92.16</v>
      </c>
      <c r="M4743" s="74"/>
      <c r="N4743" s="74" t="s">
        <v>392</v>
      </c>
      <c r="O4743" s="74" t="s">
        <v>402</v>
      </c>
      <c r="P4743" s="74" t="s">
        <v>6912</v>
      </c>
      <c r="Q4743" s="74" t="s">
        <v>6913</v>
      </c>
    </row>
    <row r="4744" spans="3:17" x14ac:dyDescent="0.25">
      <c r="C4744" s="74" t="s">
        <v>6938</v>
      </c>
      <c r="D4744" s="74" t="s">
        <v>6939</v>
      </c>
      <c r="E4744" s="74" t="s">
        <v>391</v>
      </c>
      <c r="F4744" s="74">
        <v>0.01</v>
      </c>
      <c r="G4744" s="74"/>
      <c r="H4744" s="74"/>
      <c r="I4744" s="74" t="s">
        <v>391</v>
      </c>
      <c r="J4744" s="74"/>
      <c r="K4744" s="74">
        <v>102.4</v>
      </c>
      <c r="L4744" s="74">
        <v>92.16</v>
      </c>
      <c r="M4744" s="74"/>
      <c r="N4744" s="74" t="s">
        <v>392</v>
      </c>
      <c r="O4744" s="74" t="s">
        <v>393</v>
      </c>
      <c r="P4744" s="74"/>
      <c r="Q4744" s="74" t="s">
        <v>6940</v>
      </c>
    </row>
    <row r="4745" spans="3:17" x14ac:dyDescent="0.25">
      <c r="C4745" s="74" t="s">
        <v>7160</v>
      </c>
      <c r="D4745" s="74" t="s">
        <v>7081</v>
      </c>
      <c r="E4745" s="74" t="s">
        <v>391</v>
      </c>
      <c r="F4745" s="74">
        <v>0.01</v>
      </c>
      <c r="G4745" s="74"/>
      <c r="H4745" s="74"/>
      <c r="I4745" s="74" t="s">
        <v>391</v>
      </c>
      <c r="J4745" s="74"/>
      <c r="K4745" s="74">
        <v>102.4</v>
      </c>
      <c r="L4745" s="74">
        <v>92.16</v>
      </c>
      <c r="M4745" s="74"/>
      <c r="N4745" s="74" t="s">
        <v>392</v>
      </c>
      <c r="O4745" s="74" t="s">
        <v>393</v>
      </c>
      <c r="P4745" s="74"/>
      <c r="Q4745" s="74" t="s">
        <v>7161</v>
      </c>
    </row>
    <row r="4746" spans="3:17" x14ac:dyDescent="0.25">
      <c r="C4746" s="74" t="s">
        <v>7426</v>
      </c>
      <c r="D4746" s="74" t="s">
        <v>7427</v>
      </c>
      <c r="E4746" s="74" t="s">
        <v>391</v>
      </c>
      <c r="F4746" s="74">
        <v>0.01</v>
      </c>
      <c r="G4746" s="74"/>
      <c r="H4746" s="74"/>
      <c r="I4746" s="74" t="s">
        <v>391</v>
      </c>
      <c r="J4746" s="74"/>
      <c r="K4746" s="74">
        <v>102.4</v>
      </c>
      <c r="L4746" s="74">
        <v>92.16</v>
      </c>
      <c r="M4746" s="74"/>
      <c r="N4746" s="74" t="s">
        <v>392</v>
      </c>
      <c r="O4746" s="74" t="s">
        <v>393</v>
      </c>
      <c r="P4746" s="74"/>
      <c r="Q4746" s="74" t="s">
        <v>7428</v>
      </c>
    </row>
    <row r="4747" spans="3:17" x14ac:dyDescent="0.25">
      <c r="C4747" s="74" t="s">
        <v>7459</v>
      </c>
      <c r="D4747" s="74" t="s">
        <v>7460</v>
      </c>
      <c r="E4747" s="74" t="s">
        <v>391</v>
      </c>
      <c r="F4747" s="74">
        <v>0.01</v>
      </c>
      <c r="G4747" s="74"/>
      <c r="H4747" s="74"/>
      <c r="I4747" s="74" t="s">
        <v>391</v>
      </c>
      <c r="J4747" s="74"/>
      <c r="K4747" s="74">
        <v>102.4</v>
      </c>
      <c r="L4747" s="74">
        <v>92.16</v>
      </c>
      <c r="M4747" s="74"/>
      <c r="N4747" s="74" t="s">
        <v>392</v>
      </c>
      <c r="O4747" s="74" t="s">
        <v>393</v>
      </c>
      <c r="P4747" s="74"/>
      <c r="Q4747" s="74" t="s">
        <v>7461</v>
      </c>
    </row>
    <row r="4748" spans="3:17" x14ac:dyDescent="0.25">
      <c r="C4748" s="74" t="s">
        <v>7632</v>
      </c>
      <c r="D4748" s="74" t="s">
        <v>7633</v>
      </c>
      <c r="E4748" s="74"/>
      <c r="F4748" s="74">
        <v>0.01</v>
      </c>
      <c r="G4748" s="74"/>
      <c r="H4748" s="74"/>
      <c r="I4748" s="74" t="s">
        <v>391</v>
      </c>
      <c r="J4748" s="74"/>
      <c r="K4748" s="74">
        <v>102.4</v>
      </c>
      <c r="L4748" s="74">
        <v>92.16</v>
      </c>
      <c r="M4748" s="74"/>
      <c r="N4748" s="74" t="s">
        <v>392</v>
      </c>
      <c r="O4748" s="74" t="s">
        <v>402</v>
      </c>
      <c r="P4748" s="74" t="s">
        <v>7634</v>
      </c>
      <c r="Q4748" s="74" t="s">
        <v>7635</v>
      </c>
    </row>
    <row r="4749" spans="3:17" x14ac:dyDescent="0.25">
      <c r="C4749" s="74" t="s">
        <v>7772</v>
      </c>
      <c r="D4749" s="74" t="s">
        <v>7773</v>
      </c>
      <c r="E4749" s="74"/>
      <c r="F4749" s="74">
        <v>0.01</v>
      </c>
      <c r="G4749" s="74"/>
      <c r="H4749" s="74"/>
      <c r="I4749" s="74" t="s">
        <v>391</v>
      </c>
      <c r="J4749" s="74"/>
      <c r="K4749" s="74">
        <v>102.4</v>
      </c>
      <c r="L4749" s="74">
        <v>92.16</v>
      </c>
      <c r="M4749" s="74"/>
      <c r="N4749" s="74" t="s">
        <v>392</v>
      </c>
      <c r="O4749" s="74" t="s">
        <v>402</v>
      </c>
      <c r="P4749" s="74" t="s">
        <v>7774</v>
      </c>
      <c r="Q4749" s="74" t="s">
        <v>7775</v>
      </c>
    </row>
    <row r="4750" spans="3:17" x14ac:dyDescent="0.25">
      <c r="C4750" s="74" t="s">
        <v>7806</v>
      </c>
      <c r="D4750" s="74" t="s">
        <v>7807</v>
      </c>
      <c r="E4750" s="74" t="s">
        <v>391</v>
      </c>
      <c r="F4750" s="74">
        <v>0.01</v>
      </c>
      <c r="G4750" s="74"/>
      <c r="H4750" s="74"/>
      <c r="I4750" s="74" t="s">
        <v>391</v>
      </c>
      <c r="J4750" s="74"/>
      <c r="K4750" s="74">
        <v>102.4</v>
      </c>
      <c r="L4750" s="74">
        <v>92.16</v>
      </c>
      <c r="M4750" s="74"/>
      <c r="N4750" s="74" t="s">
        <v>392</v>
      </c>
      <c r="O4750" s="74" t="s">
        <v>393</v>
      </c>
      <c r="P4750" s="74"/>
      <c r="Q4750" s="74" t="s">
        <v>7808</v>
      </c>
    </row>
    <row r="4751" spans="3:17" x14ac:dyDescent="0.25">
      <c r="C4751" s="74" t="s">
        <v>7993</v>
      </c>
      <c r="D4751" s="74" t="s">
        <v>7994</v>
      </c>
      <c r="E4751" s="74" t="s">
        <v>391</v>
      </c>
      <c r="F4751" s="74">
        <v>0.01</v>
      </c>
      <c r="G4751" s="74"/>
      <c r="H4751" s="74"/>
      <c r="I4751" s="74" t="s">
        <v>391</v>
      </c>
      <c r="J4751" s="74"/>
      <c r="K4751" s="74">
        <v>102.4</v>
      </c>
      <c r="L4751" s="74">
        <v>92.16</v>
      </c>
      <c r="M4751" s="74"/>
      <c r="N4751" s="74" t="s">
        <v>392</v>
      </c>
      <c r="O4751" s="74" t="s">
        <v>402</v>
      </c>
      <c r="P4751" s="74" t="s">
        <v>7995</v>
      </c>
      <c r="Q4751" s="74" t="s">
        <v>7996</v>
      </c>
    </row>
    <row r="4752" spans="3:17" x14ac:dyDescent="0.25">
      <c r="C4752" s="74" t="s">
        <v>8039</v>
      </c>
      <c r="D4752" s="74" t="s">
        <v>8040</v>
      </c>
      <c r="E4752" s="74" t="s">
        <v>391</v>
      </c>
      <c r="F4752" s="74">
        <v>0.01</v>
      </c>
      <c r="G4752" s="74"/>
      <c r="H4752" s="74"/>
      <c r="I4752" s="74" t="s">
        <v>391</v>
      </c>
      <c r="J4752" s="74"/>
      <c r="K4752" s="74">
        <v>102.4</v>
      </c>
      <c r="L4752" s="74">
        <v>92.16</v>
      </c>
      <c r="M4752" s="74"/>
      <c r="N4752" s="74" t="s">
        <v>392</v>
      </c>
      <c r="O4752" s="74" t="s">
        <v>393</v>
      </c>
      <c r="P4752" s="74"/>
      <c r="Q4752" s="74" t="s">
        <v>8041</v>
      </c>
    </row>
    <row r="4753" spans="3:17" x14ac:dyDescent="0.25">
      <c r="C4753" s="74" t="s">
        <v>8210</v>
      </c>
      <c r="D4753" s="74" t="s">
        <v>8211</v>
      </c>
      <c r="E4753" s="74"/>
      <c r="F4753" s="74">
        <v>0.01</v>
      </c>
      <c r="G4753" s="74"/>
      <c r="H4753" s="74"/>
      <c r="I4753" s="74" t="s">
        <v>391</v>
      </c>
      <c r="J4753" s="74"/>
      <c r="K4753" s="74">
        <v>102.4</v>
      </c>
      <c r="L4753" s="74">
        <v>92.16</v>
      </c>
      <c r="M4753" s="74"/>
      <c r="N4753" s="74" t="s">
        <v>392</v>
      </c>
      <c r="O4753" s="74" t="s">
        <v>402</v>
      </c>
      <c r="P4753" s="74"/>
      <c r="Q4753" s="74" t="s">
        <v>8212</v>
      </c>
    </row>
    <row r="4754" spans="3:17" x14ac:dyDescent="0.25">
      <c r="C4754" s="74" t="s">
        <v>8303</v>
      </c>
      <c r="D4754" s="74" t="s">
        <v>8304</v>
      </c>
      <c r="E4754" s="74" t="s">
        <v>391</v>
      </c>
      <c r="F4754" s="74">
        <v>0.01</v>
      </c>
      <c r="G4754" s="74"/>
      <c r="H4754" s="74"/>
      <c r="I4754" s="74" t="s">
        <v>391</v>
      </c>
      <c r="J4754" s="74"/>
      <c r="K4754" s="74">
        <v>102.4</v>
      </c>
      <c r="L4754" s="74">
        <v>92.16</v>
      </c>
      <c r="M4754" s="74"/>
      <c r="N4754" s="74" t="s">
        <v>392</v>
      </c>
      <c r="O4754" s="74" t="s">
        <v>393</v>
      </c>
      <c r="P4754" s="74"/>
      <c r="Q4754" s="74" t="s">
        <v>8305</v>
      </c>
    </row>
    <row r="4755" spans="3:17" x14ac:dyDescent="0.25">
      <c r="C4755" s="74" t="s">
        <v>8367</v>
      </c>
      <c r="D4755" s="74" t="s">
        <v>8368</v>
      </c>
      <c r="E4755" s="74"/>
      <c r="F4755" s="74">
        <v>0.01</v>
      </c>
      <c r="G4755" s="74"/>
      <c r="H4755" s="74"/>
      <c r="I4755" s="74" t="s">
        <v>391</v>
      </c>
      <c r="J4755" s="74"/>
      <c r="K4755" s="74">
        <v>102.4</v>
      </c>
      <c r="L4755" s="74">
        <v>92.16</v>
      </c>
      <c r="M4755" s="74"/>
      <c r="N4755" s="74" t="s">
        <v>392</v>
      </c>
      <c r="O4755" s="74" t="s">
        <v>402</v>
      </c>
      <c r="P4755" s="74" t="s">
        <v>8369</v>
      </c>
      <c r="Q4755" s="74" t="s">
        <v>8370</v>
      </c>
    </row>
    <row r="4756" spans="3:17" x14ac:dyDescent="0.25">
      <c r="C4756" s="74" t="s">
        <v>8382</v>
      </c>
      <c r="D4756" s="74" t="s">
        <v>8383</v>
      </c>
      <c r="E4756" s="74"/>
      <c r="F4756" s="74">
        <v>0.01</v>
      </c>
      <c r="G4756" s="74"/>
      <c r="H4756" s="74"/>
      <c r="I4756" s="74" t="s">
        <v>391</v>
      </c>
      <c r="J4756" s="74"/>
      <c r="K4756" s="74">
        <v>102.4</v>
      </c>
      <c r="L4756" s="74">
        <v>92.16</v>
      </c>
      <c r="M4756" s="74"/>
      <c r="N4756" s="74" t="s">
        <v>392</v>
      </c>
      <c r="O4756" s="74" t="s">
        <v>402</v>
      </c>
      <c r="P4756" s="74" t="s">
        <v>8384</v>
      </c>
      <c r="Q4756" s="74" t="s">
        <v>8385</v>
      </c>
    </row>
    <row r="4757" spans="3:17" x14ac:dyDescent="0.25">
      <c r="C4757" s="74" t="s">
        <v>8425</v>
      </c>
      <c r="D4757" s="74" t="s">
        <v>8426</v>
      </c>
      <c r="E4757" s="74" t="s">
        <v>391</v>
      </c>
      <c r="F4757" s="74">
        <v>0.01</v>
      </c>
      <c r="G4757" s="74"/>
      <c r="H4757" s="74"/>
      <c r="I4757" s="74" t="s">
        <v>391</v>
      </c>
      <c r="J4757" s="74"/>
      <c r="K4757" s="74">
        <v>102.4</v>
      </c>
      <c r="L4757" s="74">
        <v>92.16</v>
      </c>
      <c r="M4757" s="74"/>
      <c r="N4757" s="74" t="s">
        <v>392</v>
      </c>
      <c r="O4757" s="74" t="s">
        <v>393</v>
      </c>
      <c r="P4757" s="74"/>
      <c r="Q4757" s="74" t="s">
        <v>8427</v>
      </c>
    </row>
    <row r="4758" spans="3:17" x14ac:dyDescent="0.25">
      <c r="C4758" s="74" t="s">
        <v>8510</v>
      </c>
      <c r="D4758" s="74" t="s">
        <v>8511</v>
      </c>
      <c r="E4758" s="74"/>
      <c r="F4758" s="74">
        <v>0.01</v>
      </c>
      <c r="G4758" s="74"/>
      <c r="H4758" s="74"/>
      <c r="I4758" s="74" t="s">
        <v>391</v>
      </c>
      <c r="J4758" s="74"/>
      <c r="K4758" s="74">
        <v>102.4</v>
      </c>
      <c r="L4758" s="74">
        <v>92.16</v>
      </c>
      <c r="M4758" s="74"/>
      <c r="N4758" s="74" t="s">
        <v>392</v>
      </c>
      <c r="O4758" s="74" t="s">
        <v>402</v>
      </c>
      <c r="P4758" s="74" t="s">
        <v>8512</v>
      </c>
      <c r="Q4758" s="74" t="s">
        <v>8513</v>
      </c>
    </row>
    <row r="4759" spans="3:17" x14ac:dyDescent="0.25">
      <c r="C4759" s="74" t="s">
        <v>9245</v>
      </c>
      <c r="D4759" s="74" t="s">
        <v>9246</v>
      </c>
      <c r="E4759" s="74"/>
      <c r="F4759" s="74">
        <v>0.01</v>
      </c>
      <c r="G4759" s="74"/>
      <c r="H4759" s="74"/>
      <c r="I4759" s="74" t="s">
        <v>391</v>
      </c>
      <c r="J4759" s="74"/>
      <c r="K4759" s="74">
        <v>102.4</v>
      </c>
      <c r="L4759" s="74">
        <v>92.16</v>
      </c>
      <c r="M4759" s="74"/>
      <c r="N4759" s="74" t="s">
        <v>392</v>
      </c>
      <c r="O4759" s="74" t="s">
        <v>402</v>
      </c>
      <c r="P4759" s="74"/>
      <c r="Q4759" s="74" t="s">
        <v>9247</v>
      </c>
    </row>
    <row r="4760" spans="3:17" x14ac:dyDescent="0.25">
      <c r="C4760" s="74" t="s">
        <v>9623</v>
      </c>
      <c r="D4760" s="74" t="s">
        <v>9624</v>
      </c>
      <c r="E4760" s="74"/>
      <c r="F4760" s="74">
        <v>0.01</v>
      </c>
      <c r="G4760" s="74"/>
      <c r="H4760" s="74"/>
      <c r="I4760" s="74" t="s">
        <v>391</v>
      </c>
      <c r="J4760" s="74"/>
      <c r="K4760" s="74">
        <v>102.4</v>
      </c>
      <c r="L4760" s="74">
        <v>92.16</v>
      </c>
      <c r="M4760" s="74"/>
      <c r="N4760" s="74" t="s">
        <v>392</v>
      </c>
      <c r="O4760" s="74" t="s">
        <v>402</v>
      </c>
      <c r="P4760" s="74" t="s">
        <v>9625</v>
      </c>
      <c r="Q4760" s="74" t="s">
        <v>9626</v>
      </c>
    </row>
    <row r="4761" spans="3:17" x14ac:dyDescent="0.25">
      <c r="C4761" s="74" t="s">
        <v>10056</v>
      </c>
      <c r="D4761" s="74" t="s">
        <v>10057</v>
      </c>
      <c r="E4761" s="74" t="s">
        <v>391</v>
      </c>
      <c r="F4761" s="74">
        <v>0.01</v>
      </c>
      <c r="G4761" s="74"/>
      <c r="H4761" s="74"/>
      <c r="I4761" s="74" t="s">
        <v>391</v>
      </c>
      <c r="J4761" s="74"/>
      <c r="K4761" s="74">
        <v>102.4</v>
      </c>
      <c r="L4761" s="74">
        <v>92.16</v>
      </c>
      <c r="M4761" s="74"/>
      <c r="N4761" s="74" t="s">
        <v>392</v>
      </c>
      <c r="O4761" s="74" t="s">
        <v>393</v>
      </c>
      <c r="P4761" s="74"/>
      <c r="Q4761" s="74" t="s">
        <v>10058</v>
      </c>
    </row>
    <row r="4762" spans="3:17" x14ac:dyDescent="0.25">
      <c r="C4762" s="74" t="s">
        <v>10482</v>
      </c>
      <c r="D4762" s="74" t="s">
        <v>10483</v>
      </c>
      <c r="E4762" s="74"/>
      <c r="F4762" s="74">
        <v>0.01</v>
      </c>
      <c r="G4762" s="74"/>
      <c r="H4762" s="74"/>
      <c r="I4762" s="74" t="s">
        <v>391</v>
      </c>
      <c r="J4762" s="74"/>
      <c r="K4762" s="74">
        <v>102.4</v>
      </c>
      <c r="L4762" s="74">
        <v>92.16</v>
      </c>
      <c r="M4762" s="74"/>
      <c r="N4762" s="74" t="s">
        <v>392</v>
      </c>
      <c r="O4762" s="74" t="s">
        <v>402</v>
      </c>
      <c r="P4762" s="74" t="s">
        <v>10484</v>
      </c>
      <c r="Q4762" s="74" t="s">
        <v>10485</v>
      </c>
    </row>
    <row r="4763" spans="3:17" x14ac:dyDescent="0.25">
      <c r="C4763" s="74" t="s">
        <v>10515</v>
      </c>
      <c r="D4763" s="74" t="s">
        <v>10516</v>
      </c>
      <c r="E4763" s="74"/>
      <c r="F4763" s="74">
        <v>0.01</v>
      </c>
      <c r="G4763" s="74"/>
      <c r="H4763" s="74"/>
      <c r="I4763" s="74" t="s">
        <v>391</v>
      </c>
      <c r="J4763" s="74"/>
      <c r="K4763" s="74">
        <v>102.4</v>
      </c>
      <c r="L4763" s="74">
        <v>92.16</v>
      </c>
      <c r="M4763" s="74"/>
      <c r="N4763" s="74" t="s">
        <v>392</v>
      </c>
      <c r="O4763" s="74" t="s">
        <v>402</v>
      </c>
      <c r="P4763" s="74" t="s">
        <v>10517</v>
      </c>
      <c r="Q4763" s="74" t="s">
        <v>10518</v>
      </c>
    </row>
    <row r="4764" spans="3:17" x14ac:dyDescent="0.25">
      <c r="C4764" s="74" t="s">
        <v>10588</v>
      </c>
      <c r="D4764" s="74" t="s">
        <v>10589</v>
      </c>
      <c r="E4764" s="74"/>
      <c r="F4764" s="74">
        <v>0.01</v>
      </c>
      <c r="G4764" s="74"/>
      <c r="H4764" s="74"/>
      <c r="I4764" s="74" t="s">
        <v>391</v>
      </c>
      <c r="J4764" s="74"/>
      <c r="K4764" s="74">
        <v>102.4</v>
      </c>
      <c r="L4764" s="74">
        <v>92.16</v>
      </c>
      <c r="M4764" s="74"/>
      <c r="N4764" s="74" t="s">
        <v>392</v>
      </c>
      <c r="O4764" s="74" t="s">
        <v>402</v>
      </c>
      <c r="P4764" s="74" t="s">
        <v>10590</v>
      </c>
      <c r="Q4764" s="74" t="s">
        <v>10591</v>
      </c>
    </row>
    <row r="4765" spans="3:17" x14ac:dyDescent="0.25">
      <c r="C4765" s="74" t="s">
        <v>10611</v>
      </c>
      <c r="D4765" s="74" t="s">
        <v>10612</v>
      </c>
      <c r="E4765" s="74" t="s">
        <v>391</v>
      </c>
      <c r="F4765" s="74">
        <v>0.01</v>
      </c>
      <c r="G4765" s="74"/>
      <c r="H4765" s="74"/>
      <c r="I4765" s="74" t="s">
        <v>391</v>
      </c>
      <c r="J4765" s="74"/>
      <c r="K4765" s="74">
        <v>102.4</v>
      </c>
      <c r="L4765" s="74">
        <v>92.16</v>
      </c>
      <c r="M4765" s="74"/>
      <c r="N4765" s="74" t="s">
        <v>392</v>
      </c>
      <c r="O4765" s="74" t="s">
        <v>393</v>
      </c>
      <c r="P4765" s="74"/>
      <c r="Q4765" s="74" t="s">
        <v>10613</v>
      </c>
    </row>
    <row r="4766" spans="3:17" x14ac:dyDescent="0.25">
      <c r="C4766" s="74" t="s">
        <v>10632</v>
      </c>
      <c r="D4766" s="74" t="s">
        <v>10633</v>
      </c>
      <c r="E4766" s="74"/>
      <c r="F4766" s="74">
        <v>0.01</v>
      </c>
      <c r="G4766" s="74"/>
      <c r="H4766" s="74"/>
      <c r="I4766" s="74" t="s">
        <v>391</v>
      </c>
      <c r="J4766" s="74"/>
      <c r="K4766" s="74">
        <v>102.4</v>
      </c>
      <c r="L4766" s="74">
        <v>92.16</v>
      </c>
      <c r="M4766" s="74"/>
      <c r="N4766" s="74" t="s">
        <v>392</v>
      </c>
      <c r="O4766" s="74" t="s">
        <v>402</v>
      </c>
      <c r="P4766" s="74"/>
      <c r="Q4766" s="74" t="s">
        <v>10634</v>
      </c>
    </row>
    <row r="4767" spans="3:17" x14ac:dyDescent="0.25">
      <c r="C4767" s="74" t="s">
        <v>11002</v>
      </c>
      <c r="D4767" s="74" t="s">
        <v>11003</v>
      </c>
      <c r="E4767" s="74"/>
      <c r="F4767" s="74">
        <v>0.01</v>
      </c>
      <c r="G4767" s="74"/>
      <c r="H4767" s="74"/>
      <c r="I4767" s="74" t="s">
        <v>391</v>
      </c>
      <c r="J4767" s="74"/>
      <c r="K4767" s="74">
        <v>102.4</v>
      </c>
      <c r="L4767" s="74">
        <v>92.16</v>
      </c>
      <c r="M4767" s="74"/>
      <c r="N4767" s="74" t="s">
        <v>392</v>
      </c>
      <c r="O4767" s="74" t="s">
        <v>402</v>
      </c>
      <c r="P4767" s="74" t="s">
        <v>11004</v>
      </c>
      <c r="Q4767" s="74" t="s">
        <v>11005</v>
      </c>
    </row>
    <row r="4768" spans="3:17" x14ac:dyDescent="0.25">
      <c r="C4768" s="74" t="s">
        <v>11128</v>
      </c>
      <c r="D4768" s="74" t="s">
        <v>11129</v>
      </c>
      <c r="E4768" s="74"/>
      <c r="F4768" s="74">
        <v>0.01</v>
      </c>
      <c r="G4768" s="74"/>
      <c r="H4768" s="74"/>
      <c r="I4768" s="74" t="s">
        <v>391</v>
      </c>
      <c r="J4768" s="74"/>
      <c r="K4768" s="74">
        <v>102.4</v>
      </c>
      <c r="L4768" s="74">
        <v>92.16</v>
      </c>
      <c r="M4768" s="74"/>
      <c r="N4768" s="74" t="s">
        <v>392</v>
      </c>
      <c r="O4768" s="74" t="s">
        <v>402</v>
      </c>
      <c r="P4768" s="74"/>
      <c r="Q4768" s="74" t="s">
        <v>11130</v>
      </c>
    </row>
    <row r="4769" spans="3:17" x14ac:dyDescent="0.25">
      <c r="C4769" s="74" t="s">
        <v>11385</v>
      </c>
      <c r="D4769" s="74" t="s">
        <v>11386</v>
      </c>
      <c r="E4769" s="74" t="s">
        <v>391</v>
      </c>
      <c r="F4769" s="74">
        <v>0.01</v>
      </c>
      <c r="G4769" s="74"/>
      <c r="H4769" s="74"/>
      <c r="I4769" s="74" t="s">
        <v>391</v>
      </c>
      <c r="J4769" s="74"/>
      <c r="K4769" s="74">
        <v>102.4</v>
      </c>
      <c r="L4769" s="74">
        <v>92.16</v>
      </c>
      <c r="M4769" s="74"/>
      <c r="N4769" s="74" t="s">
        <v>392</v>
      </c>
      <c r="O4769" s="74" t="s">
        <v>393</v>
      </c>
      <c r="P4769" s="74"/>
      <c r="Q4769" s="74" t="s">
        <v>11387</v>
      </c>
    </row>
    <row r="4770" spans="3:17" x14ac:dyDescent="0.25">
      <c r="C4770" s="74" t="s">
        <v>11631</v>
      </c>
      <c r="D4770" s="74" t="s">
        <v>11632</v>
      </c>
      <c r="E4770" s="74"/>
      <c r="F4770" s="74">
        <v>0.01</v>
      </c>
      <c r="G4770" s="74"/>
      <c r="H4770" s="74"/>
      <c r="I4770" s="74" t="s">
        <v>391</v>
      </c>
      <c r="J4770" s="74"/>
      <c r="K4770" s="74">
        <v>102.4</v>
      </c>
      <c r="L4770" s="74">
        <v>92.16</v>
      </c>
      <c r="M4770" s="74"/>
      <c r="N4770" s="74" t="s">
        <v>392</v>
      </c>
      <c r="O4770" s="74" t="s">
        <v>402</v>
      </c>
      <c r="P4770" s="74" t="s">
        <v>11633</v>
      </c>
      <c r="Q4770" s="74" t="s">
        <v>11634</v>
      </c>
    </row>
    <row r="4771" spans="3:17" x14ac:dyDescent="0.25">
      <c r="C4771" s="74" t="s">
        <v>11702</v>
      </c>
      <c r="D4771" s="74" t="s">
        <v>11703</v>
      </c>
      <c r="E4771" s="74"/>
      <c r="F4771" s="74">
        <v>0.01</v>
      </c>
      <c r="G4771" s="74"/>
      <c r="H4771" s="74"/>
      <c r="I4771" s="74" t="s">
        <v>391</v>
      </c>
      <c r="J4771" s="74"/>
      <c r="K4771" s="74">
        <v>102.4</v>
      </c>
      <c r="L4771" s="74">
        <v>92.16</v>
      </c>
      <c r="M4771" s="74"/>
      <c r="N4771" s="74" t="s">
        <v>392</v>
      </c>
      <c r="O4771" s="74" t="s">
        <v>402</v>
      </c>
      <c r="P4771" s="74" t="s">
        <v>11704</v>
      </c>
      <c r="Q4771" s="74" t="s">
        <v>11705</v>
      </c>
    </row>
    <row r="4772" spans="3:17" x14ac:dyDescent="0.25">
      <c r="C4772" s="74" t="s">
        <v>11802</v>
      </c>
      <c r="D4772" s="74" t="s">
        <v>11803</v>
      </c>
      <c r="E4772" s="74"/>
      <c r="F4772" s="74">
        <v>0.01</v>
      </c>
      <c r="G4772" s="74"/>
      <c r="H4772" s="74"/>
      <c r="I4772" s="74" t="s">
        <v>391</v>
      </c>
      <c r="J4772" s="74"/>
      <c r="K4772" s="74">
        <v>102.4</v>
      </c>
      <c r="L4772" s="74">
        <v>92.16</v>
      </c>
      <c r="M4772" s="74"/>
      <c r="N4772" s="74" t="s">
        <v>392</v>
      </c>
      <c r="O4772" s="74" t="s">
        <v>402</v>
      </c>
      <c r="P4772" s="74" t="s">
        <v>11804</v>
      </c>
      <c r="Q4772" s="74" t="s">
        <v>11805</v>
      </c>
    </row>
    <row r="4773" spans="3:17" x14ac:dyDescent="0.25">
      <c r="C4773" s="74" t="s">
        <v>11857</v>
      </c>
      <c r="D4773" s="74" t="s">
        <v>11858</v>
      </c>
      <c r="E4773" s="74" t="s">
        <v>391</v>
      </c>
      <c r="F4773" s="74">
        <v>0.01</v>
      </c>
      <c r="G4773" s="74"/>
      <c r="H4773" s="74"/>
      <c r="I4773" s="74" t="s">
        <v>391</v>
      </c>
      <c r="J4773" s="74"/>
      <c r="K4773" s="74">
        <v>102.4</v>
      </c>
      <c r="L4773" s="74">
        <v>92.16</v>
      </c>
      <c r="M4773" s="74"/>
      <c r="N4773" s="74" t="s">
        <v>392</v>
      </c>
      <c r="O4773" s="74" t="s">
        <v>393</v>
      </c>
      <c r="P4773" s="74"/>
      <c r="Q4773" s="74" t="s">
        <v>11859</v>
      </c>
    </row>
    <row r="4774" spans="3:17" x14ac:dyDescent="0.25">
      <c r="C4774" s="74" t="s">
        <v>11905</v>
      </c>
      <c r="D4774" s="74" t="s">
        <v>11906</v>
      </c>
      <c r="E4774" s="74" t="s">
        <v>391</v>
      </c>
      <c r="F4774" s="74">
        <v>0.01</v>
      </c>
      <c r="G4774" s="74"/>
      <c r="H4774" s="74"/>
      <c r="I4774" s="74" t="s">
        <v>391</v>
      </c>
      <c r="J4774" s="74"/>
      <c r="K4774" s="74">
        <v>102.4</v>
      </c>
      <c r="L4774" s="74">
        <v>92.16</v>
      </c>
      <c r="M4774" s="74"/>
      <c r="N4774" s="74" t="s">
        <v>392</v>
      </c>
      <c r="O4774" s="74" t="s">
        <v>393</v>
      </c>
      <c r="P4774" s="74"/>
      <c r="Q4774" s="74" t="s">
        <v>11907</v>
      </c>
    </row>
    <row r="4775" spans="3:17" x14ac:dyDescent="0.25">
      <c r="C4775" s="74" t="s">
        <v>11965</v>
      </c>
      <c r="D4775" s="74" t="s">
        <v>11966</v>
      </c>
      <c r="E4775" s="74"/>
      <c r="F4775" s="74">
        <v>0.01</v>
      </c>
      <c r="G4775" s="74"/>
      <c r="H4775" s="74"/>
      <c r="I4775" s="74" t="s">
        <v>391</v>
      </c>
      <c r="J4775" s="74"/>
      <c r="K4775" s="74">
        <v>102.4</v>
      </c>
      <c r="L4775" s="74">
        <v>92.16</v>
      </c>
      <c r="M4775" s="74"/>
      <c r="N4775" s="74" t="s">
        <v>392</v>
      </c>
      <c r="O4775" s="74" t="s">
        <v>402</v>
      </c>
      <c r="P4775" s="74" t="s">
        <v>11967</v>
      </c>
      <c r="Q4775" s="74" t="s">
        <v>11968</v>
      </c>
    </row>
    <row r="4776" spans="3:17" x14ac:dyDescent="0.25">
      <c r="C4776" s="74" t="s">
        <v>12104</v>
      </c>
      <c r="D4776" s="74" t="s">
        <v>12105</v>
      </c>
      <c r="E4776" s="74" t="s">
        <v>391</v>
      </c>
      <c r="F4776" s="74">
        <v>0.01</v>
      </c>
      <c r="G4776" s="74"/>
      <c r="H4776" s="74"/>
      <c r="I4776" s="74" t="s">
        <v>391</v>
      </c>
      <c r="J4776" s="74"/>
      <c r="K4776" s="74">
        <v>102.4</v>
      </c>
      <c r="L4776" s="74">
        <v>92.16</v>
      </c>
      <c r="M4776" s="74"/>
      <c r="N4776" s="74" t="s">
        <v>392</v>
      </c>
      <c r="O4776" s="74" t="s">
        <v>393</v>
      </c>
      <c r="P4776" s="74"/>
      <c r="Q4776" s="74" t="s">
        <v>12106</v>
      </c>
    </row>
    <row r="4777" spans="3:17" x14ac:dyDescent="0.25">
      <c r="C4777" s="74" t="s">
        <v>12164</v>
      </c>
      <c r="D4777" s="74" t="s">
        <v>12165</v>
      </c>
      <c r="E4777" s="74"/>
      <c r="F4777" s="74">
        <v>0.01</v>
      </c>
      <c r="G4777" s="74"/>
      <c r="H4777" s="74"/>
      <c r="I4777" s="74" t="s">
        <v>391</v>
      </c>
      <c r="J4777" s="74"/>
      <c r="K4777" s="74">
        <v>102.4</v>
      </c>
      <c r="L4777" s="74">
        <v>92.16</v>
      </c>
      <c r="M4777" s="74"/>
      <c r="N4777" s="74" t="s">
        <v>392</v>
      </c>
      <c r="O4777" s="74" t="s">
        <v>402</v>
      </c>
      <c r="P4777" s="74" t="s">
        <v>12166</v>
      </c>
      <c r="Q4777" s="74" t="s">
        <v>12167</v>
      </c>
    </row>
    <row r="4778" spans="3:17" x14ac:dyDescent="0.25">
      <c r="C4778" s="74" t="s">
        <v>12516</v>
      </c>
      <c r="D4778" s="74" t="s">
        <v>12517</v>
      </c>
      <c r="E4778" s="74" t="s">
        <v>391</v>
      </c>
      <c r="F4778" s="74">
        <v>0.01</v>
      </c>
      <c r="G4778" s="74"/>
      <c r="H4778" s="74"/>
      <c r="I4778" s="74" t="s">
        <v>391</v>
      </c>
      <c r="J4778" s="74"/>
      <c r="K4778" s="74">
        <v>102.4</v>
      </c>
      <c r="L4778" s="74">
        <v>92.16</v>
      </c>
      <c r="M4778" s="74"/>
      <c r="N4778" s="74" t="s">
        <v>392</v>
      </c>
      <c r="O4778" s="74" t="s">
        <v>393</v>
      </c>
      <c r="P4778" s="74"/>
      <c r="Q4778" s="74" t="s">
        <v>12518</v>
      </c>
    </row>
    <row r="4779" spans="3:17" x14ac:dyDescent="0.25">
      <c r="C4779" s="74" t="s">
        <v>12534</v>
      </c>
      <c r="D4779" s="74" t="s">
        <v>12535</v>
      </c>
      <c r="E4779" s="74" t="s">
        <v>391</v>
      </c>
      <c r="F4779" s="74">
        <v>0.01</v>
      </c>
      <c r="G4779" s="74"/>
      <c r="H4779" s="74"/>
      <c r="I4779" s="74" t="s">
        <v>391</v>
      </c>
      <c r="J4779" s="74"/>
      <c r="K4779" s="74">
        <v>102.4</v>
      </c>
      <c r="L4779" s="74">
        <v>92.16</v>
      </c>
      <c r="M4779" s="74"/>
      <c r="N4779" s="74" t="s">
        <v>392</v>
      </c>
      <c r="O4779" s="74" t="s">
        <v>393</v>
      </c>
      <c r="P4779" s="74"/>
      <c r="Q4779" s="74" t="s">
        <v>12536</v>
      </c>
    </row>
    <row r="4780" spans="3:17" x14ac:dyDescent="0.25">
      <c r="C4780" s="74" t="s">
        <v>12571</v>
      </c>
      <c r="D4780" s="74" t="s">
        <v>12572</v>
      </c>
      <c r="E4780" s="74"/>
      <c r="F4780" s="74">
        <v>0.01</v>
      </c>
      <c r="G4780" s="74"/>
      <c r="H4780" s="74"/>
      <c r="I4780" s="74" t="s">
        <v>391</v>
      </c>
      <c r="J4780" s="74"/>
      <c r="K4780" s="74">
        <v>102.4</v>
      </c>
      <c r="L4780" s="74">
        <v>92.16</v>
      </c>
      <c r="M4780" s="74"/>
      <c r="N4780" s="74" t="s">
        <v>392</v>
      </c>
      <c r="O4780" s="74" t="s">
        <v>402</v>
      </c>
      <c r="P4780" s="74"/>
      <c r="Q4780" s="74" t="s">
        <v>12573</v>
      </c>
    </row>
    <row r="4781" spans="3:17" x14ac:dyDescent="0.25">
      <c r="C4781" s="74" t="s">
        <v>12614</v>
      </c>
      <c r="D4781" s="74" t="s">
        <v>12615</v>
      </c>
      <c r="E4781" s="74"/>
      <c r="F4781" s="74">
        <v>0.01</v>
      </c>
      <c r="G4781" s="74"/>
      <c r="H4781" s="74"/>
      <c r="I4781" s="74" t="s">
        <v>391</v>
      </c>
      <c r="J4781" s="74"/>
      <c r="K4781" s="74">
        <v>102.4</v>
      </c>
      <c r="L4781" s="74">
        <v>92.16</v>
      </c>
      <c r="M4781" s="74"/>
      <c r="N4781" s="74" t="s">
        <v>392</v>
      </c>
      <c r="O4781" s="74" t="s">
        <v>402</v>
      </c>
      <c r="P4781" s="74" t="s">
        <v>12616</v>
      </c>
      <c r="Q4781" s="74" t="s">
        <v>12617</v>
      </c>
    </row>
    <row r="4782" spans="3:17" x14ac:dyDescent="0.25">
      <c r="C4782" s="74" t="s">
        <v>13148</v>
      </c>
      <c r="D4782" s="74" t="s">
        <v>13149</v>
      </c>
      <c r="E4782" s="74"/>
      <c r="F4782" s="74">
        <v>0.01</v>
      </c>
      <c r="G4782" s="74"/>
      <c r="H4782" s="74"/>
      <c r="I4782" s="74" t="s">
        <v>391</v>
      </c>
      <c r="J4782" s="74"/>
      <c r="K4782" s="74">
        <v>102.4</v>
      </c>
      <c r="L4782" s="74">
        <v>92.16</v>
      </c>
      <c r="M4782" s="74"/>
      <c r="N4782" s="74" t="s">
        <v>392</v>
      </c>
      <c r="O4782" s="74" t="s">
        <v>402</v>
      </c>
      <c r="P4782" s="74" t="s">
        <v>13150</v>
      </c>
      <c r="Q4782" s="74" t="s">
        <v>13151</v>
      </c>
    </row>
    <row r="4783" spans="3:17" x14ac:dyDescent="0.25">
      <c r="C4783" s="74" t="s">
        <v>13253</v>
      </c>
      <c r="D4783" s="74" t="s">
        <v>13254</v>
      </c>
      <c r="E4783" s="74"/>
      <c r="F4783" s="74">
        <v>0.01</v>
      </c>
      <c r="G4783" s="74"/>
      <c r="H4783" s="74"/>
      <c r="I4783" s="74" t="s">
        <v>391</v>
      </c>
      <c r="J4783" s="74"/>
      <c r="K4783" s="74">
        <v>102.4</v>
      </c>
      <c r="L4783" s="74">
        <v>92.16</v>
      </c>
      <c r="M4783" s="74"/>
      <c r="N4783" s="74" t="s">
        <v>392</v>
      </c>
      <c r="O4783" s="74" t="s">
        <v>402</v>
      </c>
      <c r="P4783" s="74" t="s">
        <v>13255</v>
      </c>
      <c r="Q4783" s="74" t="s">
        <v>13256</v>
      </c>
    </row>
    <row r="4784" spans="3:17" x14ac:dyDescent="0.25">
      <c r="C4784" s="74" t="s">
        <v>13309</v>
      </c>
      <c r="D4784" s="74" t="s">
        <v>12911</v>
      </c>
      <c r="E4784" s="74" t="s">
        <v>391</v>
      </c>
      <c r="F4784" s="74">
        <v>0.01</v>
      </c>
      <c r="G4784" s="74"/>
      <c r="H4784" s="74"/>
      <c r="I4784" s="74" t="s">
        <v>391</v>
      </c>
      <c r="J4784" s="74"/>
      <c r="K4784" s="74">
        <v>102.4</v>
      </c>
      <c r="L4784" s="74">
        <v>92.16</v>
      </c>
      <c r="M4784" s="74"/>
      <c r="N4784" s="74" t="s">
        <v>392</v>
      </c>
      <c r="O4784" s="74" t="s">
        <v>393</v>
      </c>
      <c r="P4784" s="74"/>
      <c r="Q4784" s="74" t="s">
        <v>13310</v>
      </c>
    </row>
    <row r="4785" spans="3:17" x14ac:dyDescent="0.25">
      <c r="C4785" s="74" t="s">
        <v>13391</v>
      </c>
      <c r="D4785" s="74" t="s">
        <v>13392</v>
      </c>
      <c r="E4785" s="74"/>
      <c r="F4785" s="74">
        <v>0.01</v>
      </c>
      <c r="G4785" s="74"/>
      <c r="H4785" s="74"/>
      <c r="I4785" s="74" t="s">
        <v>391</v>
      </c>
      <c r="J4785" s="74"/>
      <c r="K4785" s="74">
        <v>102.4</v>
      </c>
      <c r="L4785" s="74">
        <v>92.16</v>
      </c>
      <c r="M4785" s="74"/>
      <c r="N4785" s="74" t="s">
        <v>392</v>
      </c>
      <c r="O4785" s="74" t="s">
        <v>402</v>
      </c>
      <c r="P4785" s="74" t="s">
        <v>13393</v>
      </c>
      <c r="Q4785" s="74" t="s">
        <v>13394</v>
      </c>
    </row>
    <row r="4786" spans="3:17" x14ac:dyDescent="0.25">
      <c r="C4786" s="74" t="s">
        <v>13420</v>
      </c>
      <c r="D4786" s="74" t="s">
        <v>13421</v>
      </c>
      <c r="E4786" s="74" t="s">
        <v>391</v>
      </c>
      <c r="F4786" s="74">
        <v>0.01</v>
      </c>
      <c r="G4786" s="74"/>
      <c r="H4786" s="74"/>
      <c r="I4786" s="74" t="s">
        <v>391</v>
      </c>
      <c r="J4786" s="74"/>
      <c r="K4786" s="74">
        <v>102.4</v>
      </c>
      <c r="L4786" s="74">
        <v>92.16</v>
      </c>
      <c r="M4786" s="74"/>
      <c r="N4786" s="74" t="s">
        <v>392</v>
      </c>
      <c r="O4786" s="74" t="s">
        <v>393</v>
      </c>
      <c r="P4786" s="74"/>
      <c r="Q4786" s="74" t="s">
        <v>13422</v>
      </c>
    </row>
    <row r="4787" spans="3:17" x14ac:dyDescent="0.25">
      <c r="C4787" s="74" t="s">
        <v>13451</v>
      </c>
      <c r="D4787" s="74" t="s">
        <v>13452</v>
      </c>
      <c r="E4787" s="74" t="s">
        <v>391</v>
      </c>
      <c r="F4787" s="74">
        <v>0.01</v>
      </c>
      <c r="G4787" s="74"/>
      <c r="H4787" s="74"/>
      <c r="I4787" s="74" t="s">
        <v>391</v>
      </c>
      <c r="J4787" s="74"/>
      <c r="K4787" s="74">
        <v>102.4</v>
      </c>
      <c r="L4787" s="74">
        <v>92.16</v>
      </c>
      <c r="M4787" s="74"/>
      <c r="N4787" s="74" t="s">
        <v>392</v>
      </c>
      <c r="O4787" s="74" t="s">
        <v>393</v>
      </c>
      <c r="P4787" s="74"/>
      <c r="Q4787" s="74" t="s">
        <v>13453</v>
      </c>
    </row>
    <row r="4788" spans="3:17" x14ac:dyDescent="0.25">
      <c r="C4788" s="74" t="s">
        <v>13500</v>
      </c>
      <c r="D4788" s="74" t="s">
        <v>13501</v>
      </c>
      <c r="E4788" s="74"/>
      <c r="F4788" s="74">
        <v>0.01</v>
      </c>
      <c r="G4788" s="74"/>
      <c r="H4788" s="74"/>
      <c r="I4788" s="74" t="s">
        <v>391</v>
      </c>
      <c r="J4788" s="74"/>
      <c r="K4788" s="74">
        <v>102.4</v>
      </c>
      <c r="L4788" s="74">
        <v>92.16</v>
      </c>
      <c r="M4788" s="74"/>
      <c r="N4788" s="74" t="s">
        <v>392</v>
      </c>
      <c r="O4788" s="74" t="s">
        <v>402</v>
      </c>
      <c r="P4788" s="74" t="s">
        <v>13502</v>
      </c>
      <c r="Q4788" s="74" t="s">
        <v>13503</v>
      </c>
    </row>
    <row r="4789" spans="3:17" x14ac:dyDescent="0.25">
      <c r="C4789" s="74" t="s">
        <v>13573</v>
      </c>
      <c r="D4789" s="74" t="s">
        <v>13574</v>
      </c>
      <c r="E4789" s="74"/>
      <c r="F4789" s="74">
        <v>0.01</v>
      </c>
      <c r="G4789" s="74"/>
      <c r="H4789" s="74"/>
      <c r="I4789" s="74" t="s">
        <v>391</v>
      </c>
      <c r="J4789" s="74"/>
      <c r="K4789" s="74">
        <v>102.4</v>
      </c>
      <c r="L4789" s="74">
        <v>92.16</v>
      </c>
      <c r="M4789" s="74"/>
      <c r="N4789" s="74" t="s">
        <v>392</v>
      </c>
      <c r="O4789" s="74" t="s">
        <v>402</v>
      </c>
      <c r="P4789" s="74"/>
      <c r="Q4789" s="74" t="s">
        <v>13575</v>
      </c>
    </row>
    <row r="4790" spans="3:17" x14ac:dyDescent="0.25">
      <c r="C4790" s="74" t="s">
        <v>13593</v>
      </c>
      <c r="D4790" s="74" t="s">
        <v>13594</v>
      </c>
      <c r="E4790" s="74"/>
      <c r="F4790" s="74">
        <v>0.01</v>
      </c>
      <c r="G4790" s="74"/>
      <c r="H4790" s="74"/>
      <c r="I4790" s="74" t="s">
        <v>391</v>
      </c>
      <c r="J4790" s="74"/>
      <c r="K4790" s="74">
        <v>102.4</v>
      </c>
      <c r="L4790" s="74">
        <v>92.16</v>
      </c>
      <c r="M4790" s="74"/>
      <c r="N4790" s="74" t="s">
        <v>392</v>
      </c>
      <c r="O4790" s="74" t="s">
        <v>402</v>
      </c>
      <c r="P4790" s="74" t="s">
        <v>13595</v>
      </c>
      <c r="Q4790" s="74" t="s">
        <v>13596</v>
      </c>
    </row>
    <row r="4791" spans="3:17" x14ac:dyDescent="0.25">
      <c r="C4791" s="74" t="s">
        <v>13626</v>
      </c>
      <c r="D4791" s="74" t="s">
        <v>13627</v>
      </c>
      <c r="E4791" s="74" t="s">
        <v>391</v>
      </c>
      <c r="F4791" s="74">
        <v>0.01</v>
      </c>
      <c r="G4791" s="74"/>
      <c r="H4791" s="74"/>
      <c r="I4791" s="74" t="s">
        <v>391</v>
      </c>
      <c r="J4791" s="74"/>
      <c r="K4791" s="74">
        <v>102.4</v>
      </c>
      <c r="L4791" s="74">
        <v>92.16</v>
      </c>
      <c r="M4791" s="74"/>
      <c r="N4791" s="74" t="s">
        <v>392</v>
      </c>
      <c r="O4791" s="74" t="s">
        <v>393</v>
      </c>
      <c r="P4791" s="74"/>
      <c r="Q4791" s="74" t="s">
        <v>13628</v>
      </c>
    </row>
    <row r="4792" spans="3:17" x14ac:dyDescent="0.25">
      <c r="C4792" s="74" t="s">
        <v>13682</v>
      </c>
      <c r="D4792" s="74" t="s">
        <v>13683</v>
      </c>
      <c r="E4792" s="74"/>
      <c r="F4792" s="74">
        <v>0.01</v>
      </c>
      <c r="G4792" s="74"/>
      <c r="H4792" s="74"/>
      <c r="I4792" s="74" t="s">
        <v>391</v>
      </c>
      <c r="J4792" s="74"/>
      <c r="K4792" s="74">
        <v>102.4</v>
      </c>
      <c r="L4792" s="74">
        <v>92.16</v>
      </c>
      <c r="M4792" s="74"/>
      <c r="N4792" s="74" t="s">
        <v>392</v>
      </c>
      <c r="O4792" s="74" t="s">
        <v>402</v>
      </c>
      <c r="P4792" s="74"/>
      <c r="Q4792" s="74" t="s">
        <v>13684</v>
      </c>
    </row>
    <row r="4793" spans="3:17" x14ac:dyDescent="0.25">
      <c r="C4793" s="74" t="s">
        <v>13733</v>
      </c>
      <c r="D4793" s="74" t="s">
        <v>13734</v>
      </c>
      <c r="E4793" s="74"/>
      <c r="F4793" s="74">
        <v>0.01</v>
      </c>
      <c r="G4793" s="74"/>
      <c r="H4793" s="74"/>
      <c r="I4793" s="74" t="s">
        <v>391</v>
      </c>
      <c r="J4793" s="74"/>
      <c r="K4793" s="74">
        <v>102.4</v>
      </c>
      <c r="L4793" s="74">
        <v>92.16</v>
      </c>
      <c r="M4793" s="74"/>
      <c r="N4793" s="74" t="s">
        <v>392</v>
      </c>
      <c r="O4793" s="74" t="s">
        <v>402</v>
      </c>
      <c r="P4793" s="74" t="s">
        <v>13735</v>
      </c>
      <c r="Q4793" s="74" t="s">
        <v>13736</v>
      </c>
    </row>
    <row r="4794" spans="3:17" x14ac:dyDescent="0.25">
      <c r="C4794" s="74" t="s">
        <v>14010</v>
      </c>
      <c r="D4794" s="74" t="s">
        <v>14011</v>
      </c>
      <c r="E4794" s="74" t="s">
        <v>391</v>
      </c>
      <c r="F4794" s="74">
        <v>0.01</v>
      </c>
      <c r="G4794" s="74"/>
      <c r="H4794" s="74"/>
      <c r="I4794" s="74" t="s">
        <v>391</v>
      </c>
      <c r="J4794" s="74"/>
      <c r="K4794" s="74">
        <v>102.4</v>
      </c>
      <c r="L4794" s="74">
        <v>92.16</v>
      </c>
      <c r="M4794" s="74"/>
      <c r="N4794" s="74" t="s">
        <v>392</v>
      </c>
      <c r="O4794" s="74" t="s">
        <v>393</v>
      </c>
      <c r="P4794" s="74"/>
      <c r="Q4794" s="74" t="s">
        <v>14012</v>
      </c>
    </row>
    <row r="4795" spans="3:17" x14ac:dyDescent="0.25">
      <c r="C4795" s="74" t="s">
        <v>14036</v>
      </c>
      <c r="D4795" s="74" t="s">
        <v>14037</v>
      </c>
      <c r="E4795" s="74"/>
      <c r="F4795" s="74">
        <v>0.01</v>
      </c>
      <c r="G4795" s="74"/>
      <c r="H4795" s="74"/>
      <c r="I4795" s="74" t="s">
        <v>391</v>
      </c>
      <c r="J4795" s="74"/>
      <c r="K4795" s="74">
        <v>102.4</v>
      </c>
      <c r="L4795" s="74">
        <v>92.16</v>
      </c>
      <c r="M4795" s="74"/>
      <c r="N4795" s="74" t="s">
        <v>392</v>
      </c>
      <c r="O4795" s="74" t="s">
        <v>402</v>
      </c>
      <c r="P4795" s="74" t="s">
        <v>14038</v>
      </c>
      <c r="Q4795" s="74" t="s">
        <v>14039</v>
      </c>
    </row>
    <row r="4796" spans="3:17" x14ac:dyDescent="0.25">
      <c r="C4796" s="74" t="s">
        <v>14059</v>
      </c>
      <c r="D4796" s="74" t="s">
        <v>14060</v>
      </c>
      <c r="E4796" s="74" t="s">
        <v>391</v>
      </c>
      <c r="F4796" s="74">
        <v>0.01</v>
      </c>
      <c r="G4796" s="74"/>
      <c r="H4796" s="74"/>
      <c r="I4796" s="74" t="s">
        <v>391</v>
      </c>
      <c r="J4796" s="74"/>
      <c r="K4796" s="74">
        <v>102.4</v>
      </c>
      <c r="L4796" s="74">
        <v>92.16</v>
      </c>
      <c r="M4796" s="74"/>
      <c r="N4796" s="74" t="s">
        <v>392</v>
      </c>
      <c r="O4796" s="74" t="s">
        <v>393</v>
      </c>
      <c r="P4796" s="74"/>
      <c r="Q4796" s="74" t="s">
        <v>14061</v>
      </c>
    </row>
    <row r="4797" spans="3:17" x14ac:dyDescent="0.25">
      <c r="C4797" s="74" t="s">
        <v>14081</v>
      </c>
      <c r="D4797" s="74" t="s">
        <v>14082</v>
      </c>
      <c r="E4797" s="74" t="s">
        <v>391</v>
      </c>
      <c r="F4797" s="74">
        <v>0.01</v>
      </c>
      <c r="G4797" s="74"/>
      <c r="H4797" s="74"/>
      <c r="I4797" s="74" t="s">
        <v>391</v>
      </c>
      <c r="J4797" s="74"/>
      <c r="K4797" s="74">
        <v>102.4</v>
      </c>
      <c r="L4797" s="74">
        <v>92.16</v>
      </c>
      <c r="M4797" s="74"/>
      <c r="N4797" s="74" t="s">
        <v>392</v>
      </c>
      <c r="O4797" s="74" t="s">
        <v>393</v>
      </c>
      <c r="P4797" s="74"/>
      <c r="Q4797" s="74" t="s">
        <v>14083</v>
      </c>
    </row>
    <row r="4798" spans="3:17" x14ac:dyDescent="0.25">
      <c r="C4798" s="74" t="s">
        <v>14134</v>
      </c>
      <c r="D4798" s="74" t="s">
        <v>14135</v>
      </c>
      <c r="E4798" s="74" t="s">
        <v>391</v>
      </c>
      <c r="F4798" s="74">
        <v>0.01</v>
      </c>
      <c r="G4798" s="74"/>
      <c r="H4798" s="74"/>
      <c r="I4798" s="74" t="s">
        <v>391</v>
      </c>
      <c r="J4798" s="74"/>
      <c r="K4798" s="74">
        <v>102.4</v>
      </c>
      <c r="L4798" s="74">
        <v>92.16</v>
      </c>
      <c r="M4798" s="74"/>
      <c r="N4798" s="74" t="s">
        <v>392</v>
      </c>
      <c r="O4798" s="74" t="s">
        <v>393</v>
      </c>
      <c r="P4798" s="74"/>
      <c r="Q4798" s="74" t="s">
        <v>14136</v>
      </c>
    </row>
    <row r="4799" spans="3:17" x14ac:dyDescent="0.25">
      <c r="C4799" s="74" t="s">
        <v>14165</v>
      </c>
      <c r="D4799" s="74" t="s">
        <v>14166</v>
      </c>
      <c r="E4799" s="74" t="s">
        <v>391</v>
      </c>
      <c r="F4799" s="74">
        <v>0.01</v>
      </c>
      <c r="G4799" s="74"/>
      <c r="H4799" s="74"/>
      <c r="I4799" s="74" t="s">
        <v>391</v>
      </c>
      <c r="J4799" s="74"/>
      <c r="K4799" s="74">
        <v>102.4</v>
      </c>
      <c r="L4799" s="74">
        <v>92.16</v>
      </c>
      <c r="M4799" s="74"/>
      <c r="N4799" s="74" t="s">
        <v>392</v>
      </c>
      <c r="O4799" s="74" t="s">
        <v>393</v>
      </c>
      <c r="P4799" s="74"/>
      <c r="Q4799" s="74" t="s">
        <v>14167</v>
      </c>
    </row>
    <row r="4800" spans="3:17" x14ac:dyDescent="0.25">
      <c r="C4800" s="74" t="s">
        <v>14265</v>
      </c>
      <c r="D4800" s="74" t="s">
        <v>14266</v>
      </c>
      <c r="E4800" s="74"/>
      <c r="F4800" s="74">
        <v>0.01</v>
      </c>
      <c r="G4800" s="74"/>
      <c r="H4800" s="74"/>
      <c r="I4800" s="74" t="s">
        <v>391</v>
      </c>
      <c r="J4800" s="74"/>
      <c r="K4800" s="74">
        <v>102.4</v>
      </c>
      <c r="L4800" s="74">
        <v>92.16</v>
      </c>
      <c r="M4800" s="74"/>
      <c r="N4800" s="74" t="s">
        <v>392</v>
      </c>
      <c r="O4800" s="74" t="s">
        <v>402</v>
      </c>
      <c r="P4800" s="74" t="s">
        <v>14267</v>
      </c>
      <c r="Q4800" s="74" t="s">
        <v>14268</v>
      </c>
    </row>
    <row r="4801" spans="3:17" x14ac:dyDescent="0.25">
      <c r="C4801" s="74" t="s">
        <v>14391</v>
      </c>
      <c r="D4801" s="74" t="s">
        <v>14392</v>
      </c>
      <c r="E4801" s="74"/>
      <c r="F4801" s="74">
        <v>0.01</v>
      </c>
      <c r="G4801" s="74"/>
      <c r="H4801" s="74"/>
      <c r="I4801" s="74" t="s">
        <v>391</v>
      </c>
      <c r="J4801" s="74"/>
      <c r="K4801" s="74">
        <v>102.4</v>
      </c>
      <c r="L4801" s="74">
        <v>92.16</v>
      </c>
      <c r="M4801" s="74"/>
      <c r="N4801" s="74" t="s">
        <v>392</v>
      </c>
      <c r="O4801" s="74" t="s">
        <v>402</v>
      </c>
      <c r="P4801" s="74" t="s">
        <v>14393</v>
      </c>
      <c r="Q4801" s="74" t="s">
        <v>14394</v>
      </c>
    </row>
    <row r="4802" spans="3:17" x14ac:dyDescent="0.25">
      <c r="C4802" s="74" t="s">
        <v>14573</v>
      </c>
      <c r="D4802" s="74" t="s">
        <v>14574</v>
      </c>
      <c r="E4802" s="74"/>
      <c r="F4802" s="74">
        <v>0.01</v>
      </c>
      <c r="G4802" s="74"/>
      <c r="H4802" s="74"/>
      <c r="I4802" s="74" t="s">
        <v>391</v>
      </c>
      <c r="J4802" s="74"/>
      <c r="K4802" s="74">
        <v>102.4</v>
      </c>
      <c r="L4802" s="74">
        <v>92.16</v>
      </c>
      <c r="M4802" s="74"/>
      <c r="N4802" s="74" t="s">
        <v>392</v>
      </c>
      <c r="O4802" s="74" t="s">
        <v>402</v>
      </c>
      <c r="P4802" s="74"/>
      <c r="Q4802" s="74" t="s">
        <v>14575</v>
      </c>
    </row>
    <row r="4803" spans="3:17" x14ac:dyDescent="0.25">
      <c r="C4803" s="74" t="s">
        <v>14597</v>
      </c>
      <c r="D4803" s="74" t="s">
        <v>14598</v>
      </c>
      <c r="E4803" s="74"/>
      <c r="F4803" s="74">
        <v>0.01</v>
      </c>
      <c r="G4803" s="74"/>
      <c r="H4803" s="74"/>
      <c r="I4803" s="74" t="s">
        <v>391</v>
      </c>
      <c r="J4803" s="74"/>
      <c r="K4803" s="74">
        <v>102.4</v>
      </c>
      <c r="L4803" s="74">
        <v>92.16</v>
      </c>
      <c r="M4803" s="74"/>
      <c r="N4803" s="74" t="s">
        <v>392</v>
      </c>
      <c r="O4803" s="74" t="s">
        <v>402</v>
      </c>
      <c r="P4803" s="74" t="s">
        <v>14599</v>
      </c>
      <c r="Q4803" s="74" t="s">
        <v>14600</v>
      </c>
    </row>
    <row r="4804" spans="3:17" x14ac:dyDescent="0.25">
      <c r="C4804" s="74" t="s">
        <v>14612</v>
      </c>
      <c r="D4804" s="74" t="s">
        <v>14613</v>
      </c>
      <c r="E4804" s="74" t="s">
        <v>391</v>
      </c>
      <c r="F4804" s="74">
        <v>0.01</v>
      </c>
      <c r="G4804" s="74"/>
      <c r="H4804" s="74"/>
      <c r="I4804" s="74" t="s">
        <v>391</v>
      </c>
      <c r="J4804" s="74"/>
      <c r="K4804" s="74">
        <v>102.4</v>
      </c>
      <c r="L4804" s="74">
        <v>92.16</v>
      </c>
      <c r="M4804" s="74"/>
      <c r="N4804" s="74" t="s">
        <v>392</v>
      </c>
      <c r="O4804" s="74" t="s">
        <v>393</v>
      </c>
      <c r="P4804" s="74"/>
      <c r="Q4804" s="74" t="s">
        <v>14614</v>
      </c>
    </row>
    <row r="4805" spans="3:17" x14ac:dyDescent="0.25">
      <c r="C4805" s="74" t="s">
        <v>14730</v>
      </c>
      <c r="D4805" s="74" t="s">
        <v>14731</v>
      </c>
      <c r="E4805" s="74"/>
      <c r="F4805" s="74">
        <v>0.01</v>
      </c>
      <c r="G4805" s="74"/>
      <c r="H4805" s="74"/>
      <c r="I4805" s="74" t="s">
        <v>391</v>
      </c>
      <c r="J4805" s="74"/>
      <c r="K4805" s="74">
        <v>102.4</v>
      </c>
      <c r="L4805" s="74">
        <v>92.16</v>
      </c>
      <c r="M4805" s="74"/>
      <c r="N4805" s="74" t="s">
        <v>392</v>
      </c>
      <c r="O4805" s="74" t="s">
        <v>402</v>
      </c>
      <c r="P4805" s="74" t="s">
        <v>14732</v>
      </c>
      <c r="Q4805" s="74" t="s">
        <v>14733</v>
      </c>
    </row>
    <row r="4806" spans="3:17" x14ac:dyDescent="0.25">
      <c r="C4806" s="74" t="s">
        <v>15008</v>
      </c>
      <c r="D4806" s="74" t="s">
        <v>15009</v>
      </c>
      <c r="E4806" s="74"/>
      <c r="F4806" s="74">
        <v>0.01</v>
      </c>
      <c r="G4806" s="74"/>
      <c r="H4806" s="74"/>
      <c r="I4806" s="74" t="s">
        <v>391</v>
      </c>
      <c r="J4806" s="74"/>
      <c r="K4806" s="74">
        <v>102.4</v>
      </c>
      <c r="L4806" s="74">
        <v>92.16</v>
      </c>
      <c r="M4806" s="74"/>
      <c r="N4806" s="74" t="s">
        <v>392</v>
      </c>
      <c r="O4806" s="74" t="s">
        <v>402</v>
      </c>
      <c r="P4806" s="74" t="s">
        <v>15010</v>
      </c>
      <c r="Q4806" s="74" t="s">
        <v>15011</v>
      </c>
    </row>
    <row r="4807" spans="3:17" x14ac:dyDescent="0.25">
      <c r="C4807" s="74" t="s">
        <v>15192</v>
      </c>
      <c r="D4807" s="74" t="s">
        <v>15193</v>
      </c>
      <c r="E4807" s="74"/>
      <c r="F4807" s="74">
        <v>0.01</v>
      </c>
      <c r="G4807" s="74"/>
      <c r="H4807" s="74"/>
      <c r="I4807" s="74" t="s">
        <v>391</v>
      </c>
      <c r="J4807" s="74"/>
      <c r="K4807" s="74">
        <v>102.4</v>
      </c>
      <c r="L4807" s="74">
        <v>92.16</v>
      </c>
      <c r="M4807" s="74"/>
      <c r="N4807" s="74" t="s">
        <v>392</v>
      </c>
      <c r="O4807" s="74" t="s">
        <v>402</v>
      </c>
      <c r="P4807" s="74" t="s">
        <v>15194</v>
      </c>
      <c r="Q4807" s="74" t="s">
        <v>15195</v>
      </c>
    </row>
    <row r="4808" spans="3:17" x14ac:dyDescent="0.25">
      <c r="C4808" s="74" t="s">
        <v>15349</v>
      </c>
      <c r="D4808" s="74" t="s">
        <v>15350</v>
      </c>
      <c r="E4808" s="74" t="s">
        <v>391</v>
      </c>
      <c r="F4808" s="74">
        <v>0.01</v>
      </c>
      <c r="G4808" s="74"/>
      <c r="H4808" s="74"/>
      <c r="I4808" s="74" t="s">
        <v>391</v>
      </c>
      <c r="J4808" s="74"/>
      <c r="K4808" s="74">
        <v>102.4</v>
      </c>
      <c r="L4808" s="74">
        <v>92.16</v>
      </c>
      <c r="M4808" s="74"/>
      <c r="N4808" s="74" t="s">
        <v>392</v>
      </c>
      <c r="O4808" s="74" t="s">
        <v>393</v>
      </c>
      <c r="P4808" s="74"/>
      <c r="Q4808" s="74" t="s">
        <v>15351</v>
      </c>
    </row>
    <row r="4809" spans="3:17" x14ac:dyDescent="0.25">
      <c r="C4809" s="74" t="s">
        <v>15436</v>
      </c>
      <c r="D4809" s="74" t="s">
        <v>15437</v>
      </c>
      <c r="E4809" s="74"/>
      <c r="F4809" s="74">
        <v>0.01</v>
      </c>
      <c r="G4809" s="74"/>
      <c r="H4809" s="74"/>
      <c r="I4809" s="74" t="s">
        <v>391</v>
      </c>
      <c r="J4809" s="74"/>
      <c r="K4809" s="74">
        <v>102.4</v>
      </c>
      <c r="L4809" s="74">
        <v>92.16</v>
      </c>
      <c r="M4809" s="74"/>
      <c r="N4809" s="74" t="s">
        <v>392</v>
      </c>
      <c r="O4809" s="74" t="s">
        <v>402</v>
      </c>
      <c r="P4809" s="74" t="s">
        <v>15438</v>
      </c>
      <c r="Q4809" s="74" t="s">
        <v>15439</v>
      </c>
    </row>
    <row r="4810" spans="3:17" x14ac:dyDescent="0.25">
      <c r="C4810" s="74" t="s">
        <v>15481</v>
      </c>
      <c r="D4810" s="74" t="s">
        <v>15482</v>
      </c>
      <c r="E4810" s="74" t="s">
        <v>391</v>
      </c>
      <c r="F4810" s="74">
        <v>0.01</v>
      </c>
      <c r="G4810" s="74"/>
      <c r="H4810" s="74"/>
      <c r="I4810" s="74" t="s">
        <v>391</v>
      </c>
      <c r="J4810" s="74"/>
      <c r="K4810" s="74">
        <v>102.4</v>
      </c>
      <c r="L4810" s="74">
        <v>92.16</v>
      </c>
      <c r="M4810" s="74"/>
      <c r="N4810" s="74" t="s">
        <v>392</v>
      </c>
      <c r="O4810" s="74" t="s">
        <v>393</v>
      </c>
      <c r="P4810" s="74"/>
      <c r="Q4810" s="74" t="s">
        <v>15483</v>
      </c>
    </row>
    <row r="4811" spans="3:17" x14ac:dyDescent="0.25">
      <c r="C4811" s="74" t="s">
        <v>15627</v>
      </c>
      <c r="D4811" s="74" t="s">
        <v>15628</v>
      </c>
      <c r="E4811" s="74"/>
      <c r="F4811" s="74">
        <v>0.01</v>
      </c>
      <c r="G4811" s="74"/>
      <c r="H4811" s="74"/>
      <c r="I4811" s="74" t="s">
        <v>391</v>
      </c>
      <c r="J4811" s="74"/>
      <c r="K4811" s="74">
        <v>102.4</v>
      </c>
      <c r="L4811" s="74">
        <v>92.16</v>
      </c>
      <c r="M4811" s="74"/>
      <c r="N4811" s="74" t="s">
        <v>392</v>
      </c>
      <c r="O4811" s="74" t="s">
        <v>402</v>
      </c>
      <c r="P4811" s="74" t="s">
        <v>15629</v>
      </c>
      <c r="Q4811" s="74" t="s">
        <v>15630</v>
      </c>
    </row>
    <row r="4812" spans="3:17" x14ac:dyDescent="0.25">
      <c r="C4812" s="74" t="s">
        <v>15654</v>
      </c>
      <c r="D4812" s="74" t="s">
        <v>15655</v>
      </c>
      <c r="E4812" s="74"/>
      <c r="F4812" s="74">
        <v>0.01</v>
      </c>
      <c r="G4812" s="74"/>
      <c r="H4812" s="74"/>
      <c r="I4812" s="74" t="s">
        <v>391</v>
      </c>
      <c r="J4812" s="74"/>
      <c r="K4812" s="74">
        <v>102.4</v>
      </c>
      <c r="L4812" s="74">
        <v>92.16</v>
      </c>
      <c r="M4812" s="74"/>
      <c r="N4812" s="74" t="s">
        <v>392</v>
      </c>
      <c r="O4812" s="74" t="s">
        <v>402</v>
      </c>
      <c r="P4812" s="74" t="s">
        <v>15656</v>
      </c>
      <c r="Q4812" s="74" t="s">
        <v>15657</v>
      </c>
    </row>
    <row r="4813" spans="3:17" x14ac:dyDescent="0.25">
      <c r="C4813" s="74" t="s">
        <v>15729</v>
      </c>
      <c r="D4813" s="74" t="s">
        <v>15730</v>
      </c>
      <c r="E4813" s="74"/>
      <c r="F4813" s="74">
        <v>0.01</v>
      </c>
      <c r="G4813" s="74"/>
      <c r="H4813" s="74"/>
      <c r="I4813" s="74" t="s">
        <v>391</v>
      </c>
      <c r="J4813" s="74"/>
      <c r="K4813" s="74">
        <v>102.4</v>
      </c>
      <c r="L4813" s="74">
        <v>92.16</v>
      </c>
      <c r="M4813" s="74"/>
      <c r="N4813" s="74" t="s">
        <v>392</v>
      </c>
      <c r="O4813" s="74" t="s">
        <v>402</v>
      </c>
      <c r="P4813" s="74"/>
      <c r="Q4813" s="74" t="s">
        <v>15731</v>
      </c>
    </row>
    <row r="4814" spans="3:17" x14ac:dyDescent="0.25">
      <c r="C4814" s="74" t="s">
        <v>15732</v>
      </c>
      <c r="D4814" s="74" t="s">
        <v>15733</v>
      </c>
      <c r="E4814" s="74" t="s">
        <v>391</v>
      </c>
      <c r="F4814" s="74">
        <v>0.01</v>
      </c>
      <c r="G4814" s="74"/>
      <c r="H4814" s="74"/>
      <c r="I4814" s="74" t="s">
        <v>391</v>
      </c>
      <c r="J4814" s="74"/>
      <c r="K4814" s="74">
        <v>102.4</v>
      </c>
      <c r="L4814" s="74">
        <v>92.16</v>
      </c>
      <c r="M4814" s="74"/>
      <c r="N4814" s="74" t="s">
        <v>392</v>
      </c>
      <c r="O4814" s="74" t="s">
        <v>393</v>
      </c>
      <c r="P4814" s="74"/>
      <c r="Q4814" s="74" t="s">
        <v>15733</v>
      </c>
    </row>
    <row r="4815" spans="3:17" x14ac:dyDescent="0.25">
      <c r="C4815" s="74" t="s">
        <v>15738</v>
      </c>
      <c r="D4815" s="74" t="s">
        <v>15739</v>
      </c>
      <c r="E4815" s="74" t="s">
        <v>391</v>
      </c>
      <c r="F4815" s="74">
        <v>0.01</v>
      </c>
      <c r="G4815" s="74"/>
      <c r="H4815" s="74"/>
      <c r="I4815" s="74" t="s">
        <v>391</v>
      </c>
      <c r="J4815" s="74"/>
      <c r="K4815" s="74">
        <v>102.4</v>
      </c>
      <c r="L4815" s="74">
        <v>92.16</v>
      </c>
      <c r="M4815" s="74"/>
      <c r="N4815" s="74" t="s">
        <v>392</v>
      </c>
      <c r="O4815" s="74" t="s">
        <v>393</v>
      </c>
      <c r="P4815" s="74"/>
      <c r="Q4815" s="74" t="s">
        <v>15740</v>
      </c>
    </row>
    <row r="4816" spans="3:17" x14ac:dyDescent="0.25">
      <c r="C4816" s="74" t="s">
        <v>15789</v>
      </c>
      <c r="D4816" s="74" t="s">
        <v>15790</v>
      </c>
      <c r="E4816" s="74"/>
      <c r="F4816" s="74">
        <v>0.01</v>
      </c>
      <c r="G4816" s="74"/>
      <c r="H4816" s="74"/>
      <c r="I4816" s="74" t="s">
        <v>391</v>
      </c>
      <c r="J4816" s="74"/>
      <c r="K4816" s="74">
        <v>102.4</v>
      </c>
      <c r="L4816" s="74">
        <v>92.16</v>
      </c>
      <c r="M4816" s="74"/>
      <c r="N4816" s="74" t="s">
        <v>392</v>
      </c>
      <c r="O4816" s="74" t="s">
        <v>402</v>
      </c>
      <c r="P4816" s="74" t="s">
        <v>15791</v>
      </c>
      <c r="Q4816" s="74" t="s">
        <v>15792</v>
      </c>
    </row>
    <row r="4817" spans="3:17" x14ac:dyDescent="0.25">
      <c r="C4817" s="74" t="s">
        <v>15846</v>
      </c>
      <c r="D4817" s="74" t="s">
        <v>15847</v>
      </c>
      <c r="E4817" s="74" t="s">
        <v>391</v>
      </c>
      <c r="F4817" s="74">
        <v>0.01</v>
      </c>
      <c r="G4817" s="74"/>
      <c r="H4817" s="74"/>
      <c r="I4817" s="74" t="s">
        <v>391</v>
      </c>
      <c r="J4817" s="74"/>
      <c r="K4817" s="74">
        <v>102.4</v>
      </c>
      <c r="L4817" s="74">
        <v>92.16</v>
      </c>
      <c r="M4817" s="74"/>
      <c r="N4817" s="74" t="s">
        <v>392</v>
      </c>
      <c r="O4817" s="74" t="s">
        <v>393</v>
      </c>
      <c r="P4817" s="74"/>
      <c r="Q4817" s="74" t="s">
        <v>15848</v>
      </c>
    </row>
    <row r="4818" spans="3:17" x14ac:dyDescent="0.25">
      <c r="C4818" s="74" t="s">
        <v>15868</v>
      </c>
      <c r="D4818" s="74" t="s">
        <v>15869</v>
      </c>
      <c r="E4818" s="74"/>
      <c r="F4818" s="74">
        <v>0.01</v>
      </c>
      <c r="G4818" s="74"/>
      <c r="H4818" s="74"/>
      <c r="I4818" s="74" t="s">
        <v>391</v>
      </c>
      <c r="J4818" s="74"/>
      <c r="K4818" s="74">
        <v>102.4</v>
      </c>
      <c r="L4818" s="74">
        <v>92.16</v>
      </c>
      <c r="M4818" s="74"/>
      <c r="N4818" s="74" t="s">
        <v>392</v>
      </c>
      <c r="O4818" s="74" t="s">
        <v>402</v>
      </c>
      <c r="P4818" s="74" t="s">
        <v>15870</v>
      </c>
      <c r="Q4818" s="74" t="s">
        <v>15871</v>
      </c>
    </row>
    <row r="4819" spans="3:17" x14ac:dyDescent="0.25">
      <c r="C4819" s="74" t="s">
        <v>15950</v>
      </c>
      <c r="D4819" s="74" t="s">
        <v>15951</v>
      </c>
      <c r="E4819" s="74" t="s">
        <v>391</v>
      </c>
      <c r="F4819" s="74">
        <v>0.01</v>
      </c>
      <c r="G4819" s="74"/>
      <c r="H4819" s="74"/>
      <c r="I4819" s="74" t="s">
        <v>391</v>
      </c>
      <c r="J4819" s="74"/>
      <c r="K4819" s="74">
        <v>102.4</v>
      </c>
      <c r="L4819" s="74">
        <v>92.16</v>
      </c>
      <c r="M4819" s="74"/>
      <c r="N4819" s="74" t="s">
        <v>392</v>
      </c>
      <c r="O4819" s="74" t="s">
        <v>393</v>
      </c>
      <c r="P4819" s="74"/>
      <c r="Q4819" s="74" t="s">
        <v>15952</v>
      </c>
    </row>
    <row r="4820" spans="3:17" x14ac:dyDescent="0.25">
      <c r="C4820" s="74" t="s">
        <v>16073</v>
      </c>
      <c r="D4820" s="74" t="s">
        <v>16074</v>
      </c>
      <c r="E4820" s="74" t="s">
        <v>391</v>
      </c>
      <c r="F4820" s="74">
        <v>0.01</v>
      </c>
      <c r="G4820" s="74"/>
      <c r="H4820" s="74"/>
      <c r="I4820" s="74" t="s">
        <v>391</v>
      </c>
      <c r="J4820" s="74"/>
      <c r="K4820" s="74">
        <v>102.4</v>
      </c>
      <c r="L4820" s="74">
        <v>92.16</v>
      </c>
      <c r="M4820" s="74"/>
      <c r="N4820" s="74" t="s">
        <v>392</v>
      </c>
      <c r="O4820" s="74" t="s">
        <v>402</v>
      </c>
      <c r="P4820" s="74" t="s">
        <v>16075</v>
      </c>
      <c r="Q4820" s="74" t="s">
        <v>16076</v>
      </c>
    </row>
    <row r="4821" spans="3:17" x14ac:dyDescent="0.25">
      <c r="C4821" s="74" t="s">
        <v>16243</v>
      </c>
      <c r="D4821" s="74" t="s">
        <v>16244</v>
      </c>
      <c r="E4821" s="74"/>
      <c r="F4821" s="74">
        <v>0.01</v>
      </c>
      <c r="G4821" s="74"/>
      <c r="H4821" s="74"/>
      <c r="I4821" s="74" t="s">
        <v>391</v>
      </c>
      <c r="J4821" s="74"/>
      <c r="K4821" s="74">
        <v>102.4</v>
      </c>
      <c r="L4821" s="74">
        <v>92.16</v>
      </c>
      <c r="M4821" s="74"/>
      <c r="N4821" s="74" t="s">
        <v>392</v>
      </c>
      <c r="O4821" s="74" t="s">
        <v>402</v>
      </c>
      <c r="P4821" s="74" t="s">
        <v>16245</v>
      </c>
      <c r="Q4821" s="74" t="s">
        <v>16246</v>
      </c>
    </row>
    <row r="4822" spans="3:17" x14ac:dyDescent="0.25">
      <c r="C4822" s="74" t="s">
        <v>16294</v>
      </c>
      <c r="D4822" s="74" t="s">
        <v>16295</v>
      </c>
      <c r="E4822" s="74"/>
      <c r="F4822" s="74">
        <v>0.01</v>
      </c>
      <c r="G4822" s="74"/>
      <c r="H4822" s="74"/>
      <c r="I4822" s="74" t="s">
        <v>391</v>
      </c>
      <c r="J4822" s="74"/>
      <c r="K4822" s="74">
        <v>102.4</v>
      </c>
      <c r="L4822" s="74">
        <v>92.16</v>
      </c>
      <c r="M4822" s="74"/>
      <c r="N4822" s="74" t="s">
        <v>392</v>
      </c>
      <c r="O4822" s="74" t="s">
        <v>5621</v>
      </c>
      <c r="P4822" s="74" t="s">
        <v>16296</v>
      </c>
      <c r="Q4822" s="74" t="s">
        <v>16297</v>
      </c>
    </row>
    <row r="4823" spans="3:17" x14ac:dyDescent="0.25">
      <c r="C4823" s="74" t="s">
        <v>16305</v>
      </c>
      <c r="D4823" s="74" t="s">
        <v>16306</v>
      </c>
      <c r="E4823" s="74"/>
      <c r="F4823" s="74">
        <v>0.01</v>
      </c>
      <c r="G4823" s="74"/>
      <c r="H4823" s="74"/>
      <c r="I4823" s="74" t="s">
        <v>391</v>
      </c>
      <c r="J4823" s="74"/>
      <c r="K4823" s="74">
        <v>102.4</v>
      </c>
      <c r="L4823" s="74">
        <v>92.16</v>
      </c>
      <c r="M4823" s="74"/>
      <c r="N4823" s="74" t="s">
        <v>392</v>
      </c>
      <c r="O4823" s="74" t="s">
        <v>402</v>
      </c>
      <c r="P4823" s="74" t="s">
        <v>16307</v>
      </c>
      <c r="Q4823" s="74" t="s">
        <v>16308</v>
      </c>
    </row>
    <row r="4824" spans="3:17" x14ac:dyDescent="0.25">
      <c r="C4824" s="74" t="s">
        <v>16383</v>
      </c>
      <c r="D4824" s="74" t="s">
        <v>16384</v>
      </c>
      <c r="E4824" s="74"/>
      <c r="F4824" s="74">
        <v>0.01</v>
      </c>
      <c r="G4824" s="74"/>
      <c r="H4824" s="74"/>
      <c r="I4824" s="74" t="s">
        <v>391</v>
      </c>
      <c r="J4824" s="74"/>
      <c r="K4824" s="74">
        <v>102.4</v>
      </c>
      <c r="L4824" s="74">
        <v>92.16</v>
      </c>
      <c r="M4824" s="74"/>
      <c r="N4824" s="74" t="s">
        <v>392</v>
      </c>
      <c r="O4824" s="74" t="s">
        <v>402</v>
      </c>
      <c r="P4824" s="74"/>
      <c r="Q4824" s="74" t="s">
        <v>16385</v>
      </c>
    </row>
    <row r="4825" spans="3:17" x14ac:dyDescent="0.25">
      <c r="C4825" s="74" t="s">
        <v>16554</v>
      </c>
      <c r="D4825" s="74" t="s">
        <v>16555</v>
      </c>
      <c r="E4825" s="74" t="s">
        <v>391</v>
      </c>
      <c r="F4825" s="74">
        <v>0.01</v>
      </c>
      <c r="G4825" s="74"/>
      <c r="H4825" s="74"/>
      <c r="I4825" s="74" t="s">
        <v>391</v>
      </c>
      <c r="J4825" s="74"/>
      <c r="K4825" s="74">
        <v>102.4</v>
      </c>
      <c r="L4825" s="74">
        <v>92.16</v>
      </c>
      <c r="M4825" s="74"/>
      <c r="N4825" s="74" t="s">
        <v>392</v>
      </c>
      <c r="O4825" s="74" t="s">
        <v>393</v>
      </c>
      <c r="P4825" s="74"/>
      <c r="Q4825" s="74" t="s">
        <v>16556</v>
      </c>
    </row>
    <row r="4826" spans="3:17" x14ac:dyDescent="0.25">
      <c r="C4826" s="74" t="s">
        <v>16636</v>
      </c>
      <c r="D4826" s="74" t="s">
        <v>16637</v>
      </c>
      <c r="E4826" s="74"/>
      <c r="F4826" s="74">
        <v>0.01</v>
      </c>
      <c r="G4826" s="74"/>
      <c r="H4826" s="74"/>
      <c r="I4826" s="74" t="s">
        <v>391</v>
      </c>
      <c r="J4826" s="74"/>
      <c r="K4826" s="74">
        <v>102.4</v>
      </c>
      <c r="L4826" s="74">
        <v>92.16</v>
      </c>
      <c r="M4826" s="74"/>
      <c r="N4826" s="74" t="s">
        <v>392</v>
      </c>
      <c r="O4826" s="74" t="s">
        <v>402</v>
      </c>
      <c r="P4826" s="74" t="s">
        <v>16638</v>
      </c>
      <c r="Q4826" s="74" t="s">
        <v>16639</v>
      </c>
    </row>
    <row r="4827" spans="3:17" x14ac:dyDescent="0.25">
      <c r="C4827" s="74" t="s">
        <v>16799</v>
      </c>
      <c r="D4827" s="74" t="s">
        <v>16800</v>
      </c>
      <c r="E4827" s="74" t="s">
        <v>391</v>
      </c>
      <c r="F4827" s="74">
        <v>0.01</v>
      </c>
      <c r="G4827" s="74"/>
      <c r="H4827" s="74"/>
      <c r="I4827" s="74" t="s">
        <v>391</v>
      </c>
      <c r="J4827" s="74"/>
      <c r="K4827" s="74">
        <v>102.4</v>
      </c>
      <c r="L4827" s="74">
        <v>92.16</v>
      </c>
      <c r="M4827" s="74"/>
      <c r="N4827" s="74" t="s">
        <v>392</v>
      </c>
      <c r="O4827" s="74" t="s">
        <v>393</v>
      </c>
      <c r="P4827" s="74"/>
      <c r="Q4827" s="74" t="s">
        <v>16801</v>
      </c>
    </row>
    <row r="4828" spans="3:17" x14ac:dyDescent="0.25">
      <c r="C4828" s="74" t="s">
        <v>16806</v>
      </c>
      <c r="D4828" s="74" t="s">
        <v>16807</v>
      </c>
      <c r="E4828" s="74" t="s">
        <v>391</v>
      </c>
      <c r="F4828" s="74">
        <v>0.01</v>
      </c>
      <c r="G4828" s="74"/>
      <c r="H4828" s="74"/>
      <c r="I4828" s="74" t="s">
        <v>391</v>
      </c>
      <c r="J4828" s="74"/>
      <c r="K4828" s="74">
        <v>102.4</v>
      </c>
      <c r="L4828" s="74">
        <v>92.16</v>
      </c>
      <c r="M4828" s="74"/>
      <c r="N4828" s="74" t="s">
        <v>392</v>
      </c>
      <c r="O4828" s="74" t="s">
        <v>393</v>
      </c>
      <c r="P4828" s="74"/>
      <c r="Q4828" s="74" t="s">
        <v>16808</v>
      </c>
    </row>
    <row r="4829" spans="3:17" x14ac:dyDescent="0.25">
      <c r="C4829" s="74" t="s">
        <v>17508</v>
      </c>
      <c r="D4829" s="74" t="s">
        <v>17509</v>
      </c>
      <c r="E4829" s="74" t="s">
        <v>391</v>
      </c>
      <c r="F4829" s="74">
        <v>0.01</v>
      </c>
      <c r="G4829" s="74"/>
      <c r="H4829" s="74"/>
      <c r="I4829" s="74" t="s">
        <v>391</v>
      </c>
      <c r="J4829" s="74"/>
      <c r="K4829" s="74">
        <v>102.4</v>
      </c>
      <c r="L4829" s="74">
        <v>92.16</v>
      </c>
      <c r="M4829" s="74"/>
      <c r="N4829" s="74" t="s">
        <v>392</v>
      </c>
      <c r="O4829" s="74" t="s">
        <v>393</v>
      </c>
      <c r="P4829" s="74"/>
      <c r="Q4829" s="74" t="s">
        <v>17510</v>
      </c>
    </row>
    <row r="4830" spans="3:17" x14ac:dyDescent="0.25">
      <c r="C4830" s="74" t="s">
        <v>17646</v>
      </c>
      <c r="D4830" s="74" t="s">
        <v>17647</v>
      </c>
      <c r="E4830" s="74" t="s">
        <v>391</v>
      </c>
      <c r="F4830" s="74">
        <v>0.01</v>
      </c>
      <c r="G4830" s="74"/>
      <c r="H4830" s="74"/>
      <c r="I4830" s="74" t="s">
        <v>391</v>
      </c>
      <c r="J4830" s="74"/>
      <c r="K4830" s="74">
        <v>102.4</v>
      </c>
      <c r="L4830" s="74">
        <v>92.16</v>
      </c>
      <c r="M4830" s="74"/>
      <c r="N4830" s="74" t="s">
        <v>392</v>
      </c>
      <c r="O4830" s="74" t="s">
        <v>393</v>
      </c>
      <c r="P4830" s="74"/>
      <c r="Q4830" s="74" t="s">
        <v>17648</v>
      </c>
    </row>
    <row r="4831" spans="3:17" x14ac:dyDescent="0.25">
      <c r="C4831" s="74" t="s">
        <v>17699</v>
      </c>
      <c r="D4831" s="74" t="s">
        <v>17700</v>
      </c>
      <c r="E4831" s="74"/>
      <c r="F4831" s="74">
        <v>0.01</v>
      </c>
      <c r="G4831" s="74"/>
      <c r="H4831" s="74"/>
      <c r="I4831" s="74" t="s">
        <v>391</v>
      </c>
      <c r="J4831" s="74"/>
      <c r="K4831" s="74">
        <v>102.4</v>
      </c>
      <c r="L4831" s="74">
        <v>92.16</v>
      </c>
      <c r="M4831" s="74"/>
      <c r="N4831" s="74" t="s">
        <v>392</v>
      </c>
      <c r="O4831" s="74" t="s">
        <v>402</v>
      </c>
      <c r="P4831" s="74"/>
      <c r="Q4831" s="74" t="s">
        <v>17701</v>
      </c>
    </row>
    <row r="4832" spans="3:17" x14ac:dyDescent="0.25">
      <c r="C4832" s="74" t="s">
        <v>17722</v>
      </c>
      <c r="D4832" s="74" t="s">
        <v>17723</v>
      </c>
      <c r="E4832" s="74"/>
      <c r="F4832" s="74">
        <v>0.01</v>
      </c>
      <c r="G4832" s="74"/>
      <c r="H4832" s="74"/>
      <c r="I4832" s="74" t="s">
        <v>391</v>
      </c>
      <c r="J4832" s="74"/>
      <c r="K4832" s="74">
        <v>102.4</v>
      </c>
      <c r="L4832" s="74">
        <v>92.16</v>
      </c>
      <c r="M4832" s="74"/>
      <c r="N4832" s="74" t="s">
        <v>392</v>
      </c>
      <c r="O4832" s="74" t="s">
        <v>402</v>
      </c>
      <c r="P4832" s="74" t="s">
        <v>17724</v>
      </c>
      <c r="Q4832" s="74" t="s">
        <v>17725</v>
      </c>
    </row>
    <row r="4833" spans="3:17" x14ac:dyDescent="0.25">
      <c r="C4833" s="74" t="s">
        <v>17793</v>
      </c>
      <c r="D4833" s="74" t="s">
        <v>17794</v>
      </c>
      <c r="E4833" s="74" t="s">
        <v>391</v>
      </c>
      <c r="F4833" s="74">
        <v>0.01</v>
      </c>
      <c r="G4833" s="74"/>
      <c r="H4833" s="74"/>
      <c r="I4833" s="74" t="s">
        <v>391</v>
      </c>
      <c r="J4833" s="74"/>
      <c r="K4833" s="74">
        <v>102.4</v>
      </c>
      <c r="L4833" s="74">
        <v>92.16</v>
      </c>
      <c r="M4833" s="74"/>
      <c r="N4833" s="74" t="s">
        <v>392</v>
      </c>
      <c r="O4833" s="74" t="s">
        <v>393</v>
      </c>
      <c r="P4833" s="74"/>
      <c r="Q4833" s="74" t="s">
        <v>17795</v>
      </c>
    </row>
    <row r="4834" spans="3:17" x14ac:dyDescent="0.25">
      <c r="C4834" s="74" t="s">
        <v>17918</v>
      </c>
      <c r="D4834" s="74" t="s">
        <v>17919</v>
      </c>
      <c r="E4834" s="74" t="s">
        <v>391</v>
      </c>
      <c r="F4834" s="74">
        <v>0.01</v>
      </c>
      <c r="G4834" s="74"/>
      <c r="H4834" s="74"/>
      <c r="I4834" s="74" t="s">
        <v>391</v>
      </c>
      <c r="J4834" s="74"/>
      <c r="K4834" s="74">
        <v>102.4</v>
      </c>
      <c r="L4834" s="74">
        <v>92.16</v>
      </c>
      <c r="M4834" s="74"/>
      <c r="N4834" s="74" t="s">
        <v>392</v>
      </c>
      <c r="O4834" s="74" t="s">
        <v>393</v>
      </c>
      <c r="P4834" s="74"/>
      <c r="Q4834" s="74" t="s">
        <v>17920</v>
      </c>
    </row>
    <row r="4835" spans="3:17" x14ac:dyDescent="0.25">
      <c r="C4835" s="74" t="s">
        <v>17950</v>
      </c>
      <c r="D4835" s="74" t="s">
        <v>17951</v>
      </c>
      <c r="E4835" s="74"/>
      <c r="F4835" s="74">
        <v>0.01</v>
      </c>
      <c r="G4835" s="74"/>
      <c r="H4835" s="74"/>
      <c r="I4835" s="74" t="s">
        <v>391</v>
      </c>
      <c r="J4835" s="74"/>
      <c r="K4835" s="74">
        <v>102.4</v>
      </c>
      <c r="L4835" s="74">
        <v>92.16</v>
      </c>
      <c r="M4835" s="74"/>
      <c r="N4835" s="74" t="s">
        <v>392</v>
      </c>
      <c r="O4835" s="74" t="s">
        <v>402</v>
      </c>
      <c r="P4835" s="74" t="s">
        <v>17952</v>
      </c>
      <c r="Q4835" s="74" t="s">
        <v>17953</v>
      </c>
    </row>
    <row r="4836" spans="3:17" x14ac:dyDescent="0.25">
      <c r="C4836" s="74" t="s">
        <v>17994</v>
      </c>
      <c r="D4836" s="74" t="s">
        <v>17995</v>
      </c>
      <c r="E4836" s="74" t="s">
        <v>391</v>
      </c>
      <c r="F4836" s="74">
        <v>0.01</v>
      </c>
      <c r="G4836" s="74"/>
      <c r="H4836" s="74"/>
      <c r="I4836" s="74" t="s">
        <v>391</v>
      </c>
      <c r="J4836" s="74"/>
      <c r="K4836" s="74">
        <v>102.4</v>
      </c>
      <c r="L4836" s="74">
        <v>92.16</v>
      </c>
      <c r="M4836" s="74"/>
      <c r="N4836" s="74" t="s">
        <v>392</v>
      </c>
      <c r="O4836" s="74" t="s">
        <v>393</v>
      </c>
      <c r="P4836" s="74"/>
      <c r="Q4836" s="74" t="s">
        <v>17996</v>
      </c>
    </row>
    <row r="4837" spans="3:17" x14ac:dyDescent="0.25">
      <c r="C4837" s="74" t="s">
        <v>18054</v>
      </c>
      <c r="D4837" s="74" t="s">
        <v>18055</v>
      </c>
      <c r="E4837" s="74" t="s">
        <v>391</v>
      </c>
      <c r="F4837" s="74">
        <v>0.01</v>
      </c>
      <c r="G4837" s="74"/>
      <c r="H4837" s="74"/>
      <c r="I4837" s="74" t="s">
        <v>391</v>
      </c>
      <c r="J4837" s="74"/>
      <c r="K4837" s="74">
        <v>102.4</v>
      </c>
      <c r="L4837" s="74">
        <v>92.16</v>
      </c>
      <c r="M4837" s="74"/>
      <c r="N4837" s="74" t="s">
        <v>392</v>
      </c>
      <c r="O4837" s="74" t="s">
        <v>393</v>
      </c>
      <c r="P4837" s="74"/>
      <c r="Q4837" s="74" t="s">
        <v>18056</v>
      </c>
    </row>
    <row r="4838" spans="3:17" x14ac:dyDescent="0.25">
      <c r="C4838" s="74" t="s">
        <v>18098</v>
      </c>
      <c r="D4838" s="74" t="s">
        <v>18099</v>
      </c>
      <c r="E4838" s="74" t="s">
        <v>391</v>
      </c>
      <c r="F4838" s="74">
        <v>0.01</v>
      </c>
      <c r="G4838" s="74"/>
      <c r="H4838" s="74"/>
      <c r="I4838" s="74" t="s">
        <v>391</v>
      </c>
      <c r="J4838" s="74"/>
      <c r="K4838" s="74">
        <v>102.4</v>
      </c>
      <c r="L4838" s="74">
        <v>92.16</v>
      </c>
      <c r="M4838" s="74"/>
      <c r="N4838" s="74" t="s">
        <v>392</v>
      </c>
      <c r="O4838" s="74" t="s">
        <v>393</v>
      </c>
      <c r="P4838" s="74" t="s">
        <v>18100</v>
      </c>
      <c r="Q4838" s="74" t="s">
        <v>18101</v>
      </c>
    </row>
    <row r="4839" spans="3:17" x14ac:dyDescent="0.25">
      <c r="C4839" s="74" t="s">
        <v>18495</v>
      </c>
      <c r="D4839" s="74" t="s">
        <v>18496</v>
      </c>
      <c r="E4839" s="74"/>
      <c r="F4839" s="74">
        <v>0.01</v>
      </c>
      <c r="G4839" s="74"/>
      <c r="H4839" s="74"/>
      <c r="I4839" s="74" t="s">
        <v>391</v>
      </c>
      <c r="J4839" s="74"/>
      <c r="K4839" s="74">
        <v>102.4</v>
      </c>
      <c r="L4839" s="74">
        <v>92.16</v>
      </c>
      <c r="M4839" s="74"/>
      <c r="N4839" s="74" t="s">
        <v>392</v>
      </c>
      <c r="O4839" s="74" t="s">
        <v>402</v>
      </c>
      <c r="P4839" s="74"/>
      <c r="Q4839" s="74" t="s">
        <v>18497</v>
      </c>
    </row>
    <row r="4840" spans="3:17" x14ac:dyDescent="0.25">
      <c r="C4840" s="74" t="s">
        <v>18546</v>
      </c>
      <c r="D4840" s="74" t="s">
        <v>18547</v>
      </c>
      <c r="E4840" s="74"/>
      <c r="F4840" s="74">
        <v>0.01</v>
      </c>
      <c r="G4840" s="74"/>
      <c r="H4840" s="74"/>
      <c r="I4840" s="74" t="s">
        <v>391</v>
      </c>
      <c r="J4840" s="74"/>
      <c r="K4840" s="74">
        <v>102.4</v>
      </c>
      <c r="L4840" s="74">
        <v>92.16</v>
      </c>
      <c r="M4840" s="74"/>
      <c r="N4840" s="74" t="s">
        <v>392</v>
      </c>
      <c r="O4840" s="74" t="s">
        <v>402</v>
      </c>
      <c r="P4840" s="74"/>
      <c r="Q4840" s="74" t="s">
        <v>18548</v>
      </c>
    </row>
    <row r="4841" spans="3:17" x14ac:dyDescent="0.25">
      <c r="C4841" s="74" t="s">
        <v>18613</v>
      </c>
      <c r="D4841" s="74" t="s">
        <v>18614</v>
      </c>
      <c r="E4841" s="74"/>
      <c r="F4841" s="74">
        <v>0.01</v>
      </c>
      <c r="G4841" s="74"/>
      <c r="H4841" s="74"/>
      <c r="I4841" s="74" t="s">
        <v>391</v>
      </c>
      <c r="J4841" s="74"/>
      <c r="K4841" s="74">
        <v>102.4</v>
      </c>
      <c r="L4841" s="74">
        <v>92.16</v>
      </c>
      <c r="M4841" s="74"/>
      <c r="N4841" s="74" t="s">
        <v>392</v>
      </c>
      <c r="O4841" s="74" t="s">
        <v>402</v>
      </c>
      <c r="P4841" s="74" t="s">
        <v>18615</v>
      </c>
      <c r="Q4841" s="74" t="s">
        <v>18616</v>
      </c>
    </row>
    <row r="4842" spans="3:17" x14ac:dyDescent="0.25">
      <c r="C4842" s="74" t="s">
        <v>18687</v>
      </c>
      <c r="D4842" s="74" t="s">
        <v>18688</v>
      </c>
      <c r="E4842" s="74" t="s">
        <v>391</v>
      </c>
      <c r="F4842" s="74">
        <v>0.01</v>
      </c>
      <c r="G4842" s="74"/>
      <c r="H4842" s="74"/>
      <c r="I4842" s="74" t="s">
        <v>391</v>
      </c>
      <c r="J4842" s="74"/>
      <c r="K4842" s="74">
        <v>102.4</v>
      </c>
      <c r="L4842" s="74">
        <v>92.16</v>
      </c>
      <c r="M4842" s="74"/>
      <c r="N4842" s="74" t="s">
        <v>392</v>
      </c>
      <c r="O4842" s="74" t="s">
        <v>393</v>
      </c>
      <c r="P4842" s="74"/>
      <c r="Q4842" s="74" t="s">
        <v>18689</v>
      </c>
    </row>
    <row r="4843" spans="3:17" x14ac:dyDescent="0.25">
      <c r="C4843" s="74" t="s">
        <v>18914</v>
      </c>
      <c r="D4843" s="74" t="s">
        <v>18915</v>
      </c>
      <c r="E4843" s="74"/>
      <c r="F4843" s="74">
        <v>0.01</v>
      </c>
      <c r="G4843" s="74"/>
      <c r="H4843" s="74"/>
      <c r="I4843" s="74" t="s">
        <v>391</v>
      </c>
      <c r="J4843" s="74"/>
      <c r="K4843" s="74">
        <v>102.4</v>
      </c>
      <c r="L4843" s="74">
        <v>92.16</v>
      </c>
      <c r="M4843" s="74"/>
      <c r="N4843" s="74" t="s">
        <v>392</v>
      </c>
      <c r="O4843" s="74" t="s">
        <v>393</v>
      </c>
      <c r="P4843" s="74" t="s">
        <v>18916</v>
      </c>
      <c r="Q4843" s="74" t="s">
        <v>18917</v>
      </c>
    </row>
    <row r="4844" spans="3:17" x14ac:dyDescent="0.25">
      <c r="C4844" s="74" t="s">
        <v>19046</v>
      </c>
      <c r="D4844" s="74" t="s">
        <v>19047</v>
      </c>
      <c r="E4844" s="74"/>
      <c r="F4844" s="74">
        <v>0.01</v>
      </c>
      <c r="G4844" s="74"/>
      <c r="H4844" s="74"/>
      <c r="I4844" s="74" t="s">
        <v>391</v>
      </c>
      <c r="J4844" s="74"/>
      <c r="K4844" s="74">
        <v>102.4</v>
      </c>
      <c r="L4844" s="74">
        <v>92.16</v>
      </c>
      <c r="M4844" s="74"/>
      <c r="N4844" s="74" t="s">
        <v>392</v>
      </c>
      <c r="O4844" s="74" t="s">
        <v>402</v>
      </c>
      <c r="P4844" s="74" t="s">
        <v>19048</v>
      </c>
      <c r="Q4844" s="74" t="s">
        <v>19049</v>
      </c>
    </row>
    <row r="4845" spans="3:17" x14ac:dyDescent="0.25">
      <c r="C4845" s="74" t="s">
        <v>19195</v>
      </c>
      <c r="D4845" s="74" t="s">
        <v>19196</v>
      </c>
      <c r="E4845" s="74" t="s">
        <v>391</v>
      </c>
      <c r="F4845" s="74">
        <v>0.01</v>
      </c>
      <c r="G4845" s="74"/>
      <c r="H4845" s="74"/>
      <c r="I4845" s="74" t="s">
        <v>391</v>
      </c>
      <c r="J4845" s="74"/>
      <c r="K4845" s="74">
        <v>102.4</v>
      </c>
      <c r="L4845" s="74">
        <v>92.16</v>
      </c>
      <c r="M4845" s="74"/>
      <c r="N4845" s="74" t="s">
        <v>392</v>
      </c>
      <c r="O4845" s="74" t="s">
        <v>393</v>
      </c>
      <c r="P4845" s="74"/>
      <c r="Q4845" s="74" t="s">
        <v>19197</v>
      </c>
    </row>
    <row r="4846" spans="3:17" x14ac:dyDescent="0.25">
      <c r="C4846" s="74" t="s">
        <v>19202</v>
      </c>
      <c r="D4846" s="74" t="s">
        <v>19203</v>
      </c>
      <c r="E4846" s="74" t="s">
        <v>391</v>
      </c>
      <c r="F4846" s="74">
        <v>0.01</v>
      </c>
      <c r="G4846" s="74"/>
      <c r="H4846" s="74"/>
      <c r="I4846" s="74" t="s">
        <v>391</v>
      </c>
      <c r="J4846" s="74"/>
      <c r="K4846" s="74">
        <v>102.4</v>
      </c>
      <c r="L4846" s="74">
        <v>92.16</v>
      </c>
      <c r="M4846" s="74"/>
      <c r="N4846" s="74" t="s">
        <v>392</v>
      </c>
      <c r="O4846" s="74" t="s">
        <v>393</v>
      </c>
      <c r="P4846" s="74"/>
      <c r="Q4846" s="74" t="s">
        <v>19204</v>
      </c>
    </row>
    <row r="4847" spans="3:17" x14ac:dyDescent="0.25">
      <c r="C4847" s="74" t="s">
        <v>19706</v>
      </c>
      <c r="D4847" s="74" t="s">
        <v>19707</v>
      </c>
      <c r="E4847" s="74" t="s">
        <v>391</v>
      </c>
      <c r="F4847" s="74">
        <v>0.01</v>
      </c>
      <c r="G4847" s="74"/>
      <c r="H4847" s="74"/>
      <c r="I4847" s="74" t="s">
        <v>391</v>
      </c>
      <c r="J4847" s="74"/>
      <c r="K4847" s="74">
        <v>102.4</v>
      </c>
      <c r="L4847" s="74">
        <v>92.16</v>
      </c>
      <c r="M4847" s="74"/>
      <c r="N4847" s="74" t="s">
        <v>392</v>
      </c>
      <c r="O4847" s="74" t="s">
        <v>393</v>
      </c>
      <c r="P4847" s="74"/>
      <c r="Q4847" s="74" t="s">
        <v>19708</v>
      </c>
    </row>
    <row r="4848" spans="3:17" x14ac:dyDescent="0.25">
      <c r="C4848" s="74" t="s">
        <v>19814</v>
      </c>
      <c r="D4848" s="74" t="s">
        <v>19815</v>
      </c>
      <c r="E4848" s="74"/>
      <c r="F4848" s="74">
        <v>0.01</v>
      </c>
      <c r="G4848" s="74"/>
      <c r="H4848" s="74"/>
      <c r="I4848" s="74" t="s">
        <v>391</v>
      </c>
      <c r="J4848" s="74"/>
      <c r="K4848" s="74">
        <v>102.4</v>
      </c>
      <c r="L4848" s="74">
        <v>92.16</v>
      </c>
      <c r="M4848" s="74"/>
      <c r="N4848" s="74" t="s">
        <v>392</v>
      </c>
      <c r="O4848" s="74" t="s">
        <v>402</v>
      </c>
      <c r="P4848" s="74"/>
      <c r="Q4848" s="74" t="s">
        <v>19816</v>
      </c>
    </row>
    <row r="4849" spans="3:17" x14ac:dyDescent="0.25">
      <c r="C4849" s="74" t="s">
        <v>19835</v>
      </c>
      <c r="D4849" s="74" t="s">
        <v>19836</v>
      </c>
      <c r="E4849" s="74"/>
      <c r="F4849" s="74">
        <v>0.01</v>
      </c>
      <c r="G4849" s="74"/>
      <c r="H4849" s="74"/>
      <c r="I4849" s="74" t="s">
        <v>391</v>
      </c>
      <c r="J4849" s="74"/>
      <c r="K4849" s="74">
        <v>102.4</v>
      </c>
      <c r="L4849" s="74">
        <v>92.16</v>
      </c>
      <c r="M4849" s="74"/>
      <c r="N4849" s="74" t="s">
        <v>392</v>
      </c>
      <c r="O4849" s="74" t="s">
        <v>402</v>
      </c>
      <c r="P4849" s="74" t="s">
        <v>19837</v>
      </c>
      <c r="Q4849" s="74" t="s">
        <v>19838</v>
      </c>
    </row>
    <row r="4850" spans="3:17" x14ac:dyDescent="0.25">
      <c r="C4850" s="74" t="s">
        <v>19847</v>
      </c>
      <c r="D4850" s="74" t="s">
        <v>19848</v>
      </c>
      <c r="E4850" s="74" t="s">
        <v>391</v>
      </c>
      <c r="F4850" s="74">
        <v>0.01</v>
      </c>
      <c r="G4850" s="74"/>
      <c r="H4850" s="74"/>
      <c r="I4850" s="74" t="s">
        <v>391</v>
      </c>
      <c r="J4850" s="74"/>
      <c r="K4850" s="74">
        <v>102.4</v>
      </c>
      <c r="L4850" s="74">
        <v>92.16</v>
      </c>
      <c r="M4850" s="74"/>
      <c r="N4850" s="74" t="s">
        <v>392</v>
      </c>
      <c r="O4850" s="74" t="s">
        <v>393</v>
      </c>
      <c r="P4850" s="74"/>
      <c r="Q4850" s="74" t="s">
        <v>19849</v>
      </c>
    </row>
    <row r="4851" spans="3:17" x14ac:dyDescent="0.25">
      <c r="C4851" s="74" t="s">
        <v>19884</v>
      </c>
      <c r="D4851" s="74" t="s">
        <v>19885</v>
      </c>
      <c r="E4851" s="74"/>
      <c r="F4851" s="74">
        <v>0.01</v>
      </c>
      <c r="G4851" s="74"/>
      <c r="H4851" s="74"/>
      <c r="I4851" s="74" t="s">
        <v>391</v>
      </c>
      <c r="J4851" s="74"/>
      <c r="K4851" s="74">
        <v>102.4</v>
      </c>
      <c r="L4851" s="74">
        <v>92.16</v>
      </c>
      <c r="M4851" s="74"/>
      <c r="N4851" s="74" t="s">
        <v>392</v>
      </c>
      <c r="O4851" s="74" t="s">
        <v>5621</v>
      </c>
      <c r="P4851" s="74" t="s">
        <v>19886</v>
      </c>
      <c r="Q4851" s="74" t="s">
        <v>19887</v>
      </c>
    </row>
    <row r="4852" spans="3:17" x14ac:dyDescent="0.25">
      <c r="C4852" s="74" t="s">
        <v>19923</v>
      </c>
      <c r="D4852" s="74" t="s">
        <v>19924</v>
      </c>
      <c r="E4852" s="74"/>
      <c r="F4852" s="74">
        <v>0.01</v>
      </c>
      <c r="G4852" s="74"/>
      <c r="H4852" s="74"/>
      <c r="I4852" s="74" t="s">
        <v>391</v>
      </c>
      <c r="J4852" s="74"/>
      <c r="K4852" s="74">
        <v>102.4</v>
      </c>
      <c r="L4852" s="74">
        <v>92.16</v>
      </c>
      <c r="M4852" s="74"/>
      <c r="N4852" s="74" t="s">
        <v>392</v>
      </c>
      <c r="O4852" s="74" t="s">
        <v>5621</v>
      </c>
      <c r="P4852" s="74" t="s">
        <v>19925</v>
      </c>
      <c r="Q4852" s="74" t="s">
        <v>19926</v>
      </c>
    </row>
    <row r="4853" spans="3:17" x14ac:dyDescent="0.25">
      <c r="C4853" s="74" t="s">
        <v>19931</v>
      </c>
      <c r="D4853" s="74" t="s">
        <v>19932</v>
      </c>
      <c r="E4853" s="74"/>
      <c r="F4853" s="74">
        <v>0.01</v>
      </c>
      <c r="G4853" s="74"/>
      <c r="H4853" s="74"/>
      <c r="I4853" s="74" t="s">
        <v>391</v>
      </c>
      <c r="J4853" s="74"/>
      <c r="K4853" s="74">
        <v>102.4</v>
      </c>
      <c r="L4853" s="74">
        <v>92.16</v>
      </c>
      <c r="M4853" s="74"/>
      <c r="N4853" s="74" t="s">
        <v>392</v>
      </c>
      <c r="O4853" s="74" t="s">
        <v>5621</v>
      </c>
      <c r="P4853" s="74" t="s">
        <v>19925</v>
      </c>
      <c r="Q4853" s="74" t="s">
        <v>19933</v>
      </c>
    </row>
    <row r="4854" spans="3:17" x14ac:dyDescent="0.25">
      <c r="C4854" s="74" t="s">
        <v>19934</v>
      </c>
      <c r="D4854" s="74" t="s">
        <v>19935</v>
      </c>
      <c r="E4854" s="74"/>
      <c r="F4854" s="74">
        <v>0.01</v>
      </c>
      <c r="G4854" s="74"/>
      <c r="H4854" s="74"/>
      <c r="I4854" s="74" t="s">
        <v>391</v>
      </c>
      <c r="J4854" s="74"/>
      <c r="K4854" s="74">
        <v>102.4</v>
      </c>
      <c r="L4854" s="74">
        <v>92.16</v>
      </c>
      <c r="M4854" s="74"/>
      <c r="N4854" s="74" t="s">
        <v>392</v>
      </c>
      <c r="O4854" s="74" t="s">
        <v>5621</v>
      </c>
      <c r="P4854" s="74" t="s">
        <v>19936</v>
      </c>
      <c r="Q4854" s="74" t="s">
        <v>19937</v>
      </c>
    </row>
    <row r="4855" spans="3:17" x14ac:dyDescent="0.25">
      <c r="C4855" s="74" t="s">
        <v>20030</v>
      </c>
      <c r="D4855" s="74" t="s">
        <v>20031</v>
      </c>
      <c r="E4855" s="74"/>
      <c r="F4855" s="74">
        <v>0.01</v>
      </c>
      <c r="G4855" s="74"/>
      <c r="H4855" s="74"/>
      <c r="I4855" s="74" t="s">
        <v>391</v>
      </c>
      <c r="J4855" s="74"/>
      <c r="K4855" s="74">
        <v>102.4</v>
      </c>
      <c r="L4855" s="74">
        <v>92.16</v>
      </c>
      <c r="M4855" s="74"/>
      <c r="N4855" s="74" t="s">
        <v>392</v>
      </c>
      <c r="O4855" s="74" t="s">
        <v>402</v>
      </c>
      <c r="P4855" s="74" t="s">
        <v>20032</v>
      </c>
      <c r="Q4855" s="74" t="s">
        <v>20033</v>
      </c>
    </row>
    <row r="4856" spans="3:17" x14ac:dyDescent="0.25">
      <c r="C4856" s="74" t="s">
        <v>20099</v>
      </c>
      <c r="D4856" s="74" t="s">
        <v>20100</v>
      </c>
      <c r="E4856" s="74" t="s">
        <v>391</v>
      </c>
      <c r="F4856" s="74">
        <v>0.01</v>
      </c>
      <c r="G4856" s="74"/>
      <c r="H4856" s="74"/>
      <c r="I4856" s="74" t="s">
        <v>391</v>
      </c>
      <c r="J4856" s="74"/>
      <c r="K4856" s="74">
        <v>102.4</v>
      </c>
      <c r="L4856" s="74">
        <v>92.16</v>
      </c>
      <c r="M4856" s="74"/>
      <c r="N4856" s="74" t="s">
        <v>392</v>
      </c>
      <c r="O4856" s="74" t="s">
        <v>393</v>
      </c>
      <c r="P4856" s="74"/>
      <c r="Q4856" s="74" t="s">
        <v>20101</v>
      </c>
    </row>
    <row r="4857" spans="3:17" x14ac:dyDescent="0.25">
      <c r="C4857" s="74" t="s">
        <v>20109</v>
      </c>
      <c r="D4857" s="74" t="s">
        <v>20110</v>
      </c>
      <c r="E4857" s="74" t="s">
        <v>391</v>
      </c>
      <c r="F4857" s="74">
        <v>0.01</v>
      </c>
      <c r="G4857" s="74"/>
      <c r="H4857" s="74"/>
      <c r="I4857" s="74" t="s">
        <v>391</v>
      </c>
      <c r="J4857" s="74"/>
      <c r="K4857" s="74">
        <v>102.4</v>
      </c>
      <c r="L4857" s="74">
        <v>92.16</v>
      </c>
      <c r="M4857" s="74"/>
      <c r="N4857" s="74" t="s">
        <v>392</v>
      </c>
      <c r="O4857" s="74" t="s">
        <v>393</v>
      </c>
      <c r="P4857" s="74"/>
      <c r="Q4857" s="74" t="s">
        <v>20111</v>
      </c>
    </row>
    <row r="4858" spans="3:17" x14ac:dyDescent="0.25">
      <c r="C4858" s="74" t="s">
        <v>20112</v>
      </c>
      <c r="D4858" s="74" t="s">
        <v>20113</v>
      </c>
      <c r="E4858" s="74"/>
      <c r="F4858" s="74">
        <v>0.01</v>
      </c>
      <c r="G4858" s="74"/>
      <c r="H4858" s="74"/>
      <c r="I4858" s="74" t="s">
        <v>391</v>
      </c>
      <c r="J4858" s="74"/>
      <c r="K4858" s="74">
        <v>102.4</v>
      </c>
      <c r="L4858" s="74">
        <v>92.16</v>
      </c>
      <c r="M4858" s="74"/>
      <c r="N4858" s="74" t="s">
        <v>392</v>
      </c>
      <c r="O4858" s="74" t="s">
        <v>402</v>
      </c>
      <c r="P4858" s="74"/>
      <c r="Q4858" s="74" t="s">
        <v>20114</v>
      </c>
    </row>
    <row r="4859" spans="3:17" x14ac:dyDescent="0.25">
      <c r="C4859" s="74" t="s">
        <v>20124</v>
      </c>
      <c r="D4859" s="74" t="s">
        <v>20125</v>
      </c>
      <c r="E4859" s="74" t="s">
        <v>391</v>
      </c>
      <c r="F4859" s="74">
        <v>0.01</v>
      </c>
      <c r="G4859" s="74"/>
      <c r="H4859" s="74"/>
      <c r="I4859" s="74" t="s">
        <v>391</v>
      </c>
      <c r="J4859" s="74"/>
      <c r="K4859" s="74">
        <v>102.4</v>
      </c>
      <c r="L4859" s="74">
        <v>92.16</v>
      </c>
      <c r="M4859" s="74"/>
      <c r="N4859" s="74" t="s">
        <v>392</v>
      </c>
      <c r="O4859" s="74" t="s">
        <v>393</v>
      </c>
      <c r="P4859" s="74"/>
      <c r="Q4859" s="74" t="s">
        <v>20125</v>
      </c>
    </row>
    <row r="4860" spans="3:17" x14ac:dyDescent="0.25">
      <c r="C4860" s="74" t="s">
        <v>20261</v>
      </c>
      <c r="D4860" s="74" t="s">
        <v>20262</v>
      </c>
      <c r="E4860" s="74" t="s">
        <v>391</v>
      </c>
      <c r="F4860" s="74">
        <v>0.01</v>
      </c>
      <c r="G4860" s="74"/>
      <c r="H4860" s="74"/>
      <c r="I4860" s="74" t="s">
        <v>391</v>
      </c>
      <c r="J4860" s="74"/>
      <c r="K4860" s="74">
        <v>102.4</v>
      </c>
      <c r="L4860" s="74">
        <v>92.16</v>
      </c>
      <c r="M4860" s="74"/>
      <c r="N4860" s="74" t="s">
        <v>392</v>
      </c>
      <c r="O4860" s="74" t="s">
        <v>393</v>
      </c>
      <c r="P4860" s="74"/>
      <c r="Q4860" s="74" t="s">
        <v>20263</v>
      </c>
    </row>
    <row r="4861" spans="3:17" x14ac:dyDescent="0.25">
      <c r="C4861" s="74" t="s">
        <v>20269</v>
      </c>
      <c r="D4861" s="74" t="s">
        <v>20270</v>
      </c>
      <c r="E4861" s="74" t="s">
        <v>391</v>
      </c>
      <c r="F4861" s="74">
        <v>0.01</v>
      </c>
      <c r="G4861" s="74"/>
      <c r="H4861" s="74"/>
      <c r="I4861" s="74" t="s">
        <v>391</v>
      </c>
      <c r="J4861" s="74"/>
      <c r="K4861" s="74">
        <v>102.4</v>
      </c>
      <c r="L4861" s="74">
        <v>92.16</v>
      </c>
      <c r="M4861" s="74"/>
      <c r="N4861" s="74" t="s">
        <v>392</v>
      </c>
      <c r="O4861" s="74" t="s">
        <v>393</v>
      </c>
      <c r="P4861" s="74"/>
      <c r="Q4861" s="74" t="s">
        <v>20271</v>
      </c>
    </row>
    <row r="4862" spans="3:17" x14ac:dyDescent="0.25">
      <c r="C4862" s="74" t="s">
        <v>20415</v>
      </c>
      <c r="D4862" s="74" t="s">
        <v>20416</v>
      </c>
      <c r="E4862" s="74" t="s">
        <v>391</v>
      </c>
      <c r="F4862" s="74">
        <v>0.01</v>
      </c>
      <c r="G4862" s="74"/>
      <c r="H4862" s="74"/>
      <c r="I4862" s="74" t="s">
        <v>391</v>
      </c>
      <c r="J4862" s="74"/>
      <c r="K4862" s="74">
        <v>102.4</v>
      </c>
      <c r="L4862" s="74">
        <v>92.16</v>
      </c>
      <c r="M4862" s="74"/>
      <c r="N4862" s="74" t="s">
        <v>392</v>
      </c>
      <c r="O4862" s="74" t="s">
        <v>393</v>
      </c>
      <c r="P4862" s="74"/>
      <c r="Q4862" s="74" t="s">
        <v>20416</v>
      </c>
    </row>
    <row r="4863" spans="3:17" x14ac:dyDescent="0.25">
      <c r="C4863" s="74" t="s">
        <v>20707</v>
      </c>
      <c r="D4863" s="74" t="s">
        <v>20708</v>
      </c>
      <c r="E4863" s="74" t="s">
        <v>391</v>
      </c>
      <c r="F4863" s="74">
        <v>0.01</v>
      </c>
      <c r="G4863" s="74"/>
      <c r="H4863" s="74"/>
      <c r="I4863" s="74" t="s">
        <v>391</v>
      </c>
      <c r="J4863" s="74"/>
      <c r="K4863" s="74">
        <v>102.4</v>
      </c>
      <c r="L4863" s="74">
        <v>92.16</v>
      </c>
      <c r="M4863" s="74"/>
      <c r="N4863" s="74" t="s">
        <v>392</v>
      </c>
      <c r="O4863" s="74" t="s">
        <v>393</v>
      </c>
      <c r="P4863" s="74"/>
      <c r="Q4863" s="74" t="s">
        <v>20709</v>
      </c>
    </row>
    <row r="4864" spans="3:17" x14ac:dyDescent="0.25">
      <c r="C4864" s="74" t="s">
        <v>20855</v>
      </c>
      <c r="D4864" s="74" t="s">
        <v>20856</v>
      </c>
      <c r="E4864" s="74"/>
      <c r="F4864" s="74">
        <v>0.01</v>
      </c>
      <c r="G4864" s="74"/>
      <c r="H4864" s="74"/>
      <c r="I4864" s="74" t="s">
        <v>391</v>
      </c>
      <c r="J4864" s="74"/>
      <c r="K4864" s="74">
        <v>102.4</v>
      </c>
      <c r="L4864" s="74">
        <v>92.16</v>
      </c>
      <c r="M4864" s="74"/>
      <c r="N4864" s="74" t="s">
        <v>392</v>
      </c>
      <c r="O4864" s="74" t="s">
        <v>402</v>
      </c>
      <c r="P4864" s="74" t="s">
        <v>20857</v>
      </c>
      <c r="Q4864" s="74" t="s">
        <v>20858</v>
      </c>
    </row>
    <row r="4865" spans="3:17" x14ac:dyDescent="0.25">
      <c r="C4865" s="74" t="s">
        <v>20998</v>
      </c>
      <c r="D4865" s="74" t="s">
        <v>20999</v>
      </c>
      <c r="E4865" s="74"/>
      <c r="F4865" s="74">
        <v>0.01</v>
      </c>
      <c r="G4865" s="74"/>
      <c r="H4865" s="74"/>
      <c r="I4865" s="74" t="s">
        <v>391</v>
      </c>
      <c r="J4865" s="74"/>
      <c r="K4865" s="74">
        <v>102.4</v>
      </c>
      <c r="L4865" s="74">
        <v>92.16</v>
      </c>
      <c r="M4865" s="74"/>
      <c r="N4865" s="74" t="s">
        <v>392</v>
      </c>
      <c r="O4865" s="74" t="s">
        <v>402</v>
      </c>
      <c r="P4865" s="74" t="s">
        <v>21000</v>
      </c>
      <c r="Q4865" s="74" t="s">
        <v>21001</v>
      </c>
    </row>
    <row r="4866" spans="3:17" x14ac:dyDescent="0.25">
      <c r="C4866" s="74" t="s">
        <v>21169</v>
      </c>
      <c r="D4866" s="74" t="s">
        <v>21170</v>
      </c>
      <c r="E4866" s="74"/>
      <c r="F4866" s="74">
        <v>0.01</v>
      </c>
      <c r="G4866" s="74"/>
      <c r="H4866" s="74"/>
      <c r="I4866" s="74" t="s">
        <v>391</v>
      </c>
      <c r="J4866" s="74"/>
      <c r="K4866" s="74">
        <v>102.4</v>
      </c>
      <c r="L4866" s="74">
        <v>92.16</v>
      </c>
      <c r="M4866" s="74"/>
      <c r="N4866" s="74" t="s">
        <v>392</v>
      </c>
      <c r="O4866" s="74" t="s">
        <v>402</v>
      </c>
      <c r="P4866" s="74" t="s">
        <v>21171</v>
      </c>
      <c r="Q4866" s="74" t="s">
        <v>21172</v>
      </c>
    </row>
    <row r="4867" spans="3:17" x14ac:dyDescent="0.25">
      <c r="C4867" s="74" t="s">
        <v>21177</v>
      </c>
      <c r="D4867" s="74" t="s">
        <v>21178</v>
      </c>
      <c r="E4867" s="74"/>
      <c r="F4867" s="74">
        <v>0.01</v>
      </c>
      <c r="G4867" s="74"/>
      <c r="H4867" s="74"/>
      <c r="I4867" s="74" t="s">
        <v>391</v>
      </c>
      <c r="J4867" s="74"/>
      <c r="K4867" s="74">
        <v>102.4</v>
      </c>
      <c r="L4867" s="74">
        <v>92.16</v>
      </c>
      <c r="M4867" s="74"/>
      <c r="N4867" s="74" t="s">
        <v>392</v>
      </c>
      <c r="O4867" s="74" t="s">
        <v>402</v>
      </c>
      <c r="P4867" s="74"/>
      <c r="Q4867" s="74" t="s">
        <v>21179</v>
      </c>
    </row>
    <row r="4868" spans="3:17" x14ac:dyDescent="0.25">
      <c r="C4868" s="158" t="s">
        <v>21221</v>
      </c>
      <c r="D4868" s="158" t="s">
        <v>21222</v>
      </c>
      <c r="E4868" s="158" t="s">
        <v>391</v>
      </c>
      <c r="F4868" s="158">
        <v>0.01</v>
      </c>
      <c r="I4868" s="158" t="s">
        <v>391</v>
      </c>
      <c r="K4868" s="158">
        <v>102.4</v>
      </c>
      <c r="L4868" s="158">
        <v>92.16</v>
      </c>
      <c r="N4868" s="158" t="s">
        <v>392</v>
      </c>
      <c r="O4868" s="158" t="s">
        <v>393</v>
      </c>
      <c r="Q4868" s="158" t="s">
        <v>21223</v>
      </c>
    </row>
    <row r="4869" spans="3:17" x14ac:dyDescent="0.25">
      <c r="C4869" s="158" t="s">
        <v>21260</v>
      </c>
      <c r="D4869" s="158" t="s">
        <v>21261</v>
      </c>
      <c r="F4869" s="158">
        <v>0.01</v>
      </c>
      <c r="I4869" s="158" t="s">
        <v>391</v>
      </c>
      <c r="K4869" s="158">
        <v>102.4</v>
      </c>
      <c r="L4869" s="158">
        <v>92.16</v>
      </c>
      <c r="N4869" s="158" t="s">
        <v>392</v>
      </c>
      <c r="O4869" s="158" t="s">
        <v>402</v>
      </c>
      <c r="P4869" s="158" t="s">
        <v>21262</v>
      </c>
      <c r="Q4869" s="158" t="s">
        <v>21263</v>
      </c>
    </row>
    <row r="4870" spans="3:17" x14ac:dyDescent="0.25">
      <c r="C4870" s="74" t="s">
        <v>395</v>
      </c>
      <c r="D4870" s="74" t="s">
        <v>396</v>
      </c>
      <c r="E4870" s="74" t="s">
        <v>391</v>
      </c>
      <c r="F4870" s="74">
        <v>0</v>
      </c>
      <c r="G4870" s="74"/>
      <c r="H4870" s="74"/>
      <c r="I4870" s="74" t="s">
        <v>391</v>
      </c>
      <c r="J4870" s="74"/>
      <c r="K4870" s="74"/>
      <c r="L4870" s="74"/>
      <c r="M4870" s="74"/>
      <c r="N4870" s="74" t="s">
        <v>397</v>
      </c>
      <c r="O4870" s="74" t="s">
        <v>393</v>
      </c>
      <c r="P4870" s="74" t="s">
        <v>398</v>
      </c>
      <c r="Q4870" s="74" t="s">
        <v>399</v>
      </c>
    </row>
    <row r="4871" spans="3:17" x14ac:dyDescent="0.25">
      <c r="C4871" s="74" t="s">
        <v>419</v>
      </c>
      <c r="D4871" s="74" t="s">
        <v>420</v>
      </c>
      <c r="E4871" s="74" t="s">
        <v>391</v>
      </c>
      <c r="F4871" s="74">
        <v>0</v>
      </c>
      <c r="G4871" s="74"/>
      <c r="H4871" s="74"/>
      <c r="I4871" s="74" t="s">
        <v>391</v>
      </c>
      <c r="J4871" s="74"/>
      <c r="K4871" s="74"/>
      <c r="L4871" s="74"/>
      <c r="M4871" s="74"/>
      <c r="N4871" s="74" t="s">
        <v>397</v>
      </c>
      <c r="O4871" s="74" t="s">
        <v>393</v>
      </c>
      <c r="P4871" s="74" t="s">
        <v>421</v>
      </c>
      <c r="Q4871" s="74" t="s">
        <v>422</v>
      </c>
    </row>
    <row r="4872" spans="3:17" x14ac:dyDescent="0.25">
      <c r="C4872" s="74" t="s">
        <v>434</v>
      </c>
      <c r="D4872" s="74" t="s">
        <v>435</v>
      </c>
      <c r="E4872" s="74" t="s">
        <v>391</v>
      </c>
      <c r="F4872" s="74">
        <v>0</v>
      </c>
      <c r="G4872" s="74"/>
      <c r="H4872" s="74"/>
      <c r="I4872" s="74" t="s">
        <v>391</v>
      </c>
      <c r="J4872" s="74"/>
      <c r="K4872" s="74"/>
      <c r="L4872" s="74"/>
      <c r="M4872" s="74"/>
      <c r="N4872" s="74" t="s">
        <v>397</v>
      </c>
      <c r="O4872" s="74" t="s">
        <v>393</v>
      </c>
      <c r="P4872" s="74" t="s">
        <v>436</v>
      </c>
      <c r="Q4872" s="74" t="s">
        <v>437</v>
      </c>
    </row>
    <row r="4873" spans="3:17" x14ac:dyDescent="0.25">
      <c r="C4873" s="74" t="s">
        <v>445</v>
      </c>
      <c r="D4873" s="74" t="s">
        <v>446</v>
      </c>
      <c r="E4873" s="74" t="s">
        <v>391</v>
      </c>
      <c r="F4873" s="74">
        <v>0</v>
      </c>
      <c r="G4873" s="74"/>
      <c r="H4873" s="74"/>
      <c r="I4873" s="74" t="s">
        <v>391</v>
      </c>
      <c r="J4873" s="74"/>
      <c r="K4873" s="74"/>
      <c r="L4873" s="74"/>
      <c r="M4873" s="74"/>
      <c r="N4873" s="74" t="s">
        <v>397</v>
      </c>
      <c r="O4873" s="74" t="s">
        <v>402</v>
      </c>
      <c r="P4873" s="74" t="s">
        <v>447</v>
      </c>
      <c r="Q4873" s="74" t="s">
        <v>448</v>
      </c>
    </row>
    <row r="4874" spans="3:17" x14ac:dyDescent="0.25">
      <c r="C4874" s="74" t="s">
        <v>462</v>
      </c>
      <c r="D4874" s="74" t="s">
        <v>463</v>
      </c>
      <c r="E4874" s="74" t="s">
        <v>391</v>
      </c>
      <c r="F4874" s="74">
        <v>0</v>
      </c>
      <c r="G4874" s="74"/>
      <c r="H4874" s="74"/>
      <c r="I4874" s="74" t="s">
        <v>391</v>
      </c>
      <c r="J4874" s="74"/>
      <c r="K4874" s="74"/>
      <c r="L4874" s="74"/>
      <c r="M4874" s="74"/>
      <c r="N4874" s="74" t="s">
        <v>397</v>
      </c>
      <c r="O4874" s="74" t="s">
        <v>393</v>
      </c>
      <c r="P4874" s="74" t="s">
        <v>464</v>
      </c>
      <c r="Q4874" s="74" t="s">
        <v>465</v>
      </c>
    </row>
    <row r="4875" spans="3:17" x14ac:dyDescent="0.25">
      <c r="C4875" s="74" t="s">
        <v>466</v>
      </c>
      <c r="D4875" s="74" t="s">
        <v>467</v>
      </c>
      <c r="E4875" s="74"/>
      <c r="F4875" s="74">
        <v>0</v>
      </c>
      <c r="G4875" s="74"/>
      <c r="H4875" s="74"/>
      <c r="I4875" s="74" t="s">
        <v>391</v>
      </c>
      <c r="J4875" s="74"/>
      <c r="K4875" s="74">
        <v>102.4</v>
      </c>
      <c r="L4875" s="74">
        <v>92.16</v>
      </c>
      <c r="M4875" s="74"/>
      <c r="N4875" s="74" t="s">
        <v>392</v>
      </c>
      <c r="O4875" s="74" t="s">
        <v>393</v>
      </c>
      <c r="P4875" s="74"/>
      <c r="Q4875" s="74" t="s">
        <v>468</v>
      </c>
    </row>
    <row r="4876" spans="3:17" x14ac:dyDescent="0.25">
      <c r="C4876" s="74" t="s">
        <v>483</v>
      </c>
      <c r="D4876" s="74" t="s">
        <v>484</v>
      </c>
      <c r="E4876" s="74" t="s">
        <v>391</v>
      </c>
      <c r="F4876" s="74">
        <v>0</v>
      </c>
      <c r="G4876" s="74"/>
      <c r="H4876" s="74"/>
      <c r="I4876" s="74" t="s">
        <v>391</v>
      </c>
      <c r="J4876" s="74"/>
      <c r="K4876" s="74"/>
      <c r="L4876" s="74"/>
      <c r="M4876" s="74"/>
      <c r="N4876" s="74" t="s">
        <v>397</v>
      </c>
      <c r="O4876" s="74" t="s">
        <v>393</v>
      </c>
      <c r="P4876" s="74" t="s">
        <v>485</v>
      </c>
      <c r="Q4876" s="74" t="s">
        <v>486</v>
      </c>
    </row>
    <row r="4877" spans="3:17" x14ac:dyDescent="0.25">
      <c r="C4877" s="74" t="s">
        <v>487</v>
      </c>
      <c r="D4877" s="74" t="s">
        <v>488</v>
      </c>
      <c r="E4877" s="74" t="s">
        <v>391</v>
      </c>
      <c r="F4877" s="74">
        <v>0</v>
      </c>
      <c r="G4877" s="74"/>
      <c r="H4877" s="74"/>
      <c r="I4877" s="74" t="s">
        <v>391</v>
      </c>
      <c r="J4877" s="74"/>
      <c r="K4877" s="74"/>
      <c r="L4877" s="74"/>
      <c r="M4877" s="74"/>
      <c r="N4877" s="74" t="s">
        <v>397</v>
      </c>
      <c r="O4877" s="74" t="s">
        <v>393</v>
      </c>
      <c r="P4877" s="74" t="s">
        <v>489</v>
      </c>
      <c r="Q4877" s="74" t="s">
        <v>490</v>
      </c>
    </row>
    <row r="4878" spans="3:17" x14ac:dyDescent="0.25">
      <c r="C4878" s="74" t="s">
        <v>497</v>
      </c>
      <c r="D4878" s="74" t="s">
        <v>498</v>
      </c>
      <c r="E4878" s="74" t="s">
        <v>391</v>
      </c>
      <c r="F4878" s="74">
        <v>0</v>
      </c>
      <c r="G4878" s="74"/>
      <c r="H4878" s="74"/>
      <c r="I4878" s="74" t="s">
        <v>391</v>
      </c>
      <c r="J4878" s="74"/>
      <c r="K4878" s="74">
        <v>102.4</v>
      </c>
      <c r="L4878" s="74">
        <v>92.16</v>
      </c>
      <c r="M4878" s="74"/>
      <c r="N4878" s="74" t="s">
        <v>392</v>
      </c>
      <c r="O4878" s="74" t="s">
        <v>393</v>
      </c>
      <c r="P4878" s="74"/>
      <c r="Q4878" s="74" t="s">
        <v>499</v>
      </c>
    </row>
    <row r="4879" spans="3:17" x14ac:dyDescent="0.25">
      <c r="C4879" s="74" t="s">
        <v>504</v>
      </c>
      <c r="D4879" s="74" t="s">
        <v>505</v>
      </c>
      <c r="E4879" s="74" t="s">
        <v>391</v>
      </c>
      <c r="F4879" s="74">
        <v>0</v>
      </c>
      <c r="G4879" s="74"/>
      <c r="H4879" s="74"/>
      <c r="I4879" s="74" t="s">
        <v>391</v>
      </c>
      <c r="J4879" s="74"/>
      <c r="K4879" s="74"/>
      <c r="L4879" s="74"/>
      <c r="M4879" s="74"/>
      <c r="N4879" s="74" t="s">
        <v>397</v>
      </c>
      <c r="O4879" s="74" t="s">
        <v>393</v>
      </c>
      <c r="P4879" s="74" t="s">
        <v>506</v>
      </c>
      <c r="Q4879" s="74" t="s">
        <v>507</v>
      </c>
    </row>
    <row r="4880" spans="3:17" x14ac:dyDescent="0.25">
      <c r="C4880" s="74" t="s">
        <v>526</v>
      </c>
      <c r="D4880" s="74" t="s">
        <v>527</v>
      </c>
      <c r="E4880" s="74" t="s">
        <v>391</v>
      </c>
      <c r="F4880" s="74">
        <v>0</v>
      </c>
      <c r="G4880" s="74"/>
      <c r="H4880" s="74"/>
      <c r="I4880" s="74" t="s">
        <v>391</v>
      </c>
      <c r="J4880" s="74"/>
      <c r="K4880" s="74"/>
      <c r="L4880" s="74"/>
      <c r="M4880" s="74"/>
      <c r="N4880" s="74" t="s">
        <v>397</v>
      </c>
      <c r="O4880" s="74" t="s">
        <v>393</v>
      </c>
      <c r="P4880" s="74" t="s">
        <v>528</v>
      </c>
      <c r="Q4880" s="74" t="s">
        <v>529</v>
      </c>
    </row>
    <row r="4881" spans="3:17" x14ac:dyDescent="0.25">
      <c r="C4881" s="74" t="s">
        <v>533</v>
      </c>
      <c r="D4881" s="74" t="s">
        <v>534</v>
      </c>
      <c r="E4881" s="74"/>
      <c r="F4881" s="74">
        <v>0</v>
      </c>
      <c r="G4881" s="74"/>
      <c r="H4881" s="74"/>
      <c r="I4881" s="74" t="s">
        <v>391</v>
      </c>
      <c r="J4881" s="74"/>
      <c r="K4881" s="74"/>
      <c r="L4881" s="74"/>
      <c r="M4881" s="74"/>
      <c r="N4881" s="74" t="s">
        <v>397</v>
      </c>
      <c r="O4881" s="74" t="s">
        <v>535</v>
      </c>
      <c r="P4881" s="74" t="s">
        <v>536</v>
      </c>
      <c r="Q4881" s="74" t="s">
        <v>537</v>
      </c>
    </row>
    <row r="4882" spans="3:17" x14ac:dyDescent="0.25">
      <c r="C4882" s="74" t="s">
        <v>547</v>
      </c>
      <c r="D4882" s="74" t="s">
        <v>548</v>
      </c>
      <c r="E4882" s="74" t="s">
        <v>391</v>
      </c>
      <c r="F4882" s="74">
        <v>0</v>
      </c>
      <c r="G4882" s="74"/>
      <c r="H4882" s="74"/>
      <c r="I4882" s="74" t="s">
        <v>391</v>
      </c>
      <c r="J4882" s="74"/>
      <c r="K4882" s="74"/>
      <c r="L4882" s="74"/>
      <c r="M4882" s="74"/>
      <c r="N4882" s="74" t="s">
        <v>397</v>
      </c>
      <c r="O4882" s="74" t="s">
        <v>393</v>
      </c>
      <c r="P4882" s="74"/>
      <c r="Q4882" s="74" t="s">
        <v>549</v>
      </c>
    </row>
    <row r="4883" spans="3:17" x14ac:dyDescent="0.25">
      <c r="C4883" s="74" t="s">
        <v>575</v>
      </c>
      <c r="D4883" s="74" t="s">
        <v>576</v>
      </c>
      <c r="E4883" s="74" t="s">
        <v>391</v>
      </c>
      <c r="F4883" s="74">
        <v>0</v>
      </c>
      <c r="G4883" s="74"/>
      <c r="H4883" s="74"/>
      <c r="I4883" s="74" t="s">
        <v>391</v>
      </c>
      <c r="J4883" s="74"/>
      <c r="K4883" s="74"/>
      <c r="L4883" s="74"/>
      <c r="M4883" s="74"/>
      <c r="N4883" s="74" t="s">
        <v>397</v>
      </c>
      <c r="O4883" s="74" t="s">
        <v>393</v>
      </c>
      <c r="P4883" s="74" t="s">
        <v>577</v>
      </c>
      <c r="Q4883" s="74" t="s">
        <v>578</v>
      </c>
    </row>
    <row r="4884" spans="3:17" x14ac:dyDescent="0.25">
      <c r="C4884" s="74" t="s">
        <v>579</v>
      </c>
      <c r="D4884" s="74" t="s">
        <v>580</v>
      </c>
      <c r="E4884" s="74" t="s">
        <v>391</v>
      </c>
      <c r="F4884" s="74">
        <v>0</v>
      </c>
      <c r="G4884" s="74"/>
      <c r="H4884" s="74"/>
      <c r="I4884" s="74" t="s">
        <v>391</v>
      </c>
      <c r="J4884" s="74"/>
      <c r="K4884" s="74"/>
      <c r="L4884" s="74"/>
      <c r="M4884" s="74"/>
      <c r="N4884" s="74" t="s">
        <v>397</v>
      </c>
      <c r="O4884" s="74" t="s">
        <v>393</v>
      </c>
      <c r="P4884" s="74" t="s">
        <v>581</v>
      </c>
      <c r="Q4884" s="74" t="s">
        <v>582</v>
      </c>
    </row>
    <row r="4885" spans="3:17" x14ac:dyDescent="0.25">
      <c r="C4885" s="74" t="s">
        <v>586</v>
      </c>
      <c r="D4885" s="74" t="s">
        <v>587</v>
      </c>
      <c r="E4885" s="74" t="s">
        <v>391</v>
      </c>
      <c r="F4885" s="74">
        <v>0</v>
      </c>
      <c r="G4885" s="74"/>
      <c r="H4885" s="74"/>
      <c r="I4885" s="74" t="s">
        <v>391</v>
      </c>
      <c r="J4885" s="74"/>
      <c r="K4885" s="74">
        <v>102.4</v>
      </c>
      <c r="L4885" s="74">
        <v>92.16</v>
      </c>
      <c r="M4885" s="74"/>
      <c r="N4885" s="74" t="s">
        <v>392</v>
      </c>
      <c r="O4885" s="74" t="s">
        <v>393</v>
      </c>
      <c r="P4885" s="74"/>
      <c r="Q4885" s="74" t="s">
        <v>587</v>
      </c>
    </row>
    <row r="4886" spans="3:17" x14ac:dyDescent="0.25">
      <c r="C4886" s="74" t="s">
        <v>594</v>
      </c>
      <c r="D4886" s="74" t="s">
        <v>595</v>
      </c>
      <c r="E4886" s="74" t="s">
        <v>391</v>
      </c>
      <c r="F4886" s="74">
        <v>0</v>
      </c>
      <c r="G4886" s="74"/>
      <c r="H4886" s="74"/>
      <c r="I4886" s="74" t="s">
        <v>391</v>
      </c>
      <c r="J4886" s="74"/>
      <c r="K4886" s="74"/>
      <c r="L4886" s="74"/>
      <c r="M4886" s="74"/>
      <c r="N4886" s="74" t="s">
        <v>397</v>
      </c>
      <c r="O4886" s="74" t="s">
        <v>393</v>
      </c>
      <c r="P4886" s="74" t="s">
        <v>596</v>
      </c>
      <c r="Q4886" s="74" t="s">
        <v>597</v>
      </c>
    </row>
    <row r="4887" spans="3:17" x14ac:dyDescent="0.25">
      <c r="C4887" s="74" t="s">
        <v>601</v>
      </c>
      <c r="D4887" s="74" t="s">
        <v>602</v>
      </c>
      <c r="E4887" s="74" t="s">
        <v>391</v>
      </c>
      <c r="F4887" s="74">
        <v>0</v>
      </c>
      <c r="G4887" s="74"/>
      <c r="H4887" s="74"/>
      <c r="I4887" s="74" t="s">
        <v>391</v>
      </c>
      <c r="J4887" s="74"/>
      <c r="K4887" s="74"/>
      <c r="L4887" s="74"/>
      <c r="M4887" s="74"/>
      <c r="N4887" s="74" t="s">
        <v>397</v>
      </c>
      <c r="O4887" s="74" t="s">
        <v>393</v>
      </c>
      <c r="P4887" s="74" t="s">
        <v>603</v>
      </c>
      <c r="Q4887" s="74" t="s">
        <v>604</v>
      </c>
    </row>
    <row r="4888" spans="3:17" x14ac:dyDescent="0.25">
      <c r="C4888" s="74" t="s">
        <v>625</v>
      </c>
      <c r="D4888" s="74" t="s">
        <v>626</v>
      </c>
      <c r="E4888" s="74" t="s">
        <v>391</v>
      </c>
      <c r="F4888" s="74">
        <v>0</v>
      </c>
      <c r="G4888" s="74"/>
      <c r="H4888" s="74"/>
      <c r="I4888" s="74" t="s">
        <v>391</v>
      </c>
      <c r="J4888" s="74"/>
      <c r="K4888" s="74"/>
      <c r="L4888" s="74"/>
      <c r="M4888" s="74"/>
      <c r="N4888" s="74" t="s">
        <v>397</v>
      </c>
      <c r="O4888" s="74" t="s">
        <v>393</v>
      </c>
      <c r="P4888" s="74" t="s">
        <v>627</v>
      </c>
      <c r="Q4888" s="74" t="s">
        <v>628</v>
      </c>
    </row>
    <row r="4889" spans="3:17" x14ac:dyDescent="0.25">
      <c r="C4889" s="74" t="s">
        <v>636</v>
      </c>
      <c r="D4889" s="74" t="s">
        <v>637</v>
      </c>
      <c r="E4889" s="74" t="s">
        <v>391</v>
      </c>
      <c r="F4889" s="74">
        <v>0</v>
      </c>
      <c r="G4889" s="74"/>
      <c r="H4889" s="74"/>
      <c r="I4889" s="74" t="s">
        <v>391</v>
      </c>
      <c r="J4889" s="74"/>
      <c r="K4889" s="74"/>
      <c r="L4889" s="74"/>
      <c r="M4889" s="74"/>
      <c r="N4889" s="74" t="s">
        <v>397</v>
      </c>
      <c r="O4889" s="74" t="s">
        <v>393</v>
      </c>
      <c r="P4889" s="74" t="s">
        <v>638</v>
      </c>
      <c r="Q4889" s="74" t="s">
        <v>639</v>
      </c>
    </row>
    <row r="4890" spans="3:17" x14ac:dyDescent="0.25">
      <c r="C4890" s="74" t="s">
        <v>663</v>
      </c>
      <c r="D4890" s="74" t="s">
        <v>664</v>
      </c>
      <c r="E4890" s="74" t="s">
        <v>391</v>
      </c>
      <c r="F4890" s="74">
        <v>0</v>
      </c>
      <c r="G4890" s="74"/>
      <c r="H4890" s="74"/>
      <c r="I4890" s="74" t="s">
        <v>391</v>
      </c>
      <c r="J4890" s="74"/>
      <c r="K4890" s="74"/>
      <c r="L4890" s="74"/>
      <c r="M4890" s="74"/>
      <c r="N4890" s="74" t="s">
        <v>397</v>
      </c>
      <c r="O4890" s="74" t="s">
        <v>393</v>
      </c>
      <c r="P4890" s="74" t="s">
        <v>665</v>
      </c>
      <c r="Q4890" s="74" t="s">
        <v>666</v>
      </c>
    </row>
    <row r="4891" spans="3:17" x14ac:dyDescent="0.25">
      <c r="C4891" s="74" t="s">
        <v>670</v>
      </c>
      <c r="D4891" s="74" t="s">
        <v>671</v>
      </c>
      <c r="E4891" s="74" t="s">
        <v>391</v>
      </c>
      <c r="F4891" s="74">
        <v>0</v>
      </c>
      <c r="G4891" s="74"/>
      <c r="H4891" s="74"/>
      <c r="I4891" s="74" t="s">
        <v>391</v>
      </c>
      <c r="J4891" s="74"/>
      <c r="K4891" s="74"/>
      <c r="L4891" s="74"/>
      <c r="M4891" s="74"/>
      <c r="N4891" s="74" t="s">
        <v>397</v>
      </c>
      <c r="O4891" s="74" t="s">
        <v>402</v>
      </c>
      <c r="P4891" s="74" t="s">
        <v>672</v>
      </c>
      <c r="Q4891" s="74" t="s">
        <v>673</v>
      </c>
    </row>
    <row r="4892" spans="3:17" x14ac:dyDescent="0.25">
      <c r="C4892" s="74" t="s">
        <v>732</v>
      </c>
      <c r="D4892" s="74" t="s">
        <v>733</v>
      </c>
      <c r="E4892" s="74"/>
      <c r="F4892" s="74">
        <v>0</v>
      </c>
      <c r="G4892" s="74"/>
      <c r="H4892" s="74"/>
      <c r="I4892" s="74" t="s">
        <v>391</v>
      </c>
      <c r="J4892" s="74"/>
      <c r="K4892" s="74"/>
      <c r="L4892" s="74"/>
      <c r="M4892" s="74"/>
      <c r="N4892" s="74"/>
      <c r="O4892" s="74" t="s">
        <v>393</v>
      </c>
      <c r="P4892" s="74"/>
      <c r="Q4892" s="74" t="s">
        <v>734</v>
      </c>
    </row>
    <row r="4893" spans="3:17" x14ac:dyDescent="0.25">
      <c r="C4893" s="74" t="s">
        <v>735</v>
      </c>
      <c r="D4893" s="74" t="s">
        <v>697</v>
      </c>
      <c r="E4893" s="74"/>
      <c r="F4893" s="74">
        <v>0</v>
      </c>
      <c r="G4893" s="74"/>
      <c r="H4893" s="74"/>
      <c r="I4893" s="74" t="s">
        <v>391</v>
      </c>
      <c r="J4893" s="74"/>
      <c r="K4893" s="74"/>
      <c r="L4893" s="74"/>
      <c r="M4893" s="74"/>
      <c r="N4893" s="74" t="s">
        <v>397</v>
      </c>
      <c r="O4893" s="74" t="s">
        <v>535</v>
      </c>
      <c r="P4893" s="74" t="s">
        <v>736</v>
      </c>
      <c r="Q4893" s="74" t="s">
        <v>737</v>
      </c>
    </row>
    <row r="4894" spans="3:17" x14ac:dyDescent="0.25">
      <c r="C4894" s="74" t="s">
        <v>765</v>
      </c>
      <c r="D4894" s="74" t="s">
        <v>396</v>
      </c>
      <c r="E4894" s="74" t="s">
        <v>391</v>
      </c>
      <c r="F4894" s="74">
        <v>0</v>
      </c>
      <c r="G4894" s="74"/>
      <c r="H4894" s="74"/>
      <c r="I4894" s="74" t="s">
        <v>391</v>
      </c>
      <c r="J4894" s="74"/>
      <c r="K4894" s="74"/>
      <c r="L4894" s="74"/>
      <c r="M4894" s="74"/>
      <c r="N4894" s="74" t="s">
        <v>397</v>
      </c>
      <c r="O4894" s="74" t="s">
        <v>402</v>
      </c>
      <c r="P4894" s="74" t="s">
        <v>766</v>
      </c>
      <c r="Q4894" s="74" t="s">
        <v>767</v>
      </c>
    </row>
    <row r="4895" spans="3:17" x14ac:dyDescent="0.25">
      <c r="C4895" s="74" t="s">
        <v>775</v>
      </c>
      <c r="D4895" s="74" t="s">
        <v>776</v>
      </c>
      <c r="E4895" s="74" t="s">
        <v>391</v>
      </c>
      <c r="F4895" s="74">
        <v>0</v>
      </c>
      <c r="G4895" s="74"/>
      <c r="H4895" s="74"/>
      <c r="I4895" s="74" t="s">
        <v>391</v>
      </c>
      <c r="J4895" s="74"/>
      <c r="K4895" s="74"/>
      <c r="L4895" s="74"/>
      <c r="M4895" s="74"/>
      <c r="N4895" s="74" t="s">
        <v>397</v>
      </c>
      <c r="O4895" s="74" t="s">
        <v>393</v>
      </c>
      <c r="P4895" s="74" t="s">
        <v>777</v>
      </c>
      <c r="Q4895" s="74" t="s">
        <v>778</v>
      </c>
    </row>
    <row r="4896" spans="3:17" x14ac:dyDescent="0.25">
      <c r="C4896" s="74" t="s">
        <v>807</v>
      </c>
      <c r="D4896" s="74" t="s">
        <v>808</v>
      </c>
      <c r="E4896" s="74" t="s">
        <v>391</v>
      </c>
      <c r="F4896" s="74">
        <v>0</v>
      </c>
      <c r="G4896" s="74"/>
      <c r="H4896" s="74"/>
      <c r="I4896" s="74" t="s">
        <v>391</v>
      </c>
      <c r="J4896" s="74"/>
      <c r="K4896" s="74">
        <v>102.4</v>
      </c>
      <c r="L4896" s="74">
        <v>92.16</v>
      </c>
      <c r="M4896" s="74"/>
      <c r="N4896" s="74" t="s">
        <v>392</v>
      </c>
      <c r="O4896" s="74" t="s">
        <v>393</v>
      </c>
      <c r="P4896" s="74"/>
      <c r="Q4896" s="74" t="s">
        <v>809</v>
      </c>
    </row>
    <row r="4897" spans="3:17" x14ac:dyDescent="0.25">
      <c r="C4897" s="74" t="s">
        <v>817</v>
      </c>
      <c r="D4897" s="74" t="s">
        <v>818</v>
      </c>
      <c r="E4897" s="74" t="s">
        <v>391</v>
      </c>
      <c r="F4897" s="74">
        <v>0</v>
      </c>
      <c r="G4897" s="74"/>
      <c r="H4897" s="74"/>
      <c r="I4897" s="74" t="s">
        <v>391</v>
      </c>
      <c r="J4897" s="74"/>
      <c r="K4897" s="74"/>
      <c r="L4897" s="74"/>
      <c r="M4897" s="74"/>
      <c r="N4897" s="74" t="s">
        <v>397</v>
      </c>
      <c r="O4897" s="74" t="s">
        <v>393</v>
      </c>
      <c r="P4897" s="74"/>
      <c r="Q4897" s="74" t="s">
        <v>819</v>
      </c>
    </row>
    <row r="4898" spans="3:17" x14ac:dyDescent="0.25">
      <c r="C4898" s="74" t="s">
        <v>827</v>
      </c>
      <c r="D4898" s="74" t="s">
        <v>410</v>
      </c>
      <c r="E4898" s="74" t="s">
        <v>391</v>
      </c>
      <c r="F4898" s="74">
        <v>0</v>
      </c>
      <c r="G4898" s="74"/>
      <c r="H4898" s="74"/>
      <c r="I4898" s="74" t="s">
        <v>391</v>
      </c>
      <c r="J4898" s="74"/>
      <c r="K4898" s="74"/>
      <c r="L4898" s="74"/>
      <c r="M4898" s="74"/>
      <c r="N4898" s="74" t="s">
        <v>397</v>
      </c>
      <c r="O4898" s="74" t="s">
        <v>393</v>
      </c>
      <c r="P4898" s="74" t="s">
        <v>828</v>
      </c>
      <c r="Q4898" s="74" t="s">
        <v>829</v>
      </c>
    </row>
    <row r="4899" spans="3:17" x14ac:dyDescent="0.25">
      <c r="C4899" s="74" t="s">
        <v>896</v>
      </c>
      <c r="D4899" s="74" t="s">
        <v>897</v>
      </c>
      <c r="E4899" s="74" t="s">
        <v>391</v>
      </c>
      <c r="F4899" s="74">
        <v>0</v>
      </c>
      <c r="G4899" s="74"/>
      <c r="H4899" s="74"/>
      <c r="I4899" s="74" t="s">
        <v>391</v>
      </c>
      <c r="J4899" s="74"/>
      <c r="K4899" s="74"/>
      <c r="L4899" s="74"/>
      <c r="M4899" s="74"/>
      <c r="N4899" s="74" t="s">
        <v>397</v>
      </c>
      <c r="O4899" s="74" t="s">
        <v>393</v>
      </c>
      <c r="P4899" s="74" t="s">
        <v>898</v>
      </c>
      <c r="Q4899" s="74" t="s">
        <v>899</v>
      </c>
    </row>
    <row r="4900" spans="3:17" x14ac:dyDescent="0.25">
      <c r="C4900" s="74" t="s">
        <v>934</v>
      </c>
      <c r="D4900" s="74" t="s">
        <v>935</v>
      </c>
      <c r="E4900" s="74" t="s">
        <v>391</v>
      </c>
      <c r="F4900" s="74">
        <v>0</v>
      </c>
      <c r="G4900" s="74"/>
      <c r="H4900" s="74"/>
      <c r="I4900" s="74" t="s">
        <v>391</v>
      </c>
      <c r="J4900" s="74"/>
      <c r="K4900" s="74"/>
      <c r="L4900" s="74"/>
      <c r="M4900" s="74"/>
      <c r="N4900" s="74" t="s">
        <v>397</v>
      </c>
      <c r="O4900" s="74" t="s">
        <v>393</v>
      </c>
      <c r="P4900" s="74" t="s">
        <v>936</v>
      </c>
      <c r="Q4900" s="74" t="s">
        <v>937</v>
      </c>
    </row>
    <row r="4901" spans="3:17" x14ac:dyDescent="0.25">
      <c r="C4901" s="74" t="s">
        <v>938</v>
      </c>
      <c r="D4901" s="74" t="s">
        <v>939</v>
      </c>
      <c r="E4901" s="74" t="s">
        <v>391</v>
      </c>
      <c r="F4901" s="74">
        <v>0</v>
      </c>
      <c r="G4901" s="74"/>
      <c r="H4901" s="74"/>
      <c r="I4901" s="74" t="s">
        <v>391</v>
      </c>
      <c r="J4901" s="74"/>
      <c r="K4901" s="74"/>
      <c r="L4901" s="74"/>
      <c r="M4901" s="74"/>
      <c r="N4901" s="74" t="s">
        <v>397</v>
      </c>
      <c r="O4901" s="74" t="s">
        <v>393</v>
      </c>
      <c r="P4901" s="74" t="s">
        <v>940</v>
      </c>
      <c r="Q4901" s="74" t="s">
        <v>941</v>
      </c>
    </row>
    <row r="4902" spans="3:17" x14ac:dyDescent="0.25">
      <c r="C4902" s="74" t="s">
        <v>942</v>
      </c>
      <c r="D4902" s="74" t="s">
        <v>943</v>
      </c>
      <c r="E4902" s="74" t="s">
        <v>391</v>
      </c>
      <c r="F4902" s="74">
        <v>0</v>
      </c>
      <c r="G4902" s="74"/>
      <c r="H4902" s="74"/>
      <c r="I4902" s="74" t="s">
        <v>391</v>
      </c>
      <c r="J4902" s="74"/>
      <c r="K4902" s="74"/>
      <c r="L4902" s="74"/>
      <c r="M4902" s="74"/>
      <c r="N4902" s="74" t="s">
        <v>397</v>
      </c>
      <c r="O4902" s="74" t="s">
        <v>393</v>
      </c>
      <c r="P4902" s="74" t="s">
        <v>944</v>
      </c>
      <c r="Q4902" s="74" t="s">
        <v>945</v>
      </c>
    </row>
    <row r="4903" spans="3:17" x14ac:dyDescent="0.25">
      <c r="C4903" s="74" t="s">
        <v>946</v>
      </c>
      <c r="D4903" s="74" t="s">
        <v>947</v>
      </c>
      <c r="E4903" s="74"/>
      <c r="F4903" s="74">
        <v>0</v>
      </c>
      <c r="G4903" s="74"/>
      <c r="H4903" s="74"/>
      <c r="I4903" s="74" t="s">
        <v>391</v>
      </c>
      <c r="J4903" s="74"/>
      <c r="K4903" s="74">
        <v>102.4</v>
      </c>
      <c r="L4903" s="74">
        <v>92.16</v>
      </c>
      <c r="M4903" s="74"/>
      <c r="N4903" s="74" t="s">
        <v>392</v>
      </c>
      <c r="O4903" s="74" t="s">
        <v>402</v>
      </c>
      <c r="P4903" s="74"/>
      <c r="Q4903" s="74" t="s">
        <v>948</v>
      </c>
    </row>
    <row r="4904" spans="3:17" x14ac:dyDescent="0.25">
      <c r="C4904" s="74" t="s">
        <v>975</v>
      </c>
      <c r="D4904" s="74" t="s">
        <v>976</v>
      </c>
      <c r="E4904" s="74" t="s">
        <v>391</v>
      </c>
      <c r="F4904" s="74">
        <v>0</v>
      </c>
      <c r="G4904" s="74"/>
      <c r="H4904" s="74"/>
      <c r="I4904" s="74" t="s">
        <v>391</v>
      </c>
      <c r="J4904" s="74"/>
      <c r="K4904" s="74"/>
      <c r="L4904" s="74"/>
      <c r="M4904" s="74"/>
      <c r="N4904" s="74" t="s">
        <v>397</v>
      </c>
      <c r="O4904" s="74" t="s">
        <v>393</v>
      </c>
      <c r="P4904" s="74" t="s">
        <v>977</v>
      </c>
      <c r="Q4904" s="74" t="s">
        <v>978</v>
      </c>
    </row>
    <row r="4905" spans="3:17" x14ac:dyDescent="0.25">
      <c r="C4905" s="74" t="s">
        <v>985</v>
      </c>
      <c r="D4905" s="74" t="s">
        <v>986</v>
      </c>
      <c r="E4905" s="74" t="s">
        <v>391</v>
      </c>
      <c r="F4905" s="74">
        <v>0</v>
      </c>
      <c r="G4905" s="74"/>
      <c r="H4905" s="74"/>
      <c r="I4905" s="74" t="s">
        <v>391</v>
      </c>
      <c r="J4905" s="74"/>
      <c r="K4905" s="74">
        <v>102.4</v>
      </c>
      <c r="L4905" s="74">
        <v>92.16</v>
      </c>
      <c r="M4905" s="74"/>
      <c r="N4905" s="74" t="s">
        <v>392</v>
      </c>
      <c r="O4905" s="74" t="s">
        <v>393</v>
      </c>
      <c r="P4905" s="74"/>
      <c r="Q4905" s="74" t="s">
        <v>987</v>
      </c>
    </row>
    <row r="4906" spans="3:17" x14ac:dyDescent="0.25">
      <c r="C4906" s="74" t="s">
        <v>995</v>
      </c>
      <c r="D4906" s="74" t="s">
        <v>996</v>
      </c>
      <c r="E4906" s="74" t="s">
        <v>391</v>
      </c>
      <c r="F4906" s="74">
        <v>0</v>
      </c>
      <c r="G4906" s="74"/>
      <c r="H4906" s="74"/>
      <c r="I4906" s="74" t="s">
        <v>391</v>
      </c>
      <c r="J4906" s="74"/>
      <c r="K4906" s="74"/>
      <c r="L4906" s="74"/>
      <c r="M4906" s="74"/>
      <c r="N4906" s="74" t="s">
        <v>397</v>
      </c>
      <c r="O4906" s="74" t="s">
        <v>393</v>
      </c>
      <c r="P4906" s="74" t="s">
        <v>997</v>
      </c>
      <c r="Q4906" s="74" t="s">
        <v>998</v>
      </c>
    </row>
    <row r="4907" spans="3:17" x14ac:dyDescent="0.25">
      <c r="C4907" s="74" t="s">
        <v>999</v>
      </c>
      <c r="D4907" s="74" t="s">
        <v>1000</v>
      </c>
      <c r="E4907" s="74"/>
      <c r="F4907" s="74">
        <v>0</v>
      </c>
      <c r="G4907" s="74"/>
      <c r="H4907" s="74"/>
      <c r="I4907" s="74" t="s">
        <v>391</v>
      </c>
      <c r="J4907" s="74"/>
      <c r="K4907" s="74"/>
      <c r="L4907" s="74"/>
      <c r="M4907" s="74"/>
      <c r="N4907" s="74" t="s">
        <v>397</v>
      </c>
      <c r="O4907" s="74" t="s">
        <v>535</v>
      </c>
      <c r="P4907" s="74" t="s">
        <v>1001</v>
      </c>
      <c r="Q4907" s="74" t="s">
        <v>1002</v>
      </c>
    </row>
    <row r="4908" spans="3:17" x14ac:dyDescent="0.25">
      <c r="C4908" s="74" t="s">
        <v>1003</v>
      </c>
      <c r="D4908" s="74" t="s">
        <v>1004</v>
      </c>
      <c r="E4908" s="74"/>
      <c r="F4908" s="74">
        <v>0</v>
      </c>
      <c r="G4908" s="74"/>
      <c r="H4908" s="74"/>
      <c r="I4908" s="74" t="s">
        <v>391</v>
      </c>
      <c r="J4908" s="74"/>
      <c r="K4908" s="74">
        <v>102.4</v>
      </c>
      <c r="L4908" s="74">
        <v>92.16</v>
      </c>
      <c r="M4908" s="74"/>
      <c r="N4908" s="74" t="s">
        <v>392</v>
      </c>
      <c r="O4908" s="74" t="s">
        <v>402</v>
      </c>
      <c r="P4908" s="74" t="s">
        <v>1005</v>
      </c>
      <c r="Q4908" s="74" t="s">
        <v>1006</v>
      </c>
    </row>
    <row r="4909" spans="3:17" x14ac:dyDescent="0.25">
      <c r="C4909" s="74" t="s">
        <v>1013</v>
      </c>
      <c r="D4909" s="74" t="s">
        <v>1014</v>
      </c>
      <c r="E4909" s="74" t="s">
        <v>391</v>
      </c>
      <c r="F4909" s="74">
        <v>0</v>
      </c>
      <c r="G4909" s="74"/>
      <c r="H4909" s="74"/>
      <c r="I4909" s="74" t="s">
        <v>391</v>
      </c>
      <c r="J4909" s="74"/>
      <c r="K4909" s="74"/>
      <c r="L4909" s="74"/>
      <c r="M4909" s="74"/>
      <c r="N4909" s="74" t="s">
        <v>397</v>
      </c>
      <c r="O4909" s="74" t="s">
        <v>393</v>
      </c>
      <c r="P4909" s="74" t="s">
        <v>1015</v>
      </c>
      <c r="Q4909" s="74" t="s">
        <v>1016</v>
      </c>
    </row>
    <row r="4910" spans="3:17" x14ac:dyDescent="0.25">
      <c r="C4910" s="74" t="s">
        <v>1021</v>
      </c>
      <c r="D4910" s="74" t="s">
        <v>1022</v>
      </c>
      <c r="E4910" s="74" t="s">
        <v>391</v>
      </c>
      <c r="F4910" s="74">
        <v>0</v>
      </c>
      <c r="G4910" s="74"/>
      <c r="H4910" s="74"/>
      <c r="I4910" s="74" t="s">
        <v>391</v>
      </c>
      <c r="J4910" s="74"/>
      <c r="K4910" s="74"/>
      <c r="L4910" s="74"/>
      <c r="M4910" s="74"/>
      <c r="N4910" s="74" t="s">
        <v>397</v>
      </c>
      <c r="O4910" s="74" t="s">
        <v>393</v>
      </c>
      <c r="P4910" s="74"/>
      <c r="Q4910" s="74" t="s">
        <v>1023</v>
      </c>
    </row>
    <row r="4911" spans="3:17" x14ac:dyDescent="0.25">
      <c r="C4911" s="74" t="s">
        <v>1024</v>
      </c>
      <c r="D4911" s="74" t="s">
        <v>1025</v>
      </c>
      <c r="E4911" s="74" t="s">
        <v>391</v>
      </c>
      <c r="F4911" s="74">
        <v>0</v>
      </c>
      <c r="G4911" s="74"/>
      <c r="H4911" s="74"/>
      <c r="I4911" s="74" t="s">
        <v>391</v>
      </c>
      <c r="J4911" s="74"/>
      <c r="K4911" s="74"/>
      <c r="L4911" s="74"/>
      <c r="M4911" s="74"/>
      <c r="N4911" s="74" t="s">
        <v>397</v>
      </c>
      <c r="O4911" s="74" t="s">
        <v>393</v>
      </c>
      <c r="P4911" s="74"/>
      <c r="Q4911" s="74" t="s">
        <v>1026</v>
      </c>
    </row>
    <row r="4912" spans="3:17" x14ac:dyDescent="0.25">
      <c r="C4912" s="74" t="s">
        <v>1033</v>
      </c>
      <c r="D4912" s="74" t="s">
        <v>1034</v>
      </c>
      <c r="E4912" s="74" t="s">
        <v>391</v>
      </c>
      <c r="F4912" s="74">
        <v>0</v>
      </c>
      <c r="G4912" s="74"/>
      <c r="H4912" s="74"/>
      <c r="I4912" s="74" t="s">
        <v>391</v>
      </c>
      <c r="J4912" s="74"/>
      <c r="K4912" s="74"/>
      <c r="L4912" s="74"/>
      <c r="M4912" s="74"/>
      <c r="N4912" s="74" t="s">
        <v>397</v>
      </c>
      <c r="O4912" s="74" t="s">
        <v>393</v>
      </c>
      <c r="P4912" s="74" t="s">
        <v>1035</v>
      </c>
      <c r="Q4912" s="74" t="s">
        <v>1036</v>
      </c>
    </row>
    <row r="4913" spans="3:17" x14ac:dyDescent="0.25">
      <c r="C4913" s="74" t="s">
        <v>1048</v>
      </c>
      <c r="D4913" s="74" t="s">
        <v>1049</v>
      </c>
      <c r="E4913" s="74"/>
      <c r="F4913" s="74">
        <v>0</v>
      </c>
      <c r="G4913" s="74"/>
      <c r="H4913" s="74"/>
      <c r="I4913" s="74" t="s">
        <v>391</v>
      </c>
      <c r="J4913" s="74"/>
      <c r="K4913" s="74">
        <v>102.4</v>
      </c>
      <c r="L4913" s="74">
        <v>92.16</v>
      </c>
      <c r="M4913" s="74"/>
      <c r="N4913" s="74" t="s">
        <v>392</v>
      </c>
      <c r="O4913" s="74" t="s">
        <v>402</v>
      </c>
      <c r="P4913" s="74"/>
      <c r="Q4913" s="74" t="s">
        <v>1050</v>
      </c>
    </row>
    <row r="4914" spans="3:17" x14ac:dyDescent="0.25">
      <c r="C4914" s="74" t="s">
        <v>1051</v>
      </c>
      <c r="D4914" s="74" t="s">
        <v>1052</v>
      </c>
      <c r="E4914" s="74" t="s">
        <v>391</v>
      </c>
      <c r="F4914" s="74">
        <v>0</v>
      </c>
      <c r="G4914" s="74"/>
      <c r="H4914" s="74"/>
      <c r="I4914" s="74" t="s">
        <v>391</v>
      </c>
      <c r="J4914" s="74"/>
      <c r="K4914" s="74"/>
      <c r="L4914" s="74"/>
      <c r="M4914" s="74"/>
      <c r="N4914" s="74"/>
      <c r="O4914" s="74" t="s">
        <v>402</v>
      </c>
      <c r="P4914" s="74" t="s">
        <v>1053</v>
      </c>
      <c r="Q4914" s="74" t="s">
        <v>1054</v>
      </c>
    </row>
    <row r="4915" spans="3:17" x14ac:dyDescent="0.25">
      <c r="C4915" s="74" t="s">
        <v>1059</v>
      </c>
      <c r="D4915" s="74" t="s">
        <v>416</v>
      </c>
      <c r="E4915" s="74" t="s">
        <v>391</v>
      </c>
      <c r="F4915" s="74">
        <v>0</v>
      </c>
      <c r="G4915" s="74"/>
      <c r="H4915" s="74"/>
      <c r="I4915" s="74" t="s">
        <v>391</v>
      </c>
      <c r="J4915" s="74"/>
      <c r="K4915" s="74"/>
      <c r="L4915" s="74"/>
      <c r="M4915" s="74"/>
      <c r="N4915" s="74" t="s">
        <v>397</v>
      </c>
      <c r="O4915" s="74" t="s">
        <v>393</v>
      </c>
      <c r="P4915" s="74" t="s">
        <v>1060</v>
      </c>
      <c r="Q4915" s="74" t="s">
        <v>1061</v>
      </c>
    </row>
    <row r="4916" spans="3:17" x14ac:dyDescent="0.25">
      <c r="C4916" s="74" t="s">
        <v>1072</v>
      </c>
      <c r="D4916" s="74" t="s">
        <v>1073</v>
      </c>
      <c r="E4916" s="74" t="s">
        <v>391</v>
      </c>
      <c r="F4916" s="74">
        <v>0</v>
      </c>
      <c r="G4916" s="74"/>
      <c r="H4916" s="74"/>
      <c r="I4916" s="74" t="s">
        <v>391</v>
      </c>
      <c r="J4916" s="74"/>
      <c r="K4916" s="74"/>
      <c r="L4916" s="74"/>
      <c r="M4916" s="74"/>
      <c r="N4916" s="74" t="s">
        <v>397</v>
      </c>
      <c r="O4916" s="74" t="s">
        <v>393</v>
      </c>
      <c r="P4916" s="74" t="s">
        <v>1074</v>
      </c>
      <c r="Q4916" s="74" t="s">
        <v>1075</v>
      </c>
    </row>
    <row r="4917" spans="3:17" x14ac:dyDescent="0.25">
      <c r="C4917" s="74" t="s">
        <v>1076</v>
      </c>
      <c r="D4917" s="74" t="s">
        <v>1077</v>
      </c>
      <c r="E4917" s="74" t="s">
        <v>391</v>
      </c>
      <c r="F4917" s="74">
        <v>0</v>
      </c>
      <c r="G4917" s="74"/>
      <c r="H4917" s="74"/>
      <c r="I4917" s="74" t="s">
        <v>391</v>
      </c>
      <c r="J4917" s="74"/>
      <c r="K4917" s="74"/>
      <c r="L4917" s="74"/>
      <c r="M4917" s="74"/>
      <c r="N4917" s="74" t="s">
        <v>397</v>
      </c>
      <c r="O4917" s="74" t="s">
        <v>393</v>
      </c>
      <c r="P4917" s="74" t="s">
        <v>1078</v>
      </c>
      <c r="Q4917" s="74" t="s">
        <v>1079</v>
      </c>
    </row>
    <row r="4918" spans="3:17" x14ac:dyDescent="0.25">
      <c r="C4918" s="74" t="s">
        <v>1095</v>
      </c>
      <c r="D4918" s="74" t="s">
        <v>1096</v>
      </c>
      <c r="E4918" s="74" t="s">
        <v>391</v>
      </c>
      <c r="F4918" s="74">
        <v>0</v>
      </c>
      <c r="G4918" s="74"/>
      <c r="H4918" s="74"/>
      <c r="I4918" s="74" t="s">
        <v>391</v>
      </c>
      <c r="J4918" s="74"/>
      <c r="K4918" s="74"/>
      <c r="L4918" s="74"/>
      <c r="M4918" s="74"/>
      <c r="N4918" s="74" t="s">
        <v>397</v>
      </c>
      <c r="O4918" s="74" t="s">
        <v>393</v>
      </c>
      <c r="P4918" s="74" t="s">
        <v>1097</v>
      </c>
      <c r="Q4918" s="74" t="s">
        <v>1098</v>
      </c>
    </row>
    <row r="4919" spans="3:17" x14ac:dyDescent="0.25">
      <c r="C4919" s="74" t="s">
        <v>1112</v>
      </c>
      <c r="D4919" s="74" t="s">
        <v>1113</v>
      </c>
      <c r="E4919" s="74" t="s">
        <v>391</v>
      </c>
      <c r="F4919" s="74">
        <v>0</v>
      </c>
      <c r="G4919" s="74"/>
      <c r="H4919" s="74"/>
      <c r="I4919" s="74" t="s">
        <v>391</v>
      </c>
      <c r="J4919" s="74"/>
      <c r="K4919" s="74"/>
      <c r="L4919" s="74"/>
      <c r="M4919" s="74"/>
      <c r="N4919" s="74" t="s">
        <v>397</v>
      </c>
      <c r="O4919" s="74" t="s">
        <v>393</v>
      </c>
      <c r="P4919" s="74" t="s">
        <v>1114</v>
      </c>
      <c r="Q4919" s="74" t="s">
        <v>1115</v>
      </c>
    </row>
    <row r="4920" spans="3:17" x14ac:dyDescent="0.25">
      <c r="C4920" s="74" t="s">
        <v>1120</v>
      </c>
      <c r="D4920" s="74" t="s">
        <v>1121</v>
      </c>
      <c r="E4920" s="74" t="s">
        <v>391</v>
      </c>
      <c r="F4920" s="74">
        <v>0</v>
      </c>
      <c r="G4920" s="74"/>
      <c r="H4920" s="74"/>
      <c r="I4920" s="74" t="s">
        <v>391</v>
      </c>
      <c r="J4920" s="74"/>
      <c r="K4920" s="74"/>
      <c r="L4920" s="74"/>
      <c r="M4920" s="74"/>
      <c r="N4920" s="74" t="s">
        <v>397</v>
      </c>
      <c r="O4920" s="74" t="s">
        <v>393</v>
      </c>
      <c r="P4920" s="74"/>
      <c r="Q4920" s="74" t="s">
        <v>1122</v>
      </c>
    </row>
    <row r="4921" spans="3:17" x14ac:dyDescent="0.25">
      <c r="C4921" s="74" t="s">
        <v>1131</v>
      </c>
      <c r="D4921" s="74" t="s">
        <v>1132</v>
      </c>
      <c r="E4921" s="74" t="s">
        <v>391</v>
      </c>
      <c r="F4921" s="74">
        <v>0</v>
      </c>
      <c r="G4921" s="74"/>
      <c r="H4921" s="74"/>
      <c r="I4921" s="74" t="s">
        <v>391</v>
      </c>
      <c r="J4921" s="74"/>
      <c r="K4921" s="74"/>
      <c r="L4921" s="74"/>
      <c r="M4921" s="74"/>
      <c r="N4921" s="74" t="s">
        <v>397</v>
      </c>
      <c r="O4921" s="74" t="s">
        <v>393</v>
      </c>
      <c r="P4921" s="74" t="s">
        <v>1133</v>
      </c>
      <c r="Q4921" s="74" t="s">
        <v>1134</v>
      </c>
    </row>
    <row r="4922" spans="3:17" x14ac:dyDescent="0.25">
      <c r="C4922" s="74" t="s">
        <v>1195</v>
      </c>
      <c r="D4922" s="74" t="s">
        <v>1196</v>
      </c>
      <c r="E4922" s="74" t="s">
        <v>391</v>
      </c>
      <c r="F4922" s="74">
        <v>0</v>
      </c>
      <c r="G4922" s="74"/>
      <c r="H4922" s="74"/>
      <c r="I4922" s="74" t="s">
        <v>391</v>
      </c>
      <c r="J4922" s="74"/>
      <c r="K4922" s="74"/>
      <c r="L4922" s="74"/>
      <c r="M4922" s="74"/>
      <c r="N4922" s="74" t="s">
        <v>397</v>
      </c>
      <c r="O4922" s="74" t="s">
        <v>393</v>
      </c>
      <c r="P4922" s="74" t="s">
        <v>1197</v>
      </c>
      <c r="Q4922" s="74" t="s">
        <v>1198</v>
      </c>
    </row>
    <row r="4923" spans="3:17" x14ac:dyDescent="0.25">
      <c r="C4923" s="74" t="s">
        <v>1203</v>
      </c>
      <c r="D4923" s="74" t="s">
        <v>1204</v>
      </c>
      <c r="E4923" s="74" t="s">
        <v>391</v>
      </c>
      <c r="F4923" s="74">
        <v>0</v>
      </c>
      <c r="G4923" s="74"/>
      <c r="H4923" s="74"/>
      <c r="I4923" s="74" t="s">
        <v>391</v>
      </c>
      <c r="J4923" s="74"/>
      <c r="K4923" s="74"/>
      <c r="L4923" s="74"/>
      <c r="M4923" s="74"/>
      <c r="N4923" s="74" t="s">
        <v>397</v>
      </c>
      <c r="O4923" s="74" t="s">
        <v>393</v>
      </c>
      <c r="P4923" s="74" t="s">
        <v>1205</v>
      </c>
      <c r="Q4923" s="74" t="s">
        <v>1206</v>
      </c>
    </row>
    <row r="4924" spans="3:17" x14ac:dyDescent="0.25">
      <c r="C4924" s="74" t="s">
        <v>1221</v>
      </c>
      <c r="D4924" s="74" t="s">
        <v>1222</v>
      </c>
      <c r="E4924" s="74" t="s">
        <v>391</v>
      </c>
      <c r="F4924" s="74">
        <v>0</v>
      </c>
      <c r="G4924" s="74"/>
      <c r="H4924" s="74"/>
      <c r="I4924" s="74" t="s">
        <v>391</v>
      </c>
      <c r="J4924" s="74"/>
      <c r="K4924" s="74"/>
      <c r="L4924" s="74"/>
      <c r="M4924" s="74"/>
      <c r="N4924" s="74" t="s">
        <v>397</v>
      </c>
      <c r="O4924" s="74" t="s">
        <v>393</v>
      </c>
      <c r="P4924" s="74"/>
      <c r="Q4924" s="74" t="s">
        <v>1223</v>
      </c>
    </row>
    <row r="4925" spans="3:17" x14ac:dyDescent="0.25">
      <c r="C4925" s="74" t="s">
        <v>1232</v>
      </c>
      <c r="D4925" s="74" t="s">
        <v>1233</v>
      </c>
      <c r="E4925" s="74" t="s">
        <v>391</v>
      </c>
      <c r="F4925" s="74">
        <v>0</v>
      </c>
      <c r="G4925" s="74"/>
      <c r="H4925" s="74"/>
      <c r="I4925" s="74" t="s">
        <v>391</v>
      </c>
      <c r="J4925" s="74"/>
      <c r="K4925" s="74"/>
      <c r="L4925" s="74"/>
      <c r="M4925" s="74"/>
      <c r="N4925" s="74" t="s">
        <v>397</v>
      </c>
      <c r="O4925" s="74" t="s">
        <v>393</v>
      </c>
      <c r="P4925" s="74"/>
      <c r="Q4925" s="74" t="s">
        <v>1234</v>
      </c>
    </row>
    <row r="4926" spans="3:17" x14ac:dyDescent="0.25">
      <c r="C4926" s="74" t="s">
        <v>1262</v>
      </c>
      <c r="D4926" s="74" t="s">
        <v>1263</v>
      </c>
      <c r="E4926" s="74" t="s">
        <v>391</v>
      </c>
      <c r="F4926" s="74">
        <v>0</v>
      </c>
      <c r="G4926" s="74"/>
      <c r="H4926" s="74"/>
      <c r="I4926" s="74" t="s">
        <v>391</v>
      </c>
      <c r="J4926" s="74"/>
      <c r="K4926" s="74">
        <v>102.4</v>
      </c>
      <c r="L4926" s="74">
        <v>92.16</v>
      </c>
      <c r="M4926" s="74"/>
      <c r="N4926" s="74" t="s">
        <v>392</v>
      </c>
      <c r="O4926" s="74" t="s">
        <v>393</v>
      </c>
      <c r="P4926" s="74"/>
      <c r="Q4926" s="74" t="s">
        <v>1264</v>
      </c>
    </row>
    <row r="4927" spans="3:17" x14ac:dyDescent="0.25">
      <c r="C4927" s="74" t="s">
        <v>1304</v>
      </c>
      <c r="D4927" s="74" t="s">
        <v>1305</v>
      </c>
      <c r="E4927" s="74" t="s">
        <v>391</v>
      </c>
      <c r="F4927" s="74">
        <v>0</v>
      </c>
      <c r="G4927" s="74"/>
      <c r="H4927" s="74"/>
      <c r="I4927" s="74" t="s">
        <v>391</v>
      </c>
      <c r="J4927" s="74"/>
      <c r="K4927" s="74"/>
      <c r="L4927" s="74"/>
      <c r="M4927" s="74"/>
      <c r="N4927" s="74" t="s">
        <v>397</v>
      </c>
      <c r="O4927" s="74" t="s">
        <v>393</v>
      </c>
      <c r="P4927" s="74" t="s">
        <v>1306</v>
      </c>
      <c r="Q4927" s="74" t="s">
        <v>1307</v>
      </c>
    </row>
    <row r="4928" spans="3:17" x14ac:dyDescent="0.25">
      <c r="C4928" s="74" t="s">
        <v>1373</v>
      </c>
      <c r="D4928" s="74" t="s">
        <v>1374</v>
      </c>
      <c r="E4928" s="74" t="s">
        <v>391</v>
      </c>
      <c r="F4928" s="74">
        <v>0</v>
      </c>
      <c r="G4928" s="74"/>
      <c r="H4928" s="74"/>
      <c r="I4928" s="74" t="s">
        <v>391</v>
      </c>
      <c r="J4928" s="74"/>
      <c r="K4928" s="74">
        <v>102.4</v>
      </c>
      <c r="L4928" s="74">
        <v>92.16</v>
      </c>
      <c r="M4928" s="74"/>
      <c r="N4928" s="74" t="s">
        <v>392</v>
      </c>
      <c r="O4928" s="74" t="s">
        <v>393</v>
      </c>
      <c r="P4928" s="74"/>
      <c r="Q4928" s="74" t="s">
        <v>1375</v>
      </c>
    </row>
    <row r="4929" spans="3:17" x14ac:dyDescent="0.25">
      <c r="C4929" s="74" t="s">
        <v>1394</v>
      </c>
      <c r="D4929" s="74" t="s">
        <v>1395</v>
      </c>
      <c r="E4929" s="74" t="s">
        <v>391</v>
      </c>
      <c r="F4929" s="74">
        <v>0</v>
      </c>
      <c r="G4929" s="74"/>
      <c r="H4929" s="74"/>
      <c r="I4929" s="74" t="s">
        <v>391</v>
      </c>
      <c r="J4929" s="74"/>
      <c r="K4929" s="74"/>
      <c r="L4929" s="74"/>
      <c r="M4929" s="74"/>
      <c r="N4929" s="74" t="s">
        <v>397</v>
      </c>
      <c r="O4929" s="74" t="s">
        <v>393</v>
      </c>
      <c r="P4929" s="74" t="s">
        <v>1396</v>
      </c>
      <c r="Q4929" s="74" t="s">
        <v>1397</v>
      </c>
    </row>
    <row r="4930" spans="3:17" x14ac:dyDescent="0.25">
      <c r="C4930" s="74" t="s">
        <v>1405</v>
      </c>
      <c r="D4930" s="74" t="s">
        <v>1406</v>
      </c>
      <c r="E4930" s="74" t="s">
        <v>391</v>
      </c>
      <c r="F4930" s="74">
        <v>0</v>
      </c>
      <c r="G4930" s="74"/>
      <c r="H4930" s="74"/>
      <c r="I4930" s="74" t="s">
        <v>391</v>
      </c>
      <c r="J4930" s="74"/>
      <c r="K4930" s="74"/>
      <c r="L4930" s="74"/>
      <c r="M4930" s="74"/>
      <c r="N4930" s="74" t="s">
        <v>397</v>
      </c>
      <c r="O4930" s="74" t="s">
        <v>393</v>
      </c>
      <c r="P4930" s="74"/>
      <c r="Q4930" s="74" t="s">
        <v>1407</v>
      </c>
    </row>
    <row r="4931" spans="3:17" x14ac:dyDescent="0.25">
      <c r="C4931" s="74" t="s">
        <v>1408</v>
      </c>
      <c r="D4931" s="74" t="s">
        <v>1409</v>
      </c>
      <c r="E4931" s="74" t="s">
        <v>391</v>
      </c>
      <c r="F4931" s="74">
        <v>0</v>
      </c>
      <c r="G4931" s="74"/>
      <c r="H4931" s="74"/>
      <c r="I4931" s="74" t="s">
        <v>391</v>
      </c>
      <c r="J4931" s="74"/>
      <c r="K4931" s="74"/>
      <c r="L4931" s="74"/>
      <c r="M4931" s="74"/>
      <c r="N4931" s="74" t="s">
        <v>397</v>
      </c>
      <c r="O4931" s="74" t="s">
        <v>393</v>
      </c>
      <c r="P4931" s="74"/>
      <c r="Q4931" s="74" t="s">
        <v>1410</v>
      </c>
    </row>
    <row r="4932" spans="3:17" x14ac:dyDescent="0.25">
      <c r="C4932" s="74" t="s">
        <v>1435</v>
      </c>
      <c r="D4932" s="74" t="s">
        <v>1436</v>
      </c>
      <c r="E4932" s="74" t="s">
        <v>391</v>
      </c>
      <c r="F4932" s="74">
        <v>0</v>
      </c>
      <c r="G4932" s="74"/>
      <c r="H4932" s="74"/>
      <c r="I4932" s="74" t="s">
        <v>391</v>
      </c>
      <c r="J4932" s="74"/>
      <c r="K4932" s="74"/>
      <c r="L4932" s="74"/>
      <c r="M4932" s="74"/>
      <c r="N4932" s="74" t="s">
        <v>397</v>
      </c>
      <c r="O4932" s="74" t="s">
        <v>393</v>
      </c>
      <c r="P4932" s="74"/>
      <c r="Q4932" s="74" t="s">
        <v>1437</v>
      </c>
    </row>
    <row r="4933" spans="3:17" x14ac:dyDescent="0.25">
      <c r="C4933" s="74" t="s">
        <v>1453</v>
      </c>
      <c r="D4933" s="74" t="s">
        <v>1454</v>
      </c>
      <c r="E4933" s="74" t="s">
        <v>391</v>
      </c>
      <c r="F4933" s="74">
        <v>0</v>
      </c>
      <c r="G4933" s="74"/>
      <c r="H4933" s="74"/>
      <c r="I4933" s="74" t="s">
        <v>391</v>
      </c>
      <c r="J4933" s="74"/>
      <c r="K4933" s="74"/>
      <c r="L4933" s="74"/>
      <c r="M4933" s="74"/>
      <c r="N4933" s="74" t="s">
        <v>397</v>
      </c>
      <c r="O4933" s="74" t="s">
        <v>393</v>
      </c>
      <c r="P4933" s="74" t="s">
        <v>1455</v>
      </c>
      <c r="Q4933" s="74" t="s">
        <v>1456</v>
      </c>
    </row>
    <row r="4934" spans="3:17" x14ac:dyDescent="0.25">
      <c r="C4934" s="74" t="s">
        <v>1464</v>
      </c>
      <c r="D4934" s="74" t="s">
        <v>1465</v>
      </c>
      <c r="E4934" s="74" t="s">
        <v>391</v>
      </c>
      <c r="F4934" s="74">
        <v>0</v>
      </c>
      <c r="G4934" s="74"/>
      <c r="H4934" s="74"/>
      <c r="I4934" s="74" t="s">
        <v>391</v>
      </c>
      <c r="J4934" s="74"/>
      <c r="K4934" s="74"/>
      <c r="L4934" s="74"/>
      <c r="M4934" s="74"/>
      <c r="N4934" s="74" t="s">
        <v>397</v>
      </c>
      <c r="O4934" s="74" t="s">
        <v>393</v>
      </c>
      <c r="P4934" s="74"/>
      <c r="Q4934" s="74" t="s">
        <v>1466</v>
      </c>
    </row>
    <row r="4935" spans="3:17" x14ac:dyDescent="0.25">
      <c r="C4935" s="74" t="s">
        <v>1478</v>
      </c>
      <c r="D4935" s="74" t="s">
        <v>1479</v>
      </c>
      <c r="E4935" s="74" t="s">
        <v>391</v>
      </c>
      <c r="F4935" s="74">
        <v>0</v>
      </c>
      <c r="G4935" s="74"/>
      <c r="H4935" s="74"/>
      <c r="I4935" s="74" t="s">
        <v>391</v>
      </c>
      <c r="J4935" s="74"/>
      <c r="K4935" s="74"/>
      <c r="L4935" s="74"/>
      <c r="M4935" s="74"/>
      <c r="N4935" s="74" t="s">
        <v>397</v>
      </c>
      <c r="O4935" s="74" t="s">
        <v>393</v>
      </c>
      <c r="P4935" s="74" t="s">
        <v>1480</v>
      </c>
      <c r="Q4935" s="74" t="s">
        <v>1481</v>
      </c>
    </row>
    <row r="4936" spans="3:17" x14ac:dyDescent="0.25">
      <c r="C4936" s="74" t="s">
        <v>1482</v>
      </c>
      <c r="D4936" s="74" t="s">
        <v>1483</v>
      </c>
      <c r="E4936" s="74" t="s">
        <v>391</v>
      </c>
      <c r="F4936" s="74">
        <v>0</v>
      </c>
      <c r="G4936" s="74"/>
      <c r="H4936" s="74"/>
      <c r="I4936" s="74" t="s">
        <v>391</v>
      </c>
      <c r="J4936" s="74"/>
      <c r="K4936" s="74"/>
      <c r="L4936" s="74"/>
      <c r="M4936" s="74"/>
      <c r="N4936" s="74" t="s">
        <v>397</v>
      </c>
      <c r="O4936" s="74" t="s">
        <v>393</v>
      </c>
      <c r="P4936" s="74" t="s">
        <v>1484</v>
      </c>
      <c r="Q4936" s="74" t="s">
        <v>1485</v>
      </c>
    </row>
    <row r="4937" spans="3:17" x14ac:dyDescent="0.25">
      <c r="C4937" s="74" t="s">
        <v>1486</v>
      </c>
      <c r="D4937" s="74" t="s">
        <v>1487</v>
      </c>
      <c r="E4937" s="74" t="s">
        <v>391</v>
      </c>
      <c r="F4937" s="74">
        <v>0</v>
      </c>
      <c r="G4937" s="74"/>
      <c r="H4937" s="74"/>
      <c r="I4937" s="74" t="s">
        <v>391</v>
      </c>
      <c r="J4937" s="74"/>
      <c r="K4937" s="74"/>
      <c r="L4937" s="74"/>
      <c r="M4937" s="74"/>
      <c r="N4937" s="74" t="s">
        <v>397</v>
      </c>
      <c r="O4937" s="74" t="s">
        <v>393</v>
      </c>
      <c r="P4937" s="74" t="s">
        <v>1488</v>
      </c>
      <c r="Q4937" s="74" t="s">
        <v>1489</v>
      </c>
    </row>
    <row r="4938" spans="3:17" x14ac:dyDescent="0.25">
      <c r="C4938" s="74" t="s">
        <v>1497</v>
      </c>
      <c r="D4938" s="74" t="s">
        <v>1498</v>
      </c>
      <c r="E4938" s="74" t="s">
        <v>391</v>
      </c>
      <c r="F4938" s="74">
        <v>0</v>
      </c>
      <c r="G4938" s="74"/>
      <c r="H4938" s="74"/>
      <c r="I4938" s="74" t="s">
        <v>391</v>
      </c>
      <c r="J4938" s="74"/>
      <c r="K4938" s="74"/>
      <c r="L4938" s="74"/>
      <c r="M4938" s="74"/>
      <c r="N4938" s="74" t="s">
        <v>397</v>
      </c>
      <c r="O4938" s="74" t="s">
        <v>393</v>
      </c>
      <c r="P4938" s="74" t="s">
        <v>1499</v>
      </c>
      <c r="Q4938" s="74" t="s">
        <v>1500</v>
      </c>
    </row>
    <row r="4939" spans="3:17" x14ac:dyDescent="0.25">
      <c r="C4939" s="74" t="s">
        <v>1507</v>
      </c>
      <c r="D4939" s="74" t="s">
        <v>1508</v>
      </c>
      <c r="E4939" s="74" t="s">
        <v>391</v>
      </c>
      <c r="F4939" s="74">
        <v>0</v>
      </c>
      <c r="G4939" s="74"/>
      <c r="H4939" s="74"/>
      <c r="I4939" s="74" t="s">
        <v>391</v>
      </c>
      <c r="J4939" s="74"/>
      <c r="K4939" s="74"/>
      <c r="L4939" s="74"/>
      <c r="M4939" s="74"/>
      <c r="N4939" s="74" t="s">
        <v>397</v>
      </c>
      <c r="O4939" s="74" t="s">
        <v>393</v>
      </c>
      <c r="P4939" s="74" t="s">
        <v>1509</v>
      </c>
      <c r="Q4939" s="74" t="s">
        <v>1510</v>
      </c>
    </row>
    <row r="4940" spans="3:17" x14ac:dyDescent="0.25">
      <c r="C4940" s="74" t="s">
        <v>1544</v>
      </c>
      <c r="D4940" s="74" t="s">
        <v>1545</v>
      </c>
      <c r="E4940" s="74" t="s">
        <v>391</v>
      </c>
      <c r="F4940" s="74">
        <v>0</v>
      </c>
      <c r="G4940" s="74"/>
      <c r="H4940" s="74"/>
      <c r="I4940" s="74" t="s">
        <v>391</v>
      </c>
      <c r="J4940" s="74"/>
      <c r="K4940" s="74"/>
      <c r="L4940" s="74"/>
      <c r="M4940" s="74"/>
      <c r="N4940" s="74" t="s">
        <v>397</v>
      </c>
      <c r="O4940" s="74" t="s">
        <v>393</v>
      </c>
      <c r="P4940" s="74"/>
      <c r="Q4940" s="74" t="s">
        <v>1546</v>
      </c>
    </row>
    <row r="4941" spans="3:17" x14ac:dyDescent="0.25">
      <c r="C4941" s="74" t="s">
        <v>1566</v>
      </c>
      <c r="D4941" s="74" t="s">
        <v>1567</v>
      </c>
      <c r="E4941" s="74" t="s">
        <v>391</v>
      </c>
      <c r="F4941" s="74">
        <v>0</v>
      </c>
      <c r="G4941" s="74"/>
      <c r="H4941" s="74"/>
      <c r="I4941" s="74" t="s">
        <v>391</v>
      </c>
      <c r="J4941" s="74"/>
      <c r="K4941" s="74">
        <v>102.4</v>
      </c>
      <c r="L4941" s="74">
        <v>92.16</v>
      </c>
      <c r="M4941" s="74"/>
      <c r="N4941" s="74" t="s">
        <v>392</v>
      </c>
      <c r="O4941" s="74" t="s">
        <v>393</v>
      </c>
      <c r="P4941" s="74"/>
      <c r="Q4941" s="74" t="s">
        <v>1568</v>
      </c>
    </row>
    <row r="4942" spans="3:17" x14ac:dyDescent="0.25">
      <c r="C4942" s="74" t="s">
        <v>1569</v>
      </c>
      <c r="D4942" s="74" t="s">
        <v>1570</v>
      </c>
      <c r="E4942" s="74" t="s">
        <v>391</v>
      </c>
      <c r="F4942" s="74">
        <v>0</v>
      </c>
      <c r="G4942" s="74"/>
      <c r="H4942" s="74"/>
      <c r="I4942" s="74" t="s">
        <v>391</v>
      </c>
      <c r="J4942" s="74"/>
      <c r="K4942" s="74"/>
      <c r="L4942" s="74"/>
      <c r="M4942" s="74"/>
      <c r="N4942" s="74" t="s">
        <v>397</v>
      </c>
      <c r="O4942" s="74" t="s">
        <v>393</v>
      </c>
      <c r="P4942" s="74" t="s">
        <v>1571</v>
      </c>
      <c r="Q4942" s="74" t="s">
        <v>1572</v>
      </c>
    </row>
    <row r="4943" spans="3:17" x14ac:dyDescent="0.25">
      <c r="C4943" s="74" t="s">
        <v>1581</v>
      </c>
      <c r="D4943" s="74" t="s">
        <v>1582</v>
      </c>
      <c r="E4943" s="74"/>
      <c r="F4943" s="74">
        <v>0</v>
      </c>
      <c r="G4943" s="74"/>
      <c r="H4943" s="74"/>
      <c r="I4943" s="74" t="s">
        <v>391</v>
      </c>
      <c r="J4943" s="74"/>
      <c r="K4943" s="74">
        <v>102.4</v>
      </c>
      <c r="L4943" s="74">
        <v>92.16</v>
      </c>
      <c r="M4943" s="74"/>
      <c r="N4943" s="74" t="s">
        <v>392</v>
      </c>
      <c r="O4943" s="74" t="s">
        <v>402</v>
      </c>
      <c r="P4943" s="74"/>
      <c r="Q4943" s="74" t="s">
        <v>1583</v>
      </c>
    </row>
    <row r="4944" spans="3:17" x14ac:dyDescent="0.25">
      <c r="C4944" s="74" t="s">
        <v>1602</v>
      </c>
      <c r="D4944" s="74" t="s">
        <v>1603</v>
      </c>
      <c r="E4944" s="74" t="s">
        <v>391</v>
      </c>
      <c r="F4944" s="74">
        <v>0</v>
      </c>
      <c r="G4944" s="74"/>
      <c r="H4944" s="74"/>
      <c r="I4944" s="74" t="s">
        <v>391</v>
      </c>
      <c r="J4944" s="74"/>
      <c r="K4944" s="74"/>
      <c r="L4944" s="74"/>
      <c r="M4944" s="74"/>
      <c r="N4944" s="74" t="s">
        <v>397</v>
      </c>
      <c r="O4944" s="74" t="s">
        <v>393</v>
      </c>
      <c r="P4944" s="74" t="s">
        <v>1604</v>
      </c>
      <c r="Q4944" s="74" t="s">
        <v>1605</v>
      </c>
    </row>
    <row r="4945" spans="3:17" x14ac:dyDescent="0.25">
      <c r="C4945" s="74" t="s">
        <v>1612</v>
      </c>
      <c r="D4945" s="74" t="s">
        <v>1613</v>
      </c>
      <c r="E4945" s="74" t="s">
        <v>391</v>
      </c>
      <c r="F4945" s="74">
        <v>0</v>
      </c>
      <c r="G4945" s="74"/>
      <c r="H4945" s="74"/>
      <c r="I4945" s="74" t="s">
        <v>391</v>
      </c>
      <c r="J4945" s="74"/>
      <c r="K4945" s="74"/>
      <c r="L4945" s="74"/>
      <c r="M4945" s="74"/>
      <c r="N4945" s="74" t="s">
        <v>397</v>
      </c>
      <c r="O4945" s="74" t="s">
        <v>393</v>
      </c>
      <c r="P4945" s="74" t="s">
        <v>1614</v>
      </c>
      <c r="Q4945" s="74" t="s">
        <v>1615</v>
      </c>
    </row>
    <row r="4946" spans="3:17" x14ac:dyDescent="0.25">
      <c r="C4946" s="74" t="s">
        <v>1616</v>
      </c>
      <c r="D4946" s="74" t="s">
        <v>1617</v>
      </c>
      <c r="E4946" s="74" t="s">
        <v>391</v>
      </c>
      <c r="F4946" s="74">
        <v>0</v>
      </c>
      <c r="G4946" s="74"/>
      <c r="H4946" s="74"/>
      <c r="I4946" s="74" t="s">
        <v>391</v>
      </c>
      <c r="J4946" s="74"/>
      <c r="K4946" s="74"/>
      <c r="L4946" s="74"/>
      <c r="M4946" s="74"/>
      <c r="N4946" s="74" t="s">
        <v>397</v>
      </c>
      <c r="O4946" s="74" t="s">
        <v>393</v>
      </c>
      <c r="P4946" s="74" t="s">
        <v>1618</v>
      </c>
      <c r="Q4946" s="74" t="s">
        <v>1619</v>
      </c>
    </row>
    <row r="4947" spans="3:17" x14ac:dyDescent="0.25">
      <c r="C4947" s="74" t="s">
        <v>1640</v>
      </c>
      <c r="D4947" s="74" t="s">
        <v>1641</v>
      </c>
      <c r="E4947" s="74" t="s">
        <v>391</v>
      </c>
      <c r="F4947" s="74">
        <v>0</v>
      </c>
      <c r="G4947" s="74"/>
      <c r="H4947" s="74"/>
      <c r="I4947" s="74" t="s">
        <v>391</v>
      </c>
      <c r="J4947" s="74"/>
      <c r="K4947" s="74"/>
      <c r="L4947" s="74"/>
      <c r="M4947" s="74"/>
      <c r="N4947" s="74" t="s">
        <v>397</v>
      </c>
      <c r="O4947" s="74" t="s">
        <v>393</v>
      </c>
      <c r="P4947" s="74" t="s">
        <v>1642</v>
      </c>
      <c r="Q4947" s="74" t="s">
        <v>1643</v>
      </c>
    </row>
    <row r="4948" spans="3:17" x14ac:dyDescent="0.25">
      <c r="C4948" s="74" t="s">
        <v>1668</v>
      </c>
      <c r="D4948" s="74" t="s">
        <v>1669</v>
      </c>
      <c r="E4948" s="74" t="s">
        <v>391</v>
      </c>
      <c r="F4948" s="74">
        <v>0</v>
      </c>
      <c r="G4948" s="74"/>
      <c r="H4948" s="74"/>
      <c r="I4948" s="74" t="s">
        <v>391</v>
      </c>
      <c r="J4948" s="74"/>
      <c r="K4948" s="74"/>
      <c r="L4948" s="74"/>
      <c r="M4948" s="74"/>
      <c r="N4948" s="74" t="s">
        <v>397</v>
      </c>
      <c r="O4948" s="74" t="s">
        <v>393</v>
      </c>
      <c r="P4948" s="74"/>
      <c r="Q4948" s="74" t="s">
        <v>1670</v>
      </c>
    </row>
    <row r="4949" spans="3:17" x14ac:dyDescent="0.25">
      <c r="C4949" s="74" t="s">
        <v>1710</v>
      </c>
      <c r="D4949" s="74" t="s">
        <v>1711</v>
      </c>
      <c r="E4949" s="74" t="s">
        <v>391</v>
      </c>
      <c r="F4949" s="74">
        <v>0</v>
      </c>
      <c r="G4949" s="74"/>
      <c r="H4949" s="74"/>
      <c r="I4949" s="74" t="s">
        <v>391</v>
      </c>
      <c r="J4949" s="74"/>
      <c r="K4949" s="74"/>
      <c r="L4949" s="74"/>
      <c r="M4949" s="74"/>
      <c r="N4949" s="74" t="s">
        <v>397</v>
      </c>
      <c r="O4949" s="74" t="s">
        <v>393</v>
      </c>
      <c r="P4949" s="74" t="s">
        <v>1712</v>
      </c>
      <c r="Q4949" s="74" t="s">
        <v>1713</v>
      </c>
    </row>
    <row r="4950" spans="3:17" x14ac:dyDescent="0.25">
      <c r="C4950" s="74" t="s">
        <v>1743</v>
      </c>
      <c r="D4950" s="74" t="s">
        <v>1744</v>
      </c>
      <c r="E4950" s="74"/>
      <c r="F4950" s="74">
        <v>0</v>
      </c>
      <c r="G4950" s="74"/>
      <c r="H4950" s="74"/>
      <c r="I4950" s="74" t="s">
        <v>391</v>
      </c>
      <c r="J4950" s="74"/>
      <c r="K4950" s="74">
        <v>102.4</v>
      </c>
      <c r="L4950" s="74">
        <v>92.16</v>
      </c>
      <c r="M4950" s="74"/>
      <c r="N4950" s="74" t="s">
        <v>392</v>
      </c>
      <c r="O4950" s="74" t="s">
        <v>1745</v>
      </c>
      <c r="P4950" s="74"/>
      <c r="Q4950" s="74" t="s">
        <v>1746</v>
      </c>
    </row>
    <row r="4951" spans="3:17" x14ac:dyDescent="0.25">
      <c r="C4951" s="74" t="s">
        <v>1747</v>
      </c>
      <c r="D4951" s="74" t="s">
        <v>1748</v>
      </c>
      <c r="E4951" s="74"/>
      <c r="F4951" s="74">
        <v>0</v>
      </c>
      <c r="G4951" s="74"/>
      <c r="H4951" s="74"/>
      <c r="I4951" s="74" t="s">
        <v>391</v>
      </c>
      <c r="J4951" s="74"/>
      <c r="K4951" s="74"/>
      <c r="L4951" s="74"/>
      <c r="M4951" s="74"/>
      <c r="N4951" s="74" t="s">
        <v>397</v>
      </c>
      <c r="O4951" s="74" t="s">
        <v>1745</v>
      </c>
      <c r="P4951" s="74"/>
      <c r="Q4951" s="74" t="s">
        <v>1749</v>
      </c>
    </row>
    <row r="4952" spans="3:17" x14ac:dyDescent="0.25">
      <c r="C4952" s="74" t="s">
        <v>1750</v>
      </c>
      <c r="D4952" s="74" t="s">
        <v>1751</v>
      </c>
      <c r="E4952" s="74" t="s">
        <v>391</v>
      </c>
      <c r="F4952" s="74">
        <v>0</v>
      </c>
      <c r="G4952" s="74"/>
      <c r="H4952" s="74"/>
      <c r="I4952" s="74" t="s">
        <v>391</v>
      </c>
      <c r="J4952" s="74"/>
      <c r="K4952" s="74"/>
      <c r="L4952" s="74"/>
      <c r="M4952" s="74"/>
      <c r="N4952" s="74" t="s">
        <v>397</v>
      </c>
      <c r="O4952" s="74" t="s">
        <v>393</v>
      </c>
      <c r="P4952" s="74"/>
      <c r="Q4952" s="74" t="s">
        <v>1752</v>
      </c>
    </row>
    <row r="4953" spans="3:17" x14ac:dyDescent="0.25">
      <c r="C4953" s="74" t="s">
        <v>1788</v>
      </c>
      <c r="D4953" s="74" t="s">
        <v>1789</v>
      </c>
      <c r="E4953" s="74" t="s">
        <v>391</v>
      </c>
      <c r="F4953" s="74">
        <v>0</v>
      </c>
      <c r="G4953" s="74"/>
      <c r="H4953" s="74"/>
      <c r="I4953" s="74" t="s">
        <v>391</v>
      </c>
      <c r="J4953" s="74"/>
      <c r="K4953" s="74"/>
      <c r="L4953" s="74"/>
      <c r="M4953" s="74"/>
      <c r="N4953" s="74" t="s">
        <v>397</v>
      </c>
      <c r="O4953" s="74" t="s">
        <v>393</v>
      </c>
      <c r="P4953" s="74" t="s">
        <v>1790</v>
      </c>
      <c r="Q4953" s="74" t="s">
        <v>1791</v>
      </c>
    </row>
    <row r="4954" spans="3:17" x14ac:dyDescent="0.25">
      <c r="C4954" s="74" t="s">
        <v>1798</v>
      </c>
      <c r="D4954" s="74" t="s">
        <v>1799</v>
      </c>
      <c r="E4954" s="74" t="s">
        <v>391</v>
      </c>
      <c r="F4954" s="74">
        <v>0</v>
      </c>
      <c r="G4954" s="74"/>
      <c r="H4954" s="74"/>
      <c r="I4954" s="74" t="s">
        <v>391</v>
      </c>
      <c r="J4954" s="74"/>
      <c r="K4954" s="74"/>
      <c r="L4954" s="74"/>
      <c r="M4954" s="74"/>
      <c r="N4954" s="74" t="s">
        <v>397</v>
      </c>
      <c r="O4954" s="74" t="s">
        <v>393</v>
      </c>
      <c r="P4954" s="74" t="s">
        <v>1800</v>
      </c>
      <c r="Q4954" s="74" t="s">
        <v>1801</v>
      </c>
    </row>
    <row r="4955" spans="3:17" x14ac:dyDescent="0.25">
      <c r="C4955" s="74" t="s">
        <v>1806</v>
      </c>
      <c r="D4955" s="74" t="s">
        <v>1807</v>
      </c>
      <c r="E4955" s="74" t="s">
        <v>391</v>
      </c>
      <c r="F4955" s="74">
        <v>0</v>
      </c>
      <c r="G4955" s="74"/>
      <c r="H4955" s="74"/>
      <c r="I4955" s="74" t="s">
        <v>391</v>
      </c>
      <c r="J4955" s="74"/>
      <c r="K4955" s="74">
        <v>102.4</v>
      </c>
      <c r="L4955" s="74">
        <v>92.16</v>
      </c>
      <c r="M4955" s="74"/>
      <c r="N4955" s="74" t="s">
        <v>392</v>
      </c>
      <c r="O4955" s="74" t="s">
        <v>393</v>
      </c>
      <c r="P4955" s="74"/>
      <c r="Q4955" s="74" t="s">
        <v>1808</v>
      </c>
    </row>
    <row r="4956" spans="3:17" x14ac:dyDescent="0.25">
      <c r="C4956" s="74" t="s">
        <v>1809</v>
      </c>
      <c r="D4956" s="74" t="s">
        <v>1810</v>
      </c>
      <c r="E4956" s="74" t="s">
        <v>391</v>
      </c>
      <c r="F4956" s="74">
        <v>0</v>
      </c>
      <c r="G4956" s="74"/>
      <c r="H4956" s="74"/>
      <c r="I4956" s="74" t="s">
        <v>391</v>
      </c>
      <c r="J4956" s="74"/>
      <c r="K4956" s="74"/>
      <c r="L4956" s="74"/>
      <c r="M4956" s="74"/>
      <c r="N4956" s="74" t="s">
        <v>397</v>
      </c>
      <c r="O4956" s="74" t="s">
        <v>393</v>
      </c>
      <c r="P4956" s="74" t="s">
        <v>1811</v>
      </c>
      <c r="Q4956" s="74" t="s">
        <v>1812</v>
      </c>
    </row>
    <row r="4957" spans="3:17" x14ac:dyDescent="0.25">
      <c r="C4957" s="74" t="s">
        <v>1836</v>
      </c>
      <c r="D4957" s="74" t="s">
        <v>1837</v>
      </c>
      <c r="E4957" s="74" t="s">
        <v>391</v>
      </c>
      <c r="F4957" s="74">
        <v>0</v>
      </c>
      <c r="G4957" s="74"/>
      <c r="H4957" s="74"/>
      <c r="I4957" s="74" t="s">
        <v>391</v>
      </c>
      <c r="J4957" s="74"/>
      <c r="K4957" s="74"/>
      <c r="L4957" s="74"/>
      <c r="M4957" s="74"/>
      <c r="N4957" s="74" t="s">
        <v>397</v>
      </c>
      <c r="O4957" s="74" t="s">
        <v>393</v>
      </c>
      <c r="P4957" s="74"/>
      <c r="Q4957" s="74" t="s">
        <v>1838</v>
      </c>
    </row>
    <row r="4958" spans="3:17" x14ac:dyDescent="0.25">
      <c r="C4958" s="74" t="s">
        <v>1874</v>
      </c>
      <c r="D4958" s="74" t="s">
        <v>1875</v>
      </c>
      <c r="E4958" s="74" t="s">
        <v>391</v>
      </c>
      <c r="F4958" s="74">
        <v>0</v>
      </c>
      <c r="G4958" s="74"/>
      <c r="H4958" s="74"/>
      <c r="I4958" s="74" t="s">
        <v>391</v>
      </c>
      <c r="J4958" s="74"/>
      <c r="K4958" s="74">
        <v>102.4</v>
      </c>
      <c r="L4958" s="74">
        <v>92.16</v>
      </c>
      <c r="M4958" s="74"/>
      <c r="N4958" s="74" t="s">
        <v>392</v>
      </c>
      <c r="O4958" s="74" t="s">
        <v>393</v>
      </c>
      <c r="P4958" s="74"/>
      <c r="Q4958" s="74" t="s">
        <v>1876</v>
      </c>
    </row>
    <row r="4959" spans="3:17" x14ac:dyDescent="0.25">
      <c r="C4959" s="74" t="s">
        <v>1885</v>
      </c>
      <c r="D4959" s="74" t="s">
        <v>1886</v>
      </c>
      <c r="E4959" s="74"/>
      <c r="F4959" s="74">
        <v>0</v>
      </c>
      <c r="G4959" s="74"/>
      <c r="H4959" s="74"/>
      <c r="I4959" s="74" t="s">
        <v>391</v>
      </c>
      <c r="J4959" s="74"/>
      <c r="K4959" s="74">
        <v>102.4</v>
      </c>
      <c r="L4959" s="74">
        <v>92.16</v>
      </c>
      <c r="M4959" s="74"/>
      <c r="N4959" s="74" t="s">
        <v>392</v>
      </c>
      <c r="O4959" s="74" t="s">
        <v>402</v>
      </c>
      <c r="P4959" s="74"/>
      <c r="Q4959" s="74" t="s">
        <v>1887</v>
      </c>
    </row>
    <row r="4960" spans="3:17" x14ac:dyDescent="0.25">
      <c r="C4960" s="74" t="s">
        <v>1954</v>
      </c>
      <c r="D4960" s="74" t="s">
        <v>1955</v>
      </c>
      <c r="E4960" s="74" t="s">
        <v>391</v>
      </c>
      <c r="F4960" s="74">
        <v>0</v>
      </c>
      <c r="G4960" s="74"/>
      <c r="H4960" s="74"/>
      <c r="I4960" s="74" t="s">
        <v>391</v>
      </c>
      <c r="J4960" s="74"/>
      <c r="K4960" s="74"/>
      <c r="L4960" s="74"/>
      <c r="M4960" s="74"/>
      <c r="N4960" s="74" t="s">
        <v>397</v>
      </c>
      <c r="O4960" s="74" t="s">
        <v>393</v>
      </c>
      <c r="P4960" s="74"/>
      <c r="Q4960" s="74" t="s">
        <v>1956</v>
      </c>
    </row>
    <row r="4961" spans="3:17" x14ac:dyDescent="0.25">
      <c r="C4961" s="74" t="s">
        <v>1970</v>
      </c>
      <c r="D4961" s="74" t="s">
        <v>1971</v>
      </c>
      <c r="E4961" s="74" t="s">
        <v>391</v>
      </c>
      <c r="F4961" s="74">
        <v>0</v>
      </c>
      <c r="G4961" s="74"/>
      <c r="H4961" s="74"/>
      <c r="I4961" s="74" t="s">
        <v>391</v>
      </c>
      <c r="J4961" s="74"/>
      <c r="K4961" s="74"/>
      <c r="L4961" s="74"/>
      <c r="M4961" s="74"/>
      <c r="N4961" s="74" t="s">
        <v>397</v>
      </c>
      <c r="O4961" s="74" t="s">
        <v>393</v>
      </c>
      <c r="P4961" s="74" t="s">
        <v>1972</v>
      </c>
      <c r="Q4961" s="74" t="s">
        <v>1973</v>
      </c>
    </row>
    <row r="4962" spans="3:17" x14ac:dyDescent="0.25">
      <c r="C4962" s="74" t="s">
        <v>1978</v>
      </c>
      <c r="D4962" s="74" t="s">
        <v>1810</v>
      </c>
      <c r="E4962" s="74" t="s">
        <v>391</v>
      </c>
      <c r="F4962" s="74">
        <v>0</v>
      </c>
      <c r="G4962" s="74"/>
      <c r="H4962" s="74"/>
      <c r="I4962" s="74" t="s">
        <v>391</v>
      </c>
      <c r="J4962" s="74"/>
      <c r="K4962" s="74"/>
      <c r="L4962" s="74"/>
      <c r="M4962" s="74"/>
      <c r="N4962" s="74" t="s">
        <v>397</v>
      </c>
      <c r="O4962" s="74" t="s">
        <v>393</v>
      </c>
      <c r="P4962" s="74" t="s">
        <v>1979</v>
      </c>
      <c r="Q4962" s="74" t="s">
        <v>1980</v>
      </c>
    </row>
    <row r="4963" spans="3:17" x14ac:dyDescent="0.25">
      <c r="C4963" s="74" t="s">
        <v>1987</v>
      </c>
      <c r="D4963" s="74" t="s">
        <v>1803</v>
      </c>
      <c r="E4963" s="74" t="s">
        <v>391</v>
      </c>
      <c r="F4963" s="74">
        <v>0</v>
      </c>
      <c r="G4963" s="74"/>
      <c r="H4963" s="74"/>
      <c r="I4963" s="74" t="s">
        <v>391</v>
      </c>
      <c r="J4963" s="74"/>
      <c r="K4963" s="74"/>
      <c r="L4963" s="74"/>
      <c r="M4963" s="74"/>
      <c r="N4963" s="74" t="s">
        <v>397</v>
      </c>
      <c r="O4963" s="74" t="s">
        <v>393</v>
      </c>
      <c r="P4963" s="74" t="s">
        <v>1988</v>
      </c>
      <c r="Q4963" s="74" t="s">
        <v>1989</v>
      </c>
    </row>
    <row r="4964" spans="3:17" x14ac:dyDescent="0.25">
      <c r="C4964" s="74" t="s">
        <v>2021</v>
      </c>
      <c r="D4964" s="74" t="s">
        <v>1818</v>
      </c>
      <c r="E4964" s="74" t="s">
        <v>391</v>
      </c>
      <c r="F4964" s="74">
        <v>0</v>
      </c>
      <c r="G4964" s="74"/>
      <c r="H4964" s="74"/>
      <c r="I4964" s="74" t="s">
        <v>391</v>
      </c>
      <c r="J4964" s="74"/>
      <c r="K4964" s="74"/>
      <c r="L4964" s="74"/>
      <c r="M4964" s="74"/>
      <c r="N4964" s="74" t="s">
        <v>397</v>
      </c>
      <c r="O4964" s="74" t="s">
        <v>393</v>
      </c>
      <c r="P4964" s="74"/>
      <c r="Q4964" s="74" t="s">
        <v>2022</v>
      </c>
    </row>
    <row r="4965" spans="3:17" x14ac:dyDescent="0.25">
      <c r="C4965" s="74" t="s">
        <v>2023</v>
      </c>
      <c r="D4965" s="74" t="s">
        <v>2024</v>
      </c>
      <c r="E4965" s="74" t="s">
        <v>391</v>
      </c>
      <c r="F4965" s="74">
        <v>0</v>
      </c>
      <c r="G4965" s="74"/>
      <c r="H4965" s="74"/>
      <c r="I4965" s="74" t="s">
        <v>391</v>
      </c>
      <c r="J4965" s="74"/>
      <c r="K4965" s="74">
        <v>102.4</v>
      </c>
      <c r="L4965" s="74">
        <v>92.16</v>
      </c>
      <c r="M4965" s="74"/>
      <c r="N4965" s="74" t="s">
        <v>392</v>
      </c>
      <c r="O4965" s="74" t="s">
        <v>393</v>
      </c>
      <c r="P4965" s="74"/>
      <c r="Q4965" s="74" t="s">
        <v>2025</v>
      </c>
    </row>
    <row r="4966" spans="3:17" x14ac:dyDescent="0.25">
      <c r="C4966" s="74" t="s">
        <v>2039</v>
      </c>
      <c r="D4966" s="74" t="s">
        <v>2040</v>
      </c>
      <c r="E4966" s="74"/>
      <c r="F4966" s="74">
        <v>0</v>
      </c>
      <c r="G4966" s="74"/>
      <c r="H4966" s="74"/>
      <c r="I4966" s="74" t="s">
        <v>391</v>
      </c>
      <c r="J4966" s="74"/>
      <c r="K4966" s="74">
        <v>102.4</v>
      </c>
      <c r="L4966" s="74">
        <v>92.16</v>
      </c>
      <c r="M4966" s="74"/>
      <c r="N4966" s="74" t="s">
        <v>392</v>
      </c>
      <c r="O4966" s="74" t="s">
        <v>402</v>
      </c>
      <c r="P4966" s="74"/>
      <c r="Q4966" s="74" t="s">
        <v>2041</v>
      </c>
    </row>
    <row r="4967" spans="3:17" x14ac:dyDescent="0.25">
      <c r="C4967" s="74" t="s">
        <v>2075</v>
      </c>
      <c r="D4967" s="74" t="s">
        <v>2076</v>
      </c>
      <c r="E4967" s="74" t="s">
        <v>391</v>
      </c>
      <c r="F4967" s="74">
        <v>0</v>
      </c>
      <c r="G4967" s="74"/>
      <c r="H4967" s="74"/>
      <c r="I4967" s="74" t="s">
        <v>391</v>
      </c>
      <c r="J4967" s="74"/>
      <c r="K4967" s="74"/>
      <c r="L4967" s="74"/>
      <c r="M4967" s="74"/>
      <c r="N4967" s="74" t="s">
        <v>397</v>
      </c>
      <c r="O4967" s="74" t="s">
        <v>393</v>
      </c>
      <c r="P4967" s="74" t="s">
        <v>2077</v>
      </c>
      <c r="Q4967" s="74" t="s">
        <v>2078</v>
      </c>
    </row>
    <row r="4968" spans="3:17" x14ac:dyDescent="0.25">
      <c r="C4968" s="74" t="s">
        <v>2133</v>
      </c>
      <c r="D4968" s="74" t="s">
        <v>2134</v>
      </c>
      <c r="E4968" s="74" t="s">
        <v>391</v>
      </c>
      <c r="F4968" s="74">
        <v>0</v>
      </c>
      <c r="G4968" s="74"/>
      <c r="H4968" s="74"/>
      <c r="I4968" s="74" t="s">
        <v>391</v>
      </c>
      <c r="J4968" s="74"/>
      <c r="K4968" s="74">
        <v>102.4</v>
      </c>
      <c r="L4968" s="74">
        <v>92.16</v>
      </c>
      <c r="M4968" s="74"/>
      <c r="N4968" s="74" t="s">
        <v>392</v>
      </c>
      <c r="O4968" s="74" t="s">
        <v>393</v>
      </c>
      <c r="P4968" s="74"/>
      <c r="Q4968" s="74" t="s">
        <v>2135</v>
      </c>
    </row>
    <row r="4969" spans="3:17" x14ac:dyDescent="0.25">
      <c r="C4969" s="74" t="s">
        <v>2153</v>
      </c>
      <c r="D4969" s="74" t="s">
        <v>2154</v>
      </c>
      <c r="E4969" s="74" t="s">
        <v>391</v>
      </c>
      <c r="F4969" s="74">
        <v>0</v>
      </c>
      <c r="G4969" s="74"/>
      <c r="H4969" s="74"/>
      <c r="I4969" s="74" t="s">
        <v>391</v>
      </c>
      <c r="J4969" s="74"/>
      <c r="K4969" s="74"/>
      <c r="L4969" s="74"/>
      <c r="M4969" s="74"/>
      <c r="N4969" s="74" t="s">
        <v>397</v>
      </c>
      <c r="O4969" s="74" t="s">
        <v>402</v>
      </c>
      <c r="P4969" s="74" t="s">
        <v>2155</v>
      </c>
      <c r="Q4969" s="74" t="s">
        <v>2156</v>
      </c>
    </row>
    <row r="4970" spans="3:17" x14ac:dyDescent="0.25">
      <c r="C4970" s="74" t="s">
        <v>2160</v>
      </c>
      <c r="D4970" s="74" t="s">
        <v>2161</v>
      </c>
      <c r="E4970" s="74" t="s">
        <v>391</v>
      </c>
      <c r="F4970" s="74">
        <v>0</v>
      </c>
      <c r="G4970" s="74"/>
      <c r="H4970" s="74"/>
      <c r="I4970" s="74" t="s">
        <v>391</v>
      </c>
      <c r="J4970" s="74"/>
      <c r="K4970" s="74"/>
      <c r="L4970" s="74"/>
      <c r="M4970" s="74"/>
      <c r="N4970" s="74" t="s">
        <v>397</v>
      </c>
      <c r="O4970" s="74" t="s">
        <v>393</v>
      </c>
      <c r="P4970" s="74" t="s">
        <v>2162</v>
      </c>
      <c r="Q4970" s="74" t="s">
        <v>2163</v>
      </c>
    </row>
    <row r="4971" spans="3:17" x14ac:dyDescent="0.25">
      <c r="C4971" s="74" t="s">
        <v>2199</v>
      </c>
      <c r="D4971" s="74" t="s">
        <v>2200</v>
      </c>
      <c r="E4971" s="74" t="s">
        <v>391</v>
      </c>
      <c r="F4971" s="74">
        <v>0</v>
      </c>
      <c r="G4971" s="74"/>
      <c r="H4971" s="74"/>
      <c r="I4971" s="74" t="s">
        <v>391</v>
      </c>
      <c r="J4971" s="74"/>
      <c r="K4971" s="74"/>
      <c r="L4971" s="74"/>
      <c r="M4971" s="74"/>
      <c r="N4971" s="74" t="s">
        <v>397</v>
      </c>
      <c r="O4971" s="74" t="s">
        <v>393</v>
      </c>
      <c r="P4971" s="74" t="s">
        <v>2201</v>
      </c>
      <c r="Q4971" s="74" t="s">
        <v>2202</v>
      </c>
    </row>
    <row r="4972" spans="3:17" x14ac:dyDescent="0.25">
      <c r="C4972" s="74" t="s">
        <v>2203</v>
      </c>
      <c r="D4972" s="74" t="s">
        <v>2204</v>
      </c>
      <c r="E4972" s="74" t="s">
        <v>391</v>
      </c>
      <c r="F4972" s="74">
        <v>0</v>
      </c>
      <c r="G4972" s="74"/>
      <c r="H4972" s="74"/>
      <c r="I4972" s="74" t="s">
        <v>391</v>
      </c>
      <c r="J4972" s="74"/>
      <c r="K4972" s="74"/>
      <c r="L4972" s="74"/>
      <c r="M4972" s="74"/>
      <c r="N4972" s="74" t="s">
        <v>397</v>
      </c>
      <c r="O4972" s="74" t="s">
        <v>393</v>
      </c>
      <c r="P4972" s="74" t="s">
        <v>2205</v>
      </c>
      <c r="Q4972" s="74" t="s">
        <v>2206</v>
      </c>
    </row>
    <row r="4973" spans="3:17" x14ac:dyDescent="0.25">
      <c r="C4973" s="74" t="s">
        <v>2286</v>
      </c>
      <c r="D4973" s="74" t="s">
        <v>2287</v>
      </c>
      <c r="E4973" s="74" t="s">
        <v>391</v>
      </c>
      <c r="F4973" s="74">
        <v>0</v>
      </c>
      <c r="G4973" s="74"/>
      <c r="H4973" s="74"/>
      <c r="I4973" s="74" t="s">
        <v>391</v>
      </c>
      <c r="J4973" s="74"/>
      <c r="K4973" s="74"/>
      <c r="L4973" s="74"/>
      <c r="M4973" s="74"/>
      <c r="N4973" s="74" t="s">
        <v>397</v>
      </c>
      <c r="O4973" s="74" t="s">
        <v>393</v>
      </c>
      <c r="P4973" s="74" t="s">
        <v>2288</v>
      </c>
      <c r="Q4973" s="74" t="s">
        <v>2289</v>
      </c>
    </row>
    <row r="4974" spans="3:17" x14ac:dyDescent="0.25">
      <c r="C4974" s="74" t="s">
        <v>2294</v>
      </c>
      <c r="D4974" s="74" t="s">
        <v>2295</v>
      </c>
      <c r="E4974" s="74" t="s">
        <v>391</v>
      </c>
      <c r="F4974" s="74">
        <v>0</v>
      </c>
      <c r="G4974" s="74"/>
      <c r="H4974" s="74"/>
      <c r="I4974" s="74" t="s">
        <v>391</v>
      </c>
      <c r="J4974" s="74"/>
      <c r="K4974" s="74">
        <v>102.4</v>
      </c>
      <c r="L4974" s="74">
        <v>92.16</v>
      </c>
      <c r="M4974" s="74"/>
      <c r="N4974" s="74" t="s">
        <v>392</v>
      </c>
      <c r="O4974" s="74" t="s">
        <v>393</v>
      </c>
      <c r="P4974" s="74"/>
      <c r="Q4974" s="74" t="s">
        <v>2296</v>
      </c>
    </row>
    <row r="4975" spans="3:17" x14ac:dyDescent="0.25">
      <c r="C4975" s="74" t="s">
        <v>2300</v>
      </c>
      <c r="D4975" s="74" t="s">
        <v>2301</v>
      </c>
      <c r="E4975" s="74" t="s">
        <v>391</v>
      </c>
      <c r="F4975" s="74">
        <v>0</v>
      </c>
      <c r="G4975" s="74"/>
      <c r="H4975" s="74"/>
      <c r="I4975" s="74" t="s">
        <v>391</v>
      </c>
      <c r="J4975" s="74"/>
      <c r="K4975" s="74">
        <v>102.4</v>
      </c>
      <c r="L4975" s="74">
        <v>92.16</v>
      </c>
      <c r="M4975" s="74"/>
      <c r="N4975" s="74" t="s">
        <v>392</v>
      </c>
      <c r="O4975" s="74" t="s">
        <v>393</v>
      </c>
      <c r="P4975" s="74"/>
      <c r="Q4975" s="74" t="s">
        <v>2302</v>
      </c>
    </row>
    <row r="4976" spans="3:17" x14ac:dyDescent="0.25">
      <c r="C4976" s="74" t="s">
        <v>2339</v>
      </c>
      <c r="D4976" s="74" t="s">
        <v>2340</v>
      </c>
      <c r="E4976" s="74" t="s">
        <v>391</v>
      </c>
      <c r="F4976" s="74">
        <v>0</v>
      </c>
      <c r="G4976" s="74"/>
      <c r="H4976" s="74"/>
      <c r="I4976" s="74" t="s">
        <v>391</v>
      </c>
      <c r="J4976" s="74"/>
      <c r="K4976" s="74"/>
      <c r="L4976" s="74"/>
      <c r="M4976" s="74"/>
      <c r="N4976" s="74" t="s">
        <v>397</v>
      </c>
      <c r="O4976" s="74" t="s">
        <v>393</v>
      </c>
      <c r="P4976" s="74" t="s">
        <v>2341</v>
      </c>
      <c r="Q4976" s="74" t="s">
        <v>2342</v>
      </c>
    </row>
    <row r="4977" spans="3:17" x14ac:dyDescent="0.25">
      <c r="C4977" s="74" t="s">
        <v>2380</v>
      </c>
      <c r="D4977" s="74" t="s">
        <v>2381</v>
      </c>
      <c r="E4977" s="74" t="s">
        <v>391</v>
      </c>
      <c r="F4977" s="74">
        <v>0</v>
      </c>
      <c r="G4977" s="74"/>
      <c r="H4977" s="74"/>
      <c r="I4977" s="74" t="s">
        <v>391</v>
      </c>
      <c r="J4977" s="74"/>
      <c r="K4977" s="74"/>
      <c r="L4977" s="74"/>
      <c r="M4977" s="74"/>
      <c r="N4977" s="74" t="s">
        <v>397</v>
      </c>
      <c r="O4977" s="74" t="s">
        <v>393</v>
      </c>
      <c r="P4977" s="74" t="s">
        <v>2382</v>
      </c>
      <c r="Q4977" s="74" t="s">
        <v>2383</v>
      </c>
    </row>
    <row r="4978" spans="3:17" x14ac:dyDescent="0.25">
      <c r="C4978" s="74" t="s">
        <v>2403</v>
      </c>
      <c r="D4978" s="74" t="s">
        <v>2404</v>
      </c>
      <c r="E4978" s="74" t="s">
        <v>391</v>
      </c>
      <c r="F4978" s="74">
        <v>0</v>
      </c>
      <c r="G4978" s="74"/>
      <c r="H4978" s="74"/>
      <c r="I4978" s="74" t="s">
        <v>391</v>
      </c>
      <c r="J4978" s="74"/>
      <c r="K4978" s="74"/>
      <c r="L4978" s="74"/>
      <c r="M4978" s="74"/>
      <c r="N4978" s="74" t="s">
        <v>397</v>
      </c>
      <c r="O4978" s="74" t="s">
        <v>393</v>
      </c>
      <c r="P4978" s="74" t="s">
        <v>2405</v>
      </c>
      <c r="Q4978" s="74" t="s">
        <v>2406</v>
      </c>
    </row>
    <row r="4979" spans="3:17" x14ac:dyDescent="0.25">
      <c r="C4979" s="74" t="s">
        <v>2456</v>
      </c>
      <c r="D4979" s="74" t="s">
        <v>2457</v>
      </c>
      <c r="E4979" s="74" t="s">
        <v>391</v>
      </c>
      <c r="F4979" s="74">
        <v>0</v>
      </c>
      <c r="G4979" s="74"/>
      <c r="H4979" s="74"/>
      <c r="I4979" s="74" t="s">
        <v>391</v>
      </c>
      <c r="J4979" s="74"/>
      <c r="K4979" s="74"/>
      <c r="L4979" s="74"/>
      <c r="M4979" s="74"/>
      <c r="N4979" s="74" t="s">
        <v>397</v>
      </c>
      <c r="O4979" s="74" t="s">
        <v>393</v>
      </c>
      <c r="P4979" s="74" t="s">
        <v>2458</v>
      </c>
      <c r="Q4979" s="74" t="s">
        <v>2459</v>
      </c>
    </row>
    <row r="4980" spans="3:17" x14ac:dyDescent="0.25">
      <c r="C4980" s="74" t="s">
        <v>2463</v>
      </c>
      <c r="D4980" s="74" t="s">
        <v>2464</v>
      </c>
      <c r="E4980" s="74" t="s">
        <v>391</v>
      </c>
      <c r="F4980" s="74">
        <v>0</v>
      </c>
      <c r="G4980" s="74"/>
      <c r="H4980" s="74"/>
      <c r="I4980" s="74" t="s">
        <v>391</v>
      </c>
      <c r="J4980" s="74"/>
      <c r="K4980" s="74"/>
      <c r="L4980" s="74"/>
      <c r="M4980" s="74"/>
      <c r="N4980" s="74" t="s">
        <v>397</v>
      </c>
      <c r="O4980" s="74" t="s">
        <v>393</v>
      </c>
      <c r="P4980" s="74"/>
      <c r="Q4980" s="74" t="s">
        <v>2465</v>
      </c>
    </row>
    <row r="4981" spans="3:17" x14ac:dyDescent="0.25">
      <c r="C4981" s="74" t="s">
        <v>2466</v>
      </c>
      <c r="D4981" s="74" t="s">
        <v>2467</v>
      </c>
      <c r="E4981" s="74" t="s">
        <v>391</v>
      </c>
      <c r="F4981" s="74">
        <v>0</v>
      </c>
      <c r="G4981" s="74"/>
      <c r="H4981" s="74"/>
      <c r="I4981" s="74" t="s">
        <v>391</v>
      </c>
      <c r="J4981" s="74"/>
      <c r="K4981" s="74">
        <v>102.4</v>
      </c>
      <c r="L4981" s="74">
        <v>92.16</v>
      </c>
      <c r="M4981" s="74"/>
      <c r="N4981" s="74" t="s">
        <v>392</v>
      </c>
      <c r="O4981" s="74" t="s">
        <v>393</v>
      </c>
      <c r="P4981" s="74"/>
      <c r="Q4981" s="74" t="s">
        <v>2468</v>
      </c>
    </row>
    <row r="4982" spans="3:17" x14ac:dyDescent="0.25">
      <c r="C4982" s="74" t="s">
        <v>2478</v>
      </c>
      <c r="D4982" s="74" t="s">
        <v>2479</v>
      </c>
      <c r="E4982" s="74" t="s">
        <v>391</v>
      </c>
      <c r="F4982" s="74">
        <v>0</v>
      </c>
      <c r="G4982" s="74"/>
      <c r="H4982" s="74"/>
      <c r="I4982" s="74" t="s">
        <v>391</v>
      </c>
      <c r="J4982" s="74"/>
      <c r="K4982" s="74"/>
      <c r="L4982" s="74"/>
      <c r="M4982" s="74"/>
      <c r="N4982" s="74" t="s">
        <v>397</v>
      </c>
      <c r="O4982" s="74" t="s">
        <v>393</v>
      </c>
      <c r="P4982" s="74" t="s">
        <v>2480</v>
      </c>
      <c r="Q4982" s="74" t="s">
        <v>2481</v>
      </c>
    </row>
    <row r="4983" spans="3:17" x14ac:dyDescent="0.25">
      <c r="C4983" s="74" t="s">
        <v>2493</v>
      </c>
      <c r="D4983" s="74" t="s">
        <v>2494</v>
      </c>
      <c r="E4983" s="74" t="s">
        <v>391</v>
      </c>
      <c r="F4983" s="74">
        <v>0</v>
      </c>
      <c r="G4983" s="74"/>
      <c r="H4983" s="74"/>
      <c r="I4983" s="74" t="s">
        <v>391</v>
      </c>
      <c r="J4983" s="74"/>
      <c r="K4983" s="74"/>
      <c r="L4983" s="74"/>
      <c r="M4983" s="74"/>
      <c r="N4983" s="74" t="s">
        <v>397</v>
      </c>
      <c r="O4983" s="74" t="s">
        <v>393</v>
      </c>
      <c r="P4983" s="74" t="s">
        <v>2495</v>
      </c>
      <c r="Q4983" s="74" t="s">
        <v>2496</v>
      </c>
    </row>
    <row r="4984" spans="3:17" x14ac:dyDescent="0.25">
      <c r="C4984" s="74" t="s">
        <v>2497</v>
      </c>
      <c r="D4984" s="74" t="s">
        <v>1814</v>
      </c>
      <c r="E4984" s="74" t="s">
        <v>391</v>
      </c>
      <c r="F4984" s="74">
        <v>0</v>
      </c>
      <c r="G4984" s="74"/>
      <c r="H4984" s="74"/>
      <c r="I4984" s="74" t="s">
        <v>391</v>
      </c>
      <c r="J4984" s="74"/>
      <c r="K4984" s="74"/>
      <c r="L4984" s="74"/>
      <c r="M4984" s="74"/>
      <c r="N4984" s="74" t="s">
        <v>397</v>
      </c>
      <c r="O4984" s="74" t="s">
        <v>393</v>
      </c>
      <c r="P4984" s="74" t="s">
        <v>2498</v>
      </c>
      <c r="Q4984" s="74" t="s">
        <v>2499</v>
      </c>
    </row>
    <row r="4985" spans="3:17" x14ac:dyDescent="0.25">
      <c r="C4985" s="74" t="s">
        <v>2503</v>
      </c>
      <c r="D4985" s="74" t="s">
        <v>2504</v>
      </c>
      <c r="E4985" s="74"/>
      <c r="F4985" s="74">
        <v>0</v>
      </c>
      <c r="G4985" s="74"/>
      <c r="H4985" s="74"/>
      <c r="I4985" s="74" t="s">
        <v>391</v>
      </c>
      <c r="J4985" s="74"/>
      <c r="K4985" s="74">
        <v>102.4</v>
      </c>
      <c r="L4985" s="74">
        <v>92.16</v>
      </c>
      <c r="M4985" s="74"/>
      <c r="N4985" s="74" t="s">
        <v>392</v>
      </c>
      <c r="O4985" s="74" t="s">
        <v>402</v>
      </c>
      <c r="P4985" s="74"/>
      <c r="Q4985" s="74" t="s">
        <v>2505</v>
      </c>
    </row>
    <row r="4986" spans="3:17" x14ac:dyDescent="0.25">
      <c r="C4986" s="74" t="s">
        <v>2510</v>
      </c>
      <c r="D4986" s="74" t="s">
        <v>2511</v>
      </c>
      <c r="E4986" s="74" t="s">
        <v>391</v>
      </c>
      <c r="F4986" s="74">
        <v>0</v>
      </c>
      <c r="G4986" s="74"/>
      <c r="H4986" s="74"/>
      <c r="I4986" s="74" t="s">
        <v>391</v>
      </c>
      <c r="J4986" s="74"/>
      <c r="K4986" s="74"/>
      <c r="L4986" s="74"/>
      <c r="M4986" s="74"/>
      <c r="N4986" s="74" t="s">
        <v>397</v>
      </c>
      <c r="O4986" s="74" t="s">
        <v>393</v>
      </c>
      <c r="P4986" s="74" t="s">
        <v>2512</v>
      </c>
      <c r="Q4986" s="74" t="s">
        <v>2513</v>
      </c>
    </row>
    <row r="4987" spans="3:17" x14ac:dyDescent="0.25">
      <c r="C4987" s="74" t="s">
        <v>2535</v>
      </c>
      <c r="D4987" s="74" t="s">
        <v>2536</v>
      </c>
      <c r="E4987" s="74" t="s">
        <v>391</v>
      </c>
      <c r="F4987" s="74">
        <v>0</v>
      </c>
      <c r="G4987" s="74"/>
      <c r="H4987" s="74"/>
      <c r="I4987" s="74" t="s">
        <v>391</v>
      </c>
      <c r="J4987" s="74"/>
      <c r="K4987" s="74">
        <v>102.4</v>
      </c>
      <c r="L4987" s="74">
        <v>92.16</v>
      </c>
      <c r="M4987" s="74"/>
      <c r="N4987" s="74" t="s">
        <v>392</v>
      </c>
      <c r="O4987" s="74" t="s">
        <v>393</v>
      </c>
      <c r="P4987" s="74"/>
      <c r="Q4987" s="74" t="s">
        <v>2537</v>
      </c>
    </row>
    <row r="4988" spans="3:17" x14ac:dyDescent="0.25">
      <c r="C4988" s="74" t="s">
        <v>2556</v>
      </c>
      <c r="D4988" s="74" t="s">
        <v>2557</v>
      </c>
      <c r="E4988" s="74" t="s">
        <v>391</v>
      </c>
      <c r="F4988" s="74">
        <v>0</v>
      </c>
      <c r="G4988" s="74"/>
      <c r="H4988" s="74"/>
      <c r="I4988" s="74" t="s">
        <v>391</v>
      </c>
      <c r="J4988" s="74"/>
      <c r="K4988" s="74"/>
      <c r="L4988" s="74"/>
      <c r="M4988" s="74"/>
      <c r="N4988" s="74" t="s">
        <v>397</v>
      </c>
      <c r="O4988" s="74" t="s">
        <v>393</v>
      </c>
      <c r="P4988" s="74" t="s">
        <v>2558</v>
      </c>
      <c r="Q4988" s="74" t="s">
        <v>2559</v>
      </c>
    </row>
    <row r="4989" spans="3:17" x14ac:dyDescent="0.25">
      <c r="C4989" s="74" t="s">
        <v>2560</v>
      </c>
      <c r="D4989" s="74" t="s">
        <v>2561</v>
      </c>
      <c r="E4989" s="74" t="s">
        <v>391</v>
      </c>
      <c r="F4989" s="74">
        <v>0</v>
      </c>
      <c r="G4989" s="74"/>
      <c r="H4989" s="74"/>
      <c r="I4989" s="74" t="s">
        <v>391</v>
      </c>
      <c r="J4989" s="74"/>
      <c r="K4989" s="74">
        <v>102.4</v>
      </c>
      <c r="L4989" s="74">
        <v>92.16</v>
      </c>
      <c r="M4989" s="74"/>
      <c r="N4989" s="74" t="s">
        <v>392</v>
      </c>
      <c r="O4989" s="74" t="s">
        <v>393</v>
      </c>
      <c r="P4989" s="74"/>
      <c r="Q4989" s="74" t="s">
        <v>2561</v>
      </c>
    </row>
    <row r="4990" spans="3:17" x14ac:dyDescent="0.25">
      <c r="C4990" s="74" t="s">
        <v>2565</v>
      </c>
      <c r="D4990" s="74" t="s">
        <v>2566</v>
      </c>
      <c r="E4990" s="74" t="s">
        <v>391</v>
      </c>
      <c r="F4990" s="74">
        <v>0</v>
      </c>
      <c r="G4990" s="74"/>
      <c r="H4990" s="74"/>
      <c r="I4990" s="74" t="s">
        <v>391</v>
      </c>
      <c r="J4990" s="74"/>
      <c r="K4990" s="74">
        <v>102.4</v>
      </c>
      <c r="L4990" s="74">
        <v>92.16</v>
      </c>
      <c r="M4990" s="74"/>
      <c r="N4990" s="74" t="s">
        <v>392</v>
      </c>
      <c r="O4990" s="74" t="s">
        <v>393</v>
      </c>
      <c r="P4990" s="74"/>
      <c r="Q4990" s="74" t="s">
        <v>2567</v>
      </c>
    </row>
    <row r="4991" spans="3:17" x14ac:dyDescent="0.25">
      <c r="C4991" s="74" t="s">
        <v>2604</v>
      </c>
      <c r="D4991" s="74" t="s">
        <v>2605</v>
      </c>
      <c r="E4991" s="74" t="s">
        <v>391</v>
      </c>
      <c r="F4991" s="74">
        <v>0</v>
      </c>
      <c r="G4991" s="74"/>
      <c r="H4991" s="74"/>
      <c r="I4991" s="74" t="s">
        <v>391</v>
      </c>
      <c r="J4991" s="74"/>
      <c r="K4991" s="74">
        <v>102.4</v>
      </c>
      <c r="L4991" s="74">
        <v>92.16</v>
      </c>
      <c r="M4991" s="74"/>
      <c r="N4991" s="74" t="s">
        <v>392</v>
      </c>
      <c r="O4991" s="74" t="s">
        <v>393</v>
      </c>
      <c r="P4991" s="74"/>
      <c r="Q4991" s="74" t="s">
        <v>2606</v>
      </c>
    </row>
    <row r="4992" spans="3:17" x14ac:dyDescent="0.25">
      <c r="C4992" s="74" t="s">
        <v>2625</v>
      </c>
      <c r="D4992" s="74" t="s">
        <v>2626</v>
      </c>
      <c r="E4992" s="74" t="s">
        <v>391</v>
      </c>
      <c r="F4992" s="74">
        <v>0</v>
      </c>
      <c r="G4992" s="74"/>
      <c r="H4992" s="74"/>
      <c r="I4992" s="74" t="s">
        <v>391</v>
      </c>
      <c r="J4992" s="74"/>
      <c r="K4992" s="74"/>
      <c r="L4992" s="74"/>
      <c r="M4992" s="74"/>
      <c r="N4992" s="74" t="s">
        <v>397</v>
      </c>
      <c r="O4992" s="74" t="s">
        <v>393</v>
      </c>
      <c r="P4992" s="74" t="s">
        <v>2627</v>
      </c>
      <c r="Q4992" s="74" t="s">
        <v>2628</v>
      </c>
    </row>
    <row r="4993" spans="3:17" x14ac:dyDescent="0.25">
      <c r="C4993" s="74" t="s">
        <v>2629</v>
      </c>
      <c r="D4993" s="74" t="s">
        <v>2630</v>
      </c>
      <c r="E4993" s="74" t="s">
        <v>391</v>
      </c>
      <c r="F4993" s="74">
        <v>0</v>
      </c>
      <c r="G4993" s="74"/>
      <c r="H4993" s="74"/>
      <c r="I4993" s="74" t="s">
        <v>391</v>
      </c>
      <c r="J4993" s="74"/>
      <c r="K4993" s="74"/>
      <c r="L4993" s="74"/>
      <c r="M4993" s="74"/>
      <c r="N4993" s="74" t="s">
        <v>397</v>
      </c>
      <c r="O4993" s="74" t="s">
        <v>393</v>
      </c>
      <c r="P4993" s="74" t="s">
        <v>2631</v>
      </c>
      <c r="Q4993" s="74" t="s">
        <v>2632</v>
      </c>
    </row>
    <row r="4994" spans="3:17" x14ac:dyDescent="0.25">
      <c r="C4994" s="74" t="s">
        <v>2633</v>
      </c>
      <c r="D4994" s="74" t="s">
        <v>2634</v>
      </c>
      <c r="E4994" s="74" t="s">
        <v>391</v>
      </c>
      <c r="F4994" s="74">
        <v>0</v>
      </c>
      <c r="G4994" s="74"/>
      <c r="H4994" s="74"/>
      <c r="I4994" s="74" t="s">
        <v>391</v>
      </c>
      <c r="J4994" s="74"/>
      <c r="K4994" s="74"/>
      <c r="L4994" s="74"/>
      <c r="M4994" s="74"/>
      <c r="N4994" s="74" t="s">
        <v>397</v>
      </c>
      <c r="O4994" s="74" t="s">
        <v>393</v>
      </c>
      <c r="P4994" s="74" t="s">
        <v>2635</v>
      </c>
      <c r="Q4994" s="74" t="s">
        <v>2636</v>
      </c>
    </row>
    <row r="4995" spans="3:17" x14ac:dyDescent="0.25">
      <c r="C4995" s="74" t="s">
        <v>2641</v>
      </c>
      <c r="D4995" s="74" t="s">
        <v>2642</v>
      </c>
      <c r="E4995" s="74" t="s">
        <v>391</v>
      </c>
      <c r="F4995" s="74">
        <v>0</v>
      </c>
      <c r="G4995" s="74"/>
      <c r="H4995" s="74"/>
      <c r="I4995" s="74" t="s">
        <v>391</v>
      </c>
      <c r="J4995" s="74"/>
      <c r="K4995" s="74"/>
      <c r="L4995" s="74"/>
      <c r="M4995" s="74"/>
      <c r="N4995" s="74" t="s">
        <v>397</v>
      </c>
      <c r="O4995" s="74" t="s">
        <v>402</v>
      </c>
      <c r="P4995" s="74" t="s">
        <v>2643</v>
      </c>
      <c r="Q4995" s="74" t="s">
        <v>2644</v>
      </c>
    </row>
    <row r="4996" spans="3:17" x14ac:dyDescent="0.25">
      <c r="C4996" s="74" t="s">
        <v>2649</v>
      </c>
      <c r="D4996" s="74" t="s">
        <v>2650</v>
      </c>
      <c r="E4996" s="74"/>
      <c r="F4996" s="74">
        <v>0</v>
      </c>
      <c r="G4996" s="74"/>
      <c r="H4996" s="74"/>
      <c r="I4996" s="74" t="s">
        <v>391</v>
      </c>
      <c r="J4996" s="74"/>
      <c r="K4996" s="74">
        <v>102.4</v>
      </c>
      <c r="L4996" s="74">
        <v>92.16</v>
      </c>
      <c r="M4996" s="74"/>
      <c r="N4996" s="74" t="s">
        <v>392</v>
      </c>
      <c r="O4996" s="74" t="s">
        <v>402</v>
      </c>
      <c r="P4996" s="74" t="s">
        <v>2651</v>
      </c>
      <c r="Q4996" s="74" t="s">
        <v>2652</v>
      </c>
    </row>
    <row r="4997" spans="3:17" x14ac:dyDescent="0.25">
      <c r="C4997" s="74" t="s">
        <v>2653</v>
      </c>
      <c r="D4997" s="74" t="s">
        <v>2654</v>
      </c>
      <c r="E4997" s="74" t="s">
        <v>391</v>
      </c>
      <c r="F4997" s="74">
        <v>0</v>
      </c>
      <c r="G4997" s="74"/>
      <c r="H4997" s="74"/>
      <c r="I4997" s="74" t="s">
        <v>391</v>
      </c>
      <c r="J4997" s="74"/>
      <c r="K4997" s="74"/>
      <c r="L4997" s="74"/>
      <c r="M4997" s="74"/>
      <c r="N4997" s="74" t="s">
        <v>397</v>
      </c>
      <c r="O4997" s="74" t="s">
        <v>393</v>
      </c>
      <c r="P4997" s="74" t="s">
        <v>2655</v>
      </c>
      <c r="Q4997" s="74" t="s">
        <v>2656</v>
      </c>
    </row>
    <row r="4998" spans="3:17" x14ac:dyDescent="0.25">
      <c r="C4998" s="74" t="s">
        <v>2661</v>
      </c>
      <c r="D4998" s="74" t="s">
        <v>2662</v>
      </c>
      <c r="E4998" s="74" t="s">
        <v>391</v>
      </c>
      <c r="F4998" s="74">
        <v>0</v>
      </c>
      <c r="G4998" s="74"/>
      <c r="H4998" s="74"/>
      <c r="I4998" s="74" t="s">
        <v>391</v>
      </c>
      <c r="J4998" s="74"/>
      <c r="K4998" s="74">
        <v>102.4</v>
      </c>
      <c r="L4998" s="74">
        <v>92.16</v>
      </c>
      <c r="M4998" s="74"/>
      <c r="N4998" s="74" t="s">
        <v>392</v>
      </c>
      <c r="O4998" s="74" t="s">
        <v>393</v>
      </c>
      <c r="P4998" s="74"/>
      <c r="Q4998" s="74" t="s">
        <v>2663</v>
      </c>
    </row>
    <row r="4999" spans="3:17" x14ac:dyDescent="0.25">
      <c r="C4999" s="74" t="s">
        <v>2719</v>
      </c>
      <c r="D4999" s="74" t="s">
        <v>2720</v>
      </c>
      <c r="E4999" s="74" t="s">
        <v>391</v>
      </c>
      <c r="F4999" s="74">
        <v>0</v>
      </c>
      <c r="G4999" s="74"/>
      <c r="H4999" s="74"/>
      <c r="I4999" s="74" t="s">
        <v>391</v>
      </c>
      <c r="J4999" s="74"/>
      <c r="K4999" s="74"/>
      <c r="L4999" s="74"/>
      <c r="M4999" s="74"/>
      <c r="N4999" s="74" t="s">
        <v>397</v>
      </c>
      <c r="O4999" s="74" t="s">
        <v>393</v>
      </c>
      <c r="P4999" s="74" t="s">
        <v>2721</v>
      </c>
      <c r="Q4999" s="74" t="s">
        <v>2722</v>
      </c>
    </row>
    <row r="5000" spans="3:17" x14ac:dyDescent="0.25">
      <c r="C5000" s="74" t="s">
        <v>2723</v>
      </c>
      <c r="D5000" s="74" t="s">
        <v>2724</v>
      </c>
      <c r="E5000" s="74" t="s">
        <v>391</v>
      </c>
      <c r="F5000" s="74">
        <v>0</v>
      </c>
      <c r="G5000" s="74"/>
      <c r="H5000" s="74"/>
      <c r="I5000" s="74" t="s">
        <v>391</v>
      </c>
      <c r="J5000" s="74"/>
      <c r="K5000" s="74"/>
      <c r="L5000" s="74"/>
      <c r="M5000" s="74"/>
      <c r="N5000" s="74" t="s">
        <v>397</v>
      </c>
      <c r="O5000" s="74" t="s">
        <v>393</v>
      </c>
      <c r="P5000" s="74" t="s">
        <v>2725</v>
      </c>
      <c r="Q5000" s="74" t="s">
        <v>2726</v>
      </c>
    </row>
    <row r="5001" spans="3:17" x14ac:dyDescent="0.25">
      <c r="C5001" s="74" t="s">
        <v>2734</v>
      </c>
      <c r="D5001" s="74" t="s">
        <v>2735</v>
      </c>
      <c r="E5001" s="74" t="s">
        <v>391</v>
      </c>
      <c r="F5001" s="74">
        <v>0</v>
      </c>
      <c r="G5001" s="74"/>
      <c r="H5001" s="74"/>
      <c r="I5001" s="74" t="s">
        <v>391</v>
      </c>
      <c r="J5001" s="74"/>
      <c r="K5001" s="74"/>
      <c r="L5001" s="74"/>
      <c r="M5001" s="74"/>
      <c r="N5001" s="74" t="s">
        <v>397</v>
      </c>
      <c r="O5001" s="74" t="s">
        <v>402</v>
      </c>
      <c r="P5001" s="74" t="s">
        <v>2736</v>
      </c>
      <c r="Q5001" s="74" t="s">
        <v>2737</v>
      </c>
    </row>
    <row r="5002" spans="3:17" x14ac:dyDescent="0.25">
      <c r="C5002" s="74" t="s">
        <v>2745</v>
      </c>
      <c r="D5002" s="74" t="s">
        <v>2746</v>
      </c>
      <c r="E5002" s="74" t="s">
        <v>391</v>
      </c>
      <c r="F5002" s="74">
        <v>0</v>
      </c>
      <c r="G5002" s="74"/>
      <c r="H5002" s="74"/>
      <c r="I5002" s="74" t="s">
        <v>391</v>
      </c>
      <c r="J5002" s="74"/>
      <c r="K5002" s="74"/>
      <c r="L5002" s="74"/>
      <c r="M5002" s="74"/>
      <c r="N5002" s="74" t="s">
        <v>397</v>
      </c>
      <c r="O5002" s="74" t="s">
        <v>393</v>
      </c>
      <c r="P5002" s="74" t="s">
        <v>2747</v>
      </c>
      <c r="Q5002" s="74" t="s">
        <v>2748</v>
      </c>
    </row>
    <row r="5003" spans="3:17" x14ac:dyDescent="0.25">
      <c r="C5003" s="74" t="s">
        <v>2753</v>
      </c>
      <c r="D5003" s="74" t="s">
        <v>2754</v>
      </c>
      <c r="E5003" s="74" t="s">
        <v>391</v>
      </c>
      <c r="F5003" s="74">
        <v>0</v>
      </c>
      <c r="G5003" s="74"/>
      <c r="H5003" s="74"/>
      <c r="I5003" s="74" t="s">
        <v>391</v>
      </c>
      <c r="J5003" s="74"/>
      <c r="K5003" s="74"/>
      <c r="L5003" s="74"/>
      <c r="M5003" s="74"/>
      <c r="N5003" s="74" t="s">
        <v>397</v>
      </c>
      <c r="O5003" s="74" t="s">
        <v>402</v>
      </c>
      <c r="P5003" s="74" t="s">
        <v>2755</v>
      </c>
      <c r="Q5003" s="74" t="s">
        <v>2756</v>
      </c>
    </row>
    <row r="5004" spans="3:17" x14ac:dyDescent="0.25">
      <c r="C5004" s="74" t="s">
        <v>2792</v>
      </c>
      <c r="D5004" s="74" t="s">
        <v>2793</v>
      </c>
      <c r="E5004" s="74"/>
      <c r="F5004" s="74">
        <v>0</v>
      </c>
      <c r="G5004" s="74"/>
      <c r="H5004" s="74"/>
      <c r="I5004" s="74" t="s">
        <v>391</v>
      </c>
      <c r="J5004" s="74"/>
      <c r="K5004" s="74">
        <v>102.4</v>
      </c>
      <c r="L5004" s="74">
        <v>92.16</v>
      </c>
      <c r="M5004" s="74"/>
      <c r="N5004" s="74" t="s">
        <v>392</v>
      </c>
      <c r="O5004" s="74" t="s">
        <v>402</v>
      </c>
      <c r="P5004" s="74"/>
      <c r="Q5004" s="74" t="s">
        <v>2794</v>
      </c>
    </row>
    <row r="5005" spans="3:17" x14ac:dyDescent="0.25">
      <c r="C5005" s="74" t="s">
        <v>2825</v>
      </c>
      <c r="D5005" s="74" t="s">
        <v>2826</v>
      </c>
      <c r="E5005" s="74" t="s">
        <v>391</v>
      </c>
      <c r="F5005" s="74">
        <v>0</v>
      </c>
      <c r="G5005" s="74"/>
      <c r="H5005" s="74"/>
      <c r="I5005" s="74" t="s">
        <v>391</v>
      </c>
      <c r="J5005" s="74"/>
      <c r="K5005" s="74"/>
      <c r="L5005" s="74"/>
      <c r="M5005" s="74"/>
      <c r="N5005" s="74" t="s">
        <v>397</v>
      </c>
      <c r="O5005" s="74" t="s">
        <v>393</v>
      </c>
      <c r="P5005" s="74" t="s">
        <v>2827</v>
      </c>
      <c r="Q5005" s="74" t="s">
        <v>2828</v>
      </c>
    </row>
    <row r="5006" spans="3:17" x14ac:dyDescent="0.25">
      <c r="C5006" s="74" t="s">
        <v>2859</v>
      </c>
      <c r="D5006" s="74" t="s">
        <v>2860</v>
      </c>
      <c r="E5006" s="74" t="s">
        <v>391</v>
      </c>
      <c r="F5006" s="74">
        <v>0</v>
      </c>
      <c r="G5006" s="74"/>
      <c r="H5006" s="74"/>
      <c r="I5006" s="74" t="s">
        <v>391</v>
      </c>
      <c r="J5006" s="74"/>
      <c r="K5006" s="74"/>
      <c r="L5006" s="74"/>
      <c r="M5006" s="74"/>
      <c r="N5006" s="74" t="s">
        <v>397</v>
      </c>
      <c r="O5006" s="74" t="s">
        <v>393</v>
      </c>
      <c r="P5006" s="74" t="s">
        <v>2861</v>
      </c>
      <c r="Q5006" s="74" t="s">
        <v>2862</v>
      </c>
    </row>
    <row r="5007" spans="3:17" x14ac:dyDescent="0.25">
      <c r="C5007" s="74" t="s">
        <v>2893</v>
      </c>
      <c r="D5007" s="74" t="s">
        <v>2894</v>
      </c>
      <c r="E5007" s="74" t="s">
        <v>391</v>
      </c>
      <c r="F5007" s="74">
        <v>0</v>
      </c>
      <c r="G5007" s="74"/>
      <c r="H5007" s="74"/>
      <c r="I5007" s="74" t="s">
        <v>391</v>
      </c>
      <c r="J5007" s="74"/>
      <c r="K5007" s="74"/>
      <c r="L5007" s="74"/>
      <c r="M5007" s="74"/>
      <c r="N5007" s="74" t="s">
        <v>397</v>
      </c>
      <c r="O5007" s="74" t="s">
        <v>393</v>
      </c>
      <c r="P5007" s="74" t="s">
        <v>2895</v>
      </c>
      <c r="Q5007" s="74" t="s">
        <v>2896</v>
      </c>
    </row>
    <row r="5008" spans="3:17" x14ac:dyDescent="0.25">
      <c r="C5008" s="74" t="s">
        <v>2897</v>
      </c>
      <c r="D5008" s="74" t="s">
        <v>2898</v>
      </c>
      <c r="E5008" s="74" t="s">
        <v>391</v>
      </c>
      <c r="F5008" s="74">
        <v>0</v>
      </c>
      <c r="G5008" s="74"/>
      <c r="H5008" s="74"/>
      <c r="I5008" s="74" t="s">
        <v>391</v>
      </c>
      <c r="J5008" s="74"/>
      <c r="K5008" s="74"/>
      <c r="L5008" s="74"/>
      <c r="M5008" s="74"/>
      <c r="N5008" s="74" t="s">
        <v>397</v>
      </c>
      <c r="O5008" s="74" t="s">
        <v>393</v>
      </c>
      <c r="P5008" s="74"/>
      <c r="Q5008" s="74" t="s">
        <v>2899</v>
      </c>
    </row>
    <row r="5009" spans="3:17" x14ac:dyDescent="0.25">
      <c r="C5009" s="74" t="s">
        <v>2916</v>
      </c>
      <c r="D5009" s="74" t="s">
        <v>2917</v>
      </c>
      <c r="E5009" s="74" t="s">
        <v>391</v>
      </c>
      <c r="F5009" s="74">
        <v>0</v>
      </c>
      <c r="G5009" s="74"/>
      <c r="H5009" s="74"/>
      <c r="I5009" s="74" t="s">
        <v>391</v>
      </c>
      <c r="J5009" s="74"/>
      <c r="K5009" s="74"/>
      <c r="L5009" s="74"/>
      <c r="M5009" s="74"/>
      <c r="N5009" s="74" t="s">
        <v>397</v>
      </c>
      <c r="O5009" s="74" t="s">
        <v>393</v>
      </c>
      <c r="P5009" s="74" t="s">
        <v>2918</v>
      </c>
      <c r="Q5009" s="74" t="s">
        <v>2919</v>
      </c>
    </row>
    <row r="5010" spans="3:17" x14ac:dyDescent="0.25">
      <c r="C5010" s="74" t="s">
        <v>2920</v>
      </c>
      <c r="D5010" s="74" t="s">
        <v>2921</v>
      </c>
      <c r="E5010" s="74"/>
      <c r="F5010" s="74">
        <v>0</v>
      </c>
      <c r="G5010" s="74"/>
      <c r="H5010" s="74"/>
      <c r="I5010" s="74" t="s">
        <v>391</v>
      </c>
      <c r="J5010" s="74"/>
      <c r="K5010" s="74">
        <v>102.4</v>
      </c>
      <c r="L5010" s="74">
        <v>92.16</v>
      </c>
      <c r="M5010" s="74"/>
      <c r="N5010" s="74" t="s">
        <v>392</v>
      </c>
      <c r="O5010" s="74" t="s">
        <v>402</v>
      </c>
      <c r="P5010" s="74"/>
      <c r="Q5010" s="74" t="s">
        <v>2922</v>
      </c>
    </row>
    <row r="5011" spans="3:17" x14ac:dyDescent="0.25">
      <c r="C5011" s="74" t="s">
        <v>2927</v>
      </c>
      <c r="D5011" s="74" t="s">
        <v>2928</v>
      </c>
      <c r="E5011" s="74" t="s">
        <v>391</v>
      </c>
      <c r="F5011" s="74">
        <v>0</v>
      </c>
      <c r="G5011" s="74"/>
      <c r="H5011" s="74"/>
      <c r="I5011" s="74" t="s">
        <v>391</v>
      </c>
      <c r="J5011" s="74"/>
      <c r="K5011" s="74"/>
      <c r="L5011" s="74"/>
      <c r="M5011" s="74"/>
      <c r="N5011" s="74" t="s">
        <v>397</v>
      </c>
      <c r="O5011" s="74" t="s">
        <v>393</v>
      </c>
      <c r="P5011" s="74" t="s">
        <v>2929</v>
      </c>
      <c r="Q5011" s="74" t="s">
        <v>2930</v>
      </c>
    </row>
    <row r="5012" spans="3:17" x14ac:dyDescent="0.25">
      <c r="C5012" s="74" t="s">
        <v>2961</v>
      </c>
      <c r="D5012" s="74" t="s">
        <v>2962</v>
      </c>
      <c r="E5012" s="74" t="s">
        <v>391</v>
      </c>
      <c r="F5012" s="74">
        <v>0</v>
      </c>
      <c r="G5012" s="74"/>
      <c r="H5012" s="74"/>
      <c r="I5012" s="74" t="s">
        <v>391</v>
      </c>
      <c r="J5012" s="74"/>
      <c r="K5012" s="74">
        <v>102.4</v>
      </c>
      <c r="L5012" s="74">
        <v>92.16</v>
      </c>
      <c r="M5012" s="74"/>
      <c r="N5012" s="74" t="s">
        <v>392</v>
      </c>
      <c r="O5012" s="74" t="s">
        <v>393</v>
      </c>
      <c r="P5012" s="74"/>
      <c r="Q5012" s="74" t="s">
        <v>2963</v>
      </c>
    </row>
    <row r="5013" spans="3:17" x14ac:dyDescent="0.25">
      <c r="C5013" s="74" t="s">
        <v>2974</v>
      </c>
      <c r="D5013" s="74" t="s">
        <v>2975</v>
      </c>
      <c r="E5013" s="74"/>
      <c r="F5013" s="74">
        <v>0</v>
      </c>
      <c r="G5013" s="74"/>
      <c r="H5013" s="74"/>
      <c r="I5013" s="74" t="s">
        <v>391</v>
      </c>
      <c r="J5013" s="74"/>
      <c r="K5013" s="74"/>
      <c r="L5013" s="74"/>
      <c r="M5013" s="74"/>
      <c r="N5013" s="74" t="s">
        <v>397</v>
      </c>
      <c r="O5013" s="74" t="s">
        <v>535</v>
      </c>
      <c r="P5013" s="74" t="s">
        <v>2976</v>
      </c>
      <c r="Q5013" s="74" t="s">
        <v>2977</v>
      </c>
    </row>
    <row r="5014" spans="3:17" x14ac:dyDescent="0.25">
      <c r="C5014" s="74" t="s">
        <v>3003</v>
      </c>
      <c r="D5014" s="74" t="s">
        <v>3004</v>
      </c>
      <c r="E5014" s="74" t="s">
        <v>391</v>
      </c>
      <c r="F5014" s="74">
        <v>0</v>
      </c>
      <c r="G5014" s="74"/>
      <c r="H5014" s="74"/>
      <c r="I5014" s="74" t="s">
        <v>391</v>
      </c>
      <c r="J5014" s="74"/>
      <c r="K5014" s="74"/>
      <c r="L5014" s="74"/>
      <c r="M5014" s="74"/>
      <c r="N5014" s="74" t="s">
        <v>397</v>
      </c>
      <c r="O5014" s="74" t="s">
        <v>393</v>
      </c>
      <c r="P5014" s="74" t="s">
        <v>3005</v>
      </c>
      <c r="Q5014" s="74" t="s">
        <v>3006</v>
      </c>
    </row>
    <row r="5015" spans="3:17" x14ac:dyDescent="0.25">
      <c r="C5015" s="74" t="s">
        <v>3013</v>
      </c>
      <c r="D5015" s="74" t="s">
        <v>2871</v>
      </c>
      <c r="E5015" s="74" t="s">
        <v>391</v>
      </c>
      <c r="F5015" s="74">
        <v>0</v>
      </c>
      <c r="G5015" s="74"/>
      <c r="H5015" s="74"/>
      <c r="I5015" s="74" t="s">
        <v>391</v>
      </c>
      <c r="J5015" s="74"/>
      <c r="K5015" s="74"/>
      <c r="L5015" s="74"/>
      <c r="M5015" s="74"/>
      <c r="N5015" s="74" t="s">
        <v>397</v>
      </c>
      <c r="O5015" s="74" t="s">
        <v>393</v>
      </c>
      <c r="P5015" s="74" t="s">
        <v>3014</v>
      </c>
      <c r="Q5015" s="74" t="s">
        <v>3015</v>
      </c>
    </row>
    <row r="5016" spans="3:17" x14ac:dyDescent="0.25">
      <c r="C5016" s="74" t="s">
        <v>3074</v>
      </c>
      <c r="D5016" s="74" t="s">
        <v>3075</v>
      </c>
      <c r="E5016" s="74" t="s">
        <v>391</v>
      </c>
      <c r="F5016" s="74">
        <v>0</v>
      </c>
      <c r="G5016" s="74"/>
      <c r="H5016" s="74"/>
      <c r="I5016" s="74" t="s">
        <v>391</v>
      </c>
      <c r="J5016" s="74"/>
      <c r="K5016" s="74"/>
      <c r="L5016" s="74"/>
      <c r="M5016" s="74"/>
      <c r="N5016" s="74" t="s">
        <v>397</v>
      </c>
      <c r="O5016" s="74" t="s">
        <v>393</v>
      </c>
      <c r="P5016" s="74" t="s">
        <v>3076</v>
      </c>
      <c r="Q5016" s="74" t="s">
        <v>3077</v>
      </c>
    </row>
    <row r="5017" spans="3:17" x14ac:dyDescent="0.25">
      <c r="C5017" s="74" t="s">
        <v>3107</v>
      </c>
      <c r="D5017" s="74" t="s">
        <v>3108</v>
      </c>
      <c r="E5017" s="74" t="s">
        <v>391</v>
      </c>
      <c r="F5017" s="74">
        <v>0</v>
      </c>
      <c r="G5017" s="74"/>
      <c r="H5017" s="74"/>
      <c r="I5017" s="74" t="s">
        <v>391</v>
      </c>
      <c r="J5017" s="74"/>
      <c r="K5017" s="74">
        <v>102.4</v>
      </c>
      <c r="L5017" s="74">
        <v>92.16</v>
      </c>
      <c r="M5017" s="74"/>
      <c r="N5017" s="74" t="s">
        <v>392</v>
      </c>
      <c r="O5017" s="74" t="s">
        <v>393</v>
      </c>
      <c r="P5017" s="74"/>
      <c r="Q5017" s="74" t="s">
        <v>3109</v>
      </c>
    </row>
    <row r="5018" spans="3:17" x14ac:dyDescent="0.25">
      <c r="C5018" s="74" t="s">
        <v>3117</v>
      </c>
      <c r="D5018" s="74" t="s">
        <v>2886</v>
      </c>
      <c r="E5018" s="74" t="s">
        <v>391</v>
      </c>
      <c r="F5018" s="74">
        <v>0</v>
      </c>
      <c r="G5018" s="74"/>
      <c r="H5018" s="74"/>
      <c r="I5018" s="74" t="s">
        <v>391</v>
      </c>
      <c r="J5018" s="74"/>
      <c r="K5018" s="74"/>
      <c r="L5018" s="74"/>
      <c r="M5018" s="74"/>
      <c r="N5018" s="74" t="s">
        <v>397</v>
      </c>
      <c r="O5018" s="74" t="s">
        <v>393</v>
      </c>
      <c r="P5018" s="74" t="s">
        <v>3118</v>
      </c>
      <c r="Q5018" s="74" t="s">
        <v>3119</v>
      </c>
    </row>
    <row r="5019" spans="3:17" x14ac:dyDescent="0.25">
      <c r="C5019" s="74" t="s">
        <v>3132</v>
      </c>
      <c r="D5019" s="74" t="s">
        <v>3133</v>
      </c>
      <c r="E5019" s="74" t="s">
        <v>391</v>
      </c>
      <c r="F5019" s="74">
        <v>0</v>
      </c>
      <c r="G5019" s="74"/>
      <c r="H5019" s="74"/>
      <c r="I5019" s="74" t="s">
        <v>391</v>
      </c>
      <c r="J5019" s="74"/>
      <c r="K5019" s="74"/>
      <c r="L5019" s="74"/>
      <c r="M5019" s="74"/>
      <c r="N5019" s="74" t="s">
        <v>397</v>
      </c>
      <c r="O5019" s="74" t="s">
        <v>393</v>
      </c>
      <c r="P5019" s="74" t="s">
        <v>3134</v>
      </c>
      <c r="Q5019" s="74" t="s">
        <v>3135</v>
      </c>
    </row>
    <row r="5020" spans="3:17" x14ac:dyDescent="0.25">
      <c r="C5020" s="74" t="s">
        <v>3147</v>
      </c>
      <c r="D5020" s="74" t="s">
        <v>3148</v>
      </c>
      <c r="E5020" s="74" t="s">
        <v>391</v>
      </c>
      <c r="F5020" s="74">
        <v>0</v>
      </c>
      <c r="G5020" s="74"/>
      <c r="H5020" s="74"/>
      <c r="I5020" s="74" t="s">
        <v>391</v>
      </c>
      <c r="J5020" s="74"/>
      <c r="K5020" s="74"/>
      <c r="L5020" s="74"/>
      <c r="M5020" s="74"/>
      <c r="N5020" s="74" t="s">
        <v>397</v>
      </c>
      <c r="O5020" s="74" t="s">
        <v>393</v>
      </c>
      <c r="P5020" s="74" t="s">
        <v>3149</v>
      </c>
      <c r="Q5020" s="74" t="s">
        <v>3150</v>
      </c>
    </row>
    <row r="5021" spans="3:17" x14ac:dyDescent="0.25">
      <c r="C5021" s="74" t="s">
        <v>3163</v>
      </c>
      <c r="D5021" s="74" t="s">
        <v>3164</v>
      </c>
      <c r="E5021" s="74" t="s">
        <v>391</v>
      </c>
      <c r="F5021" s="74">
        <v>0</v>
      </c>
      <c r="G5021" s="74"/>
      <c r="H5021" s="74"/>
      <c r="I5021" s="74" t="s">
        <v>391</v>
      </c>
      <c r="J5021" s="74"/>
      <c r="K5021" s="74"/>
      <c r="L5021" s="74"/>
      <c r="M5021" s="74"/>
      <c r="N5021" s="74" t="s">
        <v>397</v>
      </c>
      <c r="O5021" s="74" t="s">
        <v>393</v>
      </c>
      <c r="P5021" s="74"/>
      <c r="Q5021" s="74" t="s">
        <v>3165</v>
      </c>
    </row>
    <row r="5022" spans="3:17" x14ac:dyDescent="0.25">
      <c r="C5022" s="74" t="s">
        <v>3166</v>
      </c>
      <c r="D5022" s="74" t="s">
        <v>3167</v>
      </c>
      <c r="E5022" s="74" t="s">
        <v>391</v>
      </c>
      <c r="F5022" s="74">
        <v>0</v>
      </c>
      <c r="G5022" s="74"/>
      <c r="H5022" s="74"/>
      <c r="I5022" s="74" t="s">
        <v>391</v>
      </c>
      <c r="J5022" s="74"/>
      <c r="K5022" s="74"/>
      <c r="L5022" s="74"/>
      <c r="M5022" s="74"/>
      <c r="N5022" s="74" t="s">
        <v>397</v>
      </c>
      <c r="O5022" s="74" t="s">
        <v>393</v>
      </c>
      <c r="P5022" s="74" t="s">
        <v>3168</v>
      </c>
      <c r="Q5022" s="74" t="s">
        <v>3169</v>
      </c>
    </row>
    <row r="5023" spans="3:17" x14ac:dyDescent="0.25">
      <c r="C5023" s="74" t="s">
        <v>3173</v>
      </c>
      <c r="D5023" s="74" t="s">
        <v>3174</v>
      </c>
      <c r="E5023" s="74"/>
      <c r="F5023" s="74">
        <v>0</v>
      </c>
      <c r="G5023" s="74"/>
      <c r="H5023" s="74"/>
      <c r="I5023" s="74" t="s">
        <v>391</v>
      </c>
      <c r="J5023" s="74"/>
      <c r="K5023" s="74">
        <v>102.4</v>
      </c>
      <c r="L5023" s="74">
        <v>92.16</v>
      </c>
      <c r="M5023" s="74"/>
      <c r="N5023" s="74" t="s">
        <v>392</v>
      </c>
      <c r="O5023" s="74" t="s">
        <v>402</v>
      </c>
      <c r="P5023" s="74" t="s">
        <v>3175</v>
      </c>
      <c r="Q5023" s="74" t="s">
        <v>3176</v>
      </c>
    </row>
    <row r="5024" spans="3:17" x14ac:dyDescent="0.25">
      <c r="C5024" s="74" t="s">
        <v>3206</v>
      </c>
      <c r="D5024" s="74" t="s">
        <v>3207</v>
      </c>
      <c r="E5024" s="74" t="s">
        <v>391</v>
      </c>
      <c r="F5024" s="74">
        <v>0</v>
      </c>
      <c r="G5024" s="74"/>
      <c r="H5024" s="74"/>
      <c r="I5024" s="74" t="s">
        <v>391</v>
      </c>
      <c r="J5024" s="74"/>
      <c r="K5024" s="74"/>
      <c r="L5024" s="74"/>
      <c r="M5024" s="74"/>
      <c r="N5024" s="74" t="s">
        <v>397</v>
      </c>
      <c r="O5024" s="74" t="s">
        <v>402</v>
      </c>
      <c r="P5024" s="74" t="s">
        <v>3208</v>
      </c>
      <c r="Q5024" s="74" t="s">
        <v>3209</v>
      </c>
    </row>
    <row r="5025" spans="3:17" x14ac:dyDescent="0.25">
      <c r="C5025" s="74" t="s">
        <v>3213</v>
      </c>
      <c r="D5025" s="74" t="s">
        <v>3214</v>
      </c>
      <c r="E5025" s="74" t="s">
        <v>391</v>
      </c>
      <c r="F5025" s="74">
        <v>0</v>
      </c>
      <c r="G5025" s="74"/>
      <c r="H5025" s="74"/>
      <c r="I5025" s="74" t="s">
        <v>391</v>
      </c>
      <c r="J5025" s="74"/>
      <c r="K5025" s="74"/>
      <c r="L5025" s="74"/>
      <c r="M5025" s="74"/>
      <c r="N5025" s="74" t="s">
        <v>397</v>
      </c>
      <c r="O5025" s="74" t="s">
        <v>402</v>
      </c>
      <c r="P5025" s="74" t="s">
        <v>3215</v>
      </c>
      <c r="Q5025" s="74" t="s">
        <v>3216</v>
      </c>
    </row>
    <row r="5026" spans="3:17" x14ac:dyDescent="0.25">
      <c r="C5026" s="74" t="s">
        <v>3228</v>
      </c>
      <c r="D5026" s="74" t="s">
        <v>3229</v>
      </c>
      <c r="E5026" s="74" t="s">
        <v>391</v>
      </c>
      <c r="F5026" s="74">
        <v>0</v>
      </c>
      <c r="G5026" s="74"/>
      <c r="H5026" s="74"/>
      <c r="I5026" s="74" t="s">
        <v>391</v>
      </c>
      <c r="J5026" s="74"/>
      <c r="K5026" s="74"/>
      <c r="L5026" s="74"/>
      <c r="M5026" s="74"/>
      <c r="N5026" s="74" t="s">
        <v>397</v>
      </c>
      <c r="O5026" s="74" t="s">
        <v>393</v>
      </c>
      <c r="P5026" s="74" t="s">
        <v>3230</v>
      </c>
      <c r="Q5026" s="74" t="s">
        <v>3231</v>
      </c>
    </row>
    <row r="5027" spans="3:17" x14ac:dyDescent="0.25">
      <c r="C5027" s="74" t="s">
        <v>3232</v>
      </c>
      <c r="D5027" s="74" t="s">
        <v>3233</v>
      </c>
      <c r="E5027" s="74" t="s">
        <v>391</v>
      </c>
      <c r="F5027" s="74">
        <v>0</v>
      </c>
      <c r="G5027" s="74"/>
      <c r="H5027" s="74"/>
      <c r="I5027" s="74" t="s">
        <v>391</v>
      </c>
      <c r="J5027" s="74"/>
      <c r="K5027" s="74"/>
      <c r="L5027" s="74"/>
      <c r="M5027" s="74"/>
      <c r="N5027" s="74" t="s">
        <v>397</v>
      </c>
      <c r="O5027" s="74" t="s">
        <v>393</v>
      </c>
      <c r="P5027" s="74" t="s">
        <v>3234</v>
      </c>
      <c r="Q5027" s="74" t="s">
        <v>3235</v>
      </c>
    </row>
    <row r="5028" spans="3:17" x14ac:dyDescent="0.25">
      <c r="C5028" s="74" t="s">
        <v>3236</v>
      </c>
      <c r="D5028" s="74" t="s">
        <v>3237</v>
      </c>
      <c r="E5028" s="74" t="s">
        <v>391</v>
      </c>
      <c r="F5028" s="74">
        <v>0</v>
      </c>
      <c r="G5028" s="74"/>
      <c r="H5028" s="74"/>
      <c r="I5028" s="74" t="s">
        <v>391</v>
      </c>
      <c r="J5028" s="74"/>
      <c r="K5028" s="74">
        <v>102.4</v>
      </c>
      <c r="L5028" s="74">
        <v>92.16</v>
      </c>
      <c r="M5028" s="74"/>
      <c r="N5028" s="74" t="s">
        <v>392</v>
      </c>
      <c r="O5028" s="74" t="s">
        <v>393</v>
      </c>
      <c r="P5028" s="74"/>
      <c r="Q5028" s="74" t="s">
        <v>3237</v>
      </c>
    </row>
    <row r="5029" spans="3:17" x14ac:dyDescent="0.25">
      <c r="C5029" s="74" t="s">
        <v>3250</v>
      </c>
      <c r="D5029" s="74" t="s">
        <v>3251</v>
      </c>
      <c r="E5029" s="74" t="s">
        <v>391</v>
      </c>
      <c r="F5029" s="74">
        <v>0</v>
      </c>
      <c r="G5029" s="74"/>
      <c r="H5029" s="74"/>
      <c r="I5029" s="74" t="s">
        <v>391</v>
      </c>
      <c r="J5029" s="74"/>
      <c r="K5029" s="74"/>
      <c r="L5029" s="74"/>
      <c r="M5029" s="74"/>
      <c r="N5029" s="74" t="s">
        <v>397</v>
      </c>
      <c r="O5029" s="74" t="s">
        <v>393</v>
      </c>
      <c r="P5029" s="74" t="s">
        <v>3252</v>
      </c>
      <c r="Q5029" s="74" t="s">
        <v>3253</v>
      </c>
    </row>
    <row r="5030" spans="3:17" x14ac:dyDescent="0.25">
      <c r="C5030" s="74" t="s">
        <v>3265</v>
      </c>
      <c r="D5030" s="74" t="s">
        <v>3266</v>
      </c>
      <c r="E5030" s="74"/>
      <c r="F5030" s="74">
        <v>0</v>
      </c>
      <c r="G5030" s="74"/>
      <c r="H5030" s="74"/>
      <c r="I5030" s="74" t="s">
        <v>391</v>
      </c>
      <c r="J5030" s="74"/>
      <c r="K5030" s="74">
        <v>102.4</v>
      </c>
      <c r="L5030" s="74">
        <v>92.16</v>
      </c>
      <c r="M5030" s="74"/>
      <c r="N5030" s="74" t="s">
        <v>392</v>
      </c>
      <c r="O5030" s="74" t="s">
        <v>402</v>
      </c>
      <c r="P5030" s="74" t="s">
        <v>3267</v>
      </c>
      <c r="Q5030" s="74" t="s">
        <v>3268</v>
      </c>
    </row>
    <row r="5031" spans="3:17" x14ac:dyDescent="0.25">
      <c r="C5031" s="74" t="s">
        <v>3280</v>
      </c>
      <c r="D5031" s="74" t="s">
        <v>3281</v>
      </c>
      <c r="E5031" s="74" t="s">
        <v>391</v>
      </c>
      <c r="F5031" s="74">
        <v>0</v>
      </c>
      <c r="G5031" s="74"/>
      <c r="H5031" s="74"/>
      <c r="I5031" s="74" t="s">
        <v>391</v>
      </c>
      <c r="J5031" s="74"/>
      <c r="K5031" s="74"/>
      <c r="L5031" s="74"/>
      <c r="M5031" s="74"/>
      <c r="N5031" s="74" t="s">
        <v>397</v>
      </c>
      <c r="O5031" s="74" t="s">
        <v>393</v>
      </c>
      <c r="P5031" s="74" t="s">
        <v>3282</v>
      </c>
      <c r="Q5031" s="74" t="s">
        <v>3283</v>
      </c>
    </row>
    <row r="5032" spans="3:17" x14ac:dyDescent="0.25">
      <c r="C5032" s="74" t="s">
        <v>3307</v>
      </c>
      <c r="D5032" s="74" t="s">
        <v>3308</v>
      </c>
      <c r="E5032" s="74" t="s">
        <v>391</v>
      </c>
      <c r="F5032" s="74">
        <v>0</v>
      </c>
      <c r="G5032" s="74"/>
      <c r="H5032" s="74"/>
      <c r="I5032" s="74" t="s">
        <v>391</v>
      </c>
      <c r="J5032" s="74"/>
      <c r="K5032" s="74"/>
      <c r="L5032" s="74"/>
      <c r="M5032" s="74"/>
      <c r="N5032" s="74" t="s">
        <v>397</v>
      </c>
      <c r="O5032" s="74" t="s">
        <v>393</v>
      </c>
      <c r="P5032" s="74" t="s">
        <v>3309</v>
      </c>
      <c r="Q5032" s="74" t="s">
        <v>3310</v>
      </c>
    </row>
    <row r="5033" spans="3:17" x14ac:dyDescent="0.25">
      <c r="C5033" s="74" t="s">
        <v>3372</v>
      </c>
      <c r="D5033" s="74" t="s">
        <v>3373</v>
      </c>
      <c r="E5033" s="74" t="s">
        <v>391</v>
      </c>
      <c r="F5033" s="74">
        <v>0</v>
      </c>
      <c r="G5033" s="74"/>
      <c r="H5033" s="74"/>
      <c r="I5033" s="74" t="s">
        <v>391</v>
      </c>
      <c r="J5033" s="74"/>
      <c r="K5033" s="74"/>
      <c r="L5033" s="74"/>
      <c r="M5033" s="74"/>
      <c r="N5033" s="74" t="s">
        <v>397</v>
      </c>
      <c r="O5033" s="74" t="s">
        <v>393</v>
      </c>
      <c r="P5033" s="74" t="s">
        <v>3374</v>
      </c>
      <c r="Q5033" s="74" t="s">
        <v>3375</v>
      </c>
    </row>
    <row r="5034" spans="3:17" x14ac:dyDescent="0.25">
      <c r="C5034" s="74" t="s">
        <v>3386</v>
      </c>
      <c r="D5034" s="74" t="s">
        <v>2894</v>
      </c>
      <c r="E5034" s="74" t="s">
        <v>391</v>
      </c>
      <c r="F5034" s="74">
        <v>0</v>
      </c>
      <c r="G5034" s="74"/>
      <c r="H5034" s="74"/>
      <c r="I5034" s="74" t="s">
        <v>391</v>
      </c>
      <c r="J5034" s="74"/>
      <c r="K5034" s="74"/>
      <c r="L5034" s="74"/>
      <c r="M5034" s="74"/>
      <c r="N5034" s="74" t="s">
        <v>397</v>
      </c>
      <c r="O5034" s="74" t="s">
        <v>393</v>
      </c>
      <c r="P5034" s="74"/>
      <c r="Q5034" s="74" t="s">
        <v>3387</v>
      </c>
    </row>
    <row r="5035" spans="3:17" x14ac:dyDescent="0.25">
      <c r="C5035" s="74" t="s">
        <v>3425</v>
      </c>
      <c r="D5035" s="74" t="s">
        <v>3426</v>
      </c>
      <c r="E5035" s="74" t="s">
        <v>391</v>
      </c>
      <c r="F5035" s="74">
        <v>0</v>
      </c>
      <c r="G5035" s="74"/>
      <c r="H5035" s="74"/>
      <c r="I5035" s="74" t="s">
        <v>391</v>
      </c>
      <c r="J5035" s="74"/>
      <c r="K5035" s="74">
        <v>102.4</v>
      </c>
      <c r="L5035" s="74">
        <v>92.16</v>
      </c>
      <c r="M5035" s="74"/>
      <c r="N5035" s="74" t="s">
        <v>392</v>
      </c>
      <c r="O5035" s="74" t="s">
        <v>393</v>
      </c>
      <c r="P5035" s="74"/>
      <c r="Q5035" s="74" t="s">
        <v>3427</v>
      </c>
    </row>
    <row r="5036" spans="3:17" x14ac:dyDescent="0.25">
      <c r="C5036" s="74" t="s">
        <v>3475</v>
      </c>
      <c r="D5036" s="74" t="s">
        <v>3476</v>
      </c>
      <c r="E5036" s="74" t="s">
        <v>391</v>
      </c>
      <c r="F5036" s="74">
        <v>0</v>
      </c>
      <c r="G5036" s="74"/>
      <c r="H5036" s="74"/>
      <c r="I5036" s="74" t="s">
        <v>391</v>
      </c>
      <c r="J5036" s="74"/>
      <c r="K5036" s="74">
        <v>102.4</v>
      </c>
      <c r="L5036" s="74">
        <v>92.16</v>
      </c>
      <c r="M5036" s="74"/>
      <c r="N5036" s="74" t="s">
        <v>392</v>
      </c>
      <c r="O5036" s="74" t="s">
        <v>393</v>
      </c>
      <c r="P5036" s="74"/>
      <c r="Q5036" s="74" t="s">
        <v>3477</v>
      </c>
    </row>
    <row r="5037" spans="3:17" x14ac:dyDescent="0.25">
      <c r="C5037" s="74" t="s">
        <v>3489</v>
      </c>
      <c r="D5037" s="74" t="s">
        <v>3490</v>
      </c>
      <c r="E5037" s="74" t="s">
        <v>391</v>
      </c>
      <c r="F5037" s="74">
        <v>0</v>
      </c>
      <c r="G5037" s="74"/>
      <c r="H5037" s="74"/>
      <c r="I5037" s="74" t="s">
        <v>391</v>
      </c>
      <c r="J5037" s="74"/>
      <c r="K5037" s="74"/>
      <c r="L5037" s="74"/>
      <c r="M5037" s="74"/>
      <c r="N5037" s="74" t="s">
        <v>397</v>
      </c>
      <c r="O5037" s="74" t="s">
        <v>393</v>
      </c>
      <c r="P5037" s="74" t="s">
        <v>3491</v>
      </c>
      <c r="Q5037" s="74" t="s">
        <v>3492</v>
      </c>
    </row>
    <row r="5038" spans="3:17" x14ac:dyDescent="0.25">
      <c r="C5038" s="74" t="s">
        <v>3510</v>
      </c>
      <c r="D5038" s="74" t="s">
        <v>3511</v>
      </c>
      <c r="E5038" s="74" t="s">
        <v>391</v>
      </c>
      <c r="F5038" s="74">
        <v>0</v>
      </c>
      <c r="G5038" s="74"/>
      <c r="H5038" s="74"/>
      <c r="I5038" s="74" t="s">
        <v>391</v>
      </c>
      <c r="J5038" s="74"/>
      <c r="K5038" s="74"/>
      <c r="L5038" s="74"/>
      <c r="M5038" s="74"/>
      <c r="N5038" s="74" t="s">
        <v>397</v>
      </c>
      <c r="O5038" s="74" t="s">
        <v>393</v>
      </c>
      <c r="P5038" s="74" t="s">
        <v>3512</v>
      </c>
      <c r="Q5038" s="74" t="s">
        <v>3513</v>
      </c>
    </row>
    <row r="5039" spans="3:17" x14ac:dyDescent="0.25">
      <c r="C5039" s="74" t="s">
        <v>3517</v>
      </c>
      <c r="D5039" s="74" t="s">
        <v>3518</v>
      </c>
      <c r="E5039" s="74" t="s">
        <v>391</v>
      </c>
      <c r="F5039" s="74">
        <v>0</v>
      </c>
      <c r="G5039" s="74"/>
      <c r="H5039" s="74"/>
      <c r="I5039" s="74" t="s">
        <v>391</v>
      </c>
      <c r="J5039" s="74"/>
      <c r="K5039" s="74"/>
      <c r="L5039" s="74"/>
      <c r="M5039" s="74"/>
      <c r="N5039" s="74" t="s">
        <v>397</v>
      </c>
      <c r="O5039" s="74" t="s">
        <v>393</v>
      </c>
      <c r="P5039" s="74" t="s">
        <v>3519</v>
      </c>
      <c r="Q5039" s="74" t="s">
        <v>3520</v>
      </c>
    </row>
    <row r="5040" spans="3:17" x14ac:dyDescent="0.25">
      <c r="C5040" s="74" t="s">
        <v>3554</v>
      </c>
      <c r="D5040" s="74" t="s">
        <v>3555</v>
      </c>
      <c r="E5040" s="74" t="s">
        <v>391</v>
      </c>
      <c r="F5040" s="74">
        <v>0</v>
      </c>
      <c r="G5040" s="74"/>
      <c r="H5040" s="74"/>
      <c r="I5040" s="74" t="s">
        <v>391</v>
      </c>
      <c r="J5040" s="74"/>
      <c r="K5040" s="74"/>
      <c r="L5040" s="74"/>
      <c r="M5040" s="74"/>
      <c r="N5040" s="74" t="s">
        <v>397</v>
      </c>
      <c r="O5040" s="74" t="s">
        <v>393</v>
      </c>
      <c r="P5040" s="74" t="s">
        <v>3556</v>
      </c>
      <c r="Q5040" s="74" t="s">
        <v>3557</v>
      </c>
    </row>
    <row r="5041" spans="3:17" x14ac:dyDescent="0.25">
      <c r="C5041" s="74" t="s">
        <v>3558</v>
      </c>
      <c r="D5041" s="74" t="s">
        <v>3559</v>
      </c>
      <c r="E5041" s="74" t="s">
        <v>391</v>
      </c>
      <c r="F5041" s="74">
        <v>0</v>
      </c>
      <c r="G5041" s="74"/>
      <c r="H5041" s="74"/>
      <c r="I5041" s="74" t="s">
        <v>391</v>
      </c>
      <c r="J5041" s="74"/>
      <c r="K5041" s="74"/>
      <c r="L5041" s="74"/>
      <c r="M5041" s="74"/>
      <c r="N5041" s="74" t="s">
        <v>397</v>
      </c>
      <c r="O5041" s="74" t="s">
        <v>393</v>
      </c>
      <c r="P5041" s="74" t="s">
        <v>3560</v>
      </c>
      <c r="Q5041" s="74" t="s">
        <v>3561</v>
      </c>
    </row>
    <row r="5042" spans="3:17" x14ac:dyDescent="0.25">
      <c r="C5042" s="74" t="s">
        <v>3575</v>
      </c>
      <c r="D5042" s="74" t="s">
        <v>3576</v>
      </c>
      <c r="E5042" s="74" t="s">
        <v>391</v>
      </c>
      <c r="F5042" s="74">
        <v>0</v>
      </c>
      <c r="G5042" s="74"/>
      <c r="H5042" s="74"/>
      <c r="I5042" s="74" t="s">
        <v>391</v>
      </c>
      <c r="J5042" s="74"/>
      <c r="K5042" s="74"/>
      <c r="L5042" s="74"/>
      <c r="M5042" s="74"/>
      <c r="N5042" s="74" t="s">
        <v>397</v>
      </c>
      <c r="O5042" s="74" t="s">
        <v>393</v>
      </c>
      <c r="P5042" s="74" t="s">
        <v>3577</v>
      </c>
      <c r="Q5042" s="74" t="s">
        <v>3578</v>
      </c>
    </row>
    <row r="5043" spans="3:17" x14ac:dyDescent="0.25">
      <c r="C5043" s="74" t="s">
        <v>3596</v>
      </c>
      <c r="D5043" s="74" t="s">
        <v>3597</v>
      </c>
      <c r="E5043" s="74" t="s">
        <v>391</v>
      </c>
      <c r="F5043" s="74">
        <v>0</v>
      </c>
      <c r="G5043" s="74"/>
      <c r="H5043" s="74"/>
      <c r="I5043" s="74" t="s">
        <v>391</v>
      </c>
      <c r="J5043" s="74"/>
      <c r="K5043" s="74"/>
      <c r="L5043" s="74"/>
      <c r="M5043" s="74"/>
      <c r="N5043" s="74" t="s">
        <v>397</v>
      </c>
      <c r="O5043" s="74" t="s">
        <v>393</v>
      </c>
      <c r="P5043" s="74" t="s">
        <v>3598</v>
      </c>
      <c r="Q5043" s="74" t="s">
        <v>3599</v>
      </c>
    </row>
    <row r="5044" spans="3:17" x14ac:dyDescent="0.25">
      <c r="C5044" s="74" t="s">
        <v>3603</v>
      </c>
      <c r="D5044" s="74" t="s">
        <v>3604</v>
      </c>
      <c r="E5044" s="74" t="s">
        <v>391</v>
      </c>
      <c r="F5044" s="74">
        <v>0</v>
      </c>
      <c r="G5044" s="74"/>
      <c r="H5044" s="74"/>
      <c r="I5044" s="74" t="s">
        <v>391</v>
      </c>
      <c r="J5044" s="74"/>
      <c r="K5044" s="74">
        <v>102.4</v>
      </c>
      <c r="L5044" s="74">
        <v>92.16</v>
      </c>
      <c r="M5044" s="74"/>
      <c r="N5044" s="74" t="s">
        <v>392</v>
      </c>
      <c r="O5044" s="74" t="s">
        <v>393</v>
      </c>
      <c r="P5044" s="74"/>
      <c r="Q5044" s="74" t="s">
        <v>3605</v>
      </c>
    </row>
    <row r="5045" spans="3:17" x14ac:dyDescent="0.25">
      <c r="C5045" s="74" t="s">
        <v>3613</v>
      </c>
      <c r="D5045" s="74" t="s">
        <v>3614</v>
      </c>
      <c r="E5045" s="74" t="s">
        <v>391</v>
      </c>
      <c r="F5045" s="74">
        <v>0</v>
      </c>
      <c r="G5045" s="74"/>
      <c r="H5045" s="74"/>
      <c r="I5045" s="74" t="s">
        <v>391</v>
      </c>
      <c r="J5045" s="74"/>
      <c r="K5045" s="74"/>
      <c r="L5045" s="74"/>
      <c r="M5045" s="74"/>
      <c r="N5045" s="74" t="s">
        <v>397</v>
      </c>
      <c r="O5045" s="74" t="s">
        <v>393</v>
      </c>
      <c r="P5045" s="74" t="s">
        <v>3615</v>
      </c>
      <c r="Q5045" s="74" t="s">
        <v>3616</v>
      </c>
    </row>
    <row r="5046" spans="3:17" x14ac:dyDescent="0.25">
      <c r="C5046" s="74" t="s">
        <v>3632</v>
      </c>
      <c r="D5046" s="74" t="s">
        <v>3633</v>
      </c>
      <c r="E5046" s="74" t="s">
        <v>391</v>
      </c>
      <c r="F5046" s="74">
        <v>0</v>
      </c>
      <c r="G5046" s="74"/>
      <c r="H5046" s="74"/>
      <c r="I5046" s="74" t="s">
        <v>391</v>
      </c>
      <c r="J5046" s="74"/>
      <c r="K5046" s="74">
        <v>102.4</v>
      </c>
      <c r="L5046" s="74">
        <v>92.16</v>
      </c>
      <c r="M5046" s="74"/>
      <c r="N5046" s="74" t="s">
        <v>392</v>
      </c>
      <c r="O5046" s="74" t="s">
        <v>393</v>
      </c>
      <c r="P5046" s="74"/>
      <c r="Q5046" s="74" t="s">
        <v>3634</v>
      </c>
    </row>
    <row r="5047" spans="3:17" x14ac:dyDescent="0.25">
      <c r="C5047" s="74" t="s">
        <v>3644</v>
      </c>
      <c r="D5047" s="74" t="s">
        <v>2898</v>
      </c>
      <c r="E5047" s="74" t="s">
        <v>391</v>
      </c>
      <c r="F5047" s="74">
        <v>0</v>
      </c>
      <c r="G5047" s="74"/>
      <c r="H5047" s="74"/>
      <c r="I5047" s="74" t="s">
        <v>391</v>
      </c>
      <c r="J5047" s="74"/>
      <c r="K5047" s="74"/>
      <c r="L5047" s="74"/>
      <c r="M5047" s="74"/>
      <c r="N5047" s="74" t="s">
        <v>397</v>
      </c>
      <c r="O5047" s="74" t="s">
        <v>393</v>
      </c>
      <c r="P5047" s="74" t="s">
        <v>3645</v>
      </c>
      <c r="Q5047" s="74" t="s">
        <v>3646</v>
      </c>
    </row>
    <row r="5048" spans="3:17" x14ac:dyDescent="0.25">
      <c r="C5048" s="74" t="s">
        <v>3669</v>
      </c>
      <c r="D5048" s="74" t="s">
        <v>3670</v>
      </c>
      <c r="E5048" s="74" t="s">
        <v>391</v>
      </c>
      <c r="F5048" s="74">
        <v>0</v>
      </c>
      <c r="G5048" s="74"/>
      <c r="H5048" s="74"/>
      <c r="I5048" s="74" t="s">
        <v>391</v>
      </c>
      <c r="J5048" s="74"/>
      <c r="K5048" s="74">
        <v>102.4</v>
      </c>
      <c r="L5048" s="74">
        <v>92.16</v>
      </c>
      <c r="M5048" s="74"/>
      <c r="N5048" s="74" t="s">
        <v>392</v>
      </c>
      <c r="O5048" s="74" t="s">
        <v>393</v>
      </c>
      <c r="P5048" s="74"/>
      <c r="Q5048" s="74" t="s">
        <v>3671</v>
      </c>
    </row>
    <row r="5049" spans="3:17" x14ac:dyDescent="0.25">
      <c r="C5049" s="74" t="s">
        <v>3686</v>
      </c>
      <c r="D5049" s="74" t="s">
        <v>3687</v>
      </c>
      <c r="E5049" s="74" t="s">
        <v>391</v>
      </c>
      <c r="F5049" s="74">
        <v>0</v>
      </c>
      <c r="G5049" s="74"/>
      <c r="H5049" s="74"/>
      <c r="I5049" s="74" t="s">
        <v>391</v>
      </c>
      <c r="J5049" s="74"/>
      <c r="K5049" s="74"/>
      <c r="L5049" s="74"/>
      <c r="M5049" s="74"/>
      <c r="N5049" s="74" t="s">
        <v>397</v>
      </c>
      <c r="O5049" s="74" t="s">
        <v>393</v>
      </c>
      <c r="P5049" s="74"/>
      <c r="Q5049" s="74" t="s">
        <v>3688</v>
      </c>
    </row>
    <row r="5050" spans="3:17" x14ac:dyDescent="0.25">
      <c r="C5050" s="74" t="s">
        <v>3810</v>
      </c>
      <c r="D5050" s="74" t="s">
        <v>3811</v>
      </c>
      <c r="E5050" s="74" t="s">
        <v>391</v>
      </c>
      <c r="F5050" s="74">
        <v>0</v>
      </c>
      <c r="G5050" s="74"/>
      <c r="H5050" s="74"/>
      <c r="I5050" s="74" t="s">
        <v>391</v>
      </c>
      <c r="J5050" s="74"/>
      <c r="K5050" s="74">
        <v>102.4</v>
      </c>
      <c r="L5050" s="74">
        <v>92.16</v>
      </c>
      <c r="M5050" s="74"/>
      <c r="N5050" s="74" t="s">
        <v>392</v>
      </c>
      <c r="O5050" s="74" t="s">
        <v>393</v>
      </c>
      <c r="P5050" s="74"/>
      <c r="Q5050" s="74" t="s">
        <v>3812</v>
      </c>
    </row>
    <row r="5051" spans="3:17" x14ac:dyDescent="0.25">
      <c r="C5051" s="74" t="s">
        <v>3821</v>
      </c>
      <c r="D5051" s="74" t="s">
        <v>3822</v>
      </c>
      <c r="E5051" s="74" t="s">
        <v>391</v>
      </c>
      <c r="F5051" s="74">
        <v>0</v>
      </c>
      <c r="G5051" s="74"/>
      <c r="H5051" s="74"/>
      <c r="I5051" s="74" t="s">
        <v>391</v>
      </c>
      <c r="J5051" s="74"/>
      <c r="K5051" s="74">
        <v>102.4</v>
      </c>
      <c r="L5051" s="74">
        <v>92.16</v>
      </c>
      <c r="M5051" s="74"/>
      <c r="N5051" s="74" t="s">
        <v>392</v>
      </c>
      <c r="O5051" s="74" t="s">
        <v>393</v>
      </c>
      <c r="P5051" s="74"/>
      <c r="Q5051" s="74" t="s">
        <v>3823</v>
      </c>
    </row>
    <row r="5052" spans="3:17" x14ac:dyDescent="0.25">
      <c r="C5052" s="74" t="s">
        <v>3843</v>
      </c>
      <c r="D5052" s="74" t="s">
        <v>2856</v>
      </c>
      <c r="E5052" s="74" t="s">
        <v>391</v>
      </c>
      <c r="F5052" s="74">
        <v>0</v>
      </c>
      <c r="G5052" s="74"/>
      <c r="H5052" s="74"/>
      <c r="I5052" s="74" t="s">
        <v>391</v>
      </c>
      <c r="J5052" s="74"/>
      <c r="K5052" s="74"/>
      <c r="L5052" s="74"/>
      <c r="M5052" s="74"/>
      <c r="N5052" s="74" t="s">
        <v>397</v>
      </c>
      <c r="O5052" s="74" t="s">
        <v>393</v>
      </c>
      <c r="P5052" s="74"/>
      <c r="Q5052" s="74" t="s">
        <v>3844</v>
      </c>
    </row>
    <row r="5053" spans="3:17" x14ac:dyDescent="0.25">
      <c r="C5053" s="74" t="s">
        <v>3849</v>
      </c>
      <c r="D5053" s="74" t="s">
        <v>3850</v>
      </c>
      <c r="E5053" s="74" t="s">
        <v>391</v>
      </c>
      <c r="F5053" s="74">
        <v>0</v>
      </c>
      <c r="G5053" s="74"/>
      <c r="H5053" s="74"/>
      <c r="I5053" s="74" t="s">
        <v>391</v>
      </c>
      <c r="J5053" s="74"/>
      <c r="K5053" s="74"/>
      <c r="L5053" s="74"/>
      <c r="M5053" s="74"/>
      <c r="N5053" s="74" t="s">
        <v>397</v>
      </c>
      <c r="O5053" s="74" t="s">
        <v>393</v>
      </c>
      <c r="P5053" s="74" t="s">
        <v>3851</v>
      </c>
      <c r="Q5053" s="74" t="s">
        <v>3852</v>
      </c>
    </row>
    <row r="5054" spans="3:17" x14ac:dyDescent="0.25">
      <c r="C5054" s="74" t="s">
        <v>3853</v>
      </c>
      <c r="D5054" s="74" t="s">
        <v>3854</v>
      </c>
      <c r="E5054" s="74" t="s">
        <v>391</v>
      </c>
      <c r="F5054" s="74">
        <v>0</v>
      </c>
      <c r="G5054" s="74"/>
      <c r="H5054" s="74"/>
      <c r="I5054" s="74" t="s">
        <v>391</v>
      </c>
      <c r="J5054" s="74"/>
      <c r="K5054" s="74"/>
      <c r="L5054" s="74"/>
      <c r="M5054" s="74"/>
      <c r="N5054" s="74" t="s">
        <v>397</v>
      </c>
      <c r="O5054" s="74" t="s">
        <v>393</v>
      </c>
      <c r="P5054" s="74" t="s">
        <v>3855</v>
      </c>
      <c r="Q5054" s="74" t="s">
        <v>3856</v>
      </c>
    </row>
    <row r="5055" spans="3:17" x14ac:dyDescent="0.25">
      <c r="C5055" s="74" t="s">
        <v>3861</v>
      </c>
      <c r="D5055" s="74" t="s">
        <v>3862</v>
      </c>
      <c r="E5055" s="74" t="s">
        <v>391</v>
      </c>
      <c r="F5055" s="74">
        <v>0</v>
      </c>
      <c r="G5055" s="74"/>
      <c r="H5055" s="74"/>
      <c r="I5055" s="74" t="s">
        <v>391</v>
      </c>
      <c r="J5055" s="74"/>
      <c r="K5055" s="74"/>
      <c r="L5055" s="74"/>
      <c r="M5055" s="74"/>
      <c r="N5055" s="74" t="s">
        <v>397</v>
      </c>
      <c r="O5055" s="74" t="s">
        <v>393</v>
      </c>
      <c r="P5055" s="74"/>
      <c r="Q5055" s="74" t="s">
        <v>3863</v>
      </c>
    </row>
    <row r="5056" spans="3:17" x14ac:dyDescent="0.25">
      <c r="C5056" s="74" t="s">
        <v>3875</v>
      </c>
      <c r="D5056" s="74" t="s">
        <v>3876</v>
      </c>
      <c r="E5056" s="74" t="s">
        <v>391</v>
      </c>
      <c r="F5056" s="74">
        <v>0</v>
      </c>
      <c r="G5056" s="74"/>
      <c r="H5056" s="74"/>
      <c r="I5056" s="74" t="s">
        <v>391</v>
      </c>
      <c r="J5056" s="74"/>
      <c r="K5056" s="74"/>
      <c r="L5056" s="74"/>
      <c r="M5056" s="74"/>
      <c r="N5056" s="74" t="s">
        <v>397</v>
      </c>
      <c r="O5056" s="74" t="s">
        <v>393</v>
      </c>
      <c r="P5056" s="74" t="s">
        <v>3877</v>
      </c>
      <c r="Q5056" s="74" t="s">
        <v>3878</v>
      </c>
    </row>
    <row r="5057" spans="3:17" x14ac:dyDescent="0.25">
      <c r="C5057" s="74" t="s">
        <v>3897</v>
      </c>
      <c r="D5057" s="74" t="s">
        <v>3898</v>
      </c>
      <c r="E5057" s="74" t="s">
        <v>391</v>
      </c>
      <c r="F5057" s="74">
        <v>0</v>
      </c>
      <c r="G5057" s="74"/>
      <c r="H5057" s="74"/>
      <c r="I5057" s="74" t="s">
        <v>391</v>
      </c>
      <c r="J5057" s="74"/>
      <c r="K5057" s="74"/>
      <c r="L5057" s="74"/>
      <c r="M5057" s="74"/>
      <c r="N5057" s="74" t="s">
        <v>397</v>
      </c>
      <c r="O5057" s="74" t="s">
        <v>393</v>
      </c>
      <c r="P5057" s="74" t="s">
        <v>3899</v>
      </c>
      <c r="Q5057" s="74" t="s">
        <v>3900</v>
      </c>
    </row>
    <row r="5058" spans="3:17" x14ac:dyDescent="0.25">
      <c r="C5058" s="74" t="s">
        <v>3919</v>
      </c>
      <c r="D5058" s="74" t="s">
        <v>3920</v>
      </c>
      <c r="E5058" s="74" t="s">
        <v>391</v>
      </c>
      <c r="F5058" s="74">
        <v>0</v>
      </c>
      <c r="G5058" s="74"/>
      <c r="H5058" s="74"/>
      <c r="I5058" s="74" t="s">
        <v>391</v>
      </c>
      <c r="J5058" s="74"/>
      <c r="K5058" s="74"/>
      <c r="L5058" s="74"/>
      <c r="M5058" s="74"/>
      <c r="N5058" s="74" t="s">
        <v>397</v>
      </c>
      <c r="O5058" s="74" t="s">
        <v>393</v>
      </c>
      <c r="P5058" s="74"/>
      <c r="Q5058" s="74" t="s">
        <v>3921</v>
      </c>
    </row>
    <row r="5059" spans="3:17" x14ac:dyDescent="0.25">
      <c r="C5059" s="74" t="s">
        <v>3925</v>
      </c>
      <c r="D5059" s="74" t="s">
        <v>3926</v>
      </c>
      <c r="E5059" s="74" t="s">
        <v>391</v>
      </c>
      <c r="F5059" s="74">
        <v>0</v>
      </c>
      <c r="G5059" s="74"/>
      <c r="H5059" s="74"/>
      <c r="I5059" s="74" t="s">
        <v>391</v>
      </c>
      <c r="J5059" s="74"/>
      <c r="K5059" s="74">
        <v>102.4</v>
      </c>
      <c r="L5059" s="74">
        <v>92.16</v>
      </c>
      <c r="M5059" s="74"/>
      <c r="N5059" s="74" t="s">
        <v>392</v>
      </c>
      <c r="O5059" s="74" t="s">
        <v>393</v>
      </c>
      <c r="P5059" s="74"/>
      <c r="Q5059" s="74" t="s">
        <v>3927</v>
      </c>
    </row>
    <row r="5060" spans="3:17" x14ac:dyDescent="0.25">
      <c r="C5060" s="74" t="s">
        <v>3939</v>
      </c>
      <c r="D5060" s="74" t="s">
        <v>3940</v>
      </c>
      <c r="E5060" s="74"/>
      <c r="F5060" s="74">
        <v>0</v>
      </c>
      <c r="G5060" s="74"/>
      <c r="H5060" s="74"/>
      <c r="I5060" s="74" t="s">
        <v>391</v>
      </c>
      <c r="J5060" s="74"/>
      <c r="K5060" s="74"/>
      <c r="L5060" s="74"/>
      <c r="M5060" s="74"/>
      <c r="N5060" s="74" t="s">
        <v>397</v>
      </c>
      <c r="O5060" s="74" t="s">
        <v>402</v>
      </c>
      <c r="P5060" s="74" t="s">
        <v>3941</v>
      </c>
      <c r="Q5060" s="74" t="s">
        <v>3942</v>
      </c>
    </row>
    <row r="5061" spans="3:17" x14ac:dyDescent="0.25">
      <c r="C5061" s="74" t="s">
        <v>3943</v>
      </c>
      <c r="D5061" s="74" t="s">
        <v>3944</v>
      </c>
      <c r="E5061" s="74" t="s">
        <v>391</v>
      </c>
      <c r="F5061" s="74">
        <v>0</v>
      </c>
      <c r="G5061" s="74"/>
      <c r="H5061" s="74"/>
      <c r="I5061" s="74" t="s">
        <v>391</v>
      </c>
      <c r="J5061" s="74"/>
      <c r="K5061" s="74">
        <v>102.4</v>
      </c>
      <c r="L5061" s="74">
        <v>92.16</v>
      </c>
      <c r="M5061" s="74"/>
      <c r="N5061" s="74" t="s">
        <v>392</v>
      </c>
      <c r="O5061" s="74" t="s">
        <v>393</v>
      </c>
      <c r="P5061" s="74"/>
      <c r="Q5061" s="74" t="s">
        <v>3944</v>
      </c>
    </row>
    <row r="5062" spans="3:17" x14ac:dyDescent="0.25">
      <c r="C5062" s="74" t="s">
        <v>3950</v>
      </c>
      <c r="D5062" s="74" t="s">
        <v>3951</v>
      </c>
      <c r="E5062" s="74" t="s">
        <v>391</v>
      </c>
      <c r="F5062" s="74">
        <v>0</v>
      </c>
      <c r="G5062" s="74"/>
      <c r="H5062" s="74"/>
      <c r="I5062" s="74" t="s">
        <v>391</v>
      </c>
      <c r="J5062" s="74"/>
      <c r="K5062" s="74"/>
      <c r="L5062" s="74"/>
      <c r="M5062" s="74"/>
      <c r="N5062" s="74" t="s">
        <v>397</v>
      </c>
      <c r="O5062" s="74" t="s">
        <v>393</v>
      </c>
      <c r="P5062" s="74" t="s">
        <v>3952</v>
      </c>
      <c r="Q5062" s="74" t="s">
        <v>3953</v>
      </c>
    </row>
    <row r="5063" spans="3:17" x14ac:dyDescent="0.25">
      <c r="C5063" s="74" t="s">
        <v>3984</v>
      </c>
      <c r="D5063" s="74" t="s">
        <v>3985</v>
      </c>
      <c r="E5063" s="74" t="s">
        <v>391</v>
      </c>
      <c r="F5063" s="74">
        <v>0</v>
      </c>
      <c r="G5063" s="74"/>
      <c r="H5063" s="74"/>
      <c r="I5063" s="74" t="s">
        <v>391</v>
      </c>
      <c r="J5063" s="74"/>
      <c r="K5063" s="74"/>
      <c r="L5063" s="74"/>
      <c r="M5063" s="74"/>
      <c r="N5063" s="74" t="s">
        <v>397</v>
      </c>
      <c r="O5063" s="74" t="s">
        <v>393</v>
      </c>
      <c r="P5063" s="74" t="s">
        <v>3986</v>
      </c>
      <c r="Q5063" s="74" t="s">
        <v>3987</v>
      </c>
    </row>
    <row r="5064" spans="3:17" x14ac:dyDescent="0.25">
      <c r="C5064" s="74" t="s">
        <v>3988</v>
      </c>
      <c r="D5064" s="74" t="s">
        <v>3989</v>
      </c>
      <c r="E5064" s="74"/>
      <c r="F5064" s="74">
        <v>0</v>
      </c>
      <c r="G5064" s="74"/>
      <c r="H5064" s="74"/>
      <c r="I5064" s="74" t="s">
        <v>391</v>
      </c>
      <c r="J5064" s="74"/>
      <c r="K5064" s="74">
        <v>102.4</v>
      </c>
      <c r="L5064" s="74">
        <v>92.16</v>
      </c>
      <c r="M5064" s="74"/>
      <c r="N5064" s="74" t="s">
        <v>392</v>
      </c>
      <c r="O5064" s="74" t="s">
        <v>402</v>
      </c>
      <c r="P5064" s="74"/>
      <c r="Q5064" s="74" t="s">
        <v>3990</v>
      </c>
    </row>
    <row r="5065" spans="3:17" x14ac:dyDescent="0.25">
      <c r="C5065" s="74" t="s">
        <v>3991</v>
      </c>
      <c r="D5065" s="74" t="s">
        <v>3992</v>
      </c>
      <c r="E5065" s="74" t="s">
        <v>391</v>
      </c>
      <c r="F5065" s="74">
        <v>0</v>
      </c>
      <c r="G5065" s="74"/>
      <c r="H5065" s="74"/>
      <c r="I5065" s="74" t="s">
        <v>391</v>
      </c>
      <c r="J5065" s="74"/>
      <c r="K5065" s="74"/>
      <c r="L5065" s="74"/>
      <c r="M5065" s="74"/>
      <c r="N5065" s="74" t="s">
        <v>397</v>
      </c>
      <c r="O5065" s="74" t="s">
        <v>393</v>
      </c>
      <c r="P5065" s="74" t="s">
        <v>3993</v>
      </c>
      <c r="Q5065" s="74" t="s">
        <v>3994</v>
      </c>
    </row>
    <row r="5066" spans="3:17" x14ac:dyDescent="0.25">
      <c r="C5066" s="74" t="s">
        <v>4011</v>
      </c>
      <c r="D5066" s="74" t="s">
        <v>4012</v>
      </c>
      <c r="E5066" s="74" t="s">
        <v>391</v>
      </c>
      <c r="F5066" s="74">
        <v>0</v>
      </c>
      <c r="G5066" s="74"/>
      <c r="H5066" s="74"/>
      <c r="I5066" s="74" t="s">
        <v>391</v>
      </c>
      <c r="J5066" s="74"/>
      <c r="K5066" s="74"/>
      <c r="L5066" s="74"/>
      <c r="M5066" s="74"/>
      <c r="N5066" s="74" t="s">
        <v>397</v>
      </c>
      <c r="O5066" s="74" t="s">
        <v>393</v>
      </c>
      <c r="P5066" s="74" t="s">
        <v>4013</v>
      </c>
      <c r="Q5066" s="74" t="s">
        <v>4014</v>
      </c>
    </row>
    <row r="5067" spans="3:17" x14ac:dyDescent="0.25">
      <c r="C5067" s="74" t="s">
        <v>4026</v>
      </c>
      <c r="D5067" s="74" t="s">
        <v>4027</v>
      </c>
      <c r="E5067" s="74" t="s">
        <v>391</v>
      </c>
      <c r="F5067" s="74">
        <v>0</v>
      </c>
      <c r="G5067" s="74"/>
      <c r="H5067" s="74"/>
      <c r="I5067" s="74" t="s">
        <v>391</v>
      </c>
      <c r="J5067" s="74"/>
      <c r="K5067" s="74">
        <v>102.4</v>
      </c>
      <c r="L5067" s="74">
        <v>92.16</v>
      </c>
      <c r="M5067" s="74"/>
      <c r="N5067" s="74" t="s">
        <v>392</v>
      </c>
      <c r="O5067" s="74" t="s">
        <v>393</v>
      </c>
      <c r="P5067" s="74"/>
      <c r="Q5067" s="74" t="s">
        <v>4028</v>
      </c>
    </row>
    <row r="5068" spans="3:17" x14ac:dyDescent="0.25">
      <c r="C5068" s="74" t="s">
        <v>4043</v>
      </c>
      <c r="D5068" s="74" t="s">
        <v>4044</v>
      </c>
      <c r="E5068" s="74" t="s">
        <v>391</v>
      </c>
      <c r="F5068" s="74">
        <v>0</v>
      </c>
      <c r="G5068" s="74"/>
      <c r="H5068" s="74"/>
      <c r="I5068" s="74" t="s">
        <v>391</v>
      </c>
      <c r="J5068" s="74"/>
      <c r="K5068" s="74"/>
      <c r="L5068" s="74"/>
      <c r="M5068" s="74"/>
      <c r="N5068" s="74" t="s">
        <v>397</v>
      </c>
      <c r="O5068" s="74" t="s">
        <v>393</v>
      </c>
      <c r="P5068" s="74" t="s">
        <v>4045</v>
      </c>
      <c r="Q5068" s="74" t="s">
        <v>4046</v>
      </c>
    </row>
    <row r="5069" spans="3:17" x14ac:dyDescent="0.25">
      <c r="C5069" s="74" t="s">
        <v>4081</v>
      </c>
      <c r="D5069" s="74" t="s">
        <v>4082</v>
      </c>
      <c r="E5069" s="74" t="s">
        <v>391</v>
      </c>
      <c r="F5069" s="74">
        <v>0</v>
      </c>
      <c r="G5069" s="74"/>
      <c r="H5069" s="74"/>
      <c r="I5069" s="74" t="s">
        <v>391</v>
      </c>
      <c r="J5069" s="74"/>
      <c r="K5069" s="74">
        <v>102.4</v>
      </c>
      <c r="L5069" s="74">
        <v>92.16</v>
      </c>
      <c r="M5069" s="74"/>
      <c r="N5069" s="74" t="s">
        <v>392</v>
      </c>
      <c r="O5069" s="74" t="s">
        <v>393</v>
      </c>
      <c r="P5069" s="74"/>
      <c r="Q5069" s="74" t="s">
        <v>4083</v>
      </c>
    </row>
    <row r="5070" spans="3:17" x14ac:dyDescent="0.25">
      <c r="C5070" s="74" t="s">
        <v>4119</v>
      </c>
      <c r="D5070" s="74" t="s">
        <v>4120</v>
      </c>
      <c r="E5070" s="74" t="s">
        <v>391</v>
      </c>
      <c r="F5070" s="74">
        <v>0</v>
      </c>
      <c r="G5070" s="74"/>
      <c r="H5070" s="74"/>
      <c r="I5070" s="74" t="s">
        <v>391</v>
      </c>
      <c r="J5070" s="74"/>
      <c r="K5070" s="74"/>
      <c r="L5070" s="74"/>
      <c r="M5070" s="74"/>
      <c r="N5070" s="74" t="s">
        <v>397</v>
      </c>
      <c r="O5070" s="74" t="s">
        <v>393</v>
      </c>
      <c r="P5070" s="74" t="s">
        <v>4121</v>
      </c>
      <c r="Q5070" s="74" t="s">
        <v>4122</v>
      </c>
    </row>
    <row r="5071" spans="3:17" x14ac:dyDescent="0.25">
      <c r="C5071" s="74" t="s">
        <v>4157</v>
      </c>
      <c r="D5071" s="74" t="s">
        <v>4158</v>
      </c>
      <c r="E5071" s="74" t="s">
        <v>391</v>
      </c>
      <c r="F5071" s="74">
        <v>0</v>
      </c>
      <c r="G5071" s="74"/>
      <c r="H5071" s="74"/>
      <c r="I5071" s="74" t="s">
        <v>391</v>
      </c>
      <c r="J5071" s="74"/>
      <c r="K5071" s="74"/>
      <c r="L5071" s="74"/>
      <c r="M5071" s="74"/>
      <c r="N5071" s="74" t="s">
        <v>397</v>
      </c>
      <c r="O5071" s="74" t="s">
        <v>402</v>
      </c>
      <c r="P5071" s="74" t="s">
        <v>4159</v>
      </c>
      <c r="Q5071" s="74" t="s">
        <v>4160</v>
      </c>
    </row>
    <row r="5072" spans="3:17" x14ac:dyDescent="0.25">
      <c r="C5072" s="74" t="s">
        <v>4219</v>
      </c>
      <c r="D5072" s="74" t="s">
        <v>4220</v>
      </c>
      <c r="E5072" s="74" t="s">
        <v>391</v>
      </c>
      <c r="F5072" s="74">
        <v>0</v>
      </c>
      <c r="G5072" s="74"/>
      <c r="H5072" s="74"/>
      <c r="I5072" s="74" t="s">
        <v>391</v>
      </c>
      <c r="J5072" s="74"/>
      <c r="K5072" s="74"/>
      <c r="L5072" s="74"/>
      <c r="M5072" s="74"/>
      <c r="N5072" s="74" t="s">
        <v>397</v>
      </c>
      <c r="O5072" s="74" t="s">
        <v>393</v>
      </c>
      <c r="P5072" s="74" t="s">
        <v>4221</v>
      </c>
      <c r="Q5072" s="74" t="s">
        <v>4222</v>
      </c>
    </row>
    <row r="5073" spans="3:17" x14ac:dyDescent="0.25">
      <c r="C5073" s="74" t="s">
        <v>4223</v>
      </c>
      <c r="D5073" s="74" t="s">
        <v>4224</v>
      </c>
      <c r="E5073" s="74" t="s">
        <v>391</v>
      </c>
      <c r="F5073" s="74">
        <v>0</v>
      </c>
      <c r="G5073" s="74"/>
      <c r="H5073" s="74"/>
      <c r="I5073" s="74" t="s">
        <v>391</v>
      </c>
      <c r="J5073" s="74"/>
      <c r="K5073" s="74"/>
      <c r="L5073" s="74"/>
      <c r="M5073" s="74"/>
      <c r="N5073" s="74" t="s">
        <v>397</v>
      </c>
      <c r="O5073" s="74" t="s">
        <v>393</v>
      </c>
      <c r="P5073" s="74" t="s">
        <v>4225</v>
      </c>
      <c r="Q5073" s="74" t="s">
        <v>4226</v>
      </c>
    </row>
    <row r="5074" spans="3:17" x14ac:dyDescent="0.25">
      <c r="C5074" s="74" t="s">
        <v>4227</v>
      </c>
      <c r="D5074" s="74" t="s">
        <v>4228</v>
      </c>
      <c r="E5074" s="74" t="s">
        <v>391</v>
      </c>
      <c r="F5074" s="74">
        <v>0</v>
      </c>
      <c r="G5074" s="74"/>
      <c r="H5074" s="74"/>
      <c r="I5074" s="74" t="s">
        <v>391</v>
      </c>
      <c r="J5074" s="74"/>
      <c r="K5074" s="74"/>
      <c r="L5074" s="74"/>
      <c r="M5074" s="74"/>
      <c r="N5074" s="74" t="s">
        <v>397</v>
      </c>
      <c r="O5074" s="74" t="s">
        <v>393</v>
      </c>
      <c r="P5074" s="74" t="s">
        <v>4229</v>
      </c>
      <c r="Q5074" s="74" t="s">
        <v>4230</v>
      </c>
    </row>
    <row r="5075" spans="3:17" x14ac:dyDescent="0.25">
      <c r="C5075" s="74" t="s">
        <v>4249</v>
      </c>
      <c r="D5075" s="74" t="s">
        <v>4250</v>
      </c>
      <c r="E5075" s="74"/>
      <c r="F5075" s="74">
        <v>0</v>
      </c>
      <c r="G5075" s="74"/>
      <c r="H5075" s="74"/>
      <c r="I5075" s="74" t="s">
        <v>391</v>
      </c>
      <c r="J5075" s="74"/>
      <c r="K5075" s="74"/>
      <c r="L5075" s="74"/>
      <c r="M5075" s="74"/>
      <c r="N5075" s="74" t="s">
        <v>397</v>
      </c>
      <c r="O5075" s="74" t="s">
        <v>535</v>
      </c>
      <c r="P5075" s="74" t="s">
        <v>4251</v>
      </c>
      <c r="Q5075" s="74" t="s">
        <v>4252</v>
      </c>
    </row>
    <row r="5076" spans="3:17" x14ac:dyDescent="0.25">
      <c r="C5076" s="74" t="s">
        <v>4297</v>
      </c>
      <c r="D5076" s="74" t="s">
        <v>4298</v>
      </c>
      <c r="E5076" s="74" t="s">
        <v>391</v>
      </c>
      <c r="F5076" s="74">
        <v>0</v>
      </c>
      <c r="G5076" s="74"/>
      <c r="H5076" s="74"/>
      <c r="I5076" s="74" t="s">
        <v>391</v>
      </c>
      <c r="J5076" s="74"/>
      <c r="K5076" s="74"/>
      <c r="L5076" s="74"/>
      <c r="M5076" s="74"/>
      <c r="N5076" s="74" t="s">
        <v>397</v>
      </c>
      <c r="O5076" s="74" t="s">
        <v>393</v>
      </c>
      <c r="P5076" s="74" t="s">
        <v>4299</v>
      </c>
      <c r="Q5076" s="74" t="s">
        <v>4300</v>
      </c>
    </row>
    <row r="5077" spans="3:17" x14ac:dyDescent="0.25">
      <c r="C5077" s="74" t="s">
        <v>4345</v>
      </c>
      <c r="D5077" s="74" t="s">
        <v>4346</v>
      </c>
      <c r="E5077" s="74" t="s">
        <v>391</v>
      </c>
      <c r="F5077" s="74">
        <v>0</v>
      </c>
      <c r="G5077" s="74"/>
      <c r="H5077" s="74"/>
      <c r="I5077" s="74" t="s">
        <v>391</v>
      </c>
      <c r="J5077" s="74"/>
      <c r="K5077" s="74"/>
      <c r="L5077" s="74"/>
      <c r="M5077" s="74"/>
      <c r="N5077" s="74" t="s">
        <v>397</v>
      </c>
      <c r="O5077" s="74" t="s">
        <v>393</v>
      </c>
      <c r="P5077" s="74" t="s">
        <v>4347</v>
      </c>
      <c r="Q5077" s="74" t="s">
        <v>4348</v>
      </c>
    </row>
    <row r="5078" spans="3:17" x14ac:dyDescent="0.25">
      <c r="C5078" s="74" t="s">
        <v>4365</v>
      </c>
      <c r="D5078" s="74" t="s">
        <v>4366</v>
      </c>
      <c r="E5078" s="74" t="s">
        <v>391</v>
      </c>
      <c r="F5078" s="74">
        <v>0</v>
      </c>
      <c r="G5078" s="74"/>
      <c r="H5078" s="74"/>
      <c r="I5078" s="74" t="s">
        <v>391</v>
      </c>
      <c r="J5078" s="74"/>
      <c r="K5078" s="74"/>
      <c r="L5078" s="74"/>
      <c r="M5078" s="74"/>
      <c r="N5078" s="74" t="s">
        <v>397</v>
      </c>
      <c r="O5078" s="74" t="s">
        <v>393</v>
      </c>
      <c r="P5078" s="74" t="s">
        <v>4367</v>
      </c>
      <c r="Q5078" s="74" t="s">
        <v>4368</v>
      </c>
    </row>
    <row r="5079" spans="3:17" x14ac:dyDescent="0.25">
      <c r="C5079" s="74" t="s">
        <v>4388</v>
      </c>
      <c r="D5079" s="74" t="s">
        <v>4389</v>
      </c>
      <c r="E5079" s="74" t="s">
        <v>391</v>
      </c>
      <c r="F5079" s="74">
        <v>0</v>
      </c>
      <c r="G5079" s="74"/>
      <c r="H5079" s="74"/>
      <c r="I5079" s="74" t="s">
        <v>391</v>
      </c>
      <c r="J5079" s="74"/>
      <c r="K5079" s="74"/>
      <c r="L5079" s="74"/>
      <c r="M5079" s="74"/>
      <c r="N5079" s="74" t="s">
        <v>397</v>
      </c>
      <c r="O5079" s="74" t="s">
        <v>402</v>
      </c>
      <c r="P5079" s="74" t="s">
        <v>4390</v>
      </c>
      <c r="Q5079" s="74" t="s">
        <v>4391</v>
      </c>
    </row>
    <row r="5080" spans="3:17" x14ac:dyDescent="0.25">
      <c r="C5080" s="74" t="s">
        <v>4396</v>
      </c>
      <c r="D5080" s="74" t="s">
        <v>4397</v>
      </c>
      <c r="E5080" s="74" t="s">
        <v>391</v>
      </c>
      <c r="F5080" s="74">
        <v>0</v>
      </c>
      <c r="G5080" s="74"/>
      <c r="H5080" s="74"/>
      <c r="I5080" s="74" t="s">
        <v>391</v>
      </c>
      <c r="J5080" s="74"/>
      <c r="K5080" s="74"/>
      <c r="L5080" s="74"/>
      <c r="M5080" s="74"/>
      <c r="N5080" s="74" t="s">
        <v>397</v>
      </c>
      <c r="O5080" s="74" t="s">
        <v>393</v>
      </c>
      <c r="P5080" s="74"/>
      <c r="Q5080" s="74" t="s">
        <v>4398</v>
      </c>
    </row>
    <row r="5081" spans="3:17" x14ac:dyDescent="0.25">
      <c r="C5081" s="74" t="s">
        <v>4399</v>
      </c>
      <c r="D5081" s="74" t="s">
        <v>4400</v>
      </c>
      <c r="E5081" s="74" t="s">
        <v>391</v>
      </c>
      <c r="F5081" s="74">
        <v>0</v>
      </c>
      <c r="G5081" s="74"/>
      <c r="H5081" s="74"/>
      <c r="I5081" s="74" t="s">
        <v>391</v>
      </c>
      <c r="J5081" s="74"/>
      <c r="K5081" s="74"/>
      <c r="L5081" s="74"/>
      <c r="M5081" s="74"/>
      <c r="N5081" s="74" t="s">
        <v>397</v>
      </c>
      <c r="O5081" s="74" t="s">
        <v>393</v>
      </c>
      <c r="P5081" s="74" t="s">
        <v>4401</v>
      </c>
      <c r="Q5081" s="74" t="s">
        <v>4402</v>
      </c>
    </row>
    <row r="5082" spans="3:17" x14ac:dyDescent="0.25">
      <c r="C5082" s="158" t="s">
        <v>4411</v>
      </c>
      <c r="D5082" s="158" t="s">
        <v>4412</v>
      </c>
      <c r="E5082" s="158" t="s">
        <v>391</v>
      </c>
      <c r="F5082" s="158">
        <v>0</v>
      </c>
      <c r="I5082" s="158" t="s">
        <v>391</v>
      </c>
      <c r="N5082" s="158" t="s">
        <v>397</v>
      </c>
      <c r="O5082" s="158" t="s">
        <v>402</v>
      </c>
      <c r="P5082" s="158" t="s">
        <v>4413</v>
      </c>
      <c r="Q5082" s="158" t="s">
        <v>4414</v>
      </c>
    </row>
    <row r="5083" spans="3:17" x14ac:dyDescent="0.25">
      <c r="C5083" s="74" t="s">
        <v>4452</v>
      </c>
      <c r="D5083" s="74" t="s">
        <v>4453</v>
      </c>
      <c r="E5083" s="74" t="s">
        <v>391</v>
      </c>
      <c r="F5083" s="74">
        <v>0</v>
      </c>
      <c r="G5083" s="74"/>
      <c r="H5083" s="74"/>
      <c r="I5083" s="74" t="s">
        <v>391</v>
      </c>
      <c r="J5083" s="74"/>
      <c r="K5083" s="74"/>
      <c r="L5083" s="74"/>
      <c r="M5083" s="74"/>
      <c r="N5083" s="74" t="s">
        <v>397</v>
      </c>
      <c r="O5083" s="74" t="s">
        <v>393</v>
      </c>
      <c r="P5083" s="74" t="s">
        <v>4454</v>
      </c>
      <c r="Q5083" s="74" t="s">
        <v>4455</v>
      </c>
    </row>
    <row r="5084" spans="3:17" x14ac:dyDescent="0.25">
      <c r="C5084" s="74" t="s">
        <v>4463</v>
      </c>
      <c r="D5084" s="74" t="s">
        <v>4464</v>
      </c>
      <c r="E5084" s="74" t="s">
        <v>391</v>
      </c>
      <c r="F5084" s="74">
        <v>0</v>
      </c>
      <c r="G5084" s="74"/>
      <c r="H5084" s="74"/>
      <c r="I5084" s="74" t="s">
        <v>391</v>
      </c>
      <c r="J5084" s="74"/>
      <c r="K5084" s="74">
        <v>102.4</v>
      </c>
      <c r="L5084" s="74">
        <v>92.16</v>
      </c>
      <c r="M5084" s="74"/>
      <c r="N5084" s="74" t="s">
        <v>392</v>
      </c>
      <c r="O5084" s="74" t="s">
        <v>393</v>
      </c>
      <c r="P5084" s="74"/>
      <c r="Q5084" s="74" t="s">
        <v>4465</v>
      </c>
    </row>
    <row r="5085" spans="3:17" x14ac:dyDescent="0.25">
      <c r="C5085" s="74" t="s">
        <v>4472</v>
      </c>
      <c r="D5085" s="74" t="s">
        <v>4473</v>
      </c>
      <c r="E5085" s="74"/>
      <c r="F5085" s="74">
        <v>0</v>
      </c>
      <c r="G5085" s="74"/>
      <c r="H5085" s="74"/>
      <c r="I5085" s="74" t="s">
        <v>391</v>
      </c>
      <c r="J5085" s="74"/>
      <c r="K5085" s="74"/>
      <c r="L5085" s="74"/>
      <c r="M5085" s="74"/>
      <c r="N5085" s="74" t="s">
        <v>397</v>
      </c>
      <c r="O5085" s="74" t="s">
        <v>535</v>
      </c>
      <c r="P5085" s="74" t="s">
        <v>4474</v>
      </c>
      <c r="Q5085" s="74" t="s">
        <v>4475</v>
      </c>
    </row>
    <row r="5086" spans="3:17" x14ac:dyDescent="0.25">
      <c r="C5086" s="74" t="s">
        <v>4493</v>
      </c>
      <c r="D5086" s="74" t="s">
        <v>4494</v>
      </c>
      <c r="E5086" s="74" t="s">
        <v>391</v>
      </c>
      <c r="F5086" s="74">
        <v>0</v>
      </c>
      <c r="G5086" s="74"/>
      <c r="H5086" s="74"/>
      <c r="I5086" s="74" t="s">
        <v>391</v>
      </c>
      <c r="J5086" s="74"/>
      <c r="K5086" s="74">
        <v>102.4</v>
      </c>
      <c r="L5086" s="74">
        <v>92.16</v>
      </c>
      <c r="M5086" s="74"/>
      <c r="N5086" s="74" t="s">
        <v>392</v>
      </c>
      <c r="O5086" s="74" t="s">
        <v>393</v>
      </c>
      <c r="P5086" s="74"/>
      <c r="Q5086" s="74" t="s">
        <v>4495</v>
      </c>
    </row>
    <row r="5087" spans="3:17" x14ac:dyDescent="0.25">
      <c r="C5087" s="74" t="s">
        <v>4496</v>
      </c>
      <c r="D5087" s="74" t="s">
        <v>4497</v>
      </c>
      <c r="E5087" s="74" t="s">
        <v>391</v>
      </c>
      <c r="F5087" s="74">
        <v>0</v>
      </c>
      <c r="G5087" s="74"/>
      <c r="H5087" s="74"/>
      <c r="I5087" s="74" t="s">
        <v>391</v>
      </c>
      <c r="J5087" s="74"/>
      <c r="K5087" s="74"/>
      <c r="L5087" s="74"/>
      <c r="M5087" s="74"/>
      <c r="N5087" s="74" t="s">
        <v>397</v>
      </c>
      <c r="O5087" s="74" t="s">
        <v>393</v>
      </c>
      <c r="P5087" s="74"/>
      <c r="Q5087" s="74" t="s">
        <v>4498</v>
      </c>
    </row>
    <row r="5088" spans="3:17" x14ac:dyDescent="0.25">
      <c r="C5088" s="74" t="s">
        <v>4503</v>
      </c>
      <c r="D5088" s="74" t="s">
        <v>4504</v>
      </c>
      <c r="E5088" s="74"/>
      <c r="F5088" s="74">
        <v>0</v>
      </c>
      <c r="G5088" s="74"/>
      <c r="H5088" s="74"/>
      <c r="I5088" s="74" t="s">
        <v>391</v>
      </c>
      <c r="J5088" s="74"/>
      <c r="K5088" s="74">
        <v>102.4</v>
      </c>
      <c r="L5088" s="74">
        <v>92.16</v>
      </c>
      <c r="M5088" s="74"/>
      <c r="N5088" s="74" t="s">
        <v>392</v>
      </c>
      <c r="O5088" s="74" t="s">
        <v>402</v>
      </c>
      <c r="P5088" s="74" t="s">
        <v>4505</v>
      </c>
      <c r="Q5088" s="74" t="s">
        <v>4506</v>
      </c>
    </row>
    <row r="5089" spans="3:17" x14ac:dyDescent="0.25">
      <c r="C5089" s="74" t="s">
        <v>4553</v>
      </c>
      <c r="D5089" s="74" t="s">
        <v>4554</v>
      </c>
      <c r="E5089" s="74" t="s">
        <v>391</v>
      </c>
      <c r="F5089" s="74">
        <v>0</v>
      </c>
      <c r="G5089" s="74"/>
      <c r="H5089" s="74"/>
      <c r="I5089" s="74" t="s">
        <v>391</v>
      </c>
      <c r="J5089" s="74"/>
      <c r="K5089" s="74"/>
      <c r="L5089" s="74"/>
      <c r="M5089" s="74"/>
      <c r="N5089" s="74" t="s">
        <v>397</v>
      </c>
      <c r="O5089" s="74" t="s">
        <v>393</v>
      </c>
      <c r="P5089" s="74" t="s">
        <v>4555</v>
      </c>
      <c r="Q5089" s="74" t="s">
        <v>4556</v>
      </c>
    </row>
    <row r="5090" spans="3:17" x14ac:dyDescent="0.25">
      <c r="C5090" s="74" t="s">
        <v>4557</v>
      </c>
      <c r="D5090" s="74" t="s">
        <v>4558</v>
      </c>
      <c r="E5090" s="74"/>
      <c r="F5090" s="74">
        <v>0</v>
      </c>
      <c r="G5090" s="74"/>
      <c r="H5090" s="74"/>
      <c r="I5090" s="74" t="s">
        <v>391</v>
      </c>
      <c r="J5090" s="74"/>
      <c r="K5090" s="74">
        <v>102.4</v>
      </c>
      <c r="L5090" s="74">
        <v>92.16</v>
      </c>
      <c r="M5090" s="74"/>
      <c r="N5090" s="74" t="s">
        <v>392</v>
      </c>
      <c r="O5090" s="74" t="s">
        <v>402</v>
      </c>
      <c r="P5090" s="74"/>
      <c r="Q5090" s="74" t="s">
        <v>4559</v>
      </c>
    </row>
    <row r="5091" spans="3:17" x14ac:dyDescent="0.25">
      <c r="C5091" s="74" t="s">
        <v>4594</v>
      </c>
      <c r="D5091" s="74" t="s">
        <v>4595</v>
      </c>
      <c r="E5091" s="74" t="s">
        <v>391</v>
      </c>
      <c r="F5091" s="74">
        <v>0</v>
      </c>
      <c r="G5091" s="74"/>
      <c r="H5091" s="74"/>
      <c r="I5091" s="74" t="s">
        <v>391</v>
      </c>
      <c r="J5091" s="74"/>
      <c r="K5091" s="74"/>
      <c r="L5091" s="74"/>
      <c r="M5091" s="74"/>
      <c r="N5091" s="74" t="s">
        <v>397</v>
      </c>
      <c r="O5091" s="74" t="s">
        <v>393</v>
      </c>
      <c r="P5091" s="74" t="s">
        <v>4596</v>
      </c>
      <c r="Q5091" s="74" t="s">
        <v>4597</v>
      </c>
    </row>
    <row r="5092" spans="3:17" x14ac:dyDescent="0.25">
      <c r="C5092" s="74" t="s">
        <v>4601</v>
      </c>
      <c r="D5092" s="74" t="s">
        <v>4602</v>
      </c>
      <c r="E5092" s="74" t="s">
        <v>391</v>
      </c>
      <c r="F5092" s="74">
        <v>0</v>
      </c>
      <c r="G5092" s="74"/>
      <c r="H5092" s="74"/>
      <c r="I5092" s="74" t="s">
        <v>391</v>
      </c>
      <c r="J5092" s="74"/>
      <c r="K5092" s="74"/>
      <c r="L5092" s="74"/>
      <c r="M5092" s="74"/>
      <c r="N5092" s="74" t="s">
        <v>397</v>
      </c>
      <c r="O5092" s="74" t="s">
        <v>393</v>
      </c>
      <c r="P5092" s="74" t="s">
        <v>4603</v>
      </c>
      <c r="Q5092" s="74" t="s">
        <v>4604</v>
      </c>
    </row>
    <row r="5093" spans="3:17" x14ac:dyDescent="0.25">
      <c r="C5093" s="74" t="s">
        <v>4609</v>
      </c>
      <c r="D5093" s="74" t="s">
        <v>4610</v>
      </c>
      <c r="E5093" s="74" t="s">
        <v>391</v>
      </c>
      <c r="F5093" s="74">
        <v>0</v>
      </c>
      <c r="G5093" s="74"/>
      <c r="H5093" s="74"/>
      <c r="I5093" s="74" t="s">
        <v>391</v>
      </c>
      <c r="J5093" s="74"/>
      <c r="K5093" s="74"/>
      <c r="L5093" s="74"/>
      <c r="M5093" s="74"/>
      <c r="N5093" s="74" t="s">
        <v>397</v>
      </c>
      <c r="O5093" s="74" t="s">
        <v>393</v>
      </c>
      <c r="P5093" s="74" t="s">
        <v>4611</v>
      </c>
      <c r="Q5093" s="74" t="s">
        <v>4612</v>
      </c>
    </row>
    <row r="5094" spans="3:17" x14ac:dyDescent="0.25">
      <c r="C5094" s="74" t="s">
        <v>4617</v>
      </c>
      <c r="D5094" s="74" t="s">
        <v>4618</v>
      </c>
      <c r="E5094" s="74" t="s">
        <v>391</v>
      </c>
      <c r="F5094" s="74">
        <v>0</v>
      </c>
      <c r="G5094" s="74"/>
      <c r="H5094" s="74"/>
      <c r="I5094" s="74" t="s">
        <v>391</v>
      </c>
      <c r="J5094" s="74"/>
      <c r="K5094" s="74"/>
      <c r="L5094" s="74"/>
      <c r="M5094" s="74"/>
      <c r="N5094" s="74" t="s">
        <v>397</v>
      </c>
      <c r="O5094" s="74" t="s">
        <v>393</v>
      </c>
      <c r="P5094" s="74" t="s">
        <v>4619</v>
      </c>
      <c r="Q5094" s="74" t="s">
        <v>4620</v>
      </c>
    </row>
    <row r="5095" spans="3:17" x14ac:dyDescent="0.25">
      <c r="C5095" s="74" t="s">
        <v>4649</v>
      </c>
      <c r="D5095" s="74" t="s">
        <v>4650</v>
      </c>
      <c r="E5095" s="74" t="s">
        <v>391</v>
      </c>
      <c r="F5095" s="74">
        <v>0</v>
      </c>
      <c r="G5095" s="74"/>
      <c r="H5095" s="74"/>
      <c r="I5095" s="74" t="s">
        <v>391</v>
      </c>
      <c r="J5095" s="74"/>
      <c r="K5095" s="74"/>
      <c r="L5095" s="74"/>
      <c r="M5095" s="74"/>
      <c r="N5095" s="74" t="s">
        <v>397</v>
      </c>
      <c r="O5095" s="74" t="s">
        <v>393</v>
      </c>
      <c r="P5095" s="74" t="s">
        <v>4651</v>
      </c>
      <c r="Q5095" s="74" t="s">
        <v>4652</v>
      </c>
    </row>
    <row r="5096" spans="3:17" x14ac:dyDescent="0.25">
      <c r="C5096" s="74" t="s">
        <v>4656</v>
      </c>
      <c r="D5096" s="74" t="s">
        <v>4657</v>
      </c>
      <c r="E5096" s="74" t="s">
        <v>391</v>
      </c>
      <c r="F5096" s="74">
        <v>0</v>
      </c>
      <c r="G5096" s="74"/>
      <c r="H5096" s="74"/>
      <c r="I5096" s="74" t="s">
        <v>391</v>
      </c>
      <c r="J5096" s="74"/>
      <c r="K5096" s="74"/>
      <c r="L5096" s="74"/>
      <c r="M5096" s="74"/>
      <c r="N5096" s="74" t="s">
        <v>397</v>
      </c>
      <c r="O5096" s="74" t="s">
        <v>393</v>
      </c>
      <c r="P5096" s="74" t="s">
        <v>4658</v>
      </c>
      <c r="Q5096" s="74" t="s">
        <v>4659</v>
      </c>
    </row>
    <row r="5097" spans="3:17" x14ac:dyDescent="0.25">
      <c r="C5097" s="74" t="s">
        <v>4671</v>
      </c>
      <c r="D5097" s="74" t="s">
        <v>4672</v>
      </c>
      <c r="E5097" s="74"/>
      <c r="F5097" s="74">
        <v>0</v>
      </c>
      <c r="G5097" s="74"/>
      <c r="H5097" s="74"/>
      <c r="I5097" s="74" t="s">
        <v>391</v>
      </c>
      <c r="J5097" s="74"/>
      <c r="K5097" s="74">
        <v>102.4</v>
      </c>
      <c r="L5097" s="74">
        <v>92.16</v>
      </c>
      <c r="M5097" s="74"/>
      <c r="N5097" s="74" t="s">
        <v>392</v>
      </c>
      <c r="O5097" s="74" t="s">
        <v>402</v>
      </c>
      <c r="P5097" s="74"/>
      <c r="Q5097" s="74" t="s">
        <v>4673</v>
      </c>
    </row>
    <row r="5098" spans="3:17" x14ac:dyDescent="0.25">
      <c r="C5098" s="74" t="s">
        <v>4674</v>
      </c>
      <c r="D5098" s="74" t="s">
        <v>4675</v>
      </c>
      <c r="E5098" s="74" t="s">
        <v>391</v>
      </c>
      <c r="F5098" s="74">
        <v>0</v>
      </c>
      <c r="G5098" s="74"/>
      <c r="H5098" s="74"/>
      <c r="I5098" s="74" t="s">
        <v>391</v>
      </c>
      <c r="J5098" s="74"/>
      <c r="K5098" s="74"/>
      <c r="L5098" s="74"/>
      <c r="M5098" s="74"/>
      <c r="N5098" s="74" t="s">
        <v>397</v>
      </c>
      <c r="O5098" s="74" t="s">
        <v>393</v>
      </c>
      <c r="P5098" s="74" t="s">
        <v>4676</v>
      </c>
      <c r="Q5098" s="74" t="s">
        <v>4677</v>
      </c>
    </row>
    <row r="5099" spans="3:17" x14ac:dyDescent="0.25">
      <c r="C5099" s="74" t="s">
        <v>4702</v>
      </c>
      <c r="D5099" s="74" t="s">
        <v>4703</v>
      </c>
      <c r="E5099" s="74" t="s">
        <v>391</v>
      </c>
      <c r="F5099" s="74">
        <v>0</v>
      </c>
      <c r="G5099" s="74"/>
      <c r="H5099" s="74"/>
      <c r="I5099" s="74" t="s">
        <v>391</v>
      </c>
      <c r="J5099" s="74"/>
      <c r="K5099" s="74"/>
      <c r="L5099" s="74"/>
      <c r="M5099" s="74"/>
      <c r="N5099" s="74" t="s">
        <v>397</v>
      </c>
      <c r="O5099" s="74" t="s">
        <v>393</v>
      </c>
      <c r="P5099" s="74" t="s">
        <v>4704</v>
      </c>
      <c r="Q5099" s="74" t="s">
        <v>4705</v>
      </c>
    </row>
    <row r="5100" spans="3:17" x14ac:dyDescent="0.25">
      <c r="C5100" s="74" t="s">
        <v>4714</v>
      </c>
      <c r="D5100" s="74" t="s">
        <v>4715</v>
      </c>
      <c r="E5100" s="74" t="s">
        <v>391</v>
      </c>
      <c r="F5100" s="74">
        <v>0</v>
      </c>
      <c r="G5100" s="74"/>
      <c r="H5100" s="74"/>
      <c r="I5100" s="74" t="s">
        <v>391</v>
      </c>
      <c r="J5100" s="74"/>
      <c r="K5100" s="74"/>
      <c r="L5100" s="74"/>
      <c r="M5100" s="74"/>
      <c r="N5100" s="74" t="s">
        <v>397</v>
      </c>
      <c r="O5100" s="74" t="s">
        <v>393</v>
      </c>
      <c r="P5100" s="74" t="s">
        <v>4716</v>
      </c>
      <c r="Q5100" s="74" t="s">
        <v>4717</v>
      </c>
    </row>
    <row r="5101" spans="3:17" x14ac:dyDescent="0.25">
      <c r="C5101" s="74" t="s">
        <v>4729</v>
      </c>
      <c r="D5101" s="74" t="s">
        <v>4730</v>
      </c>
      <c r="E5101" s="74" t="s">
        <v>391</v>
      </c>
      <c r="F5101" s="74">
        <v>0</v>
      </c>
      <c r="G5101" s="74"/>
      <c r="H5101" s="74"/>
      <c r="I5101" s="74" t="s">
        <v>391</v>
      </c>
      <c r="J5101" s="74"/>
      <c r="K5101" s="74"/>
      <c r="L5101" s="74"/>
      <c r="M5101" s="74"/>
      <c r="N5101" s="74" t="s">
        <v>397</v>
      </c>
      <c r="O5101" s="74" t="s">
        <v>393</v>
      </c>
      <c r="P5101" s="74" t="s">
        <v>4731</v>
      </c>
      <c r="Q5101" s="74" t="s">
        <v>4732</v>
      </c>
    </row>
    <row r="5102" spans="3:17" x14ac:dyDescent="0.25">
      <c r="C5102" s="74" t="s">
        <v>4733</v>
      </c>
      <c r="D5102" s="74" t="s">
        <v>4734</v>
      </c>
      <c r="E5102" s="74" t="s">
        <v>391</v>
      </c>
      <c r="F5102" s="74">
        <v>0</v>
      </c>
      <c r="G5102" s="74"/>
      <c r="H5102" s="74"/>
      <c r="I5102" s="74" t="s">
        <v>391</v>
      </c>
      <c r="J5102" s="74"/>
      <c r="K5102" s="74"/>
      <c r="L5102" s="74"/>
      <c r="M5102" s="74"/>
      <c r="N5102" s="74" t="s">
        <v>397</v>
      </c>
      <c r="O5102" s="74" t="s">
        <v>393</v>
      </c>
      <c r="P5102" s="74"/>
      <c r="Q5102" s="74" t="s">
        <v>4735</v>
      </c>
    </row>
    <row r="5103" spans="3:17" x14ac:dyDescent="0.25">
      <c r="C5103" s="74" t="s">
        <v>4748</v>
      </c>
      <c r="D5103" s="74" t="s">
        <v>4749</v>
      </c>
      <c r="E5103" s="74" t="s">
        <v>391</v>
      </c>
      <c r="F5103" s="74">
        <v>0</v>
      </c>
      <c r="G5103" s="74"/>
      <c r="H5103" s="74"/>
      <c r="I5103" s="74" t="s">
        <v>391</v>
      </c>
      <c r="J5103" s="74"/>
      <c r="K5103" s="74"/>
      <c r="L5103" s="74"/>
      <c r="M5103" s="74"/>
      <c r="N5103" s="74" t="s">
        <v>397</v>
      </c>
      <c r="O5103" s="74" t="s">
        <v>393</v>
      </c>
      <c r="P5103" s="74" t="s">
        <v>4750</v>
      </c>
      <c r="Q5103" s="74" t="s">
        <v>4751</v>
      </c>
    </row>
    <row r="5104" spans="3:17" x14ac:dyDescent="0.25">
      <c r="C5104" s="74" t="s">
        <v>4763</v>
      </c>
      <c r="D5104" s="74" t="s">
        <v>4764</v>
      </c>
      <c r="E5104" s="74" t="s">
        <v>391</v>
      </c>
      <c r="F5104" s="74">
        <v>0</v>
      </c>
      <c r="G5104" s="74"/>
      <c r="H5104" s="74"/>
      <c r="I5104" s="74" t="s">
        <v>391</v>
      </c>
      <c r="J5104" s="74"/>
      <c r="K5104" s="74"/>
      <c r="L5104" s="74"/>
      <c r="M5104" s="74"/>
      <c r="N5104" s="74" t="s">
        <v>397</v>
      </c>
      <c r="O5104" s="74" t="s">
        <v>393</v>
      </c>
      <c r="P5104" s="74" t="s">
        <v>4765</v>
      </c>
      <c r="Q5104" s="74" t="s">
        <v>4766</v>
      </c>
    </row>
    <row r="5105" spans="3:17" x14ac:dyDescent="0.25">
      <c r="C5105" s="74" t="s">
        <v>4806</v>
      </c>
      <c r="D5105" s="74" t="s">
        <v>4807</v>
      </c>
      <c r="E5105" s="74" t="s">
        <v>391</v>
      </c>
      <c r="F5105" s="74">
        <v>0</v>
      </c>
      <c r="G5105" s="74"/>
      <c r="H5105" s="74"/>
      <c r="I5105" s="74" t="s">
        <v>391</v>
      </c>
      <c r="J5105" s="74"/>
      <c r="K5105" s="74">
        <v>102.4</v>
      </c>
      <c r="L5105" s="74">
        <v>92.16</v>
      </c>
      <c r="M5105" s="74"/>
      <c r="N5105" s="74" t="s">
        <v>392</v>
      </c>
      <c r="O5105" s="74" t="s">
        <v>402</v>
      </c>
      <c r="P5105" s="74" t="s">
        <v>4808</v>
      </c>
      <c r="Q5105" s="74" t="s">
        <v>4809</v>
      </c>
    </row>
    <row r="5106" spans="3:17" x14ac:dyDescent="0.25">
      <c r="C5106" s="74" t="s">
        <v>4810</v>
      </c>
      <c r="D5106" s="74" t="s">
        <v>4811</v>
      </c>
      <c r="E5106" s="74"/>
      <c r="F5106" s="74">
        <v>0</v>
      </c>
      <c r="G5106" s="74"/>
      <c r="H5106" s="74"/>
      <c r="I5106" s="74" t="s">
        <v>391</v>
      </c>
      <c r="J5106" s="74"/>
      <c r="K5106" s="74">
        <v>102.4</v>
      </c>
      <c r="L5106" s="74">
        <v>92.16</v>
      </c>
      <c r="M5106" s="74"/>
      <c r="N5106" s="74" t="s">
        <v>392</v>
      </c>
      <c r="O5106" s="74" t="s">
        <v>402</v>
      </c>
      <c r="P5106" s="74"/>
      <c r="Q5106" s="74" t="s">
        <v>4812</v>
      </c>
    </row>
    <row r="5107" spans="3:17" x14ac:dyDescent="0.25">
      <c r="C5107" s="74" t="s">
        <v>4813</v>
      </c>
      <c r="D5107" s="74" t="s">
        <v>4814</v>
      </c>
      <c r="E5107" s="74" t="s">
        <v>391</v>
      </c>
      <c r="F5107" s="74">
        <v>0</v>
      </c>
      <c r="G5107" s="74"/>
      <c r="H5107" s="74"/>
      <c r="I5107" s="74" t="s">
        <v>391</v>
      </c>
      <c r="J5107" s="74"/>
      <c r="K5107" s="74"/>
      <c r="L5107" s="74"/>
      <c r="M5107" s="74"/>
      <c r="N5107" s="74" t="s">
        <v>397</v>
      </c>
      <c r="O5107" s="74" t="s">
        <v>393</v>
      </c>
      <c r="P5107" s="74" t="s">
        <v>4815</v>
      </c>
      <c r="Q5107" s="74" t="s">
        <v>4816</v>
      </c>
    </row>
    <row r="5108" spans="3:17" x14ac:dyDescent="0.25">
      <c r="C5108" s="74" t="s">
        <v>4817</v>
      </c>
      <c r="D5108" s="74" t="s">
        <v>4818</v>
      </c>
      <c r="E5108" s="74" t="s">
        <v>391</v>
      </c>
      <c r="F5108" s="74">
        <v>0</v>
      </c>
      <c r="G5108" s="74"/>
      <c r="H5108" s="74"/>
      <c r="I5108" s="74" t="s">
        <v>391</v>
      </c>
      <c r="J5108" s="74"/>
      <c r="K5108" s="74"/>
      <c r="L5108" s="74"/>
      <c r="M5108" s="74"/>
      <c r="N5108" s="74" t="s">
        <v>397</v>
      </c>
      <c r="O5108" s="74" t="s">
        <v>393</v>
      </c>
      <c r="P5108" s="74" t="s">
        <v>4819</v>
      </c>
      <c r="Q5108" s="74" t="s">
        <v>4820</v>
      </c>
    </row>
    <row r="5109" spans="3:17" x14ac:dyDescent="0.25">
      <c r="C5109" s="74" t="s">
        <v>4849</v>
      </c>
      <c r="D5109" s="74" t="s">
        <v>4850</v>
      </c>
      <c r="E5109" s="74" t="s">
        <v>391</v>
      </c>
      <c r="F5109" s="74">
        <v>0</v>
      </c>
      <c r="G5109" s="74"/>
      <c r="H5109" s="74"/>
      <c r="I5109" s="74" t="s">
        <v>391</v>
      </c>
      <c r="J5109" s="74"/>
      <c r="K5109" s="74"/>
      <c r="L5109" s="74"/>
      <c r="M5109" s="74"/>
      <c r="N5109" s="74" t="s">
        <v>397</v>
      </c>
      <c r="O5109" s="74" t="s">
        <v>393</v>
      </c>
      <c r="P5109" s="74" t="s">
        <v>4851</v>
      </c>
      <c r="Q5109" s="74" t="s">
        <v>4852</v>
      </c>
    </row>
    <row r="5110" spans="3:17" x14ac:dyDescent="0.25">
      <c r="C5110" s="74" t="s">
        <v>4867</v>
      </c>
      <c r="D5110" s="74" t="s">
        <v>4868</v>
      </c>
      <c r="E5110" s="74" t="s">
        <v>391</v>
      </c>
      <c r="F5110" s="74">
        <v>0</v>
      </c>
      <c r="G5110" s="74"/>
      <c r="H5110" s="74"/>
      <c r="I5110" s="74" t="s">
        <v>391</v>
      </c>
      <c r="J5110" s="74"/>
      <c r="K5110" s="74"/>
      <c r="L5110" s="74"/>
      <c r="M5110" s="74"/>
      <c r="N5110" s="74" t="s">
        <v>397</v>
      </c>
      <c r="O5110" s="74" t="s">
        <v>393</v>
      </c>
      <c r="P5110" s="74" t="s">
        <v>4869</v>
      </c>
      <c r="Q5110" s="74" t="s">
        <v>4870</v>
      </c>
    </row>
    <row r="5111" spans="3:17" x14ac:dyDescent="0.25">
      <c r="C5111" s="74" t="s">
        <v>4871</v>
      </c>
      <c r="D5111" s="74" t="s">
        <v>4872</v>
      </c>
      <c r="E5111" s="74" t="s">
        <v>391</v>
      </c>
      <c r="F5111" s="74">
        <v>0</v>
      </c>
      <c r="G5111" s="74"/>
      <c r="H5111" s="74"/>
      <c r="I5111" s="74" t="s">
        <v>391</v>
      </c>
      <c r="J5111" s="74"/>
      <c r="K5111" s="74"/>
      <c r="L5111" s="74"/>
      <c r="M5111" s="74"/>
      <c r="N5111" s="74" t="s">
        <v>397</v>
      </c>
      <c r="O5111" s="74" t="s">
        <v>393</v>
      </c>
      <c r="P5111" s="74" t="s">
        <v>4873</v>
      </c>
      <c r="Q5111" s="74" t="s">
        <v>4874</v>
      </c>
    </row>
    <row r="5112" spans="3:17" x14ac:dyDescent="0.25">
      <c r="C5112" s="74" t="s">
        <v>4908</v>
      </c>
      <c r="D5112" s="74" t="s">
        <v>4909</v>
      </c>
      <c r="E5112" s="74"/>
      <c r="F5112" s="74">
        <v>0</v>
      </c>
      <c r="G5112" s="74"/>
      <c r="H5112" s="74"/>
      <c r="I5112" s="74" t="s">
        <v>391</v>
      </c>
      <c r="J5112" s="74"/>
      <c r="K5112" s="74">
        <v>102.4</v>
      </c>
      <c r="L5112" s="74">
        <v>92.16</v>
      </c>
      <c r="M5112" s="74"/>
      <c r="N5112" s="74" t="s">
        <v>392</v>
      </c>
      <c r="O5112" s="74" t="s">
        <v>402</v>
      </c>
      <c r="P5112" s="74"/>
      <c r="Q5112" s="74" t="s">
        <v>4910</v>
      </c>
    </row>
    <row r="5113" spans="3:17" x14ac:dyDescent="0.25">
      <c r="C5113" s="74" t="s">
        <v>4911</v>
      </c>
      <c r="D5113" s="74" t="s">
        <v>4912</v>
      </c>
      <c r="E5113" s="74" t="s">
        <v>391</v>
      </c>
      <c r="F5113" s="74">
        <v>0</v>
      </c>
      <c r="G5113" s="74"/>
      <c r="H5113" s="74"/>
      <c r="I5113" s="74" t="s">
        <v>391</v>
      </c>
      <c r="J5113" s="74"/>
      <c r="K5113" s="74"/>
      <c r="L5113" s="74"/>
      <c r="M5113" s="74"/>
      <c r="N5113" s="74" t="s">
        <v>397</v>
      </c>
      <c r="O5113" s="74" t="s">
        <v>393</v>
      </c>
      <c r="P5113" s="74" t="s">
        <v>4913</v>
      </c>
      <c r="Q5113" s="74" t="s">
        <v>4914</v>
      </c>
    </row>
    <row r="5114" spans="3:17" x14ac:dyDescent="0.25">
      <c r="C5114" s="74" t="s">
        <v>4915</v>
      </c>
      <c r="D5114" s="74" t="s">
        <v>4916</v>
      </c>
      <c r="E5114" s="74" t="s">
        <v>391</v>
      </c>
      <c r="F5114" s="74">
        <v>0</v>
      </c>
      <c r="G5114" s="74"/>
      <c r="H5114" s="74"/>
      <c r="I5114" s="74" t="s">
        <v>391</v>
      </c>
      <c r="J5114" s="74"/>
      <c r="K5114" s="74">
        <v>102.4</v>
      </c>
      <c r="L5114" s="74">
        <v>92.16</v>
      </c>
      <c r="M5114" s="74"/>
      <c r="N5114" s="74" t="s">
        <v>392</v>
      </c>
      <c r="O5114" s="74" t="s">
        <v>393</v>
      </c>
      <c r="P5114" s="74"/>
      <c r="Q5114" s="74" t="s">
        <v>4917</v>
      </c>
    </row>
    <row r="5115" spans="3:17" x14ac:dyDescent="0.25">
      <c r="C5115" s="74" t="s">
        <v>4918</v>
      </c>
      <c r="D5115" s="74" t="s">
        <v>4610</v>
      </c>
      <c r="E5115" s="74" t="s">
        <v>391</v>
      </c>
      <c r="F5115" s="74">
        <v>0</v>
      </c>
      <c r="G5115" s="74"/>
      <c r="H5115" s="74"/>
      <c r="I5115" s="74" t="s">
        <v>391</v>
      </c>
      <c r="J5115" s="74"/>
      <c r="K5115" s="74"/>
      <c r="L5115" s="74"/>
      <c r="M5115" s="74"/>
      <c r="N5115" s="74" t="s">
        <v>397</v>
      </c>
      <c r="O5115" s="74" t="s">
        <v>393</v>
      </c>
      <c r="P5115" s="74" t="s">
        <v>4919</v>
      </c>
      <c r="Q5115" s="74" t="s">
        <v>4920</v>
      </c>
    </row>
    <row r="5116" spans="3:17" x14ac:dyDescent="0.25">
      <c r="C5116" s="74" t="s">
        <v>4942</v>
      </c>
      <c r="D5116" s="74" t="s">
        <v>4943</v>
      </c>
      <c r="E5116" s="74" t="s">
        <v>391</v>
      </c>
      <c r="F5116" s="74">
        <v>0</v>
      </c>
      <c r="G5116" s="74"/>
      <c r="H5116" s="74"/>
      <c r="I5116" s="74" t="s">
        <v>391</v>
      </c>
      <c r="J5116" s="74"/>
      <c r="K5116" s="74"/>
      <c r="L5116" s="74"/>
      <c r="M5116" s="74"/>
      <c r="N5116" s="74" t="s">
        <v>397</v>
      </c>
      <c r="O5116" s="74" t="s">
        <v>393</v>
      </c>
      <c r="P5116" s="74" t="s">
        <v>4944</v>
      </c>
      <c r="Q5116" s="74" t="s">
        <v>4945</v>
      </c>
    </row>
    <row r="5117" spans="3:17" x14ac:dyDescent="0.25">
      <c r="C5117" s="74" t="s">
        <v>4950</v>
      </c>
      <c r="D5117" s="74" t="s">
        <v>4951</v>
      </c>
      <c r="E5117" s="74" t="s">
        <v>391</v>
      </c>
      <c r="F5117" s="74">
        <v>0</v>
      </c>
      <c r="G5117" s="74"/>
      <c r="H5117" s="74"/>
      <c r="I5117" s="74" t="s">
        <v>391</v>
      </c>
      <c r="J5117" s="74"/>
      <c r="K5117" s="74">
        <v>102.4</v>
      </c>
      <c r="L5117" s="74">
        <v>92.16</v>
      </c>
      <c r="M5117" s="74"/>
      <c r="N5117" s="74" t="s">
        <v>392</v>
      </c>
      <c r="O5117" s="74" t="s">
        <v>393</v>
      </c>
      <c r="P5117" s="74"/>
      <c r="Q5117" s="74" t="s">
        <v>4952</v>
      </c>
    </row>
    <row r="5118" spans="3:17" x14ac:dyDescent="0.25">
      <c r="C5118" s="74" t="s">
        <v>4956</v>
      </c>
      <c r="D5118" s="74" t="s">
        <v>4957</v>
      </c>
      <c r="E5118" s="74" t="s">
        <v>391</v>
      </c>
      <c r="F5118" s="74">
        <v>0</v>
      </c>
      <c r="G5118" s="74"/>
      <c r="H5118" s="74"/>
      <c r="I5118" s="74" t="s">
        <v>391</v>
      </c>
      <c r="J5118" s="74"/>
      <c r="K5118" s="74">
        <v>102.4</v>
      </c>
      <c r="L5118" s="74">
        <v>92.16</v>
      </c>
      <c r="M5118" s="74"/>
      <c r="N5118" s="74" t="s">
        <v>392</v>
      </c>
      <c r="O5118" s="74" t="s">
        <v>393</v>
      </c>
      <c r="P5118" s="74"/>
      <c r="Q5118" s="74" t="s">
        <v>4958</v>
      </c>
    </row>
    <row r="5119" spans="3:17" x14ac:dyDescent="0.25">
      <c r="C5119" s="74" t="s">
        <v>4959</v>
      </c>
      <c r="D5119" s="74" t="s">
        <v>4960</v>
      </c>
      <c r="E5119" s="74" t="s">
        <v>391</v>
      </c>
      <c r="F5119" s="74">
        <v>0</v>
      </c>
      <c r="G5119" s="74"/>
      <c r="H5119" s="74"/>
      <c r="I5119" s="74" t="s">
        <v>391</v>
      </c>
      <c r="J5119" s="74"/>
      <c r="K5119" s="74"/>
      <c r="L5119" s="74"/>
      <c r="M5119" s="74"/>
      <c r="N5119" s="74" t="s">
        <v>397</v>
      </c>
      <c r="O5119" s="74" t="s">
        <v>393</v>
      </c>
      <c r="P5119" s="74" t="s">
        <v>4961</v>
      </c>
      <c r="Q5119" s="74" t="s">
        <v>4962</v>
      </c>
    </row>
    <row r="5120" spans="3:17" x14ac:dyDescent="0.25">
      <c r="C5120" s="74" t="s">
        <v>4975</v>
      </c>
      <c r="D5120" s="74" t="s">
        <v>4976</v>
      </c>
      <c r="E5120" s="74" t="s">
        <v>391</v>
      </c>
      <c r="F5120" s="74">
        <v>0</v>
      </c>
      <c r="G5120" s="74"/>
      <c r="H5120" s="74"/>
      <c r="I5120" s="74" t="s">
        <v>391</v>
      </c>
      <c r="J5120" s="74"/>
      <c r="K5120" s="74"/>
      <c r="L5120" s="74"/>
      <c r="M5120" s="74"/>
      <c r="N5120" s="74" t="s">
        <v>397</v>
      </c>
      <c r="O5120" s="74" t="s">
        <v>393</v>
      </c>
      <c r="P5120" s="74" t="s">
        <v>4977</v>
      </c>
      <c r="Q5120" s="74" t="s">
        <v>4978</v>
      </c>
    </row>
    <row r="5121" spans="3:17" x14ac:dyDescent="0.25">
      <c r="C5121" s="74" t="s">
        <v>5149</v>
      </c>
      <c r="D5121" s="74" t="s">
        <v>5150</v>
      </c>
      <c r="E5121" s="74" t="s">
        <v>391</v>
      </c>
      <c r="F5121" s="74">
        <v>0</v>
      </c>
      <c r="G5121" s="74"/>
      <c r="H5121" s="74"/>
      <c r="I5121" s="74" t="s">
        <v>391</v>
      </c>
      <c r="J5121" s="74"/>
      <c r="K5121" s="74"/>
      <c r="L5121" s="74"/>
      <c r="M5121" s="74"/>
      <c r="N5121" s="74" t="s">
        <v>397</v>
      </c>
      <c r="O5121" s="74" t="s">
        <v>393</v>
      </c>
      <c r="P5121" s="74" t="s">
        <v>5151</v>
      </c>
      <c r="Q5121" s="74" t="s">
        <v>5152</v>
      </c>
    </row>
    <row r="5122" spans="3:17" x14ac:dyDescent="0.25">
      <c r="C5122" s="74" t="s">
        <v>5156</v>
      </c>
      <c r="D5122" s="74" t="s">
        <v>5157</v>
      </c>
      <c r="E5122" s="74" t="s">
        <v>391</v>
      </c>
      <c r="F5122" s="74">
        <v>0</v>
      </c>
      <c r="G5122" s="74"/>
      <c r="H5122" s="74"/>
      <c r="I5122" s="74" t="s">
        <v>391</v>
      </c>
      <c r="J5122" s="74"/>
      <c r="K5122" s="74">
        <v>102.4</v>
      </c>
      <c r="L5122" s="74">
        <v>92.16</v>
      </c>
      <c r="M5122" s="74"/>
      <c r="N5122" s="74" t="s">
        <v>392</v>
      </c>
      <c r="O5122" s="74" t="s">
        <v>393</v>
      </c>
      <c r="P5122" s="74"/>
      <c r="Q5122" s="74" t="s">
        <v>5158</v>
      </c>
    </row>
    <row r="5123" spans="3:17" x14ac:dyDescent="0.25">
      <c r="C5123" s="74" t="s">
        <v>5167</v>
      </c>
      <c r="D5123" s="74" t="s">
        <v>5168</v>
      </c>
      <c r="E5123" s="74" t="s">
        <v>391</v>
      </c>
      <c r="F5123" s="74">
        <v>0</v>
      </c>
      <c r="G5123" s="74"/>
      <c r="H5123" s="74"/>
      <c r="I5123" s="74" t="s">
        <v>391</v>
      </c>
      <c r="J5123" s="74"/>
      <c r="K5123" s="74"/>
      <c r="L5123" s="74"/>
      <c r="M5123" s="74"/>
      <c r="N5123" s="74" t="s">
        <v>397</v>
      </c>
      <c r="O5123" s="74" t="s">
        <v>393</v>
      </c>
      <c r="P5123" s="74" t="s">
        <v>5169</v>
      </c>
      <c r="Q5123" s="74" t="s">
        <v>5170</v>
      </c>
    </row>
    <row r="5124" spans="3:17" x14ac:dyDescent="0.25">
      <c r="C5124" s="74" t="s">
        <v>5174</v>
      </c>
      <c r="D5124" s="74" t="s">
        <v>5175</v>
      </c>
      <c r="E5124" s="74" t="s">
        <v>391</v>
      </c>
      <c r="F5124" s="74">
        <v>0</v>
      </c>
      <c r="G5124" s="74"/>
      <c r="H5124" s="74"/>
      <c r="I5124" s="74" t="s">
        <v>391</v>
      </c>
      <c r="J5124" s="74"/>
      <c r="K5124" s="74"/>
      <c r="L5124" s="74"/>
      <c r="M5124" s="74"/>
      <c r="N5124" s="74" t="s">
        <v>397</v>
      </c>
      <c r="O5124" s="74" t="s">
        <v>393</v>
      </c>
      <c r="P5124" s="74" t="s">
        <v>5176</v>
      </c>
      <c r="Q5124" s="74" t="s">
        <v>5177</v>
      </c>
    </row>
    <row r="5125" spans="3:17" x14ac:dyDescent="0.25">
      <c r="C5125" s="74" t="s">
        <v>5190</v>
      </c>
      <c r="D5125" s="74" t="s">
        <v>5191</v>
      </c>
      <c r="E5125" s="74" t="s">
        <v>391</v>
      </c>
      <c r="F5125" s="74">
        <v>0</v>
      </c>
      <c r="G5125" s="74"/>
      <c r="H5125" s="74"/>
      <c r="I5125" s="74" t="s">
        <v>391</v>
      </c>
      <c r="J5125" s="74"/>
      <c r="K5125" s="74"/>
      <c r="L5125" s="74"/>
      <c r="M5125" s="74"/>
      <c r="N5125" s="74" t="s">
        <v>397</v>
      </c>
      <c r="O5125" s="74" t="s">
        <v>393</v>
      </c>
      <c r="P5125" s="74" t="s">
        <v>5192</v>
      </c>
      <c r="Q5125" s="74" t="s">
        <v>5193</v>
      </c>
    </row>
    <row r="5126" spans="3:17" x14ac:dyDescent="0.25">
      <c r="C5126" s="74" t="s">
        <v>5216</v>
      </c>
      <c r="D5126" s="74" t="s">
        <v>5217</v>
      </c>
      <c r="E5126" s="74" t="s">
        <v>391</v>
      </c>
      <c r="F5126" s="74">
        <v>0</v>
      </c>
      <c r="G5126" s="74"/>
      <c r="H5126" s="74"/>
      <c r="I5126" s="74" t="s">
        <v>391</v>
      </c>
      <c r="J5126" s="74"/>
      <c r="K5126" s="74"/>
      <c r="L5126" s="74"/>
      <c r="M5126" s="74"/>
      <c r="N5126" s="74" t="s">
        <v>397</v>
      </c>
      <c r="O5126" s="74" t="s">
        <v>393</v>
      </c>
      <c r="P5126" s="74" t="s">
        <v>5218</v>
      </c>
      <c r="Q5126" s="74" t="s">
        <v>5219</v>
      </c>
    </row>
    <row r="5127" spans="3:17" x14ac:dyDescent="0.25">
      <c r="C5127" s="74" t="s">
        <v>5235</v>
      </c>
      <c r="D5127" s="74" t="s">
        <v>5236</v>
      </c>
      <c r="E5127" s="74" t="s">
        <v>391</v>
      </c>
      <c r="F5127" s="74">
        <v>0</v>
      </c>
      <c r="G5127" s="74"/>
      <c r="H5127" s="74"/>
      <c r="I5127" s="74" t="s">
        <v>391</v>
      </c>
      <c r="J5127" s="74"/>
      <c r="K5127" s="74"/>
      <c r="L5127" s="74"/>
      <c r="M5127" s="74"/>
      <c r="N5127" s="74" t="s">
        <v>397</v>
      </c>
      <c r="O5127" s="74" t="s">
        <v>393</v>
      </c>
      <c r="P5127" s="74" t="s">
        <v>5237</v>
      </c>
      <c r="Q5127" s="74" t="s">
        <v>5238</v>
      </c>
    </row>
    <row r="5128" spans="3:17" x14ac:dyDescent="0.25">
      <c r="C5128" s="74" t="s">
        <v>5262</v>
      </c>
      <c r="D5128" s="74" t="s">
        <v>5263</v>
      </c>
      <c r="E5128" s="74" t="s">
        <v>391</v>
      </c>
      <c r="F5128" s="74">
        <v>0</v>
      </c>
      <c r="G5128" s="74"/>
      <c r="H5128" s="74"/>
      <c r="I5128" s="74" t="s">
        <v>391</v>
      </c>
      <c r="J5128" s="74"/>
      <c r="K5128" s="74"/>
      <c r="L5128" s="74"/>
      <c r="M5128" s="74"/>
      <c r="N5128" s="74" t="s">
        <v>397</v>
      </c>
      <c r="O5128" s="74" t="s">
        <v>393</v>
      </c>
      <c r="P5128" s="74" t="s">
        <v>5264</v>
      </c>
      <c r="Q5128" s="74" t="s">
        <v>5265</v>
      </c>
    </row>
    <row r="5129" spans="3:17" x14ac:dyDescent="0.25">
      <c r="C5129" s="74" t="s">
        <v>5270</v>
      </c>
      <c r="D5129" s="74" t="s">
        <v>5271</v>
      </c>
      <c r="E5129" s="74" t="s">
        <v>391</v>
      </c>
      <c r="F5129" s="74">
        <v>0</v>
      </c>
      <c r="G5129" s="74"/>
      <c r="H5129" s="74"/>
      <c r="I5129" s="74" t="s">
        <v>391</v>
      </c>
      <c r="J5129" s="74"/>
      <c r="K5129" s="74"/>
      <c r="L5129" s="74"/>
      <c r="M5129" s="74"/>
      <c r="N5129" s="74" t="s">
        <v>397</v>
      </c>
      <c r="O5129" s="74" t="s">
        <v>393</v>
      </c>
      <c r="P5129" s="74" t="s">
        <v>5272</v>
      </c>
      <c r="Q5129" s="74" t="s">
        <v>5273</v>
      </c>
    </row>
    <row r="5130" spans="3:17" x14ac:dyDescent="0.25">
      <c r="C5130" s="74" t="s">
        <v>5306</v>
      </c>
      <c r="D5130" s="74" t="s">
        <v>5307</v>
      </c>
      <c r="E5130" s="74" t="s">
        <v>391</v>
      </c>
      <c r="F5130" s="74">
        <v>0</v>
      </c>
      <c r="G5130" s="74"/>
      <c r="H5130" s="74"/>
      <c r="I5130" s="74" t="s">
        <v>391</v>
      </c>
      <c r="J5130" s="74"/>
      <c r="K5130" s="74"/>
      <c r="L5130" s="74"/>
      <c r="M5130" s="74"/>
      <c r="N5130" s="74" t="s">
        <v>397</v>
      </c>
      <c r="O5130" s="74" t="s">
        <v>393</v>
      </c>
      <c r="P5130" s="74"/>
      <c r="Q5130" s="74" t="s">
        <v>5308</v>
      </c>
    </row>
    <row r="5131" spans="3:17" x14ac:dyDescent="0.25">
      <c r="C5131" s="74" t="s">
        <v>5312</v>
      </c>
      <c r="D5131" s="74" t="s">
        <v>5313</v>
      </c>
      <c r="E5131" s="74" t="s">
        <v>391</v>
      </c>
      <c r="F5131" s="74">
        <v>0</v>
      </c>
      <c r="G5131" s="74"/>
      <c r="H5131" s="74"/>
      <c r="I5131" s="74" t="s">
        <v>391</v>
      </c>
      <c r="J5131" s="74"/>
      <c r="K5131" s="74"/>
      <c r="L5131" s="74"/>
      <c r="M5131" s="74"/>
      <c r="N5131" s="74" t="s">
        <v>397</v>
      </c>
      <c r="O5131" s="74" t="s">
        <v>393</v>
      </c>
      <c r="P5131" s="74" t="s">
        <v>5314</v>
      </c>
      <c r="Q5131" s="74" t="s">
        <v>5315</v>
      </c>
    </row>
    <row r="5132" spans="3:17" x14ac:dyDescent="0.25">
      <c r="C5132" s="74" t="s">
        <v>5319</v>
      </c>
      <c r="D5132" s="74" t="s">
        <v>5320</v>
      </c>
      <c r="E5132" s="74" t="s">
        <v>391</v>
      </c>
      <c r="F5132" s="74">
        <v>0</v>
      </c>
      <c r="G5132" s="74"/>
      <c r="H5132" s="74"/>
      <c r="I5132" s="74" t="s">
        <v>391</v>
      </c>
      <c r="J5132" s="74"/>
      <c r="K5132" s="74"/>
      <c r="L5132" s="74"/>
      <c r="M5132" s="74"/>
      <c r="N5132" s="74" t="s">
        <v>397</v>
      </c>
      <c r="O5132" s="74" t="s">
        <v>393</v>
      </c>
      <c r="P5132" s="74" t="s">
        <v>5321</v>
      </c>
      <c r="Q5132" s="74" t="s">
        <v>5322</v>
      </c>
    </row>
    <row r="5133" spans="3:17" x14ac:dyDescent="0.25">
      <c r="C5133" s="74" t="s">
        <v>5353</v>
      </c>
      <c r="D5133" s="74" t="s">
        <v>5354</v>
      </c>
      <c r="E5133" s="74" t="s">
        <v>391</v>
      </c>
      <c r="F5133" s="74">
        <v>0</v>
      </c>
      <c r="G5133" s="74"/>
      <c r="H5133" s="74"/>
      <c r="I5133" s="74" t="s">
        <v>391</v>
      </c>
      <c r="J5133" s="74"/>
      <c r="K5133" s="74"/>
      <c r="L5133" s="74"/>
      <c r="M5133" s="74"/>
      <c r="N5133" s="74" t="s">
        <v>397</v>
      </c>
      <c r="O5133" s="74" t="s">
        <v>393</v>
      </c>
      <c r="P5133" s="74" t="s">
        <v>5355</v>
      </c>
      <c r="Q5133" s="74" t="s">
        <v>5356</v>
      </c>
    </row>
    <row r="5134" spans="3:17" x14ac:dyDescent="0.25">
      <c r="C5134" s="74" t="s">
        <v>5370</v>
      </c>
      <c r="D5134" s="74" t="s">
        <v>5371</v>
      </c>
      <c r="E5134" s="74" t="s">
        <v>391</v>
      </c>
      <c r="F5134" s="74">
        <v>0</v>
      </c>
      <c r="G5134" s="74"/>
      <c r="H5134" s="74"/>
      <c r="I5134" s="74" t="s">
        <v>391</v>
      </c>
      <c r="J5134" s="74"/>
      <c r="K5134" s="74"/>
      <c r="L5134" s="74"/>
      <c r="M5134" s="74"/>
      <c r="N5134" s="74" t="s">
        <v>397</v>
      </c>
      <c r="O5134" s="74" t="s">
        <v>393</v>
      </c>
      <c r="P5134" s="74" t="s">
        <v>5372</v>
      </c>
      <c r="Q5134" s="74" t="s">
        <v>5373</v>
      </c>
    </row>
    <row r="5135" spans="3:17" x14ac:dyDescent="0.25">
      <c r="C5135" s="74" t="s">
        <v>5374</v>
      </c>
      <c r="D5135" s="74" t="s">
        <v>5375</v>
      </c>
      <c r="E5135" s="74" t="s">
        <v>391</v>
      </c>
      <c r="F5135" s="74">
        <v>0</v>
      </c>
      <c r="G5135" s="74"/>
      <c r="H5135" s="74"/>
      <c r="I5135" s="74" t="s">
        <v>391</v>
      </c>
      <c r="J5135" s="74"/>
      <c r="K5135" s="74"/>
      <c r="L5135" s="74"/>
      <c r="M5135" s="74"/>
      <c r="N5135" s="74" t="s">
        <v>397</v>
      </c>
      <c r="O5135" s="74" t="s">
        <v>393</v>
      </c>
      <c r="P5135" s="74"/>
      <c r="Q5135" s="74" t="s">
        <v>5376</v>
      </c>
    </row>
    <row r="5136" spans="3:17" x14ac:dyDescent="0.25">
      <c r="C5136" s="74" t="s">
        <v>5395</v>
      </c>
      <c r="D5136" s="74" t="s">
        <v>5396</v>
      </c>
      <c r="E5136" s="74" t="s">
        <v>391</v>
      </c>
      <c r="F5136" s="74">
        <v>0</v>
      </c>
      <c r="G5136" s="74"/>
      <c r="H5136" s="74"/>
      <c r="I5136" s="74" t="s">
        <v>391</v>
      </c>
      <c r="J5136" s="74"/>
      <c r="K5136" s="74"/>
      <c r="L5136" s="74"/>
      <c r="M5136" s="74"/>
      <c r="N5136" s="74" t="s">
        <v>397</v>
      </c>
      <c r="O5136" s="74" t="s">
        <v>393</v>
      </c>
      <c r="P5136" s="74" t="s">
        <v>5397</v>
      </c>
      <c r="Q5136" s="74" t="s">
        <v>5398</v>
      </c>
    </row>
    <row r="5137" spans="3:17" x14ac:dyDescent="0.25">
      <c r="C5137" s="74" t="s">
        <v>5413</v>
      </c>
      <c r="D5137" s="74" t="s">
        <v>5414</v>
      </c>
      <c r="E5137" s="74"/>
      <c r="F5137" s="74">
        <v>0</v>
      </c>
      <c r="G5137" s="74"/>
      <c r="H5137" s="74"/>
      <c r="I5137" s="74" t="s">
        <v>391</v>
      </c>
      <c r="J5137" s="74"/>
      <c r="K5137" s="74">
        <v>102.4</v>
      </c>
      <c r="L5137" s="74">
        <v>92.16</v>
      </c>
      <c r="M5137" s="74"/>
      <c r="N5137" s="74" t="s">
        <v>392</v>
      </c>
      <c r="O5137" s="74" t="s">
        <v>402</v>
      </c>
      <c r="P5137" s="74"/>
      <c r="Q5137" s="74" t="s">
        <v>5415</v>
      </c>
    </row>
    <row r="5138" spans="3:17" x14ac:dyDescent="0.25">
      <c r="C5138" s="74" t="s">
        <v>5416</v>
      </c>
      <c r="D5138" s="74" t="s">
        <v>5417</v>
      </c>
      <c r="E5138" s="74"/>
      <c r="F5138" s="74">
        <v>0</v>
      </c>
      <c r="G5138" s="74"/>
      <c r="H5138" s="74"/>
      <c r="I5138" s="74" t="s">
        <v>391</v>
      </c>
      <c r="J5138" s="74"/>
      <c r="K5138" s="74"/>
      <c r="L5138" s="74"/>
      <c r="M5138" s="74"/>
      <c r="N5138" s="74"/>
      <c r="O5138" s="74" t="s">
        <v>402</v>
      </c>
      <c r="P5138" s="74" t="s">
        <v>5418</v>
      </c>
      <c r="Q5138" s="74" t="s">
        <v>5419</v>
      </c>
    </row>
    <row r="5139" spans="3:17" x14ac:dyDescent="0.25">
      <c r="C5139" s="74" t="s">
        <v>5423</v>
      </c>
      <c r="D5139" s="74" t="s">
        <v>5424</v>
      </c>
      <c r="E5139" s="74"/>
      <c r="F5139" s="74">
        <v>0</v>
      </c>
      <c r="G5139" s="74"/>
      <c r="H5139" s="74"/>
      <c r="I5139" s="74" t="s">
        <v>391</v>
      </c>
      <c r="J5139" s="74"/>
      <c r="K5139" s="74">
        <v>102.4</v>
      </c>
      <c r="L5139" s="74">
        <v>92.16</v>
      </c>
      <c r="M5139" s="74"/>
      <c r="N5139" s="74" t="s">
        <v>392</v>
      </c>
      <c r="O5139" s="74" t="s">
        <v>402</v>
      </c>
      <c r="P5139" s="74"/>
      <c r="Q5139" s="74" t="s">
        <v>5425</v>
      </c>
    </row>
    <row r="5140" spans="3:17" x14ac:dyDescent="0.25">
      <c r="C5140" s="74" t="s">
        <v>5439</v>
      </c>
      <c r="D5140" s="74" t="s">
        <v>5440</v>
      </c>
      <c r="E5140" s="74" t="s">
        <v>391</v>
      </c>
      <c r="F5140" s="74">
        <v>0</v>
      </c>
      <c r="G5140" s="74"/>
      <c r="H5140" s="74"/>
      <c r="I5140" s="74" t="s">
        <v>391</v>
      </c>
      <c r="J5140" s="74"/>
      <c r="K5140" s="74">
        <v>102.4</v>
      </c>
      <c r="L5140" s="74">
        <v>92.16</v>
      </c>
      <c r="M5140" s="74"/>
      <c r="N5140" s="74" t="s">
        <v>392</v>
      </c>
      <c r="O5140" s="74" t="s">
        <v>393</v>
      </c>
      <c r="P5140" s="74"/>
      <c r="Q5140" s="74" t="s">
        <v>5441</v>
      </c>
    </row>
    <row r="5141" spans="3:17" x14ac:dyDescent="0.25">
      <c r="C5141" s="74" t="s">
        <v>5445</v>
      </c>
      <c r="D5141" s="74" t="s">
        <v>5446</v>
      </c>
      <c r="E5141" s="74" t="s">
        <v>391</v>
      </c>
      <c r="F5141" s="74">
        <v>0</v>
      </c>
      <c r="G5141" s="74"/>
      <c r="H5141" s="74"/>
      <c r="I5141" s="74" t="s">
        <v>391</v>
      </c>
      <c r="J5141" s="74"/>
      <c r="K5141" s="74"/>
      <c r="L5141" s="74"/>
      <c r="M5141" s="74"/>
      <c r="N5141" s="74" t="s">
        <v>397</v>
      </c>
      <c r="O5141" s="74" t="s">
        <v>393</v>
      </c>
      <c r="P5141" s="74"/>
      <c r="Q5141" s="74" t="s">
        <v>5447</v>
      </c>
    </row>
    <row r="5142" spans="3:17" x14ac:dyDescent="0.25">
      <c r="C5142" s="74" t="s">
        <v>5458</v>
      </c>
      <c r="D5142" s="74" t="s">
        <v>5459</v>
      </c>
      <c r="E5142" s="74" t="s">
        <v>391</v>
      </c>
      <c r="F5142" s="74">
        <v>0</v>
      </c>
      <c r="G5142" s="74"/>
      <c r="H5142" s="74"/>
      <c r="I5142" s="74" t="s">
        <v>391</v>
      </c>
      <c r="J5142" s="74"/>
      <c r="K5142" s="74">
        <v>102.4</v>
      </c>
      <c r="L5142" s="74">
        <v>92.16</v>
      </c>
      <c r="M5142" s="74"/>
      <c r="N5142" s="74" t="s">
        <v>392</v>
      </c>
      <c r="O5142" s="74" t="s">
        <v>393</v>
      </c>
      <c r="P5142" s="74"/>
      <c r="Q5142" s="74" t="s">
        <v>5460</v>
      </c>
    </row>
    <row r="5143" spans="3:17" x14ac:dyDescent="0.25">
      <c r="C5143" s="74" t="s">
        <v>5476</v>
      </c>
      <c r="D5143" s="74" t="s">
        <v>5477</v>
      </c>
      <c r="E5143" s="74" t="s">
        <v>391</v>
      </c>
      <c r="F5143" s="74">
        <v>0</v>
      </c>
      <c r="G5143" s="74"/>
      <c r="H5143" s="74"/>
      <c r="I5143" s="74" t="s">
        <v>391</v>
      </c>
      <c r="J5143" s="74"/>
      <c r="K5143" s="74"/>
      <c r="L5143" s="74"/>
      <c r="M5143" s="74"/>
      <c r="N5143" s="74" t="s">
        <v>397</v>
      </c>
      <c r="O5143" s="74" t="s">
        <v>393</v>
      </c>
      <c r="P5143" s="74"/>
      <c r="Q5143" s="74" t="s">
        <v>5478</v>
      </c>
    </row>
    <row r="5144" spans="3:17" x14ac:dyDescent="0.25">
      <c r="C5144" s="74" t="s">
        <v>5490</v>
      </c>
      <c r="D5144" s="74" t="s">
        <v>5491</v>
      </c>
      <c r="E5144" s="74" t="s">
        <v>391</v>
      </c>
      <c r="F5144" s="74">
        <v>0</v>
      </c>
      <c r="G5144" s="74"/>
      <c r="H5144" s="74"/>
      <c r="I5144" s="74" t="s">
        <v>391</v>
      </c>
      <c r="J5144" s="74"/>
      <c r="K5144" s="74"/>
      <c r="L5144" s="74"/>
      <c r="M5144" s="74"/>
      <c r="N5144" s="74" t="s">
        <v>397</v>
      </c>
      <c r="O5144" s="74" t="s">
        <v>393</v>
      </c>
      <c r="P5144" s="74" t="s">
        <v>5492</v>
      </c>
      <c r="Q5144" s="74" t="s">
        <v>5493</v>
      </c>
    </row>
    <row r="5145" spans="3:17" x14ac:dyDescent="0.25">
      <c r="C5145" s="74" t="s">
        <v>5494</v>
      </c>
      <c r="D5145" s="74" t="s">
        <v>5495</v>
      </c>
      <c r="E5145" s="74"/>
      <c r="F5145" s="74">
        <v>0</v>
      </c>
      <c r="G5145" s="74"/>
      <c r="H5145" s="74"/>
      <c r="I5145" s="74" t="s">
        <v>391</v>
      </c>
      <c r="J5145" s="74"/>
      <c r="K5145" s="74">
        <v>102.4</v>
      </c>
      <c r="L5145" s="74">
        <v>92.16</v>
      </c>
      <c r="M5145" s="74"/>
      <c r="N5145" s="74" t="s">
        <v>392</v>
      </c>
      <c r="O5145" s="74" t="s">
        <v>402</v>
      </c>
      <c r="P5145" s="74" t="s">
        <v>5496</v>
      </c>
      <c r="Q5145" s="74" t="s">
        <v>5497</v>
      </c>
    </row>
    <row r="5146" spans="3:17" x14ac:dyDescent="0.25">
      <c r="C5146" s="74" t="s">
        <v>5527</v>
      </c>
      <c r="D5146" s="74" t="s">
        <v>5528</v>
      </c>
      <c r="E5146" s="74"/>
      <c r="F5146" s="74">
        <v>0</v>
      </c>
      <c r="G5146" s="74"/>
      <c r="H5146" s="74"/>
      <c r="I5146" s="74" t="s">
        <v>391</v>
      </c>
      <c r="J5146" s="74"/>
      <c r="K5146" s="74">
        <v>102.4</v>
      </c>
      <c r="L5146" s="74">
        <v>92.16</v>
      </c>
      <c r="M5146" s="74"/>
      <c r="N5146" s="74" t="s">
        <v>392</v>
      </c>
      <c r="O5146" s="74" t="s">
        <v>402</v>
      </c>
      <c r="P5146" s="74"/>
      <c r="Q5146" s="74" t="s">
        <v>5529</v>
      </c>
    </row>
    <row r="5147" spans="3:17" x14ac:dyDescent="0.25">
      <c r="C5147" s="74" t="s">
        <v>5559</v>
      </c>
      <c r="D5147" s="74" t="s">
        <v>5560</v>
      </c>
      <c r="E5147" s="74" t="s">
        <v>391</v>
      </c>
      <c r="F5147" s="74">
        <v>0</v>
      </c>
      <c r="G5147" s="74"/>
      <c r="H5147" s="74"/>
      <c r="I5147" s="74" t="s">
        <v>391</v>
      </c>
      <c r="J5147" s="74"/>
      <c r="K5147" s="74">
        <v>102.4</v>
      </c>
      <c r="L5147" s="74">
        <v>92.16</v>
      </c>
      <c r="M5147" s="74"/>
      <c r="N5147" s="74" t="s">
        <v>392</v>
      </c>
      <c r="O5147" s="74" t="s">
        <v>393</v>
      </c>
      <c r="P5147" s="74"/>
      <c r="Q5147" s="74" t="s">
        <v>5561</v>
      </c>
    </row>
    <row r="5148" spans="3:17" x14ac:dyDescent="0.25">
      <c r="C5148" s="74" t="s">
        <v>5566</v>
      </c>
      <c r="D5148" s="74" t="s">
        <v>4606</v>
      </c>
      <c r="E5148" s="74" t="s">
        <v>391</v>
      </c>
      <c r="F5148" s="74">
        <v>0</v>
      </c>
      <c r="G5148" s="74"/>
      <c r="H5148" s="74"/>
      <c r="I5148" s="74" t="s">
        <v>391</v>
      </c>
      <c r="J5148" s="74"/>
      <c r="K5148" s="74"/>
      <c r="L5148" s="74"/>
      <c r="M5148" s="74"/>
      <c r="N5148" s="74" t="s">
        <v>397</v>
      </c>
      <c r="O5148" s="74" t="s">
        <v>393</v>
      </c>
      <c r="P5148" s="74"/>
      <c r="Q5148" s="74" t="s">
        <v>5567</v>
      </c>
    </row>
    <row r="5149" spans="3:17" x14ac:dyDescent="0.25">
      <c r="C5149" s="74" t="s">
        <v>5574</v>
      </c>
      <c r="D5149" s="74" t="s">
        <v>5575</v>
      </c>
      <c r="E5149" s="74"/>
      <c r="F5149" s="74">
        <v>0</v>
      </c>
      <c r="G5149" s="74"/>
      <c r="H5149" s="74"/>
      <c r="I5149" s="74" t="s">
        <v>391</v>
      </c>
      <c r="J5149" s="74"/>
      <c r="K5149" s="74">
        <v>102.4</v>
      </c>
      <c r="L5149" s="74">
        <v>92.16</v>
      </c>
      <c r="M5149" s="74"/>
      <c r="N5149" s="74" t="s">
        <v>392</v>
      </c>
      <c r="O5149" s="74" t="s">
        <v>402</v>
      </c>
      <c r="P5149" s="74" t="s">
        <v>5576</v>
      </c>
      <c r="Q5149" s="74" t="s">
        <v>5577</v>
      </c>
    </row>
    <row r="5150" spans="3:17" x14ac:dyDescent="0.25">
      <c r="C5150" s="74" t="s">
        <v>5578</v>
      </c>
      <c r="D5150" s="74" t="s">
        <v>5579</v>
      </c>
      <c r="E5150" s="74" t="s">
        <v>391</v>
      </c>
      <c r="F5150" s="74">
        <v>0</v>
      </c>
      <c r="G5150" s="74"/>
      <c r="H5150" s="74"/>
      <c r="I5150" s="74" t="s">
        <v>391</v>
      </c>
      <c r="J5150" s="74"/>
      <c r="K5150" s="74"/>
      <c r="L5150" s="74"/>
      <c r="M5150" s="74"/>
      <c r="N5150" s="74" t="s">
        <v>397</v>
      </c>
      <c r="O5150" s="74" t="s">
        <v>393</v>
      </c>
      <c r="P5150" s="74" t="s">
        <v>5580</v>
      </c>
      <c r="Q5150" s="74" t="s">
        <v>5581</v>
      </c>
    </row>
    <row r="5151" spans="3:17" x14ac:dyDescent="0.25">
      <c r="C5151" s="74" t="s">
        <v>5616</v>
      </c>
      <c r="D5151" s="74" t="s">
        <v>5617</v>
      </c>
      <c r="E5151" s="74" t="s">
        <v>391</v>
      </c>
      <c r="F5151" s="74">
        <v>0</v>
      </c>
      <c r="G5151" s="74"/>
      <c r="H5151" s="74"/>
      <c r="I5151" s="74" t="s">
        <v>391</v>
      </c>
      <c r="J5151" s="74"/>
      <c r="K5151" s="74">
        <v>102.4</v>
      </c>
      <c r="L5151" s="74">
        <v>92.16</v>
      </c>
      <c r="M5151" s="74"/>
      <c r="N5151" s="74" t="s">
        <v>392</v>
      </c>
      <c r="O5151" s="74" t="s">
        <v>393</v>
      </c>
      <c r="P5151" s="74"/>
      <c r="Q5151" s="74" t="s">
        <v>5618</v>
      </c>
    </row>
    <row r="5152" spans="3:17" x14ac:dyDescent="0.25">
      <c r="C5152" s="74" t="s">
        <v>5649</v>
      </c>
      <c r="D5152" s="74" t="s">
        <v>5650</v>
      </c>
      <c r="E5152" s="74" t="s">
        <v>391</v>
      </c>
      <c r="F5152" s="74">
        <v>0</v>
      </c>
      <c r="G5152" s="74"/>
      <c r="H5152" s="74"/>
      <c r="I5152" s="74" t="s">
        <v>391</v>
      </c>
      <c r="J5152" s="74"/>
      <c r="K5152" s="74"/>
      <c r="L5152" s="74"/>
      <c r="M5152" s="74"/>
      <c r="N5152" s="74" t="s">
        <v>397</v>
      </c>
      <c r="O5152" s="74" t="s">
        <v>393</v>
      </c>
      <c r="P5152" s="74" t="s">
        <v>5651</v>
      </c>
      <c r="Q5152" s="74" t="s">
        <v>5652</v>
      </c>
    </row>
    <row r="5153" spans="3:17" x14ac:dyDescent="0.25">
      <c r="C5153" s="74" t="s">
        <v>5657</v>
      </c>
      <c r="D5153" s="74" t="s">
        <v>5658</v>
      </c>
      <c r="E5153" s="74" t="s">
        <v>391</v>
      </c>
      <c r="F5153" s="74">
        <v>0</v>
      </c>
      <c r="G5153" s="74"/>
      <c r="H5153" s="74"/>
      <c r="I5153" s="74" t="s">
        <v>391</v>
      </c>
      <c r="J5153" s="74"/>
      <c r="K5153" s="74"/>
      <c r="L5153" s="74"/>
      <c r="M5153" s="74"/>
      <c r="N5153" s="74" t="s">
        <v>397</v>
      </c>
      <c r="O5153" s="74" t="s">
        <v>393</v>
      </c>
      <c r="P5153" s="74" t="s">
        <v>5659</v>
      </c>
      <c r="Q5153" s="74" t="s">
        <v>5660</v>
      </c>
    </row>
    <row r="5154" spans="3:17" x14ac:dyDescent="0.25">
      <c r="C5154" s="74" t="s">
        <v>5675</v>
      </c>
      <c r="D5154" s="74" t="s">
        <v>5676</v>
      </c>
      <c r="E5154" s="74" t="s">
        <v>391</v>
      </c>
      <c r="F5154" s="74">
        <v>0</v>
      </c>
      <c r="G5154" s="74"/>
      <c r="H5154" s="74"/>
      <c r="I5154" s="74" t="s">
        <v>391</v>
      </c>
      <c r="J5154" s="74"/>
      <c r="K5154" s="74"/>
      <c r="L5154" s="74"/>
      <c r="M5154" s="74"/>
      <c r="N5154" s="74" t="s">
        <v>397</v>
      </c>
      <c r="O5154" s="74" t="s">
        <v>393</v>
      </c>
      <c r="P5154" s="74"/>
      <c r="Q5154" s="74" t="s">
        <v>5677</v>
      </c>
    </row>
    <row r="5155" spans="3:17" x14ac:dyDescent="0.25">
      <c r="C5155" s="74" t="s">
        <v>5678</v>
      </c>
      <c r="D5155" s="74" t="s">
        <v>5679</v>
      </c>
      <c r="E5155" s="74" t="s">
        <v>391</v>
      </c>
      <c r="F5155" s="74">
        <v>0</v>
      </c>
      <c r="G5155" s="74"/>
      <c r="H5155" s="74"/>
      <c r="I5155" s="74" t="s">
        <v>391</v>
      </c>
      <c r="J5155" s="74"/>
      <c r="K5155" s="74">
        <v>102.4</v>
      </c>
      <c r="L5155" s="74">
        <v>92.16</v>
      </c>
      <c r="M5155" s="74"/>
      <c r="N5155" s="74" t="s">
        <v>392</v>
      </c>
      <c r="O5155" s="74" t="s">
        <v>393</v>
      </c>
      <c r="P5155" s="74"/>
      <c r="Q5155" s="74" t="s">
        <v>5680</v>
      </c>
    </row>
    <row r="5156" spans="3:17" x14ac:dyDescent="0.25">
      <c r="C5156" s="74" t="s">
        <v>5709</v>
      </c>
      <c r="D5156" s="74" t="s">
        <v>5710</v>
      </c>
      <c r="E5156" s="74" t="s">
        <v>391</v>
      </c>
      <c r="F5156" s="74">
        <v>0</v>
      </c>
      <c r="G5156" s="74"/>
      <c r="H5156" s="74"/>
      <c r="I5156" s="74" t="s">
        <v>391</v>
      </c>
      <c r="J5156" s="74"/>
      <c r="K5156" s="74"/>
      <c r="L5156" s="74"/>
      <c r="M5156" s="74"/>
      <c r="N5156" s="74" t="s">
        <v>397</v>
      </c>
      <c r="O5156" s="74" t="s">
        <v>393</v>
      </c>
      <c r="P5156" s="74" t="s">
        <v>5711</v>
      </c>
      <c r="Q5156" s="74" t="s">
        <v>5712</v>
      </c>
    </row>
    <row r="5157" spans="3:17" x14ac:dyDescent="0.25">
      <c r="C5157" s="74" t="s">
        <v>5729</v>
      </c>
      <c r="D5157" s="74" t="s">
        <v>5730</v>
      </c>
      <c r="E5157" s="74" t="s">
        <v>391</v>
      </c>
      <c r="F5157" s="74">
        <v>0</v>
      </c>
      <c r="G5157" s="74"/>
      <c r="H5157" s="74"/>
      <c r="I5157" s="74" t="s">
        <v>391</v>
      </c>
      <c r="J5157" s="74"/>
      <c r="K5157" s="74"/>
      <c r="L5157" s="74"/>
      <c r="M5157" s="74"/>
      <c r="N5157" s="74" t="s">
        <v>397</v>
      </c>
      <c r="O5157" s="74" t="s">
        <v>393</v>
      </c>
      <c r="P5157" s="74" t="s">
        <v>5731</v>
      </c>
      <c r="Q5157" s="74" t="s">
        <v>5732</v>
      </c>
    </row>
    <row r="5158" spans="3:17" x14ac:dyDescent="0.25">
      <c r="C5158" s="74" t="s">
        <v>5753</v>
      </c>
      <c r="D5158" s="74" t="s">
        <v>5754</v>
      </c>
      <c r="E5158" s="74" t="s">
        <v>391</v>
      </c>
      <c r="F5158" s="74">
        <v>0</v>
      </c>
      <c r="G5158" s="74"/>
      <c r="H5158" s="74"/>
      <c r="I5158" s="74" t="s">
        <v>391</v>
      </c>
      <c r="J5158" s="74"/>
      <c r="K5158" s="74"/>
      <c r="L5158" s="74"/>
      <c r="M5158" s="74"/>
      <c r="N5158" s="74" t="s">
        <v>397</v>
      </c>
      <c r="O5158" s="74" t="s">
        <v>393</v>
      </c>
      <c r="P5158" s="74" t="s">
        <v>5755</v>
      </c>
      <c r="Q5158" s="74" t="s">
        <v>5756</v>
      </c>
    </row>
    <row r="5159" spans="3:17" x14ac:dyDescent="0.25">
      <c r="C5159" s="74" t="s">
        <v>5765</v>
      </c>
      <c r="D5159" s="74" t="s">
        <v>5766</v>
      </c>
      <c r="E5159" s="74" t="s">
        <v>391</v>
      </c>
      <c r="F5159" s="74">
        <v>0</v>
      </c>
      <c r="G5159" s="74"/>
      <c r="H5159" s="74"/>
      <c r="I5159" s="74" t="s">
        <v>391</v>
      </c>
      <c r="J5159" s="74"/>
      <c r="K5159" s="74">
        <v>102.4</v>
      </c>
      <c r="L5159" s="74">
        <v>92.16</v>
      </c>
      <c r="M5159" s="74"/>
      <c r="N5159" s="74" t="s">
        <v>392</v>
      </c>
      <c r="O5159" s="74" t="s">
        <v>393</v>
      </c>
      <c r="P5159" s="74"/>
      <c r="Q5159" s="74" t="s">
        <v>5767</v>
      </c>
    </row>
    <row r="5160" spans="3:17" x14ac:dyDescent="0.25">
      <c r="C5160" s="74" t="s">
        <v>5817</v>
      </c>
      <c r="D5160" s="74" t="s">
        <v>5818</v>
      </c>
      <c r="E5160" s="74" t="s">
        <v>391</v>
      </c>
      <c r="F5160" s="74">
        <v>0</v>
      </c>
      <c r="G5160" s="74"/>
      <c r="H5160" s="74"/>
      <c r="I5160" s="74" t="s">
        <v>391</v>
      </c>
      <c r="J5160" s="74"/>
      <c r="K5160" s="74"/>
      <c r="L5160" s="74"/>
      <c r="M5160" s="74"/>
      <c r="N5160" s="74" t="s">
        <v>397</v>
      </c>
      <c r="O5160" s="74" t="s">
        <v>393</v>
      </c>
      <c r="P5160" s="74" t="s">
        <v>5819</v>
      </c>
      <c r="Q5160" s="74" t="s">
        <v>5820</v>
      </c>
    </row>
    <row r="5161" spans="3:17" x14ac:dyDescent="0.25">
      <c r="C5161" s="74" t="s">
        <v>5821</v>
      </c>
      <c r="D5161" s="74" t="s">
        <v>5822</v>
      </c>
      <c r="E5161" s="74" t="s">
        <v>391</v>
      </c>
      <c r="F5161" s="74">
        <v>0</v>
      </c>
      <c r="G5161" s="74"/>
      <c r="H5161" s="74"/>
      <c r="I5161" s="74" t="s">
        <v>391</v>
      </c>
      <c r="J5161" s="74"/>
      <c r="K5161" s="74"/>
      <c r="L5161" s="74"/>
      <c r="M5161" s="74"/>
      <c r="N5161" s="74" t="s">
        <v>397</v>
      </c>
      <c r="O5161" s="74" t="s">
        <v>393</v>
      </c>
      <c r="P5161" s="74" t="s">
        <v>5823</v>
      </c>
      <c r="Q5161" s="74" t="s">
        <v>5824</v>
      </c>
    </row>
    <row r="5162" spans="3:17" x14ac:dyDescent="0.25">
      <c r="C5162" s="74" t="s">
        <v>5829</v>
      </c>
      <c r="D5162" s="74" t="s">
        <v>5830</v>
      </c>
      <c r="E5162" s="74" t="s">
        <v>391</v>
      </c>
      <c r="F5162" s="74">
        <v>0</v>
      </c>
      <c r="G5162" s="74"/>
      <c r="H5162" s="74"/>
      <c r="I5162" s="74" t="s">
        <v>391</v>
      </c>
      <c r="J5162" s="74"/>
      <c r="K5162" s="74"/>
      <c r="L5162" s="74"/>
      <c r="M5162" s="74"/>
      <c r="N5162" s="74" t="s">
        <v>397</v>
      </c>
      <c r="O5162" s="74" t="s">
        <v>393</v>
      </c>
      <c r="P5162" s="74"/>
      <c r="Q5162" s="74" t="s">
        <v>5831</v>
      </c>
    </row>
    <row r="5163" spans="3:17" x14ac:dyDescent="0.25">
      <c r="C5163" s="74" t="s">
        <v>5847</v>
      </c>
      <c r="D5163" s="74" t="s">
        <v>5848</v>
      </c>
      <c r="E5163" s="74" t="s">
        <v>391</v>
      </c>
      <c r="F5163" s="74">
        <v>0</v>
      </c>
      <c r="G5163" s="74"/>
      <c r="H5163" s="74"/>
      <c r="I5163" s="74" t="s">
        <v>391</v>
      </c>
      <c r="J5163" s="74"/>
      <c r="K5163" s="74"/>
      <c r="L5163" s="74"/>
      <c r="M5163" s="74"/>
      <c r="N5163" s="74" t="s">
        <v>397</v>
      </c>
      <c r="O5163" s="74" t="s">
        <v>393</v>
      </c>
      <c r="P5163" s="74"/>
      <c r="Q5163" s="74" t="s">
        <v>5849</v>
      </c>
    </row>
    <row r="5164" spans="3:17" x14ac:dyDescent="0.25">
      <c r="C5164" s="74" t="s">
        <v>5878</v>
      </c>
      <c r="D5164" s="74" t="s">
        <v>5879</v>
      </c>
      <c r="E5164" s="74" t="s">
        <v>391</v>
      </c>
      <c r="F5164" s="74">
        <v>0</v>
      </c>
      <c r="G5164" s="74"/>
      <c r="H5164" s="74"/>
      <c r="I5164" s="74" t="s">
        <v>391</v>
      </c>
      <c r="J5164" s="74"/>
      <c r="K5164" s="74"/>
      <c r="L5164" s="74"/>
      <c r="M5164" s="74"/>
      <c r="N5164" s="74" t="s">
        <v>397</v>
      </c>
      <c r="O5164" s="74" t="s">
        <v>393</v>
      </c>
      <c r="P5164" s="74"/>
      <c r="Q5164" s="74" t="s">
        <v>5880</v>
      </c>
    </row>
    <row r="5165" spans="3:17" x14ac:dyDescent="0.25">
      <c r="C5165" s="74" t="s">
        <v>5906</v>
      </c>
      <c r="D5165" s="74" t="s">
        <v>5907</v>
      </c>
      <c r="E5165" s="74" t="s">
        <v>391</v>
      </c>
      <c r="F5165" s="74">
        <v>0</v>
      </c>
      <c r="G5165" s="74"/>
      <c r="H5165" s="74"/>
      <c r="I5165" s="74" t="s">
        <v>391</v>
      </c>
      <c r="J5165" s="74"/>
      <c r="K5165" s="74"/>
      <c r="L5165" s="74"/>
      <c r="M5165" s="74"/>
      <c r="N5165" s="74" t="s">
        <v>397</v>
      </c>
      <c r="O5165" s="74" t="s">
        <v>393</v>
      </c>
      <c r="P5165" s="74" t="s">
        <v>5908</v>
      </c>
      <c r="Q5165" s="74" t="s">
        <v>5909</v>
      </c>
    </row>
    <row r="5166" spans="3:17" x14ac:dyDescent="0.25">
      <c r="C5166" s="74" t="s">
        <v>5924</v>
      </c>
      <c r="D5166" s="74" t="s">
        <v>5925</v>
      </c>
      <c r="E5166" s="74" t="s">
        <v>391</v>
      </c>
      <c r="F5166" s="74">
        <v>0</v>
      </c>
      <c r="G5166" s="74"/>
      <c r="H5166" s="74"/>
      <c r="I5166" s="74" t="s">
        <v>391</v>
      </c>
      <c r="J5166" s="74"/>
      <c r="K5166" s="74"/>
      <c r="L5166" s="74"/>
      <c r="M5166" s="74"/>
      <c r="N5166" s="74" t="s">
        <v>397</v>
      </c>
      <c r="O5166" s="74" t="s">
        <v>393</v>
      </c>
      <c r="P5166" s="74" t="s">
        <v>5926</v>
      </c>
      <c r="Q5166" s="74" t="s">
        <v>5927</v>
      </c>
    </row>
    <row r="5167" spans="3:17" x14ac:dyDescent="0.25">
      <c r="C5167" s="74" t="s">
        <v>5942</v>
      </c>
      <c r="D5167" s="74" t="s">
        <v>5943</v>
      </c>
      <c r="E5167" s="74" t="s">
        <v>391</v>
      </c>
      <c r="F5167" s="74">
        <v>0</v>
      </c>
      <c r="G5167" s="74"/>
      <c r="H5167" s="74"/>
      <c r="I5167" s="74" t="s">
        <v>391</v>
      </c>
      <c r="J5167" s="74"/>
      <c r="K5167" s="74"/>
      <c r="L5167" s="74"/>
      <c r="M5167" s="74"/>
      <c r="N5167" s="74" t="s">
        <v>397</v>
      </c>
      <c r="O5167" s="74" t="s">
        <v>393</v>
      </c>
      <c r="P5167" s="74"/>
      <c r="Q5167" s="74" t="s">
        <v>5944</v>
      </c>
    </row>
    <row r="5168" spans="3:17" x14ac:dyDescent="0.25">
      <c r="C5168" s="74" t="s">
        <v>5945</v>
      </c>
      <c r="D5168" s="74" t="s">
        <v>5946</v>
      </c>
      <c r="E5168" s="74" t="s">
        <v>391</v>
      </c>
      <c r="F5168" s="74">
        <v>0</v>
      </c>
      <c r="G5168" s="74"/>
      <c r="H5168" s="74"/>
      <c r="I5168" s="74" t="s">
        <v>391</v>
      </c>
      <c r="J5168" s="74"/>
      <c r="K5168" s="74"/>
      <c r="L5168" s="74"/>
      <c r="M5168" s="74"/>
      <c r="N5168" s="74" t="s">
        <v>397</v>
      </c>
      <c r="O5168" s="74" t="s">
        <v>393</v>
      </c>
      <c r="P5168" s="74" t="s">
        <v>5947</v>
      </c>
      <c r="Q5168" s="74" t="s">
        <v>5948</v>
      </c>
    </row>
    <row r="5169" spans="3:17" x14ac:dyDescent="0.25">
      <c r="C5169" s="74" t="s">
        <v>5963</v>
      </c>
      <c r="D5169" s="74" t="s">
        <v>5964</v>
      </c>
      <c r="E5169" s="74" t="s">
        <v>391</v>
      </c>
      <c r="F5169" s="74">
        <v>0</v>
      </c>
      <c r="G5169" s="74"/>
      <c r="H5169" s="74"/>
      <c r="I5169" s="74" t="s">
        <v>391</v>
      </c>
      <c r="J5169" s="74"/>
      <c r="K5169" s="74"/>
      <c r="L5169" s="74"/>
      <c r="M5169" s="74"/>
      <c r="N5169" s="74" t="s">
        <v>397</v>
      </c>
      <c r="O5169" s="74" t="s">
        <v>393</v>
      </c>
      <c r="P5169" s="74" t="s">
        <v>5965</v>
      </c>
      <c r="Q5169" s="74" t="s">
        <v>5966</v>
      </c>
    </row>
    <row r="5170" spans="3:17" x14ac:dyDescent="0.25">
      <c r="C5170" s="74" t="s">
        <v>5982</v>
      </c>
      <c r="D5170" s="74" t="s">
        <v>5983</v>
      </c>
      <c r="E5170" s="74" t="s">
        <v>391</v>
      </c>
      <c r="F5170" s="74">
        <v>0</v>
      </c>
      <c r="G5170" s="74"/>
      <c r="H5170" s="74"/>
      <c r="I5170" s="74" t="s">
        <v>391</v>
      </c>
      <c r="J5170" s="74"/>
      <c r="K5170" s="74"/>
      <c r="L5170" s="74"/>
      <c r="M5170" s="74"/>
      <c r="N5170" s="74" t="s">
        <v>397</v>
      </c>
      <c r="O5170" s="74" t="s">
        <v>393</v>
      </c>
      <c r="P5170" s="74" t="s">
        <v>5984</v>
      </c>
      <c r="Q5170" s="74" t="s">
        <v>5985</v>
      </c>
    </row>
    <row r="5171" spans="3:17" x14ac:dyDescent="0.25">
      <c r="C5171" s="74" t="s">
        <v>5986</v>
      </c>
      <c r="D5171" s="74" t="s">
        <v>5987</v>
      </c>
      <c r="E5171" s="74" t="s">
        <v>391</v>
      </c>
      <c r="F5171" s="74">
        <v>0</v>
      </c>
      <c r="G5171" s="74"/>
      <c r="H5171" s="74"/>
      <c r="I5171" s="74" t="s">
        <v>391</v>
      </c>
      <c r="J5171" s="74"/>
      <c r="K5171" s="74">
        <v>102.4</v>
      </c>
      <c r="L5171" s="74">
        <v>92.16</v>
      </c>
      <c r="M5171" s="74"/>
      <c r="N5171" s="74" t="s">
        <v>392</v>
      </c>
      <c r="O5171" s="74" t="s">
        <v>393</v>
      </c>
      <c r="P5171" s="74"/>
      <c r="Q5171" s="74" t="s">
        <v>5988</v>
      </c>
    </row>
    <row r="5172" spans="3:17" x14ac:dyDescent="0.25">
      <c r="C5172" s="74" t="s">
        <v>6012</v>
      </c>
      <c r="D5172" s="74" t="s">
        <v>6013</v>
      </c>
      <c r="E5172" s="74" t="s">
        <v>391</v>
      </c>
      <c r="F5172" s="74">
        <v>0</v>
      </c>
      <c r="G5172" s="74"/>
      <c r="H5172" s="74"/>
      <c r="I5172" s="74" t="s">
        <v>391</v>
      </c>
      <c r="J5172" s="74"/>
      <c r="K5172" s="74"/>
      <c r="L5172" s="74"/>
      <c r="M5172" s="74"/>
      <c r="N5172" s="74" t="s">
        <v>397</v>
      </c>
      <c r="O5172" s="74" t="s">
        <v>393</v>
      </c>
      <c r="P5172" s="74" t="s">
        <v>6014</v>
      </c>
      <c r="Q5172" s="74" t="s">
        <v>6015</v>
      </c>
    </row>
    <row r="5173" spans="3:17" x14ac:dyDescent="0.25">
      <c r="C5173" s="74" t="s">
        <v>6019</v>
      </c>
      <c r="D5173" s="74" t="s">
        <v>6020</v>
      </c>
      <c r="E5173" s="74" t="s">
        <v>391</v>
      </c>
      <c r="F5173" s="74">
        <v>0</v>
      </c>
      <c r="G5173" s="74"/>
      <c r="H5173" s="74"/>
      <c r="I5173" s="74" t="s">
        <v>391</v>
      </c>
      <c r="J5173" s="74"/>
      <c r="K5173" s="74"/>
      <c r="L5173" s="74"/>
      <c r="M5173" s="74"/>
      <c r="N5173" s="74" t="s">
        <v>397</v>
      </c>
      <c r="O5173" s="74" t="s">
        <v>393</v>
      </c>
      <c r="P5173" s="74" t="s">
        <v>6021</v>
      </c>
      <c r="Q5173" s="74" t="s">
        <v>6022</v>
      </c>
    </row>
    <row r="5174" spans="3:17" x14ac:dyDescent="0.25">
      <c r="C5174" s="74" t="s">
        <v>6057</v>
      </c>
      <c r="D5174" s="74" t="s">
        <v>4591</v>
      </c>
      <c r="E5174" s="74" t="s">
        <v>391</v>
      </c>
      <c r="F5174" s="74">
        <v>0</v>
      </c>
      <c r="G5174" s="74"/>
      <c r="H5174" s="74"/>
      <c r="I5174" s="74" t="s">
        <v>391</v>
      </c>
      <c r="J5174" s="74"/>
      <c r="K5174" s="74"/>
      <c r="L5174" s="74"/>
      <c r="M5174" s="74"/>
      <c r="N5174" s="74" t="s">
        <v>397</v>
      </c>
      <c r="O5174" s="74" t="s">
        <v>393</v>
      </c>
      <c r="P5174" s="74" t="s">
        <v>6058</v>
      </c>
      <c r="Q5174" s="74" t="s">
        <v>6059</v>
      </c>
    </row>
    <row r="5175" spans="3:17" x14ac:dyDescent="0.25">
      <c r="C5175" s="74" t="s">
        <v>6060</v>
      </c>
      <c r="D5175" s="74" t="s">
        <v>6061</v>
      </c>
      <c r="E5175" s="74" t="s">
        <v>391</v>
      </c>
      <c r="F5175" s="74">
        <v>0</v>
      </c>
      <c r="G5175" s="74"/>
      <c r="H5175" s="74"/>
      <c r="I5175" s="74" t="s">
        <v>391</v>
      </c>
      <c r="J5175" s="74"/>
      <c r="K5175" s="74"/>
      <c r="L5175" s="74"/>
      <c r="M5175" s="74"/>
      <c r="N5175" s="74" t="s">
        <v>397</v>
      </c>
      <c r="O5175" s="74" t="s">
        <v>393</v>
      </c>
      <c r="P5175" s="74"/>
      <c r="Q5175" s="74" t="s">
        <v>6062</v>
      </c>
    </row>
    <row r="5176" spans="3:17" x14ac:dyDescent="0.25">
      <c r="C5176" s="74" t="s">
        <v>6063</v>
      </c>
      <c r="D5176" s="74" t="s">
        <v>6064</v>
      </c>
      <c r="E5176" s="74"/>
      <c r="F5176" s="74">
        <v>0</v>
      </c>
      <c r="G5176" s="74"/>
      <c r="H5176" s="74"/>
      <c r="I5176" s="74" t="s">
        <v>391</v>
      </c>
      <c r="J5176" s="74"/>
      <c r="K5176" s="74"/>
      <c r="L5176" s="74"/>
      <c r="M5176" s="74"/>
      <c r="N5176" s="74" t="s">
        <v>397</v>
      </c>
      <c r="O5176" s="74" t="s">
        <v>393</v>
      </c>
      <c r="P5176" s="74"/>
      <c r="Q5176" s="74" t="s">
        <v>6065</v>
      </c>
    </row>
    <row r="5177" spans="3:17" x14ac:dyDescent="0.25">
      <c r="C5177" s="74" t="s">
        <v>6092</v>
      </c>
      <c r="D5177" s="74" t="s">
        <v>6093</v>
      </c>
      <c r="E5177" s="74" t="s">
        <v>391</v>
      </c>
      <c r="F5177" s="74">
        <v>0</v>
      </c>
      <c r="G5177" s="74"/>
      <c r="H5177" s="74"/>
      <c r="I5177" s="74" t="s">
        <v>391</v>
      </c>
      <c r="J5177" s="74"/>
      <c r="K5177" s="74"/>
      <c r="L5177" s="74"/>
      <c r="M5177" s="74"/>
      <c r="N5177" s="74" t="s">
        <v>397</v>
      </c>
      <c r="O5177" s="74" t="s">
        <v>393</v>
      </c>
      <c r="P5177" s="74" t="s">
        <v>6094</v>
      </c>
      <c r="Q5177" s="74" t="s">
        <v>6095</v>
      </c>
    </row>
    <row r="5178" spans="3:17" x14ac:dyDescent="0.25">
      <c r="C5178" s="74" t="s">
        <v>6103</v>
      </c>
      <c r="D5178" s="74" t="s">
        <v>6104</v>
      </c>
      <c r="E5178" s="74" t="s">
        <v>391</v>
      </c>
      <c r="F5178" s="74">
        <v>0</v>
      </c>
      <c r="G5178" s="74"/>
      <c r="H5178" s="74"/>
      <c r="I5178" s="74" t="s">
        <v>391</v>
      </c>
      <c r="J5178" s="74"/>
      <c r="K5178" s="74"/>
      <c r="L5178" s="74"/>
      <c r="M5178" s="74"/>
      <c r="N5178" s="74" t="s">
        <v>397</v>
      </c>
      <c r="O5178" s="74" t="s">
        <v>393</v>
      </c>
      <c r="P5178" s="74" t="s">
        <v>6105</v>
      </c>
      <c r="Q5178" s="74" t="s">
        <v>6106</v>
      </c>
    </row>
    <row r="5179" spans="3:17" x14ac:dyDescent="0.25">
      <c r="C5179" s="74" t="s">
        <v>6141</v>
      </c>
      <c r="D5179" s="74" t="s">
        <v>6142</v>
      </c>
      <c r="E5179" s="74" t="s">
        <v>391</v>
      </c>
      <c r="F5179" s="74">
        <v>0</v>
      </c>
      <c r="G5179" s="74"/>
      <c r="H5179" s="74"/>
      <c r="I5179" s="74" t="s">
        <v>391</v>
      </c>
      <c r="J5179" s="74"/>
      <c r="K5179" s="74"/>
      <c r="L5179" s="74"/>
      <c r="M5179" s="74"/>
      <c r="N5179" s="74" t="s">
        <v>397</v>
      </c>
      <c r="O5179" s="74" t="s">
        <v>393</v>
      </c>
      <c r="P5179" s="74" t="s">
        <v>6143</v>
      </c>
      <c r="Q5179" s="74" t="s">
        <v>6144</v>
      </c>
    </row>
    <row r="5180" spans="3:17" x14ac:dyDescent="0.25">
      <c r="C5180" s="74" t="s">
        <v>6148</v>
      </c>
      <c r="D5180" s="74" t="s">
        <v>6149</v>
      </c>
      <c r="E5180" s="74" t="s">
        <v>391</v>
      </c>
      <c r="F5180" s="74">
        <v>0</v>
      </c>
      <c r="G5180" s="74"/>
      <c r="H5180" s="74"/>
      <c r="I5180" s="74" t="s">
        <v>391</v>
      </c>
      <c r="J5180" s="74"/>
      <c r="K5180" s="74"/>
      <c r="L5180" s="74"/>
      <c r="M5180" s="74"/>
      <c r="N5180" s="74" t="s">
        <v>397</v>
      </c>
      <c r="O5180" s="74" t="s">
        <v>393</v>
      </c>
      <c r="P5180" s="74" t="s">
        <v>6150</v>
      </c>
      <c r="Q5180" s="74" t="s">
        <v>6151</v>
      </c>
    </row>
    <row r="5181" spans="3:17" x14ac:dyDescent="0.25">
      <c r="C5181" s="74" t="s">
        <v>6162</v>
      </c>
      <c r="D5181" s="74" t="s">
        <v>6163</v>
      </c>
      <c r="E5181" s="74" t="s">
        <v>391</v>
      </c>
      <c r="F5181" s="74">
        <v>0</v>
      </c>
      <c r="G5181" s="74"/>
      <c r="H5181" s="74"/>
      <c r="I5181" s="74" t="s">
        <v>391</v>
      </c>
      <c r="J5181" s="74"/>
      <c r="K5181" s="74">
        <v>102.4</v>
      </c>
      <c r="L5181" s="74">
        <v>92.16</v>
      </c>
      <c r="M5181" s="74"/>
      <c r="N5181" s="74" t="s">
        <v>392</v>
      </c>
      <c r="O5181" s="74" t="s">
        <v>393</v>
      </c>
      <c r="P5181" s="74"/>
      <c r="Q5181" s="74" t="s">
        <v>6164</v>
      </c>
    </row>
    <row r="5182" spans="3:17" x14ac:dyDescent="0.25">
      <c r="C5182" s="74" t="s">
        <v>6165</v>
      </c>
      <c r="D5182" s="74" t="s">
        <v>6166</v>
      </c>
      <c r="E5182" s="74" t="s">
        <v>391</v>
      </c>
      <c r="F5182" s="74">
        <v>0</v>
      </c>
      <c r="G5182" s="74"/>
      <c r="H5182" s="74"/>
      <c r="I5182" s="74" t="s">
        <v>391</v>
      </c>
      <c r="J5182" s="74"/>
      <c r="K5182" s="74">
        <v>102.4</v>
      </c>
      <c r="L5182" s="74">
        <v>92.16</v>
      </c>
      <c r="M5182" s="74"/>
      <c r="N5182" s="74" t="s">
        <v>392</v>
      </c>
      <c r="O5182" s="74" t="s">
        <v>393</v>
      </c>
      <c r="P5182" s="74" t="s">
        <v>6167</v>
      </c>
      <c r="Q5182" s="74" t="s">
        <v>6168</v>
      </c>
    </row>
    <row r="5183" spans="3:17" x14ac:dyDescent="0.25">
      <c r="C5183" s="74" t="s">
        <v>6172</v>
      </c>
      <c r="D5183" s="74" t="s">
        <v>6173</v>
      </c>
      <c r="E5183" s="74" t="s">
        <v>391</v>
      </c>
      <c r="F5183" s="74">
        <v>0</v>
      </c>
      <c r="G5183" s="74"/>
      <c r="H5183" s="74"/>
      <c r="I5183" s="74" t="s">
        <v>391</v>
      </c>
      <c r="J5183" s="74"/>
      <c r="K5183" s="74">
        <v>102.4</v>
      </c>
      <c r="L5183" s="74">
        <v>92.16</v>
      </c>
      <c r="M5183" s="74"/>
      <c r="N5183" s="74" t="s">
        <v>1384</v>
      </c>
      <c r="O5183" s="74" t="s">
        <v>402</v>
      </c>
      <c r="P5183" s="74"/>
      <c r="Q5183" s="74" t="s">
        <v>6174</v>
      </c>
    </row>
    <row r="5184" spans="3:17" x14ac:dyDescent="0.25">
      <c r="C5184" s="74" t="s">
        <v>6179</v>
      </c>
      <c r="D5184" s="74" t="s">
        <v>6180</v>
      </c>
      <c r="E5184" s="74" t="s">
        <v>391</v>
      </c>
      <c r="F5184" s="74">
        <v>0</v>
      </c>
      <c r="G5184" s="74"/>
      <c r="H5184" s="74"/>
      <c r="I5184" s="74" t="s">
        <v>391</v>
      </c>
      <c r="J5184" s="74"/>
      <c r="K5184" s="74"/>
      <c r="L5184" s="74"/>
      <c r="M5184" s="74"/>
      <c r="N5184" s="74" t="s">
        <v>397</v>
      </c>
      <c r="O5184" s="74" t="s">
        <v>393</v>
      </c>
      <c r="P5184" s="74" t="s">
        <v>6181</v>
      </c>
      <c r="Q5184" s="74" t="s">
        <v>6182</v>
      </c>
    </row>
    <row r="5185" spans="3:17" x14ac:dyDescent="0.25">
      <c r="C5185" s="74" t="s">
        <v>6203</v>
      </c>
      <c r="D5185" s="74" t="s">
        <v>6204</v>
      </c>
      <c r="E5185" s="74" t="s">
        <v>391</v>
      </c>
      <c r="F5185" s="74">
        <v>0</v>
      </c>
      <c r="G5185" s="74"/>
      <c r="H5185" s="74"/>
      <c r="I5185" s="74" t="s">
        <v>391</v>
      </c>
      <c r="J5185" s="74"/>
      <c r="K5185" s="74">
        <v>102.4</v>
      </c>
      <c r="L5185" s="74">
        <v>92.16</v>
      </c>
      <c r="M5185" s="74"/>
      <c r="N5185" s="74" t="s">
        <v>392</v>
      </c>
      <c r="O5185" s="74" t="s">
        <v>393</v>
      </c>
      <c r="P5185" s="74"/>
      <c r="Q5185" s="74" t="s">
        <v>6205</v>
      </c>
    </row>
    <row r="5186" spans="3:17" x14ac:dyDescent="0.25">
      <c r="C5186" s="74" t="s">
        <v>6259</v>
      </c>
      <c r="D5186" s="74" t="s">
        <v>6260</v>
      </c>
      <c r="E5186" s="74" t="s">
        <v>391</v>
      </c>
      <c r="F5186" s="74">
        <v>0</v>
      </c>
      <c r="G5186" s="74"/>
      <c r="H5186" s="74"/>
      <c r="I5186" s="74" t="s">
        <v>391</v>
      </c>
      <c r="J5186" s="74"/>
      <c r="K5186" s="74"/>
      <c r="L5186" s="74"/>
      <c r="M5186" s="74"/>
      <c r="N5186" s="74" t="s">
        <v>397</v>
      </c>
      <c r="O5186" s="74" t="s">
        <v>393</v>
      </c>
      <c r="P5186" s="74" t="s">
        <v>6261</v>
      </c>
      <c r="Q5186" s="74" t="s">
        <v>6262</v>
      </c>
    </row>
    <row r="5187" spans="3:17" x14ac:dyDescent="0.25">
      <c r="C5187" s="74" t="s">
        <v>6274</v>
      </c>
      <c r="D5187" s="74" t="s">
        <v>6275</v>
      </c>
      <c r="E5187" s="74" t="s">
        <v>391</v>
      </c>
      <c r="F5187" s="74">
        <v>0</v>
      </c>
      <c r="G5187" s="74"/>
      <c r="H5187" s="74"/>
      <c r="I5187" s="74" t="s">
        <v>391</v>
      </c>
      <c r="J5187" s="74"/>
      <c r="K5187" s="74"/>
      <c r="L5187" s="74"/>
      <c r="M5187" s="74"/>
      <c r="N5187" s="74" t="s">
        <v>397</v>
      </c>
      <c r="O5187" s="74" t="s">
        <v>393</v>
      </c>
      <c r="P5187" s="74" t="s">
        <v>6276</v>
      </c>
      <c r="Q5187" s="74" t="s">
        <v>6277</v>
      </c>
    </row>
    <row r="5188" spans="3:17" x14ac:dyDescent="0.25">
      <c r="C5188" s="74" t="s">
        <v>6297</v>
      </c>
      <c r="D5188" s="74" t="s">
        <v>6298</v>
      </c>
      <c r="E5188" s="74" t="s">
        <v>391</v>
      </c>
      <c r="F5188" s="74">
        <v>0</v>
      </c>
      <c r="G5188" s="74"/>
      <c r="H5188" s="74"/>
      <c r="I5188" s="74" t="s">
        <v>391</v>
      </c>
      <c r="J5188" s="74"/>
      <c r="K5188" s="74"/>
      <c r="L5188" s="74"/>
      <c r="M5188" s="74"/>
      <c r="N5188" s="74" t="s">
        <v>397</v>
      </c>
      <c r="O5188" s="74" t="s">
        <v>393</v>
      </c>
      <c r="P5188" s="74" t="s">
        <v>6299</v>
      </c>
      <c r="Q5188" s="74" t="s">
        <v>6300</v>
      </c>
    </row>
    <row r="5189" spans="3:17" x14ac:dyDescent="0.25">
      <c r="C5189" s="74" t="s">
        <v>6325</v>
      </c>
      <c r="D5189" s="74" t="s">
        <v>6298</v>
      </c>
      <c r="E5189" s="74" t="s">
        <v>391</v>
      </c>
      <c r="F5189" s="74">
        <v>0</v>
      </c>
      <c r="G5189" s="74"/>
      <c r="H5189" s="74"/>
      <c r="I5189" s="74" t="s">
        <v>391</v>
      </c>
      <c r="J5189" s="74"/>
      <c r="K5189" s="74"/>
      <c r="L5189" s="74"/>
      <c r="M5189" s="74"/>
      <c r="N5189" s="74" t="s">
        <v>397</v>
      </c>
      <c r="O5189" s="74" t="s">
        <v>393</v>
      </c>
      <c r="P5189" s="74" t="s">
        <v>6326</v>
      </c>
      <c r="Q5189" s="74" t="s">
        <v>6327</v>
      </c>
    </row>
    <row r="5190" spans="3:17" x14ac:dyDescent="0.25">
      <c r="C5190" s="74" t="s">
        <v>6350</v>
      </c>
      <c r="D5190" s="74" t="s">
        <v>6351</v>
      </c>
      <c r="E5190" s="74" t="s">
        <v>391</v>
      </c>
      <c r="F5190" s="74">
        <v>0</v>
      </c>
      <c r="G5190" s="74"/>
      <c r="H5190" s="74"/>
      <c r="I5190" s="74" t="s">
        <v>391</v>
      </c>
      <c r="J5190" s="74"/>
      <c r="K5190" s="74"/>
      <c r="L5190" s="74"/>
      <c r="M5190" s="74"/>
      <c r="N5190" s="74" t="s">
        <v>397</v>
      </c>
      <c r="O5190" s="74" t="s">
        <v>393</v>
      </c>
      <c r="P5190" s="74" t="s">
        <v>6352</v>
      </c>
      <c r="Q5190" s="74" t="s">
        <v>6353</v>
      </c>
    </row>
    <row r="5191" spans="3:17" x14ac:dyDescent="0.25">
      <c r="C5191" s="74" t="s">
        <v>6357</v>
      </c>
      <c r="D5191" s="74" t="s">
        <v>6358</v>
      </c>
      <c r="E5191" s="74" t="s">
        <v>391</v>
      </c>
      <c r="F5191" s="74">
        <v>0</v>
      </c>
      <c r="G5191" s="74"/>
      <c r="H5191" s="74"/>
      <c r="I5191" s="74" t="s">
        <v>391</v>
      </c>
      <c r="J5191" s="74"/>
      <c r="K5191" s="74"/>
      <c r="L5191" s="74"/>
      <c r="M5191" s="74"/>
      <c r="N5191" s="74" t="s">
        <v>397</v>
      </c>
      <c r="O5191" s="74" t="s">
        <v>393</v>
      </c>
      <c r="P5191" s="74" t="s">
        <v>6359</v>
      </c>
      <c r="Q5191" s="74" t="s">
        <v>6360</v>
      </c>
    </row>
    <row r="5192" spans="3:17" x14ac:dyDescent="0.25">
      <c r="C5192" s="74" t="s">
        <v>6391</v>
      </c>
      <c r="D5192" s="74" t="s">
        <v>6392</v>
      </c>
      <c r="E5192" s="74"/>
      <c r="F5192" s="74">
        <v>0</v>
      </c>
      <c r="G5192" s="74"/>
      <c r="H5192" s="74"/>
      <c r="I5192" s="74" t="s">
        <v>391</v>
      </c>
      <c r="J5192" s="74"/>
      <c r="K5192" s="74">
        <v>102.4</v>
      </c>
      <c r="L5192" s="74">
        <v>92.16</v>
      </c>
      <c r="M5192" s="74"/>
      <c r="N5192" s="74" t="s">
        <v>392</v>
      </c>
      <c r="O5192" s="74" t="s">
        <v>402</v>
      </c>
      <c r="P5192" s="74"/>
      <c r="Q5192" s="74" t="s">
        <v>6393</v>
      </c>
    </row>
    <row r="5193" spans="3:17" x14ac:dyDescent="0.25">
      <c r="C5193" s="74" t="s">
        <v>6448</v>
      </c>
      <c r="D5193" s="74" t="s">
        <v>6449</v>
      </c>
      <c r="E5193" s="74" t="s">
        <v>391</v>
      </c>
      <c r="F5193" s="74">
        <v>0</v>
      </c>
      <c r="G5193" s="74"/>
      <c r="H5193" s="74"/>
      <c r="I5193" s="74" t="s">
        <v>391</v>
      </c>
      <c r="J5193" s="74"/>
      <c r="K5193" s="74"/>
      <c r="L5193" s="74"/>
      <c r="M5193" s="74"/>
      <c r="N5193" s="74" t="s">
        <v>397</v>
      </c>
      <c r="O5193" s="74" t="s">
        <v>393</v>
      </c>
      <c r="P5193" s="74" t="s">
        <v>6450</v>
      </c>
      <c r="Q5193" s="74" t="s">
        <v>6451</v>
      </c>
    </row>
    <row r="5194" spans="3:17" x14ac:dyDescent="0.25">
      <c r="C5194" s="74" t="s">
        <v>6488</v>
      </c>
      <c r="D5194" s="74" t="s">
        <v>6489</v>
      </c>
      <c r="E5194" s="74"/>
      <c r="F5194" s="74">
        <v>0</v>
      </c>
      <c r="G5194" s="74"/>
      <c r="H5194" s="74"/>
      <c r="I5194" s="74" t="s">
        <v>391</v>
      </c>
      <c r="J5194" s="74"/>
      <c r="K5194" s="74">
        <v>102.4</v>
      </c>
      <c r="L5194" s="74">
        <v>92.16</v>
      </c>
      <c r="M5194" s="74"/>
      <c r="N5194" s="74" t="s">
        <v>392</v>
      </c>
      <c r="O5194" s="74" t="s">
        <v>402</v>
      </c>
      <c r="P5194" s="74"/>
      <c r="Q5194" s="74" t="s">
        <v>6490</v>
      </c>
    </row>
    <row r="5195" spans="3:17" x14ac:dyDescent="0.25">
      <c r="C5195" s="74" t="s">
        <v>6535</v>
      </c>
      <c r="D5195" s="74" t="s">
        <v>6536</v>
      </c>
      <c r="E5195" s="74" t="s">
        <v>391</v>
      </c>
      <c r="F5195" s="74">
        <v>0</v>
      </c>
      <c r="G5195" s="74"/>
      <c r="H5195" s="74"/>
      <c r="I5195" s="74" t="s">
        <v>391</v>
      </c>
      <c r="J5195" s="74"/>
      <c r="K5195" s="74"/>
      <c r="L5195" s="74"/>
      <c r="M5195" s="74"/>
      <c r="N5195" s="74" t="s">
        <v>397</v>
      </c>
      <c r="O5195" s="74" t="s">
        <v>393</v>
      </c>
      <c r="P5195" s="74" t="s">
        <v>6537</v>
      </c>
      <c r="Q5195" s="74" t="s">
        <v>6538</v>
      </c>
    </row>
    <row r="5196" spans="3:17" x14ac:dyDescent="0.25">
      <c r="C5196" s="74" t="s">
        <v>6552</v>
      </c>
      <c r="D5196" s="74" t="s">
        <v>6553</v>
      </c>
      <c r="E5196" s="74" t="s">
        <v>391</v>
      </c>
      <c r="F5196" s="74">
        <v>0</v>
      </c>
      <c r="G5196" s="74"/>
      <c r="H5196" s="74"/>
      <c r="I5196" s="74" t="s">
        <v>391</v>
      </c>
      <c r="J5196" s="74"/>
      <c r="K5196" s="74"/>
      <c r="L5196" s="74"/>
      <c r="M5196" s="74"/>
      <c r="N5196" s="74" t="s">
        <v>397</v>
      </c>
      <c r="O5196" s="74" t="s">
        <v>393</v>
      </c>
      <c r="P5196" s="74" t="s">
        <v>6554</v>
      </c>
      <c r="Q5196" s="74" t="s">
        <v>6555</v>
      </c>
    </row>
    <row r="5197" spans="3:17" x14ac:dyDescent="0.25">
      <c r="C5197" s="74" t="s">
        <v>6562</v>
      </c>
      <c r="D5197" s="74" t="s">
        <v>6563</v>
      </c>
      <c r="E5197" s="74"/>
      <c r="F5197" s="74">
        <v>0</v>
      </c>
      <c r="G5197" s="74"/>
      <c r="H5197" s="74"/>
      <c r="I5197" s="74" t="s">
        <v>391</v>
      </c>
      <c r="J5197" s="74"/>
      <c r="K5197" s="74"/>
      <c r="L5197" s="74"/>
      <c r="M5197" s="74"/>
      <c r="N5197" s="74" t="s">
        <v>397</v>
      </c>
      <c r="O5197" s="74" t="s">
        <v>393</v>
      </c>
      <c r="P5197" s="74"/>
      <c r="Q5197" s="74" t="s">
        <v>6564</v>
      </c>
    </row>
    <row r="5198" spans="3:17" x14ac:dyDescent="0.25">
      <c r="C5198" s="74" t="s">
        <v>6568</v>
      </c>
      <c r="D5198" s="74" t="s">
        <v>6569</v>
      </c>
      <c r="E5198" s="74" t="s">
        <v>391</v>
      </c>
      <c r="F5198" s="74">
        <v>0</v>
      </c>
      <c r="G5198" s="74"/>
      <c r="H5198" s="74"/>
      <c r="I5198" s="74" t="s">
        <v>391</v>
      </c>
      <c r="J5198" s="74"/>
      <c r="K5198" s="74">
        <v>102.4</v>
      </c>
      <c r="L5198" s="74">
        <v>92.16</v>
      </c>
      <c r="M5198" s="74"/>
      <c r="N5198" s="74" t="s">
        <v>392</v>
      </c>
      <c r="O5198" s="74" t="s">
        <v>393</v>
      </c>
      <c r="P5198" s="74"/>
      <c r="Q5198" s="74" t="s">
        <v>6570</v>
      </c>
    </row>
    <row r="5199" spans="3:17" x14ac:dyDescent="0.25">
      <c r="C5199" s="74" t="s">
        <v>6571</v>
      </c>
      <c r="D5199" s="74" t="s">
        <v>6572</v>
      </c>
      <c r="E5199" s="74" t="s">
        <v>391</v>
      </c>
      <c r="F5199" s="74">
        <v>0</v>
      </c>
      <c r="G5199" s="74"/>
      <c r="H5199" s="74"/>
      <c r="I5199" s="74" t="s">
        <v>391</v>
      </c>
      <c r="J5199" s="74"/>
      <c r="K5199" s="74"/>
      <c r="L5199" s="74"/>
      <c r="M5199" s="74"/>
      <c r="N5199" s="74" t="s">
        <v>397</v>
      </c>
      <c r="O5199" s="74" t="s">
        <v>393</v>
      </c>
      <c r="P5199" s="74"/>
      <c r="Q5199" s="74" t="s">
        <v>6573</v>
      </c>
    </row>
    <row r="5200" spans="3:17" x14ac:dyDescent="0.25">
      <c r="C5200" s="74" t="s">
        <v>6574</v>
      </c>
      <c r="D5200" s="74" t="s">
        <v>6575</v>
      </c>
      <c r="E5200" s="74" t="s">
        <v>391</v>
      </c>
      <c r="F5200" s="74">
        <v>0</v>
      </c>
      <c r="G5200" s="74"/>
      <c r="H5200" s="74"/>
      <c r="I5200" s="74" t="s">
        <v>391</v>
      </c>
      <c r="J5200" s="74"/>
      <c r="K5200" s="74"/>
      <c r="L5200" s="74"/>
      <c r="M5200" s="74"/>
      <c r="N5200" s="74"/>
      <c r="O5200" s="74" t="s">
        <v>393</v>
      </c>
      <c r="P5200" s="74" t="s">
        <v>6576</v>
      </c>
      <c r="Q5200" s="74" t="s">
        <v>6577</v>
      </c>
    </row>
    <row r="5201" spans="3:17" x14ac:dyDescent="0.25">
      <c r="C5201" s="74" t="s">
        <v>6586</v>
      </c>
      <c r="D5201" s="74" t="s">
        <v>6587</v>
      </c>
      <c r="E5201" s="74"/>
      <c r="F5201" s="74">
        <v>0</v>
      </c>
      <c r="G5201" s="74"/>
      <c r="H5201" s="74"/>
      <c r="I5201" s="74" t="s">
        <v>391</v>
      </c>
      <c r="J5201" s="74"/>
      <c r="K5201" s="74">
        <v>102.4</v>
      </c>
      <c r="L5201" s="74">
        <v>92.16</v>
      </c>
      <c r="M5201" s="74"/>
      <c r="N5201" s="74" t="s">
        <v>392</v>
      </c>
      <c r="O5201" s="74" t="s">
        <v>402</v>
      </c>
      <c r="P5201" s="74"/>
      <c r="Q5201" s="74" t="s">
        <v>6588</v>
      </c>
    </row>
    <row r="5202" spans="3:17" x14ac:dyDescent="0.25">
      <c r="C5202" s="74" t="s">
        <v>6625</v>
      </c>
      <c r="D5202" s="74" t="s">
        <v>6626</v>
      </c>
      <c r="E5202" s="74"/>
      <c r="F5202" s="74">
        <v>0</v>
      </c>
      <c r="G5202" s="74"/>
      <c r="H5202" s="74"/>
      <c r="I5202" s="74" t="s">
        <v>391</v>
      </c>
      <c r="J5202" s="74"/>
      <c r="K5202" s="74">
        <v>102.4</v>
      </c>
      <c r="L5202" s="74">
        <v>92.16</v>
      </c>
      <c r="M5202" s="74"/>
      <c r="N5202" s="74" t="s">
        <v>392</v>
      </c>
      <c r="O5202" s="74" t="s">
        <v>402</v>
      </c>
      <c r="P5202" s="74" t="s">
        <v>6627</v>
      </c>
      <c r="Q5202" s="74" t="s">
        <v>6628</v>
      </c>
    </row>
    <row r="5203" spans="3:17" x14ac:dyDescent="0.25">
      <c r="C5203" s="74" t="s">
        <v>6648</v>
      </c>
      <c r="D5203" s="74" t="s">
        <v>6649</v>
      </c>
      <c r="E5203" s="74" t="s">
        <v>391</v>
      </c>
      <c r="F5203" s="74">
        <v>0</v>
      </c>
      <c r="G5203" s="74"/>
      <c r="H5203" s="74"/>
      <c r="I5203" s="74" t="s">
        <v>391</v>
      </c>
      <c r="J5203" s="74"/>
      <c r="K5203" s="74"/>
      <c r="L5203" s="74"/>
      <c r="M5203" s="74"/>
      <c r="N5203" s="74" t="s">
        <v>397</v>
      </c>
      <c r="O5203" s="74" t="s">
        <v>393</v>
      </c>
      <c r="P5203" s="74" t="s">
        <v>6650</v>
      </c>
      <c r="Q5203" s="74" t="s">
        <v>6651</v>
      </c>
    </row>
    <row r="5204" spans="3:17" x14ac:dyDescent="0.25">
      <c r="C5204" s="74" t="s">
        <v>6658</v>
      </c>
      <c r="D5204" s="74" t="s">
        <v>6659</v>
      </c>
      <c r="E5204" s="74" t="s">
        <v>391</v>
      </c>
      <c r="F5204" s="74">
        <v>0</v>
      </c>
      <c r="G5204" s="74"/>
      <c r="H5204" s="74"/>
      <c r="I5204" s="74" t="s">
        <v>391</v>
      </c>
      <c r="J5204" s="74"/>
      <c r="K5204" s="74"/>
      <c r="L5204" s="74"/>
      <c r="M5204" s="74"/>
      <c r="N5204" s="74" t="s">
        <v>397</v>
      </c>
      <c r="O5204" s="74" t="s">
        <v>393</v>
      </c>
      <c r="P5204" s="74" t="s">
        <v>6660</v>
      </c>
      <c r="Q5204" s="74" t="s">
        <v>6661</v>
      </c>
    </row>
    <row r="5205" spans="3:17" x14ac:dyDescent="0.25">
      <c r="C5205" s="74" t="s">
        <v>6673</v>
      </c>
      <c r="D5205" s="74" t="s">
        <v>6674</v>
      </c>
      <c r="E5205" s="74" t="s">
        <v>391</v>
      </c>
      <c r="F5205" s="74">
        <v>0</v>
      </c>
      <c r="G5205" s="74"/>
      <c r="H5205" s="74"/>
      <c r="I5205" s="74" t="s">
        <v>391</v>
      </c>
      <c r="J5205" s="74"/>
      <c r="K5205" s="74"/>
      <c r="L5205" s="74"/>
      <c r="M5205" s="74"/>
      <c r="N5205" s="74" t="s">
        <v>397</v>
      </c>
      <c r="O5205" s="74" t="s">
        <v>393</v>
      </c>
      <c r="P5205" s="74" t="s">
        <v>6675</v>
      </c>
      <c r="Q5205" s="74" t="s">
        <v>6676</v>
      </c>
    </row>
    <row r="5206" spans="3:17" x14ac:dyDescent="0.25">
      <c r="C5206" s="74" t="s">
        <v>6705</v>
      </c>
      <c r="D5206" s="74" t="s">
        <v>6706</v>
      </c>
      <c r="E5206" s="74" t="s">
        <v>391</v>
      </c>
      <c r="F5206" s="74">
        <v>0</v>
      </c>
      <c r="G5206" s="74"/>
      <c r="H5206" s="74"/>
      <c r="I5206" s="74" t="s">
        <v>391</v>
      </c>
      <c r="J5206" s="74"/>
      <c r="K5206" s="74"/>
      <c r="L5206" s="74"/>
      <c r="M5206" s="74"/>
      <c r="N5206" s="74" t="s">
        <v>397</v>
      </c>
      <c r="O5206" s="74" t="s">
        <v>535</v>
      </c>
      <c r="P5206" s="74" t="s">
        <v>6707</v>
      </c>
      <c r="Q5206" s="74" t="s">
        <v>6706</v>
      </c>
    </row>
    <row r="5207" spans="3:17" x14ac:dyDescent="0.25">
      <c r="C5207" s="74" t="s">
        <v>6708</v>
      </c>
      <c r="D5207" s="74" t="s">
        <v>6709</v>
      </c>
      <c r="E5207" s="74" t="s">
        <v>391</v>
      </c>
      <c r="F5207" s="74">
        <v>0</v>
      </c>
      <c r="G5207" s="74"/>
      <c r="H5207" s="74"/>
      <c r="I5207" s="74" t="s">
        <v>391</v>
      </c>
      <c r="J5207" s="74"/>
      <c r="K5207" s="74"/>
      <c r="L5207" s="74"/>
      <c r="M5207" s="74"/>
      <c r="N5207" s="74" t="s">
        <v>397</v>
      </c>
      <c r="O5207" s="74" t="s">
        <v>393</v>
      </c>
      <c r="P5207" s="74" t="s">
        <v>6710</v>
      </c>
      <c r="Q5207" s="74" t="s">
        <v>6711</v>
      </c>
    </row>
    <row r="5208" spans="3:17" x14ac:dyDescent="0.25">
      <c r="C5208" s="74" t="s">
        <v>6712</v>
      </c>
      <c r="D5208" s="74" t="s">
        <v>6713</v>
      </c>
      <c r="E5208" s="74" t="s">
        <v>391</v>
      </c>
      <c r="F5208" s="74">
        <v>0</v>
      </c>
      <c r="G5208" s="74"/>
      <c r="H5208" s="74"/>
      <c r="I5208" s="74" t="s">
        <v>391</v>
      </c>
      <c r="J5208" s="74"/>
      <c r="K5208" s="74">
        <v>102.4</v>
      </c>
      <c r="L5208" s="74">
        <v>92.16</v>
      </c>
      <c r="M5208" s="74"/>
      <c r="N5208" s="74" t="s">
        <v>392</v>
      </c>
      <c r="O5208" s="74" t="s">
        <v>393</v>
      </c>
      <c r="P5208" s="74"/>
      <c r="Q5208" s="74" t="s">
        <v>6714</v>
      </c>
    </row>
    <row r="5209" spans="3:17" x14ac:dyDescent="0.25">
      <c r="C5209" s="74" t="s">
        <v>6726</v>
      </c>
      <c r="D5209" s="74" t="s">
        <v>6727</v>
      </c>
      <c r="E5209" s="74" t="s">
        <v>391</v>
      </c>
      <c r="F5209" s="74">
        <v>0</v>
      </c>
      <c r="G5209" s="74"/>
      <c r="H5209" s="74"/>
      <c r="I5209" s="74" t="s">
        <v>391</v>
      </c>
      <c r="J5209" s="74"/>
      <c r="K5209" s="74"/>
      <c r="L5209" s="74"/>
      <c r="M5209" s="74"/>
      <c r="N5209" s="74" t="s">
        <v>397</v>
      </c>
      <c r="O5209" s="74" t="s">
        <v>393</v>
      </c>
      <c r="P5209" s="74" t="s">
        <v>6728</v>
      </c>
      <c r="Q5209" s="74" t="s">
        <v>6729</v>
      </c>
    </row>
    <row r="5210" spans="3:17" x14ac:dyDescent="0.25">
      <c r="C5210" s="74" t="s">
        <v>6743</v>
      </c>
      <c r="D5210" s="74" t="s">
        <v>6744</v>
      </c>
      <c r="E5210" s="74" t="s">
        <v>391</v>
      </c>
      <c r="F5210" s="74">
        <v>0</v>
      </c>
      <c r="G5210" s="74"/>
      <c r="H5210" s="74"/>
      <c r="I5210" s="74" t="s">
        <v>391</v>
      </c>
      <c r="J5210" s="74"/>
      <c r="K5210" s="74">
        <v>102.4</v>
      </c>
      <c r="L5210" s="74">
        <v>92.16</v>
      </c>
      <c r="M5210" s="74"/>
      <c r="N5210" s="74" t="s">
        <v>392</v>
      </c>
      <c r="O5210" s="74" t="s">
        <v>393</v>
      </c>
      <c r="P5210" s="74"/>
      <c r="Q5210" s="74" t="s">
        <v>6745</v>
      </c>
    </row>
    <row r="5211" spans="3:17" x14ac:dyDescent="0.25">
      <c r="C5211" s="74" t="s">
        <v>6746</v>
      </c>
      <c r="D5211" s="74" t="s">
        <v>6747</v>
      </c>
      <c r="E5211" s="74"/>
      <c r="F5211" s="74">
        <v>0</v>
      </c>
      <c r="G5211" s="74"/>
      <c r="H5211" s="74"/>
      <c r="I5211" s="74" t="s">
        <v>391</v>
      </c>
      <c r="J5211" s="74"/>
      <c r="K5211" s="74">
        <v>102.4</v>
      </c>
      <c r="L5211" s="74">
        <v>92.16</v>
      </c>
      <c r="M5211" s="74"/>
      <c r="N5211" s="74" t="s">
        <v>392</v>
      </c>
      <c r="O5211" s="74" t="s">
        <v>402</v>
      </c>
      <c r="P5211" s="74"/>
      <c r="Q5211" s="74" t="s">
        <v>6748</v>
      </c>
    </row>
    <row r="5212" spans="3:17" x14ac:dyDescent="0.25">
      <c r="C5212" s="74" t="s">
        <v>6777</v>
      </c>
      <c r="D5212" s="74" t="s">
        <v>6778</v>
      </c>
      <c r="E5212" s="74" t="s">
        <v>391</v>
      </c>
      <c r="F5212" s="74">
        <v>0</v>
      </c>
      <c r="G5212" s="74"/>
      <c r="H5212" s="74"/>
      <c r="I5212" s="74" t="s">
        <v>391</v>
      </c>
      <c r="J5212" s="74"/>
      <c r="K5212" s="74"/>
      <c r="L5212" s="74"/>
      <c r="M5212" s="74"/>
      <c r="N5212" s="74" t="s">
        <v>397</v>
      </c>
      <c r="O5212" s="74" t="s">
        <v>393</v>
      </c>
      <c r="P5212" s="74" t="s">
        <v>6779</v>
      </c>
      <c r="Q5212" s="74" t="s">
        <v>6780</v>
      </c>
    </row>
    <row r="5213" spans="3:17" x14ac:dyDescent="0.25">
      <c r="C5213" s="74" t="s">
        <v>6781</v>
      </c>
      <c r="D5213" s="74" t="s">
        <v>6782</v>
      </c>
      <c r="E5213" s="74" t="s">
        <v>391</v>
      </c>
      <c r="F5213" s="74">
        <v>0</v>
      </c>
      <c r="G5213" s="74"/>
      <c r="H5213" s="74"/>
      <c r="I5213" s="74" t="s">
        <v>391</v>
      </c>
      <c r="J5213" s="74"/>
      <c r="K5213" s="74">
        <v>102.4</v>
      </c>
      <c r="L5213" s="74">
        <v>92.16</v>
      </c>
      <c r="M5213" s="74"/>
      <c r="N5213" s="74" t="s">
        <v>392</v>
      </c>
      <c r="O5213" s="74" t="s">
        <v>535</v>
      </c>
      <c r="P5213" s="74" t="s">
        <v>6783</v>
      </c>
      <c r="Q5213" s="74" t="s">
        <v>6784</v>
      </c>
    </row>
    <row r="5214" spans="3:17" x14ac:dyDescent="0.25">
      <c r="C5214" s="74" t="s">
        <v>6789</v>
      </c>
      <c r="D5214" s="74" t="s">
        <v>6790</v>
      </c>
      <c r="E5214" s="74" t="s">
        <v>391</v>
      </c>
      <c r="F5214" s="74">
        <v>0</v>
      </c>
      <c r="G5214" s="74"/>
      <c r="H5214" s="74"/>
      <c r="I5214" s="74" t="s">
        <v>391</v>
      </c>
      <c r="J5214" s="74"/>
      <c r="K5214" s="74"/>
      <c r="L5214" s="74"/>
      <c r="M5214" s="74"/>
      <c r="N5214" s="74" t="s">
        <v>397</v>
      </c>
      <c r="O5214" s="74" t="s">
        <v>393</v>
      </c>
      <c r="P5214" s="74" t="s">
        <v>6791</v>
      </c>
      <c r="Q5214" s="74" t="s">
        <v>6792</v>
      </c>
    </row>
    <row r="5215" spans="3:17" x14ac:dyDescent="0.25">
      <c r="C5215" s="158" t="s">
        <v>6793</v>
      </c>
      <c r="D5215" s="158" t="s">
        <v>6794</v>
      </c>
      <c r="E5215" s="158" t="s">
        <v>391</v>
      </c>
      <c r="F5215" s="158">
        <v>0</v>
      </c>
      <c r="I5215" s="158" t="s">
        <v>391</v>
      </c>
      <c r="N5215" s="158" t="s">
        <v>397</v>
      </c>
      <c r="O5215" s="158" t="s">
        <v>393</v>
      </c>
      <c r="P5215" s="158" t="s">
        <v>6795</v>
      </c>
      <c r="Q5215" s="158" t="s">
        <v>6796</v>
      </c>
    </row>
    <row r="5216" spans="3:17" x14ac:dyDescent="0.25">
      <c r="C5216" s="74" t="s">
        <v>6810</v>
      </c>
      <c r="D5216" s="74" t="s">
        <v>6811</v>
      </c>
      <c r="E5216" s="74"/>
      <c r="F5216" s="74">
        <v>0</v>
      </c>
      <c r="G5216" s="74"/>
      <c r="H5216" s="74"/>
      <c r="I5216" s="74" t="s">
        <v>391</v>
      </c>
      <c r="J5216" s="74"/>
      <c r="K5216" s="74"/>
      <c r="L5216" s="74"/>
      <c r="M5216" s="74"/>
      <c r="N5216" s="74" t="s">
        <v>397</v>
      </c>
      <c r="O5216" s="74" t="s">
        <v>535</v>
      </c>
      <c r="P5216" s="74" t="s">
        <v>6812</v>
      </c>
      <c r="Q5216" s="74" t="s">
        <v>6813</v>
      </c>
    </row>
    <row r="5217" spans="3:17" x14ac:dyDescent="0.25">
      <c r="C5217" s="74" t="s">
        <v>6814</v>
      </c>
      <c r="D5217" s="74" t="s">
        <v>6815</v>
      </c>
      <c r="E5217" s="74" t="s">
        <v>391</v>
      </c>
      <c r="F5217" s="74">
        <v>0</v>
      </c>
      <c r="G5217" s="74"/>
      <c r="H5217" s="74"/>
      <c r="I5217" s="74" t="s">
        <v>391</v>
      </c>
      <c r="J5217" s="74"/>
      <c r="K5217" s="74">
        <v>102.4</v>
      </c>
      <c r="L5217" s="74">
        <v>92.16</v>
      </c>
      <c r="M5217" s="74"/>
      <c r="N5217" s="74" t="s">
        <v>392</v>
      </c>
      <c r="O5217" s="74" t="s">
        <v>393</v>
      </c>
      <c r="P5217" s="74"/>
      <c r="Q5217" s="74" t="s">
        <v>6816</v>
      </c>
    </row>
    <row r="5218" spans="3:17" x14ac:dyDescent="0.25">
      <c r="C5218" s="74" t="s">
        <v>6833</v>
      </c>
      <c r="D5218" s="74" t="s">
        <v>6834</v>
      </c>
      <c r="E5218" s="74" t="s">
        <v>391</v>
      </c>
      <c r="F5218" s="74">
        <v>0</v>
      </c>
      <c r="G5218" s="74"/>
      <c r="H5218" s="74"/>
      <c r="I5218" s="74" t="s">
        <v>391</v>
      </c>
      <c r="J5218" s="74"/>
      <c r="K5218" s="74"/>
      <c r="L5218" s="74"/>
      <c r="M5218" s="74"/>
      <c r="N5218" s="74" t="s">
        <v>397</v>
      </c>
      <c r="O5218" s="74" t="s">
        <v>393</v>
      </c>
      <c r="P5218" s="74"/>
      <c r="Q5218" s="74" t="s">
        <v>6835</v>
      </c>
    </row>
    <row r="5219" spans="3:17" x14ac:dyDescent="0.25">
      <c r="C5219" s="74" t="s">
        <v>6859</v>
      </c>
      <c r="D5219" s="74" t="s">
        <v>6860</v>
      </c>
      <c r="E5219" s="74"/>
      <c r="F5219" s="74">
        <v>0</v>
      </c>
      <c r="G5219" s="74"/>
      <c r="H5219" s="74"/>
      <c r="I5219" s="74" t="s">
        <v>391</v>
      </c>
      <c r="J5219" s="74"/>
      <c r="K5219" s="74">
        <v>102.4</v>
      </c>
      <c r="L5219" s="74">
        <v>92.16</v>
      </c>
      <c r="M5219" s="74"/>
      <c r="N5219" s="74" t="s">
        <v>392</v>
      </c>
      <c r="O5219" s="74" t="s">
        <v>402</v>
      </c>
      <c r="P5219" s="74"/>
      <c r="Q5219" s="74" t="s">
        <v>6861</v>
      </c>
    </row>
    <row r="5220" spans="3:17" x14ac:dyDescent="0.25">
      <c r="C5220" s="74" t="s">
        <v>6862</v>
      </c>
      <c r="D5220" s="74" t="s">
        <v>6863</v>
      </c>
      <c r="E5220" s="74" t="s">
        <v>391</v>
      </c>
      <c r="F5220" s="74">
        <v>0</v>
      </c>
      <c r="G5220" s="74"/>
      <c r="H5220" s="74"/>
      <c r="I5220" s="74" t="s">
        <v>391</v>
      </c>
      <c r="J5220" s="74"/>
      <c r="K5220" s="74"/>
      <c r="L5220" s="74"/>
      <c r="M5220" s="74"/>
      <c r="N5220" s="74" t="s">
        <v>397</v>
      </c>
      <c r="O5220" s="74" t="s">
        <v>393</v>
      </c>
      <c r="P5220" s="74" t="s">
        <v>6864</v>
      </c>
      <c r="Q5220" s="74" t="s">
        <v>6865</v>
      </c>
    </row>
    <row r="5221" spans="3:17" x14ac:dyDescent="0.25">
      <c r="C5221" s="74" t="s">
        <v>6895</v>
      </c>
      <c r="D5221" s="74" t="s">
        <v>6896</v>
      </c>
      <c r="E5221" s="74" t="s">
        <v>391</v>
      </c>
      <c r="F5221" s="74">
        <v>0</v>
      </c>
      <c r="G5221" s="74"/>
      <c r="H5221" s="74"/>
      <c r="I5221" s="74" t="s">
        <v>391</v>
      </c>
      <c r="J5221" s="74"/>
      <c r="K5221" s="74"/>
      <c r="L5221" s="74"/>
      <c r="M5221" s="74"/>
      <c r="N5221" s="74" t="s">
        <v>397</v>
      </c>
      <c r="O5221" s="74" t="s">
        <v>393</v>
      </c>
      <c r="P5221" s="74" t="s">
        <v>6897</v>
      </c>
      <c r="Q5221" s="74" t="s">
        <v>6898</v>
      </c>
    </row>
    <row r="5222" spans="3:17" x14ac:dyDescent="0.25">
      <c r="C5222" s="74" t="s">
        <v>7000</v>
      </c>
      <c r="D5222" s="74" t="s">
        <v>7001</v>
      </c>
      <c r="E5222" s="74" t="s">
        <v>391</v>
      </c>
      <c r="F5222" s="74">
        <v>0</v>
      </c>
      <c r="G5222" s="74"/>
      <c r="H5222" s="74"/>
      <c r="I5222" s="74" t="s">
        <v>391</v>
      </c>
      <c r="J5222" s="74"/>
      <c r="K5222" s="74"/>
      <c r="L5222" s="74"/>
      <c r="M5222" s="74"/>
      <c r="N5222" s="74" t="s">
        <v>397</v>
      </c>
      <c r="O5222" s="74" t="s">
        <v>393</v>
      </c>
      <c r="P5222" s="74" t="s">
        <v>7002</v>
      </c>
      <c r="Q5222" s="74" t="s">
        <v>7003</v>
      </c>
    </row>
    <row r="5223" spans="3:17" x14ac:dyDescent="0.25">
      <c r="C5223" s="74" t="s">
        <v>7008</v>
      </c>
      <c r="D5223" s="74" t="s">
        <v>7009</v>
      </c>
      <c r="E5223" s="74"/>
      <c r="F5223" s="74">
        <v>0</v>
      </c>
      <c r="G5223" s="74"/>
      <c r="H5223" s="74"/>
      <c r="I5223" s="74" t="s">
        <v>391</v>
      </c>
      <c r="J5223" s="74"/>
      <c r="K5223" s="74"/>
      <c r="L5223" s="74"/>
      <c r="M5223" s="74"/>
      <c r="N5223" s="74" t="s">
        <v>397</v>
      </c>
      <c r="O5223" s="74" t="s">
        <v>535</v>
      </c>
      <c r="P5223" s="74" t="s">
        <v>7010</v>
      </c>
      <c r="Q5223" s="74" t="s">
        <v>7011</v>
      </c>
    </row>
    <row r="5224" spans="3:17" x14ac:dyDescent="0.25">
      <c r="C5224" s="74" t="s">
        <v>7012</v>
      </c>
      <c r="D5224" s="74" t="s">
        <v>7013</v>
      </c>
      <c r="E5224" s="74" t="s">
        <v>391</v>
      </c>
      <c r="F5224" s="74">
        <v>0</v>
      </c>
      <c r="G5224" s="74"/>
      <c r="H5224" s="74"/>
      <c r="I5224" s="74" t="s">
        <v>391</v>
      </c>
      <c r="J5224" s="74"/>
      <c r="K5224" s="74"/>
      <c r="L5224" s="74"/>
      <c r="M5224" s="74"/>
      <c r="N5224" s="74" t="s">
        <v>397</v>
      </c>
      <c r="O5224" s="74" t="s">
        <v>393</v>
      </c>
      <c r="P5224" s="74" t="s">
        <v>7014</v>
      </c>
      <c r="Q5224" s="74" t="s">
        <v>7015</v>
      </c>
    </row>
    <row r="5225" spans="3:17" x14ac:dyDescent="0.25">
      <c r="C5225" s="74" t="s">
        <v>7016</v>
      </c>
      <c r="D5225" s="74" t="s">
        <v>7017</v>
      </c>
      <c r="E5225" s="74" t="s">
        <v>391</v>
      </c>
      <c r="F5225" s="74">
        <v>0</v>
      </c>
      <c r="G5225" s="74"/>
      <c r="H5225" s="74"/>
      <c r="I5225" s="74" t="s">
        <v>391</v>
      </c>
      <c r="J5225" s="74"/>
      <c r="K5225" s="74"/>
      <c r="L5225" s="74"/>
      <c r="M5225" s="74"/>
      <c r="N5225" s="74" t="s">
        <v>397</v>
      </c>
      <c r="O5225" s="74" t="s">
        <v>393</v>
      </c>
      <c r="P5225" s="74" t="s">
        <v>7018</v>
      </c>
      <c r="Q5225" s="74" t="s">
        <v>7019</v>
      </c>
    </row>
    <row r="5226" spans="3:17" x14ac:dyDescent="0.25">
      <c r="C5226" s="74" t="s">
        <v>7031</v>
      </c>
      <c r="D5226" s="74" t="s">
        <v>7032</v>
      </c>
      <c r="E5226" s="74" t="s">
        <v>391</v>
      </c>
      <c r="F5226" s="74">
        <v>0</v>
      </c>
      <c r="G5226" s="74"/>
      <c r="H5226" s="74"/>
      <c r="I5226" s="74" t="s">
        <v>391</v>
      </c>
      <c r="J5226" s="74"/>
      <c r="K5226" s="74"/>
      <c r="L5226" s="74"/>
      <c r="M5226" s="74"/>
      <c r="N5226" s="74" t="s">
        <v>397</v>
      </c>
      <c r="O5226" s="74" t="s">
        <v>393</v>
      </c>
      <c r="P5226" s="74" t="s">
        <v>7033</v>
      </c>
      <c r="Q5226" s="74" t="s">
        <v>7034</v>
      </c>
    </row>
    <row r="5227" spans="3:17" x14ac:dyDescent="0.25">
      <c r="C5227" s="74" t="s">
        <v>7055</v>
      </c>
      <c r="D5227" s="74" t="s">
        <v>7056</v>
      </c>
      <c r="E5227" s="74" t="s">
        <v>391</v>
      </c>
      <c r="F5227" s="74">
        <v>0</v>
      </c>
      <c r="G5227" s="74"/>
      <c r="H5227" s="74"/>
      <c r="I5227" s="74" t="s">
        <v>391</v>
      </c>
      <c r="J5227" s="74"/>
      <c r="K5227" s="74"/>
      <c r="L5227" s="74"/>
      <c r="M5227" s="74"/>
      <c r="N5227" s="74" t="s">
        <v>397</v>
      </c>
      <c r="O5227" s="74" t="s">
        <v>393</v>
      </c>
      <c r="P5227" s="74" t="s">
        <v>7057</v>
      </c>
      <c r="Q5227" s="74" t="s">
        <v>7058</v>
      </c>
    </row>
    <row r="5228" spans="3:17" x14ac:dyDescent="0.25">
      <c r="C5228" s="74" t="s">
        <v>7063</v>
      </c>
      <c r="D5228" s="74" t="s">
        <v>7064</v>
      </c>
      <c r="E5228" s="74"/>
      <c r="F5228" s="74">
        <v>0</v>
      </c>
      <c r="G5228" s="74"/>
      <c r="H5228" s="74"/>
      <c r="I5228" s="74" t="s">
        <v>391</v>
      </c>
      <c r="J5228" s="74"/>
      <c r="K5228" s="74">
        <v>102.4</v>
      </c>
      <c r="L5228" s="74">
        <v>92.16</v>
      </c>
      <c r="M5228" s="74"/>
      <c r="N5228" s="74" t="s">
        <v>392</v>
      </c>
      <c r="O5228" s="74" t="s">
        <v>402</v>
      </c>
      <c r="P5228" s="74" t="s">
        <v>7065</v>
      </c>
      <c r="Q5228" s="74" t="s">
        <v>7066</v>
      </c>
    </row>
    <row r="5229" spans="3:17" x14ac:dyDescent="0.25">
      <c r="C5229" s="74" t="s">
        <v>7071</v>
      </c>
      <c r="D5229" s="74" t="s">
        <v>7072</v>
      </c>
      <c r="E5229" s="74"/>
      <c r="F5229" s="74">
        <v>0</v>
      </c>
      <c r="G5229" s="74"/>
      <c r="H5229" s="74"/>
      <c r="I5229" s="74" t="s">
        <v>391</v>
      </c>
      <c r="J5229" s="74"/>
      <c r="K5229" s="74">
        <v>102.4</v>
      </c>
      <c r="L5229" s="74">
        <v>92.16</v>
      </c>
      <c r="M5229" s="74"/>
      <c r="N5229" s="74" t="s">
        <v>392</v>
      </c>
      <c r="O5229" s="74" t="s">
        <v>402</v>
      </c>
      <c r="P5229" s="74" t="s">
        <v>7073</v>
      </c>
      <c r="Q5229" s="74" t="s">
        <v>7074</v>
      </c>
    </row>
    <row r="5230" spans="3:17" x14ac:dyDescent="0.25">
      <c r="C5230" s="74" t="s">
        <v>7080</v>
      </c>
      <c r="D5230" s="74" t="s">
        <v>7081</v>
      </c>
      <c r="E5230" s="74" t="s">
        <v>391</v>
      </c>
      <c r="F5230" s="74">
        <v>0</v>
      </c>
      <c r="G5230" s="74"/>
      <c r="H5230" s="74"/>
      <c r="I5230" s="74" t="s">
        <v>391</v>
      </c>
      <c r="J5230" s="74"/>
      <c r="K5230" s="74"/>
      <c r="L5230" s="74"/>
      <c r="M5230" s="74"/>
      <c r="N5230" s="74" t="s">
        <v>397</v>
      </c>
      <c r="O5230" s="74" t="s">
        <v>393</v>
      </c>
      <c r="P5230" s="74" t="s">
        <v>7082</v>
      </c>
      <c r="Q5230" s="74" t="s">
        <v>7083</v>
      </c>
    </row>
    <row r="5231" spans="3:17" x14ac:dyDescent="0.25">
      <c r="C5231" s="74" t="s">
        <v>7088</v>
      </c>
      <c r="D5231" s="74" t="s">
        <v>7089</v>
      </c>
      <c r="E5231" s="74" t="s">
        <v>391</v>
      </c>
      <c r="F5231" s="74">
        <v>0</v>
      </c>
      <c r="G5231" s="74"/>
      <c r="H5231" s="74"/>
      <c r="I5231" s="74" t="s">
        <v>391</v>
      </c>
      <c r="J5231" s="74"/>
      <c r="K5231" s="74"/>
      <c r="L5231" s="74"/>
      <c r="M5231" s="74"/>
      <c r="N5231" s="74" t="s">
        <v>397</v>
      </c>
      <c r="O5231" s="74" t="s">
        <v>393</v>
      </c>
      <c r="P5231" s="74" t="s">
        <v>7090</v>
      </c>
      <c r="Q5231" s="74" t="s">
        <v>7091</v>
      </c>
    </row>
    <row r="5232" spans="3:17" x14ac:dyDescent="0.25">
      <c r="C5232" s="74" t="s">
        <v>7117</v>
      </c>
      <c r="D5232" s="74" t="s">
        <v>7118</v>
      </c>
      <c r="E5232" s="74" t="s">
        <v>391</v>
      </c>
      <c r="F5232" s="74">
        <v>0</v>
      </c>
      <c r="G5232" s="74"/>
      <c r="H5232" s="74"/>
      <c r="I5232" s="74" t="s">
        <v>391</v>
      </c>
      <c r="J5232" s="74"/>
      <c r="K5232" s="74"/>
      <c r="L5232" s="74"/>
      <c r="M5232" s="74"/>
      <c r="N5232" s="74" t="s">
        <v>397</v>
      </c>
      <c r="O5232" s="74" t="s">
        <v>393</v>
      </c>
      <c r="P5232" s="74" t="s">
        <v>7119</v>
      </c>
      <c r="Q5232" s="74" t="s">
        <v>7120</v>
      </c>
    </row>
    <row r="5233" spans="3:17" x14ac:dyDescent="0.25">
      <c r="C5233" s="74" t="s">
        <v>7166</v>
      </c>
      <c r="D5233" s="74" t="s">
        <v>7167</v>
      </c>
      <c r="E5233" s="74" t="s">
        <v>391</v>
      </c>
      <c r="F5233" s="74">
        <v>0</v>
      </c>
      <c r="G5233" s="74"/>
      <c r="H5233" s="74"/>
      <c r="I5233" s="74" t="s">
        <v>391</v>
      </c>
      <c r="J5233" s="74"/>
      <c r="K5233" s="74"/>
      <c r="L5233" s="74"/>
      <c r="M5233" s="74"/>
      <c r="N5233" s="74" t="s">
        <v>397</v>
      </c>
      <c r="O5233" s="74" t="s">
        <v>393</v>
      </c>
      <c r="P5233" s="74" t="s">
        <v>7168</v>
      </c>
      <c r="Q5233" s="74" t="s">
        <v>7169</v>
      </c>
    </row>
    <row r="5234" spans="3:17" x14ac:dyDescent="0.25">
      <c r="C5234" s="74" t="s">
        <v>7188</v>
      </c>
      <c r="D5234" s="74" t="s">
        <v>7189</v>
      </c>
      <c r="E5234" s="74" t="s">
        <v>391</v>
      </c>
      <c r="F5234" s="74">
        <v>0</v>
      </c>
      <c r="G5234" s="74"/>
      <c r="H5234" s="74"/>
      <c r="I5234" s="74" t="s">
        <v>391</v>
      </c>
      <c r="J5234" s="74"/>
      <c r="K5234" s="74"/>
      <c r="L5234" s="74"/>
      <c r="M5234" s="74"/>
      <c r="N5234" s="74" t="s">
        <v>397</v>
      </c>
      <c r="O5234" s="74" t="s">
        <v>393</v>
      </c>
      <c r="P5234" s="74"/>
      <c r="Q5234" s="74" t="s">
        <v>7190</v>
      </c>
    </row>
    <row r="5235" spans="3:17" x14ac:dyDescent="0.25">
      <c r="C5235" s="74" t="s">
        <v>7191</v>
      </c>
      <c r="D5235" s="74" t="s">
        <v>7192</v>
      </c>
      <c r="E5235" s="74" t="s">
        <v>391</v>
      </c>
      <c r="F5235" s="74">
        <v>0</v>
      </c>
      <c r="G5235" s="74"/>
      <c r="H5235" s="74"/>
      <c r="I5235" s="74" t="s">
        <v>391</v>
      </c>
      <c r="J5235" s="74"/>
      <c r="K5235" s="74"/>
      <c r="L5235" s="74"/>
      <c r="M5235" s="74"/>
      <c r="N5235" s="74" t="s">
        <v>397</v>
      </c>
      <c r="O5235" s="74" t="s">
        <v>402</v>
      </c>
      <c r="P5235" s="74" t="s">
        <v>7193</v>
      </c>
      <c r="Q5235" s="74" t="s">
        <v>7194</v>
      </c>
    </row>
    <row r="5236" spans="3:17" x14ac:dyDescent="0.25">
      <c r="C5236" s="74" t="s">
        <v>7207</v>
      </c>
      <c r="D5236" s="74" t="s">
        <v>7208</v>
      </c>
      <c r="E5236" s="74" t="s">
        <v>391</v>
      </c>
      <c r="F5236" s="74">
        <v>0</v>
      </c>
      <c r="G5236" s="74"/>
      <c r="H5236" s="74"/>
      <c r="I5236" s="74" t="s">
        <v>391</v>
      </c>
      <c r="J5236" s="74"/>
      <c r="K5236" s="74"/>
      <c r="L5236" s="74"/>
      <c r="M5236" s="74"/>
      <c r="N5236" s="74" t="s">
        <v>397</v>
      </c>
      <c r="O5236" s="74" t="s">
        <v>393</v>
      </c>
      <c r="P5236" s="74" t="s">
        <v>7209</v>
      </c>
      <c r="Q5236" s="74" t="s">
        <v>7210</v>
      </c>
    </row>
    <row r="5237" spans="3:17" x14ac:dyDescent="0.25">
      <c r="C5237" s="74" t="s">
        <v>7221</v>
      </c>
      <c r="D5237" s="74" t="s">
        <v>7222</v>
      </c>
      <c r="E5237" s="74" t="s">
        <v>391</v>
      </c>
      <c r="F5237" s="74">
        <v>0</v>
      </c>
      <c r="G5237" s="74"/>
      <c r="H5237" s="74"/>
      <c r="I5237" s="74" t="s">
        <v>391</v>
      </c>
      <c r="J5237" s="74"/>
      <c r="K5237" s="74"/>
      <c r="L5237" s="74"/>
      <c r="M5237" s="74"/>
      <c r="N5237" s="74" t="s">
        <v>397</v>
      </c>
      <c r="O5237" s="74" t="s">
        <v>393</v>
      </c>
      <c r="P5237" s="74" t="s">
        <v>7223</v>
      </c>
      <c r="Q5237" s="74" t="s">
        <v>7224</v>
      </c>
    </row>
    <row r="5238" spans="3:17" x14ac:dyDescent="0.25">
      <c r="C5238" s="74" t="s">
        <v>7225</v>
      </c>
      <c r="D5238" s="74" t="s">
        <v>7226</v>
      </c>
      <c r="E5238" s="74" t="s">
        <v>391</v>
      </c>
      <c r="F5238" s="74">
        <v>0</v>
      </c>
      <c r="G5238" s="74"/>
      <c r="H5238" s="74"/>
      <c r="I5238" s="74" t="s">
        <v>391</v>
      </c>
      <c r="J5238" s="74"/>
      <c r="K5238" s="74"/>
      <c r="L5238" s="74"/>
      <c r="M5238" s="74"/>
      <c r="N5238" s="74" t="s">
        <v>397</v>
      </c>
      <c r="O5238" s="74" t="s">
        <v>393</v>
      </c>
      <c r="P5238" s="74" t="s">
        <v>7227</v>
      </c>
      <c r="Q5238" s="74" t="s">
        <v>7228</v>
      </c>
    </row>
    <row r="5239" spans="3:17" x14ac:dyDescent="0.25">
      <c r="C5239" s="74" t="s">
        <v>7240</v>
      </c>
      <c r="D5239" s="74" t="s">
        <v>7241</v>
      </c>
      <c r="E5239" s="74" t="s">
        <v>391</v>
      </c>
      <c r="F5239" s="74">
        <v>0</v>
      </c>
      <c r="G5239" s="74"/>
      <c r="H5239" s="74"/>
      <c r="I5239" s="74" t="s">
        <v>391</v>
      </c>
      <c r="J5239" s="74"/>
      <c r="K5239" s="74"/>
      <c r="L5239" s="74"/>
      <c r="M5239" s="74"/>
      <c r="N5239" s="74" t="s">
        <v>397</v>
      </c>
      <c r="O5239" s="74" t="s">
        <v>402</v>
      </c>
      <c r="P5239" s="74" t="s">
        <v>7242</v>
      </c>
      <c r="Q5239" s="74" t="s">
        <v>7243</v>
      </c>
    </row>
    <row r="5240" spans="3:17" x14ac:dyDescent="0.25">
      <c r="C5240" s="74" t="s">
        <v>7244</v>
      </c>
      <c r="D5240" s="74" t="s">
        <v>7245</v>
      </c>
      <c r="E5240" s="74" t="s">
        <v>391</v>
      </c>
      <c r="F5240" s="74">
        <v>0</v>
      </c>
      <c r="G5240" s="74"/>
      <c r="H5240" s="74"/>
      <c r="I5240" s="74" t="s">
        <v>391</v>
      </c>
      <c r="J5240" s="74"/>
      <c r="K5240" s="74"/>
      <c r="L5240" s="74"/>
      <c r="M5240" s="74"/>
      <c r="N5240" s="74" t="s">
        <v>397</v>
      </c>
      <c r="O5240" s="74" t="s">
        <v>393</v>
      </c>
      <c r="P5240" s="74" t="s">
        <v>7246</v>
      </c>
      <c r="Q5240" s="74" t="s">
        <v>7247</v>
      </c>
    </row>
    <row r="5241" spans="3:17" x14ac:dyDescent="0.25">
      <c r="C5241" s="74" t="s">
        <v>7257</v>
      </c>
      <c r="D5241" s="74" t="s">
        <v>7258</v>
      </c>
      <c r="E5241" s="74" t="s">
        <v>391</v>
      </c>
      <c r="F5241" s="74">
        <v>0</v>
      </c>
      <c r="G5241" s="74"/>
      <c r="H5241" s="74"/>
      <c r="I5241" s="74" t="s">
        <v>391</v>
      </c>
      <c r="J5241" s="74"/>
      <c r="K5241" s="74"/>
      <c r="L5241" s="74"/>
      <c r="M5241" s="74"/>
      <c r="N5241" s="74" t="s">
        <v>397</v>
      </c>
      <c r="O5241" s="74" t="s">
        <v>393</v>
      </c>
      <c r="P5241" s="74" t="s">
        <v>7259</v>
      </c>
      <c r="Q5241" s="74" t="s">
        <v>7260</v>
      </c>
    </row>
    <row r="5242" spans="3:17" x14ac:dyDescent="0.25">
      <c r="C5242" s="74" t="s">
        <v>7261</v>
      </c>
      <c r="D5242" s="74" t="s">
        <v>7262</v>
      </c>
      <c r="E5242" s="74" t="s">
        <v>391</v>
      </c>
      <c r="F5242" s="74">
        <v>0</v>
      </c>
      <c r="G5242" s="74"/>
      <c r="H5242" s="74"/>
      <c r="I5242" s="74" t="s">
        <v>391</v>
      </c>
      <c r="J5242" s="74"/>
      <c r="K5242" s="74"/>
      <c r="L5242" s="74"/>
      <c r="M5242" s="74"/>
      <c r="N5242" s="74" t="s">
        <v>397</v>
      </c>
      <c r="O5242" s="74" t="s">
        <v>393</v>
      </c>
      <c r="P5242" s="74" t="s">
        <v>7263</v>
      </c>
      <c r="Q5242" s="74" t="s">
        <v>7264</v>
      </c>
    </row>
    <row r="5243" spans="3:17" x14ac:dyDescent="0.25">
      <c r="C5243" s="74" t="s">
        <v>7265</v>
      </c>
      <c r="D5243" s="74" t="s">
        <v>7266</v>
      </c>
      <c r="E5243" s="74" t="s">
        <v>391</v>
      </c>
      <c r="F5243" s="74">
        <v>0</v>
      </c>
      <c r="G5243" s="74"/>
      <c r="H5243" s="74"/>
      <c r="I5243" s="74" t="s">
        <v>391</v>
      </c>
      <c r="J5243" s="74"/>
      <c r="K5243" s="74">
        <v>102.4</v>
      </c>
      <c r="L5243" s="74">
        <v>92.16</v>
      </c>
      <c r="M5243" s="74"/>
      <c r="N5243" s="74" t="s">
        <v>392</v>
      </c>
      <c r="O5243" s="74" t="s">
        <v>393</v>
      </c>
      <c r="P5243" s="74"/>
      <c r="Q5243" s="74" t="s">
        <v>7267</v>
      </c>
    </row>
    <row r="5244" spans="3:17" x14ac:dyDescent="0.25">
      <c r="C5244" s="74" t="s">
        <v>7268</v>
      </c>
      <c r="D5244" s="74" t="s">
        <v>7269</v>
      </c>
      <c r="E5244" s="74" t="s">
        <v>391</v>
      </c>
      <c r="F5244" s="74">
        <v>0</v>
      </c>
      <c r="G5244" s="74"/>
      <c r="H5244" s="74"/>
      <c r="I5244" s="74" t="s">
        <v>391</v>
      </c>
      <c r="J5244" s="74"/>
      <c r="K5244" s="74"/>
      <c r="L5244" s="74"/>
      <c r="M5244" s="74"/>
      <c r="N5244" s="74" t="s">
        <v>397</v>
      </c>
      <c r="O5244" s="74" t="s">
        <v>393</v>
      </c>
      <c r="P5244" s="74" t="s">
        <v>7270</v>
      </c>
      <c r="Q5244" s="74" t="s">
        <v>7271</v>
      </c>
    </row>
    <row r="5245" spans="3:17" x14ac:dyDescent="0.25">
      <c r="C5245" s="74" t="s">
        <v>7297</v>
      </c>
      <c r="D5245" s="74" t="s">
        <v>7298</v>
      </c>
      <c r="E5245" s="74" t="s">
        <v>391</v>
      </c>
      <c r="F5245" s="74">
        <v>0</v>
      </c>
      <c r="G5245" s="74"/>
      <c r="H5245" s="74"/>
      <c r="I5245" s="74" t="s">
        <v>391</v>
      </c>
      <c r="J5245" s="74"/>
      <c r="K5245" s="74">
        <v>102.4</v>
      </c>
      <c r="L5245" s="74">
        <v>92.16</v>
      </c>
      <c r="M5245" s="74"/>
      <c r="N5245" s="74" t="s">
        <v>392</v>
      </c>
      <c r="O5245" s="74" t="s">
        <v>393</v>
      </c>
      <c r="P5245" s="74"/>
      <c r="Q5245" s="74" t="s">
        <v>7299</v>
      </c>
    </row>
    <row r="5246" spans="3:17" x14ac:dyDescent="0.25">
      <c r="C5246" s="74" t="s">
        <v>7323</v>
      </c>
      <c r="D5246" s="74" t="s">
        <v>7324</v>
      </c>
      <c r="E5246" s="74" t="s">
        <v>391</v>
      </c>
      <c r="F5246" s="74">
        <v>0</v>
      </c>
      <c r="G5246" s="74"/>
      <c r="H5246" s="74"/>
      <c r="I5246" s="74" t="s">
        <v>391</v>
      </c>
      <c r="J5246" s="74"/>
      <c r="K5246" s="74"/>
      <c r="L5246" s="74"/>
      <c r="M5246" s="74"/>
      <c r="N5246" s="74" t="s">
        <v>397</v>
      </c>
      <c r="O5246" s="74" t="s">
        <v>393</v>
      </c>
      <c r="P5246" s="74" t="s">
        <v>7325</v>
      </c>
      <c r="Q5246" s="74" t="s">
        <v>7326</v>
      </c>
    </row>
    <row r="5247" spans="3:17" x14ac:dyDescent="0.25">
      <c r="C5247" s="74" t="s">
        <v>7352</v>
      </c>
      <c r="D5247" s="74" t="s">
        <v>7353</v>
      </c>
      <c r="E5247" s="74" t="s">
        <v>391</v>
      </c>
      <c r="F5247" s="74">
        <v>0</v>
      </c>
      <c r="G5247" s="74"/>
      <c r="H5247" s="74"/>
      <c r="I5247" s="74" t="s">
        <v>391</v>
      </c>
      <c r="J5247" s="74"/>
      <c r="K5247" s="74"/>
      <c r="L5247" s="74"/>
      <c r="M5247" s="74"/>
      <c r="N5247" s="74" t="s">
        <v>397</v>
      </c>
      <c r="O5247" s="74" t="s">
        <v>393</v>
      </c>
      <c r="P5247" s="74" t="s">
        <v>7354</v>
      </c>
      <c r="Q5247" s="74" t="s">
        <v>7355</v>
      </c>
    </row>
    <row r="5248" spans="3:17" x14ac:dyDescent="0.25">
      <c r="C5248" s="74" t="s">
        <v>7393</v>
      </c>
      <c r="D5248" s="74" t="s">
        <v>7394</v>
      </c>
      <c r="E5248" s="74"/>
      <c r="F5248" s="74">
        <v>0</v>
      </c>
      <c r="G5248" s="74"/>
      <c r="H5248" s="74"/>
      <c r="I5248" s="74" t="s">
        <v>391</v>
      </c>
      <c r="J5248" s="74"/>
      <c r="K5248" s="74">
        <v>102.4</v>
      </c>
      <c r="L5248" s="74">
        <v>92.16</v>
      </c>
      <c r="M5248" s="74"/>
      <c r="N5248" s="74" t="s">
        <v>392</v>
      </c>
      <c r="O5248" s="74" t="s">
        <v>402</v>
      </c>
      <c r="P5248" s="74" t="s">
        <v>7395</v>
      </c>
      <c r="Q5248" s="74" t="s">
        <v>7396</v>
      </c>
    </row>
    <row r="5249" spans="3:17" x14ac:dyDescent="0.25">
      <c r="C5249" s="74" t="s">
        <v>7401</v>
      </c>
      <c r="D5249" s="74" t="s">
        <v>7402</v>
      </c>
      <c r="E5249" s="74" t="s">
        <v>391</v>
      </c>
      <c r="F5249" s="74">
        <v>0</v>
      </c>
      <c r="G5249" s="74"/>
      <c r="H5249" s="74"/>
      <c r="I5249" s="74" t="s">
        <v>391</v>
      </c>
      <c r="J5249" s="74"/>
      <c r="K5249" s="74"/>
      <c r="L5249" s="74"/>
      <c r="M5249" s="74"/>
      <c r="N5249" s="74" t="s">
        <v>397</v>
      </c>
      <c r="O5249" s="74" t="s">
        <v>393</v>
      </c>
      <c r="P5249" s="74" t="s">
        <v>7403</v>
      </c>
      <c r="Q5249" s="74" t="s">
        <v>7404</v>
      </c>
    </row>
    <row r="5250" spans="3:17" x14ac:dyDescent="0.25">
      <c r="C5250" s="74" t="s">
        <v>7414</v>
      </c>
      <c r="D5250" s="74" t="s">
        <v>7415</v>
      </c>
      <c r="E5250" s="74"/>
      <c r="F5250" s="74">
        <v>0</v>
      </c>
      <c r="G5250" s="74"/>
      <c r="H5250" s="74"/>
      <c r="I5250" s="74" t="s">
        <v>391</v>
      </c>
      <c r="J5250" s="74"/>
      <c r="K5250" s="74">
        <v>102.4</v>
      </c>
      <c r="L5250" s="74">
        <v>92.16</v>
      </c>
      <c r="M5250" s="74"/>
      <c r="N5250" s="74" t="s">
        <v>392</v>
      </c>
      <c r="O5250" s="74" t="s">
        <v>402</v>
      </c>
      <c r="P5250" s="74" t="s">
        <v>7416</v>
      </c>
      <c r="Q5250" s="74" t="s">
        <v>7417</v>
      </c>
    </row>
    <row r="5251" spans="3:17" x14ac:dyDescent="0.25">
      <c r="C5251" s="74" t="s">
        <v>7422</v>
      </c>
      <c r="D5251" s="74" t="s">
        <v>7423</v>
      </c>
      <c r="E5251" s="74" t="s">
        <v>391</v>
      </c>
      <c r="F5251" s="74">
        <v>0</v>
      </c>
      <c r="G5251" s="74"/>
      <c r="H5251" s="74"/>
      <c r="I5251" s="74" t="s">
        <v>391</v>
      </c>
      <c r="J5251" s="74"/>
      <c r="K5251" s="74"/>
      <c r="L5251" s="74"/>
      <c r="M5251" s="74"/>
      <c r="N5251" s="74" t="s">
        <v>397</v>
      </c>
      <c r="O5251" s="74" t="s">
        <v>393</v>
      </c>
      <c r="P5251" s="74" t="s">
        <v>7424</v>
      </c>
      <c r="Q5251" s="74" t="s">
        <v>7425</v>
      </c>
    </row>
    <row r="5252" spans="3:17" x14ac:dyDescent="0.25">
      <c r="C5252" s="74" t="s">
        <v>7429</v>
      </c>
      <c r="D5252" s="74" t="s">
        <v>7430</v>
      </c>
      <c r="E5252" s="74" t="s">
        <v>391</v>
      </c>
      <c r="F5252" s="74">
        <v>0</v>
      </c>
      <c r="G5252" s="74"/>
      <c r="H5252" s="74"/>
      <c r="I5252" s="74" t="s">
        <v>391</v>
      </c>
      <c r="J5252" s="74"/>
      <c r="K5252" s="74"/>
      <c r="L5252" s="74"/>
      <c r="M5252" s="74"/>
      <c r="N5252" s="74" t="s">
        <v>397</v>
      </c>
      <c r="O5252" s="74" t="s">
        <v>393</v>
      </c>
      <c r="P5252" s="74" t="s">
        <v>7431</v>
      </c>
      <c r="Q5252" s="74" t="s">
        <v>7432</v>
      </c>
    </row>
    <row r="5253" spans="3:17" x14ac:dyDescent="0.25">
      <c r="C5253" s="74" t="s">
        <v>7436</v>
      </c>
      <c r="D5253" s="74" t="s">
        <v>7085</v>
      </c>
      <c r="E5253" s="74" t="s">
        <v>391</v>
      </c>
      <c r="F5253" s="74">
        <v>0</v>
      </c>
      <c r="G5253" s="74"/>
      <c r="H5253" s="74"/>
      <c r="I5253" s="74" t="s">
        <v>391</v>
      </c>
      <c r="J5253" s="74"/>
      <c r="K5253" s="74"/>
      <c r="L5253" s="74"/>
      <c r="M5253" s="74"/>
      <c r="N5253" s="74" t="s">
        <v>397</v>
      </c>
      <c r="O5253" s="74" t="s">
        <v>393</v>
      </c>
      <c r="P5253" s="74" t="s">
        <v>7437</v>
      </c>
      <c r="Q5253" s="74" t="s">
        <v>7438</v>
      </c>
    </row>
    <row r="5254" spans="3:17" x14ac:dyDescent="0.25">
      <c r="C5254" s="74" t="s">
        <v>7481</v>
      </c>
      <c r="D5254" s="74" t="s">
        <v>7482</v>
      </c>
      <c r="E5254" s="74" t="s">
        <v>391</v>
      </c>
      <c r="F5254" s="74">
        <v>0</v>
      </c>
      <c r="G5254" s="74"/>
      <c r="H5254" s="74"/>
      <c r="I5254" s="74" t="s">
        <v>391</v>
      </c>
      <c r="J5254" s="74"/>
      <c r="K5254" s="74">
        <v>102.4</v>
      </c>
      <c r="L5254" s="74">
        <v>92.16</v>
      </c>
      <c r="M5254" s="74"/>
      <c r="N5254" s="74" t="s">
        <v>392</v>
      </c>
      <c r="O5254" s="74" t="s">
        <v>393</v>
      </c>
      <c r="P5254" s="74"/>
      <c r="Q5254" s="74" t="s">
        <v>7483</v>
      </c>
    </row>
    <row r="5255" spans="3:17" x14ac:dyDescent="0.25">
      <c r="C5255" s="74" t="s">
        <v>7577</v>
      </c>
      <c r="D5255" s="74" t="s">
        <v>7578</v>
      </c>
      <c r="E5255" s="74" t="s">
        <v>391</v>
      </c>
      <c r="F5255" s="74">
        <v>0</v>
      </c>
      <c r="G5255" s="74"/>
      <c r="H5255" s="74"/>
      <c r="I5255" s="74" t="s">
        <v>391</v>
      </c>
      <c r="J5255" s="74"/>
      <c r="K5255" s="74"/>
      <c r="L5255" s="74"/>
      <c r="M5255" s="74"/>
      <c r="N5255" s="74" t="s">
        <v>397</v>
      </c>
      <c r="O5255" s="74" t="s">
        <v>393</v>
      </c>
      <c r="P5255" s="74"/>
      <c r="Q5255" s="74" t="s">
        <v>7579</v>
      </c>
    </row>
    <row r="5256" spans="3:17" x14ac:dyDescent="0.25">
      <c r="C5256" s="74" t="s">
        <v>7583</v>
      </c>
      <c r="D5256" s="74" t="s">
        <v>7584</v>
      </c>
      <c r="E5256" s="74"/>
      <c r="F5256" s="74">
        <v>0</v>
      </c>
      <c r="G5256" s="74"/>
      <c r="H5256" s="74"/>
      <c r="I5256" s="74" t="s">
        <v>391</v>
      </c>
      <c r="J5256" s="74"/>
      <c r="K5256" s="74">
        <v>102.4</v>
      </c>
      <c r="L5256" s="74">
        <v>92.16</v>
      </c>
      <c r="M5256" s="74"/>
      <c r="N5256" s="74" t="s">
        <v>392</v>
      </c>
      <c r="O5256" s="74" t="s">
        <v>402</v>
      </c>
      <c r="P5256" s="74" t="s">
        <v>7585</v>
      </c>
      <c r="Q5256" s="74" t="s">
        <v>7586</v>
      </c>
    </row>
    <row r="5257" spans="3:17" x14ac:dyDescent="0.25">
      <c r="C5257" s="74" t="s">
        <v>7596</v>
      </c>
      <c r="D5257" s="74" t="s">
        <v>7597</v>
      </c>
      <c r="E5257" s="74" t="s">
        <v>391</v>
      </c>
      <c r="F5257" s="74">
        <v>0</v>
      </c>
      <c r="G5257" s="74"/>
      <c r="H5257" s="74"/>
      <c r="I5257" s="74" t="s">
        <v>391</v>
      </c>
      <c r="J5257" s="74"/>
      <c r="K5257" s="74"/>
      <c r="L5257" s="74"/>
      <c r="M5257" s="74"/>
      <c r="N5257" s="74" t="s">
        <v>397</v>
      </c>
      <c r="O5257" s="74" t="s">
        <v>402</v>
      </c>
      <c r="P5257" s="74" t="s">
        <v>7598</v>
      </c>
      <c r="Q5257" s="74" t="s">
        <v>7599</v>
      </c>
    </row>
    <row r="5258" spans="3:17" x14ac:dyDescent="0.25">
      <c r="C5258" s="74" t="s">
        <v>7619</v>
      </c>
      <c r="D5258" s="74" t="s">
        <v>7620</v>
      </c>
      <c r="E5258" s="74" t="s">
        <v>391</v>
      </c>
      <c r="F5258" s="74">
        <v>0</v>
      </c>
      <c r="G5258" s="74"/>
      <c r="H5258" s="74"/>
      <c r="I5258" s="74" t="s">
        <v>391</v>
      </c>
      <c r="J5258" s="74"/>
      <c r="K5258" s="74"/>
      <c r="L5258" s="74"/>
      <c r="M5258" s="74"/>
      <c r="N5258" s="74" t="s">
        <v>397</v>
      </c>
      <c r="O5258" s="74" t="s">
        <v>393</v>
      </c>
      <c r="P5258" s="74" t="s">
        <v>7621</v>
      </c>
      <c r="Q5258" s="74" t="s">
        <v>7622</v>
      </c>
    </row>
    <row r="5259" spans="3:17" x14ac:dyDescent="0.25">
      <c r="C5259" s="74" t="s">
        <v>7648</v>
      </c>
      <c r="D5259" s="74" t="s">
        <v>7649</v>
      </c>
      <c r="E5259" s="74" t="s">
        <v>391</v>
      </c>
      <c r="F5259" s="74">
        <v>0</v>
      </c>
      <c r="G5259" s="74"/>
      <c r="H5259" s="74"/>
      <c r="I5259" s="74" t="s">
        <v>391</v>
      </c>
      <c r="J5259" s="74"/>
      <c r="K5259" s="74">
        <v>102.4</v>
      </c>
      <c r="L5259" s="74">
        <v>92.16</v>
      </c>
      <c r="M5259" s="74"/>
      <c r="N5259" s="74" t="s">
        <v>392</v>
      </c>
      <c r="O5259" s="74" t="s">
        <v>393</v>
      </c>
      <c r="P5259" s="74"/>
      <c r="Q5259" s="74" t="s">
        <v>7649</v>
      </c>
    </row>
    <row r="5260" spans="3:17" x14ac:dyDescent="0.25">
      <c r="C5260" s="74" t="s">
        <v>7667</v>
      </c>
      <c r="D5260" s="74" t="s">
        <v>7668</v>
      </c>
      <c r="E5260" s="74" t="s">
        <v>391</v>
      </c>
      <c r="F5260" s="74">
        <v>0</v>
      </c>
      <c r="G5260" s="74"/>
      <c r="H5260" s="74"/>
      <c r="I5260" s="74" t="s">
        <v>391</v>
      </c>
      <c r="J5260" s="74"/>
      <c r="K5260" s="74">
        <v>102.4</v>
      </c>
      <c r="L5260" s="74">
        <v>92.16</v>
      </c>
      <c r="M5260" s="74"/>
      <c r="N5260" s="74" t="s">
        <v>392</v>
      </c>
      <c r="O5260" s="74" t="s">
        <v>393</v>
      </c>
      <c r="P5260" s="74"/>
      <c r="Q5260" s="74" t="s">
        <v>7669</v>
      </c>
    </row>
    <row r="5261" spans="3:17" x14ac:dyDescent="0.25">
      <c r="C5261" s="74" t="s">
        <v>7710</v>
      </c>
      <c r="D5261" s="74" t="s">
        <v>7711</v>
      </c>
      <c r="E5261" s="74" t="s">
        <v>391</v>
      </c>
      <c r="F5261" s="74">
        <v>0</v>
      </c>
      <c r="G5261" s="74"/>
      <c r="H5261" s="74"/>
      <c r="I5261" s="74" t="s">
        <v>391</v>
      </c>
      <c r="J5261" s="74"/>
      <c r="K5261" s="74"/>
      <c r="L5261" s="74"/>
      <c r="M5261" s="74"/>
      <c r="N5261" s="74" t="s">
        <v>397</v>
      </c>
      <c r="O5261" s="74" t="s">
        <v>393</v>
      </c>
      <c r="P5261" s="74" t="s">
        <v>7712</v>
      </c>
      <c r="Q5261" s="74" t="s">
        <v>7713</v>
      </c>
    </row>
    <row r="5262" spans="3:17" x14ac:dyDescent="0.25">
      <c r="C5262" s="74" t="s">
        <v>7749</v>
      </c>
      <c r="D5262" s="74" t="s">
        <v>7750</v>
      </c>
      <c r="E5262" s="74" t="s">
        <v>391</v>
      </c>
      <c r="F5262" s="74">
        <v>0</v>
      </c>
      <c r="G5262" s="74"/>
      <c r="H5262" s="74"/>
      <c r="I5262" s="74" t="s">
        <v>391</v>
      </c>
      <c r="J5262" s="74"/>
      <c r="K5262" s="74"/>
      <c r="L5262" s="74"/>
      <c r="M5262" s="74"/>
      <c r="N5262" s="74" t="s">
        <v>397</v>
      </c>
      <c r="O5262" s="74" t="s">
        <v>393</v>
      </c>
      <c r="P5262" s="74" t="s">
        <v>7751</v>
      </c>
      <c r="Q5262" s="74" t="s">
        <v>7752</v>
      </c>
    </row>
    <row r="5263" spans="3:17" x14ac:dyDescent="0.25">
      <c r="C5263" s="74" t="s">
        <v>7780</v>
      </c>
      <c r="D5263" s="74" t="s">
        <v>7781</v>
      </c>
      <c r="E5263" s="74" t="s">
        <v>391</v>
      </c>
      <c r="F5263" s="74">
        <v>0</v>
      </c>
      <c r="G5263" s="74"/>
      <c r="H5263" s="74"/>
      <c r="I5263" s="74" t="s">
        <v>391</v>
      </c>
      <c r="J5263" s="74"/>
      <c r="K5263" s="74"/>
      <c r="L5263" s="74"/>
      <c r="M5263" s="74"/>
      <c r="N5263" s="74" t="s">
        <v>397</v>
      </c>
      <c r="O5263" s="74" t="s">
        <v>393</v>
      </c>
      <c r="P5263" s="74" t="s">
        <v>7782</v>
      </c>
      <c r="Q5263" s="74" t="s">
        <v>7783</v>
      </c>
    </row>
    <row r="5264" spans="3:17" x14ac:dyDescent="0.25">
      <c r="C5264" s="74" t="s">
        <v>7788</v>
      </c>
      <c r="D5264" s="74" t="s">
        <v>7789</v>
      </c>
      <c r="E5264" s="74" t="s">
        <v>391</v>
      </c>
      <c r="F5264" s="74">
        <v>0</v>
      </c>
      <c r="G5264" s="74"/>
      <c r="H5264" s="74"/>
      <c r="I5264" s="74" t="s">
        <v>391</v>
      </c>
      <c r="J5264" s="74"/>
      <c r="K5264" s="74"/>
      <c r="L5264" s="74"/>
      <c r="M5264" s="74"/>
      <c r="N5264" s="74" t="s">
        <v>397</v>
      </c>
      <c r="O5264" s="74" t="s">
        <v>393</v>
      </c>
      <c r="P5264" s="74" t="s">
        <v>7790</v>
      </c>
      <c r="Q5264" s="74" t="s">
        <v>7791</v>
      </c>
    </row>
    <row r="5265" spans="3:17" x14ac:dyDescent="0.25">
      <c r="C5265" s="74" t="s">
        <v>7809</v>
      </c>
      <c r="D5265" s="74" t="s">
        <v>7810</v>
      </c>
      <c r="E5265" s="74" t="s">
        <v>391</v>
      </c>
      <c r="F5265" s="74">
        <v>0</v>
      </c>
      <c r="G5265" s="74"/>
      <c r="H5265" s="74"/>
      <c r="I5265" s="74" t="s">
        <v>391</v>
      </c>
      <c r="J5265" s="74"/>
      <c r="K5265" s="74">
        <v>102.4</v>
      </c>
      <c r="L5265" s="74">
        <v>92.16</v>
      </c>
      <c r="M5265" s="74"/>
      <c r="N5265" s="74" t="s">
        <v>392</v>
      </c>
      <c r="O5265" s="74" t="s">
        <v>393</v>
      </c>
      <c r="P5265" s="74"/>
      <c r="Q5265" s="74" t="s">
        <v>7811</v>
      </c>
    </row>
    <row r="5266" spans="3:17" x14ac:dyDescent="0.25">
      <c r="C5266" s="74" t="s">
        <v>7822</v>
      </c>
      <c r="D5266" s="74" t="s">
        <v>7823</v>
      </c>
      <c r="E5266" s="74" t="s">
        <v>391</v>
      </c>
      <c r="F5266" s="74">
        <v>0</v>
      </c>
      <c r="G5266" s="74"/>
      <c r="H5266" s="74"/>
      <c r="I5266" s="74" t="s">
        <v>391</v>
      </c>
      <c r="J5266" s="74"/>
      <c r="K5266" s="74"/>
      <c r="L5266" s="74"/>
      <c r="M5266" s="74"/>
      <c r="N5266" s="74" t="s">
        <v>397</v>
      </c>
      <c r="O5266" s="74" t="s">
        <v>393</v>
      </c>
      <c r="P5266" s="74" t="s">
        <v>7824</v>
      </c>
      <c r="Q5266" s="74" t="s">
        <v>7825</v>
      </c>
    </row>
    <row r="5267" spans="3:17" x14ac:dyDescent="0.25">
      <c r="C5267" s="74" t="s">
        <v>7840</v>
      </c>
      <c r="D5267" s="74" t="s">
        <v>7841</v>
      </c>
      <c r="E5267" s="74" t="s">
        <v>391</v>
      </c>
      <c r="F5267" s="74">
        <v>0</v>
      </c>
      <c r="G5267" s="74"/>
      <c r="H5267" s="74"/>
      <c r="I5267" s="74" t="s">
        <v>391</v>
      </c>
      <c r="J5267" s="74"/>
      <c r="K5267" s="74"/>
      <c r="L5267" s="74"/>
      <c r="M5267" s="74"/>
      <c r="N5267" s="74" t="s">
        <v>397</v>
      </c>
      <c r="O5267" s="74" t="s">
        <v>393</v>
      </c>
      <c r="P5267" s="74" t="s">
        <v>7842</v>
      </c>
      <c r="Q5267" s="74" t="s">
        <v>7843</v>
      </c>
    </row>
    <row r="5268" spans="3:17" x14ac:dyDescent="0.25">
      <c r="C5268" s="74" t="s">
        <v>7864</v>
      </c>
      <c r="D5268" s="74" t="s">
        <v>7793</v>
      </c>
      <c r="E5268" s="74" t="s">
        <v>391</v>
      </c>
      <c r="F5268" s="74">
        <v>0</v>
      </c>
      <c r="G5268" s="74"/>
      <c r="H5268" s="74"/>
      <c r="I5268" s="74" t="s">
        <v>391</v>
      </c>
      <c r="J5268" s="74"/>
      <c r="K5268" s="74"/>
      <c r="L5268" s="74"/>
      <c r="M5268" s="74"/>
      <c r="N5268" s="74" t="s">
        <v>397</v>
      </c>
      <c r="O5268" s="74" t="s">
        <v>393</v>
      </c>
      <c r="P5268" s="74"/>
      <c r="Q5268" s="74" t="s">
        <v>7865</v>
      </c>
    </row>
    <row r="5269" spans="3:17" x14ac:dyDescent="0.25">
      <c r="C5269" s="74" t="s">
        <v>7878</v>
      </c>
      <c r="D5269" s="74" t="s">
        <v>7879</v>
      </c>
      <c r="E5269" s="74" t="s">
        <v>391</v>
      </c>
      <c r="F5269" s="74">
        <v>0</v>
      </c>
      <c r="G5269" s="74"/>
      <c r="H5269" s="74"/>
      <c r="I5269" s="74" t="s">
        <v>391</v>
      </c>
      <c r="J5269" s="74"/>
      <c r="K5269" s="74"/>
      <c r="L5269" s="74"/>
      <c r="M5269" s="74"/>
      <c r="N5269" s="74" t="s">
        <v>397</v>
      </c>
      <c r="O5269" s="74" t="s">
        <v>393</v>
      </c>
      <c r="P5269" s="74" t="s">
        <v>7880</v>
      </c>
      <c r="Q5269" s="74" t="s">
        <v>7881</v>
      </c>
    </row>
    <row r="5270" spans="3:17" x14ac:dyDescent="0.25">
      <c r="C5270" s="74" t="s">
        <v>7895</v>
      </c>
      <c r="D5270" s="74" t="s">
        <v>7896</v>
      </c>
      <c r="E5270" s="74" t="s">
        <v>391</v>
      </c>
      <c r="F5270" s="74">
        <v>0</v>
      </c>
      <c r="G5270" s="74"/>
      <c r="H5270" s="74"/>
      <c r="I5270" s="74" t="s">
        <v>391</v>
      </c>
      <c r="J5270" s="74"/>
      <c r="K5270" s="74"/>
      <c r="L5270" s="74"/>
      <c r="M5270" s="74"/>
      <c r="N5270" s="74" t="s">
        <v>397</v>
      </c>
      <c r="O5270" s="74" t="s">
        <v>393</v>
      </c>
      <c r="P5270" s="74" t="s">
        <v>7897</v>
      </c>
      <c r="Q5270" s="74" t="s">
        <v>7898</v>
      </c>
    </row>
    <row r="5271" spans="3:17" x14ac:dyDescent="0.25">
      <c r="C5271" s="74" t="s">
        <v>7905</v>
      </c>
      <c r="D5271" s="74" t="s">
        <v>7906</v>
      </c>
      <c r="E5271" s="74" t="s">
        <v>391</v>
      </c>
      <c r="F5271" s="74">
        <v>0</v>
      </c>
      <c r="G5271" s="74"/>
      <c r="H5271" s="74"/>
      <c r="I5271" s="74" t="s">
        <v>391</v>
      </c>
      <c r="J5271" s="74"/>
      <c r="K5271" s="74"/>
      <c r="L5271" s="74"/>
      <c r="M5271" s="74"/>
      <c r="N5271" s="74" t="s">
        <v>397</v>
      </c>
      <c r="O5271" s="74" t="s">
        <v>393</v>
      </c>
      <c r="P5271" s="74"/>
      <c r="Q5271" s="74" t="s">
        <v>7907</v>
      </c>
    </row>
    <row r="5272" spans="3:17" x14ac:dyDescent="0.25">
      <c r="C5272" s="74" t="s">
        <v>7911</v>
      </c>
      <c r="D5272" s="74" t="s">
        <v>7912</v>
      </c>
      <c r="E5272" s="74" t="s">
        <v>391</v>
      </c>
      <c r="F5272" s="74">
        <v>0</v>
      </c>
      <c r="G5272" s="74"/>
      <c r="H5272" s="74"/>
      <c r="I5272" s="74" t="s">
        <v>391</v>
      </c>
      <c r="J5272" s="74"/>
      <c r="K5272" s="74"/>
      <c r="L5272" s="74"/>
      <c r="M5272" s="74"/>
      <c r="N5272" s="74" t="s">
        <v>397</v>
      </c>
      <c r="O5272" s="74" t="s">
        <v>393</v>
      </c>
      <c r="P5272" s="74" t="s">
        <v>7913</v>
      </c>
      <c r="Q5272" s="74" t="s">
        <v>7914</v>
      </c>
    </row>
    <row r="5273" spans="3:17" x14ac:dyDescent="0.25">
      <c r="C5273" s="74" t="s">
        <v>7915</v>
      </c>
      <c r="D5273" s="74" t="s">
        <v>7916</v>
      </c>
      <c r="E5273" s="74" t="s">
        <v>391</v>
      </c>
      <c r="F5273" s="74">
        <v>0</v>
      </c>
      <c r="G5273" s="74"/>
      <c r="H5273" s="74"/>
      <c r="I5273" s="74" t="s">
        <v>391</v>
      </c>
      <c r="J5273" s="74"/>
      <c r="K5273" s="74"/>
      <c r="L5273" s="74"/>
      <c r="M5273" s="74"/>
      <c r="N5273" s="74" t="s">
        <v>397</v>
      </c>
      <c r="O5273" s="74" t="s">
        <v>393</v>
      </c>
      <c r="P5273" s="74" t="s">
        <v>7917</v>
      </c>
      <c r="Q5273" s="74" t="s">
        <v>7918</v>
      </c>
    </row>
    <row r="5274" spans="3:17" x14ac:dyDescent="0.25">
      <c r="C5274" s="74" t="s">
        <v>7933</v>
      </c>
      <c r="D5274" s="74" t="s">
        <v>7789</v>
      </c>
      <c r="E5274" s="74" t="s">
        <v>391</v>
      </c>
      <c r="F5274" s="74">
        <v>0</v>
      </c>
      <c r="G5274" s="74"/>
      <c r="H5274" s="74"/>
      <c r="I5274" s="74" t="s">
        <v>391</v>
      </c>
      <c r="J5274" s="74"/>
      <c r="K5274" s="74">
        <v>102.4</v>
      </c>
      <c r="L5274" s="74">
        <v>92.16</v>
      </c>
      <c r="M5274" s="74"/>
      <c r="N5274" s="74" t="s">
        <v>392</v>
      </c>
      <c r="O5274" s="74" t="s">
        <v>393</v>
      </c>
      <c r="P5274" s="74"/>
      <c r="Q5274" s="74" t="s">
        <v>7934</v>
      </c>
    </row>
    <row r="5275" spans="3:17" x14ac:dyDescent="0.25">
      <c r="C5275" s="74" t="s">
        <v>7942</v>
      </c>
      <c r="D5275" s="74" t="s">
        <v>7943</v>
      </c>
      <c r="E5275" s="74" t="s">
        <v>391</v>
      </c>
      <c r="F5275" s="74">
        <v>0</v>
      </c>
      <c r="G5275" s="74"/>
      <c r="H5275" s="74"/>
      <c r="I5275" s="74" t="s">
        <v>391</v>
      </c>
      <c r="J5275" s="74"/>
      <c r="K5275" s="74"/>
      <c r="L5275" s="74"/>
      <c r="M5275" s="74"/>
      <c r="N5275" s="74" t="s">
        <v>397</v>
      </c>
      <c r="O5275" s="74" t="s">
        <v>393</v>
      </c>
      <c r="P5275" s="74" t="s">
        <v>7944</v>
      </c>
      <c r="Q5275" s="74" t="s">
        <v>7945</v>
      </c>
    </row>
    <row r="5276" spans="3:17" x14ac:dyDescent="0.25">
      <c r="C5276" s="74" t="s">
        <v>7949</v>
      </c>
      <c r="D5276" s="74" t="s">
        <v>7950</v>
      </c>
      <c r="E5276" s="74" t="s">
        <v>391</v>
      </c>
      <c r="F5276" s="74">
        <v>0</v>
      </c>
      <c r="G5276" s="74"/>
      <c r="H5276" s="74"/>
      <c r="I5276" s="74" t="s">
        <v>391</v>
      </c>
      <c r="J5276" s="74"/>
      <c r="K5276" s="74"/>
      <c r="L5276" s="74"/>
      <c r="M5276" s="74"/>
      <c r="N5276" s="74" t="s">
        <v>397</v>
      </c>
      <c r="O5276" s="74" t="s">
        <v>393</v>
      </c>
      <c r="P5276" s="74" t="s">
        <v>7951</v>
      </c>
      <c r="Q5276" s="74" t="s">
        <v>7952</v>
      </c>
    </row>
    <row r="5277" spans="3:17" x14ac:dyDescent="0.25">
      <c r="C5277" s="74" t="s">
        <v>7979</v>
      </c>
      <c r="D5277" s="74" t="s">
        <v>7980</v>
      </c>
      <c r="E5277" s="74" t="s">
        <v>391</v>
      </c>
      <c r="F5277" s="74">
        <v>0</v>
      </c>
      <c r="G5277" s="74"/>
      <c r="H5277" s="74"/>
      <c r="I5277" s="74" t="s">
        <v>391</v>
      </c>
      <c r="J5277" s="74"/>
      <c r="K5277" s="74"/>
      <c r="L5277" s="74"/>
      <c r="M5277" s="74"/>
      <c r="N5277" s="74" t="s">
        <v>397</v>
      </c>
      <c r="O5277" s="74" t="s">
        <v>393</v>
      </c>
      <c r="P5277" s="74" t="s">
        <v>7981</v>
      </c>
      <c r="Q5277" s="74" t="s">
        <v>7982</v>
      </c>
    </row>
    <row r="5278" spans="3:17" x14ac:dyDescent="0.25">
      <c r="C5278" s="74" t="s">
        <v>7990</v>
      </c>
      <c r="D5278" s="74" t="s">
        <v>7991</v>
      </c>
      <c r="E5278" s="74" t="s">
        <v>391</v>
      </c>
      <c r="F5278" s="74">
        <v>0</v>
      </c>
      <c r="G5278" s="74"/>
      <c r="H5278" s="74"/>
      <c r="I5278" s="74" t="s">
        <v>391</v>
      </c>
      <c r="J5278" s="74"/>
      <c r="K5278" s="74">
        <v>102.4</v>
      </c>
      <c r="L5278" s="74">
        <v>92.16</v>
      </c>
      <c r="M5278" s="74"/>
      <c r="N5278" s="74" t="s">
        <v>392</v>
      </c>
      <c r="O5278" s="74" t="s">
        <v>393</v>
      </c>
      <c r="P5278" s="74"/>
      <c r="Q5278" s="74" t="s">
        <v>7992</v>
      </c>
    </row>
    <row r="5279" spans="3:17" x14ac:dyDescent="0.25">
      <c r="C5279" s="74" t="s">
        <v>7997</v>
      </c>
      <c r="D5279" s="74" t="s">
        <v>7998</v>
      </c>
      <c r="E5279" s="74" t="s">
        <v>391</v>
      </c>
      <c r="F5279" s="74">
        <v>0</v>
      </c>
      <c r="G5279" s="74"/>
      <c r="H5279" s="74"/>
      <c r="I5279" s="74" t="s">
        <v>391</v>
      </c>
      <c r="J5279" s="74"/>
      <c r="K5279" s="74">
        <v>102.4</v>
      </c>
      <c r="L5279" s="74">
        <v>92.16</v>
      </c>
      <c r="M5279" s="74"/>
      <c r="N5279" s="74" t="s">
        <v>392</v>
      </c>
      <c r="O5279" s="74" t="s">
        <v>393</v>
      </c>
      <c r="P5279" s="74"/>
      <c r="Q5279" s="74" t="s">
        <v>7999</v>
      </c>
    </row>
    <row r="5280" spans="3:17" x14ac:dyDescent="0.25">
      <c r="C5280" s="74" t="s">
        <v>8000</v>
      </c>
      <c r="D5280" s="74" t="s">
        <v>8001</v>
      </c>
      <c r="E5280" s="74" t="s">
        <v>391</v>
      </c>
      <c r="F5280" s="74">
        <v>0</v>
      </c>
      <c r="G5280" s="74"/>
      <c r="H5280" s="74"/>
      <c r="I5280" s="74" t="s">
        <v>391</v>
      </c>
      <c r="J5280" s="74"/>
      <c r="K5280" s="74"/>
      <c r="L5280" s="74"/>
      <c r="M5280" s="74"/>
      <c r="N5280" s="74" t="s">
        <v>397</v>
      </c>
      <c r="O5280" s="74" t="s">
        <v>393</v>
      </c>
      <c r="P5280" s="74" t="s">
        <v>8002</v>
      </c>
      <c r="Q5280" s="74" t="s">
        <v>8003</v>
      </c>
    </row>
    <row r="5281" spans="3:17" x14ac:dyDescent="0.25">
      <c r="C5281" s="74" t="s">
        <v>8083</v>
      </c>
      <c r="D5281" s="74" t="s">
        <v>8084</v>
      </c>
      <c r="E5281" s="74" t="s">
        <v>391</v>
      </c>
      <c r="F5281" s="74">
        <v>0</v>
      </c>
      <c r="G5281" s="74"/>
      <c r="H5281" s="74"/>
      <c r="I5281" s="74" t="s">
        <v>391</v>
      </c>
      <c r="J5281" s="74"/>
      <c r="K5281" s="74"/>
      <c r="L5281" s="74"/>
      <c r="M5281" s="74"/>
      <c r="N5281" s="74" t="s">
        <v>397</v>
      </c>
      <c r="O5281" s="74" t="s">
        <v>393</v>
      </c>
      <c r="P5281" s="74" t="s">
        <v>8085</v>
      </c>
      <c r="Q5281" s="74" t="s">
        <v>8086</v>
      </c>
    </row>
    <row r="5282" spans="3:17" x14ac:dyDescent="0.25">
      <c r="C5282" s="74" t="s">
        <v>8087</v>
      </c>
      <c r="D5282" s="74" t="s">
        <v>8088</v>
      </c>
      <c r="E5282" s="74"/>
      <c r="F5282" s="74">
        <v>0</v>
      </c>
      <c r="G5282" s="74"/>
      <c r="H5282" s="74"/>
      <c r="I5282" s="74" t="s">
        <v>391</v>
      </c>
      <c r="J5282" s="74"/>
      <c r="K5282" s="74">
        <v>102.4</v>
      </c>
      <c r="L5282" s="74">
        <v>92.16</v>
      </c>
      <c r="M5282" s="74"/>
      <c r="N5282" s="74" t="s">
        <v>392</v>
      </c>
      <c r="O5282" s="74" t="s">
        <v>402</v>
      </c>
      <c r="P5282" s="74" t="s">
        <v>8089</v>
      </c>
      <c r="Q5282" s="74" t="s">
        <v>8090</v>
      </c>
    </row>
    <row r="5283" spans="3:17" x14ac:dyDescent="0.25">
      <c r="C5283" s="74" t="s">
        <v>8116</v>
      </c>
      <c r="D5283" s="74" t="s">
        <v>8117</v>
      </c>
      <c r="E5283" s="74" t="s">
        <v>391</v>
      </c>
      <c r="F5283" s="74">
        <v>0</v>
      </c>
      <c r="G5283" s="74"/>
      <c r="H5283" s="74"/>
      <c r="I5283" s="74" t="s">
        <v>391</v>
      </c>
      <c r="J5283" s="74"/>
      <c r="K5283" s="74"/>
      <c r="L5283" s="74"/>
      <c r="M5283" s="74"/>
      <c r="N5283" s="74" t="s">
        <v>397</v>
      </c>
      <c r="O5283" s="74" t="s">
        <v>393</v>
      </c>
      <c r="P5283" s="74"/>
      <c r="Q5283" s="74" t="s">
        <v>8118</v>
      </c>
    </row>
    <row r="5284" spans="3:17" x14ac:dyDescent="0.25">
      <c r="C5284" s="74" t="s">
        <v>8132</v>
      </c>
      <c r="D5284" s="74" t="s">
        <v>8133</v>
      </c>
      <c r="E5284" s="74" t="s">
        <v>391</v>
      </c>
      <c r="F5284" s="74">
        <v>0</v>
      </c>
      <c r="G5284" s="74"/>
      <c r="H5284" s="74"/>
      <c r="I5284" s="74" t="s">
        <v>391</v>
      </c>
      <c r="J5284" s="74"/>
      <c r="K5284" s="74"/>
      <c r="L5284" s="74"/>
      <c r="M5284" s="74"/>
      <c r="N5284" s="74" t="s">
        <v>397</v>
      </c>
      <c r="O5284" s="74" t="s">
        <v>393</v>
      </c>
      <c r="P5284" s="74" t="s">
        <v>8134</v>
      </c>
      <c r="Q5284" s="74" t="s">
        <v>8135</v>
      </c>
    </row>
    <row r="5285" spans="3:17" x14ac:dyDescent="0.25">
      <c r="C5285" s="74" t="s">
        <v>8140</v>
      </c>
      <c r="D5285" s="74" t="s">
        <v>8141</v>
      </c>
      <c r="E5285" s="74" t="s">
        <v>391</v>
      </c>
      <c r="F5285" s="74">
        <v>0</v>
      </c>
      <c r="G5285" s="74"/>
      <c r="H5285" s="74"/>
      <c r="I5285" s="74" t="s">
        <v>391</v>
      </c>
      <c r="J5285" s="74"/>
      <c r="K5285" s="74">
        <v>102.4</v>
      </c>
      <c r="L5285" s="74">
        <v>92.16</v>
      </c>
      <c r="M5285" s="74"/>
      <c r="N5285" s="74" t="s">
        <v>392</v>
      </c>
      <c r="O5285" s="74" t="s">
        <v>393</v>
      </c>
      <c r="P5285" s="74" t="s">
        <v>8142</v>
      </c>
      <c r="Q5285" s="74" t="s">
        <v>8143</v>
      </c>
    </row>
    <row r="5286" spans="3:17" x14ac:dyDescent="0.25">
      <c r="C5286" s="74" t="s">
        <v>8188</v>
      </c>
      <c r="D5286" s="74" t="s">
        <v>8189</v>
      </c>
      <c r="E5286" s="74" t="s">
        <v>391</v>
      </c>
      <c r="F5286" s="74">
        <v>0</v>
      </c>
      <c r="G5286" s="74"/>
      <c r="H5286" s="74"/>
      <c r="I5286" s="74" t="s">
        <v>391</v>
      </c>
      <c r="J5286" s="74"/>
      <c r="K5286" s="74">
        <v>102.4</v>
      </c>
      <c r="L5286" s="74">
        <v>92.16</v>
      </c>
      <c r="M5286" s="74"/>
      <c r="N5286" s="74" t="s">
        <v>392</v>
      </c>
      <c r="O5286" s="74" t="s">
        <v>393</v>
      </c>
      <c r="P5286" s="74"/>
      <c r="Q5286" s="74" t="s">
        <v>8190</v>
      </c>
    </row>
    <row r="5287" spans="3:17" x14ac:dyDescent="0.25">
      <c r="C5287" s="74" t="s">
        <v>8191</v>
      </c>
      <c r="D5287" s="74" t="s">
        <v>8192</v>
      </c>
      <c r="E5287" s="74" t="s">
        <v>391</v>
      </c>
      <c r="F5287" s="74">
        <v>0</v>
      </c>
      <c r="G5287" s="74"/>
      <c r="H5287" s="74"/>
      <c r="I5287" s="74" t="s">
        <v>391</v>
      </c>
      <c r="J5287" s="74"/>
      <c r="K5287" s="74"/>
      <c r="L5287" s="74"/>
      <c r="M5287" s="74"/>
      <c r="N5287" s="74" t="s">
        <v>397</v>
      </c>
      <c r="O5287" s="74" t="s">
        <v>393</v>
      </c>
      <c r="P5287" s="74" t="s">
        <v>8193</v>
      </c>
      <c r="Q5287" s="74" t="s">
        <v>8194</v>
      </c>
    </row>
    <row r="5288" spans="3:17" x14ac:dyDescent="0.25">
      <c r="C5288" s="74" t="s">
        <v>8213</v>
      </c>
      <c r="D5288" s="74" t="s">
        <v>8214</v>
      </c>
      <c r="E5288" s="74" t="s">
        <v>391</v>
      </c>
      <c r="F5288" s="74">
        <v>0</v>
      </c>
      <c r="G5288" s="74"/>
      <c r="H5288" s="74"/>
      <c r="I5288" s="74" t="s">
        <v>391</v>
      </c>
      <c r="J5288" s="74"/>
      <c r="K5288" s="74">
        <v>102.4</v>
      </c>
      <c r="L5288" s="74">
        <v>92.16</v>
      </c>
      <c r="M5288" s="74"/>
      <c r="N5288" s="74" t="s">
        <v>392</v>
      </c>
      <c r="O5288" s="74" t="s">
        <v>393</v>
      </c>
      <c r="P5288" s="74"/>
      <c r="Q5288" s="74" t="s">
        <v>8215</v>
      </c>
    </row>
    <row r="5289" spans="3:17" x14ac:dyDescent="0.25">
      <c r="C5289" s="74" t="s">
        <v>8233</v>
      </c>
      <c r="D5289" s="74" t="s">
        <v>8234</v>
      </c>
      <c r="E5289" s="74" t="s">
        <v>391</v>
      </c>
      <c r="F5289" s="74">
        <v>0</v>
      </c>
      <c r="G5289" s="74"/>
      <c r="H5289" s="74"/>
      <c r="I5289" s="74" t="s">
        <v>391</v>
      </c>
      <c r="J5289" s="74"/>
      <c r="K5289" s="74"/>
      <c r="L5289" s="74"/>
      <c r="M5289" s="74"/>
      <c r="N5289" s="74" t="s">
        <v>397</v>
      </c>
      <c r="O5289" s="74" t="s">
        <v>393</v>
      </c>
      <c r="P5289" s="74" t="s">
        <v>8235</v>
      </c>
      <c r="Q5289" s="74" t="s">
        <v>8236</v>
      </c>
    </row>
    <row r="5290" spans="3:17" x14ac:dyDescent="0.25">
      <c r="C5290" s="74" t="s">
        <v>8281</v>
      </c>
      <c r="D5290" s="74" t="s">
        <v>8282</v>
      </c>
      <c r="E5290" s="74" t="s">
        <v>391</v>
      </c>
      <c r="F5290" s="74">
        <v>0</v>
      </c>
      <c r="G5290" s="74"/>
      <c r="H5290" s="74"/>
      <c r="I5290" s="74" t="s">
        <v>391</v>
      </c>
      <c r="J5290" s="74"/>
      <c r="K5290" s="74"/>
      <c r="L5290" s="74"/>
      <c r="M5290" s="74"/>
      <c r="N5290" s="74" t="s">
        <v>397</v>
      </c>
      <c r="O5290" s="74" t="s">
        <v>393</v>
      </c>
      <c r="P5290" s="74" t="s">
        <v>8283</v>
      </c>
      <c r="Q5290" s="74" t="s">
        <v>8284</v>
      </c>
    </row>
    <row r="5291" spans="3:17" x14ac:dyDescent="0.25">
      <c r="C5291" s="74" t="s">
        <v>8292</v>
      </c>
      <c r="D5291" s="74" t="s">
        <v>8293</v>
      </c>
      <c r="E5291" s="74" t="s">
        <v>391</v>
      </c>
      <c r="F5291" s="74">
        <v>0</v>
      </c>
      <c r="G5291" s="74"/>
      <c r="H5291" s="74"/>
      <c r="I5291" s="74" t="s">
        <v>391</v>
      </c>
      <c r="J5291" s="74"/>
      <c r="K5291" s="74"/>
      <c r="L5291" s="74"/>
      <c r="M5291" s="74"/>
      <c r="N5291" s="74" t="s">
        <v>397</v>
      </c>
      <c r="O5291" s="74" t="s">
        <v>393</v>
      </c>
      <c r="P5291" s="74" t="s">
        <v>8294</v>
      </c>
      <c r="Q5291" s="74" t="s">
        <v>8295</v>
      </c>
    </row>
    <row r="5292" spans="3:17" x14ac:dyDescent="0.25">
      <c r="C5292" s="74" t="s">
        <v>8296</v>
      </c>
      <c r="D5292" s="74" t="s">
        <v>8297</v>
      </c>
      <c r="E5292" s="74" t="s">
        <v>391</v>
      </c>
      <c r="F5292" s="74">
        <v>0</v>
      </c>
      <c r="G5292" s="74"/>
      <c r="H5292" s="74"/>
      <c r="I5292" s="74" t="s">
        <v>391</v>
      </c>
      <c r="J5292" s="74"/>
      <c r="K5292" s="74"/>
      <c r="L5292" s="74"/>
      <c r="M5292" s="74"/>
      <c r="N5292" s="74" t="s">
        <v>397</v>
      </c>
      <c r="O5292" s="74" t="s">
        <v>393</v>
      </c>
      <c r="P5292" s="74"/>
      <c r="Q5292" s="74" t="s">
        <v>8298</v>
      </c>
    </row>
    <row r="5293" spans="3:17" x14ac:dyDescent="0.25">
      <c r="C5293" s="74" t="s">
        <v>8299</v>
      </c>
      <c r="D5293" s="74" t="s">
        <v>8300</v>
      </c>
      <c r="E5293" s="74" t="s">
        <v>391</v>
      </c>
      <c r="F5293" s="74">
        <v>0</v>
      </c>
      <c r="G5293" s="74"/>
      <c r="H5293" s="74"/>
      <c r="I5293" s="74" t="s">
        <v>391</v>
      </c>
      <c r="J5293" s="74"/>
      <c r="K5293" s="74"/>
      <c r="L5293" s="74"/>
      <c r="M5293" s="74"/>
      <c r="N5293" s="74" t="s">
        <v>397</v>
      </c>
      <c r="O5293" s="74" t="s">
        <v>393</v>
      </c>
      <c r="P5293" s="74" t="s">
        <v>8301</v>
      </c>
      <c r="Q5293" s="74" t="s">
        <v>8302</v>
      </c>
    </row>
    <row r="5294" spans="3:17" x14ac:dyDescent="0.25">
      <c r="C5294" s="74" t="s">
        <v>8320</v>
      </c>
      <c r="D5294" s="74" t="s">
        <v>8321</v>
      </c>
      <c r="E5294" s="74" t="s">
        <v>391</v>
      </c>
      <c r="F5294" s="74">
        <v>0</v>
      </c>
      <c r="G5294" s="74"/>
      <c r="H5294" s="74"/>
      <c r="I5294" s="74" t="s">
        <v>391</v>
      </c>
      <c r="J5294" s="74"/>
      <c r="K5294" s="74">
        <v>102.4</v>
      </c>
      <c r="L5294" s="74">
        <v>92.16</v>
      </c>
      <c r="M5294" s="74"/>
      <c r="N5294" s="74" t="s">
        <v>392</v>
      </c>
      <c r="O5294" s="74" t="s">
        <v>393</v>
      </c>
      <c r="P5294" s="74"/>
      <c r="Q5294" s="74" t="s">
        <v>8322</v>
      </c>
    </row>
    <row r="5295" spans="3:17" x14ac:dyDescent="0.25">
      <c r="C5295" s="74" t="s">
        <v>8338</v>
      </c>
      <c r="D5295" s="74" t="s">
        <v>8339</v>
      </c>
      <c r="E5295" s="74" t="s">
        <v>391</v>
      </c>
      <c r="F5295" s="74">
        <v>0</v>
      </c>
      <c r="G5295" s="74"/>
      <c r="H5295" s="74"/>
      <c r="I5295" s="74" t="s">
        <v>391</v>
      </c>
      <c r="J5295" s="74"/>
      <c r="K5295" s="74"/>
      <c r="L5295" s="74"/>
      <c r="M5295" s="74"/>
      <c r="N5295" s="74" t="s">
        <v>397</v>
      </c>
      <c r="O5295" s="74" t="s">
        <v>393</v>
      </c>
      <c r="P5295" s="74" t="s">
        <v>8340</v>
      </c>
      <c r="Q5295" s="74" t="s">
        <v>8341</v>
      </c>
    </row>
    <row r="5296" spans="3:17" x14ac:dyDescent="0.25">
      <c r="C5296" s="74" t="s">
        <v>8345</v>
      </c>
      <c r="D5296" s="74" t="s">
        <v>8346</v>
      </c>
      <c r="E5296" s="74" t="s">
        <v>391</v>
      </c>
      <c r="F5296" s="74">
        <v>0</v>
      </c>
      <c r="G5296" s="74"/>
      <c r="H5296" s="74"/>
      <c r="I5296" s="74" t="s">
        <v>391</v>
      </c>
      <c r="J5296" s="74"/>
      <c r="K5296" s="74"/>
      <c r="L5296" s="74"/>
      <c r="M5296" s="74"/>
      <c r="N5296" s="74" t="s">
        <v>397</v>
      </c>
      <c r="O5296" s="74" t="s">
        <v>393</v>
      </c>
      <c r="P5296" s="74" t="s">
        <v>8347</v>
      </c>
      <c r="Q5296" s="74" t="s">
        <v>8348</v>
      </c>
    </row>
    <row r="5297" spans="3:17" x14ac:dyDescent="0.25">
      <c r="C5297" s="74" t="s">
        <v>8349</v>
      </c>
      <c r="D5297" s="74" t="s">
        <v>8350</v>
      </c>
      <c r="E5297" s="74" t="s">
        <v>391</v>
      </c>
      <c r="F5297" s="74">
        <v>0</v>
      </c>
      <c r="G5297" s="74"/>
      <c r="H5297" s="74"/>
      <c r="I5297" s="74" t="s">
        <v>391</v>
      </c>
      <c r="J5297" s="74"/>
      <c r="K5297" s="74"/>
      <c r="L5297" s="74"/>
      <c r="M5297" s="74"/>
      <c r="N5297" s="74" t="s">
        <v>397</v>
      </c>
      <c r="O5297" s="74" t="s">
        <v>393</v>
      </c>
      <c r="P5297" s="74" t="s">
        <v>8351</v>
      </c>
      <c r="Q5297" s="74" t="s">
        <v>8352</v>
      </c>
    </row>
    <row r="5298" spans="3:17" x14ac:dyDescent="0.25">
      <c r="C5298" s="74" t="s">
        <v>8356</v>
      </c>
      <c r="D5298" s="74" t="s">
        <v>8357</v>
      </c>
      <c r="E5298" s="74" t="s">
        <v>391</v>
      </c>
      <c r="F5298" s="74">
        <v>0</v>
      </c>
      <c r="G5298" s="74"/>
      <c r="H5298" s="74"/>
      <c r="I5298" s="74" t="s">
        <v>391</v>
      </c>
      <c r="J5298" s="74"/>
      <c r="K5298" s="74"/>
      <c r="L5298" s="74"/>
      <c r="M5298" s="74"/>
      <c r="N5298" s="74" t="s">
        <v>397</v>
      </c>
      <c r="O5298" s="74" t="s">
        <v>393</v>
      </c>
      <c r="P5298" s="74" t="s">
        <v>8358</v>
      </c>
      <c r="Q5298" s="74" t="s">
        <v>8359</v>
      </c>
    </row>
    <row r="5299" spans="3:17" x14ac:dyDescent="0.25">
      <c r="C5299" s="74" t="s">
        <v>8360</v>
      </c>
      <c r="D5299" s="74" t="s">
        <v>8361</v>
      </c>
      <c r="E5299" s="74" t="s">
        <v>391</v>
      </c>
      <c r="F5299" s="74">
        <v>0</v>
      </c>
      <c r="G5299" s="74"/>
      <c r="H5299" s="74"/>
      <c r="I5299" s="74" t="s">
        <v>391</v>
      </c>
      <c r="J5299" s="74"/>
      <c r="K5299" s="74"/>
      <c r="L5299" s="74"/>
      <c r="M5299" s="74"/>
      <c r="N5299" s="74" t="s">
        <v>397</v>
      </c>
      <c r="O5299" s="74" t="s">
        <v>393</v>
      </c>
      <c r="P5299" s="74" t="s">
        <v>8362</v>
      </c>
      <c r="Q5299" s="74" t="s">
        <v>8363</v>
      </c>
    </row>
    <row r="5300" spans="3:17" x14ac:dyDescent="0.25">
      <c r="C5300" s="74" t="s">
        <v>8364</v>
      </c>
      <c r="D5300" s="74" t="s">
        <v>8365</v>
      </c>
      <c r="E5300" s="74" t="s">
        <v>391</v>
      </c>
      <c r="F5300" s="74">
        <v>0</v>
      </c>
      <c r="G5300" s="74"/>
      <c r="H5300" s="74"/>
      <c r="I5300" s="74" t="s">
        <v>391</v>
      </c>
      <c r="J5300" s="74"/>
      <c r="K5300" s="74"/>
      <c r="L5300" s="74"/>
      <c r="M5300" s="74"/>
      <c r="N5300" s="74" t="s">
        <v>397</v>
      </c>
      <c r="O5300" s="74" t="s">
        <v>393</v>
      </c>
      <c r="P5300" s="74"/>
      <c r="Q5300" s="74" t="s">
        <v>8366</v>
      </c>
    </row>
    <row r="5301" spans="3:17" x14ac:dyDescent="0.25">
      <c r="C5301" s="74" t="s">
        <v>8371</v>
      </c>
      <c r="D5301" s="74" t="s">
        <v>8372</v>
      </c>
      <c r="E5301" s="74" t="s">
        <v>391</v>
      </c>
      <c r="F5301" s="74">
        <v>0</v>
      </c>
      <c r="G5301" s="74"/>
      <c r="H5301" s="74"/>
      <c r="I5301" s="74" t="s">
        <v>391</v>
      </c>
      <c r="J5301" s="74"/>
      <c r="K5301" s="74"/>
      <c r="L5301" s="74"/>
      <c r="M5301" s="74"/>
      <c r="N5301" s="74" t="s">
        <v>397</v>
      </c>
      <c r="O5301" s="74" t="s">
        <v>393</v>
      </c>
      <c r="P5301" s="74" t="s">
        <v>8373</v>
      </c>
      <c r="Q5301" s="74" t="s">
        <v>8374</v>
      </c>
    </row>
    <row r="5302" spans="3:17" x14ac:dyDescent="0.25">
      <c r="C5302" s="74" t="s">
        <v>8375</v>
      </c>
      <c r="D5302" s="74" t="s">
        <v>8376</v>
      </c>
      <c r="E5302" s="74" t="s">
        <v>391</v>
      </c>
      <c r="F5302" s="74">
        <v>0</v>
      </c>
      <c r="G5302" s="74"/>
      <c r="H5302" s="74"/>
      <c r="I5302" s="74" t="s">
        <v>391</v>
      </c>
      <c r="J5302" s="74"/>
      <c r="K5302" s="74"/>
      <c r="L5302" s="74"/>
      <c r="M5302" s="74"/>
      <c r="N5302" s="74" t="s">
        <v>397</v>
      </c>
      <c r="O5302" s="74" t="s">
        <v>393</v>
      </c>
      <c r="P5302" s="74"/>
      <c r="Q5302" s="74" t="s">
        <v>8377</v>
      </c>
    </row>
    <row r="5303" spans="3:17" x14ac:dyDescent="0.25">
      <c r="C5303" s="74" t="s">
        <v>8378</v>
      </c>
      <c r="D5303" s="74" t="s">
        <v>8379</v>
      </c>
      <c r="E5303" s="74" t="s">
        <v>391</v>
      </c>
      <c r="F5303" s="74">
        <v>0</v>
      </c>
      <c r="G5303" s="74"/>
      <c r="H5303" s="74"/>
      <c r="I5303" s="74" t="s">
        <v>391</v>
      </c>
      <c r="J5303" s="74"/>
      <c r="K5303" s="74"/>
      <c r="L5303" s="74"/>
      <c r="M5303" s="74"/>
      <c r="N5303" s="74" t="s">
        <v>397</v>
      </c>
      <c r="O5303" s="74" t="s">
        <v>393</v>
      </c>
      <c r="P5303" s="74" t="s">
        <v>8380</v>
      </c>
      <c r="Q5303" s="74" t="s">
        <v>8381</v>
      </c>
    </row>
    <row r="5304" spans="3:17" x14ac:dyDescent="0.25">
      <c r="C5304" s="74" t="s">
        <v>8390</v>
      </c>
      <c r="D5304" s="74" t="s">
        <v>8391</v>
      </c>
      <c r="E5304" s="74" t="s">
        <v>391</v>
      </c>
      <c r="F5304" s="74">
        <v>0</v>
      </c>
      <c r="G5304" s="74"/>
      <c r="H5304" s="74"/>
      <c r="I5304" s="74" t="s">
        <v>391</v>
      </c>
      <c r="J5304" s="74"/>
      <c r="K5304" s="74"/>
      <c r="L5304" s="74"/>
      <c r="M5304" s="74"/>
      <c r="N5304" s="74" t="s">
        <v>397</v>
      </c>
      <c r="O5304" s="74" t="s">
        <v>393</v>
      </c>
      <c r="P5304" s="74" t="s">
        <v>8392</v>
      </c>
      <c r="Q5304" s="74" t="s">
        <v>8393</v>
      </c>
    </row>
    <row r="5305" spans="3:17" x14ac:dyDescent="0.25">
      <c r="C5305" s="74" t="s">
        <v>8410</v>
      </c>
      <c r="D5305" s="74" t="s">
        <v>8411</v>
      </c>
      <c r="E5305" s="74" t="s">
        <v>391</v>
      </c>
      <c r="F5305" s="74">
        <v>0</v>
      </c>
      <c r="G5305" s="74"/>
      <c r="H5305" s="74"/>
      <c r="I5305" s="74" t="s">
        <v>391</v>
      </c>
      <c r="J5305" s="74"/>
      <c r="K5305" s="74">
        <v>102.4</v>
      </c>
      <c r="L5305" s="74">
        <v>92.16</v>
      </c>
      <c r="M5305" s="74"/>
      <c r="N5305" s="74" t="s">
        <v>392</v>
      </c>
      <c r="O5305" s="74" t="s">
        <v>393</v>
      </c>
      <c r="P5305" s="74"/>
      <c r="Q5305" s="74" t="s">
        <v>8412</v>
      </c>
    </row>
    <row r="5306" spans="3:17" x14ac:dyDescent="0.25">
      <c r="C5306" s="74" t="s">
        <v>8419</v>
      </c>
      <c r="D5306" s="74" t="s">
        <v>8420</v>
      </c>
      <c r="E5306" s="74" t="s">
        <v>391</v>
      </c>
      <c r="F5306" s="74">
        <v>0</v>
      </c>
      <c r="G5306" s="74"/>
      <c r="H5306" s="74"/>
      <c r="I5306" s="74" t="s">
        <v>391</v>
      </c>
      <c r="J5306" s="74"/>
      <c r="K5306" s="74">
        <v>102.4</v>
      </c>
      <c r="L5306" s="74">
        <v>92.16</v>
      </c>
      <c r="M5306" s="74"/>
      <c r="N5306" s="74" t="s">
        <v>392</v>
      </c>
      <c r="O5306" s="74" t="s">
        <v>393</v>
      </c>
      <c r="P5306" s="74"/>
      <c r="Q5306" s="74" t="s">
        <v>8421</v>
      </c>
    </row>
    <row r="5307" spans="3:17" x14ac:dyDescent="0.25">
      <c r="C5307" s="74" t="s">
        <v>8428</v>
      </c>
      <c r="D5307" s="74" t="s">
        <v>8429</v>
      </c>
      <c r="E5307" s="74" t="s">
        <v>391</v>
      </c>
      <c r="F5307" s="74">
        <v>0</v>
      </c>
      <c r="G5307" s="74"/>
      <c r="H5307" s="74"/>
      <c r="I5307" s="74" t="s">
        <v>391</v>
      </c>
      <c r="J5307" s="74"/>
      <c r="K5307" s="74"/>
      <c r="L5307" s="74"/>
      <c r="M5307" s="74"/>
      <c r="N5307" s="74" t="s">
        <v>397</v>
      </c>
      <c r="O5307" s="74" t="s">
        <v>402</v>
      </c>
      <c r="P5307" s="74" t="s">
        <v>8430</v>
      </c>
      <c r="Q5307" s="74" t="s">
        <v>8431</v>
      </c>
    </row>
    <row r="5308" spans="3:17" x14ac:dyDescent="0.25">
      <c r="C5308" s="74" t="s">
        <v>8461</v>
      </c>
      <c r="D5308" s="74" t="s">
        <v>8462</v>
      </c>
      <c r="E5308" s="74" t="s">
        <v>391</v>
      </c>
      <c r="F5308" s="74">
        <v>0</v>
      </c>
      <c r="G5308" s="74"/>
      <c r="H5308" s="74"/>
      <c r="I5308" s="74" t="s">
        <v>391</v>
      </c>
      <c r="J5308" s="74"/>
      <c r="K5308" s="74">
        <v>102.4</v>
      </c>
      <c r="L5308" s="74">
        <v>92.16</v>
      </c>
      <c r="M5308" s="74"/>
      <c r="N5308" s="74" t="s">
        <v>392</v>
      </c>
      <c r="O5308" s="74" t="s">
        <v>393</v>
      </c>
      <c r="P5308" s="74"/>
      <c r="Q5308" s="74" t="s">
        <v>8463</v>
      </c>
    </row>
    <row r="5309" spans="3:17" x14ac:dyDescent="0.25">
      <c r="C5309" s="74" t="s">
        <v>8481</v>
      </c>
      <c r="D5309" s="74" t="s">
        <v>8482</v>
      </c>
      <c r="E5309" s="74" t="s">
        <v>391</v>
      </c>
      <c r="F5309" s="74">
        <v>0</v>
      </c>
      <c r="G5309" s="74"/>
      <c r="H5309" s="74"/>
      <c r="I5309" s="74" t="s">
        <v>391</v>
      </c>
      <c r="J5309" s="74"/>
      <c r="K5309" s="74"/>
      <c r="L5309" s="74"/>
      <c r="M5309" s="74"/>
      <c r="N5309" s="74" t="s">
        <v>397</v>
      </c>
      <c r="O5309" s="74" t="s">
        <v>393</v>
      </c>
      <c r="P5309" s="74"/>
      <c r="Q5309" s="74" t="s">
        <v>8483</v>
      </c>
    </row>
    <row r="5310" spans="3:17" x14ac:dyDescent="0.25">
      <c r="C5310" s="74" t="s">
        <v>8503</v>
      </c>
      <c r="D5310" s="74" t="s">
        <v>8504</v>
      </c>
      <c r="E5310" s="74" t="s">
        <v>391</v>
      </c>
      <c r="F5310" s="74">
        <v>0</v>
      </c>
      <c r="G5310" s="74"/>
      <c r="H5310" s="74"/>
      <c r="I5310" s="74" t="s">
        <v>391</v>
      </c>
      <c r="J5310" s="74"/>
      <c r="K5310" s="74">
        <v>102.4</v>
      </c>
      <c r="L5310" s="74">
        <v>92.16</v>
      </c>
      <c r="M5310" s="74"/>
      <c r="N5310" s="74" t="s">
        <v>392</v>
      </c>
      <c r="O5310" s="74" t="s">
        <v>393</v>
      </c>
      <c r="P5310" s="74"/>
      <c r="Q5310" s="74" t="s">
        <v>8505</v>
      </c>
    </row>
    <row r="5311" spans="3:17" x14ac:dyDescent="0.25">
      <c r="C5311" s="74" t="s">
        <v>8514</v>
      </c>
      <c r="D5311" s="74" t="s">
        <v>8515</v>
      </c>
      <c r="E5311" s="74"/>
      <c r="F5311" s="74">
        <v>0</v>
      </c>
      <c r="G5311" s="74"/>
      <c r="H5311" s="74"/>
      <c r="I5311" s="74" t="s">
        <v>391</v>
      </c>
      <c r="J5311" s="74"/>
      <c r="K5311" s="74">
        <v>102.4</v>
      </c>
      <c r="L5311" s="74">
        <v>92.16</v>
      </c>
      <c r="M5311" s="74"/>
      <c r="N5311" s="74" t="s">
        <v>392</v>
      </c>
      <c r="O5311" s="74" t="s">
        <v>402</v>
      </c>
      <c r="P5311" s="74" t="s">
        <v>8516</v>
      </c>
      <c r="Q5311" s="74" t="s">
        <v>8517</v>
      </c>
    </row>
    <row r="5312" spans="3:17" x14ac:dyDescent="0.25">
      <c r="C5312" s="74" t="s">
        <v>8532</v>
      </c>
      <c r="D5312" s="74" t="s">
        <v>8533</v>
      </c>
      <c r="E5312" s="74" t="s">
        <v>391</v>
      </c>
      <c r="F5312" s="74">
        <v>0</v>
      </c>
      <c r="G5312" s="74"/>
      <c r="H5312" s="74"/>
      <c r="I5312" s="74" t="s">
        <v>391</v>
      </c>
      <c r="J5312" s="74"/>
      <c r="K5312" s="74"/>
      <c r="L5312" s="74"/>
      <c r="M5312" s="74"/>
      <c r="N5312" s="74" t="s">
        <v>397</v>
      </c>
      <c r="O5312" s="74" t="s">
        <v>393</v>
      </c>
      <c r="P5312" s="74" t="s">
        <v>8534</v>
      </c>
      <c r="Q5312" s="74" t="s">
        <v>8535</v>
      </c>
    </row>
    <row r="5313" spans="3:17" x14ac:dyDescent="0.25">
      <c r="C5313" s="74" t="s">
        <v>8544</v>
      </c>
      <c r="D5313" s="74" t="s">
        <v>8545</v>
      </c>
      <c r="E5313" s="74" t="s">
        <v>391</v>
      </c>
      <c r="F5313" s="74">
        <v>0</v>
      </c>
      <c r="G5313" s="74"/>
      <c r="H5313" s="74"/>
      <c r="I5313" s="74" t="s">
        <v>391</v>
      </c>
      <c r="J5313" s="74"/>
      <c r="K5313" s="74">
        <v>102.4</v>
      </c>
      <c r="L5313" s="74">
        <v>92.16</v>
      </c>
      <c r="M5313" s="74"/>
      <c r="N5313" s="74" t="s">
        <v>392</v>
      </c>
      <c r="O5313" s="74" t="s">
        <v>393</v>
      </c>
      <c r="P5313" s="74"/>
      <c r="Q5313" s="74" t="s">
        <v>8546</v>
      </c>
    </row>
    <row r="5314" spans="3:17" x14ac:dyDescent="0.25">
      <c r="C5314" s="74" t="s">
        <v>8553</v>
      </c>
      <c r="D5314" s="74" t="s">
        <v>8554</v>
      </c>
      <c r="E5314" s="74" t="s">
        <v>391</v>
      </c>
      <c r="F5314" s="74">
        <v>0</v>
      </c>
      <c r="G5314" s="74"/>
      <c r="H5314" s="74"/>
      <c r="I5314" s="74" t="s">
        <v>391</v>
      </c>
      <c r="J5314" s="74"/>
      <c r="K5314" s="74"/>
      <c r="L5314" s="74"/>
      <c r="M5314" s="74"/>
      <c r="N5314" s="74" t="s">
        <v>397</v>
      </c>
      <c r="O5314" s="74" t="s">
        <v>393</v>
      </c>
      <c r="P5314" s="74" t="s">
        <v>8555</v>
      </c>
      <c r="Q5314" s="74" t="s">
        <v>8556</v>
      </c>
    </row>
    <row r="5315" spans="3:17" x14ac:dyDescent="0.25">
      <c r="C5315" s="74" t="s">
        <v>8642</v>
      </c>
      <c r="D5315" s="74" t="s">
        <v>8643</v>
      </c>
      <c r="E5315" s="74" t="s">
        <v>391</v>
      </c>
      <c r="F5315" s="74">
        <v>0</v>
      </c>
      <c r="G5315" s="74"/>
      <c r="H5315" s="74"/>
      <c r="I5315" s="74" t="s">
        <v>391</v>
      </c>
      <c r="J5315" s="74"/>
      <c r="K5315" s="74"/>
      <c r="L5315" s="74"/>
      <c r="M5315" s="74"/>
      <c r="N5315" s="74" t="s">
        <v>397</v>
      </c>
      <c r="O5315" s="74" t="s">
        <v>393</v>
      </c>
      <c r="P5315" s="74"/>
      <c r="Q5315" s="74" t="s">
        <v>8644</v>
      </c>
    </row>
    <row r="5316" spans="3:17" x14ac:dyDescent="0.25">
      <c r="C5316" s="74" t="s">
        <v>8652</v>
      </c>
      <c r="D5316" s="74" t="s">
        <v>8653</v>
      </c>
      <c r="E5316" s="74" t="s">
        <v>391</v>
      </c>
      <c r="F5316" s="74">
        <v>0</v>
      </c>
      <c r="G5316" s="74"/>
      <c r="H5316" s="74"/>
      <c r="I5316" s="74" t="s">
        <v>391</v>
      </c>
      <c r="J5316" s="74"/>
      <c r="K5316" s="74">
        <v>102.4</v>
      </c>
      <c r="L5316" s="74">
        <v>92.16</v>
      </c>
      <c r="M5316" s="74"/>
      <c r="N5316" s="74" t="s">
        <v>392</v>
      </c>
      <c r="O5316" s="74" t="s">
        <v>393</v>
      </c>
      <c r="P5316" s="74"/>
      <c r="Q5316" s="74" t="s">
        <v>8654</v>
      </c>
    </row>
    <row r="5317" spans="3:17" x14ac:dyDescent="0.25">
      <c r="C5317" s="74" t="s">
        <v>8655</v>
      </c>
      <c r="D5317" s="74" t="s">
        <v>8656</v>
      </c>
      <c r="E5317" s="74" t="s">
        <v>391</v>
      </c>
      <c r="F5317" s="74">
        <v>0</v>
      </c>
      <c r="G5317" s="74"/>
      <c r="H5317" s="74"/>
      <c r="I5317" s="74" t="s">
        <v>391</v>
      </c>
      <c r="J5317" s="74"/>
      <c r="K5317" s="74"/>
      <c r="L5317" s="74"/>
      <c r="M5317" s="74"/>
      <c r="N5317" s="74" t="s">
        <v>397</v>
      </c>
      <c r="O5317" s="74" t="s">
        <v>393</v>
      </c>
      <c r="P5317" s="74" t="s">
        <v>8657</v>
      </c>
      <c r="Q5317" s="74" t="s">
        <v>8658</v>
      </c>
    </row>
    <row r="5318" spans="3:17" x14ac:dyDescent="0.25">
      <c r="C5318" s="74" t="s">
        <v>8659</v>
      </c>
      <c r="D5318" s="74" t="s">
        <v>8660</v>
      </c>
      <c r="E5318" s="74" t="s">
        <v>391</v>
      </c>
      <c r="F5318" s="74">
        <v>0</v>
      </c>
      <c r="G5318" s="74"/>
      <c r="H5318" s="74"/>
      <c r="I5318" s="74" t="s">
        <v>391</v>
      </c>
      <c r="J5318" s="74"/>
      <c r="K5318" s="74"/>
      <c r="L5318" s="74"/>
      <c r="M5318" s="74"/>
      <c r="N5318" s="74" t="s">
        <v>397</v>
      </c>
      <c r="O5318" s="74" t="s">
        <v>393</v>
      </c>
      <c r="P5318" s="74" t="s">
        <v>8661</v>
      </c>
      <c r="Q5318" s="74" t="s">
        <v>8662</v>
      </c>
    </row>
    <row r="5319" spans="3:17" x14ac:dyDescent="0.25">
      <c r="C5319" s="74" t="s">
        <v>8683</v>
      </c>
      <c r="D5319" s="74" t="s">
        <v>8684</v>
      </c>
      <c r="E5319" s="74"/>
      <c r="F5319" s="74">
        <v>0</v>
      </c>
      <c r="G5319" s="74"/>
      <c r="H5319" s="74"/>
      <c r="I5319" s="74" t="s">
        <v>391</v>
      </c>
      <c r="J5319" s="74"/>
      <c r="K5319" s="74"/>
      <c r="L5319" s="74"/>
      <c r="M5319" s="74"/>
      <c r="N5319" s="74" t="s">
        <v>397</v>
      </c>
      <c r="O5319" s="74" t="s">
        <v>393</v>
      </c>
      <c r="P5319" s="74" t="s">
        <v>8685</v>
      </c>
      <c r="Q5319" s="74" t="s">
        <v>8686</v>
      </c>
    </row>
    <row r="5320" spans="3:17" x14ac:dyDescent="0.25">
      <c r="C5320" s="74" t="s">
        <v>8696</v>
      </c>
      <c r="D5320" s="74" t="s">
        <v>8697</v>
      </c>
      <c r="E5320" s="74" t="s">
        <v>391</v>
      </c>
      <c r="F5320" s="74">
        <v>0</v>
      </c>
      <c r="G5320" s="74"/>
      <c r="H5320" s="74"/>
      <c r="I5320" s="74" t="s">
        <v>391</v>
      </c>
      <c r="J5320" s="74"/>
      <c r="K5320" s="74"/>
      <c r="L5320" s="74"/>
      <c r="M5320" s="74"/>
      <c r="N5320" s="74" t="s">
        <v>397</v>
      </c>
      <c r="O5320" s="74" t="s">
        <v>393</v>
      </c>
      <c r="P5320" s="74"/>
      <c r="Q5320" s="74" t="s">
        <v>8698</v>
      </c>
    </row>
    <row r="5321" spans="3:17" x14ac:dyDescent="0.25">
      <c r="C5321" s="74" t="s">
        <v>8708</v>
      </c>
      <c r="D5321" s="74" t="s">
        <v>8709</v>
      </c>
      <c r="E5321" s="74" t="s">
        <v>391</v>
      </c>
      <c r="F5321" s="74">
        <v>0</v>
      </c>
      <c r="G5321" s="74"/>
      <c r="H5321" s="74"/>
      <c r="I5321" s="74" t="s">
        <v>391</v>
      </c>
      <c r="J5321" s="74"/>
      <c r="K5321" s="74">
        <v>102.4</v>
      </c>
      <c r="L5321" s="74">
        <v>92.16</v>
      </c>
      <c r="M5321" s="74"/>
      <c r="N5321" s="74" t="s">
        <v>392</v>
      </c>
      <c r="O5321" s="74" t="s">
        <v>393</v>
      </c>
      <c r="P5321" s="74"/>
      <c r="Q5321" s="74" t="s">
        <v>8710</v>
      </c>
    </row>
    <row r="5322" spans="3:17" x14ac:dyDescent="0.25">
      <c r="C5322" s="74" t="s">
        <v>8730</v>
      </c>
      <c r="D5322" s="74" t="s">
        <v>8731</v>
      </c>
      <c r="E5322" s="74" t="s">
        <v>391</v>
      </c>
      <c r="F5322" s="74">
        <v>0</v>
      </c>
      <c r="G5322" s="74"/>
      <c r="H5322" s="74"/>
      <c r="I5322" s="74" t="s">
        <v>391</v>
      </c>
      <c r="J5322" s="74"/>
      <c r="K5322" s="74">
        <v>102.4</v>
      </c>
      <c r="L5322" s="74">
        <v>92.16</v>
      </c>
      <c r="M5322" s="74"/>
      <c r="N5322" s="74" t="s">
        <v>392</v>
      </c>
      <c r="O5322" s="74" t="s">
        <v>393</v>
      </c>
      <c r="P5322" s="74"/>
      <c r="Q5322" s="74" t="s">
        <v>8732</v>
      </c>
    </row>
    <row r="5323" spans="3:17" x14ac:dyDescent="0.25">
      <c r="C5323" s="74" t="s">
        <v>8733</v>
      </c>
      <c r="D5323" s="74" t="s">
        <v>8734</v>
      </c>
      <c r="E5323" s="74" t="s">
        <v>391</v>
      </c>
      <c r="F5323" s="74">
        <v>0</v>
      </c>
      <c r="G5323" s="74"/>
      <c r="H5323" s="74"/>
      <c r="I5323" s="74" t="s">
        <v>391</v>
      </c>
      <c r="J5323" s="74"/>
      <c r="K5323" s="74"/>
      <c r="L5323" s="74"/>
      <c r="M5323" s="74"/>
      <c r="N5323" s="74" t="s">
        <v>397</v>
      </c>
      <c r="O5323" s="74" t="s">
        <v>393</v>
      </c>
      <c r="P5323" s="74" t="s">
        <v>8735</v>
      </c>
      <c r="Q5323" s="74" t="s">
        <v>8736</v>
      </c>
    </row>
    <row r="5324" spans="3:17" x14ac:dyDescent="0.25">
      <c r="C5324" s="74" t="s">
        <v>8740</v>
      </c>
      <c r="D5324" s="74" t="s">
        <v>8741</v>
      </c>
      <c r="E5324" s="74" t="s">
        <v>391</v>
      </c>
      <c r="F5324" s="74">
        <v>0</v>
      </c>
      <c r="G5324" s="74"/>
      <c r="H5324" s="74"/>
      <c r="I5324" s="74" t="s">
        <v>391</v>
      </c>
      <c r="J5324" s="74"/>
      <c r="K5324" s="74"/>
      <c r="L5324" s="74"/>
      <c r="M5324" s="74"/>
      <c r="N5324" s="74" t="s">
        <v>397</v>
      </c>
      <c r="O5324" s="74" t="s">
        <v>393</v>
      </c>
      <c r="P5324" s="74" t="s">
        <v>8742</v>
      </c>
      <c r="Q5324" s="74" t="s">
        <v>8743</v>
      </c>
    </row>
    <row r="5325" spans="3:17" x14ac:dyDescent="0.25">
      <c r="C5325" s="74" t="s">
        <v>8773</v>
      </c>
      <c r="D5325" s="74" t="s">
        <v>8774</v>
      </c>
      <c r="E5325" s="74"/>
      <c r="F5325" s="74">
        <v>0</v>
      </c>
      <c r="G5325" s="74"/>
      <c r="H5325" s="74"/>
      <c r="I5325" s="74" t="s">
        <v>391</v>
      </c>
      <c r="J5325" s="74"/>
      <c r="K5325" s="74">
        <v>102.4</v>
      </c>
      <c r="L5325" s="74">
        <v>92.16</v>
      </c>
      <c r="M5325" s="74"/>
      <c r="N5325" s="74" t="s">
        <v>392</v>
      </c>
      <c r="O5325" s="74" t="s">
        <v>402</v>
      </c>
      <c r="P5325" s="74" t="s">
        <v>8775</v>
      </c>
      <c r="Q5325" s="74" t="s">
        <v>8776</v>
      </c>
    </row>
    <row r="5326" spans="3:17" x14ac:dyDescent="0.25">
      <c r="C5326" s="74" t="s">
        <v>8784</v>
      </c>
      <c r="D5326" s="74" t="s">
        <v>8785</v>
      </c>
      <c r="E5326" s="74" t="s">
        <v>391</v>
      </c>
      <c r="F5326" s="74">
        <v>0</v>
      </c>
      <c r="G5326" s="74"/>
      <c r="H5326" s="74"/>
      <c r="I5326" s="74" t="s">
        <v>391</v>
      </c>
      <c r="J5326" s="74"/>
      <c r="K5326" s="74"/>
      <c r="L5326" s="74"/>
      <c r="M5326" s="74"/>
      <c r="N5326" s="74" t="s">
        <v>397</v>
      </c>
      <c r="O5326" s="74" t="s">
        <v>393</v>
      </c>
      <c r="P5326" s="74" t="s">
        <v>8786</v>
      </c>
      <c r="Q5326" s="74" t="s">
        <v>8787</v>
      </c>
    </row>
    <row r="5327" spans="3:17" x14ac:dyDescent="0.25">
      <c r="C5327" s="74" t="s">
        <v>8809</v>
      </c>
      <c r="D5327" s="74" t="s">
        <v>8810</v>
      </c>
      <c r="E5327" s="74" t="s">
        <v>391</v>
      </c>
      <c r="F5327" s="74">
        <v>0</v>
      </c>
      <c r="G5327" s="74"/>
      <c r="H5327" s="74"/>
      <c r="I5327" s="74" t="s">
        <v>391</v>
      </c>
      <c r="J5327" s="74"/>
      <c r="K5327" s="74"/>
      <c r="L5327" s="74"/>
      <c r="M5327" s="74"/>
      <c r="N5327" s="74" t="s">
        <v>397</v>
      </c>
      <c r="O5327" s="74" t="s">
        <v>393</v>
      </c>
      <c r="P5327" s="74" t="s">
        <v>8811</v>
      </c>
      <c r="Q5327" s="74" t="s">
        <v>8812</v>
      </c>
    </row>
    <row r="5328" spans="3:17" x14ac:dyDescent="0.25">
      <c r="C5328" s="74" t="s">
        <v>8840</v>
      </c>
      <c r="D5328" s="74" t="s">
        <v>8841</v>
      </c>
      <c r="E5328" s="74" t="s">
        <v>391</v>
      </c>
      <c r="F5328" s="74">
        <v>0</v>
      </c>
      <c r="G5328" s="74"/>
      <c r="H5328" s="74"/>
      <c r="I5328" s="74" t="s">
        <v>391</v>
      </c>
      <c r="J5328" s="74"/>
      <c r="K5328" s="74"/>
      <c r="L5328" s="74"/>
      <c r="M5328" s="74"/>
      <c r="N5328" s="74" t="s">
        <v>397</v>
      </c>
      <c r="O5328" s="74" t="s">
        <v>393</v>
      </c>
      <c r="P5328" s="74" t="s">
        <v>8842</v>
      </c>
      <c r="Q5328" s="74" t="s">
        <v>8843</v>
      </c>
    </row>
    <row r="5329" spans="3:17" x14ac:dyDescent="0.25">
      <c r="C5329" s="74" t="s">
        <v>8850</v>
      </c>
      <c r="D5329" s="74" t="s">
        <v>8851</v>
      </c>
      <c r="E5329" s="74" t="s">
        <v>391</v>
      </c>
      <c r="F5329" s="74">
        <v>0</v>
      </c>
      <c r="G5329" s="74"/>
      <c r="H5329" s="74"/>
      <c r="I5329" s="74" t="s">
        <v>391</v>
      </c>
      <c r="J5329" s="74"/>
      <c r="K5329" s="74">
        <v>102.4</v>
      </c>
      <c r="L5329" s="74">
        <v>92.16</v>
      </c>
      <c r="M5329" s="74"/>
      <c r="N5329" s="74" t="s">
        <v>392</v>
      </c>
      <c r="O5329" s="74" t="s">
        <v>393</v>
      </c>
      <c r="P5329" s="74"/>
      <c r="Q5329" s="74" t="s">
        <v>8852</v>
      </c>
    </row>
    <row r="5330" spans="3:17" x14ac:dyDescent="0.25">
      <c r="C5330" s="74" t="s">
        <v>8856</v>
      </c>
      <c r="D5330" s="74" t="s">
        <v>8857</v>
      </c>
      <c r="E5330" s="74" t="s">
        <v>391</v>
      </c>
      <c r="F5330" s="74">
        <v>0</v>
      </c>
      <c r="G5330" s="74"/>
      <c r="H5330" s="74"/>
      <c r="I5330" s="74" t="s">
        <v>391</v>
      </c>
      <c r="J5330" s="74"/>
      <c r="K5330" s="74"/>
      <c r="L5330" s="74"/>
      <c r="M5330" s="74"/>
      <c r="N5330" s="74" t="s">
        <v>397</v>
      </c>
      <c r="O5330" s="74" t="s">
        <v>393</v>
      </c>
      <c r="P5330" s="74" t="s">
        <v>8858</v>
      </c>
      <c r="Q5330" s="74" t="s">
        <v>8859</v>
      </c>
    </row>
    <row r="5331" spans="3:17" x14ac:dyDescent="0.25">
      <c r="C5331" s="74" t="s">
        <v>8868</v>
      </c>
      <c r="D5331" s="74" t="s">
        <v>8869</v>
      </c>
      <c r="E5331" s="74" t="s">
        <v>391</v>
      </c>
      <c r="F5331" s="74">
        <v>0</v>
      </c>
      <c r="G5331" s="74"/>
      <c r="H5331" s="74"/>
      <c r="I5331" s="74" t="s">
        <v>391</v>
      </c>
      <c r="J5331" s="74"/>
      <c r="K5331" s="74"/>
      <c r="L5331" s="74"/>
      <c r="M5331" s="74"/>
      <c r="N5331" s="74" t="s">
        <v>397</v>
      </c>
      <c r="O5331" s="74" t="s">
        <v>393</v>
      </c>
      <c r="P5331" s="74" t="s">
        <v>8870</v>
      </c>
      <c r="Q5331" s="74" t="s">
        <v>8871</v>
      </c>
    </row>
    <row r="5332" spans="3:17" x14ac:dyDescent="0.25">
      <c r="C5332" s="74" t="s">
        <v>8896</v>
      </c>
      <c r="D5332" s="74" t="s">
        <v>8897</v>
      </c>
      <c r="E5332" s="74" t="s">
        <v>391</v>
      </c>
      <c r="F5332" s="74">
        <v>0</v>
      </c>
      <c r="G5332" s="74"/>
      <c r="H5332" s="74"/>
      <c r="I5332" s="74" t="s">
        <v>391</v>
      </c>
      <c r="J5332" s="74"/>
      <c r="K5332" s="74"/>
      <c r="L5332" s="74"/>
      <c r="M5332" s="74"/>
      <c r="N5332" s="74" t="s">
        <v>397</v>
      </c>
      <c r="O5332" s="74" t="s">
        <v>393</v>
      </c>
      <c r="P5332" s="74" t="s">
        <v>8898</v>
      </c>
      <c r="Q5332" s="74" t="s">
        <v>8899</v>
      </c>
    </row>
    <row r="5333" spans="3:17" x14ac:dyDescent="0.25">
      <c r="C5333" s="74" t="s">
        <v>8900</v>
      </c>
      <c r="D5333" s="74" t="s">
        <v>8901</v>
      </c>
      <c r="E5333" s="74" t="s">
        <v>391</v>
      </c>
      <c r="F5333" s="74">
        <v>0</v>
      </c>
      <c r="G5333" s="74"/>
      <c r="H5333" s="74"/>
      <c r="I5333" s="74" t="s">
        <v>391</v>
      </c>
      <c r="J5333" s="74"/>
      <c r="K5333" s="74">
        <v>102.4</v>
      </c>
      <c r="L5333" s="74">
        <v>92.16</v>
      </c>
      <c r="M5333" s="74"/>
      <c r="N5333" s="74" t="s">
        <v>392</v>
      </c>
      <c r="O5333" s="74" t="s">
        <v>393</v>
      </c>
      <c r="P5333" s="74"/>
      <c r="Q5333" s="74" t="s">
        <v>8902</v>
      </c>
    </row>
    <row r="5334" spans="3:17" x14ac:dyDescent="0.25">
      <c r="C5334" s="74" t="s">
        <v>8923</v>
      </c>
      <c r="D5334" s="74" t="s">
        <v>8924</v>
      </c>
      <c r="E5334" s="74"/>
      <c r="F5334" s="74">
        <v>0</v>
      </c>
      <c r="G5334" s="74"/>
      <c r="H5334" s="74"/>
      <c r="I5334" s="74" t="s">
        <v>391</v>
      </c>
      <c r="J5334" s="74"/>
      <c r="K5334" s="74"/>
      <c r="L5334" s="74"/>
      <c r="M5334" s="74"/>
      <c r="N5334" s="74" t="s">
        <v>397</v>
      </c>
      <c r="O5334" s="74" t="s">
        <v>402</v>
      </c>
      <c r="P5334" s="74"/>
      <c r="Q5334" s="74" t="s">
        <v>8925</v>
      </c>
    </row>
    <row r="5335" spans="3:17" x14ac:dyDescent="0.25">
      <c r="C5335" s="74" t="s">
        <v>9028</v>
      </c>
      <c r="D5335" s="74" t="s">
        <v>9029</v>
      </c>
      <c r="E5335" s="74" t="s">
        <v>391</v>
      </c>
      <c r="F5335" s="74">
        <v>0</v>
      </c>
      <c r="G5335" s="74"/>
      <c r="H5335" s="74"/>
      <c r="I5335" s="74" t="s">
        <v>391</v>
      </c>
      <c r="J5335" s="74"/>
      <c r="K5335" s="74"/>
      <c r="L5335" s="74"/>
      <c r="M5335" s="74"/>
      <c r="N5335" s="74" t="s">
        <v>397</v>
      </c>
      <c r="O5335" s="74" t="s">
        <v>393</v>
      </c>
      <c r="P5335" s="74"/>
      <c r="Q5335" s="74" t="s">
        <v>9030</v>
      </c>
    </row>
    <row r="5336" spans="3:17" x14ac:dyDescent="0.25">
      <c r="C5336" s="74" t="s">
        <v>9061</v>
      </c>
      <c r="D5336" s="74" t="s">
        <v>9062</v>
      </c>
      <c r="E5336" s="74" t="s">
        <v>391</v>
      </c>
      <c r="F5336" s="74">
        <v>0</v>
      </c>
      <c r="G5336" s="74"/>
      <c r="H5336" s="74"/>
      <c r="I5336" s="74" t="s">
        <v>391</v>
      </c>
      <c r="J5336" s="74"/>
      <c r="K5336" s="74"/>
      <c r="L5336" s="74"/>
      <c r="M5336" s="74"/>
      <c r="N5336" s="74" t="s">
        <v>397</v>
      </c>
      <c r="O5336" s="74" t="s">
        <v>393</v>
      </c>
      <c r="P5336" s="74" t="s">
        <v>9063</v>
      </c>
      <c r="Q5336" s="74" t="s">
        <v>9064</v>
      </c>
    </row>
    <row r="5337" spans="3:17" x14ac:dyDescent="0.25">
      <c r="C5337" s="74" t="s">
        <v>9073</v>
      </c>
      <c r="D5337" s="74" t="s">
        <v>9074</v>
      </c>
      <c r="E5337" s="74"/>
      <c r="F5337" s="74">
        <v>0</v>
      </c>
      <c r="G5337" s="74"/>
      <c r="H5337" s="74"/>
      <c r="I5337" s="74" t="s">
        <v>391</v>
      </c>
      <c r="J5337" s="74"/>
      <c r="K5337" s="74"/>
      <c r="L5337" s="74"/>
      <c r="M5337" s="74"/>
      <c r="N5337" s="74" t="s">
        <v>397</v>
      </c>
      <c r="O5337" s="74" t="s">
        <v>535</v>
      </c>
      <c r="P5337" s="74" t="s">
        <v>9075</v>
      </c>
      <c r="Q5337" s="74" t="s">
        <v>9076</v>
      </c>
    </row>
    <row r="5338" spans="3:17" x14ac:dyDescent="0.25">
      <c r="C5338" s="74" t="s">
        <v>9081</v>
      </c>
      <c r="D5338" s="74" t="s">
        <v>9082</v>
      </c>
      <c r="E5338" s="74"/>
      <c r="F5338" s="74">
        <v>0</v>
      </c>
      <c r="G5338" s="74"/>
      <c r="H5338" s="74"/>
      <c r="I5338" s="74" t="s">
        <v>391</v>
      </c>
      <c r="J5338" s="74"/>
      <c r="K5338" s="74"/>
      <c r="L5338" s="74"/>
      <c r="M5338" s="74"/>
      <c r="N5338" s="74" t="s">
        <v>397</v>
      </c>
      <c r="O5338" s="74" t="s">
        <v>535</v>
      </c>
      <c r="P5338" s="74" t="s">
        <v>9083</v>
      </c>
      <c r="Q5338" s="74" t="s">
        <v>9084</v>
      </c>
    </row>
    <row r="5339" spans="3:17" x14ac:dyDescent="0.25">
      <c r="C5339" s="74" t="s">
        <v>9092</v>
      </c>
      <c r="D5339" s="74" t="s">
        <v>9093</v>
      </c>
      <c r="E5339" s="74" t="s">
        <v>391</v>
      </c>
      <c r="F5339" s="74">
        <v>0</v>
      </c>
      <c r="G5339" s="74"/>
      <c r="H5339" s="74"/>
      <c r="I5339" s="74" t="s">
        <v>391</v>
      </c>
      <c r="J5339" s="74"/>
      <c r="K5339" s="74"/>
      <c r="L5339" s="74"/>
      <c r="M5339" s="74"/>
      <c r="N5339" s="74" t="s">
        <v>397</v>
      </c>
      <c r="O5339" s="74" t="s">
        <v>393</v>
      </c>
      <c r="P5339" s="74" t="s">
        <v>9094</v>
      </c>
      <c r="Q5339" s="74" t="s">
        <v>9095</v>
      </c>
    </row>
    <row r="5340" spans="3:17" x14ac:dyDescent="0.25">
      <c r="C5340" s="158" t="s">
        <v>9100</v>
      </c>
      <c r="D5340" s="158" t="s">
        <v>9101</v>
      </c>
      <c r="F5340" s="158">
        <v>0</v>
      </c>
      <c r="I5340" s="158" t="s">
        <v>391</v>
      </c>
      <c r="N5340" s="158" t="s">
        <v>397</v>
      </c>
      <c r="O5340" s="158" t="s">
        <v>535</v>
      </c>
      <c r="P5340" s="158" t="s">
        <v>9102</v>
      </c>
      <c r="Q5340" s="158" t="s">
        <v>9101</v>
      </c>
    </row>
    <row r="5341" spans="3:17" x14ac:dyDescent="0.25">
      <c r="C5341" s="74" t="s">
        <v>9107</v>
      </c>
      <c r="D5341" s="74" t="s">
        <v>9108</v>
      </c>
      <c r="E5341" s="74"/>
      <c r="F5341" s="74">
        <v>0</v>
      </c>
      <c r="G5341" s="74"/>
      <c r="H5341" s="74"/>
      <c r="I5341" s="74" t="s">
        <v>391</v>
      </c>
      <c r="J5341" s="74"/>
      <c r="K5341" s="74">
        <v>102.4</v>
      </c>
      <c r="L5341" s="74">
        <v>92.16</v>
      </c>
      <c r="M5341" s="74"/>
      <c r="N5341" s="74" t="s">
        <v>392</v>
      </c>
      <c r="O5341" s="74" t="s">
        <v>402</v>
      </c>
      <c r="P5341" s="74" t="s">
        <v>9109</v>
      </c>
      <c r="Q5341" s="74" t="s">
        <v>9110</v>
      </c>
    </row>
    <row r="5342" spans="3:17" x14ac:dyDescent="0.25">
      <c r="C5342" s="74" t="s">
        <v>9121</v>
      </c>
      <c r="D5342" s="74" t="s">
        <v>9122</v>
      </c>
      <c r="E5342" s="74" t="s">
        <v>391</v>
      </c>
      <c r="F5342" s="74">
        <v>0</v>
      </c>
      <c r="G5342" s="74"/>
      <c r="H5342" s="74"/>
      <c r="I5342" s="74" t="s">
        <v>391</v>
      </c>
      <c r="J5342" s="74"/>
      <c r="K5342" s="74"/>
      <c r="L5342" s="74"/>
      <c r="M5342" s="74"/>
      <c r="N5342" s="74" t="s">
        <v>397</v>
      </c>
      <c r="O5342" s="74" t="s">
        <v>393</v>
      </c>
      <c r="P5342" s="74" t="s">
        <v>9123</v>
      </c>
      <c r="Q5342" s="74" t="s">
        <v>9124</v>
      </c>
    </row>
    <row r="5343" spans="3:17" x14ac:dyDescent="0.25">
      <c r="C5343" s="74" t="s">
        <v>9125</v>
      </c>
      <c r="D5343" s="74" t="s">
        <v>9126</v>
      </c>
      <c r="E5343" s="74"/>
      <c r="F5343" s="74">
        <v>0</v>
      </c>
      <c r="G5343" s="74"/>
      <c r="H5343" s="74"/>
      <c r="I5343" s="74" t="s">
        <v>391</v>
      </c>
      <c r="J5343" s="74"/>
      <c r="K5343" s="74"/>
      <c r="L5343" s="74"/>
      <c r="M5343" s="74"/>
      <c r="N5343" s="74" t="s">
        <v>397</v>
      </c>
      <c r="O5343" s="74" t="s">
        <v>393</v>
      </c>
      <c r="P5343" s="74" t="s">
        <v>9127</v>
      </c>
      <c r="Q5343" s="74" t="s">
        <v>9128</v>
      </c>
    </row>
    <row r="5344" spans="3:17" x14ac:dyDescent="0.25">
      <c r="C5344" s="74" t="s">
        <v>9136</v>
      </c>
      <c r="D5344" s="74" t="s">
        <v>9137</v>
      </c>
      <c r="E5344" s="74" t="s">
        <v>391</v>
      </c>
      <c r="F5344" s="74">
        <v>0</v>
      </c>
      <c r="G5344" s="74"/>
      <c r="H5344" s="74"/>
      <c r="I5344" s="74" t="s">
        <v>391</v>
      </c>
      <c r="J5344" s="74"/>
      <c r="K5344" s="74"/>
      <c r="L5344" s="74"/>
      <c r="M5344" s="74"/>
      <c r="N5344" s="74" t="s">
        <v>397</v>
      </c>
      <c r="O5344" s="74" t="s">
        <v>393</v>
      </c>
      <c r="P5344" s="74" t="s">
        <v>9138</v>
      </c>
      <c r="Q5344" s="74" t="s">
        <v>9139</v>
      </c>
    </row>
    <row r="5345" spans="3:17" x14ac:dyDescent="0.25">
      <c r="C5345" s="74" t="s">
        <v>9150</v>
      </c>
      <c r="D5345" s="74" t="s">
        <v>9151</v>
      </c>
      <c r="E5345" s="74" t="s">
        <v>391</v>
      </c>
      <c r="F5345" s="74">
        <v>0</v>
      </c>
      <c r="G5345" s="74"/>
      <c r="H5345" s="74"/>
      <c r="I5345" s="74" t="s">
        <v>391</v>
      </c>
      <c r="J5345" s="74"/>
      <c r="K5345" s="74"/>
      <c r="L5345" s="74"/>
      <c r="M5345" s="74"/>
      <c r="N5345" s="74" t="s">
        <v>397</v>
      </c>
      <c r="O5345" s="74" t="s">
        <v>393</v>
      </c>
      <c r="P5345" s="74"/>
      <c r="Q5345" s="74" t="s">
        <v>9152</v>
      </c>
    </row>
    <row r="5346" spans="3:17" x14ac:dyDescent="0.25">
      <c r="C5346" s="74" t="s">
        <v>9159</v>
      </c>
      <c r="D5346" s="74" t="s">
        <v>9160</v>
      </c>
      <c r="E5346" s="74" t="s">
        <v>391</v>
      </c>
      <c r="F5346" s="74">
        <v>0</v>
      </c>
      <c r="G5346" s="74"/>
      <c r="H5346" s="74"/>
      <c r="I5346" s="74" t="s">
        <v>391</v>
      </c>
      <c r="J5346" s="74"/>
      <c r="K5346" s="74"/>
      <c r="L5346" s="74"/>
      <c r="M5346" s="74"/>
      <c r="N5346" s="74" t="s">
        <v>397</v>
      </c>
      <c r="O5346" s="74" t="s">
        <v>402</v>
      </c>
      <c r="P5346" s="74" t="s">
        <v>9161</v>
      </c>
      <c r="Q5346" s="74" t="s">
        <v>9162</v>
      </c>
    </row>
    <row r="5347" spans="3:17" x14ac:dyDescent="0.25">
      <c r="C5347" s="74" t="s">
        <v>9163</v>
      </c>
      <c r="D5347" s="74" t="s">
        <v>9164</v>
      </c>
      <c r="E5347" s="74" t="s">
        <v>391</v>
      </c>
      <c r="F5347" s="74">
        <v>0</v>
      </c>
      <c r="G5347" s="74"/>
      <c r="H5347" s="74"/>
      <c r="I5347" s="74" t="s">
        <v>391</v>
      </c>
      <c r="J5347" s="74"/>
      <c r="K5347" s="74"/>
      <c r="L5347" s="74"/>
      <c r="M5347" s="74"/>
      <c r="N5347" s="74" t="s">
        <v>397</v>
      </c>
      <c r="O5347" s="74" t="s">
        <v>393</v>
      </c>
      <c r="P5347" s="74" t="s">
        <v>9165</v>
      </c>
      <c r="Q5347" s="74" t="s">
        <v>9166</v>
      </c>
    </row>
    <row r="5348" spans="3:17" x14ac:dyDescent="0.25">
      <c r="C5348" s="74" t="s">
        <v>9182</v>
      </c>
      <c r="D5348" s="74" t="s">
        <v>9183</v>
      </c>
      <c r="E5348" s="74" t="s">
        <v>391</v>
      </c>
      <c r="F5348" s="74">
        <v>0</v>
      </c>
      <c r="G5348" s="74"/>
      <c r="H5348" s="74"/>
      <c r="I5348" s="74" t="s">
        <v>391</v>
      </c>
      <c r="J5348" s="74"/>
      <c r="K5348" s="74">
        <v>102.4</v>
      </c>
      <c r="L5348" s="74">
        <v>92.16</v>
      </c>
      <c r="M5348" s="74"/>
      <c r="N5348" s="74" t="s">
        <v>392</v>
      </c>
      <c r="O5348" s="74" t="s">
        <v>393</v>
      </c>
      <c r="P5348" s="74"/>
      <c r="Q5348" s="74" t="s">
        <v>9184</v>
      </c>
    </row>
    <row r="5349" spans="3:17" x14ac:dyDescent="0.25">
      <c r="C5349" s="74" t="s">
        <v>9192</v>
      </c>
      <c r="D5349" s="74" t="s">
        <v>9193</v>
      </c>
      <c r="E5349" s="74" t="s">
        <v>391</v>
      </c>
      <c r="F5349" s="74">
        <v>0</v>
      </c>
      <c r="G5349" s="74"/>
      <c r="H5349" s="74"/>
      <c r="I5349" s="74" t="s">
        <v>391</v>
      </c>
      <c r="J5349" s="74"/>
      <c r="K5349" s="74"/>
      <c r="L5349" s="74"/>
      <c r="M5349" s="74"/>
      <c r="N5349" s="74" t="s">
        <v>397</v>
      </c>
      <c r="O5349" s="74" t="s">
        <v>393</v>
      </c>
      <c r="P5349" s="74" t="s">
        <v>9194</v>
      </c>
      <c r="Q5349" s="74" t="s">
        <v>9195</v>
      </c>
    </row>
    <row r="5350" spans="3:17" x14ac:dyDescent="0.25">
      <c r="C5350" s="74" t="s">
        <v>9235</v>
      </c>
      <c r="D5350" s="74" t="s">
        <v>9236</v>
      </c>
      <c r="E5350" s="74" t="s">
        <v>391</v>
      </c>
      <c r="F5350" s="74">
        <v>0</v>
      </c>
      <c r="G5350" s="74"/>
      <c r="H5350" s="74"/>
      <c r="I5350" s="74" t="s">
        <v>391</v>
      </c>
      <c r="J5350" s="74"/>
      <c r="K5350" s="74">
        <v>102.4</v>
      </c>
      <c r="L5350" s="74">
        <v>92.16</v>
      </c>
      <c r="M5350" s="74"/>
      <c r="N5350" s="74" t="s">
        <v>392</v>
      </c>
      <c r="O5350" s="74" t="s">
        <v>393</v>
      </c>
      <c r="P5350" s="74"/>
      <c r="Q5350" s="74" t="s">
        <v>9237</v>
      </c>
    </row>
    <row r="5351" spans="3:17" x14ac:dyDescent="0.25">
      <c r="C5351" s="74" t="s">
        <v>9258</v>
      </c>
      <c r="D5351" s="74" t="s">
        <v>9259</v>
      </c>
      <c r="E5351" s="74" t="s">
        <v>391</v>
      </c>
      <c r="F5351" s="74">
        <v>0</v>
      </c>
      <c r="G5351" s="74"/>
      <c r="H5351" s="74"/>
      <c r="I5351" s="74" t="s">
        <v>391</v>
      </c>
      <c r="J5351" s="74"/>
      <c r="K5351" s="74"/>
      <c r="L5351" s="74"/>
      <c r="M5351" s="74"/>
      <c r="N5351" s="74" t="s">
        <v>397</v>
      </c>
      <c r="O5351" s="74" t="s">
        <v>393</v>
      </c>
      <c r="P5351" s="74" t="s">
        <v>9260</v>
      </c>
      <c r="Q5351" s="74" t="s">
        <v>9261</v>
      </c>
    </row>
    <row r="5352" spans="3:17" x14ac:dyDescent="0.25">
      <c r="C5352" s="74" t="s">
        <v>9288</v>
      </c>
      <c r="D5352" s="74" t="s">
        <v>8368</v>
      </c>
      <c r="E5352" s="74" t="s">
        <v>391</v>
      </c>
      <c r="F5352" s="74">
        <v>0</v>
      </c>
      <c r="G5352" s="74"/>
      <c r="H5352" s="74"/>
      <c r="I5352" s="74" t="s">
        <v>391</v>
      </c>
      <c r="J5352" s="74"/>
      <c r="K5352" s="74"/>
      <c r="L5352" s="74"/>
      <c r="M5352" s="74"/>
      <c r="N5352" s="74" t="s">
        <v>397</v>
      </c>
      <c r="O5352" s="74" t="s">
        <v>393</v>
      </c>
      <c r="P5352" s="74" t="s">
        <v>9289</v>
      </c>
      <c r="Q5352" s="74" t="s">
        <v>9290</v>
      </c>
    </row>
    <row r="5353" spans="3:17" x14ac:dyDescent="0.25">
      <c r="C5353" s="74" t="s">
        <v>9323</v>
      </c>
      <c r="D5353" s="74" t="s">
        <v>9324</v>
      </c>
      <c r="E5353" s="74" t="s">
        <v>391</v>
      </c>
      <c r="F5353" s="74">
        <v>0</v>
      </c>
      <c r="G5353" s="74"/>
      <c r="H5353" s="74"/>
      <c r="I5353" s="74" t="s">
        <v>391</v>
      </c>
      <c r="J5353" s="74"/>
      <c r="K5353" s="74"/>
      <c r="L5353" s="74"/>
      <c r="M5353" s="74"/>
      <c r="N5353" s="74" t="s">
        <v>397</v>
      </c>
      <c r="O5353" s="74" t="s">
        <v>393</v>
      </c>
      <c r="P5353" s="74" t="s">
        <v>9325</v>
      </c>
      <c r="Q5353" s="74" t="s">
        <v>9326</v>
      </c>
    </row>
    <row r="5354" spans="3:17" x14ac:dyDescent="0.25">
      <c r="C5354" s="74" t="s">
        <v>9331</v>
      </c>
      <c r="D5354" s="74" t="s">
        <v>9332</v>
      </c>
      <c r="E5354" s="74" t="s">
        <v>391</v>
      </c>
      <c r="F5354" s="74">
        <v>0</v>
      </c>
      <c r="G5354" s="74"/>
      <c r="H5354" s="74"/>
      <c r="I5354" s="74" t="s">
        <v>391</v>
      </c>
      <c r="J5354" s="74"/>
      <c r="K5354" s="74"/>
      <c r="L5354" s="74"/>
      <c r="M5354" s="74"/>
      <c r="N5354" s="74" t="s">
        <v>397</v>
      </c>
      <c r="O5354" s="74" t="s">
        <v>393</v>
      </c>
      <c r="P5354" s="74" t="s">
        <v>9333</v>
      </c>
      <c r="Q5354" s="74" t="s">
        <v>9334</v>
      </c>
    </row>
    <row r="5355" spans="3:17" x14ac:dyDescent="0.25">
      <c r="C5355" s="74" t="s">
        <v>9355</v>
      </c>
      <c r="D5355" s="74" t="s">
        <v>9356</v>
      </c>
      <c r="E5355" s="74" t="s">
        <v>391</v>
      </c>
      <c r="F5355" s="74">
        <v>0</v>
      </c>
      <c r="G5355" s="74"/>
      <c r="H5355" s="74"/>
      <c r="I5355" s="74" t="s">
        <v>391</v>
      </c>
      <c r="J5355" s="74"/>
      <c r="K5355" s="74"/>
      <c r="L5355" s="74"/>
      <c r="M5355" s="74"/>
      <c r="N5355" s="74" t="s">
        <v>397</v>
      </c>
      <c r="O5355" s="74" t="s">
        <v>393</v>
      </c>
      <c r="P5355" s="74" t="s">
        <v>9357</v>
      </c>
      <c r="Q5355" s="74" t="s">
        <v>9358</v>
      </c>
    </row>
    <row r="5356" spans="3:17" x14ac:dyDescent="0.25">
      <c r="C5356" s="74" t="s">
        <v>9369</v>
      </c>
      <c r="D5356" s="74" t="s">
        <v>9370</v>
      </c>
      <c r="E5356" s="74" t="s">
        <v>391</v>
      </c>
      <c r="F5356" s="74">
        <v>0</v>
      </c>
      <c r="G5356" s="74"/>
      <c r="H5356" s="74"/>
      <c r="I5356" s="74" t="s">
        <v>391</v>
      </c>
      <c r="J5356" s="74"/>
      <c r="K5356" s="74">
        <v>102.4</v>
      </c>
      <c r="L5356" s="74">
        <v>92.16</v>
      </c>
      <c r="M5356" s="74"/>
      <c r="N5356" s="74" t="s">
        <v>392</v>
      </c>
      <c r="O5356" s="74" t="s">
        <v>393</v>
      </c>
      <c r="P5356" s="74"/>
      <c r="Q5356" s="74" t="s">
        <v>9371</v>
      </c>
    </row>
    <row r="5357" spans="3:17" x14ac:dyDescent="0.25">
      <c r="C5357" s="74" t="s">
        <v>9387</v>
      </c>
      <c r="D5357" s="74" t="s">
        <v>9388</v>
      </c>
      <c r="E5357" s="74"/>
      <c r="F5357" s="74">
        <v>0</v>
      </c>
      <c r="G5357" s="74"/>
      <c r="H5357" s="74"/>
      <c r="I5357" s="74" t="s">
        <v>391</v>
      </c>
      <c r="J5357" s="74"/>
      <c r="K5357" s="74"/>
      <c r="L5357" s="74"/>
      <c r="M5357" s="74"/>
      <c r="N5357" s="74" t="s">
        <v>397</v>
      </c>
      <c r="O5357" s="74" t="s">
        <v>535</v>
      </c>
      <c r="P5357" s="74" t="s">
        <v>9389</v>
      </c>
      <c r="Q5357" s="74" t="s">
        <v>9388</v>
      </c>
    </row>
    <row r="5358" spans="3:17" x14ac:dyDescent="0.25">
      <c r="C5358" s="74" t="s">
        <v>9394</v>
      </c>
      <c r="D5358" s="74" t="s">
        <v>9395</v>
      </c>
      <c r="E5358" s="74" t="s">
        <v>391</v>
      </c>
      <c r="F5358" s="74">
        <v>0</v>
      </c>
      <c r="G5358" s="74"/>
      <c r="H5358" s="74"/>
      <c r="I5358" s="74" t="s">
        <v>391</v>
      </c>
      <c r="J5358" s="74"/>
      <c r="K5358" s="74"/>
      <c r="L5358" s="74"/>
      <c r="M5358" s="74"/>
      <c r="N5358" s="74" t="s">
        <v>397</v>
      </c>
      <c r="O5358" s="74" t="s">
        <v>393</v>
      </c>
      <c r="P5358" s="74" t="s">
        <v>9396</v>
      </c>
      <c r="Q5358" s="74" t="s">
        <v>9397</v>
      </c>
    </row>
    <row r="5359" spans="3:17" x14ac:dyDescent="0.25">
      <c r="C5359" s="74" t="s">
        <v>9411</v>
      </c>
      <c r="D5359" s="74" t="s">
        <v>9412</v>
      </c>
      <c r="E5359" s="74" t="s">
        <v>391</v>
      </c>
      <c r="F5359" s="74">
        <v>0</v>
      </c>
      <c r="G5359" s="74"/>
      <c r="H5359" s="74"/>
      <c r="I5359" s="74" t="s">
        <v>391</v>
      </c>
      <c r="J5359" s="74"/>
      <c r="K5359" s="74">
        <v>102.4</v>
      </c>
      <c r="L5359" s="74">
        <v>92.16</v>
      </c>
      <c r="M5359" s="74"/>
      <c r="N5359" s="74" t="s">
        <v>392</v>
      </c>
      <c r="O5359" s="74" t="s">
        <v>393</v>
      </c>
      <c r="P5359" s="74"/>
      <c r="Q5359" s="74" t="s">
        <v>9413</v>
      </c>
    </row>
    <row r="5360" spans="3:17" x14ac:dyDescent="0.25">
      <c r="C5360" s="74" t="s">
        <v>9414</v>
      </c>
      <c r="D5360" s="74" t="s">
        <v>9415</v>
      </c>
      <c r="E5360" s="74" t="s">
        <v>391</v>
      </c>
      <c r="F5360" s="74">
        <v>0</v>
      </c>
      <c r="G5360" s="74"/>
      <c r="H5360" s="74"/>
      <c r="I5360" s="74" t="s">
        <v>391</v>
      </c>
      <c r="J5360" s="74"/>
      <c r="K5360" s="74">
        <v>102.4</v>
      </c>
      <c r="L5360" s="74">
        <v>92.16</v>
      </c>
      <c r="M5360" s="74"/>
      <c r="N5360" s="74" t="s">
        <v>392</v>
      </c>
      <c r="O5360" s="74" t="s">
        <v>393</v>
      </c>
      <c r="P5360" s="74"/>
      <c r="Q5360" s="74" t="s">
        <v>9416</v>
      </c>
    </row>
    <row r="5361" spans="3:17" x14ac:dyDescent="0.25">
      <c r="C5361" s="74" t="s">
        <v>9428</v>
      </c>
      <c r="D5361" s="74" t="s">
        <v>9429</v>
      </c>
      <c r="E5361" s="74" t="s">
        <v>391</v>
      </c>
      <c r="F5361" s="74">
        <v>0</v>
      </c>
      <c r="G5361" s="74"/>
      <c r="H5361" s="74"/>
      <c r="I5361" s="74" t="s">
        <v>391</v>
      </c>
      <c r="J5361" s="74"/>
      <c r="K5361" s="74"/>
      <c r="L5361" s="74"/>
      <c r="M5361" s="74"/>
      <c r="N5361" s="74" t="s">
        <v>397</v>
      </c>
      <c r="O5361" s="74" t="s">
        <v>393</v>
      </c>
      <c r="P5361" s="74" t="s">
        <v>9430</v>
      </c>
      <c r="Q5361" s="74" t="s">
        <v>9431</v>
      </c>
    </row>
    <row r="5362" spans="3:17" x14ac:dyDescent="0.25">
      <c r="C5362" s="74" t="s">
        <v>9444</v>
      </c>
      <c r="D5362" s="74" t="s">
        <v>9445</v>
      </c>
      <c r="E5362" s="74" t="s">
        <v>391</v>
      </c>
      <c r="F5362" s="74">
        <v>0</v>
      </c>
      <c r="G5362" s="74"/>
      <c r="H5362" s="74"/>
      <c r="I5362" s="74" t="s">
        <v>391</v>
      </c>
      <c r="J5362" s="74"/>
      <c r="K5362" s="74"/>
      <c r="L5362" s="74"/>
      <c r="M5362" s="74"/>
      <c r="N5362" s="74" t="s">
        <v>397</v>
      </c>
      <c r="O5362" s="74" t="s">
        <v>393</v>
      </c>
      <c r="P5362" s="74" t="s">
        <v>9446</v>
      </c>
      <c r="Q5362" s="74" t="s">
        <v>9447</v>
      </c>
    </row>
    <row r="5363" spans="3:17" x14ac:dyDescent="0.25">
      <c r="C5363" s="74" t="s">
        <v>9497</v>
      </c>
      <c r="D5363" s="74" t="s">
        <v>9498</v>
      </c>
      <c r="E5363" s="74"/>
      <c r="F5363" s="74">
        <v>0</v>
      </c>
      <c r="G5363" s="74"/>
      <c r="H5363" s="74"/>
      <c r="I5363" s="74" t="s">
        <v>391</v>
      </c>
      <c r="J5363" s="74"/>
      <c r="K5363" s="74">
        <v>102.4</v>
      </c>
      <c r="L5363" s="74">
        <v>92.16</v>
      </c>
      <c r="M5363" s="74"/>
      <c r="N5363" s="74" t="s">
        <v>392</v>
      </c>
      <c r="O5363" s="74" t="s">
        <v>402</v>
      </c>
      <c r="P5363" s="74"/>
      <c r="Q5363" s="74" t="s">
        <v>9499</v>
      </c>
    </row>
    <row r="5364" spans="3:17" x14ac:dyDescent="0.25">
      <c r="C5364" s="74" t="s">
        <v>9508</v>
      </c>
      <c r="D5364" s="74" t="s">
        <v>9509</v>
      </c>
      <c r="E5364" s="74" t="s">
        <v>391</v>
      </c>
      <c r="F5364" s="74">
        <v>0</v>
      </c>
      <c r="G5364" s="74"/>
      <c r="H5364" s="74"/>
      <c r="I5364" s="74" t="s">
        <v>391</v>
      </c>
      <c r="J5364" s="74"/>
      <c r="K5364" s="74">
        <v>102.4</v>
      </c>
      <c r="L5364" s="74">
        <v>92.16</v>
      </c>
      <c r="M5364" s="74"/>
      <c r="N5364" s="74" t="s">
        <v>392</v>
      </c>
      <c r="O5364" s="74" t="s">
        <v>393</v>
      </c>
      <c r="P5364" s="74"/>
      <c r="Q5364" s="74" t="s">
        <v>9510</v>
      </c>
    </row>
    <row r="5365" spans="3:17" x14ac:dyDescent="0.25">
      <c r="C5365" s="74" t="s">
        <v>9514</v>
      </c>
      <c r="D5365" s="74" t="s">
        <v>9515</v>
      </c>
      <c r="E5365" s="74"/>
      <c r="F5365" s="74">
        <v>0</v>
      </c>
      <c r="G5365" s="74"/>
      <c r="H5365" s="74"/>
      <c r="I5365" s="74" t="s">
        <v>391</v>
      </c>
      <c r="J5365" s="74"/>
      <c r="K5365" s="74">
        <v>102.4</v>
      </c>
      <c r="L5365" s="74">
        <v>92.16</v>
      </c>
      <c r="M5365" s="74"/>
      <c r="N5365" s="74" t="s">
        <v>392</v>
      </c>
      <c r="O5365" s="74" t="s">
        <v>402</v>
      </c>
      <c r="P5365" s="74"/>
      <c r="Q5365" s="74" t="s">
        <v>9516</v>
      </c>
    </row>
    <row r="5366" spans="3:17" x14ac:dyDescent="0.25">
      <c r="C5366" s="74" t="s">
        <v>9517</v>
      </c>
      <c r="D5366" s="74" t="s">
        <v>9518</v>
      </c>
      <c r="E5366" s="74" t="s">
        <v>391</v>
      </c>
      <c r="F5366" s="74">
        <v>0</v>
      </c>
      <c r="G5366" s="74"/>
      <c r="H5366" s="74"/>
      <c r="I5366" s="74" t="s">
        <v>391</v>
      </c>
      <c r="J5366" s="74"/>
      <c r="K5366" s="74">
        <v>102.4</v>
      </c>
      <c r="L5366" s="74">
        <v>92.16</v>
      </c>
      <c r="M5366" s="74"/>
      <c r="N5366" s="74" t="s">
        <v>392</v>
      </c>
      <c r="O5366" s="74" t="s">
        <v>393</v>
      </c>
      <c r="P5366" s="74"/>
      <c r="Q5366" s="74" t="s">
        <v>9519</v>
      </c>
    </row>
    <row r="5367" spans="3:17" x14ac:dyDescent="0.25">
      <c r="C5367" s="74" t="s">
        <v>9523</v>
      </c>
      <c r="D5367" s="74" t="s">
        <v>9524</v>
      </c>
      <c r="E5367" s="74" t="s">
        <v>391</v>
      </c>
      <c r="F5367" s="74">
        <v>0</v>
      </c>
      <c r="G5367" s="74"/>
      <c r="H5367" s="74"/>
      <c r="I5367" s="74" t="s">
        <v>391</v>
      </c>
      <c r="J5367" s="74"/>
      <c r="K5367" s="74"/>
      <c r="L5367" s="74"/>
      <c r="M5367" s="74"/>
      <c r="N5367" s="74" t="s">
        <v>397</v>
      </c>
      <c r="O5367" s="74" t="s">
        <v>393</v>
      </c>
      <c r="P5367" s="74" t="s">
        <v>9525</v>
      </c>
      <c r="Q5367" s="74" t="s">
        <v>9526</v>
      </c>
    </row>
    <row r="5368" spans="3:17" x14ac:dyDescent="0.25">
      <c r="C5368" s="74" t="s">
        <v>9557</v>
      </c>
      <c r="D5368" s="74" t="s">
        <v>9558</v>
      </c>
      <c r="E5368" s="74" t="s">
        <v>391</v>
      </c>
      <c r="F5368" s="74">
        <v>0</v>
      </c>
      <c r="G5368" s="74"/>
      <c r="H5368" s="74"/>
      <c r="I5368" s="74" t="s">
        <v>391</v>
      </c>
      <c r="J5368" s="74"/>
      <c r="K5368" s="74"/>
      <c r="L5368" s="74"/>
      <c r="M5368" s="74"/>
      <c r="N5368" s="74" t="s">
        <v>397</v>
      </c>
      <c r="O5368" s="74" t="s">
        <v>393</v>
      </c>
      <c r="P5368" s="74" t="s">
        <v>9559</v>
      </c>
      <c r="Q5368" s="74" t="s">
        <v>9560</v>
      </c>
    </row>
    <row r="5369" spans="3:17" x14ac:dyDescent="0.25">
      <c r="C5369" s="74" t="s">
        <v>9573</v>
      </c>
      <c r="D5369" s="74" t="s">
        <v>9574</v>
      </c>
      <c r="E5369" s="74" t="s">
        <v>391</v>
      </c>
      <c r="F5369" s="74">
        <v>0</v>
      </c>
      <c r="G5369" s="74"/>
      <c r="H5369" s="74"/>
      <c r="I5369" s="74" t="s">
        <v>391</v>
      </c>
      <c r="J5369" s="74"/>
      <c r="K5369" s="74">
        <v>102.4</v>
      </c>
      <c r="L5369" s="74">
        <v>92.16</v>
      </c>
      <c r="M5369" s="74"/>
      <c r="N5369" s="74" t="s">
        <v>392</v>
      </c>
      <c r="O5369" s="74" t="s">
        <v>393</v>
      </c>
      <c r="P5369" s="74"/>
      <c r="Q5369" s="74" t="s">
        <v>9575</v>
      </c>
    </row>
    <row r="5370" spans="3:17" x14ac:dyDescent="0.25">
      <c r="C5370" s="74" t="s">
        <v>9594</v>
      </c>
      <c r="D5370" s="74" t="s">
        <v>9595</v>
      </c>
      <c r="E5370" s="74" t="s">
        <v>391</v>
      </c>
      <c r="F5370" s="74">
        <v>0</v>
      </c>
      <c r="G5370" s="74"/>
      <c r="H5370" s="74"/>
      <c r="I5370" s="74" t="s">
        <v>391</v>
      </c>
      <c r="J5370" s="74"/>
      <c r="K5370" s="74">
        <v>102.4</v>
      </c>
      <c r="L5370" s="74">
        <v>92.16</v>
      </c>
      <c r="M5370" s="74"/>
      <c r="N5370" s="74" t="s">
        <v>392</v>
      </c>
      <c r="O5370" s="74" t="s">
        <v>393</v>
      </c>
      <c r="P5370" s="74"/>
      <c r="Q5370" s="74" t="s">
        <v>9596</v>
      </c>
    </row>
    <row r="5371" spans="3:17" x14ac:dyDescent="0.25">
      <c r="C5371" s="74" t="s">
        <v>9597</v>
      </c>
      <c r="D5371" s="74" t="s">
        <v>9598</v>
      </c>
      <c r="E5371" s="74" t="s">
        <v>391</v>
      </c>
      <c r="F5371" s="74">
        <v>0</v>
      </c>
      <c r="G5371" s="74"/>
      <c r="H5371" s="74"/>
      <c r="I5371" s="74" t="s">
        <v>391</v>
      </c>
      <c r="J5371" s="74"/>
      <c r="K5371" s="74">
        <v>102.4</v>
      </c>
      <c r="L5371" s="74">
        <v>92.16</v>
      </c>
      <c r="M5371" s="74"/>
      <c r="N5371" s="74" t="s">
        <v>392</v>
      </c>
      <c r="O5371" s="74" t="s">
        <v>393</v>
      </c>
      <c r="P5371" s="74"/>
      <c r="Q5371" s="74" t="s">
        <v>9599</v>
      </c>
    </row>
    <row r="5372" spans="3:17" x14ac:dyDescent="0.25">
      <c r="C5372" s="74" t="s">
        <v>9689</v>
      </c>
      <c r="D5372" s="74" t="s">
        <v>9690</v>
      </c>
      <c r="E5372" s="74" t="s">
        <v>391</v>
      </c>
      <c r="F5372" s="74">
        <v>0</v>
      </c>
      <c r="G5372" s="74"/>
      <c r="H5372" s="74"/>
      <c r="I5372" s="74" t="s">
        <v>391</v>
      </c>
      <c r="J5372" s="74"/>
      <c r="K5372" s="74"/>
      <c r="L5372" s="74"/>
      <c r="M5372" s="74"/>
      <c r="N5372" s="74" t="s">
        <v>397</v>
      </c>
      <c r="O5372" s="74" t="s">
        <v>393</v>
      </c>
      <c r="P5372" s="74" t="s">
        <v>9691</v>
      </c>
      <c r="Q5372" s="74" t="s">
        <v>9692</v>
      </c>
    </row>
    <row r="5373" spans="3:17" x14ac:dyDescent="0.25">
      <c r="C5373" s="74" t="s">
        <v>9696</v>
      </c>
      <c r="D5373" s="74" t="s">
        <v>9697</v>
      </c>
      <c r="E5373" s="74" t="s">
        <v>391</v>
      </c>
      <c r="F5373" s="74">
        <v>0</v>
      </c>
      <c r="G5373" s="74"/>
      <c r="H5373" s="74"/>
      <c r="I5373" s="74" t="s">
        <v>391</v>
      </c>
      <c r="J5373" s="74"/>
      <c r="K5373" s="74"/>
      <c r="L5373" s="74"/>
      <c r="M5373" s="74"/>
      <c r="N5373" s="74" t="s">
        <v>397</v>
      </c>
      <c r="O5373" s="74" t="s">
        <v>402</v>
      </c>
      <c r="P5373" s="74" t="s">
        <v>9698</v>
      </c>
      <c r="Q5373" s="74" t="s">
        <v>9699</v>
      </c>
    </row>
    <row r="5374" spans="3:17" x14ac:dyDescent="0.25">
      <c r="C5374" s="74" t="s">
        <v>9704</v>
      </c>
      <c r="D5374" s="74" t="s">
        <v>9705</v>
      </c>
      <c r="E5374" s="74"/>
      <c r="F5374" s="74">
        <v>0</v>
      </c>
      <c r="G5374" s="74"/>
      <c r="H5374" s="74"/>
      <c r="I5374" s="74" t="s">
        <v>391</v>
      </c>
      <c r="J5374" s="74"/>
      <c r="K5374" s="74"/>
      <c r="L5374" s="74"/>
      <c r="M5374" s="74"/>
      <c r="N5374" s="74" t="s">
        <v>397</v>
      </c>
      <c r="O5374" s="74" t="s">
        <v>535</v>
      </c>
      <c r="P5374" s="74" t="s">
        <v>9706</v>
      </c>
      <c r="Q5374" s="74" t="s">
        <v>9707</v>
      </c>
    </row>
    <row r="5375" spans="3:17" x14ac:dyDescent="0.25">
      <c r="C5375" s="74" t="s">
        <v>9740</v>
      </c>
      <c r="D5375" s="74" t="s">
        <v>9741</v>
      </c>
      <c r="E5375" s="74" t="s">
        <v>391</v>
      </c>
      <c r="F5375" s="74">
        <v>0</v>
      </c>
      <c r="G5375" s="74"/>
      <c r="H5375" s="74"/>
      <c r="I5375" s="74" t="s">
        <v>391</v>
      </c>
      <c r="J5375" s="74"/>
      <c r="K5375" s="74">
        <v>102.4</v>
      </c>
      <c r="L5375" s="74">
        <v>92.16</v>
      </c>
      <c r="M5375" s="74"/>
      <c r="N5375" s="74" t="s">
        <v>392</v>
      </c>
      <c r="O5375" s="74" t="s">
        <v>393</v>
      </c>
      <c r="P5375" s="74"/>
      <c r="Q5375" s="74" t="s">
        <v>9742</v>
      </c>
    </row>
    <row r="5376" spans="3:17" x14ac:dyDescent="0.25">
      <c r="C5376" s="74" t="s">
        <v>9743</v>
      </c>
      <c r="D5376" s="74" t="s">
        <v>9744</v>
      </c>
      <c r="E5376" s="74" t="s">
        <v>391</v>
      </c>
      <c r="F5376" s="74">
        <v>0</v>
      </c>
      <c r="G5376" s="74"/>
      <c r="H5376" s="74"/>
      <c r="I5376" s="74" t="s">
        <v>391</v>
      </c>
      <c r="J5376" s="74"/>
      <c r="K5376" s="74"/>
      <c r="L5376" s="74"/>
      <c r="M5376" s="74"/>
      <c r="N5376" s="74" t="s">
        <v>397</v>
      </c>
      <c r="O5376" s="74" t="s">
        <v>393</v>
      </c>
      <c r="P5376" s="74" t="s">
        <v>9745</v>
      </c>
      <c r="Q5376" s="74" t="s">
        <v>9746</v>
      </c>
    </row>
    <row r="5377" spans="3:17" x14ac:dyDescent="0.25">
      <c r="C5377" s="74" t="s">
        <v>9771</v>
      </c>
      <c r="D5377" s="74" t="s">
        <v>9772</v>
      </c>
      <c r="E5377" s="74" t="s">
        <v>391</v>
      </c>
      <c r="F5377" s="74">
        <v>0</v>
      </c>
      <c r="G5377" s="74"/>
      <c r="H5377" s="74"/>
      <c r="I5377" s="74" t="s">
        <v>391</v>
      </c>
      <c r="J5377" s="74"/>
      <c r="K5377" s="74"/>
      <c r="L5377" s="74"/>
      <c r="M5377" s="74"/>
      <c r="N5377" s="74" t="s">
        <v>397</v>
      </c>
      <c r="O5377" s="74" t="s">
        <v>393</v>
      </c>
      <c r="P5377" s="74" t="s">
        <v>9773</v>
      </c>
      <c r="Q5377" s="74" t="s">
        <v>9774</v>
      </c>
    </row>
    <row r="5378" spans="3:17" x14ac:dyDescent="0.25">
      <c r="C5378" s="74" t="s">
        <v>9775</v>
      </c>
      <c r="D5378" s="74" t="s">
        <v>9776</v>
      </c>
      <c r="E5378" s="74" t="s">
        <v>391</v>
      </c>
      <c r="F5378" s="74">
        <v>0</v>
      </c>
      <c r="G5378" s="74"/>
      <c r="H5378" s="74"/>
      <c r="I5378" s="74" t="s">
        <v>391</v>
      </c>
      <c r="J5378" s="74"/>
      <c r="K5378" s="74"/>
      <c r="L5378" s="74"/>
      <c r="M5378" s="74"/>
      <c r="N5378" s="74" t="s">
        <v>397</v>
      </c>
      <c r="O5378" s="74" t="s">
        <v>393</v>
      </c>
      <c r="P5378" s="74" t="s">
        <v>9777</v>
      </c>
      <c r="Q5378" s="74" t="s">
        <v>9778</v>
      </c>
    </row>
    <row r="5379" spans="3:17" x14ac:dyDescent="0.25">
      <c r="C5379" s="74" t="s">
        <v>9782</v>
      </c>
      <c r="D5379" s="74" t="s">
        <v>9783</v>
      </c>
      <c r="E5379" s="74" t="s">
        <v>391</v>
      </c>
      <c r="F5379" s="74">
        <v>0</v>
      </c>
      <c r="G5379" s="74"/>
      <c r="H5379" s="74"/>
      <c r="I5379" s="74" t="s">
        <v>391</v>
      </c>
      <c r="J5379" s="74"/>
      <c r="K5379" s="74"/>
      <c r="L5379" s="74"/>
      <c r="M5379" s="74"/>
      <c r="N5379" s="74" t="s">
        <v>397</v>
      </c>
      <c r="O5379" s="74" t="s">
        <v>393</v>
      </c>
      <c r="P5379" s="74" t="s">
        <v>9784</v>
      </c>
      <c r="Q5379" s="74" t="s">
        <v>9785</v>
      </c>
    </row>
    <row r="5380" spans="3:17" x14ac:dyDescent="0.25">
      <c r="C5380" s="74" t="s">
        <v>9786</v>
      </c>
      <c r="D5380" s="74" t="s">
        <v>9787</v>
      </c>
      <c r="E5380" s="74" t="s">
        <v>391</v>
      </c>
      <c r="F5380" s="74">
        <v>0</v>
      </c>
      <c r="G5380" s="74"/>
      <c r="H5380" s="74"/>
      <c r="I5380" s="74" t="s">
        <v>391</v>
      </c>
      <c r="J5380" s="74"/>
      <c r="K5380" s="74"/>
      <c r="L5380" s="74"/>
      <c r="M5380" s="74"/>
      <c r="N5380" s="74" t="s">
        <v>397</v>
      </c>
      <c r="O5380" s="74" t="s">
        <v>393</v>
      </c>
      <c r="P5380" s="74" t="s">
        <v>9788</v>
      </c>
      <c r="Q5380" s="74" t="s">
        <v>9789</v>
      </c>
    </row>
    <row r="5381" spans="3:17" x14ac:dyDescent="0.25">
      <c r="C5381" s="74" t="s">
        <v>9810</v>
      </c>
      <c r="D5381" s="74" t="s">
        <v>9811</v>
      </c>
      <c r="E5381" s="74" t="s">
        <v>391</v>
      </c>
      <c r="F5381" s="74">
        <v>0</v>
      </c>
      <c r="G5381" s="74"/>
      <c r="H5381" s="74"/>
      <c r="I5381" s="74" t="s">
        <v>391</v>
      </c>
      <c r="J5381" s="74"/>
      <c r="K5381" s="74"/>
      <c r="L5381" s="74"/>
      <c r="M5381" s="74"/>
      <c r="N5381" s="74" t="s">
        <v>397</v>
      </c>
      <c r="O5381" s="74" t="s">
        <v>393</v>
      </c>
      <c r="P5381" s="74" t="s">
        <v>9812</v>
      </c>
      <c r="Q5381" s="74" t="s">
        <v>9813</v>
      </c>
    </row>
    <row r="5382" spans="3:17" x14ac:dyDescent="0.25">
      <c r="C5382" s="74" t="s">
        <v>9873</v>
      </c>
      <c r="D5382" s="74" t="s">
        <v>9874</v>
      </c>
      <c r="E5382" s="74" t="s">
        <v>391</v>
      </c>
      <c r="F5382" s="74">
        <v>0</v>
      </c>
      <c r="G5382" s="74"/>
      <c r="H5382" s="74"/>
      <c r="I5382" s="74" t="s">
        <v>391</v>
      </c>
      <c r="J5382" s="74"/>
      <c r="K5382" s="74"/>
      <c r="L5382" s="74"/>
      <c r="M5382" s="74"/>
      <c r="N5382" s="74" t="s">
        <v>397</v>
      </c>
      <c r="O5382" s="74" t="s">
        <v>393</v>
      </c>
      <c r="P5382" s="74" t="s">
        <v>9875</v>
      </c>
      <c r="Q5382" s="74" t="s">
        <v>9876</v>
      </c>
    </row>
    <row r="5383" spans="3:17" x14ac:dyDescent="0.25">
      <c r="C5383" s="74" t="s">
        <v>9889</v>
      </c>
      <c r="D5383" s="74" t="s">
        <v>9890</v>
      </c>
      <c r="E5383" s="74" t="s">
        <v>391</v>
      </c>
      <c r="F5383" s="74">
        <v>0</v>
      </c>
      <c r="G5383" s="74"/>
      <c r="H5383" s="74"/>
      <c r="I5383" s="74" t="s">
        <v>391</v>
      </c>
      <c r="J5383" s="74"/>
      <c r="K5383" s="74"/>
      <c r="L5383" s="74"/>
      <c r="M5383" s="74"/>
      <c r="N5383" s="74" t="s">
        <v>397</v>
      </c>
      <c r="O5383" s="74" t="s">
        <v>393</v>
      </c>
      <c r="P5383" s="74" t="s">
        <v>9891</v>
      </c>
      <c r="Q5383" s="74" t="s">
        <v>9892</v>
      </c>
    </row>
    <row r="5384" spans="3:17" x14ac:dyDescent="0.25">
      <c r="C5384" s="74" t="s">
        <v>9893</v>
      </c>
      <c r="D5384" s="74" t="s">
        <v>9894</v>
      </c>
      <c r="E5384" s="74"/>
      <c r="F5384" s="74">
        <v>0</v>
      </c>
      <c r="G5384" s="74"/>
      <c r="H5384" s="74"/>
      <c r="I5384" s="74" t="s">
        <v>391</v>
      </c>
      <c r="J5384" s="74"/>
      <c r="K5384" s="74">
        <v>102.4</v>
      </c>
      <c r="L5384" s="74">
        <v>92.16</v>
      </c>
      <c r="M5384" s="74"/>
      <c r="N5384" s="74" t="s">
        <v>392</v>
      </c>
      <c r="O5384" s="74" t="s">
        <v>402</v>
      </c>
      <c r="P5384" s="74" t="s">
        <v>9895</v>
      </c>
      <c r="Q5384" s="74" t="s">
        <v>9896</v>
      </c>
    </row>
    <row r="5385" spans="3:17" x14ac:dyDescent="0.25">
      <c r="C5385" s="74" t="s">
        <v>9947</v>
      </c>
      <c r="D5385" s="74" t="s">
        <v>9948</v>
      </c>
      <c r="E5385" s="74" t="s">
        <v>391</v>
      </c>
      <c r="F5385" s="74">
        <v>0</v>
      </c>
      <c r="G5385" s="74"/>
      <c r="H5385" s="74"/>
      <c r="I5385" s="74" t="s">
        <v>391</v>
      </c>
      <c r="J5385" s="74"/>
      <c r="K5385" s="74"/>
      <c r="L5385" s="74"/>
      <c r="M5385" s="74"/>
      <c r="N5385" s="74" t="s">
        <v>397</v>
      </c>
      <c r="O5385" s="74" t="s">
        <v>393</v>
      </c>
      <c r="P5385" s="74" t="s">
        <v>9949</v>
      </c>
      <c r="Q5385" s="74" t="s">
        <v>9950</v>
      </c>
    </row>
    <row r="5386" spans="3:17" x14ac:dyDescent="0.25">
      <c r="C5386" s="74" t="s">
        <v>9995</v>
      </c>
      <c r="D5386" s="74" t="s">
        <v>9996</v>
      </c>
      <c r="E5386" s="74" t="s">
        <v>391</v>
      </c>
      <c r="F5386" s="74">
        <v>0</v>
      </c>
      <c r="G5386" s="74"/>
      <c r="H5386" s="74"/>
      <c r="I5386" s="74" t="s">
        <v>391</v>
      </c>
      <c r="J5386" s="74"/>
      <c r="K5386" s="74"/>
      <c r="L5386" s="74"/>
      <c r="M5386" s="74"/>
      <c r="N5386" s="74" t="s">
        <v>397</v>
      </c>
      <c r="O5386" s="74" t="s">
        <v>393</v>
      </c>
      <c r="P5386" s="74" t="s">
        <v>9997</v>
      </c>
      <c r="Q5386" s="74" t="s">
        <v>9998</v>
      </c>
    </row>
    <row r="5387" spans="3:17" x14ac:dyDescent="0.25">
      <c r="C5387" s="74" t="s">
        <v>10010</v>
      </c>
      <c r="D5387" s="74" t="s">
        <v>10011</v>
      </c>
      <c r="E5387" s="74" t="s">
        <v>391</v>
      </c>
      <c r="F5387" s="74">
        <v>0</v>
      </c>
      <c r="G5387" s="74"/>
      <c r="H5387" s="74"/>
      <c r="I5387" s="74" t="s">
        <v>391</v>
      </c>
      <c r="J5387" s="74"/>
      <c r="K5387" s="74"/>
      <c r="L5387" s="74"/>
      <c r="M5387" s="74"/>
      <c r="N5387" s="74" t="s">
        <v>397</v>
      </c>
      <c r="O5387" s="74" t="s">
        <v>393</v>
      </c>
      <c r="P5387" s="74"/>
      <c r="Q5387" s="74" t="s">
        <v>10012</v>
      </c>
    </row>
    <row r="5388" spans="3:17" x14ac:dyDescent="0.25">
      <c r="C5388" s="74" t="s">
        <v>10016</v>
      </c>
      <c r="D5388" s="74" t="s">
        <v>10017</v>
      </c>
      <c r="E5388" s="74" t="s">
        <v>391</v>
      </c>
      <c r="F5388" s="74">
        <v>0</v>
      </c>
      <c r="G5388" s="74"/>
      <c r="H5388" s="74"/>
      <c r="I5388" s="74" t="s">
        <v>391</v>
      </c>
      <c r="J5388" s="74"/>
      <c r="K5388" s="74">
        <v>102.4</v>
      </c>
      <c r="L5388" s="74">
        <v>92.16</v>
      </c>
      <c r="M5388" s="74"/>
      <c r="N5388" s="74" t="s">
        <v>392</v>
      </c>
      <c r="O5388" s="74" t="s">
        <v>393</v>
      </c>
      <c r="P5388" s="74"/>
      <c r="Q5388" s="74" t="s">
        <v>10018</v>
      </c>
    </row>
    <row r="5389" spans="3:17" x14ac:dyDescent="0.25">
      <c r="C5389" s="74" t="s">
        <v>10129</v>
      </c>
      <c r="D5389" s="74" t="s">
        <v>10130</v>
      </c>
      <c r="E5389" s="74"/>
      <c r="F5389" s="74">
        <v>0</v>
      </c>
      <c r="G5389" s="74"/>
      <c r="H5389" s="74"/>
      <c r="I5389" s="74" t="s">
        <v>391</v>
      </c>
      <c r="J5389" s="74"/>
      <c r="K5389" s="74">
        <v>102.4</v>
      </c>
      <c r="L5389" s="74">
        <v>92.16</v>
      </c>
      <c r="M5389" s="74"/>
      <c r="N5389" s="74" t="s">
        <v>392</v>
      </c>
      <c r="O5389" s="74" t="s">
        <v>402</v>
      </c>
      <c r="P5389" s="74" t="s">
        <v>10131</v>
      </c>
      <c r="Q5389" s="74" t="s">
        <v>10132</v>
      </c>
    </row>
    <row r="5390" spans="3:17" x14ac:dyDescent="0.25">
      <c r="C5390" s="74" t="s">
        <v>10133</v>
      </c>
      <c r="D5390" s="74" t="s">
        <v>10134</v>
      </c>
      <c r="E5390" s="74" t="s">
        <v>391</v>
      </c>
      <c r="F5390" s="74">
        <v>0</v>
      </c>
      <c r="G5390" s="74"/>
      <c r="H5390" s="74"/>
      <c r="I5390" s="74" t="s">
        <v>391</v>
      </c>
      <c r="J5390" s="74"/>
      <c r="K5390" s="74">
        <v>102.4</v>
      </c>
      <c r="L5390" s="74">
        <v>92.16</v>
      </c>
      <c r="M5390" s="74"/>
      <c r="N5390" s="74" t="s">
        <v>392</v>
      </c>
      <c r="O5390" s="74" t="s">
        <v>393</v>
      </c>
      <c r="P5390" s="74"/>
      <c r="Q5390" s="74" t="s">
        <v>10135</v>
      </c>
    </row>
    <row r="5391" spans="3:17" x14ac:dyDescent="0.25">
      <c r="C5391" s="74" t="s">
        <v>10150</v>
      </c>
      <c r="D5391" s="74" t="s">
        <v>10151</v>
      </c>
      <c r="E5391" s="74" t="s">
        <v>391</v>
      </c>
      <c r="F5391" s="74">
        <v>0</v>
      </c>
      <c r="G5391" s="74"/>
      <c r="H5391" s="74"/>
      <c r="I5391" s="74" t="s">
        <v>391</v>
      </c>
      <c r="J5391" s="74"/>
      <c r="K5391" s="74"/>
      <c r="L5391" s="74"/>
      <c r="M5391" s="74"/>
      <c r="N5391" s="74" t="s">
        <v>397</v>
      </c>
      <c r="O5391" s="74" t="s">
        <v>393</v>
      </c>
      <c r="P5391" s="74" t="s">
        <v>10152</v>
      </c>
      <c r="Q5391" s="74" t="s">
        <v>10153</v>
      </c>
    </row>
    <row r="5392" spans="3:17" x14ac:dyDescent="0.25">
      <c r="C5392" s="74" t="s">
        <v>10166</v>
      </c>
      <c r="D5392" s="74" t="s">
        <v>10167</v>
      </c>
      <c r="E5392" s="74" t="s">
        <v>391</v>
      </c>
      <c r="F5392" s="74">
        <v>0</v>
      </c>
      <c r="G5392" s="74"/>
      <c r="H5392" s="74"/>
      <c r="I5392" s="74" t="s">
        <v>391</v>
      </c>
      <c r="J5392" s="74"/>
      <c r="K5392" s="74"/>
      <c r="L5392" s="74"/>
      <c r="M5392" s="74"/>
      <c r="N5392" s="74" t="s">
        <v>397</v>
      </c>
      <c r="O5392" s="74" t="s">
        <v>393</v>
      </c>
      <c r="P5392" s="74" t="s">
        <v>10168</v>
      </c>
      <c r="Q5392" s="74" t="s">
        <v>10169</v>
      </c>
    </row>
    <row r="5393" spans="3:17" x14ac:dyDescent="0.25">
      <c r="C5393" s="74" t="s">
        <v>10181</v>
      </c>
      <c r="D5393" s="74" t="s">
        <v>10182</v>
      </c>
      <c r="E5393" s="74" t="s">
        <v>391</v>
      </c>
      <c r="F5393" s="74">
        <v>0</v>
      </c>
      <c r="G5393" s="74"/>
      <c r="H5393" s="74"/>
      <c r="I5393" s="74" t="s">
        <v>391</v>
      </c>
      <c r="J5393" s="74"/>
      <c r="K5393" s="74"/>
      <c r="L5393" s="74"/>
      <c r="M5393" s="74"/>
      <c r="N5393" s="74" t="s">
        <v>397</v>
      </c>
      <c r="O5393" s="74" t="s">
        <v>393</v>
      </c>
      <c r="P5393" s="74" t="s">
        <v>10183</v>
      </c>
      <c r="Q5393" s="74" t="s">
        <v>10184</v>
      </c>
    </row>
    <row r="5394" spans="3:17" x14ac:dyDescent="0.25">
      <c r="C5394" s="74" t="s">
        <v>10208</v>
      </c>
      <c r="D5394" s="74" t="s">
        <v>10209</v>
      </c>
      <c r="E5394" s="74" t="s">
        <v>391</v>
      </c>
      <c r="F5394" s="74">
        <v>0</v>
      </c>
      <c r="G5394" s="74"/>
      <c r="H5394" s="74"/>
      <c r="I5394" s="74" t="s">
        <v>391</v>
      </c>
      <c r="J5394" s="74"/>
      <c r="K5394" s="74"/>
      <c r="L5394" s="74"/>
      <c r="M5394" s="74"/>
      <c r="N5394" s="74" t="s">
        <v>397</v>
      </c>
      <c r="O5394" s="74" t="s">
        <v>393</v>
      </c>
      <c r="P5394" s="74" t="s">
        <v>10210</v>
      </c>
      <c r="Q5394" s="74" t="s">
        <v>10211</v>
      </c>
    </row>
    <row r="5395" spans="3:17" x14ac:dyDescent="0.25">
      <c r="C5395" s="74" t="s">
        <v>10212</v>
      </c>
      <c r="D5395" s="74" t="s">
        <v>10213</v>
      </c>
      <c r="E5395" s="74" t="s">
        <v>391</v>
      </c>
      <c r="F5395" s="74">
        <v>0</v>
      </c>
      <c r="G5395" s="74"/>
      <c r="H5395" s="74"/>
      <c r="I5395" s="74" t="s">
        <v>391</v>
      </c>
      <c r="J5395" s="74"/>
      <c r="K5395" s="74"/>
      <c r="L5395" s="74"/>
      <c r="M5395" s="74"/>
      <c r="N5395" s="74" t="s">
        <v>397</v>
      </c>
      <c r="O5395" s="74" t="s">
        <v>393</v>
      </c>
      <c r="P5395" s="74" t="s">
        <v>10214</v>
      </c>
      <c r="Q5395" s="74" t="s">
        <v>10215</v>
      </c>
    </row>
    <row r="5396" spans="3:17" x14ac:dyDescent="0.25">
      <c r="C5396" s="74" t="s">
        <v>10216</v>
      </c>
      <c r="D5396" s="74" t="s">
        <v>10217</v>
      </c>
      <c r="E5396" s="74" t="s">
        <v>391</v>
      </c>
      <c r="F5396" s="74">
        <v>0</v>
      </c>
      <c r="G5396" s="74"/>
      <c r="H5396" s="74"/>
      <c r="I5396" s="74" t="s">
        <v>391</v>
      </c>
      <c r="J5396" s="74"/>
      <c r="K5396" s="74">
        <v>102.4</v>
      </c>
      <c r="L5396" s="74">
        <v>92.16</v>
      </c>
      <c r="M5396" s="74"/>
      <c r="N5396" s="74" t="s">
        <v>392</v>
      </c>
      <c r="O5396" s="74" t="s">
        <v>393</v>
      </c>
      <c r="P5396" s="74"/>
      <c r="Q5396" s="74" t="s">
        <v>10218</v>
      </c>
    </row>
    <row r="5397" spans="3:17" x14ac:dyDescent="0.25">
      <c r="C5397" s="74" t="s">
        <v>10223</v>
      </c>
      <c r="D5397" s="74" t="s">
        <v>10224</v>
      </c>
      <c r="E5397" s="74" t="s">
        <v>391</v>
      </c>
      <c r="F5397" s="74">
        <v>0</v>
      </c>
      <c r="G5397" s="74"/>
      <c r="H5397" s="74"/>
      <c r="I5397" s="74" t="s">
        <v>391</v>
      </c>
      <c r="J5397" s="74"/>
      <c r="K5397" s="74"/>
      <c r="L5397" s="74"/>
      <c r="M5397" s="74"/>
      <c r="N5397" s="74" t="s">
        <v>397</v>
      </c>
      <c r="O5397" s="74" t="s">
        <v>393</v>
      </c>
      <c r="P5397" s="74"/>
      <c r="Q5397" s="74" t="s">
        <v>10225</v>
      </c>
    </row>
    <row r="5398" spans="3:17" x14ac:dyDescent="0.25">
      <c r="C5398" s="74" t="s">
        <v>10239</v>
      </c>
      <c r="D5398" s="74" t="s">
        <v>10240</v>
      </c>
      <c r="E5398" s="74" t="s">
        <v>391</v>
      </c>
      <c r="F5398" s="74">
        <v>0</v>
      </c>
      <c r="G5398" s="74"/>
      <c r="H5398" s="74"/>
      <c r="I5398" s="74" t="s">
        <v>391</v>
      </c>
      <c r="J5398" s="74"/>
      <c r="K5398" s="74">
        <v>102.4</v>
      </c>
      <c r="L5398" s="74">
        <v>92.16</v>
      </c>
      <c r="M5398" s="74"/>
      <c r="N5398" s="74" t="s">
        <v>392</v>
      </c>
      <c r="O5398" s="74" t="s">
        <v>393</v>
      </c>
      <c r="P5398" s="74"/>
      <c r="Q5398" s="74" t="s">
        <v>10241</v>
      </c>
    </row>
    <row r="5399" spans="3:17" x14ac:dyDescent="0.25">
      <c r="C5399" s="74" t="s">
        <v>10283</v>
      </c>
      <c r="D5399" s="74" t="s">
        <v>10284</v>
      </c>
      <c r="E5399" s="74" t="s">
        <v>391</v>
      </c>
      <c r="F5399" s="74">
        <v>0</v>
      </c>
      <c r="G5399" s="74"/>
      <c r="H5399" s="74"/>
      <c r="I5399" s="74" t="s">
        <v>391</v>
      </c>
      <c r="J5399" s="74"/>
      <c r="K5399" s="74"/>
      <c r="L5399" s="74"/>
      <c r="M5399" s="74"/>
      <c r="N5399" s="74" t="s">
        <v>397</v>
      </c>
      <c r="O5399" s="74" t="s">
        <v>393</v>
      </c>
      <c r="P5399" s="74" t="s">
        <v>10285</v>
      </c>
      <c r="Q5399" s="74" t="s">
        <v>10286</v>
      </c>
    </row>
    <row r="5400" spans="3:17" x14ac:dyDescent="0.25">
      <c r="C5400" s="74" t="s">
        <v>10327</v>
      </c>
      <c r="D5400" s="74" t="s">
        <v>10328</v>
      </c>
      <c r="E5400" s="74" t="s">
        <v>391</v>
      </c>
      <c r="F5400" s="74">
        <v>0</v>
      </c>
      <c r="G5400" s="74"/>
      <c r="H5400" s="74"/>
      <c r="I5400" s="74" t="s">
        <v>391</v>
      </c>
      <c r="J5400" s="74"/>
      <c r="K5400" s="74"/>
      <c r="L5400" s="74"/>
      <c r="M5400" s="74"/>
      <c r="N5400" s="74" t="s">
        <v>397</v>
      </c>
      <c r="O5400" s="74" t="s">
        <v>393</v>
      </c>
      <c r="P5400" s="74" t="s">
        <v>10329</v>
      </c>
      <c r="Q5400" s="74" t="s">
        <v>10330</v>
      </c>
    </row>
    <row r="5401" spans="3:17" x14ac:dyDescent="0.25">
      <c r="C5401" s="74" t="s">
        <v>10334</v>
      </c>
      <c r="D5401" s="74" t="s">
        <v>10335</v>
      </c>
      <c r="E5401" s="74"/>
      <c r="F5401" s="74">
        <v>0</v>
      </c>
      <c r="G5401" s="74"/>
      <c r="H5401" s="74"/>
      <c r="I5401" s="74" t="s">
        <v>391</v>
      </c>
      <c r="J5401" s="74"/>
      <c r="K5401" s="74">
        <v>102.4</v>
      </c>
      <c r="L5401" s="74">
        <v>92.16</v>
      </c>
      <c r="M5401" s="74"/>
      <c r="N5401" s="74" t="s">
        <v>392</v>
      </c>
      <c r="O5401" s="74" t="s">
        <v>402</v>
      </c>
      <c r="P5401" s="74" t="s">
        <v>10336</v>
      </c>
      <c r="Q5401" s="74" t="s">
        <v>10337</v>
      </c>
    </row>
    <row r="5402" spans="3:17" x14ac:dyDescent="0.25">
      <c r="C5402" s="74" t="s">
        <v>10354</v>
      </c>
      <c r="D5402" s="74" t="s">
        <v>10355</v>
      </c>
      <c r="E5402" s="74" t="s">
        <v>391</v>
      </c>
      <c r="F5402" s="74">
        <v>0</v>
      </c>
      <c r="G5402" s="74"/>
      <c r="H5402" s="74"/>
      <c r="I5402" s="74" t="s">
        <v>391</v>
      </c>
      <c r="J5402" s="74"/>
      <c r="K5402" s="74"/>
      <c r="L5402" s="74"/>
      <c r="M5402" s="74"/>
      <c r="N5402" s="74" t="s">
        <v>397</v>
      </c>
      <c r="O5402" s="74" t="s">
        <v>393</v>
      </c>
      <c r="P5402" s="74"/>
      <c r="Q5402" s="74" t="s">
        <v>10356</v>
      </c>
    </row>
    <row r="5403" spans="3:17" x14ac:dyDescent="0.25">
      <c r="C5403" s="74" t="s">
        <v>10357</v>
      </c>
      <c r="D5403" s="74" t="s">
        <v>10358</v>
      </c>
      <c r="E5403" s="74" t="s">
        <v>391</v>
      </c>
      <c r="F5403" s="74">
        <v>0</v>
      </c>
      <c r="G5403" s="74"/>
      <c r="H5403" s="74"/>
      <c r="I5403" s="74" t="s">
        <v>391</v>
      </c>
      <c r="J5403" s="74"/>
      <c r="K5403" s="74">
        <v>102.4</v>
      </c>
      <c r="L5403" s="74">
        <v>92.16</v>
      </c>
      <c r="M5403" s="74"/>
      <c r="N5403" s="74" t="s">
        <v>392</v>
      </c>
      <c r="O5403" s="74" t="s">
        <v>393</v>
      </c>
      <c r="P5403" s="74"/>
      <c r="Q5403" s="74" t="s">
        <v>10359</v>
      </c>
    </row>
    <row r="5404" spans="3:17" x14ac:dyDescent="0.25">
      <c r="C5404" s="74" t="s">
        <v>10369</v>
      </c>
      <c r="D5404" s="74" t="s">
        <v>10370</v>
      </c>
      <c r="E5404" s="74" t="s">
        <v>391</v>
      </c>
      <c r="F5404" s="74">
        <v>0</v>
      </c>
      <c r="G5404" s="74"/>
      <c r="H5404" s="74"/>
      <c r="I5404" s="74" t="s">
        <v>391</v>
      </c>
      <c r="J5404" s="74"/>
      <c r="K5404" s="74"/>
      <c r="L5404" s="74"/>
      <c r="M5404" s="74"/>
      <c r="N5404" s="74" t="s">
        <v>397</v>
      </c>
      <c r="O5404" s="74" t="s">
        <v>393</v>
      </c>
      <c r="P5404" s="74" t="s">
        <v>10371</v>
      </c>
      <c r="Q5404" s="74" t="s">
        <v>10372</v>
      </c>
    </row>
    <row r="5405" spans="3:17" x14ac:dyDescent="0.25">
      <c r="C5405" s="74" t="s">
        <v>10373</v>
      </c>
      <c r="D5405" s="74" t="s">
        <v>10374</v>
      </c>
      <c r="E5405" s="74" t="s">
        <v>391</v>
      </c>
      <c r="F5405" s="74">
        <v>0</v>
      </c>
      <c r="G5405" s="74"/>
      <c r="H5405" s="74"/>
      <c r="I5405" s="74" t="s">
        <v>391</v>
      </c>
      <c r="J5405" s="74"/>
      <c r="K5405" s="74">
        <v>102.4</v>
      </c>
      <c r="L5405" s="74">
        <v>92.16</v>
      </c>
      <c r="M5405" s="74"/>
      <c r="N5405" s="74" t="s">
        <v>392</v>
      </c>
      <c r="O5405" s="74" t="s">
        <v>393</v>
      </c>
      <c r="P5405" s="74"/>
      <c r="Q5405" s="74" t="s">
        <v>10375</v>
      </c>
    </row>
    <row r="5406" spans="3:17" x14ac:dyDescent="0.25">
      <c r="C5406" s="74" t="s">
        <v>10410</v>
      </c>
      <c r="D5406" s="74" t="s">
        <v>10407</v>
      </c>
      <c r="E5406" s="74" t="s">
        <v>391</v>
      </c>
      <c r="F5406" s="74">
        <v>0</v>
      </c>
      <c r="G5406" s="74"/>
      <c r="H5406" s="74"/>
      <c r="I5406" s="74" t="s">
        <v>391</v>
      </c>
      <c r="J5406" s="74"/>
      <c r="K5406" s="74"/>
      <c r="L5406" s="74"/>
      <c r="M5406" s="74"/>
      <c r="N5406" s="74" t="s">
        <v>397</v>
      </c>
      <c r="O5406" s="74" t="s">
        <v>393</v>
      </c>
      <c r="P5406" s="74"/>
      <c r="Q5406" s="74" t="s">
        <v>10411</v>
      </c>
    </row>
    <row r="5407" spans="3:17" x14ac:dyDescent="0.25">
      <c r="C5407" s="74" t="s">
        <v>10420</v>
      </c>
      <c r="D5407" s="74" t="s">
        <v>10421</v>
      </c>
      <c r="E5407" s="74" t="s">
        <v>391</v>
      </c>
      <c r="F5407" s="74">
        <v>0</v>
      </c>
      <c r="G5407" s="74"/>
      <c r="H5407" s="74"/>
      <c r="I5407" s="74" t="s">
        <v>391</v>
      </c>
      <c r="J5407" s="74"/>
      <c r="K5407" s="74"/>
      <c r="L5407" s="74"/>
      <c r="M5407" s="74"/>
      <c r="N5407" s="74" t="s">
        <v>397</v>
      </c>
      <c r="O5407" s="74" t="s">
        <v>393</v>
      </c>
      <c r="P5407" s="74" t="s">
        <v>10422</v>
      </c>
      <c r="Q5407" s="74" t="s">
        <v>10423</v>
      </c>
    </row>
    <row r="5408" spans="3:17" x14ac:dyDescent="0.25">
      <c r="C5408" s="74" t="s">
        <v>10446</v>
      </c>
      <c r="D5408" s="74" t="s">
        <v>10447</v>
      </c>
      <c r="E5408" s="74"/>
      <c r="F5408" s="74">
        <v>0</v>
      </c>
      <c r="G5408" s="74"/>
      <c r="H5408" s="74"/>
      <c r="I5408" s="74" t="s">
        <v>391</v>
      </c>
      <c r="J5408" s="74"/>
      <c r="K5408" s="74">
        <v>102.4</v>
      </c>
      <c r="L5408" s="74">
        <v>92.16</v>
      </c>
      <c r="M5408" s="74"/>
      <c r="N5408" s="74" t="s">
        <v>392</v>
      </c>
      <c r="O5408" s="74" t="s">
        <v>402</v>
      </c>
      <c r="P5408" s="74"/>
      <c r="Q5408" s="74" t="s">
        <v>10448</v>
      </c>
    </row>
    <row r="5409" spans="3:17" x14ac:dyDescent="0.25">
      <c r="C5409" s="74" t="s">
        <v>10449</v>
      </c>
      <c r="D5409" s="74" t="s">
        <v>10450</v>
      </c>
      <c r="E5409" s="74" t="s">
        <v>391</v>
      </c>
      <c r="F5409" s="74">
        <v>0</v>
      </c>
      <c r="G5409" s="74"/>
      <c r="H5409" s="74"/>
      <c r="I5409" s="74" t="s">
        <v>391</v>
      </c>
      <c r="J5409" s="74"/>
      <c r="K5409" s="74"/>
      <c r="L5409" s="74"/>
      <c r="M5409" s="74"/>
      <c r="N5409" s="74" t="s">
        <v>397</v>
      </c>
      <c r="O5409" s="74" t="s">
        <v>393</v>
      </c>
      <c r="P5409" s="74" t="s">
        <v>10451</v>
      </c>
      <c r="Q5409" s="74" t="s">
        <v>10452</v>
      </c>
    </row>
    <row r="5410" spans="3:17" x14ac:dyDescent="0.25">
      <c r="C5410" s="74" t="s">
        <v>10544</v>
      </c>
      <c r="D5410" s="74" t="s">
        <v>10545</v>
      </c>
      <c r="E5410" s="74"/>
      <c r="F5410" s="74">
        <v>0</v>
      </c>
      <c r="G5410" s="74"/>
      <c r="H5410" s="74"/>
      <c r="I5410" s="74" t="s">
        <v>391</v>
      </c>
      <c r="J5410" s="74"/>
      <c r="K5410" s="74">
        <v>102.4</v>
      </c>
      <c r="L5410" s="74">
        <v>92.16</v>
      </c>
      <c r="M5410" s="74"/>
      <c r="N5410" s="74" t="s">
        <v>392</v>
      </c>
      <c r="O5410" s="74" t="s">
        <v>402</v>
      </c>
      <c r="P5410" s="74" t="s">
        <v>10546</v>
      </c>
      <c r="Q5410" s="74" t="s">
        <v>10547</v>
      </c>
    </row>
    <row r="5411" spans="3:17" x14ac:dyDescent="0.25">
      <c r="C5411" s="74" t="s">
        <v>10573</v>
      </c>
      <c r="D5411" s="74" t="s">
        <v>10574</v>
      </c>
      <c r="E5411" s="74" t="s">
        <v>391</v>
      </c>
      <c r="F5411" s="74">
        <v>0</v>
      </c>
      <c r="G5411" s="74"/>
      <c r="H5411" s="74"/>
      <c r="I5411" s="74" t="s">
        <v>391</v>
      </c>
      <c r="J5411" s="74"/>
      <c r="K5411" s="74"/>
      <c r="L5411" s="74"/>
      <c r="M5411" s="74"/>
      <c r="N5411" s="74" t="s">
        <v>397</v>
      </c>
      <c r="O5411" s="74" t="s">
        <v>393</v>
      </c>
      <c r="P5411" s="74" t="s">
        <v>10575</v>
      </c>
      <c r="Q5411" s="74" t="s">
        <v>10576</v>
      </c>
    </row>
    <row r="5412" spans="3:17" x14ac:dyDescent="0.25">
      <c r="C5412" s="74" t="s">
        <v>10608</v>
      </c>
      <c r="D5412" s="74" t="s">
        <v>10609</v>
      </c>
      <c r="E5412" s="74" t="s">
        <v>391</v>
      </c>
      <c r="F5412" s="74">
        <v>0</v>
      </c>
      <c r="G5412" s="74"/>
      <c r="H5412" s="74"/>
      <c r="I5412" s="74" t="s">
        <v>391</v>
      </c>
      <c r="J5412" s="74"/>
      <c r="K5412" s="74">
        <v>102.4</v>
      </c>
      <c r="L5412" s="74">
        <v>92.16</v>
      </c>
      <c r="M5412" s="74"/>
      <c r="N5412" s="74" t="s">
        <v>392</v>
      </c>
      <c r="O5412" s="74" t="s">
        <v>393</v>
      </c>
      <c r="P5412" s="74"/>
      <c r="Q5412" s="74" t="s">
        <v>10610</v>
      </c>
    </row>
    <row r="5413" spans="3:17" x14ac:dyDescent="0.25">
      <c r="C5413" s="74" t="s">
        <v>10623</v>
      </c>
      <c r="D5413" s="74" t="s">
        <v>10624</v>
      </c>
      <c r="E5413" s="74" t="s">
        <v>391</v>
      </c>
      <c r="F5413" s="74">
        <v>0</v>
      </c>
      <c r="G5413" s="74"/>
      <c r="H5413" s="74"/>
      <c r="I5413" s="74" t="s">
        <v>391</v>
      </c>
      <c r="J5413" s="74"/>
      <c r="K5413" s="74">
        <v>102.4</v>
      </c>
      <c r="L5413" s="74">
        <v>92.16</v>
      </c>
      <c r="M5413" s="74"/>
      <c r="N5413" s="74" t="s">
        <v>392</v>
      </c>
      <c r="O5413" s="74" t="s">
        <v>393</v>
      </c>
      <c r="P5413" s="74"/>
      <c r="Q5413" s="74" t="s">
        <v>10625</v>
      </c>
    </row>
    <row r="5414" spans="3:17" x14ac:dyDescent="0.25">
      <c r="C5414" s="74" t="s">
        <v>10635</v>
      </c>
      <c r="D5414" s="74" t="s">
        <v>10636</v>
      </c>
      <c r="E5414" s="74" t="s">
        <v>391</v>
      </c>
      <c r="F5414" s="74">
        <v>0</v>
      </c>
      <c r="G5414" s="74"/>
      <c r="H5414" s="74"/>
      <c r="I5414" s="74" t="s">
        <v>391</v>
      </c>
      <c r="J5414" s="74"/>
      <c r="K5414" s="74"/>
      <c r="L5414" s="74"/>
      <c r="M5414" s="74"/>
      <c r="N5414" s="74" t="s">
        <v>397</v>
      </c>
      <c r="O5414" s="74" t="s">
        <v>393</v>
      </c>
      <c r="P5414" s="74" t="s">
        <v>10637</v>
      </c>
      <c r="Q5414" s="74" t="s">
        <v>10638</v>
      </c>
    </row>
    <row r="5415" spans="3:17" x14ac:dyDescent="0.25">
      <c r="C5415" s="74" t="s">
        <v>10675</v>
      </c>
      <c r="D5415" s="74" t="s">
        <v>10676</v>
      </c>
      <c r="E5415" s="74" t="s">
        <v>391</v>
      </c>
      <c r="F5415" s="74">
        <v>0</v>
      </c>
      <c r="G5415" s="74"/>
      <c r="H5415" s="74"/>
      <c r="I5415" s="74" t="s">
        <v>391</v>
      </c>
      <c r="J5415" s="74"/>
      <c r="K5415" s="74">
        <v>102.4</v>
      </c>
      <c r="L5415" s="74">
        <v>92.16</v>
      </c>
      <c r="M5415" s="74"/>
      <c r="N5415" s="74" t="s">
        <v>392</v>
      </c>
      <c r="O5415" s="74" t="s">
        <v>393</v>
      </c>
      <c r="P5415" s="74"/>
      <c r="Q5415" s="74" t="s">
        <v>10677</v>
      </c>
    </row>
    <row r="5416" spans="3:17" x14ac:dyDescent="0.25">
      <c r="C5416" s="74" t="s">
        <v>10691</v>
      </c>
      <c r="D5416" s="74" t="s">
        <v>10692</v>
      </c>
      <c r="E5416" s="74"/>
      <c r="F5416" s="74">
        <v>0</v>
      </c>
      <c r="G5416" s="74"/>
      <c r="H5416" s="74"/>
      <c r="I5416" s="74" t="s">
        <v>391</v>
      </c>
      <c r="J5416" s="74"/>
      <c r="K5416" s="74"/>
      <c r="L5416" s="74"/>
      <c r="M5416" s="74"/>
      <c r="N5416" s="74" t="s">
        <v>397</v>
      </c>
      <c r="O5416" s="74" t="s">
        <v>393</v>
      </c>
      <c r="P5416" s="74" t="s">
        <v>10693</v>
      </c>
      <c r="Q5416" s="74" t="s">
        <v>10694</v>
      </c>
    </row>
    <row r="5417" spans="3:17" x14ac:dyDescent="0.25">
      <c r="C5417" s="74" t="s">
        <v>10695</v>
      </c>
      <c r="D5417" s="74" t="s">
        <v>10696</v>
      </c>
      <c r="E5417" s="74" t="s">
        <v>391</v>
      </c>
      <c r="F5417" s="74">
        <v>0</v>
      </c>
      <c r="G5417" s="74"/>
      <c r="H5417" s="74"/>
      <c r="I5417" s="74" t="s">
        <v>391</v>
      </c>
      <c r="J5417" s="74"/>
      <c r="K5417" s="74"/>
      <c r="L5417" s="74"/>
      <c r="M5417" s="74"/>
      <c r="N5417" s="74" t="s">
        <v>397</v>
      </c>
      <c r="O5417" s="74" t="s">
        <v>393</v>
      </c>
      <c r="P5417" s="74"/>
      <c r="Q5417" s="74" t="s">
        <v>10697</v>
      </c>
    </row>
    <row r="5418" spans="3:17" x14ac:dyDescent="0.25">
      <c r="C5418" s="74" t="s">
        <v>10704</v>
      </c>
      <c r="D5418" s="74" t="s">
        <v>10705</v>
      </c>
      <c r="E5418" s="74"/>
      <c r="F5418" s="74">
        <v>0</v>
      </c>
      <c r="G5418" s="74"/>
      <c r="H5418" s="74"/>
      <c r="I5418" s="74" t="s">
        <v>391</v>
      </c>
      <c r="J5418" s="74"/>
      <c r="K5418" s="74">
        <v>102.4</v>
      </c>
      <c r="L5418" s="74">
        <v>92.16</v>
      </c>
      <c r="M5418" s="74"/>
      <c r="N5418" s="74" t="s">
        <v>392</v>
      </c>
      <c r="O5418" s="74" t="s">
        <v>402</v>
      </c>
      <c r="P5418" s="74" t="s">
        <v>10706</v>
      </c>
      <c r="Q5418" s="74" t="s">
        <v>10707</v>
      </c>
    </row>
    <row r="5419" spans="3:17" x14ac:dyDescent="0.25">
      <c r="C5419" s="74" t="s">
        <v>10733</v>
      </c>
      <c r="D5419" s="74" t="s">
        <v>10734</v>
      </c>
      <c r="E5419" s="74" t="s">
        <v>391</v>
      </c>
      <c r="F5419" s="74">
        <v>0</v>
      </c>
      <c r="G5419" s="74"/>
      <c r="H5419" s="74"/>
      <c r="I5419" s="74" t="s">
        <v>391</v>
      </c>
      <c r="J5419" s="74"/>
      <c r="K5419" s="74"/>
      <c r="L5419" s="74"/>
      <c r="M5419" s="74"/>
      <c r="N5419" s="74" t="s">
        <v>397</v>
      </c>
      <c r="O5419" s="74" t="s">
        <v>393</v>
      </c>
      <c r="P5419" s="74" t="s">
        <v>10735</v>
      </c>
      <c r="Q5419" s="74" t="s">
        <v>10736</v>
      </c>
    </row>
    <row r="5420" spans="3:17" x14ac:dyDescent="0.25">
      <c r="C5420" s="74" t="s">
        <v>10751</v>
      </c>
      <c r="D5420" s="74" t="s">
        <v>10752</v>
      </c>
      <c r="E5420" s="74" t="s">
        <v>391</v>
      </c>
      <c r="F5420" s="74">
        <v>0</v>
      </c>
      <c r="G5420" s="74"/>
      <c r="H5420" s="74"/>
      <c r="I5420" s="74" t="s">
        <v>391</v>
      </c>
      <c r="J5420" s="74"/>
      <c r="K5420" s="74"/>
      <c r="L5420" s="74"/>
      <c r="M5420" s="74"/>
      <c r="N5420" s="74" t="s">
        <v>397</v>
      </c>
      <c r="O5420" s="74" t="s">
        <v>393</v>
      </c>
      <c r="P5420" s="74" t="s">
        <v>10753</v>
      </c>
      <c r="Q5420" s="74" t="s">
        <v>10754</v>
      </c>
    </row>
    <row r="5421" spans="3:17" x14ac:dyDescent="0.25">
      <c r="C5421" s="74" t="s">
        <v>10780</v>
      </c>
      <c r="D5421" s="74" t="s">
        <v>10781</v>
      </c>
      <c r="E5421" s="74" t="s">
        <v>391</v>
      </c>
      <c r="F5421" s="74">
        <v>0</v>
      </c>
      <c r="G5421" s="74"/>
      <c r="H5421" s="74"/>
      <c r="I5421" s="74" t="s">
        <v>391</v>
      </c>
      <c r="J5421" s="74"/>
      <c r="K5421" s="74"/>
      <c r="L5421" s="74"/>
      <c r="M5421" s="74"/>
      <c r="N5421" s="74" t="s">
        <v>397</v>
      </c>
      <c r="O5421" s="74" t="s">
        <v>393</v>
      </c>
      <c r="P5421" s="74" t="s">
        <v>10782</v>
      </c>
      <c r="Q5421" s="74" t="s">
        <v>10783</v>
      </c>
    </row>
    <row r="5422" spans="3:17" x14ac:dyDescent="0.25">
      <c r="C5422" s="74" t="s">
        <v>10827</v>
      </c>
      <c r="D5422" s="74" t="s">
        <v>10828</v>
      </c>
      <c r="E5422" s="74" t="s">
        <v>391</v>
      </c>
      <c r="F5422" s="74">
        <v>0</v>
      </c>
      <c r="G5422" s="74"/>
      <c r="H5422" s="74"/>
      <c r="I5422" s="74" t="s">
        <v>391</v>
      </c>
      <c r="J5422" s="74"/>
      <c r="K5422" s="74"/>
      <c r="L5422" s="74"/>
      <c r="M5422" s="74"/>
      <c r="N5422" s="74" t="s">
        <v>397</v>
      </c>
      <c r="O5422" s="74" t="s">
        <v>393</v>
      </c>
      <c r="P5422" s="74" t="s">
        <v>10829</v>
      </c>
      <c r="Q5422" s="74" t="s">
        <v>10830</v>
      </c>
    </row>
    <row r="5423" spans="3:17" x14ac:dyDescent="0.25">
      <c r="C5423" s="74" t="s">
        <v>10835</v>
      </c>
      <c r="D5423" s="74" t="s">
        <v>10836</v>
      </c>
      <c r="E5423" s="74" t="s">
        <v>391</v>
      </c>
      <c r="F5423" s="74">
        <v>0</v>
      </c>
      <c r="G5423" s="74"/>
      <c r="H5423" s="74"/>
      <c r="I5423" s="74" t="s">
        <v>391</v>
      </c>
      <c r="J5423" s="74"/>
      <c r="K5423" s="74"/>
      <c r="L5423" s="74"/>
      <c r="M5423" s="74"/>
      <c r="N5423" s="74" t="s">
        <v>397</v>
      </c>
      <c r="O5423" s="74" t="s">
        <v>393</v>
      </c>
      <c r="P5423" s="74" t="s">
        <v>10837</v>
      </c>
      <c r="Q5423" s="74" t="s">
        <v>10838</v>
      </c>
    </row>
    <row r="5424" spans="3:17" x14ac:dyDescent="0.25">
      <c r="C5424" s="74" t="s">
        <v>10842</v>
      </c>
      <c r="D5424" s="74" t="s">
        <v>10843</v>
      </c>
      <c r="E5424" s="74" t="s">
        <v>391</v>
      </c>
      <c r="F5424" s="74">
        <v>0</v>
      </c>
      <c r="G5424" s="74"/>
      <c r="H5424" s="74"/>
      <c r="I5424" s="74" t="s">
        <v>391</v>
      </c>
      <c r="J5424" s="74"/>
      <c r="K5424" s="74">
        <v>102.4</v>
      </c>
      <c r="L5424" s="74">
        <v>92.16</v>
      </c>
      <c r="M5424" s="74"/>
      <c r="N5424" s="74" t="s">
        <v>392</v>
      </c>
      <c r="O5424" s="74" t="s">
        <v>393</v>
      </c>
      <c r="P5424" s="74"/>
      <c r="Q5424" s="74" t="s">
        <v>10844</v>
      </c>
    </row>
    <row r="5425" spans="3:17" x14ac:dyDescent="0.25">
      <c r="C5425" s="158" t="s">
        <v>10848</v>
      </c>
      <c r="D5425" s="158" t="s">
        <v>10849</v>
      </c>
      <c r="E5425" s="158" t="s">
        <v>391</v>
      </c>
      <c r="F5425" s="158">
        <v>0</v>
      </c>
      <c r="I5425" s="158" t="s">
        <v>391</v>
      </c>
      <c r="N5425" s="158" t="s">
        <v>397</v>
      </c>
      <c r="O5425" s="158" t="s">
        <v>393</v>
      </c>
      <c r="P5425" s="158" t="s">
        <v>10850</v>
      </c>
      <c r="Q5425" s="158" t="s">
        <v>10851</v>
      </c>
    </row>
    <row r="5426" spans="3:17" x14ac:dyDescent="0.25">
      <c r="C5426" s="74" t="s">
        <v>10863</v>
      </c>
      <c r="D5426" s="74" t="s">
        <v>10864</v>
      </c>
      <c r="E5426" s="74" t="s">
        <v>391</v>
      </c>
      <c r="F5426" s="74">
        <v>0</v>
      </c>
      <c r="G5426" s="74"/>
      <c r="H5426" s="74"/>
      <c r="I5426" s="74" t="s">
        <v>391</v>
      </c>
      <c r="J5426" s="74"/>
      <c r="K5426" s="74">
        <v>102.4</v>
      </c>
      <c r="L5426" s="74">
        <v>92.16</v>
      </c>
      <c r="M5426" s="74"/>
      <c r="N5426" s="74" t="s">
        <v>392</v>
      </c>
      <c r="O5426" s="74" t="s">
        <v>393</v>
      </c>
      <c r="P5426" s="74"/>
      <c r="Q5426" s="74" t="s">
        <v>10865</v>
      </c>
    </row>
    <row r="5427" spans="3:17" x14ac:dyDescent="0.25">
      <c r="C5427" s="74" t="s">
        <v>10900</v>
      </c>
      <c r="D5427" s="74" t="s">
        <v>10901</v>
      </c>
      <c r="E5427" s="74" t="s">
        <v>391</v>
      </c>
      <c r="F5427" s="74">
        <v>0</v>
      </c>
      <c r="G5427" s="74"/>
      <c r="H5427" s="74"/>
      <c r="I5427" s="74" t="s">
        <v>391</v>
      </c>
      <c r="J5427" s="74"/>
      <c r="K5427" s="74">
        <v>102.4</v>
      </c>
      <c r="L5427" s="74">
        <v>92.16</v>
      </c>
      <c r="M5427" s="74"/>
      <c r="N5427" s="74" t="s">
        <v>392</v>
      </c>
      <c r="O5427" s="74" t="s">
        <v>393</v>
      </c>
      <c r="P5427" s="74"/>
      <c r="Q5427" s="74" t="s">
        <v>10902</v>
      </c>
    </row>
    <row r="5428" spans="3:17" x14ac:dyDescent="0.25">
      <c r="C5428" s="74" t="s">
        <v>10939</v>
      </c>
      <c r="D5428" s="74" t="s">
        <v>10940</v>
      </c>
      <c r="E5428" s="74" t="s">
        <v>391</v>
      </c>
      <c r="F5428" s="74">
        <v>0</v>
      </c>
      <c r="G5428" s="74"/>
      <c r="H5428" s="74"/>
      <c r="I5428" s="74" t="s">
        <v>391</v>
      </c>
      <c r="J5428" s="74"/>
      <c r="K5428" s="74">
        <v>102.4</v>
      </c>
      <c r="L5428" s="74">
        <v>92.16</v>
      </c>
      <c r="M5428" s="74"/>
      <c r="N5428" s="74" t="s">
        <v>392</v>
      </c>
      <c r="O5428" s="74" t="s">
        <v>393</v>
      </c>
      <c r="P5428" s="74"/>
      <c r="Q5428" s="74" t="s">
        <v>10941</v>
      </c>
    </row>
    <row r="5429" spans="3:17" x14ac:dyDescent="0.25">
      <c r="C5429" s="74" t="s">
        <v>10978</v>
      </c>
      <c r="D5429" s="74" t="s">
        <v>10979</v>
      </c>
      <c r="E5429" s="74" t="s">
        <v>391</v>
      </c>
      <c r="F5429" s="74">
        <v>0</v>
      </c>
      <c r="G5429" s="74"/>
      <c r="H5429" s="74"/>
      <c r="I5429" s="74" t="s">
        <v>391</v>
      </c>
      <c r="J5429" s="74"/>
      <c r="K5429" s="74">
        <v>102.4</v>
      </c>
      <c r="L5429" s="74">
        <v>92.16</v>
      </c>
      <c r="M5429" s="74"/>
      <c r="N5429" s="74" t="s">
        <v>392</v>
      </c>
      <c r="O5429" s="74" t="s">
        <v>393</v>
      </c>
      <c r="P5429" s="74"/>
      <c r="Q5429" s="74" t="s">
        <v>10980</v>
      </c>
    </row>
    <row r="5430" spans="3:17" x14ac:dyDescent="0.25">
      <c r="C5430" s="74" t="s">
        <v>10984</v>
      </c>
      <c r="D5430" s="74" t="s">
        <v>10985</v>
      </c>
      <c r="E5430" s="74"/>
      <c r="F5430" s="74">
        <v>0</v>
      </c>
      <c r="G5430" s="74"/>
      <c r="H5430" s="74"/>
      <c r="I5430" s="74" t="s">
        <v>391</v>
      </c>
      <c r="J5430" s="74"/>
      <c r="K5430" s="74">
        <v>102.4</v>
      </c>
      <c r="L5430" s="74">
        <v>92.16</v>
      </c>
      <c r="M5430" s="74"/>
      <c r="N5430" s="74" t="s">
        <v>392</v>
      </c>
      <c r="O5430" s="74" t="s">
        <v>402</v>
      </c>
      <c r="P5430" s="74" t="s">
        <v>10986</v>
      </c>
      <c r="Q5430" s="74" t="s">
        <v>10987</v>
      </c>
    </row>
    <row r="5431" spans="3:17" x14ac:dyDescent="0.25">
      <c r="C5431" s="74" t="s">
        <v>10994</v>
      </c>
      <c r="D5431" s="74" t="s">
        <v>10995</v>
      </c>
      <c r="E5431" s="74"/>
      <c r="F5431" s="74">
        <v>0</v>
      </c>
      <c r="G5431" s="74"/>
      <c r="H5431" s="74"/>
      <c r="I5431" s="74" t="s">
        <v>391</v>
      </c>
      <c r="J5431" s="74"/>
      <c r="K5431" s="74">
        <v>102.4</v>
      </c>
      <c r="L5431" s="74">
        <v>92.16</v>
      </c>
      <c r="M5431" s="74"/>
      <c r="N5431" s="74" t="s">
        <v>392</v>
      </c>
      <c r="O5431" s="74" t="s">
        <v>402</v>
      </c>
      <c r="P5431" s="74" t="s">
        <v>10996</v>
      </c>
      <c r="Q5431" s="74" t="s">
        <v>10997</v>
      </c>
    </row>
    <row r="5432" spans="3:17" x14ac:dyDescent="0.25">
      <c r="C5432" s="74" t="s">
        <v>11019</v>
      </c>
      <c r="D5432" s="74" t="s">
        <v>11020</v>
      </c>
      <c r="E5432" s="74" t="s">
        <v>391</v>
      </c>
      <c r="F5432" s="74">
        <v>0</v>
      </c>
      <c r="G5432" s="74"/>
      <c r="H5432" s="74"/>
      <c r="I5432" s="74" t="s">
        <v>391</v>
      </c>
      <c r="J5432" s="74"/>
      <c r="K5432" s="74"/>
      <c r="L5432" s="74"/>
      <c r="M5432" s="74"/>
      <c r="N5432" s="74" t="s">
        <v>397</v>
      </c>
      <c r="O5432" s="74" t="s">
        <v>393</v>
      </c>
      <c r="P5432" s="74" t="s">
        <v>11021</v>
      </c>
      <c r="Q5432" s="74" t="s">
        <v>11022</v>
      </c>
    </row>
    <row r="5433" spans="3:17" x14ac:dyDescent="0.25">
      <c r="C5433" s="74" t="s">
        <v>11027</v>
      </c>
      <c r="D5433" s="74" t="s">
        <v>11028</v>
      </c>
      <c r="E5433" s="74" t="s">
        <v>391</v>
      </c>
      <c r="F5433" s="74">
        <v>0</v>
      </c>
      <c r="G5433" s="74"/>
      <c r="H5433" s="74"/>
      <c r="I5433" s="74" t="s">
        <v>391</v>
      </c>
      <c r="J5433" s="74"/>
      <c r="K5433" s="74">
        <v>102.4</v>
      </c>
      <c r="L5433" s="74">
        <v>92.16</v>
      </c>
      <c r="M5433" s="74"/>
      <c r="N5433" s="74" t="s">
        <v>392</v>
      </c>
      <c r="O5433" s="74" t="s">
        <v>393</v>
      </c>
      <c r="P5433" s="74"/>
      <c r="Q5433" s="74" t="s">
        <v>11029</v>
      </c>
    </row>
    <row r="5434" spans="3:17" x14ac:dyDescent="0.25">
      <c r="C5434" s="74" t="s">
        <v>11050</v>
      </c>
      <c r="D5434" s="74" t="s">
        <v>11051</v>
      </c>
      <c r="E5434" s="74" t="s">
        <v>391</v>
      </c>
      <c r="F5434" s="74">
        <v>0</v>
      </c>
      <c r="G5434" s="74"/>
      <c r="H5434" s="74"/>
      <c r="I5434" s="74" t="s">
        <v>391</v>
      </c>
      <c r="J5434" s="74"/>
      <c r="K5434" s="74">
        <v>102.4</v>
      </c>
      <c r="L5434" s="74">
        <v>92.16</v>
      </c>
      <c r="M5434" s="74"/>
      <c r="N5434" s="74" t="s">
        <v>392</v>
      </c>
      <c r="O5434" s="74" t="s">
        <v>393</v>
      </c>
      <c r="P5434" s="74"/>
      <c r="Q5434" s="74" t="s">
        <v>11052</v>
      </c>
    </row>
    <row r="5435" spans="3:17" x14ac:dyDescent="0.25">
      <c r="C5435" s="74" t="s">
        <v>11087</v>
      </c>
      <c r="D5435" s="74" t="s">
        <v>11088</v>
      </c>
      <c r="E5435" s="74" t="s">
        <v>391</v>
      </c>
      <c r="F5435" s="74">
        <v>0</v>
      </c>
      <c r="G5435" s="74"/>
      <c r="H5435" s="74"/>
      <c r="I5435" s="74" t="s">
        <v>391</v>
      </c>
      <c r="J5435" s="74"/>
      <c r="K5435" s="74">
        <v>102.4</v>
      </c>
      <c r="L5435" s="74">
        <v>92.16</v>
      </c>
      <c r="M5435" s="74"/>
      <c r="N5435" s="74" t="s">
        <v>392</v>
      </c>
      <c r="O5435" s="74" t="s">
        <v>393</v>
      </c>
      <c r="P5435" s="74"/>
      <c r="Q5435" s="74" t="s">
        <v>11089</v>
      </c>
    </row>
    <row r="5436" spans="3:17" x14ac:dyDescent="0.25">
      <c r="C5436" s="74" t="s">
        <v>11100</v>
      </c>
      <c r="D5436" s="74" t="s">
        <v>11101</v>
      </c>
      <c r="E5436" s="74" t="s">
        <v>391</v>
      </c>
      <c r="F5436" s="74">
        <v>0</v>
      </c>
      <c r="G5436" s="74"/>
      <c r="H5436" s="74"/>
      <c r="I5436" s="74" t="s">
        <v>391</v>
      </c>
      <c r="J5436" s="74"/>
      <c r="K5436" s="74"/>
      <c r="L5436" s="74"/>
      <c r="M5436" s="74"/>
      <c r="N5436" s="74" t="s">
        <v>397</v>
      </c>
      <c r="O5436" s="74" t="s">
        <v>393</v>
      </c>
      <c r="P5436" s="74" t="s">
        <v>11102</v>
      </c>
      <c r="Q5436" s="74" t="s">
        <v>11103</v>
      </c>
    </row>
    <row r="5437" spans="3:17" x14ac:dyDescent="0.25">
      <c r="C5437" s="74" t="s">
        <v>11112</v>
      </c>
      <c r="D5437" s="74" t="s">
        <v>11113</v>
      </c>
      <c r="E5437" s="74" t="s">
        <v>391</v>
      </c>
      <c r="F5437" s="74">
        <v>0</v>
      </c>
      <c r="G5437" s="74"/>
      <c r="H5437" s="74"/>
      <c r="I5437" s="74" t="s">
        <v>391</v>
      </c>
      <c r="J5437" s="74"/>
      <c r="K5437" s="74"/>
      <c r="L5437" s="74"/>
      <c r="M5437" s="74"/>
      <c r="N5437" s="74" t="s">
        <v>397</v>
      </c>
      <c r="O5437" s="74" t="s">
        <v>402</v>
      </c>
      <c r="P5437" s="74" t="s">
        <v>11114</v>
      </c>
      <c r="Q5437" s="74" t="s">
        <v>11115</v>
      </c>
    </row>
    <row r="5438" spans="3:17" x14ac:dyDescent="0.25">
      <c r="C5438" s="74" t="s">
        <v>11173</v>
      </c>
      <c r="D5438" s="74" t="s">
        <v>11174</v>
      </c>
      <c r="E5438" s="74" t="s">
        <v>391</v>
      </c>
      <c r="F5438" s="74">
        <v>0</v>
      </c>
      <c r="G5438" s="74"/>
      <c r="H5438" s="74"/>
      <c r="I5438" s="74" t="s">
        <v>391</v>
      </c>
      <c r="J5438" s="74"/>
      <c r="K5438" s="74"/>
      <c r="L5438" s="74"/>
      <c r="M5438" s="74"/>
      <c r="N5438" s="74" t="s">
        <v>397</v>
      </c>
      <c r="O5438" s="74" t="s">
        <v>393</v>
      </c>
      <c r="P5438" s="74"/>
      <c r="Q5438" s="74" t="s">
        <v>11175</v>
      </c>
    </row>
    <row r="5439" spans="3:17" x14ac:dyDescent="0.25">
      <c r="C5439" s="74" t="s">
        <v>11195</v>
      </c>
      <c r="D5439" s="74" t="s">
        <v>11196</v>
      </c>
      <c r="E5439" s="74" t="s">
        <v>391</v>
      </c>
      <c r="F5439" s="74">
        <v>0</v>
      </c>
      <c r="G5439" s="74"/>
      <c r="H5439" s="74"/>
      <c r="I5439" s="74" t="s">
        <v>391</v>
      </c>
      <c r="J5439" s="74"/>
      <c r="K5439" s="74"/>
      <c r="L5439" s="74"/>
      <c r="M5439" s="74"/>
      <c r="N5439" s="74" t="s">
        <v>397</v>
      </c>
      <c r="O5439" s="74" t="s">
        <v>393</v>
      </c>
      <c r="P5439" s="74" t="s">
        <v>11197</v>
      </c>
      <c r="Q5439" s="74" t="s">
        <v>11198</v>
      </c>
    </row>
    <row r="5440" spans="3:17" x14ac:dyDescent="0.25">
      <c r="C5440" s="74" t="s">
        <v>11209</v>
      </c>
      <c r="D5440" s="74" t="s">
        <v>11210</v>
      </c>
      <c r="E5440" s="74" t="s">
        <v>391</v>
      </c>
      <c r="F5440" s="74">
        <v>0</v>
      </c>
      <c r="G5440" s="74"/>
      <c r="H5440" s="74"/>
      <c r="I5440" s="74" t="s">
        <v>391</v>
      </c>
      <c r="J5440" s="74"/>
      <c r="K5440" s="74"/>
      <c r="L5440" s="74"/>
      <c r="M5440" s="74"/>
      <c r="N5440" s="74" t="s">
        <v>397</v>
      </c>
      <c r="O5440" s="74" t="s">
        <v>393</v>
      </c>
      <c r="P5440" s="74" t="s">
        <v>11211</v>
      </c>
      <c r="Q5440" s="74" t="s">
        <v>11212</v>
      </c>
    </row>
    <row r="5441" spans="3:17" x14ac:dyDescent="0.25">
      <c r="C5441" s="74" t="s">
        <v>11248</v>
      </c>
      <c r="D5441" s="74" t="s">
        <v>11249</v>
      </c>
      <c r="E5441" s="74"/>
      <c r="F5441" s="74">
        <v>0</v>
      </c>
      <c r="G5441" s="74"/>
      <c r="H5441" s="74"/>
      <c r="I5441" s="74" t="s">
        <v>391</v>
      </c>
      <c r="J5441" s="74"/>
      <c r="K5441" s="74">
        <v>102.4</v>
      </c>
      <c r="L5441" s="74">
        <v>92.16</v>
      </c>
      <c r="M5441" s="74"/>
      <c r="N5441" s="74" t="s">
        <v>392</v>
      </c>
      <c r="O5441" s="74" t="s">
        <v>402</v>
      </c>
      <c r="P5441" s="74" t="s">
        <v>11250</v>
      </c>
      <c r="Q5441" s="74" t="s">
        <v>11251</v>
      </c>
    </row>
    <row r="5442" spans="3:17" x14ac:dyDescent="0.25">
      <c r="C5442" s="74" t="s">
        <v>11256</v>
      </c>
      <c r="D5442" s="74" t="s">
        <v>11257</v>
      </c>
      <c r="E5442" s="74" t="s">
        <v>391</v>
      </c>
      <c r="F5442" s="74">
        <v>0</v>
      </c>
      <c r="G5442" s="74"/>
      <c r="H5442" s="74"/>
      <c r="I5442" s="74" t="s">
        <v>391</v>
      </c>
      <c r="J5442" s="74"/>
      <c r="K5442" s="74">
        <v>102.4</v>
      </c>
      <c r="L5442" s="74">
        <v>92.16</v>
      </c>
      <c r="M5442" s="74"/>
      <c r="N5442" s="74" t="s">
        <v>392</v>
      </c>
      <c r="O5442" s="74" t="s">
        <v>393</v>
      </c>
      <c r="P5442" s="74"/>
      <c r="Q5442" s="74" t="s">
        <v>11258</v>
      </c>
    </row>
    <row r="5443" spans="3:17" x14ac:dyDescent="0.25">
      <c r="C5443" s="74" t="s">
        <v>11266</v>
      </c>
      <c r="D5443" s="74" t="s">
        <v>11267</v>
      </c>
      <c r="E5443" s="74" t="s">
        <v>391</v>
      </c>
      <c r="F5443" s="74">
        <v>0</v>
      </c>
      <c r="G5443" s="74"/>
      <c r="H5443" s="74"/>
      <c r="I5443" s="74" t="s">
        <v>391</v>
      </c>
      <c r="J5443" s="74"/>
      <c r="K5443" s="74"/>
      <c r="L5443" s="74"/>
      <c r="M5443" s="74"/>
      <c r="N5443" s="74" t="s">
        <v>397</v>
      </c>
      <c r="O5443" s="74" t="s">
        <v>393</v>
      </c>
      <c r="P5443" s="74" t="s">
        <v>11268</v>
      </c>
      <c r="Q5443" s="74" t="s">
        <v>11269</v>
      </c>
    </row>
    <row r="5444" spans="3:17" x14ac:dyDescent="0.25">
      <c r="C5444" s="74" t="s">
        <v>11270</v>
      </c>
      <c r="D5444" s="74" t="s">
        <v>11271</v>
      </c>
      <c r="E5444" s="74"/>
      <c r="F5444" s="74">
        <v>0</v>
      </c>
      <c r="G5444" s="74"/>
      <c r="H5444" s="74"/>
      <c r="I5444" s="74" t="s">
        <v>391</v>
      </c>
      <c r="J5444" s="74"/>
      <c r="K5444" s="74">
        <v>102.4</v>
      </c>
      <c r="L5444" s="74">
        <v>92.16</v>
      </c>
      <c r="M5444" s="74"/>
      <c r="N5444" s="74" t="s">
        <v>392</v>
      </c>
      <c r="O5444" s="74" t="s">
        <v>402</v>
      </c>
      <c r="P5444" s="74" t="s">
        <v>11272</v>
      </c>
      <c r="Q5444" s="74" t="s">
        <v>11273</v>
      </c>
    </row>
    <row r="5445" spans="3:17" x14ac:dyDescent="0.25">
      <c r="C5445" s="74" t="s">
        <v>11278</v>
      </c>
      <c r="D5445" s="74" t="s">
        <v>11279</v>
      </c>
      <c r="E5445" s="74" t="s">
        <v>391</v>
      </c>
      <c r="F5445" s="74">
        <v>0</v>
      </c>
      <c r="G5445" s="74"/>
      <c r="H5445" s="74"/>
      <c r="I5445" s="74" t="s">
        <v>391</v>
      </c>
      <c r="J5445" s="74"/>
      <c r="K5445" s="74">
        <v>102.4</v>
      </c>
      <c r="L5445" s="74">
        <v>92.16</v>
      </c>
      <c r="M5445" s="74"/>
      <c r="N5445" s="74" t="s">
        <v>392</v>
      </c>
      <c r="O5445" s="74" t="s">
        <v>393</v>
      </c>
      <c r="P5445" s="74"/>
      <c r="Q5445" s="74" t="s">
        <v>11280</v>
      </c>
    </row>
    <row r="5446" spans="3:17" x14ac:dyDescent="0.25">
      <c r="C5446" s="74" t="s">
        <v>11299</v>
      </c>
      <c r="D5446" s="74" t="s">
        <v>11300</v>
      </c>
      <c r="E5446" s="74" t="s">
        <v>391</v>
      </c>
      <c r="F5446" s="74">
        <v>0</v>
      </c>
      <c r="G5446" s="74"/>
      <c r="H5446" s="74"/>
      <c r="I5446" s="74" t="s">
        <v>391</v>
      </c>
      <c r="J5446" s="74"/>
      <c r="K5446" s="74"/>
      <c r="L5446" s="74"/>
      <c r="M5446" s="74"/>
      <c r="N5446" s="74" t="s">
        <v>397</v>
      </c>
      <c r="O5446" s="74" t="s">
        <v>393</v>
      </c>
      <c r="P5446" s="74" t="s">
        <v>11301</v>
      </c>
      <c r="Q5446" s="74" t="s">
        <v>11302</v>
      </c>
    </row>
    <row r="5447" spans="3:17" x14ac:dyDescent="0.25">
      <c r="C5447" s="74" t="s">
        <v>11315</v>
      </c>
      <c r="D5447" s="74" t="s">
        <v>11316</v>
      </c>
      <c r="E5447" s="74" t="s">
        <v>391</v>
      </c>
      <c r="F5447" s="74">
        <v>0</v>
      </c>
      <c r="G5447" s="74"/>
      <c r="H5447" s="74"/>
      <c r="I5447" s="74" t="s">
        <v>391</v>
      </c>
      <c r="J5447" s="74"/>
      <c r="K5447" s="74"/>
      <c r="L5447" s="74"/>
      <c r="M5447" s="74"/>
      <c r="N5447" s="74" t="s">
        <v>397</v>
      </c>
      <c r="O5447" s="74" t="s">
        <v>393</v>
      </c>
      <c r="P5447" s="74" t="s">
        <v>11317</v>
      </c>
      <c r="Q5447" s="74" t="s">
        <v>11318</v>
      </c>
    </row>
    <row r="5448" spans="3:17" x14ac:dyDescent="0.25">
      <c r="C5448" s="74" t="s">
        <v>11325</v>
      </c>
      <c r="D5448" s="74" t="s">
        <v>11326</v>
      </c>
      <c r="E5448" s="74" t="s">
        <v>391</v>
      </c>
      <c r="F5448" s="74">
        <v>0</v>
      </c>
      <c r="G5448" s="74"/>
      <c r="H5448" s="74"/>
      <c r="I5448" s="74" t="s">
        <v>391</v>
      </c>
      <c r="J5448" s="74"/>
      <c r="K5448" s="74"/>
      <c r="L5448" s="74"/>
      <c r="M5448" s="74"/>
      <c r="N5448" s="74" t="s">
        <v>397</v>
      </c>
      <c r="O5448" s="74" t="s">
        <v>393</v>
      </c>
      <c r="P5448" s="74" t="s">
        <v>11327</v>
      </c>
      <c r="Q5448" s="74" t="s">
        <v>11328</v>
      </c>
    </row>
    <row r="5449" spans="3:17" x14ac:dyDescent="0.25">
      <c r="C5449" s="74" t="s">
        <v>11361</v>
      </c>
      <c r="D5449" s="74" t="s">
        <v>11362</v>
      </c>
      <c r="E5449" s="74" t="s">
        <v>391</v>
      </c>
      <c r="F5449" s="74">
        <v>0</v>
      </c>
      <c r="G5449" s="74"/>
      <c r="H5449" s="74"/>
      <c r="I5449" s="74" t="s">
        <v>391</v>
      </c>
      <c r="J5449" s="74"/>
      <c r="K5449" s="74"/>
      <c r="L5449" s="74"/>
      <c r="M5449" s="74"/>
      <c r="N5449" s="74" t="s">
        <v>397</v>
      </c>
      <c r="O5449" s="74" t="s">
        <v>393</v>
      </c>
      <c r="P5449" s="74" t="s">
        <v>11363</v>
      </c>
      <c r="Q5449" s="74" t="s">
        <v>11364</v>
      </c>
    </row>
    <row r="5450" spans="3:17" x14ac:dyDescent="0.25">
      <c r="C5450" s="74" t="s">
        <v>11371</v>
      </c>
      <c r="D5450" s="74" t="s">
        <v>11372</v>
      </c>
      <c r="E5450" s="74"/>
      <c r="F5450" s="74">
        <v>0</v>
      </c>
      <c r="G5450" s="74"/>
      <c r="H5450" s="74"/>
      <c r="I5450" s="74" t="s">
        <v>391</v>
      </c>
      <c r="J5450" s="74"/>
      <c r="K5450" s="74">
        <v>102.4</v>
      </c>
      <c r="L5450" s="74">
        <v>92.16</v>
      </c>
      <c r="M5450" s="74"/>
      <c r="N5450" s="74" t="s">
        <v>392</v>
      </c>
      <c r="O5450" s="74" t="s">
        <v>402</v>
      </c>
      <c r="P5450" s="74" t="s">
        <v>11373</v>
      </c>
      <c r="Q5450" s="74" t="s">
        <v>11374</v>
      </c>
    </row>
    <row r="5451" spans="3:17" x14ac:dyDescent="0.25">
      <c r="C5451" s="74" t="s">
        <v>11388</v>
      </c>
      <c r="D5451" s="74" t="s">
        <v>11389</v>
      </c>
      <c r="E5451" s="74" t="s">
        <v>391</v>
      </c>
      <c r="F5451" s="74">
        <v>0</v>
      </c>
      <c r="G5451" s="74"/>
      <c r="H5451" s="74"/>
      <c r="I5451" s="74" t="s">
        <v>391</v>
      </c>
      <c r="J5451" s="74"/>
      <c r="K5451" s="74"/>
      <c r="L5451" s="74"/>
      <c r="M5451" s="74"/>
      <c r="N5451" s="74" t="s">
        <v>397</v>
      </c>
      <c r="O5451" s="74" t="s">
        <v>393</v>
      </c>
      <c r="P5451" s="74" t="s">
        <v>11390</v>
      </c>
      <c r="Q5451" s="74" t="s">
        <v>11391</v>
      </c>
    </row>
    <row r="5452" spans="3:17" x14ac:dyDescent="0.25">
      <c r="C5452" s="74" t="s">
        <v>11407</v>
      </c>
      <c r="D5452" s="74" t="s">
        <v>11408</v>
      </c>
      <c r="E5452" s="74" t="s">
        <v>391</v>
      </c>
      <c r="F5452" s="74">
        <v>0</v>
      </c>
      <c r="G5452" s="74"/>
      <c r="H5452" s="74"/>
      <c r="I5452" s="74" t="s">
        <v>391</v>
      </c>
      <c r="J5452" s="74"/>
      <c r="K5452" s="74">
        <v>102.4</v>
      </c>
      <c r="L5452" s="74">
        <v>92.16</v>
      </c>
      <c r="M5452" s="74"/>
      <c r="N5452" s="74" t="s">
        <v>392</v>
      </c>
      <c r="O5452" s="74" t="s">
        <v>393</v>
      </c>
      <c r="P5452" s="74"/>
      <c r="Q5452" s="74" t="s">
        <v>11409</v>
      </c>
    </row>
    <row r="5453" spans="3:17" x14ac:dyDescent="0.25">
      <c r="C5453" s="74" t="s">
        <v>11438</v>
      </c>
      <c r="D5453" s="74" t="s">
        <v>11439</v>
      </c>
      <c r="E5453" s="74" t="s">
        <v>391</v>
      </c>
      <c r="F5453" s="74">
        <v>0</v>
      </c>
      <c r="G5453" s="74"/>
      <c r="H5453" s="74"/>
      <c r="I5453" s="74" t="s">
        <v>391</v>
      </c>
      <c r="J5453" s="74"/>
      <c r="K5453" s="74"/>
      <c r="L5453" s="74"/>
      <c r="M5453" s="74"/>
      <c r="N5453" s="74" t="s">
        <v>397</v>
      </c>
      <c r="O5453" s="74" t="s">
        <v>393</v>
      </c>
      <c r="P5453" s="74" t="s">
        <v>11440</v>
      </c>
      <c r="Q5453" s="74" t="s">
        <v>11441</v>
      </c>
    </row>
    <row r="5454" spans="3:17" x14ac:dyDescent="0.25">
      <c r="C5454" s="74" t="s">
        <v>11449</v>
      </c>
      <c r="D5454" s="74" t="s">
        <v>11450</v>
      </c>
      <c r="E5454" s="74" t="s">
        <v>391</v>
      </c>
      <c r="F5454" s="74">
        <v>0</v>
      </c>
      <c r="G5454" s="74"/>
      <c r="H5454" s="74"/>
      <c r="I5454" s="74" t="s">
        <v>391</v>
      </c>
      <c r="J5454" s="74"/>
      <c r="K5454" s="74">
        <v>102.4</v>
      </c>
      <c r="L5454" s="74">
        <v>92.16</v>
      </c>
      <c r="M5454" s="74"/>
      <c r="N5454" s="74" t="s">
        <v>392</v>
      </c>
      <c r="O5454" s="74" t="s">
        <v>393</v>
      </c>
      <c r="P5454" s="74"/>
      <c r="Q5454" s="74" t="s">
        <v>11451</v>
      </c>
    </row>
    <row r="5455" spans="3:17" x14ac:dyDescent="0.25">
      <c r="C5455" s="74" t="s">
        <v>11475</v>
      </c>
      <c r="D5455" s="74" t="s">
        <v>11476</v>
      </c>
      <c r="E5455" s="74"/>
      <c r="F5455" s="74">
        <v>0</v>
      </c>
      <c r="G5455" s="74"/>
      <c r="H5455" s="74"/>
      <c r="I5455" s="74" t="s">
        <v>391</v>
      </c>
      <c r="J5455" s="74"/>
      <c r="K5455" s="74">
        <v>102.4</v>
      </c>
      <c r="L5455" s="74">
        <v>92.16</v>
      </c>
      <c r="M5455" s="74"/>
      <c r="N5455" s="74" t="s">
        <v>392</v>
      </c>
      <c r="O5455" s="74" t="s">
        <v>402</v>
      </c>
      <c r="P5455" s="74"/>
      <c r="Q5455" s="74" t="s">
        <v>11477</v>
      </c>
    </row>
    <row r="5456" spans="3:17" x14ac:dyDescent="0.25">
      <c r="C5456" s="74" t="s">
        <v>11500</v>
      </c>
      <c r="D5456" s="74" t="s">
        <v>11501</v>
      </c>
      <c r="E5456" s="74" t="s">
        <v>391</v>
      </c>
      <c r="F5456" s="74">
        <v>0</v>
      </c>
      <c r="G5456" s="74"/>
      <c r="H5456" s="74"/>
      <c r="I5456" s="74" t="s">
        <v>391</v>
      </c>
      <c r="J5456" s="74"/>
      <c r="K5456" s="74">
        <v>102.4</v>
      </c>
      <c r="L5456" s="74">
        <v>92.16</v>
      </c>
      <c r="M5456" s="74"/>
      <c r="N5456" s="74" t="s">
        <v>392</v>
      </c>
      <c r="O5456" s="74" t="s">
        <v>393</v>
      </c>
      <c r="P5456" s="74"/>
      <c r="Q5456" s="74" t="s">
        <v>11502</v>
      </c>
    </row>
    <row r="5457" spans="3:17" x14ac:dyDescent="0.25">
      <c r="C5457" s="74" t="s">
        <v>11551</v>
      </c>
      <c r="D5457" s="74" t="s">
        <v>11552</v>
      </c>
      <c r="E5457" s="74" t="s">
        <v>391</v>
      </c>
      <c r="F5457" s="74">
        <v>0</v>
      </c>
      <c r="G5457" s="74"/>
      <c r="H5457" s="74"/>
      <c r="I5457" s="74" t="s">
        <v>391</v>
      </c>
      <c r="J5457" s="74"/>
      <c r="K5457" s="74"/>
      <c r="L5457" s="74"/>
      <c r="M5457" s="74"/>
      <c r="N5457" s="74" t="s">
        <v>397</v>
      </c>
      <c r="O5457" s="74" t="s">
        <v>393</v>
      </c>
      <c r="P5457" s="74" t="s">
        <v>11553</v>
      </c>
      <c r="Q5457" s="74" t="s">
        <v>11554</v>
      </c>
    </row>
    <row r="5458" spans="3:17" x14ac:dyDescent="0.25">
      <c r="C5458" s="74" t="s">
        <v>11570</v>
      </c>
      <c r="D5458" s="74" t="s">
        <v>11571</v>
      </c>
      <c r="E5458" s="74" t="s">
        <v>391</v>
      </c>
      <c r="F5458" s="74">
        <v>0</v>
      </c>
      <c r="G5458" s="74"/>
      <c r="H5458" s="74"/>
      <c r="I5458" s="74" t="s">
        <v>391</v>
      </c>
      <c r="J5458" s="74"/>
      <c r="K5458" s="74"/>
      <c r="L5458" s="74"/>
      <c r="M5458" s="74"/>
      <c r="N5458" s="74" t="s">
        <v>397</v>
      </c>
      <c r="O5458" s="74" t="s">
        <v>393</v>
      </c>
      <c r="P5458" s="74" t="s">
        <v>11572</v>
      </c>
      <c r="Q5458" s="74" t="s">
        <v>11573</v>
      </c>
    </row>
    <row r="5459" spans="3:17" x14ac:dyDescent="0.25">
      <c r="C5459" s="74" t="s">
        <v>11585</v>
      </c>
      <c r="D5459" s="74" t="s">
        <v>11586</v>
      </c>
      <c r="E5459" s="74" t="s">
        <v>391</v>
      </c>
      <c r="F5459" s="74">
        <v>0</v>
      </c>
      <c r="G5459" s="74"/>
      <c r="H5459" s="74"/>
      <c r="I5459" s="74" t="s">
        <v>391</v>
      </c>
      <c r="J5459" s="74"/>
      <c r="K5459" s="74">
        <v>102.4</v>
      </c>
      <c r="L5459" s="74">
        <v>92.16</v>
      </c>
      <c r="M5459" s="74"/>
      <c r="N5459" s="74" t="s">
        <v>392</v>
      </c>
      <c r="O5459" s="74" t="s">
        <v>393</v>
      </c>
      <c r="P5459" s="74"/>
      <c r="Q5459" s="74" t="s">
        <v>11587</v>
      </c>
    </row>
    <row r="5460" spans="3:17" x14ac:dyDescent="0.25">
      <c r="C5460" s="74" t="s">
        <v>11588</v>
      </c>
      <c r="D5460" s="74" t="s">
        <v>11589</v>
      </c>
      <c r="E5460" s="74" t="s">
        <v>391</v>
      </c>
      <c r="F5460" s="74">
        <v>0</v>
      </c>
      <c r="G5460" s="74"/>
      <c r="H5460" s="74"/>
      <c r="I5460" s="74" t="s">
        <v>391</v>
      </c>
      <c r="J5460" s="74"/>
      <c r="K5460" s="74"/>
      <c r="L5460" s="74"/>
      <c r="M5460" s="74"/>
      <c r="N5460" s="74" t="s">
        <v>397</v>
      </c>
      <c r="O5460" s="74" t="s">
        <v>393</v>
      </c>
      <c r="P5460" s="74" t="s">
        <v>11590</v>
      </c>
      <c r="Q5460" s="74" t="s">
        <v>11591</v>
      </c>
    </row>
    <row r="5461" spans="3:17" x14ac:dyDescent="0.25">
      <c r="C5461" s="74" t="s">
        <v>11599</v>
      </c>
      <c r="D5461" s="74" t="s">
        <v>11600</v>
      </c>
      <c r="E5461" s="74" t="s">
        <v>391</v>
      </c>
      <c r="F5461" s="74">
        <v>0</v>
      </c>
      <c r="G5461" s="74"/>
      <c r="H5461" s="74"/>
      <c r="I5461" s="74" t="s">
        <v>391</v>
      </c>
      <c r="J5461" s="74"/>
      <c r="K5461" s="74"/>
      <c r="L5461" s="74"/>
      <c r="M5461" s="74"/>
      <c r="N5461" s="74" t="s">
        <v>397</v>
      </c>
      <c r="O5461" s="74" t="s">
        <v>393</v>
      </c>
      <c r="P5461" s="74" t="s">
        <v>11601</v>
      </c>
      <c r="Q5461" s="74" t="s">
        <v>11602</v>
      </c>
    </row>
    <row r="5462" spans="3:17" x14ac:dyDescent="0.25">
      <c r="C5462" s="74" t="s">
        <v>11603</v>
      </c>
      <c r="D5462" s="74" t="s">
        <v>11604</v>
      </c>
      <c r="E5462" s="74" t="s">
        <v>391</v>
      </c>
      <c r="F5462" s="74">
        <v>0</v>
      </c>
      <c r="G5462" s="74"/>
      <c r="H5462" s="74"/>
      <c r="I5462" s="74" t="s">
        <v>391</v>
      </c>
      <c r="J5462" s="74"/>
      <c r="K5462" s="74"/>
      <c r="L5462" s="74"/>
      <c r="M5462" s="74"/>
      <c r="N5462" s="74" t="s">
        <v>397</v>
      </c>
      <c r="O5462" s="74" t="s">
        <v>393</v>
      </c>
      <c r="P5462" s="74" t="s">
        <v>11605</v>
      </c>
      <c r="Q5462" s="74" t="s">
        <v>11606</v>
      </c>
    </row>
    <row r="5463" spans="3:17" x14ac:dyDescent="0.25">
      <c r="C5463" s="74" t="s">
        <v>11611</v>
      </c>
      <c r="D5463" s="74" t="s">
        <v>11612</v>
      </c>
      <c r="E5463" s="74"/>
      <c r="F5463" s="74">
        <v>0</v>
      </c>
      <c r="G5463" s="74"/>
      <c r="H5463" s="74"/>
      <c r="I5463" s="74" t="s">
        <v>391</v>
      </c>
      <c r="J5463" s="74"/>
      <c r="K5463" s="74">
        <v>102.4</v>
      </c>
      <c r="L5463" s="74">
        <v>92.16</v>
      </c>
      <c r="M5463" s="74"/>
      <c r="N5463" s="74" t="s">
        <v>392</v>
      </c>
      <c r="O5463" s="74" t="s">
        <v>402</v>
      </c>
      <c r="P5463" s="74" t="s">
        <v>11613</v>
      </c>
      <c r="Q5463" s="74" t="s">
        <v>11614</v>
      </c>
    </row>
    <row r="5464" spans="3:17" x14ac:dyDescent="0.25">
      <c r="C5464" s="74" t="s">
        <v>11641</v>
      </c>
      <c r="D5464" s="74" t="s">
        <v>11642</v>
      </c>
      <c r="E5464" s="74" t="s">
        <v>391</v>
      </c>
      <c r="F5464" s="74">
        <v>0</v>
      </c>
      <c r="G5464" s="74"/>
      <c r="H5464" s="74"/>
      <c r="I5464" s="74" t="s">
        <v>391</v>
      </c>
      <c r="J5464" s="74"/>
      <c r="K5464" s="74">
        <v>102.4</v>
      </c>
      <c r="L5464" s="74">
        <v>92.16</v>
      </c>
      <c r="M5464" s="74"/>
      <c r="N5464" s="74" t="s">
        <v>392</v>
      </c>
      <c r="O5464" s="74" t="s">
        <v>393</v>
      </c>
      <c r="P5464" s="74"/>
      <c r="Q5464" s="74" t="s">
        <v>11643</v>
      </c>
    </row>
    <row r="5465" spans="3:17" x14ac:dyDescent="0.25">
      <c r="C5465" s="74" t="s">
        <v>11647</v>
      </c>
      <c r="D5465" s="74" t="s">
        <v>11648</v>
      </c>
      <c r="E5465" s="74" t="s">
        <v>391</v>
      </c>
      <c r="F5465" s="74">
        <v>0</v>
      </c>
      <c r="G5465" s="74"/>
      <c r="H5465" s="74"/>
      <c r="I5465" s="74" t="s">
        <v>391</v>
      </c>
      <c r="J5465" s="74"/>
      <c r="K5465" s="74"/>
      <c r="L5465" s="74"/>
      <c r="M5465" s="74"/>
      <c r="N5465" s="74" t="s">
        <v>397</v>
      </c>
      <c r="O5465" s="74" t="s">
        <v>393</v>
      </c>
      <c r="P5465" s="74"/>
      <c r="Q5465" s="74" t="s">
        <v>11649</v>
      </c>
    </row>
    <row r="5466" spans="3:17" x14ac:dyDescent="0.25">
      <c r="C5466" s="74" t="s">
        <v>11660</v>
      </c>
      <c r="D5466" s="74" t="s">
        <v>11661</v>
      </c>
      <c r="E5466" s="74" t="s">
        <v>391</v>
      </c>
      <c r="F5466" s="74">
        <v>0</v>
      </c>
      <c r="G5466" s="74"/>
      <c r="H5466" s="74"/>
      <c r="I5466" s="74" t="s">
        <v>391</v>
      </c>
      <c r="J5466" s="74"/>
      <c r="K5466" s="74"/>
      <c r="L5466" s="74"/>
      <c r="M5466" s="74"/>
      <c r="N5466" s="74" t="s">
        <v>397</v>
      </c>
      <c r="O5466" s="74" t="s">
        <v>393</v>
      </c>
      <c r="P5466" s="74" t="s">
        <v>11662</v>
      </c>
      <c r="Q5466" s="74" t="s">
        <v>11663</v>
      </c>
    </row>
    <row r="5467" spans="3:17" x14ac:dyDescent="0.25">
      <c r="C5467" s="74" t="s">
        <v>11714</v>
      </c>
      <c r="D5467" s="74" t="s">
        <v>11715</v>
      </c>
      <c r="E5467" s="74" t="s">
        <v>391</v>
      </c>
      <c r="F5467" s="74">
        <v>0</v>
      </c>
      <c r="G5467" s="74"/>
      <c r="H5467" s="74"/>
      <c r="I5467" s="74" t="s">
        <v>391</v>
      </c>
      <c r="J5467" s="74"/>
      <c r="K5467" s="74"/>
      <c r="L5467" s="74"/>
      <c r="M5467" s="74"/>
      <c r="N5467" s="74" t="s">
        <v>397</v>
      </c>
      <c r="O5467" s="74" t="s">
        <v>393</v>
      </c>
      <c r="P5467" s="74" t="s">
        <v>11716</v>
      </c>
      <c r="Q5467" s="74" t="s">
        <v>11717</v>
      </c>
    </row>
    <row r="5468" spans="3:17" x14ac:dyDescent="0.25">
      <c r="C5468" s="74" t="s">
        <v>11718</v>
      </c>
      <c r="D5468" s="74" t="s">
        <v>11719</v>
      </c>
      <c r="E5468" s="74" t="s">
        <v>391</v>
      </c>
      <c r="F5468" s="74">
        <v>0</v>
      </c>
      <c r="G5468" s="74"/>
      <c r="H5468" s="74"/>
      <c r="I5468" s="74" t="s">
        <v>391</v>
      </c>
      <c r="J5468" s="74"/>
      <c r="K5468" s="74"/>
      <c r="L5468" s="74"/>
      <c r="M5468" s="74"/>
      <c r="N5468" s="74" t="s">
        <v>397</v>
      </c>
      <c r="O5468" s="74" t="s">
        <v>393</v>
      </c>
      <c r="P5468" s="74" t="s">
        <v>11720</v>
      </c>
      <c r="Q5468" s="74" t="s">
        <v>11721</v>
      </c>
    </row>
    <row r="5469" spans="3:17" x14ac:dyDescent="0.25">
      <c r="C5469" s="74" t="s">
        <v>11735</v>
      </c>
      <c r="D5469" s="74" t="s">
        <v>11736</v>
      </c>
      <c r="E5469" s="74" t="s">
        <v>391</v>
      </c>
      <c r="F5469" s="74">
        <v>0</v>
      </c>
      <c r="G5469" s="74"/>
      <c r="H5469" s="74"/>
      <c r="I5469" s="74" t="s">
        <v>391</v>
      </c>
      <c r="J5469" s="74"/>
      <c r="K5469" s="74"/>
      <c r="L5469" s="74"/>
      <c r="M5469" s="74"/>
      <c r="N5469" s="74" t="s">
        <v>397</v>
      </c>
      <c r="O5469" s="74" t="s">
        <v>393</v>
      </c>
      <c r="P5469" s="74" t="s">
        <v>11737</v>
      </c>
      <c r="Q5469" s="74" t="s">
        <v>11738</v>
      </c>
    </row>
    <row r="5470" spans="3:17" x14ac:dyDescent="0.25">
      <c r="C5470" s="74" t="s">
        <v>11743</v>
      </c>
      <c r="D5470" s="74" t="s">
        <v>11744</v>
      </c>
      <c r="E5470" s="74"/>
      <c r="F5470" s="74">
        <v>0</v>
      </c>
      <c r="G5470" s="74"/>
      <c r="H5470" s="74"/>
      <c r="I5470" s="74" t="s">
        <v>391</v>
      </c>
      <c r="J5470" s="74"/>
      <c r="K5470" s="74">
        <v>102.4</v>
      </c>
      <c r="L5470" s="74">
        <v>92.16</v>
      </c>
      <c r="M5470" s="74"/>
      <c r="N5470" s="74" t="s">
        <v>392</v>
      </c>
      <c r="O5470" s="74" t="s">
        <v>402</v>
      </c>
      <c r="P5470" s="74"/>
      <c r="Q5470" s="74" t="s">
        <v>11745</v>
      </c>
    </row>
    <row r="5471" spans="3:17" x14ac:dyDescent="0.25">
      <c r="C5471" s="74" t="s">
        <v>11758</v>
      </c>
      <c r="D5471" s="74" t="s">
        <v>11759</v>
      </c>
      <c r="E5471" s="74" t="s">
        <v>391</v>
      </c>
      <c r="F5471" s="74">
        <v>0</v>
      </c>
      <c r="G5471" s="74"/>
      <c r="H5471" s="74"/>
      <c r="I5471" s="74" t="s">
        <v>391</v>
      </c>
      <c r="J5471" s="74"/>
      <c r="K5471" s="74"/>
      <c r="L5471" s="74"/>
      <c r="M5471" s="74"/>
      <c r="N5471" s="74" t="s">
        <v>397</v>
      </c>
      <c r="O5471" s="74" t="s">
        <v>393</v>
      </c>
      <c r="P5471" s="74" t="s">
        <v>11760</v>
      </c>
      <c r="Q5471" s="74" t="s">
        <v>11761</v>
      </c>
    </row>
    <row r="5472" spans="3:17" x14ac:dyDescent="0.25">
      <c r="C5472" s="74" t="s">
        <v>11762</v>
      </c>
      <c r="D5472" s="74" t="s">
        <v>11763</v>
      </c>
      <c r="E5472" s="74"/>
      <c r="F5472" s="74">
        <v>0</v>
      </c>
      <c r="G5472" s="74"/>
      <c r="H5472" s="74"/>
      <c r="I5472" s="74" t="s">
        <v>391</v>
      </c>
      <c r="J5472" s="74"/>
      <c r="K5472" s="74">
        <v>102.4</v>
      </c>
      <c r="L5472" s="74">
        <v>92.16</v>
      </c>
      <c r="M5472" s="74"/>
      <c r="N5472" s="74" t="s">
        <v>392</v>
      </c>
      <c r="O5472" s="74" t="s">
        <v>402</v>
      </c>
      <c r="P5472" s="74" t="s">
        <v>11764</v>
      </c>
      <c r="Q5472" s="74" t="s">
        <v>11765</v>
      </c>
    </row>
    <row r="5473" spans="3:17" x14ac:dyDescent="0.25">
      <c r="C5473" s="74" t="s">
        <v>11770</v>
      </c>
      <c r="D5473" s="74" t="s">
        <v>11771</v>
      </c>
      <c r="E5473" s="74"/>
      <c r="F5473" s="74">
        <v>0</v>
      </c>
      <c r="G5473" s="74"/>
      <c r="H5473" s="74"/>
      <c r="I5473" s="74" t="s">
        <v>391</v>
      </c>
      <c r="J5473" s="74"/>
      <c r="K5473" s="74">
        <v>102.4</v>
      </c>
      <c r="L5473" s="74">
        <v>92.16</v>
      </c>
      <c r="M5473" s="74"/>
      <c r="N5473" s="74" t="s">
        <v>392</v>
      </c>
      <c r="O5473" s="74" t="s">
        <v>402</v>
      </c>
      <c r="P5473" s="74"/>
      <c r="Q5473" s="74" t="s">
        <v>11772</v>
      </c>
    </row>
    <row r="5474" spans="3:17" x14ac:dyDescent="0.25">
      <c r="C5474" s="74" t="s">
        <v>11788</v>
      </c>
      <c r="D5474" s="74" t="s">
        <v>11789</v>
      </c>
      <c r="E5474" s="74" t="s">
        <v>391</v>
      </c>
      <c r="F5474" s="74">
        <v>0</v>
      </c>
      <c r="G5474" s="74"/>
      <c r="H5474" s="74"/>
      <c r="I5474" s="74" t="s">
        <v>391</v>
      </c>
      <c r="J5474" s="74"/>
      <c r="K5474" s="74">
        <v>102.4</v>
      </c>
      <c r="L5474" s="74">
        <v>92.16</v>
      </c>
      <c r="M5474" s="74"/>
      <c r="N5474" s="74" t="s">
        <v>392</v>
      </c>
      <c r="O5474" s="74" t="s">
        <v>393</v>
      </c>
      <c r="P5474" s="74"/>
      <c r="Q5474" s="74" t="s">
        <v>11790</v>
      </c>
    </row>
    <row r="5475" spans="3:17" x14ac:dyDescent="0.25">
      <c r="C5475" s="74" t="s">
        <v>11810</v>
      </c>
      <c r="D5475" s="74" t="s">
        <v>11811</v>
      </c>
      <c r="E5475" s="74" t="s">
        <v>391</v>
      </c>
      <c r="F5475" s="74">
        <v>0</v>
      </c>
      <c r="G5475" s="74"/>
      <c r="H5475" s="74"/>
      <c r="I5475" s="74" t="s">
        <v>391</v>
      </c>
      <c r="J5475" s="74"/>
      <c r="K5475" s="74"/>
      <c r="L5475" s="74"/>
      <c r="M5475" s="74"/>
      <c r="N5475" s="74" t="s">
        <v>397</v>
      </c>
      <c r="O5475" s="74" t="s">
        <v>393</v>
      </c>
      <c r="P5475" s="74" t="s">
        <v>11812</v>
      </c>
      <c r="Q5475" s="74" t="s">
        <v>11813</v>
      </c>
    </row>
    <row r="5476" spans="3:17" x14ac:dyDescent="0.25">
      <c r="C5476" s="74" t="s">
        <v>11874</v>
      </c>
      <c r="D5476" s="74" t="s">
        <v>11875</v>
      </c>
      <c r="E5476" s="74" t="s">
        <v>391</v>
      </c>
      <c r="F5476" s="74">
        <v>0</v>
      </c>
      <c r="G5476" s="74"/>
      <c r="H5476" s="74"/>
      <c r="I5476" s="74" t="s">
        <v>391</v>
      </c>
      <c r="J5476" s="74"/>
      <c r="K5476" s="74">
        <v>102.4</v>
      </c>
      <c r="L5476" s="74">
        <v>92.16</v>
      </c>
      <c r="M5476" s="74"/>
      <c r="N5476" s="74" t="s">
        <v>392</v>
      </c>
      <c r="O5476" s="74" t="s">
        <v>393</v>
      </c>
      <c r="P5476" s="74"/>
      <c r="Q5476" s="74" t="s">
        <v>11876</v>
      </c>
    </row>
    <row r="5477" spans="3:17" x14ac:dyDescent="0.25">
      <c r="C5477" s="74" t="s">
        <v>11893</v>
      </c>
      <c r="D5477" s="74" t="s">
        <v>11894</v>
      </c>
      <c r="E5477" s="74" t="s">
        <v>391</v>
      </c>
      <c r="F5477" s="74">
        <v>0</v>
      </c>
      <c r="G5477" s="74"/>
      <c r="H5477" s="74"/>
      <c r="I5477" s="74" t="s">
        <v>391</v>
      </c>
      <c r="J5477" s="74"/>
      <c r="K5477" s="74">
        <v>102.4</v>
      </c>
      <c r="L5477" s="74">
        <v>92.16</v>
      </c>
      <c r="M5477" s="74"/>
      <c r="N5477" s="74" t="s">
        <v>392</v>
      </c>
      <c r="O5477" s="74" t="s">
        <v>393</v>
      </c>
      <c r="P5477" s="74"/>
      <c r="Q5477" s="74" t="s">
        <v>11895</v>
      </c>
    </row>
    <row r="5478" spans="3:17" x14ac:dyDescent="0.25">
      <c r="C5478" s="74" t="s">
        <v>11912</v>
      </c>
      <c r="D5478" s="74" t="s">
        <v>11913</v>
      </c>
      <c r="E5478" s="74" t="s">
        <v>391</v>
      </c>
      <c r="F5478" s="74">
        <v>0</v>
      </c>
      <c r="G5478" s="74"/>
      <c r="H5478" s="74"/>
      <c r="I5478" s="74" t="s">
        <v>391</v>
      </c>
      <c r="J5478" s="74"/>
      <c r="K5478" s="74"/>
      <c r="L5478" s="74"/>
      <c r="M5478" s="74"/>
      <c r="N5478" s="74" t="s">
        <v>397</v>
      </c>
      <c r="O5478" s="74" t="s">
        <v>393</v>
      </c>
      <c r="P5478" s="74" t="s">
        <v>11914</v>
      </c>
      <c r="Q5478" s="74" t="s">
        <v>11915</v>
      </c>
    </row>
    <row r="5479" spans="3:17" x14ac:dyDescent="0.25">
      <c r="C5479" s="74" t="s">
        <v>11919</v>
      </c>
      <c r="D5479" s="74" t="s">
        <v>11920</v>
      </c>
      <c r="E5479" s="74" t="s">
        <v>391</v>
      </c>
      <c r="F5479" s="74">
        <v>0</v>
      </c>
      <c r="G5479" s="74"/>
      <c r="H5479" s="74"/>
      <c r="I5479" s="74" t="s">
        <v>391</v>
      </c>
      <c r="J5479" s="74"/>
      <c r="K5479" s="74"/>
      <c r="L5479" s="74"/>
      <c r="M5479" s="74"/>
      <c r="N5479" s="74" t="s">
        <v>397</v>
      </c>
      <c r="O5479" s="74" t="s">
        <v>393</v>
      </c>
      <c r="P5479" s="74" t="s">
        <v>11921</v>
      </c>
      <c r="Q5479" s="74" t="s">
        <v>11922</v>
      </c>
    </row>
    <row r="5480" spans="3:17" x14ac:dyDescent="0.25">
      <c r="C5480" s="74" t="s">
        <v>11923</v>
      </c>
      <c r="D5480" s="74" t="s">
        <v>11924</v>
      </c>
      <c r="E5480" s="74" t="s">
        <v>391</v>
      </c>
      <c r="F5480" s="74">
        <v>0</v>
      </c>
      <c r="G5480" s="74"/>
      <c r="H5480" s="74"/>
      <c r="I5480" s="74" t="s">
        <v>391</v>
      </c>
      <c r="J5480" s="74"/>
      <c r="K5480" s="74"/>
      <c r="L5480" s="74"/>
      <c r="M5480" s="74"/>
      <c r="N5480" s="74" t="s">
        <v>397</v>
      </c>
      <c r="O5480" s="74" t="s">
        <v>393</v>
      </c>
      <c r="P5480" s="74" t="s">
        <v>11925</v>
      </c>
      <c r="Q5480" s="74" t="s">
        <v>11926</v>
      </c>
    </row>
    <row r="5481" spans="3:17" x14ac:dyDescent="0.25">
      <c r="C5481" s="74" t="s">
        <v>11933</v>
      </c>
      <c r="D5481" s="74" t="s">
        <v>11934</v>
      </c>
      <c r="E5481" s="74" t="s">
        <v>391</v>
      </c>
      <c r="F5481" s="74">
        <v>0</v>
      </c>
      <c r="G5481" s="74"/>
      <c r="H5481" s="74"/>
      <c r="I5481" s="74" t="s">
        <v>391</v>
      </c>
      <c r="J5481" s="74"/>
      <c r="K5481" s="74"/>
      <c r="L5481" s="74"/>
      <c r="M5481" s="74"/>
      <c r="N5481" s="74" t="s">
        <v>397</v>
      </c>
      <c r="O5481" s="74" t="s">
        <v>393</v>
      </c>
      <c r="P5481" s="74" t="s">
        <v>11935</v>
      </c>
      <c r="Q5481" s="74" t="s">
        <v>11936</v>
      </c>
    </row>
    <row r="5482" spans="3:17" x14ac:dyDescent="0.25">
      <c r="C5482" s="74" t="s">
        <v>11983</v>
      </c>
      <c r="D5482" s="74" t="s">
        <v>11984</v>
      </c>
      <c r="E5482" s="74"/>
      <c r="F5482" s="74">
        <v>0</v>
      </c>
      <c r="G5482" s="74"/>
      <c r="H5482" s="74"/>
      <c r="I5482" s="74" t="s">
        <v>391</v>
      </c>
      <c r="J5482" s="74"/>
      <c r="K5482" s="74">
        <v>102.4</v>
      </c>
      <c r="L5482" s="74">
        <v>92.16</v>
      </c>
      <c r="M5482" s="74"/>
      <c r="N5482" s="74" t="s">
        <v>392</v>
      </c>
      <c r="O5482" s="74" t="s">
        <v>402</v>
      </c>
      <c r="P5482" s="74" t="s">
        <v>11985</v>
      </c>
      <c r="Q5482" s="74" t="s">
        <v>11986</v>
      </c>
    </row>
    <row r="5483" spans="3:17" x14ac:dyDescent="0.25">
      <c r="C5483" s="74" t="s">
        <v>12010</v>
      </c>
      <c r="D5483" s="74" t="s">
        <v>12011</v>
      </c>
      <c r="E5483" s="74"/>
      <c r="F5483" s="74">
        <v>0</v>
      </c>
      <c r="G5483" s="74"/>
      <c r="H5483" s="74"/>
      <c r="I5483" s="74" t="s">
        <v>391</v>
      </c>
      <c r="J5483" s="74"/>
      <c r="K5483" s="74"/>
      <c r="L5483" s="74"/>
      <c r="M5483" s="74"/>
      <c r="N5483" s="74" t="s">
        <v>397</v>
      </c>
      <c r="O5483" s="74" t="s">
        <v>535</v>
      </c>
      <c r="P5483" s="74" t="s">
        <v>12012</v>
      </c>
      <c r="Q5483" s="74" t="s">
        <v>12013</v>
      </c>
    </row>
    <row r="5484" spans="3:17" x14ac:dyDescent="0.25">
      <c r="C5484" s="74" t="s">
        <v>12062</v>
      </c>
      <c r="D5484" s="74" t="s">
        <v>12063</v>
      </c>
      <c r="E5484" s="74" t="s">
        <v>391</v>
      </c>
      <c r="F5484" s="74">
        <v>0</v>
      </c>
      <c r="G5484" s="74"/>
      <c r="H5484" s="74"/>
      <c r="I5484" s="74" t="s">
        <v>391</v>
      </c>
      <c r="J5484" s="74"/>
      <c r="K5484" s="74"/>
      <c r="L5484" s="74"/>
      <c r="M5484" s="74"/>
      <c r="N5484" s="74" t="s">
        <v>397</v>
      </c>
      <c r="O5484" s="74" t="s">
        <v>393</v>
      </c>
      <c r="P5484" s="74" t="s">
        <v>12064</v>
      </c>
      <c r="Q5484" s="74" t="s">
        <v>12065</v>
      </c>
    </row>
    <row r="5485" spans="3:17" x14ac:dyDescent="0.25">
      <c r="C5485" s="74" t="s">
        <v>12084</v>
      </c>
      <c r="D5485" s="74" t="s">
        <v>12085</v>
      </c>
      <c r="E5485" s="74" t="s">
        <v>391</v>
      </c>
      <c r="F5485" s="74">
        <v>0</v>
      </c>
      <c r="G5485" s="74"/>
      <c r="H5485" s="74"/>
      <c r="I5485" s="74" t="s">
        <v>391</v>
      </c>
      <c r="J5485" s="74"/>
      <c r="K5485" s="74"/>
      <c r="L5485" s="74"/>
      <c r="M5485" s="74"/>
      <c r="N5485" s="74" t="s">
        <v>397</v>
      </c>
      <c r="O5485" s="74" t="s">
        <v>393</v>
      </c>
      <c r="P5485" s="74"/>
      <c r="Q5485" s="74" t="s">
        <v>12086</v>
      </c>
    </row>
    <row r="5486" spans="3:17" x14ac:dyDescent="0.25">
      <c r="C5486" s="74" t="s">
        <v>12097</v>
      </c>
      <c r="D5486" s="74" t="s">
        <v>12098</v>
      </c>
      <c r="E5486" s="74" t="s">
        <v>391</v>
      </c>
      <c r="F5486" s="74">
        <v>0</v>
      </c>
      <c r="G5486" s="74"/>
      <c r="H5486" s="74"/>
      <c r="I5486" s="74" t="s">
        <v>391</v>
      </c>
      <c r="J5486" s="74"/>
      <c r="K5486" s="74"/>
      <c r="L5486" s="74"/>
      <c r="M5486" s="74"/>
      <c r="N5486" s="74" t="s">
        <v>397</v>
      </c>
      <c r="O5486" s="74" t="s">
        <v>393</v>
      </c>
      <c r="P5486" s="74" t="s">
        <v>12099</v>
      </c>
      <c r="Q5486" s="74" t="s">
        <v>12100</v>
      </c>
    </row>
    <row r="5487" spans="3:17" x14ac:dyDescent="0.25">
      <c r="C5487" s="74" t="s">
        <v>12113</v>
      </c>
      <c r="D5487" s="74" t="s">
        <v>12114</v>
      </c>
      <c r="E5487" s="74" t="s">
        <v>391</v>
      </c>
      <c r="F5487" s="74">
        <v>0</v>
      </c>
      <c r="G5487" s="74"/>
      <c r="H5487" s="74"/>
      <c r="I5487" s="74" t="s">
        <v>391</v>
      </c>
      <c r="J5487" s="74"/>
      <c r="K5487" s="74">
        <v>102.4</v>
      </c>
      <c r="L5487" s="74">
        <v>92.16</v>
      </c>
      <c r="M5487" s="74"/>
      <c r="N5487" s="74" t="s">
        <v>392</v>
      </c>
      <c r="O5487" s="74" t="s">
        <v>393</v>
      </c>
      <c r="P5487" s="74"/>
      <c r="Q5487" s="74" t="s">
        <v>12115</v>
      </c>
    </row>
    <row r="5488" spans="3:17" x14ac:dyDescent="0.25">
      <c r="C5488" s="74" t="s">
        <v>12119</v>
      </c>
      <c r="D5488" s="74" t="s">
        <v>12120</v>
      </c>
      <c r="E5488" s="74" t="s">
        <v>391</v>
      </c>
      <c r="F5488" s="74">
        <v>0</v>
      </c>
      <c r="G5488" s="74"/>
      <c r="H5488" s="74"/>
      <c r="I5488" s="74" t="s">
        <v>391</v>
      </c>
      <c r="J5488" s="74"/>
      <c r="K5488" s="74"/>
      <c r="L5488" s="74"/>
      <c r="M5488" s="74"/>
      <c r="N5488" s="74" t="s">
        <v>397</v>
      </c>
      <c r="O5488" s="74" t="s">
        <v>393</v>
      </c>
      <c r="P5488" s="74" t="s">
        <v>12121</v>
      </c>
      <c r="Q5488" s="74" t="s">
        <v>12122</v>
      </c>
    </row>
    <row r="5489" spans="3:17" x14ac:dyDescent="0.25">
      <c r="C5489" s="74" t="s">
        <v>12147</v>
      </c>
      <c r="D5489" s="74" t="s">
        <v>12148</v>
      </c>
      <c r="E5489" s="74" t="s">
        <v>391</v>
      </c>
      <c r="F5489" s="74">
        <v>0</v>
      </c>
      <c r="G5489" s="74"/>
      <c r="H5489" s="74"/>
      <c r="I5489" s="74" t="s">
        <v>391</v>
      </c>
      <c r="J5489" s="74"/>
      <c r="K5489" s="74">
        <v>102.4</v>
      </c>
      <c r="L5489" s="74">
        <v>92.16</v>
      </c>
      <c r="M5489" s="74"/>
      <c r="N5489" s="74" t="s">
        <v>392</v>
      </c>
      <c r="O5489" s="74" t="s">
        <v>393</v>
      </c>
      <c r="P5489" s="74"/>
      <c r="Q5489" s="74" t="s">
        <v>12149</v>
      </c>
    </row>
    <row r="5490" spans="3:17" x14ac:dyDescent="0.25">
      <c r="C5490" s="74" t="s">
        <v>12154</v>
      </c>
      <c r="D5490" s="74" t="s">
        <v>12155</v>
      </c>
      <c r="E5490" s="74" t="s">
        <v>391</v>
      </c>
      <c r="F5490" s="74">
        <v>0</v>
      </c>
      <c r="G5490" s="74"/>
      <c r="H5490" s="74"/>
      <c r="I5490" s="74" t="s">
        <v>391</v>
      </c>
      <c r="J5490" s="74"/>
      <c r="K5490" s="74"/>
      <c r="L5490" s="74"/>
      <c r="M5490" s="74"/>
      <c r="N5490" s="74" t="s">
        <v>397</v>
      </c>
      <c r="O5490" s="74" t="s">
        <v>402</v>
      </c>
      <c r="P5490" s="74" t="s">
        <v>12156</v>
      </c>
      <c r="Q5490" s="74" t="s">
        <v>12157</v>
      </c>
    </row>
    <row r="5491" spans="3:17" x14ac:dyDescent="0.25">
      <c r="C5491" s="74" t="s">
        <v>12161</v>
      </c>
      <c r="D5491" s="74" t="s">
        <v>12162</v>
      </c>
      <c r="E5491" s="74" t="s">
        <v>391</v>
      </c>
      <c r="F5491" s="74">
        <v>0</v>
      </c>
      <c r="G5491" s="74"/>
      <c r="H5491" s="74"/>
      <c r="I5491" s="74" t="s">
        <v>391</v>
      </c>
      <c r="J5491" s="74"/>
      <c r="K5491" s="74">
        <v>102.4</v>
      </c>
      <c r="L5491" s="74">
        <v>92.16</v>
      </c>
      <c r="M5491" s="74"/>
      <c r="N5491" s="74" t="s">
        <v>392</v>
      </c>
      <c r="O5491" s="74" t="s">
        <v>393</v>
      </c>
      <c r="P5491" s="74"/>
      <c r="Q5491" s="74" t="s">
        <v>12163</v>
      </c>
    </row>
    <row r="5492" spans="3:17" x14ac:dyDescent="0.25">
      <c r="C5492" s="74" t="s">
        <v>12193</v>
      </c>
      <c r="D5492" s="74" t="s">
        <v>12194</v>
      </c>
      <c r="E5492" s="74" t="s">
        <v>391</v>
      </c>
      <c r="F5492" s="74">
        <v>0</v>
      </c>
      <c r="G5492" s="74"/>
      <c r="H5492" s="74"/>
      <c r="I5492" s="74" t="s">
        <v>391</v>
      </c>
      <c r="J5492" s="74"/>
      <c r="K5492" s="74">
        <v>102.4</v>
      </c>
      <c r="L5492" s="74">
        <v>92.16</v>
      </c>
      <c r="M5492" s="74"/>
      <c r="N5492" s="74" t="s">
        <v>392</v>
      </c>
      <c r="O5492" s="74" t="s">
        <v>393</v>
      </c>
      <c r="P5492" s="74"/>
      <c r="Q5492" s="74" t="s">
        <v>12195</v>
      </c>
    </row>
    <row r="5493" spans="3:17" x14ac:dyDescent="0.25">
      <c r="C5493" s="74" t="s">
        <v>12223</v>
      </c>
      <c r="D5493" s="74" t="s">
        <v>12224</v>
      </c>
      <c r="E5493" s="74" t="s">
        <v>391</v>
      </c>
      <c r="F5493" s="74">
        <v>0</v>
      </c>
      <c r="G5493" s="74"/>
      <c r="H5493" s="74"/>
      <c r="I5493" s="74" t="s">
        <v>391</v>
      </c>
      <c r="J5493" s="74"/>
      <c r="K5493" s="74"/>
      <c r="L5493" s="74"/>
      <c r="M5493" s="74"/>
      <c r="N5493" s="74" t="s">
        <v>397</v>
      </c>
      <c r="O5493" s="74" t="s">
        <v>402</v>
      </c>
      <c r="P5493" s="74" t="s">
        <v>12225</v>
      </c>
      <c r="Q5493" s="74" t="s">
        <v>12226</v>
      </c>
    </row>
    <row r="5494" spans="3:17" x14ac:dyDescent="0.25">
      <c r="C5494" s="158" t="s">
        <v>12238</v>
      </c>
      <c r="D5494" s="158" t="s">
        <v>12239</v>
      </c>
      <c r="E5494" s="158" t="s">
        <v>391</v>
      </c>
      <c r="F5494" s="158">
        <v>0</v>
      </c>
      <c r="I5494" s="158" t="s">
        <v>391</v>
      </c>
      <c r="K5494" s="158">
        <v>102.4</v>
      </c>
      <c r="L5494" s="158">
        <v>92.16</v>
      </c>
      <c r="N5494" s="158" t="s">
        <v>392</v>
      </c>
      <c r="O5494" s="158" t="s">
        <v>393</v>
      </c>
      <c r="Q5494" s="158" t="s">
        <v>12240</v>
      </c>
    </row>
    <row r="5495" spans="3:17" x14ac:dyDescent="0.25">
      <c r="C5495" s="158" t="s">
        <v>12241</v>
      </c>
      <c r="D5495" s="158" t="s">
        <v>12242</v>
      </c>
      <c r="E5495" s="158" t="s">
        <v>391</v>
      </c>
      <c r="F5495" s="158">
        <v>0</v>
      </c>
      <c r="I5495" s="158" t="s">
        <v>391</v>
      </c>
      <c r="N5495" s="158" t="s">
        <v>397</v>
      </c>
      <c r="O5495" s="158" t="s">
        <v>393</v>
      </c>
      <c r="P5495" s="158" t="s">
        <v>12243</v>
      </c>
      <c r="Q5495" s="158" t="s">
        <v>12244</v>
      </c>
    </row>
    <row r="5496" spans="3:17" x14ac:dyDescent="0.25">
      <c r="C5496" s="74" t="s">
        <v>12253</v>
      </c>
      <c r="D5496" s="74" t="s">
        <v>12254</v>
      </c>
      <c r="E5496" s="74" t="s">
        <v>391</v>
      </c>
      <c r="F5496" s="74">
        <v>0</v>
      </c>
      <c r="G5496" s="74"/>
      <c r="H5496" s="74"/>
      <c r="I5496" s="74" t="s">
        <v>391</v>
      </c>
      <c r="J5496" s="74"/>
      <c r="K5496" s="74">
        <v>102.4</v>
      </c>
      <c r="L5496" s="74">
        <v>92.16</v>
      </c>
      <c r="M5496" s="74"/>
      <c r="N5496" s="74" t="s">
        <v>392</v>
      </c>
      <c r="O5496" s="74" t="s">
        <v>393</v>
      </c>
      <c r="P5496" s="74"/>
      <c r="Q5496" s="74" t="s">
        <v>12255</v>
      </c>
    </row>
    <row r="5497" spans="3:17" x14ac:dyDescent="0.25">
      <c r="C5497" s="74" t="s">
        <v>12260</v>
      </c>
      <c r="D5497" s="74" t="s">
        <v>12261</v>
      </c>
      <c r="E5497" s="74" t="s">
        <v>391</v>
      </c>
      <c r="F5497" s="74">
        <v>0</v>
      </c>
      <c r="G5497" s="74"/>
      <c r="H5497" s="74"/>
      <c r="I5497" s="74" t="s">
        <v>391</v>
      </c>
      <c r="J5497" s="74"/>
      <c r="K5497" s="74"/>
      <c r="L5497" s="74"/>
      <c r="M5497" s="74"/>
      <c r="N5497" s="74" t="s">
        <v>397</v>
      </c>
      <c r="O5497" s="74" t="s">
        <v>393</v>
      </c>
      <c r="P5497" s="74" t="s">
        <v>12262</v>
      </c>
      <c r="Q5497" s="74" t="s">
        <v>12263</v>
      </c>
    </row>
    <row r="5498" spans="3:17" x14ac:dyDescent="0.25">
      <c r="C5498" s="74" t="s">
        <v>12280</v>
      </c>
      <c r="D5498" s="74" t="s">
        <v>11736</v>
      </c>
      <c r="E5498" s="74" t="s">
        <v>391</v>
      </c>
      <c r="F5498" s="74">
        <v>0</v>
      </c>
      <c r="G5498" s="74"/>
      <c r="H5498" s="74"/>
      <c r="I5498" s="74" t="s">
        <v>391</v>
      </c>
      <c r="J5498" s="74"/>
      <c r="K5498" s="74"/>
      <c r="L5498" s="74"/>
      <c r="M5498" s="74"/>
      <c r="N5498" s="74" t="s">
        <v>397</v>
      </c>
      <c r="O5498" s="74" t="s">
        <v>393</v>
      </c>
      <c r="P5498" s="74"/>
      <c r="Q5498" s="74" t="s">
        <v>12281</v>
      </c>
    </row>
    <row r="5499" spans="3:17" x14ac:dyDescent="0.25">
      <c r="C5499" s="74" t="s">
        <v>12303</v>
      </c>
      <c r="D5499" s="74" t="s">
        <v>12304</v>
      </c>
      <c r="E5499" s="74" t="s">
        <v>391</v>
      </c>
      <c r="F5499" s="74">
        <v>0</v>
      </c>
      <c r="G5499" s="74"/>
      <c r="H5499" s="74"/>
      <c r="I5499" s="74" t="s">
        <v>391</v>
      </c>
      <c r="J5499" s="74"/>
      <c r="K5499" s="74"/>
      <c r="L5499" s="74"/>
      <c r="M5499" s="74"/>
      <c r="N5499" s="74" t="s">
        <v>397</v>
      </c>
      <c r="O5499" s="74" t="s">
        <v>393</v>
      </c>
      <c r="P5499" s="74" t="s">
        <v>12305</v>
      </c>
      <c r="Q5499" s="74" t="s">
        <v>12306</v>
      </c>
    </row>
    <row r="5500" spans="3:17" x14ac:dyDescent="0.25">
      <c r="C5500" s="74" t="s">
        <v>12314</v>
      </c>
      <c r="D5500" s="74" t="s">
        <v>12315</v>
      </c>
      <c r="E5500" s="74" t="s">
        <v>391</v>
      </c>
      <c r="F5500" s="74">
        <v>0</v>
      </c>
      <c r="G5500" s="74"/>
      <c r="H5500" s="74"/>
      <c r="I5500" s="74" t="s">
        <v>391</v>
      </c>
      <c r="J5500" s="74"/>
      <c r="K5500" s="74"/>
      <c r="L5500" s="74"/>
      <c r="M5500" s="74"/>
      <c r="N5500" s="74" t="s">
        <v>397</v>
      </c>
      <c r="O5500" s="74" t="s">
        <v>393</v>
      </c>
      <c r="P5500" s="74" t="s">
        <v>12316</v>
      </c>
      <c r="Q5500" s="74" t="s">
        <v>12317</v>
      </c>
    </row>
    <row r="5501" spans="3:17" x14ac:dyDescent="0.25">
      <c r="C5501" s="74" t="s">
        <v>12392</v>
      </c>
      <c r="D5501" s="74" t="s">
        <v>12393</v>
      </c>
      <c r="E5501" s="74" t="s">
        <v>391</v>
      </c>
      <c r="F5501" s="74">
        <v>0</v>
      </c>
      <c r="G5501" s="74"/>
      <c r="H5501" s="74"/>
      <c r="I5501" s="74" t="s">
        <v>391</v>
      </c>
      <c r="J5501" s="74"/>
      <c r="K5501" s="74"/>
      <c r="L5501" s="74"/>
      <c r="M5501" s="74"/>
      <c r="N5501" s="74" t="s">
        <v>397</v>
      </c>
      <c r="O5501" s="74" t="s">
        <v>402</v>
      </c>
      <c r="P5501" s="74" t="s">
        <v>12394</v>
      </c>
      <c r="Q5501" s="74" t="s">
        <v>12395</v>
      </c>
    </row>
    <row r="5502" spans="3:17" x14ac:dyDescent="0.25">
      <c r="C5502" s="74" t="s">
        <v>12399</v>
      </c>
      <c r="D5502" s="74" t="s">
        <v>12400</v>
      </c>
      <c r="E5502" s="74" t="s">
        <v>391</v>
      </c>
      <c r="F5502" s="74">
        <v>0</v>
      </c>
      <c r="G5502" s="74"/>
      <c r="H5502" s="74"/>
      <c r="I5502" s="74" t="s">
        <v>391</v>
      </c>
      <c r="J5502" s="74"/>
      <c r="K5502" s="74"/>
      <c r="L5502" s="74"/>
      <c r="M5502" s="74"/>
      <c r="N5502" s="74" t="s">
        <v>397</v>
      </c>
      <c r="O5502" s="74" t="s">
        <v>393</v>
      </c>
      <c r="P5502" s="74"/>
      <c r="Q5502" s="74" t="s">
        <v>12401</v>
      </c>
    </row>
    <row r="5503" spans="3:17" x14ac:dyDescent="0.25">
      <c r="C5503" s="74" t="s">
        <v>12436</v>
      </c>
      <c r="D5503" s="74" t="s">
        <v>12437</v>
      </c>
      <c r="E5503" s="74" t="s">
        <v>391</v>
      </c>
      <c r="F5503" s="74">
        <v>0</v>
      </c>
      <c r="G5503" s="74"/>
      <c r="H5503" s="74"/>
      <c r="I5503" s="74" t="s">
        <v>391</v>
      </c>
      <c r="J5503" s="74"/>
      <c r="K5503" s="74">
        <v>102.4</v>
      </c>
      <c r="L5503" s="74">
        <v>92.16</v>
      </c>
      <c r="M5503" s="74"/>
      <c r="N5503" s="74" t="s">
        <v>392</v>
      </c>
      <c r="O5503" s="74" t="s">
        <v>393</v>
      </c>
      <c r="P5503" s="74"/>
      <c r="Q5503" s="74" t="s">
        <v>12438</v>
      </c>
    </row>
    <row r="5504" spans="3:17" x14ac:dyDescent="0.25">
      <c r="C5504" s="74" t="s">
        <v>12472</v>
      </c>
      <c r="D5504" s="74" t="s">
        <v>12473</v>
      </c>
      <c r="E5504" s="74" t="s">
        <v>391</v>
      </c>
      <c r="F5504" s="74">
        <v>0</v>
      </c>
      <c r="G5504" s="74"/>
      <c r="H5504" s="74"/>
      <c r="I5504" s="74" t="s">
        <v>391</v>
      </c>
      <c r="J5504" s="74"/>
      <c r="K5504" s="74"/>
      <c r="L5504" s="74"/>
      <c r="M5504" s="74"/>
      <c r="N5504" s="74" t="s">
        <v>397</v>
      </c>
      <c r="O5504" s="74" t="s">
        <v>393</v>
      </c>
      <c r="P5504" s="74" t="s">
        <v>12474</v>
      </c>
      <c r="Q5504" s="74" t="s">
        <v>12475</v>
      </c>
    </row>
    <row r="5505" spans="3:17" x14ac:dyDescent="0.25">
      <c r="C5505" s="74" t="s">
        <v>12490</v>
      </c>
      <c r="D5505" s="74" t="s">
        <v>12491</v>
      </c>
      <c r="E5505" s="74" t="s">
        <v>391</v>
      </c>
      <c r="F5505" s="74">
        <v>0</v>
      </c>
      <c r="G5505" s="74"/>
      <c r="H5505" s="74"/>
      <c r="I5505" s="74" t="s">
        <v>391</v>
      </c>
      <c r="J5505" s="74"/>
      <c r="K5505" s="74"/>
      <c r="L5505" s="74"/>
      <c r="M5505" s="74"/>
      <c r="N5505" s="74" t="s">
        <v>397</v>
      </c>
      <c r="O5505" s="74" t="s">
        <v>393</v>
      </c>
      <c r="P5505" s="74" t="s">
        <v>12492</v>
      </c>
      <c r="Q5505" s="74" t="s">
        <v>12493</v>
      </c>
    </row>
    <row r="5506" spans="3:17" x14ac:dyDescent="0.25">
      <c r="C5506" s="74" t="s">
        <v>12494</v>
      </c>
      <c r="D5506" s="74" t="s">
        <v>12495</v>
      </c>
      <c r="E5506" s="74" t="s">
        <v>391</v>
      </c>
      <c r="F5506" s="74">
        <v>0</v>
      </c>
      <c r="G5506" s="74"/>
      <c r="H5506" s="74"/>
      <c r="I5506" s="74" t="s">
        <v>391</v>
      </c>
      <c r="J5506" s="74"/>
      <c r="K5506" s="74"/>
      <c r="L5506" s="74"/>
      <c r="M5506" s="74"/>
      <c r="N5506" s="74" t="s">
        <v>397</v>
      </c>
      <c r="O5506" s="74" t="s">
        <v>393</v>
      </c>
      <c r="P5506" s="74" t="s">
        <v>12496</v>
      </c>
      <c r="Q5506" s="74" t="s">
        <v>12497</v>
      </c>
    </row>
    <row r="5507" spans="3:17" x14ac:dyDescent="0.25">
      <c r="C5507" s="74" t="s">
        <v>12505</v>
      </c>
      <c r="D5507" s="74" t="s">
        <v>12506</v>
      </c>
      <c r="E5507" s="74"/>
      <c r="F5507" s="74">
        <v>0</v>
      </c>
      <c r="G5507" s="74"/>
      <c r="H5507" s="74"/>
      <c r="I5507" s="74" t="s">
        <v>391</v>
      </c>
      <c r="J5507" s="74"/>
      <c r="K5507" s="74">
        <v>102.4</v>
      </c>
      <c r="L5507" s="74">
        <v>92.16</v>
      </c>
      <c r="M5507" s="74"/>
      <c r="N5507" s="74" t="s">
        <v>392</v>
      </c>
      <c r="O5507" s="74" t="s">
        <v>402</v>
      </c>
      <c r="P5507" s="74" t="s">
        <v>12507</v>
      </c>
      <c r="Q5507" s="74" t="s">
        <v>12508</v>
      </c>
    </row>
    <row r="5508" spans="3:17" x14ac:dyDescent="0.25">
      <c r="C5508" s="74" t="s">
        <v>12522</v>
      </c>
      <c r="D5508" s="74" t="s">
        <v>12523</v>
      </c>
      <c r="E5508" s="74" t="s">
        <v>391</v>
      </c>
      <c r="F5508" s="74">
        <v>0</v>
      </c>
      <c r="G5508" s="74"/>
      <c r="H5508" s="74"/>
      <c r="I5508" s="74" t="s">
        <v>391</v>
      </c>
      <c r="J5508" s="74"/>
      <c r="K5508" s="74"/>
      <c r="L5508" s="74"/>
      <c r="M5508" s="74"/>
      <c r="N5508" s="74" t="s">
        <v>397</v>
      </c>
      <c r="O5508" s="74" t="s">
        <v>393</v>
      </c>
      <c r="P5508" s="74" t="s">
        <v>12524</v>
      </c>
      <c r="Q5508" s="74" t="s">
        <v>12525</v>
      </c>
    </row>
    <row r="5509" spans="3:17" x14ac:dyDescent="0.25">
      <c r="C5509" s="74" t="s">
        <v>12537</v>
      </c>
      <c r="D5509" s="74" t="s">
        <v>12538</v>
      </c>
      <c r="E5509" s="74" t="s">
        <v>391</v>
      </c>
      <c r="F5509" s="74">
        <v>0</v>
      </c>
      <c r="G5509" s="74"/>
      <c r="H5509" s="74"/>
      <c r="I5509" s="74" t="s">
        <v>391</v>
      </c>
      <c r="J5509" s="74"/>
      <c r="K5509" s="74"/>
      <c r="L5509" s="74"/>
      <c r="M5509" s="74"/>
      <c r="N5509" s="74" t="s">
        <v>397</v>
      </c>
      <c r="O5509" s="74" t="s">
        <v>393</v>
      </c>
      <c r="P5509" s="74" t="s">
        <v>12539</v>
      </c>
      <c r="Q5509" s="74" t="s">
        <v>12540</v>
      </c>
    </row>
    <row r="5510" spans="3:17" x14ac:dyDescent="0.25">
      <c r="C5510" s="74" t="s">
        <v>12541</v>
      </c>
      <c r="D5510" s="74" t="s">
        <v>12542</v>
      </c>
      <c r="E5510" s="74" t="s">
        <v>391</v>
      </c>
      <c r="F5510" s="74">
        <v>0</v>
      </c>
      <c r="G5510" s="74"/>
      <c r="H5510" s="74"/>
      <c r="I5510" s="74" t="s">
        <v>391</v>
      </c>
      <c r="J5510" s="74"/>
      <c r="K5510" s="74"/>
      <c r="L5510" s="74"/>
      <c r="M5510" s="74"/>
      <c r="N5510" s="74" t="s">
        <v>397</v>
      </c>
      <c r="O5510" s="74" t="s">
        <v>393</v>
      </c>
      <c r="P5510" s="74" t="s">
        <v>12543</v>
      </c>
      <c r="Q5510" s="74" t="s">
        <v>12544</v>
      </c>
    </row>
    <row r="5511" spans="3:17" x14ac:dyDescent="0.25">
      <c r="C5511" s="74" t="s">
        <v>12545</v>
      </c>
      <c r="D5511" s="74" t="s">
        <v>12546</v>
      </c>
      <c r="E5511" s="74" t="s">
        <v>391</v>
      </c>
      <c r="F5511" s="74">
        <v>0</v>
      </c>
      <c r="G5511" s="74"/>
      <c r="H5511" s="74"/>
      <c r="I5511" s="74" t="s">
        <v>391</v>
      </c>
      <c r="J5511" s="74"/>
      <c r="K5511" s="74"/>
      <c r="L5511" s="74"/>
      <c r="M5511" s="74"/>
      <c r="N5511" s="74" t="s">
        <v>397</v>
      </c>
      <c r="O5511" s="74" t="s">
        <v>393</v>
      </c>
      <c r="P5511" s="74" t="s">
        <v>12547</v>
      </c>
      <c r="Q5511" s="74" t="s">
        <v>12548</v>
      </c>
    </row>
    <row r="5512" spans="3:17" x14ac:dyDescent="0.25">
      <c r="C5512" s="74" t="s">
        <v>12549</v>
      </c>
      <c r="D5512" s="74" t="s">
        <v>12550</v>
      </c>
      <c r="E5512" s="74" t="s">
        <v>391</v>
      </c>
      <c r="F5512" s="74">
        <v>0</v>
      </c>
      <c r="G5512" s="74"/>
      <c r="H5512" s="74"/>
      <c r="I5512" s="74" t="s">
        <v>391</v>
      </c>
      <c r="J5512" s="74"/>
      <c r="K5512" s="74"/>
      <c r="L5512" s="74"/>
      <c r="M5512" s="74"/>
      <c r="N5512" s="74" t="s">
        <v>397</v>
      </c>
      <c r="O5512" s="74" t="s">
        <v>393</v>
      </c>
      <c r="P5512" s="74" t="s">
        <v>12551</v>
      </c>
      <c r="Q5512" s="74" t="s">
        <v>12552</v>
      </c>
    </row>
    <row r="5513" spans="3:17" x14ac:dyDescent="0.25">
      <c r="C5513" s="74" t="s">
        <v>12560</v>
      </c>
      <c r="D5513" s="74" t="s">
        <v>12561</v>
      </c>
      <c r="E5513" s="74" t="s">
        <v>391</v>
      </c>
      <c r="F5513" s="74">
        <v>0</v>
      </c>
      <c r="G5513" s="74"/>
      <c r="H5513" s="74"/>
      <c r="I5513" s="74" t="s">
        <v>391</v>
      </c>
      <c r="J5513" s="74"/>
      <c r="K5513" s="74"/>
      <c r="L5513" s="74"/>
      <c r="M5513" s="74"/>
      <c r="N5513" s="74" t="s">
        <v>397</v>
      </c>
      <c r="O5513" s="74" t="s">
        <v>393</v>
      </c>
      <c r="P5513" s="74"/>
      <c r="Q5513" s="74" t="s">
        <v>12562</v>
      </c>
    </row>
    <row r="5514" spans="3:17" x14ac:dyDescent="0.25">
      <c r="C5514" s="74" t="s">
        <v>12587</v>
      </c>
      <c r="D5514" s="74" t="s">
        <v>12588</v>
      </c>
      <c r="E5514" s="74" t="s">
        <v>391</v>
      </c>
      <c r="F5514" s="74">
        <v>0</v>
      </c>
      <c r="G5514" s="74"/>
      <c r="H5514" s="74"/>
      <c r="I5514" s="74" t="s">
        <v>391</v>
      </c>
      <c r="J5514" s="74"/>
      <c r="K5514" s="74">
        <v>102.4</v>
      </c>
      <c r="L5514" s="74">
        <v>92.16</v>
      </c>
      <c r="M5514" s="74"/>
      <c r="N5514" s="74" t="s">
        <v>392</v>
      </c>
      <c r="O5514" s="74" t="s">
        <v>393</v>
      </c>
      <c r="P5514" s="74"/>
      <c r="Q5514" s="74" t="s">
        <v>12589</v>
      </c>
    </row>
    <row r="5515" spans="3:17" x14ac:dyDescent="0.25">
      <c r="C5515" s="74" t="s">
        <v>12607</v>
      </c>
      <c r="D5515" s="74" t="s">
        <v>12608</v>
      </c>
      <c r="E5515" s="74" t="s">
        <v>391</v>
      </c>
      <c r="F5515" s="74">
        <v>0</v>
      </c>
      <c r="G5515" s="74"/>
      <c r="H5515" s="74"/>
      <c r="I5515" s="74" t="s">
        <v>391</v>
      </c>
      <c r="J5515" s="74"/>
      <c r="K5515" s="74">
        <v>102.4</v>
      </c>
      <c r="L5515" s="74">
        <v>92.16</v>
      </c>
      <c r="M5515" s="74"/>
      <c r="N5515" s="74" t="s">
        <v>392</v>
      </c>
      <c r="O5515" s="74" t="s">
        <v>393</v>
      </c>
      <c r="P5515" s="74"/>
      <c r="Q5515" s="74" t="s">
        <v>12609</v>
      </c>
    </row>
    <row r="5516" spans="3:17" x14ac:dyDescent="0.25">
      <c r="C5516" s="74" t="s">
        <v>12630</v>
      </c>
      <c r="D5516" s="74" t="s">
        <v>12631</v>
      </c>
      <c r="E5516" s="74" t="s">
        <v>391</v>
      </c>
      <c r="F5516" s="74">
        <v>0</v>
      </c>
      <c r="G5516" s="74"/>
      <c r="H5516" s="74"/>
      <c r="I5516" s="74" t="s">
        <v>391</v>
      </c>
      <c r="J5516" s="74"/>
      <c r="K5516" s="74">
        <v>102.4</v>
      </c>
      <c r="L5516" s="74">
        <v>92.16</v>
      </c>
      <c r="M5516" s="74"/>
      <c r="N5516" s="74" t="s">
        <v>392</v>
      </c>
      <c r="O5516" s="74" t="s">
        <v>393</v>
      </c>
      <c r="P5516" s="74"/>
      <c r="Q5516" s="74" t="s">
        <v>12632</v>
      </c>
    </row>
    <row r="5517" spans="3:17" x14ac:dyDescent="0.25">
      <c r="C5517" s="74" t="s">
        <v>12637</v>
      </c>
      <c r="D5517" s="74" t="s">
        <v>12638</v>
      </c>
      <c r="E5517" s="74" t="s">
        <v>391</v>
      </c>
      <c r="F5517" s="74">
        <v>0</v>
      </c>
      <c r="G5517" s="74"/>
      <c r="H5517" s="74"/>
      <c r="I5517" s="74" t="s">
        <v>391</v>
      </c>
      <c r="J5517" s="74"/>
      <c r="K5517" s="74"/>
      <c r="L5517" s="74"/>
      <c r="M5517" s="74"/>
      <c r="N5517" s="74" t="s">
        <v>397</v>
      </c>
      <c r="O5517" s="74" t="s">
        <v>393</v>
      </c>
      <c r="P5517" s="74" t="s">
        <v>12639</v>
      </c>
      <c r="Q5517" s="74" t="s">
        <v>12640</v>
      </c>
    </row>
    <row r="5518" spans="3:17" x14ac:dyDescent="0.25">
      <c r="C5518" s="74" t="s">
        <v>12669</v>
      </c>
      <c r="D5518" s="74" t="s">
        <v>12670</v>
      </c>
      <c r="E5518" s="74" t="s">
        <v>391</v>
      </c>
      <c r="F5518" s="74">
        <v>0</v>
      </c>
      <c r="G5518" s="74"/>
      <c r="H5518" s="74"/>
      <c r="I5518" s="74" t="s">
        <v>391</v>
      </c>
      <c r="J5518" s="74"/>
      <c r="K5518" s="74">
        <v>102.4</v>
      </c>
      <c r="L5518" s="74">
        <v>92.16</v>
      </c>
      <c r="M5518" s="74"/>
      <c r="N5518" s="74" t="s">
        <v>392</v>
      </c>
      <c r="O5518" s="74" t="s">
        <v>393</v>
      </c>
      <c r="P5518" s="74"/>
      <c r="Q5518" s="74" t="s">
        <v>12671</v>
      </c>
    </row>
    <row r="5519" spans="3:17" x14ac:dyDescent="0.25">
      <c r="C5519" s="74" t="s">
        <v>12676</v>
      </c>
      <c r="D5519" s="74" t="s">
        <v>12677</v>
      </c>
      <c r="E5519" s="74" t="s">
        <v>391</v>
      </c>
      <c r="F5519" s="74">
        <v>0</v>
      </c>
      <c r="G5519" s="74"/>
      <c r="H5519" s="74"/>
      <c r="I5519" s="74" t="s">
        <v>391</v>
      </c>
      <c r="J5519" s="74"/>
      <c r="K5519" s="74"/>
      <c r="L5519" s="74"/>
      <c r="M5519" s="74"/>
      <c r="N5519" s="74" t="s">
        <v>397</v>
      </c>
      <c r="O5519" s="74" t="s">
        <v>393</v>
      </c>
      <c r="P5519" s="74" t="s">
        <v>12678</v>
      </c>
      <c r="Q5519" s="74" t="s">
        <v>12679</v>
      </c>
    </row>
    <row r="5520" spans="3:17" x14ac:dyDescent="0.25">
      <c r="C5520" s="74" t="s">
        <v>12707</v>
      </c>
      <c r="D5520" s="74" t="s">
        <v>12708</v>
      </c>
      <c r="E5520" s="74" t="s">
        <v>391</v>
      </c>
      <c r="F5520" s="74">
        <v>0</v>
      </c>
      <c r="G5520" s="74"/>
      <c r="H5520" s="74"/>
      <c r="I5520" s="74" t="s">
        <v>391</v>
      </c>
      <c r="J5520" s="74"/>
      <c r="K5520" s="74"/>
      <c r="L5520" s="74"/>
      <c r="M5520" s="74"/>
      <c r="N5520" s="74" t="s">
        <v>397</v>
      </c>
      <c r="O5520" s="74" t="s">
        <v>393</v>
      </c>
      <c r="P5520" s="74"/>
      <c r="Q5520" s="74" t="s">
        <v>12709</v>
      </c>
    </row>
    <row r="5521" spans="3:17" x14ac:dyDescent="0.25">
      <c r="C5521" s="74" t="s">
        <v>12710</v>
      </c>
      <c r="D5521" s="74" t="s">
        <v>12711</v>
      </c>
      <c r="E5521" s="74" t="s">
        <v>391</v>
      </c>
      <c r="F5521" s="74">
        <v>0</v>
      </c>
      <c r="G5521" s="74"/>
      <c r="H5521" s="74"/>
      <c r="I5521" s="74" t="s">
        <v>391</v>
      </c>
      <c r="J5521" s="74"/>
      <c r="K5521" s="74">
        <v>102.4</v>
      </c>
      <c r="L5521" s="74">
        <v>92.16</v>
      </c>
      <c r="M5521" s="74"/>
      <c r="N5521" s="74" t="s">
        <v>392</v>
      </c>
      <c r="O5521" s="74" t="s">
        <v>393</v>
      </c>
      <c r="P5521" s="74"/>
      <c r="Q5521" s="74" t="s">
        <v>12712</v>
      </c>
    </row>
    <row r="5522" spans="3:17" x14ac:dyDescent="0.25">
      <c r="C5522" s="74" t="s">
        <v>12727</v>
      </c>
      <c r="D5522" s="74" t="s">
        <v>12728</v>
      </c>
      <c r="E5522" s="74" t="s">
        <v>391</v>
      </c>
      <c r="F5522" s="74">
        <v>0</v>
      </c>
      <c r="G5522" s="74"/>
      <c r="H5522" s="74"/>
      <c r="I5522" s="74" t="s">
        <v>391</v>
      </c>
      <c r="J5522" s="74"/>
      <c r="K5522" s="74"/>
      <c r="L5522" s="74"/>
      <c r="M5522" s="74"/>
      <c r="N5522" s="74" t="s">
        <v>397</v>
      </c>
      <c r="O5522" s="74" t="s">
        <v>393</v>
      </c>
      <c r="P5522" s="74"/>
      <c r="Q5522" s="74" t="s">
        <v>12729</v>
      </c>
    </row>
    <row r="5523" spans="3:17" x14ac:dyDescent="0.25">
      <c r="C5523" s="74" t="s">
        <v>12730</v>
      </c>
      <c r="D5523" s="74" t="s">
        <v>12731</v>
      </c>
      <c r="E5523" s="74" t="s">
        <v>391</v>
      </c>
      <c r="F5523" s="74">
        <v>0</v>
      </c>
      <c r="G5523" s="74"/>
      <c r="H5523" s="74"/>
      <c r="I5523" s="74" t="s">
        <v>391</v>
      </c>
      <c r="J5523" s="74"/>
      <c r="K5523" s="74"/>
      <c r="L5523" s="74"/>
      <c r="M5523" s="74"/>
      <c r="N5523" s="74" t="s">
        <v>397</v>
      </c>
      <c r="O5523" s="74" t="s">
        <v>393</v>
      </c>
      <c r="P5523" s="74" t="s">
        <v>12732</v>
      </c>
      <c r="Q5523" s="74" t="s">
        <v>12733</v>
      </c>
    </row>
    <row r="5524" spans="3:17" x14ac:dyDescent="0.25">
      <c r="C5524" s="74" t="s">
        <v>12737</v>
      </c>
      <c r="D5524" s="74" t="s">
        <v>12738</v>
      </c>
      <c r="E5524" s="74" t="s">
        <v>391</v>
      </c>
      <c r="F5524" s="74">
        <v>0</v>
      </c>
      <c r="G5524" s="74"/>
      <c r="H5524" s="74"/>
      <c r="I5524" s="74" t="s">
        <v>391</v>
      </c>
      <c r="J5524" s="74"/>
      <c r="K5524" s="74"/>
      <c r="L5524" s="74"/>
      <c r="M5524" s="74"/>
      <c r="N5524" s="74" t="s">
        <v>397</v>
      </c>
      <c r="O5524" s="74" t="s">
        <v>402</v>
      </c>
      <c r="P5524" s="74" t="s">
        <v>12739</v>
      </c>
      <c r="Q5524" s="74" t="s">
        <v>12740</v>
      </c>
    </row>
    <row r="5525" spans="3:17" x14ac:dyDescent="0.25">
      <c r="C5525" s="74" t="s">
        <v>12749</v>
      </c>
      <c r="D5525" s="74" t="s">
        <v>12750</v>
      </c>
      <c r="E5525" s="74" t="s">
        <v>391</v>
      </c>
      <c r="F5525" s="74">
        <v>0</v>
      </c>
      <c r="G5525" s="74"/>
      <c r="H5525" s="74"/>
      <c r="I5525" s="74" t="s">
        <v>391</v>
      </c>
      <c r="J5525" s="74"/>
      <c r="K5525" s="74">
        <v>102.4</v>
      </c>
      <c r="L5525" s="74">
        <v>92.16</v>
      </c>
      <c r="M5525" s="74"/>
      <c r="N5525" s="74" t="s">
        <v>392</v>
      </c>
      <c r="O5525" s="74" t="s">
        <v>393</v>
      </c>
      <c r="P5525" s="74"/>
      <c r="Q5525" s="74" t="s">
        <v>12751</v>
      </c>
    </row>
    <row r="5526" spans="3:17" x14ac:dyDescent="0.25">
      <c r="C5526" s="74" t="s">
        <v>12773</v>
      </c>
      <c r="D5526" s="74" t="s">
        <v>12774</v>
      </c>
      <c r="E5526" s="74" t="s">
        <v>391</v>
      </c>
      <c r="F5526" s="74">
        <v>0</v>
      </c>
      <c r="G5526" s="74"/>
      <c r="H5526" s="74"/>
      <c r="I5526" s="74" t="s">
        <v>391</v>
      </c>
      <c r="J5526" s="74"/>
      <c r="K5526" s="74">
        <v>102.4</v>
      </c>
      <c r="L5526" s="74">
        <v>92.16</v>
      </c>
      <c r="M5526" s="74"/>
      <c r="N5526" s="74" t="s">
        <v>392</v>
      </c>
      <c r="O5526" s="74" t="s">
        <v>393</v>
      </c>
      <c r="P5526" s="74"/>
      <c r="Q5526" s="74" t="s">
        <v>12775</v>
      </c>
    </row>
    <row r="5527" spans="3:17" x14ac:dyDescent="0.25">
      <c r="C5527" s="74" t="s">
        <v>12784</v>
      </c>
      <c r="D5527" s="74" t="s">
        <v>11751</v>
      </c>
      <c r="E5527" s="74" t="s">
        <v>391</v>
      </c>
      <c r="F5527" s="74">
        <v>0</v>
      </c>
      <c r="G5527" s="74"/>
      <c r="H5527" s="74"/>
      <c r="I5527" s="74" t="s">
        <v>391</v>
      </c>
      <c r="J5527" s="74"/>
      <c r="K5527" s="74"/>
      <c r="L5527" s="74"/>
      <c r="M5527" s="74"/>
      <c r="N5527" s="74" t="s">
        <v>397</v>
      </c>
      <c r="O5527" s="74" t="s">
        <v>393</v>
      </c>
      <c r="P5527" s="74" t="s">
        <v>12785</v>
      </c>
      <c r="Q5527" s="74" t="s">
        <v>12786</v>
      </c>
    </row>
    <row r="5528" spans="3:17" x14ac:dyDescent="0.25">
      <c r="C5528" s="74" t="s">
        <v>12790</v>
      </c>
      <c r="D5528" s="74" t="s">
        <v>12791</v>
      </c>
      <c r="E5528" s="74" t="s">
        <v>391</v>
      </c>
      <c r="F5528" s="74">
        <v>0</v>
      </c>
      <c r="G5528" s="74"/>
      <c r="H5528" s="74"/>
      <c r="I5528" s="74" t="s">
        <v>391</v>
      </c>
      <c r="J5528" s="74"/>
      <c r="K5528" s="74">
        <v>102.4</v>
      </c>
      <c r="L5528" s="74">
        <v>92.16</v>
      </c>
      <c r="M5528" s="74"/>
      <c r="N5528" s="74" t="s">
        <v>392</v>
      </c>
      <c r="O5528" s="74" t="s">
        <v>393</v>
      </c>
      <c r="P5528" s="74"/>
      <c r="Q5528" s="74" t="s">
        <v>12792</v>
      </c>
    </row>
    <row r="5529" spans="3:17" x14ac:dyDescent="0.25">
      <c r="C5529" s="74" t="s">
        <v>12822</v>
      </c>
      <c r="D5529" s="74" t="s">
        <v>12823</v>
      </c>
      <c r="E5529" s="74" t="s">
        <v>391</v>
      </c>
      <c r="F5529" s="74">
        <v>0</v>
      </c>
      <c r="G5529" s="74"/>
      <c r="H5529" s="74"/>
      <c r="I5529" s="74" t="s">
        <v>391</v>
      </c>
      <c r="J5529" s="74"/>
      <c r="K5529" s="74">
        <v>102.4</v>
      </c>
      <c r="L5529" s="74">
        <v>92.16</v>
      </c>
      <c r="M5529" s="74"/>
      <c r="N5529" s="74" t="s">
        <v>392</v>
      </c>
      <c r="O5529" s="74" t="s">
        <v>393</v>
      </c>
      <c r="P5529" s="74"/>
      <c r="Q5529" s="74" t="s">
        <v>12824</v>
      </c>
    </row>
    <row r="5530" spans="3:17" x14ac:dyDescent="0.25">
      <c r="C5530" s="74" t="s">
        <v>12825</v>
      </c>
      <c r="D5530" s="74" t="s">
        <v>12826</v>
      </c>
      <c r="E5530" s="74" t="s">
        <v>391</v>
      </c>
      <c r="F5530" s="74">
        <v>0</v>
      </c>
      <c r="G5530" s="74"/>
      <c r="H5530" s="74"/>
      <c r="I5530" s="74" t="s">
        <v>391</v>
      </c>
      <c r="J5530" s="74"/>
      <c r="K5530" s="74">
        <v>102.4</v>
      </c>
      <c r="L5530" s="74">
        <v>92.16</v>
      </c>
      <c r="M5530" s="74"/>
      <c r="N5530" s="74" t="s">
        <v>392</v>
      </c>
      <c r="O5530" s="74" t="s">
        <v>393</v>
      </c>
      <c r="P5530" s="74"/>
      <c r="Q5530" s="74" t="s">
        <v>12827</v>
      </c>
    </row>
    <row r="5531" spans="3:17" x14ac:dyDescent="0.25">
      <c r="C5531" s="74" t="s">
        <v>12882</v>
      </c>
      <c r="D5531" s="74" t="s">
        <v>12883</v>
      </c>
      <c r="E5531" s="74"/>
      <c r="F5531" s="74">
        <v>0</v>
      </c>
      <c r="G5531" s="74"/>
      <c r="H5531" s="74"/>
      <c r="I5531" s="74" t="s">
        <v>391</v>
      </c>
      <c r="J5531" s="74"/>
      <c r="K5531" s="74">
        <v>102.4</v>
      </c>
      <c r="L5531" s="74">
        <v>92.16</v>
      </c>
      <c r="M5531" s="74"/>
      <c r="N5531" s="74" t="s">
        <v>392</v>
      </c>
      <c r="O5531" s="74" t="s">
        <v>402</v>
      </c>
      <c r="P5531" s="74"/>
      <c r="Q5531" s="74" t="s">
        <v>12884</v>
      </c>
    </row>
    <row r="5532" spans="3:17" x14ac:dyDescent="0.25">
      <c r="C5532" s="74" t="s">
        <v>12910</v>
      </c>
      <c r="D5532" s="74" t="s">
        <v>12911</v>
      </c>
      <c r="E5532" s="74" t="s">
        <v>391</v>
      </c>
      <c r="F5532" s="74">
        <v>0</v>
      </c>
      <c r="G5532" s="74"/>
      <c r="H5532" s="74"/>
      <c r="I5532" s="74" t="s">
        <v>391</v>
      </c>
      <c r="J5532" s="74"/>
      <c r="K5532" s="74"/>
      <c r="L5532" s="74"/>
      <c r="M5532" s="74"/>
      <c r="N5532" s="74" t="s">
        <v>397</v>
      </c>
      <c r="O5532" s="74" t="s">
        <v>393</v>
      </c>
      <c r="P5532" s="74" t="s">
        <v>12912</v>
      </c>
      <c r="Q5532" s="74" t="s">
        <v>12913</v>
      </c>
    </row>
    <row r="5533" spans="3:17" x14ac:dyDescent="0.25">
      <c r="C5533" s="74" t="s">
        <v>12939</v>
      </c>
      <c r="D5533" s="74" t="s">
        <v>12940</v>
      </c>
      <c r="E5533" s="74" t="s">
        <v>391</v>
      </c>
      <c r="F5533" s="74">
        <v>0</v>
      </c>
      <c r="G5533" s="74"/>
      <c r="H5533" s="74"/>
      <c r="I5533" s="74" t="s">
        <v>391</v>
      </c>
      <c r="J5533" s="74"/>
      <c r="K5533" s="74">
        <v>102.4</v>
      </c>
      <c r="L5533" s="74">
        <v>92.16</v>
      </c>
      <c r="M5533" s="74"/>
      <c r="N5533" s="74" t="s">
        <v>392</v>
      </c>
      <c r="O5533" s="74" t="s">
        <v>393</v>
      </c>
      <c r="P5533" s="74"/>
      <c r="Q5533" s="74" t="s">
        <v>12941</v>
      </c>
    </row>
    <row r="5534" spans="3:17" x14ac:dyDescent="0.25">
      <c r="C5534" s="74" t="s">
        <v>12946</v>
      </c>
      <c r="D5534" s="74" t="s">
        <v>12947</v>
      </c>
      <c r="E5534" s="74" t="s">
        <v>391</v>
      </c>
      <c r="F5534" s="74">
        <v>0</v>
      </c>
      <c r="G5534" s="74"/>
      <c r="H5534" s="74"/>
      <c r="I5534" s="74" t="s">
        <v>391</v>
      </c>
      <c r="J5534" s="74"/>
      <c r="K5534" s="74"/>
      <c r="L5534" s="74"/>
      <c r="M5534" s="74"/>
      <c r="N5534" s="74" t="s">
        <v>397</v>
      </c>
      <c r="O5534" s="74" t="s">
        <v>393</v>
      </c>
      <c r="P5534" s="74" t="s">
        <v>12948</v>
      </c>
      <c r="Q5534" s="74" t="s">
        <v>12949</v>
      </c>
    </row>
    <row r="5535" spans="3:17" x14ac:dyDescent="0.25">
      <c r="C5535" s="74" t="s">
        <v>12950</v>
      </c>
      <c r="D5535" s="74" t="s">
        <v>12951</v>
      </c>
      <c r="E5535" s="74" t="s">
        <v>391</v>
      </c>
      <c r="F5535" s="74">
        <v>0</v>
      </c>
      <c r="G5535" s="74"/>
      <c r="H5535" s="74"/>
      <c r="I5535" s="74" t="s">
        <v>391</v>
      </c>
      <c r="J5535" s="74"/>
      <c r="K5535" s="74"/>
      <c r="L5535" s="74"/>
      <c r="M5535" s="74"/>
      <c r="N5535" s="74" t="s">
        <v>397</v>
      </c>
      <c r="O5535" s="74" t="s">
        <v>393</v>
      </c>
      <c r="P5535" s="74" t="s">
        <v>12952</v>
      </c>
      <c r="Q5535" s="74" t="s">
        <v>12953</v>
      </c>
    </row>
    <row r="5536" spans="3:17" x14ac:dyDescent="0.25">
      <c r="C5536" s="74" t="s">
        <v>12979</v>
      </c>
      <c r="D5536" s="74" t="s">
        <v>12980</v>
      </c>
      <c r="E5536" s="74" t="s">
        <v>391</v>
      </c>
      <c r="F5536" s="74">
        <v>0</v>
      </c>
      <c r="G5536" s="74"/>
      <c r="H5536" s="74"/>
      <c r="I5536" s="74" t="s">
        <v>391</v>
      </c>
      <c r="J5536" s="74"/>
      <c r="K5536" s="74">
        <v>102.4</v>
      </c>
      <c r="L5536" s="74">
        <v>92.16</v>
      </c>
      <c r="M5536" s="74"/>
      <c r="N5536" s="74" t="s">
        <v>392</v>
      </c>
      <c r="O5536" s="74" t="s">
        <v>393</v>
      </c>
      <c r="P5536" s="74"/>
      <c r="Q5536" s="74" t="s">
        <v>12981</v>
      </c>
    </row>
    <row r="5537" spans="3:17" x14ac:dyDescent="0.25">
      <c r="C5537" s="74" t="s">
        <v>13000</v>
      </c>
      <c r="D5537" s="74" t="s">
        <v>13001</v>
      </c>
      <c r="E5537" s="74" t="s">
        <v>391</v>
      </c>
      <c r="F5537" s="74">
        <v>0</v>
      </c>
      <c r="G5537" s="74"/>
      <c r="H5537" s="74"/>
      <c r="I5537" s="74" t="s">
        <v>391</v>
      </c>
      <c r="J5537" s="74"/>
      <c r="K5537" s="74"/>
      <c r="L5537" s="74"/>
      <c r="M5537" s="74"/>
      <c r="N5537" s="74" t="s">
        <v>397</v>
      </c>
      <c r="O5537" s="74" t="s">
        <v>393</v>
      </c>
      <c r="P5537" s="74" t="s">
        <v>13002</v>
      </c>
      <c r="Q5537" s="74" t="s">
        <v>13003</v>
      </c>
    </row>
    <row r="5538" spans="3:17" x14ac:dyDescent="0.25">
      <c r="C5538" s="74" t="s">
        <v>13016</v>
      </c>
      <c r="D5538" s="74" t="s">
        <v>13017</v>
      </c>
      <c r="E5538" s="74" t="s">
        <v>391</v>
      </c>
      <c r="F5538" s="74">
        <v>0</v>
      </c>
      <c r="G5538" s="74"/>
      <c r="H5538" s="74"/>
      <c r="I5538" s="74" t="s">
        <v>391</v>
      </c>
      <c r="J5538" s="74"/>
      <c r="K5538" s="74"/>
      <c r="L5538" s="74"/>
      <c r="M5538" s="74"/>
      <c r="N5538" s="74" t="s">
        <v>397</v>
      </c>
      <c r="O5538" s="74" t="s">
        <v>393</v>
      </c>
      <c r="P5538" s="74" t="s">
        <v>13018</v>
      </c>
      <c r="Q5538" s="74" t="s">
        <v>13019</v>
      </c>
    </row>
    <row r="5539" spans="3:17" x14ac:dyDescent="0.25">
      <c r="C5539" s="74" t="s">
        <v>13020</v>
      </c>
      <c r="D5539" s="74" t="s">
        <v>13021</v>
      </c>
      <c r="E5539" s="74"/>
      <c r="F5539" s="74">
        <v>0</v>
      </c>
      <c r="G5539" s="74"/>
      <c r="H5539" s="74"/>
      <c r="I5539" s="74" t="s">
        <v>391</v>
      </c>
      <c r="J5539" s="74"/>
      <c r="K5539" s="74">
        <v>102.4</v>
      </c>
      <c r="L5539" s="74">
        <v>92.16</v>
      </c>
      <c r="M5539" s="74"/>
      <c r="N5539" s="74" t="s">
        <v>392</v>
      </c>
      <c r="O5539" s="74" t="s">
        <v>402</v>
      </c>
      <c r="P5539" s="74" t="s">
        <v>13022</v>
      </c>
      <c r="Q5539" s="74" t="s">
        <v>13023</v>
      </c>
    </row>
    <row r="5540" spans="3:17" x14ac:dyDescent="0.25">
      <c r="C5540" s="74" t="s">
        <v>13024</v>
      </c>
      <c r="D5540" s="74" t="s">
        <v>13025</v>
      </c>
      <c r="E5540" s="74" t="s">
        <v>391</v>
      </c>
      <c r="F5540" s="74">
        <v>0</v>
      </c>
      <c r="G5540" s="74"/>
      <c r="H5540" s="74"/>
      <c r="I5540" s="74" t="s">
        <v>391</v>
      </c>
      <c r="J5540" s="74"/>
      <c r="K5540" s="74"/>
      <c r="L5540" s="74"/>
      <c r="M5540" s="74"/>
      <c r="N5540" s="74" t="s">
        <v>397</v>
      </c>
      <c r="O5540" s="74" t="s">
        <v>393</v>
      </c>
      <c r="P5540" s="74"/>
      <c r="Q5540" s="74" t="s">
        <v>13026</v>
      </c>
    </row>
    <row r="5541" spans="3:17" x14ac:dyDescent="0.25">
      <c r="C5541" s="74" t="s">
        <v>13034</v>
      </c>
      <c r="D5541" s="74" t="s">
        <v>13035</v>
      </c>
      <c r="E5541" s="74" t="s">
        <v>391</v>
      </c>
      <c r="F5541" s="74">
        <v>0</v>
      </c>
      <c r="G5541" s="74"/>
      <c r="H5541" s="74"/>
      <c r="I5541" s="74" t="s">
        <v>391</v>
      </c>
      <c r="J5541" s="74"/>
      <c r="K5541" s="74">
        <v>102.4</v>
      </c>
      <c r="L5541" s="74">
        <v>92.16</v>
      </c>
      <c r="M5541" s="74"/>
      <c r="N5541" s="74" t="s">
        <v>392</v>
      </c>
      <c r="O5541" s="74" t="s">
        <v>393</v>
      </c>
      <c r="P5541" s="74"/>
      <c r="Q5541" s="74" t="s">
        <v>13036</v>
      </c>
    </row>
    <row r="5542" spans="3:17" x14ac:dyDescent="0.25">
      <c r="C5542" s="74" t="s">
        <v>13061</v>
      </c>
      <c r="D5542" s="74" t="s">
        <v>13062</v>
      </c>
      <c r="E5542" s="74" t="s">
        <v>391</v>
      </c>
      <c r="F5542" s="74">
        <v>0</v>
      </c>
      <c r="G5542" s="74"/>
      <c r="H5542" s="74"/>
      <c r="I5542" s="74" t="s">
        <v>391</v>
      </c>
      <c r="J5542" s="74"/>
      <c r="K5542" s="74"/>
      <c r="L5542" s="74"/>
      <c r="M5542" s="74"/>
      <c r="N5542" s="74" t="s">
        <v>397</v>
      </c>
      <c r="O5542" s="74" t="s">
        <v>393</v>
      </c>
      <c r="P5542" s="74" t="s">
        <v>13063</v>
      </c>
      <c r="Q5542" s="74" t="s">
        <v>13064</v>
      </c>
    </row>
    <row r="5543" spans="3:17" x14ac:dyDescent="0.25">
      <c r="C5543" s="74" t="s">
        <v>13083</v>
      </c>
      <c r="D5543" s="74" t="s">
        <v>13084</v>
      </c>
      <c r="E5543" s="74" t="s">
        <v>391</v>
      </c>
      <c r="F5543" s="74">
        <v>0</v>
      </c>
      <c r="G5543" s="74"/>
      <c r="H5543" s="74"/>
      <c r="I5543" s="74" t="s">
        <v>391</v>
      </c>
      <c r="J5543" s="74"/>
      <c r="K5543" s="74">
        <v>102.4</v>
      </c>
      <c r="L5543" s="74">
        <v>92.16</v>
      </c>
      <c r="M5543" s="74"/>
      <c r="N5543" s="74" t="s">
        <v>392</v>
      </c>
      <c r="O5543" s="74" t="s">
        <v>393</v>
      </c>
      <c r="P5543" s="74"/>
      <c r="Q5543" s="74" t="s">
        <v>13085</v>
      </c>
    </row>
    <row r="5544" spans="3:17" x14ac:dyDescent="0.25">
      <c r="C5544" s="74" t="s">
        <v>13114</v>
      </c>
      <c r="D5544" s="74" t="s">
        <v>13115</v>
      </c>
      <c r="E5544" s="74" t="s">
        <v>391</v>
      </c>
      <c r="F5544" s="74">
        <v>0</v>
      </c>
      <c r="G5544" s="74"/>
      <c r="H5544" s="74"/>
      <c r="I5544" s="74" t="s">
        <v>391</v>
      </c>
      <c r="J5544" s="74"/>
      <c r="K5544" s="74">
        <v>102.4</v>
      </c>
      <c r="L5544" s="74">
        <v>92.16</v>
      </c>
      <c r="M5544" s="74"/>
      <c r="N5544" s="74" t="s">
        <v>392</v>
      </c>
      <c r="O5544" s="74" t="s">
        <v>393</v>
      </c>
      <c r="P5544" s="74"/>
      <c r="Q5544" s="74" t="s">
        <v>13116</v>
      </c>
    </row>
    <row r="5545" spans="3:17" x14ac:dyDescent="0.25">
      <c r="C5545" s="74" t="s">
        <v>13129</v>
      </c>
      <c r="D5545" s="74" t="s">
        <v>13130</v>
      </c>
      <c r="E5545" s="74" t="s">
        <v>391</v>
      </c>
      <c r="F5545" s="74">
        <v>0</v>
      </c>
      <c r="G5545" s="74"/>
      <c r="H5545" s="74"/>
      <c r="I5545" s="74" t="s">
        <v>391</v>
      </c>
      <c r="J5545" s="74"/>
      <c r="K5545" s="74">
        <v>102.4</v>
      </c>
      <c r="L5545" s="74">
        <v>92.16</v>
      </c>
      <c r="M5545" s="74"/>
      <c r="N5545" s="74" t="s">
        <v>392</v>
      </c>
      <c r="O5545" s="74" t="s">
        <v>393</v>
      </c>
      <c r="P5545" s="74"/>
      <c r="Q5545" s="74" t="s">
        <v>13131</v>
      </c>
    </row>
    <row r="5546" spans="3:17" x14ac:dyDescent="0.25">
      <c r="C5546" s="74" t="s">
        <v>13135</v>
      </c>
      <c r="D5546" s="74" t="s">
        <v>13136</v>
      </c>
      <c r="E5546" s="74" t="s">
        <v>391</v>
      </c>
      <c r="F5546" s="74">
        <v>0</v>
      </c>
      <c r="G5546" s="74"/>
      <c r="H5546" s="74"/>
      <c r="I5546" s="74" t="s">
        <v>391</v>
      </c>
      <c r="J5546" s="74"/>
      <c r="K5546" s="74"/>
      <c r="L5546" s="74"/>
      <c r="M5546" s="74"/>
      <c r="N5546" s="74" t="s">
        <v>397</v>
      </c>
      <c r="O5546" s="74" t="s">
        <v>393</v>
      </c>
      <c r="P5546" s="74"/>
      <c r="Q5546" s="74" t="s">
        <v>13137</v>
      </c>
    </row>
    <row r="5547" spans="3:17" x14ac:dyDescent="0.25">
      <c r="C5547" s="74" t="s">
        <v>13141</v>
      </c>
      <c r="D5547" s="74" t="s">
        <v>13142</v>
      </c>
      <c r="E5547" s="74" t="s">
        <v>391</v>
      </c>
      <c r="F5547" s="74">
        <v>0</v>
      </c>
      <c r="G5547" s="74"/>
      <c r="H5547" s="74"/>
      <c r="I5547" s="74" t="s">
        <v>391</v>
      </c>
      <c r="J5547" s="74"/>
      <c r="K5547" s="74">
        <v>102.4</v>
      </c>
      <c r="L5547" s="74">
        <v>92.16</v>
      </c>
      <c r="M5547" s="74"/>
      <c r="N5547" s="74" t="s">
        <v>392</v>
      </c>
      <c r="O5547" s="74" t="s">
        <v>393</v>
      </c>
      <c r="P5547" s="74"/>
      <c r="Q5547" s="74" t="s">
        <v>13143</v>
      </c>
    </row>
    <row r="5548" spans="3:17" x14ac:dyDescent="0.25">
      <c r="C5548" s="74" t="s">
        <v>13152</v>
      </c>
      <c r="D5548" s="74" t="s">
        <v>13153</v>
      </c>
      <c r="E5548" s="74" t="s">
        <v>391</v>
      </c>
      <c r="F5548" s="74">
        <v>0</v>
      </c>
      <c r="G5548" s="74"/>
      <c r="H5548" s="74"/>
      <c r="I5548" s="74" t="s">
        <v>391</v>
      </c>
      <c r="J5548" s="74"/>
      <c r="K5548" s="74"/>
      <c r="L5548" s="74"/>
      <c r="M5548" s="74"/>
      <c r="N5548" s="74" t="s">
        <v>397</v>
      </c>
      <c r="O5548" s="74" t="s">
        <v>393</v>
      </c>
      <c r="P5548" s="74" t="s">
        <v>13154</v>
      </c>
      <c r="Q5548" s="74" t="s">
        <v>13155</v>
      </c>
    </row>
    <row r="5549" spans="3:17" x14ac:dyDescent="0.25">
      <c r="C5549" s="74" t="s">
        <v>13156</v>
      </c>
      <c r="D5549" s="74" t="s">
        <v>13157</v>
      </c>
      <c r="E5549" s="74" t="s">
        <v>391</v>
      </c>
      <c r="F5549" s="74">
        <v>0</v>
      </c>
      <c r="G5549" s="74"/>
      <c r="H5549" s="74"/>
      <c r="I5549" s="74" t="s">
        <v>391</v>
      </c>
      <c r="J5549" s="74"/>
      <c r="K5549" s="74">
        <v>102.4</v>
      </c>
      <c r="L5549" s="74">
        <v>92.16</v>
      </c>
      <c r="M5549" s="74"/>
      <c r="N5549" s="74" t="s">
        <v>392</v>
      </c>
      <c r="O5549" s="74" t="s">
        <v>393</v>
      </c>
      <c r="P5549" s="74"/>
      <c r="Q5549" s="74" t="s">
        <v>13158</v>
      </c>
    </row>
    <row r="5550" spans="3:17" x14ac:dyDescent="0.25">
      <c r="C5550" s="74" t="s">
        <v>13171</v>
      </c>
      <c r="D5550" s="74" t="s">
        <v>13172</v>
      </c>
      <c r="E5550" s="74" t="s">
        <v>391</v>
      </c>
      <c r="F5550" s="74">
        <v>0</v>
      </c>
      <c r="G5550" s="74"/>
      <c r="H5550" s="74"/>
      <c r="I5550" s="74" t="s">
        <v>391</v>
      </c>
      <c r="J5550" s="74"/>
      <c r="K5550" s="74"/>
      <c r="L5550" s="74"/>
      <c r="M5550" s="74"/>
      <c r="N5550" s="74" t="s">
        <v>397</v>
      </c>
      <c r="O5550" s="74" t="s">
        <v>393</v>
      </c>
      <c r="P5550" s="74" t="s">
        <v>13173</v>
      </c>
      <c r="Q5550" s="74" t="s">
        <v>13174</v>
      </c>
    </row>
    <row r="5551" spans="3:17" x14ac:dyDescent="0.25">
      <c r="C5551" s="74" t="s">
        <v>13175</v>
      </c>
      <c r="D5551" s="74" t="s">
        <v>13176</v>
      </c>
      <c r="E5551" s="74" t="s">
        <v>391</v>
      </c>
      <c r="F5551" s="74">
        <v>0</v>
      </c>
      <c r="G5551" s="74"/>
      <c r="H5551" s="74"/>
      <c r="I5551" s="74" t="s">
        <v>391</v>
      </c>
      <c r="J5551" s="74"/>
      <c r="K5551" s="74"/>
      <c r="L5551" s="74"/>
      <c r="M5551" s="74"/>
      <c r="N5551" s="74" t="s">
        <v>397</v>
      </c>
      <c r="O5551" s="74" t="s">
        <v>393</v>
      </c>
      <c r="P5551" s="74" t="s">
        <v>13177</v>
      </c>
      <c r="Q5551" s="74" t="s">
        <v>13178</v>
      </c>
    </row>
    <row r="5552" spans="3:17" x14ac:dyDescent="0.25">
      <c r="C5552" s="74" t="s">
        <v>13199</v>
      </c>
      <c r="D5552" s="74" t="s">
        <v>13200</v>
      </c>
      <c r="E5552" s="74" t="s">
        <v>391</v>
      </c>
      <c r="F5552" s="74">
        <v>0</v>
      </c>
      <c r="G5552" s="74"/>
      <c r="H5552" s="74"/>
      <c r="I5552" s="74" t="s">
        <v>391</v>
      </c>
      <c r="J5552" s="74"/>
      <c r="K5552" s="74"/>
      <c r="L5552" s="74"/>
      <c r="M5552" s="74"/>
      <c r="N5552" s="74" t="s">
        <v>397</v>
      </c>
      <c r="O5552" s="74" t="s">
        <v>393</v>
      </c>
      <c r="P5552" s="74" t="s">
        <v>13201</v>
      </c>
      <c r="Q5552" s="74" t="s">
        <v>13202</v>
      </c>
    </row>
    <row r="5553" spans="3:17" x14ac:dyDescent="0.25">
      <c r="C5553" s="74" t="s">
        <v>13236</v>
      </c>
      <c r="D5553" s="74" t="s">
        <v>13237</v>
      </c>
      <c r="E5553" s="74" t="s">
        <v>391</v>
      </c>
      <c r="F5553" s="74">
        <v>0</v>
      </c>
      <c r="G5553" s="74"/>
      <c r="H5553" s="74"/>
      <c r="I5553" s="74" t="s">
        <v>391</v>
      </c>
      <c r="J5553" s="74"/>
      <c r="K5553" s="74"/>
      <c r="L5553" s="74"/>
      <c r="M5553" s="74"/>
      <c r="N5553" s="74" t="s">
        <v>397</v>
      </c>
      <c r="O5553" s="74" t="s">
        <v>393</v>
      </c>
      <c r="P5553" s="74" t="s">
        <v>13238</v>
      </c>
      <c r="Q5553" s="74" t="s">
        <v>13239</v>
      </c>
    </row>
    <row r="5554" spans="3:17" x14ac:dyDescent="0.25">
      <c r="C5554" s="74" t="s">
        <v>13240</v>
      </c>
      <c r="D5554" s="74" t="s">
        <v>13241</v>
      </c>
      <c r="E5554" s="74" t="s">
        <v>391</v>
      </c>
      <c r="F5554" s="74">
        <v>0</v>
      </c>
      <c r="G5554" s="74"/>
      <c r="H5554" s="74"/>
      <c r="I5554" s="74" t="s">
        <v>391</v>
      </c>
      <c r="J5554" s="74"/>
      <c r="K5554" s="74">
        <v>102.4</v>
      </c>
      <c r="L5554" s="74">
        <v>92.16</v>
      </c>
      <c r="M5554" s="74"/>
      <c r="N5554" s="74" t="s">
        <v>392</v>
      </c>
      <c r="O5554" s="74" t="s">
        <v>393</v>
      </c>
      <c r="P5554" s="74"/>
      <c r="Q5554" s="74" t="s">
        <v>13242</v>
      </c>
    </row>
    <row r="5555" spans="3:17" x14ac:dyDescent="0.25">
      <c r="C5555" s="74" t="s">
        <v>13250</v>
      </c>
      <c r="D5555" s="74" t="s">
        <v>12925</v>
      </c>
      <c r="E5555" s="74" t="s">
        <v>391</v>
      </c>
      <c r="F5555" s="74">
        <v>0</v>
      </c>
      <c r="G5555" s="74"/>
      <c r="H5555" s="74"/>
      <c r="I5555" s="74" t="s">
        <v>391</v>
      </c>
      <c r="J5555" s="74"/>
      <c r="K5555" s="74"/>
      <c r="L5555" s="74"/>
      <c r="M5555" s="74"/>
      <c r="N5555" s="74" t="s">
        <v>397</v>
      </c>
      <c r="O5555" s="74" t="s">
        <v>393</v>
      </c>
      <c r="P5555" s="74" t="s">
        <v>13251</v>
      </c>
      <c r="Q5555" s="74" t="s">
        <v>13252</v>
      </c>
    </row>
    <row r="5556" spans="3:17" x14ac:dyDescent="0.25">
      <c r="C5556" s="74" t="s">
        <v>13292</v>
      </c>
      <c r="D5556" s="74" t="s">
        <v>13293</v>
      </c>
      <c r="E5556" s="74" t="s">
        <v>391</v>
      </c>
      <c r="F5556" s="74">
        <v>0</v>
      </c>
      <c r="G5556" s="74"/>
      <c r="H5556" s="74"/>
      <c r="I5556" s="74" t="s">
        <v>391</v>
      </c>
      <c r="J5556" s="74"/>
      <c r="K5556" s="74"/>
      <c r="L5556" s="74"/>
      <c r="M5556" s="74"/>
      <c r="N5556" s="74" t="s">
        <v>397</v>
      </c>
      <c r="O5556" s="74" t="s">
        <v>393</v>
      </c>
      <c r="P5556" s="74" t="s">
        <v>13294</v>
      </c>
      <c r="Q5556" s="74" t="s">
        <v>13295</v>
      </c>
    </row>
    <row r="5557" spans="3:17" x14ac:dyDescent="0.25">
      <c r="C5557" s="74" t="s">
        <v>13327</v>
      </c>
      <c r="D5557" s="74" t="s">
        <v>13328</v>
      </c>
      <c r="E5557" s="74"/>
      <c r="F5557" s="74">
        <v>0</v>
      </c>
      <c r="G5557" s="74"/>
      <c r="H5557" s="74"/>
      <c r="I5557" s="74" t="s">
        <v>391</v>
      </c>
      <c r="J5557" s="74"/>
      <c r="K5557" s="74">
        <v>102.4</v>
      </c>
      <c r="L5557" s="74">
        <v>92.16</v>
      </c>
      <c r="M5557" s="74"/>
      <c r="N5557" s="74" t="s">
        <v>392</v>
      </c>
      <c r="O5557" s="74" t="s">
        <v>402</v>
      </c>
      <c r="P5557" s="74"/>
      <c r="Q5557" s="74" t="s">
        <v>13329</v>
      </c>
    </row>
    <row r="5558" spans="3:17" x14ac:dyDescent="0.25">
      <c r="C5558" s="74" t="s">
        <v>13341</v>
      </c>
      <c r="D5558" s="74" t="s">
        <v>13342</v>
      </c>
      <c r="E5558" s="74" t="s">
        <v>391</v>
      </c>
      <c r="F5558" s="74">
        <v>0</v>
      </c>
      <c r="G5558" s="74"/>
      <c r="H5558" s="74"/>
      <c r="I5558" s="74" t="s">
        <v>391</v>
      </c>
      <c r="J5558" s="74"/>
      <c r="K5558" s="74"/>
      <c r="L5558" s="74"/>
      <c r="M5558" s="74"/>
      <c r="N5558" s="74" t="s">
        <v>397</v>
      </c>
      <c r="O5558" s="74" t="s">
        <v>393</v>
      </c>
      <c r="P5558" s="74" t="s">
        <v>13343</v>
      </c>
      <c r="Q5558" s="74" t="s">
        <v>13344</v>
      </c>
    </row>
    <row r="5559" spans="3:17" x14ac:dyDescent="0.25">
      <c r="C5559" s="74" t="s">
        <v>13345</v>
      </c>
      <c r="D5559" s="74" t="s">
        <v>13346</v>
      </c>
      <c r="E5559" s="74" t="s">
        <v>391</v>
      </c>
      <c r="F5559" s="74">
        <v>0</v>
      </c>
      <c r="G5559" s="74"/>
      <c r="H5559" s="74"/>
      <c r="I5559" s="74" t="s">
        <v>391</v>
      </c>
      <c r="J5559" s="74"/>
      <c r="K5559" s="74"/>
      <c r="L5559" s="74"/>
      <c r="M5559" s="74"/>
      <c r="N5559" s="74" t="s">
        <v>397</v>
      </c>
      <c r="O5559" s="74" t="s">
        <v>393</v>
      </c>
      <c r="P5559" s="74"/>
      <c r="Q5559" s="74" t="s">
        <v>13347</v>
      </c>
    </row>
    <row r="5560" spans="3:17" x14ac:dyDescent="0.25">
      <c r="C5560" s="74" t="s">
        <v>13355</v>
      </c>
      <c r="D5560" s="74" t="s">
        <v>13356</v>
      </c>
      <c r="E5560" s="74"/>
      <c r="F5560" s="74">
        <v>0</v>
      </c>
      <c r="G5560" s="74"/>
      <c r="H5560" s="74"/>
      <c r="I5560" s="74" t="s">
        <v>391</v>
      </c>
      <c r="J5560" s="74"/>
      <c r="K5560" s="74">
        <v>102.4</v>
      </c>
      <c r="L5560" s="74">
        <v>92.16</v>
      </c>
      <c r="M5560" s="74"/>
      <c r="N5560" s="74" t="s">
        <v>392</v>
      </c>
      <c r="O5560" s="74" t="s">
        <v>402</v>
      </c>
      <c r="P5560" s="74" t="s">
        <v>13357</v>
      </c>
      <c r="Q5560" s="74" t="s">
        <v>13358</v>
      </c>
    </row>
    <row r="5561" spans="3:17" x14ac:dyDescent="0.25">
      <c r="C5561" s="74" t="s">
        <v>13376</v>
      </c>
      <c r="D5561" s="74" t="s">
        <v>13377</v>
      </c>
      <c r="E5561" s="74" t="s">
        <v>391</v>
      </c>
      <c r="F5561" s="74">
        <v>0</v>
      </c>
      <c r="G5561" s="74"/>
      <c r="H5561" s="74"/>
      <c r="I5561" s="74" t="s">
        <v>391</v>
      </c>
      <c r="J5561" s="74"/>
      <c r="K5561" s="74"/>
      <c r="L5561" s="74"/>
      <c r="M5561" s="74"/>
      <c r="N5561" s="74" t="s">
        <v>397</v>
      </c>
      <c r="O5561" s="74" t="s">
        <v>393</v>
      </c>
      <c r="P5561" s="74"/>
      <c r="Q5561" s="74" t="s">
        <v>13378</v>
      </c>
    </row>
    <row r="5562" spans="3:17" x14ac:dyDescent="0.25">
      <c r="C5562" s="74" t="s">
        <v>13385</v>
      </c>
      <c r="D5562" s="74" t="s">
        <v>13386</v>
      </c>
      <c r="E5562" s="74" t="s">
        <v>391</v>
      </c>
      <c r="F5562" s="74">
        <v>0</v>
      </c>
      <c r="G5562" s="74"/>
      <c r="H5562" s="74"/>
      <c r="I5562" s="74" t="s">
        <v>391</v>
      </c>
      <c r="J5562" s="74"/>
      <c r="K5562" s="74"/>
      <c r="L5562" s="74"/>
      <c r="M5562" s="74"/>
      <c r="N5562" s="74" t="s">
        <v>397</v>
      </c>
      <c r="O5562" s="74" t="s">
        <v>393</v>
      </c>
      <c r="P5562" s="74"/>
      <c r="Q5562" s="74" t="s">
        <v>13387</v>
      </c>
    </row>
    <row r="5563" spans="3:17" x14ac:dyDescent="0.25">
      <c r="C5563" s="74" t="s">
        <v>13405</v>
      </c>
      <c r="D5563" s="74" t="s">
        <v>13406</v>
      </c>
      <c r="E5563" s="74" t="s">
        <v>391</v>
      </c>
      <c r="F5563" s="74">
        <v>0</v>
      </c>
      <c r="G5563" s="74"/>
      <c r="H5563" s="74"/>
      <c r="I5563" s="74" t="s">
        <v>391</v>
      </c>
      <c r="J5563" s="74"/>
      <c r="K5563" s="74">
        <v>102.4</v>
      </c>
      <c r="L5563" s="74">
        <v>92.16</v>
      </c>
      <c r="M5563" s="74"/>
      <c r="N5563" s="74" t="s">
        <v>392</v>
      </c>
      <c r="O5563" s="74" t="s">
        <v>393</v>
      </c>
      <c r="P5563" s="74"/>
      <c r="Q5563" s="74" t="s">
        <v>13407</v>
      </c>
    </row>
    <row r="5564" spans="3:17" x14ac:dyDescent="0.25">
      <c r="C5564" s="74" t="s">
        <v>13458</v>
      </c>
      <c r="D5564" s="74" t="s">
        <v>13459</v>
      </c>
      <c r="E5564" s="74" t="s">
        <v>391</v>
      </c>
      <c r="F5564" s="74">
        <v>0</v>
      </c>
      <c r="G5564" s="74"/>
      <c r="H5564" s="74"/>
      <c r="I5564" s="74" t="s">
        <v>391</v>
      </c>
      <c r="J5564" s="74"/>
      <c r="K5564" s="74"/>
      <c r="L5564" s="74"/>
      <c r="M5564" s="74"/>
      <c r="N5564" s="74" t="s">
        <v>397</v>
      </c>
      <c r="O5564" s="74" t="s">
        <v>393</v>
      </c>
      <c r="P5564" s="74" t="s">
        <v>13460</v>
      </c>
      <c r="Q5564" s="74" t="s">
        <v>13461</v>
      </c>
    </row>
    <row r="5565" spans="3:17" x14ac:dyDescent="0.25">
      <c r="C5565" s="74" t="s">
        <v>13473</v>
      </c>
      <c r="D5565" s="74" t="s">
        <v>13474</v>
      </c>
      <c r="E5565" s="74" t="s">
        <v>391</v>
      </c>
      <c r="F5565" s="74">
        <v>0</v>
      </c>
      <c r="G5565" s="74"/>
      <c r="H5565" s="74"/>
      <c r="I5565" s="74" t="s">
        <v>391</v>
      </c>
      <c r="J5565" s="74"/>
      <c r="K5565" s="74"/>
      <c r="L5565" s="74"/>
      <c r="M5565" s="74"/>
      <c r="N5565" s="74" t="s">
        <v>397</v>
      </c>
      <c r="O5565" s="74" t="s">
        <v>393</v>
      </c>
      <c r="P5565" s="74"/>
      <c r="Q5565" s="74" t="s">
        <v>13475</v>
      </c>
    </row>
    <row r="5566" spans="3:17" x14ac:dyDescent="0.25">
      <c r="C5566" s="74" t="s">
        <v>13480</v>
      </c>
      <c r="D5566" s="74" t="s">
        <v>13481</v>
      </c>
      <c r="E5566" s="74"/>
      <c r="F5566" s="74">
        <v>0</v>
      </c>
      <c r="G5566" s="74"/>
      <c r="H5566" s="74"/>
      <c r="I5566" s="74" t="s">
        <v>391</v>
      </c>
      <c r="J5566" s="74"/>
      <c r="K5566" s="74">
        <v>102.4</v>
      </c>
      <c r="L5566" s="74">
        <v>92.16</v>
      </c>
      <c r="M5566" s="74"/>
      <c r="N5566" s="74" t="s">
        <v>392</v>
      </c>
      <c r="O5566" s="74" t="s">
        <v>1745</v>
      </c>
      <c r="P5566" s="74" t="s">
        <v>13482</v>
      </c>
      <c r="Q5566" s="74" t="s">
        <v>13483</v>
      </c>
    </row>
    <row r="5567" spans="3:17" x14ac:dyDescent="0.25">
      <c r="C5567" s="74" t="s">
        <v>13488</v>
      </c>
      <c r="D5567" s="74" t="s">
        <v>13489</v>
      </c>
      <c r="E5567" s="74" t="s">
        <v>391</v>
      </c>
      <c r="F5567" s="74">
        <v>0</v>
      </c>
      <c r="G5567" s="74"/>
      <c r="H5567" s="74"/>
      <c r="I5567" s="74" t="s">
        <v>391</v>
      </c>
      <c r="J5567" s="74"/>
      <c r="K5567" s="74"/>
      <c r="L5567" s="74"/>
      <c r="M5567" s="74"/>
      <c r="N5567" s="74" t="s">
        <v>397</v>
      </c>
      <c r="O5567" s="74" t="s">
        <v>393</v>
      </c>
      <c r="P5567" s="74" t="s">
        <v>13490</v>
      </c>
      <c r="Q5567" s="74" t="s">
        <v>13491</v>
      </c>
    </row>
    <row r="5568" spans="3:17" x14ac:dyDescent="0.25">
      <c r="C5568" s="74" t="s">
        <v>13496</v>
      </c>
      <c r="D5568" s="74" t="s">
        <v>13497</v>
      </c>
      <c r="E5568" s="74" t="s">
        <v>391</v>
      </c>
      <c r="F5568" s="74">
        <v>0</v>
      </c>
      <c r="G5568" s="74"/>
      <c r="H5568" s="74"/>
      <c r="I5568" s="74" t="s">
        <v>391</v>
      </c>
      <c r="J5568" s="74"/>
      <c r="K5568" s="74"/>
      <c r="L5568" s="74"/>
      <c r="M5568" s="74"/>
      <c r="N5568" s="74" t="s">
        <v>397</v>
      </c>
      <c r="O5568" s="74" t="s">
        <v>393</v>
      </c>
      <c r="P5568" s="74" t="s">
        <v>13498</v>
      </c>
      <c r="Q5568" s="74" t="s">
        <v>13499</v>
      </c>
    </row>
    <row r="5569" spans="3:17" x14ac:dyDescent="0.25">
      <c r="C5569" s="74" t="s">
        <v>13567</v>
      </c>
      <c r="D5569" s="74" t="s">
        <v>13568</v>
      </c>
      <c r="E5569" s="74" t="s">
        <v>391</v>
      </c>
      <c r="F5569" s="74">
        <v>0</v>
      </c>
      <c r="G5569" s="74"/>
      <c r="H5569" s="74"/>
      <c r="I5569" s="74" t="s">
        <v>391</v>
      </c>
      <c r="J5569" s="74"/>
      <c r="K5569" s="74"/>
      <c r="L5569" s="74"/>
      <c r="M5569" s="74"/>
      <c r="N5569" s="74" t="s">
        <v>397</v>
      </c>
      <c r="O5569" s="74" t="s">
        <v>393</v>
      </c>
      <c r="P5569" s="74"/>
      <c r="Q5569" s="74" t="s">
        <v>13569</v>
      </c>
    </row>
    <row r="5570" spans="3:17" x14ac:dyDescent="0.25">
      <c r="C5570" s="74" t="s">
        <v>13583</v>
      </c>
      <c r="D5570" s="74" t="s">
        <v>13584</v>
      </c>
      <c r="E5570" s="74" t="s">
        <v>391</v>
      </c>
      <c r="F5570" s="74">
        <v>0</v>
      </c>
      <c r="G5570" s="74"/>
      <c r="H5570" s="74"/>
      <c r="I5570" s="74" t="s">
        <v>391</v>
      </c>
      <c r="J5570" s="74"/>
      <c r="K5570" s="74"/>
      <c r="L5570" s="74"/>
      <c r="M5570" s="74"/>
      <c r="N5570" s="74" t="s">
        <v>397</v>
      </c>
      <c r="O5570" s="74" t="s">
        <v>393</v>
      </c>
      <c r="P5570" s="74"/>
      <c r="Q5570" s="74" t="s">
        <v>13585</v>
      </c>
    </row>
    <row r="5571" spans="3:17" x14ac:dyDescent="0.25">
      <c r="C5571" s="74" t="s">
        <v>13590</v>
      </c>
      <c r="D5571" s="74" t="s">
        <v>13591</v>
      </c>
      <c r="E5571" s="74" t="s">
        <v>391</v>
      </c>
      <c r="F5571" s="74">
        <v>0</v>
      </c>
      <c r="G5571" s="74"/>
      <c r="H5571" s="74"/>
      <c r="I5571" s="74" t="s">
        <v>391</v>
      </c>
      <c r="J5571" s="74"/>
      <c r="K5571" s="74"/>
      <c r="L5571" s="74"/>
      <c r="M5571" s="74"/>
      <c r="N5571" s="74" t="s">
        <v>397</v>
      </c>
      <c r="O5571" s="74" t="s">
        <v>393</v>
      </c>
      <c r="P5571" s="74"/>
      <c r="Q5571" s="74" t="s">
        <v>13592</v>
      </c>
    </row>
    <row r="5572" spans="3:17" x14ac:dyDescent="0.25">
      <c r="C5572" s="74" t="s">
        <v>13609</v>
      </c>
      <c r="D5572" s="74" t="s">
        <v>13610</v>
      </c>
      <c r="E5572" s="74" t="s">
        <v>391</v>
      </c>
      <c r="F5572" s="74">
        <v>0</v>
      </c>
      <c r="G5572" s="74"/>
      <c r="H5572" s="74"/>
      <c r="I5572" s="74" t="s">
        <v>391</v>
      </c>
      <c r="J5572" s="74"/>
      <c r="K5572" s="74"/>
      <c r="L5572" s="74"/>
      <c r="M5572" s="74"/>
      <c r="N5572" s="74" t="s">
        <v>397</v>
      </c>
      <c r="O5572" s="74" t="s">
        <v>393</v>
      </c>
      <c r="P5572" s="74" t="s">
        <v>13611</v>
      </c>
      <c r="Q5572" s="74" t="s">
        <v>13612</v>
      </c>
    </row>
    <row r="5573" spans="3:17" x14ac:dyDescent="0.25">
      <c r="C5573" s="74" t="s">
        <v>13617</v>
      </c>
      <c r="D5573" s="74" t="s">
        <v>13618</v>
      </c>
      <c r="E5573" s="74" t="s">
        <v>391</v>
      </c>
      <c r="F5573" s="74">
        <v>0</v>
      </c>
      <c r="G5573" s="74"/>
      <c r="H5573" s="74"/>
      <c r="I5573" s="74" t="s">
        <v>391</v>
      </c>
      <c r="J5573" s="74"/>
      <c r="K5573" s="74"/>
      <c r="L5573" s="74"/>
      <c r="M5573" s="74"/>
      <c r="N5573" s="74" t="s">
        <v>397</v>
      </c>
      <c r="O5573" s="74" t="s">
        <v>393</v>
      </c>
      <c r="P5573" s="74"/>
      <c r="Q5573" s="74" t="s">
        <v>13619</v>
      </c>
    </row>
    <row r="5574" spans="3:17" x14ac:dyDescent="0.25">
      <c r="C5574" s="74" t="s">
        <v>13629</v>
      </c>
      <c r="D5574" s="74" t="s">
        <v>13630</v>
      </c>
      <c r="E5574" s="74" t="s">
        <v>391</v>
      </c>
      <c r="F5574" s="74">
        <v>0</v>
      </c>
      <c r="G5574" s="74"/>
      <c r="H5574" s="74"/>
      <c r="I5574" s="74" t="s">
        <v>391</v>
      </c>
      <c r="J5574" s="74"/>
      <c r="K5574" s="74"/>
      <c r="L5574" s="74"/>
      <c r="M5574" s="74"/>
      <c r="N5574" s="74" t="s">
        <v>397</v>
      </c>
      <c r="O5574" s="74" t="s">
        <v>393</v>
      </c>
      <c r="P5574" s="74" t="s">
        <v>13631</v>
      </c>
      <c r="Q5574" s="74" t="s">
        <v>13632</v>
      </c>
    </row>
    <row r="5575" spans="3:17" x14ac:dyDescent="0.25">
      <c r="C5575" s="74" t="s">
        <v>13633</v>
      </c>
      <c r="D5575" s="74" t="s">
        <v>13634</v>
      </c>
      <c r="E5575" s="74"/>
      <c r="F5575" s="74">
        <v>0</v>
      </c>
      <c r="G5575" s="74"/>
      <c r="H5575" s="74"/>
      <c r="I5575" s="74" t="s">
        <v>391</v>
      </c>
      <c r="J5575" s="74"/>
      <c r="K5575" s="74"/>
      <c r="L5575" s="74"/>
      <c r="M5575" s="74"/>
      <c r="N5575" s="74" t="s">
        <v>397</v>
      </c>
      <c r="O5575" s="74" t="s">
        <v>535</v>
      </c>
      <c r="P5575" s="74" t="s">
        <v>13635</v>
      </c>
      <c r="Q5575" s="74" t="s">
        <v>13636</v>
      </c>
    </row>
    <row r="5576" spans="3:17" x14ac:dyDescent="0.25">
      <c r="C5576" s="74" t="s">
        <v>13640</v>
      </c>
      <c r="D5576" s="74" t="s">
        <v>13641</v>
      </c>
      <c r="E5576" s="74" t="s">
        <v>391</v>
      </c>
      <c r="F5576" s="74">
        <v>0</v>
      </c>
      <c r="G5576" s="74"/>
      <c r="H5576" s="74"/>
      <c r="I5576" s="74" t="s">
        <v>391</v>
      </c>
      <c r="J5576" s="74"/>
      <c r="K5576" s="74"/>
      <c r="L5576" s="74"/>
      <c r="M5576" s="74"/>
      <c r="N5576" s="74" t="s">
        <v>397</v>
      </c>
      <c r="O5576" s="74" t="s">
        <v>393</v>
      </c>
      <c r="P5576" s="74" t="s">
        <v>13642</v>
      </c>
      <c r="Q5576" s="74" t="s">
        <v>13643</v>
      </c>
    </row>
    <row r="5577" spans="3:17" x14ac:dyDescent="0.25">
      <c r="C5577" s="74" t="s">
        <v>13666</v>
      </c>
      <c r="D5577" s="74" t="s">
        <v>13667</v>
      </c>
      <c r="E5577" s="74" t="s">
        <v>391</v>
      </c>
      <c r="F5577" s="74">
        <v>0</v>
      </c>
      <c r="G5577" s="74"/>
      <c r="H5577" s="74"/>
      <c r="I5577" s="74" t="s">
        <v>391</v>
      </c>
      <c r="J5577" s="74"/>
      <c r="K5577" s="74"/>
      <c r="L5577" s="74"/>
      <c r="M5577" s="74"/>
      <c r="N5577" s="74" t="s">
        <v>397</v>
      </c>
      <c r="O5577" s="74" t="s">
        <v>393</v>
      </c>
      <c r="P5577" s="74" t="s">
        <v>13668</v>
      </c>
      <c r="Q5577" s="74" t="s">
        <v>13669</v>
      </c>
    </row>
    <row r="5578" spans="3:17" x14ac:dyDescent="0.25">
      <c r="C5578" s="74" t="s">
        <v>13670</v>
      </c>
      <c r="D5578" s="74" t="s">
        <v>13671</v>
      </c>
      <c r="E5578" s="74" t="s">
        <v>391</v>
      </c>
      <c r="F5578" s="74">
        <v>0</v>
      </c>
      <c r="G5578" s="74"/>
      <c r="H5578" s="74"/>
      <c r="I5578" s="74" t="s">
        <v>391</v>
      </c>
      <c r="J5578" s="74"/>
      <c r="K5578" s="74"/>
      <c r="L5578" s="74"/>
      <c r="M5578" s="74"/>
      <c r="N5578" s="74" t="s">
        <v>397</v>
      </c>
      <c r="O5578" s="74" t="s">
        <v>393</v>
      </c>
      <c r="P5578" s="74" t="s">
        <v>13672</v>
      </c>
      <c r="Q5578" s="74" t="s">
        <v>13673</v>
      </c>
    </row>
    <row r="5579" spans="3:17" x14ac:dyDescent="0.25">
      <c r="C5579" s="74" t="s">
        <v>13730</v>
      </c>
      <c r="D5579" s="74" t="s">
        <v>13731</v>
      </c>
      <c r="E5579" s="74"/>
      <c r="F5579" s="74">
        <v>0</v>
      </c>
      <c r="G5579" s="74"/>
      <c r="H5579" s="74"/>
      <c r="I5579" s="74" t="s">
        <v>391</v>
      </c>
      <c r="J5579" s="74"/>
      <c r="K5579" s="74">
        <v>102.4</v>
      </c>
      <c r="L5579" s="74">
        <v>92.16</v>
      </c>
      <c r="M5579" s="74"/>
      <c r="N5579" s="74" t="s">
        <v>392</v>
      </c>
      <c r="O5579" s="74" t="s">
        <v>402</v>
      </c>
      <c r="P5579" s="74"/>
      <c r="Q5579" s="74" t="s">
        <v>13732</v>
      </c>
    </row>
    <row r="5580" spans="3:17" x14ac:dyDescent="0.25">
      <c r="C5580" s="74" t="s">
        <v>13747</v>
      </c>
      <c r="D5580" s="74" t="s">
        <v>13748</v>
      </c>
      <c r="E5580" s="74"/>
      <c r="F5580" s="74">
        <v>0</v>
      </c>
      <c r="G5580" s="74"/>
      <c r="H5580" s="74"/>
      <c r="I5580" s="74" t="s">
        <v>391</v>
      </c>
      <c r="J5580" s="74"/>
      <c r="K5580" s="74">
        <v>102.4</v>
      </c>
      <c r="L5580" s="74">
        <v>92.16</v>
      </c>
      <c r="M5580" s="74"/>
      <c r="N5580" s="74" t="s">
        <v>392</v>
      </c>
      <c r="O5580" s="74" t="s">
        <v>402</v>
      </c>
      <c r="P5580" s="74"/>
      <c r="Q5580" s="74" t="s">
        <v>13749</v>
      </c>
    </row>
    <row r="5581" spans="3:17" x14ac:dyDescent="0.25">
      <c r="C5581" s="74" t="s">
        <v>13757</v>
      </c>
      <c r="D5581" s="74" t="s">
        <v>13758</v>
      </c>
      <c r="E5581" s="74" t="s">
        <v>391</v>
      </c>
      <c r="F5581" s="74">
        <v>0</v>
      </c>
      <c r="G5581" s="74"/>
      <c r="H5581" s="74"/>
      <c r="I5581" s="74" t="s">
        <v>391</v>
      </c>
      <c r="J5581" s="74"/>
      <c r="K5581" s="74">
        <v>102.4</v>
      </c>
      <c r="L5581" s="74">
        <v>92.16</v>
      </c>
      <c r="M5581" s="74"/>
      <c r="N5581" s="74" t="s">
        <v>392</v>
      </c>
      <c r="O5581" s="74" t="s">
        <v>393</v>
      </c>
      <c r="P5581" s="74"/>
      <c r="Q5581" s="74" t="s">
        <v>13759</v>
      </c>
    </row>
    <row r="5582" spans="3:17" x14ac:dyDescent="0.25">
      <c r="C5582" s="74" t="s">
        <v>13760</v>
      </c>
      <c r="D5582" s="74" t="s">
        <v>13761</v>
      </c>
      <c r="E5582" s="74" t="s">
        <v>391</v>
      </c>
      <c r="F5582" s="74">
        <v>0</v>
      </c>
      <c r="G5582" s="74"/>
      <c r="H5582" s="74"/>
      <c r="I5582" s="74" t="s">
        <v>391</v>
      </c>
      <c r="J5582" s="74"/>
      <c r="K5582" s="74"/>
      <c r="L5582" s="74"/>
      <c r="M5582" s="74"/>
      <c r="N5582" s="74" t="s">
        <v>397</v>
      </c>
      <c r="O5582" s="74" t="s">
        <v>393</v>
      </c>
      <c r="P5582" s="74" t="s">
        <v>13762</v>
      </c>
      <c r="Q5582" s="74" t="s">
        <v>13763</v>
      </c>
    </row>
    <row r="5583" spans="3:17" x14ac:dyDescent="0.25">
      <c r="C5583" s="74" t="s">
        <v>13778</v>
      </c>
      <c r="D5583" s="74" t="s">
        <v>13779</v>
      </c>
      <c r="E5583" s="74" t="s">
        <v>391</v>
      </c>
      <c r="F5583" s="74">
        <v>0</v>
      </c>
      <c r="G5583" s="74"/>
      <c r="H5583" s="74"/>
      <c r="I5583" s="74" t="s">
        <v>391</v>
      </c>
      <c r="J5583" s="74"/>
      <c r="K5583" s="74"/>
      <c r="L5583" s="74"/>
      <c r="M5583" s="74"/>
      <c r="N5583" s="74" t="s">
        <v>397</v>
      </c>
      <c r="O5583" s="74" t="s">
        <v>393</v>
      </c>
      <c r="P5583" s="74" t="s">
        <v>13780</v>
      </c>
      <c r="Q5583" s="74" t="s">
        <v>13781</v>
      </c>
    </row>
    <row r="5584" spans="3:17" x14ac:dyDescent="0.25">
      <c r="C5584" s="74" t="s">
        <v>13788</v>
      </c>
      <c r="D5584" s="74" t="s">
        <v>13789</v>
      </c>
      <c r="E5584" s="74" t="s">
        <v>391</v>
      </c>
      <c r="F5584" s="74">
        <v>0</v>
      </c>
      <c r="G5584" s="74"/>
      <c r="H5584" s="74"/>
      <c r="I5584" s="74" t="s">
        <v>391</v>
      </c>
      <c r="J5584" s="74"/>
      <c r="K5584" s="74">
        <v>102.4</v>
      </c>
      <c r="L5584" s="74">
        <v>92.16</v>
      </c>
      <c r="M5584" s="74"/>
      <c r="N5584" s="74" t="s">
        <v>392</v>
      </c>
      <c r="O5584" s="74" t="s">
        <v>393</v>
      </c>
      <c r="P5584" s="74"/>
      <c r="Q5584" s="74" t="s">
        <v>13790</v>
      </c>
    </row>
    <row r="5585" spans="3:17" x14ac:dyDescent="0.25">
      <c r="C5585" s="74" t="s">
        <v>13814</v>
      </c>
      <c r="D5585" s="74" t="s">
        <v>13815</v>
      </c>
      <c r="E5585" s="74" t="s">
        <v>391</v>
      </c>
      <c r="F5585" s="74">
        <v>0</v>
      </c>
      <c r="G5585" s="74"/>
      <c r="H5585" s="74"/>
      <c r="I5585" s="74" t="s">
        <v>391</v>
      </c>
      <c r="J5585" s="74"/>
      <c r="K5585" s="74"/>
      <c r="L5585" s="74"/>
      <c r="M5585" s="74"/>
      <c r="N5585" s="74" t="s">
        <v>397</v>
      </c>
      <c r="O5585" s="74" t="s">
        <v>393</v>
      </c>
      <c r="P5585" s="74" t="s">
        <v>13816</v>
      </c>
      <c r="Q5585" s="74" t="s">
        <v>13817</v>
      </c>
    </row>
    <row r="5586" spans="3:17" x14ac:dyDescent="0.25">
      <c r="C5586" s="74" t="s">
        <v>13844</v>
      </c>
      <c r="D5586" s="74" t="s">
        <v>13845</v>
      </c>
      <c r="E5586" s="74" t="s">
        <v>391</v>
      </c>
      <c r="F5586" s="74">
        <v>0</v>
      </c>
      <c r="G5586" s="74"/>
      <c r="H5586" s="74"/>
      <c r="I5586" s="74" t="s">
        <v>391</v>
      </c>
      <c r="J5586" s="74"/>
      <c r="K5586" s="74"/>
      <c r="L5586" s="74"/>
      <c r="M5586" s="74"/>
      <c r="N5586" s="74" t="s">
        <v>397</v>
      </c>
      <c r="O5586" s="74" t="s">
        <v>393</v>
      </c>
      <c r="P5586" s="74" t="s">
        <v>13846</v>
      </c>
      <c r="Q5586" s="74" t="s">
        <v>13847</v>
      </c>
    </row>
    <row r="5587" spans="3:17" x14ac:dyDescent="0.25">
      <c r="C5587" s="74" t="s">
        <v>13848</v>
      </c>
      <c r="D5587" s="74" t="s">
        <v>13849</v>
      </c>
      <c r="E5587" s="74" t="s">
        <v>391</v>
      </c>
      <c r="F5587" s="74">
        <v>0</v>
      </c>
      <c r="G5587" s="74"/>
      <c r="H5587" s="74"/>
      <c r="I5587" s="74" t="s">
        <v>391</v>
      </c>
      <c r="J5587" s="74"/>
      <c r="K5587" s="74"/>
      <c r="L5587" s="74"/>
      <c r="M5587" s="74"/>
      <c r="N5587" s="74" t="s">
        <v>397</v>
      </c>
      <c r="O5587" s="74" t="s">
        <v>393</v>
      </c>
      <c r="P5587" s="74" t="s">
        <v>13850</v>
      </c>
      <c r="Q5587" s="74" t="s">
        <v>13851</v>
      </c>
    </row>
    <row r="5588" spans="3:17" x14ac:dyDescent="0.25">
      <c r="C5588" s="74" t="s">
        <v>13875</v>
      </c>
      <c r="D5588" s="74" t="s">
        <v>13876</v>
      </c>
      <c r="E5588" s="74" t="s">
        <v>391</v>
      </c>
      <c r="F5588" s="74">
        <v>0</v>
      </c>
      <c r="G5588" s="74"/>
      <c r="H5588" s="74"/>
      <c r="I5588" s="74" t="s">
        <v>391</v>
      </c>
      <c r="J5588" s="74"/>
      <c r="K5588" s="74"/>
      <c r="L5588" s="74"/>
      <c r="M5588" s="74"/>
      <c r="N5588" s="74" t="s">
        <v>397</v>
      </c>
      <c r="O5588" s="74" t="s">
        <v>393</v>
      </c>
      <c r="P5588" s="74" t="s">
        <v>13877</v>
      </c>
      <c r="Q5588" s="74" t="s">
        <v>13878</v>
      </c>
    </row>
    <row r="5589" spans="3:17" x14ac:dyDescent="0.25">
      <c r="C5589" s="74" t="s">
        <v>13889</v>
      </c>
      <c r="D5589" s="74" t="s">
        <v>13890</v>
      </c>
      <c r="E5589" s="74" t="s">
        <v>391</v>
      </c>
      <c r="F5589" s="74">
        <v>0</v>
      </c>
      <c r="G5589" s="74"/>
      <c r="H5589" s="74"/>
      <c r="I5589" s="74" t="s">
        <v>391</v>
      </c>
      <c r="J5589" s="74"/>
      <c r="K5589" s="74"/>
      <c r="L5589" s="74"/>
      <c r="M5589" s="74"/>
      <c r="N5589" s="74" t="s">
        <v>397</v>
      </c>
      <c r="O5589" s="74" t="s">
        <v>393</v>
      </c>
      <c r="P5589" s="74" t="s">
        <v>13891</v>
      </c>
      <c r="Q5589" s="74" t="s">
        <v>13892</v>
      </c>
    </row>
    <row r="5590" spans="3:17" x14ac:dyDescent="0.25">
      <c r="C5590" s="74" t="s">
        <v>13897</v>
      </c>
      <c r="D5590" s="74" t="s">
        <v>13898</v>
      </c>
      <c r="E5590" s="74" t="s">
        <v>391</v>
      </c>
      <c r="F5590" s="74">
        <v>0</v>
      </c>
      <c r="G5590" s="74"/>
      <c r="H5590" s="74"/>
      <c r="I5590" s="74" t="s">
        <v>391</v>
      </c>
      <c r="J5590" s="74"/>
      <c r="K5590" s="74"/>
      <c r="L5590" s="74"/>
      <c r="M5590" s="74"/>
      <c r="N5590" s="74" t="s">
        <v>397</v>
      </c>
      <c r="O5590" s="74" t="s">
        <v>393</v>
      </c>
      <c r="P5590" s="74" t="s">
        <v>13899</v>
      </c>
      <c r="Q5590" s="74" t="s">
        <v>13900</v>
      </c>
    </row>
    <row r="5591" spans="3:17" x14ac:dyDescent="0.25">
      <c r="C5591" s="74" t="s">
        <v>13908</v>
      </c>
      <c r="D5591" s="74" t="s">
        <v>13909</v>
      </c>
      <c r="E5591" s="74" t="s">
        <v>391</v>
      </c>
      <c r="F5591" s="74">
        <v>0</v>
      </c>
      <c r="G5591" s="74"/>
      <c r="H5591" s="74"/>
      <c r="I5591" s="74" t="s">
        <v>391</v>
      </c>
      <c r="J5591" s="74"/>
      <c r="K5591" s="74">
        <v>102.4</v>
      </c>
      <c r="L5591" s="74">
        <v>92.16</v>
      </c>
      <c r="M5591" s="74"/>
      <c r="N5591" s="74" t="s">
        <v>392</v>
      </c>
      <c r="O5591" s="74" t="s">
        <v>393</v>
      </c>
      <c r="P5591" s="74"/>
      <c r="Q5591" s="74" t="s">
        <v>13910</v>
      </c>
    </row>
    <row r="5592" spans="3:17" x14ac:dyDescent="0.25">
      <c r="C5592" s="74" t="s">
        <v>13951</v>
      </c>
      <c r="D5592" s="74" t="s">
        <v>13952</v>
      </c>
      <c r="E5592" s="74" t="s">
        <v>391</v>
      </c>
      <c r="F5592" s="74">
        <v>0</v>
      </c>
      <c r="G5592" s="74"/>
      <c r="H5592" s="74"/>
      <c r="I5592" s="74" t="s">
        <v>391</v>
      </c>
      <c r="J5592" s="74"/>
      <c r="K5592" s="74"/>
      <c r="L5592" s="74"/>
      <c r="M5592" s="74"/>
      <c r="N5592" s="74" t="s">
        <v>397</v>
      </c>
      <c r="O5592" s="74" t="s">
        <v>393</v>
      </c>
      <c r="P5592" s="74" t="s">
        <v>13953</v>
      </c>
      <c r="Q5592" s="74" t="s">
        <v>13954</v>
      </c>
    </row>
    <row r="5593" spans="3:17" x14ac:dyDescent="0.25">
      <c r="C5593" s="74" t="s">
        <v>13958</v>
      </c>
      <c r="D5593" s="74" t="s">
        <v>13959</v>
      </c>
      <c r="E5593" s="74" t="s">
        <v>391</v>
      </c>
      <c r="F5593" s="74">
        <v>0</v>
      </c>
      <c r="G5593" s="74"/>
      <c r="H5593" s="74"/>
      <c r="I5593" s="74" t="s">
        <v>391</v>
      </c>
      <c r="J5593" s="74"/>
      <c r="K5593" s="74">
        <v>102.4</v>
      </c>
      <c r="L5593" s="74">
        <v>92.16</v>
      </c>
      <c r="M5593" s="74"/>
      <c r="N5593" s="74" t="s">
        <v>392</v>
      </c>
      <c r="O5593" s="74" t="s">
        <v>393</v>
      </c>
      <c r="P5593" s="74"/>
      <c r="Q5593" s="74" t="s">
        <v>13960</v>
      </c>
    </row>
    <row r="5594" spans="3:17" x14ac:dyDescent="0.25">
      <c r="C5594" s="74" t="s">
        <v>13996</v>
      </c>
      <c r="D5594" s="74" t="s">
        <v>13997</v>
      </c>
      <c r="E5594" s="74" t="s">
        <v>391</v>
      </c>
      <c r="F5594" s="74">
        <v>0</v>
      </c>
      <c r="G5594" s="74"/>
      <c r="H5594" s="74"/>
      <c r="I5594" s="74" t="s">
        <v>391</v>
      </c>
      <c r="J5594" s="74"/>
      <c r="K5594" s="74">
        <v>102.4</v>
      </c>
      <c r="L5594" s="74">
        <v>92.16</v>
      </c>
      <c r="M5594" s="74"/>
      <c r="N5594" s="74" t="s">
        <v>392</v>
      </c>
      <c r="O5594" s="74" t="s">
        <v>393</v>
      </c>
      <c r="P5594" s="74"/>
      <c r="Q5594" s="74" t="s">
        <v>13998</v>
      </c>
    </row>
    <row r="5595" spans="3:17" x14ac:dyDescent="0.25">
      <c r="C5595" s="74" t="s">
        <v>14003</v>
      </c>
      <c r="D5595" s="74" t="s">
        <v>14004</v>
      </c>
      <c r="E5595" s="74" t="s">
        <v>391</v>
      </c>
      <c r="F5595" s="74">
        <v>0</v>
      </c>
      <c r="G5595" s="74"/>
      <c r="H5595" s="74"/>
      <c r="I5595" s="74" t="s">
        <v>391</v>
      </c>
      <c r="J5595" s="74"/>
      <c r="K5595" s="74"/>
      <c r="L5595" s="74"/>
      <c r="M5595" s="74"/>
      <c r="N5595" s="74" t="s">
        <v>397</v>
      </c>
      <c r="O5595" s="74" t="s">
        <v>393</v>
      </c>
      <c r="P5595" s="74" t="s">
        <v>14005</v>
      </c>
      <c r="Q5595" s="74" t="s">
        <v>14006</v>
      </c>
    </row>
    <row r="5596" spans="3:17" x14ac:dyDescent="0.25">
      <c r="C5596" s="74" t="s">
        <v>14016</v>
      </c>
      <c r="D5596" s="74" t="s">
        <v>14017</v>
      </c>
      <c r="E5596" s="74" t="s">
        <v>391</v>
      </c>
      <c r="F5596" s="74">
        <v>0</v>
      </c>
      <c r="G5596" s="74"/>
      <c r="H5596" s="74"/>
      <c r="I5596" s="74" t="s">
        <v>391</v>
      </c>
      <c r="J5596" s="74"/>
      <c r="K5596" s="74"/>
      <c r="L5596" s="74"/>
      <c r="M5596" s="74"/>
      <c r="N5596" s="74" t="s">
        <v>397</v>
      </c>
      <c r="O5596" s="74" t="s">
        <v>402</v>
      </c>
      <c r="P5596" s="74" t="s">
        <v>14018</v>
      </c>
      <c r="Q5596" s="74" t="s">
        <v>14019</v>
      </c>
    </row>
    <row r="5597" spans="3:17" x14ac:dyDescent="0.25">
      <c r="C5597" s="74" t="s">
        <v>14029</v>
      </c>
      <c r="D5597" s="74" t="s">
        <v>14030</v>
      </c>
      <c r="E5597" s="74" t="s">
        <v>391</v>
      </c>
      <c r="F5597" s="74">
        <v>0</v>
      </c>
      <c r="G5597" s="74"/>
      <c r="H5597" s="74"/>
      <c r="I5597" s="74" t="s">
        <v>391</v>
      </c>
      <c r="J5597" s="74"/>
      <c r="K5597" s="74"/>
      <c r="L5597" s="74"/>
      <c r="M5597" s="74"/>
      <c r="N5597" s="74" t="s">
        <v>397</v>
      </c>
      <c r="O5597" s="74" t="s">
        <v>393</v>
      </c>
      <c r="P5597" s="74" t="s">
        <v>14031</v>
      </c>
      <c r="Q5597" s="74" t="s">
        <v>14032</v>
      </c>
    </row>
    <row r="5598" spans="3:17" x14ac:dyDescent="0.25">
      <c r="C5598" s="74" t="s">
        <v>14040</v>
      </c>
      <c r="D5598" s="74" t="s">
        <v>14041</v>
      </c>
      <c r="E5598" s="74" t="s">
        <v>391</v>
      </c>
      <c r="F5598" s="74">
        <v>0</v>
      </c>
      <c r="G5598" s="74"/>
      <c r="H5598" s="74"/>
      <c r="I5598" s="74" t="s">
        <v>391</v>
      </c>
      <c r="J5598" s="74"/>
      <c r="K5598" s="74"/>
      <c r="L5598" s="74"/>
      <c r="M5598" s="74"/>
      <c r="N5598" s="74" t="s">
        <v>397</v>
      </c>
      <c r="O5598" s="74" t="s">
        <v>393</v>
      </c>
      <c r="P5598" s="74" t="s">
        <v>14042</v>
      </c>
      <c r="Q5598" s="74" t="s">
        <v>14043</v>
      </c>
    </row>
    <row r="5599" spans="3:17" x14ac:dyDescent="0.25">
      <c r="C5599" s="74" t="s">
        <v>14051</v>
      </c>
      <c r="D5599" s="74" t="s">
        <v>14052</v>
      </c>
      <c r="E5599" s="74" t="s">
        <v>391</v>
      </c>
      <c r="F5599" s="74">
        <v>0</v>
      </c>
      <c r="G5599" s="74"/>
      <c r="H5599" s="74"/>
      <c r="I5599" s="74" t="s">
        <v>391</v>
      </c>
      <c r="J5599" s="74"/>
      <c r="K5599" s="74"/>
      <c r="L5599" s="74"/>
      <c r="M5599" s="74"/>
      <c r="N5599" s="74" t="s">
        <v>397</v>
      </c>
      <c r="O5599" s="74" t="s">
        <v>393</v>
      </c>
      <c r="P5599" s="74" t="s">
        <v>14053</v>
      </c>
      <c r="Q5599" s="74" t="s">
        <v>14054</v>
      </c>
    </row>
    <row r="5600" spans="3:17" x14ac:dyDescent="0.25">
      <c r="C5600" s="74" t="s">
        <v>14066</v>
      </c>
      <c r="D5600" s="74" t="s">
        <v>14067</v>
      </c>
      <c r="E5600" s="74" t="s">
        <v>391</v>
      </c>
      <c r="F5600" s="74">
        <v>0</v>
      </c>
      <c r="G5600" s="74"/>
      <c r="H5600" s="74"/>
      <c r="I5600" s="74" t="s">
        <v>391</v>
      </c>
      <c r="J5600" s="74"/>
      <c r="K5600" s="74"/>
      <c r="L5600" s="74"/>
      <c r="M5600" s="74"/>
      <c r="N5600" s="74" t="s">
        <v>397</v>
      </c>
      <c r="O5600" s="74" t="s">
        <v>402</v>
      </c>
      <c r="P5600" s="74" t="s">
        <v>14068</v>
      </c>
      <c r="Q5600" s="74" t="s">
        <v>14069</v>
      </c>
    </row>
    <row r="5601" spans="3:17" x14ac:dyDescent="0.25">
      <c r="C5601" s="74" t="s">
        <v>14099</v>
      </c>
      <c r="D5601" s="74" t="s">
        <v>14100</v>
      </c>
      <c r="E5601" s="74" t="s">
        <v>391</v>
      </c>
      <c r="F5601" s="74">
        <v>0</v>
      </c>
      <c r="G5601" s="74"/>
      <c r="H5601" s="74"/>
      <c r="I5601" s="74" t="s">
        <v>391</v>
      </c>
      <c r="J5601" s="74"/>
      <c r="K5601" s="74"/>
      <c r="L5601" s="74"/>
      <c r="M5601" s="74"/>
      <c r="N5601" s="74" t="s">
        <v>397</v>
      </c>
      <c r="O5601" s="74" t="s">
        <v>393</v>
      </c>
      <c r="P5601" s="74" t="s">
        <v>14101</v>
      </c>
      <c r="Q5601" s="74" t="s">
        <v>14102</v>
      </c>
    </row>
    <row r="5602" spans="3:17" x14ac:dyDescent="0.25">
      <c r="C5602" s="74" t="s">
        <v>14137</v>
      </c>
      <c r="D5602" s="74" t="s">
        <v>14138</v>
      </c>
      <c r="E5602" s="74" t="s">
        <v>391</v>
      </c>
      <c r="F5602" s="74">
        <v>0</v>
      </c>
      <c r="G5602" s="74"/>
      <c r="H5602" s="74"/>
      <c r="I5602" s="74" t="s">
        <v>391</v>
      </c>
      <c r="J5602" s="74"/>
      <c r="K5602" s="74"/>
      <c r="L5602" s="74"/>
      <c r="M5602" s="74"/>
      <c r="N5602" s="74" t="s">
        <v>397</v>
      </c>
      <c r="O5602" s="74" t="s">
        <v>393</v>
      </c>
      <c r="P5602" s="74" t="s">
        <v>14139</v>
      </c>
      <c r="Q5602" s="74" t="s">
        <v>14140</v>
      </c>
    </row>
    <row r="5603" spans="3:17" x14ac:dyDescent="0.25">
      <c r="C5603" s="74" t="s">
        <v>14172</v>
      </c>
      <c r="D5603" s="74" t="s">
        <v>14173</v>
      </c>
      <c r="E5603" s="74" t="s">
        <v>391</v>
      </c>
      <c r="F5603" s="74">
        <v>0</v>
      </c>
      <c r="G5603" s="74"/>
      <c r="H5603" s="74"/>
      <c r="I5603" s="74" t="s">
        <v>391</v>
      </c>
      <c r="J5603" s="74"/>
      <c r="K5603" s="74">
        <v>102.4</v>
      </c>
      <c r="L5603" s="74">
        <v>92.16</v>
      </c>
      <c r="M5603" s="74"/>
      <c r="N5603" s="74" t="s">
        <v>392</v>
      </c>
      <c r="O5603" s="74" t="s">
        <v>393</v>
      </c>
      <c r="P5603" s="74"/>
      <c r="Q5603" s="74" t="s">
        <v>14174</v>
      </c>
    </row>
    <row r="5604" spans="3:17" x14ac:dyDescent="0.25">
      <c r="C5604" s="74" t="s">
        <v>14175</v>
      </c>
      <c r="D5604" s="74" t="s">
        <v>14176</v>
      </c>
      <c r="E5604" s="74" t="s">
        <v>391</v>
      </c>
      <c r="F5604" s="74">
        <v>0</v>
      </c>
      <c r="G5604" s="74"/>
      <c r="H5604" s="74"/>
      <c r="I5604" s="74" t="s">
        <v>391</v>
      </c>
      <c r="J5604" s="74"/>
      <c r="K5604" s="74"/>
      <c r="L5604" s="74"/>
      <c r="M5604" s="74"/>
      <c r="N5604" s="74" t="s">
        <v>397</v>
      </c>
      <c r="O5604" s="74" t="s">
        <v>393</v>
      </c>
      <c r="P5604" s="74" t="s">
        <v>14177</v>
      </c>
      <c r="Q5604" s="74" t="s">
        <v>14178</v>
      </c>
    </row>
    <row r="5605" spans="3:17" x14ac:dyDescent="0.25">
      <c r="C5605" s="74" t="s">
        <v>14179</v>
      </c>
      <c r="D5605" s="74" t="s">
        <v>14180</v>
      </c>
      <c r="E5605" s="74" t="s">
        <v>391</v>
      </c>
      <c r="F5605" s="74">
        <v>0</v>
      </c>
      <c r="G5605" s="74"/>
      <c r="H5605" s="74"/>
      <c r="I5605" s="74" t="s">
        <v>391</v>
      </c>
      <c r="J5605" s="74"/>
      <c r="K5605" s="74">
        <v>102.4</v>
      </c>
      <c r="L5605" s="74">
        <v>92.16</v>
      </c>
      <c r="M5605" s="74"/>
      <c r="N5605" s="74" t="s">
        <v>392</v>
      </c>
      <c r="O5605" s="74" t="s">
        <v>393</v>
      </c>
      <c r="P5605" s="74"/>
      <c r="Q5605" s="74" t="s">
        <v>14180</v>
      </c>
    </row>
    <row r="5606" spans="3:17" x14ac:dyDescent="0.25">
      <c r="C5606" s="74" t="s">
        <v>14196</v>
      </c>
      <c r="D5606" s="74" t="s">
        <v>14197</v>
      </c>
      <c r="E5606" s="74" t="s">
        <v>391</v>
      </c>
      <c r="F5606" s="74">
        <v>0</v>
      </c>
      <c r="G5606" s="74"/>
      <c r="H5606" s="74"/>
      <c r="I5606" s="74" t="s">
        <v>391</v>
      </c>
      <c r="J5606" s="74"/>
      <c r="K5606" s="74">
        <v>102.4</v>
      </c>
      <c r="L5606" s="74">
        <v>92.16</v>
      </c>
      <c r="M5606" s="74"/>
      <c r="N5606" s="74" t="s">
        <v>392</v>
      </c>
      <c r="O5606" s="74" t="s">
        <v>393</v>
      </c>
      <c r="P5606" s="74"/>
      <c r="Q5606" s="74" t="s">
        <v>14198</v>
      </c>
    </row>
    <row r="5607" spans="3:17" x14ac:dyDescent="0.25">
      <c r="C5607" s="74" t="s">
        <v>14207</v>
      </c>
      <c r="D5607" s="74" t="s">
        <v>14208</v>
      </c>
      <c r="E5607" s="74" t="s">
        <v>391</v>
      </c>
      <c r="F5607" s="74">
        <v>0</v>
      </c>
      <c r="G5607" s="74"/>
      <c r="H5607" s="74"/>
      <c r="I5607" s="74" t="s">
        <v>391</v>
      </c>
      <c r="J5607" s="74"/>
      <c r="K5607" s="74"/>
      <c r="L5607" s="74"/>
      <c r="M5607" s="74"/>
      <c r="N5607" s="74" t="s">
        <v>397</v>
      </c>
      <c r="O5607" s="74" t="s">
        <v>393</v>
      </c>
      <c r="P5607" s="74"/>
      <c r="Q5607" s="74" t="s">
        <v>14209</v>
      </c>
    </row>
    <row r="5608" spans="3:17" x14ac:dyDescent="0.25">
      <c r="C5608" s="74" t="s">
        <v>14224</v>
      </c>
      <c r="D5608" s="74" t="s">
        <v>14225</v>
      </c>
      <c r="E5608" s="74" t="s">
        <v>391</v>
      </c>
      <c r="F5608" s="74">
        <v>0</v>
      </c>
      <c r="G5608" s="74"/>
      <c r="H5608" s="74"/>
      <c r="I5608" s="74" t="s">
        <v>391</v>
      </c>
      <c r="J5608" s="74"/>
      <c r="K5608" s="74"/>
      <c r="L5608" s="74"/>
      <c r="M5608" s="74"/>
      <c r="N5608" s="74" t="s">
        <v>397</v>
      </c>
      <c r="O5608" s="74" t="s">
        <v>393</v>
      </c>
      <c r="P5608" s="74" t="s">
        <v>14226</v>
      </c>
      <c r="Q5608" s="74" t="s">
        <v>14227</v>
      </c>
    </row>
    <row r="5609" spans="3:17" x14ac:dyDescent="0.25">
      <c r="C5609" s="74" t="s">
        <v>14228</v>
      </c>
      <c r="D5609" s="74" t="s">
        <v>14229</v>
      </c>
      <c r="E5609" s="74" t="s">
        <v>391</v>
      </c>
      <c r="F5609" s="74">
        <v>0</v>
      </c>
      <c r="G5609" s="74"/>
      <c r="H5609" s="74"/>
      <c r="I5609" s="74" t="s">
        <v>391</v>
      </c>
      <c r="J5609" s="74"/>
      <c r="K5609" s="74">
        <v>102.4</v>
      </c>
      <c r="L5609" s="74">
        <v>92.16</v>
      </c>
      <c r="M5609" s="74"/>
      <c r="N5609" s="74" t="s">
        <v>392</v>
      </c>
      <c r="O5609" s="74" t="s">
        <v>393</v>
      </c>
      <c r="P5609" s="74"/>
      <c r="Q5609" s="74" t="s">
        <v>14230</v>
      </c>
    </row>
    <row r="5610" spans="3:17" x14ac:dyDescent="0.25">
      <c r="C5610" s="74" t="s">
        <v>14246</v>
      </c>
      <c r="D5610" s="74" t="s">
        <v>14247</v>
      </c>
      <c r="E5610" s="74"/>
      <c r="F5610" s="74">
        <v>0</v>
      </c>
      <c r="G5610" s="74"/>
      <c r="H5610" s="74"/>
      <c r="I5610" s="74" t="s">
        <v>391</v>
      </c>
      <c r="J5610" s="74"/>
      <c r="K5610" s="74">
        <v>102.4</v>
      </c>
      <c r="L5610" s="74">
        <v>92.16</v>
      </c>
      <c r="M5610" s="74"/>
      <c r="N5610" s="74" t="s">
        <v>392</v>
      </c>
      <c r="O5610" s="74" t="s">
        <v>402</v>
      </c>
      <c r="P5610" s="74" t="s">
        <v>14248</v>
      </c>
      <c r="Q5610" s="74" t="s">
        <v>14249</v>
      </c>
    </row>
    <row r="5611" spans="3:17" x14ac:dyDescent="0.25">
      <c r="C5611" s="74" t="s">
        <v>14250</v>
      </c>
      <c r="D5611" s="74" t="s">
        <v>14251</v>
      </c>
      <c r="E5611" s="74"/>
      <c r="F5611" s="74">
        <v>0</v>
      </c>
      <c r="G5611" s="74"/>
      <c r="H5611" s="74"/>
      <c r="I5611" s="74" t="s">
        <v>391</v>
      </c>
      <c r="J5611" s="74"/>
      <c r="K5611" s="74"/>
      <c r="L5611" s="74"/>
      <c r="M5611" s="74"/>
      <c r="N5611" s="74" t="s">
        <v>397</v>
      </c>
      <c r="O5611" s="74" t="s">
        <v>535</v>
      </c>
      <c r="P5611" s="74" t="s">
        <v>14252</v>
      </c>
      <c r="Q5611" s="74" t="s">
        <v>14251</v>
      </c>
    </row>
    <row r="5612" spans="3:17" x14ac:dyDescent="0.25">
      <c r="C5612" s="74" t="s">
        <v>14261</v>
      </c>
      <c r="D5612" s="74" t="s">
        <v>14262</v>
      </c>
      <c r="E5612" s="74" t="s">
        <v>391</v>
      </c>
      <c r="F5612" s="74">
        <v>0</v>
      </c>
      <c r="G5612" s="74"/>
      <c r="H5612" s="74"/>
      <c r="I5612" s="74" t="s">
        <v>391</v>
      </c>
      <c r="J5612" s="74"/>
      <c r="K5612" s="74"/>
      <c r="L5612" s="74"/>
      <c r="M5612" s="74"/>
      <c r="N5612" s="74" t="s">
        <v>397</v>
      </c>
      <c r="O5612" s="74" t="s">
        <v>393</v>
      </c>
      <c r="P5612" s="74" t="s">
        <v>14263</v>
      </c>
      <c r="Q5612" s="74" t="s">
        <v>14264</v>
      </c>
    </row>
    <row r="5613" spans="3:17" x14ac:dyDescent="0.25">
      <c r="C5613" s="74" t="s">
        <v>14269</v>
      </c>
      <c r="D5613" s="74" t="s">
        <v>14270</v>
      </c>
      <c r="E5613" s="74" t="s">
        <v>391</v>
      </c>
      <c r="F5613" s="74">
        <v>0</v>
      </c>
      <c r="G5613" s="74"/>
      <c r="H5613" s="74"/>
      <c r="I5613" s="74" t="s">
        <v>391</v>
      </c>
      <c r="J5613" s="74"/>
      <c r="K5613" s="74"/>
      <c r="L5613" s="74"/>
      <c r="M5613" s="74"/>
      <c r="N5613" s="74" t="s">
        <v>397</v>
      </c>
      <c r="O5613" s="74" t="s">
        <v>393</v>
      </c>
      <c r="P5613" s="74" t="s">
        <v>14271</v>
      </c>
      <c r="Q5613" s="74" t="s">
        <v>14272</v>
      </c>
    </row>
    <row r="5614" spans="3:17" x14ac:dyDescent="0.25">
      <c r="C5614" s="74" t="s">
        <v>14283</v>
      </c>
      <c r="D5614" s="74" t="s">
        <v>14284</v>
      </c>
      <c r="E5614" s="74" t="s">
        <v>391</v>
      </c>
      <c r="F5614" s="74">
        <v>0</v>
      </c>
      <c r="G5614" s="74"/>
      <c r="H5614" s="74"/>
      <c r="I5614" s="74" t="s">
        <v>391</v>
      </c>
      <c r="J5614" s="74"/>
      <c r="K5614" s="74">
        <v>102.4</v>
      </c>
      <c r="L5614" s="74">
        <v>92.16</v>
      </c>
      <c r="M5614" s="74"/>
      <c r="N5614" s="74" t="s">
        <v>392</v>
      </c>
      <c r="O5614" s="74" t="s">
        <v>393</v>
      </c>
      <c r="P5614" s="74"/>
      <c r="Q5614" s="74" t="s">
        <v>14284</v>
      </c>
    </row>
    <row r="5615" spans="3:17" x14ac:dyDescent="0.25">
      <c r="C5615" s="74" t="s">
        <v>14306</v>
      </c>
      <c r="D5615" s="74" t="s">
        <v>14307</v>
      </c>
      <c r="E5615" s="74" t="s">
        <v>391</v>
      </c>
      <c r="F5615" s="74">
        <v>0</v>
      </c>
      <c r="G5615" s="74"/>
      <c r="H5615" s="74"/>
      <c r="I5615" s="74" t="s">
        <v>391</v>
      </c>
      <c r="J5615" s="74"/>
      <c r="K5615" s="74">
        <v>102.4</v>
      </c>
      <c r="L5615" s="74">
        <v>92.16</v>
      </c>
      <c r="M5615" s="74"/>
      <c r="N5615" s="74" t="s">
        <v>392</v>
      </c>
      <c r="O5615" s="74" t="s">
        <v>393</v>
      </c>
      <c r="P5615" s="74"/>
      <c r="Q5615" s="74" t="s">
        <v>14308</v>
      </c>
    </row>
    <row r="5616" spans="3:17" x14ac:dyDescent="0.25">
      <c r="C5616" s="74" t="s">
        <v>14325</v>
      </c>
      <c r="D5616" s="74" t="s">
        <v>14326</v>
      </c>
      <c r="E5616" s="74" t="s">
        <v>391</v>
      </c>
      <c r="F5616" s="74">
        <v>0</v>
      </c>
      <c r="G5616" s="74"/>
      <c r="H5616" s="74"/>
      <c r="I5616" s="74" t="s">
        <v>391</v>
      </c>
      <c r="J5616" s="74"/>
      <c r="K5616" s="74"/>
      <c r="L5616" s="74"/>
      <c r="M5616" s="74"/>
      <c r="N5616" s="74" t="s">
        <v>397</v>
      </c>
      <c r="O5616" s="74" t="s">
        <v>393</v>
      </c>
      <c r="P5616" s="74" t="s">
        <v>14327</v>
      </c>
      <c r="Q5616" s="74" t="s">
        <v>14328</v>
      </c>
    </row>
    <row r="5617" spans="3:17" x14ac:dyDescent="0.25">
      <c r="C5617" s="74" t="s">
        <v>14333</v>
      </c>
      <c r="D5617" s="74" t="s">
        <v>14334</v>
      </c>
      <c r="E5617" s="74" t="s">
        <v>391</v>
      </c>
      <c r="F5617" s="74">
        <v>0</v>
      </c>
      <c r="G5617" s="74"/>
      <c r="H5617" s="74"/>
      <c r="I5617" s="74" t="s">
        <v>391</v>
      </c>
      <c r="J5617" s="74"/>
      <c r="K5617" s="74"/>
      <c r="L5617" s="74"/>
      <c r="M5617" s="74"/>
      <c r="N5617" s="74" t="s">
        <v>397</v>
      </c>
      <c r="O5617" s="74" t="s">
        <v>393</v>
      </c>
      <c r="P5617" s="74"/>
      <c r="Q5617" s="74" t="s">
        <v>14335</v>
      </c>
    </row>
    <row r="5618" spans="3:17" x14ac:dyDescent="0.25">
      <c r="C5618" s="74" t="s">
        <v>14359</v>
      </c>
      <c r="D5618" s="74" t="s">
        <v>14360</v>
      </c>
      <c r="E5618" s="74" t="s">
        <v>391</v>
      </c>
      <c r="F5618" s="74">
        <v>0</v>
      </c>
      <c r="G5618" s="74"/>
      <c r="H5618" s="74"/>
      <c r="I5618" s="74" t="s">
        <v>391</v>
      </c>
      <c r="J5618" s="74"/>
      <c r="K5618" s="74"/>
      <c r="L5618" s="74"/>
      <c r="M5618" s="74"/>
      <c r="N5618" s="74" t="s">
        <v>397</v>
      </c>
      <c r="O5618" s="74" t="s">
        <v>393</v>
      </c>
      <c r="P5618" s="74" t="s">
        <v>14361</v>
      </c>
      <c r="Q5618" s="74" t="s">
        <v>14362</v>
      </c>
    </row>
    <row r="5619" spans="3:17" x14ac:dyDescent="0.25">
      <c r="C5619" s="74" t="s">
        <v>14428</v>
      </c>
      <c r="D5619" s="74" t="s">
        <v>14429</v>
      </c>
      <c r="E5619" s="74" t="s">
        <v>391</v>
      </c>
      <c r="F5619" s="74">
        <v>0</v>
      </c>
      <c r="G5619" s="74"/>
      <c r="H5619" s="74"/>
      <c r="I5619" s="74" t="s">
        <v>391</v>
      </c>
      <c r="J5619" s="74"/>
      <c r="K5619" s="74"/>
      <c r="L5619" s="74"/>
      <c r="M5619" s="74"/>
      <c r="N5619" s="74" t="s">
        <v>397</v>
      </c>
      <c r="O5619" s="74" t="s">
        <v>393</v>
      </c>
      <c r="P5619" s="74" t="s">
        <v>14430</v>
      </c>
      <c r="Q5619" s="74" t="s">
        <v>14431</v>
      </c>
    </row>
    <row r="5620" spans="3:17" x14ac:dyDescent="0.25">
      <c r="C5620" s="74" t="s">
        <v>14446</v>
      </c>
      <c r="D5620" s="74" t="s">
        <v>14447</v>
      </c>
      <c r="E5620" s="74" t="s">
        <v>391</v>
      </c>
      <c r="F5620" s="74">
        <v>0</v>
      </c>
      <c r="G5620" s="74"/>
      <c r="H5620" s="74"/>
      <c r="I5620" s="74" t="s">
        <v>391</v>
      </c>
      <c r="J5620" s="74"/>
      <c r="K5620" s="74"/>
      <c r="L5620" s="74"/>
      <c r="M5620" s="74"/>
      <c r="N5620" s="74" t="s">
        <v>397</v>
      </c>
      <c r="O5620" s="74" t="s">
        <v>393</v>
      </c>
      <c r="P5620" s="74" t="s">
        <v>14448</v>
      </c>
      <c r="Q5620" s="74" t="s">
        <v>14449</v>
      </c>
    </row>
    <row r="5621" spans="3:17" x14ac:dyDescent="0.25">
      <c r="C5621" s="74" t="s">
        <v>14450</v>
      </c>
      <c r="D5621" s="74" t="s">
        <v>14451</v>
      </c>
      <c r="E5621" s="74" t="s">
        <v>391</v>
      </c>
      <c r="F5621" s="74">
        <v>0</v>
      </c>
      <c r="G5621" s="74"/>
      <c r="H5621" s="74"/>
      <c r="I5621" s="74" t="s">
        <v>391</v>
      </c>
      <c r="J5621" s="74"/>
      <c r="K5621" s="74"/>
      <c r="L5621" s="74"/>
      <c r="M5621" s="74"/>
      <c r="N5621" s="74" t="s">
        <v>397</v>
      </c>
      <c r="O5621" s="74" t="s">
        <v>393</v>
      </c>
      <c r="P5621" s="74" t="s">
        <v>14452</v>
      </c>
      <c r="Q5621" s="74" t="s">
        <v>14453</v>
      </c>
    </row>
    <row r="5622" spans="3:17" x14ac:dyDescent="0.25">
      <c r="C5622" s="74" t="s">
        <v>14471</v>
      </c>
      <c r="D5622" s="74" t="s">
        <v>14472</v>
      </c>
      <c r="E5622" s="74" t="s">
        <v>391</v>
      </c>
      <c r="F5622" s="74">
        <v>0</v>
      </c>
      <c r="G5622" s="74"/>
      <c r="H5622" s="74"/>
      <c r="I5622" s="74" t="s">
        <v>391</v>
      </c>
      <c r="J5622" s="74"/>
      <c r="K5622" s="74"/>
      <c r="L5622" s="74"/>
      <c r="M5622" s="74"/>
      <c r="N5622" s="74" t="s">
        <v>397</v>
      </c>
      <c r="O5622" s="74" t="s">
        <v>393</v>
      </c>
      <c r="P5622" s="74" t="s">
        <v>14473</v>
      </c>
      <c r="Q5622" s="74" t="s">
        <v>14474</v>
      </c>
    </row>
    <row r="5623" spans="3:17" x14ac:dyDescent="0.25">
      <c r="C5623" s="74" t="s">
        <v>14499</v>
      </c>
      <c r="D5623" s="74" t="s">
        <v>14500</v>
      </c>
      <c r="E5623" s="74" t="s">
        <v>391</v>
      </c>
      <c r="F5623" s="74">
        <v>0</v>
      </c>
      <c r="G5623" s="74"/>
      <c r="H5623" s="74"/>
      <c r="I5623" s="74" t="s">
        <v>391</v>
      </c>
      <c r="J5623" s="74"/>
      <c r="K5623" s="74"/>
      <c r="L5623" s="74"/>
      <c r="M5623" s="74"/>
      <c r="N5623" s="74" t="s">
        <v>397</v>
      </c>
      <c r="O5623" s="74" t="s">
        <v>393</v>
      </c>
      <c r="P5623" s="74" t="s">
        <v>14501</v>
      </c>
      <c r="Q5623" s="74" t="s">
        <v>14502</v>
      </c>
    </row>
    <row r="5624" spans="3:17" x14ac:dyDescent="0.25">
      <c r="C5624" s="74" t="s">
        <v>14503</v>
      </c>
      <c r="D5624" s="74" t="s">
        <v>14504</v>
      </c>
      <c r="E5624" s="74"/>
      <c r="F5624" s="74">
        <v>0</v>
      </c>
      <c r="G5624" s="74"/>
      <c r="H5624" s="74"/>
      <c r="I5624" s="74" t="s">
        <v>391</v>
      </c>
      <c r="J5624" s="74"/>
      <c r="K5624" s="74"/>
      <c r="L5624" s="74"/>
      <c r="M5624" s="74"/>
      <c r="N5624" s="74" t="s">
        <v>397</v>
      </c>
      <c r="O5624" s="74" t="s">
        <v>535</v>
      </c>
      <c r="P5624" s="74" t="s">
        <v>14505</v>
      </c>
      <c r="Q5624" s="74" t="s">
        <v>14506</v>
      </c>
    </row>
    <row r="5625" spans="3:17" x14ac:dyDescent="0.25">
      <c r="C5625" s="74" t="s">
        <v>14538</v>
      </c>
      <c r="D5625" s="74" t="s">
        <v>14539</v>
      </c>
      <c r="E5625" s="74" t="s">
        <v>391</v>
      </c>
      <c r="F5625" s="74">
        <v>0</v>
      </c>
      <c r="G5625" s="74"/>
      <c r="H5625" s="74"/>
      <c r="I5625" s="74" t="s">
        <v>391</v>
      </c>
      <c r="J5625" s="74"/>
      <c r="K5625" s="74"/>
      <c r="L5625" s="74"/>
      <c r="M5625" s="74"/>
      <c r="N5625" s="74" t="s">
        <v>397</v>
      </c>
      <c r="O5625" s="74" t="s">
        <v>393</v>
      </c>
      <c r="P5625" s="74"/>
      <c r="Q5625" s="74" t="s">
        <v>14540</v>
      </c>
    </row>
    <row r="5626" spans="3:17" x14ac:dyDescent="0.25">
      <c r="C5626" s="74" t="s">
        <v>14605</v>
      </c>
      <c r="D5626" s="74" t="s">
        <v>14606</v>
      </c>
      <c r="E5626" s="74" t="s">
        <v>391</v>
      </c>
      <c r="F5626" s="74">
        <v>0</v>
      </c>
      <c r="G5626" s="74"/>
      <c r="H5626" s="74"/>
      <c r="I5626" s="74" t="s">
        <v>391</v>
      </c>
      <c r="J5626" s="74"/>
      <c r="K5626" s="74">
        <v>102.4</v>
      </c>
      <c r="L5626" s="74">
        <v>92.16</v>
      </c>
      <c r="M5626" s="74"/>
      <c r="N5626" s="74" t="s">
        <v>392</v>
      </c>
      <c r="O5626" s="74" t="s">
        <v>393</v>
      </c>
      <c r="P5626" s="74"/>
      <c r="Q5626" s="74" t="s">
        <v>14607</v>
      </c>
    </row>
    <row r="5627" spans="3:17" x14ac:dyDescent="0.25">
      <c r="C5627" s="74" t="s">
        <v>14632</v>
      </c>
      <c r="D5627" s="74" t="s">
        <v>14633</v>
      </c>
      <c r="E5627" s="74" t="s">
        <v>391</v>
      </c>
      <c r="F5627" s="74">
        <v>0</v>
      </c>
      <c r="G5627" s="74"/>
      <c r="H5627" s="74"/>
      <c r="I5627" s="74" t="s">
        <v>391</v>
      </c>
      <c r="J5627" s="74"/>
      <c r="K5627" s="74">
        <v>102.4</v>
      </c>
      <c r="L5627" s="74">
        <v>92.16</v>
      </c>
      <c r="M5627" s="74"/>
      <c r="N5627" s="74" t="s">
        <v>392</v>
      </c>
      <c r="O5627" s="74" t="s">
        <v>393</v>
      </c>
      <c r="P5627" s="74"/>
      <c r="Q5627" s="74" t="s">
        <v>14634</v>
      </c>
    </row>
    <row r="5628" spans="3:17" x14ac:dyDescent="0.25">
      <c r="C5628" s="74" t="s">
        <v>14639</v>
      </c>
      <c r="D5628" s="74" t="s">
        <v>14640</v>
      </c>
      <c r="E5628" s="74" t="s">
        <v>391</v>
      </c>
      <c r="F5628" s="74">
        <v>0</v>
      </c>
      <c r="G5628" s="74"/>
      <c r="H5628" s="74"/>
      <c r="I5628" s="74" t="s">
        <v>391</v>
      </c>
      <c r="J5628" s="74"/>
      <c r="K5628" s="74">
        <v>102.4</v>
      </c>
      <c r="L5628" s="74">
        <v>92.16</v>
      </c>
      <c r="M5628" s="74"/>
      <c r="N5628" s="74" t="s">
        <v>392</v>
      </c>
      <c r="O5628" s="74" t="s">
        <v>393</v>
      </c>
      <c r="P5628" s="74"/>
      <c r="Q5628" s="74" t="s">
        <v>14641</v>
      </c>
    </row>
    <row r="5629" spans="3:17" x14ac:dyDescent="0.25">
      <c r="C5629" s="74" t="s">
        <v>14753</v>
      </c>
      <c r="D5629" s="74" t="s">
        <v>14754</v>
      </c>
      <c r="E5629" s="74"/>
      <c r="F5629" s="74">
        <v>0</v>
      </c>
      <c r="G5629" s="74"/>
      <c r="H5629" s="74"/>
      <c r="I5629" s="74" t="s">
        <v>391</v>
      </c>
      <c r="J5629" s="74"/>
      <c r="K5629" s="74">
        <v>102.4</v>
      </c>
      <c r="L5629" s="74">
        <v>92.16</v>
      </c>
      <c r="M5629" s="74"/>
      <c r="N5629" s="74" t="s">
        <v>392</v>
      </c>
      <c r="O5629" s="74" t="s">
        <v>402</v>
      </c>
      <c r="P5629" s="74"/>
      <c r="Q5629" s="74" t="s">
        <v>14755</v>
      </c>
    </row>
    <row r="5630" spans="3:17" x14ac:dyDescent="0.25">
      <c r="C5630" s="74" t="s">
        <v>14775</v>
      </c>
      <c r="D5630" s="74" t="s">
        <v>14776</v>
      </c>
      <c r="E5630" s="74" t="s">
        <v>391</v>
      </c>
      <c r="F5630" s="74">
        <v>0</v>
      </c>
      <c r="G5630" s="74"/>
      <c r="H5630" s="74"/>
      <c r="I5630" s="74" t="s">
        <v>391</v>
      </c>
      <c r="J5630" s="74"/>
      <c r="K5630" s="74"/>
      <c r="L5630" s="74"/>
      <c r="M5630" s="74"/>
      <c r="N5630" s="74" t="s">
        <v>397</v>
      </c>
      <c r="O5630" s="74" t="s">
        <v>402</v>
      </c>
      <c r="P5630" s="74" t="s">
        <v>14777</v>
      </c>
      <c r="Q5630" s="74" t="s">
        <v>14778</v>
      </c>
    </row>
    <row r="5631" spans="3:17" x14ac:dyDescent="0.25">
      <c r="C5631" s="74" t="s">
        <v>14779</v>
      </c>
      <c r="D5631" s="74" t="s">
        <v>14780</v>
      </c>
      <c r="E5631" s="74" t="s">
        <v>391</v>
      </c>
      <c r="F5631" s="74">
        <v>0</v>
      </c>
      <c r="G5631" s="74"/>
      <c r="H5631" s="74"/>
      <c r="I5631" s="74" t="s">
        <v>391</v>
      </c>
      <c r="J5631" s="74"/>
      <c r="K5631" s="74">
        <v>102.4</v>
      </c>
      <c r="L5631" s="74">
        <v>92.16</v>
      </c>
      <c r="M5631" s="74"/>
      <c r="N5631" s="74" t="s">
        <v>392</v>
      </c>
      <c r="O5631" s="74" t="s">
        <v>393</v>
      </c>
      <c r="P5631" s="74"/>
      <c r="Q5631" s="74" t="s">
        <v>14781</v>
      </c>
    </row>
    <row r="5632" spans="3:17" x14ac:dyDescent="0.25">
      <c r="C5632" s="74" t="s">
        <v>14785</v>
      </c>
      <c r="D5632" s="74" t="s">
        <v>14786</v>
      </c>
      <c r="E5632" s="74"/>
      <c r="F5632" s="74">
        <v>0</v>
      </c>
      <c r="G5632" s="74"/>
      <c r="H5632" s="74"/>
      <c r="I5632" s="74" t="s">
        <v>391</v>
      </c>
      <c r="J5632" s="74"/>
      <c r="K5632" s="74">
        <v>102.4</v>
      </c>
      <c r="L5632" s="74">
        <v>92.16</v>
      </c>
      <c r="M5632" s="74"/>
      <c r="N5632" s="74" t="s">
        <v>392</v>
      </c>
      <c r="O5632" s="74" t="s">
        <v>402</v>
      </c>
      <c r="P5632" s="74"/>
      <c r="Q5632" s="74" t="s">
        <v>14787</v>
      </c>
    </row>
    <row r="5633" spans="3:17" x14ac:dyDescent="0.25">
      <c r="C5633" s="74" t="s">
        <v>14815</v>
      </c>
      <c r="D5633" s="74" t="s">
        <v>14816</v>
      </c>
      <c r="E5633" s="74" t="s">
        <v>391</v>
      </c>
      <c r="F5633" s="74">
        <v>0</v>
      </c>
      <c r="G5633" s="74"/>
      <c r="H5633" s="74"/>
      <c r="I5633" s="74" t="s">
        <v>391</v>
      </c>
      <c r="J5633" s="74"/>
      <c r="K5633" s="74"/>
      <c r="L5633" s="74"/>
      <c r="M5633" s="74"/>
      <c r="N5633" s="74" t="s">
        <v>397</v>
      </c>
      <c r="O5633" s="74" t="s">
        <v>393</v>
      </c>
      <c r="P5633" s="74" t="s">
        <v>14817</v>
      </c>
      <c r="Q5633" s="74" t="s">
        <v>14818</v>
      </c>
    </row>
    <row r="5634" spans="3:17" x14ac:dyDescent="0.25">
      <c r="C5634" s="74" t="s">
        <v>14829</v>
      </c>
      <c r="D5634" s="74" t="s">
        <v>14830</v>
      </c>
      <c r="E5634" s="74" t="s">
        <v>391</v>
      </c>
      <c r="F5634" s="74">
        <v>0</v>
      </c>
      <c r="G5634" s="74"/>
      <c r="H5634" s="74"/>
      <c r="I5634" s="74" t="s">
        <v>391</v>
      </c>
      <c r="J5634" s="74"/>
      <c r="K5634" s="74"/>
      <c r="L5634" s="74"/>
      <c r="M5634" s="74"/>
      <c r="N5634" s="74" t="s">
        <v>397</v>
      </c>
      <c r="O5634" s="74" t="s">
        <v>393</v>
      </c>
      <c r="P5634" s="74" t="s">
        <v>14831</v>
      </c>
      <c r="Q5634" s="74" t="s">
        <v>14832</v>
      </c>
    </row>
    <row r="5635" spans="3:17" x14ac:dyDescent="0.25">
      <c r="C5635" s="74" t="s">
        <v>14842</v>
      </c>
      <c r="D5635" s="74" t="s">
        <v>14843</v>
      </c>
      <c r="E5635" s="74" t="s">
        <v>391</v>
      </c>
      <c r="F5635" s="74">
        <v>0</v>
      </c>
      <c r="G5635" s="74"/>
      <c r="H5635" s="74"/>
      <c r="I5635" s="74" t="s">
        <v>391</v>
      </c>
      <c r="J5635" s="74"/>
      <c r="K5635" s="74">
        <v>102.4</v>
      </c>
      <c r="L5635" s="74">
        <v>92.16</v>
      </c>
      <c r="M5635" s="74"/>
      <c r="N5635" s="74" t="s">
        <v>392</v>
      </c>
      <c r="O5635" s="74" t="s">
        <v>393</v>
      </c>
      <c r="P5635" s="74"/>
      <c r="Q5635" s="74" t="s">
        <v>14844</v>
      </c>
    </row>
    <row r="5636" spans="3:17" x14ac:dyDescent="0.25">
      <c r="C5636" s="74" t="s">
        <v>14849</v>
      </c>
      <c r="D5636" s="74" t="s">
        <v>12903</v>
      </c>
      <c r="E5636" s="74" t="s">
        <v>391</v>
      </c>
      <c r="F5636" s="74">
        <v>0</v>
      </c>
      <c r="G5636" s="74"/>
      <c r="H5636" s="74"/>
      <c r="I5636" s="74" t="s">
        <v>391</v>
      </c>
      <c r="J5636" s="74"/>
      <c r="K5636" s="74"/>
      <c r="L5636" s="74"/>
      <c r="M5636" s="74"/>
      <c r="N5636" s="74" t="s">
        <v>397</v>
      </c>
      <c r="O5636" s="74" t="s">
        <v>393</v>
      </c>
      <c r="P5636" s="74" t="s">
        <v>14850</v>
      </c>
      <c r="Q5636" s="74" t="s">
        <v>14851</v>
      </c>
    </row>
    <row r="5637" spans="3:17" x14ac:dyDescent="0.25">
      <c r="C5637" s="74" t="s">
        <v>14856</v>
      </c>
      <c r="D5637" s="74" t="s">
        <v>14857</v>
      </c>
      <c r="E5637" s="74" t="s">
        <v>391</v>
      </c>
      <c r="F5637" s="74">
        <v>0</v>
      </c>
      <c r="G5637" s="74"/>
      <c r="H5637" s="74"/>
      <c r="I5637" s="74" t="s">
        <v>391</v>
      </c>
      <c r="J5637" s="74"/>
      <c r="K5637" s="74">
        <v>102.4</v>
      </c>
      <c r="L5637" s="74">
        <v>92.16</v>
      </c>
      <c r="M5637" s="74"/>
      <c r="N5637" s="74" t="s">
        <v>392</v>
      </c>
      <c r="O5637" s="74" t="s">
        <v>393</v>
      </c>
      <c r="P5637" s="74"/>
      <c r="Q5637" s="74" t="s">
        <v>14858</v>
      </c>
    </row>
    <row r="5638" spans="3:17" x14ac:dyDescent="0.25">
      <c r="C5638" s="74" t="s">
        <v>14876</v>
      </c>
      <c r="D5638" s="74" t="s">
        <v>14877</v>
      </c>
      <c r="E5638" s="74" t="s">
        <v>391</v>
      </c>
      <c r="F5638" s="74">
        <v>0</v>
      </c>
      <c r="G5638" s="74"/>
      <c r="H5638" s="74"/>
      <c r="I5638" s="74" t="s">
        <v>391</v>
      </c>
      <c r="J5638" s="74"/>
      <c r="K5638" s="74">
        <v>102.4</v>
      </c>
      <c r="L5638" s="74">
        <v>92.16</v>
      </c>
      <c r="M5638" s="74"/>
      <c r="N5638" s="74" t="s">
        <v>392</v>
      </c>
      <c r="O5638" s="74" t="s">
        <v>393</v>
      </c>
      <c r="P5638" s="74"/>
      <c r="Q5638" s="74" t="s">
        <v>14878</v>
      </c>
    </row>
    <row r="5639" spans="3:17" x14ac:dyDescent="0.25">
      <c r="C5639" s="74" t="s">
        <v>14933</v>
      </c>
      <c r="D5639" s="74" t="s">
        <v>14934</v>
      </c>
      <c r="E5639" s="74" t="s">
        <v>391</v>
      </c>
      <c r="F5639" s="74">
        <v>0</v>
      </c>
      <c r="G5639" s="74"/>
      <c r="H5639" s="74"/>
      <c r="I5639" s="74" t="s">
        <v>391</v>
      </c>
      <c r="J5639" s="74"/>
      <c r="K5639" s="74"/>
      <c r="L5639" s="74"/>
      <c r="M5639" s="74"/>
      <c r="N5639" s="74" t="s">
        <v>397</v>
      </c>
      <c r="O5639" s="74" t="s">
        <v>393</v>
      </c>
      <c r="P5639" s="74" t="s">
        <v>14935</v>
      </c>
      <c r="Q5639" s="74" t="s">
        <v>14936</v>
      </c>
    </row>
    <row r="5640" spans="3:17" x14ac:dyDescent="0.25">
      <c r="C5640" s="74" t="s">
        <v>14941</v>
      </c>
      <c r="D5640" s="74" t="s">
        <v>14942</v>
      </c>
      <c r="E5640" s="74" t="s">
        <v>391</v>
      </c>
      <c r="F5640" s="74">
        <v>0</v>
      </c>
      <c r="G5640" s="74"/>
      <c r="H5640" s="74"/>
      <c r="I5640" s="74" t="s">
        <v>391</v>
      </c>
      <c r="J5640" s="74"/>
      <c r="K5640" s="74">
        <v>102.4</v>
      </c>
      <c r="L5640" s="74">
        <v>92.16</v>
      </c>
      <c r="M5640" s="74"/>
      <c r="N5640" s="74" t="s">
        <v>392</v>
      </c>
      <c r="O5640" s="74" t="s">
        <v>393</v>
      </c>
      <c r="P5640" s="74"/>
      <c r="Q5640" s="74" t="s">
        <v>14943</v>
      </c>
    </row>
    <row r="5641" spans="3:17" x14ac:dyDescent="0.25">
      <c r="C5641" s="74" t="s">
        <v>14948</v>
      </c>
      <c r="D5641" s="74" t="s">
        <v>14949</v>
      </c>
      <c r="E5641" s="74"/>
      <c r="F5641" s="74">
        <v>0</v>
      </c>
      <c r="G5641" s="74"/>
      <c r="H5641" s="74"/>
      <c r="I5641" s="74" t="s">
        <v>391</v>
      </c>
      <c r="J5641" s="74"/>
      <c r="K5641" s="74"/>
      <c r="L5641" s="74"/>
      <c r="M5641" s="74"/>
      <c r="N5641" s="74" t="s">
        <v>397</v>
      </c>
      <c r="O5641" s="74" t="s">
        <v>393</v>
      </c>
      <c r="P5641" s="74" t="s">
        <v>14950</v>
      </c>
      <c r="Q5641" s="74" t="s">
        <v>14951</v>
      </c>
    </row>
    <row r="5642" spans="3:17" x14ac:dyDescent="0.25">
      <c r="C5642" s="74" t="s">
        <v>14956</v>
      </c>
      <c r="D5642" s="74" t="s">
        <v>14957</v>
      </c>
      <c r="E5642" s="74" t="s">
        <v>391</v>
      </c>
      <c r="F5642" s="74">
        <v>0</v>
      </c>
      <c r="G5642" s="74"/>
      <c r="H5642" s="74"/>
      <c r="I5642" s="74" t="s">
        <v>391</v>
      </c>
      <c r="J5642" s="74"/>
      <c r="K5642" s="74"/>
      <c r="L5642" s="74"/>
      <c r="M5642" s="74"/>
      <c r="N5642" s="74" t="s">
        <v>397</v>
      </c>
      <c r="O5642" s="74" t="s">
        <v>393</v>
      </c>
      <c r="P5642" s="74" t="s">
        <v>14958</v>
      </c>
      <c r="Q5642" s="74" t="s">
        <v>14959</v>
      </c>
    </row>
    <row r="5643" spans="3:17" x14ac:dyDescent="0.25">
      <c r="C5643" s="74" t="s">
        <v>14971</v>
      </c>
      <c r="D5643" s="74" t="s">
        <v>14972</v>
      </c>
      <c r="E5643" s="74" t="s">
        <v>391</v>
      </c>
      <c r="F5643" s="74">
        <v>0</v>
      </c>
      <c r="G5643" s="74"/>
      <c r="H5643" s="74"/>
      <c r="I5643" s="74" t="s">
        <v>391</v>
      </c>
      <c r="J5643" s="74"/>
      <c r="K5643" s="74"/>
      <c r="L5643" s="74"/>
      <c r="M5643" s="74"/>
      <c r="N5643" s="74" t="s">
        <v>397</v>
      </c>
      <c r="O5643" s="74" t="s">
        <v>393</v>
      </c>
      <c r="P5643" s="74" t="s">
        <v>14973</v>
      </c>
      <c r="Q5643" s="74" t="s">
        <v>14974</v>
      </c>
    </row>
    <row r="5644" spans="3:17" x14ac:dyDescent="0.25">
      <c r="C5644" s="74" t="s">
        <v>14986</v>
      </c>
      <c r="D5644" s="74" t="s">
        <v>14987</v>
      </c>
      <c r="E5644" s="74" t="s">
        <v>391</v>
      </c>
      <c r="F5644" s="74">
        <v>0</v>
      </c>
      <c r="G5644" s="74"/>
      <c r="H5644" s="74"/>
      <c r="I5644" s="74" t="s">
        <v>391</v>
      </c>
      <c r="J5644" s="74"/>
      <c r="K5644" s="74"/>
      <c r="L5644" s="74"/>
      <c r="M5644" s="74"/>
      <c r="N5644" s="74" t="s">
        <v>397</v>
      </c>
      <c r="O5644" s="74" t="s">
        <v>393</v>
      </c>
      <c r="P5644" s="74" t="s">
        <v>14988</v>
      </c>
      <c r="Q5644" s="74" t="s">
        <v>14989</v>
      </c>
    </row>
    <row r="5645" spans="3:17" x14ac:dyDescent="0.25">
      <c r="C5645" s="74" t="s">
        <v>14990</v>
      </c>
      <c r="D5645" s="74" t="s">
        <v>14991</v>
      </c>
      <c r="E5645" s="74" t="s">
        <v>391</v>
      </c>
      <c r="F5645" s="74">
        <v>0</v>
      </c>
      <c r="G5645" s="74"/>
      <c r="H5645" s="74"/>
      <c r="I5645" s="74" t="s">
        <v>391</v>
      </c>
      <c r="J5645" s="74"/>
      <c r="K5645" s="74"/>
      <c r="L5645" s="74"/>
      <c r="M5645" s="74"/>
      <c r="N5645" s="74" t="s">
        <v>397</v>
      </c>
      <c r="O5645" s="74" t="s">
        <v>393</v>
      </c>
      <c r="P5645" s="74" t="s">
        <v>14992</v>
      </c>
      <c r="Q5645" s="74" t="s">
        <v>14993</v>
      </c>
    </row>
    <row r="5646" spans="3:17" x14ac:dyDescent="0.25">
      <c r="C5646" s="74" t="s">
        <v>14994</v>
      </c>
      <c r="D5646" s="74" t="s">
        <v>14995</v>
      </c>
      <c r="E5646" s="74"/>
      <c r="F5646" s="74">
        <v>0</v>
      </c>
      <c r="G5646" s="74"/>
      <c r="H5646" s="74"/>
      <c r="I5646" s="74" t="s">
        <v>391</v>
      </c>
      <c r="J5646" s="74"/>
      <c r="K5646" s="74">
        <v>102.4</v>
      </c>
      <c r="L5646" s="74">
        <v>92.16</v>
      </c>
      <c r="M5646" s="74"/>
      <c r="N5646" s="74" t="s">
        <v>392</v>
      </c>
      <c r="O5646" s="74" t="s">
        <v>402</v>
      </c>
      <c r="P5646" s="74" t="s">
        <v>14996</v>
      </c>
      <c r="Q5646" s="74" t="s">
        <v>14997</v>
      </c>
    </row>
    <row r="5647" spans="3:17" x14ac:dyDescent="0.25">
      <c r="C5647" s="74" t="s">
        <v>15023</v>
      </c>
      <c r="D5647" s="74" t="s">
        <v>15024</v>
      </c>
      <c r="E5647" s="74"/>
      <c r="F5647" s="74">
        <v>0</v>
      </c>
      <c r="G5647" s="74"/>
      <c r="H5647" s="74"/>
      <c r="I5647" s="74" t="s">
        <v>391</v>
      </c>
      <c r="J5647" s="74"/>
      <c r="K5647" s="74">
        <v>102.4</v>
      </c>
      <c r="L5647" s="74">
        <v>92.16</v>
      </c>
      <c r="M5647" s="74"/>
      <c r="N5647" s="74" t="s">
        <v>392</v>
      </c>
      <c r="O5647" s="74" t="s">
        <v>402</v>
      </c>
      <c r="P5647" s="74" t="s">
        <v>15025</v>
      </c>
      <c r="Q5647" s="74" t="s">
        <v>15026</v>
      </c>
    </row>
    <row r="5648" spans="3:17" x14ac:dyDescent="0.25">
      <c r="C5648" s="158" t="s">
        <v>15055</v>
      </c>
      <c r="D5648" s="158" t="s">
        <v>15056</v>
      </c>
      <c r="E5648" s="158" t="s">
        <v>391</v>
      </c>
      <c r="F5648" s="158">
        <v>0</v>
      </c>
      <c r="I5648" s="158" t="s">
        <v>391</v>
      </c>
      <c r="K5648" s="158">
        <v>102.4</v>
      </c>
      <c r="L5648" s="158">
        <v>92.16</v>
      </c>
      <c r="N5648" s="158" t="s">
        <v>392</v>
      </c>
      <c r="O5648" s="158" t="s">
        <v>393</v>
      </c>
      <c r="Q5648" s="158" t="s">
        <v>15057</v>
      </c>
    </row>
    <row r="5649" spans="3:17" x14ac:dyDescent="0.25">
      <c r="C5649" s="158" t="s">
        <v>15074</v>
      </c>
      <c r="D5649" s="158" t="s">
        <v>15075</v>
      </c>
      <c r="F5649" s="158">
        <v>0</v>
      </c>
      <c r="I5649" s="158" t="s">
        <v>391</v>
      </c>
      <c r="K5649" s="158">
        <v>102.4</v>
      </c>
      <c r="L5649" s="158">
        <v>92.16</v>
      </c>
      <c r="N5649" s="158" t="s">
        <v>392</v>
      </c>
      <c r="O5649" s="158" t="s">
        <v>402</v>
      </c>
      <c r="P5649" s="158" t="s">
        <v>15076</v>
      </c>
      <c r="Q5649" s="158" t="s">
        <v>15077</v>
      </c>
    </row>
    <row r="5650" spans="3:17" x14ac:dyDescent="0.25">
      <c r="C5650" s="74" t="s">
        <v>15078</v>
      </c>
      <c r="D5650" s="74" t="s">
        <v>15079</v>
      </c>
      <c r="E5650" s="74" t="s">
        <v>391</v>
      </c>
      <c r="F5650" s="74">
        <v>0</v>
      </c>
      <c r="G5650" s="74"/>
      <c r="H5650" s="74"/>
      <c r="I5650" s="74" t="s">
        <v>391</v>
      </c>
      <c r="J5650" s="74"/>
      <c r="K5650" s="74"/>
      <c r="L5650" s="74"/>
      <c r="M5650" s="74"/>
      <c r="N5650" s="74" t="s">
        <v>397</v>
      </c>
      <c r="O5650" s="74" t="s">
        <v>393</v>
      </c>
      <c r="P5650" s="74" t="s">
        <v>15080</v>
      </c>
      <c r="Q5650" s="74" t="s">
        <v>15081</v>
      </c>
    </row>
    <row r="5651" spans="3:17" x14ac:dyDescent="0.25">
      <c r="C5651" s="74" t="s">
        <v>15085</v>
      </c>
      <c r="D5651" s="74" t="s">
        <v>15086</v>
      </c>
      <c r="E5651" s="74" t="s">
        <v>391</v>
      </c>
      <c r="F5651" s="74">
        <v>0</v>
      </c>
      <c r="G5651" s="74"/>
      <c r="H5651" s="74"/>
      <c r="I5651" s="74" t="s">
        <v>391</v>
      </c>
      <c r="J5651" s="74"/>
      <c r="K5651" s="74">
        <v>102.4</v>
      </c>
      <c r="L5651" s="74">
        <v>92.16</v>
      </c>
      <c r="M5651" s="74"/>
      <c r="N5651" s="74" t="s">
        <v>392</v>
      </c>
      <c r="O5651" s="74" t="s">
        <v>393</v>
      </c>
      <c r="P5651" s="74"/>
      <c r="Q5651" s="74" t="s">
        <v>15087</v>
      </c>
    </row>
    <row r="5652" spans="3:17" x14ac:dyDescent="0.25">
      <c r="C5652" s="74" t="s">
        <v>15113</v>
      </c>
      <c r="D5652" s="74" t="s">
        <v>15114</v>
      </c>
      <c r="E5652" s="74" t="s">
        <v>391</v>
      </c>
      <c r="F5652" s="74">
        <v>0</v>
      </c>
      <c r="G5652" s="74"/>
      <c r="H5652" s="74"/>
      <c r="I5652" s="74" t="s">
        <v>391</v>
      </c>
      <c r="J5652" s="74"/>
      <c r="K5652" s="74"/>
      <c r="L5652" s="74"/>
      <c r="M5652" s="74"/>
      <c r="N5652" s="74" t="s">
        <v>397</v>
      </c>
      <c r="O5652" s="74" t="s">
        <v>393</v>
      </c>
      <c r="P5652" s="74" t="s">
        <v>15115</v>
      </c>
      <c r="Q5652" s="74" t="s">
        <v>15116</v>
      </c>
    </row>
    <row r="5653" spans="3:17" x14ac:dyDescent="0.25">
      <c r="C5653" s="74" t="s">
        <v>15117</v>
      </c>
      <c r="D5653" s="74" t="s">
        <v>15118</v>
      </c>
      <c r="E5653" s="74" t="s">
        <v>391</v>
      </c>
      <c r="F5653" s="74">
        <v>0</v>
      </c>
      <c r="G5653" s="74"/>
      <c r="H5653" s="74"/>
      <c r="I5653" s="74" t="s">
        <v>391</v>
      </c>
      <c r="J5653" s="74"/>
      <c r="K5653" s="74"/>
      <c r="L5653" s="74"/>
      <c r="M5653" s="74"/>
      <c r="N5653" s="74" t="s">
        <v>397</v>
      </c>
      <c r="O5653" s="74" t="s">
        <v>393</v>
      </c>
      <c r="P5653" s="74" t="s">
        <v>15119</v>
      </c>
      <c r="Q5653" s="74" t="s">
        <v>15120</v>
      </c>
    </row>
    <row r="5654" spans="3:17" x14ac:dyDescent="0.25">
      <c r="C5654" s="74" t="s">
        <v>15121</v>
      </c>
      <c r="D5654" s="74" t="s">
        <v>15122</v>
      </c>
      <c r="E5654" s="74" t="s">
        <v>391</v>
      </c>
      <c r="F5654" s="74">
        <v>0</v>
      </c>
      <c r="G5654" s="74"/>
      <c r="H5654" s="74"/>
      <c r="I5654" s="74" t="s">
        <v>391</v>
      </c>
      <c r="J5654" s="74"/>
      <c r="K5654" s="74"/>
      <c r="L5654" s="74"/>
      <c r="M5654" s="74"/>
      <c r="N5654" s="74" t="s">
        <v>397</v>
      </c>
      <c r="O5654" s="74" t="s">
        <v>393</v>
      </c>
      <c r="P5654" s="74" t="s">
        <v>15123</v>
      </c>
      <c r="Q5654" s="74" t="s">
        <v>15124</v>
      </c>
    </row>
    <row r="5655" spans="3:17" x14ac:dyDescent="0.25">
      <c r="C5655" s="74" t="s">
        <v>15136</v>
      </c>
      <c r="D5655" s="74" t="s">
        <v>15137</v>
      </c>
      <c r="E5655" s="74" t="s">
        <v>391</v>
      </c>
      <c r="F5655" s="74">
        <v>0</v>
      </c>
      <c r="G5655" s="74"/>
      <c r="H5655" s="74"/>
      <c r="I5655" s="74" t="s">
        <v>391</v>
      </c>
      <c r="J5655" s="74"/>
      <c r="K5655" s="74"/>
      <c r="L5655" s="74"/>
      <c r="M5655" s="74"/>
      <c r="N5655" s="74" t="s">
        <v>397</v>
      </c>
      <c r="O5655" s="74" t="s">
        <v>393</v>
      </c>
      <c r="P5655" s="74" t="s">
        <v>15138</v>
      </c>
      <c r="Q5655" s="74" t="s">
        <v>15139</v>
      </c>
    </row>
    <row r="5656" spans="3:17" x14ac:dyDescent="0.25">
      <c r="C5656" s="74" t="s">
        <v>15143</v>
      </c>
      <c r="D5656" s="74" t="s">
        <v>14985</v>
      </c>
      <c r="E5656" s="74" t="s">
        <v>391</v>
      </c>
      <c r="F5656" s="74">
        <v>0</v>
      </c>
      <c r="G5656" s="74"/>
      <c r="H5656" s="74"/>
      <c r="I5656" s="74" t="s">
        <v>391</v>
      </c>
      <c r="J5656" s="74"/>
      <c r="K5656" s="74">
        <v>102.4</v>
      </c>
      <c r="L5656" s="74">
        <v>92.16</v>
      </c>
      <c r="M5656" s="74"/>
      <c r="N5656" s="74" t="s">
        <v>392</v>
      </c>
      <c r="O5656" s="74" t="s">
        <v>393</v>
      </c>
      <c r="P5656" s="74"/>
      <c r="Q5656" s="74" t="s">
        <v>15144</v>
      </c>
    </row>
    <row r="5657" spans="3:17" x14ac:dyDescent="0.25">
      <c r="C5657" s="74" t="s">
        <v>15171</v>
      </c>
      <c r="D5657" s="74" t="s">
        <v>15172</v>
      </c>
      <c r="E5657" s="74" t="s">
        <v>391</v>
      </c>
      <c r="F5657" s="74">
        <v>0</v>
      </c>
      <c r="G5657" s="74"/>
      <c r="H5657" s="74"/>
      <c r="I5657" s="74" t="s">
        <v>391</v>
      </c>
      <c r="J5657" s="74"/>
      <c r="K5657" s="74">
        <v>102.4</v>
      </c>
      <c r="L5657" s="74">
        <v>92.16</v>
      </c>
      <c r="M5657" s="74"/>
      <c r="N5657" s="74" t="s">
        <v>392</v>
      </c>
      <c r="O5657" s="74" t="s">
        <v>393</v>
      </c>
      <c r="P5657" s="74"/>
      <c r="Q5657" s="74" t="s">
        <v>15173</v>
      </c>
    </row>
    <row r="5658" spans="3:17" x14ac:dyDescent="0.25">
      <c r="C5658" s="74" t="s">
        <v>15182</v>
      </c>
      <c r="D5658" s="74" t="s">
        <v>15183</v>
      </c>
      <c r="E5658" s="74"/>
      <c r="F5658" s="74">
        <v>0</v>
      </c>
      <c r="G5658" s="74"/>
      <c r="H5658" s="74"/>
      <c r="I5658" s="74" t="s">
        <v>391</v>
      </c>
      <c r="J5658" s="74"/>
      <c r="K5658" s="74">
        <v>102.4</v>
      </c>
      <c r="L5658" s="74">
        <v>92.16</v>
      </c>
      <c r="M5658" s="74"/>
      <c r="N5658" s="74" t="s">
        <v>392</v>
      </c>
      <c r="O5658" s="74" t="s">
        <v>402</v>
      </c>
      <c r="P5658" s="74"/>
      <c r="Q5658" s="74" t="s">
        <v>15184</v>
      </c>
    </row>
    <row r="5659" spans="3:17" x14ac:dyDescent="0.25">
      <c r="C5659" s="74" t="s">
        <v>15185</v>
      </c>
      <c r="D5659" s="74" t="s">
        <v>15186</v>
      </c>
      <c r="E5659" s="74" t="s">
        <v>391</v>
      </c>
      <c r="F5659" s="74">
        <v>0</v>
      </c>
      <c r="G5659" s="74"/>
      <c r="H5659" s="74"/>
      <c r="I5659" s="74" t="s">
        <v>391</v>
      </c>
      <c r="J5659" s="74"/>
      <c r="K5659" s="74"/>
      <c r="L5659" s="74"/>
      <c r="M5659" s="74"/>
      <c r="N5659" s="74" t="s">
        <v>397</v>
      </c>
      <c r="O5659" s="74" t="s">
        <v>393</v>
      </c>
      <c r="P5659" s="74"/>
      <c r="Q5659" s="74" t="s">
        <v>15187</v>
      </c>
    </row>
    <row r="5660" spans="3:17" x14ac:dyDescent="0.25">
      <c r="C5660" s="74" t="s">
        <v>15188</v>
      </c>
      <c r="D5660" s="74" t="s">
        <v>15189</v>
      </c>
      <c r="E5660" s="74" t="s">
        <v>391</v>
      </c>
      <c r="F5660" s="74">
        <v>0</v>
      </c>
      <c r="G5660" s="74"/>
      <c r="H5660" s="74"/>
      <c r="I5660" s="74" t="s">
        <v>391</v>
      </c>
      <c r="J5660" s="74"/>
      <c r="K5660" s="74"/>
      <c r="L5660" s="74"/>
      <c r="M5660" s="74"/>
      <c r="N5660" s="74" t="s">
        <v>397</v>
      </c>
      <c r="O5660" s="74" t="s">
        <v>393</v>
      </c>
      <c r="P5660" s="74" t="s">
        <v>15190</v>
      </c>
      <c r="Q5660" s="74" t="s">
        <v>15191</v>
      </c>
    </row>
    <row r="5661" spans="3:17" x14ac:dyDescent="0.25">
      <c r="C5661" s="74" t="s">
        <v>15196</v>
      </c>
      <c r="D5661" s="74" t="s">
        <v>15197</v>
      </c>
      <c r="E5661" s="74" t="s">
        <v>391</v>
      </c>
      <c r="F5661" s="74">
        <v>0</v>
      </c>
      <c r="G5661" s="74"/>
      <c r="H5661" s="74"/>
      <c r="I5661" s="74" t="s">
        <v>391</v>
      </c>
      <c r="J5661" s="74"/>
      <c r="K5661" s="74"/>
      <c r="L5661" s="74"/>
      <c r="M5661" s="74"/>
      <c r="N5661" s="74" t="s">
        <v>397</v>
      </c>
      <c r="O5661" s="74" t="s">
        <v>402</v>
      </c>
      <c r="P5661" s="74" t="s">
        <v>15198</v>
      </c>
      <c r="Q5661" s="74" t="s">
        <v>15199</v>
      </c>
    </row>
    <row r="5662" spans="3:17" x14ac:dyDescent="0.25">
      <c r="C5662" s="74" t="s">
        <v>15203</v>
      </c>
      <c r="D5662" s="74" t="s">
        <v>15204</v>
      </c>
      <c r="E5662" s="74" t="s">
        <v>391</v>
      </c>
      <c r="F5662" s="74">
        <v>0</v>
      </c>
      <c r="G5662" s="74"/>
      <c r="H5662" s="74"/>
      <c r="I5662" s="74" t="s">
        <v>391</v>
      </c>
      <c r="J5662" s="74"/>
      <c r="K5662" s="74">
        <v>102.4</v>
      </c>
      <c r="L5662" s="74">
        <v>92.16</v>
      </c>
      <c r="M5662" s="74"/>
      <c r="N5662" s="74" t="s">
        <v>392</v>
      </c>
      <c r="O5662" s="74" t="s">
        <v>393</v>
      </c>
      <c r="P5662" s="74"/>
      <c r="Q5662" s="74" t="s">
        <v>15205</v>
      </c>
    </row>
    <row r="5663" spans="3:17" x14ac:dyDescent="0.25">
      <c r="C5663" s="74" t="s">
        <v>15223</v>
      </c>
      <c r="D5663" s="74" t="s">
        <v>15224</v>
      </c>
      <c r="E5663" s="74" t="s">
        <v>391</v>
      </c>
      <c r="F5663" s="74">
        <v>0</v>
      </c>
      <c r="G5663" s="74"/>
      <c r="H5663" s="74"/>
      <c r="I5663" s="74" t="s">
        <v>391</v>
      </c>
      <c r="J5663" s="74"/>
      <c r="K5663" s="74"/>
      <c r="L5663" s="74"/>
      <c r="M5663" s="74"/>
      <c r="N5663" s="74" t="s">
        <v>397</v>
      </c>
      <c r="O5663" s="74" t="s">
        <v>393</v>
      </c>
      <c r="P5663" s="74" t="s">
        <v>15225</v>
      </c>
      <c r="Q5663" s="74" t="s">
        <v>15226</v>
      </c>
    </row>
    <row r="5664" spans="3:17" x14ac:dyDescent="0.25">
      <c r="C5664" s="74" t="s">
        <v>15234</v>
      </c>
      <c r="D5664" s="74" t="s">
        <v>15235</v>
      </c>
      <c r="E5664" s="74" t="s">
        <v>391</v>
      </c>
      <c r="F5664" s="74">
        <v>0</v>
      </c>
      <c r="G5664" s="74"/>
      <c r="H5664" s="74"/>
      <c r="I5664" s="74" t="s">
        <v>391</v>
      </c>
      <c r="J5664" s="74"/>
      <c r="K5664" s="74"/>
      <c r="L5664" s="74"/>
      <c r="M5664" s="74"/>
      <c r="N5664" s="74" t="s">
        <v>397</v>
      </c>
      <c r="O5664" s="74" t="s">
        <v>402</v>
      </c>
      <c r="P5664" s="74" t="s">
        <v>15236</v>
      </c>
      <c r="Q5664" s="74" t="s">
        <v>15237</v>
      </c>
    </row>
    <row r="5665" spans="3:17" x14ac:dyDescent="0.25">
      <c r="C5665" s="74" t="s">
        <v>15238</v>
      </c>
      <c r="D5665" s="74" t="s">
        <v>15239</v>
      </c>
      <c r="E5665" s="74" t="s">
        <v>391</v>
      </c>
      <c r="F5665" s="74">
        <v>0</v>
      </c>
      <c r="G5665" s="74"/>
      <c r="H5665" s="74"/>
      <c r="I5665" s="74" t="s">
        <v>391</v>
      </c>
      <c r="J5665" s="74"/>
      <c r="K5665" s="74"/>
      <c r="L5665" s="74"/>
      <c r="M5665" s="74"/>
      <c r="N5665" s="74" t="s">
        <v>397</v>
      </c>
      <c r="O5665" s="74" t="s">
        <v>393</v>
      </c>
      <c r="P5665" s="74" t="s">
        <v>15240</v>
      </c>
      <c r="Q5665" s="74" t="s">
        <v>15241</v>
      </c>
    </row>
    <row r="5666" spans="3:17" x14ac:dyDescent="0.25">
      <c r="C5666" s="74" t="s">
        <v>15242</v>
      </c>
      <c r="D5666" s="74" t="s">
        <v>15243</v>
      </c>
      <c r="E5666" s="74" t="s">
        <v>391</v>
      </c>
      <c r="F5666" s="74">
        <v>0</v>
      </c>
      <c r="G5666" s="74"/>
      <c r="H5666" s="74"/>
      <c r="I5666" s="74" t="s">
        <v>391</v>
      </c>
      <c r="J5666" s="74"/>
      <c r="K5666" s="74"/>
      <c r="L5666" s="74"/>
      <c r="M5666" s="74"/>
      <c r="N5666" s="74" t="s">
        <v>397</v>
      </c>
      <c r="O5666" s="74" t="s">
        <v>393</v>
      </c>
      <c r="P5666" s="74" t="s">
        <v>15244</v>
      </c>
      <c r="Q5666" s="74" t="s">
        <v>15245</v>
      </c>
    </row>
    <row r="5667" spans="3:17" x14ac:dyDescent="0.25">
      <c r="C5667" s="158" t="s">
        <v>15286</v>
      </c>
      <c r="D5667" s="158" t="s">
        <v>15287</v>
      </c>
      <c r="E5667" s="158" t="s">
        <v>391</v>
      </c>
      <c r="F5667" s="158">
        <v>0</v>
      </c>
      <c r="I5667" s="158" t="s">
        <v>391</v>
      </c>
      <c r="K5667" s="158">
        <v>102.4</v>
      </c>
      <c r="L5667" s="158">
        <v>92.16</v>
      </c>
      <c r="N5667" s="158" t="s">
        <v>392</v>
      </c>
      <c r="O5667" s="158" t="s">
        <v>393</v>
      </c>
      <c r="Q5667" s="158" t="s">
        <v>15288</v>
      </c>
    </row>
    <row r="5668" spans="3:17" x14ac:dyDescent="0.25">
      <c r="C5668" s="74" t="s">
        <v>15292</v>
      </c>
      <c r="D5668" s="74" t="s">
        <v>15293</v>
      </c>
      <c r="E5668" s="74" t="s">
        <v>391</v>
      </c>
      <c r="F5668" s="74">
        <v>0</v>
      </c>
      <c r="G5668" s="74"/>
      <c r="H5668" s="74"/>
      <c r="I5668" s="74" t="s">
        <v>391</v>
      </c>
      <c r="J5668" s="74"/>
      <c r="K5668" s="74"/>
      <c r="L5668" s="74"/>
      <c r="M5668" s="74"/>
      <c r="N5668" s="74" t="s">
        <v>397</v>
      </c>
      <c r="O5668" s="74" t="s">
        <v>393</v>
      </c>
      <c r="P5668" s="74" t="s">
        <v>15294</v>
      </c>
      <c r="Q5668" s="74" t="s">
        <v>15295</v>
      </c>
    </row>
    <row r="5669" spans="3:17" x14ac:dyDescent="0.25">
      <c r="C5669" s="74" t="s">
        <v>15333</v>
      </c>
      <c r="D5669" s="74" t="s">
        <v>15334</v>
      </c>
      <c r="E5669" s="74" t="s">
        <v>391</v>
      </c>
      <c r="F5669" s="74">
        <v>0</v>
      </c>
      <c r="G5669" s="74"/>
      <c r="H5669" s="74"/>
      <c r="I5669" s="74" t="s">
        <v>391</v>
      </c>
      <c r="J5669" s="74"/>
      <c r="K5669" s="74"/>
      <c r="L5669" s="74"/>
      <c r="M5669" s="74"/>
      <c r="N5669" s="74" t="s">
        <v>397</v>
      </c>
      <c r="O5669" s="74" t="s">
        <v>393</v>
      </c>
      <c r="P5669" s="74" t="s">
        <v>15335</v>
      </c>
      <c r="Q5669" s="74" t="s">
        <v>15336</v>
      </c>
    </row>
    <row r="5670" spans="3:17" x14ac:dyDescent="0.25">
      <c r="C5670" s="74" t="s">
        <v>15359</v>
      </c>
      <c r="D5670" s="74" t="s">
        <v>15360</v>
      </c>
      <c r="E5670" s="74" t="s">
        <v>391</v>
      </c>
      <c r="F5670" s="74">
        <v>0</v>
      </c>
      <c r="G5670" s="74"/>
      <c r="H5670" s="74"/>
      <c r="I5670" s="74" t="s">
        <v>391</v>
      </c>
      <c r="J5670" s="74"/>
      <c r="K5670" s="74"/>
      <c r="L5670" s="74"/>
      <c r="M5670" s="74"/>
      <c r="N5670" s="74" t="s">
        <v>397</v>
      </c>
      <c r="O5670" s="74" t="s">
        <v>393</v>
      </c>
      <c r="P5670" s="74" t="s">
        <v>15361</v>
      </c>
      <c r="Q5670" s="74" t="s">
        <v>15362</v>
      </c>
    </row>
    <row r="5671" spans="3:17" x14ac:dyDescent="0.25">
      <c r="C5671" s="74" t="s">
        <v>15384</v>
      </c>
      <c r="D5671" s="74" t="s">
        <v>15385</v>
      </c>
      <c r="E5671" s="74" t="s">
        <v>391</v>
      </c>
      <c r="F5671" s="74">
        <v>0</v>
      </c>
      <c r="G5671" s="74"/>
      <c r="H5671" s="74"/>
      <c r="I5671" s="74" t="s">
        <v>391</v>
      </c>
      <c r="J5671" s="74"/>
      <c r="K5671" s="74">
        <v>102.4</v>
      </c>
      <c r="L5671" s="74">
        <v>92.16</v>
      </c>
      <c r="M5671" s="74"/>
      <c r="N5671" s="74" t="s">
        <v>392</v>
      </c>
      <c r="O5671" s="74" t="s">
        <v>393</v>
      </c>
      <c r="P5671" s="74"/>
      <c r="Q5671" s="74" t="s">
        <v>15386</v>
      </c>
    </row>
    <row r="5672" spans="3:17" x14ac:dyDescent="0.25">
      <c r="C5672" s="74" t="s">
        <v>15475</v>
      </c>
      <c r="D5672" s="74" t="s">
        <v>15476</v>
      </c>
      <c r="E5672" s="74" t="s">
        <v>391</v>
      </c>
      <c r="F5672" s="74">
        <v>0</v>
      </c>
      <c r="G5672" s="74"/>
      <c r="H5672" s="74"/>
      <c r="I5672" s="74" t="s">
        <v>391</v>
      </c>
      <c r="J5672" s="74"/>
      <c r="K5672" s="74"/>
      <c r="L5672" s="74"/>
      <c r="M5672" s="74"/>
      <c r="N5672" s="74" t="s">
        <v>397</v>
      </c>
      <c r="O5672" s="74" t="s">
        <v>393</v>
      </c>
      <c r="P5672" s="74"/>
      <c r="Q5672" s="74" t="s">
        <v>15477</v>
      </c>
    </row>
    <row r="5673" spans="3:17" x14ac:dyDescent="0.25">
      <c r="C5673" s="74" t="s">
        <v>15487</v>
      </c>
      <c r="D5673" s="74" t="s">
        <v>15488</v>
      </c>
      <c r="E5673" s="74"/>
      <c r="F5673" s="74">
        <v>0</v>
      </c>
      <c r="G5673" s="74"/>
      <c r="H5673" s="74"/>
      <c r="I5673" s="74" t="s">
        <v>391</v>
      </c>
      <c r="J5673" s="74"/>
      <c r="K5673" s="74"/>
      <c r="L5673" s="74"/>
      <c r="M5673" s="74"/>
      <c r="N5673" s="74" t="s">
        <v>397</v>
      </c>
      <c r="O5673" s="74" t="s">
        <v>402</v>
      </c>
      <c r="P5673" s="74" t="s">
        <v>15489</v>
      </c>
      <c r="Q5673" s="74" t="s">
        <v>15490</v>
      </c>
    </row>
    <row r="5674" spans="3:17" x14ac:dyDescent="0.25">
      <c r="C5674" s="74" t="s">
        <v>15524</v>
      </c>
      <c r="D5674" s="74" t="s">
        <v>15525</v>
      </c>
      <c r="E5674" s="74" t="s">
        <v>391</v>
      </c>
      <c r="F5674" s="74">
        <v>0</v>
      </c>
      <c r="G5674" s="74"/>
      <c r="H5674" s="74"/>
      <c r="I5674" s="74" t="s">
        <v>391</v>
      </c>
      <c r="J5674" s="74"/>
      <c r="K5674" s="74"/>
      <c r="L5674" s="74"/>
      <c r="M5674" s="74"/>
      <c r="N5674" s="74" t="s">
        <v>397</v>
      </c>
      <c r="O5674" s="74" t="s">
        <v>402</v>
      </c>
      <c r="P5674" s="74" t="s">
        <v>15526</v>
      </c>
      <c r="Q5674" s="74" t="s">
        <v>15527</v>
      </c>
    </row>
    <row r="5675" spans="3:17" x14ac:dyDescent="0.25">
      <c r="C5675" s="74" t="s">
        <v>15552</v>
      </c>
      <c r="D5675" s="74" t="s">
        <v>15553</v>
      </c>
      <c r="E5675" s="74" t="s">
        <v>391</v>
      </c>
      <c r="F5675" s="74">
        <v>0</v>
      </c>
      <c r="G5675" s="74"/>
      <c r="H5675" s="74"/>
      <c r="I5675" s="74" t="s">
        <v>391</v>
      </c>
      <c r="J5675" s="74"/>
      <c r="K5675" s="74"/>
      <c r="L5675" s="74"/>
      <c r="M5675" s="74"/>
      <c r="N5675" s="74" t="s">
        <v>397</v>
      </c>
      <c r="O5675" s="74" t="s">
        <v>393</v>
      </c>
      <c r="P5675" s="74" t="s">
        <v>15554</v>
      </c>
      <c r="Q5675" s="74" t="s">
        <v>15555</v>
      </c>
    </row>
    <row r="5676" spans="3:17" x14ac:dyDescent="0.25">
      <c r="C5676" s="74" t="s">
        <v>15575</v>
      </c>
      <c r="D5676" s="74" t="s">
        <v>15576</v>
      </c>
      <c r="E5676" s="74" t="s">
        <v>391</v>
      </c>
      <c r="F5676" s="74">
        <v>0</v>
      </c>
      <c r="G5676" s="74"/>
      <c r="H5676" s="74"/>
      <c r="I5676" s="74" t="s">
        <v>391</v>
      </c>
      <c r="J5676" s="74"/>
      <c r="K5676" s="74"/>
      <c r="L5676" s="74"/>
      <c r="M5676" s="74"/>
      <c r="N5676" s="74" t="s">
        <v>397</v>
      </c>
      <c r="O5676" s="74" t="s">
        <v>393</v>
      </c>
      <c r="P5676" s="74" t="s">
        <v>15577</v>
      </c>
      <c r="Q5676" s="74" t="s">
        <v>15578</v>
      </c>
    </row>
    <row r="5677" spans="3:17" x14ac:dyDescent="0.25">
      <c r="C5677" s="74" t="s">
        <v>15583</v>
      </c>
      <c r="D5677" s="74" t="s">
        <v>15584</v>
      </c>
      <c r="E5677" s="74" t="s">
        <v>391</v>
      </c>
      <c r="F5677" s="74">
        <v>0</v>
      </c>
      <c r="G5677" s="74"/>
      <c r="H5677" s="74"/>
      <c r="I5677" s="74" t="s">
        <v>391</v>
      </c>
      <c r="J5677" s="74"/>
      <c r="K5677" s="74">
        <v>102.4</v>
      </c>
      <c r="L5677" s="74">
        <v>92.16</v>
      </c>
      <c r="M5677" s="74"/>
      <c r="N5677" s="74" t="s">
        <v>392</v>
      </c>
      <c r="O5677" s="74" t="s">
        <v>393</v>
      </c>
      <c r="P5677" s="74"/>
      <c r="Q5677" s="74" t="s">
        <v>15585</v>
      </c>
    </row>
    <row r="5678" spans="3:17" x14ac:dyDescent="0.25">
      <c r="C5678" s="74" t="s">
        <v>15593</v>
      </c>
      <c r="D5678" s="74" t="s">
        <v>15594</v>
      </c>
      <c r="E5678" s="74" t="s">
        <v>391</v>
      </c>
      <c r="F5678" s="74">
        <v>0</v>
      </c>
      <c r="G5678" s="74"/>
      <c r="H5678" s="74"/>
      <c r="I5678" s="74" t="s">
        <v>391</v>
      </c>
      <c r="J5678" s="74"/>
      <c r="K5678" s="74"/>
      <c r="L5678" s="74"/>
      <c r="M5678" s="74"/>
      <c r="N5678" s="74" t="s">
        <v>397</v>
      </c>
      <c r="O5678" s="74" t="s">
        <v>393</v>
      </c>
      <c r="P5678" s="74" t="s">
        <v>15595</v>
      </c>
      <c r="Q5678" s="74" t="s">
        <v>15596</v>
      </c>
    </row>
    <row r="5679" spans="3:17" x14ac:dyDescent="0.25">
      <c r="C5679" s="74" t="s">
        <v>15614</v>
      </c>
      <c r="D5679" s="74" t="s">
        <v>15615</v>
      </c>
      <c r="E5679" s="74" t="s">
        <v>391</v>
      </c>
      <c r="F5679" s="74">
        <v>0</v>
      </c>
      <c r="G5679" s="74"/>
      <c r="H5679" s="74"/>
      <c r="I5679" s="74" t="s">
        <v>391</v>
      </c>
      <c r="J5679" s="74"/>
      <c r="K5679" s="74"/>
      <c r="L5679" s="74"/>
      <c r="M5679" s="74"/>
      <c r="N5679" s="74" t="s">
        <v>397</v>
      </c>
      <c r="O5679" s="74" t="s">
        <v>393</v>
      </c>
      <c r="P5679" s="74" t="s">
        <v>15616</v>
      </c>
      <c r="Q5679" s="74" t="s">
        <v>15617</v>
      </c>
    </row>
    <row r="5680" spans="3:17" x14ac:dyDescent="0.25">
      <c r="C5680" s="74" t="s">
        <v>15624</v>
      </c>
      <c r="D5680" s="74" t="s">
        <v>15625</v>
      </c>
      <c r="E5680" s="74" t="s">
        <v>391</v>
      </c>
      <c r="F5680" s="74">
        <v>0</v>
      </c>
      <c r="G5680" s="74"/>
      <c r="H5680" s="74"/>
      <c r="I5680" s="74" t="s">
        <v>391</v>
      </c>
      <c r="J5680" s="74"/>
      <c r="K5680" s="74"/>
      <c r="L5680" s="74"/>
      <c r="M5680" s="74"/>
      <c r="N5680" s="74" t="s">
        <v>397</v>
      </c>
      <c r="O5680" s="74" t="s">
        <v>393</v>
      </c>
      <c r="P5680" s="74"/>
      <c r="Q5680" s="74" t="s">
        <v>15626</v>
      </c>
    </row>
    <row r="5681" spans="3:17" x14ac:dyDescent="0.25">
      <c r="C5681" s="74" t="s">
        <v>15641</v>
      </c>
      <c r="D5681" s="74" t="s">
        <v>15642</v>
      </c>
      <c r="E5681" s="74" t="s">
        <v>391</v>
      </c>
      <c r="F5681" s="74">
        <v>0</v>
      </c>
      <c r="G5681" s="74"/>
      <c r="H5681" s="74"/>
      <c r="I5681" s="74" t="s">
        <v>391</v>
      </c>
      <c r="J5681" s="74"/>
      <c r="K5681" s="74"/>
      <c r="L5681" s="74"/>
      <c r="M5681" s="74"/>
      <c r="N5681" s="74" t="s">
        <v>397</v>
      </c>
      <c r="O5681" s="74" t="s">
        <v>393</v>
      </c>
      <c r="P5681" s="74"/>
      <c r="Q5681" s="74" t="s">
        <v>15643</v>
      </c>
    </row>
    <row r="5682" spans="3:17" x14ac:dyDescent="0.25">
      <c r="C5682" s="74" t="s">
        <v>15644</v>
      </c>
      <c r="D5682" s="74" t="s">
        <v>15645</v>
      </c>
      <c r="E5682" s="74"/>
      <c r="F5682" s="74">
        <v>0</v>
      </c>
      <c r="G5682" s="74"/>
      <c r="H5682" s="74"/>
      <c r="I5682" s="74" t="s">
        <v>391</v>
      </c>
      <c r="J5682" s="74"/>
      <c r="K5682" s="74">
        <v>102.4</v>
      </c>
      <c r="L5682" s="74">
        <v>92.16</v>
      </c>
      <c r="M5682" s="74"/>
      <c r="N5682" s="74" t="s">
        <v>392</v>
      </c>
      <c r="O5682" s="74" t="s">
        <v>402</v>
      </c>
      <c r="P5682" s="74"/>
      <c r="Q5682" s="74" t="s">
        <v>15646</v>
      </c>
    </row>
    <row r="5683" spans="3:17" x14ac:dyDescent="0.25">
      <c r="C5683" s="74" t="s">
        <v>15679</v>
      </c>
      <c r="D5683" s="74" t="s">
        <v>15680</v>
      </c>
      <c r="E5683" s="74" t="s">
        <v>391</v>
      </c>
      <c r="F5683" s="74">
        <v>0</v>
      </c>
      <c r="G5683" s="74"/>
      <c r="H5683" s="74"/>
      <c r="I5683" s="74" t="s">
        <v>391</v>
      </c>
      <c r="J5683" s="74"/>
      <c r="K5683" s="74">
        <v>102.4</v>
      </c>
      <c r="L5683" s="74">
        <v>92.16</v>
      </c>
      <c r="M5683" s="74"/>
      <c r="N5683" s="74" t="s">
        <v>392</v>
      </c>
      <c r="O5683" s="74" t="s">
        <v>393</v>
      </c>
      <c r="P5683" s="74"/>
      <c r="Q5683" s="74" t="s">
        <v>15681</v>
      </c>
    </row>
    <row r="5684" spans="3:17" x14ac:dyDescent="0.25">
      <c r="C5684" s="74" t="s">
        <v>15734</v>
      </c>
      <c r="D5684" s="74" t="s">
        <v>15735</v>
      </c>
      <c r="E5684" s="74" t="s">
        <v>391</v>
      </c>
      <c r="F5684" s="74">
        <v>0</v>
      </c>
      <c r="G5684" s="74"/>
      <c r="H5684" s="74"/>
      <c r="I5684" s="74" t="s">
        <v>391</v>
      </c>
      <c r="J5684" s="74"/>
      <c r="K5684" s="74"/>
      <c r="L5684" s="74"/>
      <c r="M5684" s="74"/>
      <c r="N5684" s="74" t="s">
        <v>397</v>
      </c>
      <c r="O5684" s="74" t="s">
        <v>393</v>
      </c>
      <c r="P5684" s="74" t="s">
        <v>15736</v>
      </c>
      <c r="Q5684" s="74" t="s">
        <v>15737</v>
      </c>
    </row>
    <row r="5685" spans="3:17" x14ac:dyDescent="0.25">
      <c r="C5685" s="74" t="s">
        <v>15755</v>
      </c>
      <c r="D5685" s="74" t="s">
        <v>15756</v>
      </c>
      <c r="E5685" s="74" t="s">
        <v>391</v>
      </c>
      <c r="F5685" s="74">
        <v>0</v>
      </c>
      <c r="G5685" s="74"/>
      <c r="H5685" s="74"/>
      <c r="I5685" s="74" t="s">
        <v>391</v>
      </c>
      <c r="J5685" s="74"/>
      <c r="K5685" s="74"/>
      <c r="L5685" s="74"/>
      <c r="M5685" s="74"/>
      <c r="N5685" s="74" t="s">
        <v>397</v>
      </c>
      <c r="O5685" s="74" t="s">
        <v>393</v>
      </c>
      <c r="P5685" s="74" t="s">
        <v>15757</v>
      </c>
      <c r="Q5685" s="74" t="s">
        <v>15758</v>
      </c>
    </row>
    <row r="5686" spans="3:17" x14ac:dyDescent="0.25">
      <c r="C5686" s="74" t="s">
        <v>15759</v>
      </c>
      <c r="D5686" s="74" t="s">
        <v>15760</v>
      </c>
      <c r="E5686" s="74" t="s">
        <v>391</v>
      </c>
      <c r="F5686" s="74">
        <v>0</v>
      </c>
      <c r="G5686" s="74"/>
      <c r="H5686" s="74"/>
      <c r="I5686" s="74" t="s">
        <v>391</v>
      </c>
      <c r="J5686" s="74"/>
      <c r="K5686" s="74"/>
      <c r="L5686" s="74"/>
      <c r="M5686" s="74"/>
      <c r="N5686" s="74" t="s">
        <v>397</v>
      </c>
      <c r="O5686" s="74" t="s">
        <v>393</v>
      </c>
      <c r="P5686" s="74"/>
      <c r="Q5686" s="74" t="s">
        <v>15761</v>
      </c>
    </row>
    <row r="5687" spans="3:17" x14ac:dyDescent="0.25">
      <c r="C5687" s="74" t="s">
        <v>15762</v>
      </c>
      <c r="D5687" s="74" t="s">
        <v>15763</v>
      </c>
      <c r="E5687" s="74" t="s">
        <v>391</v>
      </c>
      <c r="F5687" s="74">
        <v>0</v>
      </c>
      <c r="G5687" s="74"/>
      <c r="H5687" s="74"/>
      <c r="I5687" s="74" t="s">
        <v>391</v>
      </c>
      <c r="J5687" s="74"/>
      <c r="K5687" s="74">
        <v>102.4</v>
      </c>
      <c r="L5687" s="74">
        <v>92.16</v>
      </c>
      <c r="M5687" s="74"/>
      <c r="N5687" s="74" t="s">
        <v>392</v>
      </c>
      <c r="O5687" s="74" t="s">
        <v>393</v>
      </c>
      <c r="P5687" s="74"/>
      <c r="Q5687" s="74" t="s">
        <v>15764</v>
      </c>
    </row>
    <row r="5688" spans="3:17" x14ac:dyDescent="0.25">
      <c r="C5688" s="74" t="s">
        <v>15774</v>
      </c>
      <c r="D5688" s="74" t="s">
        <v>15775</v>
      </c>
      <c r="E5688" s="74" t="s">
        <v>391</v>
      </c>
      <c r="F5688" s="74">
        <v>0</v>
      </c>
      <c r="G5688" s="74"/>
      <c r="H5688" s="74"/>
      <c r="I5688" s="74" t="s">
        <v>391</v>
      </c>
      <c r="J5688" s="74"/>
      <c r="K5688" s="74"/>
      <c r="L5688" s="74"/>
      <c r="M5688" s="74"/>
      <c r="N5688" s="74" t="s">
        <v>397</v>
      </c>
      <c r="O5688" s="74" t="s">
        <v>393</v>
      </c>
      <c r="P5688" s="74" t="s">
        <v>15776</v>
      </c>
      <c r="Q5688" s="74" t="s">
        <v>15777</v>
      </c>
    </row>
    <row r="5689" spans="3:17" x14ac:dyDescent="0.25">
      <c r="C5689" s="74" t="s">
        <v>15778</v>
      </c>
      <c r="D5689" s="74" t="s">
        <v>15779</v>
      </c>
      <c r="E5689" s="74" t="s">
        <v>391</v>
      </c>
      <c r="F5689" s="74">
        <v>0</v>
      </c>
      <c r="G5689" s="74"/>
      <c r="H5689" s="74"/>
      <c r="I5689" s="74" t="s">
        <v>391</v>
      </c>
      <c r="J5689" s="74"/>
      <c r="K5689" s="74"/>
      <c r="L5689" s="74"/>
      <c r="M5689" s="74"/>
      <c r="N5689" s="74" t="s">
        <v>397</v>
      </c>
      <c r="O5689" s="74" t="s">
        <v>393</v>
      </c>
      <c r="P5689" s="74" t="s">
        <v>15780</v>
      </c>
      <c r="Q5689" s="74" t="s">
        <v>15781</v>
      </c>
    </row>
    <row r="5690" spans="3:17" x14ac:dyDescent="0.25">
      <c r="C5690" s="74" t="s">
        <v>15803</v>
      </c>
      <c r="D5690" s="74" t="s">
        <v>15804</v>
      </c>
      <c r="E5690" s="74" t="s">
        <v>391</v>
      </c>
      <c r="F5690" s="74">
        <v>0</v>
      </c>
      <c r="G5690" s="74"/>
      <c r="H5690" s="74"/>
      <c r="I5690" s="74" t="s">
        <v>391</v>
      </c>
      <c r="J5690" s="74"/>
      <c r="K5690" s="74">
        <v>102.4</v>
      </c>
      <c r="L5690" s="74">
        <v>92.16</v>
      </c>
      <c r="M5690" s="74"/>
      <c r="N5690" s="74" t="s">
        <v>392</v>
      </c>
      <c r="O5690" s="74" t="s">
        <v>393</v>
      </c>
      <c r="P5690" s="74"/>
      <c r="Q5690" s="74" t="s">
        <v>15805</v>
      </c>
    </row>
    <row r="5691" spans="3:17" x14ac:dyDescent="0.25">
      <c r="C5691" s="74" t="s">
        <v>15842</v>
      </c>
      <c r="D5691" s="74" t="s">
        <v>15843</v>
      </c>
      <c r="E5691" s="74"/>
      <c r="F5691" s="74">
        <v>0</v>
      </c>
      <c r="G5691" s="74"/>
      <c r="H5691" s="74"/>
      <c r="I5691" s="74" t="s">
        <v>391</v>
      </c>
      <c r="J5691" s="74"/>
      <c r="K5691" s="74"/>
      <c r="L5691" s="74"/>
      <c r="M5691" s="74"/>
      <c r="N5691" s="74" t="s">
        <v>397</v>
      </c>
      <c r="O5691" s="74" t="s">
        <v>535</v>
      </c>
      <c r="P5691" s="74" t="s">
        <v>15844</v>
      </c>
      <c r="Q5691" s="74" t="s">
        <v>15845</v>
      </c>
    </row>
    <row r="5692" spans="3:17" x14ac:dyDescent="0.25">
      <c r="C5692" s="74" t="s">
        <v>15853</v>
      </c>
      <c r="D5692" s="74" t="s">
        <v>15854</v>
      </c>
      <c r="E5692" s="74" t="s">
        <v>391</v>
      </c>
      <c r="F5692" s="74">
        <v>0</v>
      </c>
      <c r="G5692" s="74"/>
      <c r="H5692" s="74"/>
      <c r="I5692" s="74" t="s">
        <v>391</v>
      </c>
      <c r="J5692" s="74"/>
      <c r="K5692" s="74"/>
      <c r="L5692" s="74"/>
      <c r="M5692" s="74"/>
      <c r="N5692" s="74" t="s">
        <v>397</v>
      </c>
      <c r="O5692" s="74" t="s">
        <v>393</v>
      </c>
      <c r="P5692" s="74" t="s">
        <v>15855</v>
      </c>
      <c r="Q5692" s="74" t="s">
        <v>15856</v>
      </c>
    </row>
    <row r="5693" spans="3:17" x14ac:dyDescent="0.25">
      <c r="C5693" s="74" t="s">
        <v>15857</v>
      </c>
      <c r="D5693" s="74" t="s">
        <v>15858</v>
      </c>
      <c r="E5693" s="74" t="s">
        <v>391</v>
      </c>
      <c r="F5693" s="74">
        <v>0</v>
      </c>
      <c r="G5693" s="74"/>
      <c r="H5693" s="74"/>
      <c r="I5693" s="74" t="s">
        <v>391</v>
      </c>
      <c r="J5693" s="74"/>
      <c r="K5693" s="74">
        <v>102.4</v>
      </c>
      <c r="L5693" s="74">
        <v>92.16</v>
      </c>
      <c r="M5693" s="74"/>
      <c r="N5693" s="74" t="s">
        <v>392</v>
      </c>
      <c r="O5693" s="74" t="s">
        <v>393</v>
      </c>
      <c r="P5693" s="74"/>
      <c r="Q5693" s="74" t="s">
        <v>15859</v>
      </c>
    </row>
    <row r="5694" spans="3:17" x14ac:dyDescent="0.25">
      <c r="C5694" s="74" t="s">
        <v>15914</v>
      </c>
      <c r="D5694" s="74" t="s">
        <v>15915</v>
      </c>
      <c r="E5694" s="74" t="s">
        <v>391</v>
      </c>
      <c r="F5694" s="74">
        <v>0</v>
      </c>
      <c r="G5694" s="74"/>
      <c r="H5694" s="74"/>
      <c r="I5694" s="74" t="s">
        <v>391</v>
      </c>
      <c r="J5694" s="74"/>
      <c r="K5694" s="74"/>
      <c r="L5694" s="74"/>
      <c r="M5694" s="74"/>
      <c r="N5694" s="74" t="s">
        <v>397</v>
      </c>
      <c r="O5694" s="74" t="s">
        <v>393</v>
      </c>
      <c r="P5694" s="74" t="s">
        <v>15916</v>
      </c>
      <c r="Q5694" s="74" t="s">
        <v>15917</v>
      </c>
    </row>
    <row r="5695" spans="3:17" x14ac:dyDescent="0.25">
      <c r="C5695" s="74" t="s">
        <v>15989</v>
      </c>
      <c r="D5695" s="74" t="s">
        <v>15990</v>
      </c>
      <c r="E5695" s="74" t="s">
        <v>391</v>
      </c>
      <c r="F5695" s="74">
        <v>0</v>
      </c>
      <c r="G5695" s="74"/>
      <c r="H5695" s="74"/>
      <c r="I5695" s="74" t="s">
        <v>391</v>
      </c>
      <c r="J5695" s="74"/>
      <c r="K5695" s="74"/>
      <c r="L5695" s="74"/>
      <c r="M5695" s="74"/>
      <c r="N5695" s="74" t="s">
        <v>397</v>
      </c>
      <c r="O5695" s="74" t="s">
        <v>393</v>
      </c>
      <c r="P5695" s="74" t="s">
        <v>15991</v>
      </c>
      <c r="Q5695" s="74" t="s">
        <v>15992</v>
      </c>
    </row>
    <row r="5696" spans="3:17" x14ac:dyDescent="0.25">
      <c r="C5696" s="74" t="s">
        <v>15993</v>
      </c>
      <c r="D5696" s="74" t="s">
        <v>15994</v>
      </c>
      <c r="E5696" s="74" t="s">
        <v>391</v>
      </c>
      <c r="F5696" s="74">
        <v>0</v>
      </c>
      <c r="G5696" s="74"/>
      <c r="H5696" s="74"/>
      <c r="I5696" s="74" t="s">
        <v>391</v>
      </c>
      <c r="J5696" s="74"/>
      <c r="K5696" s="74"/>
      <c r="L5696" s="74"/>
      <c r="M5696" s="74"/>
      <c r="N5696" s="74" t="s">
        <v>397</v>
      </c>
      <c r="O5696" s="74" t="s">
        <v>393</v>
      </c>
      <c r="P5696" s="74" t="s">
        <v>15995</v>
      </c>
      <c r="Q5696" s="74" t="s">
        <v>15996</v>
      </c>
    </row>
    <row r="5697" spans="3:17" x14ac:dyDescent="0.25">
      <c r="C5697" s="74" t="s">
        <v>16056</v>
      </c>
      <c r="D5697" s="74" t="s">
        <v>16057</v>
      </c>
      <c r="E5697" s="74" t="s">
        <v>391</v>
      </c>
      <c r="F5697" s="74">
        <v>0</v>
      </c>
      <c r="G5697" s="74"/>
      <c r="H5697" s="74"/>
      <c r="I5697" s="74" t="s">
        <v>391</v>
      </c>
      <c r="J5697" s="74"/>
      <c r="K5697" s="74">
        <v>102.4</v>
      </c>
      <c r="L5697" s="74">
        <v>92.16</v>
      </c>
      <c r="M5697" s="74"/>
      <c r="N5697" s="74" t="s">
        <v>392</v>
      </c>
      <c r="O5697" s="74" t="s">
        <v>393</v>
      </c>
      <c r="P5697" s="74"/>
      <c r="Q5697" s="74" t="s">
        <v>16058</v>
      </c>
    </row>
    <row r="5698" spans="3:17" x14ac:dyDescent="0.25">
      <c r="C5698" s="74" t="s">
        <v>16077</v>
      </c>
      <c r="D5698" s="74" t="s">
        <v>16078</v>
      </c>
      <c r="E5698" s="74" t="s">
        <v>391</v>
      </c>
      <c r="F5698" s="74">
        <v>0</v>
      </c>
      <c r="G5698" s="74"/>
      <c r="H5698" s="74"/>
      <c r="I5698" s="74" t="s">
        <v>391</v>
      </c>
      <c r="J5698" s="74"/>
      <c r="K5698" s="74">
        <v>102.4</v>
      </c>
      <c r="L5698" s="74">
        <v>92.16</v>
      </c>
      <c r="M5698" s="74"/>
      <c r="N5698" s="74" t="s">
        <v>392</v>
      </c>
      <c r="O5698" s="74" t="s">
        <v>393</v>
      </c>
      <c r="P5698" s="74"/>
      <c r="Q5698" s="74" t="s">
        <v>16079</v>
      </c>
    </row>
    <row r="5699" spans="3:17" x14ac:dyDescent="0.25">
      <c r="C5699" s="74" t="s">
        <v>16086</v>
      </c>
      <c r="D5699" s="74" t="s">
        <v>16087</v>
      </c>
      <c r="E5699" s="74" t="s">
        <v>391</v>
      </c>
      <c r="F5699" s="74">
        <v>0</v>
      </c>
      <c r="G5699" s="74"/>
      <c r="H5699" s="74"/>
      <c r="I5699" s="74" t="s">
        <v>391</v>
      </c>
      <c r="J5699" s="74"/>
      <c r="K5699" s="74">
        <v>102.4</v>
      </c>
      <c r="L5699" s="74">
        <v>92.16</v>
      </c>
      <c r="M5699" s="74"/>
      <c r="N5699" s="74" t="s">
        <v>392</v>
      </c>
      <c r="O5699" s="74" t="s">
        <v>393</v>
      </c>
      <c r="P5699" s="74"/>
      <c r="Q5699" s="74" t="s">
        <v>16088</v>
      </c>
    </row>
    <row r="5700" spans="3:17" x14ac:dyDescent="0.25">
      <c r="C5700" s="74" t="s">
        <v>16089</v>
      </c>
      <c r="D5700" s="74" t="s">
        <v>16090</v>
      </c>
      <c r="E5700" s="74" t="s">
        <v>391</v>
      </c>
      <c r="F5700" s="74">
        <v>0</v>
      </c>
      <c r="G5700" s="74"/>
      <c r="H5700" s="74"/>
      <c r="I5700" s="74" t="s">
        <v>391</v>
      </c>
      <c r="J5700" s="74"/>
      <c r="K5700" s="74">
        <v>102.4</v>
      </c>
      <c r="L5700" s="74">
        <v>92.16</v>
      </c>
      <c r="M5700" s="74"/>
      <c r="N5700" s="74" t="s">
        <v>392</v>
      </c>
      <c r="O5700" s="74" t="s">
        <v>393</v>
      </c>
      <c r="P5700" s="74"/>
      <c r="Q5700" s="74" t="s">
        <v>16091</v>
      </c>
    </row>
    <row r="5701" spans="3:17" x14ac:dyDescent="0.25">
      <c r="C5701" s="74" t="s">
        <v>16096</v>
      </c>
      <c r="D5701" s="74" t="s">
        <v>16097</v>
      </c>
      <c r="E5701" s="74" t="s">
        <v>391</v>
      </c>
      <c r="F5701" s="74">
        <v>0</v>
      </c>
      <c r="G5701" s="74"/>
      <c r="H5701" s="74"/>
      <c r="I5701" s="74" t="s">
        <v>391</v>
      </c>
      <c r="J5701" s="74"/>
      <c r="K5701" s="74"/>
      <c r="L5701" s="74"/>
      <c r="M5701" s="74"/>
      <c r="N5701" s="74" t="s">
        <v>397</v>
      </c>
      <c r="O5701" s="74" t="s">
        <v>393</v>
      </c>
      <c r="P5701" s="74"/>
      <c r="Q5701" s="74" t="s">
        <v>16098</v>
      </c>
    </row>
    <row r="5702" spans="3:17" x14ac:dyDescent="0.25">
      <c r="C5702" s="74" t="s">
        <v>16114</v>
      </c>
      <c r="D5702" s="74" t="s">
        <v>16115</v>
      </c>
      <c r="E5702" s="74" t="s">
        <v>391</v>
      </c>
      <c r="F5702" s="74">
        <v>0</v>
      </c>
      <c r="G5702" s="74"/>
      <c r="H5702" s="74"/>
      <c r="I5702" s="74" t="s">
        <v>391</v>
      </c>
      <c r="J5702" s="74"/>
      <c r="K5702" s="74">
        <v>102.4</v>
      </c>
      <c r="L5702" s="74">
        <v>92.16</v>
      </c>
      <c r="M5702" s="74"/>
      <c r="N5702" s="74" t="s">
        <v>392</v>
      </c>
      <c r="O5702" s="74" t="s">
        <v>393</v>
      </c>
      <c r="P5702" s="74"/>
      <c r="Q5702" s="74" t="s">
        <v>16116</v>
      </c>
    </row>
    <row r="5703" spans="3:17" x14ac:dyDescent="0.25">
      <c r="C5703" s="74" t="s">
        <v>16132</v>
      </c>
      <c r="D5703" s="74" t="s">
        <v>16133</v>
      </c>
      <c r="E5703" s="74" t="s">
        <v>391</v>
      </c>
      <c r="F5703" s="74">
        <v>0</v>
      </c>
      <c r="G5703" s="74"/>
      <c r="H5703" s="74"/>
      <c r="I5703" s="74" t="s">
        <v>391</v>
      </c>
      <c r="J5703" s="74"/>
      <c r="K5703" s="74"/>
      <c r="L5703" s="74"/>
      <c r="M5703" s="74"/>
      <c r="N5703" s="74" t="s">
        <v>397</v>
      </c>
      <c r="O5703" s="74" t="s">
        <v>393</v>
      </c>
      <c r="P5703" s="74" t="s">
        <v>16134</v>
      </c>
      <c r="Q5703" s="74" t="s">
        <v>16135</v>
      </c>
    </row>
    <row r="5704" spans="3:17" x14ac:dyDescent="0.25">
      <c r="C5704" s="74" t="s">
        <v>16198</v>
      </c>
      <c r="D5704" s="74" t="s">
        <v>16199</v>
      </c>
      <c r="E5704" s="74" t="s">
        <v>391</v>
      </c>
      <c r="F5704" s="74">
        <v>0</v>
      </c>
      <c r="G5704" s="74"/>
      <c r="H5704" s="74"/>
      <c r="I5704" s="74" t="s">
        <v>391</v>
      </c>
      <c r="J5704" s="74"/>
      <c r="K5704" s="74">
        <v>102.4</v>
      </c>
      <c r="L5704" s="74">
        <v>92.16</v>
      </c>
      <c r="M5704" s="74"/>
      <c r="N5704" s="74" t="s">
        <v>392</v>
      </c>
      <c r="O5704" s="74" t="s">
        <v>393</v>
      </c>
      <c r="P5704" s="74"/>
      <c r="Q5704" s="74" t="s">
        <v>16200</v>
      </c>
    </row>
    <row r="5705" spans="3:17" x14ac:dyDescent="0.25">
      <c r="C5705" s="74" t="s">
        <v>16215</v>
      </c>
      <c r="D5705" s="74" t="s">
        <v>16216</v>
      </c>
      <c r="E5705" s="74" t="s">
        <v>391</v>
      </c>
      <c r="F5705" s="74">
        <v>0</v>
      </c>
      <c r="G5705" s="74"/>
      <c r="H5705" s="74"/>
      <c r="I5705" s="74" t="s">
        <v>391</v>
      </c>
      <c r="J5705" s="74"/>
      <c r="K5705" s="74"/>
      <c r="L5705" s="74"/>
      <c r="M5705" s="74"/>
      <c r="N5705" s="74" t="s">
        <v>397</v>
      </c>
      <c r="O5705" s="74" t="s">
        <v>393</v>
      </c>
      <c r="P5705" s="74" t="s">
        <v>16217</v>
      </c>
      <c r="Q5705" s="74" t="s">
        <v>16218</v>
      </c>
    </row>
    <row r="5706" spans="3:17" x14ac:dyDescent="0.25">
      <c r="C5706" s="74" t="s">
        <v>16247</v>
      </c>
      <c r="D5706" s="74" t="s">
        <v>16248</v>
      </c>
      <c r="E5706" s="74" t="s">
        <v>391</v>
      </c>
      <c r="F5706" s="74">
        <v>0</v>
      </c>
      <c r="G5706" s="74"/>
      <c r="H5706" s="74"/>
      <c r="I5706" s="74" t="s">
        <v>391</v>
      </c>
      <c r="J5706" s="74"/>
      <c r="K5706" s="74"/>
      <c r="L5706" s="74"/>
      <c r="M5706" s="74"/>
      <c r="N5706" s="74" t="s">
        <v>397</v>
      </c>
      <c r="O5706" s="74" t="s">
        <v>393</v>
      </c>
      <c r="P5706" s="74" t="s">
        <v>16249</v>
      </c>
      <c r="Q5706" s="74" t="s">
        <v>16250</v>
      </c>
    </row>
    <row r="5707" spans="3:17" x14ac:dyDescent="0.25">
      <c r="C5707" s="74" t="s">
        <v>16266</v>
      </c>
      <c r="D5707" s="74" t="s">
        <v>16267</v>
      </c>
      <c r="E5707" s="74"/>
      <c r="F5707" s="74">
        <v>0</v>
      </c>
      <c r="G5707" s="74"/>
      <c r="H5707" s="74"/>
      <c r="I5707" s="74" t="s">
        <v>391</v>
      </c>
      <c r="J5707" s="74"/>
      <c r="K5707" s="74">
        <v>102.4</v>
      </c>
      <c r="L5707" s="74">
        <v>92.16</v>
      </c>
      <c r="M5707" s="74"/>
      <c r="N5707" s="74" t="s">
        <v>392</v>
      </c>
      <c r="O5707" s="74" t="s">
        <v>402</v>
      </c>
      <c r="P5707" s="74"/>
      <c r="Q5707" s="74" t="s">
        <v>16268</v>
      </c>
    </row>
    <row r="5708" spans="3:17" x14ac:dyDescent="0.25">
      <c r="C5708" s="74" t="s">
        <v>16269</v>
      </c>
      <c r="D5708" s="74" t="s">
        <v>16270</v>
      </c>
      <c r="E5708" s="74" t="s">
        <v>391</v>
      </c>
      <c r="F5708" s="74">
        <v>0</v>
      </c>
      <c r="G5708" s="74"/>
      <c r="H5708" s="74"/>
      <c r="I5708" s="74" t="s">
        <v>391</v>
      </c>
      <c r="J5708" s="74"/>
      <c r="K5708" s="74"/>
      <c r="L5708" s="74"/>
      <c r="M5708" s="74"/>
      <c r="N5708" s="74" t="s">
        <v>397</v>
      </c>
      <c r="O5708" s="74" t="s">
        <v>393</v>
      </c>
      <c r="P5708" s="74"/>
      <c r="Q5708" s="74" t="s">
        <v>16271</v>
      </c>
    </row>
    <row r="5709" spans="3:17" x14ac:dyDescent="0.25">
      <c r="C5709" s="74" t="s">
        <v>16276</v>
      </c>
      <c r="D5709" s="74" t="s">
        <v>16277</v>
      </c>
      <c r="E5709" s="74" t="s">
        <v>391</v>
      </c>
      <c r="F5709" s="74">
        <v>0</v>
      </c>
      <c r="G5709" s="74"/>
      <c r="H5709" s="74"/>
      <c r="I5709" s="74" t="s">
        <v>391</v>
      </c>
      <c r="J5709" s="74"/>
      <c r="K5709" s="74"/>
      <c r="L5709" s="74"/>
      <c r="M5709" s="74"/>
      <c r="N5709" s="74" t="s">
        <v>397</v>
      </c>
      <c r="O5709" s="74" t="s">
        <v>393</v>
      </c>
      <c r="P5709" s="74" t="s">
        <v>16278</v>
      </c>
      <c r="Q5709" s="74" t="s">
        <v>16279</v>
      </c>
    </row>
    <row r="5710" spans="3:17" x14ac:dyDescent="0.25">
      <c r="C5710" s="74" t="s">
        <v>16287</v>
      </c>
      <c r="D5710" s="74" t="s">
        <v>16288</v>
      </c>
      <c r="E5710" s="74"/>
      <c r="F5710" s="74">
        <v>0</v>
      </c>
      <c r="G5710" s="74"/>
      <c r="H5710" s="74"/>
      <c r="I5710" s="74" t="s">
        <v>391</v>
      </c>
      <c r="J5710" s="74"/>
      <c r="K5710" s="74">
        <v>102.4</v>
      </c>
      <c r="L5710" s="74">
        <v>92.16</v>
      </c>
      <c r="M5710" s="74"/>
      <c r="N5710" s="74" t="s">
        <v>392</v>
      </c>
      <c r="O5710" s="74" t="s">
        <v>402</v>
      </c>
      <c r="P5710" s="74"/>
      <c r="Q5710" s="74" t="s">
        <v>16289</v>
      </c>
    </row>
    <row r="5711" spans="3:17" x14ac:dyDescent="0.25">
      <c r="C5711" s="74" t="s">
        <v>16298</v>
      </c>
      <c r="D5711" s="74" t="s">
        <v>16299</v>
      </c>
      <c r="E5711" s="74" t="s">
        <v>391</v>
      </c>
      <c r="F5711" s="74">
        <v>0</v>
      </c>
      <c r="G5711" s="74"/>
      <c r="H5711" s="74"/>
      <c r="I5711" s="74" t="s">
        <v>391</v>
      </c>
      <c r="J5711" s="74"/>
      <c r="K5711" s="74"/>
      <c r="L5711" s="74"/>
      <c r="M5711" s="74"/>
      <c r="N5711" s="74" t="s">
        <v>397</v>
      </c>
      <c r="O5711" s="74" t="s">
        <v>393</v>
      </c>
      <c r="P5711" s="74"/>
      <c r="Q5711" s="74" t="s">
        <v>16300</v>
      </c>
    </row>
    <row r="5712" spans="3:17" x14ac:dyDescent="0.25">
      <c r="C5712" s="74" t="s">
        <v>16327</v>
      </c>
      <c r="D5712" s="74" t="s">
        <v>16328</v>
      </c>
      <c r="E5712" s="74" t="s">
        <v>391</v>
      </c>
      <c r="F5712" s="74">
        <v>0</v>
      </c>
      <c r="G5712" s="74"/>
      <c r="H5712" s="74"/>
      <c r="I5712" s="74" t="s">
        <v>391</v>
      </c>
      <c r="J5712" s="74"/>
      <c r="K5712" s="74"/>
      <c r="L5712" s="74"/>
      <c r="M5712" s="74"/>
      <c r="N5712" s="74" t="s">
        <v>397</v>
      </c>
      <c r="O5712" s="74" t="s">
        <v>393</v>
      </c>
      <c r="P5712" s="74"/>
      <c r="Q5712" s="74" t="s">
        <v>16329</v>
      </c>
    </row>
    <row r="5713" spans="3:17" x14ac:dyDescent="0.25">
      <c r="C5713" s="74" t="s">
        <v>16343</v>
      </c>
      <c r="D5713" s="74" t="s">
        <v>16344</v>
      </c>
      <c r="E5713" s="74"/>
      <c r="F5713" s="74">
        <v>0</v>
      </c>
      <c r="G5713" s="74"/>
      <c r="H5713" s="74"/>
      <c r="I5713" s="74" t="s">
        <v>391</v>
      </c>
      <c r="J5713" s="74"/>
      <c r="K5713" s="74"/>
      <c r="L5713" s="74"/>
      <c r="M5713" s="74"/>
      <c r="N5713" s="74" t="s">
        <v>397</v>
      </c>
      <c r="O5713" s="74" t="s">
        <v>535</v>
      </c>
      <c r="P5713" s="74" t="s">
        <v>16345</v>
      </c>
      <c r="Q5713" s="74" t="s">
        <v>16344</v>
      </c>
    </row>
    <row r="5714" spans="3:17" x14ac:dyDescent="0.25">
      <c r="C5714" s="74" t="s">
        <v>16366</v>
      </c>
      <c r="D5714" s="74" t="s">
        <v>16367</v>
      </c>
      <c r="E5714" s="74" t="s">
        <v>391</v>
      </c>
      <c r="F5714" s="74">
        <v>0</v>
      </c>
      <c r="G5714" s="74"/>
      <c r="H5714" s="74"/>
      <c r="I5714" s="74" t="s">
        <v>391</v>
      </c>
      <c r="J5714" s="74"/>
      <c r="K5714" s="74">
        <v>102.4</v>
      </c>
      <c r="L5714" s="74">
        <v>92.16</v>
      </c>
      <c r="M5714" s="74"/>
      <c r="N5714" s="74" t="s">
        <v>392</v>
      </c>
      <c r="O5714" s="74" t="s">
        <v>393</v>
      </c>
      <c r="P5714" s="74"/>
      <c r="Q5714" s="74" t="s">
        <v>16368</v>
      </c>
    </row>
    <row r="5715" spans="3:17" x14ac:dyDescent="0.25">
      <c r="C5715" s="74" t="s">
        <v>16369</v>
      </c>
      <c r="D5715" s="74" t="s">
        <v>16370</v>
      </c>
      <c r="E5715" s="74" t="s">
        <v>391</v>
      </c>
      <c r="F5715" s="74">
        <v>0</v>
      </c>
      <c r="G5715" s="74"/>
      <c r="H5715" s="74"/>
      <c r="I5715" s="74" t="s">
        <v>391</v>
      </c>
      <c r="J5715" s="74"/>
      <c r="K5715" s="74">
        <v>102.4</v>
      </c>
      <c r="L5715" s="74">
        <v>92.16</v>
      </c>
      <c r="M5715" s="74"/>
      <c r="N5715" s="74" t="s">
        <v>392</v>
      </c>
      <c r="O5715" s="74" t="s">
        <v>393</v>
      </c>
      <c r="P5715" s="74"/>
      <c r="Q5715" s="74" t="s">
        <v>16371</v>
      </c>
    </row>
    <row r="5716" spans="3:17" x14ac:dyDescent="0.25">
      <c r="C5716" s="74" t="s">
        <v>16372</v>
      </c>
      <c r="D5716" s="74" t="s">
        <v>16373</v>
      </c>
      <c r="E5716" s="74"/>
      <c r="F5716" s="74">
        <v>0</v>
      </c>
      <c r="G5716" s="74"/>
      <c r="H5716" s="74"/>
      <c r="I5716" s="74" t="s">
        <v>391</v>
      </c>
      <c r="J5716" s="74"/>
      <c r="K5716" s="74"/>
      <c r="L5716" s="74"/>
      <c r="M5716" s="74"/>
      <c r="N5716" s="74" t="s">
        <v>397</v>
      </c>
      <c r="O5716" s="74" t="s">
        <v>535</v>
      </c>
      <c r="P5716" s="74" t="s">
        <v>16374</v>
      </c>
      <c r="Q5716" s="74" t="s">
        <v>16373</v>
      </c>
    </row>
    <row r="5717" spans="3:17" x14ac:dyDescent="0.25">
      <c r="C5717" s="74" t="s">
        <v>16375</v>
      </c>
      <c r="D5717" s="74" t="s">
        <v>16376</v>
      </c>
      <c r="E5717" s="74" t="s">
        <v>391</v>
      </c>
      <c r="F5717" s="74">
        <v>0</v>
      </c>
      <c r="G5717" s="74"/>
      <c r="H5717" s="74"/>
      <c r="I5717" s="74" t="s">
        <v>391</v>
      </c>
      <c r="J5717" s="74"/>
      <c r="K5717" s="74"/>
      <c r="L5717" s="74"/>
      <c r="M5717" s="74"/>
      <c r="N5717" s="74" t="s">
        <v>397</v>
      </c>
      <c r="O5717" s="74" t="s">
        <v>393</v>
      </c>
      <c r="P5717" s="74" t="s">
        <v>16377</v>
      </c>
      <c r="Q5717" s="74" t="s">
        <v>16378</v>
      </c>
    </row>
    <row r="5718" spans="3:17" x14ac:dyDescent="0.25">
      <c r="C5718" s="74" t="s">
        <v>16386</v>
      </c>
      <c r="D5718" s="74" t="s">
        <v>16387</v>
      </c>
      <c r="E5718" s="74" t="s">
        <v>391</v>
      </c>
      <c r="F5718" s="74">
        <v>0</v>
      </c>
      <c r="G5718" s="74"/>
      <c r="H5718" s="74"/>
      <c r="I5718" s="74" t="s">
        <v>391</v>
      </c>
      <c r="J5718" s="74"/>
      <c r="K5718" s="74">
        <v>102.4</v>
      </c>
      <c r="L5718" s="74">
        <v>92.16</v>
      </c>
      <c r="M5718" s="74"/>
      <c r="N5718" s="74" t="s">
        <v>392</v>
      </c>
      <c r="O5718" s="74" t="s">
        <v>393</v>
      </c>
      <c r="P5718" s="74" t="s">
        <v>16388</v>
      </c>
      <c r="Q5718" s="74" t="s">
        <v>16389</v>
      </c>
    </row>
    <row r="5719" spans="3:17" x14ac:dyDescent="0.25">
      <c r="C5719" s="74" t="s">
        <v>16410</v>
      </c>
      <c r="D5719" s="74" t="s">
        <v>16411</v>
      </c>
      <c r="E5719" s="74" t="s">
        <v>391</v>
      </c>
      <c r="F5719" s="74">
        <v>0</v>
      </c>
      <c r="G5719" s="74"/>
      <c r="H5719" s="74"/>
      <c r="I5719" s="74" t="s">
        <v>391</v>
      </c>
      <c r="J5719" s="74"/>
      <c r="K5719" s="74"/>
      <c r="L5719" s="74"/>
      <c r="M5719" s="74"/>
      <c r="N5719" s="74" t="s">
        <v>397</v>
      </c>
      <c r="O5719" s="74" t="s">
        <v>393</v>
      </c>
      <c r="P5719" s="74" t="s">
        <v>16412</v>
      </c>
      <c r="Q5719" s="74" t="s">
        <v>16413</v>
      </c>
    </row>
    <row r="5720" spans="3:17" x14ac:dyDescent="0.25">
      <c r="C5720" s="74" t="s">
        <v>16430</v>
      </c>
      <c r="D5720" s="74" t="s">
        <v>16387</v>
      </c>
      <c r="E5720" s="74" t="s">
        <v>391</v>
      </c>
      <c r="F5720" s="74">
        <v>0</v>
      </c>
      <c r="G5720" s="74"/>
      <c r="H5720" s="74"/>
      <c r="I5720" s="74" t="s">
        <v>391</v>
      </c>
      <c r="J5720" s="74"/>
      <c r="K5720" s="74"/>
      <c r="L5720" s="74"/>
      <c r="M5720" s="74"/>
      <c r="N5720" s="74" t="s">
        <v>397</v>
      </c>
      <c r="O5720" s="74" t="s">
        <v>393</v>
      </c>
      <c r="P5720" s="74" t="s">
        <v>16431</v>
      </c>
      <c r="Q5720" s="74" t="s">
        <v>16432</v>
      </c>
    </row>
    <row r="5721" spans="3:17" x14ac:dyDescent="0.25">
      <c r="C5721" s="74" t="s">
        <v>16439</v>
      </c>
      <c r="D5721" s="74" t="s">
        <v>16440</v>
      </c>
      <c r="E5721" s="74" t="s">
        <v>391</v>
      </c>
      <c r="F5721" s="74">
        <v>0</v>
      </c>
      <c r="G5721" s="74"/>
      <c r="H5721" s="74"/>
      <c r="I5721" s="74" t="s">
        <v>391</v>
      </c>
      <c r="J5721" s="74"/>
      <c r="K5721" s="74">
        <v>102.4</v>
      </c>
      <c r="L5721" s="74">
        <v>92.16</v>
      </c>
      <c r="M5721" s="74"/>
      <c r="N5721" s="74" t="s">
        <v>392</v>
      </c>
      <c r="O5721" s="74" t="s">
        <v>393</v>
      </c>
      <c r="P5721" s="74"/>
      <c r="Q5721" s="74" t="s">
        <v>16441</v>
      </c>
    </row>
    <row r="5722" spans="3:17" x14ac:dyDescent="0.25">
      <c r="C5722" s="74" t="s">
        <v>16450</v>
      </c>
      <c r="D5722" s="74" t="s">
        <v>16451</v>
      </c>
      <c r="E5722" s="74" t="s">
        <v>391</v>
      </c>
      <c r="F5722" s="74">
        <v>0</v>
      </c>
      <c r="G5722" s="74"/>
      <c r="H5722" s="74"/>
      <c r="I5722" s="74" t="s">
        <v>391</v>
      </c>
      <c r="J5722" s="74"/>
      <c r="K5722" s="74">
        <v>102.4</v>
      </c>
      <c r="L5722" s="74">
        <v>92.16</v>
      </c>
      <c r="M5722" s="74"/>
      <c r="N5722" s="74" t="s">
        <v>392</v>
      </c>
      <c r="O5722" s="74" t="s">
        <v>393</v>
      </c>
      <c r="P5722" s="74"/>
      <c r="Q5722" s="74" t="s">
        <v>16452</v>
      </c>
    </row>
    <row r="5723" spans="3:17" x14ac:dyDescent="0.25">
      <c r="C5723" s="74" t="s">
        <v>16464</v>
      </c>
      <c r="D5723" s="74" t="s">
        <v>16465</v>
      </c>
      <c r="E5723" s="74" t="s">
        <v>391</v>
      </c>
      <c r="F5723" s="74">
        <v>0</v>
      </c>
      <c r="G5723" s="74"/>
      <c r="H5723" s="74"/>
      <c r="I5723" s="74" t="s">
        <v>391</v>
      </c>
      <c r="J5723" s="74"/>
      <c r="K5723" s="74"/>
      <c r="L5723" s="74"/>
      <c r="M5723" s="74"/>
      <c r="N5723" s="74" t="s">
        <v>397</v>
      </c>
      <c r="O5723" s="74" t="s">
        <v>535</v>
      </c>
      <c r="P5723" s="74" t="s">
        <v>16466</v>
      </c>
      <c r="Q5723" s="74" t="s">
        <v>16467</v>
      </c>
    </row>
    <row r="5724" spans="3:17" x14ac:dyDescent="0.25">
      <c r="C5724" s="74" t="s">
        <v>16471</v>
      </c>
      <c r="D5724" s="74" t="s">
        <v>16472</v>
      </c>
      <c r="E5724" s="74" t="s">
        <v>391</v>
      </c>
      <c r="F5724" s="74">
        <v>0</v>
      </c>
      <c r="G5724" s="74"/>
      <c r="H5724" s="74"/>
      <c r="I5724" s="74" t="s">
        <v>391</v>
      </c>
      <c r="J5724" s="74"/>
      <c r="K5724" s="74"/>
      <c r="L5724" s="74"/>
      <c r="M5724" s="74"/>
      <c r="N5724" s="74" t="s">
        <v>397</v>
      </c>
      <c r="O5724" s="74" t="s">
        <v>393</v>
      </c>
      <c r="P5724" s="74" t="s">
        <v>16473</v>
      </c>
      <c r="Q5724" s="74" t="s">
        <v>16474</v>
      </c>
    </row>
    <row r="5725" spans="3:17" x14ac:dyDescent="0.25">
      <c r="C5725" s="74" t="s">
        <v>16488</v>
      </c>
      <c r="D5725" s="74" t="s">
        <v>16489</v>
      </c>
      <c r="E5725" s="74" t="s">
        <v>391</v>
      </c>
      <c r="F5725" s="74">
        <v>0</v>
      </c>
      <c r="G5725" s="74"/>
      <c r="H5725" s="74"/>
      <c r="I5725" s="74" t="s">
        <v>391</v>
      </c>
      <c r="J5725" s="74"/>
      <c r="K5725" s="74">
        <v>102.4</v>
      </c>
      <c r="L5725" s="74">
        <v>92.16</v>
      </c>
      <c r="M5725" s="74"/>
      <c r="N5725" s="74" t="s">
        <v>392</v>
      </c>
      <c r="O5725" s="74" t="s">
        <v>393</v>
      </c>
      <c r="P5725" s="74"/>
      <c r="Q5725" s="74" t="s">
        <v>16490</v>
      </c>
    </row>
    <row r="5726" spans="3:17" x14ac:dyDescent="0.25">
      <c r="C5726" s="74" t="s">
        <v>16513</v>
      </c>
      <c r="D5726" s="74" t="s">
        <v>16514</v>
      </c>
      <c r="E5726" s="74" t="s">
        <v>391</v>
      </c>
      <c r="F5726" s="74">
        <v>0</v>
      </c>
      <c r="G5726" s="74"/>
      <c r="H5726" s="74"/>
      <c r="I5726" s="74" t="s">
        <v>391</v>
      </c>
      <c r="J5726" s="74"/>
      <c r="K5726" s="74"/>
      <c r="L5726" s="74"/>
      <c r="M5726" s="74"/>
      <c r="N5726" s="74" t="s">
        <v>397</v>
      </c>
      <c r="O5726" s="74" t="s">
        <v>393</v>
      </c>
      <c r="P5726" s="74"/>
      <c r="Q5726" s="74" t="s">
        <v>16515</v>
      </c>
    </row>
    <row r="5727" spans="3:17" x14ac:dyDescent="0.25">
      <c r="C5727" s="74" t="s">
        <v>16545</v>
      </c>
      <c r="D5727" s="74" t="s">
        <v>16546</v>
      </c>
      <c r="E5727" s="74" t="s">
        <v>391</v>
      </c>
      <c r="F5727" s="74">
        <v>0</v>
      </c>
      <c r="G5727" s="74"/>
      <c r="H5727" s="74"/>
      <c r="I5727" s="74" t="s">
        <v>391</v>
      </c>
      <c r="J5727" s="74"/>
      <c r="K5727" s="74">
        <v>102.4</v>
      </c>
      <c r="L5727" s="74">
        <v>92.16</v>
      </c>
      <c r="M5727" s="74"/>
      <c r="N5727" s="74" t="s">
        <v>392</v>
      </c>
      <c r="O5727" s="74" t="s">
        <v>393</v>
      </c>
      <c r="P5727" s="74"/>
      <c r="Q5727" s="74" t="s">
        <v>16547</v>
      </c>
    </row>
    <row r="5728" spans="3:17" x14ac:dyDescent="0.25">
      <c r="C5728" s="74" t="s">
        <v>16557</v>
      </c>
      <c r="D5728" s="74" t="s">
        <v>16558</v>
      </c>
      <c r="E5728" s="74" t="s">
        <v>391</v>
      </c>
      <c r="F5728" s="74">
        <v>0</v>
      </c>
      <c r="G5728" s="74"/>
      <c r="H5728" s="74"/>
      <c r="I5728" s="74" t="s">
        <v>391</v>
      </c>
      <c r="J5728" s="74"/>
      <c r="K5728" s="74"/>
      <c r="L5728" s="74"/>
      <c r="M5728" s="74"/>
      <c r="N5728" s="74" t="s">
        <v>397</v>
      </c>
      <c r="O5728" s="74" t="s">
        <v>393</v>
      </c>
      <c r="P5728" s="74" t="s">
        <v>16559</v>
      </c>
      <c r="Q5728" s="74" t="s">
        <v>16560</v>
      </c>
    </row>
    <row r="5729" spans="3:17" x14ac:dyDescent="0.25">
      <c r="C5729" s="74" t="s">
        <v>16564</v>
      </c>
      <c r="D5729" s="74" t="s">
        <v>16565</v>
      </c>
      <c r="E5729" s="74" t="s">
        <v>391</v>
      </c>
      <c r="F5729" s="74">
        <v>0</v>
      </c>
      <c r="G5729" s="74"/>
      <c r="H5729" s="74"/>
      <c r="I5729" s="74" t="s">
        <v>391</v>
      </c>
      <c r="J5729" s="74"/>
      <c r="K5729" s="74">
        <v>102.4</v>
      </c>
      <c r="L5729" s="74">
        <v>92.16</v>
      </c>
      <c r="M5729" s="74"/>
      <c r="N5729" s="74" t="s">
        <v>392</v>
      </c>
      <c r="O5729" s="74" t="s">
        <v>393</v>
      </c>
      <c r="P5729" s="74"/>
      <c r="Q5729" s="74" t="s">
        <v>16566</v>
      </c>
    </row>
    <row r="5730" spans="3:17" x14ac:dyDescent="0.25">
      <c r="C5730" s="74" t="s">
        <v>16588</v>
      </c>
      <c r="D5730" s="74" t="s">
        <v>16589</v>
      </c>
      <c r="E5730" s="74" t="s">
        <v>391</v>
      </c>
      <c r="F5730" s="74">
        <v>0</v>
      </c>
      <c r="G5730" s="74"/>
      <c r="H5730" s="74"/>
      <c r="I5730" s="74" t="s">
        <v>391</v>
      </c>
      <c r="J5730" s="74"/>
      <c r="K5730" s="74">
        <v>102.4</v>
      </c>
      <c r="L5730" s="74">
        <v>92.16</v>
      </c>
      <c r="M5730" s="74"/>
      <c r="N5730" s="74" t="s">
        <v>392</v>
      </c>
      <c r="O5730" s="74" t="s">
        <v>393</v>
      </c>
      <c r="P5730" s="74"/>
      <c r="Q5730" s="74" t="s">
        <v>16590</v>
      </c>
    </row>
    <row r="5731" spans="3:17" x14ac:dyDescent="0.25">
      <c r="C5731" s="74" t="s">
        <v>16599</v>
      </c>
      <c r="D5731" s="74" t="s">
        <v>16600</v>
      </c>
      <c r="E5731" s="74" t="s">
        <v>391</v>
      </c>
      <c r="F5731" s="74">
        <v>0</v>
      </c>
      <c r="G5731" s="74"/>
      <c r="H5731" s="74"/>
      <c r="I5731" s="74" t="s">
        <v>391</v>
      </c>
      <c r="J5731" s="74"/>
      <c r="K5731" s="74"/>
      <c r="L5731" s="74"/>
      <c r="M5731" s="74"/>
      <c r="N5731" s="74" t="s">
        <v>397</v>
      </c>
      <c r="O5731" s="74" t="s">
        <v>393</v>
      </c>
      <c r="P5731" s="74" t="s">
        <v>16601</v>
      </c>
      <c r="Q5731" s="74" t="s">
        <v>16602</v>
      </c>
    </row>
    <row r="5732" spans="3:17" x14ac:dyDescent="0.25">
      <c r="C5732" s="74" t="s">
        <v>16610</v>
      </c>
      <c r="D5732" s="74" t="s">
        <v>16611</v>
      </c>
      <c r="E5732" s="74" t="s">
        <v>391</v>
      </c>
      <c r="F5732" s="74">
        <v>0</v>
      </c>
      <c r="G5732" s="74"/>
      <c r="H5732" s="74"/>
      <c r="I5732" s="74" t="s">
        <v>391</v>
      </c>
      <c r="J5732" s="74"/>
      <c r="K5732" s="74"/>
      <c r="L5732" s="74"/>
      <c r="M5732" s="74"/>
      <c r="N5732" s="74" t="s">
        <v>397</v>
      </c>
      <c r="O5732" s="74" t="s">
        <v>393</v>
      </c>
      <c r="P5732" s="74" t="s">
        <v>16612</v>
      </c>
      <c r="Q5732" s="74" t="s">
        <v>16613</v>
      </c>
    </row>
    <row r="5733" spans="3:17" x14ac:dyDescent="0.25">
      <c r="C5733" s="74" t="s">
        <v>16620</v>
      </c>
      <c r="D5733" s="74" t="s">
        <v>16621</v>
      </c>
      <c r="E5733" s="74" t="s">
        <v>391</v>
      </c>
      <c r="F5733" s="74">
        <v>0</v>
      </c>
      <c r="G5733" s="74"/>
      <c r="H5733" s="74"/>
      <c r="I5733" s="74" t="s">
        <v>391</v>
      </c>
      <c r="J5733" s="74"/>
      <c r="K5733" s="74"/>
      <c r="L5733" s="74"/>
      <c r="M5733" s="74"/>
      <c r="N5733" s="74" t="s">
        <v>397</v>
      </c>
      <c r="O5733" s="74" t="s">
        <v>393</v>
      </c>
      <c r="P5733" s="74" t="s">
        <v>16622</v>
      </c>
      <c r="Q5733" s="74" t="s">
        <v>16623</v>
      </c>
    </row>
    <row r="5734" spans="3:17" x14ac:dyDescent="0.25">
      <c r="C5734" s="74" t="s">
        <v>16634</v>
      </c>
      <c r="D5734" s="74" t="s">
        <v>16635</v>
      </c>
      <c r="E5734" s="74" t="s">
        <v>391</v>
      </c>
      <c r="F5734" s="74">
        <v>0</v>
      </c>
      <c r="G5734" s="74"/>
      <c r="H5734" s="74"/>
      <c r="I5734" s="74" t="s">
        <v>391</v>
      </c>
      <c r="J5734" s="74"/>
      <c r="K5734" s="74"/>
      <c r="L5734" s="74"/>
      <c r="M5734" s="74"/>
      <c r="N5734" s="74" t="s">
        <v>397</v>
      </c>
      <c r="O5734" s="74" t="s">
        <v>393</v>
      </c>
      <c r="P5734" s="74"/>
      <c r="Q5734" s="74" t="s">
        <v>16635</v>
      </c>
    </row>
    <row r="5735" spans="3:17" x14ac:dyDescent="0.25">
      <c r="C5735" s="74" t="s">
        <v>16640</v>
      </c>
      <c r="D5735" s="74" t="s">
        <v>16641</v>
      </c>
      <c r="E5735" s="74" t="s">
        <v>391</v>
      </c>
      <c r="F5735" s="74">
        <v>0</v>
      </c>
      <c r="G5735" s="74"/>
      <c r="H5735" s="74"/>
      <c r="I5735" s="74" t="s">
        <v>391</v>
      </c>
      <c r="J5735" s="74"/>
      <c r="K5735" s="74"/>
      <c r="L5735" s="74"/>
      <c r="M5735" s="74"/>
      <c r="N5735" s="74" t="s">
        <v>397</v>
      </c>
      <c r="O5735" s="74" t="s">
        <v>393</v>
      </c>
      <c r="P5735" s="74" t="s">
        <v>16642</v>
      </c>
      <c r="Q5735" s="74" t="s">
        <v>16643</v>
      </c>
    </row>
    <row r="5736" spans="3:17" x14ac:dyDescent="0.25">
      <c r="C5736" s="74" t="s">
        <v>16720</v>
      </c>
      <c r="D5736" s="74" t="s">
        <v>16721</v>
      </c>
      <c r="E5736" s="74" t="s">
        <v>391</v>
      </c>
      <c r="F5736" s="74">
        <v>0</v>
      </c>
      <c r="G5736" s="74"/>
      <c r="H5736" s="74"/>
      <c r="I5736" s="74" t="s">
        <v>391</v>
      </c>
      <c r="J5736" s="74"/>
      <c r="K5736" s="74">
        <v>102.4</v>
      </c>
      <c r="L5736" s="74">
        <v>92.16</v>
      </c>
      <c r="M5736" s="74"/>
      <c r="N5736" s="74" t="s">
        <v>392</v>
      </c>
      <c r="O5736" s="74" t="s">
        <v>393</v>
      </c>
      <c r="P5736" s="74"/>
      <c r="Q5736" s="74" t="s">
        <v>16722</v>
      </c>
    </row>
    <row r="5737" spans="3:17" x14ac:dyDescent="0.25">
      <c r="C5737" s="74" t="s">
        <v>16730</v>
      </c>
      <c r="D5737" s="74" t="s">
        <v>16731</v>
      </c>
      <c r="E5737" s="74" t="s">
        <v>391</v>
      </c>
      <c r="F5737" s="74">
        <v>0</v>
      </c>
      <c r="G5737" s="74"/>
      <c r="H5737" s="74"/>
      <c r="I5737" s="74" t="s">
        <v>391</v>
      </c>
      <c r="J5737" s="74"/>
      <c r="K5737" s="74"/>
      <c r="L5737" s="74"/>
      <c r="M5737" s="74"/>
      <c r="N5737" s="74" t="s">
        <v>397</v>
      </c>
      <c r="O5737" s="74" t="s">
        <v>393</v>
      </c>
      <c r="P5737" s="74" t="s">
        <v>16732</v>
      </c>
      <c r="Q5737" s="74" t="s">
        <v>16733</v>
      </c>
    </row>
    <row r="5738" spans="3:17" x14ac:dyDescent="0.25">
      <c r="C5738" s="74" t="s">
        <v>16749</v>
      </c>
      <c r="D5738" s="74" t="s">
        <v>16750</v>
      </c>
      <c r="E5738" s="74" t="s">
        <v>391</v>
      </c>
      <c r="F5738" s="74">
        <v>0</v>
      </c>
      <c r="G5738" s="74"/>
      <c r="H5738" s="74"/>
      <c r="I5738" s="74" t="s">
        <v>391</v>
      </c>
      <c r="J5738" s="74"/>
      <c r="K5738" s="74">
        <v>102.4</v>
      </c>
      <c r="L5738" s="74">
        <v>92.16</v>
      </c>
      <c r="M5738" s="74"/>
      <c r="N5738" s="74" t="s">
        <v>392</v>
      </c>
      <c r="O5738" s="74" t="s">
        <v>393</v>
      </c>
      <c r="P5738" s="74"/>
      <c r="Q5738" s="74" t="s">
        <v>16751</v>
      </c>
    </row>
    <row r="5739" spans="3:17" x14ac:dyDescent="0.25">
      <c r="C5739" s="74" t="s">
        <v>16758</v>
      </c>
      <c r="D5739" s="74" t="s">
        <v>16759</v>
      </c>
      <c r="E5739" s="74"/>
      <c r="F5739" s="74">
        <v>0</v>
      </c>
      <c r="G5739" s="74"/>
      <c r="H5739" s="74"/>
      <c r="I5739" s="74" t="s">
        <v>391</v>
      </c>
      <c r="J5739" s="74"/>
      <c r="K5739" s="74">
        <v>102.4</v>
      </c>
      <c r="L5739" s="74">
        <v>92.16</v>
      </c>
      <c r="M5739" s="74"/>
      <c r="N5739" s="74" t="s">
        <v>392</v>
      </c>
      <c r="O5739" s="74" t="s">
        <v>402</v>
      </c>
      <c r="P5739" s="74" t="s">
        <v>16760</v>
      </c>
      <c r="Q5739" s="74" t="s">
        <v>16761</v>
      </c>
    </row>
    <row r="5740" spans="3:17" x14ac:dyDescent="0.25">
      <c r="C5740" s="74" t="s">
        <v>16762</v>
      </c>
      <c r="D5740" s="74" t="s">
        <v>16763</v>
      </c>
      <c r="E5740" s="74"/>
      <c r="F5740" s="74">
        <v>0</v>
      </c>
      <c r="G5740" s="74"/>
      <c r="H5740" s="74"/>
      <c r="I5740" s="74" t="s">
        <v>391</v>
      </c>
      <c r="J5740" s="74"/>
      <c r="K5740" s="74">
        <v>102.4</v>
      </c>
      <c r="L5740" s="74">
        <v>92.16</v>
      </c>
      <c r="M5740" s="74"/>
      <c r="N5740" s="74" t="s">
        <v>392</v>
      </c>
      <c r="O5740" s="74" t="s">
        <v>402</v>
      </c>
      <c r="P5740" s="74" t="s">
        <v>16764</v>
      </c>
      <c r="Q5740" s="74" t="s">
        <v>16765</v>
      </c>
    </row>
    <row r="5741" spans="3:17" x14ac:dyDescent="0.25">
      <c r="C5741" s="74" t="s">
        <v>16766</v>
      </c>
      <c r="D5741" s="74" t="s">
        <v>16767</v>
      </c>
      <c r="E5741" s="74"/>
      <c r="F5741" s="74">
        <v>0</v>
      </c>
      <c r="G5741" s="74"/>
      <c r="H5741" s="74"/>
      <c r="I5741" s="74" t="s">
        <v>391</v>
      </c>
      <c r="J5741" s="74"/>
      <c r="K5741" s="74">
        <v>102.4</v>
      </c>
      <c r="L5741" s="74">
        <v>92.16</v>
      </c>
      <c r="M5741" s="74"/>
      <c r="N5741" s="74" t="s">
        <v>392</v>
      </c>
      <c r="O5741" s="74" t="s">
        <v>402</v>
      </c>
      <c r="P5741" s="74"/>
      <c r="Q5741" s="74" t="s">
        <v>16768</v>
      </c>
    </row>
    <row r="5742" spans="3:17" x14ac:dyDescent="0.25">
      <c r="C5742" s="158" t="s">
        <v>16769</v>
      </c>
      <c r="D5742" s="158" t="s">
        <v>16770</v>
      </c>
      <c r="F5742" s="158">
        <v>0</v>
      </c>
      <c r="I5742" s="158" t="s">
        <v>391</v>
      </c>
      <c r="K5742" s="158">
        <v>102.4</v>
      </c>
      <c r="L5742" s="158">
        <v>92.16</v>
      </c>
      <c r="N5742" s="158" t="s">
        <v>392</v>
      </c>
      <c r="O5742" s="158" t="s">
        <v>402</v>
      </c>
      <c r="P5742" s="158" t="s">
        <v>16771</v>
      </c>
      <c r="Q5742" s="158" t="s">
        <v>16772</v>
      </c>
    </row>
    <row r="5743" spans="3:17" x14ac:dyDescent="0.25">
      <c r="C5743" s="74" t="s">
        <v>16791</v>
      </c>
      <c r="D5743" s="74" t="s">
        <v>16792</v>
      </c>
      <c r="E5743" s="74" t="s">
        <v>391</v>
      </c>
      <c r="F5743" s="74">
        <v>0</v>
      </c>
      <c r="G5743" s="74"/>
      <c r="H5743" s="74"/>
      <c r="I5743" s="74" t="s">
        <v>391</v>
      </c>
      <c r="J5743" s="74"/>
      <c r="K5743" s="74"/>
      <c r="L5743" s="74"/>
      <c r="M5743" s="74"/>
      <c r="N5743" s="74" t="s">
        <v>397</v>
      </c>
      <c r="O5743" s="74" t="s">
        <v>393</v>
      </c>
      <c r="P5743" s="74" t="s">
        <v>16793</v>
      </c>
      <c r="Q5743" s="74" t="s">
        <v>16794</v>
      </c>
    </row>
    <row r="5744" spans="3:17" x14ac:dyDescent="0.25">
      <c r="C5744" s="74" t="s">
        <v>16840</v>
      </c>
      <c r="D5744" s="74" t="s">
        <v>16841</v>
      </c>
      <c r="E5744" s="74" t="s">
        <v>391</v>
      </c>
      <c r="F5744" s="74">
        <v>0</v>
      </c>
      <c r="G5744" s="74"/>
      <c r="H5744" s="74"/>
      <c r="I5744" s="74" t="s">
        <v>391</v>
      </c>
      <c r="J5744" s="74"/>
      <c r="K5744" s="74"/>
      <c r="L5744" s="74"/>
      <c r="M5744" s="74"/>
      <c r="N5744" s="74" t="s">
        <v>397</v>
      </c>
      <c r="O5744" s="74" t="s">
        <v>393</v>
      </c>
      <c r="P5744" s="74" t="s">
        <v>16842</v>
      </c>
      <c r="Q5744" s="74" t="s">
        <v>16843</v>
      </c>
    </row>
    <row r="5745" spans="3:17" x14ac:dyDescent="0.25">
      <c r="C5745" s="74" t="s">
        <v>16850</v>
      </c>
      <c r="D5745" s="74" t="s">
        <v>16851</v>
      </c>
      <c r="E5745" s="74" t="s">
        <v>391</v>
      </c>
      <c r="F5745" s="74">
        <v>0</v>
      </c>
      <c r="G5745" s="74"/>
      <c r="H5745" s="74"/>
      <c r="I5745" s="74" t="s">
        <v>391</v>
      </c>
      <c r="J5745" s="74"/>
      <c r="K5745" s="74"/>
      <c r="L5745" s="74"/>
      <c r="M5745" s="74"/>
      <c r="N5745" s="74" t="s">
        <v>397</v>
      </c>
      <c r="O5745" s="74" t="s">
        <v>393</v>
      </c>
      <c r="P5745" s="74" t="s">
        <v>16852</v>
      </c>
      <c r="Q5745" s="74" t="s">
        <v>16853</v>
      </c>
    </row>
    <row r="5746" spans="3:17" x14ac:dyDescent="0.25">
      <c r="C5746" s="74" t="s">
        <v>16854</v>
      </c>
      <c r="D5746" s="74" t="s">
        <v>16855</v>
      </c>
      <c r="E5746" s="74" t="s">
        <v>391</v>
      </c>
      <c r="F5746" s="74">
        <v>0</v>
      </c>
      <c r="G5746" s="74"/>
      <c r="H5746" s="74"/>
      <c r="I5746" s="74" t="s">
        <v>391</v>
      </c>
      <c r="J5746" s="74"/>
      <c r="K5746" s="74">
        <v>102.4</v>
      </c>
      <c r="L5746" s="74">
        <v>92.16</v>
      </c>
      <c r="M5746" s="74"/>
      <c r="N5746" s="74" t="s">
        <v>392</v>
      </c>
      <c r="O5746" s="74" t="s">
        <v>393</v>
      </c>
      <c r="P5746" s="74"/>
      <c r="Q5746" s="74" t="s">
        <v>16856</v>
      </c>
    </row>
    <row r="5747" spans="3:17" x14ac:dyDescent="0.25">
      <c r="C5747" s="74" t="s">
        <v>16864</v>
      </c>
      <c r="D5747" s="74" t="s">
        <v>16865</v>
      </c>
      <c r="E5747" s="74" t="s">
        <v>391</v>
      </c>
      <c r="F5747" s="74">
        <v>0</v>
      </c>
      <c r="G5747" s="74"/>
      <c r="H5747" s="74"/>
      <c r="I5747" s="74" t="s">
        <v>391</v>
      </c>
      <c r="J5747" s="74"/>
      <c r="K5747" s="74"/>
      <c r="L5747" s="74"/>
      <c r="M5747" s="74"/>
      <c r="N5747" s="74" t="s">
        <v>397</v>
      </c>
      <c r="O5747" s="74" t="s">
        <v>393</v>
      </c>
      <c r="P5747" s="74" t="s">
        <v>16866</v>
      </c>
      <c r="Q5747" s="74" t="s">
        <v>16867</v>
      </c>
    </row>
    <row r="5748" spans="3:17" x14ac:dyDescent="0.25">
      <c r="C5748" s="74" t="s">
        <v>16885</v>
      </c>
      <c r="D5748" s="74" t="s">
        <v>16886</v>
      </c>
      <c r="E5748" s="74" t="s">
        <v>391</v>
      </c>
      <c r="F5748" s="74">
        <v>0</v>
      </c>
      <c r="G5748" s="74"/>
      <c r="H5748" s="74"/>
      <c r="I5748" s="74" t="s">
        <v>391</v>
      </c>
      <c r="J5748" s="74"/>
      <c r="K5748" s="74">
        <v>102.4</v>
      </c>
      <c r="L5748" s="74">
        <v>92.16</v>
      </c>
      <c r="M5748" s="74"/>
      <c r="N5748" s="74" t="s">
        <v>392</v>
      </c>
      <c r="O5748" s="74" t="s">
        <v>393</v>
      </c>
      <c r="P5748" s="74"/>
      <c r="Q5748" s="74" t="s">
        <v>16887</v>
      </c>
    </row>
    <row r="5749" spans="3:17" x14ac:dyDescent="0.25">
      <c r="C5749" s="74" t="s">
        <v>16888</v>
      </c>
      <c r="D5749" s="74" t="s">
        <v>16889</v>
      </c>
      <c r="E5749" s="74" t="s">
        <v>391</v>
      </c>
      <c r="F5749" s="74">
        <v>0</v>
      </c>
      <c r="G5749" s="74"/>
      <c r="H5749" s="74"/>
      <c r="I5749" s="74" t="s">
        <v>391</v>
      </c>
      <c r="J5749" s="74"/>
      <c r="K5749" s="74"/>
      <c r="L5749" s="74"/>
      <c r="M5749" s="74"/>
      <c r="N5749" s="74" t="s">
        <v>397</v>
      </c>
      <c r="O5749" s="74" t="s">
        <v>402</v>
      </c>
      <c r="P5749" s="74" t="s">
        <v>16890</v>
      </c>
      <c r="Q5749" s="74" t="s">
        <v>16891</v>
      </c>
    </row>
    <row r="5750" spans="3:17" x14ac:dyDescent="0.25">
      <c r="C5750" s="74" t="s">
        <v>16892</v>
      </c>
      <c r="D5750" s="74" t="s">
        <v>16893</v>
      </c>
      <c r="E5750" s="74" t="s">
        <v>391</v>
      </c>
      <c r="F5750" s="74">
        <v>0</v>
      </c>
      <c r="G5750" s="74"/>
      <c r="H5750" s="74"/>
      <c r="I5750" s="74" t="s">
        <v>391</v>
      </c>
      <c r="J5750" s="74"/>
      <c r="K5750" s="74"/>
      <c r="L5750" s="74"/>
      <c r="M5750" s="74"/>
      <c r="N5750" s="74" t="s">
        <v>397</v>
      </c>
      <c r="O5750" s="74" t="s">
        <v>393</v>
      </c>
      <c r="P5750" s="74" t="s">
        <v>16894</v>
      </c>
      <c r="Q5750" s="74" t="s">
        <v>16895</v>
      </c>
    </row>
    <row r="5751" spans="3:17" x14ac:dyDescent="0.25">
      <c r="C5751" s="74" t="s">
        <v>16896</v>
      </c>
      <c r="D5751" s="74" t="s">
        <v>16897</v>
      </c>
      <c r="E5751" s="74" t="s">
        <v>391</v>
      </c>
      <c r="F5751" s="74">
        <v>0</v>
      </c>
      <c r="G5751" s="74"/>
      <c r="H5751" s="74"/>
      <c r="I5751" s="74" t="s">
        <v>391</v>
      </c>
      <c r="J5751" s="74"/>
      <c r="K5751" s="74"/>
      <c r="L5751" s="74"/>
      <c r="M5751" s="74"/>
      <c r="N5751" s="74" t="s">
        <v>397</v>
      </c>
      <c r="O5751" s="74" t="s">
        <v>393</v>
      </c>
      <c r="P5751" s="74" t="s">
        <v>16898</v>
      </c>
      <c r="Q5751" s="74" t="s">
        <v>16899</v>
      </c>
    </row>
    <row r="5752" spans="3:17" x14ac:dyDescent="0.25">
      <c r="C5752" s="74" t="s">
        <v>16904</v>
      </c>
      <c r="D5752" s="74" t="s">
        <v>16905</v>
      </c>
      <c r="E5752" s="74" t="s">
        <v>391</v>
      </c>
      <c r="F5752" s="74">
        <v>0</v>
      </c>
      <c r="G5752" s="74"/>
      <c r="H5752" s="74"/>
      <c r="I5752" s="74" t="s">
        <v>391</v>
      </c>
      <c r="J5752" s="74"/>
      <c r="K5752" s="74"/>
      <c r="L5752" s="74"/>
      <c r="M5752" s="74"/>
      <c r="N5752" s="74" t="s">
        <v>397</v>
      </c>
      <c r="O5752" s="74" t="s">
        <v>393</v>
      </c>
      <c r="P5752" s="74" t="s">
        <v>16906</v>
      </c>
      <c r="Q5752" s="74" t="s">
        <v>16907</v>
      </c>
    </row>
    <row r="5753" spans="3:17" x14ac:dyDescent="0.25">
      <c r="C5753" s="74" t="s">
        <v>16912</v>
      </c>
      <c r="D5753" s="74" t="s">
        <v>16913</v>
      </c>
      <c r="E5753" s="74" t="s">
        <v>391</v>
      </c>
      <c r="F5753" s="74">
        <v>0</v>
      </c>
      <c r="G5753" s="74"/>
      <c r="H5753" s="74"/>
      <c r="I5753" s="74" t="s">
        <v>391</v>
      </c>
      <c r="J5753" s="74"/>
      <c r="K5753" s="74"/>
      <c r="L5753" s="74"/>
      <c r="M5753" s="74"/>
      <c r="N5753" s="74" t="s">
        <v>397</v>
      </c>
      <c r="O5753" s="74" t="s">
        <v>393</v>
      </c>
      <c r="P5753" s="74" t="s">
        <v>16914</v>
      </c>
      <c r="Q5753" s="74" t="s">
        <v>16915</v>
      </c>
    </row>
    <row r="5754" spans="3:17" x14ac:dyDescent="0.25">
      <c r="C5754" s="74" t="s">
        <v>16919</v>
      </c>
      <c r="D5754" s="74" t="s">
        <v>16920</v>
      </c>
      <c r="E5754" s="74" t="s">
        <v>391</v>
      </c>
      <c r="F5754" s="74">
        <v>0</v>
      </c>
      <c r="G5754" s="74"/>
      <c r="H5754" s="74"/>
      <c r="I5754" s="74" t="s">
        <v>391</v>
      </c>
      <c r="J5754" s="74"/>
      <c r="K5754" s="74"/>
      <c r="L5754" s="74"/>
      <c r="M5754" s="74"/>
      <c r="N5754" s="74" t="s">
        <v>397</v>
      </c>
      <c r="O5754" s="74" t="s">
        <v>393</v>
      </c>
      <c r="P5754" s="74" t="s">
        <v>16921</v>
      </c>
      <c r="Q5754" s="74" t="s">
        <v>16922</v>
      </c>
    </row>
    <row r="5755" spans="3:17" x14ac:dyDescent="0.25">
      <c r="C5755" s="74" t="s">
        <v>16940</v>
      </c>
      <c r="D5755" s="74" t="s">
        <v>16941</v>
      </c>
      <c r="E5755" s="74" t="s">
        <v>391</v>
      </c>
      <c r="F5755" s="74">
        <v>0</v>
      </c>
      <c r="G5755" s="74"/>
      <c r="H5755" s="74"/>
      <c r="I5755" s="74" t="s">
        <v>391</v>
      </c>
      <c r="J5755" s="74"/>
      <c r="K5755" s="74"/>
      <c r="L5755" s="74"/>
      <c r="M5755" s="74"/>
      <c r="N5755" s="74" t="s">
        <v>397</v>
      </c>
      <c r="O5755" s="74" t="s">
        <v>393</v>
      </c>
      <c r="P5755" s="74" t="s">
        <v>16942</v>
      </c>
      <c r="Q5755" s="74" t="s">
        <v>16943</v>
      </c>
    </row>
    <row r="5756" spans="3:17" x14ac:dyDescent="0.25">
      <c r="C5756" s="74" t="s">
        <v>16948</v>
      </c>
      <c r="D5756" s="74" t="s">
        <v>16949</v>
      </c>
      <c r="E5756" s="74" t="s">
        <v>391</v>
      </c>
      <c r="F5756" s="74">
        <v>0</v>
      </c>
      <c r="G5756" s="74"/>
      <c r="H5756" s="74"/>
      <c r="I5756" s="74" t="s">
        <v>391</v>
      </c>
      <c r="J5756" s="74"/>
      <c r="K5756" s="74">
        <v>102.4</v>
      </c>
      <c r="L5756" s="74">
        <v>92.16</v>
      </c>
      <c r="M5756" s="74"/>
      <c r="N5756" s="74" t="s">
        <v>392</v>
      </c>
      <c r="O5756" s="74" t="s">
        <v>393</v>
      </c>
      <c r="P5756" s="74"/>
      <c r="Q5756" s="74" t="s">
        <v>16950</v>
      </c>
    </row>
    <row r="5757" spans="3:17" x14ac:dyDescent="0.25">
      <c r="C5757" s="74" t="s">
        <v>17003</v>
      </c>
      <c r="D5757" s="74" t="s">
        <v>17004</v>
      </c>
      <c r="E5757" s="74" t="s">
        <v>391</v>
      </c>
      <c r="F5757" s="74">
        <v>0</v>
      </c>
      <c r="G5757" s="74"/>
      <c r="H5757" s="74"/>
      <c r="I5757" s="74" t="s">
        <v>391</v>
      </c>
      <c r="J5757" s="74"/>
      <c r="K5757" s="74"/>
      <c r="L5757" s="74"/>
      <c r="M5757" s="74"/>
      <c r="N5757" s="74" t="s">
        <v>397</v>
      </c>
      <c r="O5757" s="74" t="s">
        <v>393</v>
      </c>
      <c r="P5757" s="74"/>
      <c r="Q5757" s="74" t="s">
        <v>17005</v>
      </c>
    </row>
    <row r="5758" spans="3:17" x14ac:dyDescent="0.25">
      <c r="C5758" s="74" t="s">
        <v>17017</v>
      </c>
      <c r="D5758" s="74" t="s">
        <v>17018</v>
      </c>
      <c r="E5758" s="74" t="s">
        <v>391</v>
      </c>
      <c r="F5758" s="74">
        <v>0</v>
      </c>
      <c r="G5758" s="74"/>
      <c r="H5758" s="74"/>
      <c r="I5758" s="74" t="s">
        <v>391</v>
      </c>
      <c r="J5758" s="74"/>
      <c r="K5758" s="74"/>
      <c r="L5758" s="74"/>
      <c r="M5758" s="74"/>
      <c r="N5758" s="74" t="s">
        <v>397</v>
      </c>
      <c r="O5758" s="74" t="s">
        <v>393</v>
      </c>
      <c r="P5758" s="74" t="s">
        <v>17019</v>
      </c>
      <c r="Q5758" s="74" t="s">
        <v>17020</v>
      </c>
    </row>
    <row r="5759" spans="3:17" x14ac:dyDescent="0.25">
      <c r="C5759" s="74" t="s">
        <v>17032</v>
      </c>
      <c r="D5759" s="74" t="s">
        <v>16376</v>
      </c>
      <c r="E5759" s="74" t="s">
        <v>391</v>
      </c>
      <c r="F5759" s="74">
        <v>0</v>
      </c>
      <c r="G5759" s="74"/>
      <c r="H5759" s="74"/>
      <c r="I5759" s="74" t="s">
        <v>391</v>
      </c>
      <c r="J5759" s="74"/>
      <c r="K5759" s="74"/>
      <c r="L5759" s="74"/>
      <c r="M5759" s="74"/>
      <c r="N5759" s="74" t="s">
        <v>397</v>
      </c>
      <c r="O5759" s="74" t="s">
        <v>393</v>
      </c>
      <c r="P5759" s="74" t="s">
        <v>17033</v>
      </c>
      <c r="Q5759" s="74" t="s">
        <v>17034</v>
      </c>
    </row>
    <row r="5760" spans="3:17" x14ac:dyDescent="0.25">
      <c r="C5760" s="74" t="s">
        <v>17039</v>
      </c>
      <c r="D5760" s="74" t="s">
        <v>17040</v>
      </c>
      <c r="E5760" s="74" t="s">
        <v>391</v>
      </c>
      <c r="F5760" s="74">
        <v>0</v>
      </c>
      <c r="G5760" s="74"/>
      <c r="H5760" s="74"/>
      <c r="I5760" s="74" t="s">
        <v>391</v>
      </c>
      <c r="J5760" s="74"/>
      <c r="K5760" s="74"/>
      <c r="L5760" s="74"/>
      <c r="M5760" s="74"/>
      <c r="N5760" s="74" t="s">
        <v>397</v>
      </c>
      <c r="O5760" s="74" t="s">
        <v>393</v>
      </c>
      <c r="P5760" s="74" t="s">
        <v>17041</v>
      </c>
      <c r="Q5760" s="74" t="s">
        <v>17042</v>
      </c>
    </row>
    <row r="5761" spans="3:17" x14ac:dyDescent="0.25">
      <c r="C5761" s="74" t="s">
        <v>17050</v>
      </c>
      <c r="D5761" s="74" t="s">
        <v>17051</v>
      </c>
      <c r="E5761" s="74" t="s">
        <v>391</v>
      </c>
      <c r="F5761" s="74">
        <v>0</v>
      </c>
      <c r="G5761" s="74"/>
      <c r="H5761" s="74"/>
      <c r="I5761" s="74" t="s">
        <v>391</v>
      </c>
      <c r="J5761" s="74"/>
      <c r="K5761" s="74"/>
      <c r="L5761" s="74"/>
      <c r="M5761" s="74"/>
      <c r="N5761" s="74" t="s">
        <v>397</v>
      </c>
      <c r="O5761" s="74" t="s">
        <v>393</v>
      </c>
      <c r="P5761" s="74"/>
      <c r="Q5761" s="74" t="s">
        <v>17052</v>
      </c>
    </row>
    <row r="5762" spans="3:17" x14ac:dyDescent="0.25">
      <c r="C5762" s="74" t="s">
        <v>17053</v>
      </c>
      <c r="D5762" s="74" t="s">
        <v>17051</v>
      </c>
      <c r="E5762" s="74" t="s">
        <v>391</v>
      </c>
      <c r="F5762" s="74">
        <v>0</v>
      </c>
      <c r="G5762" s="74"/>
      <c r="H5762" s="74"/>
      <c r="I5762" s="74" t="s">
        <v>391</v>
      </c>
      <c r="J5762" s="74"/>
      <c r="K5762" s="74"/>
      <c r="L5762" s="74"/>
      <c r="M5762" s="74"/>
      <c r="N5762" s="74" t="s">
        <v>397</v>
      </c>
      <c r="O5762" s="74" t="s">
        <v>393</v>
      </c>
      <c r="P5762" s="74"/>
      <c r="Q5762" s="74" t="s">
        <v>17054</v>
      </c>
    </row>
    <row r="5763" spans="3:17" x14ac:dyDescent="0.25">
      <c r="C5763" s="74" t="s">
        <v>17055</v>
      </c>
      <c r="D5763" s="74" t="s">
        <v>17056</v>
      </c>
      <c r="E5763" s="74" t="s">
        <v>391</v>
      </c>
      <c r="F5763" s="74">
        <v>0</v>
      </c>
      <c r="G5763" s="74"/>
      <c r="H5763" s="74"/>
      <c r="I5763" s="74" t="s">
        <v>391</v>
      </c>
      <c r="J5763" s="74"/>
      <c r="K5763" s="74"/>
      <c r="L5763" s="74"/>
      <c r="M5763" s="74"/>
      <c r="N5763" s="74" t="s">
        <v>397</v>
      </c>
      <c r="O5763" s="74" t="s">
        <v>393</v>
      </c>
      <c r="P5763" s="74" t="s">
        <v>17057</v>
      </c>
      <c r="Q5763" s="74" t="s">
        <v>17058</v>
      </c>
    </row>
    <row r="5764" spans="3:17" x14ac:dyDescent="0.25">
      <c r="C5764" s="74" t="s">
        <v>17063</v>
      </c>
      <c r="D5764" s="74" t="s">
        <v>17064</v>
      </c>
      <c r="E5764" s="74"/>
      <c r="F5764" s="74">
        <v>0</v>
      </c>
      <c r="G5764" s="74"/>
      <c r="H5764" s="74"/>
      <c r="I5764" s="74" t="s">
        <v>391</v>
      </c>
      <c r="J5764" s="74"/>
      <c r="K5764" s="74">
        <v>102.4</v>
      </c>
      <c r="L5764" s="74">
        <v>92.16</v>
      </c>
      <c r="M5764" s="74"/>
      <c r="N5764" s="74" t="s">
        <v>392</v>
      </c>
      <c r="O5764" s="74" t="s">
        <v>402</v>
      </c>
      <c r="P5764" s="74"/>
      <c r="Q5764" s="74" t="s">
        <v>17065</v>
      </c>
    </row>
    <row r="5765" spans="3:17" x14ac:dyDescent="0.25">
      <c r="C5765" s="74" t="s">
        <v>17179</v>
      </c>
      <c r="D5765" s="74" t="s">
        <v>17180</v>
      </c>
      <c r="E5765" s="74" t="s">
        <v>391</v>
      </c>
      <c r="F5765" s="74">
        <v>0</v>
      </c>
      <c r="G5765" s="74"/>
      <c r="H5765" s="74"/>
      <c r="I5765" s="74" t="s">
        <v>391</v>
      </c>
      <c r="J5765" s="74"/>
      <c r="K5765" s="74"/>
      <c r="L5765" s="74"/>
      <c r="M5765" s="74"/>
      <c r="N5765" s="74" t="s">
        <v>397</v>
      </c>
      <c r="O5765" s="74" t="s">
        <v>393</v>
      </c>
      <c r="P5765" s="74"/>
      <c r="Q5765" s="74" t="s">
        <v>17181</v>
      </c>
    </row>
    <row r="5766" spans="3:17" x14ac:dyDescent="0.25">
      <c r="C5766" s="74" t="s">
        <v>17182</v>
      </c>
      <c r="D5766" s="74" t="s">
        <v>17183</v>
      </c>
      <c r="E5766" s="74" t="s">
        <v>391</v>
      </c>
      <c r="F5766" s="74">
        <v>0</v>
      </c>
      <c r="G5766" s="74"/>
      <c r="H5766" s="74"/>
      <c r="I5766" s="74" t="s">
        <v>391</v>
      </c>
      <c r="J5766" s="74"/>
      <c r="K5766" s="74"/>
      <c r="L5766" s="74"/>
      <c r="M5766" s="74"/>
      <c r="N5766" s="74" t="s">
        <v>397</v>
      </c>
      <c r="O5766" s="74" t="s">
        <v>402</v>
      </c>
      <c r="P5766" s="74" t="s">
        <v>17184</v>
      </c>
      <c r="Q5766" s="74" t="s">
        <v>17185</v>
      </c>
    </row>
    <row r="5767" spans="3:17" x14ac:dyDescent="0.25">
      <c r="C5767" s="74" t="s">
        <v>17201</v>
      </c>
      <c r="D5767" s="74" t="s">
        <v>17202</v>
      </c>
      <c r="E5767" s="74" t="s">
        <v>391</v>
      </c>
      <c r="F5767" s="74">
        <v>0</v>
      </c>
      <c r="G5767" s="74"/>
      <c r="H5767" s="74"/>
      <c r="I5767" s="74" t="s">
        <v>391</v>
      </c>
      <c r="J5767" s="74"/>
      <c r="K5767" s="74"/>
      <c r="L5767" s="74"/>
      <c r="M5767" s="74"/>
      <c r="N5767" s="74" t="s">
        <v>397</v>
      </c>
      <c r="O5767" s="74" t="s">
        <v>393</v>
      </c>
      <c r="P5767" s="74" t="s">
        <v>17203</v>
      </c>
      <c r="Q5767" s="74" t="s">
        <v>17204</v>
      </c>
    </row>
    <row r="5768" spans="3:17" x14ac:dyDescent="0.25">
      <c r="C5768" s="74" t="s">
        <v>17209</v>
      </c>
      <c r="D5768" s="74" t="s">
        <v>17210</v>
      </c>
      <c r="E5768" s="74" t="s">
        <v>391</v>
      </c>
      <c r="F5768" s="74">
        <v>0</v>
      </c>
      <c r="G5768" s="74"/>
      <c r="H5768" s="74"/>
      <c r="I5768" s="74" t="s">
        <v>391</v>
      </c>
      <c r="J5768" s="74"/>
      <c r="K5768" s="74"/>
      <c r="L5768" s="74"/>
      <c r="M5768" s="74"/>
      <c r="N5768" s="74" t="s">
        <v>397</v>
      </c>
      <c r="O5768" s="74" t="s">
        <v>393</v>
      </c>
      <c r="P5768" s="74"/>
      <c r="Q5768" s="74" t="s">
        <v>17211</v>
      </c>
    </row>
    <row r="5769" spans="3:17" x14ac:dyDescent="0.25">
      <c r="C5769" s="74" t="s">
        <v>17212</v>
      </c>
      <c r="D5769" s="74" t="s">
        <v>17213</v>
      </c>
      <c r="E5769" s="74" t="s">
        <v>391</v>
      </c>
      <c r="F5769" s="74">
        <v>0</v>
      </c>
      <c r="G5769" s="74"/>
      <c r="H5769" s="74"/>
      <c r="I5769" s="74" t="s">
        <v>391</v>
      </c>
      <c r="J5769" s="74"/>
      <c r="K5769" s="74"/>
      <c r="L5769" s="74"/>
      <c r="M5769" s="74"/>
      <c r="N5769" s="74" t="s">
        <v>397</v>
      </c>
      <c r="O5769" s="74" t="s">
        <v>393</v>
      </c>
      <c r="P5769" s="74" t="s">
        <v>17214</v>
      </c>
      <c r="Q5769" s="74" t="s">
        <v>17215</v>
      </c>
    </row>
    <row r="5770" spans="3:17" x14ac:dyDescent="0.25">
      <c r="C5770" s="74" t="s">
        <v>17216</v>
      </c>
      <c r="D5770" s="74" t="s">
        <v>17217</v>
      </c>
      <c r="E5770" s="74" t="s">
        <v>391</v>
      </c>
      <c r="F5770" s="74">
        <v>0</v>
      </c>
      <c r="G5770" s="74"/>
      <c r="H5770" s="74"/>
      <c r="I5770" s="74" t="s">
        <v>391</v>
      </c>
      <c r="J5770" s="74"/>
      <c r="K5770" s="74"/>
      <c r="L5770" s="74"/>
      <c r="M5770" s="74"/>
      <c r="N5770" s="74" t="s">
        <v>397</v>
      </c>
      <c r="O5770" s="74" t="s">
        <v>393</v>
      </c>
      <c r="P5770" s="74" t="s">
        <v>17218</v>
      </c>
      <c r="Q5770" s="74" t="s">
        <v>17219</v>
      </c>
    </row>
    <row r="5771" spans="3:17" x14ac:dyDescent="0.25">
      <c r="C5771" s="74" t="s">
        <v>17243</v>
      </c>
      <c r="D5771" s="74" t="s">
        <v>17244</v>
      </c>
      <c r="E5771" s="74" t="s">
        <v>391</v>
      </c>
      <c r="F5771" s="74">
        <v>0</v>
      </c>
      <c r="G5771" s="74"/>
      <c r="H5771" s="74"/>
      <c r="I5771" s="74" t="s">
        <v>391</v>
      </c>
      <c r="J5771" s="74"/>
      <c r="K5771" s="74">
        <v>102.4</v>
      </c>
      <c r="L5771" s="74">
        <v>92.16</v>
      </c>
      <c r="M5771" s="74"/>
      <c r="N5771" s="74" t="s">
        <v>392</v>
      </c>
      <c r="O5771" s="74" t="s">
        <v>393</v>
      </c>
      <c r="P5771" s="74"/>
      <c r="Q5771" s="74" t="s">
        <v>17245</v>
      </c>
    </row>
    <row r="5772" spans="3:17" x14ac:dyDescent="0.25">
      <c r="C5772" s="74" t="s">
        <v>17280</v>
      </c>
      <c r="D5772" s="74" t="s">
        <v>17281</v>
      </c>
      <c r="E5772" s="74" t="s">
        <v>391</v>
      </c>
      <c r="F5772" s="74">
        <v>0</v>
      </c>
      <c r="G5772" s="74"/>
      <c r="H5772" s="74"/>
      <c r="I5772" s="74" t="s">
        <v>391</v>
      </c>
      <c r="J5772" s="74"/>
      <c r="K5772" s="74"/>
      <c r="L5772" s="74"/>
      <c r="M5772" s="74"/>
      <c r="N5772" s="74" t="s">
        <v>397</v>
      </c>
      <c r="O5772" s="74" t="s">
        <v>393</v>
      </c>
      <c r="P5772" s="74" t="s">
        <v>17282</v>
      </c>
      <c r="Q5772" s="74" t="s">
        <v>17283</v>
      </c>
    </row>
    <row r="5773" spans="3:17" x14ac:dyDescent="0.25">
      <c r="C5773" s="158" t="s">
        <v>17291</v>
      </c>
      <c r="D5773" s="158" t="s">
        <v>17292</v>
      </c>
      <c r="E5773" s="158" t="s">
        <v>391</v>
      </c>
      <c r="F5773" s="158">
        <v>0</v>
      </c>
      <c r="I5773" s="158" t="s">
        <v>391</v>
      </c>
      <c r="N5773" s="158" t="s">
        <v>397</v>
      </c>
      <c r="O5773" s="158" t="s">
        <v>393</v>
      </c>
      <c r="P5773" s="158" t="s">
        <v>17293</v>
      </c>
      <c r="Q5773" s="158" t="s">
        <v>17294</v>
      </c>
    </row>
    <row r="5774" spans="3:17" x14ac:dyDescent="0.25">
      <c r="C5774" s="74" t="s">
        <v>17299</v>
      </c>
      <c r="D5774" s="74" t="s">
        <v>17300</v>
      </c>
      <c r="E5774" s="74" t="s">
        <v>391</v>
      </c>
      <c r="F5774" s="74">
        <v>0</v>
      </c>
      <c r="G5774" s="74"/>
      <c r="H5774" s="74"/>
      <c r="I5774" s="74" t="s">
        <v>391</v>
      </c>
      <c r="J5774" s="74"/>
      <c r="K5774" s="74">
        <v>102.4</v>
      </c>
      <c r="L5774" s="74">
        <v>92.16</v>
      </c>
      <c r="M5774" s="74"/>
      <c r="N5774" s="74" t="s">
        <v>392</v>
      </c>
      <c r="O5774" s="74" t="s">
        <v>393</v>
      </c>
      <c r="P5774" s="74"/>
      <c r="Q5774" s="74" t="s">
        <v>17301</v>
      </c>
    </row>
    <row r="5775" spans="3:17" x14ac:dyDescent="0.25">
      <c r="C5775" s="74" t="s">
        <v>17316</v>
      </c>
      <c r="D5775" s="74" t="s">
        <v>17317</v>
      </c>
      <c r="E5775" s="74" t="s">
        <v>391</v>
      </c>
      <c r="F5775" s="74">
        <v>0</v>
      </c>
      <c r="G5775" s="74"/>
      <c r="H5775" s="74"/>
      <c r="I5775" s="74" t="s">
        <v>391</v>
      </c>
      <c r="J5775" s="74"/>
      <c r="K5775" s="74"/>
      <c r="L5775" s="74"/>
      <c r="M5775" s="74"/>
      <c r="N5775" s="74" t="s">
        <v>397</v>
      </c>
      <c r="O5775" s="74" t="s">
        <v>393</v>
      </c>
      <c r="P5775" s="74" t="s">
        <v>17318</v>
      </c>
      <c r="Q5775" s="74" t="s">
        <v>17319</v>
      </c>
    </row>
    <row r="5776" spans="3:17" x14ac:dyDescent="0.25">
      <c r="C5776" s="74" t="s">
        <v>17354</v>
      </c>
      <c r="D5776" s="74" t="s">
        <v>17355</v>
      </c>
      <c r="E5776" s="74" t="s">
        <v>391</v>
      </c>
      <c r="F5776" s="74">
        <v>0</v>
      </c>
      <c r="G5776" s="74"/>
      <c r="H5776" s="74"/>
      <c r="I5776" s="74" t="s">
        <v>391</v>
      </c>
      <c r="J5776" s="74"/>
      <c r="K5776" s="74"/>
      <c r="L5776" s="74"/>
      <c r="M5776" s="74"/>
      <c r="N5776" s="74" t="s">
        <v>397</v>
      </c>
      <c r="O5776" s="74" t="s">
        <v>393</v>
      </c>
      <c r="P5776" s="74" t="s">
        <v>17356</v>
      </c>
      <c r="Q5776" s="74" t="s">
        <v>17357</v>
      </c>
    </row>
    <row r="5777" spans="3:17" x14ac:dyDescent="0.25">
      <c r="C5777" s="74" t="s">
        <v>17362</v>
      </c>
      <c r="D5777" s="74" t="s">
        <v>17363</v>
      </c>
      <c r="E5777" s="74" t="s">
        <v>391</v>
      </c>
      <c r="F5777" s="74">
        <v>0</v>
      </c>
      <c r="G5777" s="74"/>
      <c r="H5777" s="74"/>
      <c r="I5777" s="74" t="s">
        <v>391</v>
      </c>
      <c r="J5777" s="74"/>
      <c r="K5777" s="74"/>
      <c r="L5777" s="74"/>
      <c r="M5777" s="74"/>
      <c r="N5777" s="74" t="s">
        <v>397</v>
      </c>
      <c r="O5777" s="74" t="s">
        <v>393</v>
      </c>
      <c r="P5777" s="74" t="s">
        <v>17364</v>
      </c>
      <c r="Q5777" s="74" t="s">
        <v>17365</v>
      </c>
    </row>
    <row r="5778" spans="3:17" x14ac:dyDescent="0.25">
      <c r="C5778" s="74" t="s">
        <v>17377</v>
      </c>
      <c r="D5778" s="74" t="s">
        <v>17378</v>
      </c>
      <c r="E5778" s="74" t="s">
        <v>391</v>
      </c>
      <c r="F5778" s="74">
        <v>0</v>
      </c>
      <c r="G5778" s="74"/>
      <c r="H5778" s="74"/>
      <c r="I5778" s="74" t="s">
        <v>391</v>
      </c>
      <c r="J5778" s="74"/>
      <c r="K5778" s="74"/>
      <c r="L5778" s="74"/>
      <c r="M5778" s="74"/>
      <c r="N5778" s="74" t="s">
        <v>397</v>
      </c>
      <c r="O5778" s="74" t="s">
        <v>393</v>
      </c>
      <c r="P5778" s="74" t="s">
        <v>17379</v>
      </c>
      <c r="Q5778" s="74" t="s">
        <v>17380</v>
      </c>
    </row>
    <row r="5779" spans="3:17" x14ac:dyDescent="0.25">
      <c r="C5779" s="74" t="s">
        <v>17421</v>
      </c>
      <c r="D5779" s="74" t="s">
        <v>17422</v>
      </c>
      <c r="E5779" s="74" t="s">
        <v>391</v>
      </c>
      <c r="F5779" s="74">
        <v>0</v>
      </c>
      <c r="G5779" s="74"/>
      <c r="H5779" s="74"/>
      <c r="I5779" s="74" t="s">
        <v>391</v>
      </c>
      <c r="J5779" s="74"/>
      <c r="K5779" s="74"/>
      <c r="L5779" s="74"/>
      <c r="M5779" s="74"/>
      <c r="N5779" s="74" t="s">
        <v>397</v>
      </c>
      <c r="O5779" s="74" t="s">
        <v>393</v>
      </c>
      <c r="P5779" s="74"/>
      <c r="Q5779" s="74" t="s">
        <v>17423</v>
      </c>
    </row>
    <row r="5780" spans="3:17" x14ac:dyDescent="0.25">
      <c r="C5780" s="74" t="s">
        <v>17424</v>
      </c>
      <c r="D5780" s="74" t="s">
        <v>17425</v>
      </c>
      <c r="E5780" s="74" t="s">
        <v>391</v>
      </c>
      <c r="F5780" s="74">
        <v>0</v>
      </c>
      <c r="G5780" s="74"/>
      <c r="H5780" s="74"/>
      <c r="I5780" s="74" t="s">
        <v>391</v>
      </c>
      <c r="J5780" s="74"/>
      <c r="K5780" s="74">
        <v>102.4</v>
      </c>
      <c r="L5780" s="74">
        <v>92.16</v>
      </c>
      <c r="M5780" s="74"/>
      <c r="N5780" s="74" t="s">
        <v>392</v>
      </c>
      <c r="O5780" s="74" t="s">
        <v>393</v>
      </c>
      <c r="P5780" s="74"/>
      <c r="Q5780" s="74" t="s">
        <v>17426</v>
      </c>
    </row>
    <row r="5781" spans="3:17" x14ac:dyDescent="0.25">
      <c r="C5781" s="74" t="s">
        <v>17465</v>
      </c>
      <c r="D5781" s="74" t="s">
        <v>17435</v>
      </c>
      <c r="E5781" s="74" t="s">
        <v>391</v>
      </c>
      <c r="F5781" s="74">
        <v>0</v>
      </c>
      <c r="G5781" s="74"/>
      <c r="H5781" s="74"/>
      <c r="I5781" s="74" t="s">
        <v>391</v>
      </c>
      <c r="J5781" s="74"/>
      <c r="K5781" s="74"/>
      <c r="L5781" s="74"/>
      <c r="M5781" s="74"/>
      <c r="N5781" s="74" t="s">
        <v>397</v>
      </c>
      <c r="O5781" s="74" t="s">
        <v>393</v>
      </c>
      <c r="P5781" s="74"/>
      <c r="Q5781" s="74" t="s">
        <v>17466</v>
      </c>
    </row>
    <row r="5782" spans="3:17" x14ac:dyDescent="0.25">
      <c r="C5782" s="74" t="s">
        <v>17522</v>
      </c>
      <c r="D5782" s="74" t="s">
        <v>17523</v>
      </c>
      <c r="E5782" s="74" t="s">
        <v>391</v>
      </c>
      <c r="F5782" s="74">
        <v>0</v>
      </c>
      <c r="G5782" s="74"/>
      <c r="H5782" s="74"/>
      <c r="I5782" s="74" t="s">
        <v>391</v>
      </c>
      <c r="J5782" s="74"/>
      <c r="K5782" s="74">
        <v>102.4</v>
      </c>
      <c r="L5782" s="74">
        <v>92.16</v>
      </c>
      <c r="M5782" s="74"/>
      <c r="N5782" s="74" t="s">
        <v>392</v>
      </c>
      <c r="O5782" s="74" t="s">
        <v>393</v>
      </c>
      <c r="P5782" s="74" t="s">
        <v>17524</v>
      </c>
      <c r="Q5782" s="74" t="s">
        <v>17525</v>
      </c>
    </row>
    <row r="5783" spans="3:17" x14ac:dyDescent="0.25">
      <c r="C5783" s="74" t="s">
        <v>17546</v>
      </c>
      <c r="D5783" s="74" t="s">
        <v>17547</v>
      </c>
      <c r="E5783" s="74" t="s">
        <v>391</v>
      </c>
      <c r="F5783" s="74">
        <v>0</v>
      </c>
      <c r="G5783" s="74"/>
      <c r="H5783" s="74"/>
      <c r="I5783" s="74" t="s">
        <v>391</v>
      </c>
      <c r="J5783" s="74"/>
      <c r="K5783" s="74"/>
      <c r="L5783" s="74"/>
      <c r="M5783" s="74"/>
      <c r="N5783" s="74" t="s">
        <v>397</v>
      </c>
      <c r="O5783" s="74" t="s">
        <v>393</v>
      </c>
      <c r="P5783" s="74"/>
      <c r="Q5783" s="74" t="s">
        <v>17548</v>
      </c>
    </row>
    <row r="5784" spans="3:17" x14ac:dyDescent="0.25">
      <c r="C5784" s="74" t="s">
        <v>17552</v>
      </c>
      <c r="D5784" s="74" t="s">
        <v>17553</v>
      </c>
      <c r="E5784" s="74" t="s">
        <v>391</v>
      </c>
      <c r="F5784" s="74">
        <v>0</v>
      </c>
      <c r="G5784" s="74"/>
      <c r="H5784" s="74"/>
      <c r="I5784" s="74" t="s">
        <v>391</v>
      </c>
      <c r="J5784" s="74"/>
      <c r="K5784" s="74"/>
      <c r="L5784" s="74"/>
      <c r="M5784" s="74"/>
      <c r="N5784" s="74" t="s">
        <v>397</v>
      </c>
      <c r="O5784" s="74" t="s">
        <v>393</v>
      </c>
      <c r="P5784" s="74" t="s">
        <v>17554</v>
      </c>
      <c r="Q5784" s="74" t="s">
        <v>17555</v>
      </c>
    </row>
    <row r="5785" spans="3:17" x14ac:dyDescent="0.25">
      <c r="C5785" s="74" t="s">
        <v>17556</v>
      </c>
      <c r="D5785" s="74" t="s">
        <v>17557</v>
      </c>
      <c r="E5785" s="74" t="s">
        <v>391</v>
      </c>
      <c r="F5785" s="74">
        <v>0</v>
      </c>
      <c r="G5785" s="74"/>
      <c r="H5785" s="74"/>
      <c r="I5785" s="74" t="s">
        <v>391</v>
      </c>
      <c r="J5785" s="74"/>
      <c r="K5785" s="74">
        <v>102.4</v>
      </c>
      <c r="L5785" s="74">
        <v>92.16</v>
      </c>
      <c r="M5785" s="74"/>
      <c r="N5785" s="74" t="s">
        <v>392</v>
      </c>
      <c r="O5785" s="74" t="s">
        <v>393</v>
      </c>
      <c r="P5785" s="74"/>
      <c r="Q5785" s="74" t="s">
        <v>17558</v>
      </c>
    </row>
    <row r="5786" spans="3:17" x14ac:dyDescent="0.25">
      <c r="C5786" s="74" t="s">
        <v>17559</v>
      </c>
      <c r="D5786" s="74" t="s">
        <v>17560</v>
      </c>
      <c r="E5786" s="74" t="s">
        <v>391</v>
      </c>
      <c r="F5786" s="74">
        <v>0</v>
      </c>
      <c r="G5786" s="74"/>
      <c r="H5786" s="74"/>
      <c r="I5786" s="74" t="s">
        <v>391</v>
      </c>
      <c r="J5786" s="74"/>
      <c r="K5786" s="74">
        <v>102.4</v>
      </c>
      <c r="L5786" s="74">
        <v>92.16</v>
      </c>
      <c r="M5786" s="74"/>
      <c r="N5786" s="74" t="s">
        <v>392</v>
      </c>
      <c r="O5786" s="74" t="s">
        <v>393</v>
      </c>
      <c r="P5786" s="74"/>
      <c r="Q5786" s="74" t="s">
        <v>17561</v>
      </c>
    </row>
    <row r="5787" spans="3:17" x14ac:dyDescent="0.25">
      <c r="C5787" s="74" t="s">
        <v>17573</v>
      </c>
      <c r="D5787" s="74" t="s">
        <v>17574</v>
      </c>
      <c r="E5787" s="74" t="s">
        <v>391</v>
      </c>
      <c r="F5787" s="74">
        <v>0</v>
      </c>
      <c r="G5787" s="74"/>
      <c r="H5787" s="74"/>
      <c r="I5787" s="74" t="s">
        <v>391</v>
      </c>
      <c r="J5787" s="74"/>
      <c r="K5787" s="74">
        <v>102.4</v>
      </c>
      <c r="L5787" s="74">
        <v>92.16</v>
      </c>
      <c r="M5787" s="74"/>
      <c r="N5787" s="74" t="s">
        <v>392</v>
      </c>
      <c r="O5787" s="74" t="s">
        <v>393</v>
      </c>
      <c r="P5787" s="74"/>
      <c r="Q5787" s="74" t="s">
        <v>17575</v>
      </c>
    </row>
    <row r="5788" spans="3:17" x14ac:dyDescent="0.25">
      <c r="C5788" s="74" t="s">
        <v>17576</v>
      </c>
      <c r="D5788" s="74" t="s">
        <v>17577</v>
      </c>
      <c r="E5788" s="74" t="s">
        <v>391</v>
      </c>
      <c r="F5788" s="74">
        <v>0</v>
      </c>
      <c r="G5788" s="74"/>
      <c r="H5788" s="74"/>
      <c r="I5788" s="74" t="s">
        <v>391</v>
      </c>
      <c r="J5788" s="74"/>
      <c r="K5788" s="74">
        <v>102.4</v>
      </c>
      <c r="L5788" s="74">
        <v>92.16</v>
      </c>
      <c r="M5788" s="74"/>
      <c r="N5788" s="74" t="s">
        <v>392</v>
      </c>
      <c r="O5788" s="74" t="s">
        <v>393</v>
      </c>
      <c r="P5788" s="74"/>
      <c r="Q5788" s="74" t="s">
        <v>17578</v>
      </c>
    </row>
    <row r="5789" spans="3:17" x14ac:dyDescent="0.25">
      <c r="C5789" s="74" t="s">
        <v>17625</v>
      </c>
      <c r="D5789" s="74" t="s">
        <v>17626</v>
      </c>
      <c r="E5789" s="74" t="s">
        <v>391</v>
      </c>
      <c r="F5789" s="74">
        <v>0</v>
      </c>
      <c r="G5789" s="74"/>
      <c r="H5789" s="74"/>
      <c r="I5789" s="74" t="s">
        <v>391</v>
      </c>
      <c r="J5789" s="74"/>
      <c r="K5789" s="74"/>
      <c r="L5789" s="74"/>
      <c r="M5789" s="74"/>
      <c r="N5789" s="74" t="s">
        <v>397</v>
      </c>
      <c r="O5789" s="74" t="s">
        <v>393</v>
      </c>
      <c r="P5789" s="74" t="s">
        <v>17627</v>
      </c>
      <c r="Q5789" s="74" t="s">
        <v>17628</v>
      </c>
    </row>
    <row r="5790" spans="3:17" x14ac:dyDescent="0.25">
      <c r="C5790" s="74" t="s">
        <v>17637</v>
      </c>
      <c r="D5790" s="74" t="s">
        <v>17638</v>
      </c>
      <c r="E5790" s="74" t="s">
        <v>391</v>
      </c>
      <c r="F5790" s="74">
        <v>0</v>
      </c>
      <c r="G5790" s="74"/>
      <c r="H5790" s="74"/>
      <c r="I5790" s="74" t="s">
        <v>391</v>
      </c>
      <c r="J5790" s="74"/>
      <c r="K5790" s="74"/>
      <c r="L5790" s="74"/>
      <c r="M5790" s="74"/>
      <c r="N5790" s="74" t="s">
        <v>397</v>
      </c>
      <c r="O5790" s="74" t="s">
        <v>393</v>
      </c>
      <c r="P5790" s="74" t="s">
        <v>17639</v>
      </c>
      <c r="Q5790" s="74" t="s">
        <v>17640</v>
      </c>
    </row>
    <row r="5791" spans="3:17" x14ac:dyDescent="0.25">
      <c r="C5791" s="74" t="s">
        <v>17649</v>
      </c>
      <c r="D5791" s="74" t="s">
        <v>17650</v>
      </c>
      <c r="E5791" s="74" t="s">
        <v>391</v>
      </c>
      <c r="F5791" s="74">
        <v>0</v>
      </c>
      <c r="G5791" s="74"/>
      <c r="H5791" s="74"/>
      <c r="I5791" s="74" t="s">
        <v>391</v>
      </c>
      <c r="J5791" s="74"/>
      <c r="K5791" s="74"/>
      <c r="L5791" s="74"/>
      <c r="M5791" s="74"/>
      <c r="N5791" s="74" t="s">
        <v>397</v>
      </c>
      <c r="O5791" s="74" t="s">
        <v>393</v>
      </c>
      <c r="P5791" s="74" t="s">
        <v>17651</v>
      </c>
      <c r="Q5791" s="74" t="s">
        <v>17652</v>
      </c>
    </row>
    <row r="5792" spans="3:17" x14ac:dyDescent="0.25">
      <c r="C5792" s="74" t="s">
        <v>17653</v>
      </c>
      <c r="D5792" s="74" t="s">
        <v>17654</v>
      </c>
      <c r="E5792" s="74" t="s">
        <v>391</v>
      </c>
      <c r="F5792" s="74">
        <v>0</v>
      </c>
      <c r="G5792" s="74"/>
      <c r="H5792" s="74"/>
      <c r="I5792" s="74" t="s">
        <v>391</v>
      </c>
      <c r="J5792" s="74"/>
      <c r="K5792" s="74"/>
      <c r="L5792" s="74"/>
      <c r="M5792" s="74"/>
      <c r="N5792" s="74" t="s">
        <v>397</v>
      </c>
      <c r="O5792" s="74" t="s">
        <v>393</v>
      </c>
      <c r="P5792" s="74" t="s">
        <v>17655</v>
      </c>
      <c r="Q5792" s="74" t="s">
        <v>17656</v>
      </c>
    </row>
    <row r="5793" spans="3:17" x14ac:dyDescent="0.25">
      <c r="C5793" s="74" t="s">
        <v>17680</v>
      </c>
      <c r="D5793" s="74" t="s">
        <v>17681</v>
      </c>
      <c r="E5793" s="74" t="s">
        <v>391</v>
      </c>
      <c r="F5793" s="74">
        <v>0</v>
      </c>
      <c r="G5793" s="74"/>
      <c r="H5793" s="74"/>
      <c r="I5793" s="74" t="s">
        <v>391</v>
      </c>
      <c r="J5793" s="74"/>
      <c r="K5793" s="74"/>
      <c r="L5793" s="74"/>
      <c r="M5793" s="74"/>
      <c r="N5793" s="74" t="s">
        <v>397</v>
      </c>
      <c r="O5793" s="74" t="s">
        <v>393</v>
      </c>
      <c r="P5793" s="74" t="s">
        <v>17682</v>
      </c>
      <c r="Q5793" s="74" t="s">
        <v>17683</v>
      </c>
    </row>
    <row r="5794" spans="3:17" x14ac:dyDescent="0.25">
      <c r="C5794" s="74" t="s">
        <v>17710</v>
      </c>
      <c r="D5794" s="74" t="s">
        <v>17711</v>
      </c>
      <c r="E5794" s="74"/>
      <c r="F5794" s="74">
        <v>0</v>
      </c>
      <c r="G5794" s="74"/>
      <c r="H5794" s="74"/>
      <c r="I5794" s="74" t="s">
        <v>391</v>
      </c>
      <c r="J5794" s="74"/>
      <c r="K5794" s="74">
        <v>102.4</v>
      </c>
      <c r="L5794" s="74">
        <v>92.16</v>
      </c>
      <c r="M5794" s="74"/>
      <c r="N5794" s="74" t="s">
        <v>392</v>
      </c>
      <c r="O5794" s="74" t="s">
        <v>402</v>
      </c>
      <c r="P5794" s="74" t="s">
        <v>17712</v>
      </c>
      <c r="Q5794" s="74" t="s">
        <v>17713</v>
      </c>
    </row>
    <row r="5795" spans="3:17" x14ac:dyDescent="0.25">
      <c r="C5795" s="74" t="s">
        <v>17738</v>
      </c>
      <c r="D5795" s="74" t="s">
        <v>17739</v>
      </c>
      <c r="E5795" s="74"/>
      <c r="F5795" s="74">
        <v>0</v>
      </c>
      <c r="G5795" s="74"/>
      <c r="H5795" s="74"/>
      <c r="I5795" s="74" t="s">
        <v>391</v>
      </c>
      <c r="J5795" s="74"/>
      <c r="K5795" s="74">
        <v>102.4</v>
      </c>
      <c r="L5795" s="74">
        <v>92.16</v>
      </c>
      <c r="M5795" s="74"/>
      <c r="N5795" s="74" t="s">
        <v>392</v>
      </c>
      <c r="O5795" s="74" t="s">
        <v>402</v>
      </c>
      <c r="P5795" s="74" t="s">
        <v>17740</v>
      </c>
      <c r="Q5795" s="74" t="s">
        <v>17741</v>
      </c>
    </row>
    <row r="5796" spans="3:17" x14ac:dyDescent="0.25">
      <c r="C5796" s="74" t="s">
        <v>17745</v>
      </c>
      <c r="D5796" s="74" t="s">
        <v>17746</v>
      </c>
      <c r="E5796" s="74" t="s">
        <v>391</v>
      </c>
      <c r="F5796" s="74">
        <v>0</v>
      </c>
      <c r="G5796" s="74"/>
      <c r="H5796" s="74"/>
      <c r="I5796" s="74" t="s">
        <v>391</v>
      </c>
      <c r="J5796" s="74"/>
      <c r="K5796" s="74"/>
      <c r="L5796" s="74"/>
      <c r="M5796" s="74"/>
      <c r="N5796" s="74" t="s">
        <v>397</v>
      </c>
      <c r="O5796" s="74" t="s">
        <v>393</v>
      </c>
      <c r="P5796" s="74" t="s">
        <v>17747</v>
      </c>
      <c r="Q5796" s="74" t="s">
        <v>17748</v>
      </c>
    </row>
    <row r="5797" spans="3:17" x14ac:dyDescent="0.25">
      <c r="C5797" s="74" t="s">
        <v>17749</v>
      </c>
      <c r="D5797" s="74" t="s">
        <v>17750</v>
      </c>
      <c r="E5797" s="74"/>
      <c r="F5797" s="74">
        <v>0</v>
      </c>
      <c r="G5797" s="74"/>
      <c r="H5797" s="74"/>
      <c r="I5797" s="74" t="s">
        <v>391</v>
      </c>
      <c r="J5797" s="74"/>
      <c r="K5797" s="74">
        <v>102.4</v>
      </c>
      <c r="L5797" s="74">
        <v>92.16</v>
      </c>
      <c r="M5797" s="74"/>
      <c r="N5797" s="74" t="s">
        <v>392</v>
      </c>
      <c r="O5797" s="74" t="s">
        <v>402</v>
      </c>
      <c r="P5797" s="74" t="s">
        <v>17751</v>
      </c>
      <c r="Q5797" s="74" t="s">
        <v>17752</v>
      </c>
    </row>
    <row r="5798" spans="3:17" x14ac:dyDescent="0.25">
      <c r="C5798" s="74" t="s">
        <v>17760</v>
      </c>
      <c r="D5798" s="74" t="s">
        <v>17761</v>
      </c>
      <c r="E5798" s="74" t="s">
        <v>391</v>
      </c>
      <c r="F5798" s="74">
        <v>0</v>
      </c>
      <c r="G5798" s="74"/>
      <c r="H5798" s="74"/>
      <c r="I5798" s="74" t="s">
        <v>391</v>
      </c>
      <c r="J5798" s="74"/>
      <c r="K5798" s="74"/>
      <c r="L5798" s="74"/>
      <c r="M5798" s="74"/>
      <c r="N5798" s="74" t="s">
        <v>397</v>
      </c>
      <c r="O5798" s="74" t="s">
        <v>393</v>
      </c>
      <c r="P5798" s="74" t="s">
        <v>17762</v>
      </c>
      <c r="Q5798" s="74" t="s">
        <v>17763</v>
      </c>
    </row>
    <row r="5799" spans="3:17" x14ac:dyDescent="0.25">
      <c r="C5799" s="74" t="s">
        <v>17764</v>
      </c>
      <c r="D5799" s="74" t="s">
        <v>17765</v>
      </c>
      <c r="E5799" s="74" t="s">
        <v>391</v>
      </c>
      <c r="F5799" s="74">
        <v>0</v>
      </c>
      <c r="G5799" s="74"/>
      <c r="H5799" s="74"/>
      <c r="I5799" s="74" t="s">
        <v>391</v>
      </c>
      <c r="J5799" s="74"/>
      <c r="K5799" s="74"/>
      <c r="L5799" s="74"/>
      <c r="M5799" s="74"/>
      <c r="N5799" s="74" t="s">
        <v>397</v>
      </c>
      <c r="O5799" s="74" t="s">
        <v>393</v>
      </c>
      <c r="P5799" s="74" t="s">
        <v>17766</v>
      </c>
      <c r="Q5799" s="74" t="s">
        <v>17767</v>
      </c>
    </row>
    <row r="5800" spans="3:17" x14ac:dyDescent="0.25">
      <c r="C5800" s="74" t="s">
        <v>17771</v>
      </c>
      <c r="D5800" s="74" t="s">
        <v>17772</v>
      </c>
      <c r="E5800" s="74" t="s">
        <v>391</v>
      </c>
      <c r="F5800" s="74">
        <v>0</v>
      </c>
      <c r="G5800" s="74"/>
      <c r="H5800" s="74"/>
      <c r="I5800" s="74" t="s">
        <v>391</v>
      </c>
      <c r="J5800" s="74"/>
      <c r="K5800" s="74"/>
      <c r="L5800" s="74"/>
      <c r="M5800" s="74"/>
      <c r="N5800" s="74" t="s">
        <v>397</v>
      </c>
      <c r="O5800" s="74" t="s">
        <v>393</v>
      </c>
      <c r="P5800" s="74" t="s">
        <v>17773</v>
      </c>
      <c r="Q5800" s="74" t="s">
        <v>17774</v>
      </c>
    </row>
    <row r="5801" spans="3:17" x14ac:dyDescent="0.25">
      <c r="C5801" s="74" t="s">
        <v>17800</v>
      </c>
      <c r="D5801" s="74" t="s">
        <v>17801</v>
      </c>
      <c r="E5801" s="74" t="s">
        <v>391</v>
      </c>
      <c r="F5801" s="74">
        <v>0</v>
      </c>
      <c r="G5801" s="74"/>
      <c r="H5801" s="74"/>
      <c r="I5801" s="74" t="s">
        <v>391</v>
      </c>
      <c r="J5801" s="74"/>
      <c r="K5801" s="74"/>
      <c r="L5801" s="74"/>
      <c r="M5801" s="74"/>
      <c r="N5801" s="74" t="s">
        <v>397</v>
      </c>
      <c r="O5801" s="74" t="s">
        <v>393</v>
      </c>
      <c r="P5801" s="74" t="s">
        <v>17802</v>
      </c>
      <c r="Q5801" s="74" t="s">
        <v>17803</v>
      </c>
    </row>
    <row r="5802" spans="3:17" x14ac:dyDescent="0.25">
      <c r="C5802" s="74" t="s">
        <v>17804</v>
      </c>
      <c r="D5802" s="74" t="s">
        <v>17805</v>
      </c>
      <c r="E5802" s="74" t="s">
        <v>391</v>
      </c>
      <c r="F5802" s="74">
        <v>0</v>
      </c>
      <c r="G5802" s="74"/>
      <c r="H5802" s="74"/>
      <c r="I5802" s="74" t="s">
        <v>391</v>
      </c>
      <c r="J5802" s="74"/>
      <c r="K5802" s="74"/>
      <c r="L5802" s="74"/>
      <c r="M5802" s="74"/>
      <c r="N5802" s="74" t="s">
        <v>397</v>
      </c>
      <c r="O5802" s="74" t="s">
        <v>393</v>
      </c>
      <c r="P5802" s="74"/>
      <c r="Q5802" s="74" t="s">
        <v>17806</v>
      </c>
    </row>
    <row r="5803" spans="3:17" x14ac:dyDescent="0.25">
      <c r="C5803" s="74" t="s">
        <v>17817</v>
      </c>
      <c r="D5803" s="74" t="s">
        <v>17818</v>
      </c>
      <c r="E5803" s="74" t="s">
        <v>391</v>
      </c>
      <c r="F5803" s="74">
        <v>0</v>
      </c>
      <c r="G5803" s="74"/>
      <c r="H5803" s="74"/>
      <c r="I5803" s="74" t="s">
        <v>391</v>
      </c>
      <c r="J5803" s="74"/>
      <c r="K5803" s="74"/>
      <c r="L5803" s="74"/>
      <c r="M5803" s="74"/>
      <c r="N5803" s="74" t="s">
        <v>397</v>
      </c>
      <c r="O5803" s="74" t="s">
        <v>393</v>
      </c>
      <c r="P5803" s="74" t="s">
        <v>17819</v>
      </c>
      <c r="Q5803" s="74" t="s">
        <v>17820</v>
      </c>
    </row>
    <row r="5804" spans="3:17" x14ac:dyDescent="0.25">
      <c r="C5804" s="74" t="s">
        <v>17836</v>
      </c>
      <c r="D5804" s="74" t="s">
        <v>17837</v>
      </c>
      <c r="E5804" s="74" t="s">
        <v>391</v>
      </c>
      <c r="F5804" s="74">
        <v>0</v>
      </c>
      <c r="G5804" s="74"/>
      <c r="H5804" s="74"/>
      <c r="I5804" s="74" t="s">
        <v>391</v>
      </c>
      <c r="J5804" s="74"/>
      <c r="K5804" s="74"/>
      <c r="L5804" s="74"/>
      <c r="M5804" s="74"/>
      <c r="N5804" s="74" t="s">
        <v>397</v>
      </c>
      <c r="O5804" s="74" t="s">
        <v>393</v>
      </c>
      <c r="P5804" s="74"/>
      <c r="Q5804" s="74" t="s">
        <v>17838</v>
      </c>
    </row>
    <row r="5805" spans="3:17" x14ac:dyDescent="0.25">
      <c r="C5805" s="74" t="s">
        <v>17847</v>
      </c>
      <c r="D5805" s="74" t="s">
        <v>17848</v>
      </c>
      <c r="E5805" s="74" t="s">
        <v>391</v>
      </c>
      <c r="F5805" s="74">
        <v>0</v>
      </c>
      <c r="G5805" s="74"/>
      <c r="H5805" s="74"/>
      <c r="I5805" s="74" t="s">
        <v>391</v>
      </c>
      <c r="J5805" s="74"/>
      <c r="K5805" s="74">
        <v>102.4</v>
      </c>
      <c r="L5805" s="74">
        <v>92.16</v>
      </c>
      <c r="M5805" s="74"/>
      <c r="N5805" s="74" t="s">
        <v>392</v>
      </c>
      <c r="O5805" s="74" t="s">
        <v>393</v>
      </c>
      <c r="P5805" s="74"/>
      <c r="Q5805" s="74" t="s">
        <v>17849</v>
      </c>
    </row>
    <row r="5806" spans="3:17" x14ac:dyDescent="0.25">
      <c r="C5806" s="74" t="s">
        <v>17857</v>
      </c>
      <c r="D5806" s="74" t="s">
        <v>17858</v>
      </c>
      <c r="E5806" s="74" t="s">
        <v>391</v>
      </c>
      <c r="F5806" s="74">
        <v>0</v>
      </c>
      <c r="G5806" s="74"/>
      <c r="H5806" s="74"/>
      <c r="I5806" s="74" t="s">
        <v>391</v>
      </c>
      <c r="J5806" s="74"/>
      <c r="K5806" s="74"/>
      <c r="L5806" s="74"/>
      <c r="M5806" s="74"/>
      <c r="N5806" s="74" t="s">
        <v>397</v>
      </c>
      <c r="O5806" s="74" t="s">
        <v>393</v>
      </c>
      <c r="P5806" s="74"/>
      <c r="Q5806" s="74" t="s">
        <v>17859</v>
      </c>
    </row>
    <row r="5807" spans="3:17" x14ac:dyDescent="0.25">
      <c r="C5807" s="74" t="s">
        <v>17860</v>
      </c>
      <c r="D5807" s="74" t="s">
        <v>17861</v>
      </c>
      <c r="E5807" s="74" t="s">
        <v>391</v>
      </c>
      <c r="F5807" s="74">
        <v>0</v>
      </c>
      <c r="G5807" s="74"/>
      <c r="H5807" s="74"/>
      <c r="I5807" s="74" t="s">
        <v>391</v>
      </c>
      <c r="J5807" s="74"/>
      <c r="K5807" s="74">
        <v>102.4</v>
      </c>
      <c r="L5807" s="74">
        <v>92.16</v>
      </c>
      <c r="M5807" s="74"/>
      <c r="N5807" s="74" t="s">
        <v>392</v>
      </c>
      <c r="O5807" s="74" t="s">
        <v>393</v>
      </c>
      <c r="P5807" s="74"/>
      <c r="Q5807" s="74" t="s">
        <v>17862</v>
      </c>
    </row>
    <row r="5808" spans="3:17" x14ac:dyDescent="0.25">
      <c r="C5808" s="74" t="s">
        <v>17870</v>
      </c>
      <c r="D5808" s="74" t="s">
        <v>17871</v>
      </c>
      <c r="E5808" s="74" t="s">
        <v>391</v>
      </c>
      <c r="F5808" s="74">
        <v>0</v>
      </c>
      <c r="G5808" s="74"/>
      <c r="H5808" s="74"/>
      <c r="I5808" s="74" t="s">
        <v>391</v>
      </c>
      <c r="J5808" s="74"/>
      <c r="K5808" s="74"/>
      <c r="L5808" s="74"/>
      <c r="M5808" s="74"/>
      <c r="N5808" s="74" t="s">
        <v>397</v>
      </c>
      <c r="O5808" s="74" t="s">
        <v>393</v>
      </c>
      <c r="P5808" s="74" t="s">
        <v>17872</v>
      </c>
      <c r="Q5808" s="74" t="s">
        <v>17873</v>
      </c>
    </row>
    <row r="5809" spans="3:17" x14ac:dyDescent="0.25">
      <c r="C5809" s="74" t="s">
        <v>17878</v>
      </c>
      <c r="D5809" s="74" t="s">
        <v>17879</v>
      </c>
      <c r="E5809" s="74" t="s">
        <v>391</v>
      </c>
      <c r="F5809" s="74">
        <v>0</v>
      </c>
      <c r="G5809" s="74"/>
      <c r="H5809" s="74"/>
      <c r="I5809" s="74" t="s">
        <v>391</v>
      </c>
      <c r="J5809" s="74"/>
      <c r="K5809" s="74"/>
      <c r="L5809" s="74"/>
      <c r="M5809" s="74"/>
      <c r="N5809" s="74" t="s">
        <v>397</v>
      </c>
      <c r="O5809" s="74" t="s">
        <v>393</v>
      </c>
      <c r="P5809" s="74"/>
      <c r="Q5809" s="74" t="s">
        <v>17880</v>
      </c>
    </row>
    <row r="5810" spans="3:17" x14ac:dyDescent="0.25">
      <c r="C5810" s="74" t="s">
        <v>17908</v>
      </c>
      <c r="D5810" s="74" t="s">
        <v>17909</v>
      </c>
      <c r="E5810" s="74" t="s">
        <v>391</v>
      </c>
      <c r="F5810" s="74">
        <v>0</v>
      </c>
      <c r="G5810" s="74"/>
      <c r="H5810" s="74"/>
      <c r="I5810" s="74" t="s">
        <v>391</v>
      </c>
      <c r="J5810" s="74"/>
      <c r="K5810" s="74">
        <v>102.4</v>
      </c>
      <c r="L5810" s="74">
        <v>92.16</v>
      </c>
      <c r="M5810" s="74"/>
      <c r="N5810" s="74" t="s">
        <v>392</v>
      </c>
      <c r="O5810" s="74" t="s">
        <v>393</v>
      </c>
      <c r="P5810" s="74"/>
      <c r="Q5810" s="74" t="s">
        <v>17910</v>
      </c>
    </row>
    <row r="5811" spans="3:17" x14ac:dyDescent="0.25">
      <c r="C5811" s="74" t="s">
        <v>18017</v>
      </c>
      <c r="D5811" s="74" t="s">
        <v>18018</v>
      </c>
      <c r="E5811" s="74" t="s">
        <v>391</v>
      </c>
      <c r="F5811" s="74">
        <v>0</v>
      </c>
      <c r="G5811" s="74"/>
      <c r="H5811" s="74"/>
      <c r="I5811" s="74" t="s">
        <v>391</v>
      </c>
      <c r="J5811" s="74"/>
      <c r="K5811" s="74">
        <v>102.4</v>
      </c>
      <c r="L5811" s="74">
        <v>92.16</v>
      </c>
      <c r="M5811" s="74"/>
      <c r="N5811" s="74" t="s">
        <v>392</v>
      </c>
      <c r="O5811" s="74" t="s">
        <v>393</v>
      </c>
      <c r="P5811" s="74"/>
      <c r="Q5811" s="74" t="s">
        <v>18019</v>
      </c>
    </row>
    <row r="5812" spans="3:17" x14ac:dyDescent="0.25">
      <c r="C5812" s="74" t="s">
        <v>18026</v>
      </c>
      <c r="D5812" s="74" t="s">
        <v>18027</v>
      </c>
      <c r="E5812" s="74" t="s">
        <v>391</v>
      </c>
      <c r="F5812" s="74">
        <v>0</v>
      </c>
      <c r="G5812" s="74"/>
      <c r="H5812" s="74"/>
      <c r="I5812" s="74" t="s">
        <v>391</v>
      </c>
      <c r="J5812" s="74"/>
      <c r="K5812" s="74">
        <v>102.4</v>
      </c>
      <c r="L5812" s="74">
        <v>92.16</v>
      </c>
      <c r="M5812" s="74"/>
      <c r="N5812" s="74" t="s">
        <v>392</v>
      </c>
      <c r="O5812" s="74" t="s">
        <v>393</v>
      </c>
      <c r="P5812" s="74"/>
      <c r="Q5812" s="74" t="s">
        <v>18028</v>
      </c>
    </row>
    <row r="5813" spans="3:17" x14ac:dyDescent="0.25">
      <c r="C5813" s="74" t="s">
        <v>18033</v>
      </c>
      <c r="D5813" s="74" t="s">
        <v>18034</v>
      </c>
      <c r="E5813" s="74" t="s">
        <v>391</v>
      </c>
      <c r="F5813" s="74">
        <v>0</v>
      </c>
      <c r="G5813" s="74"/>
      <c r="H5813" s="74"/>
      <c r="I5813" s="74" t="s">
        <v>391</v>
      </c>
      <c r="J5813" s="74"/>
      <c r="K5813" s="74"/>
      <c r="L5813" s="74"/>
      <c r="M5813" s="74"/>
      <c r="N5813" s="74" t="s">
        <v>397</v>
      </c>
      <c r="O5813" s="74" t="s">
        <v>393</v>
      </c>
      <c r="P5813" s="74" t="s">
        <v>18035</v>
      </c>
      <c r="Q5813" s="74" t="s">
        <v>18036</v>
      </c>
    </row>
    <row r="5814" spans="3:17" x14ac:dyDescent="0.25">
      <c r="C5814" s="74" t="s">
        <v>18075</v>
      </c>
      <c r="D5814" s="74" t="s">
        <v>18076</v>
      </c>
      <c r="E5814" s="74" t="s">
        <v>391</v>
      </c>
      <c r="F5814" s="74">
        <v>0</v>
      </c>
      <c r="G5814" s="74"/>
      <c r="H5814" s="74"/>
      <c r="I5814" s="74" t="s">
        <v>391</v>
      </c>
      <c r="J5814" s="74"/>
      <c r="K5814" s="74"/>
      <c r="L5814" s="74"/>
      <c r="M5814" s="74"/>
      <c r="N5814" s="74" t="s">
        <v>397</v>
      </c>
      <c r="O5814" s="74" t="s">
        <v>402</v>
      </c>
      <c r="P5814" s="74" t="s">
        <v>18077</v>
      </c>
      <c r="Q5814" s="74" t="s">
        <v>18078</v>
      </c>
    </row>
    <row r="5815" spans="3:17" x14ac:dyDescent="0.25">
      <c r="C5815" s="74" t="s">
        <v>18102</v>
      </c>
      <c r="D5815" s="74" t="s">
        <v>18103</v>
      </c>
      <c r="E5815" s="74" t="s">
        <v>391</v>
      </c>
      <c r="F5815" s="74">
        <v>0</v>
      </c>
      <c r="G5815" s="74"/>
      <c r="H5815" s="74"/>
      <c r="I5815" s="74" t="s">
        <v>391</v>
      </c>
      <c r="J5815" s="74"/>
      <c r="K5815" s="74"/>
      <c r="L5815" s="74"/>
      <c r="M5815" s="74"/>
      <c r="N5815" s="74" t="s">
        <v>397</v>
      </c>
      <c r="O5815" s="74" t="s">
        <v>393</v>
      </c>
      <c r="P5815" s="74" t="s">
        <v>18104</v>
      </c>
      <c r="Q5815" s="74" t="s">
        <v>18105</v>
      </c>
    </row>
    <row r="5816" spans="3:17" x14ac:dyDescent="0.25">
      <c r="C5816" s="74" t="s">
        <v>18106</v>
      </c>
      <c r="D5816" s="74" t="s">
        <v>18107</v>
      </c>
      <c r="E5816" s="74" t="s">
        <v>391</v>
      </c>
      <c r="F5816" s="74">
        <v>0</v>
      </c>
      <c r="G5816" s="74"/>
      <c r="H5816" s="74"/>
      <c r="I5816" s="74" t="s">
        <v>391</v>
      </c>
      <c r="J5816" s="74"/>
      <c r="K5816" s="74">
        <v>102.4</v>
      </c>
      <c r="L5816" s="74">
        <v>92.16</v>
      </c>
      <c r="M5816" s="74"/>
      <c r="N5816" s="74" t="s">
        <v>392</v>
      </c>
      <c r="O5816" s="74" t="s">
        <v>393</v>
      </c>
      <c r="P5816" s="74"/>
      <c r="Q5816" s="74" t="s">
        <v>18108</v>
      </c>
    </row>
    <row r="5817" spans="3:17" x14ac:dyDescent="0.25">
      <c r="C5817" s="74" t="s">
        <v>18124</v>
      </c>
      <c r="D5817" s="74" t="s">
        <v>18125</v>
      </c>
      <c r="E5817" s="74"/>
      <c r="F5817" s="74">
        <v>0</v>
      </c>
      <c r="G5817" s="74"/>
      <c r="H5817" s="74"/>
      <c r="I5817" s="74" t="s">
        <v>391</v>
      </c>
      <c r="J5817" s="74"/>
      <c r="K5817" s="74"/>
      <c r="L5817" s="74"/>
      <c r="M5817" s="74"/>
      <c r="N5817" s="74" t="s">
        <v>397</v>
      </c>
      <c r="O5817" s="74" t="s">
        <v>535</v>
      </c>
      <c r="P5817" s="74" t="s">
        <v>18126</v>
      </c>
      <c r="Q5817" s="74" t="s">
        <v>18127</v>
      </c>
    </row>
    <row r="5818" spans="3:17" x14ac:dyDescent="0.25">
      <c r="C5818" s="74" t="s">
        <v>18128</v>
      </c>
      <c r="D5818" s="74" t="s">
        <v>18129</v>
      </c>
      <c r="E5818" s="74" t="s">
        <v>391</v>
      </c>
      <c r="F5818" s="74">
        <v>0</v>
      </c>
      <c r="G5818" s="74"/>
      <c r="H5818" s="74"/>
      <c r="I5818" s="74" t="s">
        <v>391</v>
      </c>
      <c r="J5818" s="74"/>
      <c r="K5818" s="74">
        <v>102.4</v>
      </c>
      <c r="L5818" s="74">
        <v>92.16</v>
      </c>
      <c r="M5818" s="74"/>
      <c r="N5818" s="74" t="s">
        <v>392</v>
      </c>
      <c r="O5818" s="74" t="s">
        <v>393</v>
      </c>
      <c r="P5818" s="74"/>
      <c r="Q5818" s="74" t="s">
        <v>18130</v>
      </c>
    </row>
    <row r="5819" spans="3:17" x14ac:dyDescent="0.25">
      <c r="C5819" s="74" t="s">
        <v>18142</v>
      </c>
      <c r="D5819" s="74" t="s">
        <v>18143</v>
      </c>
      <c r="E5819" s="74" t="s">
        <v>391</v>
      </c>
      <c r="F5819" s="74">
        <v>0</v>
      </c>
      <c r="G5819" s="74"/>
      <c r="H5819" s="74"/>
      <c r="I5819" s="74" t="s">
        <v>391</v>
      </c>
      <c r="J5819" s="74"/>
      <c r="K5819" s="74"/>
      <c r="L5819" s="74"/>
      <c r="M5819" s="74"/>
      <c r="N5819" s="74" t="s">
        <v>397</v>
      </c>
      <c r="O5819" s="74" t="s">
        <v>393</v>
      </c>
      <c r="P5819" s="74" t="s">
        <v>18144</v>
      </c>
      <c r="Q5819" s="74" t="s">
        <v>18145</v>
      </c>
    </row>
    <row r="5820" spans="3:17" x14ac:dyDescent="0.25">
      <c r="C5820" s="74" t="s">
        <v>18187</v>
      </c>
      <c r="D5820" s="74" t="s">
        <v>18188</v>
      </c>
      <c r="E5820" s="74" t="s">
        <v>391</v>
      </c>
      <c r="F5820" s="74">
        <v>0</v>
      </c>
      <c r="G5820" s="74"/>
      <c r="H5820" s="74"/>
      <c r="I5820" s="74" t="s">
        <v>391</v>
      </c>
      <c r="J5820" s="74"/>
      <c r="K5820" s="74">
        <v>102.4</v>
      </c>
      <c r="L5820" s="74">
        <v>92.16</v>
      </c>
      <c r="M5820" s="74"/>
      <c r="N5820" s="74" t="s">
        <v>392</v>
      </c>
      <c r="O5820" s="74" t="s">
        <v>393</v>
      </c>
      <c r="P5820" s="74"/>
      <c r="Q5820" s="74" t="s">
        <v>18189</v>
      </c>
    </row>
    <row r="5821" spans="3:17" x14ac:dyDescent="0.25">
      <c r="C5821" s="74" t="s">
        <v>18193</v>
      </c>
      <c r="D5821" s="74" t="s">
        <v>18194</v>
      </c>
      <c r="E5821" s="74" t="s">
        <v>391</v>
      </c>
      <c r="F5821" s="74">
        <v>0</v>
      </c>
      <c r="G5821" s="74"/>
      <c r="H5821" s="74"/>
      <c r="I5821" s="74" t="s">
        <v>391</v>
      </c>
      <c r="J5821" s="74"/>
      <c r="K5821" s="74"/>
      <c r="L5821" s="74"/>
      <c r="M5821" s="74"/>
      <c r="N5821" s="74" t="s">
        <v>397</v>
      </c>
      <c r="O5821" s="74" t="s">
        <v>393</v>
      </c>
      <c r="P5821" s="74" t="s">
        <v>18195</v>
      </c>
      <c r="Q5821" s="74" t="s">
        <v>18196</v>
      </c>
    </row>
    <row r="5822" spans="3:17" x14ac:dyDescent="0.25">
      <c r="C5822" s="74" t="s">
        <v>18197</v>
      </c>
      <c r="D5822" s="74" t="s">
        <v>18198</v>
      </c>
      <c r="E5822" s="74" t="s">
        <v>391</v>
      </c>
      <c r="F5822" s="74">
        <v>0</v>
      </c>
      <c r="G5822" s="74"/>
      <c r="H5822" s="74"/>
      <c r="I5822" s="74" t="s">
        <v>391</v>
      </c>
      <c r="J5822" s="74"/>
      <c r="K5822" s="74"/>
      <c r="L5822" s="74"/>
      <c r="M5822" s="74"/>
      <c r="N5822" s="74" t="s">
        <v>397</v>
      </c>
      <c r="O5822" s="74" t="s">
        <v>393</v>
      </c>
      <c r="P5822" s="74"/>
      <c r="Q5822" s="74" t="s">
        <v>18199</v>
      </c>
    </row>
    <row r="5823" spans="3:17" x14ac:dyDescent="0.25">
      <c r="C5823" s="74" t="s">
        <v>18200</v>
      </c>
      <c r="D5823" s="74" t="s">
        <v>18201</v>
      </c>
      <c r="E5823" s="74" t="s">
        <v>391</v>
      </c>
      <c r="F5823" s="74">
        <v>0</v>
      </c>
      <c r="G5823" s="74"/>
      <c r="H5823" s="74"/>
      <c r="I5823" s="74" t="s">
        <v>391</v>
      </c>
      <c r="J5823" s="74"/>
      <c r="K5823" s="74">
        <v>102.4</v>
      </c>
      <c r="L5823" s="74">
        <v>92.16</v>
      </c>
      <c r="M5823" s="74"/>
      <c r="N5823" s="74" t="s">
        <v>392</v>
      </c>
      <c r="O5823" s="74" t="s">
        <v>393</v>
      </c>
      <c r="P5823" s="74"/>
      <c r="Q5823" s="74" t="s">
        <v>18202</v>
      </c>
    </row>
    <row r="5824" spans="3:17" x14ac:dyDescent="0.25">
      <c r="C5824" s="74" t="s">
        <v>18210</v>
      </c>
      <c r="D5824" s="74" t="s">
        <v>18211</v>
      </c>
      <c r="E5824" s="74" t="s">
        <v>391</v>
      </c>
      <c r="F5824" s="74">
        <v>0</v>
      </c>
      <c r="G5824" s="74"/>
      <c r="H5824" s="74"/>
      <c r="I5824" s="74" t="s">
        <v>391</v>
      </c>
      <c r="J5824" s="74"/>
      <c r="K5824" s="74"/>
      <c r="L5824" s="74"/>
      <c r="M5824" s="74"/>
      <c r="N5824" s="74" t="s">
        <v>397</v>
      </c>
      <c r="O5824" s="74" t="s">
        <v>393</v>
      </c>
      <c r="P5824" s="74" t="s">
        <v>18212</v>
      </c>
      <c r="Q5824" s="74" t="s">
        <v>18213</v>
      </c>
    </row>
    <row r="5825" spans="3:17" x14ac:dyDescent="0.25">
      <c r="C5825" s="74" t="s">
        <v>18220</v>
      </c>
      <c r="D5825" s="74" t="s">
        <v>18221</v>
      </c>
      <c r="E5825" s="74" t="s">
        <v>391</v>
      </c>
      <c r="F5825" s="74">
        <v>0</v>
      </c>
      <c r="G5825" s="74"/>
      <c r="H5825" s="74"/>
      <c r="I5825" s="74" t="s">
        <v>391</v>
      </c>
      <c r="J5825" s="74"/>
      <c r="K5825" s="74"/>
      <c r="L5825" s="74"/>
      <c r="M5825" s="74"/>
      <c r="N5825" s="74" t="s">
        <v>397</v>
      </c>
      <c r="O5825" s="74" t="s">
        <v>393</v>
      </c>
      <c r="P5825" s="74" t="s">
        <v>18222</v>
      </c>
      <c r="Q5825" s="74" t="s">
        <v>18223</v>
      </c>
    </row>
    <row r="5826" spans="3:17" x14ac:dyDescent="0.25">
      <c r="C5826" s="74" t="s">
        <v>18269</v>
      </c>
      <c r="D5826" s="74" t="s">
        <v>18270</v>
      </c>
      <c r="E5826" s="74" t="s">
        <v>391</v>
      </c>
      <c r="F5826" s="74">
        <v>0</v>
      </c>
      <c r="G5826" s="74"/>
      <c r="H5826" s="74"/>
      <c r="I5826" s="74" t="s">
        <v>391</v>
      </c>
      <c r="J5826" s="74"/>
      <c r="K5826" s="74">
        <v>102.4</v>
      </c>
      <c r="L5826" s="74">
        <v>92.16</v>
      </c>
      <c r="M5826" s="74"/>
      <c r="N5826" s="74" t="s">
        <v>392</v>
      </c>
      <c r="O5826" s="74" t="s">
        <v>393</v>
      </c>
      <c r="P5826" s="74"/>
      <c r="Q5826" s="74" t="s">
        <v>18271</v>
      </c>
    </row>
    <row r="5827" spans="3:17" x14ac:dyDescent="0.25">
      <c r="C5827" s="74" t="s">
        <v>18284</v>
      </c>
      <c r="D5827" s="74" t="s">
        <v>18285</v>
      </c>
      <c r="E5827" s="74" t="s">
        <v>391</v>
      </c>
      <c r="F5827" s="74">
        <v>0</v>
      </c>
      <c r="G5827" s="74"/>
      <c r="H5827" s="74"/>
      <c r="I5827" s="74" t="s">
        <v>391</v>
      </c>
      <c r="J5827" s="74"/>
      <c r="K5827" s="74"/>
      <c r="L5827" s="74"/>
      <c r="M5827" s="74"/>
      <c r="N5827" s="74" t="s">
        <v>397</v>
      </c>
      <c r="O5827" s="74" t="s">
        <v>393</v>
      </c>
      <c r="P5827" s="74" t="s">
        <v>18286</v>
      </c>
      <c r="Q5827" s="74" t="s">
        <v>18287</v>
      </c>
    </row>
    <row r="5828" spans="3:17" x14ac:dyDescent="0.25">
      <c r="C5828" s="74" t="s">
        <v>18288</v>
      </c>
      <c r="D5828" s="74" t="s">
        <v>18289</v>
      </c>
      <c r="E5828" s="74" t="s">
        <v>391</v>
      </c>
      <c r="F5828" s="74">
        <v>0</v>
      </c>
      <c r="G5828" s="74"/>
      <c r="H5828" s="74"/>
      <c r="I5828" s="74" t="s">
        <v>391</v>
      </c>
      <c r="J5828" s="74"/>
      <c r="K5828" s="74"/>
      <c r="L5828" s="74"/>
      <c r="M5828" s="74"/>
      <c r="N5828" s="74" t="s">
        <v>397</v>
      </c>
      <c r="O5828" s="74" t="s">
        <v>393</v>
      </c>
      <c r="P5828" s="74" t="s">
        <v>18290</v>
      </c>
      <c r="Q5828" s="74" t="s">
        <v>18291</v>
      </c>
    </row>
    <row r="5829" spans="3:17" x14ac:dyDescent="0.25">
      <c r="C5829" s="74" t="s">
        <v>18324</v>
      </c>
      <c r="D5829" s="74" t="s">
        <v>18325</v>
      </c>
      <c r="E5829" s="74" t="s">
        <v>391</v>
      </c>
      <c r="F5829" s="74">
        <v>0</v>
      </c>
      <c r="G5829" s="74"/>
      <c r="H5829" s="74"/>
      <c r="I5829" s="74" t="s">
        <v>391</v>
      </c>
      <c r="J5829" s="74"/>
      <c r="K5829" s="74">
        <v>102.4</v>
      </c>
      <c r="L5829" s="74">
        <v>92.16</v>
      </c>
      <c r="M5829" s="74"/>
      <c r="N5829" s="74" t="s">
        <v>392</v>
      </c>
      <c r="O5829" s="74" t="s">
        <v>393</v>
      </c>
      <c r="P5829" s="74"/>
      <c r="Q5829" s="74" t="s">
        <v>18326</v>
      </c>
    </row>
    <row r="5830" spans="3:17" x14ac:dyDescent="0.25">
      <c r="C5830" s="74" t="s">
        <v>18334</v>
      </c>
      <c r="D5830" s="74" t="s">
        <v>18335</v>
      </c>
      <c r="E5830" s="74" t="s">
        <v>391</v>
      </c>
      <c r="F5830" s="74">
        <v>0</v>
      </c>
      <c r="G5830" s="74"/>
      <c r="H5830" s="74"/>
      <c r="I5830" s="74" t="s">
        <v>391</v>
      </c>
      <c r="J5830" s="74"/>
      <c r="K5830" s="74">
        <v>102.4</v>
      </c>
      <c r="L5830" s="74">
        <v>92.16</v>
      </c>
      <c r="M5830" s="74"/>
      <c r="N5830" s="74" t="s">
        <v>392</v>
      </c>
      <c r="O5830" s="74" t="s">
        <v>393</v>
      </c>
      <c r="P5830" s="74"/>
      <c r="Q5830" s="74" t="s">
        <v>18336</v>
      </c>
    </row>
    <row r="5831" spans="3:17" x14ac:dyDescent="0.25">
      <c r="C5831" s="74" t="s">
        <v>18337</v>
      </c>
      <c r="D5831" s="74" t="s">
        <v>18338</v>
      </c>
      <c r="E5831" s="74" t="s">
        <v>391</v>
      </c>
      <c r="F5831" s="74">
        <v>0</v>
      </c>
      <c r="G5831" s="74"/>
      <c r="H5831" s="74"/>
      <c r="I5831" s="74" t="s">
        <v>391</v>
      </c>
      <c r="J5831" s="74"/>
      <c r="K5831" s="74"/>
      <c r="L5831" s="74"/>
      <c r="M5831" s="74"/>
      <c r="N5831" s="74" t="s">
        <v>397</v>
      </c>
      <c r="O5831" s="74" t="s">
        <v>393</v>
      </c>
      <c r="P5831" s="74" t="s">
        <v>18339</v>
      </c>
      <c r="Q5831" s="74" t="s">
        <v>18340</v>
      </c>
    </row>
    <row r="5832" spans="3:17" x14ac:dyDescent="0.25">
      <c r="C5832" s="74" t="s">
        <v>18349</v>
      </c>
      <c r="D5832" s="74" t="s">
        <v>18350</v>
      </c>
      <c r="E5832" s="74" t="s">
        <v>391</v>
      </c>
      <c r="F5832" s="74">
        <v>0</v>
      </c>
      <c r="G5832" s="74"/>
      <c r="H5832" s="74"/>
      <c r="I5832" s="74" t="s">
        <v>391</v>
      </c>
      <c r="J5832" s="74"/>
      <c r="K5832" s="74"/>
      <c r="L5832" s="74"/>
      <c r="M5832" s="74"/>
      <c r="N5832" s="74" t="s">
        <v>397</v>
      </c>
      <c r="O5832" s="74" t="s">
        <v>393</v>
      </c>
      <c r="P5832" s="74" t="s">
        <v>18351</v>
      </c>
      <c r="Q5832" s="74" t="s">
        <v>18352</v>
      </c>
    </row>
    <row r="5833" spans="3:17" x14ac:dyDescent="0.25">
      <c r="C5833" s="74" t="s">
        <v>18396</v>
      </c>
      <c r="D5833" s="74" t="s">
        <v>18397</v>
      </c>
      <c r="E5833" s="74" t="s">
        <v>391</v>
      </c>
      <c r="F5833" s="74">
        <v>0</v>
      </c>
      <c r="G5833" s="74"/>
      <c r="H5833" s="74"/>
      <c r="I5833" s="74" t="s">
        <v>391</v>
      </c>
      <c r="J5833" s="74"/>
      <c r="K5833" s="74"/>
      <c r="L5833" s="74"/>
      <c r="M5833" s="74"/>
      <c r="N5833" s="74" t="s">
        <v>397</v>
      </c>
      <c r="O5833" s="74" t="s">
        <v>393</v>
      </c>
      <c r="P5833" s="74" t="s">
        <v>18398</v>
      </c>
      <c r="Q5833" s="74" t="s">
        <v>18399</v>
      </c>
    </row>
    <row r="5834" spans="3:17" x14ac:dyDescent="0.25">
      <c r="C5834" s="74" t="s">
        <v>18418</v>
      </c>
      <c r="D5834" s="74" t="s">
        <v>18419</v>
      </c>
      <c r="E5834" s="74" t="s">
        <v>391</v>
      </c>
      <c r="F5834" s="74">
        <v>0</v>
      </c>
      <c r="G5834" s="74"/>
      <c r="H5834" s="74"/>
      <c r="I5834" s="74" t="s">
        <v>391</v>
      </c>
      <c r="J5834" s="74"/>
      <c r="K5834" s="74"/>
      <c r="L5834" s="74"/>
      <c r="M5834" s="74"/>
      <c r="N5834" s="74" t="s">
        <v>397</v>
      </c>
      <c r="O5834" s="74" t="s">
        <v>402</v>
      </c>
      <c r="P5834" s="74" t="s">
        <v>18420</v>
      </c>
      <c r="Q5834" s="74" t="s">
        <v>18421</v>
      </c>
    </row>
    <row r="5835" spans="3:17" x14ac:dyDescent="0.25">
      <c r="C5835" s="74" t="s">
        <v>18446</v>
      </c>
      <c r="D5835" s="74" t="s">
        <v>18447</v>
      </c>
      <c r="E5835" s="74" t="s">
        <v>391</v>
      </c>
      <c r="F5835" s="74">
        <v>0</v>
      </c>
      <c r="G5835" s="74"/>
      <c r="H5835" s="74"/>
      <c r="I5835" s="74" t="s">
        <v>391</v>
      </c>
      <c r="J5835" s="74"/>
      <c r="K5835" s="74"/>
      <c r="L5835" s="74"/>
      <c r="M5835" s="74"/>
      <c r="N5835" s="74" t="s">
        <v>397</v>
      </c>
      <c r="O5835" s="74" t="s">
        <v>393</v>
      </c>
      <c r="P5835" s="74" t="s">
        <v>18448</v>
      </c>
      <c r="Q5835" s="74" t="s">
        <v>18449</v>
      </c>
    </row>
    <row r="5836" spans="3:17" x14ac:dyDescent="0.25">
      <c r="C5836" s="74" t="s">
        <v>18450</v>
      </c>
      <c r="D5836" s="74" t="s">
        <v>18451</v>
      </c>
      <c r="E5836" s="74" t="s">
        <v>391</v>
      </c>
      <c r="F5836" s="74">
        <v>0</v>
      </c>
      <c r="G5836" s="74"/>
      <c r="H5836" s="74"/>
      <c r="I5836" s="74" t="s">
        <v>391</v>
      </c>
      <c r="J5836" s="74"/>
      <c r="K5836" s="74"/>
      <c r="L5836" s="74"/>
      <c r="M5836" s="74"/>
      <c r="N5836" s="74" t="s">
        <v>397</v>
      </c>
      <c r="O5836" s="74" t="s">
        <v>393</v>
      </c>
      <c r="P5836" s="74"/>
      <c r="Q5836" s="74" t="s">
        <v>18452</v>
      </c>
    </row>
    <row r="5837" spans="3:17" x14ac:dyDescent="0.25">
      <c r="C5837" s="74" t="s">
        <v>18453</v>
      </c>
      <c r="D5837" s="74" t="s">
        <v>18454</v>
      </c>
      <c r="E5837" s="74" t="s">
        <v>391</v>
      </c>
      <c r="F5837" s="74">
        <v>0</v>
      </c>
      <c r="G5837" s="74"/>
      <c r="H5837" s="74"/>
      <c r="I5837" s="74" t="s">
        <v>391</v>
      </c>
      <c r="J5837" s="74"/>
      <c r="K5837" s="74"/>
      <c r="L5837" s="74"/>
      <c r="M5837" s="74"/>
      <c r="N5837" s="74" t="s">
        <v>397</v>
      </c>
      <c r="O5837" s="74" t="s">
        <v>393</v>
      </c>
      <c r="P5837" s="74"/>
      <c r="Q5837" s="74" t="s">
        <v>18455</v>
      </c>
    </row>
    <row r="5838" spans="3:17" x14ac:dyDescent="0.25">
      <c r="C5838" s="74" t="s">
        <v>18487</v>
      </c>
      <c r="D5838" s="74" t="s">
        <v>18488</v>
      </c>
      <c r="E5838" s="74" t="s">
        <v>391</v>
      </c>
      <c r="F5838" s="74">
        <v>0</v>
      </c>
      <c r="G5838" s="74"/>
      <c r="H5838" s="74"/>
      <c r="I5838" s="74" t="s">
        <v>391</v>
      </c>
      <c r="J5838" s="74"/>
      <c r="K5838" s="74"/>
      <c r="L5838" s="74"/>
      <c r="M5838" s="74"/>
      <c r="N5838" s="74" t="s">
        <v>397</v>
      </c>
      <c r="O5838" s="74" t="s">
        <v>393</v>
      </c>
      <c r="P5838" s="74" t="s">
        <v>18489</v>
      </c>
      <c r="Q5838" s="74" t="s">
        <v>18490</v>
      </c>
    </row>
    <row r="5839" spans="3:17" x14ac:dyDescent="0.25">
      <c r="C5839" s="74" t="s">
        <v>18512</v>
      </c>
      <c r="D5839" s="74" t="s">
        <v>18513</v>
      </c>
      <c r="E5839" s="74" t="s">
        <v>391</v>
      </c>
      <c r="F5839" s="74">
        <v>0</v>
      </c>
      <c r="G5839" s="74"/>
      <c r="H5839" s="74"/>
      <c r="I5839" s="74" t="s">
        <v>391</v>
      </c>
      <c r="J5839" s="74"/>
      <c r="K5839" s="74"/>
      <c r="L5839" s="74"/>
      <c r="M5839" s="74"/>
      <c r="N5839" s="74" t="s">
        <v>397</v>
      </c>
      <c r="O5839" s="74" t="s">
        <v>393</v>
      </c>
      <c r="P5839" s="74" t="s">
        <v>18514</v>
      </c>
      <c r="Q5839" s="74" t="s">
        <v>18515</v>
      </c>
    </row>
    <row r="5840" spans="3:17" x14ac:dyDescent="0.25">
      <c r="C5840" s="74" t="s">
        <v>18592</v>
      </c>
      <c r="D5840" s="74" t="s">
        <v>18593</v>
      </c>
      <c r="E5840" s="74" t="s">
        <v>391</v>
      </c>
      <c r="F5840" s="74">
        <v>0</v>
      </c>
      <c r="G5840" s="74"/>
      <c r="H5840" s="74"/>
      <c r="I5840" s="74" t="s">
        <v>391</v>
      </c>
      <c r="J5840" s="74"/>
      <c r="K5840" s="74"/>
      <c r="L5840" s="74"/>
      <c r="M5840" s="74"/>
      <c r="N5840" s="74" t="s">
        <v>397</v>
      </c>
      <c r="O5840" s="74" t="s">
        <v>393</v>
      </c>
      <c r="P5840" s="74" t="s">
        <v>18594</v>
      </c>
      <c r="Q5840" s="74" t="s">
        <v>18595</v>
      </c>
    </row>
    <row r="5841" spans="3:17" x14ac:dyDescent="0.25">
      <c r="C5841" s="74" t="s">
        <v>18621</v>
      </c>
      <c r="D5841" s="74" t="s">
        <v>18622</v>
      </c>
      <c r="E5841" s="74" t="s">
        <v>391</v>
      </c>
      <c r="F5841" s="74">
        <v>0</v>
      </c>
      <c r="G5841" s="74"/>
      <c r="H5841" s="74"/>
      <c r="I5841" s="74" t="s">
        <v>391</v>
      </c>
      <c r="J5841" s="74"/>
      <c r="K5841" s="74"/>
      <c r="L5841" s="74"/>
      <c r="M5841" s="74"/>
      <c r="N5841" s="74" t="s">
        <v>397</v>
      </c>
      <c r="O5841" s="74" t="s">
        <v>393</v>
      </c>
      <c r="P5841" s="74" t="s">
        <v>18623</v>
      </c>
      <c r="Q5841" s="74" t="s">
        <v>18624</v>
      </c>
    </row>
    <row r="5842" spans="3:17" x14ac:dyDescent="0.25">
      <c r="C5842" s="74" t="s">
        <v>18644</v>
      </c>
      <c r="D5842" s="74" t="s">
        <v>18645</v>
      </c>
      <c r="E5842" s="74" t="s">
        <v>391</v>
      </c>
      <c r="F5842" s="74">
        <v>0</v>
      </c>
      <c r="G5842" s="74"/>
      <c r="H5842" s="74"/>
      <c r="I5842" s="74" t="s">
        <v>391</v>
      </c>
      <c r="J5842" s="74"/>
      <c r="K5842" s="74"/>
      <c r="L5842" s="74"/>
      <c r="M5842" s="74"/>
      <c r="N5842" s="74" t="s">
        <v>397</v>
      </c>
      <c r="O5842" s="74" t="s">
        <v>393</v>
      </c>
      <c r="P5842" s="74"/>
      <c r="Q5842" s="74" t="s">
        <v>18646</v>
      </c>
    </row>
    <row r="5843" spans="3:17" x14ac:dyDescent="0.25">
      <c r="C5843" s="74" t="s">
        <v>18647</v>
      </c>
      <c r="D5843" s="74" t="s">
        <v>18648</v>
      </c>
      <c r="E5843" s="74" t="s">
        <v>391</v>
      </c>
      <c r="F5843" s="74">
        <v>0</v>
      </c>
      <c r="G5843" s="74"/>
      <c r="H5843" s="74"/>
      <c r="I5843" s="74" t="s">
        <v>391</v>
      </c>
      <c r="J5843" s="74"/>
      <c r="K5843" s="74"/>
      <c r="L5843" s="74"/>
      <c r="M5843" s="74"/>
      <c r="N5843" s="74" t="s">
        <v>397</v>
      </c>
      <c r="O5843" s="74" t="s">
        <v>393</v>
      </c>
      <c r="P5843" s="74" t="s">
        <v>18649</v>
      </c>
      <c r="Q5843" s="74" t="s">
        <v>18650</v>
      </c>
    </row>
    <row r="5844" spans="3:17" x14ac:dyDescent="0.25">
      <c r="C5844" s="74" t="s">
        <v>18654</v>
      </c>
      <c r="D5844" s="74" t="s">
        <v>18655</v>
      </c>
      <c r="E5844" s="74" t="s">
        <v>391</v>
      </c>
      <c r="F5844" s="74">
        <v>0</v>
      </c>
      <c r="G5844" s="74"/>
      <c r="H5844" s="74"/>
      <c r="I5844" s="74" t="s">
        <v>391</v>
      </c>
      <c r="J5844" s="74"/>
      <c r="K5844" s="74"/>
      <c r="L5844" s="74"/>
      <c r="M5844" s="74"/>
      <c r="N5844" s="74" t="s">
        <v>397</v>
      </c>
      <c r="O5844" s="74" t="s">
        <v>393</v>
      </c>
      <c r="P5844" s="74" t="s">
        <v>18656</v>
      </c>
      <c r="Q5844" s="74" t="s">
        <v>18657</v>
      </c>
    </row>
    <row r="5845" spans="3:17" x14ac:dyDescent="0.25">
      <c r="C5845" s="74" t="s">
        <v>18668</v>
      </c>
      <c r="D5845" s="74" t="s">
        <v>18669</v>
      </c>
      <c r="E5845" s="74"/>
      <c r="F5845" s="74">
        <v>0</v>
      </c>
      <c r="G5845" s="74"/>
      <c r="H5845" s="74"/>
      <c r="I5845" s="74" t="s">
        <v>391</v>
      </c>
      <c r="J5845" s="74"/>
      <c r="K5845" s="74"/>
      <c r="L5845" s="74"/>
      <c r="M5845" s="74"/>
      <c r="N5845" s="74" t="s">
        <v>397</v>
      </c>
      <c r="O5845" s="74" t="s">
        <v>535</v>
      </c>
      <c r="P5845" s="74" t="s">
        <v>18670</v>
      </c>
      <c r="Q5845" s="74" t="s">
        <v>18671</v>
      </c>
    </row>
    <row r="5846" spans="3:17" x14ac:dyDescent="0.25">
      <c r="C5846" s="74" t="s">
        <v>18693</v>
      </c>
      <c r="D5846" s="74" t="s">
        <v>18694</v>
      </c>
      <c r="E5846" s="74" t="s">
        <v>391</v>
      </c>
      <c r="F5846" s="74">
        <v>0</v>
      </c>
      <c r="G5846" s="74"/>
      <c r="H5846" s="74"/>
      <c r="I5846" s="74" t="s">
        <v>391</v>
      </c>
      <c r="J5846" s="74"/>
      <c r="K5846" s="74">
        <v>102.4</v>
      </c>
      <c r="L5846" s="74">
        <v>92.16</v>
      </c>
      <c r="M5846" s="74"/>
      <c r="N5846" s="74" t="s">
        <v>392</v>
      </c>
      <c r="O5846" s="74" t="s">
        <v>393</v>
      </c>
      <c r="P5846" s="74"/>
      <c r="Q5846" s="74" t="s">
        <v>18695</v>
      </c>
    </row>
    <row r="5847" spans="3:17" x14ac:dyDescent="0.25">
      <c r="C5847" s="74" t="s">
        <v>18702</v>
      </c>
      <c r="D5847" s="74" t="s">
        <v>18703</v>
      </c>
      <c r="E5847" s="74" t="s">
        <v>391</v>
      </c>
      <c r="F5847" s="74">
        <v>0</v>
      </c>
      <c r="G5847" s="74"/>
      <c r="H5847" s="74"/>
      <c r="I5847" s="74" t="s">
        <v>391</v>
      </c>
      <c r="J5847" s="74"/>
      <c r="K5847" s="74"/>
      <c r="L5847" s="74"/>
      <c r="M5847" s="74"/>
      <c r="N5847" s="74" t="s">
        <v>397</v>
      </c>
      <c r="O5847" s="74" t="s">
        <v>393</v>
      </c>
      <c r="P5847" s="74"/>
      <c r="Q5847" s="74" t="s">
        <v>18704</v>
      </c>
    </row>
    <row r="5848" spans="3:17" x14ac:dyDescent="0.25">
      <c r="C5848" s="74" t="s">
        <v>18705</v>
      </c>
      <c r="D5848" s="74" t="s">
        <v>18706</v>
      </c>
      <c r="E5848" s="74" t="s">
        <v>391</v>
      </c>
      <c r="F5848" s="74">
        <v>0</v>
      </c>
      <c r="G5848" s="74"/>
      <c r="H5848" s="74"/>
      <c r="I5848" s="74" t="s">
        <v>391</v>
      </c>
      <c r="J5848" s="74"/>
      <c r="K5848" s="74"/>
      <c r="L5848" s="74"/>
      <c r="M5848" s="74"/>
      <c r="N5848" s="74" t="s">
        <v>397</v>
      </c>
      <c r="O5848" s="74" t="s">
        <v>393</v>
      </c>
      <c r="P5848" s="74" t="s">
        <v>18707</v>
      </c>
      <c r="Q5848" s="74" t="s">
        <v>18708</v>
      </c>
    </row>
    <row r="5849" spans="3:17" x14ac:dyDescent="0.25">
      <c r="C5849" s="74" t="s">
        <v>18730</v>
      </c>
      <c r="D5849" s="74" t="s">
        <v>18731</v>
      </c>
      <c r="E5849" s="74" t="s">
        <v>391</v>
      </c>
      <c r="F5849" s="74">
        <v>0</v>
      </c>
      <c r="G5849" s="74"/>
      <c r="H5849" s="74"/>
      <c r="I5849" s="74" t="s">
        <v>391</v>
      </c>
      <c r="J5849" s="74"/>
      <c r="K5849" s="74"/>
      <c r="L5849" s="74"/>
      <c r="M5849" s="74"/>
      <c r="N5849" s="74" t="s">
        <v>397</v>
      </c>
      <c r="O5849" s="74" t="s">
        <v>393</v>
      </c>
      <c r="P5849" s="74" t="s">
        <v>18732</v>
      </c>
      <c r="Q5849" s="74" t="s">
        <v>18733</v>
      </c>
    </row>
    <row r="5850" spans="3:17" x14ac:dyDescent="0.25">
      <c r="C5850" s="74" t="s">
        <v>18758</v>
      </c>
      <c r="D5850" s="74" t="s">
        <v>18759</v>
      </c>
      <c r="E5850" s="74" t="s">
        <v>391</v>
      </c>
      <c r="F5850" s="74">
        <v>0</v>
      </c>
      <c r="G5850" s="74"/>
      <c r="H5850" s="74"/>
      <c r="I5850" s="74" t="s">
        <v>391</v>
      </c>
      <c r="J5850" s="74"/>
      <c r="K5850" s="74"/>
      <c r="L5850" s="74"/>
      <c r="M5850" s="74"/>
      <c r="N5850" s="74" t="s">
        <v>397</v>
      </c>
      <c r="O5850" s="74" t="s">
        <v>393</v>
      </c>
      <c r="P5850" s="74" t="s">
        <v>18760</v>
      </c>
      <c r="Q5850" s="74" t="s">
        <v>18761</v>
      </c>
    </row>
    <row r="5851" spans="3:17" x14ac:dyDescent="0.25">
      <c r="C5851" s="74" t="s">
        <v>18768</v>
      </c>
      <c r="D5851" s="74" t="s">
        <v>18769</v>
      </c>
      <c r="E5851" s="74" t="s">
        <v>391</v>
      </c>
      <c r="F5851" s="74">
        <v>0</v>
      </c>
      <c r="G5851" s="74"/>
      <c r="H5851" s="74"/>
      <c r="I5851" s="74" t="s">
        <v>391</v>
      </c>
      <c r="J5851" s="74"/>
      <c r="K5851" s="74">
        <v>102.4</v>
      </c>
      <c r="L5851" s="74">
        <v>92.16</v>
      </c>
      <c r="M5851" s="74"/>
      <c r="N5851" s="74" t="s">
        <v>392</v>
      </c>
      <c r="O5851" s="74" t="s">
        <v>393</v>
      </c>
      <c r="P5851" s="74"/>
      <c r="Q5851" s="74" t="s">
        <v>18770</v>
      </c>
    </row>
    <row r="5852" spans="3:17" x14ac:dyDescent="0.25">
      <c r="C5852" s="74" t="s">
        <v>18785</v>
      </c>
      <c r="D5852" s="74" t="s">
        <v>18786</v>
      </c>
      <c r="E5852" s="74" t="s">
        <v>391</v>
      </c>
      <c r="F5852" s="74">
        <v>0</v>
      </c>
      <c r="G5852" s="74"/>
      <c r="H5852" s="74"/>
      <c r="I5852" s="74" t="s">
        <v>391</v>
      </c>
      <c r="J5852" s="74"/>
      <c r="K5852" s="74">
        <v>102.4</v>
      </c>
      <c r="L5852" s="74">
        <v>92.16</v>
      </c>
      <c r="M5852" s="74"/>
      <c r="N5852" s="74" t="s">
        <v>392</v>
      </c>
      <c r="O5852" s="74" t="s">
        <v>393</v>
      </c>
      <c r="P5852" s="74"/>
      <c r="Q5852" s="74" t="s">
        <v>18787</v>
      </c>
    </row>
    <row r="5853" spans="3:17" x14ac:dyDescent="0.25">
      <c r="C5853" s="74" t="s">
        <v>18823</v>
      </c>
      <c r="D5853" s="74" t="s">
        <v>18824</v>
      </c>
      <c r="E5853" s="74"/>
      <c r="F5853" s="74">
        <v>0</v>
      </c>
      <c r="G5853" s="74"/>
      <c r="H5853" s="74"/>
      <c r="I5853" s="74" t="s">
        <v>391</v>
      </c>
      <c r="J5853" s="74"/>
      <c r="K5853" s="74">
        <v>102.4</v>
      </c>
      <c r="L5853" s="74">
        <v>92.16</v>
      </c>
      <c r="M5853" s="74"/>
      <c r="N5853" s="74" t="s">
        <v>392</v>
      </c>
      <c r="O5853" s="74" t="s">
        <v>402</v>
      </c>
      <c r="P5853" s="74"/>
      <c r="Q5853" s="74" t="s">
        <v>18825</v>
      </c>
    </row>
    <row r="5854" spans="3:17" x14ac:dyDescent="0.25">
      <c r="C5854" s="74" t="s">
        <v>18867</v>
      </c>
      <c r="D5854" s="74" t="s">
        <v>18868</v>
      </c>
      <c r="E5854" s="74" t="s">
        <v>391</v>
      </c>
      <c r="F5854" s="74">
        <v>0</v>
      </c>
      <c r="G5854" s="74"/>
      <c r="H5854" s="74"/>
      <c r="I5854" s="74" t="s">
        <v>391</v>
      </c>
      <c r="J5854" s="74"/>
      <c r="K5854" s="74"/>
      <c r="L5854" s="74"/>
      <c r="M5854" s="74"/>
      <c r="N5854" s="74" t="s">
        <v>397</v>
      </c>
      <c r="O5854" s="74" t="s">
        <v>393</v>
      </c>
      <c r="P5854" s="74" t="s">
        <v>18869</v>
      </c>
      <c r="Q5854" s="74" t="s">
        <v>18870</v>
      </c>
    </row>
    <row r="5855" spans="3:17" x14ac:dyDescent="0.25">
      <c r="C5855" s="74" t="s">
        <v>18907</v>
      </c>
      <c r="D5855" s="74" t="s">
        <v>18908</v>
      </c>
      <c r="E5855" s="74"/>
      <c r="F5855" s="74">
        <v>0</v>
      </c>
      <c r="G5855" s="74"/>
      <c r="H5855" s="74"/>
      <c r="I5855" s="74" t="s">
        <v>391</v>
      </c>
      <c r="J5855" s="74"/>
      <c r="K5855" s="74">
        <v>102.4</v>
      </c>
      <c r="L5855" s="74">
        <v>92.16</v>
      </c>
      <c r="M5855" s="74"/>
      <c r="N5855" s="74" t="s">
        <v>392</v>
      </c>
      <c r="O5855" s="74" t="s">
        <v>402</v>
      </c>
      <c r="P5855" s="74"/>
      <c r="Q5855" s="74" t="s">
        <v>18909</v>
      </c>
    </row>
    <row r="5856" spans="3:17" x14ac:dyDescent="0.25">
      <c r="C5856" s="74" t="s">
        <v>18910</v>
      </c>
      <c r="D5856" s="74" t="s">
        <v>18911</v>
      </c>
      <c r="E5856" s="74" t="s">
        <v>391</v>
      </c>
      <c r="F5856" s="74">
        <v>0</v>
      </c>
      <c r="G5856" s="74"/>
      <c r="H5856" s="74"/>
      <c r="I5856" s="74" t="s">
        <v>391</v>
      </c>
      <c r="J5856" s="74"/>
      <c r="K5856" s="74"/>
      <c r="L5856" s="74"/>
      <c r="M5856" s="74"/>
      <c r="N5856" s="74" t="s">
        <v>397</v>
      </c>
      <c r="O5856" s="74" t="s">
        <v>393</v>
      </c>
      <c r="P5856" s="74" t="s">
        <v>18912</v>
      </c>
      <c r="Q5856" s="74" t="s">
        <v>18913</v>
      </c>
    </row>
    <row r="5857" spans="3:17" x14ac:dyDescent="0.25">
      <c r="C5857" s="74" t="s">
        <v>18918</v>
      </c>
      <c r="D5857" s="74" t="s">
        <v>18919</v>
      </c>
      <c r="E5857" s="74" t="s">
        <v>391</v>
      </c>
      <c r="F5857" s="74">
        <v>0</v>
      </c>
      <c r="G5857" s="74"/>
      <c r="H5857" s="74"/>
      <c r="I5857" s="74" t="s">
        <v>391</v>
      </c>
      <c r="J5857" s="74"/>
      <c r="K5857" s="74"/>
      <c r="L5857" s="74"/>
      <c r="M5857" s="74"/>
      <c r="N5857" s="74" t="s">
        <v>397</v>
      </c>
      <c r="O5857" s="74" t="s">
        <v>393</v>
      </c>
      <c r="P5857" s="74" t="s">
        <v>18920</v>
      </c>
      <c r="Q5857" s="74" t="s">
        <v>18921</v>
      </c>
    </row>
    <row r="5858" spans="3:17" x14ac:dyDescent="0.25">
      <c r="C5858" s="74" t="s">
        <v>18942</v>
      </c>
      <c r="D5858" s="74" t="s">
        <v>18943</v>
      </c>
      <c r="E5858" s="74" t="s">
        <v>391</v>
      </c>
      <c r="F5858" s="74">
        <v>0</v>
      </c>
      <c r="G5858" s="74"/>
      <c r="H5858" s="74"/>
      <c r="I5858" s="74" t="s">
        <v>391</v>
      </c>
      <c r="J5858" s="74"/>
      <c r="K5858" s="74">
        <v>102.4</v>
      </c>
      <c r="L5858" s="74">
        <v>92.16</v>
      </c>
      <c r="M5858" s="74"/>
      <c r="N5858" s="74" t="s">
        <v>392</v>
      </c>
      <c r="O5858" s="74" t="s">
        <v>393</v>
      </c>
      <c r="P5858" s="74"/>
      <c r="Q5858" s="74" t="s">
        <v>18944</v>
      </c>
    </row>
    <row r="5859" spans="3:17" x14ac:dyDescent="0.25">
      <c r="C5859" s="74" t="s">
        <v>18945</v>
      </c>
      <c r="D5859" s="74" t="s">
        <v>18946</v>
      </c>
      <c r="E5859" s="74" t="s">
        <v>391</v>
      </c>
      <c r="F5859" s="74">
        <v>0</v>
      </c>
      <c r="G5859" s="74"/>
      <c r="H5859" s="74"/>
      <c r="I5859" s="74" t="s">
        <v>391</v>
      </c>
      <c r="J5859" s="74"/>
      <c r="K5859" s="74"/>
      <c r="L5859" s="74"/>
      <c r="M5859" s="74"/>
      <c r="N5859" s="74" t="s">
        <v>397</v>
      </c>
      <c r="O5859" s="74" t="s">
        <v>393</v>
      </c>
      <c r="P5859" s="74" t="s">
        <v>18947</v>
      </c>
      <c r="Q5859" s="74" t="s">
        <v>18948</v>
      </c>
    </row>
    <row r="5860" spans="3:17" x14ac:dyDescent="0.25">
      <c r="C5860" s="74" t="s">
        <v>18959</v>
      </c>
      <c r="D5860" s="74" t="s">
        <v>18960</v>
      </c>
      <c r="E5860" s="74" t="s">
        <v>391</v>
      </c>
      <c r="F5860" s="74">
        <v>0</v>
      </c>
      <c r="G5860" s="74"/>
      <c r="H5860" s="74"/>
      <c r="I5860" s="74" t="s">
        <v>391</v>
      </c>
      <c r="J5860" s="74"/>
      <c r="K5860" s="74">
        <v>102.4</v>
      </c>
      <c r="L5860" s="74">
        <v>92.16</v>
      </c>
      <c r="M5860" s="74"/>
      <c r="N5860" s="74" t="s">
        <v>392</v>
      </c>
      <c r="O5860" s="74" t="s">
        <v>393</v>
      </c>
      <c r="P5860" s="74"/>
      <c r="Q5860" s="74" t="s">
        <v>18961</v>
      </c>
    </row>
    <row r="5861" spans="3:17" x14ac:dyDescent="0.25">
      <c r="C5861" s="74" t="s">
        <v>18962</v>
      </c>
      <c r="D5861" s="74" t="s">
        <v>18963</v>
      </c>
      <c r="E5861" s="74" t="s">
        <v>391</v>
      </c>
      <c r="F5861" s="74">
        <v>0</v>
      </c>
      <c r="G5861" s="74"/>
      <c r="H5861" s="74"/>
      <c r="I5861" s="74" t="s">
        <v>391</v>
      </c>
      <c r="J5861" s="74"/>
      <c r="K5861" s="74">
        <v>102.4</v>
      </c>
      <c r="L5861" s="74">
        <v>92.16</v>
      </c>
      <c r="M5861" s="74"/>
      <c r="N5861" s="74" t="s">
        <v>392</v>
      </c>
      <c r="O5861" s="74" t="s">
        <v>393</v>
      </c>
      <c r="P5861" s="74"/>
      <c r="Q5861" s="74" t="s">
        <v>18964</v>
      </c>
    </row>
    <row r="5862" spans="3:17" x14ac:dyDescent="0.25">
      <c r="C5862" s="74" t="s">
        <v>18981</v>
      </c>
      <c r="D5862" s="74" t="s">
        <v>18982</v>
      </c>
      <c r="E5862" s="74" t="s">
        <v>391</v>
      </c>
      <c r="F5862" s="74">
        <v>0</v>
      </c>
      <c r="G5862" s="74"/>
      <c r="H5862" s="74"/>
      <c r="I5862" s="74" t="s">
        <v>391</v>
      </c>
      <c r="J5862" s="74"/>
      <c r="K5862" s="74">
        <v>102.4</v>
      </c>
      <c r="L5862" s="74">
        <v>92.16</v>
      </c>
      <c r="M5862" s="74"/>
      <c r="N5862" s="74" t="s">
        <v>392</v>
      </c>
      <c r="O5862" s="74" t="s">
        <v>393</v>
      </c>
      <c r="P5862" s="74"/>
      <c r="Q5862" s="74" t="s">
        <v>18983</v>
      </c>
    </row>
    <row r="5863" spans="3:17" x14ac:dyDescent="0.25">
      <c r="C5863" s="74" t="s">
        <v>18988</v>
      </c>
      <c r="D5863" s="74" t="s">
        <v>18989</v>
      </c>
      <c r="E5863" s="74" t="s">
        <v>391</v>
      </c>
      <c r="F5863" s="74">
        <v>0</v>
      </c>
      <c r="G5863" s="74"/>
      <c r="H5863" s="74"/>
      <c r="I5863" s="74" t="s">
        <v>391</v>
      </c>
      <c r="J5863" s="74"/>
      <c r="K5863" s="74"/>
      <c r="L5863" s="74"/>
      <c r="M5863" s="74"/>
      <c r="N5863" s="74" t="s">
        <v>397</v>
      </c>
      <c r="O5863" s="74" t="s">
        <v>393</v>
      </c>
      <c r="P5863" s="74" t="s">
        <v>18990</v>
      </c>
      <c r="Q5863" s="74" t="s">
        <v>18991</v>
      </c>
    </row>
    <row r="5864" spans="3:17" x14ac:dyDescent="0.25">
      <c r="C5864" s="74" t="s">
        <v>18992</v>
      </c>
      <c r="D5864" s="74" t="s">
        <v>18993</v>
      </c>
      <c r="E5864" s="74" t="s">
        <v>391</v>
      </c>
      <c r="F5864" s="74">
        <v>0</v>
      </c>
      <c r="G5864" s="74"/>
      <c r="H5864" s="74"/>
      <c r="I5864" s="74" t="s">
        <v>391</v>
      </c>
      <c r="J5864" s="74"/>
      <c r="K5864" s="74"/>
      <c r="L5864" s="74"/>
      <c r="M5864" s="74"/>
      <c r="N5864" s="74" t="s">
        <v>397</v>
      </c>
      <c r="O5864" s="74" t="s">
        <v>393</v>
      </c>
      <c r="P5864" s="74" t="s">
        <v>18994</v>
      </c>
      <c r="Q5864" s="74" t="s">
        <v>18995</v>
      </c>
    </row>
    <row r="5865" spans="3:17" x14ac:dyDescent="0.25">
      <c r="C5865" s="74" t="s">
        <v>19020</v>
      </c>
      <c r="D5865" s="74" t="s">
        <v>19021</v>
      </c>
      <c r="E5865" s="74" t="s">
        <v>391</v>
      </c>
      <c r="F5865" s="74">
        <v>0</v>
      </c>
      <c r="G5865" s="74"/>
      <c r="H5865" s="74"/>
      <c r="I5865" s="74" t="s">
        <v>391</v>
      </c>
      <c r="J5865" s="74"/>
      <c r="K5865" s="74"/>
      <c r="L5865" s="74"/>
      <c r="M5865" s="74"/>
      <c r="N5865" s="74" t="s">
        <v>397</v>
      </c>
      <c r="O5865" s="74" t="s">
        <v>393</v>
      </c>
      <c r="P5865" s="74" t="s">
        <v>19022</v>
      </c>
      <c r="Q5865" s="74" t="s">
        <v>19023</v>
      </c>
    </row>
    <row r="5866" spans="3:17" x14ac:dyDescent="0.25">
      <c r="C5866" s="74" t="s">
        <v>19050</v>
      </c>
      <c r="D5866" s="74" t="s">
        <v>19051</v>
      </c>
      <c r="E5866" s="74" t="s">
        <v>391</v>
      </c>
      <c r="F5866" s="74">
        <v>0</v>
      </c>
      <c r="G5866" s="74"/>
      <c r="H5866" s="74"/>
      <c r="I5866" s="74" t="s">
        <v>391</v>
      </c>
      <c r="J5866" s="74"/>
      <c r="K5866" s="74"/>
      <c r="L5866" s="74"/>
      <c r="M5866" s="74"/>
      <c r="N5866" s="74" t="s">
        <v>397</v>
      </c>
      <c r="O5866" s="74" t="s">
        <v>393</v>
      </c>
      <c r="P5866" s="74" t="s">
        <v>19052</v>
      </c>
      <c r="Q5866" s="74" t="s">
        <v>19053</v>
      </c>
    </row>
    <row r="5867" spans="3:17" x14ac:dyDescent="0.25">
      <c r="C5867" s="74" t="s">
        <v>19058</v>
      </c>
      <c r="D5867" s="74" t="s">
        <v>19059</v>
      </c>
      <c r="E5867" s="74" t="s">
        <v>391</v>
      </c>
      <c r="F5867" s="74">
        <v>0</v>
      </c>
      <c r="G5867" s="74"/>
      <c r="H5867" s="74"/>
      <c r="I5867" s="74" t="s">
        <v>391</v>
      </c>
      <c r="J5867" s="74"/>
      <c r="K5867" s="74"/>
      <c r="L5867" s="74"/>
      <c r="M5867" s="74"/>
      <c r="N5867" s="74" t="s">
        <v>397</v>
      </c>
      <c r="O5867" s="74" t="s">
        <v>393</v>
      </c>
      <c r="P5867" s="74" t="s">
        <v>19060</v>
      </c>
      <c r="Q5867" s="74" t="s">
        <v>19061</v>
      </c>
    </row>
    <row r="5868" spans="3:17" x14ac:dyDescent="0.25">
      <c r="C5868" s="74" t="s">
        <v>19065</v>
      </c>
      <c r="D5868" s="74" t="s">
        <v>19066</v>
      </c>
      <c r="E5868" s="74" t="s">
        <v>391</v>
      </c>
      <c r="F5868" s="74">
        <v>0</v>
      </c>
      <c r="G5868" s="74"/>
      <c r="H5868" s="74"/>
      <c r="I5868" s="74" t="s">
        <v>391</v>
      </c>
      <c r="J5868" s="74"/>
      <c r="K5868" s="74"/>
      <c r="L5868" s="74"/>
      <c r="M5868" s="74"/>
      <c r="N5868" s="74" t="s">
        <v>397</v>
      </c>
      <c r="O5868" s="74" t="s">
        <v>393</v>
      </c>
      <c r="P5868" s="74" t="s">
        <v>19067</v>
      </c>
      <c r="Q5868" s="74" t="s">
        <v>19068</v>
      </c>
    </row>
    <row r="5869" spans="3:17" x14ac:dyDescent="0.25">
      <c r="C5869" s="74" t="s">
        <v>19076</v>
      </c>
      <c r="D5869" s="74" t="s">
        <v>19077</v>
      </c>
      <c r="E5869" s="74" t="s">
        <v>391</v>
      </c>
      <c r="F5869" s="74">
        <v>0</v>
      </c>
      <c r="G5869" s="74"/>
      <c r="H5869" s="74"/>
      <c r="I5869" s="74" t="s">
        <v>391</v>
      </c>
      <c r="J5869" s="74"/>
      <c r="K5869" s="74"/>
      <c r="L5869" s="74"/>
      <c r="M5869" s="74"/>
      <c r="N5869" s="74" t="s">
        <v>397</v>
      </c>
      <c r="O5869" s="74" t="s">
        <v>402</v>
      </c>
      <c r="P5869" s="74" t="s">
        <v>19078</v>
      </c>
      <c r="Q5869" s="74" t="s">
        <v>19079</v>
      </c>
    </row>
    <row r="5870" spans="3:17" x14ac:dyDescent="0.25">
      <c r="C5870" s="74" t="s">
        <v>19136</v>
      </c>
      <c r="D5870" s="74" t="s">
        <v>19137</v>
      </c>
      <c r="E5870" s="74" t="s">
        <v>391</v>
      </c>
      <c r="F5870" s="74">
        <v>0</v>
      </c>
      <c r="G5870" s="74"/>
      <c r="H5870" s="74"/>
      <c r="I5870" s="74" t="s">
        <v>391</v>
      </c>
      <c r="J5870" s="74"/>
      <c r="K5870" s="74"/>
      <c r="L5870" s="74"/>
      <c r="M5870" s="74"/>
      <c r="N5870" s="74" t="s">
        <v>397</v>
      </c>
      <c r="O5870" s="74" t="s">
        <v>393</v>
      </c>
      <c r="P5870" s="74" t="s">
        <v>19138</v>
      </c>
      <c r="Q5870" s="74" t="s">
        <v>19139</v>
      </c>
    </row>
    <row r="5871" spans="3:17" x14ac:dyDescent="0.25">
      <c r="C5871" s="74" t="s">
        <v>19208</v>
      </c>
      <c r="D5871" s="74" t="s">
        <v>19209</v>
      </c>
      <c r="E5871" s="74" t="s">
        <v>391</v>
      </c>
      <c r="F5871" s="74">
        <v>0</v>
      </c>
      <c r="G5871" s="74"/>
      <c r="H5871" s="74"/>
      <c r="I5871" s="74" t="s">
        <v>391</v>
      </c>
      <c r="J5871" s="74"/>
      <c r="K5871" s="74">
        <v>102.4</v>
      </c>
      <c r="L5871" s="74">
        <v>92.16</v>
      </c>
      <c r="M5871" s="74"/>
      <c r="N5871" s="74" t="s">
        <v>392</v>
      </c>
      <c r="O5871" s="74" t="s">
        <v>393</v>
      </c>
      <c r="P5871" s="74"/>
      <c r="Q5871" s="74" t="s">
        <v>19210</v>
      </c>
    </row>
    <row r="5872" spans="3:17" x14ac:dyDescent="0.25">
      <c r="C5872" s="74" t="s">
        <v>19219</v>
      </c>
      <c r="D5872" s="74" t="s">
        <v>19220</v>
      </c>
      <c r="E5872" s="74" t="s">
        <v>391</v>
      </c>
      <c r="F5872" s="74">
        <v>0</v>
      </c>
      <c r="G5872" s="74"/>
      <c r="H5872" s="74"/>
      <c r="I5872" s="74" t="s">
        <v>391</v>
      </c>
      <c r="J5872" s="74"/>
      <c r="K5872" s="74"/>
      <c r="L5872" s="74"/>
      <c r="M5872" s="74"/>
      <c r="N5872" s="74" t="s">
        <v>397</v>
      </c>
      <c r="O5872" s="74" t="s">
        <v>393</v>
      </c>
      <c r="P5872" s="74" t="s">
        <v>19221</v>
      </c>
      <c r="Q5872" s="74" t="s">
        <v>19222</v>
      </c>
    </row>
    <row r="5873" spans="3:17" x14ac:dyDescent="0.25">
      <c r="C5873" s="74" t="s">
        <v>19223</v>
      </c>
      <c r="D5873" s="74" t="s">
        <v>19224</v>
      </c>
      <c r="E5873" s="74" t="s">
        <v>391</v>
      </c>
      <c r="F5873" s="74">
        <v>0</v>
      </c>
      <c r="G5873" s="74"/>
      <c r="H5873" s="74"/>
      <c r="I5873" s="74" t="s">
        <v>391</v>
      </c>
      <c r="J5873" s="74"/>
      <c r="K5873" s="74"/>
      <c r="L5873" s="74"/>
      <c r="M5873" s="74"/>
      <c r="N5873" s="74" t="s">
        <v>397</v>
      </c>
      <c r="O5873" s="74" t="s">
        <v>393</v>
      </c>
      <c r="P5873" s="74" t="s">
        <v>19225</v>
      </c>
      <c r="Q5873" s="74" t="s">
        <v>19226</v>
      </c>
    </row>
    <row r="5874" spans="3:17" x14ac:dyDescent="0.25">
      <c r="C5874" s="74" t="s">
        <v>19227</v>
      </c>
      <c r="D5874" s="74" t="s">
        <v>19228</v>
      </c>
      <c r="E5874" s="74" t="s">
        <v>391</v>
      </c>
      <c r="F5874" s="74">
        <v>0</v>
      </c>
      <c r="G5874" s="74"/>
      <c r="H5874" s="74"/>
      <c r="I5874" s="74" t="s">
        <v>391</v>
      </c>
      <c r="J5874" s="74"/>
      <c r="K5874" s="74"/>
      <c r="L5874" s="74"/>
      <c r="M5874" s="74"/>
      <c r="N5874" s="74" t="s">
        <v>397</v>
      </c>
      <c r="O5874" s="74" t="s">
        <v>393</v>
      </c>
      <c r="P5874" s="74" t="s">
        <v>19229</v>
      </c>
      <c r="Q5874" s="74" t="s">
        <v>19230</v>
      </c>
    </row>
    <row r="5875" spans="3:17" x14ac:dyDescent="0.25">
      <c r="C5875" s="74" t="s">
        <v>19285</v>
      </c>
      <c r="D5875" s="74" t="s">
        <v>19286</v>
      </c>
      <c r="E5875" s="74" t="s">
        <v>391</v>
      </c>
      <c r="F5875" s="74">
        <v>0</v>
      </c>
      <c r="G5875" s="74"/>
      <c r="H5875" s="74"/>
      <c r="I5875" s="74" t="s">
        <v>391</v>
      </c>
      <c r="J5875" s="74"/>
      <c r="K5875" s="74">
        <v>102.4</v>
      </c>
      <c r="L5875" s="74">
        <v>92.16</v>
      </c>
      <c r="M5875" s="74"/>
      <c r="N5875" s="74" t="s">
        <v>392</v>
      </c>
      <c r="O5875" s="74" t="s">
        <v>393</v>
      </c>
      <c r="P5875" s="74"/>
      <c r="Q5875" s="74" t="s">
        <v>19287</v>
      </c>
    </row>
    <row r="5876" spans="3:17" x14ac:dyDescent="0.25">
      <c r="C5876" s="74" t="s">
        <v>19299</v>
      </c>
      <c r="D5876" s="74" t="s">
        <v>19300</v>
      </c>
      <c r="E5876" s="74" t="s">
        <v>391</v>
      </c>
      <c r="F5876" s="74">
        <v>0</v>
      </c>
      <c r="G5876" s="74"/>
      <c r="H5876" s="74"/>
      <c r="I5876" s="74" t="s">
        <v>391</v>
      </c>
      <c r="J5876" s="74"/>
      <c r="K5876" s="74"/>
      <c r="L5876" s="74"/>
      <c r="M5876" s="74"/>
      <c r="N5876" s="74" t="s">
        <v>397</v>
      </c>
      <c r="O5876" s="74" t="s">
        <v>393</v>
      </c>
      <c r="P5876" s="74" t="s">
        <v>19301</v>
      </c>
      <c r="Q5876" s="74" t="s">
        <v>19302</v>
      </c>
    </row>
    <row r="5877" spans="3:17" x14ac:dyDescent="0.25">
      <c r="C5877" s="74" t="s">
        <v>19346</v>
      </c>
      <c r="D5877" s="74" t="s">
        <v>19347</v>
      </c>
      <c r="E5877" s="74" t="s">
        <v>391</v>
      </c>
      <c r="F5877" s="74">
        <v>0</v>
      </c>
      <c r="G5877" s="74"/>
      <c r="H5877" s="74"/>
      <c r="I5877" s="74" t="s">
        <v>391</v>
      </c>
      <c r="J5877" s="74"/>
      <c r="K5877" s="74"/>
      <c r="L5877" s="74"/>
      <c r="M5877" s="74"/>
      <c r="N5877" s="74" t="s">
        <v>397</v>
      </c>
      <c r="O5877" s="74" t="s">
        <v>393</v>
      </c>
      <c r="P5877" s="74"/>
      <c r="Q5877" s="74" t="s">
        <v>19348</v>
      </c>
    </row>
    <row r="5878" spans="3:17" x14ac:dyDescent="0.25">
      <c r="C5878" s="74" t="s">
        <v>19415</v>
      </c>
      <c r="D5878" s="74" t="s">
        <v>19416</v>
      </c>
      <c r="E5878" s="74" t="s">
        <v>391</v>
      </c>
      <c r="F5878" s="74">
        <v>0</v>
      </c>
      <c r="G5878" s="74"/>
      <c r="H5878" s="74"/>
      <c r="I5878" s="74" t="s">
        <v>391</v>
      </c>
      <c r="J5878" s="74"/>
      <c r="K5878" s="74">
        <v>102.4</v>
      </c>
      <c r="L5878" s="74">
        <v>92.16</v>
      </c>
      <c r="M5878" s="74"/>
      <c r="N5878" s="74" t="s">
        <v>392</v>
      </c>
      <c r="O5878" s="74" t="s">
        <v>393</v>
      </c>
      <c r="P5878" s="74"/>
      <c r="Q5878" s="74" t="s">
        <v>19417</v>
      </c>
    </row>
    <row r="5879" spans="3:17" x14ac:dyDescent="0.25">
      <c r="C5879" s="74" t="s">
        <v>19418</v>
      </c>
      <c r="D5879" s="74" t="s">
        <v>19419</v>
      </c>
      <c r="E5879" s="74" t="s">
        <v>391</v>
      </c>
      <c r="F5879" s="74">
        <v>0</v>
      </c>
      <c r="G5879" s="74"/>
      <c r="H5879" s="74"/>
      <c r="I5879" s="74" t="s">
        <v>391</v>
      </c>
      <c r="J5879" s="74"/>
      <c r="K5879" s="74"/>
      <c r="L5879" s="74"/>
      <c r="M5879" s="74"/>
      <c r="N5879" s="74" t="s">
        <v>397</v>
      </c>
      <c r="O5879" s="74" t="s">
        <v>393</v>
      </c>
      <c r="P5879" s="74" t="s">
        <v>19420</v>
      </c>
      <c r="Q5879" s="74" t="s">
        <v>19421</v>
      </c>
    </row>
    <row r="5880" spans="3:17" x14ac:dyDescent="0.25">
      <c r="C5880" s="74" t="s">
        <v>19483</v>
      </c>
      <c r="D5880" s="74" t="s">
        <v>19484</v>
      </c>
      <c r="E5880" s="74" t="s">
        <v>391</v>
      </c>
      <c r="F5880" s="74">
        <v>0</v>
      </c>
      <c r="G5880" s="74"/>
      <c r="H5880" s="74"/>
      <c r="I5880" s="74" t="s">
        <v>391</v>
      </c>
      <c r="J5880" s="74"/>
      <c r="K5880" s="74"/>
      <c r="L5880" s="74"/>
      <c r="M5880" s="74"/>
      <c r="N5880" s="74" t="s">
        <v>397</v>
      </c>
      <c r="O5880" s="74" t="s">
        <v>393</v>
      </c>
      <c r="P5880" s="74" t="s">
        <v>19485</v>
      </c>
      <c r="Q5880" s="74" t="s">
        <v>19486</v>
      </c>
    </row>
    <row r="5881" spans="3:17" x14ac:dyDescent="0.25">
      <c r="C5881" s="74" t="s">
        <v>19515</v>
      </c>
      <c r="D5881" s="74" t="s">
        <v>19516</v>
      </c>
      <c r="E5881" s="74" t="s">
        <v>391</v>
      </c>
      <c r="F5881" s="74">
        <v>0</v>
      </c>
      <c r="G5881" s="74"/>
      <c r="H5881" s="74"/>
      <c r="I5881" s="74" t="s">
        <v>391</v>
      </c>
      <c r="J5881" s="74"/>
      <c r="K5881" s="74"/>
      <c r="L5881" s="74"/>
      <c r="M5881" s="74"/>
      <c r="N5881" s="74" t="s">
        <v>397</v>
      </c>
      <c r="O5881" s="74" t="s">
        <v>393</v>
      </c>
      <c r="P5881" s="74" t="s">
        <v>19517</v>
      </c>
      <c r="Q5881" s="74" t="s">
        <v>19518</v>
      </c>
    </row>
    <row r="5882" spans="3:17" x14ac:dyDescent="0.25">
      <c r="C5882" s="74" t="s">
        <v>19530</v>
      </c>
      <c r="D5882" s="74" t="s">
        <v>19531</v>
      </c>
      <c r="E5882" s="74" t="s">
        <v>391</v>
      </c>
      <c r="F5882" s="74">
        <v>0</v>
      </c>
      <c r="G5882" s="74"/>
      <c r="H5882" s="74"/>
      <c r="I5882" s="74" t="s">
        <v>391</v>
      </c>
      <c r="J5882" s="74"/>
      <c r="K5882" s="74"/>
      <c r="L5882" s="74"/>
      <c r="M5882" s="74"/>
      <c r="N5882" s="74" t="s">
        <v>397</v>
      </c>
      <c r="O5882" s="74" t="s">
        <v>393</v>
      </c>
      <c r="P5882" s="74" t="s">
        <v>19532</v>
      </c>
      <c r="Q5882" s="74" t="s">
        <v>19533</v>
      </c>
    </row>
    <row r="5883" spans="3:17" x14ac:dyDescent="0.25">
      <c r="C5883" s="74" t="s">
        <v>19534</v>
      </c>
      <c r="D5883" s="74" t="s">
        <v>19535</v>
      </c>
      <c r="E5883" s="74" t="s">
        <v>391</v>
      </c>
      <c r="F5883" s="74">
        <v>0</v>
      </c>
      <c r="G5883" s="74"/>
      <c r="H5883" s="74"/>
      <c r="I5883" s="74" t="s">
        <v>391</v>
      </c>
      <c r="J5883" s="74"/>
      <c r="K5883" s="74"/>
      <c r="L5883" s="74"/>
      <c r="M5883" s="74"/>
      <c r="N5883" s="74" t="s">
        <v>397</v>
      </c>
      <c r="O5883" s="74" t="s">
        <v>393</v>
      </c>
      <c r="P5883" s="74" t="s">
        <v>19536</v>
      </c>
      <c r="Q5883" s="74" t="s">
        <v>19537</v>
      </c>
    </row>
    <row r="5884" spans="3:17" x14ac:dyDescent="0.25">
      <c r="C5884" s="74" t="s">
        <v>19583</v>
      </c>
      <c r="D5884" s="74" t="s">
        <v>19584</v>
      </c>
      <c r="E5884" s="74" t="s">
        <v>391</v>
      </c>
      <c r="F5884" s="74">
        <v>0</v>
      </c>
      <c r="G5884" s="74"/>
      <c r="H5884" s="74"/>
      <c r="I5884" s="74" t="s">
        <v>391</v>
      </c>
      <c r="J5884" s="74"/>
      <c r="K5884" s="74"/>
      <c r="L5884" s="74"/>
      <c r="M5884" s="74"/>
      <c r="N5884" s="74" t="s">
        <v>397</v>
      </c>
      <c r="O5884" s="74" t="s">
        <v>393</v>
      </c>
      <c r="P5884" s="74" t="s">
        <v>19585</v>
      </c>
      <c r="Q5884" s="74" t="s">
        <v>19586</v>
      </c>
    </row>
    <row r="5885" spans="3:17" x14ac:dyDescent="0.25">
      <c r="C5885" s="74" t="s">
        <v>19587</v>
      </c>
      <c r="D5885" s="74" t="s">
        <v>19588</v>
      </c>
      <c r="E5885" s="74" t="s">
        <v>391</v>
      </c>
      <c r="F5885" s="74">
        <v>0</v>
      </c>
      <c r="G5885" s="74"/>
      <c r="H5885" s="74"/>
      <c r="I5885" s="74" t="s">
        <v>391</v>
      </c>
      <c r="J5885" s="74"/>
      <c r="K5885" s="74">
        <v>102.4</v>
      </c>
      <c r="L5885" s="74">
        <v>92.16</v>
      </c>
      <c r="M5885" s="74"/>
      <c r="N5885" s="74" t="s">
        <v>392</v>
      </c>
      <c r="O5885" s="74" t="s">
        <v>393</v>
      </c>
      <c r="P5885" s="74"/>
      <c r="Q5885" s="74" t="s">
        <v>19589</v>
      </c>
    </row>
    <row r="5886" spans="3:17" x14ac:dyDescent="0.25">
      <c r="C5886" s="74" t="s">
        <v>19594</v>
      </c>
      <c r="D5886" s="74" t="s">
        <v>19595</v>
      </c>
      <c r="E5886" s="74" t="s">
        <v>391</v>
      </c>
      <c r="F5886" s="74">
        <v>0</v>
      </c>
      <c r="G5886" s="74"/>
      <c r="H5886" s="74"/>
      <c r="I5886" s="74" t="s">
        <v>391</v>
      </c>
      <c r="J5886" s="74"/>
      <c r="K5886" s="74">
        <v>102.4</v>
      </c>
      <c r="L5886" s="74">
        <v>92.16</v>
      </c>
      <c r="M5886" s="74"/>
      <c r="N5886" s="74" t="s">
        <v>392</v>
      </c>
      <c r="O5886" s="74" t="s">
        <v>393</v>
      </c>
      <c r="P5886" s="74" t="s">
        <v>19596</v>
      </c>
      <c r="Q5886" s="74" t="s">
        <v>19597</v>
      </c>
    </row>
    <row r="5887" spans="3:17" x14ac:dyDescent="0.25">
      <c r="C5887" s="74" t="s">
        <v>19598</v>
      </c>
      <c r="D5887" s="74" t="s">
        <v>19599</v>
      </c>
      <c r="E5887" s="74" t="s">
        <v>391</v>
      </c>
      <c r="F5887" s="74">
        <v>0</v>
      </c>
      <c r="G5887" s="74"/>
      <c r="H5887" s="74"/>
      <c r="I5887" s="74" t="s">
        <v>391</v>
      </c>
      <c r="J5887" s="74"/>
      <c r="K5887" s="74"/>
      <c r="L5887" s="74"/>
      <c r="M5887" s="74"/>
      <c r="N5887" s="74" t="s">
        <v>397</v>
      </c>
      <c r="O5887" s="74" t="s">
        <v>402</v>
      </c>
      <c r="P5887" s="74" t="s">
        <v>19600</v>
      </c>
      <c r="Q5887" s="74" t="s">
        <v>19601</v>
      </c>
    </row>
    <row r="5888" spans="3:17" x14ac:dyDescent="0.25">
      <c r="C5888" s="74" t="s">
        <v>19609</v>
      </c>
      <c r="D5888" s="74" t="s">
        <v>19610</v>
      </c>
      <c r="E5888" s="74" t="s">
        <v>391</v>
      </c>
      <c r="F5888" s="74">
        <v>0</v>
      </c>
      <c r="G5888" s="74"/>
      <c r="H5888" s="74"/>
      <c r="I5888" s="74" t="s">
        <v>391</v>
      </c>
      <c r="J5888" s="74"/>
      <c r="K5888" s="74"/>
      <c r="L5888" s="74"/>
      <c r="M5888" s="74"/>
      <c r="N5888" s="74" t="s">
        <v>397</v>
      </c>
      <c r="O5888" s="74" t="s">
        <v>393</v>
      </c>
      <c r="P5888" s="74" t="s">
        <v>19611</v>
      </c>
      <c r="Q5888" s="74" t="s">
        <v>19612</v>
      </c>
    </row>
    <row r="5889" spans="3:17" x14ac:dyDescent="0.25">
      <c r="C5889" s="74" t="s">
        <v>19617</v>
      </c>
      <c r="D5889" s="74" t="s">
        <v>19618</v>
      </c>
      <c r="E5889" s="74" t="s">
        <v>391</v>
      </c>
      <c r="F5889" s="74">
        <v>0</v>
      </c>
      <c r="G5889" s="74"/>
      <c r="H5889" s="74"/>
      <c r="I5889" s="74" t="s">
        <v>391</v>
      </c>
      <c r="J5889" s="74"/>
      <c r="K5889" s="74"/>
      <c r="L5889" s="74"/>
      <c r="M5889" s="74"/>
      <c r="N5889" s="74" t="s">
        <v>397</v>
      </c>
      <c r="O5889" s="74" t="s">
        <v>393</v>
      </c>
      <c r="P5889" s="74" t="s">
        <v>19619</v>
      </c>
      <c r="Q5889" s="74" t="s">
        <v>19620</v>
      </c>
    </row>
    <row r="5890" spans="3:17" x14ac:dyDescent="0.25">
      <c r="C5890" s="74" t="s">
        <v>19641</v>
      </c>
      <c r="D5890" s="74" t="s">
        <v>19642</v>
      </c>
      <c r="E5890" s="74" t="s">
        <v>391</v>
      </c>
      <c r="F5890" s="74">
        <v>0</v>
      </c>
      <c r="G5890" s="74"/>
      <c r="H5890" s="74"/>
      <c r="I5890" s="74" t="s">
        <v>391</v>
      </c>
      <c r="J5890" s="74"/>
      <c r="K5890" s="74">
        <v>102.4</v>
      </c>
      <c r="L5890" s="74">
        <v>92.16</v>
      </c>
      <c r="M5890" s="74"/>
      <c r="N5890" s="74" t="s">
        <v>392</v>
      </c>
      <c r="O5890" s="74" t="s">
        <v>393</v>
      </c>
      <c r="P5890" s="74"/>
      <c r="Q5890" s="74" t="s">
        <v>19642</v>
      </c>
    </row>
    <row r="5891" spans="3:17" x14ac:dyDescent="0.25">
      <c r="C5891" s="74" t="s">
        <v>19643</v>
      </c>
      <c r="D5891" s="74" t="s">
        <v>19644</v>
      </c>
      <c r="E5891" s="74"/>
      <c r="F5891" s="74">
        <v>0</v>
      </c>
      <c r="G5891" s="74"/>
      <c r="H5891" s="74"/>
      <c r="I5891" s="74" t="s">
        <v>391</v>
      </c>
      <c r="J5891" s="74"/>
      <c r="K5891" s="74">
        <v>102.4</v>
      </c>
      <c r="L5891" s="74">
        <v>92.16</v>
      </c>
      <c r="M5891" s="74"/>
      <c r="N5891" s="74" t="s">
        <v>392</v>
      </c>
      <c r="O5891" s="74" t="s">
        <v>402</v>
      </c>
      <c r="P5891" s="74" t="s">
        <v>19645</v>
      </c>
      <c r="Q5891" s="74" t="s">
        <v>19646</v>
      </c>
    </row>
    <row r="5892" spans="3:17" x14ac:dyDescent="0.25">
      <c r="C5892" s="74" t="s">
        <v>19662</v>
      </c>
      <c r="D5892" s="74" t="s">
        <v>19663</v>
      </c>
      <c r="E5892" s="74" t="s">
        <v>391</v>
      </c>
      <c r="F5892" s="74">
        <v>0</v>
      </c>
      <c r="G5892" s="74"/>
      <c r="H5892" s="74"/>
      <c r="I5892" s="74" t="s">
        <v>391</v>
      </c>
      <c r="J5892" s="74"/>
      <c r="K5892" s="74"/>
      <c r="L5892" s="74"/>
      <c r="M5892" s="74"/>
      <c r="N5892" s="74" t="s">
        <v>397</v>
      </c>
      <c r="O5892" s="74" t="s">
        <v>393</v>
      </c>
      <c r="P5892" s="74"/>
      <c r="Q5892" s="74" t="s">
        <v>19664</v>
      </c>
    </row>
    <row r="5893" spans="3:17" x14ac:dyDescent="0.25">
      <c r="C5893" s="74" t="s">
        <v>19669</v>
      </c>
      <c r="D5893" s="74" t="s">
        <v>19670</v>
      </c>
      <c r="E5893" s="74" t="s">
        <v>391</v>
      </c>
      <c r="F5893" s="74">
        <v>0</v>
      </c>
      <c r="G5893" s="74"/>
      <c r="H5893" s="74"/>
      <c r="I5893" s="74" t="s">
        <v>391</v>
      </c>
      <c r="J5893" s="74"/>
      <c r="K5893" s="74"/>
      <c r="L5893" s="74"/>
      <c r="M5893" s="74"/>
      <c r="N5893" s="74" t="s">
        <v>397</v>
      </c>
      <c r="O5893" s="74" t="s">
        <v>393</v>
      </c>
      <c r="P5893" s="74" t="s">
        <v>19671</v>
      </c>
      <c r="Q5893" s="74" t="s">
        <v>19672</v>
      </c>
    </row>
    <row r="5894" spans="3:17" x14ac:dyDescent="0.25">
      <c r="C5894" s="74" t="s">
        <v>19700</v>
      </c>
      <c r="D5894" s="74" t="s">
        <v>19701</v>
      </c>
      <c r="E5894" s="74" t="s">
        <v>391</v>
      </c>
      <c r="F5894" s="74">
        <v>0</v>
      </c>
      <c r="G5894" s="74"/>
      <c r="H5894" s="74"/>
      <c r="I5894" s="74" t="s">
        <v>391</v>
      </c>
      <c r="J5894" s="74"/>
      <c r="K5894" s="74">
        <v>102.4</v>
      </c>
      <c r="L5894" s="74">
        <v>92.16</v>
      </c>
      <c r="M5894" s="74"/>
      <c r="N5894" s="74" t="s">
        <v>392</v>
      </c>
      <c r="O5894" s="74" t="s">
        <v>393</v>
      </c>
      <c r="P5894" s="74"/>
      <c r="Q5894" s="74" t="s">
        <v>19702</v>
      </c>
    </row>
    <row r="5895" spans="3:17" x14ac:dyDescent="0.25">
      <c r="C5895" s="74" t="s">
        <v>19751</v>
      </c>
      <c r="D5895" s="74" t="s">
        <v>19752</v>
      </c>
      <c r="E5895" s="74" t="s">
        <v>391</v>
      </c>
      <c r="F5895" s="74">
        <v>0</v>
      </c>
      <c r="G5895" s="74"/>
      <c r="H5895" s="74"/>
      <c r="I5895" s="74" t="s">
        <v>391</v>
      </c>
      <c r="J5895" s="74"/>
      <c r="K5895" s="74"/>
      <c r="L5895" s="74"/>
      <c r="M5895" s="74"/>
      <c r="N5895" s="74" t="s">
        <v>397</v>
      </c>
      <c r="O5895" s="74" t="s">
        <v>393</v>
      </c>
      <c r="P5895" s="74" t="s">
        <v>19753</v>
      </c>
      <c r="Q5895" s="74" t="s">
        <v>19754</v>
      </c>
    </row>
    <row r="5896" spans="3:17" x14ac:dyDescent="0.25">
      <c r="C5896" s="74" t="s">
        <v>19778</v>
      </c>
      <c r="D5896" s="74" t="s">
        <v>19779</v>
      </c>
      <c r="E5896" s="74" t="s">
        <v>391</v>
      </c>
      <c r="F5896" s="74">
        <v>0</v>
      </c>
      <c r="G5896" s="74"/>
      <c r="H5896" s="74"/>
      <c r="I5896" s="74" t="s">
        <v>391</v>
      </c>
      <c r="J5896" s="74"/>
      <c r="K5896" s="74"/>
      <c r="L5896" s="74"/>
      <c r="M5896" s="74"/>
      <c r="N5896" s="74" t="s">
        <v>397</v>
      </c>
      <c r="O5896" s="74" t="s">
        <v>393</v>
      </c>
      <c r="P5896" s="74" t="s">
        <v>19780</v>
      </c>
      <c r="Q5896" s="74" t="s">
        <v>19781</v>
      </c>
    </row>
    <row r="5897" spans="3:17" x14ac:dyDescent="0.25">
      <c r="C5897" s="74" t="s">
        <v>19806</v>
      </c>
      <c r="D5897" s="74" t="s">
        <v>19807</v>
      </c>
      <c r="E5897" s="74"/>
      <c r="F5897" s="74">
        <v>0</v>
      </c>
      <c r="G5897" s="74"/>
      <c r="H5897" s="74"/>
      <c r="I5897" s="74" t="s">
        <v>391</v>
      </c>
      <c r="J5897" s="74"/>
      <c r="K5897" s="74">
        <v>102.4</v>
      </c>
      <c r="L5897" s="74">
        <v>92.16</v>
      </c>
      <c r="M5897" s="74"/>
      <c r="N5897" s="74" t="s">
        <v>392</v>
      </c>
      <c r="O5897" s="74" t="s">
        <v>393</v>
      </c>
      <c r="P5897" s="74" t="s">
        <v>19808</v>
      </c>
      <c r="Q5897" s="74" t="s">
        <v>19809</v>
      </c>
    </row>
    <row r="5898" spans="3:17" x14ac:dyDescent="0.25">
      <c r="C5898" s="74" t="s">
        <v>19829</v>
      </c>
      <c r="D5898" s="74" t="s">
        <v>19830</v>
      </c>
      <c r="E5898" s="74"/>
      <c r="F5898" s="74">
        <v>0</v>
      </c>
      <c r="G5898" s="74"/>
      <c r="H5898" s="74"/>
      <c r="I5898" s="74" t="s">
        <v>391</v>
      </c>
      <c r="J5898" s="74"/>
      <c r="K5898" s="74">
        <v>102.4</v>
      </c>
      <c r="L5898" s="74">
        <v>92.16</v>
      </c>
      <c r="M5898" s="74"/>
      <c r="N5898" s="74" t="s">
        <v>392</v>
      </c>
      <c r="O5898" s="74" t="s">
        <v>402</v>
      </c>
      <c r="P5898" s="74"/>
      <c r="Q5898" s="74" t="s">
        <v>19831</v>
      </c>
    </row>
    <row r="5899" spans="3:17" x14ac:dyDescent="0.25">
      <c r="C5899" s="74" t="s">
        <v>19854</v>
      </c>
      <c r="D5899" s="74" t="s">
        <v>19855</v>
      </c>
      <c r="E5899" s="74" t="s">
        <v>391</v>
      </c>
      <c r="F5899" s="74">
        <v>0</v>
      </c>
      <c r="G5899" s="74"/>
      <c r="H5899" s="74"/>
      <c r="I5899" s="74" t="s">
        <v>391</v>
      </c>
      <c r="J5899" s="74"/>
      <c r="K5899" s="74">
        <v>102.4</v>
      </c>
      <c r="L5899" s="74">
        <v>92.16</v>
      </c>
      <c r="M5899" s="74"/>
      <c r="N5899" s="74" t="s">
        <v>392</v>
      </c>
      <c r="O5899" s="74" t="s">
        <v>393</v>
      </c>
      <c r="P5899" s="74"/>
      <c r="Q5899" s="74" t="s">
        <v>19856</v>
      </c>
    </row>
    <row r="5900" spans="3:17" x14ac:dyDescent="0.25">
      <c r="C5900" s="74" t="s">
        <v>19875</v>
      </c>
      <c r="D5900" s="74" t="s">
        <v>19876</v>
      </c>
      <c r="E5900" s="74" t="s">
        <v>391</v>
      </c>
      <c r="F5900" s="74">
        <v>0</v>
      </c>
      <c r="G5900" s="74"/>
      <c r="H5900" s="74"/>
      <c r="I5900" s="74" t="s">
        <v>391</v>
      </c>
      <c r="J5900" s="74"/>
      <c r="K5900" s="74">
        <v>102.4</v>
      </c>
      <c r="L5900" s="74">
        <v>92.16</v>
      </c>
      <c r="M5900" s="74"/>
      <c r="N5900" s="74" t="s">
        <v>392</v>
      </c>
      <c r="O5900" s="74" t="s">
        <v>393</v>
      </c>
      <c r="P5900" s="74"/>
      <c r="Q5900" s="74" t="s">
        <v>19877</v>
      </c>
    </row>
    <row r="5901" spans="3:17" x14ac:dyDescent="0.25">
      <c r="C5901" s="74" t="s">
        <v>19878</v>
      </c>
      <c r="D5901" s="74" t="s">
        <v>19879</v>
      </c>
      <c r="E5901" s="74" t="s">
        <v>391</v>
      </c>
      <c r="F5901" s="74">
        <v>0</v>
      </c>
      <c r="G5901" s="74"/>
      <c r="H5901" s="74"/>
      <c r="I5901" s="74" t="s">
        <v>391</v>
      </c>
      <c r="J5901" s="74"/>
      <c r="K5901" s="74">
        <v>102.4</v>
      </c>
      <c r="L5901" s="74">
        <v>92.16</v>
      </c>
      <c r="M5901" s="74"/>
      <c r="N5901" s="74" t="s">
        <v>392</v>
      </c>
      <c r="O5901" s="74" t="s">
        <v>393</v>
      </c>
      <c r="P5901" s="74"/>
      <c r="Q5901" s="74" t="s">
        <v>19880</v>
      </c>
    </row>
    <row r="5902" spans="3:17" x14ac:dyDescent="0.25">
      <c r="C5902" s="74" t="s">
        <v>19892</v>
      </c>
      <c r="D5902" s="74" t="s">
        <v>19893</v>
      </c>
      <c r="E5902" s="74"/>
      <c r="F5902" s="74">
        <v>0</v>
      </c>
      <c r="G5902" s="74"/>
      <c r="H5902" s="74"/>
      <c r="I5902" s="74" t="s">
        <v>391</v>
      </c>
      <c r="J5902" s="74"/>
      <c r="K5902" s="74">
        <v>102.4</v>
      </c>
      <c r="L5902" s="74">
        <v>92.16</v>
      </c>
      <c r="M5902" s="74"/>
      <c r="N5902" s="74" t="s">
        <v>392</v>
      </c>
      <c r="O5902" s="74" t="s">
        <v>5621</v>
      </c>
      <c r="P5902" s="74" t="s">
        <v>19894</v>
      </c>
      <c r="Q5902" s="74" t="s">
        <v>19895</v>
      </c>
    </row>
    <row r="5903" spans="3:17" x14ac:dyDescent="0.25">
      <c r="C5903" s="74" t="s">
        <v>19896</v>
      </c>
      <c r="D5903" s="74" t="s">
        <v>19897</v>
      </c>
      <c r="E5903" s="74"/>
      <c r="F5903" s="74">
        <v>0</v>
      </c>
      <c r="G5903" s="74"/>
      <c r="H5903" s="74"/>
      <c r="I5903" s="74" t="s">
        <v>391</v>
      </c>
      <c r="J5903" s="74"/>
      <c r="K5903" s="74">
        <v>102.4</v>
      </c>
      <c r="L5903" s="74">
        <v>92.16</v>
      </c>
      <c r="M5903" s="74"/>
      <c r="N5903" s="74" t="s">
        <v>392</v>
      </c>
      <c r="O5903" s="74" t="s">
        <v>5621</v>
      </c>
      <c r="P5903" s="74" t="s">
        <v>19898</v>
      </c>
      <c r="Q5903" s="74" t="s">
        <v>19899</v>
      </c>
    </row>
    <row r="5904" spans="3:17" x14ac:dyDescent="0.25">
      <c r="C5904" s="74" t="s">
        <v>19900</v>
      </c>
      <c r="D5904" s="74" t="s">
        <v>19901</v>
      </c>
      <c r="E5904" s="74"/>
      <c r="F5904" s="74">
        <v>0</v>
      </c>
      <c r="G5904" s="74"/>
      <c r="H5904" s="74"/>
      <c r="I5904" s="74" t="s">
        <v>391</v>
      </c>
      <c r="J5904" s="74"/>
      <c r="K5904" s="74">
        <v>102.4</v>
      </c>
      <c r="L5904" s="74">
        <v>92.16</v>
      </c>
      <c r="M5904" s="74"/>
      <c r="N5904" s="74" t="s">
        <v>392</v>
      </c>
      <c r="O5904" s="74" t="s">
        <v>5621</v>
      </c>
      <c r="P5904" s="74" t="s">
        <v>19902</v>
      </c>
      <c r="Q5904" s="74" t="s">
        <v>19903</v>
      </c>
    </row>
    <row r="5905" spans="3:17" x14ac:dyDescent="0.25">
      <c r="C5905" s="74" t="s">
        <v>19904</v>
      </c>
      <c r="D5905" s="74" t="s">
        <v>19905</v>
      </c>
      <c r="E5905" s="74"/>
      <c r="F5905" s="74">
        <v>0</v>
      </c>
      <c r="G5905" s="74"/>
      <c r="H5905" s="74"/>
      <c r="I5905" s="74" t="s">
        <v>391</v>
      </c>
      <c r="J5905" s="74"/>
      <c r="K5905" s="74">
        <v>102.4</v>
      </c>
      <c r="L5905" s="74">
        <v>92.16</v>
      </c>
      <c r="M5905" s="74"/>
      <c r="N5905" s="74" t="s">
        <v>392</v>
      </c>
      <c r="O5905" s="74" t="s">
        <v>5621</v>
      </c>
      <c r="P5905" s="74" t="s">
        <v>19906</v>
      </c>
      <c r="Q5905" s="74" t="s">
        <v>19907</v>
      </c>
    </row>
    <row r="5906" spans="3:17" x14ac:dyDescent="0.25">
      <c r="C5906" s="74" t="s">
        <v>19908</v>
      </c>
      <c r="D5906" s="74" t="s">
        <v>19909</v>
      </c>
      <c r="E5906" s="74"/>
      <c r="F5906" s="74">
        <v>0</v>
      </c>
      <c r="G5906" s="74"/>
      <c r="H5906" s="74"/>
      <c r="I5906" s="74" t="s">
        <v>391</v>
      </c>
      <c r="J5906" s="74"/>
      <c r="K5906" s="74">
        <v>102.4</v>
      </c>
      <c r="L5906" s="74">
        <v>92.16</v>
      </c>
      <c r="M5906" s="74"/>
      <c r="N5906" s="74" t="s">
        <v>392</v>
      </c>
      <c r="O5906" s="74" t="s">
        <v>5621</v>
      </c>
      <c r="P5906" s="74" t="s">
        <v>19910</v>
      </c>
      <c r="Q5906" s="74" t="s">
        <v>19911</v>
      </c>
    </row>
    <row r="5907" spans="3:17" x14ac:dyDescent="0.25">
      <c r="C5907" s="74" t="s">
        <v>19912</v>
      </c>
      <c r="D5907" s="74" t="s">
        <v>19913</v>
      </c>
      <c r="E5907" s="74"/>
      <c r="F5907" s="74">
        <v>0</v>
      </c>
      <c r="G5907" s="74"/>
      <c r="H5907" s="74"/>
      <c r="I5907" s="74" t="s">
        <v>391</v>
      </c>
      <c r="J5907" s="74"/>
      <c r="K5907" s="74">
        <v>102.4</v>
      </c>
      <c r="L5907" s="74">
        <v>92.16</v>
      </c>
      <c r="M5907" s="74"/>
      <c r="N5907" s="74" t="s">
        <v>392</v>
      </c>
      <c r="O5907" s="74" t="s">
        <v>5621</v>
      </c>
      <c r="P5907" s="74" t="s">
        <v>19914</v>
      </c>
      <c r="Q5907" s="74" t="s">
        <v>19915</v>
      </c>
    </row>
    <row r="5908" spans="3:17" x14ac:dyDescent="0.25">
      <c r="C5908" s="74" t="s">
        <v>19919</v>
      </c>
      <c r="D5908" s="74" t="s">
        <v>19920</v>
      </c>
      <c r="E5908" s="74"/>
      <c r="F5908" s="74">
        <v>0</v>
      </c>
      <c r="G5908" s="74"/>
      <c r="H5908" s="74"/>
      <c r="I5908" s="74" t="s">
        <v>391</v>
      </c>
      <c r="J5908" s="74"/>
      <c r="K5908" s="74">
        <v>102.4</v>
      </c>
      <c r="L5908" s="74">
        <v>92.16</v>
      </c>
      <c r="M5908" s="74"/>
      <c r="N5908" s="74" t="s">
        <v>392</v>
      </c>
      <c r="O5908" s="74" t="s">
        <v>5621</v>
      </c>
      <c r="P5908" s="74" t="s">
        <v>19921</v>
      </c>
      <c r="Q5908" s="74" t="s">
        <v>19922</v>
      </c>
    </row>
    <row r="5909" spans="3:17" x14ac:dyDescent="0.25">
      <c r="C5909" s="74" t="s">
        <v>19927</v>
      </c>
      <c r="D5909" s="74" t="s">
        <v>19928</v>
      </c>
      <c r="E5909" s="74"/>
      <c r="F5909" s="74">
        <v>0</v>
      </c>
      <c r="G5909" s="74"/>
      <c r="H5909" s="74"/>
      <c r="I5909" s="74" t="s">
        <v>391</v>
      </c>
      <c r="J5909" s="74"/>
      <c r="K5909" s="74">
        <v>102.4</v>
      </c>
      <c r="L5909" s="74">
        <v>92.16</v>
      </c>
      <c r="M5909" s="74"/>
      <c r="N5909" s="74" t="s">
        <v>392</v>
      </c>
      <c r="O5909" s="74" t="s">
        <v>5621</v>
      </c>
      <c r="P5909" s="74" t="s">
        <v>19929</v>
      </c>
      <c r="Q5909" s="74" t="s">
        <v>19930</v>
      </c>
    </row>
    <row r="5910" spans="3:17" x14ac:dyDescent="0.25">
      <c r="C5910" s="74" t="s">
        <v>19938</v>
      </c>
      <c r="D5910" s="74" t="s">
        <v>19939</v>
      </c>
      <c r="E5910" s="74" t="s">
        <v>391</v>
      </c>
      <c r="F5910" s="74">
        <v>0</v>
      </c>
      <c r="G5910" s="74"/>
      <c r="H5910" s="74"/>
      <c r="I5910" s="74" t="s">
        <v>391</v>
      </c>
      <c r="J5910" s="74"/>
      <c r="K5910" s="74">
        <v>102.4</v>
      </c>
      <c r="L5910" s="74">
        <v>92.16</v>
      </c>
      <c r="M5910" s="74"/>
      <c r="N5910" s="74" t="s">
        <v>392</v>
      </c>
      <c r="O5910" s="74" t="s">
        <v>393</v>
      </c>
      <c r="P5910" s="74"/>
      <c r="Q5910" s="74" t="s">
        <v>19940</v>
      </c>
    </row>
    <row r="5911" spans="3:17" x14ac:dyDescent="0.25">
      <c r="C5911" s="74" t="s">
        <v>19941</v>
      </c>
      <c r="D5911" s="74" t="s">
        <v>19942</v>
      </c>
      <c r="E5911" s="74" t="s">
        <v>391</v>
      </c>
      <c r="F5911" s="74">
        <v>0</v>
      </c>
      <c r="G5911" s="74"/>
      <c r="H5911" s="74"/>
      <c r="I5911" s="74" t="s">
        <v>391</v>
      </c>
      <c r="J5911" s="74"/>
      <c r="K5911" s="74">
        <v>102.4</v>
      </c>
      <c r="L5911" s="74">
        <v>92.16</v>
      </c>
      <c r="M5911" s="74"/>
      <c r="N5911" s="74" t="s">
        <v>392</v>
      </c>
      <c r="O5911" s="74" t="s">
        <v>393</v>
      </c>
      <c r="P5911" s="74"/>
      <c r="Q5911" s="74" t="s">
        <v>19943</v>
      </c>
    </row>
    <row r="5912" spans="3:17" x14ac:dyDescent="0.25">
      <c r="C5912" s="74" t="s">
        <v>19944</v>
      </c>
      <c r="D5912" s="74" t="s">
        <v>19945</v>
      </c>
      <c r="E5912" s="74"/>
      <c r="F5912" s="74">
        <v>0</v>
      </c>
      <c r="G5912" s="74"/>
      <c r="H5912" s="74"/>
      <c r="I5912" s="74" t="s">
        <v>391</v>
      </c>
      <c r="J5912" s="74"/>
      <c r="K5912" s="74">
        <v>102.4</v>
      </c>
      <c r="L5912" s="74">
        <v>92.16</v>
      </c>
      <c r="M5912" s="74"/>
      <c r="N5912" s="74" t="s">
        <v>392</v>
      </c>
      <c r="O5912" s="74" t="s">
        <v>1745</v>
      </c>
      <c r="P5912" s="74" t="s">
        <v>19946</v>
      </c>
      <c r="Q5912" s="74" t="s">
        <v>19947</v>
      </c>
    </row>
    <row r="5913" spans="3:17" x14ac:dyDescent="0.25">
      <c r="C5913" s="74" t="s">
        <v>19970</v>
      </c>
      <c r="D5913" s="74" t="s">
        <v>19971</v>
      </c>
      <c r="E5913" s="74" t="s">
        <v>391</v>
      </c>
      <c r="F5913" s="74">
        <v>0</v>
      </c>
      <c r="G5913" s="74"/>
      <c r="H5913" s="74"/>
      <c r="I5913" s="74" t="s">
        <v>391</v>
      </c>
      <c r="J5913" s="74"/>
      <c r="K5913" s="74"/>
      <c r="L5913" s="74"/>
      <c r="M5913" s="74"/>
      <c r="N5913" s="74" t="s">
        <v>397</v>
      </c>
      <c r="O5913" s="74" t="s">
        <v>393</v>
      </c>
      <c r="P5913" s="74" t="s">
        <v>19972</v>
      </c>
      <c r="Q5913" s="74" t="s">
        <v>19973</v>
      </c>
    </row>
    <row r="5914" spans="3:17" x14ac:dyDescent="0.25">
      <c r="C5914" s="74" t="s">
        <v>19999</v>
      </c>
      <c r="D5914" s="74" t="s">
        <v>20000</v>
      </c>
      <c r="E5914" s="74" t="s">
        <v>391</v>
      </c>
      <c r="F5914" s="74">
        <v>0</v>
      </c>
      <c r="G5914" s="74"/>
      <c r="H5914" s="74"/>
      <c r="I5914" s="74" t="s">
        <v>391</v>
      </c>
      <c r="J5914" s="74"/>
      <c r="K5914" s="74"/>
      <c r="L5914" s="74"/>
      <c r="M5914" s="74"/>
      <c r="N5914" s="74" t="s">
        <v>397</v>
      </c>
      <c r="O5914" s="74" t="s">
        <v>393</v>
      </c>
      <c r="P5914" s="74" t="s">
        <v>20001</v>
      </c>
      <c r="Q5914" s="74" t="s">
        <v>20002</v>
      </c>
    </row>
    <row r="5915" spans="3:17" x14ac:dyDescent="0.25">
      <c r="C5915" s="158" t="s">
        <v>20017</v>
      </c>
      <c r="D5915" s="158" t="s">
        <v>20018</v>
      </c>
      <c r="E5915" s="158" t="s">
        <v>391</v>
      </c>
      <c r="F5915" s="158">
        <v>0</v>
      </c>
      <c r="I5915" s="158" t="s">
        <v>391</v>
      </c>
      <c r="N5915" s="158" t="s">
        <v>397</v>
      </c>
      <c r="O5915" s="158" t="s">
        <v>393</v>
      </c>
      <c r="Q5915" s="158" t="s">
        <v>20019</v>
      </c>
    </row>
    <row r="5916" spans="3:17" x14ac:dyDescent="0.25">
      <c r="C5916" s="74" t="s">
        <v>20020</v>
      </c>
      <c r="D5916" s="74" t="s">
        <v>20021</v>
      </c>
      <c r="E5916" s="74" t="s">
        <v>391</v>
      </c>
      <c r="F5916" s="74">
        <v>0</v>
      </c>
      <c r="G5916" s="74"/>
      <c r="H5916" s="74"/>
      <c r="I5916" s="74" t="s">
        <v>391</v>
      </c>
      <c r="J5916" s="74"/>
      <c r="K5916" s="74">
        <v>102.4</v>
      </c>
      <c r="L5916" s="74">
        <v>92.16</v>
      </c>
      <c r="M5916" s="74"/>
      <c r="N5916" s="74" t="s">
        <v>392</v>
      </c>
      <c r="O5916" s="74" t="s">
        <v>393</v>
      </c>
      <c r="P5916" s="74"/>
      <c r="Q5916" s="74" t="s">
        <v>20022</v>
      </c>
    </row>
    <row r="5917" spans="3:17" x14ac:dyDescent="0.25">
      <c r="C5917" s="74" t="s">
        <v>20023</v>
      </c>
      <c r="D5917" s="74" t="s">
        <v>20024</v>
      </c>
      <c r="E5917" s="74"/>
      <c r="F5917" s="74">
        <v>0</v>
      </c>
      <c r="G5917" s="74"/>
      <c r="H5917" s="74"/>
      <c r="I5917" s="74" t="s">
        <v>391</v>
      </c>
      <c r="J5917" s="74"/>
      <c r="K5917" s="74">
        <v>102.4</v>
      </c>
      <c r="L5917" s="74">
        <v>92.16</v>
      </c>
      <c r="M5917" s="74"/>
      <c r="N5917" s="74" t="s">
        <v>392</v>
      </c>
      <c r="O5917" s="74" t="s">
        <v>402</v>
      </c>
      <c r="P5917" s="74"/>
      <c r="Q5917" s="74" t="s">
        <v>20025</v>
      </c>
    </row>
    <row r="5918" spans="3:17" x14ac:dyDescent="0.25">
      <c r="C5918" s="74" t="s">
        <v>20050</v>
      </c>
      <c r="D5918" s="74" t="s">
        <v>20051</v>
      </c>
      <c r="E5918" s="74" t="s">
        <v>391</v>
      </c>
      <c r="F5918" s="74">
        <v>0</v>
      </c>
      <c r="G5918" s="74"/>
      <c r="H5918" s="74"/>
      <c r="I5918" s="74" t="s">
        <v>391</v>
      </c>
      <c r="J5918" s="74"/>
      <c r="K5918" s="74"/>
      <c r="L5918" s="74"/>
      <c r="M5918" s="74"/>
      <c r="N5918" s="74" t="s">
        <v>397</v>
      </c>
      <c r="O5918" s="74" t="s">
        <v>393</v>
      </c>
      <c r="P5918" s="74" t="s">
        <v>20052</v>
      </c>
      <c r="Q5918" s="74" t="s">
        <v>20053</v>
      </c>
    </row>
    <row r="5919" spans="3:17" x14ac:dyDescent="0.25">
      <c r="C5919" s="74" t="s">
        <v>20075</v>
      </c>
      <c r="D5919" s="74" t="s">
        <v>20076</v>
      </c>
      <c r="E5919" s="74" t="s">
        <v>391</v>
      </c>
      <c r="F5919" s="74">
        <v>0</v>
      </c>
      <c r="G5919" s="74"/>
      <c r="H5919" s="74"/>
      <c r="I5919" s="74" t="s">
        <v>391</v>
      </c>
      <c r="J5919" s="74"/>
      <c r="K5919" s="74"/>
      <c r="L5919" s="74"/>
      <c r="M5919" s="74"/>
      <c r="N5919" s="74" t="s">
        <v>397</v>
      </c>
      <c r="O5919" s="74" t="s">
        <v>393</v>
      </c>
      <c r="P5919" s="74" t="s">
        <v>20077</v>
      </c>
      <c r="Q5919" s="74" t="s">
        <v>20078</v>
      </c>
    </row>
    <row r="5920" spans="3:17" x14ac:dyDescent="0.25">
      <c r="C5920" s="74" t="s">
        <v>20115</v>
      </c>
      <c r="D5920" s="74" t="s">
        <v>19492</v>
      </c>
      <c r="E5920" s="74" t="s">
        <v>391</v>
      </c>
      <c r="F5920" s="74">
        <v>0</v>
      </c>
      <c r="G5920" s="74"/>
      <c r="H5920" s="74"/>
      <c r="I5920" s="74" t="s">
        <v>391</v>
      </c>
      <c r="J5920" s="74"/>
      <c r="K5920" s="74">
        <v>102.4</v>
      </c>
      <c r="L5920" s="74">
        <v>92.16</v>
      </c>
      <c r="M5920" s="74"/>
      <c r="N5920" s="74" t="s">
        <v>392</v>
      </c>
      <c r="O5920" s="74" t="s">
        <v>402</v>
      </c>
      <c r="P5920" s="74" t="s">
        <v>20116</v>
      </c>
      <c r="Q5920" s="74" t="s">
        <v>20117</v>
      </c>
    </row>
    <row r="5921" spans="3:17" x14ac:dyDescent="0.25">
      <c r="C5921" s="74" t="s">
        <v>20145</v>
      </c>
      <c r="D5921" s="74" t="s">
        <v>20146</v>
      </c>
      <c r="E5921" s="74" t="s">
        <v>391</v>
      </c>
      <c r="F5921" s="74">
        <v>0</v>
      </c>
      <c r="G5921" s="74"/>
      <c r="H5921" s="74"/>
      <c r="I5921" s="74" t="s">
        <v>391</v>
      </c>
      <c r="J5921" s="74"/>
      <c r="K5921" s="74"/>
      <c r="L5921" s="74"/>
      <c r="M5921" s="74"/>
      <c r="N5921" s="74" t="s">
        <v>397</v>
      </c>
      <c r="O5921" s="74" t="s">
        <v>393</v>
      </c>
      <c r="P5921" s="74" t="s">
        <v>20147</v>
      </c>
      <c r="Q5921" s="74" t="s">
        <v>20148</v>
      </c>
    </row>
    <row r="5922" spans="3:17" x14ac:dyDescent="0.25">
      <c r="C5922" s="74" t="s">
        <v>20166</v>
      </c>
      <c r="D5922" s="74" t="s">
        <v>20167</v>
      </c>
      <c r="E5922" s="74" t="s">
        <v>391</v>
      </c>
      <c r="F5922" s="74">
        <v>0</v>
      </c>
      <c r="G5922" s="74"/>
      <c r="H5922" s="74"/>
      <c r="I5922" s="74" t="s">
        <v>391</v>
      </c>
      <c r="J5922" s="74"/>
      <c r="K5922" s="74"/>
      <c r="L5922" s="74"/>
      <c r="M5922" s="74"/>
      <c r="N5922" s="74" t="s">
        <v>397</v>
      </c>
      <c r="O5922" s="74" t="s">
        <v>393</v>
      </c>
      <c r="P5922" s="74" t="s">
        <v>20168</v>
      </c>
      <c r="Q5922" s="74" t="s">
        <v>20169</v>
      </c>
    </row>
    <row r="5923" spans="3:17" x14ac:dyDescent="0.25">
      <c r="C5923" s="74" t="s">
        <v>20181</v>
      </c>
      <c r="D5923" s="74" t="s">
        <v>20182</v>
      </c>
      <c r="E5923" s="74"/>
      <c r="F5923" s="74">
        <v>0</v>
      </c>
      <c r="G5923" s="74"/>
      <c r="H5923" s="74"/>
      <c r="I5923" s="74" t="s">
        <v>391</v>
      </c>
      <c r="J5923" s="74"/>
      <c r="K5923" s="74">
        <v>102.4</v>
      </c>
      <c r="L5923" s="74">
        <v>92.16</v>
      </c>
      <c r="M5923" s="74"/>
      <c r="N5923" s="74" t="s">
        <v>392</v>
      </c>
      <c r="O5923" s="74" t="s">
        <v>402</v>
      </c>
      <c r="P5923" s="74"/>
      <c r="Q5923" s="74" t="s">
        <v>20183</v>
      </c>
    </row>
    <row r="5924" spans="3:17" x14ac:dyDescent="0.25">
      <c r="C5924" s="74" t="s">
        <v>20229</v>
      </c>
      <c r="D5924" s="74" t="s">
        <v>20230</v>
      </c>
      <c r="E5924" s="74" t="s">
        <v>391</v>
      </c>
      <c r="F5924" s="74">
        <v>0</v>
      </c>
      <c r="G5924" s="74"/>
      <c r="H5924" s="74"/>
      <c r="I5924" s="74" t="s">
        <v>391</v>
      </c>
      <c r="J5924" s="74"/>
      <c r="K5924" s="74"/>
      <c r="L5924" s="74"/>
      <c r="M5924" s="74"/>
      <c r="N5924" s="74" t="s">
        <v>397</v>
      </c>
      <c r="O5924" s="74" t="s">
        <v>393</v>
      </c>
      <c r="P5924" s="74" t="s">
        <v>20231</v>
      </c>
      <c r="Q5924" s="74" t="s">
        <v>20232</v>
      </c>
    </row>
    <row r="5925" spans="3:17" x14ac:dyDescent="0.25">
      <c r="C5925" s="74" t="s">
        <v>20233</v>
      </c>
      <c r="D5925" s="74" t="s">
        <v>20234</v>
      </c>
      <c r="E5925" s="74" t="s">
        <v>391</v>
      </c>
      <c r="F5925" s="74">
        <v>0</v>
      </c>
      <c r="G5925" s="74"/>
      <c r="H5925" s="74"/>
      <c r="I5925" s="74" t="s">
        <v>391</v>
      </c>
      <c r="J5925" s="74"/>
      <c r="K5925" s="74"/>
      <c r="L5925" s="74"/>
      <c r="M5925" s="74"/>
      <c r="N5925" s="74" t="s">
        <v>397</v>
      </c>
      <c r="O5925" s="74" t="s">
        <v>402</v>
      </c>
      <c r="P5925" s="74" t="s">
        <v>20235</v>
      </c>
      <c r="Q5925" s="74" t="s">
        <v>20236</v>
      </c>
    </row>
    <row r="5926" spans="3:17" x14ac:dyDescent="0.25">
      <c r="C5926" s="74" t="s">
        <v>20280</v>
      </c>
      <c r="D5926" s="74" t="s">
        <v>20281</v>
      </c>
      <c r="E5926" s="74" t="s">
        <v>391</v>
      </c>
      <c r="F5926" s="74">
        <v>0</v>
      </c>
      <c r="G5926" s="74"/>
      <c r="H5926" s="74"/>
      <c r="I5926" s="74" t="s">
        <v>391</v>
      </c>
      <c r="J5926" s="74"/>
      <c r="K5926" s="74"/>
      <c r="L5926" s="74"/>
      <c r="M5926" s="74"/>
      <c r="N5926" s="74" t="s">
        <v>397</v>
      </c>
      <c r="O5926" s="74" t="s">
        <v>393</v>
      </c>
      <c r="P5926" s="74" t="s">
        <v>20282</v>
      </c>
      <c r="Q5926" s="74" t="s">
        <v>20283</v>
      </c>
    </row>
    <row r="5927" spans="3:17" x14ac:dyDescent="0.25">
      <c r="C5927" s="74" t="s">
        <v>20284</v>
      </c>
      <c r="D5927" s="74" t="s">
        <v>20285</v>
      </c>
      <c r="E5927" s="74" t="s">
        <v>391</v>
      </c>
      <c r="F5927" s="74">
        <v>0</v>
      </c>
      <c r="G5927" s="74"/>
      <c r="H5927" s="74"/>
      <c r="I5927" s="74" t="s">
        <v>391</v>
      </c>
      <c r="J5927" s="74"/>
      <c r="K5927" s="74"/>
      <c r="L5927" s="74"/>
      <c r="M5927" s="74"/>
      <c r="N5927" s="74" t="s">
        <v>397</v>
      </c>
      <c r="O5927" s="74" t="s">
        <v>393</v>
      </c>
      <c r="P5927" s="74" t="s">
        <v>20286</v>
      </c>
      <c r="Q5927" s="74" t="s">
        <v>20287</v>
      </c>
    </row>
    <row r="5928" spans="3:17" x14ac:dyDescent="0.25">
      <c r="C5928" s="74" t="s">
        <v>20288</v>
      </c>
      <c r="D5928" s="74" t="s">
        <v>20289</v>
      </c>
      <c r="E5928" s="74" t="s">
        <v>391</v>
      </c>
      <c r="F5928" s="74">
        <v>0</v>
      </c>
      <c r="G5928" s="74"/>
      <c r="H5928" s="74"/>
      <c r="I5928" s="74" t="s">
        <v>391</v>
      </c>
      <c r="J5928" s="74"/>
      <c r="K5928" s="74">
        <v>102.4</v>
      </c>
      <c r="L5928" s="74">
        <v>92.16</v>
      </c>
      <c r="M5928" s="74"/>
      <c r="N5928" s="74" t="s">
        <v>392</v>
      </c>
      <c r="O5928" s="74" t="s">
        <v>393</v>
      </c>
      <c r="P5928" s="74"/>
      <c r="Q5928" s="74" t="s">
        <v>20290</v>
      </c>
    </row>
    <row r="5929" spans="3:17" x14ac:dyDescent="0.25">
      <c r="C5929" s="74" t="s">
        <v>20313</v>
      </c>
      <c r="D5929" s="74" t="s">
        <v>20314</v>
      </c>
      <c r="E5929" s="74"/>
      <c r="F5929" s="74">
        <v>0</v>
      </c>
      <c r="G5929" s="74"/>
      <c r="H5929" s="74"/>
      <c r="I5929" s="74" t="s">
        <v>391</v>
      </c>
      <c r="J5929" s="74"/>
      <c r="K5929" s="74">
        <v>102.4</v>
      </c>
      <c r="L5929" s="74">
        <v>92.16</v>
      </c>
      <c r="M5929" s="74"/>
      <c r="N5929" s="74" t="s">
        <v>392</v>
      </c>
      <c r="O5929" s="74" t="s">
        <v>402</v>
      </c>
      <c r="P5929" s="74"/>
      <c r="Q5929" s="74" t="s">
        <v>20315</v>
      </c>
    </row>
    <row r="5930" spans="3:17" x14ac:dyDescent="0.25">
      <c r="C5930" s="74" t="s">
        <v>20316</v>
      </c>
      <c r="D5930" s="74" t="s">
        <v>20317</v>
      </c>
      <c r="E5930" s="74"/>
      <c r="F5930" s="74">
        <v>0</v>
      </c>
      <c r="G5930" s="74"/>
      <c r="H5930" s="74"/>
      <c r="I5930" s="74" t="s">
        <v>391</v>
      </c>
      <c r="J5930" s="74"/>
      <c r="K5930" s="74">
        <v>102.4</v>
      </c>
      <c r="L5930" s="74">
        <v>92.16</v>
      </c>
      <c r="M5930" s="74"/>
      <c r="N5930" s="74" t="s">
        <v>392</v>
      </c>
      <c r="O5930" s="74" t="s">
        <v>402</v>
      </c>
      <c r="P5930" s="74"/>
      <c r="Q5930" s="74" t="s">
        <v>20318</v>
      </c>
    </row>
    <row r="5931" spans="3:17" x14ac:dyDescent="0.25">
      <c r="C5931" s="74" t="s">
        <v>20319</v>
      </c>
      <c r="D5931" s="74" t="s">
        <v>20320</v>
      </c>
      <c r="E5931" s="74"/>
      <c r="F5931" s="74">
        <v>0</v>
      </c>
      <c r="G5931" s="74"/>
      <c r="H5931" s="74"/>
      <c r="I5931" s="74" t="s">
        <v>391</v>
      </c>
      <c r="J5931" s="74"/>
      <c r="K5931" s="74">
        <v>102.4</v>
      </c>
      <c r="L5931" s="74">
        <v>92.16</v>
      </c>
      <c r="M5931" s="74"/>
      <c r="N5931" s="74" t="s">
        <v>392</v>
      </c>
      <c r="O5931" s="74" t="s">
        <v>402</v>
      </c>
      <c r="P5931" s="74"/>
      <c r="Q5931" s="74" t="s">
        <v>20321</v>
      </c>
    </row>
    <row r="5932" spans="3:17" x14ac:dyDescent="0.25">
      <c r="C5932" s="74" t="s">
        <v>20322</v>
      </c>
      <c r="D5932" s="74" t="s">
        <v>20323</v>
      </c>
      <c r="E5932" s="74"/>
      <c r="F5932" s="74">
        <v>0</v>
      </c>
      <c r="G5932" s="74"/>
      <c r="H5932" s="74"/>
      <c r="I5932" s="74" t="s">
        <v>391</v>
      </c>
      <c r="J5932" s="74"/>
      <c r="K5932" s="74">
        <v>102.4</v>
      </c>
      <c r="L5932" s="74">
        <v>92.16</v>
      </c>
      <c r="M5932" s="74"/>
      <c r="N5932" s="74" t="s">
        <v>392</v>
      </c>
      <c r="O5932" s="74" t="s">
        <v>402</v>
      </c>
      <c r="P5932" s="74"/>
      <c r="Q5932" s="74" t="s">
        <v>20324</v>
      </c>
    </row>
    <row r="5933" spans="3:17" x14ac:dyDescent="0.25">
      <c r="C5933" s="74" t="s">
        <v>20325</v>
      </c>
      <c r="D5933" s="74" t="s">
        <v>20326</v>
      </c>
      <c r="E5933" s="74"/>
      <c r="F5933" s="74">
        <v>0</v>
      </c>
      <c r="G5933" s="74"/>
      <c r="H5933" s="74"/>
      <c r="I5933" s="74" t="s">
        <v>391</v>
      </c>
      <c r="J5933" s="74"/>
      <c r="K5933" s="74">
        <v>102.4</v>
      </c>
      <c r="L5933" s="74">
        <v>92.16</v>
      </c>
      <c r="M5933" s="74"/>
      <c r="N5933" s="74" t="s">
        <v>392</v>
      </c>
      <c r="O5933" s="74" t="s">
        <v>402</v>
      </c>
      <c r="P5933" s="74"/>
      <c r="Q5933" s="74" t="s">
        <v>20327</v>
      </c>
    </row>
    <row r="5934" spans="3:17" x14ac:dyDescent="0.25">
      <c r="C5934" s="74" t="s">
        <v>20328</v>
      </c>
      <c r="D5934" s="74" t="s">
        <v>20329</v>
      </c>
      <c r="E5934" s="74"/>
      <c r="F5934" s="74">
        <v>0</v>
      </c>
      <c r="G5934" s="74"/>
      <c r="H5934" s="74"/>
      <c r="I5934" s="74" t="s">
        <v>391</v>
      </c>
      <c r="J5934" s="74"/>
      <c r="K5934" s="74">
        <v>102.4</v>
      </c>
      <c r="L5934" s="74">
        <v>92.16</v>
      </c>
      <c r="M5934" s="74"/>
      <c r="N5934" s="74" t="s">
        <v>392</v>
      </c>
      <c r="O5934" s="74" t="s">
        <v>402</v>
      </c>
      <c r="P5934" s="74"/>
      <c r="Q5934" s="74" t="s">
        <v>20330</v>
      </c>
    </row>
    <row r="5935" spans="3:17" x14ac:dyDescent="0.25">
      <c r="C5935" s="74" t="s">
        <v>20331</v>
      </c>
      <c r="D5935" s="74" t="s">
        <v>20332</v>
      </c>
      <c r="E5935" s="74"/>
      <c r="F5935" s="74">
        <v>0</v>
      </c>
      <c r="G5935" s="74"/>
      <c r="H5935" s="74"/>
      <c r="I5935" s="74" t="s">
        <v>391</v>
      </c>
      <c r="J5935" s="74"/>
      <c r="K5935" s="74">
        <v>102.4</v>
      </c>
      <c r="L5935" s="74">
        <v>92.16</v>
      </c>
      <c r="M5935" s="74"/>
      <c r="N5935" s="74" t="s">
        <v>392</v>
      </c>
      <c r="O5935" s="74" t="s">
        <v>402</v>
      </c>
      <c r="P5935" s="74"/>
      <c r="Q5935" s="74" t="s">
        <v>20333</v>
      </c>
    </row>
    <row r="5936" spans="3:17" x14ac:dyDescent="0.25">
      <c r="C5936" s="74" t="s">
        <v>20334</v>
      </c>
      <c r="D5936" s="74" t="s">
        <v>20335</v>
      </c>
      <c r="E5936" s="74"/>
      <c r="F5936" s="74">
        <v>0</v>
      </c>
      <c r="G5936" s="74"/>
      <c r="H5936" s="74"/>
      <c r="I5936" s="74" t="s">
        <v>391</v>
      </c>
      <c r="J5936" s="74"/>
      <c r="K5936" s="74">
        <v>102.4</v>
      </c>
      <c r="L5936" s="74">
        <v>92.16</v>
      </c>
      <c r="M5936" s="74"/>
      <c r="N5936" s="74" t="s">
        <v>392</v>
      </c>
      <c r="O5936" s="74" t="s">
        <v>402</v>
      </c>
      <c r="P5936" s="74"/>
      <c r="Q5936" s="74" t="s">
        <v>20336</v>
      </c>
    </row>
    <row r="5937" spans="3:17" x14ac:dyDescent="0.25">
      <c r="C5937" s="74" t="s">
        <v>20337</v>
      </c>
      <c r="D5937" s="74" t="s">
        <v>20338</v>
      </c>
      <c r="E5937" s="74"/>
      <c r="F5937" s="74">
        <v>0</v>
      </c>
      <c r="G5937" s="74"/>
      <c r="H5937" s="74"/>
      <c r="I5937" s="74" t="s">
        <v>391</v>
      </c>
      <c r="J5937" s="74"/>
      <c r="K5937" s="74">
        <v>102.4</v>
      </c>
      <c r="L5937" s="74">
        <v>92.16</v>
      </c>
      <c r="M5937" s="74"/>
      <c r="N5937" s="74" t="s">
        <v>392</v>
      </c>
      <c r="O5937" s="74" t="s">
        <v>402</v>
      </c>
      <c r="P5937" s="74"/>
      <c r="Q5937" s="74" t="s">
        <v>20339</v>
      </c>
    </row>
    <row r="5938" spans="3:17" x14ac:dyDescent="0.25">
      <c r="C5938" s="74" t="s">
        <v>20340</v>
      </c>
      <c r="D5938" s="74" t="s">
        <v>20341</v>
      </c>
      <c r="E5938" s="74"/>
      <c r="F5938" s="74">
        <v>0</v>
      </c>
      <c r="G5938" s="74"/>
      <c r="H5938" s="74"/>
      <c r="I5938" s="74" t="s">
        <v>391</v>
      </c>
      <c r="J5938" s="74"/>
      <c r="K5938" s="74">
        <v>102.4</v>
      </c>
      <c r="L5938" s="74">
        <v>92.16</v>
      </c>
      <c r="M5938" s="74"/>
      <c r="N5938" s="74" t="s">
        <v>392</v>
      </c>
      <c r="O5938" s="74" t="s">
        <v>402</v>
      </c>
      <c r="P5938" s="74"/>
      <c r="Q5938" s="74" t="s">
        <v>20342</v>
      </c>
    </row>
    <row r="5939" spans="3:17" x14ac:dyDescent="0.25">
      <c r="C5939" s="74" t="s">
        <v>20343</v>
      </c>
      <c r="D5939" s="74" t="s">
        <v>20344</v>
      </c>
      <c r="E5939" s="74"/>
      <c r="F5939" s="74">
        <v>0</v>
      </c>
      <c r="G5939" s="74"/>
      <c r="H5939" s="74"/>
      <c r="I5939" s="74" t="s">
        <v>391</v>
      </c>
      <c r="J5939" s="74"/>
      <c r="K5939" s="74">
        <v>102.4</v>
      </c>
      <c r="L5939" s="74">
        <v>92.16</v>
      </c>
      <c r="M5939" s="74"/>
      <c r="N5939" s="74" t="s">
        <v>392</v>
      </c>
      <c r="O5939" s="74" t="s">
        <v>402</v>
      </c>
      <c r="P5939" s="74"/>
      <c r="Q5939" s="74" t="s">
        <v>20345</v>
      </c>
    </row>
    <row r="5940" spans="3:17" x14ac:dyDescent="0.25">
      <c r="C5940" s="74" t="s">
        <v>20346</v>
      </c>
      <c r="D5940" s="74" t="s">
        <v>20347</v>
      </c>
      <c r="E5940" s="74"/>
      <c r="F5940" s="74">
        <v>0</v>
      </c>
      <c r="G5940" s="74"/>
      <c r="H5940" s="74"/>
      <c r="I5940" s="74" t="s">
        <v>391</v>
      </c>
      <c r="J5940" s="74"/>
      <c r="K5940" s="74">
        <v>102.4</v>
      </c>
      <c r="L5940" s="74">
        <v>92.16</v>
      </c>
      <c r="M5940" s="74"/>
      <c r="N5940" s="74" t="s">
        <v>392</v>
      </c>
      <c r="O5940" s="74" t="s">
        <v>402</v>
      </c>
      <c r="P5940" s="74"/>
      <c r="Q5940" s="74" t="s">
        <v>20348</v>
      </c>
    </row>
    <row r="5941" spans="3:17" x14ac:dyDescent="0.25">
      <c r="C5941" s="74" t="s">
        <v>20349</v>
      </c>
      <c r="D5941" s="74" t="s">
        <v>20350</v>
      </c>
      <c r="E5941" s="74"/>
      <c r="F5941" s="74">
        <v>0</v>
      </c>
      <c r="G5941" s="74"/>
      <c r="H5941" s="74"/>
      <c r="I5941" s="74" t="s">
        <v>391</v>
      </c>
      <c r="J5941" s="74"/>
      <c r="K5941" s="74">
        <v>102.4</v>
      </c>
      <c r="L5941" s="74">
        <v>92.16</v>
      </c>
      <c r="M5941" s="74"/>
      <c r="N5941" s="74" t="s">
        <v>392</v>
      </c>
      <c r="O5941" s="74" t="s">
        <v>402</v>
      </c>
      <c r="P5941" s="74"/>
      <c r="Q5941" s="74" t="s">
        <v>20351</v>
      </c>
    </row>
    <row r="5942" spans="3:17" x14ac:dyDescent="0.25">
      <c r="C5942" s="74" t="s">
        <v>20352</v>
      </c>
      <c r="D5942" s="74" t="s">
        <v>20353</v>
      </c>
      <c r="E5942" s="74"/>
      <c r="F5942" s="74">
        <v>0</v>
      </c>
      <c r="G5942" s="74"/>
      <c r="H5942" s="74"/>
      <c r="I5942" s="74" t="s">
        <v>391</v>
      </c>
      <c r="J5942" s="74"/>
      <c r="K5942" s="74">
        <v>102.4</v>
      </c>
      <c r="L5942" s="74">
        <v>92.16</v>
      </c>
      <c r="M5942" s="74"/>
      <c r="N5942" s="74" t="s">
        <v>392</v>
      </c>
      <c r="O5942" s="74" t="s">
        <v>402</v>
      </c>
      <c r="P5942" s="74"/>
      <c r="Q5942" s="74" t="s">
        <v>20354</v>
      </c>
    </row>
    <row r="5943" spans="3:17" x14ac:dyDescent="0.25">
      <c r="C5943" s="74" t="s">
        <v>20355</v>
      </c>
      <c r="D5943" s="74" t="s">
        <v>20356</v>
      </c>
      <c r="E5943" s="74"/>
      <c r="F5943" s="74">
        <v>0</v>
      </c>
      <c r="G5943" s="74"/>
      <c r="H5943" s="74"/>
      <c r="I5943" s="74" t="s">
        <v>391</v>
      </c>
      <c r="J5943" s="74"/>
      <c r="K5943" s="74">
        <v>102.4</v>
      </c>
      <c r="L5943" s="74">
        <v>92.16</v>
      </c>
      <c r="M5943" s="74"/>
      <c r="N5943" s="74" t="s">
        <v>392</v>
      </c>
      <c r="O5943" s="74" t="s">
        <v>402</v>
      </c>
      <c r="P5943" s="74"/>
      <c r="Q5943" s="74" t="s">
        <v>20357</v>
      </c>
    </row>
    <row r="5944" spans="3:17" x14ac:dyDescent="0.25">
      <c r="C5944" s="74" t="s">
        <v>20358</v>
      </c>
      <c r="D5944" s="74" t="s">
        <v>20359</v>
      </c>
      <c r="E5944" s="74"/>
      <c r="F5944" s="74">
        <v>0</v>
      </c>
      <c r="G5944" s="74"/>
      <c r="H5944" s="74"/>
      <c r="I5944" s="74" t="s">
        <v>391</v>
      </c>
      <c r="J5944" s="74"/>
      <c r="K5944" s="74">
        <v>102.4</v>
      </c>
      <c r="L5944" s="74">
        <v>92.16</v>
      </c>
      <c r="M5944" s="74"/>
      <c r="N5944" s="74" t="s">
        <v>392</v>
      </c>
      <c r="O5944" s="74" t="s">
        <v>402</v>
      </c>
      <c r="P5944" s="74"/>
      <c r="Q5944" s="74" t="s">
        <v>20360</v>
      </c>
    </row>
    <row r="5945" spans="3:17" x14ac:dyDescent="0.25">
      <c r="C5945" s="74" t="s">
        <v>20361</v>
      </c>
      <c r="D5945" s="74" t="s">
        <v>20362</v>
      </c>
      <c r="E5945" s="74"/>
      <c r="F5945" s="74">
        <v>0</v>
      </c>
      <c r="G5945" s="74"/>
      <c r="H5945" s="74"/>
      <c r="I5945" s="74" t="s">
        <v>391</v>
      </c>
      <c r="J5945" s="74"/>
      <c r="K5945" s="74">
        <v>102.4</v>
      </c>
      <c r="L5945" s="74">
        <v>92.16</v>
      </c>
      <c r="M5945" s="74"/>
      <c r="N5945" s="74" t="s">
        <v>392</v>
      </c>
      <c r="O5945" s="74" t="s">
        <v>402</v>
      </c>
      <c r="P5945" s="74"/>
      <c r="Q5945" s="74" t="s">
        <v>20363</v>
      </c>
    </row>
    <row r="5946" spans="3:17" x14ac:dyDescent="0.25">
      <c r="C5946" s="74" t="s">
        <v>20364</v>
      </c>
      <c r="D5946" s="74" t="s">
        <v>20365</v>
      </c>
      <c r="E5946" s="74"/>
      <c r="F5946" s="74">
        <v>0</v>
      </c>
      <c r="G5946" s="74"/>
      <c r="H5946" s="74"/>
      <c r="I5946" s="74" t="s">
        <v>391</v>
      </c>
      <c r="J5946" s="74"/>
      <c r="K5946" s="74">
        <v>102.4</v>
      </c>
      <c r="L5946" s="74">
        <v>92.16</v>
      </c>
      <c r="M5946" s="74"/>
      <c r="N5946" s="74" t="s">
        <v>392</v>
      </c>
      <c r="O5946" s="74" t="s">
        <v>402</v>
      </c>
      <c r="P5946" s="74"/>
      <c r="Q5946" s="74" t="s">
        <v>20366</v>
      </c>
    </row>
    <row r="5947" spans="3:17" x14ac:dyDescent="0.25">
      <c r="C5947" s="74" t="s">
        <v>20367</v>
      </c>
      <c r="D5947" s="74" t="s">
        <v>20368</v>
      </c>
      <c r="E5947" s="74"/>
      <c r="F5947" s="74">
        <v>0</v>
      </c>
      <c r="G5947" s="74"/>
      <c r="H5947" s="74"/>
      <c r="I5947" s="74" t="s">
        <v>391</v>
      </c>
      <c r="J5947" s="74"/>
      <c r="K5947" s="74">
        <v>102.4</v>
      </c>
      <c r="L5947" s="74">
        <v>92.16</v>
      </c>
      <c r="M5947" s="74"/>
      <c r="N5947" s="74" t="s">
        <v>392</v>
      </c>
      <c r="O5947" s="74" t="s">
        <v>402</v>
      </c>
      <c r="P5947" s="74"/>
      <c r="Q5947" s="74" t="s">
        <v>20369</v>
      </c>
    </row>
    <row r="5948" spans="3:17" x14ac:dyDescent="0.25">
      <c r="C5948" s="74" t="s">
        <v>20370</v>
      </c>
      <c r="D5948" s="74" t="s">
        <v>20371</v>
      </c>
      <c r="E5948" s="74"/>
      <c r="F5948" s="74">
        <v>0</v>
      </c>
      <c r="G5948" s="74"/>
      <c r="H5948" s="74"/>
      <c r="I5948" s="74" t="s">
        <v>391</v>
      </c>
      <c r="J5948" s="74"/>
      <c r="K5948" s="74">
        <v>102.4</v>
      </c>
      <c r="L5948" s="74">
        <v>92.16</v>
      </c>
      <c r="M5948" s="74"/>
      <c r="N5948" s="74" t="s">
        <v>392</v>
      </c>
      <c r="O5948" s="74" t="s">
        <v>402</v>
      </c>
      <c r="P5948" s="74"/>
      <c r="Q5948" s="74" t="s">
        <v>20372</v>
      </c>
    </row>
    <row r="5949" spans="3:17" x14ac:dyDescent="0.25">
      <c r="C5949" s="74" t="s">
        <v>20373</v>
      </c>
      <c r="D5949" s="74" t="s">
        <v>20374</v>
      </c>
      <c r="E5949" s="74"/>
      <c r="F5949" s="74">
        <v>0</v>
      </c>
      <c r="G5949" s="74"/>
      <c r="H5949" s="74"/>
      <c r="I5949" s="74" t="s">
        <v>391</v>
      </c>
      <c r="J5949" s="74"/>
      <c r="K5949" s="74">
        <v>102.4</v>
      </c>
      <c r="L5949" s="74">
        <v>92.16</v>
      </c>
      <c r="M5949" s="74"/>
      <c r="N5949" s="74" t="s">
        <v>392</v>
      </c>
      <c r="O5949" s="74" t="s">
        <v>402</v>
      </c>
      <c r="P5949" s="74"/>
      <c r="Q5949" s="74" t="s">
        <v>20375</v>
      </c>
    </row>
    <row r="5950" spans="3:17" x14ac:dyDescent="0.25">
      <c r="C5950" s="74" t="s">
        <v>20376</v>
      </c>
      <c r="D5950" s="74" t="s">
        <v>20377</v>
      </c>
      <c r="E5950" s="74"/>
      <c r="F5950" s="74">
        <v>0</v>
      </c>
      <c r="G5950" s="74"/>
      <c r="H5950" s="74"/>
      <c r="I5950" s="74" t="s">
        <v>391</v>
      </c>
      <c r="J5950" s="74"/>
      <c r="K5950" s="74">
        <v>102.4</v>
      </c>
      <c r="L5950" s="74">
        <v>92.16</v>
      </c>
      <c r="M5950" s="74"/>
      <c r="N5950" s="74" t="s">
        <v>392</v>
      </c>
      <c r="O5950" s="74" t="s">
        <v>402</v>
      </c>
      <c r="P5950" s="74"/>
      <c r="Q5950" s="74" t="s">
        <v>20378</v>
      </c>
    </row>
    <row r="5951" spans="3:17" x14ac:dyDescent="0.25">
      <c r="C5951" s="74" t="s">
        <v>20379</v>
      </c>
      <c r="D5951" s="74" t="s">
        <v>20380</v>
      </c>
      <c r="E5951" s="74"/>
      <c r="F5951" s="74">
        <v>0</v>
      </c>
      <c r="G5951" s="74"/>
      <c r="H5951" s="74"/>
      <c r="I5951" s="74" t="s">
        <v>391</v>
      </c>
      <c r="J5951" s="74"/>
      <c r="K5951" s="74">
        <v>102.4</v>
      </c>
      <c r="L5951" s="74">
        <v>92.16</v>
      </c>
      <c r="M5951" s="74"/>
      <c r="N5951" s="74" t="s">
        <v>392</v>
      </c>
      <c r="O5951" s="74" t="s">
        <v>402</v>
      </c>
      <c r="P5951" s="74"/>
      <c r="Q5951" s="74" t="s">
        <v>20381</v>
      </c>
    </row>
    <row r="5952" spans="3:17" x14ac:dyDescent="0.25">
      <c r="C5952" s="74" t="s">
        <v>20382</v>
      </c>
      <c r="D5952" s="74" t="s">
        <v>20383</v>
      </c>
      <c r="E5952" s="74"/>
      <c r="F5952" s="74">
        <v>0</v>
      </c>
      <c r="G5952" s="74"/>
      <c r="H5952" s="74"/>
      <c r="I5952" s="74" t="s">
        <v>391</v>
      </c>
      <c r="J5952" s="74"/>
      <c r="K5952" s="74">
        <v>102.4</v>
      </c>
      <c r="L5952" s="74">
        <v>92.16</v>
      </c>
      <c r="M5952" s="74"/>
      <c r="N5952" s="74" t="s">
        <v>392</v>
      </c>
      <c r="O5952" s="74" t="s">
        <v>402</v>
      </c>
      <c r="P5952" s="74"/>
      <c r="Q5952" s="74" t="s">
        <v>20384</v>
      </c>
    </row>
    <row r="5953" spans="3:17" x14ac:dyDescent="0.25">
      <c r="C5953" s="74" t="s">
        <v>20385</v>
      </c>
      <c r="D5953" s="74" t="s">
        <v>20386</v>
      </c>
      <c r="E5953" s="74"/>
      <c r="F5953" s="74">
        <v>0</v>
      </c>
      <c r="G5953" s="74"/>
      <c r="H5953" s="74"/>
      <c r="I5953" s="74" t="s">
        <v>391</v>
      </c>
      <c r="J5953" s="74"/>
      <c r="K5953" s="74">
        <v>102.4</v>
      </c>
      <c r="L5953" s="74">
        <v>92.16</v>
      </c>
      <c r="M5953" s="74"/>
      <c r="N5953" s="74" t="s">
        <v>392</v>
      </c>
      <c r="O5953" s="74" t="s">
        <v>402</v>
      </c>
      <c r="P5953" s="74"/>
      <c r="Q5953" s="74" t="s">
        <v>20387</v>
      </c>
    </row>
    <row r="5954" spans="3:17" x14ac:dyDescent="0.25">
      <c r="C5954" s="74" t="s">
        <v>20388</v>
      </c>
      <c r="D5954" s="74" t="s">
        <v>20389</v>
      </c>
      <c r="E5954" s="74"/>
      <c r="F5954" s="74">
        <v>0</v>
      </c>
      <c r="G5954" s="74"/>
      <c r="H5954" s="74"/>
      <c r="I5954" s="74" t="s">
        <v>391</v>
      </c>
      <c r="J5954" s="74"/>
      <c r="K5954" s="74">
        <v>102.4</v>
      </c>
      <c r="L5954" s="74">
        <v>92.16</v>
      </c>
      <c r="M5954" s="74"/>
      <c r="N5954" s="74" t="s">
        <v>392</v>
      </c>
      <c r="O5954" s="74" t="s">
        <v>402</v>
      </c>
      <c r="P5954" s="74"/>
      <c r="Q5954" s="74" t="s">
        <v>20390</v>
      </c>
    </row>
    <row r="5955" spans="3:17" x14ac:dyDescent="0.25">
      <c r="C5955" s="74" t="s">
        <v>20391</v>
      </c>
      <c r="D5955" s="74" t="s">
        <v>20392</v>
      </c>
      <c r="E5955" s="74"/>
      <c r="F5955" s="74">
        <v>0</v>
      </c>
      <c r="G5955" s="74"/>
      <c r="H5955" s="74"/>
      <c r="I5955" s="74" t="s">
        <v>391</v>
      </c>
      <c r="J5955" s="74"/>
      <c r="K5955" s="74">
        <v>102.4</v>
      </c>
      <c r="L5955" s="74">
        <v>92.16</v>
      </c>
      <c r="M5955" s="74"/>
      <c r="N5955" s="74" t="s">
        <v>392</v>
      </c>
      <c r="O5955" s="74" t="s">
        <v>402</v>
      </c>
      <c r="P5955" s="74"/>
      <c r="Q5955" s="74" t="s">
        <v>20393</v>
      </c>
    </row>
    <row r="5956" spans="3:17" x14ac:dyDescent="0.25">
      <c r="C5956" s="74" t="s">
        <v>20394</v>
      </c>
      <c r="D5956" s="74" t="s">
        <v>20395</v>
      </c>
      <c r="E5956" s="74"/>
      <c r="F5956" s="74">
        <v>0</v>
      </c>
      <c r="G5956" s="74"/>
      <c r="H5956" s="74"/>
      <c r="I5956" s="74" t="s">
        <v>391</v>
      </c>
      <c r="J5956" s="74"/>
      <c r="K5956" s="74">
        <v>102.4</v>
      </c>
      <c r="L5956" s="74">
        <v>92.16</v>
      </c>
      <c r="M5956" s="74"/>
      <c r="N5956" s="74" t="s">
        <v>392</v>
      </c>
      <c r="O5956" s="74" t="s">
        <v>402</v>
      </c>
      <c r="P5956" s="74"/>
      <c r="Q5956" s="74" t="s">
        <v>20396</v>
      </c>
    </row>
    <row r="5957" spans="3:17" x14ac:dyDescent="0.25">
      <c r="C5957" s="74" t="s">
        <v>20397</v>
      </c>
      <c r="D5957" s="74" t="s">
        <v>20398</v>
      </c>
      <c r="E5957" s="74"/>
      <c r="F5957" s="74">
        <v>0</v>
      </c>
      <c r="G5957" s="74"/>
      <c r="H5957" s="74"/>
      <c r="I5957" s="74" t="s">
        <v>391</v>
      </c>
      <c r="J5957" s="74"/>
      <c r="K5957" s="74">
        <v>102.4</v>
      </c>
      <c r="L5957" s="74">
        <v>92.16</v>
      </c>
      <c r="M5957" s="74"/>
      <c r="N5957" s="74" t="s">
        <v>392</v>
      </c>
      <c r="O5957" s="74" t="s">
        <v>402</v>
      </c>
      <c r="P5957" s="74"/>
      <c r="Q5957" s="74" t="s">
        <v>20399</v>
      </c>
    </row>
    <row r="5958" spans="3:17" x14ac:dyDescent="0.25">
      <c r="C5958" s="74" t="s">
        <v>20400</v>
      </c>
      <c r="D5958" s="74" t="s">
        <v>20401</v>
      </c>
      <c r="E5958" s="74"/>
      <c r="F5958" s="74">
        <v>0</v>
      </c>
      <c r="G5958" s="74"/>
      <c r="H5958" s="74"/>
      <c r="I5958" s="74" t="s">
        <v>391</v>
      </c>
      <c r="J5958" s="74"/>
      <c r="K5958" s="74">
        <v>102.4</v>
      </c>
      <c r="L5958" s="74">
        <v>92.16</v>
      </c>
      <c r="M5958" s="74"/>
      <c r="N5958" s="74" t="s">
        <v>392</v>
      </c>
      <c r="O5958" s="74" t="s">
        <v>402</v>
      </c>
      <c r="P5958" s="74"/>
      <c r="Q5958" s="74" t="s">
        <v>20402</v>
      </c>
    </row>
    <row r="5959" spans="3:17" x14ac:dyDescent="0.25">
      <c r="C5959" s="74" t="s">
        <v>20446</v>
      </c>
      <c r="D5959" s="74" t="s">
        <v>20447</v>
      </c>
      <c r="E5959" s="74"/>
      <c r="F5959" s="74">
        <v>0</v>
      </c>
      <c r="G5959" s="74"/>
      <c r="H5959" s="74"/>
      <c r="I5959" s="74" t="s">
        <v>391</v>
      </c>
      <c r="J5959" s="74"/>
      <c r="K5959" s="74">
        <v>102.4</v>
      </c>
      <c r="L5959" s="74">
        <v>92.16</v>
      </c>
      <c r="M5959" s="74"/>
      <c r="N5959" s="74" t="s">
        <v>392</v>
      </c>
      <c r="O5959" s="74" t="s">
        <v>402</v>
      </c>
      <c r="P5959" s="74" t="s">
        <v>20448</v>
      </c>
      <c r="Q5959" s="74" t="s">
        <v>20449</v>
      </c>
    </row>
    <row r="5960" spans="3:17" x14ac:dyDescent="0.25">
      <c r="C5960" s="74" t="s">
        <v>20464</v>
      </c>
      <c r="D5960" s="74" t="s">
        <v>20465</v>
      </c>
      <c r="E5960" s="74" t="s">
        <v>391</v>
      </c>
      <c r="F5960" s="74">
        <v>0</v>
      </c>
      <c r="G5960" s="74"/>
      <c r="H5960" s="74"/>
      <c r="I5960" s="74" t="s">
        <v>391</v>
      </c>
      <c r="J5960" s="74"/>
      <c r="K5960" s="74">
        <v>102.4</v>
      </c>
      <c r="L5960" s="74">
        <v>92.16</v>
      </c>
      <c r="M5960" s="74"/>
      <c r="N5960" s="74" t="s">
        <v>392</v>
      </c>
      <c r="O5960" s="74" t="s">
        <v>393</v>
      </c>
      <c r="P5960" s="74"/>
      <c r="Q5960" s="74" t="s">
        <v>20466</v>
      </c>
    </row>
    <row r="5961" spans="3:17" x14ac:dyDescent="0.25">
      <c r="C5961" s="74" t="s">
        <v>20467</v>
      </c>
      <c r="D5961" s="74" t="s">
        <v>20468</v>
      </c>
      <c r="E5961" s="74" t="s">
        <v>391</v>
      </c>
      <c r="F5961" s="74">
        <v>0</v>
      </c>
      <c r="G5961" s="74"/>
      <c r="H5961" s="74"/>
      <c r="I5961" s="74" t="s">
        <v>391</v>
      </c>
      <c r="J5961" s="74"/>
      <c r="K5961" s="74">
        <v>102.4</v>
      </c>
      <c r="L5961" s="74">
        <v>92.16</v>
      </c>
      <c r="M5961" s="74"/>
      <c r="N5961" s="74" t="s">
        <v>392</v>
      </c>
      <c r="O5961" s="74" t="s">
        <v>393</v>
      </c>
      <c r="P5961" s="74"/>
      <c r="Q5961" s="74" t="s">
        <v>20469</v>
      </c>
    </row>
    <row r="5962" spans="3:17" x14ac:dyDescent="0.25">
      <c r="C5962" s="74" t="s">
        <v>20497</v>
      </c>
      <c r="D5962" s="74" t="s">
        <v>20498</v>
      </c>
      <c r="E5962" s="74" t="s">
        <v>391</v>
      </c>
      <c r="F5962" s="74">
        <v>0</v>
      </c>
      <c r="G5962" s="74"/>
      <c r="H5962" s="74"/>
      <c r="I5962" s="74" t="s">
        <v>391</v>
      </c>
      <c r="J5962" s="74"/>
      <c r="K5962" s="74"/>
      <c r="L5962" s="74"/>
      <c r="M5962" s="74"/>
      <c r="N5962" s="74" t="s">
        <v>397</v>
      </c>
      <c r="O5962" s="74" t="s">
        <v>402</v>
      </c>
      <c r="P5962" s="74" t="s">
        <v>20499</v>
      </c>
      <c r="Q5962" s="74" t="s">
        <v>20500</v>
      </c>
    </row>
    <row r="5963" spans="3:17" x14ac:dyDescent="0.25">
      <c r="C5963" s="74" t="s">
        <v>20512</v>
      </c>
      <c r="D5963" s="74" t="s">
        <v>20513</v>
      </c>
      <c r="E5963" s="74" t="s">
        <v>391</v>
      </c>
      <c r="F5963" s="74">
        <v>0</v>
      </c>
      <c r="G5963" s="74"/>
      <c r="H5963" s="74"/>
      <c r="I5963" s="74" t="s">
        <v>391</v>
      </c>
      <c r="J5963" s="74"/>
      <c r="K5963" s="74">
        <v>102.4</v>
      </c>
      <c r="L5963" s="74">
        <v>92.16</v>
      </c>
      <c r="M5963" s="74"/>
      <c r="N5963" s="74" t="s">
        <v>392</v>
      </c>
      <c r="O5963" s="74" t="s">
        <v>402</v>
      </c>
      <c r="P5963" s="74" t="s">
        <v>20514</v>
      </c>
      <c r="Q5963" s="74" t="s">
        <v>20515</v>
      </c>
    </row>
    <row r="5964" spans="3:17" x14ac:dyDescent="0.25">
      <c r="C5964" s="74" t="s">
        <v>20520</v>
      </c>
      <c r="D5964" s="74" t="s">
        <v>20521</v>
      </c>
      <c r="E5964" s="74" t="s">
        <v>391</v>
      </c>
      <c r="F5964" s="74">
        <v>0</v>
      </c>
      <c r="G5964" s="74"/>
      <c r="H5964" s="74"/>
      <c r="I5964" s="74" t="s">
        <v>391</v>
      </c>
      <c r="J5964" s="74"/>
      <c r="K5964" s="74">
        <v>102.4</v>
      </c>
      <c r="L5964" s="74">
        <v>92.16</v>
      </c>
      <c r="M5964" s="74"/>
      <c r="N5964" s="74" t="s">
        <v>392</v>
      </c>
      <c r="O5964" s="74" t="s">
        <v>393</v>
      </c>
      <c r="P5964" s="74"/>
      <c r="Q5964" s="74" t="s">
        <v>20522</v>
      </c>
    </row>
    <row r="5965" spans="3:17" x14ac:dyDescent="0.25">
      <c r="C5965" s="74" t="s">
        <v>20573</v>
      </c>
      <c r="D5965" s="74" t="s">
        <v>20574</v>
      </c>
      <c r="E5965" s="74" t="s">
        <v>391</v>
      </c>
      <c r="F5965" s="74">
        <v>0</v>
      </c>
      <c r="G5965" s="74"/>
      <c r="H5965" s="74"/>
      <c r="I5965" s="74" t="s">
        <v>391</v>
      </c>
      <c r="J5965" s="74"/>
      <c r="K5965" s="74"/>
      <c r="L5965" s="74"/>
      <c r="M5965" s="74"/>
      <c r="N5965" s="74" t="s">
        <v>397</v>
      </c>
      <c r="O5965" s="74" t="s">
        <v>393</v>
      </c>
      <c r="P5965" s="74" t="s">
        <v>20575</v>
      </c>
      <c r="Q5965" s="74" t="s">
        <v>20576</v>
      </c>
    </row>
    <row r="5966" spans="3:17" x14ac:dyDescent="0.25">
      <c r="C5966" s="74" t="s">
        <v>20580</v>
      </c>
      <c r="D5966" s="74" t="s">
        <v>20581</v>
      </c>
      <c r="E5966" s="74" t="s">
        <v>391</v>
      </c>
      <c r="F5966" s="74">
        <v>0</v>
      </c>
      <c r="G5966" s="74"/>
      <c r="H5966" s="74"/>
      <c r="I5966" s="74" t="s">
        <v>391</v>
      </c>
      <c r="J5966" s="74"/>
      <c r="K5966" s="74"/>
      <c r="L5966" s="74"/>
      <c r="M5966" s="74"/>
      <c r="N5966" s="74" t="s">
        <v>397</v>
      </c>
      <c r="O5966" s="74" t="s">
        <v>393</v>
      </c>
      <c r="P5966" s="74" t="s">
        <v>20582</v>
      </c>
      <c r="Q5966" s="74" t="s">
        <v>20583</v>
      </c>
    </row>
    <row r="5967" spans="3:17" x14ac:dyDescent="0.25">
      <c r="C5967" s="74" t="s">
        <v>20594</v>
      </c>
      <c r="D5967" s="74" t="s">
        <v>20595</v>
      </c>
      <c r="E5967" s="74" t="s">
        <v>391</v>
      </c>
      <c r="F5967" s="74">
        <v>0</v>
      </c>
      <c r="G5967" s="74"/>
      <c r="H5967" s="74"/>
      <c r="I5967" s="74" t="s">
        <v>391</v>
      </c>
      <c r="J5967" s="74"/>
      <c r="K5967" s="74"/>
      <c r="L5967" s="74"/>
      <c r="M5967" s="74"/>
      <c r="N5967" s="74" t="s">
        <v>397</v>
      </c>
      <c r="O5967" s="74" t="s">
        <v>393</v>
      </c>
      <c r="P5967" s="74" t="s">
        <v>20596</v>
      </c>
      <c r="Q5967" s="74" t="s">
        <v>20597</v>
      </c>
    </row>
    <row r="5968" spans="3:17" x14ac:dyDescent="0.25">
      <c r="C5968" s="74" t="s">
        <v>20601</v>
      </c>
      <c r="D5968" s="74" t="s">
        <v>20602</v>
      </c>
      <c r="E5968" s="74" t="s">
        <v>391</v>
      </c>
      <c r="F5968" s="74">
        <v>0</v>
      </c>
      <c r="G5968" s="74"/>
      <c r="H5968" s="74"/>
      <c r="I5968" s="74" t="s">
        <v>391</v>
      </c>
      <c r="J5968" s="74"/>
      <c r="K5968" s="74"/>
      <c r="L5968" s="74"/>
      <c r="M5968" s="74"/>
      <c r="N5968" s="74" t="s">
        <v>397</v>
      </c>
      <c r="O5968" s="74" t="s">
        <v>393</v>
      </c>
      <c r="P5968" s="74" t="s">
        <v>20603</v>
      </c>
      <c r="Q5968" s="74" t="s">
        <v>20604</v>
      </c>
    </row>
    <row r="5969" spans="3:17" x14ac:dyDescent="0.25">
      <c r="C5969" s="74" t="s">
        <v>20626</v>
      </c>
      <c r="D5969" s="74" t="s">
        <v>20627</v>
      </c>
      <c r="E5969" s="74" t="s">
        <v>391</v>
      </c>
      <c r="F5969" s="74">
        <v>0</v>
      </c>
      <c r="G5969" s="74"/>
      <c r="H5969" s="74"/>
      <c r="I5969" s="74" t="s">
        <v>391</v>
      </c>
      <c r="J5969" s="74"/>
      <c r="K5969" s="74">
        <v>102.4</v>
      </c>
      <c r="L5969" s="74">
        <v>92.16</v>
      </c>
      <c r="M5969" s="74"/>
      <c r="N5969" s="74" t="s">
        <v>392</v>
      </c>
      <c r="O5969" s="74" t="s">
        <v>393</v>
      </c>
      <c r="P5969" s="74"/>
      <c r="Q5969" s="74" t="s">
        <v>20628</v>
      </c>
    </row>
    <row r="5970" spans="3:17" x14ac:dyDescent="0.25">
      <c r="C5970" s="74" t="s">
        <v>20629</v>
      </c>
      <c r="D5970" s="74" t="s">
        <v>20630</v>
      </c>
      <c r="E5970" s="74" t="s">
        <v>391</v>
      </c>
      <c r="F5970" s="74">
        <v>0</v>
      </c>
      <c r="G5970" s="74"/>
      <c r="H5970" s="74"/>
      <c r="I5970" s="74" t="s">
        <v>391</v>
      </c>
      <c r="J5970" s="74"/>
      <c r="K5970" s="74"/>
      <c r="L5970" s="74"/>
      <c r="M5970" s="74"/>
      <c r="N5970" s="74" t="s">
        <v>397</v>
      </c>
      <c r="O5970" s="74" t="s">
        <v>393</v>
      </c>
      <c r="P5970" s="74"/>
      <c r="Q5970" s="74" t="s">
        <v>20631</v>
      </c>
    </row>
    <row r="5971" spans="3:17" x14ac:dyDescent="0.25">
      <c r="C5971" s="74" t="s">
        <v>20632</v>
      </c>
      <c r="D5971" s="74" t="s">
        <v>20633</v>
      </c>
      <c r="E5971" s="74" t="s">
        <v>391</v>
      </c>
      <c r="F5971" s="74">
        <v>0</v>
      </c>
      <c r="G5971" s="74"/>
      <c r="H5971" s="74"/>
      <c r="I5971" s="74" t="s">
        <v>391</v>
      </c>
      <c r="J5971" s="74"/>
      <c r="K5971" s="74"/>
      <c r="L5971" s="74"/>
      <c r="M5971" s="74"/>
      <c r="N5971" s="74" t="s">
        <v>397</v>
      </c>
      <c r="O5971" s="74" t="s">
        <v>393</v>
      </c>
      <c r="P5971" s="74" t="s">
        <v>20634</v>
      </c>
      <c r="Q5971" s="74" t="s">
        <v>20635</v>
      </c>
    </row>
    <row r="5972" spans="3:17" x14ac:dyDescent="0.25">
      <c r="C5972" s="74" t="s">
        <v>20642</v>
      </c>
      <c r="D5972" s="74" t="s">
        <v>20643</v>
      </c>
      <c r="E5972" s="74"/>
      <c r="F5972" s="74">
        <v>0</v>
      </c>
      <c r="G5972" s="74"/>
      <c r="H5972" s="74"/>
      <c r="I5972" s="74" t="s">
        <v>391</v>
      </c>
      <c r="J5972" s="74"/>
      <c r="K5972" s="74">
        <v>102.4</v>
      </c>
      <c r="L5972" s="74">
        <v>92.16</v>
      </c>
      <c r="M5972" s="74"/>
      <c r="N5972" s="74" t="s">
        <v>392</v>
      </c>
      <c r="O5972" s="74" t="s">
        <v>402</v>
      </c>
      <c r="P5972" s="74"/>
      <c r="Q5972" s="74" t="s">
        <v>20644</v>
      </c>
    </row>
    <row r="5973" spans="3:17" x14ac:dyDescent="0.25">
      <c r="C5973" s="74" t="s">
        <v>20648</v>
      </c>
      <c r="D5973" s="74" t="s">
        <v>20649</v>
      </c>
      <c r="E5973" s="74" t="s">
        <v>391</v>
      </c>
      <c r="F5973" s="74">
        <v>0</v>
      </c>
      <c r="G5973" s="74"/>
      <c r="H5973" s="74"/>
      <c r="I5973" s="74" t="s">
        <v>391</v>
      </c>
      <c r="J5973" s="74"/>
      <c r="K5973" s="74">
        <v>102.4</v>
      </c>
      <c r="L5973" s="74">
        <v>92.16</v>
      </c>
      <c r="M5973" s="74"/>
      <c r="N5973" s="74" t="s">
        <v>392</v>
      </c>
      <c r="O5973" s="74" t="s">
        <v>393</v>
      </c>
      <c r="P5973" s="74"/>
      <c r="Q5973" s="74" t="s">
        <v>20650</v>
      </c>
    </row>
    <row r="5974" spans="3:17" x14ac:dyDescent="0.25">
      <c r="C5974" s="74" t="s">
        <v>20669</v>
      </c>
      <c r="D5974" s="74" t="s">
        <v>20670</v>
      </c>
      <c r="E5974" s="74" t="s">
        <v>391</v>
      </c>
      <c r="F5974" s="74">
        <v>0</v>
      </c>
      <c r="G5974" s="74"/>
      <c r="H5974" s="74"/>
      <c r="I5974" s="74" t="s">
        <v>391</v>
      </c>
      <c r="J5974" s="74"/>
      <c r="K5974" s="74"/>
      <c r="L5974" s="74"/>
      <c r="M5974" s="74"/>
      <c r="N5974" s="74" t="s">
        <v>397</v>
      </c>
      <c r="O5974" s="74" t="s">
        <v>393</v>
      </c>
      <c r="P5974" s="74"/>
      <c r="Q5974" s="74" t="s">
        <v>20671</v>
      </c>
    </row>
    <row r="5975" spans="3:17" x14ac:dyDescent="0.25">
      <c r="C5975" s="74" t="s">
        <v>20718</v>
      </c>
      <c r="D5975" s="74" t="s">
        <v>20719</v>
      </c>
      <c r="E5975" s="74" t="s">
        <v>391</v>
      </c>
      <c r="F5975" s="74">
        <v>0</v>
      </c>
      <c r="G5975" s="74"/>
      <c r="H5975" s="74"/>
      <c r="I5975" s="74" t="s">
        <v>391</v>
      </c>
      <c r="J5975" s="74"/>
      <c r="K5975" s="74">
        <v>102.4</v>
      </c>
      <c r="L5975" s="74">
        <v>92.16</v>
      </c>
      <c r="M5975" s="74"/>
      <c r="N5975" s="74" t="s">
        <v>392</v>
      </c>
      <c r="O5975" s="74" t="s">
        <v>393</v>
      </c>
      <c r="P5975" s="74"/>
      <c r="Q5975" s="74" t="s">
        <v>20720</v>
      </c>
    </row>
    <row r="5976" spans="3:17" x14ac:dyDescent="0.25">
      <c r="C5976" s="74" t="s">
        <v>20739</v>
      </c>
      <c r="D5976" s="74" t="s">
        <v>20740</v>
      </c>
      <c r="E5976" s="74" t="s">
        <v>391</v>
      </c>
      <c r="F5976" s="74">
        <v>0</v>
      </c>
      <c r="G5976" s="74"/>
      <c r="H5976" s="74"/>
      <c r="I5976" s="74" t="s">
        <v>391</v>
      </c>
      <c r="J5976" s="74"/>
      <c r="K5976" s="74"/>
      <c r="L5976" s="74"/>
      <c r="M5976" s="74"/>
      <c r="N5976" s="74" t="s">
        <v>397</v>
      </c>
      <c r="O5976" s="74" t="s">
        <v>393</v>
      </c>
      <c r="P5976" s="74" t="s">
        <v>20741</v>
      </c>
      <c r="Q5976" s="74" t="s">
        <v>20742</v>
      </c>
    </row>
    <row r="5977" spans="3:17" x14ac:dyDescent="0.25">
      <c r="C5977" s="74" t="s">
        <v>20761</v>
      </c>
      <c r="D5977" s="74" t="s">
        <v>20762</v>
      </c>
      <c r="E5977" s="74" t="s">
        <v>391</v>
      </c>
      <c r="F5977" s="74">
        <v>0</v>
      </c>
      <c r="G5977" s="74"/>
      <c r="H5977" s="74"/>
      <c r="I5977" s="74" t="s">
        <v>391</v>
      </c>
      <c r="J5977" s="74"/>
      <c r="K5977" s="74"/>
      <c r="L5977" s="74"/>
      <c r="M5977" s="74"/>
      <c r="N5977" s="74" t="s">
        <v>397</v>
      </c>
      <c r="O5977" s="74" t="s">
        <v>393</v>
      </c>
      <c r="P5977" s="74" t="s">
        <v>20763</v>
      </c>
      <c r="Q5977" s="74" t="s">
        <v>20764</v>
      </c>
    </row>
    <row r="5978" spans="3:17" x14ac:dyDescent="0.25">
      <c r="C5978" s="74" t="s">
        <v>20768</v>
      </c>
      <c r="D5978" s="74" t="s">
        <v>20769</v>
      </c>
      <c r="E5978" s="74" t="s">
        <v>391</v>
      </c>
      <c r="F5978" s="74">
        <v>0</v>
      </c>
      <c r="G5978" s="74"/>
      <c r="H5978" s="74"/>
      <c r="I5978" s="74" t="s">
        <v>391</v>
      </c>
      <c r="J5978" s="74"/>
      <c r="K5978" s="74"/>
      <c r="L5978" s="74"/>
      <c r="M5978" s="74"/>
      <c r="N5978" s="74" t="s">
        <v>397</v>
      </c>
      <c r="O5978" s="74" t="s">
        <v>393</v>
      </c>
      <c r="P5978" s="74" t="s">
        <v>20770</v>
      </c>
      <c r="Q5978" s="74" t="s">
        <v>20771</v>
      </c>
    </row>
    <row r="5979" spans="3:17" x14ac:dyDescent="0.25">
      <c r="C5979" s="74" t="s">
        <v>20790</v>
      </c>
      <c r="D5979" s="74" t="s">
        <v>20791</v>
      </c>
      <c r="E5979" s="74"/>
      <c r="F5979" s="74">
        <v>0</v>
      </c>
      <c r="G5979" s="74"/>
      <c r="H5979" s="74"/>
      <c r="I5979" s="74" t="s">
        <v>391</v>
      </c>
      <c r="J5979" s="74"/>
      <c r="K5979" s="74">
        <v>102.4</v>
      </c>
      <c r="L5979" s="74">
        <v>92.16</v>
      </c>
      <c r="M5979" s="74"/>
      <c r="N5979" s="74" t="s">
        <v>392</v>
      </c>
      <c r="O5979" s="74" t="s">
        <v>402</v>
      </c>
      <c r="P5979" s="74"/>
      <c r="Q5979" s="74" t="s">
        <v>20792</v>
      </c>
    </row>
    <row r="5980" spans="3:17" x14ac:dyDescent="0.25">
      <c r="C5980" s="74" t="s">
        <v>20797</v>
      </c>
      <c r="D5980" s="74" t="s">
        <v>20574</v>
      </c>
      <c r="E5980" s="74" t="s">
        <v>391</v>
      </c>
      <c r="F5980" s="74">
        <v>0</v>
      </c>
      <c r="G5980" s="74"/>
      <c r="H5980" s="74"/>
      <c r="I5980" s="74" t="s">
        <v>391</v>
      </c>
      <c r="J5980" s="74"/>
      <c r="K5980" s="74"/>
      <c r="L5980" s="74"/>
      <c r="M5980" s="74"/>
      <c r="N5980" s="74" t="s">
        <v>397</v>
      </c>
      <c r="O5980" s="74" t="s">
        <v>393</v>
      </c>
      <c r="P5980" s="74" t="s">
        <v>20798</v>
      </c>
      <c r="Q5980" s="74" t="s">
        <v>20799</v>
      </c>
    </row>
    <row r="5981" spans="3:17" x14ac:dyDescent="0.25">
      <c r="C5981" s="74" t="s">
        <v>20800</v>
      </c>
      <c r="D5981" s="74" t="s">
        <v>20801</v>
      </c>
      <c r="E5981" s="74" t="s">
        <v>391</v>
      </c>
      <c r="F5981" s="74">
        <v>0</v>
      </c>
      <c r="G5981" s="74"/>
      <c r="H5981" s="74"/>
      <c r="I5981" s="74" t="s">
        <v>391</v>
      </c>
      <c r="J5981" s="74"/>
      <c r="K5981" s="74">
        <v>102.4</v>
      </c>
      <c r="L5981" s="74">
        <v>92.16</v>
      </c>
      <c r="M5981" s="74"/>
      <c r="N5981" s="74" t="s">
        <v>392</v>
      </c>
      <c r="O5981" s="74" t="s">
        <v>393</v>
      </c>
      <c r="P5981" s="74"/>
      <c r="Q5981" s="74" t="s">
        <v>20802</v>
      </c>
    </row>
    <row r="5982" spans="3:17" x14ac:dyDescent="0.25">
      <c r="C5982" s="74" t="s">
        <v>20840</v>
      </c>
      <c r="D5982" s="74" t="s">
        <v>20841</v>
      </c>
      <c r="E5982" s="74" t="s">
        <v>391</v>
      </c>
      <c r="F5982" s="74">
        <v>0</v>
      </c>
      <c r="G5982" s="74"/>
      <c r="H5982" s="74"/>
      <c r="I5982" s="74" t="s">
        <v>391</v>
      </c>
      <c r="J5982" s="74"/>
      <c r="K5982" s="74">
        <v>102.4</v>
      </c>
      <c r="L5982" s="74">
        <v>92.16</v>
      </c>
      <c r="M5982" s="74"/>
      <c r="N5982" s="74" t="s">
        <v>392</v>
      </c>
      <c r="O5982" s="74" t="s">
        <v>393</v>
      </c>
      <c r="P5982" s="74"/>
      <c r="Q5982" s="74" t="s">
        <v>20842</v>
      </c>
    </row>
    <row r="5983" spans="3:17" x14ac:dyDescent="0.25">
      <c r="C5983" s="74" t="s">
        <v>20877</v>
      </c>
      <c r="D5983" s="74" t="s">
        <v>20878</v>
      </c>
      <c r="E5983" s="74" t="s">
        <v>391</v>
      </c>
      <c r="F5983" s="74">
        <v>0</v>
      </c>
      <c r="G5983" s="74"/>
      <c r="H5983" s="74"/>
      <c r="I5983" s="74" t="s">
        <v>391</v>
      </c>
      <c r="J5983" s="74"/>
      <c r="K5983" s="74"/>
      <c r="L5983" s="74"/>
      <c r="M5983" s="74"/>
      <c r="N5983" s="74" t="s">
        <v>397</v>
      </c>
      <c r="O5983" s="74" t="s">
        <v>393</v>
      </c>
      <c r="P5983" s="74" t="s">
        <v>20879</v>
      </c>
      <c r="Q5983" s="74" t="s">
        <v>20880</v>
      </c>
    </row>
    <row r="5984" spans="3:17" x14ac:dyDescent="0.25">
      <c r="C5984" s="74" t="s">
        <v>20881</v>
      </c>
      <c r="D5984" s="74" t="s">
        <v>20882</v>
      </c>
      <c r="E5984" s="74" t="s">
        <v>391</v>
      </c>
      <c r="F5984" s="74">
        <v>0</v>
      </c>
      <c r="G5984" s="74"/>
      <c r="H5984" s="74"/>
      <c r="I5984" s="74" t="s">
        <v>391</v>
      </c>
      <c r="J5984" s="74"/>
      <c r="K5984" s="74"/>
      <c r="L5984" s="74"/>
      <c r="M5984" s="74"/>
      <c r="N5984" s="74" t="s">
        <v>397</v>
      </c>
      <c r="O5984" s="74" t="s">
        <v>393</v>
      </c>
      <c r="P5984" s="74" t="s">
        <v>20883</v>
      </c>
      <c r="Q5984" s="74" t="s">
        <v>20884</v>
      </c>
    </row>
    <row r="5985" spans="3:17" x14ac:dyDescent="0.25">
      <c r="C5985" s="74" t="s">
        <v>20885</v>
      </c>
      <c r="D5985" s="74" t="s">
        <v>20886</v>
      </c>
      <c r="E5985" s="74" t="s">
        <v>391</v>
      </c>
      <c r="F5985" s="74">
        <v>0</v>
      </c>
      <c r="G5985" s="74"/>
      <c r="H5985" s="74"/>
      <c r="I5985" s="74" t="s">
        <v>391</v>
      </c>
      <c r="J5985" s="74"/>
      <c r="K5985" s="74">
        <v>102.4</v>
      </c>
      <c r="L5985" s="74">
        <v>92.16</v>
      </c>
      <c r="M5985" s="74"/>
      <c r="N5985" s="74" t="s">
        <v>392</v>
      </c>
      <c r="O5985" s="74" t="s">
        <v>393</v>
      </c>
      <c r="P5985" s="74"/>
      <c r="Q5985" s="74" t="s">
        <v>20887</v>
      </c>
    </row>
    <row r="5986" spans="3:17" x14ac:dyDescent="0.25">
      <c r="C5986" s="74" t="s">
        <v>20888</v>
      </c>
      <c r="D5986" s="74" t="s">
        <v>20889</v>
      </c>
      <c r="E5986" s="74" t="s">
        <v>391</v>
      </c>
      <c r="F5986" s="74">
        <v>0</v>
      </c>
      <c r="G5986" s="74"/>
      <c r="H5986" s="74"/>
      <c r="I5986" s="74" t="s">
        <v>391</v>
      </c>
      <c r="J5986" s="74"/>
      <c r="K5986" s="74"/>
      <c r="L5986" s="74"/>
      <c r="M5986" s="74"/>
      <c r="N5986" s="74" t="s">
        <v>397</v>
      </c>
      <c r="O5986" s="74" t="s">
        <v>393</v>
      </c>
      <c r="P5986" s="74" t="s">
        <v>20890</v>
      </c>
      <c r="Q5986" s="74" t="s">
        <v>20891</v>
      </c>
    </row>
    <row r="5987" spans="3:17" x14ac:dyDescent="0.25">
      <c r="C5987" s="74" t="s">
        <v>20914</v>
      </c>
      <c r="D5987" s="74" t="s">
        <v>20915</v>
      </c>
      <c r="E5987" s="74" t="s">
        <v>391</v>
      </c>
      <c r="F5987" s="74">
        <v>0</v>
      </c>
      <c r="G5987" s="74"/>
      <c r="H5987" s="74"/>
      <c r="I5987" s="74" t="s">
        <v>391</v>
      </c>
      <c r="J5987" s="74"/>
      <c r="K5987" s="74">
        <v>102.4</v>
      </c>
      <c r="L5987" s="74">
        <v>92.16</v>
      </c>
      <c r="M5987" s="74"/>
      <c r="N5987" s="74" t="s">
        <v>392</v>
      </c>
      <c r="O5987" s="74" t="s">
        <v>393</v>
      </c>
      <c r="P5987" s="74"/>
      <c r="Q5987" s="74" t="s">
        <v>20916</v>
      </c>
    </row>
    <row r="5988" spans="3:17" x14ac:dyDescent="0.25">
      <c r="C5988" s="74" t="s">
        <v>20917</v>
      </c>
      <c r="D5988" s="74" t="s">
        <v>20918</v>
      </c>
      <c r="E5988" s="74" t="s">
        <v>391</v>
      </c>
      <c r="F5988" s="74">
        <v>0</v>
      </c>
      <c r="G5988" s="74"/>
      <c r="H5988" s="74"/>
      <c r="I5988" s="74" t="s">
        <v>391</v>
      </c>
      <c r="J5988" s="74"/>
      <c r="K5988" s="74">
        <v>102.4</v>
      </c>
      <c r="L5988" s="74">
        <v>92.16</v>
      </c>
      <c r="M5988" s="74"/>
      <c r="N5988" s="74" t="s">
        <v>392</v>
      </c>
      <c r="O5988" s="74" t="s">
        <v>393</v>
      </c>
      <c r="P5988" s="74"/>
      <c r="Q5988" s="74" t="s">
        <v>20919</v>
      </c>
    </row>
    <row r="5989" spans="3:17" x14ac:dyDescent="0.25">
      <c r="C5989" s="74" t="s">
        <v>20952</v>
      </c>
      <c r="D5989" s="74" t="s">
        <v>20953</v>
      </c>
      <c r="E5989" s="74" t="s">
        <v>391</v>
      </c>
      <c r="F5989" s="74">
        <v>0</v>
      </c>
      <c r="G5989" s="74"/>
      <c r="H5989" s="74"/>
      <c r="I5989" s="74" t="s">
        <v>391</v>
      </c>
      <c r="J5989" s="74"/>
      <c r="K5989" s="74">
        <v>102.4</v>
      </c>
      <c r="L5989" s="74">
        <v>92.16</v>
      </c>
      <c r="M5989" s="74"/>
      <c r="N5989" s="74" t="s">
        <v>392</v>
      </c>
      <c r="O5989" s="74" t="s">
        <v>393</v>
      </c>
      <c r="P5989" s="74"/>
      <c r="Q5989" s="74" t="s">
        <v>20954</v>
      </c>
    </row>
    <row r="5990" spans="3:17" x14ac:dyDescent="0.25">
      <c r="C5990" s="74" t="s">
        <v>20963</v>
      </c>
      <c r="D5990" s="74" t="s">
        <v>20964</v>
      </c>
      <c r="E5990" s="74" t="s">
        <v>391</v>
      </c>
      <c r="F5990" s="74">
        <v>0</v>
      </c>
      <c r="G5990" s="74"/>
      <c r="H5990" s="74"/>
      <c r="I5990" s="74" t="s">
        <v>391</v>
      </c>
      <c r="J5990" s="74"/>
      <c r="K5990" s="74"/>
      <c r="L5990" s="74"/>
      <c r="M5990" s="74"/>
      <c r="N5990" s="74" t="s">
        <v>397</v>
      </c>
      <c r="O5990" s="74" t="s">
        <v>393</v>
      </c>
      <c r="P5990" s="74" t="s">
        <v>20965</v>
      </c>
      <c r="Q5990" s="74" t="s">
        <v>20966</v>
      </c>
    </row>
    <row r="5991" spans="3:17" x14ac:dyDescent="0.25">
      <c r="C5991" s="74" t="s">
        <v>20981</v>
      </c>
      <c r="D5991" s="74" t="s">
        <v>20982</v>
      </c>
      <c r="E5991" s="74" t="s">
        <v>391</v>
      </c>
      <c r="F5991" s="74">
        <v>0</v>
      </c>
      <c r="G5991" s="74"/>
      <c r="H5991" s="74"/>
      <c r="I5991" s="74" t="s">
        <v>391</v>
      </c>
      <c r="J5991" s="74"/>
      <c r="K5991" s="74"/>
      <c r="L5991" s="74"/>
      <c r="M5991" s="74"/>
      <c r="N5991" s="74" t="s">
        <v>397</v>
      </c>
      <c r="O5991" s="74" t="s">
        <v>393</v>
      </c>
      <c r="P5991" s="74" t="s">
        <v>20983</v>
      </c>
      <c r="Q5991" s="74" t="s">
        <v>20984</v>
      </c>
    </row>
    <row r="5992" spans="3:17" x14ac:dyDescent="0.25">
      <c r="C5992" s="74" t="s">
        <v>20991</v>
      </c>
      <c r="D5992" s="74" t="s">
        <v>20992</v>
      </c>
      <c r="E5992" s="74" t="s">
        <v>391</v>
      </c>
      <c r="F5992" s="74">
        <v>0</v>
      </c>
      <c r="G5992" s="74"/>
      <c r="H5992" s="74"/>
      <c r="I5992" s="74" t="s">
        <v>391</v>
      </c>
      <c r="J5992" s="74"/>
      <c r="K5992" s="74"/>
      <c r="L5992" s="74"/>
      <c r="M5992" s="74"/>
      <c r="N5992" s="74" t="s">
        <v>397</v>
      </c>
      <c r="O5992" s="74" t="s">
        <v>393</v>
      </c>
      <c r="P5992" s="74"/>
      <c r="Q5992" s="74" t="s">
        <v>20993</v>
      </c>
    </row>
    <row r="5993" spans="3:17" x14ac:dyDescent="0.25">
      <c r="C5993" s="74" t="s">
        <v>21002</v>
      </c>
      <c r="D5993" s="74" t="s">
        <v>21003</v>
      </c>
      <c r="E5993" s="74" t="s">
        <v>391</v>
      </c>
      <c r="F5993" s="74">
        <v>0</v>
      </c>
      <c r="G5993" s="74"/>
      <c r="H5993" s="74"/>
      <c r="I5993" s="74" t="s">
        <v>391</v>
      </c>
      <c r="J5993" s="74"/>
      <c r="K5993" s="74">
        <v>102.4</v>
      </c>
      <c r="L5993" s="74">
        <v>92.16</v>
      </c>
      <c r="M5993" s="74"/>
      <c r="N5993" s="74" t="s">
        <v>392</v>
      </c>
      <c r="O5993" s="74" t="s">
        <v>393</v>
      </c>
      <c r="P5993" s="74"/>
      <c r="Q5993" s="74" t="s">
        <v>21004</v>
      </c>
    </row>
    <row r="5994" spans="3:17" x14ac:dyDescent="0.25">
      <c r="C5994" s="74" t="s">
        <v>21023</v>
      </c>
      <c r="D5994" s="74" t="s">
        <v>20878</v>
      </c>
      <c r="E5994" s="74" t="s">
        <v>391</v>
      </c>
      <c r="F5994" s="74">
        <v>0</v>
      </c>
      <c r="G5994" s="74"/>
      <c r="H5994" s="74"/>
      <c r="I5994" s="74" t="s">
        <v>391</v>
      </c>
      <c r="J5994" s="74"/>
      <c r="K5994" s="74"/>
      <c r="L5994" s="74"/>
      <c r="M5994" s="74"/>
      <c r="N5994" s="74" t="s">
        <v>397</v>
      </c>
      <c r="O5994" s="74" t="s">
        <v>393</v>
      </c>
      <c r="P5994" s="74"/>
      <c r="Q5994" s="74" t="s">
        <v>21024</v>
      </c>
    </row>
    <row r="5995" spans="3:17" x14ac:dyDescent="0.25">
      <c r="C5995" s="74" t="s">
        <v>21032</v>
      </c>
      <c r="D5995" s="74" t="s">
        <v>21033</v>
      </c>
      <c r="E5995" s="74" t="s">
        <v>391</v>
      </c>
      <c r="F5995" s="74">
        <v>0</v>
      </c>
      <c r="G5995" s="74"/>
      <c r="H5995" s="74"/>
      <c r="I5995" s="74" t="s">
        <v>391</v>
      </c>
      <c r="J5995" s="74"/>
      <c r="K5995" s="74"/>
      <c r="L5995" s="74"/>
      <c r="M5995" s="74"/>
      <c r="N5995" s="74" t="s">
        <v>397</v>
      </c>
      <c r="O5995" s="74" t="s">
        <v>393</v>
      </c>
      <c r="P5995" s="74" t="s">
        <v>21034</v>
      </c>
      <c r="Q5995" s="74" t="s">
        <v>21035</v>
      </c>
    </row>
    <row r="5996" spans="3:17" x14ac:dyDescent="0.25">
      <c r="C5996" s="74" t="s">
        <v>21080</v>
      </c>
      <c r="D5996" s="74" t="s">
        <v>21081</v>
      </c>
      <c r="E5996" s="74" t="s">
        <v>391</v>
      </c>
      <c r="F5996" s="74">
        <v>0</v>
      </c>
      <c r="G5996" s="74"/>
      <c r="H5996" s="74"/>
      <c r="I5996" s="74" t="s">
        <v>391</v>
      </c>
      <c r="J5996" s="74"/>
      <c r="K5996" s="74"/>
      <c r="L5996" s="74"/>
      <c r="M5996" s="74"/>
      <c r="N5996" s="74" t="s">
        <v>397</v>
      </c>
      <c r="O5996" s="74" t="s">
        <v>393</v>
      </c>
      <c r="P5996" s="74" t="s">
        <v>21082</v>
      </c>
      <c r="Q5996" s="74" t="s">
        <v>21083</v>
      </c>
    </row>
    <row r="5997" spans="3:17" x14ac:dyDescent="0.25">
      <c r="C5997" s="74" t="s">
        <v>21098</v>
      </c>
      <c r="D5997" s="74" t="s">
        <v>21099</v>
      </c>
      <c r="E5997" s="74" t="s">
        <v>391</v>
      </c>
      <c r="F5997" s="74">
        <v>0</v>
      </c>
      <c r="G5997" s="74"/>
      <c r="H5997" s="74"/>
      <c r="I5997" s="74" t="s">
        <v>391</v>
      </c>
      <c r="J5997" s="74"/>
      <c r="K5997" s="74">
        <v>102.4</v>
      </c>
      <c r="L5997" s="74">
        <v>92.16</v>
      </c>
      <c r="M5997" s="74"/>
      <c r="N5997" s="74" t="s">
        <v>392</v>
      </c>
      <c r="O5997" s="74" t="s">
        <v>393</v>
      </c>
      <c r="P5997" s="74"/>
      <c r="Q5997" s="74" t="s">
        <v>21100</v>
      </c>
    </row>
    <row r="5998" spans="3:17" x14ac:dyDescent="0.25">
      <c r="C5998" s="74" t="s">
        <v>21117</v>
      </c>
      <c r="D5998" s="74" t="s">
        <v>21118</v>
      </c>
      <c r="E5998" s="74" t="s">
        <v>391</v>
      </c>
      <c r="F5998" s="74">
        <v>0</v>
      </c>
      <c r="G5998" s="74"/>
      <c r="H5998" s="74"/>
      <c r="I5998" s="74" t="s">
        <v>391</v>
      </c>
      <c r="J5998" s="74"/>
      <c r="K5998" s="74"/>
      <c r="L5998" s="74"/>
      <c r="M5998" s="74"/>
      <c r="N5998" s="74" t="s">
        <v>397</v>
      </c>
      <c r="O5998" s="74" t="s">
        <v>393</v>
      </c>
      <c r="P5998" s="74" t="s">
        <v>21119</v>
      </c>
      <c r="Q5998" s="74" t="s">
        <v>21120</v>
      </c>
    </row>
    <row r="5999" spans="3:17" x14ac:dyDescent="0.25">
      <c r="C5999" s="74" t="s">
        <v>21125</v>
      </c>
      <c r="D5999" s="74" t="s">
        <v>21126</v>
      </c>
      <c r="E5999" s="74"/>
      <c r="F5999" s="74">
        <v>0</v>
      </c>
      <c r="G5999" s="74"/>
      <c r="H5999" s="74"/>
      <c r="I5999" s="74" t="s">
        <v>391</v>
      </c>
      <c r="J5999" s="74"/>
      <c r="K5999" s="74">
        <v>102.4</v>
      </c>
      <c r="L5999" s="74">
        <v>92.16</v>
      </c>
      <c r="M5999" s="74"/>
      <c r="N5999" s="74" t="s">
        <v>392</v>
      </c>
      <c r="O5999" s="74" t="s">
        <v>402</v>
      </c>
      <c r="P5999" s="74"/>
      <c r="Q5999" s="74" t="s">
        <v>21127</v>
      </c>
    </row>
    <row r="6000" spans="3:17" x14ac:dyDescent="0.25">
      <c r="C6000" s="74" t="s">
        <v>21128</v>
      </c>
      <c r="D6000" s="74" t="s">
        <v>21129</v>
      </c>
      <c r="E6000" s="74"/>
      <c r="F6000" s="74">
        <v>0</v>
      </c>
      <c r="G6000" s="74"/>
      <c r="H6000" s="74"/>
      <c r="I6000" s="74" t="s">
        <v>391</v>
      </c>
      <c r="J6000" s="74"/>
      <c r="K6000" s="74">
        <v>102.4</v>
      </c>
      <c r="L6000" s="74">
        <v>92.16</v>
      </c>
      <c r="M6000" s="74"/>
      <c r="N6000" s="74" t="s">
        <v>392</v>
      </c>
      <c r="O6000" s="74" t="s">
        <v>402</v>
      </c>
      <c r="P6000" s="74"/>
      <c r="Q6000" s="74" t="s">
        <v>21130</v>
      </c>
    </row>
    <row r="6001" spans="3:17" x14ac:dyDescent="0.25">
      <c r="C6001" s="74" t="s">
        <v>21146</v>
      </c>
      <c r="D6001" s="74" t="s">
        <v>21147</v>
      </c>
      <c r="E6001" s="74" t="s">
        <v>391</v>
      </c>
      <c r="F6001" s="74">
        <v>0</v>
      </c>
      <c r="G6001" s="74"/>
      <c r="H6001" s="74"/>
      <c r="I6001" s="74" t="s">
        <v>391</v>
      </c>
      <c r="J6001" s="74"/>
      <c r="K6001" s="74">
        <v>102.4</v>
      </c>
      <c r="L6001" s="74">
        <v>92.16</v>
      </c>
      <c r="M6001" s="74"/>
      <c r="N6001" s="74" t="s">
        <v>392</v>
      </c>
      <c r="O6001" s="74" t="s">
        <v>393</v>
      </c>
      <c r="P6001" s="74"/>
      <c r="Q6001" s="74" t="s">
        <v>21148</v>
      </c>
    </row>
    <row r="6002" spans="3:17" x14ac:dyDescent="0.25">
      <c r="C6002" s="74" t="s">
        <v>21165</v>
      </c>
      <c r="D6002" s="74" t="s">
        <v>21166</v>
      </c>
      <c r="E6002" s="74"/>
      <c r="F6002" s="74">
        <v>0</v>
      </c>
      <c r="G6002" s="74"/>
      <c r="H6002" s="74"/>
      <c r="I6002" s="74" t="s">
        <v>391</v>
      </c>
      <c r="J6002" s="74"/>
      <c r="K6002" s="74">
        <v>102.4</v>
      </c>
      <c r="L6002" s="74">
        <v>92.16</v>
      </c>
      <c r="M6002" s="74"/>
      <c r="N6002" s="74" t="s">
        <v>392</v>
      </c>
      <c r="O6002" s="74" t="s">
        <v>402</v>
      </c>
      <c r="P6002" s="74" t="s">
        <v>21167</v>
      </c>
      <c r="Q6002" s="74" t="s">
        <v>21168</v>
      </c>
    </row>
    <row r="6003" spans="3:17" x14ac:dyDescent="0.25">
      <c r="C6003" s="74" t="s">
        <v>21173</v>
      </c>
      <c r="D6003" s="74" t="s">
        <v>21174</v>
      </c>
      <c r="E6003" s="74" t="s">
        <v>391</v>
      </c>
      <c r="F6003" s="74">
        <v>0</v>
      </c>
      <c r="G6003" s="74"/>
      <c r="H6003" s="74"/>
      <c r="I6003" s="74" t="s">
        <v>391</v>
      </c>
      <c r="J6003" s="74"/>
      <c r="K6003" s="74"/>
      <c r="L6003" s="74"/>
      <c r="M6003" s="74"/>
      <c r="N6003" s="74" t="s">
        <v>397</v>
      </c>
      <c r="O6003" s="74" t="s">
        <v>393</v>
      </c>
      <c r="P6003" s="74" t="s">
        <v>21175</v>
      </c>
      <c r="Q6003" s="74" t="s">
        <v>21176</v>
      </c>
    </row>
    <row r="6004" spans="3:17" x14ac:dyDescent="0.25">
      <c r="C6004" s="74" t="s">
        <v>21185</v>
      </c>
      <c r="D6004" s="74" t="s">
        <v>21186</v>
      </c>
      <c r="E6004" s="74" t="s">
        <v>391</v>
      </c>
      <c r="F6004" s="74">
        <v>0</v>
      </c>
      <c r="G6004" s="74"/>
      <c r="H6004" s="74"/>
      <c r="I6004" s="74" t="s">
        <v>391</v>
      </c>
      <c r="J6004" s="74"/>
      <c r="K6004" s="74"/>
      <c r="L6004" s="74"/>
      <c r="M6004" s="74"/>
      <c r="N6004" s="74" t="s">
        <v>397</v>
      </c>
      <c r="O6004" s="74" t="s">
        <v>393</v>
      </c>
      <c r="P6004" s="74"/>
      <c r="Q6004" s="74" t="s">
        <v>21187</v>
      </c>
    </row>
    <row r="6005" spans="3:17" x14ac:dyDescent="0.25">
      <c r="C6005" s="158" t="s">
        <v>21195</v>
      </c>
      <c r="D6005" s="158" t="s">
        <v>21196</v>
      </c>
      <c r="E6005" s="158" t="s">
        <v>391</v>
      </c>
      <c r="F6005" s="158">
        <v>0</v>
      </c>
      <c r="I6005" s="158" t="s">
        <v>391</v>
      </c>
      <c r="N6005" s="158" t="s">
        <v>397</v>
      </c>
      <c r="O6005" s="158" t="s">
        <v>393</v>
      </c>
      <c r="Q6005" s="158" t="s">
        <v>21197</v>
      </c>
    </row>
    <row r="6006" spans="3:17" x14ac:dyDescent="0.25">
      <c r="C6006" s="158" t="s">
        <v>21198</v>
      </c>
      <c r="D6006" s="158" t="s">
        <v>21199</v>
      </c>
      <c r="E6006" s="158" t="s">
        <v>391</v>
      </c>
      <c r="F6006" s="158">
        <v>0</v>
      </c>
      <c r="I6006" s="158" t="s">
        <v>391</v>
      </c>
      <c r="N6006" s="158" t="s">
        <v>397</v>
      </c>
      <c r="O6006" s="158" t="s">
        <v>393</v>
      </c>
      <c r="P6006" s="158" t="s">
        <v>21200</v>
      </c>
      <c r="Q6006" s="158" t="s">
        <v>21201</v>
      </c>
    </row>
    <row r="6007" spans="3:17" x14ac:dyDescent="0.25">
      <c r="C6007" s="158" t="s">
        <v>21205</v>
      </c>
      <c r="D6007" s="158" t="s">
        <v>21206</v>
      </c>
      <c r="E6007" s="158" t="s">
        <v>391</v>
      </c>
      <c r="F6007" s="158">
        <v>0</v>
      </c>
      <c r="I6007" s="158" t="s">
        <v>391</v>
      </c>
      <c r="N6007" s="158" t="s">
        <v>397</v>
      </c>
      <c r="O6007" s="158" t="s">
        <v>393</v>
      </c>
      <c r="P6007" s="158" t="s">
        <v>21207</v>
      </c>
      <c r="Q6007" s="158" t="s">
        <v>21208</v>
      </c>
    </row>
    <row r="6008" spans="3:17" x14ac:dyDescent="0.25">
      <c r="C6008" s="158" t="s">
        <v>21224</v>
      </c>
      <c r="D6008" s="158" t="s">
        <v>21225</v>
      </c>
      <c r="F6008" s="158">
        <v>0</v>
      </c>
      <c r="I6008" s="158" t="s">
        <v>391</v>
      </c>
      <c r="K6008" s="158">
        <v>102.4</v>
      </c>
      <c r="L6008" s="158">
        <v>92.16</v>
      </c>
      <c r="N6008" s="158" t="s">
        <v>392</v>
      </c>
      <c r="O6008" s="158" t="s">
        <v>402</v>
      </c>
      <c r="P6008" s="158" t="s">
        <v>21226</v>
      </c>
      <c r="Q6008" s="158" t="s">
        <v>21227</v>
      </c>
    </row>
    <row r="6009" spans="3:17" x14ac:dyDescent="0.25">
      <c r="C6009" s="158" t="s">
        <v>21232</v>
      </c>
      <c r="D6009" s="158" t="s">
        <v>21233</v>
      </c>
      <c r="E6009" s="158" t="s">
        <v>391</v>
      </c>
      <c r="F6009" s="158">
        <v>0</v>
      </c>
      <c r="I6009" s="158" t="s">
        <v>391</v>
      </c>
      <c r="N6009" s="158" t="s">
        <v>397</v>
      </c>
      <c r="O6009" s="158" t="s">
        <v>393</v>
      </c>
      <c r="P6009" s="158" t="s">
        <v>21234</v>
      </c>
      <c r="Q6009" s="158" t="s">
        <v>21235</v>
      </c>
    </row>
    <row r="6010" spans="3:17" x14ac:dyDescent="0.25">
      <c r="C6010" s="158" t="s">
        <v>21267</v>
      </c>
      <c r="D6010" s="158" t="s">
        <v>21268</v>
      </c>
      <c r="E6010" s="158" t="s">
        <v>391</v>
      </c>
      <c r="F6010" s="158">
        <v>0</v>
      </c>
      <c r="I6010" s="158" t="s">
        <v>391</v>
      </c>
      <c r="N6010" s="158" t="s">
        <v>397</v>
      </c>
      <c r="O6010" s="158" t="s">
        <v>393</v>
      </c>
      <c r="P6010" s="158" t="s">
        <v>21269</v>
      </c>
      <c r="Q6010" s="158" t="s">
        <v>21270</v>
      </c>
    </row>
    <row r="6011" spans="3:17" x14ac:dyDescent="0.25">
      <c r="C6011" s="158" t="s">
        <v>21304</v>
      </c>
      <c r="D6011" s="158" t="s">
        <v>21305</v>
      </c>
      <c r="F6011" s="158">
        <v>0</v>
      </c>
      <c r="I6011" s="158" t="s">
        <v>391</v>
      </c>
      <c r="N6011" s="158" t="s">
        <v>397</v>
      </c>
      <c r="O6011" s="158" t="s">
        <v>1745</v>
      </c>
      <c r="Q6011" s="158" t="s">
        <v>21306</v>
      </c>
    </row>
  </sheetData>
  <sortState ref="C6:Q5954">
    <sortCondition descending="1" ref="F6:F5954"/>
  </sortState>
  <mergeCells count="2">
    <mergeCell ref="S5:T5"/>
    <mergeCell ref="C2:Q3"/>
  </mergeCell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00B050"/>
  </sheetPr>
  <dimension ref="A1:L76"/>
  <sheetViews>
    <sheetView topLeftCell="A3" zoomScaleNormal="100" workbookViewId="0">
      <selection activeCell="B64" sqref="B64:G76"/>
    </sheetView>
  </sheetViews>
  <sheetFormatPr defaultColWidth="26.85546875" defaultRowHeight="15" x14ac:dyDescent="0.25"/>
  <cols>
    <col min="1" max="1" width="19" style="220" customWidth="1"/>
    <col min="2" max="2" width="11" style="13" customWidth="1"/>
    <col min="3" max="4" width="30.28515625" customWidth="1"/>
    <col min="5" max="5" width="22.42578125" bestFit="1" customWidth="1"/>
    <col min="6" max="6" width="17.42578125" customWidth="1"/>
    <col min="7" max="7" width="17.85546875" customWidth="1"/>
  </cols>
  <sheetData>
    <row r="1" spans="1:7" s="74" customFormat="1" x14ac:dyDescent="0.25">
      <c r="A1" s="220"/>
      <c r="B1" s="13"/>
    </row>
    <row r="2" spans="1:7" s="74" customFormat="1" x14ac:dyDescent="0.25">
      <c r="A2" s="220"/>
      <c r="B2" s="13"/>
    </row>
    <row r="3" spans="1:7" s="74" customFormat="1" x14ac:dyDescent="0.25">
      <c r="A3" s="220"/>
      <c r="B3" s="13"/>
    </row>
    <row r="4" spans="1:7" s="74" customFormat="1" x14ac:dyDescent="0.25">
      <c r="A4" s="220"/>
      <c r="B4" s="13"/>
      <c r="C4" s="233" t="s">
        <v>58</v>
      </c>
      <c r="D4" s="187" t="s">
        <v>59</v>
      </c>
    </row>
    <row r="5" spans="1:7" s="74" customFormat="1" ht="45" x14ac:dyDescent="0.25">
      <c r="A5" s="220"/>
      <c r="B5" s="13"/>
      <c r="C5" s="234" t="s">
        <v>57</v>
      </c>
      <c r="D5" s="235" t="s">
        <v>155</v>
      </c>
    </row>
    <row r="6" spans="1:7" s="74" customFormat="1" ht="30" x14ac:dyDescent="0.25">
      <c r="A6" s="220"/>
      <c r="B6" s="13"/>
      <c r="C6" s="236" t="s">
        <v>52</v>
      </c>
      <c r="D6" s="235" t="s">
        <v>60</v>
      </c>
    </row>
    <row r="7" spans="1:7" s="74" customFormat="1" ht="30" x14ac:dyDescent="0.25">
      <c r="A7" s="220"/>
      <c r="B7" s="13"/>
      <c r="C7" s="236" t="s">
        <v>53</v>
      </c>
      <c r="D7" s="235" t="s">
        <v>95</v>
      </c>
    </row>
    <row r="8" spans="1:7" s="74" customFormat="1" x14ac:dyDescent="0.25">
      <c r="A8" s="220"/>
      <c r="B8" s="13"/>
    </row>
    <row r="9" spans="1:7" s="74" customFormat="1" x14ac:dyDescent="0.25">
      <c r="A9" s="220"/>
      <c r="B9" s="13"/>
      <c r="C9" s="74" t="s">
        <v>271</v>
      </c>
    </row>
    <row r="10" spans="1:7" s="74" customFormat="1" x14ac:dyDescent="0.25">
      <c r="A10" s="220"/>
      <c r="B10" s="13"/>
    </row>
    <row r="11" spans="1:7" s="74" customFormat="1" x14ac:dyDescent="0.25">
      <c r="A11" s="220"/>
      <c r="B11" s="13"/>
    </row>
    <row r="12" spans="1:7" s="74" customFormat="1" x14ac:dyDescent="0.25">
      <c r="A12" s="220"/>
      <c r="B12" s="13"/>
      <c r="C12" s="398" t="s">
        <v>239</v>
      </c>
      <c r="D12" s="398"/>
      <c r="E12" s="398"/>
      <c r="F12" s="398"/>
      <c r="G12" s="398"/>
    </row>
    <row r="13" spans="1:7" s="74" customFormat="1" x14ac:dyDescent="0.25">
      <c r="A13" s="220"/>
      <c r="B13" s="13"/>
      <c r="C13" s="74" t="s">
        <v>234</v>
      </c>
      <c r="D13" s="74" t="s">
        <v>235</v>
      </c>
      <c r="E13" s="74" t="s">
        <v>236</v>
      </c>
      <c r="F13" s="74" t="s">
        <v>237</v>
      </c>
      <c r="G13" s="74" t="s">
        <v>238</v>
      </c>
    </row>
    <row r="14" spans="1:7" s="74" customFormat="1" x14ac:dyDescent="0.25">
      <c r="A14" s="220"/>
      <c r="B14" s="13"/>
      <c r="C14" s="74" t="s">
        <v>21314</v>
      </c>
      <c r="D14" s="74">
        <v>704677</v>
      </c>
      <c r="E14" s="74">
        <v>45</v>
      </c>
      <c r="F14" s="74" t="s">
        <v>21315</v>
      </c>
      <c r="G14" s="74" t="s">
        <v>21316</v>
      </c>
    </row>
    <row r="15" spans="1:7" s="74" customFormat="1" x14ac:dyDescent="0.25">
      <c r="A15" s="220"/>
      <c r="B15" s="13"/>
      <c r="C15"/>
      <c r="D15"/>
      <c r="E15"/>
    </row>
    <row r="16" spans="1:7" s="74" customFormat="1" x14ac:dyDescent="0.25">
      <c r="A16" s="220"/>
      <c r="B16" s="13"/>
      <c r="C16" s="398" t="s">
        <v>242</v>
      </c>
      <c r="D16" s="398"/>
      <c r="E16" s="398"/>
    </row>
    <row r="17" spans="1:7" s="74" customFormat="1" x14ac:dyDescent="0.25">
      <c r="A17" s="220"/>
      <c r="B17" s="13"/>
      <c r="C17" s="74" t="s">
        <v>234</v>
      </c>
      <c r="D17" s="74" t="s">
        <v>240</v>
      </c>
      <c r="E17" s="74" t="s">
        <v>241</v>
      </c>
    </row>
    <row r="18" spans="1:7" s="74" customFormat="1" x14ac:dyDescent="0.25">
      <c r="A18" s="220"/>
      <c r="B18" s="13"/>
      <c r="C18" s="74" t="s">
        <v>21314</v>
      </c>
      <c r="D18" s="74">
        <v>65034</v>
      </c>
      <c r="E18" s="74" t="s">
        <v>21317</v>
      </c>
    </row>
    <row r="19" spans="1:7" s="74" customFormat="1" x14ac:dyDescent="0.25">
      <c r="A19" s="220"/>
      <c r="B19" s="13"/>
      <c r="C19" s="398" t="s">
        <v>243</v>
      </c>
      <c r="D19" s="398"/>
      <c r="E19" s="398"/>
    </row>
    <row r="20" spans="1:7" s="74" customFormat="1" x14ac:dyDescent="0.25">
      <c r="A20" s="220"/>
      <c r="B20" s="13"/>
      <c r="C20" s="74">
        <f>1878</f>
        <v>1878</v>
      </c>
      <c r="D20"/>
      <c r="E20"/>
    </row>
    <row r="21" spans="1:7" s="74" customFormat="1" x14ac:dyDescent="0.25">
      <c r="A21" s="220"/>
      <c r="B21" s="13"/>
    </row>
    <row r="22" spans="1:7" s="74" customFormat="1" x14ac:dyDescent="0.25">
      <c r="A22" s="220"/>
      <c r="B22" s="13"/>
    </row>
    <row r="23" spans="1:7" s="74" customFormat="1" x14ac:dyDescent="0.25">
      <c r="A23" s="220"/>
      <c r="B23" s="13"/>
    </row>
    <row r="24" spans="1:7" ht="60" x14ac:dyDescent="0.25">
      <c r="B24" s="142" t="s">
        <v>51</v>
      </c>
      <c r="C24" s="143" t="s">
        <v>57</v>
      </c>
      <c r="D24" s="143" t="s">
        <v>52</v>
      </c>
      <c r="E24" s="143" t="s">
        <v>53</v>
      </c>
      <c r="F24" s="143" t="s">
        <v>54</v>
      </c>
      <c r="G24" s="143" t="s">
        <v>55</v>
      </c>
    </row>
    <row r="25" spans="1:7" hidden="1" x14ac:dyDescent="0.25">
      <c r="B25" s="140" t="s">
        <v>73</v>
      </c>
      <c r="C25" s="141">
        <v>225150</v>
      </c>
      <c r="D25" s="141">
        <v>53934</v>
      </c>
      <c r="E25" s="141">
        <v>7302</v>
      </c>
      <c r="F25" s="17">
        <f>D25/C25</f>
        <v>0.23954696868754163</v>
      </c>
      <c r="G25" s="17">
        <f>E25/D25</f>
        <v>0.1353876960729781</v>
      </c>
    </row>
    <row r="26" spans="1:7" hidden="1" x14ac:dyDescent="0.25">
      <c r="B26" s="140" t="s">
        <v>74</v>
      </c>
      <c r="C26" s="141">
        <v>763324</v>
      </c>
      <c r="D26" s="141">
        <v>140416</v>
      </c>
      <c r="E26" s="141">
        <v>13393</v>
      </c>
      <c r="F26" s="17">
        <f t="shared" ref="F26" si="0">D26/C26</f>
        <v>0.18395334091421206</v>
      </c>
      <c r="G26" s="17">
        <f t="shared" ref="G26" si="1">E26/D26</f>
        <v>9.5380868277119418E-2</v>
      </c>
    </row>
    <row r="27" spans="1:7" hidden="1" x14ac:dyDescent="0.25">
      <c r="B27" s="140" t="s">
        <v>96</v>
      </c>
      <c r="C27" s="141">
        <v>612618</v>
      </c>
      <c r="D27" s="141">
        <v>110490</v>
      </c>
      <c r="E27" s="141">
        <v>8268</v>
      </c>
      <c r="F27" s="17">
        <f t="shared" ref="F27" si="2">D27/C27</f>
        <v>0.18035709038911688</v>
      </c>
      <c r="G27" s="17">
        <f t="shared" ref="G27" si="3">E27/D27</f>
        <v>7.4830301384740699E-2</v>
      </c>
    </row>
    <row r="28" spans="1:7" hidden="1" x14ac:dyDescent="0.25">
      <c r="B28" s="140" t="s">
        <v>154</v>
      </c>
      <c r="C28" s="141">
        <v>592449</v>
      </c>
      <c r="D28" s="141">
        <v>102788</v>
      </c>
      <c r="E28" s="141">
        <v>6843</v>
      </c>
      <c r="F28" s="17">
        <f t="shared" ref="F28" si="4">D28/C28</f>
        <v>0.17349679044103375</v>
      </c>
      <c r="G28" s="17">
        <f t="shared" ref="G28" si="5">E28/D28</f>
        <v>6.6573919134529327E-2</v>
      </c>
    </row>
    <row r="29" spans="1:7" hidden="1" x14ac:dyDescent="0.25">
      <c r="B29" s="140" t="s">
        <v>156</v>
      </c>
      <c r="C29" s="141">
        <v>633715</v>
      </c>
      <c r="D29" s="141">
        <v>94725</v>
      </c>
      <c r="E29" s="141">
        <v>6952</v>
      </c>
      <c r="F29" s="17">
        <f t="shared" ref="F29" si="6">D29/C29</f>
        <v>0.14947571069013674</v>
      </c>
      <c r="G29" s="17">
        <f t="shared" ref="G29" si="7">E29/D29</f>
        <v>7.3391396146740562E-2</v>
      </c>
    </row>
    <row r="30" spans="1:7" hidden="1" x14ac:dyDescent="0.25">
      <c r="B30" s="140" t="s">
        <v>158</v>
      </c>
      <c r="C30" s="141">
        <v>601569</v>
      </c>
      <c r="D30" s="141">
        <v>92818</v>
      </c>
      <c r="E30" s="141">
        <v>6619</v>
      </c>
      <c r="F30" s="17">
        <f t="shared" ref="F30" si="8">D30/C30</f>
        <v>0.15429318997488234</v>
      </c>
      <c r="G30" s="17">
        <f t="shared" ref="G30" si="9">E30/D30</f>
        <v>7.1311599043289015E-2</v>
      </c>
    </row>
    <row r="31" spans="1:7" hidden="1" x14ac:dyDescent="0.25">
      <c r="B31" s="140" t="s">
        <v>171</v>
      </c>
      <c r="C31" s="141">
        <v>625163</v>
      </c>
      <c r="D31" s="141">
        <v>102789</v>
      </c>
      <c r="E31" s="141">
        <v>6850</v>
      </c>
      <c r="F31" s="17">
        <f t="shared" ref="F31" si="10">D31/C31</f>
        <v>0.16441951938934327</v>
      </c>
      <c r="G31" s="17">
        <f t="shared" ref="G31" si="11">E31/D31</f>
        <v>6.6641372131259188E-2</v>
      </c>
    </row>
    <row r="32" spans="1:7" hidden="1" x14ac:dyDescent="0.25">
      <c r="B32" s="140" t="s">
        <v>173</v>
      </c>
      <c r="C32" s="141">
        <v>629926</v>
      </c>
      <c r="D32" s="141">
        <v>103129</v>
      </c>
      <c r="E32" s="141">
        <v>6359</v>
      </c>
      <c r="F32" s="17">
        <f t="shared" ref="F32" si="12">D32/C32</f>
        <v>0.16371605553668209</v>
      </c>
      <c r="G32" s="17">
        <f t="shared" ref="G32" si="13">E32/D32</f>
        <v>6.1660638617653619E-2</v>
      </c>
    </row>
    <row r="33" spans="1:9" hidden="1" x14ac:dyDescent="0.25">
      <c r="B33" s="140" t="s">
        <v>175</v>
      </c>
      <c r="C33" s="141">
        <v>625345</v>
      </c>
      <c r="D33" s="141">
        <v>100685</v>
      </c>
      <c r="E33" s="141">
        <v>5964</v>
      </c>
      <c r="F33" s="17">
        <f t="shared" ref="F33" si="14">D33/C33</f>
        <v>0.16100712406751475</v>
      </c>
      <c r="G33" s="17">
        <f t="shared" ref="G33" si="15">E33/D33</f>
        <v>5.9234245418880664E-2</v>
      </c>
    </row>
    <row r="34" spans="1:9" hidden="1" x14ac:dyDescent="0.25">
      <c r="B34" s="140" t="s">
        <v>176</v>
      </c>
      <c r="C34" s="141">
        <v>626475</v>
      </c>
      <c r="D34" s="141">
        <v>94432</v>
      </c>
      <c r="E34" s="141">
        <v>6102</v>
      </c>
      <c r="F34" s="17">
        <f t="shared" ref="F34" si="16">D34/C34</f>
        <v>0.15073546430424198</v>
      </c>
      <c r="G34" s="17">
        <f t="shared" ref="G34" si="17">E34/D34</f>
        <v>6.4617926126736697E-2</v>
      </c>
    </row>
    <row r="35" spans="1:9" hidden="1" x14ac:dyDescent="0.25">
      <c r="B35" s="140" t="s">
        <v>177</v>
      </c>
      <c r="C35" s="141">
        <v>613171</v>
      </c>
      <c r="D35" s="141">
        <v>92209</v>
      </c>
      <c r="E35" s="141">
        <v>4857</v>
      </c>
      <c r="F35" s="17">
        <f t="shared" ref="F35" si="18">D35/C35</f>
        <v>0.15038056268153582</v>
      </c>
      <c r="G35" s="17">
        <f t="shared" ref="G35" si="19">E35/D35</f>
        <v>5.2673817089438121E-2</v>
      </c>
    </row>
    <row r="36" spans="1:9" hidden="1" x14ac:dyDescent="0.25">
      <c r="B36" s="140" t="s">
        <v>190</v>
      </c>
      <c r="C36" s="141">
        <v>583637</v>
      </c>
      <c r="D36" s="141">
        <v>64009</v>
      </c>
      <c r="E36" s="141">
        <v>4062</v>
      </c>
      <c r="F36" s="17">
        <f t="shared" ref="F36" si="20">D36/C36</f>
        <v>0.10967262185228147</v>
      </c>
      <c r="G36" s="17">
        <f t="shared" ref="G36" si="21">E36/D36</f>
        <v>6.3459825961974095E-2</v>
      </c>
    </row>
    <row r="37" spans="1:9" hidden="1" x14ac:dyDescent="0.25">
      <c r="B37" s="140" t="s">
        <v>192</v>
      </c>
      <c r="C37" s="141">
        <v>610705</v>
      </c>
      <c r="D37" s="141">
        <v>53458</v>
      </c>
      <c r="E37" s="141">
        <v>3377</v>
      </c>
      <c r="F37" s="17">
        <f t="shared" ref="F37" si="22">D37/C37</f>
        <v>8.7534898191434493E-2</v>
      </c>
      <c r="G37" s="17">
        <f t="shared" ref="G37" si="23">E37/D37</f>
        <v>6.3171087582775259E-2</v>
      </c>
    </row>
    <row r="38" spans="1:9" hidden="1" x14ac:dyDescent="0.25">
      <c r="B38" s="140" t="s">
        <v>200</v>
      </c>
      <c r="C38" s="141">
        <v>563567</v>
      </c>
      <c r="D38" s="141">
        <v>39759</v>
      </c>
      <c r="E38" s="141">
        <v>2017</v>
      </c>
      <c r="F38" s="17">
        <f t="shared" ref="F38" si="24">D38/C38</f>
        <v>7.0548843349592855E-2</v>
      </c>
      <c r="G38" s="17">
        <f t="shared" ref="G38" si="25">E38/D38</f>
        <v>5.0730652179380768E-2</v>
      </c>
    </row>
    <row r="39" spans="1:9" hidden="1" x14ac:dyDescent="0.25">
      <c r="B39" s="140" t="s">
        <v>202</v>
      </c>
      <c r="C39" s="141">
        <v>598391</v>
      </c>
      <c r="D39" s="141">
        <v>51494</v>
      </c>
      <c r="E39" s="141">
        <v>2465</v>
      </c>
      <c r="F39" s="17">
        <f t="shared" ref="F39" si="26">D39/C39</f>
        <v>8.6054101749524978E-2</v>
      </c>
      <c r="G39" s="17">
        <f t="shared" ref="G39" si="27">E39/D39</f>
        <v>4.7869654717054413E-2</v>
      </c>
    </row>
    <row r="40" spans="1:9" hidden="1" x14ac:dyDescent="0.25">
      <c r="B40" s="140" t="s">
        <v>212</v>
      </c>
      <c r="C40" s="141">
        <f>564919+D40</f>
        <v>609249</v>
      </c>
      <c r="D40" s="141">
        <v>44330</v>
      </c>
      <c r="E40" s="141">
        <v>2285</v>
      </c>
      <c r="F40" s="17">
        <f>D40/C40</f>
        <v>7.2761711549793273E-2</v>
      </c>
      <c r="G40" s="17">
        <f>E40/D40</f>
        <v>5.15452289645838E-2</v>
      </c>
    </row>
    <row r="41" spans="1:9" hidden="1" x14ac:dyDescent="0.25">
      <c r="B41" s="140" t="s">
        <v>209</v>
      </c>
      <c r="C41" s="141">
        <v>668247</v>
      </c>
      <c r="D41" s="141">
        <v>42227</v>
      </c>
      <c r="E41" s="141">
        <v>2090</v>
      </c>
      <c r="F41" s="17">
        <f>D41/C41</f>
        <v>6.3190706430406723E-2</v>
      </c>
      <c r="G41" s="17">
        <f t="shared" ref="G41" si="28">E41/D41</f>
        <v>4.9494399317971914E-2</v>
      </c>
      <c r="H41" s="4"/>
      <c r="I41" s="1"/>
    </row>
    <row r="42" spans="1:9" hidden="1" x14ac:dyDescent="0.25">
      <c r="B42" s="140" t="s">
        <v>215</v>
      </c>
      <c r="C42" s="141">
        <f>630653+45150</f>
        <v>675803</v>
      </c>
      <c r="D42" s="16">
        <v>45150</v>
      </c>
      <c r="E42" s="141">
        <f>2125</f>
        <v>2125</v>
      </c>
      <c r="F42" s="17">
        <f>D42/C42</f>
        <v>6.680941043469768E-2</v>
      </c>
      <c r="G42" s="17">
        <f>E42/D42</f>
        <v>4.706533776301218E-2</v>
      </c>
      <c r="H42" s="7"/>
    </row>
    <row r="43" spans="1:9" hidden="1" x14ac:dyDescent="0.25">
      <c r="B43" s="140" t="s">
        <v>225</v>
      </c>
      <c r="C43" s="141">
        <v>760180</v>
      </c>
      <c r="D43" s="16">
        <v>61276</v>
      </c>
      <c r="E43" s="141">
        <v>2076</v>
      </c>
      <c r="F43" s="17">
        <v>8.0607224604698893E-2</v>
      </c>
      <c r="G43" s="17">
        <v>3.3879496050656099E-2</v>
      </c>
      <c r="H43" s="35"/>
    </row>
    <row r="44" spans="1:9" hidden="1" x14ac:dyDescent="0.25">
      <c r="B44" s="140" t="s">
        <v>283</v>
      </c>
      <c r="C44" s="141">
        <v>672745</v>
      </c>
      <c r="D44" s="16">
        <v>52388</v>
      </c>
      <c r="E44" s="16">
        <v>1975</v>
      </c>
      <c r="F44" s="17">
        <f t="shared" ref="F44:G60" si="29">D44/C44</f>
        <v>7.7872002021568354E-2</v>
      </c>
      <c r="G44" s="17">
        <f t="shared" si="29"/>
        <v>3.7699473161792778E-2</v>
      </c>
      <c r="H44" s="35"/>
    </row>
    <row r="45" spans="1:9" s="74" customFormat="1" x14ac:dyDescent="0.25">
      <c r="A45" s="220"/>
      <c r="B45" s="140" t="s">
        <v>282</v>
      </c>
      <c r="C45" s="141">
        <v>671795</v>
      </c>
      <c r="D45" s="16">
        <v>80484</v>
      </c>
      <c r="E45" s="16">
        <v>1810</v>
      </c>
      <c r="F45" s="17">
        <f t="shared" si="29"/>
        <v>0.11980440461748003</v>
      </c>
      <c r="G45" s="17">
        <f t="shared" si="29"/>
        <v>2.2488941901495949E-2</v>
      </c>
      <c r="H45" s="35"/>
    </row>
    <row r="46" spans="1:9" x14ac:dyDescent="0.25">
      <c r="B46" s="140" t="s">
        <v>286</v>
      </c>
      <c r="C46" s="141">
        <v>747997</v>
      </c>
      <c r="D46" s="16">
        <v>51768</v>
      </c>
      <c r="E46" s="16">
        <v>1664</v>
      </c>
      <c r="F46" s="17">
        <f t="shared" si="29"/>
        <v>6.9208833725268953E-2</v>
      </c>
      <c r="G46" s="17">
        <f t="shared" si="29"/>
        <v>3.2143409055787359E-2</v>
      </c>
    </row>
    <row r="47" spans="1:9" x14ac:dyDescent="0.25">
      <c r="B47" s="140" t="s">
        <v>287</v>
      </c>
      <c r="C47" s="141">
        <v>620481</v>
      </c>
      <c r="D47" s="16">
        <v>45391</v>
      </c>
      <c r="E47" s="16">
        <v>1544</v>
      </c>
      <c r="F47" s="17">
        <f t="shared" si="29"/>
        <v>7.3154536561151756E-2</v>
      </c>
      <c r="G47" s="17">
        <f t="shared" si="29"/>
        <v>3.40155537441343E-2</v>
      </c>
    </row>
    <row r="48" spans="1:9" x14ac:dyDescent="0.25">
      <c r="B48" s="140" t="s">
        <v>288</v>
      </c>
      <c r="C48" s="141">
        <v>690141</v>
      </c>
      <c r="D48" s="16">
        <v>52480</v>
      </c>
      <c r="E48" s="16">
        <v>1757</v>
      </c>
      <c r="F48" s="17">
        <f t="shared" si="29"/>
        <v>7.6042431908841815E-2</v>
      </c>
      <c r="G48" s="17">
        <f t="shared" si="29"/>
        <v>3.3479420731707316E-2</v>
      </c>
    </row>
    <row r="49" spans="2:12" x14ac:dyDescent="0.25">
      <c r="B49" s="140" t="s">
        <v>291</v>
      </c>
      <c r="C49" s="141">
        <v>724730</v>
      </c>
      <c r="D49" s="16">
        <v>55975</v>
      </c>
      <c r="E49" s="16">
        <v>2094</v>
      </c>
      <c r="F49" s="17">
        <f t="shared" si="29"/>
        <v>7.723566017689347E-2</v>
      </c>
      <c r="G49" s="17">
        <v>3.740955783832068E-2</v>
      </c>
    </row>
    <row r="50" spans="2:12" x14ac:dyDescent="0.25">
      <c r="B50" s="140" t="s">
        <v>292</v>
      </c>
      <c r="C50" s="141">
        <v>802529</v>
      </c>
      <c r="D50" s="16">
        <v>62461</v>
      </c>
      <c r="E50" s="16">
        <v>1195</v>
      </c>
      <c r="F50" s="17">
        <f t="shared" si="29"/>
        <v>7.7830209251005256E-2</v>
      </c>
      <c r="G50" s="17">
        <f t="shared" si="29"/>
        <v>1.9131938329517619E-2</v>
      </c>
    </row>
    <row r="51" spans="2:12" x14ac:dyDescent="0.25">
      <c r="B51" s="140" t="s">
        <v>294</v>
      </c>
      <c r="C51" s="141">
        <v>852723</v>
      </c>
      <c r="D51" s="16">
        <v>68893</v>
      </c>
      <c r="E51" s="16">
        <v>2373</v>
      </c>
      <c r="F51" s="17">
        <f t="shared" si="29"/>
        <v>8.0791769425710341E-2</v>
      </c>
      <c r="G51" s="17">
        <f t="shared" si="29"/>
        <v>3.4444718621630642E-2</v>
      </c>
    </row>
    <row r="52" spans="2:12" x14ac:dyDescent="0.25">
      <c r="B52" s="140" t="s">
        <v>297</v>
      </c>
      <c r="C52" s="141">
        <v>642252</v>
      </c>
      <c r="D52" s="16">
        <v>50671</v>
      </c>
      <c r="E52" s="16">
        <v>1659</v>
      </c>
      <c r="F52" s="17">
        <f t="shared" si="29"/>
        <v>7.8895822823440015E-2</v>
      </c>
      <c r="G52" s="17">
        <f t="shared" si="29"/>
        <v>3.2740620867952083E-2</v>
      </c>
    </row>
    <row r="53" spans="2:12" x14ac:dyDescent="0.25">
      <c r="B53" s="140" t="s">
        <v>299</v>
      </c>
      <c r="C53" s="141">
        <v>785273</v>
      </c>
      <c r="D53" s="16">
        <v>59356</v>
      </c>
      <c r="E53" s="16">
        <v>2236</v>
      </c>
      <c r="F53" s="17">
        <f t="shared" si="29"/>
        <v>7.5586452100097679E-2</v>
      </c>
      <c r="G53" s="17">
        <f t="shared" si="29"/>
        <v>3.7671002089089564E-2</v>
      </c>
    </row>
    <row r="54" spans="2:12" x14ac:dyDescent="0.25">
      <c r="B54" s="140" t="s">
        <v>300</v>
      </c>
      <c r="C54" s="141">
        <v>769444</v>
      </c>
      <c r="D54" s="16">
        <v>53147</v>
      </c>
      <c r="E54" s="16">
        <v>1937</v>
      </c>
      <c r="F54" s="17">
        <f t="shared" si="29"/>
        <v>6.9071953254557839E-2</v>
      </c>
      <c r="G54" s="17">
        <f t="shared" si="29"/>
        <v>3.644608350424295E-2</v>
      </c>
    </row>
    <row r="55" spans="2:12" x14ac:dyDescent="0.25">
      <c r="B55" s="140" t="s">
        <v>314</v>
      </c>
      <c r="C55" s="141">
        <v>915093</v>
      </c>
      <c r="D55" s="16">
        <v>59543</v>
      </c>
      <c r="E55" s="16">
        <v>1864</v>
      </c>
      <c r="F55" s="17">
        <f t="shared" si="29"/>
        <v>6.5067703501174204E-2</v>
      </c>
      <c r="G55" s="17">
        <f t="shared" si="29"/>
        <v>3.1305107233427942E-2</v>
      </c>
      <c r="K55" s="74" t="s">
        <v>237</v>
      </c>
      <c r="L55" s="74" t="s">
        <v>238</v>
      </c>
    </row>
    <row r="56" spans="2:12" x14ac:dyDescent="0.25">
      <c r="B56" s="140" t="s">
        <v>317</v>
      </c>
      <c r="C56" s="141">
        <v>621715</v>
      </c>
      <c r="D56" s="16">
        <v>62833</v>
      </c>
      <c r="E56" s="16">
        <v>1876</v>
      </c>
      <c r="F56" s="17">
        <f t="shared" si="29"/>
        <v>0.10106399234375879</v>
      </c>
      <c r="G56" s="17">
        <f t="shared" si="29"/>
        <v>2.9856922317890281E-2</v>
      </c>
      <c r="K56" s="74" t="s">
        <v>315</v>
      </c>
      <c r="L56" s="74" t="s">
        <v>316</v>
      </c>
    </row>
    <row r="57" spans="2:12" x14ac:dyDescent="0.25">
      <c r="B57" s="140" t="s">
        <v>318</v>
      </c>
      <c r="C57" s="141">
        <v>806159</v>
      </c>
      <c r="D57" s="16">
        <v>67166</v>
      </c>
      <c r="E57" s="16">
        <v>2227</v>
      </c>
      <c r="F57" s="17">
        <f t="shared" si="29"/>
        <v>8.3316070402985012E-2</v>
      </c>
      <c r="G57" s="17">
        <f t="shared" si="29"/>
        <v>3.3156656641753268E-2</v>
      </c>
    </row>
    <row r="58" spans="2:12" x14ac:dyDescent="0.25">
      <c r="B58" s="140" t="s">
        <v>320</v>
      </c>
      <c r="C58" s="141">
        <v>803800</v>
      </c>
      <c r="D58" s="16">
        <v>67730</v>
      </c>
      <c r="E58" s="16">
        <v>2050</v>
      </c>
      <c r="F58" s="17">
        <f t="shared" si="29"/>
        <v>8.4262254292112468E-2</v>
      </c>
      <c r="G58" s="17">
        <f t="shared" si="29"/>
        <v>3.0267237560903586E-2</v>
      </c>
    </row>
    <row r="59" spans="2:12" x14ac:dyDescent="0.25">
      <c r="B59" s="140" t="s">
        <v>327</v>
      </c>
      <c r="C59" s="141">
        <v>687562</v>
      </c>
      <c r="D59" s="16">
        <v>57107</v>
      </c>
      <c r="E59" s="16">
        <v>1843</v>
      </c>
      <c r="F59" s="17">
        <f t="shared" si="29"/>
        <v>8.3057237020079638E-2</v>
      </c>
      <c r="G59" s="17">
        <f t="shared" si="29"/>
        <v>3.2272751151347472E-2</v>
      </c>
      <c r="K59" s="74"/>
    </row>
    <row r="60" spans="2:12" x14ac:dyDescent="0.25">
      <c r="B60" s="140" t="s">
        <v>330</v>
      </c>
      <c r="C60" s="141">
        <v>762543</v>
      </c>
      <c r="D60" s="16">
        <v>61288</v>
      </c>
      <c r="E60" s="16">
        <v>1930</v>
      </c>
      <c r="F60" s="17">
        <f t="shared" si="29"/>
        <v>8.0373172398146731E-2</v>
      </c>
      <c r="G60" s="17">
        <f t="shared" si="29"/>
        <v>3.1490667014750034E-2</v>
      </c>
      <c r="K60" s="74"/>
    </row>
    <row r="61" spans="2:12" x14ac:dyDescent="0.25">
      <c r="B61" s="140" t="s">
        <v>365</v>
      </c>
      <c r="C61" s="141">
        <f>D14+D18</f>
        <v>769711</v>
      </c>
      <c r="D61" s="16">
        <f>D18</f>
        <v>65034</v>
      </c>
      <c r="E61" s="16">
        <f>C20</f>
        <v>1878</v>
      </c>
      <c r="F61" s="17">
        <f t="shared" ref="F61:G61" si="30">D61/C61</f>
        <v>8.4491451986524815E-2</v>
      </c>
      <c r="G61" s="17">
        <f t="shared" si="30"/>
        <v>2.8877202693975458E-2</v>
      </c>
      <c r="K61" s="74"/>
    </row>
    <row r="62" spans="2:12" x14ac:dyDescent="0.25">
      <c r="B62"/>
    </row>
    <row r="63" spans="2:12" x14ac:dyDescent="0.25">
      <c r="B63"/>
    </row>
    <row r="64" spans="2:12" ht="60" x14ac:dyDescent="0.25">
      <c r="B64" s="142" t="s">
        <v>51</v>
      </c>
      <c r="C64" s="143" t="s">
        <v>57</v>
      </c>
      <c r="D64" s="143" t="s">
        <v>52</v>
      </c>
      <c r="E64" s="143" t="s">
        <v>53</v>
      </c>
      <c r="F64" s="143" t="s">
        <v>54</v>
      </c>
      <c r="G64" s="143" t="s">
        <v>55</v>
      </c>
    </row>
    <row r="65" spans="2:7" x14ac:dyDescent="0.25">
      <c r="B65" s="140" t="s">
        <v>292</v>
      </c>
      <c r="C65" s="141">
        <v>802529</v>
      </c>
      <c r="D65" s="16">
        <v>62461</v>
      </c>
      <c r="E65" s="16">
        <v>1195</v>
      </c>
      <c r="F65" s="17">
        <v>7.7830209251005256E-2</v>
      </c>
      <c r="G65" s="17">
        <v>1.9131938329517619E-2</v>
      </c>
    </row>
    <row r="66" spans="2:7" x14ac:dyDescent="0.25">
      <c r="B66" s="140" t="s">
        <v>294</v>
      </c>
      <c r="C66" s="141">
        <v>852723</v>
      </c>
      <c r="D66" s="16">
        <v>68893</v>
      </c>
      <c r="E66" s="16">
        <v>2373</v>
      </c>
      <c r="F66" s="17">
        <v>8.0791769425710341E-2</v>
      </c>
      <c r="G66" s="17">
        <v>3.4444718621630642E-2</v>
      </c>
    </row>
    <row r="67" spans="2:7" x14ac:dyDescent="0.25">
      <c r="B67" s="140" t="s">
        <v>297</v>
      </c>
      <c r="C67" s="141">
        <v>642252</v>
      </c>
      <c r="D67" s="16">
        <v>50671</v>
      </c>
      <c r="E67" s="16">
        <v>1659</v>
      </c>
      <c r="F67" s="17">
        <v>7.8895822823440015E-2</v>
      </c>
      <c r="G67" s="17">
        <v>3.2740620867952083E-2</v>
      </c>
    </row>
    <row r="68" spans="2:7" x14ac:dyDescent="0.25">
      <c r="B68" s="140" t="s">
        <v>299</v>
      </c>
      <c r="C68" s="141">
        <v>785273</v>
      </c>
      <c r="D68" s="16">
        <v>59356</v>
      </c>
      <c r="E68" s="16">
        <v>2236</v>
      </c>
      <c r="F68" s="17">
        <v>7.5586452100097679E-2</v>
      </c>
      <c r="G68" s="17">
        <v>3.7671002089089564E-2</v>
      </c>
    </row>
    <row r="69" spans="2:7" x14ac:dyDescent="0.25">
      <c r="B69" s="140" t="s">
        <v>300</v>
      </c>
      <c r="C69" s="141">
        <v>769444</v>
      </c>
      <c r="D69" s="16">
        <v>53147</v>
      </c>
      <c r="E69" s="16">
        <v>1937</v>
      </c>
      <c r="F69" s="17">
        <v>6.9071953254557839E-2</v>
      </c>
      <c r="G69" s="17">
        <v>3.644608350424295E-2</v>
      </c>
    </row>
    <row r="70" spans="2:7" x14ac:dyDescent="0.25">
      <c r="B70" s="140" t="s">
        <v>314</v>
      </c>
      <c r="C70" s="141">
        <v>915093</v>
      </c>
      <c r="D70" s="16">
        <v>59543</v>
      </c>
      <c r="E70" s="16">
        <v>1864</v>
      </c>
      <c r="F70" s="17">
        <v>6.5067703501174204E-2</v>
      </c>
      <c r="G70" s="17">
        <v>3.1305107233427942E-2</v>
      </c>
    </row>
    <row r="71" spans="2:7" x14ac:dyDescent="0.25">
      <c r="B71" s="140" t="s">
        <v>317</v>
      </c>
      <c r="C71" s="141">
        <v>621715</v>
      </c>
      <c r="D71" s="16">
        <v>62833</v>
      </c>
      <c r="E71" s="16">
        <v>1876</v>
      </c>
      <c r="F71" s="17">
        <v>0.10106399234375879</v>
      </c>
      <c r="G71" s="17">
        <v>2.9856922317890281E-2</v>
      </c>
    </row>
    <row r="72" spans="2:7" x14ac:dyDescent="0.25">
      <c r="B72" s="140" t="s">
        <v>318</v>
      </c>
      <c r="C72" s="141">
        <v>806159</v>
      </c>
      <c r="D72" s="16">
        <v>67166</v>
      </c>
      <c r="E72" s="16">
        <v>2227</v>
      </c>
      <c r="F72" s="17">
        <v>8.3316070402985012E-2</v>
      </c>
      <c r="G72" s="17">
        <v>3.3156656641753268E-2</v>
      </c>
    </row>
    <row r="73" spans="2:7" x14ac:dyDescent="0.25">
      <c r="B73" s="140" t="s">
        <v>320</v>
      </c>
      <c r="C73" s="141">
        <v>803800</v>
      </c>
      <c r="D73" s="16">
        <v>67730</v>
      </c>
      <c r="E73" s="16">
        <v>2050</v>
      </c>
      <c r="F73" s="17">
        <v>8.4262254292112468E-2</v>
      </c>
      <c r="G73" s="17">
        <v>3.0267237560903586E-2</v>
      </c>
    </row>
    <row r="74" spans="2:7" x14ac:dyDescent="0.25">
      <c r="B74" s="140" t="s">
        <v>327</v>
      </c>
      <c r="C74" s="141">
        <v>687562</v>
      </c>
      <c r="D74" s="16">
        <v>57107</v>
      </c>
      <c r="E74" s="16">
        <v>1843</v>
      </c>
      <c r="F74" s="17">
        <v>8.3057237020079638E-2</v>
      </c>
      <c r="G74" s="17">
        <v>3.2272751151347472E-2</v>
      </c>
    </row>
    <row r="75" spans="2:7" x14ac:dyDescent="0.25">
      <c r="B75" s="140" t="s">
        <v>330</v>
      </c>
      <c r="C75" s="141">
        <v>762543</v>
      </c>
      <c r="D75" s="16">
        <v>61288</v>
      </c>
      <c r="E75" s="16">
        <v>1930</v>
      </c>
      <c r="F75" s="17">
        <v>8.0373172398146731E-2</v>
      </c>
      <c r="G75" s="17">
        <v>3.1490667014750034E-2</v>
      </c>
    </row>
    <row r="76" spans="2:7" x14ac:dyDescent="0.25">
      <c r="B76" s="140" t="s">
        <v>365</v>
      </c>
      <c r="C76" s="141">
        <v>769711</v>
      </c>
      <c r="D76" s="16">
        <v>65034</v>
      </c>
      <c r="E76" s="16">
        <v>1878</v>
      </c>
      <c r="F76" s="17">
        <v>8.4491451986524815E-2</v>
      </c>
      <c r="G76" s="17">
        <v>2.8877202693975458E-2</v>
      </c>
    </row>
  </sheetData>
  <mergeCells count="3">
    <mergeCell ref="C16:E16"/>
    <mergeCell ref="C19:E19"/>
    <mergeCell ref="C12:G12"/>
  </mergeCells>
  <pageMargins left="0.7" right="0.7" top="0.75" bottom="0.75" header="0.3" footer="0.3"/>
  <pageSetup orientation="portrait" r:id="rId1"/>
  <drawing r:id="rId2"/>
  <legacyDrawing r:id="rId3"/>
  <controls>
    <mc:AlternateContent xmlns:mc="http://schemas.openxmlformats.org/markup-compatibility/2006">
      <mc:Choice Requires="x14">
        <control shapeId="18433" r:id="rId4" name="bStartHere_back8">
          <controlPr defaultSize="0" autoLine="0" r:id="rId5">
            <anchor moveWithCells="1">
              <from>
                <xdr:col>0</xdr:col>
                <xdr:colOff>66675</xdr:colOff>
                <xdr:row>0</xdr:row>
                <xdr:rowOff>95250</xdr:rowOff>
              </from>
              <to>
                <xdr:col>0</xdr:col>
                <xdr:colOff>1152525</xdr:colOff>
                <xdr:row>3</xdr:row>
                <xdr:rowOff>152400</xdr:rowOff>
              </to>
            </anchor>
          </controlPr>
        </control>
      </mc:Choice>
      <mc:Fallback>
        <control shapeId="18433" r:id="rId4" name="bStartHere_back8"/>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rgb="FF00B050"/>
  </sheetPr>
  <dimension ref="A1:BH31"/>
  <sheetViews>
    <sheetView topLeftCell="A10" zoomScale="120" zoomScaleNormal="120" workbookViewId="0">
      <pane xSplit="2" topLeftCell="AY1" activePane="topRight" state="frozen"/>
      <selection activeCell="R54" sqref="R54"/>
      <selection pane="topRight" activeCell="BC9" sqref="BC9:BD14"/>
    </sheetView>
  </sheetViews>
  <sheetFormatPr defaultRowHeight="15" x14ac:dyDescent="0.25"/>
  <cols>
    <col min="1" max="1" width="17.7109375" style="220" customWidth="1"/>
    <col min="2" max="2" width="26.140625" customWidth="1"/>
    <col min="3" max="3" width="8.85546875" hidden="1" customWidth="1"/>
    <col min="4" max="4" width="7.140625" hidden="1" customWidth="1"/>
    <col min="5" max="5" width="8.85546875" style="15" hidden="1" customWidth="1"/>
    <col min="6" max="6" width="7.140625" style="15" hidden="1" customWidth="1"/>
    <col min="7" max="7" width="8.85546875" style="15" hidden="1" customWidth="1"/>
    <col min="8" max="8" width="7.140625" style="15" hidden="1" customWidth="1"/>
    <col min="9" max="9" width="8.85546875" style="15" hidden="1" customWidth="1"/>
    <col min="10" max="10" width="7.140625" hidden="1" customWidth="1"/>
    <col min="11" max="11" width="8.85546875" hidden="1" customWidth="1"/>
    <col min="12" max="12" width="7.140625" hidden="1" customWidth="1"/>
    <col min="13" max="13" width="8.85546875" hidden="1" customWidth="1"/>
    <col min="14" max="14" width="7.140625" hidden="1" customWidth="1"/>
    <col min="15" max="15" width="8.85546875" hidden="1" customWidth="1"/>
    <col min="16" max="16" width="7.140625" hidden="1" customWidth="1"/>
    <col min="17" max="17" width="8.85546875" hidden="1" customWidth="1"/>
    <col min="18" max="18" width="7.140625" hidden="1" customWidth="1"/>
    <col min="19" max="19" width="8.85546875" hidden="1" customWidth="1"/>
    <col min="20" max="20" width="7.140625" hidden="1" customWidth="1"/>
    <col min="21" max="21" width="8.85546875" style="74" hidden="1" customWidth="1"/>
    <col min="22" max="22" width="7.140625" style="74" hidden="1" customWidth="1"/>
    <col min="23" max="23" width="8.85546875" hidden="1" customWidth="1"/>
    <col min="24" max="24" width="7.140625" hidden="1" customWidth="1"/>
    <col min="25" max="25" width="10.42578125" hidden="1" customWidth="1"/>
    <col min="26" max="26" width="9.140625" hidden="1" customWidth="1"/>
    <col min="27" max="27" width="10.28515625" hidden="1" customWidth="1"/>
    <col min="28" max="28" width="10.7109375" hidden="1" customWidth="1"/>
    <col min="29" max="29" width="10.42578125" hidden="1" customWidth="1"/>
    <col min="30" max="30" width="10.28515625" hidden="1" customWidth="1"/>
    <col min="31" max="31" width="14.7109375" hidden="1" customWidth="1"/>
    <col min="32" max="32" width="10.140625" hidden="1" customWidth="1"/>
    <col min="33" max="33" width="18.28515625" hidden="1" customWidth="1"/>
    <col min="34" max="34" width="7.140625" hidden="1" customWidth="1"/>
    <col min="35" max="35" width="14.5703125" hidden="1" customWidth="1"/>
    <col min="36" max="36" width="0" hidden="1" customWidth="1"/>
    <col min="37" max="37" width="11.140625" hidden="1" customWidth="1"/>
    <col min="38" max="38" width="11.7109375" hidden="1" customWidth="1"/>
    <col min="39" max="40" width="0" hidden="1" customWidth="1"/>
    <col min="41" max="41" width="10.42578125" hidden="1" customWidth="1"/>
    <col min="42" max="42" width="12.42578125" hidden="1" customWidth="1"/>
    <col min="43" max="45" width="0" hidden="1" customWidth="1"/>
    <col min="46" max="46" width="20.7109375" hidden="1" customWidth="1"/>
    <col min="47" max="48" width="0" hidden="1" customWidth="1"/>
    <col min="49" max="49" width="8.42578125" hidden="1" customWidth="1"/>
    <col min="50" max="50" width="0" hidden="1" customWidth="1"/>
    <col min="52" max="52" width="10.5703125" customWidth="1"/>
  </cols>
  <sheetData>
    <row r="1" spans="1:60" s="74" customFormat="1" x14ac:dyDescent="0.25">
      <c r="A1" s="220"/>
      <c r="E1" s="15"/>
      <c r="F1" s="15"/>
      <c r="G1" s="15"/>
      <c r="H1" s="15"/>
      <c r="I1" s="15"/>
    </row>
    <row r="2" spans="1:60" s="74" customFormat="1" x14ac:dyDescent="0.25">
      <c r="A2" s="220"/>
      <c r="E2" s="15"/>
      <c r="F2" s="15"/>
      <c r="G2" s="15"/>
      <c r="H2" s="15"/>
      <c r="I2" s="15"/>
    </row>
    <row r="3" spans="1:60" s="74" customFormat="1" x14ac:dyDescent="0.25">
      <c r="A3" s="220"/>
      <c r="E3" s="15"/>
      <c r="F3" s="15"/>
      <c r="G3" s="15"/>
      <c r="H3" s="15"/>
      <c r="I3" s="15"/>
    </row>
    <row r="4" spans="1:60" s="99" customFormat="1" x14ac:dyDescent="0.25">
      <c r="A4" s="220"/>
      <c r="B4" s="154" t="s">
        <v>61</v>
      </c>
      <c r="C4" s="102"/>
      <c r="D4" s="102"/>
    </row>
    <row r="5" spans="1:60" s="99" customFormat="1" x14ac:dyDescent="0.25">
      <c r="A5" s="220"/>
      <c r="B5" s="99" t="s">
        <v>216</v>
      </c>
    </row>
    <row r="7" spans="1:60" x14ac:dyDescent="0.25">
      <c r="B7" s="271" t="s">
        <v>62</v>
      </c>
      <c r="C7" s="400" t="s">
        <v>73</v>
      </c>
      <c r="D7" s="401"/>
      <c r="E7" s="400" t="s">
        <v>74</v>
      </c>
      <c r="F7" s="401"/>
      <c r="G7" s="400" t="s">
        <v>96</v>
      </c>
      <c r="H7" s="401"/>
      <c r="I7" s="400" t="s">
        <v>154</v>
      </c>
      <c r="J7" s="401"/>
      <c r="K7" s="400" t="s">
        <v>156</v>
      </c>
      <c r="L7" s="401"/>
      <c r="M7" s="400" t="s">
        <v>158</v>
      </c>
      <c r="N7" s="401"/>
      <c r="O7" s="400" t="s">
        <v>171</v>
      </c>
      <c r="P7" s="401"/>
      <c r="Q7" s="400" t="s">
        <v>173</v>
      </c>
      <c r="R7" s="401"/>
      <c r="S7" s="400" t="s">
        <v>175</v>
      </c>
      <c r="T7" s="401"/>
      <c r="U7" s="400" t="s">
        <v>176</v>
      </c>
      <c r="V7" s="401"/>
      <c r="W7" s="400" t="s">
        <v>177</v>
      </c>
      <c r="X7" s="401"/>
      <c r="Y7" s="400" t="s">
        <v>190</v>
      </c>
      <c r="Z7" s="401"/>
      <c r="AA7" s="400" t="s">
        <v>192</v>
      </c>
      <c r="AB7" s="401"/>
      <c r="AC7" s="400" t="s">
        <v>200</v>
      </c>
      <c r="AD7" s="401"/>
      <c r="AE7" s="400" t="s">
        <v>202</v>
      </c>
      <c r="AF7" s="401"/>
      <c r="AG7" s="400" t="s">
        <v>212</v>
      </c>
      <c r="AH7" s="401"/>
      <c r="AI7" s="400" t="s">
        <v>215</v>
      </c>
      <c r="AJ7" s="401"/>
      <c r="AK7" s="400" t="s">
        <v>225</v>
      </c>
      <c r="AL7" s="401"/>
      <c r="AM7" s="400" t="s">
        <v>283</v>
      </c>
      <c r="AN7" s="401"/>
      <c r="AO7" s="400" t="s">
        <v>282</v>
      </c>
      <c r="AP7" s="401"/>
      <c r="AQ7" s="400" t="s">
        <v>286</v>
      </c>
      <c r="AR7" s="401"/>
      <c r="AS7" s="400" t="s">
        <v>287</v>
      </c>
      <c r="AT7" s="401"/>
      <c r="AU7" s="400" t="s">
        <v>290</v>
      </c>
      <c r="AV7" s="401"/>
      <c r="AW7" s="400" t="s">
        <v>293</v>
      </c>
      <c r="AX7" s="401"/>
      <c r="AY7" s="400" t="s">
        <v>327</v>
      </c>
      <c r="AZ7" s="401"/>
      <c r="BA7" s="400" t="s">
        <v>330</v>
      </c>
      <c r="BB7" s="401"/>
      <c r="BC7" s="400" t="s">
        <v>365</v>
      </c>
      <c r="BD7" s="401"/>
    </row>
    <row r="8" spans="1:60" ht="30" x14ac:dyDescent="0.25">
      <c r="B8" s="271" t="s">
        <v>1</v>
      </c>
      <c r="C8" s="272" t="s">
        <v>63</v>
      </c>
      <c r="D8" s="271" t="s">
        <v>64</v>
      </c>
      <c r="E8" s="272" t="s">
        <v>63</v>
      </c>
      <c r="F8" s="271" t="s">
        <v>64</v>
      </c>
      <c r="G8" s="272" t="s">
        <v>63</v>
      </c>
      <c r="H8" s="271" t="s">
        <v>64</v>
      </c>
      <c r="I8" s="272" t="s">
        <v>63</v>
      </c>
      <c r="J8" s="271" t="s">
        <v>64</v>
      </c>
      <c r="K8" s="272" t="s">
        <v>63</v>
      </c>
      <c r="L8" s="271" t="s">
        <v>64</v>
      </c>
      <c r="M8" s="272" t="s">
        <v>63</v>
      </c>
      <c r="N8" s="271" t="s">
        <v>64</v>
      </c>
      <c r="O8" s="272" t="s">
        <v>63</v>
      </c>
      <c r="P8" s="271" t="s">
        <v>64</v>
      </c>
      <c r="Q8" s="272" t="s">
        <v>63</v>
      </c>
      <c r="R8" s="271" t="s">
        <v>64</v>
      </c>
      <c r="S8" s="272" t="s">
        <v>63</v>
      </c>
      <c r="T8" s="271" t="s">
        <v>64</v>
      </c>
      <c r="U8" s="272" t="s">
        <v>63</v>
      </c>
      <c r="V8" s="271" t="s">
        <v>64</v>
      </c>
      <c r="W8" s="272" t="s">
        <v>63</v>
      </c>
      <c r="X8" s="271" t="s">
        <v>64</v>
      </c>
      <c r="Y8" s="272" t="s">
        <v>63</v>
      </c>
      <c r="Z8" s="271" t="s">
        <v>64</v>
      </c>
      <c r="AA8" s="272" t="s">
        <v>63</v>
      </c>
      <c r="AB8" s="271" t="s">
        <v>64</v>
      </c>
      <c r="AC8" s="272" t="s">
        <v>63</v>
      </c>
      <c r="AD8" s="271" t="s">
        <v>64</v>
      </c>
      <c r="AE8" s="272" t="s">
        <v>63</v>
      </c>
      <c r="AF8" s="271" t="s">
        <v>64</v>
      </c>
      <c r="AG8" s="272" t="s">
        <v>63</v>
      </c>
      <c r="AH8" s="271" t="s">
        <v>64</v>
      </c>
      <c r="AI8" s="272" t="s">
        <v>63</v>
      </c>
      <c r="AJ8" s="271" t="s">
        <v>64</v>
      </c>
      <c r="AK8" s="272" t="s">
        <v>63</v>
      </c>
      <c r="AL8" s="271" t="s">
        <v>64</v>
      </c>
      <c r="AM8" s="272" t="s">
        <v>63</v>
      </c>
      <c r="AN8" s="271" t="s">
        <v>64</v>
      </c>
      <c r="AO8" s="272" t="s">
        <v>63</v>
      </c>
      <c r="AP8" s="271" t="s">
        <v>64</v>
      </c>
      <c r="AQ8" s="272" t="s">
        <v>63</v>
      </c>
      <c r="AR8" s="271" t="s">
        <v>64</v>
      </c>
      <c r="AS8" s="272" t="s">
        <v>63</v>
      </c>
      <c r="AT8" s="271" t="s">
        <v>64</v>
      </c>
      <c r="AU8" s="272" t="s">
        <v>63</v>
      </c>
      <c r="AV8" s="271" t="s">
        <v>64</v>
      </c>
      <c r="AW8" s="272" t="s">
        <v>63</v>
      </c>
      <c r="AX8" s="271" t="s">
        <v>64</v>
      </c>
      <c r="AY8" s="272" t="s">
        <v>63</v>
      </c>
      <c r="AZ8" s="271" t="s">
        <v>64</v>
      </c>
      <c r="BA8" s="272" t="s">
        <v>63</v>
      </c>
      <c r="BB8" s="271" t="s">
        <v>64</v>
      </c>
      <c r="BC8" s="272" t="s">
        <v>63</v>
      </c>
      <c r="BD8" s="271" t="s">
        <v>64</v>
      </c>
    </row>
    <row r="9" spans="1:60" x14ac:dyDescent="0.25">
      <c r="B9" s="147" t="s">
        <v>65</v>
      </c>
      <c r="C9" s="144">
        <v>52241</v>
      </c>
      <c r="D9" s="145">
        <v>0.99239999999999995</v>
      </c>
      <c r="E9" s="144">
        <v>179617</v>
      </c>
      <c r="F9" s="145">
        <v>0.99080000000000001</v>
      </c>
      <c r="G9" s="144">
        <v>162021</v>
      </c>
      <c r="H9" s="145">
        <v>0.95499999999999996</v>
      </c>
      <c r="I9" s="144">
        <v>111449</v>
      </c>
      <c r="J9" s="145">
        <v>0.95409999999999995</v>
      </c>
      <c r="K9" s="144">
        <v>172422</v>
      </c>
      <c r="L9" s="145">
        <v>0.98550000000000004</v>
      </c>
      <c r="M9" s="144">
        <v>173099</v>
      </c>
      <c r="N9" s="145">
        <v>0.97399999999999998</v>
      </c>
      <c r="O9" s="144">
        <v>136115</v>
      </c>
      <c r="P9" s="145">
        <v>0.96120000000000005</v>
      </c>
      <c r="Q9" s="144">
        <v>122382</v>
      </c>
      <c r="R9" s="145">
        <v>0.93</v>
      </c>
      <c r="S9" s="144">
        <v>157078</v>
      </c>
      <c r="T9" s="145">
        <v>0.9839</v>
      </c>
      <c r="U9" s="144">
        <v>126713</v>
      </c>
      <c r="V9" s="145">
        <v>0.9929</v>
      </c>
      <c r="W9" s="144">
        <v>74676</v>
      </c>
      <c r="X9" s="145">
        <v>0.90669999999999995</v>
      </c>
      <c r="Y9" s="144">
        <v>127021</v>
      </c>
      <c r="Z9" s="145">
        <v>0.95399999999999996</v>
      </c>
      <c r="AA9" s="144">
        <v>23870</v>
      </c>
      <c r="AB9" s="145">
        <v>0.99490000000000001</v>
      </c>
      <c r="AC9" s="144">
        <v>23870</v>
      </c>
      <c r="AD9" s="145">
        <v>0.99490000000000001</v>
      </c>
      <c r="AE9" s="144">
        <v>135729</v>
      </c>
      <c r="AF9" s="145">
        <v>0.92100000000000004</v>
      </c>
      <c r="AG9" s="144">
        <v>86124</v>
      </c>
      <c r="AH9" s="145">
        <f>AG9/AG14</f>
        <v>0.90725602561941687</v>
      </c>
      <c r="AI9" s="144">
        <v>151988</v>
      </c>
      <c r="AJ9" s="145">
        <v>0.48447022822899399</v>
      </c>
      <c r="AK9" s="144">
        <v>132596</v>
      </c>
      <c r="AL9" s="145">
        <v>0.78221729306896814</v>
      </c>
      <c r="AM9" s="144">
        <v>219276</v>
      </c>
      <c r="AN9" s="145">
        <f>AM9/$AM$14</f>
        <v>0.81586516101426898</v>
      </c>
      <c r="AO9" s="144">
        <v>247063</v>
      </c>
      <c r="AP9" s="145">
        <f>AO9/$AM$14</f>
        <v>0.91925287890908414</v>
      </c>
      <c r="AQ9" s="144">
        <v>179978</v>
      </c>
      <c r="AR9" s="145">
        <f>AQ9/$AQ$14</f>
        <v>0.9201329243353783</v>
      </c>
      <c r="AS9" s="144">
        <v>180196</v>
      </c>
      <c r="AT9" s="145">
        <f>AS9/$AS$14</f>
        <v>0.96380051774673203</v>
      </c>
      <c r="AU9" s="144">
        <v>211474</v>
      </c>
      <c r="AV9" s="145">
        <v>0.96767167416342159</v>
      </c>
      <c r="AW9" s="144">
        <v>194734</v>
      </c>
      <c r="AX9" s="145">
        <f>AW9/$AW$14</f>
        <v>0.97070933652360303</v>
      </c>
      <c r="AY9" s="144">
        <v>154865</v>
      </c>
      <c r="AZ9" s="145">
        <v>0.97214724234472893</v>
      </c>
      <c r="BA9" s="144">
        <v>140048</v>
      </c>
      <c r="BB9" s="145">
        <v>0.99165173798211392</v>
      </c>
      <c r="BC9" s="144">
        <f>BA23</f>
        <v>158205</v>
      </c>
      <c r="BD9" s="145">
        <f>BC9/BC14</f>
        <v>0.99369382384161697</v>
      </c>
    </row>
    <row r="10" spans="1:60" x14ac:dyDescent="0.25">
      <c r="B10" s="147" t="s">
        <v>66</v>
      </c>
      <c r="C10" s="144">
        <v>285</v>
      </c>
      <c r="D10" s="145">
        <v>5.4000000000000003E-3</v>
      </c>
      <c r="E10" s="144">
        <v>861</v>
      </c>
      <c r="F10" s="145">
        <v>4.7000000000000002E-3</v>
      </c>
      <c r="G10" s="144">
        <v>4827</v>
      </c>
      <c r="H10" s="145">
        <v>2.8400000000000002E-2</v>
      </c>
      <c r="I10" s="144">
        <v>4648</v>
      </c>
      <c r="J10" s="145">
        <v>3.9699999999999999E-2</v>
      </c>
      <c r="K10" s="144">
        <v>2017</v>
      </c>
      <c r="L10" s="145">
        <v>1.15E-2</v>
      </c>
      <c r="M10" s="144">
        <v>4053</v>
      </c>
      <c r="N10" s="145">
        <v>2.2800000000000001E-2</v>
      </c>
      <c r="O10" s="144">
        <v>4323</v>
      </c>
      <c r="P10" s="145">
        <v>3.0499999999999999E-2</v>
      </c>
      <c r="Q10" s="144">
        <v>8717</v>
      </c>
      <c r="R10" s="145">
        <v>6.6199999999999995E-2</v>
      </c>
      <c r="S10" s="144">
        <v>1929</v>
      </c>
      <c r="T10" s="145">
        <v>1.2E-2</v>
      </c>
      <c r="U10" s="144">
        <v>386</v>
      </c>
      <c r="V10" s="145">
        <v>3.0000000000000001E-3</v>
      </c>
      <c r="W10" s="144">
        <v>7331</v>
      </c>
      <c r="X10" s="145">
        <v>8.8999999999999996E-2</v>
      </c>
      <c r="Y10" s="144">
        <v>5529</v>
      </c>
      <c r="Z10" s="145">
        <v>4.1500000000000002E-2</v>
      </c>
      <c r="AA10" s="144">
        <v>56</v>
      </c>
      <c r="AB10" s="145">
        <v>2.3E-3</v>
      </c>
      <c r="AC10" s="144">
        <v>56</v>
      </c>
      <c r="AD10" s="145">
        <v>2.3E-3</v>
      </c>
      <c r="AE10" s="144">
        <v>3</v>
      </c>
      <c r="AF10" s="145">
        <v>0</v>
      </c>
      <c r="AG10" s="144">
        <v>2</v>
      </c>
      <c r="AH10" s="149">
        <f>AG10/AG14</f>
        <v>2.106859935951458E-5</v>
      </c>
      <c r="AI10" s="144">
        <v>3</v>
      </c>
      <c r="AJ10" s="145">
        <v>9.5626673466785664E-6</v>
      </c>
      <c r="AK10" s="144">
        <v>2</v>
      </c>
      <c r="AL10" s="145">
        <v>1.1798505129400105E-5</v>
      </c>
      <c r="AM10" s="144">
        <v>3</v>
      </c>
      <c r="AN10" s="145">
        <f t="shared" ref="AN10:AN13" si="0">AM10/$AM$14</f>
        <v>1.1162167692965975E-5</v>
      </c>
      <c r="AO10" s="144">
        <v>0</v>
      </c>
      <c r="AP10" s="145">
        <f t="shared" ref="AP10:AP13" si="1">AO10/$AM$14</f>
        <v>0</v>
      </c>
      <c r="AQ10" s="144">
        <f>0</f>
        <v>0</v>
      </c>
      <c r="AR10" s="145">
        <f t="shared" ref="AR10:AR13" si="2">AQ10/$AQ$14</f>
        <v>0</v>
      </c>
      <c r="AS10" s="144">
        <v>0</v>
      </c>
      <c r="AT10" s="145">
        <f t="shared" ref="AT10:AT12" si="3">AS10/$AS$14</f>
        <v>0</v>
      </c>
      <c r="AU10" s="144">
        <v>0</v>
      </c>
      <c r="AV10" s="145">
        <v>0</v>
      </c>
      <c r="AW10" s="144">
        <v>0</v>
      </c>
      <c r="AX10" s="145">
        <f t="shared" ref="AX10:AX14" si="4">AW10/$AW$14</f>
        <v>0</v>
      </c>
      <c r="AY10" s="144">
        <v>0</v>
      </c>
      <c r="AZ10" s="145">
        <v>0</v>
      </c>
      <c r="BA10" s="144">
        <v>0</v>
      </c>
      <c r="BB10" s="145">
        <v>0</v>
      </c>
      <c r="BC10" s="144">
        <f>0</f>
        <v>0</v>
      </c>
      <c r="BD10" s="145">
        <f>BC10/BC14</f>
        <v>0</v>
      </c>
    </row>
    <row r="11" spans="1:60" x14ac:dyDescent="0.25">
      <c r="B11" s="147" t="s">
        <v>67</v>
      </c>
      <c r="C11" s="144">
        <v>84</v>
      </c>
      <c r="D11" s="145">
        <v>1.5E-3</v>
      </c>
      <c r="E11" s="144">
        <v>671</v>
      </c>
      <c r="F11" s="145">
        <v>3.7000000000000002E-3</v>
      </c>
      <c r="G11" s="144">
        <v>1746</v>
      </c>
      <c r="H11" s="145">
        <v>1.0200000000000001E-2</v>
      </c>
      <c r="I11" s="144">
        <v>603</v>
      </c>
      <c r="J11" s="145">
        <v>5.1000000000000004E-3</v>
      </c>
      <c r="K11" s="144">
        <v>367</v>
      </c>
      <c r="L11" s="145">
        <v>2E-3</v>
      </c>
      <c r="M11" s="144">
        <v>438</v>
      </c>
      <c r="N11" s="145">
        <v>2.3999999999999998E-3</v>
      </c>
      <c r="O11" s="144">
        <v>663</v>
      </c>
      <c r="P11" s="145">
        <v>4.5999999999999999E-3</v>
      </c>
      <c r="Q11" s="144">
        <v>387</v>
      </c>
      <c r="R11" s="145">
        <v>2.8999999999999998E-3</v>
      </c>
      <c r="S11" s="144">
        <v>501</v>
      </c>
      <c r="T11" s="145">
        <v>3.0999999999999999E-3</v>
      </c>
      <c r="U11" s="144">
        <v>378</v>
      </c>
      <c r="V11" s="145">
        <v>2.9000000000000001E-2</v>
      </c>
      <c r="W11" s="144">
        <v>273</v>
      </c>
      <c r="X11" s="145">
        <v>3.3E-3</v>
      </c>
      <c r="Y11" s="144">
        <v>434</v>
      </c>
      <c r="Z11" s="145">
        <v>3.2000000000000002E-3</v>
      </c>
      <c r="AA11" s="144">
        <v>52</v>
      </c>
      <c r="AB11" s="145">
        <v>2.0999999999999999E-3</v>
      </c>
      <c r="AC11" s="144">
        <v>52</v>
      </c>
      <c r="AD11" s="145">
        <v>2.0999999999999999E-3</v>
      </c>
      <c r="AE11" s="144">
        <v>11619</v>
      </c>
      <c r="AF11" s="145">
        <v>7.8799999999999995E-2</v>
      </c>
      <c r="AG11" s="144">
        <v>8790</v>
      </c>
      <c r="AH11" s="145">
        <f>AG11/AG14</f>
        <v>9.2596494185066575E-2</v>
      </c>
      <c r="AI11" s="144">
        <v>4863</v>
      </c>
      <c r="AJ11" s="145">
        <v>1.5501083768965957E-2</v>
      </c>
      <c r="AK11" s="144">
        <v>36909</v>
      </c>
      <c r="AL11" s="145">
        <v>0.21773551291051424</v>
      </c>
      <c r="AM11" s="144">
        <v>49374</v>
      </c>
      <c r="AN11" s="145">
        <f t="shared" si="0"/>
        <v>0.183706955890834</v>
      </c>
      <c r="AO11" s="144">
        <v>39294</v>
      </c>
      <c r="AP11" s="145">
        <f t="shared" si="1"/>
        <v>0.14620207244246833</v>
      </c>
      <c r="AQ11" s="144">
        <v>15591</v>
      </c>
      <c r="AR11" s="145">
        <f t="shared" si="2"/>
        <v>7.970858895705521E-2</v>
      </c>
      <c r="AS11" s="144">
        <v>6731</v>
      </c>
      <c r="AT11" s="145">
        <f t="shared" si="3"/>
        <v>3.6001583192486253E-2</v>
      </c>
      <c r="AU11" s="144">
        <v>5135</v>
      </c>
      <c r="AV11" s="145">
        <v>2.3496950201108268E-2</v>
      </c>
      <c r="AW11" s="144">
        <v>5832</v>
      </c>
      <c r="AX11" s="145">
        <f t="shared" si="4"/>
        <v>2.9071332436069987E-2</v>
      </c>
      <c r="AY11" s="144">
        <v>4431</v>
      </c>
      <c r="AZ11" s="145">
        <v>2.7815093344716324E-2</v>
      </c>
      <c r="BA11" s="144">
        <v>646</v>
      </c>
      <c r="BB11" s="145">
        <v>4.5741961522938251E-3</v>
      </c>
      <c r="BC11" s="144">
        <f>BA24</f>
        <v>853</v>
      </c>
      <c r="BD11" s="145">
        <f>BC11/BC14</f>
        <v>5.3577373138453226E-3</v>
      </c>
    </row>
    <row r="12" spans="1:60" x14ac:dyDescent="0.25">
      <c r="B12" s="147" t="s">
        <v>68</v>
      </c>
      <c r="C12" s="144">
        <v>23</v>
      </c>
      <c r="D12" s="145">
        <v>4.0000000000000002E-4</v>
      </c>
      <c r="E12" s="144">
        <v>106</v>
      </c>
      <c r="F12" s="145">
        <v>5.0000000000000001E-4</v>
      </c>
      <c r="G12" s="144">
        <v>938</v>
      </c>
      <c r="H12" s="145">
        <v>5.4999999999999997E-3</v>
      </c>
      <c r="I12" s="144">
        <v>90</v>
      </c>
      <c r="J12" s="145">
        <v>6.9999999999999999E-4</v>
      </c>
      <c r="K12" s="144">
        <v>87</v>
      </c>
      <c r="L12" s="145">
        <v>4.0000000000000002E-4</v>
      </c>
      <c r="M12" s="144">
        <v>78</v>
      </c>
      <c r="N12" s="145">
        <v>4.0000000000000002E-4</v>
      </c>
      <c r="O12" s="144">
        <v>436</v>
      </c>
      <c r="P12" s="145">
        <v>3.0000000000000001E-3</v>
      </c>
      <c r="Q12" s="144">
        <v>60</v>
      </c>
      <c r="R12" s="145">
        <v>4.0000000000000002E-4</v>
      </c>
      <c r="S12" s="144">
        <v>87</v>
      </c>
      <c r="T12" s="145">
        <v>5.0000000000000001E-4</v>
      </c>
      <c r="U12" s="144">
        <v>72</v>
      </c>
      <c r="V12" s="145">
        <v>5.0000000000000001E-4</v>
      </c>
      <c r="W12" s="144">
        <v>71</v>
      </c>
      <c r="X12" s="145">
        <v>8.0000000000000004E-4</v>
      </c>
      <c r="Y12" s="144">
        <v>133</v>
      </c>
      <c r="Z12" s="145">
        <v>8.9999999999999998E-4</v>
      </c>
      <c r="AA12" s="144">
        <v>12</v>
      </c>
      <c r="AB12" s="145">
        <v>5.0000000000000001E-4</v>
      </c>
      <c r="AC12" s="144">
        <v>12</v>
      </c>
      <c r="AD12" s="145">
        <v>5.0000000000000001E-4</v>
      </c>
      <c r="AE12" s="144">
        <v>3</v>
      </c>
      <c r="AF12" s="145">
        <v>0</v>
      </c>
      <c r="AG12" s="144">
        <v>0</v>
      </c>
      <c r="AH12" s="145">
        <f>AG12/AG14</f>
        <v>0</v>
      </c>
      <c r="AI12" s="144">
        <v>3</v>
      </c>
      <c r="AJ12" s="145">
        <v>9.5626673466785664E-6</v>
      </c>
      <c r="AK12" s="144">
        <v>0</v>
      </c>
      <c r="AL12" s="145">
        <v>0</v>
      </c>
      <c r="AM12" s="144">
        <v>88</v>
      </c>
      <c r="AN12" s="145">
        <f t="shared" si="0"/>
        <v>3.2742358566033525E-4</v>
      </c>
      <c r="AO12" s="144">
        <v>44</v>
      </c>
      <c r="AP12" s="145">
        <f t="shared" si="1"/>
        <v>1.6371179283016763E-4</v>
      </c>
      <c r="AQ12" s="144">
        <v>10</v>
      </c>
      <c r="AR12" s="145">
        <f t="shared" si="2"/>
        <v>5.1124744376278119E-5</v>
      </c>
      <c r="AS12" s="144">
        <v>25</v>
      </c>
      <c r="AT12" s="145">
        <f t="shared" si="3"/>
        <v>1.3371558160929376E-4</v>
      </c>
      <c r="AU12" s="144">
        <v>1909</v>
      </c>
      <c r="AV12" s="145">
        <v>8.7352829472085083E-3</v>
      </c>
      <c r="AW12" s="144">
        <v>32</v>
      </c>
      <c r="AX12" s="145">
        <f t="shared" si="4"/>
        <v>1.5951348387418374E-4</v>
      </c>
      <c r="AY12" s="144">
        <v>6</v>
      </c>
      <c r="AZ12" s="145">
        <v>3.7664310554795297E-5</v>
      </c>
      <c r="BA12" s="144">
        <v>524</v>
      </c>
      <c r="BB12" s="145">
        <v>3.7103386746160437E-3</v>
      </c>
      <c r="BC12" s="144">
        <f>BA25</f>
        <v>133</v>
      </c>
      <c r="BD12" s="145">
        <f>BC12/BC14</f>
        <v>8.3537990942723092E-4</v>
      </c>
    </row>
    <row r="13" spans="1:60" x14ac:dyDescent="0.25">
      <c r="B13" s="147" t="s">
        <v>69</v>
      </c>
      <c r="C13" s="144">
        <v>3</v>
      </c>
      <c r="D13" s="145">
        <v>0</v>
      </c>
      <c r="E13" s="144">
        <v>12</v>
      </c>
      <c r="F13" s="145">
        <v>0</v>
      </c>
      <c r="G13" s="144">
        <v>107</v>
      </c>
      <c r="H13" s="145">
        <v>5.9999999999999995E-4</v>
      </c>
      <c r="I13" s="144">
        <v>9</v>
      </c>
      <c r="J13" s="145">
        <v>0</v>
      </c>
      <c r="K13" s="144">
        <v>60</v>
      </c>
      <c r="L13" s="145">
        <v>2.9999999999999997E-4</v>
      </c>
      <c r="M13" s="144">
        <v>44</v>
      </c>
      <c r="N13" s="145">
        <v>2.0000000000000001E-4</v>
      </c>
      <c r="O13" s="144">
        <v>71</v>
      </c>
      <c r="P13" s="145">
        <v>5.0000000000000001E-4</v>
      </c>
      <c r="Q13" s="144">
        <v>41</v>
      </c>
      <c r="R13" s="145">
        <v>2.9999999999999997E-4</v>
      </c>
      <c r="S13" s="144">
        <v>44</v>
      </c>
      <c r="T13" s="145">
        <v>2.0000000000000001E-4</v>
      </c>
      <c r="U13" s="144">
        <v>61</v>
      </c>
      <c r="V13" s="145">
        <v>4.0000000000000002E-4</v>
      </c>
      <c r="W13" s="144">
        <v>9</v>
      </c>
      <c r="X13" s="145">
        <v>1E-4</v>
      </c>
      <c r="Y13" s="144">
        <v>24</v>
      </c>
      <c r="Z13" s="145">
        <v>1E-4</v>
      </c>
      <c r="AA13" s="144">
        <v>0</v>
      </c>
      <c r="AB13" s="145">
        <v>0</v>
      </c>
      <c r="AC13" s="144">
        <v>0</v>
      </c>
      <c r="AD13" s="145">
        <v>0</v>
      </c>
      <c r="AE13" s="144">
        <v>18</v>
      </c>
      <c r="AF13" s="145">
        <v>1E-4</v>
      </c>
      <c r="AG13" s="144">
        <v>12</v>
      </c>
      <c r="AH13" s="145">
        <f>AG13/AG14</f>
        <v>1.2641159615708747E-4</v>
      </c>
      <c r="AI13" s="144">
        <v>156863</v>
      </c>
      <c r="AJ13" s="145">
        <v>0.50000956266734664</v>
      </c>
      <c r="AK13" s="144">
        <v>6</v>
      </c>
      <c r="AL13" s="145">
        <v>3.5395515388200314E-5</v>
      </c>
      <c r="AM13" s="144">
        <v>24</v>
      </c>
      <c r="AN13" s="145">
        <f t="shared" si="0"/>
        <v>8.9297341543727798E-5</v>
      </c>
      <c r="AO13" s="144">
        <v>12</v>
      </c>
      <c r="AP13" s="145">
        <f t="shared" si="1"/>
        <v>4.4648670771863899E-5</v>
      </c>
      <c r="AQ13" s="144">
        <v>21</v>
      </c>
      <c r="AR13" s="145">
        <f t="shared" si="2"/>
        <v>1.0736196319018406E-4</v>
      </c>
      <c r="AS13" s="144">
        <v>12</v>
      </c>
      <c r="AT13" s="145">
        <f>AS13/$AS$14</f>
        <v>6.4183479172461006E-5</v>
      </c>
      <c r="AU13" s="144">
        <v>21</v>
      </c>
      <c r="AV13" s="145">
        <v>9.6092688261591749E-5</v>
      </c>
      <c r="AW13" s="144">
        <v>12</v>
      </c>
      <c r="AX13" s="145">
        <f t="shared" si="4"/>
        <v>5.9817556452818902E-5</v>
      </c>
      <c r="AY13" s="144">
        <v>15</v>
      </c>
      <c r="AZ13" s="145">
        <v>9.4160776386988234E-5</v>
      </c>
      <c r="BA13" s="144">
        <v>9</v>
      </c>
      <c r="BB13" s="145">
        <v>6.3727190976229752E-5</v>
      </c>
      <c r="BC13" s="144">
        <f>BA26</f>
        <v>18</v>
      </c>
      <c r="BD13" s="145">
        <f>BC13/BC14</f>
        <v>1.130589351104523E-4</v>
      </c>
    </row>
    <row r="14" spans="1:60" x14ac:dyDescent="0.25">
      <c r="B14" s="147" t="s">
        <v>70</v>
      </c>
      <c r="C14" s="144">
        <v>52636</v>
      </c>
      <c r="D14" s="146">
        <v>1</v>
      </c>
      <c r="E14" s="144">
        <v>181267</v>
      </c>
      <c r="F14" s="146">
        <v>1</v>
      </c>
      <c r="G14" s="144">
        <v>169639</v>
      </c>
      <c r="H14" s="146">
        <v>1</v>
      </c>
      <c r="I14" s="144">
        <v>116799</v>
      </c>
      <c r="J14" s="146">
        <v>1</v>
      </c>
      <c r="K14" s="144">
        <v>174953</v>
      </c>
      <c r="L14" s="146">
        <v>1</v>
      </c>
      <c r="M14" s="144">
        <v>177712</v>
      </c>
      <c r="N14" s="146">
        <v>1</v>
      </c>
      <c r="O14" s="144">
        <v>141608</v>
      </c>
      <c r="P14" s="146">
        <v>1</v>
      </c>
      <c r="Q14" s="144">
        <v>131587</v>
      </c>
      <c r="R14" s="146">
        <v>1</v>
      </c>
      <c r="S14" s="144">
        <v>159639</v>
      </c>
      <c r="T14" s="146">
        <v>1</v>
      </c>
      <c r="U14" s="144">
        <v>127610</v>
      </c>
      <c r="V14" s="146">
        <v>1</v>
      </c>
      <c r="W14" s="144">
        <v>82360</v>
      </c>
      <c r="X14" s="146">
        <v>1</v>
      </c>
      <c r="Y14" s="144">
        <v>133141</v>
      </c>
      <c r="Z14" s="146">
        <v>1</v>
      </c>
      <c r="AA14" s="144">
        <v>23990</v>
      </c>
      <c r="AB14" s="146">
        <v>1</v>
      </c>
      <c r="AC14" s="144">
        <v>23990</v>
      </c>
      <c r="AD14" s="146">
        <v>1</v>
      </c>
      <c r="AE14" s="144">
        <v>147369</v>
      </c>
      <c r="AF14" s="146">
        <v>1</v>
      </c>
      <c r="AG14" s="144">
        <f>SUM(AG9:AG13)</f>
        <v>94928</v>
      </c>
      <c r="AH14" s="146">
        <v>1</v>
      </c>
      <c r="AI14" s="144">
        <v>313720</v>
      </c>
      <c r="AJ14" s="146">
        <v>1</v>
      </c>
      <c r="AK14" s="144">
        <v>169513</v>
      </c>
      <c r="AL14" s="146">
        <v>1</v>
      </c>
      <c r="AM14" s="144">
        <v>268765</v>
      </c>
      <c r="AN14" s="146">
        <f>AM14/AM14</f>
        <v>1</v>
      </c>
      <c r="AO14" s="144">
        <v>286413</v>
      </c>
      <c r="AP14" s="146">
        <f>AO14/AO14</f>
        <v>1</v>
      </c>
      <c r="AQ14" s="144">
        <f>SUM(AQ9:AQ13)</f>
        <v>195600</v>
      </c>
      <c r="AR14" s="146">
        <f>SUM(AR9:AR13)</f>
        <v>1</v>
      </c>
      <c r="AS14" s="144">
        <v>186964</v>
      </c>
      <c r="AT14" s="146">
        <f>SUM(AT9:AT13)</f>
        <v>1</v>
      </c>
      <c r="AU14" s="144">
        <v>218539</v>
      </c>
      <c r="AV14" s="145">
        <v>1</v>
      </c>
      <c r="AW14" s="144">
        <v>200610</v>
      </c>
      <c r="AX14" s="145">
        <f t="shared" si="4"/>
        <v>1</v>
      </c>
      <c r="AY14" s="144">
        <v>159302</v>
      </c>
      <c r="AZ14" s="145">
        <v>1</v>
      </c>
      <c r="BA14" s="144">
        <v>141227</v>
      </c>
      <c r="BB14" s="145">
        <v>1</v>
      </c>
      <c r="BC14" s="144">
        <f>SUM(BC9:BC13)</f>
        <v>159209</v>
      </c>
      <c r="BD14" s="145">
        <f>BC14/BC14</f>
        <v>1</v>
      </c>
    </row>
    <row r="15" spans="1:60" x14ac:dyDescent="0.25">
      <c r="AR15" s="74"/>
      <c r="AS15" s="74"/>
      <c r="AT15" s="74"/>
      <c r="AU15" s="74"/>
      <c r="AV15" s="74"/>
      <c r="AW15" s="74"/>
      <c r="AX15" s="74"/>
      <c r="AY15" s="74"/>
      <c r="AZ15" s="74"/>
      <c r="BA15" s="74"/>
      <c r="BB15" s="74"/>
    </row>
    <row r="16" spans="1:60" x14ac:dyDescent="0.25">
      <c r="AR16" s="74"/>
      <c r="AS16" s="74"/>
      <c r="AT16" s="74"/>
      <c r="AU16" s="74"/>
      <c r="AV16" s="74"/>
      <c r="AW16" s="74"/>
      <c r="AX16" s="74"/>
      <c r="AY16" s="74"/>
      <c r="AZ16" s="74"/>
      <c r="BA16" s="264"/>
      <c r="BB16" s="74"/>
      <c r="BH16" s="138"/>
    </row>
    <row r="17" spans="16:56" x14ac:dyDescent="0.25">
      <c r="AO17" s="74"/>
      <c r="AP17" s="74"/>
      <c r="AQ17" s="74"/>
      <c r="AR17" s="74"/>
      <c r="AS17" s="74"/>
      <c r="AT17" s="262" t="s">
        <v>295</v>
      </c>
      <c r="AX17" s="266"/>
      <c r="BB17" s="74"/>
    </row>
    <row r="18" spans="16:56" x14ac:dyDescent="0.25">
      <c r="P18" s="74"/>
      <c r="Q18" s="74"/>
      <c r="U18"/>
      <c r="V18"/>
      <c r="AO18" s="74"/>
      <c r="AP18" s="74"/>
      <c r="AQ18" s="74"/>
      <c r="AR18" s="74"/>
      <c r="AS18" s="74"/>
      <c r="AT18" s="155" t="s">
        <v>1</v>
      </c>
      <c r="AX18" s="155"/>
      <c r="AY18" s="266"/>
      <c r="BB18" s="74"/>
    </row>
    <row r="19" spans="16:56" ht="15.75" x14ac:dyDescent="0.25">
      <c r="P19" s="74"/>
      <c r="Q19" s="74"/>
      <c r="U19"/>
      <c r="V19"/>
      <c r="AO19" s="74"/>
      <c r="AP19" s="74"/>
      <c r="AQ19" s="74"/>
      <c r="AR19" s="74"/>
      <c r="AS19" s="74"/>
      <c r="AT19" s="155" t="s">
        <v>65</v>
      </c>
      <c r="AX19" s="155"/>
      <c r="AY19" s="399"/>
      <c r="AZ19" s="402"/>
      <c r="BA19" s="402"/>
      <c r="BB19" s="402"/>
    </row>
    <row r="20" spans="16:56" x14ac:dyDescent="0.25">
      <c r="P20" s="74"/>
      <c r="Q20" s="74"/>
      <c r="U20"/>
      <c r="V20"/>
      <c r="AO20" s="74"/>
      <c r="AP20" s="74"/>
      <c r="AQ20" s="74"/>
      <c r="AR20" s="74"/>
      <c r="AS20" s="74"/>
      <c r="AT20" s="155" t="s">
        <v>197</v>
      </c>
      <c r="AX20" s="155"/>
      <c r="AY20" s="399"/>
      <c r="AZ20" s="403"/>
      <c r="BA20" s="403"/>
      <c r="BB20" s="403"/>
    </row>
    <row r="21" spans="16:56" x14ac:dyDescent="0.25">
      <c r="P21" s="74"/>
      <c r="Q21" s="74"/>
      <c r="U21"/>
      <c r="V21"/>
      <c r="AO21" s="74"/>
      <c r="AP21" s="74"/>
      <c r="AQ21" s="74"/>
      <c r="AR21" s="74"/>
      <c r="AS21" s="74"/>
      <c r="AT21" s="155" t="s">
        <v>285</v>
      </c>
      <c r="AX21" s="155"/>
      <c r="AY21" s="399"/>
      <c r="AZ21" s="320"/>
      <c r="BC21" s="399"/>
      <c r="BD21" s="273"/>
    </row>
    <row r="22" spans="16:56" ht="18" x14ac:dyDescent="0.25">
      <c r="P22" s="74"/>
      <c r="Q22" s="74"/>
      <c r="U22"/>
      <c r="V22"/>
      <c r="AO22" s="74"/>
      <c r="AP22" s="74"/>
      <c r="AQ22" s="74"/>
      <c r="AR22" s="74"/>
      <c r="AS22" s="74"/>
      <c r="AT22" s="155" t="s">
        <v>204</v>
      </c>
      <c r="AX22" s="155"/>
      <c r="AY22" s="399"/>
      <c r="AZ22" s="155" t="s">
        <v>1</v>
      </c>
      <c r="BA22" s="267" t="s">
        <v>312</v>
      </c>
      <c r="BB22" s="267" t="s">
        <v>313</v>
      </c>
      <c r="BC22" s="399"/>
      <c r="BD22" s="273"/>
    </row>
    <row r="23" spans="16:56" x14ac:dyDescent="0.25">
      <c r="P23" s="74"/>
      <c r="Q23" s="74"/>
      <c r="U23"/>
      <c r="V23"/>
      <c r="AO23" s="74"/>
      <c r="AP23" s="74"/>
      <c r="AQ23" s="74"/>
      <c r="AR23" s="74"/>
      <c r="AS23" s="74"/>
      <c r="AT23" s="155" t="s">
        <v>296</v>
      </c>
      <c r="AX23" s="155"/>
      <c r="AY23" s="399"/>
      <c r="AZ23" s="155" t="s">
        <v>65</v>
      </c>
      <c r="BA23" s="156">
        <v>158205</v>
      </c>
      <c r="BB23" s="268">
        <v>0.99360000000000004</v>
      </c>
      <c r="BC23" s="399"/>
      <c r="BD23" s="273"/>
    </row>
    <row r="24" spans="16:56" ht="18" x14ac:dyDescent="0.25">
      <c r="P24" s="74"/>
      <c r="Q24" s="74"/>
      <c r="U24"/>
      <c r="V24"/>
      <c r="AD24" s="137"/>
      <c r="AO24" s="74"/>
      <c r="AP24" s="74"/>
      <c r="AQ24" s="74"/>
      <c r="AR24" s="74"/>
      <c r="AS24" s="74"/>
      <c r="AT24" s="155" t="s">
        <v>70</v>
      </c>
      <c r="AU24" s="156"/>
      <c r="AV24" s="157"/>
      <c r="AW24" s="74"/>
      <c r="AX24" s="74"/>
      <c r="AY24" s="399"/>
      <c r="AZ24" s="155" t="s">
        <v>197</v>
      </c>
      <c r="BA24" s="156">
        <v>853</v>
      </c>
      <c r="BB24" s="268">
        <v>5.3E-3</v>
      </c>
      <c r="BC24" s="399"/>
      <c r="BD24" s="273"/>
    </row>
    <row r="25" spans="16:56" ht="18" x14ac:dyDescent="0.25">
      <c r="P25" s="74"/>
      <c r="Q25" s="74"/>
      <c r="U25"/>
      <c r="V25"/>
      <c r="AG25" s="74"/>
      <c r="AH25" s="138"/>
      <c r="AI25" s="74"/>
      <c r="AO25" s="74"/>
      <c r="AP25" s="74"/>
      <c r="AQ25" s="74"/>
      <c r="AR25" s="74"/>
      <c r="AS25" s="74"/>
      <c r="AT25" s="74"/>
      <c r="AU25" s="74"/>
      <c r="AV25" s="74"/>
      <c r="AW25" s="74"/>
      <c r="AX25" s="74"/>
      <c r="AY25" s="399"/>
      <c r="AZ25" s="155" t="s">
        <v>285</v>
      </c>
      <c r="BA25" s="156">
        <v>133</v>
      </c>
      <c r="BB25" s="268">
        <v>8.0000000000000004E-4</v>
      </c>
      <c r="BC25" s="399"/>
      <c r="BD25" s="273"/>
    </row>
    <row r="26" spans="16:56" ht="18" x14ac:dyDescent="0.25">
      <c r="P26" s="74"/>
      <c r="Q26" s="74"/>
      <c r="U26"/>
      <c r="V26"/>
      <c r="AR26" s="74"/>
      <c r="AS26" s="74"/>
      <c r="AT26" s="74"/>
      <c r="AU26" s="74"/>
      <c r="AV26" s="74"/>
      <c r="AW26" s="74"/>
      <c r="AX26" s="74"/>
      <c r="AY26" s="399"/>
      <c r="AZ26" s="155" t="s">
        <v>204</v>
      </c>
      <c r="BA26" s="156">
        <v>18</v>
      </c>
      <c r="BB26" s="268">
        <v>1E-4</v>
      </c>
      <c r="BC26" s="399"/>
      <c r="BD26" s="273"/>
    </row>
    <row r="27" spans="16:56" x14ac:dyDescent="0.25">
      <c r="AB27" s="74"/>
      <c r="AC27" s="138"/>
      <c r="AD27" s="74"/>
      <c r="AT27" s="74"/>
      <c r="AU27" s="74"/>
      <c r="AV27" s="74"/>
      <c r="AZ27" s="155" t="s">
        <v>70</v>
      </c>
      <c r="BA27" s="156">
        <v>159209</v>
      </c>
      <c r="BB27" s="157">
        <v>1</v>
      </c>
      <c r="BC27" s="399"/>
      <c r="BD27" s="273"/>
    </row>
    <row r="28" spans="16:56" x14ac:dyDescent="0.25">
      <c r="AB28" s="74"/>
      <c r="AC28" s="74"/>
      <c r="AD28" s="138"/>
      <c r="AT28" s="74"/>
      <c r="AU28" s="74"/>
      <c r="AV28" s="74"/>
      <c r="AZ28" s="399"/>
      <c r="BA28" s="399"/>
      <c r="BB28" s="399"/>
      <c r="BC28" s="399"/>
      <c r="BD28" s="399"/>
    </row>
    <row r="29" spans="16:56" x14ac:dyDescent="0.25">
      <c r="AB29" s="74"/>
      <c r="AC29" s="74"/>
      <c r="AD29" s="138"/>
      <c r="AT29" s="74"/>
      <c r="AU29" s="74"/>
      <c r="AV29" s="74"/>
    </row>
    <row r="30" spans="16:56" x14ac:dyDescent="0.25">
      <c r="AB30" s="74"/>
      <c r="AC30" s="74"/>
      <c r="AD30" s="138"/>
      <c r="AT30" s="74"/>
      <c r="AU30" s="74"/>
      <c r="AV30" s="74"/>
    </row>
    <row r="31" spans="16:56" x14ac:dyDescent="0.25">
      <c r="AB31" s="74"/>
      <c r="AC31" s="74"/>
      <c r="AD31" s="139"/>
      <c r="AT31" s="74"/>
      <c r="AU31" s="74"/>
      <c r="AV31" s="74"/>
    </row>
  </sheetData>
  <mergeCells count="32">
    <mergeCell ref="AZ19:BB19"/>
    <mergeCell ref="AZ20:BB20"/>
    <mergeCell ref="AY19:AY26"/>
    <mergeCell ref="BA7:BB7"/>
    <mergeCell ref="AY7:AZ7"/>
    <mergeCell ref="AU7:AV7"/>
    <mergeCell ref="C7:D7"/>
    <mergeCell ref="E7:F7"/>
    <mergeCell ref="G7:H7"/>
    <mergeCell ref="I7:J7"/>
    <mergeCell ref="K7:L7"/>
    <mergeCell ref="AO7:AP7"/>
    <mergeCell ref="W7:X7"/>
    <mergeCell ref="AG7:AH7"/>
    <mergeCell ref="AM7:AN7"/>
    <mergeCell ref="AQ7:AR7"/>
    <mergeCell ref="BC21:BC27"/>
    <mergeCell ref="AZ28:BD28"/>
    <mergeCell ref="BC7:BD7"/>
    <mergeCell ref="M7:N7"/>
    <mergeCell ref="AK7:AL7"/>
    <mergeCell ref="U7:V7"/>
    <mergeCell ref="S7:T7"/>
    <mergeCell ref="Q7:R7"/>
    <mergeCell ref="O7:P7"/>
    <mergeCell ref="AC7:AD7"/>
    <mergeCell ref="AA7:AB7"/>
    <mergeCell ref="Y7:Z7"/>
    <mergeCell ref="AI7:AJ7"/>
    <mergeCell ref="AE7:AF7"/>
    <mergeCell ref="AS7:AT7"/>
    <mergeCell ref="AW7:AX7"/>
  </mergeCells>
  <hyperlinks>
    <hyperlink ref="B4" r:id="rId1" xr:uid="{00000000-0004-0000-0B00-000000000000}"/>
  </hyperlinks>
  <pageMargins left="0.7" right="0.7" top="0.75" bottom="0.75" header="0.3" footer="0.3"/>
  <pageSetup orientation="portrait" r:id="rId2"/>
  <drawing r:id="rId3"/>
  <legacyDrawing r:id="rId4"/>
  <controls>
    <mc:AlternateContent xmlns:mc="http://schemas.openxmlformats.org/markup-compatibility/2006">
      <mc:Choice Requires="x14">
        <control shapeId="22529" r:id="rId5" name="bStartHere_back9">
          <controlPr defaultSize="0" autoLine="0" r:id="rId6">
            <anchor moveWithCells="1">
              <from>
                <xdr:col>0</xdr:col>
                <xdr:colOff>66675</xdr:colOff>
                <xdr:row>0</xdr:row>
                <xdr:rowOff>85725</xdr:rowOff>
              </from>
              <to>
                <xdr:col>0</xdr:col>
                <xdr:colOff>1152525</xdr:colOff>
                <xdr:row>3</xdr:row>
                <xdr:rowOff>142875</xdr:rowOff>
              </to>
            </anchor>
          </controlPr>
        </control>
      </mc:Choice>
      <mc:Fallback>
        <control shapeId="22529" r:id="rId5" name="bStartHere_back9"/>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00B050"/>
  </sheetPr>
  <dimension ref="C1:V1688"/>
  <sheetViews>
    <sheetView topLeftCell="A10" zoomScaleNormal="100" workbookViewId="0">
      <selection activeCell="I27" sqref="I27"/>
    </sheetView>
  </sheetViews>
  <sheetFormatPr defaultColWidth="12.28515625" defaultRowHeight="15" x14ac:dyDescent="0.25"/>
  <cols>
    <col min="1" max="1" width="13.5703125" style="74" customWidth="1"/>
    <col min="2" max="2" width="10.5703125" style="74" customWidth="1"/>
    <col min="3" max="3" width="14.85546875" style="74" customWidth="1"/>
    <col min="4" max="5" width="14.28515625" style="74" customWidth="1"/>
    <col min="6" max="6" width="13.140625" style="74" customWidth="1"/>
    <col min="7" max="7" width="19.7109375" style="74" customWidth="1"/>
    <col min="8" max="8" width="18.28515625" style="74" customWidth="1"/>
    <col min="9" max="9" width="45.28515625" style="74" bestFit="1" customWidth="1"/>
    <col min="10" max="10" width="17" style="74" customWidth="1"/>
    <col min="11" max="11" width="12.28515625" style="74"/>
    <col min="12" max="12" width="14.140625" style="74" customWidth="1"/>
    <col min="13" max="13" width="16.28515625" style="74" customWidth="1"/>
    <col min="14" max="14" width="20.7109375" style="74" customWidth="1"/>
    <col min="15" max="15" width="17.28515625" style="74" customWidth="1"/>
    <col min="16" max="16" width="16.140625" style="74" customWidth="1"/>
    <col min="17" max="17" width="12.28515625" style="74"/>
    <col min="18" max="19" width="15.28515625" style="74" customWidth="1"/>
    <col min="20" max="20" width="20.5703125" style="74" customWidth="1"/>
    <col min="21" max="21" width="17.28515625" style="74" customWidth="1"/>
    <col min="22" max="16384" width="12.28515625" style="74"/>
  </cols>
  <sheetData>
    <row r="1" spans="3:22" s="220" customFormat="1" ht="58.9" customHeight="1" x14ac:dyDescent="0.25"/>
    <row r="2" spans="3:22" ht="15" customHeight="1" x14ac:dyDescent="0.25">
      <c r="F2" s="135"/>
    </row>
    <row r="3" spans="3:22" x14ac:dyDescent="0.25">
      <c r="C3" s="259" t="s">
        <v>21318</v>
      </c>
      <c r="D3" s="74" t="s">
        <v>21319</v>
      </c>
      <c r="E3" s="74" t="s">
        <v>21320</v>
      </c>
      <c r="F3" s="74" t="s">
        <v>21321</v>
      </c>
      <c r="G3" s="74" t="s">
        <v>21322</v>
      </c>
      <c r="H3" s="74" t="s">
        <v>21323</v>
      </c>
      <c r="I3" s="74" t="s">
        <v>21324</v>
      </c>
      <c r="J3" s="74" t="s">
        <v>21325</v>
      </c>
      <c r="K3" s="74" t="s">
        <v>21326</v>
      </c>
      <c r="L3" s="74" t="s">
        <v>21327</v>
      </c>
      <c r="M3" s="74" t="s">
        <v>21328</v>
      </c>
      <c r="N3" s="74" t="s">
        <v>21329</v>
      </c>
      <c r="O3" s="74" t="s">
        <v>21330</v>
      </c>
      <c r="P3" s="74" t="s">
        <v>21331</v>
      </c>
      <c r="Q3" s="74" t="s">
        <v>21332</v>
      </c>
      <c r="R3" s="74" t="s">
        <v>21333</v>
      </c>
      <c r="S3" s="74" t="s">
        <v>21334</v>
      </c>
      <c r="T3" s="74" t="s">
        <v>21335</v>
      </c>
      <c r="U3" s="74" t="s">
        <v>21336</v>
      </c>
      <c r="V3" s="74" t="s">
        <v>21337</v>
      </c>
    </row>
    <row r="4" spans="3:22" x14ac:dyDescent="0.25">
      <c r="C4" s="74" t="s">
        <v>18795</v>
      </c>
      <c r="D4" s="74" t="s">
        <v>148</v>
      </c>
      <c r="E4" s="74" t="s">
        <v>21338</v>
      </c>
      <c r="F4" s="74">
        <v>551367</v>
      </c>
      <c r="G4" s="74">
        <v>1000</v>
      </c>
      <c r="H4" s="135">
        <v>43008.670173611114</v>
      </c>
      <c r="I4" s="74" t="s">
        <v>21339</v>
      </c>
      <c r="J4" s="74" t="s">
        <v>21340</v>
      </c>
      <c r="K4" s="74" t="s">
        <v>1207</v>
      </c>
      <c r="L4" s="74">
        <v>551806</v>
      </c>
      <c r="M4" s="74" t="s">
        <v>21341</v>
      </c>
      <c r="N4" s="74">
        <v>1</v>
      </c>
      <c r="O4" s="74" t="s">
        <v>21342</v>
      </c>
      <c r="P4" s="74" t="s">
        <v>21343</v>
      </c>
      <c r="Q4" s="74">
        <v>0</v>
      </c>
      <c r="R4" s="74" t="s">
        <v>148</v>
      </c>
      <c r="S4" s="74" t="s">
        <v>21338</v>
      </c>
      <c r="T4" s="74" t="s">
        <v>402</v>
      </c>
      <c r="U4" s="74">
        <v>0</v>
      </c>
      <c r="V4" s="74">
        <v>0</v>
      </c>
    </row>
    <row r="5" spans="3:22" x14ac:dyDescent="0.25">
      <c r="C5" s="74" t="s">
        <v>18795</v>
      </c>
      <c r="D5" s="74" t="s">
        <v>148</v>
      </c>
      <c r="E5" s="74" t="s">
        <v>21338</v>
      </c>
      <c r="F5" s="74">
        <v>551367</v>
      </c>
      <c r="G5" s="74">
        <v>1000</v>
      </c>
      <c r="H5" s="135">
        <v>43008.610462962963</v>
      </c>
      <c r="I5" s="74" t="s">
        <v>21339</v>
      </c>
      <c r="J5" s="74" t="s">
        <v>21340</v>
      </c>
      <c r="K5" s="74" t="s">
        <v>7874</v>
      </c>
      <c r="L5" s="74">
        <v>552646</v>
      </c>
      <c r="M5" s="74" t="s">
        <v>21341</v>
      </c>
      <c r="N5" s="74">
        <v>1</v>
      </c>
      <c r="O5" s="74" t="s">
        <v>21342</v>
      </c>
      <c r="P5" s="74" t="s">
        <v>21343</v>
      </c>
      <c r="Q5" s="74">
        <v>0</v>
      </c>
      <c r="R5" s="74" t="s">
        <v>148</v>
      </c>
      <c r="S5" s="74" t="s">
        <v>21338</v>
      </c>
      <c r="T5" s="74" t="s">
        <v>402</v>
      </c>
      <c r="U5" s="74">
        <v>0</v>
      </c>
      <c r="V5" s="74">
        <v>0</v>
      </c>
    </row>
    <row r="6" spans="3:22" x14ac:dyDescent="0.25">
      <c r="C6" s="74" t="s">
        <v>18795</v>
      </c>
      <c r="D6" s="74" t="s">
        <v>148</v>
      </c>
      <c r="E6" s="74" t="s">
        <v>21338</v>
      </c>
      <c r="F6" s="74">
        <v>551367</v>
      </c>
      <c r="G6" s="74">
        <v>1000</v>
      </c>
      <c r="H6" s="135">
        <v>43008.080960648149</v>
      </c>
      <c r="I6" s="74" t="s">
        <v>21339</v>
      </c>
      <c r="J6" s="74" t="s">
        <v>21340</v>
      </c>
      <c r="K6" s="74" t="s">
        <v>16769</v>
      </c>
      <c r="L6" s="74">
        <v>551370</v>
      </c>
      <c r="M6" s="74" t="s">
        <v>21341</v>
      </c>
      <c r="N6" s="74">
        <v>1</v>
      </c>
      <c r="O6" s="74" t="s">
        <v>21342</v>
      </c>
      <c r="P6" s="74" t="s">
        <v>21343</v>
      </c>
      <c r="Q6" s="74">
        <v>0</v>
      </c>
      <c r="R6" s="74" t="s">
        <v>148</v>
      </c>
      <c r="S6" s="74" t="s">
        <v>21338</v>
      </c>
      <c r="T6" s="74" t="s">
        <v>402</v>
      </c>
      <c r="U6" s="74">
        <v>0</v>
      </c>
      <c r="V6" s="74">
        <v>0</v>
      </c>
    </row>
    <row r="7" spans="3:22" x14ac:dyDescent="0.25">
      <c r="C7" s="74" t="s">
        <v>21347</v>
      </c>
      <c r="D7" s="74" t="s">
        <v>148</v>
      </c>
      <c r="E7" s="74" t="s">
        <v>21338</v>
      </c>
      <c r="F7" s="74">
        <v>637976</v>
      </c>
      <c r="G7" s="74">
        <v>1</v>
      </c>
      <c r="H7" s="135">
        <v>43007.770810185182</v>
      </c>
      <c r="I7" s="74" t="s">
        <v>21348</v>
      </c>
      <c r="J7" s="74" t="s">
        <v>21349</v>
      </c>
      <c r="K7" s="74" t="s">
        <v>21347</v>
      </c>
      <c r="L7" s="74">
        <v>637976</v>
      </c>
      <c r="M7" s="74" t="s">
        <v>21341</v>
      </c>
      <c r="N7" s="74">
        <v>0</v>
      </c>
      <c r="O7" s="74" t="s">
        <v>21350</v>
      </c>
      <c r="P7" s="74" t="s">
        <v>21343</v>
      </c>
      <c r="Q7" s="74">
        <v>0</v>
      </c>
      <c r="R7" s="74" t="s">
        <v>148</v>
      </c>
      <c r="S7" s="74" t="s">
        <v>21338</v>
      </c>
      <c r="T7" s="74" t="s">
        <v>402</v>
      </c>
      <c r="U7" s="74">
        <v>0</v>
      </c>
      <c r="V7" s="74">
        <v>0</v>
      </c>
    </row>
    <row r="8" spans="3:22" x14ac:dyDescent="0.25">
      <c r="C8" s="74" t="s">
        <v>21347</v>
      </c>
      <c r="D8" s="74" t="s">
        <v>148</v>
      </c>
      <c r="E8" s="74" t="s">
        <v>21338</v>
      </c>
      <c r="F8" s="74">
        <v>637976</v>
      </c>
      <c r="G8" s="74">
        <v>1</v>
      </c>
      <c r="H8" s="135">
        <v>43007.770810185182</v>
      </c>
      <c r="I8" s="74" t="s">
        <v>244</v>
      </c>
      <c r="J8" s="74" t="s">
        <v>21349</v>
      </c>
      <c r="K8" s="74" t="s">
        <v>21347</v>
      </c>
      <c r="L8" s="74">
        <v>637976</v>
      </c>
      <c r="M8" s="74" t="s">
        <v>21341</v>
      </c>
      <c r="N8" s="74">
        <v>0</v>
      </c>
      <c r="O8" s="74" t="s">
        <v>21350</v>
      </c>
      <c r="P8" s="74" t="s">
        <v>21343</v>
      </c>
      <c r="Q8" s="74">
        <v>0</v>
      </c>
      <c r="R8" s="74" t="s">
        <v>148</v>
      </c>
      <c r="S8" s="74" t="s">
        <v>21338</v>
      </c>
      <c r="T8" s="74" t="s">
        <v>402</v>
      </c>
      <c r="U8" s="74">
        <v>0</v>
      </c>
      <c r="V8" s="74">
        <v>0</v>
      </c>
    </row>
    <row r="9" spans="3:22" x14ac:dyDescent="0.25">
      <c r="C9" s="74" t="s">
        <v>18795</v>
      </c>
      <c r="D9" s="74" t="s">
        <v>148</v>
      </c>
      <c r="E9" s="74" t="s">
        <v>21338</v>
      </c>
      <c r="F9" s="74">
        <v>551367</v>
      </c>
      <c r="G9" s="74">
        <v>1000</v>
      </c>
      <c r="H9" s="135">
        <v>43007.739120370374</v>
      </c>
      <c r="I9" s="74" t="s">
        <v>21339</v>
      </c>
      <c r="J9" s="74" t="s">
        <v>21340</v>
      </c>
      <c r="K9" s="74" t="s">
        <v>5100</v>
      </c>
      <c r="L9" s="74">
        <v>552278</v>
      </c>
      <c r="M9" s="74" t="s">
        <v>21341</v>
      </c>
      <c r="N9" s="74">
        <v>1</v>
      </c>
      <c r="O9" s="74" t="s">
        <v>21342</v>
      </c>
      <c r="P9" s="74" t="s">
        <v>21343</v>
      </c>
      <c r="Q9" s="74">
        <v>0</v>
      </c>
      <c r="R9" s="74" t="s">
        <v>148</v>
      </c>
      <c r="S9" s="74" t="s">
        <v>21338</v>
      </c>
      <c r="T9" s="74" t="s">
        <v>402</v>
      </c>
      <c r="U9" s="74">
        <v>0</v>
      </c>
      <c r="V9" s="74">
        <v>0</v>
      </c>
    </row>
    <row r="10" spans="3:22" x14ac:dyDescent="0.25">
      <c r="C10" s="74" t="s">
        <v>18795</v>
      </c>
      <c r="D10" s="74" t="s">
        <v>148</v>
      </c>
      <c r="E10" s="74" t="s">
        <v>21338</v>
      </c>
      <c r="F10" s="74">
        <v>551367</v>
      </c>
      <c r="G10" s="74">
        <v>1000</v>
      </c>
      <c r="H10" s="135">
        <v>43007.680833333332</v>
      </c>
      <c r="I10" s="74" t="s">
        <v>21339</v>
      </c>
      <c r="J10" s="74" t="s">
        <v>21340</v>
      </c>
      <c r="K10" s="74" t="s">
        <v>2444</v>
      </c>
      <c r="L10" s="74">
        <v>551970</v>
      </c>
      <c r="M10" s="74" t="s">
        <v>21341</v>
      </c>
      <c r="N10" s="74">
        <v>1</v>
      </c>
      <c r="O10" s="74" t="s">
        <v>21342</v>
      </c>
      <c r="P10" s="74" t="s">
        <v>21343</v>
      </c>
      <c r="Q10" s="74">
        <v>0</v>
      </c>
      <c r="R10" s="74" t="s">
        <v>148</v>
      </c>
      <c r="S10" s="74" t="s">
        <v>21338</v>
      </c>
      <c r="T10" s="74" t="s">
        <v>402</v>
      </c>
      <c r="U10" s="74">
        <v>0</v>
      </c>
      <c r="V10" s="74">
        <v>0</v>
      </c>
    </row>
    <row r="11" spans="3:22" x14ac:dyDescent="0.25">
      <c r="C11" s="74" t="s">
        <v>18795</v>
      </c>
      <c r="D11" s="74" t="s">
        <v>148</v>
      </c>
      <c r="E11" s="74" t="s">
        <v>21338</v>
      </c>
      <c r="F11" s="74">
        <v>551367</v>
      </c>
      <c r="G11" s="74">
        <v>1000</v>
      </c>
      <c r="H11" s="135">
        <v>43007.680694444447</v>
      </c>
      <c r="I11" s="74" t="s">
        <v>21339</v>
      </c>
      <c r="J11" s="74" t="s">
        <v>21340</v>
      </c>
      <c r="K11" s="74" t="s">
        <v>18262</v>
      </c>
      <c r="L11" s="74">
        <v>553971</v>
      </c>
      <c r="M11" s="74" t="s">
        <v>21341</v>
      </c>
      <c r="N11" s="74">
        <v>1</v>
      </c>
      <c r="O11" s="74" t="s">
        <v>21342</v>
      </c>
      <c r="P11" s="74" t="s">
        <v>21343</v>
      </c>
      <c r="Q11" s="74">
        <v>0</v>
      </c>
      <c r="R11" s="74" t="s">
        <v>148</v>
      </c>
      <c r="S11" s="74" t="s">
        <v>21338</v>
      </c>
      <c r="T11" s="74" t="s">
        <v>402</v>
      </c>
      <c r="U11" s="74">
        <v>0</v>
      </c>
      <c r="V11" s="74">
        <v>0</v>
      </c>
    </row>
    <row r="12" spans="3:22" x14ac:dyDescent="0.25">
      <c r="C12" s="74" t="s">
        <v>18795</v>
      </c>
      <c r="D12" s="74" t="s">
        <v>148</v>
      </c>
      <c r="E12" s="74" t="s">
        <v>21338</v>
      </c>
      <c r="F12" s="74">
        <v>551367</v>
      </c>
      <c r="G12" s="74">
        <v>1000</v>
      </c>
      <c r="H12" s="135">
        <v>43007.633726851855</v>
      </c>
      <c r="I12" s="74" t="s">
        <v>21339</v>
      </c>
      <c r="J12" s="74" t="s">
        <v>21340</v>
      </c>
      <c r="K12" s="74" t="s">
        <v>21352</v>
      </c>
      <c r="L12" s="74">
        <v>560373</v>
      </c>
      <c r="M12" s="74" t="s">
        <v>21341</v>
      </c>
      <c r="N12" s="74">
        <v>1</v>
      </c>
      <c r="O12" s="74" t="s">
        <v>21342</v>
      </c>
      <c r="P12" s="74" t="s">
        <v>21343</v>
      </c>
      <c r="Q12" s="74">
        <v>0</v>
      </c>
      <c r="R12" s="74" t="s">
        <v>148</v>
      </c>
      <c r="S12" s="74" t="s">
        <v>21338</v>
      </c>
      <c r="T12" s="74" t="s">
        <v>393</v>
      </c>
      <c r="U12" s="74">
        <v>0</v>
      </c>
      <c r="V12" s="74">
        <v>0</v>
      </c>
    </row>
    <row r="13" spans="3:22" x14ac:dyDescent="0.25">
      <c r="C13" s="74" t="s">
        <v>18795</v>
      </c>
      <c r="D13" s="74" t="s">
        <v>148</v>
      </c>
      <c r="E13" s="74" t="s">
        <v>21338</v>
      </c>
      <c r="F13" s="74">
        <v>551367</v>
      </c>
      <c r="G13" s="74">
        <v>1000</v>
      </c>
      <c r="H13" s="135">
        <v>43007.609618055554</v>
      </c>
      <c r="I13" s="74" t="s">
        <v>21339</v>
      </c>
      <c r="J13" s="74" t="s">
        <v>21340</v>
      </c>
      <c r="K13" s="74" t="s">
        <v>6165</v>
      </c>
      <c r="L13" s="74">
        <v>910536</v>
      </c>
      <c r="M13" s="74" t="s">
        <v>21341</v>
      </c>
      <c r="N13" s="74">
        <v>1</v>
      </c>
      <c r="O13" s="74" t="s">
        <v>21342</v>
      </c>
      <c r="P13" s="74" t="s">
        <v>21343</v>
      </c>
      <c r="Q13" s="74">
        <v>0</v>
      </c>
      <c r="R13" s="74" t="s">
        <v>148</v>
      </c>
      <c r="S13" s="74" t="s">
        <v>21338</v>
      </c>
      <c r="T13" s="74" t="s">
        <v>402</v>
      </c>
      <c r="U13" s="74">
        <v>0</v>
      </c>
      <c r="V13" s="74">
        <v>0</v>
      </c>
    </row>
    <row r="14" spans="3:22" x14ac:dyDescent="0.25">
      <c r="C14" s="74" t="s">
        <v>18795</v>
      </c>
      <c r="D14" s="74" t="s">
        <v>148</v>
      </c>
      <c r="E14" s="74" t="s">
        <v>21338</v>
      </c>
      <c r="F14" s="74">
        <v>551367</v>
      </c>
      <c r="G14" s="74">
        <v>1000</v>
      </c>
      <c r="H14" s="135">
        <v>43007.594722222224</v>
      </c>
      <c r="I14" s="74" t="s">
        <v>21339</v>
      </c>
      <c r="J14" s="74" t="s">
        <v>21340</v>
      </c>
      <c r="K14" s="74" t="s">
        <v>11770</v>
      </c>
      <c r="L14" s="74">
        <v>842848</v>
      </c>
      <c r="M14" s="74" t="s">
        <v>21341</v>
      </c>
      <c r="N14" s="74">
        <v>1</v>
      </c>
      <c r="O14" s="74" t="s">
        <v>21342</v>
      </c>
      <c r="P14" s="74" t="s">
        <v>21343</v>
      </c>
      <c r="Q14" s="74">
        <v>0</v>
      </c>
      <c r="R14" s="74" t="s">
        <v>148</v>
      </c>
      <c r="S14" s="74" t="s">
        <v>21338</v>
      </c>
      <c r="T14" s="74" t="s">
        <v>402</v>
      </c>
      <c r="U14" s="74">
        <v>0</v>
      </c>
      <c r="V14" s="74">
        <v>0</v>
      </c>
    </row>
    <row r="15" spans="3:22" x14ac:dyDescent="0.25">
      <c r="C15" s="74" t="s">
        <v>533</v>
      </c>
      <c r="D15" s="74" t="s">
        <v>148</v>
      </c>
      <c r="E15" s="74" t="s">
        <v>21338</v>
      </c>
      <c r="F15" s="74">
        <v>627566</v>
      </c>
      <c r="G15" s="74">
        <v>3</v>
      </c>
      <c r="H15" s="135">
        <v>43007.584629629629</v>
      </c>
      <c r="I15" s="74" t="s">
        <v>21354</v>
      </c>
      <c r="J15" s="74" t="s">
        <v>21355</v>
      </c>
      <c r="K15" s="74" t="s">
        <v>8394</v>
      </c>
      <c r="L15" s="74">
        <v>552714</v>
      </c>
      <c r="M15" s="74" t="s">
        <v>21341</v>
      </c>
      <c r="N15" s="74">
        <v>1</v>
      </c>
      <c r="O15" s="74" t="s">
        <v>21342</v>
      </c>
      <c r="P15" s="74" t="s">
        <v>21345</v>
      </c>
      <c r="R15" s="74" t="s">
        <v>148</v>
      </c>
      <c r="S15" s="74" t="s">
        <v>21338</v>
      </c>
      <c r="T15" s="74" t="s">
        <v>402</v>
      </c>
      <c r="U15" s="74">
        <v>0</v>
      </c>
      <c r="V15" s="74">
        <v>0</v>
      </c>
    </row>
    <row r="16" spans="3:22" x14ac:dyDescent="0.25">
      <c r="C16" s="74" t="s">
        <v>533</v>
      </c>
      <c r="D16" s="74" t="s">
        <v>148</v>
      </c>
      <c r="E16" s="74" t="s">
        <v>21338</v>
      </c>
      <c r="F16" s="74">
        <v>627566</v>
      </c>
      <c r="G16" s="74">
        <v>3</v>
      </c>
      <c r="H16" s="135">
        <v>43007.583854166667</v>
      </c>
      <c r="I16" s="74" t="s">
        <v>21354</v>
      </c>
      <c r="J16" s="74" t="s">
        <v>21355</v>
      </c>
      <c r="K16" s="74" t="s">
        <v>8394</v>
      </c>
      <c r="L16" s="74">
        <v>552714</v>
      </c>
      <c r="M16" s="74" t="s">
        <v>21341</v>
      </c>
      <c r="N16" s="74">
        <v>1</v>
      </c>
      <c r="O16" s="74" t="s">
        <v>21342</v>
      </c>
      <c r="P16" s="74" t="s">
        <v>21345</v>
      </c>
      <c r="R16" s="74" t="s">
        <v>148</v>
      </c>
      <c r="S16" s="74" t="s">
        <v>21338</v>
      </c>
      <c r="T16" s="74" t="s">
        <v>402</v>
      </c>
      <c r="U16" s="74">
        <v>0</v>
      </c>
      <c r="V16" s="74">
        <v>0</v>
      </c>
    </row>
    <row r="17" spans="3:22" x14ac:dyDescent="0.25">
      <c r="C17" s="74" t="s">
        <v>18795</v>
      </c>
      <c r="D17" s="74" t="s">
        <v>148</v>
      </c>
      <c r="E17" s="74" t="s">
        <v>21338</v>
      </c>
      <c r="F17" s="74">
        <v>551367</v>
      </c>
      <c r="G17" s="74">
        <v>1000</v>
      </c>
      <c r="H17" s="135">
        <v>43007.562824074077</v>
      </c>
      <c r="I17" s="74" t="s">
        <v>21339</v>
      </c>
      <c r="J17" s="74" t="s">
        <v>21340</v>
      </c>
      <c r="K17" s="74" t="s">
        <v>3628</v>
      </c>
      <c r="L17" s="74">
        <v>552116</v>
      </c>
      <c r="M17" s="74" t="s">
        <v>21341</v>
      </c>
      <c r="N17" s="74">
        <v>1</v>
      </c>
      <c r="O17" s="74" t="s">
        <v>21342</v>
      </c>
      <c r="P17" s="74" t="s">
        <v>21343</v>
      </c>
      <c r="Q17" s="74">
        <v>0</v>
      </c>
      <c r="R17" s="74" t="s">
        <v>148</v>
      </c>
      <c r="S17" s="74" t="s">
        <v>21338</v>
      </c>
      <c r="T17" s="74" t="s">
        <v>402</v>
      </c>
      <c r="U17" s="74">
        <v>0</v>
      </c>
      <c r="V17" s="74">
        <v>0</v>
      </c>
    </row>
    <row r="18" spans="3:22" x14ac:dyDescent="0.25">
      <c r="C18" s="74" t="s">
        <v>18795</v>
      </c>
      <c r="D18" s="74" t="s">
        <v>148</v>
      </c>
      <c r="E18" s="74" t="s">
        <v>21338</v>
      </c>
      <c r="F18" s="74">
        <v>551367</v>
      </c>
      <c r="G18" s="74">
        <v>1000</v>
      </c>
      <c r="H18" s="135">
        <v>43007.561388888891</v>
      </c>
      <c r="I18" s="74" t="s">
        <v>21339</v>
      </c>
      <c r="J18" s="74" t="s">
        <v>21340</v>
      </c>
      <c r="K18" s="74" t="s">
        <v>3565</v>
      </c>
      <c r="L18" s="74">
        <v>910662</v>
      </c>
      <c r="M18" s="74" t="s">
        <v>21341</v>
      </c>
      <c r="N18" s="74">
        <v>1</v>
      </c>
      <c r="O18" s="74" t="s">
        <v>21342</v>
      </c>
      <c r="P18" s="74" t="s">
        <v>21343</v>
      </c>
      <c r="Q18" s="74">
        <v>0</v>
      </c>
      <c r="R18" s="74" t="s">
        <v>148</v>
      </c>
      <c r="S18" s="74" t="s">
        <v>21338</v>
      </c>
      <c r="T18" s="74" t="s">
        <v>402</v>
      </c>
      <c r="U18" s="74">
        <v>0</v>
      </c>
      <c r="V18" s="74">
        <v>0</v>
      </c>
    </row>
    <row r="19" spans="3:22" x14ac:dyDescent="0.25">
      <c r="C19" s="74" t="s">
        <v>21353</v>
      </c>
      <c r="D19" s="74" t="s">
        <v>148</v>
      </c>
      <c r="E19" s="74" t="s">
        <v>21338</v>
      </c>
      <c r="F19" s="74">
        <v>560946</v>
      </c>
      <c r="G19" s="74">
        <v>3</v>
      </c>
      <c r="H19" s="135">
        <v>43007.556157407409</v>
      </c>
      <c r="I19" s="74" t="s">
        <v>21354</v>
      </c>
      <c r="J19" s="74" t="s">
        <v>21355</v>
      </c>
      <c r="K19" s="74" t="s">
        <v>13276</v>
      </c>
      <c r="L19" s="74">
        <v>553332</v>
      </c>
      <c r="M19" s="74" t="s">
        <v>21341</v>
      </c>
      <c r="N19" s="74">
        <v>1</v>
      </c>
      <c r="O19" s="74" t="s">
        <v>21342</v>
      </c>
      <c r="P19" s="74" t="s">
        <v>21345</v>
      </c>
      <c r="R19" s="74" t="s">
        <v>148</v>
      </c>
      <c r="S19" s="74" t="s">
        <v>21338</v>
      </c>
      <c r="T19" s="74" t="s">
        <v>402</v>
      </c>
      <c r="U19" s="74">
        <v>0</v>
      </c>
      <c r="V19" s="74">
        <v>0</v>
      </c>
    </row>
    <row r="20" spans="3:22" x14ac:dyDescent="0.25">
      <c r="C20" s="74" t="s">
        <v>18795</v>
      </c>
      <c r="D20" s="74" t="s">
        <v>148</v>
      </c>
      <c r="E20" s="74" t="s">
        <v>21338</v>
      </c>
      <c r="F20" s="74">
        <v>551367</v>
      </c>
      <c r="G20" s="74">
        <v>1000</v>
      </c>
      <c r="H20" s="135">
        <v>43007.55300925926</v>
      </c>
      <c r="I20" s="74" t="s">
        <v>21339</v>
      </c>
      <c r="J20" s="74" t="s">
        <v>21340</v>
      </c>
      <c r="K20" s="74" t="s">
        <v>3628</v>
      </c>
      <c r="L20" s="74">
        <v>552116</v>
      </c>
      <c r="M20" s="74" t="s">
        <v>21341</v>
      </c>
      <c r="N20" s="74">
        <v>1</v>
      </c>
      <c r="O20" s="74" t="s">
        <v>21342</v>
      </c>
      <c r="P20" s="74" t="s">
        <v>21343</v>
      </c>
      <c r="Q20" s="74">
        <v>0</v>
      </c>
      <c r="R20" s="74" t="s">
        <v>148</v>
      </c>
      <c r="S20" s="74" t="s">
        <v>21338</v>
      </c>
      <c r="T20" s="74" t="s">
        <v>402</v>
      </c>
      <c r="U20" s="74">
        <v>0</v>
      </c>
      <c r="V20" s="74">
        <v>0</v>
      </c>
    </row>
    <row r="21" spans="3:22" x14ac:dyDescent="0.25">
      <c r="C21" s="74" t="s">
        <v>18795</v>
      </c>
      <c r="D21" s="74" t="s">
        <v>148</v>
      </c>
      <c r="E21" s="74" t="s">
        <v>21338</v>
      </c>
      <c r="F21" s="74">
        <v>551367</v>
      </c>
      <c r="G21" s="74">
        <v>1000</v>
      </c>
      <c r="H21" s="135">
        <v>43007.534131944441</v>
      </c>
      <c r="I21" s="74" t="s">
        <v>21339</v>
      </c>
      <c r="J21" s="74" t="s">
        <v>21340</v>
      </c>
      <c r="K21" s="74" t="s">
        <v>3628</v>
      </c>
      <c r="L21" s="74">
        <v>552116</v>
      </c>
      <c r="M21" s="74" t="s">
        <v>21341</v>
      </c>
      <c r="N21" s="74">
        <v>1</v>
      </c>
      <c r="O21" s="74" t="s">
        <v>21342</v>
      </c>
      <c r="P21" s="74" t="s">
        <v>21343</v>
      </c>
      <c r="Q21" s="74">
        <v>0</v>
      </c>
      <c r="R21" s="74" t="s">
        <v>148</v>
      </c>
      <c r="S21" s="74" t="s">
        <v>21338</v>
      </c>
      <c r="T21" s="74" t="s">
        <v>402</v>
      </c>
      <c r="U21" s="74">
        <v>0</v>
      </c>
      <c r="V21" s="74">
        <v>0</v>
      </c>
    </row>
    <row r="22" spans="3:22" x14ac:dyDescent="0.25">
      <c r="C22" s="74" t="s">
        <v>18795</v>
      </c>
      <c r="D22" s="74" t="s">
        <v>148</v>
      </c>
      <c r="E22" s="74" t="s">
        <v>21338</v>
      </c>
      <c r="F22" s="74">
        <v>551367</v>
      </c>
      <c r="G22" s="74">
        <v>1000</v>
      </c>
      <c r="H22" s="135">
        <v>43007.519131944442</v>
      </c>
      <c r="I22" s="74" t="s">
        <v>21339</v>
      </c>
      <c r="J22" s="74" t="s">
        <v>21340</v>
      </c>
      <c r="K22" s="74" t="s">
        <v>8237</v>
      </c>
      <c r="L22" s="74">
        <v>552696</v>
      </c>
      <c r="M22" s="74" t="s">
        <v>21341</v>
      </c>
      <c r="N22" s="74">
        <v>1</v>
      </c>
      <c r="O22" s="74" t="s">
        <v>21342</v>
      </c>
      <c r="P22" s="74" t="s">
        <v>21343</v>
      </c>
      <c r="Q22" s="74">
        <v>0</v>
      </c>
      <c r="R22" s="74" t="s">
        <v>148</v>
      </c>
      <c r="S22" s="74" t="s">
        <v>21338</v>
      </c>
      <c r="T22" s="74" t="s">
        <v>402</v>
      </c>
      <c r="U22" s="74">
        <v>0</v>
      </c>
      <c r="V22" s="74">
        <v>0</v>
      </c>
    </row>
    <row r="23" spans="3:22" x14ac:dyDescent="0.25">
      <c r="C23" s="74" t="s">
        <v>21347</v>
      </c>
      <c r="D23" s="74" t="s">
        <v>148</v>
      </c>
      <c r="E23" s="74" t="s">
        <v>21338</v>
      </c>
      <c r="F23" s="74">
        <v>637976</v>
      </c>
      <c r="G23" s="74">
        <v>1</v>
      </c>
      <c r="H23" s="135">
        <v>43007.509062500001</v>
      </c>
      <c r="I23" s="74" t="s">
        <v>21348</v>
      </c>
      <c r="J23" s="74" t="s">
        <v>21349</v>
      </c>
      <c r="K23" s="74" t="s">
        <v>21347</v>
      </c>
      <c r="L23" s="74">
        <v>637976</v>
      </c>
      <c r="M23" s="74" t="s">
        <v>21341</v>
      </c>
      <c r="N23" s="74">
        <v>0</v>
      </c>
      <c r="O23" s="74" t="s">
        <v>21350</v>
      </c>
      <c r="P23" s="74" t="s">
        <v>21343</v>
      </c>
      <c r="Q23" s="74">
        <v>0</v>
      </c>
      <c r="R23" s="74" t="s">
        <v>148</v>
      </c>
      <c r="S23" s="74" t="s">
        <v>21338</v>
      </c>
      <c r="T23" s="74" t="s">
        <v>402</v>
      </c>
      <c r="U23" s="74">
        <v>0</v>
      </c>
      <c r="V23" s="74">
        <v>0</v>
      </c>
    </row>
    <row r="24" spans="3:22" x14ac:dyDescent="0.25">
      <c r="C24" s="74" t="s">
        <v>21347</v>
      </c>
      <c r="D24" s="74" t="s">
        <v>148</v>
      </c>
      <c r="E24" s="74" t="s">
        <v>21338</v>
      </c>
      <c r="F24" s="74">
        <v>637976</v>
      </c>
      <c r="G24" s="74">
        <v>1</v>
      </c>
      <c r="H24" s="135">
        <v>43007.509062500001</v>
      </c>
      <c r="I24" s="74" t="s">
        <v>244</v>
      </c>
      <c r="J24" s="74" t="s">
        <v>21349</v>
      </c>
      <c r="K24" s="74" t="s">
        <v>21347</v>
      </c>
      <c r="L24" s="74">
        <v>637976</v>
      </c>
      <c r="M24" s="74" t="s">
        <v>21341</v>
      </c>
      <c r="N24" s="74">
        <v>0</v>
      </c>
      <c r="O24" s="74" t="s">
        <v>21350</v>
      </c>
      <c r="P24" s="74" t="s">
        <v>21343</v>
      </c>
      <c r="Q24" s="74">
        <v>0</v>
      </c>
      <c r="R24" s="74" t="s">
        <v>148</v>
      </c>
      <c r="S24" s="74" t="s">
        <v>21338</v>
      </c>
      <c r="T24" s="74" t="s">
        <v>402</v>
      </c>
      <c r="U24" s="74">
        <v>0</v>
      </c>
      <c r="V24" s="74">
        <v>0</v>
      </c>
    </row>
    <row r="25" spans="3:22" x14ac:dyDescent="0.25">
      <c r="C25" s="74" t="s">
        <v>735</v>
      </c>
      <c r="D25" s="74" t="s">
        <v>148</v>
      </c>
      <c r="E25" s="74" t="s">
        <v>21338</v>
      </c>
      <c r="F25" s="74">
        <v>570025</v>
      </c>
      <c r="G25" s="74">
        <v>3</v>
      </c>
      <c r="H25" s="135">
        <v>43007.505706018521</v>
      </c>
      <c r="I25" s="74" t="s">
        <v>21339</v>
      </c>
      <c r="J25" s="74" t="s">
        <v>21360</v>
      </c>
      <c r="K25" s="74" t="s">
        <v>9039</v>
      </c>
      <c r="L25" s="74">
        <v>551653</v>
      </c>
      <c r="M25" s="74" t="s">
        <v>21341</v>
      </c>
      <c r="N25" s="74">
        <v>1</v>
      </c>
      <c r="O25" s="74" t="s">
        <v>21342</v>
      </c>
      <c r="P25" s="74" t="s">
        <v>21343</v>
      </c>
      <c r="Q25" s="74" t="s">
        <v>21361</v>
      </c>
      <c r="R25" s="74" t="s">
        <v>148</v>
      </c>
      <c r="S25" s="74" t="s">
        <v>21338</v>
      </c>
      <c r="T25" s="74" t="s">
        <v>393</v>
      </c>
      <c r="U25" s="74">
        <v>0</v>
      </c>
      <c r="V25" s="74">
        <v>0</v>
      </c>
    </row>
    <row r="26" spans="3:22" x14ac:dyDescent="0.25">
      <c r="C26" s="74" t="s">
        <v>735</v>
      </c>
      <c r="D26" s="74" t="s">
        <v>148</v>
      </c>
      <c r="E26" s="74" t="s">
        <v>21338</v>
      </c>
      <c r="F26" s="74">
        <v>570025</v>
      </c>
      <c r="G26" s="74">
        <v>3</v>
      </c>
      <c r="H26" s="135">
        <v>43007.503969907404</v>
      </c>
      <c r="I26" s="74" t="s">
        <v>21339</v>
      </c>
      <c r="J26" s="74" t="s">
        <v>21362</v>
      </c>
      <c r="K26" s="74" t="s">
        <v>9039</v>
      </c>
      <c r="L26" s="74">
        <v>551653</v>
      </c>
      <c r="M26" s="74" t="s">
        <v>21341</v>
      </c>
      <c r="N26" s="74">
        <v>1</v>
      </c>
      <c r="O26" s="74" t="s">
        <v>21342</v>
      </c>
      <c r="P26" s="74" t="s">
        <v>21343</v>
      </c>
      <c r="Q26" s="74" t="s">
        <v>21363</v>
      </c>
      <c r="R26" s="74" t="s">
        <v>148</v>
      </c>
      <c r="S26" s="74" t="s">
        <v>21338</v>
      </c>
      <c r="T26" s="74" t="s">
        <v>393</v>
      </c>
      <c r="U26" s="74">
        <v>0</v>
      </c>
      <c r="V26" s="74">
        <v>0</v>
      </c>
    </row>
    <row r="27" spans="3:22" x14ac:dyDescent="0.25">
      <c r="C27" s="74" t="s">
        <v>735</v>
      </c>
      <c r="D27" s="74" t="s">
        <v>148</v>
      </c>
      <c r="E27" s="74" t="s">
        <v>21338</v>
      </c>
      <c r="F27" s="74">
        <v>570025</v>
      </c>
      <c r="G27" s="74">
        <v>3</v>
      </c>
      <c r="H27" s="135">
        <v>43007.503310185188</v>
      </c>
      <c r="I27" s="74" t="s">
        <v>21339</v>
      </c>
      <c r="J27" s="74" t="s">
        <v>21364</v>
      </c>
      <c r="K27" s="74" t="s">
        <v>9039</v>
      </c>
      <c r="L27" s="74">
        <v>551653</v>
      </c>
      <c r="M27" s="74" t="s">
        <v>21341</v>
      </c>
      <c r="N27" s="74">
        <v>1</v>
      </c>
      <c r="O27" s="74" t="s">
        <v>21342</v>
      </c>
      <c r="P27" s="74" t="s">
        <v>21343</v>
      </c>
      <c r="Q27" s="74">
        <v>0</v>
      </c>
      <c r="R27" s="74" t="s">
        <v>148</v>
      </c>
      <c r="S27" s="74" t="s">
        <v>21338</v>
      </c>
      <c r="T27" s="74" t="s">
        <v>402</v>
      </c>
      <c r="U27" s="74">
        <v>0</v>
      </c>
      <c r="V27" s="74">
        <v>0</v>
      </c>
    </row>
    <row r="28" spans="3:22" x14ac:dyDescent="0.25">
      <c r="C28" s="74" t="s">
        <v>735</v>
      </c>
      <c r="D28" s="74" t="s">
        <v>148</v>
      </c>
      <c r="E28" s="74" t="s">
        <v>21338</v>
      </c>
      <c r="F28" s="74">
        <v>570025</v>
      </c>
      <c r="G28" s="74">
        <v>3</v>
      </c>
      <c r="H28" s="135">
        <v>43007.503298611111</v>
      </c>
      <c r="I28" s="74" t="s">
        <v>21365</v>
      </c>
      <c r="J28" s="74" t="s">
        <v>21366</v>
      </c>
      <c r="K28" s="74" t="s">
        <v>21367</v>
      </c>
      <c r="L28" s="74">
        <v>561482</v>
      </c>
      <c r="M28" s="74" t="s">
        <v>21368</v>
      </c>
      <c r="N28" s="74">
        <v>1</v>
      </c>
      <c r="O28" s="74" t="s">
        <v>21369</v>
      </c>
      <c r="P28" s="74" t="s">
        <v>21343</v>
      </c>
      <c r="Q28" s="74" t="s">
        <v>21370</v>
      </c>
      <c r="R28" s="74" t="s">
        <v>148</v>
      </c>
      <c r="S28" s="74" t="s">
        <v>21338</v>
      </c>
      <c r="T28" s="74" t="s">
        <v>21371</v>
      </c>
      <c r="U28" s="74">
        <v>0</v>
      </c>
      <c r="V28" s="74">
        <v>0</v>
      </c>
    </row>
    <row r="29" spans="3:22" x14ac:dyDescent="0.25">
      <c r="C29" s="74" t="s">
        <v>735</v>
      </c>
      <c r="D29" s="74" t="s">
        <v>148</v>
      </c>
      <c r="E29" s="74" t="s">
        <v>21338</v>
      </c>
      <c r="F29" s="74">
        <v>570025</v>
      </c>
      <c r="G29" s="74">
        <v>3</v>
      </c>
      <c r="H29" s="135">
        <v>43007.503263888888</v>
      </c>
      <c r="I29" s="74" t="s">
        <v>21365</v>
      </c>
      <c r="J29" s="74" t="s">
        <v>21366</v>
      </c>
      <c r="K29" s="74" t="s">
        <v>21372</v>
      </c>
      <c r="L29" s="74">
        <v>555674</v>
      </c>
      <c r="M29" s="74" t="s">
        <v>21368</v>
      </c>
      <c r="N29" s="74">
        <v>1</v>
      </c>
      <c r="O29" s="74" t="s">
        <v>21369</v>
      </c>
      <c r="P29" s="74" t="s">
        <v>21343</v>
      </c>
      <c r="Q29" s="74" t="s">
        <v>21370</v>
      </c>
      <c r="R29" s="74" t="s">
        <v>148</v>
      </c>
      <c r="S29" s="74" t="s">
        <v>21338</v>
      </c>
      <c r="T29" s="74" t="s">
        <v>21371</v>
      </c>
      <c r="U29" s="74">
        <v>0</v>
      </c>
      <c r="V29" s="74">
        <v>0</v>
      </c>
    </row>
    <row r="30" spans="3:22" x14ac:dyDescent="0.25">
      <c r="C30" s="74" t="s">
        <v>735</v>
      </c>
      <c r="D30" s="74" t="s">
        <v>148</v>
      </c>
      <c r="E30" s="74" t="s">
        <v>21338</v>
      </c>
      <c r="F30" s="74">
        <v>570025</v>
      </c>
      <c r="G30" s="74">
        <v>3</v>
      </c>
      <c r="H30" s="135">
        <v>43007.503252314818</v>
      </c>
      <c r="I30" s="74" t="s">
        <v>21365</v>
      </c>
      <c r="J30" s="74" t="s">
        <v>21366</v>
      </c>
      <c r="K30" s="74" t="s">
        <v>21373</v>
      </c>
      <c r="L30" s="74">
        <v>555662</v>
      </c>
      <c r="M30" s="74" t="s">
        <v>21368</v>
      </c>
      <c r="N30" s="74">
        <v>1</v>
      </c>
      <c r="O30" s="74" t="s">
        <v>21369</v>
      </c>
      <c r="P30" s="74" t="s">
        <v>21343</v>
      </c>
      <c r="Q30" s="74" t="s">
        <v>21370</v>
      </c>
      <c r="R30" s="74" t="s">
        <v>148</v>
      </c>
      <c r="S30" s="74" t="s">
        <v>21338</v>
      </c>
      <c r="T30" s="74" t="s">
        <v>21371</v>
      </c>
      <c r="U30" s="74">
        <v>0</v>
      </c>
      <c r="V30" s="74">
        <v>0</v>
      </c>
    </row>
    <row r="31" spans="3:22" x14ac:dyDescent="0.25">
      <c r="C31" s="74" t="s">
        <v>735</v>
      </c>
      <c r="D31" s="74" t="s">
        <v>148</v>
      </c>
      <c r="E31" s="74" t="s">
        <v>21338</v>
      </c>
      <c r="F31" s="74">
        <v>570025</v>
      </c>
      <c r="G31" s="74">
        <v>3</v>
      </c>
      <c r="H31" s="135">
        <v>43007.503240740742</v>
      </c>
      <c r="I31" s="74" t="s">
        <v>21365</v>
      </c>
      <c r="J31" s="74" t="s">
        <v>21366</v>
      </c>
      <c r="K31" s="74" t="s">
        <v>21374</v>
      </c>
      <c r="L31" s="74">
        <v>555669</v>
      </c>
      <c r="M31" s="74" t="s">
        <v>21368</v>
      </c>
      <c r="N31" s="74">
        <v>1</v>
      </c>
      <c r="O31" s="74" t="s">
        <v>21369</v>
      </c>
      <c r="P31" s="74" t="s">
        <v>21343</v>
      </c>
      <c r="Q31" s="74" t="s">
        <v>21370</v>
      </c>
      <c r="R31" s="74" t="s">
        <v>148</v>
      </c>
      <c r="S31" s="74" t="s">
        <v>21338</v>
      </c>
      <c r="T31" s="74" t="s">
        <v>21371</v>
      </c>
      <c r="U31" s="74">
        <v>0</v>
      </c>
      <c r="V31" s="74">
        <v>0</v>
      </c>
    </row>
    <row r="32" spans="3:22" x14ac:dyDescent="0.25">
      <c r="C32" s="74" t="s">
        <v>735</v>
      </c>
      <c r="D32" s="74" t="s">
        <v>148</v>
      </c>
      <c r="E32" s="74" t="s">
        <v>21338</v>
      </c>
      <c r="F32" s="74">
        <v>570025</v>
      </c>
      <c r="G32" s="74">
        <v>3</v>
      </c>
      <c r="H32" s="135">
        <v>43007.503229166665</v>
      </c>
      <c r="I32" s="74" t="s">
        <v>21365</v>
      </c>
      <c r="J32" s="74" t="s">
        <v>21366</v>
      </c>
      <c r="K32" s="74" t="s">
        <v>21375</v>
      </c>
      <c r="L32" s="74">
        <v>561082</v>
      </c>
      <c r="M32" s="74" t="s">
        <v>21368</v>
      </c>
      <c r="N32" s="74">
        <v>1</v>
      </c>
      <c r="O32" s="74" t="s">
        <v>21369</v>
      </c>
      <c r="P32" s="74" t="s">
        <v>21343</v>
      </c>
      <c r="Q32" s="74" t="s">
        <v>21370</v>
      </c>
      <c r="R32" s="74" t="s">
        <v>148</v>
      </c>
      <c r="S32" s="74" t="s">
        <v>21338</v>
      </c>
      <c r="T32" s="74" t="s">
        <v>21371</v>
      </c>
      <c r="U32" s="74">
        <v>0</v>
      </c>
      <c r="V32" s="74">
        <v>0</v>
      </c>
    </row>
    <row r="33" spans="3:22" x14ac:dyDescent="0.25">
      <c r="C33" s="74" t="s">
        <v>735</v>
      </c>
      <c r="D33" s="74" t="s">
        <v>148</v>
      </c>
      <c r="E33" s="74" t="s">
        <v>21338</v>
      </c>
      <c r="F33" s="74">
        <v>570025</v>
      </c>
      <c r="G33" s="74">
        <v>3</v>
      </c>
      <c r="H33" s="135">
        <v>43007.503206018519</v>
      </c>
      <c r="I33" s="74" t="s">
        <v>21365</v>
      </c>
      <c r="J33" s="74" t="s">
        <v>21366</v>
      </c>
      <c r="K33" s="74" t="s">
        <v>21376</v>
      </c>
      <c r="L33" s="74">
        <v>555659</v>
      </c>
      <c r="M33" s="74" t="s">
        <v>21368</v>
      </c>
      <c r="N33" s="74">
        <v>1</v>
      </c>
      <c r="O33" s="74" t="s">
        <v>21369</v>
      </c>
      <c r="P33" s="74" t="s">
        <v>21343</v>
      </c>
      <c r="Q33" s="74" t="s">
        <v>21370</v>
      </c>
      <c r="R33" s="74" t="s">
        <v>148</v>
      </c>
      <c r="S33" s="74" t="s">
        <v>21338</v>
      </c>
      <c r="T33" s="74" t="s">
        <v>21371</v>
      </c>
      <c r="U33" s="74">
        <v>0</v>
      </c>
      <c r="V33" s="74">
        <v>0</v>
      </c>
    </row>
    <row r="34" spans="3:22" x14ac:dyDescent="0.25">
      <c r="C34" s="74" t="s">
        <v>735</v>
      </c>
      <c r="D34" s="74" t="s">
        <v>148</v>
      </c>
      <c r="E34" s="74" t="s">
        <v>21338</v>
      </c>
      <c r="F34" s="74">
        <v>570025</v>
      </c>
      <c r="G34" s="74">
        <v>3</v>
      </c>
      <c r="H34" s="135">
        <v>43007.503194444442</v>
      </c>
      <c r="I34" s="74" t="s">
        <v>21365</v>
      </c>
      <c r="J34" s="74" t="s">
        <v>21366</v>
      </c>
      <c r="K34" s="74" t="s">
        <v>21377</v>
      </c>
      <c r="L34" s="74">
        <v>555668</v>
      </c>
      <c r="M34" s="74" t="s">
        <v>21368</v>
      </c>
      <c r="N34" s="74">
        <v>1</v>
      </c>
      <c r="O34" s="74" t="s">
        <v>21369</v>
      </c>
      <c r="P34" s="74" t="s">
        <v>21343</v>
      </c>
      <c r="Q34" s="74" t="s">
        <v>21370</v>
      </c>
      <c r="R34" s="74" t="s">
        <v>148</v>
      </c>
      <c r="S34" s="74" t="s">
        <v>21338</v>
      </c>
      <c r="T34" s="74" t="s">
        <v>21371</v>
      </c>
      <c r="U34" s="74">
        <v>0</v>
      </c>
      <c r="V34" s="74">
        <v>0</v>
      </c>
    </row>
    <row r="35" spans="3:22" x14ac:dyDescent="0.25">
      <c r="C35" s="74" t="s">
        <v>735</v>
      </c>
      <c r="D35" s="74" t="s">
        <v>148</v>
      </c>
      <c r="E35" s="74" t="s">
        <v>21338</v>
      </c>
      <c r="F35" s="74">
        <v>570025</v>
      </c>
      <c r="G35" s="74">
        <v>3</v>
      </c>
      <c r="H35" s="135">
        <v>43007.503113425926</v>
      </c>
      <c r="I35" s="74" t="s">
        <v>21339</v>
      </c>
      <c r="J35" s="74" t="s">
        <v>21364</v>
      </c>
      <c r="K35" s="74" t="s">
        <v>9039</v>
      </c>
      <c r="L35" s="74">
        <v>551653</v>
      </c>
      <c r="M35" s="74" t="s">
        <v>21341</v>
      </c>
      <c r="N35" s="74">
        <v>1</v>
      </c>
      <c r="O35" s="74" t="s">
        <v>21342</v>
      </c>
      <c r="P35" s="74" t="s">
        <v>21343</v>
      </c>
      <c r="Q35" s="74">
        <v>0</v>
      </c>
      <c r="R35" s="74" t="s">
        <v>148</v>
      </c>
      <c r="S35" s="74" t="s">
        <v>21338</v>
      </c>
      <c r="T35" s="74" t="s">
        <v>402</v>
      </c>
      <c r="U35" s="74">
        <v>0</v>
      </c>
      <c r="V35" s="74">
        <v>0</v>
      </c>
    </row>
    <row r="36" spans="3:22" x14ac:dyDescent="0.25">
      <c r="C36" s="74" t="s">
        <v>735</v>
      </c>
      <c r="D36" s="74" t="s">
        <v>148</v>
      </c>
      <c r="E36" s="74" t="s">
        <v>21338</v>
      </c>
      <c r="F36" s="74">
        <v>570025</v>
      </c>
      <c r="G36" s="74">
        <v>3</v>
      </c>
      <c r="H36" s="135">
        <v>43007.502997685187</v>
      </c>
      <c r="I36" s="74" t="s">
        <v>21339</v>
      </c>
      <c r="J36" s="74" t="s">
        <v>21364</v>
      </c>
      <c r="K36" s="74" t="s">
        <v>9039</v>
      </c>
      <c r="L36" s="74">
        <v>551653</v>
      </c>
      <c r="M36" s="74" t="s">
        <v>21341</v>
      </c>
      <c r="N36" s="74">
        <v>1</v>
      </c>
      <c r="O36" s="74" t="s">
        <v>21342</v>
      </c>
      <c r="P36" s="74" t="s">
        <v>21343</v>
      </c>
      <c r="Q36" s="74">
        <v>0</v>
      </c>
      <c r="R36" s="74" t="s">
        <v>148</v>
      </c>
      <c r="S36" s="74" t="s">
        <v>21338</v>
      </c>
      <c r="T36" s="74" t="s">
        <v>402</v>
      </c>
      <c r="U36" s="74">
        <v>0</v>
      </c>
      <c r="V36" s="74">
        <v>0</v>
      </c>
    </row>
    <row r="37" spans="3:22" x14ac:dyDescent="0.25">
      <c r="C37" s="74" t="s">
        <v>18795</v>
      </c>
      <c r="D37" s="74" t="s">
        <v>148</v>
      </c>
      <c r="E37" s="74" t="s">
        <v>21338</v>
      </c>
      <c r="F37" s="74">
        <v>551367</v>
      </c>
      <c r="G37" s="74">
        <v>1000</v>
      </c>
      <c r="H37" s="135">
        <v>43007.49927083333</v>
      </c>
      <c r="I37" s="74" t="s">
        <v>21339</v>
      </c>
      <c r="J37" s="74" t="s">
        <v>21340</v>
      </c>
      <c r="K37" s="74" t="s">
        <v>5043</v>
      </c>
      <c r="L37" s="74">
        <v>552270</v>
      </c>
      <c r="M37" s="74" t="s">
        <v>21341</v>
      </c>
      <c r="N37" s="74">
        <v>1</v>
      </c>
      <c r="O37" s="74" t="s">
        <v>21342</v>
      </c>
      <c r="P37" s="74" t="s">
        <v>21343</v>
      </c>
      <c r="Q37" s="74">
        <v>0</v>
      </c>
      <c r="R37" s="74" t="s">
        <v>148</v>
      </c>
      <c r="S37" s="74" t="s">
        <v>21338</v>
      </c>
      <c r="T37" s="74" t="s">
        <v>402</v>
      </c>
      <c r="U37" s="74">
        <v>0</v>
      </c>
      <c r="V37" s="74">
        <v>0</v>
      </c>
    </row>
    <row r="38" spans="3:22" x14ac:dyDescent="0.25">
      <c r="C38" s="74" t="s">
        <v>18795</v>
      </c>
      <c r="D38" s="74" t="s">
        <v>148</v>
      </c>
      <c r="E38" s="74" t="s">
        <v>21338</v>
      </c>
      <c r="F38" s="74">
        <v>551367</v>
      </c>
      <c r="G38" s="74">
        <v>1000</v>
      </c>
      <c r="H38" s="135">
        <v>43007.496064814812</v>
      </c>
      <c r="I38" s="74" t="s">
        <v>21339</v>
      </c>
      <c r="J38" s="74" t="s">
        <v>21340</v>
      </c>
      <c r="K38" s="74" t="s">
        <v>21113</v>
      </c>
      <c r="L38" s="74">
        <v>554315</v>
      </c>
      <c r="M38" s="74" t="s">
        <v>21341</v>
      </c>
      <c r="N38" s="74">
        <v>1</v>
      </c>
      <c r="O38" s="74" t="s">
        <v>21342</v>
      </c>
      <c r="P38" s="74" t="s">
        <v>21343</v>
      </c>
      <c r="Q38" s="74">
        <v>0</v>
      </c>
      <c r="R38" s="74" t="s">
        <v>148</v>
      </c>
      <c r="S38" s="74" t="s">
        <v>21338</v>
      </c>
      <c r="T38" s="74" t="s">
        <v>402</v>
      </c>
      <c r="U38" s="74">
        <v>0</v>
      </c>
      <c r="V38" s="74">
        <v>0</v>
      </c>
    </row>
    <row r="39" spans="3:22" x14ac:dyDescent="0.25">
      <c r="C39" s="74" t="s">
        <v>18795</v>
      </c>
      <c r="D39" s="74" t="s">
        <v>148</v>
      </c>
      <c r="E39" s="74" t="s">
        <v>21338</v>
      </c>
      <c r="F39" s="74">
        <v>551367</v>
      </c>
      <c r="G39" s="74">
        <v>1000</v>
      </c>
      <c r="H39" s="135">
        <v>43007.494976851849</v>
      </c>
      <c r="I39" s="74" t="s">
        <v>21339</v>
      </c>
      <c r="J39" s="74" t="s">
        <v>21340</v>
      </c>
      <c r="K39" s="74" t="s">
        <v>1671</v>
      </c>
      <c r="L39" s="74">
        <v>551865</v>
      </c>
      <c r="M39" s="74" t="s">
        <v>21341</v>
      </c>
      <c r="N39" s="74">
        <v>1</v>
      </c>
      <c r="O39" s="74" t="s">
        <v>21342</v>
      </c>
      <c r="P39" s="74" t="s">
        <v>21343</v>
      </c>
      <c r="Q39" s="74">
        <v>0</v>
      </c>
      <c r="R39" s="74" t="s">
        <v>148</v>
      </c>
      <c r="S39" s="74" t="s">
        <v>21338</v>
      </c>
      <c r="T39" s="74" t="s">
        <v>402</v>
      </c>
      <c r="U39" s="74">
        <v>0</v>
      </c>
      <c r="V39" s="74">
        <v>0</v>
      </c>
    </row>
    <row r="40" spans="3:22" x14ac:dyDescent="0.25">
      <c r="C40" s="74" t="s">
        <v>18795</v>
      </c>
      <c r="D40" s="74" t="s">
        <v>148</v>
      </c>
      <c r="E40" s="74" t="s">
        <v>21338</v>
      </c>
      <c r="F40" s="74">
        <v>551367</v>
      </c>
      <c r="G40" s="74">
        <v>1000</v>
      </c>
      <c r="H40" s="135">
        <v>43007.479386574072</v>
      </c>
      <c r="I40" s="74" t="s">
        <v>21339</v>
      </c>
      <c r="J40" s="74" t="s">
        <v>21340</v>
      </c>
      <c r="K40" s="74" t="s">
        <v>21378</v>
      </c>
      <c r="L40" s="74">
        <v>643298</v>
      </c>
      <c r="M40" s="74" t="s">
        <v>21341</v>
      </c>
      <c r="N40" s="74">
        <v>1</v>
      </c>
      <c r="O40" s="74" t="s">
        <v>21342</v>
      </c>
      <c r="P40" s="74" t="s">
        <v>21343</v>
      </c>
      <c r="Q40" s="74">
        <v>0</v>
      </c>
      <c r="R40" s="74" t="s">
        <v>148</v>
      </c>
      <c r="S40" s="74" t="s">
        <v>21338</v>
      </c>
      <c r="T40" s="74" t="s">
        <v>402</v>
      </c>
      <c r="U40" s="74">
        <v>0</v>
      </c>
      <c r="V40" s="74">
        <v>0</v>
      </c>
    </row>
    <row r="41" spans="3:22" x14ac:dyDescent="0.25">
      <c r="C41" s="74" t="s">
        <v>18795</v>
      </c>
      <c r="D41" s="74" t="s">
        <v>148</v>
      </c>
      <c r="E41" s="74" t="s">
        <v>21338</v>
      </c>
      <c r="F41" s="74">
        <v>551367</v>
      </c>
      <c r="G41" s="74">
        <v>1000</v>
      </c>
      <c r="H41" s="135">
        <v>43007.468032407407</v>
      </c>
      <c r="I41" s="74" t="s">
        <v>21339</v>
      </c>
      <c r="J41" s="74" t="s">
        <v>21340</v>
      </c>
      <c r="K41" s="74" t="s">
        <v>19825</v>
      </c>
      <c r="L41" s="74">
        <v>554149</v>
      </c>
      <c r="M41" s="74" t="s">
        <v>21341</v>
      </c>
      <c r="N41" s="74">
        <v>1</v>
      </c>
      <c r="O41" s="74" t="s">
        <v>21342</v>
      </c>
      <c r="P41" s="74" t="s">
        <v>21343</v>
      </c>
      <c r="Q41" s="74">
        <v>0</v>
      </c>
      <c r="R41" s="74" t="s">
        <v>148</v>
      </c>
      <c r="S41" s="74" t="s">
        <v>21338</v>
      </c>
      <c r="T41" s="74" t="s">
        <v>402</v>
      </c>
      <c r="U41" s="74">
        <v>0</v>
      </c>
      <c r="V41" s="74">
        <v>0</v>
      </c>
    </row>
    <row r="42" spans="3:22" x14ac:dyDescent="0.25">
      <c r="C42" s="74" t="s">
        <v>18795</v>
      </c>
      <c r="D42" s="74" t="s">
        <v>148</v>
      </c>
      <c r="E42" s="74" t="s">
        <v>21338</v>
      </c>
      <c r="F42" s="74">
        <v>551367</v>
      </c>
      <c r="G42" s="74">
        <v>1000</v>
      </c>
      <c r="H42" s="135">
        <v>43007.455370370371</v>
      </c>
      <c r="I42" s="74" t="s">
        <v>21339</v>
      </c>
      <c r="J42" s="74" t="s">
        <v>21340</v>
      </c>
      <c r="K42" s="74" t="s">
        <v>20970</v>
      </c>
      <c r="L42" s="74">
        <v>554293</v>
      </c>
      <c r="M42" s="74" t="s">
        <v>21341</v>
      </c>
      <c r="N42" s="74">
        <v>1</v>
      </c>
      <c r="O42" s="74" t="s">
        <v>21342</v>
      </c>
      <c r="P42" s="74" t="s">
        <v>21343</v>
      </c>
      <c r="Q42" s="74">
        <v>0</v>
      </c>
      <c r="R42" s="74" t="s">
        <v>148</v>
      </c>
      <c r="S42" s="74" t="s">
        <v>21338</v>
      </c>
      <c r="T42" s="74" t="s">
        <v>402</v>
      </c>
      <c r="U42" s="74">
        <v>0</v>
      </c>
      <c r="V42" s="74">
        <v>0</v>
      </c>
    </row>
    <row r="43" spans="3:22" x14ac:dyDescent="0.25">
      <c r="C43" s="74" t="s">
        <v>18795</v>
      </c>
      <c r="D43" s="74" t="s">
        <v>148</v>
      </c>
      <c r="E43" s="74" t="s">
        <v>21338</v>
      </c>
      <c r="F43" s="74">
        <v>551367</v>
      </c>
      <c r="G43" s="74">
        <v>1000</v>
      </c>
      <c r="H43" s="135">
        <v>43007.424976851849</v>
      </c>
      <c r="I43" s="74" t="s">
        <v>21339</v>
      </c>
      <c r="J43" s="74" t="s">
        <v>21340</v>
      </c>
      <c r="K43" s="74" t="s">
        <v>21378</v>
      </c>
      <c r="L43" s="74">
        <v>643298</v>
      </c>
      <c r="M43" s="74" t="s">
        <v>21341</v>
      </c>
      <c r="N43" s="74">
        <v>1</v>
      </c>
      <c r="O43" s="74" t="s">
        <v>21342</v>
      </c>
      <c r="P43" s="74" t="s">
        <v>21343</v>
      </c>
      <c r="Q43" s="74">
        <v>0</v>
      </c>
      <c r="R43" s="74" t="s">
        <v>148</v>
      </c>
      <c r="S43" s="74" t="s">
        <v>21338</v>
      </c>
      <c r="T43" s="74" t="s">
        <v>402</v>
      </c>
      <c r="U43" s="74">
        <v>0</v>
      </c>
      <c r="V43" s="74">
        <v>0</v>
      </c>
    </row>
    <row r="44" spans="3:22" x14ac:dyDescent="0.25">
      <c r="C44" s="74" t="s">
        <v>735</v>
      </c>
      <c r="D44" s="74" t="s">
        <v>148</v>
      </c>
      <c r="E44" s="74" t="s">
        <v>21338</v>
      </c>
      <c r="F44" s="74">
        <v>570025</v>
      </c>
      <c r="G44" s="74">
        <v>3</v>
      </c>
      <c r="H44" s="135">
        <v>43007.418287037035</v>
      </c>
      <c r="I44" s="74" t="s">
        <v>21339</v>
      </c>
      <c r="J44" s="74" t="s">
        <v>21360</v>
      </c>
      <c r="K44" s="74" t="s">
        <v>3762</v>
      </c>
      <c r="L44" s="74">
        <v>552132</v>
      </c>
      <c r="M44" s="74" t="s">
        <v>21341</v>
      </c>
      <c r="N44" s="74">
        <v>1</v>
      </c>
      <c r="O44" s="74" t="s">
        <v>21342</v>
      </c>
      <c r="P44" s="74" t="s">
        <v>21343</v>
      </c>
      <c r="Q44" s="74" t="s">
        <v>21361</v>
      </c>
      <c r="R44" s="74" t="s">
        <v>148</v>
      </c>
      <c r="S44" s="74" t="s">
        <v>21338</v>
      </c>
      <c r="T44" s="74" t="s">
        <v>393</v>
      </c>
      <c r="U44" s="74">
        <v>0</v>
      </c>
      <c r="V44" s="74">
        <v>0</v>
      </c>
    </row>
    <row r="45" spans="3:22" x14ac:dyDescent="0.25">
      <c r="C45" s="74" t="s">
        <v>735</v>
      </c>
      <c r="D45" s="74" t="s">
        <v>148</v>
      </c>
      <c r="E45" s="74" t="s">
        <v>21338</v>
      </c>
      <c r="F45" s="74">
        <v>570025</v>
      </c>
      <c r="G45" s="74">
        <v>3</v>
      </c>
      <c r="H45" s="135">
        <v>43007.416909722226</v>
      </c>
      <c r="I45" s="74" t="s">
        <v>21339</v>
      </c>
      <c r="J45" s="74" t="s">
        <v>21364</v>
      </c>
      <c r="K45" s="74" t="s">
        <v>3762</v>
      </c>
      <c r="L45" s="74">
        <v>552132</v>
      </c>
      <c r="M45" s="74" t="s">
        <v>21341</v>
      </c>
      <c r="N45" s="74">
        <v>1</v>
      </c>
      <c r="O45" s="74" t="s">
        <v>21342</v>
      </c>
      <c r="P45" s="74" t="s">
        <v>21343</v>
      </c>
      <c r="Q45" s="74">
        <v>0</v>
      </c>
      <c r="R45" s="74" t="s">
        <v>148</v>
      </c>
      <c r="S45" s="74" t="s">
        <v>21338</v>
      </c>
      <c r="T45" s="74" t="s">
        <v>393</v>
      </c>
      <c r="U45" s="74">
        <v>0</v>
      </c>
      <c r="V45" s="74">
        <v>0</v>
      </c>
    </row>
    <row r="46" spans="3:22" x14ac:dyDescent="0.25">
      <c r="C46" s="74" t="s">
        <v>735</v>
      </c>
      <c r="D46" s="74" t="s">
        <v>148</v>
      </c>
      <c r="E46" s="74" t="s">
        <v>21338</v>
      </c>
      <c r="F46" s="74">
        <v>570025</v>
      </c>
      <c r="G46" s="74">
        <v>3</v>
      </c>
      <c r="H46" s="135">
        <v>43007.416712962964</v>
      </c>
      <c r="I46" s="74" t="s">
        <v>21339</v>
      </c>
      <c r="J46" s="74" t="s">
        <v>21364</v>
      </c>
      <c r="K46" s="74" t="s">
        <v>3762</v>
      </c>
      <c r="L46" s="74">
        <v>552132</v>
      </c>
      <c r="M46" s="74" t="s">
        <v>21341</v>
      </c>
      <c r="N46" s="74">
        <v>1</v>
      </c>
      <c r="O46" s="74" t="s">
        <v>21342</v>
      </c>
      <c r="P46" s="74" t="s">
        <v>21343</v>
      </c>
      <c r="Q46" s="74">
        <v>0</v>
      </c>
      <c r="R46" s="74" t="s">
        <v>148</v>
      </c>
      <c r="S46" s="74" t="s">
        <v>21338</v>
      </c>
      <c r="T46" s="74" t="s">
        <v>393</v>
      </c>
      <c r="U46" s="74">
        <v>0</v>
      </c>
      <c r="V46" s="74">
        <v>0</v>
      </c>
    </row>
    <row r="47" spans="3:22" x14ac:dyDescent="0.25">
      <c r="C47" s="74" t="s">
        <v>735</v>
      </c>
      <c r="D47" s="74" t="s">
        <v>148</v>
      </c>
      <c r="E47" s="74" t="s">
        <v>21338</v>
      </c>
      <c r="F47" s="74">
        <v>570025</v>
      </c>
      <c r="G47" s="74">
        <v>3</v>
      </c>
      <c r="H47" s="135">
        <v>43007.416701388887</v>
      </c>
      <c r="I47" s="74" t="s">
        <v>21365</v>
      </c>
      <c r="J47" s="74" t="s">
        <v>21366</v>
      </c>
      <c r="K47" s="74" t="s">
        <v>21367</v>
      </c>
      <c r="L47" s="74">
        <v>561482</v>
      </c>
      <c r="M47" s="74" t="s">
        <v>21368</v>
      </c>
      <c r="N47" s="74">
        <v>1</v>
      </c>
      <c r="O47" s="74" t="s">
        <v>21369</v>
      </c>
      <c r="P47" s="74" t="s">
        <v>21343</v>
      </c>
      <c r="Q47" s="74" t="s">
        <v>21380</v>
      </c>
      <c r="R47" s="74" t="s">
        <v>148</v>
      </c>
      <c r="S47" s="74" t="s">
        <v>21338</v>
      </c>
      <c r="T47" s="74" t="s">
        <v>21371</v>
      </c>
      <c r="U47" s="74">
        <v>0</v>
      </c>
      <c r="V47" s="74">
        <v>0</v>
      </c>
    </row>
    <row r="48" spans="3:22" x14ac:dyDescent="0.25">
      <c r="C48" s="74" t="s">
        <v>735</v>
      </c>
      <c r="D48" s="74" t="s">
        <v>148</v>
      </c>
      <c r="E48" s="74" t="s">
        <v>21338</v>
      </c>
      <c r="F48" s="74">
        <v>570025</v>
      </c>
      <c r="G48" s="74">
        <v>3</v>
      </c>
      <c r="H48" s="135">
        <v>43007.416666666664</v>
      </c>
      <c r="I48" s="74" t="s">
        <v>21365</v>
      </c>
      <c r="J48" s="74" t="s">
        <v>21366</v>
      </c>
      <c r="K48" s="74" t="s">
        <v>21381</v>
      </c>
      <c r="L48" s="74">
        <v>555660</v>
      </c>
      <c r="M48" s="74" t="s">
        <v>21368</v>
      </c>
      <c r="N48" s="74">
        <v>1</v>
      </c>
      <c r="O48" s="74" t="s">
        <v>21369</v>
      </c>
      <c r="P48" s="74" t="s">
        <v>21343</v>
      </c>
      <c r="Q48" s="74" t="s">
        <v>21380</v>
      </c>
      <c r="R48" s="74" t="s">
        <v>148</v>
      </c>
      <c r="S48" s="74" t="s">
        <v>21338</v>
      </c>
      <c r="T48" s="74" t="s">
        <v>21371</v>
      </c>
      <c r="U48" s="74">
        <v>0</v>
      </c>
      <c r="V48" s="74">
        <v>0</v>
      </c>
    </row>
    <row r="49" spans="3:22" x14ac:dyDescent="0.25">
      <c r="C49" s="74" t="s">
        <v>735</v>
      </c>
      <c r="D49" s="74" t="s">
        <v>148</v>
      </c>
      <c r="E49" s="74" t="s">
        <v>21338</v>
      </c>
      <c r="F49" s="74">
        <v>570025</v>
      </c>
      <c r="G49" s="74">
        <v>3</v>
      </c>
      <c r="H49" s="135">
        <v>43007.416655092595</v>
      </c>
      <c r="I49" s="74" t="s">
        <v>21365</v>
      </c>
      <c r="J49" s="74" t="s">
        <v>21366</v>
      </c>
      <c r="K49" s="74" t="s">
        <v>21377</v>
      </c>
      <c r="L49" s="74">
        <v>555668</v>
      </c>
      <c r="M49" s="74" t="s">
        <v>21368</v>
      </c>
      <c r="N49" s="74">
        <v>1</v>
      </c>
      <c r="O49" s="74" t="s">
        <v>21369</v>
      </c>
      <c r="P49" s="74" t="s">
        <v>21343</v>
      </c>
      <c r="Q49" s="74" t="s">
        <v>21380</v>
      </c>
      <c r="R49" s="74" t="s">
        <v>148</v>
      </c>
      <c r="S49" s="74" t="s">
        <v>21338</v>
      </c>
      <c r="T49" s="74" t="s">
        <v>21371</v>
      </c>
      <c r="U49" s="74">
        <v>0</v>
      </c>
      <c r="V49" s="74">
        <v>0</v>
      </c>
    </row>
    <row r="50" spans="3:22" x14ac:dyDescent="0.25">
      <c r="C50" s="74" t="s">
        <v>735</v>
      </c>
      <c r="D50" s="74" t="s">
        <v>148</v>
      </c>
      <c r="E50" s="74" t="s">
        <v>21338</v>
      </c>
      <c r="F50" s="74">
        <v>570025</v>
      </c>
      <c r="G50" s="74">
        <v>3</v>
      </c>
      <c r="H50" s="135">
        <v>43007.416631944441</v>
      </c>
      <c r="I50" s="74" t="s">
        <v>21339</v>
      </c>
      <c r="J50" s="74" t="s">
        <v>21364</v>
      </c>
      <c r="K50" s="74" t="s">
        <v>3762</v>
      </c>
      <c r="L50" s="74">
        <v>552132</v>
      </c>
      <c r="M50" s="74" t="s">
        <v>21341</v>
      </c>
      <c r="N50" s="74">
        <v>1</v>
      </c>
      <c r="O50" s="74" t="s">
        <v>21342</v>
      </c>
      <c r="P50" s="74" t="s">
        <v>21343</v>
      </c>
      <c r="Q50" s="74">
        <v>0</v>
      </c>
      <c r="R50" s="74" t="s">
        <v>148</v>
      </c>
      <c r="S50" s="74" t="s">
        <v>21338</v>
      </c>
      <c r="T50" s="74" t="s">
        <v>393</v>
      </c>
      <c r="U50" s="74">
        <v>0</v>
      </c>
      <c r="V50" s="74">
        <v>0</v>
      </c>
    </row>
    <row r="51" spans="3:22" x14ac:dyDescent="0.25">
      <c r="C51" s="74" t="s">
        <v>735</v>
      </c>
      <c r="D51" s="74" t="s">
        <v>148</v>
      </c>
      <c r="E51" s="74" t="s">
        <v>21338</v>
      </c>
      <c r="F51" s="74">
        <v>570025</v>
      </c>
      <c r="G51" s="74">
        <v>3</v>
      </c>
      <c r="H51" s="135">
        <v>43007.416562500002</v>
      </c>
      <c r="I51" s="74" t="s">
        <v>21339</v>
      </c>
      <c r="J51" s="74" t="s">
        <v>21364</v>
      </c>
      <c r="K51" s="74" t="s">
        <v>3762</v>
      </c>
      <c r="L51" s="74">
        <v>552132</v>
      </c>
      <c r="M51" s="74" t="s">
        <v>21341</v>
      </c>
      <c r="N51" s="74">
        <v>1</v>
      </c>
      <c r="O51" s="74" t="s">
        <v>21342</v>
      </c>
      <c r="P51" s="74" t="s">
        <v>21343</v>
      </c>
      <c r="Q51" s="74">
        <v>0</v>
      </c>
      <c r="R51" s="74" t="s">
        <v>148</v>
      </c>
      <c r="S51" s="74" t="s">
        <v>21338</v>
      </c>
      <c r="T51" s="74" t="s">
        <v>393</v>
      </c>
      <c r="U51" s="74">
        <v>0</v>
      </c>
      <c r="V51" s="74">
        <v>0</v>
      </c>
    </row>
    <row r="52" spans="3:22" x14ac:dyDescent="0.25">
      <c r="C52" s="74" t="s">
        <v>735</v>
      </c>
      <c r="D52" s="74" t="s">
        <v>148</v>
      </c>
      <c r="E52" s="74" t="s">
        <v>21338</v>
      </c>
      <c r="F52" s="74">
        <v>570025</v>
      </c>
      <c r="G52" s="74">
        <v>3</v>
      </c>
      <c r="H52" s="135">
        <v>43007.416064814817</v>
      </c>
      <c r="I52" s="74" t="s">
        <v>21339</v>
      </c>
      <c r="J52" s="74" t="s">
        <v>21362</v>
      </c>
      <c r="K52" s="74" t="s">
        <v>3762</v>
      </c>
      <c r="L52" s="74">
        <v>552132</v>
      </c>
      <c r="M52" s="74" t="s">
        <v>21341</v>
      </c>
      <c r="N52" s="74">
        <v>1</v>
      </c>
      <c r="O52" s="74" t="s">
        <v>21342</v>
      </c>
      <c r="P52" s="74" t="s">
        <v>21343</v>
      </c>
      <c r="Q52" s="74" t="s">
        <v>21363</v>
      </c>
      <c r="R52" s="74" t="s">
        <v>148</v>
      </c>
      <c r="S52" s="74" t="s">
        <v>21338</v>
      </c>
      <c r="T52" s="74" t="s">
        <v>393</v>
      </c>
      <c r="U52" s="74">
        <v>0</v>
      </c>
      <c r="V52" s="74">
        <v>0</v>
      </c>
    </row>
    <row r="53" spans="3:22" x14ac:dyDescent="0.25">
      <c r="C53" s="74" t="s">
        <v>18795</v>
      </c>
      <c r="D53" s="74" t="s">
        <v>148</v>
      </c>
      <c r="E53" s="74" t="s">
        <v>21338</v>
      </c>
      <c r="F53" s="74">
        <v>551367</v>
      </c>
      <c r="G53" s="74">
        <v>1000</v>
      </c>
      <c r="H53" s="135">
        <v>43007.408321759256</v>
      </c>
      <c r="I53" s="74" t="s">
        <v>21339</v>
      </c>
      <c r="J53" s="74" t="s">
        <v>21340</v>
      </c>
      <c r="K53" s="74" t="s">
        <v>18262</v>
      </c>
      <c r="L53" s="74">
        <v>553971</v>
      </c>
      <c r="M53" s="74" t="s">
        <v>21341</v>
      </c>
      <c r="N53" s="74">
        <v>1</v>
      </c>
      <c r="O53" s="74" t="s">
        <v>21342</v>
      </c>
      <c r="P53" s="74" t="s">
        <v>21343</v>
      </c>
      <c r="Q53" s="74">
        <v>0</v>
      </c>
      <c r="R53" s="74" t="s">
        <v>148</v>
      </c>
      <c r="S53" s="74" t="s">
        <v>21338</v>
      </c>
      <c r="T53" s="74" t="s">
        <v>402</v>
      </c>
      <c r="U53" s="74">
        <v>0</v>
      </c>
      <c r="V53" s="74">
        <v>0</v>
      </c>
    </row>
    <row r="54" spans="3:22" x14ac:dyDescent="0.25">
      <c r="C54" s="74" t="s">
        <v>18795</v>
      </c>
      <c r="D54" s="74" t="s">
        <v>148</v>
      </c>
      <c r="E54" s="74" t="s">
        <v>21338</v>
      </c>
      <c r="F54" s="74">
        <v>551367</v>
      </c>
      <c r="G54" s="74">
        <v>1000</v>
      </c>
      <c r="H54" s="135">
        <v>43007.406331018516</v>
      </c>
      <c r="I54" s="74" t="s">
        <v>21339</v>
      </c>
      <c r="J54" s="74" t="s">
        <v>21340</v>
      </c>
      <c r="K54" s="74" t="s">
        <v>21382</v>
      </c>
      <c r="L54" s="74">
        <v>864038</v>
      </c>
      <c r="M54" s="74" t="s">
        <v>21341</v>
      </c>
      <c r="N54" s="74">
        <v>1</v>
      </c>
      <c r="O54" s="74" t="s">
        <v>21342</v>
      </c>
      <c r="P54" s="74" t="s">
        <v>21343</v>
      </c>
      <c r="Q54" s="74">
        <v>0</v>
      </c>
      <c r="R54" s="74" t="s">
        <v>148</v>
      </c>
      <c r="S54" s="74" t="s">
        <v>21338</v>
      </c>
      <c r="T54" s="74" t="s">
        <v>402</v>
      </c>
      <c r="U54" s="74">
        <v>0</v>
      </c>
      <c r="V54" s="74">
        <v>0</v>
      </c>
    </row>
    <row r="55" spans="3:22" x14ac:dyDescent="0.25">
      <c r="C55" s="74" t="s">
        <v>18795</v>
      </c>
      <c r="D55" s="74" t="s">
        <v>148</v>
      </c>
      <c r="E55" s="74" t="s">
        <v>21338</v>
      </c>
      <c r="F55" s="74">
        <v>551367</v>
      </c>
      <c r="G55" s="74">
        <v>1000</v>
      </c>
      <c r="H55" s="135">
        <v>43007.405115740738</v>
      </c>
      <c r="I55" s="74" t="s">
        <v>21339</v>
      </c>
      <c r="J55" s="74" t="s">
        <v>21340</v>
      </c>
      <c r="K55" s="74" t="s">
        <v>21383</v>
      </c>
      <c r="L55" s="74">
        <v>560735</v>
      </c>
      <c r="M55" s="74" t="s">
        <v>21341</v>
      </c>
      <c r="N55" s="74">
        <v>1</v>
      </c>
      <c r="O55" s="74" t="s">
        <v>21342</v>
      </c>
      <c r="P55" s="74" t="s">
        <v>21343</v>
      </c>
      <c r="Q55" s="74">
        <v>0</v>
      </c>
      <c r="R55" s="74" t="s">
        <v>148</v>
      </c>
      <c r="S55" s="74" t="s">
        <v>21338</v>
      </c>
      <c r="T55" s="74" t="s">
        <v>393</v>
      </c>
      <c r="U55" s="74">
        <v>0</v>
      </c>
      <c r="V55" s="74">
        <v>0</v>
      </c>
    </row>
    <row r="56" spans="3:22" x14ac:dyDescent="0.25">
      <c r="C56" s="74" t="s">
        <v>18795</v>
      </c>
      <c r="D56" s="74" t="s">
        <v>148</v>
      </c>
      <c r="E56" s="74" t="s">
        <v>21338</v>
      </c>
      <c r="F56" s="74">
        <v>551367</v>
      </c>
      <c r="G56" s="74">
        <v>1000</v>
      </c>
      <c r="H56" s="135">
        <v>43007.385243055556</v>
      </c>
      <c r="I56" s="74" t="s">
        <v>21339</v>
      </c>
      <c r="J56" s="74" t="s">
        <v>21340</v>
      </c>
      <c r="K56" s="74" t="s">
        <v>7232</v>
      </c>
      <c r="L56" s="74">
        <v>552566</v>
      </c>
      <c r="M56" s="74" t="s">
        <v>21341</v>
      </c>
      <c r="N56" s="74">
        <v>1</v>
      </c>
      <c r="O56" s="74" t="s">
        <v>21342</v>
      </c>
      <c r="P56" s="74" t="s">
        <v>21343</v>
      </c>
      <c r="Q56" s="74">
        <v>0</v>
      </c>
      <c r="R56" s="74" t="s">
        <v>148</v>
      </c>
      <c r="S56" s="74" t="s">
        <v>21338</v>
      </c>
      <c r="T56" s="74" t="s">
        <v>402</v>
      </c>
      <c r="U56" s="74">
        <v>0</v>
      </c>
      <c r="V56" s="74">
        <v>0</v>
      </c>
    </row>
    <row r="57" spans="3:22" x14ac:dyDescent="0.25">
      <c r="C57" s="74" t="s">
        <v>18795</v>
      </c>
      <c r="D57" s="74" t="s">
        <v>148</v>
      </c>
      <c r="E57" s="74" t="s">
        <v>21338</v>
      </c>
      <c r="F57" s="74">
        <v>551367</v>
      </c>
      <c r="G57" s="74">
        <v>1000</v>
      </c>
      <c r="H57" s="135">
        <v>43007.37636574074</v>
      </c>
      <c r="I57" s="74" t="s">
        <v>21339</v>
      </c>
      <c r="J57" s="74" t="s">
        <v>21340</v>
      </c>
      <c r="K57" s="74" t="s">
        <v>7232</v>
      </c>
      <c r="L57" s="74">
        <v>552566</v>
      </c>
      <c r="M57" s="74" t="s">
        <v>21341</v>
      </c>
      <c r="N57" s="74">
        <v>1</v>
      </c>
      <c r="O57" s="74" t="s">
        <v>21342</v>
      </c>
      <c r="P57" s="74" t="s">
        <v>21343</v>
      </c>
      <c r="Q57" s="74">
        <v>0</v>
      </c>
      <c r="R57" s="74" t="s">
        <v>148</v>
      </c>
      <c r="S57" s="74" t="s">
        <v>21338</v>
      </c>
      <c r="T57" s="74" t="s">
        <v>402</v>
      </c>
      <c r="U57" s="74">
        <v>0</v>
      </c>
      <c r="V57" s="74">
        <v>0</v>
      </c>
    </row>
    <row r="58" spans="3:22" x14ac:dyDescent="0.25">
      <c r="C58" s="74" t="s">
        <v>18795</v>
      </c>
      <c r="D58" s="74" t="s">
        <v>148</v>
      </c>
      <c r="E58" s="74" t="s">
        <v>21338</v>
      </c>
      <c r="F58" s="74">
        <v>551367</v>
      </c>
      <c r="G58" s="74">
        <v>1000</v>
      </c>
      <c r="H58" s="135">
        <v>43007.369780092595</v>
      </c>
      <c r="I58" s="74" t="s">
        <v>21339</v>
      </c>
      <c r="J58" s="74" t="s">
        <v>21340</v>
      </c>
      <c r="K58" s="74" t="s">
        <v>3478</v>
      </c>
      <c r="L58" s="74">
        <v>552098</v>
      </c>
      <c r="M58" s="74" t="s">
        <v>21341</v>
      </c>
      <c r="N58" s="74">
        <v>1</v>
      </c>
      <c r="O58" s="74" t="s">
        <v>21342</v>
      </c>
      <c r="P58" s="74" t="s">
        <v>21343</v>
      </c>
      <c r="Q58" s="74">
        <v>0</v>
      </c>
      <c r="R58" s="74" t="s">
        <v>148</v>
      </c>
      <c r="S58" s="74" t="s">
        <v>21338</v>
      </c>
      <c r="T58" s="74" t="s">
        <v>402</v>
      </c>
      <c r="U58" s="74">
        <v>0</v>
      </c>
      <c r="V58" s="74">
        <v>0</v>
      </c>
    </row>
    <row r="59" spans="3:22" x14ac:dyDescent="0.25">
      <c r="C59" s="74" t="s">
        <v>18795</v>
      </c>
      <c r="D59" s="74" t="s">
        <v>148</v>
      </c>
      <c r="E59" s="74" t="s">
        <v>21338</v>
      </c>
      <c r="F59" s="74">
        <v>551367</v>
      </c>
      <c r="G59" s="74">
        <v>1000</v>
      </c>
      <c r="H59" s="135">
        <v>43007.363518518519</v>
      </c>
      <c r="I59" s="74" t="s">
        <v>21339</v>
      </c>
      <c r="J59" s="74" t="s">
        <v>21340</v>
      </c>
      <c r="K59" s="74" t="s">
        <v>3817</v>
      </c>
      <c r="L59" s="74">
        <v>552140</v>
      </c>
      <c r="M59" s="74" t="s">
        <v>21341</v>
      </c>
      <c r="N59" s="74">
        <v>1</v>
      </c>
      <c r="O59" s="74" t="s">
        <v>21342</v>
      </c>
      <c r="P59" s="74" t="s">
        <v>21343</v>
      </c>
      <c r="Q59" s="74">
        <v>0</v>
      </c>
      <c r="R59" s="74" t="s">
        <v>148</v>
      </c>
      <c r="S59" s="74" t="s">
        <v>21338</v>
      </c>
      <c r="T59" s="74" t="s">
        <v>402</v>
      </c>
      <c r="U59" s="74">
        <v>0</v>
      </c>
      <c r="V59" s="74">
        <v>0</v>
      </c>
    </row>
    <row r="60" spans="3:22" x14ac:dyDescent="0.25">
      <c r="C60" s="74" t="s">
        <v>735</v>
      </c>
      <c r="D60" s="74" t="s">
        <v>148</v>
      </c>
      <c r="E60" s="74" t="s">
        <v>21338</v>
      </c>
      <c r="F60" s="74">
        <v>570025</v>
      </c>
      <c r="G60" s="74">
        <v>3</v>
      </c>
      <c r="H60" s="135">
        <v>43006.989594907405</v>
      </c>
      <c r="I60" s="74" t="s">
        <v>21339</v>
      </c>
      <c r="J60" s="74" t="s">
        <v>21360</v>
      </c>
      <c r="K60" s="74" t="s">
        <v>9291</v>
      </c>
      <c r="L60" s="74">
        <v>901580</v>
      </c>
      <c r="M60" s="74" t="s">
        <v>21341</v>
      </c>
      <c r="N60" s="74">
        <v>1</v>
      </c>
      <c r="O60" s="74" t="s">
        <v>21342</v>
      </c>
      <c r="P60" s="74" t="s">
        <v>21343</v>
      </c>
      <c r="Q60" s="74" t="s">
        <v>21361</v>
      </c>
      <c r="R60" s="74" t="s">
        <v>148</v>
      </c>
      <c r="S60" s="74" t="s">
        <v>21338</v>
      </c>
      <c r="T60" s="74" t="s">
        <v>393</v>
      </c>
      <c r="U60" s="74">
        <v>0</v>
      </c>
      <c r="V60" s="74">
        <v>0</v>
      </c>
    </row>
    <row r="61" spans="3:22" x14ac:dyDescent="0.25">
      <c r="C61" s="74" t="s">
        <v>735</v>
      </c>
      <c r="D61" s="74" t="s">
        <v>148</v>
      </c>
      <c r="E61" s="74" t="s">
        <v>21338</v>
      </c>
      <c r="F61" s="74">
        <v>570025</v>
      </c>
      <c r="G61" s="74">
        <v>3</v>
      </c>
      <c r="H61" s="135">
        <v>43006.986666666664</v>
      </c>
      <c r="I61" s="74" t="s">
        <v>21365</v>
      </c>
      <c r="J61" s="74" t="s">
        <v>21366</v>
      </c>
      <c r="K61" s="74" t="s">
        <v>21367</v>
      </c>
      <c r="L61" s="74">
        <v>561482</v>
      </c>
      <c r="M61" s="74" t="s">
        <v>21368</v>
      </c>
      <c r="N61" s="74">
        <v>1</v>
      </c>
      <c r="O61" s="74" t="s">
        <v>21369</v>
      </c>
      <c r="P61" s="74" t="s">
        <v>21343</v>
      </c>
      <c r="Q61" s="74" t="s">
        <v>21384</v>
      </c>
      <c r="R61" s="74" t="s">
        <v>148</v>
      </c>
      <c r="S61" s="74" t="s">
        <v>21338</v>
      </c>
      <c r="T61" s="74" t="s">
        <v>21371</v>
      </c>
      <c r="U61" s="74">
        <v>0</v>
      </c>
      <c r="V61" s="74">
        <v>0</v>
      </c>
    </row>
    <row r="62" spans="3:22" x14ac:dyDescent="0.25">
      <c r="C62" s="74" t="s">
        <v>735</v>
      </c>
      <c r="D62" s="74" t="s">
        <v>148</v>
      </c>
      <c r="E62" s="74" t="s">
        <v>21338</v>
      </c>
      <c r="F62" s="74">
        <v>570025</v>
      </c>
      <c r="G62" s="74">
        <v>3</v>
      </c>
      <c r="H62" s="135">
        <v>43006.986666666664</v>
      </c>
      <c r="I62" s="74" t="s">
        <v>21339</v>
      </c>
      <c r="J62" s="74" t="s">
        <v>21364</v>
      </c>
      <c r="K62" s="74" t="s">
        <v>9291</v>
      </c>
      <c r="L62" s="74">
        <v>901580</v>
      </c>
      <c r="M62" s="74" t="s">
        <v>21341</v>
      </c>
      <c r="N62" s="74">
        <v>1</v>
      </c>
      <c r="O62" s="74" t="s">
        <v>21342</v>
      </c>
      <c r="P62" s="74" t="s">
        <v>21343</v>
      </c>
      <c r="Q62" s="74">
        <v>0</v>
      </c>
      <c r="R62" s="74" t="s">
        <v>148</v>
      </c>
      <c r="S62" s="74" t="s">
        <v>21338</v>
      </c>
      <c r="T62" s="74" t="s">
        <v>393</v>
      </c>
      <c r="U62" s="74">
        <v>0</v>
      </c>
      <c r="V62" s="74">
        <v>0</v>
      </c>
    </row>
    <row r="63" spans="3:22" x14ac:dyDescent="0.25">
      <c r="C63" s="74" t="s">
        <v>735</v>
      </c>
      <c r="D63" s="74" t="s">
        <v>148</v>
      </c>
      <c r="E63" s="74" t="s">
        <v>21338</v>
      </c>
      <c r="F63" s="74">
        <v>570025</v>
      </c>
      <c r="G63" s="74">
        <v>3</v>
      </c>
      <c r="H63" s="135">
        <v>43006.986643518518</v>
      </c>
      <c r="I63" s="74" t="s">
        <v>21365</v>
      </c>
      <c r="J63" s="74" t="s">
        <v>21366</v>
      </c>
      <c r="K63" s="74" t="s">
        <v>21381</v>
      </c>
      <c r="L63" s="74">
        <v>555660</v>
      </c>
      <c r="M63" s="74" t="s">
        <v>21368</v>
      </c>
      <c r="N63" s="74">
        <v>1</v>
      </c>
      <c r="O63" s="74" t="s">
        <v>21369</v>
      </c>
      <c r="P63" s="74" t="s">
        <v>21343</v>
      </c>
      <c r="Q63" s="74" t="s">
        <v>21384</v>
      </c>
      <c r="R63" s="74" t="s">
        <v>148</v>
      </c>
      <c r="S63" s="74" t="s">
        <v>21338</v>
      </c>
      <c r="T63" s="74" t="s">
        <v>21371</v>
      </c>
      <c r="U63" s="74">
        <v>0</v>
      </c>
      <c r="V63" s="74">
        <v>0</v>
      </c>
    </row>
    <row r="64" spans="3:22" x14ac:dyDescent="0.25">
      <c r="C64" s="74" t="s">
        <v>735</v>
      </c>
      <c r="D64" s="74" t="s">
        <v>148</v>
      </c>
      <c r="E64" s="74" t="s">
        <v>21338</v>
      </c>
      <c r="F64" s="74">
        <v>570025</v>
      </c>
      <c r="G64" s="74">
        <v>3</v>
      </c>
      <c r="H64" s="135">
        <v>43006.986574074072</v>
      </c>
      <c r="I64" s="74" t="s">
        <v>21339</v>
      </c>
      <c r="J64" s="74" t="s">
        <v>21364</v>
      </c>
      <c r="K64" s="74" t="s">
        <v>9291</v>
      </c>
      <c r="L64" s="74">
        <v>901580</v>
      </c>
      <c r="M64" s="74" t="s">
        <v>21341</v>
      </c>
      <c r="N64" s="74">
        <v>1</v>
      </c>
      <c r="O64" s="74" t="s">
        <v>21342</v>
      </c>
      <c r="P64" s="74" t="s">
        <v>21343</v>
      </c>
      <c r="Q64" s="74">
        <v>0</v>
      </c>
      <c r="R64" s="74" t="s">
        <v>148</v>
      </c>
      <c r="S64" s="74" t="s">
        <v>21338</v>
      </c>
      <c r="T64" s="74" t="s">
        <v>393</v>
      </c>
      <c r="U64" s="74">
        <v>0</v>
      </c>
      <c r="V64" s="74">
        <v>0</v>
      </c>
    </row>
    <row r="65" spans="3:22" x14ac:dyDescent="0.25">
      <c r="C65" s="74" t="s">
        <v>735</v>
      </c>
      <c r="D65" s="74" t="s">
        <v>148</v>
      </c>
      <c r="E65" s="74" t="s">
        <v>21338</v>
      </c>
      <c r="F65" s="74">
        <v>570025</v>
      </c>
      <c r="G65" s="74">
        <v>3</v>
      </c>
      <c r="H65" s="135">
        <v>43006.986516203702</v>
      </c>
      <c r="I65" s="74" t="s">
        <v>21339</v>
      </c>
      <c r="J65" s="74" t="s">
        <v>21364</v>
      </c>
      <c r="K65" s="74" t="s">
        <v>9291</v>
      </c>
      <c r="L65" s="74">
        <v>901580</v>
      </c>
      <c r="M65" s="74" t="s">
        <v>21341</v>
      </c>
      <c r="N65" s="74">
        <v>1</v>
      </c>
      <c r="O65" s="74" t="s">
        <v>21342</v>
      </c>
      <c r="P65" s="74" t="s">
        <v>21343</v>
      </c>
      <c r="Q65" s="74">
        <v>0</v>
      </c>
      <c r="R65" s="74" t="s">
        <v>148</v>
      </c>
      <c r="S65" s="74" t="s">
        <v>21338</v>
      </c>
      <c r="T65" s="74" t="s">
        <v>393</v>
      </c>
      <c r="U65" s="74">
        <v>0</v>
      </c>
      <c r="V65" s="74">
        <v>0</v>
      </c>
    </row>
    <row r="66" spans="3:22" x14ac:dyDescent="0.25">
      <c r="C66" s="74" t="s">
        <v>735</v>
      </c>
      <c r="D66" s="74" t="s">
        <v>148</v>
      </c>
      <c r="E66" s="74" t="s">
        <v>21338</v>
      </c>
      <c r="F66" s="74">
        <v>570025</v>
      </c>
      <c r="G66" s="74">
        <v>3</v>
      </c>
      <c r="H66" s="135">
        <v>43006.985451388886</v>
      </c>
      <c r="I66" s="74" t="s">
        <v>21339</v>
      </c>
      <c r="J66" s="74" t="s">
        <v>21362</v>
      </c>
      <c r="K66" s="74" t="s">
        <v>9291</v>
      </c>
      <c r="L66" s="74">
        <v>901580</v>
      </c>
      <c r="M66" s="74" t="s">
        <v>21341</v>
      </c>
      <c r="N66" s="74">
        <v>1</v>
      </c>
      <c r="O66" s="74" t="s">
        <v>21342</v>
      </c>
      <c r="P66" s="74" t="s">
        <v>21343</v>
      </c>
      <c r="Q66" s="74" t="s">
        <v>21363</v>
      </c>
      <c r="R66" s="74" t="s">
        <v>148</v>
      </c>
      <c r="S66" s="74" t="s">
        <v>21338</v>
      </c>
      <c r="T66" s="74" t="s">
        <v>393</v>
      </c>
      <c r="U66" s="74">
        <v>0</v>
      </c>
      <c r="V66" s="74">
        <v>0</v>
      </c>
    </row>
    <row r="67" spans="3:22" x14ac:dyDescent="0.25">
      <c r="C67" s="74" t="s">
        <v>21385</v>
      </c>
      <c r="D67" s="74" t="s">
        <v>148</v>
      </c>
      <c r="E67" s="74" t="s">
        <v>21338</v>
      </c>
      <c r="F67" s="74">
        <v>560579</v>
      </c>
      <c r="G67" s="74">
        <v>3</v>
      </c>
      <c r="H67" s="135">
        <v>43006.716423611113</v>
      </c>
      <c r="I67" s="74" t="s">
        <v>21354</v>
      </c>
      <c r="J67" s="74" t="s">
        <v>21355</v>
      </c>
      <c r="K67" s="74" t="s">
        <v>8905</v>
      </c>
      <c r="L67" s="74">
        <v>552780</v>
      </c>
      <c r="M67" s="74" t="s">
        <v>21341</v>
      </c>
      <c r="N67" s="74">
        <v>1</v>
      </c>
      <c r="O67" s="74" t="s">
        <v>21342</v>
      </c>
      <c r="P67" s="74" t="s">
        <v>21345</v>
      </c>
      <c r="R67" s="74" t="s">
        <v>148</v>
      </c>
      <c r="S67" s="74" t="s">
        <v>21338</v>
      </c>
      <c r="T67" s="74" t="s">
        <v>402</v>
      </c>
      <c r="U67" s="74">
        <v>0</v>
      </c>
      <c r="V67" s="74">
        <v>0</v>
      </c>
    </row>
    <row r="68" spans="3:22" x14ac:dyDescent="0.25">
      <c r="C68" s="74" t="s">
        <v>21385</v>
      </c>
      <c r="D68" s="74" t="s">
        <v>148</v>
      </c>
      <c r="E68" s="74" t="s">
        <v>21338</v>
      </c>
      <c r="F68" s="74">
        <v>560579</v>
      </c>
      <c r="G68" s="74">
        <v>3</v>
      </c>
      <c r="H68" s="135">
        <v>43006.716180555559</v>
      </c>
      <c r="I68" s="74" t="s">
        <v>21354</v>
      </c>
      <c r="J68" s="74" t="s">
        <v>21355</v>
      </c>
      <c r="K68" s="74" t="s">
        <v>8905</v>
      </c>
      <c r="L68" s="74">
        <v>552780</v>
      </c>
      <c r="M68" s="74" t="s">
        <v>21341</v>
      </c>
      <c r="N68" s="74">
        <v>1</v>
      </c>
      <c r="O68" s="74" t="s">
        <v>21342</v>
      </c>
      <c r="P68" s="74" t="s">
        <v>21345</v>
      </c>
      <c r="R68" s="74" t="s">
        <v>148</v>
      </c>
      <c r="S68" s="74" t="s">
        <v>21338</v>
      </c>
      <c r="T68" s="74" t="s">
        <v>402</v>
      </c>
      <c r="U68" s="74">
        <v>0</v>
      </c>
      <c r="V68" s="74">
        <v>0</v>
      </c>
    </row>
    <row r="69" spans="3:22" x14ac:dyDescent="0.25">
      <c r="C69" s="74" t="s">
        <v>18795</v>
      </c>
      <c r="D69" s="74" t="s">
        <v>148</v>
      </c>
      <c r="E69" s="74" t="s">
        <v>21338</v>
      </c>
      <c r="F69" s="74">
        <v>551367</v>
      </c>
      <c r="G69" s="74">
        <v>1000</v>
      </c>
      <c r="H69" s="135">
        <v>43006.710636574076</v>
      </c>
      <c r="I69" s="74" t="s">
        <v>21339</v>
      </c>
      <c r="J69" s="74" t="s">
        <v>21340</v>
      </c>
      <c r="K69" s="74" t="s">
        <v>19966</v>
      </c>
      <c r="L69" s="74">
        <v>554170</v>
      </c>
      <c r="M69" s="74" t="s">
        <v>21341</v>
      </c>
      <c r="N69" s="74">
        <v>1</v>
      </c>
      <c r="O69" s="74" t="s">
        <v>21342</v>
      </c>
      <c r="P69" s="74" t="s">
        <v>21343</v>
      </c>
      <c r="Q69" s="74">
        <v>0</v>
      </c>
      <c r="R69" s="74" t="s">
        <v>148</v>
      </c>
      <c r="S69" s="74" t="s">
        <v>21338</v>
      </c>
      <c r="T69" s="74" t="s">
        <v>402</v>
      </c>
      <c r="U69" s="74">
        <v>0</v>
      </c>
      <c r="V69" s="74">
        <v>0</v>
      </c>
    </row>
    <row r="70" spans="3:22" x14ac:dyDescent="0.25">
      <c r="C70" s="74" t="s">
        <v>21353</v>
      </c>
      <c r="D70" s="74" t="s">
        <v>148</v>
      </c>
      <c r="E70" s="74" t="s">
        <v>21338</v>
      </c>
      <c r="F70" s="74">
        <v>560946</v>
      </c>
      <c r="G70" s="74">
        <v>3</v>
      </c>
      <c r="H70" s="135">
        <v>43006.650937500002</v>
      </c>
      <c r="I70" s="74" t="s">
        <v>21354</v>
      </c>
      <c r="J70" s="74" t="s">
        <v>21355</v>
      </c>
      <c r="K70" s="74" t="s">
        <v>4938</v>
      </c>
      <c r="L70" s="74">
        <v>552252</v>
      </c>
      <c r="M70" s="74" t="s">
        <v>21341</v>
      </c>
      <c r="N70" s="74">
        <v>1</v>
      </c>
      <c r="O70" s="74" t="s">
        <v>21342</v>
      </c>
      <c r="P70" s="74" t="s">
        <v>21345</v>
      </c>
      <c r="R70" s="74" t="s">
        <v>148</v>
      </c>
      <c r="S70" s="74" t="s">
        <v>21338</v>
      </c>
      <c r="T70" s="74" t="s">
        <v>402</v>
      </c>
      <c r="U70" s="74">
        <v>0</v>
      </c>
      <c r="V70" s="74">
        <v>0</v>
      </c>
    </row>
    <row r="71" spans="3:22" x14ac:dyDescent="0.25">
      <c r="C71" s="74" t="s">
        <v>18795</v>
      </c>
      <c r="D71" s="74" t="s">
        <v>148</v>
      </c>
      <c r="E71" s="74" t="s">
        <v>21338</v>
      </c>
      <c r="F71" s="74">
        <v>551367</v>
      </c>
      <c r="G71" s="74">
        <v>1000</v>
      </c>
      <c r="H71" s="135">
        <v>43006.629201388889</v>
      </c>
      <c r="I71" s="74" t="s">
        <v>21339</v>
      </c>
      <c r="J71" s="74" t="s">
        <v>21340</v>
      </c>
      <c r="K71" s="74" t="s">
        <v>500</v>
      </c>
      <c r="L71" s="74">
        <v>551730</v>
      </c>
      <c r="M71" s="74" t="s">
        <v>21341</v>
      </c>
      <c r="N71" s="74">
        <v>1</v>
      </c>
      <c r="O71" s="74" t="s">
        <v>21342</v>
      </c>
      <c r="P71" s="74" t="s">
        <v>21343</v>
      </c>
      <c r="Q71" s="74">
        <v>0</v>
      </c>
      <c r="R71" s="74" t="s">
        <v>148</v>
      </c>
      <c r="S71" s="74" t="s">
        <v>21338</v>
      </c>
      <c r="T71" s="74" t="s">
        <v>402</v>
      </c>
      <c r="U71" s="74">
        <v>0</v>
      </c>
      <c r="V71" s="74">
        <v>0</v>
      </c>
    </row>
    <row r="72" spans="3:22" x14ac:dyDescent="0.25">
      <c r="C72" s="74" t="s">
        <v>21386</v>
      </c>
      <c r="D72" s="74" t="s">
        <v>148</v>
      </c>
      <c r="E72" s="74" t="s">
        <v>21338</v>
      </c>
      <c r="F72" s="74">
        <v>674396</v>
      </c>
      <c r="G72" s="74">
        <v>3</v>
      </c>
      <c r="H72" s="135">
        <v>43006.58666666667</v>
      </c>
      <c r="I72" s="74" t="s">
        <v>21339</v>
      </c>
      <c r="J72" s="74" t="s">
        <v>21362</v>
      </c>
      <c r="K72" s="74" t="s">
        <v>17579</v>
      </c>
      <c r="L72" s="74">
        <v>553775</v>
      </c>
      <c r="M72" s="74" t="s">
        <v>21341</v>
      </c>
      <c r="N72" s="74">
        <v>1</v>
      </c>
      <c r="O72" s="74" t="s">
        <v>21342</v>
      </c>
      <c r="P72" s="74" t="s">
        <v>21343</v>
      </c>
      <c r="Q72" s="74" t="s">
        <v>21363</v>
      </c>
      <c r="R72" s="74" t="s">
        <v>148</v>
      </c>
      <c r="S72" s="74" t="s">
        <v>21338</v>
      </c>
      <c r="T72" s="74" t="s">
        <v>393</v>
      </c>
      <c r="U72" s="74">
        <v>0</v>
      </c>
      <c r="V72" s="74">
        <v>0</v>
      </c>
    </row>
    <row r="73" spans="3:22" x14ac:dyDescent="0.25">
      <c r="C73" s="74" t="s">
        <v>21386</v>
      </c>
      <c r="D73" s="74" t="s">
        <v>148</v>
      </c>
      <c r="E73" s="74" t="s">
        <v>21338</v>
      </c>
      <c r="F73" s="74">
        <v>674396</v>
      </c>
      <c r="G73" s="74">
        <v>3</v>
      </c>
      <c r="H73" s="135">
        <v>43006.586412037039</v>
      </c>
      <c r="I73" s="74" t="s">
        <v>21339</v>
      </c>
      <c r="J73" s="74" t="s">
        <v>21364</v>
      </c>
      <c r="K73" s="74" t="s">
        <v>17579</v>
      </c>
      <c r="L73" s="74">
        <v>553775</v>
      </c>
      <c r="M73" s="74" t="s">
        <v>21341</v>
      </c>
      <c r="N73" s="74">
        <v>1</v>
      </c>
      <c r="O73" s="74" t="s">
        <v>21342</v>
      </c>
      <c r="P73" s="74" t="s">
        <v>21343</v>
      </c>
      <c r="Q73" s="74">
        <v>0</v>
      </c>
      <c r="R73" s="74" t="s">
        <v>148</v>
      </c>
      <c r="S73" s="74" t="s">
        <v>21338</v>
      </c>
      <c r="T73" s="74" t="s">
        <v>402</v>
      </c>
      <c r="U73" s="74">
        <v>0</v>
      </c>
      <c r="V73" s="74">
        <v>0</v>
      </c>
    </row>
    <row r="74" spans="3:22" x14ac:dyDescent="0.25">
      <c r="C74" s="74" t="s">
        <v>21386</v>
      </c>
      <c r="D74" s="74" t="s">
        <v>148</v>
      </c>
      <c r="E74" s="74" t="s">
        <v>21338</v>
      </c>
      <c r="F74" s="74">
        <v>674396</v>
      </c>
      <c r="G74" s="74">
        <v>3</v>
      </c>
      <c r="H74" s="135">
        <v>43006.586400462962</v>
      </c>
      <c r="I74" s="74" t="s">
        <v>21365</v>
      </c>
      <c r="J74" s="74" t="s">
        <v>21366</v>
      </c>
      <c r="K74" s="74" t="s">
        <v>21367</v>
      </c>
      <c r="L74" s="74">
        <v>561482</v>
      </c>
      <c r="M74" s="74" t="s">
        <v>21368</v>
      </c>
      <c r="N74" s="74">
        <v>1</v>
      </c>
      <c r="O74" s="74" t="s">
        <v>21369</v>
      </c>
      <c r="P74" s="74" t="s">
        <v>21343</v>
      </c>
      <c r="Q74" s="74" t="s">
        <v>21387</v>
      </c>
      <c r="R74" s="74" t="s">
        <v>148</v>
      </c>
      <c r="S74" s="74" t="s">
        <v>21338</v>
      </c>
      <c r="T74" s="74" t="s">
        <v>21371</v>
      </c>
      <c r="U74" s="74">
        <v>0</v>
      </c>
      <c r="V74" s="74">
        <v>0</v>
      </c>
    </row>
    <row r="75" spans="3:22" x14ac:dyDescent="0.25">
      <c r="C75" s="74" t="s">
        <v>21386</v>
      </c>
      <c r="D75" s="74" t="s">
        <v>148</v>
      </c>
      <c r="E75" s="74" t="s">
        <v>21338</v>
      </c>
      <c r="F75" s="74">
        <v>674396</v>
      </c>
      <c r="G75" s="74">
        <v>3</v>
      </c>
      <c r="H75" s="135">
        <v>43006.586377314816</v>
      </c>
      <c r="I75" s="74" t="s">
        <v>21365</v>
      </c>
      <c r="J75" s="74" t="s">
        <v>21366</v>
      </c>
      <c r="K75" s="74" t="s">
        <v>21373</v>
      </c>
      <c r="L75" s="74">
        <v>555662</v>
      </c>
      <c r="M75" s="74" t="s">
        <v>21368</v>
      </c>
      <c r="N75" s="74">
        <v>1</v>
      </c>
      <c r="O75" s="74" t="s">
        <v>21369</v>
      </c>
      <c r="P75" s="74" t="s">
        <v>21343</v>
      </c>
      <c r="Q75" s="74" t="s">
        <v>21387</v>
      </c>
      <c r="R75" s="74" t="s">
        <v>148</v>
      </c>
      <c r="S75" s="74" t="s">
        <v>21338</v>
      </c>
      <c r="T75" s="74" t="s">
        <v>21371</v>
      </c>
      <c r="U75" s="74">
        <v>0</v>
      </c>
      <c r="V75" s="74">
        <v>0</v>
      </c>
    </row>
    <row r="76" spans="3:22" x14ac:dyDescent="0.25">
      <c r="C76" s="74" t="s">
        <v>21386</v>
      </c>
      <c r="D76" s="74" t="s">
        <v>148</v>
      </c>
      <c r="E76" s="74" t="s">
        <v>21338</v>
      </c>
      <c r="F76" s="74">
        <v>674396</v>
      </c>
      <c r="G76" s="74">
        <v>3</v>
      </c>
      <c r="H76" s="135">
        <v>43006.586377314816</v>
      </c>
      <c r="I76" s="74" t="s">
        <v>21365</v>
      </c>
      <c r="J76" s="74" t="s">
        <v>21366</v>
      </c>
      <c r="K76" s="74" t="s">
        <v>21372</v>
      </c>
      <c r="L76" s="74">
        <v>555674</v>
      </c>
      <c r="M76" s="74" t="s">
        <v>21368</v>
      </c>
      <c r="N76" s="74">
        <v>1</v>
      </c>
      <c r="O76" s="74" t="s">
        <v>21369</v>
      </c>
      <c r="P76" s="74" t="s">
        <v>21343</v>
      </c>
      <c r="Q76" s="74" t="s">
        <v>21387</v>
      </c>
      <c r="R76" s="74" t="s">
        <v>148</v>
      </c>
      <c r="S76" s="74" t="s">
        <v>21338</v>
      </c>
      <c r="T76" s="74" t="s">
        <v>21371</v>
      </c>
      <c r="U76" s="74">
        <v>0</v>
      </c>
      <c r="V76" s="74">
        <v>0</v>
      </c>
    </row>
    <row r="77" spans="3:22" x14ac:dyDescent="0.25">
      <c r="C77" s="74" t="s">
        <v>21386</v>
      </c>
      <c r="D77" s="74" t="s">
        <v>148</v>
      </c>
      <c r="E77" s="74" t="s">
        <v>21338</v>
      </c>
      <c r="F77" s="74">
        <v>674396</v>
      </c>
      <c r="G77" s="74">
        <v>3</v>
      </c>
      <c r="H77" s="135">
        <v>43006.586365740739</v>
      </c>
      <c r="I77" s="74" t="s">
        <v>21365</v>
      </c>
      <c r="J77" s="74" t="s">
        <v>21366</v>
      </c>
      <c r="K77" s="74" t="s">
        <v>21375</v>
      </c>
      <c r="L77" s="74">
        <v>561082</v>
      </c>
      <c r="M77" s="74" t="s">
        <v>21368</v>
      </c>
      <c r="N77" s="74">
        <v>1</v>
      </c>
      <c r="O77" s="74" t="s">
        <v>21369</v>
      </c>
      <c r="P77" s="74" t="s">
        <v>21343</v>
      </c>
      <c r="Q77" s="74" t="s">
        <v>21387</v>
      </c>
      <c r="R77" s="74" t="s">
        <v>148</v>
      </c>
      <c r="S77" s="74" t="s">
        <v>21338</v>
      </c>
      <c r="T77" s="74" t="s">
        <v>21371</v>
      </c>
      <c r="U77" s="74">
        <v>0</v>
      </c>
      <c r="V77" s="74">
        <v>0</v>
      </c>
    </row>
    <row r="78" spans="3:22" x14ac:dyDescent="0.25">
      <c r="C78" s="74" t="s">
        <v>21386</v>
      </c>
      <c r="D78" s="74" t="s">
        <v>148</v>
      </c>
      <c r="E78" s="74" t="s">
        <v>21338</v>
      </c>
      <c r="F78" s="74">
        <v>674396</v>
      </c>
      <c r="G78" s="74">
        <v>3</v>
      </c>
      <c r="H78" s="135">
        <v>43006.586365740739</v>
      </c>
      <c r="I78" s="74" t="s">
        <v>21365</v>
      </c>
      <c r="J78" s="74" t="s">
        <v>21366</v>
      </c>
      <c r="K78" s="74" t="s">
        <v>21374</v>
      </c>
      <c r="L78" s="74">
        <v>555669</v>
      </c>
      <c r="M78" s="74" t="s">
        <v>21368</v>
      </c>
      <c r="N78" s="74">
        <v>1</v>
      </c>
      <c r="O78" s="74" t="s">
        <v>21369</v>
      </c>
      <c r="P78" s="74" t="s">
        <v>21343</v>
      </c>
      <c r="Q78" s="74" t="s">
        <v>21387</v>
      </c>
      <c r="R78" s="74" t="s">
        <v>148</v>
      </c>
      <c r="S78" s="74" t="s">
        <v>21338</v>
      </c>
      <c r="T78" s="74" t="s">
        <v>21371</v>
      </c>
      <c r="U78" s="74">
        <v>0</v>
      </c>
      <c r="V78" s="74">
        <v>0</v>
      </c>
    </row>
    <row r="79" spans="3:22" x14ac:dyDescent="0.25">
      <c r="C79" s="74" t="s">
        <v>21386</v>
      </c>
      <c r="D79" s="74" t="s">
        <v>148</v>
      </c>
      <c r="E79" s="74" t="s">
        <v>21338</v>
      </c>
      <c r="F79" s="74">
        <v>674396</v>
      </c>
      <c r="G79" s="74">
        <v>3</v>
      </c>
      <c r="H79" s="135">
        <v>43006.586354166669</v>
      </c>
      <c r="I79" s="74" t="s">
        <v>21365</v>
      </c>
      <c r="J79" s="74" t="s">
        <v>21366</v>
      </c>
      <c r="K79" s="74" t="s">
        <v>21376</v>
      </c>
      <c r="L79" s="74">
        <v>555659</v>
      </c>
      <c r="M79" s="74" t="s">
        <v>21368</v>
      </c>
      <c r="N79" s="74">
        <v>1</v>
      </c>
      <c r="O79" s="74" t="s">
        <v>21369</v>
      </c>
      <c r="P79" s="74" t="s">
        <v>21343</v>
      </c>
      <c r="Q79" s="74" t="s">
        <v>21387</v>
      </c>
      <c r="R79" s="74" t="s">
        <v>148</v>
      </c>
      <c r="S79" s="74" t="s">
        <v>21338</v>
      </c>
      <c r="T79" s="74" t="s">
        <v>21371</v>
      </c>
      <c r="U79" s="74">
        <v>0</v>
      </c>
      <c r="V79" s="74">
        <v>0</v>
      </c>
    </row>
    <row r="80" spans="3:22" x14ac:dyDescent="0.25">
      <c r="C80" s="74" t="s">
        <v>21386</v>
      </c>
      <c r="D80" s="74" t="s">
        <v>148</v>
      </c>
      <c r="E80" s="74" t="s">
        <v>21338</v>
      </c>
      <c r="F80" s="74">
        <v>674396</v>
      </c>
      <c r="G80" s="74">
        <v>3</v>
      </c>
      <c r="H80" s="135">
        <v>43006.586342592593</v>
      </c>
      <c r="I80" s="74" t="s">
        <v>21365</v>
      </c>
      <c r="J80" s="74" t="s">
        <v>21366</v>
      </c>
      <c r="K80" s="74" t="s">
        <v>21377</v>
      </c>
      <c r="L80" s="74">
        <v>555668</v>
      </c>
      <c r="M80" s="74" t="s">
        <v>21368</v>
      </c>
      <c r="N80" s="74">
        <v>1</v>
      </c>
      <c r="O80" s="74" t="s">
        <v>21369</v>
      </c>
      <c r="P80" s="74" t="s">
        <v>21343</v>
      </c>
      <c r="Q80" s="74" t="s">
        <v>21387</v>
      </c>
      <c r="R80" s="74" t="s">
        <v>148</v>
      </c>
      <c r="S80" s="74" t="s">
        <v>21338</v>
      </c>
      <c r="T80" s="74" t="s">
        <v>21371</v>
      </c>
      <c r="U80" s="74">
        <v>0</v>
      </c>
      <c r="V80" s="74">
        <v>0</v>
      </c>
    </row>
    <row r="81" spans="3:22" x14ac:dyDescent="0.25">
      <c r="C81" s="74" t="s">
        <v>21386</v>
      </c>
      <c r="D81" s="74" t="s">
        <v>148</v>
      </c>
      <c r="E81" s="74" t="s">
        <v>21338</v>
      </c>
      <c r="F81" s="74">
        <v>674396</v>
      </c>
      <c r="G81" s="74">
        <v>3</v>
      </c>
      <c r="H81" s="135">
        <v>43006.586319444446</v>
      </c>
      <c r="I81" s="74" t="s">
        <v>21339</v>
      </c>
      <c r="J81" s="74" t="s">
        <v>21364</v>
      </c>
      <c r="K81" s="74" t="s">
        <v>17579</v>
      </c>
      <c r="L81" s="74">
        <v>553775</v>
      </c>
      <c r="M81" s="74" t="s">
        <v>21341</v>
      </c>
      <c r="N81" s="74">
        <v>1</v>
      </c>
      <c r="O81" s="74" t="s">
        <v>21342</v>
      </c>
      <c r="P81" s="74" t="s">
        <v>21343</v>
      </c>
      <c r="Q81" s="74">
        <v>0</v>
      </c>
      <c r="R81" s="74" t="s">
        <v>148</v>
      </c>
      <c r="S81" s="74" t="s">
        <v>21338</v>
      </c>
      <c r="T81" s="74" t="s">
        <v>402</v>
      </c>
      <c r="U81" s="74">
        <v>0</v>
      </c>
      <c r="V81" s="74">
        <v>0</v>
      </c>
    </row>
    <row r="82" spans="3:22" x14ac:dyDescent="0.25">
      <c r="C82" s="74" t="s">
        <v>21386</v>
      </c>
      <c r="D82" s="74" t="s">
        <v>148</v>
      </c>
      <c r="E82" s="74" t="s">
        <v>21338</v>
      </c>
      <c r="F82" s="74">
        <v>674396</v>
      </c>
      <c r="G82" s="74">
        <v>3</v>
      </c>
      <c r="H82" s="135">
        <v>43006.586273148147</v>
      </c>
      <c r="I82" s="74" t="s">
        <v>21339</v>
      </c>
      <c r="J82" s="74" t="s">
        <v>21364</v>
      </c>
      <c r="K82" s="74" t="s">
        <v>17579</v>
      </c>
      <c r="L82" s="74">
        <v>553775</v>
      </c>
      <c r="M82" s="74" t="s">
        <v>21341</v>
      </c>
      <c r="N82" s="74">
        <v>1</v>
      </c>
      <c r="O82" s="74" t="s">
        <v>21342</v>
      </c>
      <c r="P82" s="74" t="s">
        <v>21343</v>
      </c>
      <c r="Q82" s="74">
        <v>0</v>
      </c>
      <c r="R82" s="74" t="s">
        <v>148</v>
      </c>
      <c r="S82" s="74" t="s">
        <v>21338</v>
      </c>
      <c r="T82" s="74" t="s">
        <v>402</v>
      </c>
      <c r="U82" s="74">
        <v>0</v>
      </c>
      <c r="V82" s="74">
        <v>0</v>
      </c>
    </row>
    <row r="83" spans="3:22" x14ac:dyDescent="0.25">
      <c r="C83" s="74" t="s">
        <v>21386</v>
      </c>
      <c r="D83" s="74" t="s">
        <v>148</v>
      </c>
      <c r="E83" s="74" t="s">
        <v>21338</v>
      </c>
      <c r="F83" s="74">
        <v>674396</v>
      </c>
      <c r="G83" s="74">
        <v>3</v>
      </c>
      <c r="H83" s="135">
        <v>43006.585729166669</v>
      </c>
      <c r="I83" s="74" t="s">
        <v>21339</v>
      </c>
      <c r="J83" s="74" t="s">
        <v>21360</v>
      </c>
      <c r="K83" s="74" t="s">
        <v>17579</v>
      </c>
      <c r="L83" s="74">
        <v>553775</v>
      </c>
      <c r="M83" s="74" t="s">
        <v>21341</v>
      </c>
      <c r="N83" s="74">
        <v>1</v>
      </c>
      <c r="O83" s="74" t="s">
        <v>21342</v>
      </c>
      <c r="P83" s="74" t="s">
        <v>21343</v>
      </c>
      <c r="Q83" s="74" t="s">
        <v>21361</v>
      </c>
      <c r="R83" s="74" t="s">
        <v>148</v>
      </c>
      <c r="S83" s="74" t="s">
        <v>21338</v>
      </c>
      <c r="T83" s="74" t="s">
        <v>402</v>
      </c>
      <c r="U83" s="74">
        <v>0</v>
      </c>
      <c r="V83" s="74">
        <v>0</v>
      </c>
    </row>
    <row r="84" spans="3:22" x14ac:dyDescent="0.25">
      <c r="C84" s="74" t="s">
        <v>21388</v>
      </c>
      <c r="D84" s="74" t="s">
        <v>148</v>
      </c>
      <c r="E84" s="74" t="s">
        <v>21338</v>
      </c>
      <c r="F84" s="74">
        <v>560366</v>
      </c>
      <c r="G84" s="74">
        <v>3</v>
      </c>
      <c r="H84" s="135">
        <v>43006.570555555554</v>
      </c>
      <c r="I84" s="74" t="s">
        <v>21354</v>
      </c>
      <c r="J84" s="74" t="s">
        <v>21355</v>
      </c>
      <c r="K84" s="74" t="s">
        <v>21389</v>
      </c>
      <c r="L84" s="74">
        <v>864176</v>
      </c>
      <c r="M84" s="74" t="s">
        <v>21341</v>
      </c>
      <c r="N84" s="74">
        <v>1</v>
      </c>
      <c r="O84" s="74" t="s">
        <v>21342</v>
      </c>
      <c r="P84" s="74" t="s">
        <v>21345</v>
      </c>
      <c r="R84" s="74" t="s">
        <v>148</v>
      </c>
      <c r="S84" s="74" t="s">
        <v>21338</v>
      </c>
      <c r="T84" s="74" t="s">
        <v>402</v>
      </c>
      <c r="U84" s="74">
        <v>0</v>
      </c>
      <c r="V84" s="74">
        <v>0</v>
      </c>
    </row>
    <row r="85" spans="3:22" x14ac:dyDescent="0.25">
      <c r="C85" s="74" t="s">
        <v>21388</v>
      </c>
      <c r="D85" s="74" t="s">
        <v>148</v>
      </c>
      <c r="E85" s="74" t="s">
        <v>21338</v>
      </c>
      <c r="F85" s="74">
        <v>560366</v>
      </c>
      <c r="G85" s="74">
        <v>3</v>
      </c>
      <c r="H85" s="135">
        <v>43006.566504629627</v>
      </c>
      <c r="I85" s="74" t="s">
        <v>21354</v>
      </c>
      <c r="J85" s="74" t="s">
        <v>21355</v>
      </c>
      <c r="K85" s="74" t="s">
        <v>21389</v>
      </c>
      <c r="L85" s="74">
        <v>864176</v>
      </c>
      <c r="M85" s="74" t="s">
        <v>21341</v>
      </c>
      <c r="N85" s="74">
        <v>1</v>
      </c>
      <c r="O85" s="74" t="s">
        <v>21342</v>
      </c>
      <c r="P85" s="74" t="s">
        <v>21345</v>
      </c>
      <c r="R85" s="74" t="s">
        <v>148</v>
      </c>
      <c r="S85" s="74" t="s">
        <v>21338</v>
      </c>
      <c r="T85" s="74" t="s">
        <v>402</v>
      </c>
      <c r="U85" s="74">
        <v>0</v>
      </c>
      <c r="V85" s="74">
        <v>0</v>
      </c>
    </row>
    <row r="86" spans="3:22" x14ac:dyDescent="0.25">
      <c r="C86" s="74" t="s">
        <v>21388</v>
      </c>
      <c r="D86" s="74" t="s">
        <v>148</v>
      </c>
      <c r="E86" s="74" t="s">
        <v>21338</v>
      </c>
      <c r="F86" s="74">
        <v>560366</v>
      </c>
      <c r="G86" s="74">
        <v>3</v>
      </c>
      <c r="H86" s="135">
        <v>43006.565671296295</v>
      </c>
      <c r="I86" s="74" t="s">
        <v>21354</v>
      </c>
      <c r="J86" s="74" t="s">
        <v>21355</v>
      </c>
      <c r="K86" s="74" t="s">
        <v>21389</v>
      </c>
      <c r="L86" s="74">
        <v>864176</v>
      </c>
      <c r="M86" s="74" t="s">
        <v>21341</v>
      </c>
      <c r="N86" s="74">
        <v>1</v>
      </c>
      <c r="O86" s="74" t="s">
        <v>21342</v>
      </c>
      <c r="P86" s="74" t="s">
        <v>21345</v>
      </c>
      <c r="R86" s="74" t="s">
        <v>148</v>
      </c>
      <c r="S86" s="74" t="s">
        <v>21338</v>
      </c>
      <c r="T86" s="74" t="s">
        <v>402</v>
      </c>
      <c r="U86" s="74">
        <v>0</v>
      </c>
      <c r="V86" s="74">
        <v>0</v>
      </c>
    </row>
    <row r="87" spans="3:22" x14ac:dyDescent="0.25">
      <c r="C87" s="74" t="s">
        <v>18795</v>
      </c>
      <c r="D87" s="74" t="s">
        <v>148</v>
      </c>
      <c r="E87" s="74" t="s">
        <v>21338</v>
      </c>
      <c r="F87" s="74">
        <v>551367</v>
      </c>
      <c r="G87" s="74">
        <v>1000</v>
      </c>
      <c r="H87" s="135">
        <v>43006.550474537034</v>
      </c>
      <c r="I87" s="74" t="s">
        <v>21339</v>
      </c>
      <c r="J87" s="74" t="s">
        <v>21340</v>
      </c>
      <c r="K87" s="74" t="s">
        <v>5771</v>
      </c>
      <c r="L87" s="74">
        <v>552365</v>
      </c>
      <c r="M87" s="74" t="s">
        <v>21341</v>
      </c>
      <c r="N87" s="74">
        <v>1</v>
      </c>
      <c r="O87" s="74" t="s">
        <v>21342</v>
      </c>
      <c r="P87" s="74" t="s">
        <v>21343</v>
      </c>
      <c r="Q87" s="74">
        <v>0</v>
      </c>
      <c r="R87" s="74" t="s">
        <v>148</v>
      </c>
      <c r="S87" s="74" t="s">
        <v>21338</v>
      </c>
      <c r="T87" s="74" t="s">
        <v>402</v>
      </c>
      <c r="U87" s="74">
        <v>0</v>
      </c>
      <c r="V87" s="74">
        <v>0</v>
      </c>
    </row>
    <row r="88" spans="3:22" x14ac:dyDescent="0.25">
      <c r="C88" s="74" t="s">
        <v>21390</v>
      </c>
      <c r="D88" s="74" t="s">
        <v>148</v>
      </c>
      <c r="E88" s="74" t="s">
        <v>21338</v>
      </c>
      <c r="F88" s="74">
        <v>560864</v>
      </c>
      <c r="G88" s="74">
        <v>3</v>
      </c>
      <c r="H88" s="135">
        <v>43006.550266203703</v>
      </c>
      <c r="I88" s="74" t="s">
        <v>21354</v>
      </c>
      <c r="J88" s="74" t="s">
        <v>21355</v>
      </c>
      <c r="K88" s="74" t="s">
        <v>18965</v>
      </c>
      <c r="L88" s="74">
        <v>863244</v>
      </c>
      <c r="M88" s="74" t="s">
        <v>21341</v>
      </c>
      <c r="N88" s="74">
        <v>1</v>
      </c>
      <c r="O88" s="74" t="s">
        <v>21342</v>
      </c>
      <c r="P88" s="74" t="s">
        <v>21345</v>
      </c>
      <c r="R88" s="74" t="s">
        <v>148</v>
      </c>
      <c r="S88" s="74" t="s">
        <v>21338</v>
      </c>
      <c r="T88" s="74" t="s">
        <v>402</v>
      </c>
      <c r="U88" s="74">
        <v>0</v>
      </c>
      <c r="V88" s="74">
        <v>0</v>
      </c>
    </row>
    <row r="89" spans="3:22" x14ac:dyDescent="0.25">
      <c r="C89" s="74" t="s">
        <v>18795</v>
      </c>
      <c r="D89" s="74" t="s">
        <v>148</v>
      </c>
      <c r="E89" s="74" t="s">
        <v>21338</v>
      </c>
      <c r="F89" s="74">
        <v>551367</v>
      </c>
      <c r="G89" s="74">
        <v>1000</v>
      </c>
      <c r="H89" s="135">
        <v>43006.549143518518</v>
      </c>
      <c r="I89" s="74" t="s">
        <v>21339</v>
      </c>
      <c r="J89" s="74" t="s">
        <v>21340</v>
      </c>
      <c r="K89" s="74" t="s">
        <v>18768</v>
      </c>
      <c r="L89" s="74">
        <v>554033</v>
      </c>
      <c r="M89" s="74" t="s">
        <v>21341</v>
      </c>
      <c r="N89" s="74">
        <v>1</v>
      </c>
      <c r="O89" s="74" t="s">
        <v>21342</v>
      </c>
      <c r="P89" s="74" t="s">
        <v>21343</v>
      </c>
      <c r="Q89" s="74">
        <v>0</v>
      </c>
      <c r="R89" s="74" t="s">
        <v>148</v>
      </c>
      <c r="S89" s="74" t="s">
        <v>21338</v>
      </c>
      <c r="T89" s="74" t="s">
        <v>393</v>
      </c>
      <c r="U89" s="74">
        <v>0</v>
      </c>
      <c r="V89" s="74">
        <v>0</v>
      </c>
    </row>
    <row r="90" spans="3:22" x14ac:dyDescent="0.25">
      <c r="C90" s="74" t="s">
        <v>18795</v>
      </c>
      <c r="D90" s="74" t="s">
        <v>148</v>
      </c>
      <c r="E90" s="74" t="s">
        <v>21338</v>
      </c>
      <c r="F90" s="74">
        <v>551367</v>
      </c>
      <c r="G90" s="74">
        <v>1000</v>
      </c>
      <c r="H90" s="135">
        <v>43006.54519675926</v>
      </c>
      <c r="I90" s="74" t="s">
        <v>21339</v>
      </c>
      <c r="J90" s="74" t="s">
        <v>21340</v>
      </c>
      <c r="K90" s="74" t="s">
        <v>17633</v>
      </c>
      <c r="L90" s="74">
        <v>553900</v>
      </c>
      <c r="M90" s="74" t="s">
        <v>21341</v>
      </c>
      <c r="N90" s="74">
        <v>1</v>
      </c>
      <c r="O90" s="74" t="s">
        <v>21342</v>
      </c>
      <c r="P90" s="74" t="s">
        <v>21343</v>
      </c>
      <c r="Q90" s="74">
        <v>0</v>
      </c>
      <c r="R90" s="74" t="s">
        <v>148</v>
      </c>
      <c r="S90" s="74" t="s">
        <v>21338</v>
      </c>
      <c r="T90" s="74" t="s">
        <v>402</v>
      </c>
      <c r="U90" s="74">
        <v>0</v>
      </c>
      <c r="V90" s="74">
        <v>0</v>
      </c>
    </row>
    <row r="91" spans="3:22" x14ac:dyDescent="0.25">
      <c r="C91" s="74" t="s">
        <v>18795</v>
      </c>
      <c r="D91" s="74" t="s">
        <v>148</v>
      </c>
      <c r="E91" s="74" t="s">
        <v>21338</v>
      </c>
      <c r="F91" s="74">
        <v>551367</v>
      </c>
      <c r="G91" s="74">
        <v>1000</v>
      </c>
      <c r="H91" s="135">
        <v>43006.541504629633</v>
      </c>
      <c r="I91" s="74" t="s">
        <v>21339</v>
      </c>
      <c r="J91" s="74" t="s">
        <v>21340</v>
      </c>
      <c r="K91" s="74" t="s">
        <v>8905</v>
      </c>
      <c r="L91" s="74">
        <v>552780</v>
      </c>
      <c r="M91" s="74" t="s">
        <v>21341</v>
      </c>
      <c r="N91" s="74">
        <v>1</v>
      </c>
      <c r="O91" s="74" t="s">
        <v>21342</v>
      </c>
      <c r="P91" s="74" t="s">
        <v>21343</v>
      </c>
      <c r="Q91" s="74">
        <v>0</v>
      </c>
      <c r="R91" s="74" t="s">
        <v>148</v>
      </c>
      <c r="S91" s="74" t="s">
        <v>21338</v>
      </c>
      <c r="T91" s="74" t="s">
        <v>402</v>
      </c>
      <c r="U91" s="74">
        <v>0</v>
      </c>
      <c r="V91" s="74">
        <v>0</v>
      </c>
    </row>
    <row r="92" spans="3:22" x14ac:dyDescent="0.25">
      <c r="C92" s="74" t="s">
        <v>735</v>
      </c>
      <c r="D92" s="74" t="s">
        <v>148</v>
      </c>
      <c r="E92" s="74" t="s">
        <v>21338</v>
      </c>
      <c r="F92" s="74">
        <v>570025</v>
      </c>
      <c r="G92" s="74">
        <v>3</v>
      </c>
      <c r="H92" s="135">
        <v>43006.533726851849</v>
      </c>
      <c r="I92" s="74" t="s">
        <v>21339</v>
      </c>
      <c r="J92" s="74" t="s">
        <v>21364</v>
      </c>
      <c r="K92" s="74" t="s">
        <v>21358</v>
      </c>
      <c r="L92" s="74">
        <v>658878</v>
      </c>
      <c r="M92" s="74" t="s">
        <v>21341</v>
      </c>
      <c r="N92" s="74">
        <v>1</v>
      </c>
      <c r="O92" s="74" t="s">
        <v>21342</v>
      </c>
      <c r="P92" s="74" t="s">
        <v>21343</v>
      </c>
      <c r="Q92" s="74">
        <v>0</v>
      </c>
      <c r="R92" s="74" t="s">
        <v>148</v>
      </c>
      <c r="S92" s="74" t="s">
        <v>21338</v>
      </c>
      <c r="T92" s="74" t="s">
        <v>393</v>
      </c>
      <c r="U92" s="74">
        <v>0</v>
      </c>
      <c r="V92" s="74">
        <v>0</v>
      </c>
    </row>
    <row r="93" spans="3:22" x14ac:dyDescent="0.25">
      <c r="C93" s="74" t="s">
        <v>735</v>
      </c>
      <c r="D93" s="74" t="s">
        <v>148</v>
      </c>
      <c r="E93" s="74" t="s">
        <v>21338</v>
      </c>
      <c r="F93" s="74">
        <v>570025</v>
      </c>
      <c r="G93" s="74">
        <v>3</v>
      </c>
      <c r="H93" s="135">
        <v>43006.524224537039</v>
      </c>
      <c r="I93" s="74" t="s">
        <v>21339</v>
      </c>
      <c r="J93" s="74" t="s">
        <v>21360</v>
      </c>
      <c r="K93" s="74" t="s">
        <v>13548</v>
      </c>
      <c r="L93" s="74">
        <v>553371</v>
      </c>
      <c r="M93" s="74" t="s">
        <v>21341</v>
      </c>
      <c r="N93" s="74">
        <v>1</v>
      </c>
      <c r="O93" s="74" t="s">
        <v>21342</v>
      </c>
      <c r="P93" s="74" t="s">
        <v>21343</v>
      </c>
      <c r="Q93" s="74" t="s">
        <v>21361</v>
      </c>
      <c r="R93" s="74" t="s">
        <v>148</v>
      </c>
      <c r="S93" s="74" t="s">
        <v>21338</v>
      </c>
      <c r="T93" s="74" t="s">
        <v>393</v>
      </c>
      <c r="U93" s="74">
        <v>0</v>
      </c>
      <c r="V93" s="74">
        <v>0</v>
      </c>
    </row>
    <row r="94" spans="3:22" x14ac:dyDescent="0.25">
      <c r="C94" s="74" t="s">
        <v>735</v>
      </c>
      <c r="D94" s="74" t="s">
        <v>148</v>
      </c>
      <c r="E94" s="74" t="s">
        <v>21338</v>
      </c>
      <c r="F94" s="74">
        <v>570025</v>
      </c>
      <c r="G94" s="74">
        <v>3</v>
      </c>
      <c r="H94" s="135">
        <v>43006.522326388891</v>
      </c>
      <c r="I94" s="74" t="s">
        <v>21365</v>
      </c>
      <c r="J94" s="74" t="s">
        <v>21366</v>
      </c>
      <c r="K94" s="74" t="s">
        <v>21367</v>
      </c>
      <c r="L94" s="74">
        <v>561482</v>
      </c>
      <c r="M94" s="74" t="s">
        <v>21368</v>
      </c>
      <c r="N94" s="74">
        <v>1</v>
      </c>
      <c r="O94" s="74" t="s">
        <v>21369</v>
      </c>
      <c r="P94" s="74" t="s">
        <v>21343</v>
      </c>
      <c r="Q94" s="74" t="s">
        <v>21392</v>
      </c>
      <c r="R94" s="74" t="s">
        <v>148</v>
      </c>
      <c r="S94" s="74" t="s">
        <v>21338</v>
      </c>
      <c r="T94" s="74" t="s">
        <v>21371</v>
      </c>
      <c r="U94" s="74">
        <v>0</v>
      </c>
      <c r="V94" s="74">
        <v>0</v>
      </c>
    </row>
    <row r="95" spans="3:22" x14ac:dyDescent="0.25">
      <c r="C95" s="74" t="s">
        <v>735</v>
      </c>
      <c r="D95" s="74" t="s">
        <v>148</v>
      </c>
      <c r="E95" s="74" t="s">
        <v>21338</v>
      </c>
      <c r="F95" s="74">
        <v>570025</v>
      </c>
      <c r="G95" s="74">
        <v>3</v>
      </c>
      <c r="H95" s="135">
        <v>43006.522326388891</v>
      </c>
      <c r="I95" s="74" t="s">
        <v>21339</v>
      </c>
      <c r="J95" s="74" t="s">
        <v>21364</v>
      </c>
      <c r="K95" s="74" t="s">
        <v>13548</v>
      </c>
      <c r="L95" s="74">
        <v>553371</v>
      </c>
      <c r="M95" s="74" t="s">
        <v>21341</v>
      </c>
      <c r="N95" s="74">
        <v>1</v>
      </c>
      <c r="O95" s="74" t="s">
        <v>21342</v>
      </c>
      <c r="P95" s="74" t="s">
        <v>21343</v>
      </c>
      <c r="Q95" s="74">
        <v>0</v>
      </c>
      <c r="R95" s="74" t="s">
        <v>148</v>
      </c>
      <c r="S95" s="74" t="s">
        <v>21338</v>
      </c>
      <c r="T95" s="74" t="s">
        <v>393</v>
      </c>
      <c r="U95" s="74">
        <v>0</v>
      </c>
      <c r="V95" s="74">
        <v>0</v>
      </c>
    </row>
    <row r="96" spans="3:22" x14ac:dyDescent="0.25">
      <c r="C96" s="74" t="s">
        <v>735</v>
      </c>
      <c r="D96" s="74" t="s">
        <v>148</v>
      </c>
      <c r="E96" s="74" t="s">
        <v>21338</v>
      </c>
      <c r="F96" s="74">
        <v>570025</v>
      </c>
      <c r="G96" s="74">
        <v>3</v>
      </c>
      <c r="H96" s="135">
        <v>43006.522303240738</v>
      </c>
      <c r="I96" s="74" t="s">
        <v>21365</v>
      </c>
      <c r="J96" s="74" t="s">
        <v>21366</v>
      </c>
      <c r="K96" s="74" t="s">
        <v>21393</v>
      </c>
      <c r="L96" s="74">
        <v>555664</v>
      </c>
      <c r="M96" s="74" t="s">
        <v>21368</v>
      </c>
      <c r="N96" s="74">
        <v>1</v>
      </c>
      <c r="O96" s="74" t="s">
        <v>21369</v>
      </c>
      <c r="P96" s="74" t="s">
        <v>21343</v>
      </c>
      <c r="Q96" s="74" t="s">
        <v>21392</v>
      </c>
      <c r="R96" s="74" t="s">
        <v>148</v>
      </c>
      <c r="S96" s="74" t="s">
        <v>21338</v>
      </c>
      <c r="T96" s="74" t="s">
        <v>21371</v>
      </c>
      <c r="U96" s="74">
        <v>0</v>
      </c>
      <c r="V96" s="74">
        <v>0</v>
      </c>
    </row>
    <row r="97" spans="3:22" x14ac:dyDescent="0.25">
      <c r="C97" s="74" t="s">
        <v>735</v>
      </c>
      <c r="D97" s="74" t="s">
        <v>148</v>
      </c>
      <c r="E97" s="74" t="s">
        <v>21338</v>
      </c>
      <c r="F97" s="74">
        <v>570025</v>
      </c>
      <c r="G97" s="74">
        <v>3</v>
      </c>
      <c r="H97" s="135">
        <v>43006.522291666668</v>
      </c>
      <c r="I97" s="74" t="s">
        <v>21365</v>
      </c>
      <c r="J97" s="74" t="s">
        <v>21366</v>
      </c>
      <c r="K97" s="74" t="s">
        <v>21376</v>
      </c>
      <c r="L97" s="74">
        <v>555659</v>
      </c>
      <c r="M97" s="74" t="s">
        <v>21368</v>
      </c>
      <c r="N97" s="74">
        <v>1</v>
      </c>
      <c r="O97" s="74" t="s">
        <v>21369</v>
      </c>
      <c r="P97" s="74" t="s">
        <v>21343</v>
      </c>
      <c r="Q97" s="74" t="s">
        <v>21392</v>
      </c>
      <c r="R97" s="74" t="s">
        <v>148</v>
      </c>
      <c r="S97" s="74" t="s">
        <v>21338</v>
      </c>
      <c r="T97" s="74" t="s">
        <v>21371</v>
      </c>
      <c r="U97" s="74">
        <v>0</v>
      </c>
      <c r="V97" s="74">
        <v>0</v>
      </c>
    </row>
    <row r="98" spans="3:22" x14ac:dyDescent="0.25">
      <c r="C98" s="74" t="s">
        <v>735</v>
      </c>
      <c r="D98" s="74" t="s">
        <v>148</v>
      </c>
      <c r="E98" s="74" t="s">
        <v>21338</v>
      </c>
      <c r="F98" s="74">
        <v>570025</v>
      </c>
      <c r="G98" s="74">
        <v>3</v>
      </c>
      <c r="H98" s="135">
        <v>43006.522268518522</v>
      </c>
      <c r="I98" s="74" t="s">
        <v>21365</v>
      </c>
      <c r="J98" s="74" t="s">
        <v>21366</v>
      </c>
      <c r="K98" s="74" t="s">
        <v>21377</v>
      </c>
      <c r="L98" s="74">
        <v>555668</v>
      </c>
      <c r="M98" s="74" t="s">
        <v>21368</v>
      </c>
      <c r="N98" s="74">
        <v>1</v>
      </c>
      <c r="O98" s="74" t="s">
        <v>21369</v>
      </c>
      <c r="P98" s="74" t="s">
        <v>21343</v>
      </c>
      <c r="Q98" s="74" t="s">
        <v>21392</v>
      </c>
      <c r="R98" s="74" t="s">
        <v>148</v>
      </c>
      <c r="S98" s="74" t="s">
        <v>21338</v>
      </c>
      <c r="T98" s="74" t="s">
        <v>21371</v>
      </c>
      <c r="U98" s="74">
        <v>0</v>
      </c>
      <c r="V98" s="74">
        <v>0</v>
      </c>
    </row>
    <row r="99" spans="3:22" x14ac:dyDescent="0.25">
      <c r="C99" s="74" t="s">
        <v>735</v>
      </c>
      <c r="D99" s="74" t="s">
        <v>148</v>
      </c>
      <c r="E99" s="74" t="s">
        <v>21338</v>
      </c>
      <c r="F99" s="74">
        <v>570025</v>
      </c>
      <c r="G99" s="74">
        <v>3</v>
      </c>
      <c r="H99" s="135">
        <v>43006.522245370368</v>
      </c>
      <c r="I99" s="74" t="s">
        <v>21339</v>
      </c>
      <c r="J99" s="74" t="s">
        <v>21364</v>
      </c>
      <c r="K99" s="74" t="s">
        <v>13548</v>
      </c>
      <c r="L99" s="74">
        <v>553371</v>
      </c>
      <c r="M99" s="74" t="s">
        <v>21341</v>
      </c>
      <c r="N99" s="74">
        <v>1</v>
      </c>
      <c r="O99" s="74" t="s">
        <v>21342</v>
      </c>
      <c r="P99" s="74" t="s">
        <v>21343</v>
      </c>
      <c r="Q99" s="74">
        <v>0</v>
      </c>
      <c r="R99" s="74" t="s">
        <v>148</v>
      </c>
      <c r="S99" s="74" t="s">
        <v>21338</v>
      </c>
      <c r="T99" s="74" t="s">
        <v>393</v>
      </c>
      <c r="U99" s="74">
        <v>0</v>
      </c>
      <c r="V99" s="74">
        <v>0</v>
      </c>
    </row>
    <row r="100" spans="3:22" x14ac:dyDescent="0.25">
      <c r="C100" s="74" t="s">
        <v>735</v>
      </c>
      <c r="D100" s="74" t="s">
        <v>148</v>
      </c>
      <c r="E100" s="74" t="s">
        <v>21338</v>
      </c>
      <c r="F100" s="74">
        <v>570025</v>
      </c>
      <c r="G100" s="74">
        <v>3</v>
      </c>
      <c r="H100" s="135">
        <v>43006.522187499999</v>
      </c>
      <c r="I100" s="74" t="s">
        <v>21339</v>
      </c>
      <c r="J100" s="74" t="s">
        <v>21364</v>
      </c>
      <c r="K100" s="74" t="s">
        <v>13548</v>
      </c>
      <c r="L100" s="74">
        <v>553371</v>
      </c>
      <c r="M100" s="74" t="s">
        <v>21341</v>
      </c>
      <c r="N100" s="74">
        <v>1</v>
      </c>
      <c r="O100" s="74" t="s">
        <v>21342</v>
      </c>
      <c r="P100" s="74" t="s">
        <v>21343</v>
      </c>
      <c r="Q100" s="74">
        <v>0</v>
      </c>
      <c r="R100" s="74" t="s">
        <v>148</v>
      </c>
      <c r="S100" s="74" t="s">
        <v>21338</v>
      </c>
      <c r="T100" s="74" t="s">
        <v>393</v>
      </c>
      <c r="U100" s="74">
        <v>0</v>
      </c>
      <c r="V100" s="74">
        <v>0</v>
      </c>
    </row>
    <row r="101" spans="3:22" x14ac:dyDescent="0.25">
      <c r="C101" s="74" t="s">
        <v>735</v>
      </c>
      <c r="D101" s="74" t="s">
        <v>148</v>
      </c>
      <c r="E101" s="74" t="s">
        <v>21338</v>
      </c>
      <c r="F101" s="74">
        <v>570025</v>
      </c>
      <c r="G101" s="74">
        <v>3</v>
      </c>
      <c r="H101" s="135">
        <v>43006.521631944444</v>
      </c>
      <c r="I101" s="74" t="s">
        <v>21339</v>
      </c>
      <c r="J101" s="74" t="s">
        <v>21362</v>
      </c>
      <c r="K101" s="74" t="s">
        <v>13548</v>
      </c>
      <c r="L101" s="74">
        <v>553371</v>
      </c>
      <c r="M101" s="74" t="s">
        <v>21341</v>
      </c>
      <c r="N101" s="74">
        <v>1</v>
      </c>
      <c r="O101" s="74" t="s">
        <v>21342</v>
      </c>
      <c r="P101" s="74" t="s">
        <v>21343</v>
      </c>
      <c r="Q101" s="74" t="s">
        <v>21363</v>
      </c>
      <c r="R101" s="74" t="s">
        <v>148</v>
      </c>
      <c r="S101" s="74" t="s">
        <v>21338</v>
      </c>
      <c r="T101" s="74" t="s">
        <v>393</v>
      </c>
      <c r="U101" s="74">
        <v>0</v>
      </c>
      <c r="V101" s="74">
        <v>0</v>
      </c>
    </row>
    <row r="102" spans="3:22" x14ac:dyDescent="0.25">
      <c r="C102" s="74" t="s">
        <v>21390</v>
      </c>
      <c r="D102" s="74" t="s">
        <v>148</v>
      </c>
      <c r="E102" s="74" t="s">
        <v>21338</v>
      </c>
      <c r="F102" s="74">
        <v>560864</v>
      </c>
      <c r="G102" s="74">
        <v>3</v>
      </c>
      <c r="H102" s="135">
        <v>43006.509826388887</v>
      </c>
      <c r="I102" s="74" t="s">
        <v>21354</v>
      </c>
      <c r="J102" s="74" t="s">
        <v>21355</v>
      </c>
      <c r="K102" s="74" t="s">
        <v>1248</v>
      </c>
      <c r="L102" s="74">
        <v>551811</v>
      </c>
      <c r="M102" s="74" t="s">
        <v>21341</v>
      </c>
      <c r="N102" s="74">
        <v>1</v>
      </c>
      <c r="O102" s="74" t="s">
        <v>21342</v>
      </c>
      <c r="P102" s="74" t="s">
        <v>21345</v>
      </c>
      <c r="R102" s="74" t="s">
        <v>148</v>
      </c>
      <c r="S102" s="74" t="s">
        <v>21338</v>
      </c>
      <c r="T102" s="74" t="s">
        <v>402</v>
      </c>
      <c r="U102" s="74">
        <v>0</v>
      </c>
      <c r="V102" s="74">
        <v>0</v>
      </c>
    </row>
    <row r="103" spans="3:22" x14ac:dyDescent="0.25">
      <c r="C103" s="74" t="s">
        <v>18795</v>
      </c>
      <c r="D103" s="74" t="s">
        <v>148</v>
      </c>
      <c r="E103" s="74" t="s">
        <v>21338</v>
      </c>
      <c r="F103" s="74">
        <v>551367</v>
      </c>
      <c r="G103" s="74">
        <v>1000</v>
      </c>
      <c r="H103" s="135">
        <v>43006.504062499997</v>
      </c>
      <c r="I103" s="74" t="s">
        <v>21339</v>
      </c>
      <c r="J103" s="74" t="s">
        <v>21340</v>
      </c>
      <c r="K103" s="74" t="s">
        <v>18086</v>
      </c>
      <c r="L103" s="74">
        <v>553954</v>
      </c>
      <c r="M103" s="74" t="s">
        <v>21341</v>
      </c>
      <c r="N103" s="74">
        <v>1</v>
      </c>
      <c r="O103" s="74" t="s">
        <v>21342</v>
      </c>
      <c r="P103" s="74" t="s">
        <v>21343</v>
      </c>
      <c r="Q103" s="74">
        <v>0</v>
      </c>
      <c r="R103" s="74" t="s">
        <v>148</v>
      </c>
      <c r="S103" s="74" t="s">
        <v>21338</v>
      </c>
      <c r="T103" s="74" t="s">
        <v>402</v>
      </c>
      <c r="U103" s="74">
        <v>0</v>
      </c>
      <c r="V103" s="74">
        <v>0</v>
      </c>
    </row>
    <row r="104" spans="3:22" x14ac:dyDescent="0.25">
      <c r="C104" s="74" t="s">
        <v>18795</v>
      </c>
      <c r="D104" s="74" t="s">
        <v>148</v>
      </c>
      <c r="E104" s="74" t="s">
        <v>21338</v>
      </c>
      <c r="F104" s="74">
        <v>551367</v>
      </c>
      <c r="G104" s="74">
        <v>1000</v>
      </c>
      <c r="H104" s="135">
        <v>43006.493946759256</v>
      </c>
      <c r="I104" s="74" t="s">
        <v>21339</v>
      </c>
      <c r="J104" s="74" t="s">
        <v>21340</v>
      </c>
      <c r="K104" s="74" t="s">
        <v>19558</v>
      </c>
      <c r="L104" s="74">
        <v>554114</v>
      </c>
      <c r="M104" s="74" t="s">
        <v>21341</v>
      </c>
      <c r="N104" s="74">
        <v>1</v>
      </c>
      <c r="O104" s="74" t="s">
        <v>21342</v>
      </c>
      <c r="P104" s="74" t="s">
        <v>21343</v>
      </c>
      <c r="Q104" s="74">
        <v>0</v>
      </c>
      <c r="R104" s="74" t="s">
        <v>148</v>
      </c>
      <c r="S104" s="74" t="s">
        <v>21338</v>
      </c>
      <c r="T104" s="74" t="s">
        <v>402</v>
      </c>
      <c r="U104" s="74">
        <v>0</v>
      </c>
      <c r="V104" s="74">
        <v>0</v>
      </c>
    </row>
    <row r="105" spans="3:22" x14ac:dyDescent="0.25">
      <c r="C105" s="74" t="s">
        <v>533</v>
      </c>
      <c r="D105" s="74" t="s">
        <v>148</v>
      </c>
      <c r="E105" s="74" t="s">
        <v>21338</v>
      </c>
      <c r="F105" s="74">
        <v>627566</v>
      </c>
      <c r="G105" s="74">
        <v>3</v>
      </c>
      <c r="H105" s="135">
        <v>43006.490856481483</v>
      </c>
      <c r="I105" s="74" t="s">
        <v>21354</v>
      </c>
      <c r="J105" s="74" t="s">
        <v>21355</v>
      </c>
      <c r="K105" s="74" t="s">
        <v>21394</v>
      </c>
      <c r="L105" s="74">
        <v>560259</v>
      </c>
      <c r="M105" s="74" t="s">
        <v>21341</v>
      </c>
      <c r="N105" s="74">
        <v>1</v>
      </c>
      <c r="O105" s="74" t="s">
        <v>21342</v>
      </c>
      <c r="P105" s="74" t="s">
        <v>21345</v>
      </c>
      <c r="R105" s="74" t="s">
        <v>148</v>
      </c>
      <c r="S105" s="74" t="s">
        <v>21338</v>
      </c>
      <c r="T105" s="74" t="s">
        <v>402</v>
      </c>
      <c r="U105" s="74">
        <v>0</v>
      </c>
      <c r="V105" s="74">
        <v>0</v>
      </c>
    </row>
    <row r="106" spans="3:22" x14ac:dyDescent="0.25">
      <c r="C106" s="74" t="s">
        <v>533</v>
      </c>
      <c r="D106" s="74" t="s">
        <v>148</v>
      </c>
      <c r="E106" s="74" t="s">
        <v>21338</v>
      </c>
      <c r="F106" s="74">
        <v>627566</v>
      </c>
      <c r="G106" s="74">
        <v>3</v>
      </c>
      <c r="H106" s="135">
        <v>43006.490312499998</v>
      </c>
      <c r="I106" s="74" t="s">
        <v>21339</v>
      </c>
      <c r="J106" s="74" t="s">
        <v>21360</v>
      </c>
      <c r="K106" s="74" t="s">
        <v>21394</v>
      </c>
      <c r="L106" s="74">
        <v>560259</v>
      </c>
      <c r="M106" s="74" t="s">
        <v>21341</v>
      </c>
      <c r="N106" s="74">
        <v>1</v>
      </c>
      <c r="O106" s="74" t="s">
        <v>21359</v>
      </c>
      <c r="P106" s="74" t="s">
        <v>21343</v>
      </c>
      <c r="Q106" s="74" t="s">
        <v>21395</v>
      </c>
      <c r="R106" s="74" t="s">
        <v>148</v>
      </c>
      <c r="S106" s="74" t="s">
        <v>21338</v>
      </c>
      <c r="T106" s="74" t="s">
        <v>402</v>
      </c>
      <c r="U106" s="74">
        <v>0</v>
      </c>
      <c r="V106" s="74">
        <v>0</v>
      </c>
    </row>
    <row r="107" spans="3:22" x14ac:dyDescent="0.25">
      <c r="C107" s="74" t="s">
        <v>18795</v>
      </c>
      <c r="D107" s="74" t="s">
        <v>148</v>
      </c>
      <c r="E107" s="74" t="s">
        <v>21338</v>
      </c>
      <c r="F107" s="74">
        <v>551367</v>
      </c>
      <c r="G107" s="74">
        <v>1000</v>
      </c>
      <c r="H107" s="135">
        <v>43006.481840277775</v>
      </c>
      <c r="I107" s="74" t="s">
        <v>21339</v>
      </c>
      <c r="J107" s="74" t="s">
        <v>21340</v>
      </c>
      <c r="K107" s="74" t="s">
        <v>1248</v>
      </c>
      <c r="L107" s="74">
        <v>551811</v>
      </c>
      <c r="M107" s="74" t="s">
        <v>21341</v>
      </c>
      <c r="N107" s="74">
        <v>1</v>
      </c>
      <c r="O107" s="74" t="s">
        <v>21342</v>
      </c>
      <c r="P107" s="74" t="s">
        <v>21343</v>
      </c>
      <c r="Q107" s="74">
        <v>0</v>
      </c>
      <c r="R107" s="74" t="s">
        <v>148</v>
      </c>
      <c r="S107" s="74" t="s">
        <v>21338</v>
      </c>
      <c r="T107" s="74" t="s">
        <v>402</v>
      </c>
      <c r="U107" s="74">
        <v>0</v>
      </c>
      <c r="V107" s="74">
        <v>0</v>
      </c>
    </row>
    <row r="108" spans="3:22" x14ac:dyDescent="0.25">
      <c r="C108" s="74" t="s">
        <v>18795</v>
      </c>
      <c r="D108" s="74" t="s">
        <v>148</v>
      </c>
      <c r="E108" s="74" t="s">
        <v>21338</v>
      </c>
      <c r="F108" s="74">
        <v>551367</v>
      </c>
      <c r="G108" s="74">
        <v>1000</v>
      </c>
      <c r="H108" s="135">
        <v>43006.479571759257</v>
      </c>
      <c r="I108" s="74" t="s">
        <v>21339</v>
      </c>
      <c r="J108" s="74" t="s">
        <v>21340</v>
      </c>
      <c r="K108" s="74" t="s">
        <v>21396</v>
      </c>
      <c r="L108" s="74">
        <v>729013</v>
      </c>
      <c r="M108" s="74" t="s">
        <v>21341</v>
      </c>
      <c r="N108" s="74">
        <v>1</v>
      </c>
      <c r="O108" s="74" t="s">
        <v>21342</v>
      </c>
      <c r="P108" s="74" t="s">
        <v>21343</v>
      </c>
      <c r="Q108" s="74">
        <v>0</v>
      </c>
      <c r="R108" s="74" t="s">
        <v>148</v>
      </c>
      <c r="S108" s="74" t="s">
        <v>21338</v>
      </c>
      <c r="T108" s="74" t="s">
        <v>402</v>
      </c>
      <c r="U108" s="74">
        <v>0</v>
      </c>
      <c r="V108" s="74">
        <v>0</v>
      </c>
    </row>
    <row r="109" spans="3:22" x14ac:dyDescent="0.25">
      <c r="C109" s="74" t="s">
        <v>18795</v>
      </c>
      <c r="D109" s="74" t="s">
        <v>148</v>
      </c>
      <c r="E109" s="74" t="s">
        <v>21338</v>
      </c>
      <c r="F109" s="74">
        <v>551367</v>
      </c>
      <c r="G109" s="74">
        <v>1000</v>
      </c>
      <c r="H109" s="135">
        <v>43006.478935185187</v>
      </c>
      <c r="I109" s="74" t="s">
        <v>21339</v>
      </c>
      <c r="J109" s="74" t="s">
        <v>21340</v>
      </c>
      <c r="K109" s="74" t="s">
        <v>2310</v>
      </c>
      <c r="L109" s="74">
        <v>551954</v>
      </c>
      <c r="M109" s="74" t="s">
        <v>21341</v>
      </c>
      <c r="N109" s="74">
        <v>1</v>
      </c>
      <c r="O109" s="74" t="s">
        <v>21342</v>
      </c>
      <c r="P109" s="74" t="s">
        <v>21343</v>
      </c>
      <c r="Q109" s="74">
        <v>0</v>
      </c>
      <c r="R109" s="74" t="s">
        <v>148</v>
      </c>
      <c r="S109" s="74" t="s">
        <v>21338</v>
      </c>
      <c r="T109" s="74" t="s">
        <v>402</v>
      </c>
      <c r="U109" s="74">
        <v>0</v>
      </c>
      <c r="V109" s="74">
        <v>0</v>
      </c>
    </row>
    <row r="110" spans="3:22" x14ac:dyDescent="0.25">
      <c r="C110" s="74" t="s">
        <v>735</v>
      </c>
      <c r="D110" s="74" t="s">
        <v>148</v>
      </c>
      <c r="E110" s="74" t="s">
        <v>21338</v>
      </c>
      <c r="F110" s="74">
        <v>570025</v>
      </c>
      <c r="G110" s="74">
        <v>3</v>
      </c>
      <c r="H110" s="135">
        <v>43006.456655092596</v>
      </c>
      <c r="I110" s="74" t="s">
        <v>21339</v>
      </c>
      <c r="J110" s="74" t="s">
        <v>21364</v>
      </c>
      <c r="K110" s="74" t="s">
        <v>3565</v>
      </c>
      <c r="L110" s="74">
        <v>910662</v>
      </c>
      <c r="M110" s="74" t="s">
        <v>21341</v>
      </c>
      <c r="N110" s="74">
        <v>1</v>
      </c>
      <c r="O110" s="74" t="s">
        <v>21342</v>
      </c>
      <c r="P110" s="74" t="s">
        <v>21343</v>
      </c>
      <c r="Q110" s="74">
        <v>0</v>
      </c>
      <c r="R110" s="74" t="s">
        <v>148</v>
      </c>
      <c r="S110" s="74" t="s">
        <v>21338</v>
      </c>
      <c r="T110" s="74" t="s">
        <v>402</v>
      </c>
      <c r="U110" s="74">
        <v>0</v>
      </c>
      <c r="V110" s="74">
        <v>0</v>
      </c>
    </row>
    <row r="111" spans="3:22" x14ac:dyDescent="0.25">
      <c r="C111" s="74" t="s">
        <v>735</v>
      </c>
      <c r="D111" s="74" t="s">
        <v>148</v>
      </c>
      <c r="E111" s="74" t="s">
        <v>21338</v>
      </c>
      <c r="F111" s="74">
        <v>570025</v>
      </c>
      <c r="G111" s="74">
        <v>3</v>
      </c>
      <c r="H111" s="135">
        <v>43006.456631944442</v>
      </c>
      <c r="I111" s="74" t="s">
        <v>21398</v>
      </c>
      <c r="J111" s="74" t="s">
        <v>21366</v>
      </c>
      <c r="K111" s="74" t="s">
        <v>21367</v>
      </c>
      <c r="L111" s="74">
        <v>561482</v>
      </c>
      <c r="M111" s="74" t="s">
        <v>21368</v>
      </c>
      <c r="N111" s="74">
        <v>1</v>
      </c>
      <c r="O111" s="74" t="s">
        <v>21369</v>
      </c>
      <c r="P111" s="74" t="s">
        <v>21343</v>
      </c>
      <c r="Q111" s="74" t="s">
        <v>21399</v>
      </c>
      <c r="R111" s="74" t="s">
        <v>148</v>
      </c>
      <c r="S111" s="74" t="s">
        <v>21338</v>
      </c>
      <c r="T111" s="74" t="s">
        <v>21371</v>
      </c>
      <c r="U111" s="74">
        <v>0</v>
      </c>
      <c r="V111" s="74">
        <v>0</v>
      </c>
    </row>
    <row r="112" spans="3:22" x14ac:dyDescent="0.25">
      <c r="C112" s="74" t="s">
        <v>735</v>
      </c>
      <c r="D112" s="74" t="s">
        <v>148</v>
      </c>
      <c r="E112" s="74" t="s">
        <v>21338</v>
      </c>
      <c r="F112" s="74">
        <v>570025</v>
      </c>
      <c r="G112" s="74">
        <v>3</v>
      </c>
      <c r="H112" s="135">
        <v>43006.456620370373</v>
      </c>
      <c r="I112" s="74" t="s">
        <v>21398</v>
      </c>
      <c r="J112" s="74" t="s">
        <v>21366</v>
      </c>
      <c r="K112" s="74" t="s">
        <v>21381</v>
      </c>
      <c r="L112" s="74">
        <v>555660</v>
      </c>
      <c r="M112" s="74" t="s">
        <v>21368</v>
      </c>
      <c r="N112" s="74">
        <v>1</v>
      </c>
      <c r="O112" s="74" t="s">
        <v>21369</v>
      </c>
      <c r="P112" s="74" t="s">
        <v>21343</v>
      </c>
      <c r="Q112" s="74" t="s">
        <v>21399</v>
      </c>
      <c r="R112" s="74" t="s">
        <v>148</v>
      </c>
      <c r="S112" s="74" t="s">
        <v>21338</v>
      </c>
      <c r="T112" s="74" t="s">
        <v>21371</v>
      </c>
      <c r="U112" s="74">
        <v>0</v>
      </c>
      <c r="V112" s="74">
        <v>0</v>
      </c>
    </row>
    <row r="113" spans="3:22" x14ac:dyDescent="0.25">
      <c r="C113" s="74" t="s">
        <v>735</v>
      </c>
      <c r="D113" s="74" t="s">
        <v>148</v>
      </c>
      <c r="E113" s="74" t="s">
        <v>21338</v>
      </c>
      <c r="F113" s="74">
        <v>570025</v>
      </c>
      <c r="G113" s="74">
        <v>3</v>
      </c>
      <c r="H113" s="135">
        <v>43006.456597222219</v>
      </c>
      <c r="I113" s="74" t="s">
        <v>21339</v>
      </c>
      <c r="J113" s="74" t="s">
        <v>21364</v>
      </c>
      <c r="K113" s="74" t="s">
        <v>3565</v>
      </c>
      <c r="L113" s="74">
        <v>910662</v>
      </c>
      <c r="M113" s="74" t="s">
        <v>21341</v>
      </c>
      <c r="N113" s="74">
        <v>1</v>
      </c>
      <c r="O113" s="74" t="s">
        <v>21342</v>
      </c>
      <c r="P113" s="74" t="s">
        <v>21343</v>
      </c>
      <c r="Q113" s="74">
        <v>0</v>
      </c>
      <c r="R113" s="74" t="s">
        <v>148</v>
      </c>
      <c r="S113" s="74" t="s">
        <v>21338</v>
      </c>
      <c r="T113" s="74" t="s">
        <v>402</v>
      </c>
      <c r="U113" s="74">
        <v>0</v>
      </c>
      <c r="V113" s="74">
        <v>0</v>
      </c>
    </row>
    <row r="114" spans="3:22" x14ac:dyDescent="0.25">
      <c r="C114" s="74" t="s">
        <v>735</v>
      </c>
      <c r="D114" s="74" t="s">
        <v>148</v>
      </c>
      <c r="E114" s="74" t="s">
        <v>21338</v>
      </c>
      <c r="F114" s="74">
        <v>570025</v>
      </c>
      <c r="G114" s="74">
        <v>3</v>
      </c>
      <c r="H114" s="135">
        <v>43006.456458333334</v>
      </c>
      <c r="I114" s="74" t="s">
        <v>21339</v>
      </c>
      <c r="J114" s="74" t="s">
        <v>21364</v>
      </c>
      <c r="K114" s="74" t="s">
        <v>3565</v>
      </c>
      <c r="L114" s="74">
        <v>910662</v>
      </c>
      <c r="M114" s="74" t="s">
        <v>21341</v>
      </c>
      <c r="N114" s="74">
        <v>1</v>
      </c>
      <c r="O114" s="74" t="s">
        <v>21342</v>
      </c>
      <c r="P114" s="74" t="s">
        <v>21343</v>
      </c>
      <c r="Q114" s="74">
        <v>0</v>
      </c>
      <c r="R114" s="74" t="s">
        <v>148</v>
      </c>
      <c r="S114" s="74" t="s">
        <v>21338</v>
      </c>
      <c r="T114" s="74" t="s">
        <v>402</v>
      </c>
      <c r="U114" s="74">
        <v>0</v>
      </c>
      <c r="V114" s="74">
        <v>0</v>
      </c>
    </row>
    <row r="115" spans="3:22" x14ac:dyDescent="0.25">
      <c r="C115" s="74" t="s">
        <v>735</v>
      </c>
      <c r="D115" s="74" t="s">
        <v>148</v>
      </c>
      <c r="E115" s="74" t="s">
        <v>21338</v>
      </c>
      <c r="F115" s="74">
        <v>570025</v>
      </c>
      <c r="G115" s="74">
        <v>3</v>
      </c>
      <c r="H115" s="135">
        <v>43006.456261574072</v>
      </c>
      <c r="I115" s="74" t="s">
        <v>21398</v>
      </c>
      <c r="J115" s="74" t="s">
        <v>21400</v>
      </c>
      <c r="K115" s="74" t="s">
        <v>3565</v>
      </c>
      <c r="L115" s="74">
        <v>910662</v>
      </c>
      <c r="M115" s="74" t="s">
        <v>21341</v>
      </c>
      <c r="N115" s="74">
        <v>1</v>
      </c>
      <c r="O115" s="74" t="s">
        <v>21342</v>
      </c>
      <c r="P115" s="74" t="s">
        <v>21343</v>
      </c>
      <c r="Q115" s="74" t="s">
        <v>21401</v>
      </c>
      <c r="R115" s="74" t="s">
        <v>148</v>
      </c>
      <c r="S115" s="74" t="s">
        <v>21338</v>
      </c>
      <c r="T115" s="74" t="s">
        <v>402</v>
      </c>
      <c r="U115" s="74">
        <v>0</v>
      </c>
      <c r="V115" s="74">
        <v>0</v>
      </c>
    </row>
    <row r="116" spans="3:22" x14ac:dyDescent="0.25">
      <c r="C116" s="74" t="s">
        <v>735</v>
      </c>
      <c r="D116" s="74" t="s">
        <v>148</v>
      </c>
      <c r="E116" s="74" t="s">
        <v>21338</v>
      </c>
      <c r="F116" s="74">
        <v>570025</v>
      </c>
      <c r="G116" s="74">
        <v>3</v>
      </c>
      <c r="H116" s="135">
        <v>43006.448969907404</v>
      </c>
      <c r="I116" s="74" t="s">
        <v>21339</v>
      </c>
      <c r="J116" s="74" t="s">
        <v>21364</v>
      </c>
      <c r="K116" s="74" t="s">
        <v>13012</v>
      </c>
      <c r="L116" s="74">
        <v>864631</v>
      </c>
      <c r="M116" s="74" t="s">
        <v>21341</v>
      </c>
      <c r="N116" s="74">
        <v>1</v>
      </c>
      <c r="O116" s="74" t="s">
        <v>21342</v>
      </c>
      <c r="P116" s="74" t="s">
        <v>21343</v>
      </c>
      <c r="Q116" s="74">
        <v>0</v>
      </c>
      <c r="R116" s="74" t="s">
        <v>148</v>
      </c>
      <c r="S116" s="74" t="s">
        <v>21338</v>
      </c>
      <c r="T116" s="74" t="s">
        <v>393</v>
      </c>
      <c r="U116" s="74">
        <v>0</v>
      </c>
      <c r="V116" s="74">
        <v>0</v>
      </c>
    </row>
    <row r="117" spans="3:22" x14ac:dyDescent="0.25">
      <c r="C117" s="74" t="s">
        <v>18795</v>
      </c>
      <c r="D117" s="74" t="s">
        <v>148</v>
      </c>
      <c r="E117" s="74" t="s">
        <v>21338</v>
      </c>
      <c r="F117" s="74">
        <v>551367</v>
      </c>
      <c r="G117" s="74">
        <v>1000</v>
      </c>
      <c r="H117" s="135">
        <v>43006.447627314818</v>
      </c>
      <c r="I117" s="74" t="s">
        <v>21339</v>
      </c>
      <c r="J117" s="74" t="s">
        <v>21340</v>
      </c>
      <c r="K117" s="74" t="s">
        <v>21402</v>
      </c>
      <c r="L117" s="74">
        <v>910546</v>
      </c>
      <c r="M117" s="74" t="s">
        <v>21341</v>
      </c>
      <c r="N117" s="74">
        <v>1</v>
      </c>
      <c r="O117" s="74" t="s">
        <v>21342</v>
      </c>
      <c r="P117" s="74" t="s">
        <v>21343</v>
      </c>
      <c r="Q117" s="74">
        <v>0</v>
      </c>
      <c r="R117" s="74" t="s">
        <v>148</v>
      </c>
      <c r="S117" s="74" t="s">
        <v>21338</v>
      </c>
      <c r="T117" s="74" t="s">
        <v>402</v>
      </c>
      <c r="U117" s="74">
        <v>0</v>
      </c>
      <c r="V117" s="74">
        <v>0</v>
      </c>
    </row>
    <row r="118" spans="3:22" x14ac:dyDescent="0.25">
      <c r="C118" s="74" t="s">
        <v>735</v>
      </c>
      <c r="D118" s="74" t="s">
        <v>148</v>
      </c>
      <c r="E118" s="74" t="s">
        <v>21338</v>
      </c>
      <c r="F118" s="74">
        <v>570025</v>
      </c>
      <c r="G118" s="74">
        <v>3</v>
      </c>
      <c r="H118" s="135">
        <v>43006.439918981479</v>
      </c>
      <c r="I118" s="74" t="s">
        <v>21339</v>
      </c>
      <c r="J118" s="74" t="s">
        <v>21360</v>
      </c>
      <c r="K118" s="74" t="s">
        <v>13012</v>
      </c>
      <c r="L118" s="74">
        <v>864631</v>
      </c>
      <c r="M118" s="74" t="s">
        <v>21341</v>
      </c>
      <c r="N118" s="74">
        <v>1</v>
      </c>
      <c r="O118" s="74" t="s">
        <v>21342</v>
      </c>
      <c r="P118" s="74" t="s">
        <v>21343</v>
      </c>
      <c r="Q118" s="74" t="s">
        <v>21361</v>
      </c>
      <c r="R118" s="74" t="s">
        <v>148</v>
      </c>
      <c r="S118" s="74" t="s">
        <v>21338</v>
      </c>
      <c r="T118" s="74" t="s">
        <v>393</v>
      </c>
      <c r="U118" s="74">
        <v>0</v>
      </c>
      <c r="V118" s="74">
        <v>0</v>
      </c>
    </row>
    <row r="119" spans="3:22" x14ac:dyDescent="0.25">
      <c r="C119" s="74" t="s">
        <v>735</v>
      </c>
      <c r="D119" s="74" t="s">
        <v>148</v>
      </c>
      <c r="E119" s="74" t="s">
        <v>21338</v>
      </c>
      <c r="F119" s="74">
        <v>570025</v>
      </c>
      <c r="G119" s="74">
        <v>3</v>
      </c>
      <c r="H119" s="135">
        <v>43006.4371875</v>
      </c>
      <c r="I119" s="74" t="s">
        <v>21339</v>
      </c>
      <c r="J119" s="74" t="s">
        <v>21362</v>
      </c>
      <c r="K119" s="74" t="s">
        <v>13012</v>
      </c>
      <c r="L119" s="74">
        <v>864631</v>
      </c>
      <c r="M119" s="74" t="s">
        <v>21341</v>
      </c>
      <c r="N119" s="74">
        <v>1</v>
      </c>
      <c r="O119" s="74" t="s">
        <v>21342</v>
      </c>
      <c r="P119" s="74" t="s">
        <v>21343</v>
      </c>
      <c r="Q119" s="74" t="s">
        <v>21363</v>
      </c>
      <c r="R119" s="74" t="s">
        <v>148</v>
      </c>
      <c r="S119" s="74" t="s">
        <v>21338</v>
      </c>
      <c r="T119" s="74" t="s">
        <v>393</v>
      </c>
      <c r="U119" s="74">
        <v>0</v>
      </c>
      <c r="V119" s="74">
        <v>0</v>
      </c>
    </row>
    <row r="120" spans="3:22" x14ac:dyDescent="0.25">
      <c r="C120" s="74" t="s">
        <v>735</v>
      </c>
      <c r="D120" s="74" t="s">
        <v>148</v>
      </c>
      <c r="E120" s="74" t="s">
        <v>21338</v>
      </c>
      <c r="F120" s="74">
        <v>570025</v>
      </c>
      <c r="G120" s="74">
        <v>3</v>
      </c>
      <c r="H120" s="135">
        <v>43006.436319444445</v>
      </c>
      <c r="I120" s="74" t="s">
        <v>21339</v>
      </c>
      <c r="J120" s="74" t="s">
        <v>21364</v>
      </c>
      <c r="K120" s="74" t="s">
        <v>13012</v>
      </c>
      <c r="L120" s="74">
        <v>864631</v>
      </c>
      <c r="M120" s="74" t="s">
        <v>21341</v>
      </c>
      <c r="N120" s="74">
        <v>1</v>
      </c>
      <c r="O120" s="74" t="s">
        <v>21342</v>
      </c>
      <c r="P120" s="74" t="s">
        <v>21343</v>
      </c>
      <c r="Q120" s="74">
        <v>0</v>
      </c>
      <c r="R120" s="74" t="s">
        <v>148</v>
      </c>
      <c r="S120" s="74" t="s">
        <v>21338</v>
      </c>
      <c r="T120" s="74" t="s">
        <v>402</v>
      </c>
      <c r="U120" s="74">
        <v>0</v>
      </c>
      <c r="V120" s="74">
        <v>0</v>
      </c>
    </row>
    <row r="121" spans="3:22" x14ac:dyDescent="0.25">
      <c r="C121" s="74" t="s">
        <v>735</v>
      </c>
      <c r="D121" s="74" t="s">
        <v>148</v>
      </c>
      <c r="E121" s="74" t="s">
        <v>21338</v>
      </c>
      <c r="F121" s="74">
        <v>570025</v>
      </c>
      <c r="G121" s="74">
        <v>3</v>
      </c>
      <c r="H121" s="135">
        <v>43006.436307870368</v>
      </c>
      <c r="I121" s="74" t="s">
        <v>21365</v>
      </c>
      <c r="J121" s="74" t="s">
        <v>21366</v>
      </c>
      <c r="K121" s="74" t="s">
        <v>21403</v>
      </c>
      <c r="L121" s="74">
        <v>561483</v>
      </c>
      <c r="M121" s="74" t="s">
        <v>21368</v>
      </c>
      <c r="N121" s="74">
        <v>1</v>
      </c>
      <c r="O121" s="74" t="s">
        <v>21369</v>
      </c>
      <c r="P121" s="74" t="s">
        <v>21343</v>
      </c>
      <c r="Q121" s="74" t="s">
        <v>21404</v>
      </c>
      <c r="R121" s="74" t="s">
        <v>148</v>
      </c>
      <c r="S121" s="74" t="s">
        <v>21338</v>
      </c>
      <c r="T121" s="74" t="s">
        <v>21371</v>
      </c>
      <c r="U121" s="74">
        <v>0</v>
      </c>
      <c r="V121" s="74">
        <v>0</v>
      </c>
    </row>
    <row r="122" spans="3:22" x14ac:dyDescent="0.25">
      <c r="C122" s="74" t="s">
        <v>735</v>
      </c>
      <c r="D122" s="74" t="s">
        <v>148</v>
      </c>
      <c r="E122" s="74" t="s">
        <v>21338</v>
      </c>
      <c r="F122" s="74">
        <v>570025</v>
      </c>
      <c r="G122" s="74">
        <v>3</v>
      </c>
      <c r="H122" s="135">
        <v>43006.436296296299</v>
      </c>
      <c r="I122" s="74" t="s">
        <v>21365</v>
      </c>
      <c r="J122" s="74" t="s">
        <v>21366</v>
      </c>
      <c r="K122" s="74" t="s">
        <v>21367</v>
      </c>
      <c r="L122" s="74">
        <v>561482</v>
      </c>
      <c r="M122" s="74" t="s">
        <v>21368</v>
      </c>
      <c r="N122" s="74">
        <v>1</v>
      </c>
      <c r="O122" s="74" t="s">
        <v>21369</v>
      </c>
      <c r="P122" s="74" t="s">
        <v>21343</v>
      </c>
      <c r="Q122" s="74" t="s">
        <v>21404</v>
      </c>
      <c r="R122" s="74" t="s">
        <v>148</v>
      </c>
      <c r="S122" s="74" t="s">
        <v>21338</v>
      </c>
      <c r="T122" s="74" t="s">
        <v>21371</v>
      </c>
      <c r="U122" s="74">
        <v>0</v>
      </c>
      <c r="V122" s="74">
        <v>0</v>
      </c>
    </row>
    <row r="123" spans="3:22" x14ac:dyDescent="0.25">
      <c r="C123" s="74" t="s">
        <v>735</v>
      </c>
      <c r="D123" s="74" t="s">
        <v>148</v>
      </c>
      <c r="E123" s="74" t="s">
        <v>21338</v>
      </c>
      <c r="F123" s="74">
        <v>570025</v>
      </c>
      <c r="G123" s="74">
        <v>3</v>
      </c>
      <c r="H123" s="135">
        <v>43006.436261574076</v>
      </c>
      <c r="I123" s="74" t="s">
        <v>21365</v>
      </c>
      <c r="J123" s="74" t="s">
        <v>21366</v>
      </c>
      <c r="K123" s="74" t="s">
        <v>21405</v>
      </c>
      <c r="L123" s="74">
        <v>561085</v>
      </c>
      <c r="M123" s="74" t="s">
        <v>21368</v>
      </c>
      <c r="N123" s="74">
        <v>1</v>
      </c>
      <c r="O123" s="74" t="s">
        <v>21369</v>
      </c>
      <c r="P123" s="74" t="s">
        <v>21343</v>
      </c>
      <c r="Q123" s="74" t="s">
        <v>21404</v>
      </c>
      <c r="R123" s="74" t="s">
        <v>148</v>
      </c>
      <c r="S123" s="74" t="s">
        <v>21338</v>
      </c>
      <c r="T123" s="74" t="s">
        <v>21371</v>
      </c>
      <c r="U123" s="74">
        <v>0</v>
      </c>
      <c r="V123" s="74">
        <v>0</v>
      </c>
    </row>
    <row r="124" spans="3:22" x14ac:dyDescent="0.25">
      <c r="C124" s="74" t="s">
        <v>735</v>
      </c>
      <c r="D124" s="74" t="s">
        <v>148</v>
      </c>
      <c r="E124" s="74" t="s">
        <v>21338</v>
      </c>
      <c r="F124" s="74">
        <v>570025</v>
      </c>
      <c r="G124" s="74">
        <v>3</v>
      </c>
      <c r="H124" s="135">
        <v>43006.436249999999</v>
      </c>
      <c r="I124" s="74" t="s">
        <v>21365</v>
      </c>
      <c r="J124" s="74" t="s">
        <v>21366</v>
      </c>
      <c r="K124" s="74" t="s">
        <v>21381</v>
      </c>
      <c r="L124" s="74">
        <v>555660</v>
      </c>
      <c r="M124" s="74" t="s">
        <v>21368</v>
      </c>
      <c r="N124" s="74">
        <v>1</v>
      </c>
      <c r="O124" s="74" t="s">
        <v>21369</v>
      </c>
      <c r="P124" s="74" t="s">
        <v>21343</v>
      </c>
      <c r="Q124" s="74" t="s">
        <v>21404</v>
      </c>
      <c r="R124" s="74" t="s">
        <v>148</v>
      </c>
      <c r="S124" s="74" t="s">
        <v>21338</v>
      </c>
      <c r="T124" s="74" t="s">
        <v>21371</v>
      </c>
      <c r="U124" s="74">
        <v>0</v>
      </c>
      <c r="V124" s="74">
        <v>0</v>
      </c>
    </row>
    <row r="125" spans="3:22" x14ac:dyDescent="0.25">
      <c r="C125" s="74" t="s">
        <v>735</v>
      </c>
      <c r="D125" s="74" t="s">
        <v>148</v>
      </c>
      <c r="E125" s="74" t="s">
        <v>21338</v>
      </c>
      <c r="F125" s="74">
        <v>570025</v>
      </c>
      <c r="G125" s="74">
        <v>3</v>
      </c>
      <c r="H125" s="135">
        <v>43006.434212962966</v>
      </c>
      <c r="I125" s="74" t="s">
        <v>21339</v>
      </c>
      <c r="J125" s="74" t="s">
        <v>21364</v>
      </c>
      <c r="K125" s="74" t="s">
        <v>13012</v>
      </c>
      <c r="L125" s="74">
        <v>864631</v>
      </c>
      <c r="M125" s="74" t="s">
        <v>21341</v>
      </c>
      <c r="N125" s="74">
        <v>1</v>
      </c>
      <c r="O125" s="74" t="s">
        <v>21342</v>
      </c>
      <c r="P125" s="74" t="s">
        <v>21343</v>
      </c>
      <c r="Q125" s="74">
        <v>0</v>
      </c>
      <c r="R125" s="74" t="s">
        <v>148</v>
      </c>
      <c r="S125" s="74" t="s">
        <v>21338</v>
      </c>
      <c r="T125" s="74" t="s">
        <v>402</v>
      </c>
      <c r="U125" s="74">
        <v>0</v>
      </c>
      <c r="V125" s="74">
        <v>0</v>
      </c>
    </row>
    <row r="126" spans="3:22" x14ac:dyDescent="0.25">
      <c r="C126" s="74" t="s">
        <v>735</v>
      </c>
      <c r="D126" s="74" t="s">
        <v>148</v>
      </c>
      <c r="E126" s="74" t="s">
        <v>21338</v>
      </c>
      <c r="F126" s="74">
        <v>570025</v>
      </c>
      <c r="G126" s="74">
        <v>3</v>
      </c>
      <c r="H126" s="135">
        <v>43006.43409722222</v>
      </c>
      <c r="I126" s="74" t="s">
        <v>21339</v>
      </c>
      <c r="J126" s="74" t="s">
        <v>21364</v>
      </c>
      <c r="K126" s="74" t="s">
        <v>13012</v>
      </c>
      <c r="L126" s="74">
        <v>864631</v>
      </c>
      <c r="M126" s="74" t="s">
        <v>21341</v>
      </c>
      <c r="N126" s="74">
        <v>1</v>
      </c>
      <c r="O126" s="74" t="s">
        <v>21342</v>
      </c>
      <c r="P126" s="74" t="s">
        <v>21343</v>
      </c>
      <c r="Q126" s="74">
        <v>0</v>
      </c>
      <c r="R126" s="74" t="s">
        <v>148</v>
      </c>
      <c r="S126" s="74" t="s">
        <v>21338</v>
      </c>
      <c r="T126" s="74" t="s">
        <v>402</v>
      </c>
      <c r="U126" s="74">
        <v>0</v>
      </c>
      <c r="V126" s="74">
        <v>0</v>
      </c>
    </row>
    <row r="127" spans="3:22" x14ac:dyDescent="0.25">
      <c r="C127" s="74" t="s">
        <v>9081</v>
      </c>
      <c r="D127" s="74" t="s">
        <v>148</v>
      </c>
      <c r="E127" s="74" t="s">
        <v>21338</v>
      </c>
      <c r="F127" s="74">
        <v>722441</v>
      </c>
      <c r="G127" s="74">
        <v>3</v>
      </c>
      <c r="H127" s="135">
        <v>43006.42050925926</v>
      </c>
      <c r="I127" s="74" t="s">
        <v>21354</v>
      </c>
      <c r="J127" s="74" t="s">
        <v>21355</v>
      </c>
      <c r="K127" s="74" t="s">
        <v>21406</v>
      </c>
      <c r="L127" s="74">
        <v>646715</v>
      </c>
      <c r="M127" s="74" t="s">
        <v>21341</v>
      </c>
      <c r="N127" s="74">
        <v>1</v>
      </c>
      <c r="O127" s="74" t="s">
        <v>21342</v>
      </c>
      <c r="P127" s="74" t="s">
        <v>21345</v>
      </c>
      <c r="R127" s="74" t="s">
        <v>148</v>
      </c>
      <c r="S127" s="74" t="s">
        <v>21338</v>
      </c>
      <c r="T127" s="74" t="s">
        <v>402</v>
      </c>
      <c r="U127" s="74">
        <v>0</v>
      </c>
      <c r="V127" s="74">
        <v>0</v>
      </c>
    </row>
    <row r="128" spans="3:22" x14ac:dyDescent="0.25">
      <c r="C128" s="74" t="s">
        <v>18795</v>
      </c>
      <c r="D128" s="74" t="s">
        <v>148</v>
      </c>
      <c r="E128" s="74" t="s">
        <v>21338</v>
      </c>
      <c r="F128" s="74">
        <v>551367</v>
      </c>
      <c r="G128" s="74">
        <v>1000</v>
      </c>
      <c r="H128" s="135">
        <v>43006.405162037037</v>
      </c>
      <c r="I128" s="74" t="s">
        <v>21339</v>
      </c>
      <c r="J128" s="74" t="s">
        <v>21340</v>
      </c>
      <c r="K128" s="74" t="s">
        <v>16015</v>
      </c>
      <c r="L128" s="74">
        <v>553682</v>
      </c>
      <c r="M128" s="74" t="s">
        <v>21341</v>
      </c>
      <c r="N128" s="74">
        <v>1</v>
      </c>
      <c r="O128" s="74" t="s">
        <v>21342</v>
      </c>
      <c r="P128" s="74" t="s">
        <v>21343</v>
      </c>
      <c r="Q128" s="74">
        <v>0</v>
      </c>
      <c r="R128" s="74" t="s">
        <v>148</v>
      </c>
      <c r="S128" s="74" t="s">
        <v>21338</v>
      </c>
      <c r="T128" s="74" t="s">
        <v>402</v>
      </c>
      <c r="U128" s="74">
        <v>0</v>
      </c>
      <c r="V128" s="74">
        <v>0</v>
      </c>
    </row>
    <row r="129" spans="3:22" x14ac:dyDescent="0.25">
      <c r="C129" s="74" t="s">
        <v>18795</v>
      </c>
      <c r="D129" s="74" t="s">
        <v>148</v>
      </c>
      <c r="E129" s="74" t="s">
        <v>21338</v>
      </c>
      <c r="F129" s="74">
        <v>551367</v>
      </c>
      <c r="G129" s="74">
        <v>1000</v>
      </c>
      <c r="H129" s="135">
        <v>43006.386747685188</v>
      </c>
      <c r="I129" s="74" t="s">
        <v>21339</v>
      </c>
      <c r="J129" s="74" t="s">
        <v>21340</v>
      </c>
      <c r="K129" s="74" t="s">
        <v>18788</v>
      </c>
      <c r="L129" s="74">
        <v>553945</v>
      </c>
      <c r="M129" s="74" t="s">
        <v>21341</v>
      </c>
      <c r="N129" s="74">
        <v>1</v>
      </c>
      <c r="O129" s="74" t="s">
        <v>21342</v>
      </c>
      <c r="P129" s="74" t="s">
        <v>21343</v>
      </c>
      <c r="Q129" s="74">
        <v>0</v>
      </c>
      <c r="R129" s="74" t="s">
        <v>148</v>
      </c>
      <c r="S129" s="74" t="s">
        <v>21338</v>
      </c>
      <c r="T129" s="74" t="s">
        <v>402</v>
      </c>
      <c r="U129" s="74">
        <v>0</v>
      </c>
      <c r="V129" s="74">
        <v>0</v>
      </c>
    </row>
    <row r="130" spans="3:22" x14ac:dyDescent="0.25">
      <c r="C130" s="74" t="s">
        <v>21390</v>
      </c>
      <c r="D130" s="74" t="s">
        <v>148</v>
      </c>
      <c r="E130" s="74" t="s">
        <v>21338</v>
      </c>
      <c r="F130" s="74">
        <v>560864</v>
      </c>
      <c r="G130" s="74">
        <v>3</v>
      </c>
      <c r="H130" s="135">
        <v>43006.376307870371</v>
      </c>
      <c r="I130" s="74" t="s">
        <v>21354</v>
      </c>
      <c r="J130" s="74" t="s">
        <v>21355</v>
      </c>
      <c r="K130" s="74" t="s">
        <v>8079</v>
      </c>
      <c r="L130" s="74">
        <v>552671</v>
      </c>
      <c r="M130" s="74" t="s">
        <v>21341</v>
      </c>
      <c r="N130" s="74">
        <v>1</v>
      </c>
      <c r="O130" s="74" t="s">
        <v>21342</v>
      </c>
      <c r="P130" s="74" t="s">
        <v>21345</v>
      </c>
      <c r="R130" s="74" t="s">
        <v>148</v>
      </c>
      <c r="S130" s="74" t="s">
        <v>21338</v>
      </c>
      <c r="T130" s="74" t="s">
        <v>402</v>
      </c>
      <c r="U130" s="74">
        <v>0</v>
      </c>
      <c r="V130" s="74">
        <v>0</v>
      </c>
    </row>
    <row r="131" spans="3:22" x14ac:dyDescent="0.25">
      <c r="C131" s="74" t="s">
        <v>18795</v>
      </c>
      <c r="D131" s="74" t="s">
        <v>148</v>
      </c>
      <c r="E131" s="74" t="s">
        <v>21338</v>
      </c>
      <c r="F131" s="74">
        <v>551367</v>
      </c>
      <c r="G131" s="74">
        <v>1000</v>
      </c>
      <c r="H131" s="135">
        <v>43006.361793981479</v>
      </c>
      <c r="I131" s="74" t="s">
        <v>21339</v>
      </c>
      <c r="J131" s="74" t="s">
        <v>21340</v>
      </c>
      <c r="K131" s="74" t="s">
        <v>15813</v>
      </c>
      <c r="L131" s="74">
        <v>553651</v>
      </c>
      <c r="M131" s="74" t="s">
        <v>21341</v>
      </c>
      <c r="N131" s="74">
        <v>1</v>
      </c>
      <c r="O131" s="74" t="s">
        <v>21342</v>
      </c>
      <c r="P131" s="74" t="s">
        <v>21343</v>
      </c>
      <c r="Q131" s="74">
        <v>0</v>
      </c>
      <c r="R131" s="74" t="s">
        <v>148</v>
      </c>
      <c r="S131" s="74" t="s">
        <v>21338</v>
      </c>
      <c r="T131" s="74" t="s">
        <v>402</v>
      </c>
      <c r="U131" s="74">
        <v>0</v>
      </c>
      <c r="V131" s="74">
        <v>0</v>
      </c>
    </row>
    <row r="132" spans="3:22" x14ac:dyDescent="0.25">
      <c r="C132" s="74" t="s">
        <v>18795</v>
      </c>
      <c r="D132" s="74" t="s">
        <v>148</v>
      </c>
      <c r="E132" s="74" t="s">
        <v>21338</v>
      </c>
      <c r="F132" s="74">
        <v>551367</v>
      </c>
      <c r="G132" s="74">
        <v>1000</v>
      </c>
      <c r="H132" s="135">
        <v>43006.3359375</v>
      </c>
      <c r="I132" s="74" t="s">
        <v>21339</v>
      </c>
      <c r="J132" s="74" t="s">
        <v>21340</v>
      </c>
      <c r="K132" s="74" t="s">
        <v>8079</v>
      </c>
      <c r="L132" s="74">
        <v>552671</v>
      </c>
      <c r="M132" s="74" t="s">
        <v>21341</v>
      </c>
      <c r="N132" s="74">
        <v>1</v>
      </c>
      <c r="O132" s="74" t="s">
        <v>21342</v>
      </c>
      <c r="P132" s="74" t="s">
        <v>21343</v>
      </c>
      <c r="Q132" s="74">
        <v>0</v>
      </c>
      <c r="R132" s="74" t="s">
        <v>148</v>
      </c>
      <c r="S132" s="74" t="s">
        <v>21338</v>
      </c>
      <c r="T132" s="74" t="s">
        <v>402</v>
      </c>
      <c r="U132" s="74">
        <v>0</v>
      </c>
      <c r="V132" s="74">
        <v>0</v>
      </c>
    </row>
    <row r="133" spans="3:22" x14ac:dyDescent="0.25">
      <c r="C133" s="74" t="s">
        <v>21347</v>
      </c>
      <c r="D133" s="74" t="s">
        <v>148</v>
      </c>
      <c r="E133" s="74" t="s">
        <v>21338</v>
      </c>
      <c r="F133" s="74">
        <v>637976</v>
      </c>
      <c r="G133" s="74">
        <v>1</v>
      </c>
      <c r="H133" s="135">
        <v>43005.946712962963</v>
      </c>
      <c r="I133" s="74" t="s">
        <v>21348</v>
      </c>
      <c r="J133" s="74" t="s">
        <v>21349</v>
      </c>
      <c r="K133" s="74" t="s">
        <v>21347</v>
      </c>
      <c r="L133" s="74">
        <v>637976</v>
      </c>
      <c r="M133" s="74" t="s">
        <v>21341</v>
      </c>
      <c r="N133" s="74">
        <v>0</v>
      </c>
      <c r="O133" s="74" t="s">
        <v>21350</v>
      </c>
      <c r="P133" s="74" t="s">
        <v>21343</v>
      </c>
      <c r="Q133" s="74">
        <v>0</v>
      </c>
      <c r="R133" s="74" t="s">
        <v>148</v>
      </c>
      <c r="S133" s="74" t="s">
        <v>21338</v>
      </c>
      <c r="T133" s="74" t="s">
        <v>402</v>
      </c>
      <c r="U133" s="74">
        <v>0</v>
      </c>
      <c r="V133" s="74">
        <v>0</v>
      </c>
    </row>
    <row r="134" spans="3:22" x14ac:dyDescent="0.25">
      <c r="C134" s="74" t="s">
        <v>21347</v>
      </c>
      <c r="D134" s="74" t="s">
        <v>148</v>
      </c>
      <c r="E134" s="74" t="s">
        <v>21338</v>
      </c>
      <c r="F134" s="74">
        <v>637976</v>
      </c>
      <c r="G134" s="74">
        <v>1</v>
      </c>
      <c r="H134" s="135">
        <v>43005.946712962963</v>
      </c>
      <c r="I134" s="74" t="s">
        <v>244</v>
      </c>
      <c r="J134" s="74" t="s">
        <v>21349</v>
      </c>
      <c r="K134" s="74" t="s">
        <v>21347</v>
      </c>
      <c r="L134" s="74">
        <v>637976</v>
      </c>
      <c r="M134" s="74" t="s">
        <v>21341</v>
      </c>
      <c r="N134" s="74">
        <v>0</v>
      </c>
      <c r="O134" s="74" t="s">
        <v>21350</v>
      </c>
      <c r="P134" s="74" t="s">
        <v>21343</v>
      </c>
      <c r="Q134" s="74">
        <v>0</v>
      </c>
      <c r="R134" s="74" t="s">
        <v>148</v>
      </c>
      <c r="S134" s="74" t="s">
        <v>21338</v>
      </c>
      <c r="T134" s="74" t="s">
        <v>402</v>
      </c>
      <c r="U134" s="74">
        <v>0</v>
      </c>
      <c r="V134" s="74">
        <v>0</v>
      </c>
    </row>
    <row r="135" spans="3:22" x14ac:dyDescent="0.25">
      <c r="C135" s="74" t="s">
        <v>18795</v>
      </c>
      <c r="D135" s="74" t="s">
        <v>148</v>
      </c>
      <c r="E135" s="74" t="s">
        <v>21338</v>
      </c>
      <c r="F135" s="74">
        <v>551367</v>
      </c>
      <c r="G135" s="74">
        <v>1000</v>
      </c>
      <c r="H135" s="135">
        <v>43005.726122685184</v>
      </c>
      <c r="I135" s="74" t="s">
        <v>21339</v>
      </c>
      <c r="J135" s="74" t="s">
        <v>21340</v>
      </c>
      <c r="K135" s="74" t="s">
        <v>21406</v>
      </c>
      <c r="L135" s="74">
        <v>646715</v>
      </c>
      <c r="M135" s="74" t="s">
        <v>21341</v>
      </c>
      <c r="N135" s="74">
        <v>1</v>
      </c>
      <c r="O135" s="74" t="s">
        <v>21342</v>
      </c>
      <c r="P135" s="74" t="s">
        <v>21343</v>
      </c>
      <c r="Q135" s="74">
        <v>0</v>
      </c>
      <c r="R135" s="74" t="s">
        <v>148</v>
      </c>
      <c r="S135" s="74" t="s">
        <v>21338</v>
      </c>
      <c r="T135" s="74" t="s">
        <v>402</v>
      </c>
      <c r="U135" s="74">
        <v>0</v>
      </c>
      <c r="V135" s="74">
        <v>0</v>
      </c>
    </row>
    <row r="136" spans="3:22" x14ac:dyDescent="0.25">
      <c r="C136" s="74" t="s">
        <v>21347</v>
      </c>
      <c r="D136" s="74" t="s">
        <v>148</v>
      </c>
      <c r="E136" s="74" t="s">
        <v>21338</v>
      </c>
      <c r="F136" s="74">
        <v>637976</v>
      </c>
      <c r="G136" s="74">
        <v>1</v>
      </c>
      <c r="H136" s="135">
        <v>43005.707546296297</v>
      </c>
      <c r="I136" s="74" t="s">
        <v>21348</v>
      </c>
      <c r="J136" s="74" t="s">
        <v>21349</v>
      </c>
      <c r="K136" s="74" t="s">
        <v>21347</v>
      </c>
      <c r="L136" s="74">
        <v>637976</v>
      </c>
      <c r="M136" s="74" t="s">
        <v>21341</v>
      </c>
      <c r="N136" s="74">
        <v>0</v>
      </c>
      <c r="O136" s="74" t="s">
        <v>21350</v>
      </c>
      <c r="P136" s="74" t="s">
        <v>21343</v>
      </c>
      <c r="Q136" s="74">
        <v>0</v>
      </c>
      <c r="R136" s="74" t="s">
        <v>148</v>
      </c>
      <c r="S136" s="74" t="s">
        <v>21338</v>
      </c>
      <c r="T136" s="74" t="s">
        <v>402</v>
      </c>
      <c r="U136" s="74">
        <v>0</v>
      </c>
      <c r="V136" s="74">
        <v>0</v>
      </c>
    </row>
    <row r="137" spans="3:22" x14ac:dyDescent="0.25">
      <c r="C137" s="74" t="s">
        <v>21347</v>
      </c>
      <c r="D137" s="74" t="s">
        <v>148</v>
      </c>
      <c r="E137" s="74" t="s">
        <v>21338</v>
      </c>
      <c r="F137" s="74">
        <v>637976</v>
      </c>
      <c r="G137" s="74">
        <v>1</v>
      </c>
      <c r="H137" s="135">
        <v>43005.707546296297</v>
      </c>
      <c r="I137" s="74" t="s">
        <v>244</v>
      </c>
      <c r="J137" s="74" t="s">
        <v>21349</v>
      </c>
      <c r="K137" s="74" t="s">
        <v>21347</v>
      </c>
      <c r="L137" s="74">
        <v>637976</v>
      </c>
      <c r="M137" s="74" t="s">
        <v>21341</v>
      </c>
      <c r="N137" s="74">
        <v>0</v>
      </c>
      <c r="O137" s="74" t="s">
        <v>21350</v>
      </c>
      <c r="P137" s="74" t="s">
        <v>21343</v>
      </c>
      <c r="Q137" s="74">
        <v>0</v>
      </c>
      <c r="R137" s="74" t="s">
        <v>148</v>
      </c>
      <c r="S137" s="74" t="s">
        <v>21338</v>
      </c>
      <c r="T137" s="74" t="s">
        <v>402</v>
      </c>
      <c r="U137" s="74">
        <v>0</v>
      </c>
      <c r="V137" s="74">
        <v>0</v>
      </c>
    </row>
    <row r="138" spans="3:22" x14ac:dyDescent="0.25">
      <c r="C138" s="74" t="s">
        <v>18795</v>
      </c>
      <c r="D138" s="74" t="s">
        <v>148</v>
      </c>
      <c r="E138" s="74" t="s">
        <v>21338</v>
      </c>
      <c r="F138" s="74">
        <v>551367</v>
      </c>
      <c r="G138" s="74">
        <v>1000</v>
      </c>
      <c r="H138" s="135">
        <v>43005.705300925925</v>
      </c>
      <c r="I138" s="74" t="s">
        <v>21339</v>
      </c>
      <c r="J138" s="74" t="s">
        <v>21340</v>
      </c>
      <c r="K138" s="74" t="s">
        <v>21289</v>
      </c>
      <c r="L138" s="74">
        <v>554342</v>
      </c>
      <c r="M138" s="74" t="s">
        <v>21341</v>
      </c>
      <c r="N138" s="74">
        <v>1</v>
      </c>
      <c r="O138" s="74" t="s">
        <v>21342</v>
      </c>
      <c r="P138" s="74" t="s">
        <v>21343</v>
      </c>
      <c r="Q138" s="74">
        <v>0</v>
      </c>
      <c r="R138" s="74" t="s">
        <v>148</v>
      </c>
      <c r="S138" s="74" t="s">
        <v>21338</v>
      </c>
      <c r="T138" s="74" t="s">
        <v>402</v>
      </c>
      <c r="U138" s="74">
        <v>0</v>
      </c>
      <c r="V138" s="74">
        <v>0</v>
      </c>
    </row>
    <row r="139" spans="3:22" x14ac:dyDescent="0.25">
      <c r="C139" s="74" t="s">
        <v>21379</v>
      </c>
      <c r="D139" s="74" t="s">
        <v>148</v>
      </c>
      <c r="E139" s="74" t="s">
        <v>21338</v>
      </c>
      <c r="F139" s="74">
        <v>809833</v>
      </c>
      <c r="G139" s="74">
        <v>3</v>
      </c>
      <c r="H139" s="135">
        <v>43005.678078703706</v>
      </c>
      <c r="I139" s="74" t="s">
        <v>21354</v>
      </c>
      <c r="J139" s="74" t="s">
        <v>21355</v>
      </c>
      <c r="K139" s="74" t="s">
        <v>4938</v>
      </c>
      <c r="L139" s="74">
        <v>552252</v>
      </c>
      <c r="M139" s="74" t="s">
        <v>21341</v>
      </c>
      <c r="N139" s="74">
        <v>1</v>
      </c>
      <c r="O139" s="74" t="s">
        <v>21342</v>
      </c>
      <c r="P139" s="74" t="s">
        <v>21345</v>
      </c>
      <c r="R139" s="74" t="s">
        <v>148</v>
      </c>
      <c r="S139" s="74" t="s">
        <v>21338</v>
      </c>
      <c r="T139" s="74" t="s">
        <v>402</v>
      </c>
      <c r="U139" s="74">
        <v>0</v>
      </c>
      <c r="V139" s="74">
        <v>0</v>
      </c>
    </row>
    <row r="140" spans="3:22" x14ac:dyDescent="0.25">
      <c r="C140" s="74" t="s">
        <v>533</v>
      </c>
      <c r="D140" s="74" t="s">
        <v>148</v>
      </c>
      <c r="E140" s="74" t="s">
        <v>21338</v>
      </c>
      <c r="F140" s="74">
        <v>627566</v>
      </c>
      <c r="G140" s="74">
        <v>3</v>
      </c>
      <c r="H140" s="135">
        <v>43005.650625000002</v>
      </c>
      <c r="I140" s="74" t="s">
        <v>21354</v>
      </c>
      <c r="J140" s="74" t="s">
        <v>21355</v>
      </c>
      <c r="K140" s="74" t="s">
        <v>8394</v>
      </c>
      <c r="L140" s="74">
        <v>552714</v>
      </c>
      <c r="M140" s="74" t="s">
        <v>21341</v>
      </c>
      <c r="N140" s="74">
        <v>1</v>
      </c>
      <c r="O140" s="74" t="s">
        <v>21342</v>
      </c>
      <c r="P140" s="74" t="s">
        <v>21345</v>
      </c>
      <c r="R140" s="74" t="s">
        <v>148</v>
      </c>
      <c r="S140" s="74" t="s">
        <v>21338</v>
      </c>
      <c r="T140" s="74" t="s">
        <v>402</v>
      </c>
      <c r="U140" s="74">
        <v>0</v>
      </c>
      <c r="V140" s="74">
        <v>0</v>
      </c>
    </row>
    <row r="141" spans="3:22" x14ac:dyDescent="0.25">
      <c r="C141" s="74" t="s">
        <v>533</v>
      </c>
      <c r="D141" s="74" t="s">
        <v>148</v>
      </c>
      <c r="E141" s="74" t="s">
        <v>21338</v>
      </c>
      <c r="F141" s="74">
        <v>627566</v>
      </c>
      <c r="G141" s="74">
        <v>3</v>
      </c>
      <c r="H141" s="135">
        <v>43005.65042824074</v>
      </c>
      <c r="I141" s="74" t="s">
        <v>21339</v>
      </c>
      <c r="J141" s="74" t="s">
        <v>21360</v>
      </c>
      <c r="K141" s="74" t="s">
        <v>8394</v>
      </c>
      <c r="L141" s="74">
        <v>552714</v>
      </c>
      <c r="M141" s="74" t="s">
        <v>21341</v>
      </c>
      <c r="N141" s="74">
        <v>1</v>
      </c>
      <c r="O141" s="74" t="s">
        <v>21359</v>
      </c>
      <c r="P141" s="74" t="s">
        <v>21343</v>
      </c>
      <c r="Q141" s="74" t="s">
        <v>21395</v>
      </c>
      <c r="R141" s="74" t="s">
        <v>148</v>
      </c>
      <c r="S141" s="74" t="s">
        <v>21338</v>
      </c>
      <c r="T141" s="74" t="s">
        <v>402</v>
      </c>
      <c r="U141" s="74">
        <v>0</v>
      </c>
      <c r="V141" s="74">
        <v>0</v>
      </c>
    </row>
    <row r="142" spans="3:22" x14ac:dyDescent="0.25">
      <c r="C142" s="74" t="s">
        <v>533</v>
      </c>
      <c r="D142" s="74" t="s">
        <v>148</v>
      </c>
      <c r="E142" s="74" t="s">
        <v>21338</v>
      </c>
      <c r="F142" s="74">
        <v>627566</v>
      </c>
      <c r="G142" s="74">
        <v>3</v>
      </c>
      <c r="H142" s="135">
        <v>43005.648402777777</v>
      </c>
      <c r="I142" s="74" t="s">
        <v>21354</v>
      </c>
      <c r="J142" s="74" t="s">
        <v>21355</v>
      </c>
      <c r="K142" s="74" t="s">
        <v>8394</v>
      </c>
      <c r="L142" s="74">
        <v>552714</v>
      </c>
      <c r="M142" s="74" t="s">
        <v>21341</v>
      </c>
      <c r="N142" s="74">
        <v>1</v>
      </c>
      <c r="O142" s="74" t="s">
        <v>21342</v>
      </c>
      <c r="P142" s="74" t="s">
        <v>21345</v>
      </c>
      <c r="R142" s="74" t="s">
        <v>148</v>
      </c>
      <c r="S142" s="74" t="s">
        <v>21338</v>
      </c>
      <c r="T142" s="74" t="s">
        <v>402</v>
      </c>
      <c r="U142" s="74">
        <v>0</v>
      </c>
      <c r="V142" s="74">
        <v>0</v>
      </c>
    </row>
    <row r="143" spans="3:22" x14ac:dyDescent="0.25">
      <c r="C143" s="74" t="s">
        <v>533</v>
      </c>
      <c r="D143" s="74" t="s">
        <v>148</v>
      </c>
      <c r="E143" s="74" t="s">
        <v>21338</v>
      </c>
      <c r="F143" s="74">
        <v>627566</v>
      </c>
      <c r="G143" s="74">
        <v>3</v>
      </c>
      <c r="H143" s="135">
        <v>43005.644976851851</v>
      </c>
      <c r="I143" s="74" t="s">
        <v>21354</v>
      </c>
      <c r="J143" s="74" t="s">
        <v>21355</v>
      </c>
      <c r="K143" s="74" t="s">
        <v>8394</v>
      </c>
      <c r="L143" s="74">
        <v>552714</v>
      </c>
      <c r="M143" s="74" t="s">
        <v>21341</v>
      </c>
      <c r="N143" s="74">
        <v>1</v>
      </c>
      <c r="O143" s="74" t="s">
        <v>21342</v>
      </c>
      <c r="P143" s="74" t="s">
        <v>21345</v>
      </c>
      <c r="R143" s="74" t="s">
        <v>148</v>
      </c>
      <c r="S143" s="74" t="s">
        <v>21338</v>
      </c>
      <c r="T143" s="74" t="s">
        <v>402</v>
      </c>
      <c r="U143" s="74">
        <v>0</v>
      </c>
      <c r="V143" s="74">
        <v>0</v>
      </c>
    </row>
    <row r="144" spans="3:22" x14ac:dyDescent="0.25">
      <c r="C144" s="74" t="s">
        <v>533</v>
      </c>
      <c r="D144" s="74" t="s">
        <v>148</v>
      </c>
      <c r="E144" s="74" t="s">
        <v>21338</v>
      </c>
      <c r="F144" s="74">
        <v>627566</v>
      </c>
      <c r="G144" s="74">
        <v>3</v>
      </c>
      <c r="H144" s="135">
        <v>43005.644768518519</v>
      </c>
      <c r="I144" s="74" t="s">
        <v>21339</v>
      </c>
      <c r="J144" s="74" t="s">
        <v>21360</v>
      </c>
      <c r="K144" s="74" t="s">
        <v>8394</v>
      </c>
      <c r="L144" s="74">
        <v>552714</v>
      </c>
      <c r="M144" s="74" t="s">
        <v>21341</v>
      </c>
      <c r="N144" s="74">
        <v>1</v>
      </c>
      <c r="O144" s="74" t="s">
        <v>21359</v>
      </c>
      <c r="P144" s="74" t="s">
        <v>21343</v>
      </c>
      <c r="Q144" s="74" t="s">
        <v>21395</v>
      </c>
      <c r="R144" s="74" t="s">
        <v>148</v>
      </c>
      <c r="S144" s="74" t="s">
        <v>21338</v>
      </c>
      <c r="T144" s="74" t="s">
        <v>402</v>
      </c>
      <c r="U144" s="74">
        <v>0</v>
      </c>
      <c r="V144" s="74">
        <v>0</v>
      </c>
    </row>
    <row r="145" spans="3:22" x14ac:dyDescent="0.25">
      <c r="C145" s="74" t="s">
        <v>18795</v>
      </c>
      <c r="D145" s="74" t="s">
        <v>148</v>
      </c>
      <c r="E145" s="74" t="s">
        <v>21338</v>
      </c>
      <c r="F145" s="74">
        <v>551367</v>
      </c>
      <c r="G145" s="74">
        <v>1000</v>
      </c>
      <c r="H145" s="135">
        <v>43005.629189814812</v>
      </c>
      <c r="I145" s="74" t="s">
        <v>21339</v>
      </c>
      <c r="J145" s="74" t="s">
        <v>21340</v>
      </c>
      <c r="K145" s="74" t="s">
        <v>21408</v>
      </c>
      <c r="L145" s="74">
        <v>893102</v>
      </c>
      <c r="M145" s="74" t="s">
        <v>21341</v>
      </c>
      <c r="N145" s="74">
        <v>1</v>
      </c>
      <c r="O145" s="74" t="s">
        <v>21342</v>
      </c>
      <c r="P145" s="74" t="s">
        <v>21343</v>
      </c>
      <c r="Q145" s="74">
        <v>0</v>
      </c>
      <c r="R145" s="74" t="s">
        <v>148</v>
      </c>
      <c r="S145" s="74" t="s">
        <v>21338</v>
      </c>
      <c r="T145" s="74" t="s">
        <v>402</v>
      </c>
      <c r="U145" s="74">
        <v>0</v>
      </c>
      <c r="V145" s="74">
        <v>0</v>
      </c>
    </row>
    <row r="146" spans="3:22" x14ac:dyDescent="0.25">
      <c r="C146" s="74" t="s">
        <v>21409</v>
      </c>
      <c r="D146" s="74" t="s">
        <v>148</v>
      </c>
      <c r="E146" s="74" t="s">
        <v>21338</v>
      </c>
      <c r="F146" s="74">
        <v>560330</v>
      </c>
      <c r="G146" s="74">
        <v>3</v>
      </c>
      <c r="H146" s="135">
        <v>43005.626805555556</v>
      </c>
      <c r="I146" s="74" t="s">
        <v>21354</v>
      </c>
      <c r="J146" s="74" t="s">
        <v>21355</v>
      </c>
      <c r="K146" s="74" t="s">
        <v>21410</v>
      </c>
      <c r="L146" s="74">
        <v>837620</v>
      </c>
      <c r="M146" s="74" t="s">
        <v>21341</v>
      </c>
      <c r="N146" s="74">
        <v>1</v>
      </c>
      <c r="O146" s="74" t="s">
        <v>21342</v>
      </c>
      <c r="P146" s="74" t="s">
        <v>21345</v>
      </c>
      <c r="R146" s="74" t="s">
        <v>148</v>
      </c>
      <c r="S146" s="74" t="s">
        <v>21338</v>
      </c>
      <c r="T146" s="74" t="s">
        <v>402</v>
      </c>
      <c r="U146" s="74">
        <v>0</v>
      </c>
      <c r="V146" s="74">
        <v>0</v>
      </c>
    </row>
    <row r="147" spans="3:22" x14ac:dyDescent="0.25">
      <c r="C147" s="74" t="s">
        <v>18795</v>
      </c>
      <c r="D147" s="74" t="s">
        <v>148</v>
      </c>
      <c r="E147" s="74" t="s">
        <v>21338</v>
      </c>
      <c r="F147" s="74">
        <v>551367</v>
      </c>
      <c r="G147" s="74">
        <v>1000</v>
      </c>
      <c r="H147" s="135">
        <v>43005.624027777776</v>
      </c>
      <c r="I147" s="74" t="s">
        <v>21339</v>
      </c>
      <c r="J147" s="74" t="s">
        <v>21340</v>
      </c>
      <c r="K147" s="74" t="s">
        <v>8394</v>
      </c>
      <c r="L147" s="74">
        <v>552714</v>
      </c>
      <c r="M147" s="74" t="s">
        <v>21341</v>
      </c>
      <c r="N147" s="74">
        <v>1</v>
      </c>
      <c r="O147" s="74" t="s">
        <v>21342</v>
      </c>
      <c r="P147" s="74" t="s">
        <v>21343</v>
      </c>
      <c r="Q147" s="74">
        <v>0</v>
      </c>
      <c r="R147" s="74" t="s">
        <v>148</v>
      </c>
      <c r="S147" s="74" t="s">
        <v>21338</v>
      </c>
      <c r="T147" s="74" t="s">
        <v>402</v>
      </c>
      <c r="U147" s="74">
        <v>0</v>
      </c>
      <c r="V147" s="74">
        <v>0</v>
      </c>
    </row>
    <row r="148" spans="3:22" x14ac:dyDescent="0.25">
      <c r="C148" s="74" t="s">
        <v>18795</v>
      </c>
      <c r="D148" s="74" t="s">
        <v>148</v>
      </c>
      <c r="E148" s="74" t="s">
        <v>21338</v>
      </c>
      <c r="F148" s="74">
        <v>551367</v>
      </c>
      <c r="G148" s="74">
        <v>1000</v>
      </c>
      <c r="H148" s="135">
        <v>43005.608506944445</v>
      </c>
      <c r="I148" s="74" t="s">
        <v>21339</v>
      </c>
      <c r="J148" s="74" t="s">
        <v>21340</v>
      </c>
      <c r="K148" s="74" t="s">
        <v>16758</v>
      </c>
      <c r="L148" s="74">
        <v>553768</v>
      </c>
      <c r="M148" s="74" t="s">
        <v>21341</v>
      </c>
      <c r="N148" s="74">
        <v>1</v>
      </c>
      <c r="O148" s="74" t="s">
        <v>21342</v>
      </c>
      <c r="P148" s="74" t="s">
        <v>21343</v>
      </c>
      <c r="Q148" s="74">
        <v>0</v>
      </c>
      <c r="R148" s="74" t="s">
        <v>148</v>
      </c>
      <c r="S148" s="74" t="s">
        <v>21338</v>
      </c>
      <c r="T148" s="74" t="s">
        <v>402</v>
      </c>
      <c r="U148" s="74">
        <v>0</v>
      </c>
      <c r="V148" s="74">
        <v>0</v>
      </c>
    </row>
    <row r="149" spans="3:22" x14ac:dyDescent="0.25">
      <c r="C149" s="74" t="s">
        <v>18795</v>
      </c>
      <c r="D149" s="74" t="s">
        <v>148</v>
      </c>
      <c r="E149" s="74" t="s">
        <v>21338</v>
      </c>
      <c r="F149" s="74">
        <v>551367</v>
      </c>
      <c r="G149" s="74">
        <v>1000</v>
      </c>
      <c r="H149" s="135">
        <v>43005.605243055557</v>
      </c>
      <c r="I149" s="74" t="s">
        <v>21339</v>
      </c>
      <c r="J149" s="74" t="s">
        <v>21340</v>
      </c>
      <c r="K149" s="74" t="s">
        <v>20543</v>
      </c>
      <c r="L149" s="74">
        <v>554236</v>
      </c>
      <c r="M149" s="74" t="s">
        <v>21341</v>
      </c>
      <c r="N149" s="74">
        <v>1</v>
      </c>
      <c r="O149" s="74" t="s">
        <v>21342</v>
      </c>
      <c r="P149" s="74" t="s">
        <v>21343</v>
      </c>
      <c r="Q149" s="74">
        <v>0</v>
      </c>
      <c r="R149" s="74" t="s">
        <v>148</v>
      </c>
      <c r="S149" s="74" t="s">
        <v>21338</v>
      </c>
      <c r="T149" s="74" t="s">
        <v>402</v>
      </c>
      <c r="U149" s="74">
        <v>0</v>
      </c>
      <c r="V149" s="74">
        <v>0</v>
      </c>
    </row>
    <row r="150" spans="3:22" x14ac:dyDescent="0.25">
      <c r="C150" s="74" t="s">
        <v>21390</v>
      </c>
      <c r="D150" s="74" t="s">
        <v>148</v>
      </c>
      <c r="E150" s="74" t="s">
        <v>21338</v>
      </c>
      <c r="F150" s="74">
        <v>560864</v>
      </c>
      <c r="G150" s="74">
        <v>3</v>
      </c>
      <c r="H150" s="135">
        <v>43005.594884259262</v>
      </c>
      <c r="I150" s="74" t="s">
        <v>21354</v>
      </c>
      <c r="J150" s="74" t="s">
        <v>21355</v>
      </c>
      <c r="K150" s="74" t="s">
        <v>7414</v>
      </c>
      <c r="L150" s="74">
        <v>908517</v>
      </c>
      <c r="M150" s="74" t="s">
        <v>21341</v>
      </c>
      <c r="N150" s="74">
        <v>1</v>
      </c>
      <c r="O150" s="74" t="s">
        <v>21342</v>
      </c>
      <c r="P150" s="74" t="s">
        <v>21345</v>
      </c>
      <c r="R150" s="74" t="s">
        <v>148</v>
      </c>
      <c r="S150" s="74" t="s">
        <v>21338</v>
      </c>
      <c r="T150" s="74" t="s">
        <v>402</v>
      </c>
      <c r="U150" s="74">
        <v>0</v>
      </c>
      <c r="V150" s="74">
        <v>0</v>
      </c>
    </row>
    <row r="151" spans="3:22" x14ac:dyDescent="0.25">
      <c r="C151" s="74" t="s">
        <v>18795</v>
      </c>
      <c r="D151" s="74" t="s">
        <v>148</v>
      </c>
      <c r="E151" s="74" t="s">
        <v>21338</v>
      </c>
      <c r="F151" s="74">
        <v>551367</v>
      </c>
      <c r="G151" s="74">
        <v>1000</v>
      </c>
      <c r="H151" s="135">
        <v>43005.592800925922</v>
      </c>
      <c r="I151" s="74" t="s">
        <v>21339</v>
      </c>
      <c r="J151" s="74" t="s">
        <v>21340</v>
      </c>
      <c r="K151" s="74" t="s">
        <v>6923</v>
      </c>
      <c r="L151" s="74">
        <v>552527</v>
      </c>
      <c r="M151" s="74" t="s">
        <v>21341</v>
      </c>
      <c r="N151" s="74">
        <v>1</v>
      </c>
      <c r="O151" s="74" t="s">
        <v>21342</v>
      </c>
      <c r="P151" s="74" t="s">
        <v>21343</v>
      </c>
      <c r="Q151" s="74">
        <v>0</v>
      </c>
      <c r="R151" s="74" t="s">
        <v>148</v>
      </c>
      <c r="S151" s="74" t="s">
        <v>21338</v>
      </c>
      <c r="T151" s="74" t="s">
        <v>402</v>
      </c>
      <c r="U151" s="74">
        <v>0</v>
      </c>
      <c r="V151" s="74">
        <v>0</v>
      </c>
    </row>
    <row r="152" spans="3:22" x14ac:dyDescent="0.25">
      <c r="C152" s="74" t="s">
        <v>18795</v>
      </c>
      <c r="D152" s="74" t="s">
        <v>148</v>
      </c>
      <c r="E152" s="74" t="s">
        <v>21338</v>
      </c>
      <c r="F152" s="74">
        <v>551367</v>
      </c>
      <c r="G152" s="74">
        <v>1000</v>
      </c>
      <c r="H152" s="135">
        <v>43005.587754629632</v>
      </c>
      <c r="I152" s="74" t="s">
        <v>21339</v>
      </c>
      <c r="J152" s="74" t="s">
        <v>21340</v>
      </c>
      <c r="K152" s="74" t="s">
        <v>10470</v>
      </c>
      <c r="L152" s="74">
        <v>552986</v>
      </c>
      <c r="M152" s="74" t="s">
        <v>21341</v>
      </c>
      <c r="N152" s="74">
        <v>1</v>
      </c>
      <c r="O152" s="74" t="s">
        <v>21342</v>
      </c>
      <c r="P152" s="74" t="s">
        <v>21343</v>
      </c>
      <c r="Q152" s="74">
        <v>0</v>
      </c>
      <c r="R152" s="74" t="s">
        <v>148</v>
      </c>
      <c r="S152" s="74" t="s">
        <v>21338</v>
      </c>
      <c r="T152" s="74" t="s">
        <v>402</v>
      </c>
      <c r="U152" s="74">
        <v>0</v>
      </c>
      <c r="V152" s="74">
        <v>0</v>
      </c>
    </row>
    <row r="153" spans="3:22" x14ac:dyDescent="0.25">
      <c r="C153" s="74" t="s">
        <v>533</v>
      </c>
      <c r="D153" s="74" t="s">
        <v>148</v>
      </c>
      <c r="E153" s="74" t="s">
        <v>21338</v>
      </c>
      <c r="F153" s="74">
        <v>627566</v>
      </c>
      <c r="G153" s="74">
        <v>3</v>
      </c>
      <c r="H153" s="135">
        <v>43005.584236111114</v>
      </c>
      <c r="I153" s="74" t="s">
        <v>21354</v>
      </c>
      <c r="J153" s="74" t="s">
        <v>21355</v>
      </c>
      <c r="K153" s="74" t="s">
        <v>1445</v>
      </c>
      <c r="L153" s="74">
        <v>551839</v>
      </c>
      <c r="M153" s="74" t="s">
        <v>21341</v>
      </c>
      <c r="N153" s="74">
        <v>1</v>
      </c>
      <c r="O153" s="74" t="s">
        <v>21342</v>
      </c>
      <c r="P153" s="74" t="s">
        <v>21345</v>
      </c>
      <c r="R153" s="74" t="s">
        <v>148</v>
      </c>
      <c r="S153" s="74" t="s">
        <v>21338</v>
      </c>
      <c r="T153" s="74" t="s">
        <v>402</v>
      </c>
      <c r="U153" s="74">
        <v>0</v>
      </c>
      <c r="V153" s="74">
        <v>0</v>
      </c>
    </row>
    <row r="154" spans="3:22" x14ac:dyDescent="0.25">
      <c r="C154" s="74" t="s">
        <v>21390</v>
      </c>
      <c r="D154" s="74" t="s">
        <v>148</v>
      </c>
      <c r="E154" s="74" t="s">
        <v>21338</v>
      </c>
      <c r="F154" s="74">
        <v>560864</v>
      </c>
      <c r="G154" s="74">
        <v>3</v>
      </c>
      <c r="H154" s="135">
        <v>43005.562372685185</v>
      </c>
      <c r="I154" s="74" t="s">
        <v>21354</v>
      </c>
      <c r="J154" s="74" t="s">
        <v>21355</v>
      </c>
      <c r="K154" s="74" t="s">
        <v>6518</v>
      </c>
      <c r="L154" s="74">
        <v>552478</v>
      </c>
      <c r="M154" s="74" t="s">
        <v>21341</v>
      </c>
      <c r="N154" s="74">
        <v>1</v>
      </c>
      <c r="O154" s="74" t="s">
        <v>21342</v>
      </c>
      <c r="P154" s="74" t="s">
        <v>21345</v>
      </c>
      <c r="R154" s="74" t="s">
        <v>148</v>
      </c>
      <c r="S154" s="74" t="s">
        <v>21338</v>
      </c>
      <c r="T154" s="74" t="s">
        <v>402</v>
      </c>
      <c r="U154" s="74">
        <v>0</v>
      </c>
      <c r="V154" s="74">
        <v>0</v>
      </c>
    </row>
    <row r="155" spans="3:22" x14ac:dyDescent="0.25">
      <c r="C155" s="74" t="s">
        <v>18795</v>
      </c>
      <c r="D155" s="74" t="s">
        <v>148</v>
      </c>
      <c r="E155" s="74" t="s">
        <v>21338</v>
      </c>
      <c r="F155" s="74">
        <v>551367</v>
      </c>
      <c r="G155" s="74">
        <v>1000</v>
      </c>
      <c r="H155" s="135">
        <v>43005.562013888892</v>
      </c>
      <c r="I155" s="74" t="s">
        <v>21339</v>
      </c>
      <c r="J155" s="74" t="s">
        <v>21340</v>
      </c>
      <c r="K155" s="74" t="s">
        <v>14349</v>
      </c>
      <c r="L155" s="74">
        <v>677117</v>
      </c>
      <c r="M155" s="74" t="s">
        <v>21341</v>
      </c>
      <c r="N155" s="74">
        <v>1</v>
      </c>
      <c r="O155" s="74" t="s">
        <v>21342</v>
      </c>
      <c r="P155" s="74" t="s">
        <v>21343</v>
      </c>
      <c r="Q155" s="74">
        <v>0</v>
      </c>
      <c r="R155" s="74" t="s">
        <v>148</v>
      </c>
      <c r="S155" s="74" t="s">
        <v>21338</v>
      </c>
      <c r="T155" s="74" t="s">
        <v>402</v>
      </c>
      <c r="U155" s="74">
        <v>0</v>
      </c>
      <c r="V155" s="74">
        <v>0</v>
      </c>
    </row>
    <row r="156" spans="3:22" x14ac:dyDescent="0.25">
      <c r="C156" s="74" t="s">
        <v>18795</v>
      </c>
      <c r="D156" s="74" t="s">
        <v>148</v>
      </c>
      <c r="E156" s="74" t="s">
        <v>21338</v>
      </c>
      <c r="F156" s="74">
        <v>551367</v>
      </c>
      <c r="G156" s="74">
        <v>1000</v>
      </c>
      <c r="H156" s="135">
        <v>43005.559212962966</v>
      </c>
      <c r="I156" s="74" t="s">
        <v>21339</v>
      </c>
      <c r="J156" s="74" t="s">
        <v>21340</v>
      </c>
      <c r="K156" s="74" t="s">
        <v>4994</v>
      </c>
      <c r="L156" s="74">
        <v>552259</v>
      </c>
      <c r="M156" s="74" t="s">
        <v>21341</v>
      </c>
      <c r="N156" s="74">
        <v>1</v>
      </c>
      <c r="O156" s="74" t="s">
        <v>21342</v>
      </c>
      <c r="P156" s="74" t="s">
        <v>21343</v>
      </c>
      <c r="Q156" s="74">
        <v>0</v>
      </c>
      <c r="R156" s="74" t="s">
        <v>148</v>
      </c>
      <c r="S156" s="74" t="s">
        <v>21338</v>
      </c>
      <c r="T156" s="74" t="s">
        <v>402</v>
      </c>
      <c r="U156" s="74">
        <v>0</v>
      </c>
      <c r="V156" s="74">
        <v>0</v>
      </c>
    </row>
    <row r="157" spans="3:22" x14ac:dyDescent="0.25">
      <c r="C157" s="74" t="s">
        <v>533</v>
      </c>
      <c r="D157" s="74" t="s">
        <v>148</v>
      </c>
      <c r="E157" s="74" t="s">
        <v>21338</v>
      </c>
      <c r="F157" s="74">
        <v>627566</v>
      </c>
      <c r="G157" s="74">
        <v>3</v>
      </c>
      <c r="H157" s="135">
        <v>43005.559039351851</v>
      </c>
      <c r="I157" s="74" t="s">
        <v>21354</v>
      </c>
      <c r="J157" s="74" t="s">
        <v>21355</v>
      </c>
      <c r="K157" s="74" t="s">
        <v>1445</v>
      </c>
      <c r="L157" s="74">
        <v>551839</v>
      </c>
      <c r="M157" s="74" t="s">
        <v>21341</v>
      </c>
      <c r="N157" s="74">
        <v>1</v>
      </c>
      <c r="O157" s="74" t="s">
        <v>21342</v>
      </c>
      <c r="P157" s="74" t="s">
        <v>21345</v>
      </c>
      <c r="R157" s="74" t="s">
        <v>148</v>
      </c>
      <c r="S157" s="74" t="s">
        <v>21338</v>
      </c>
      <c r="T157" s="74" t="s">
        <v>402</v>
      </c>
      <c r="U157" s="74">
        <v>0</v>
      </c>
      <c r="V157" s="74">
        <v>0</v>
      </c>
    </row>
    <row r="158" spans="3:22" x14ac:dyDescent="0.25">
      <c r="C158" s="74" t="s">
        <v>533</v>
      </c>
      <c r="D158" s="74" t="s">
        <v>148</v>
      </c>
      <c r="E158" s="74" t="s">
        <v>21338</v>
      </c>
      <c r="F158" s="74">
        <v>627566</v>
      </c>
      <c r="G158" s="74">
        <v>3</v>
      </c>
      <c r="H158" s="135">
        <v>43005.558634259258</v>
      </c>
      <c r="I158" s="74" t="s">
        <v>21339</v>
      </c>
      <c r="J158" s="74" t="s">
        <v>21360</v>
      </c>
      <c r="K158" s="74" t="s">
        <v>1445</v>
      </c>
      <c r="L158" s="74">
        <v>551839</v>
      </c>
      <c r="M158" s="74" t="s">
        <v>21341</v>
      </c>
      <c r="N158" s="74">
        <v>1</v>
      </c>
      <c r="O158" s="74" t="s">
        <v>21359</v>
      </c>
      <c r="P158" s="74" t="s">
        <v>21343</v>
      </c>
      <c r="Q158" s="74" t="s">
        <v>21395</v>
      </c>
      <c r="R158" s="74" t="s">
        <v>148</v>
      </c>
      <c r="S158" s="74" t="s">
        <v>21338</v>
      </c>
      <c r="T158" s="74" t="s">
        <v>402</v>
      </c>
      <c r="U158" s="74">
        <v>0</v>
      </c>
      <c r="V158" s="74">
        <v>0</v>
      </c>
    </row>
    <row r="159" spans="3:22" x14ac:dyDescent="0.25">
      <c r="C159" s="74" t="s">
        <v>533</v>
      </c>
      <c r="D159" s="74" t="s">
        <v>148</v>
      </c>
      <c r="E159" s="74" t="s">
        <v>21338</v>
      </c>
      <c r="F159" s="74">
        <v>627566</v>
      </c>
      <c r="G159" s="74">
        <v>3</v>
      </c>
      <c r="H159" s="135">
        <v>43005.554965277777</v>
      </c>
      <c r="I159" s="74" t="s">
        <v>21354</v>
      </c>
      <c r="J159" s="74" t="s">
        <v>21355</v>
      </c>
      <c r="K159" s="74" t="s">
        <v>1445</v>
      </c>
      <c r="L159" s="74">
        <v>551839</v>
      </c>
      <c r="M159" s="74" t="s">
        <v>21341</v>
      </c>
      <c r="N159" s="74">
        <v>1</v>
      </c>
      <c r="O159" s="74" t="s">
        <v>21342</v>
      </c>
      <c r="P159" s="74" t="s">
        <v>21345</v>
      </c>
      <c r="R159" s="74" t="s">
        <v>148</v>
      </c>
      <c r="S159" s="74" t="s">
        <v>21338</v>
      </c>
      <c r="T159" s="74" t="s">
        <v>402</v>
      </c>
      <c r="U159" s="74">
        <v>0</v>
      </c>
      <c r="V159" s="74">
        <v>0</v>
      </c>
    </row>
    <row r="160" spans="3:22" x14ac:dyDescent="0.25">
      <c r="C160" s="74" t="s">
        <v>533</v>
      </c>
      <c r="D160" s="74" t="s">
        <v>148</v>
      </c>
      <c r="E160" s="74" t="s">
        <v>21338</v>
      </c>
      <c r="F160" s="74">
        <v>627566</v>
      </c>
      <c r="G160" s="74">
        <v>3</v>
      </c>
      <c r="H160" s="135">
        <v>43005.554618055554</v>
      </c>
      <c r="I160" s="74" t="s">
        <v>21339</v>
      </c>
      <c r="J160" s="74" t="s">
        <v>21360</v>
      </c>
      <c r="K160" s="74" t="s">
        <v>1445</v>
      </c>
      <c r="L160" s="74">
        <v>551839</v>
      </c>
      <c r="M160" s="74" t="s">
        <v>21341</v>
      </c>
      <c r="N160" s="74">
        <v>1</v>
      </c>
      <c r="O160" s="74" t="s">
        <v>21359</v>
      </c>
      <c r="P160" s="74" t="s">
        <v>21343</v>
      </c>
      <c r="Q160" s="74" t="s">
        <v>21395</v>
      </c>
      <c r="R160" s="74" t="s">
        <v>148</v>
      </c>
      <c r="S160" s="74" t="s">
        <v>21338</v>
      </c>
      <c r="T160" s="74" t="s">
        <v>402</v>
      </c>
      <c r="U160" s="74">
        <v>0</v>
      </c>
      <c r="V160" s="74">
        <v>0</v>
      </c>
    </row>
    <row r="161" spans="3:22" x14ac:dyDescent="0.25">
      <c r="C161" s="74" t="s">
        <v>533</v>
      </c>
      <c r="D161" s="74" t="s">
        <v>148</v>
      </c>
      <c r="E161" s="74" t="s">
        <v>21338</v>
      </c>
      <c r="F161" s="74">
        <v>627566</v>
      </c>
      <c r="G161" s="74">
        <v>3</v>
      </c>
      <c r="H161" s="135">
        <v>43005.548321759263</v>
      </c>
      <c r="I161" s="74" t="s">
        <v>21339</v>
      </c>
      <c r="J161" s="74" t="s">
        <v>21360</v>
      </c>
      <c r="K161" s="74" t="s">
        <v>1445</v>
      </c>
      <c r="L161" s="74">
        <v>551839</v>
      </c>
      <c r="M161" s="74" t="s">
        <v>21341</v>
      </c>
      <c r="N161" s="74">
        <v>1</v>
      </c>
      <c r="O161" s="74" t="s">
        <v>21359</v>
      </c>
      <c r="P161" s="74" t="s">
        <v>21343</v>
      </c>
      <c r="Q161" s="74" t="s">
        <v>21395</v>
      </c>
      <c r="R161" s="74" t="s">
        <v>148</v>
      </c>
      <c r="S161" s="74" t="s">
        <v>21338</v>
      </c>
      <c r="T161" s="74" t="s">
        <v>402</v>
      </c>
      <c r="U161" s="74">
        <v>0</v>
      </c>
      <c r="V161" s="74">
        <v>0</v>
      </c>
    </row>
    <row r="162" spans="3:22" x14ac:dyDescent="0.25">
      <c r="C162" s="74" t="s">
        <v>533</v>
      </c>
      <c r="D162" s="74" t="s">
        <v>148</v>
      </c>
      <c r="E162" s="74" t="s">
        <v>21338</v>
      </c>
      <c r="F162" s="74">
        <v>627566</v>
      </c>
      <c r="G162" s="74">
        <v>3</v>
      </c>
      <c r="H162" s="135">
        <v>43005.547905092593</v>
      </c>
      <c r="I162" s="74" t="s">
        <v>21354</v>
      </c>
      <c r="J162" s="74" t="s">
        <v>21355</v>
      </c>
      <c r="K162" s="74" t="s">
        <v>1445</v>
      </c>
      <c r="L162" s="74">
        <v>551839</v>
      </c>
      <c r="M162" s="74" t="s">
        <v>21341</v>
      </c>
      <c r="N162" s="74">
        <v>1</v>
      </c>
      <c r="O162" s="74" t="s">
        <v>21342</v>
      </c>
      <c r="P162" s="74" t="s">
        <v>21345</v>
      </c>
      <c r="R162" s="74" t="s">
        <v>148</v>
      </c>
      <c r="S162" s="74" t="s">
        <v>21338</v>
      </c>
      <c r="T162" s="74" t="s">
        <v>402</v>
      </c>
      <c r="U162" s="74">
        <v>0</v>
      </c>
      <c r="V162" s="74">
        <v>0</v>
      </c>
    </row>
    <row r="163" spans="3:22" x14ac:dyDescent="0.25">
      <c r="C163" s="74" t="s">
        <v>533</v>
      </c>
      <c r="D163" s="74" t="s">
        <v>148</v>
      </c>
      <c r="E163" s="74" t="s">
        <v>21338</v>
      </c>
      <c r="F163" s="74">
        <v>627566</v>
      </c>
      <c r="G163" s="74">
        <v>3</v>
      </c>
      <c r="H163" s="135">
        <v>43005.534826388888</v>
      </c>
      <c r="I163" s="74" t="s">
        <v>21354</v>
      </c>
      <c r="J163" s="74" t="s">
        <v>21355</v>
      </c>
      <c r="K163" s="74" t="s">
        <v>1445</v>
      </c>
      <c r="L163" s="74">
        <v>551839</v>
      </c>
      <c r="M163" s="74" t="s">
        <v>21341</v>
      </c>
      <c r="N163" s="74">
        <v>1</v>
      </c>
      <c r="O163" s="74" t="s">
        <v>21342</v>
      </c>
      <c r="P163" s="74" t="s">
        <v>21345</v>
      </c>
      <c r="R163" s="74" t="s">
        <v>148</v>
      </c>
      <c r="S163" s="74" t="s">
        <v>21338</v>
      </c>
      <c r="T163" s="74" t="s">
        <v>402</v>
      </c>
      <c r="U163" s="74">
        <v>0</v>
      </c>
      <c r="V163" s="74">
        <v>0</v>
      </c>
    </row>
    <row r="164" spans="3:22" x14ac:dyDescent="0.25">
      <c r="C164" s="74" t="s">
        <v>18795</v>
      </c>
      <c r="D164" s="74" t="s">
        <v>148</v>
      </c>
      <c r="E164" s="74" t="s">
        <v>21338</v>
      </c>
      <c r="F164" s="74">
        <v>551367</v>
      </c>
      <c r="G164" s="74">
        <v>1000</v>
      </c>
      <c r="H164" s="135">
        <v>43005.534131944441</v>
      </c>
      <c r="I164" s="74" t="s">
        <v>21339</v>
      </c>
      <c r="J164" s="74" t="s">
        <v>21340</v>
      </c>
      <c r="K164" s="74" t="s">
        <v>1721</v>
      </c>
      <c r="L164" s="74">
        <v>551870</v>
      </c>
      <c r="M164" s="74" t="s">
        <v>21341</v>
      </c>
      <c r="N164" s="74">
        <v>1</v>
      </c>
      <c r="O164" s="74" t="s">
        <v>21342</v>
      </c>
      <c r="P164" s="74" t="s">
        <v>21343</v>
      </c>
      <c r="Q164" s="74">
        <v>0</v>
      </c>
      <c r="R164" s="74" t="s">
        <v>148</v>
      </c>
      <c r="S164" s="74" t="s">
        <v>21338</v>
      </c>
      <c r="T164" s="74" t="s">
        <v>402</v>
      </c>
      <c r="U164" s="74">
        <v>0</v>
      </c>
      <c r="V164" s="74">
        <v>0</v>
      </c>
    </row>
    <row r="165" spans="3:22" x14ac:dyDescent="0.25">
      <c r="C165" s="74" t="s">
        <v>18795</v>
      </c>
      <c r="D165" s="74" t="s">
        <v>148</v>
      </c>
      <c r="E165" s="74" t="s">
        <v>21338</v>
      </c>
      <c r="F165" s="74">
        <v>551367</v>
      </c>
      <c r="G165" s="74">
        <v>1000</v>
      </c>
      <c r="H165" s="135">
        <v>43005.533530092594</v>
      </c>
      <c r="I165" s="74" t="s">
        <v>21339</v>
      </c>
      <c r="J165" s="74" t="s">
        <v>21340</v>
      </c>
      <c r="K165" s="74" t="s">
        <v>1017</v>
      </c>
      <c r="L165" s="74">
        <v>551779</v>
      </c>
      <c r="M165" s="74" t="s">
        <v>21341</v>
      </c>
      <c r="N165" s="74">
        <v>1</v>
      </c>
      <c r="O165" s="74" t="s">
        <v>21342</v>
      </c>
      <c r="P165" s="74" t="s">
        <v>21343</v>
      </c>
      <c r="Q165" s="74">
        <v>0</v>
      </c>
      <c r="R165" s="74" t="s">
        <v>148</v>
      </c>
      <c r="S165" s="74" t="s">
        <v>21338</v>
      </c>
      <c r="T165" s="74" t="s">
        <v>402</v>
      </c>
      <c r="U165" s="74">
        <v>0</v>
      </c>
      <c r="V165" s="74">
        <v>0</v>
      </c>
    </row>
    <row r="166" spans="3:22" x14ac:dyDescent="0.25">
      <c r="C166" s="74" t="s">
        <v>533</v>
      </c>
      <c r="D166" s="74" t="s">
        <v>148</v>
      </c>
      <c r="E166" s="74" t="s">
        <v>21338</v>
      </c>
      <c r="F166" s="74">
        <v>627566</v>
      </c>
      <c r="G166" s="74">
        <v>3</v>
      </c>
      <c r="H166" s="135">
        <v>43005.526458333334</v>
      </c>
      <c r="I166" s="74" t="s">
        <v>21354</v>
      </c>
      <c r="J166" s="74" t="s">
        <v>21355</v>
      </c>
      <c r="K166" s="74" t="s">
        <v>1445</v>
      </c>
      <c r="L166" s="74">
        <v>551839</v>
      </c>
      <c r="M166" s="74" t="s">
        <v>21341</v>
      </c>
      <c r="N166" s="74">
        <v>1</v>
      </c>
      <c r="O166" s="74" t="s">
        <v>21342</v>
      </c>
      <c r="P166" s="74" t="s">
        <v>21345</v>
      </c>
      <c r="R166" s="74" t="s">
        <v>148</v>
      </c>
      <c r="S166" s="74" t="s">
        <v>21338</v>
      </c>
      <c r="T166" s="74" t="s">
        <v>402</v>
      </c>
      <c r="U166" s="74">
        <v>0</v>
      </c>
      <c r="V166" s="74">
        <v>0</v>
      </c>
    </row>
    <row r="167" spans="3:22" x14ac:dyDescent="0.25">
      <c r="C167" s="74" t="s">
        <v>533</v>
      </c>
      <c r="D167" s="74" t="s">
        <v>148</v>
      </c>
      <c r="E167" s="74" t="s">
        <v>21338</v>
      </c>
      <c r="F167" s="74">
        <v>627566</v>
      </c>
      <c r="G167" s="74">
        <v>3</v>
      </c>
      <c r="H167" s="135">
        <v>43005.525972222225</v>
      </c>
      <c r="I167" s="74" t="s">
        <v>21339</v>
      </c>
      <c r="J167" s="74" t="s">
        <v>21360</v>
      </c>
      <c r="K167" s="74" t="s">
        <v>1445</v>
      </c>
      <c r="L167" s="74">
        <v>551839</v>
      </c>
      <c r="M167" s="74" t="s">
        <v>21341</v>
      </c>
      <c r="N167" s="74">
        <v>1</v>
      </c>
      <c r="O167" s="74" t="s">
        <v>21359</v>
      </c>
      <c r="P167" s="74" t="s">
        <v>21343</v>
      </c>
      <c r="Q167" s="74" t="s">
        <v>21395</v>
      </c>
      <c r="R167" s="74" t="s">
        <v>148</v>
      </c>
      <c r="S167" s="74" t="s">
        <v>21338</v>
      </c>
      <c r="T167" s="74" t="s">
        <v>402</v>
      </c>
      <c r="U167" s="74">
        <v>0</v>
      </c>
      <c r="V167" s="74">
        <v>0</v>
      </c>
    </row>
    <row r="168" spans="3:22" x14ac:dyDescent="0.25">
      <c r="C168" s="74" t="s">
        <v>21379</v>
      </c>
      <c r="D168" s="74" t="s">
        <v>148</v>
      </c>
      <c r="E168" s="74" t="s">
        <v>21338</v>
      </c>
      <c r="F168" s="74">
        <v>809833</v>
      </c>
      <c r="G168" s="74">
        <v>3</v>
      </c>
      <c r="H168" s="135">
        <v>43005.522326388891</v>
      </c>
      <c r="I168" s="74" t="s">
        <v>21354</v>
      </c>
      <c r="J168" s="74" t="s">
        <v>21355</v>
      </c>
      <c r="K168" s="74" t="s">
        <v>4938</v>
      </c>
      <c r="L168" s="74">
        <v>552252</v>
      </c>
      <c r="M168" s="74" t="s">
        <v>21341</v>
      </c>
      <c r="N168" s="74">
        <v>1</v>
      </c>
      <c r="O168" s="74" t="s">
        <v>21342</v>
      </c>
      <c r="P168" s="74" t="s">
        <v>21345</v>
      </c>
      <c r="R168" s="74" t="s">
        <v>148</v>
      </c>
      <c r="S168" s="74" t="s">
        <v>21338</v>
      </c>
      <c r="T168" s="74" t="s">
        <v>402</v>
      </c>
      <c r="U168" s="74">
        <v>0</v>
      </c>
      <c r="V168" s="74">
        <v>0</v>
      </c>
    </row>
    <row r="169" spans="3:22" x14ac:dyDescent="0.25">
      <c r="C169" s="74" t="s">
        <v>21347</v>
      </c>
      <c r="D169" s="74" t="s">
        <v>148</v>
      </c>
      <c r="E169" s="74" t="s">
        <v>21338</v>
      </c>
      <c r="F169" s="74">
        <v>637976</v>
      </c>
      <c r="G169" s="74">
        <v>1</v>
      </c>
      <c r="H169" s="135">
        <v>43005.516284722224</v>
      </c>
      <c r="I169" s="74" t="s">
        <v>21348</v>
      </c>
      <c r="J169" s="74" t="s">
        <v>21349</v>
      </c>
      <c r="K169" s="74" t="s">
        <v>21347</v>
      </c>
      <c r="L169" s="74">
        <v>637976</v>
      </c>
      <c r="M169" s="74" t="s">
        <v>21341</v>
      </c>
      <c r="N169" s="74">
        <v>0</v>
      </c>
      <c r="O169" s="74" t="s">
        <v>21350</v>
      </c>
      <c r="P169" s="74" t="s">
        <v>21343</v>
      </c>
      <c r="Q169" s="74">
        <v>0</v>
      </c>
      <c r="R169" s="74" t="s">
        <v>148</v>
      </c>
      <c r="S169" s="74" t="s">
        <v>21338</v>
      </c>
      <c r="T169" s="74" t="s">
        <v>402</v>
      </c>
      <c r="U169" s="74">
        <v>0</v>
      </c>
      <c r="V169" s="74">
        <v>0</v>
      </c>
    </row>
    <row r="170" spans="3:22" x14ac:dyDescent="0.25">
      <c r="C170" s="74" t="s">
        <v>21347</v>
      </c>
      <c r="D170" s="74" t="s">
        <v>148</v>
      </c>
      <c r="E170" s="74" t="s">
        <v>21338</v>
      </c>
      <c r="F170" s="74">
        <v>637976</v>
      </c>
      <c r="G170" s="74">
        <v>1</v>
      </c>
      <c r="H170" s="135">
        <v>43005.516284722224</v>
      </c>
      <c r="I170" s="74" t="s">
        <v>244</v>
      </c>
      <c r="J170" s="74" t="s">
        <v>21349</v>
      </c>
      <c r="K170" s="74" t="s">
        <v>21347</v>
      </c>
      <c r="L170" s="74">
        <v>637976</v>
      </c>
      <c r="M170" s="74" t="s">
        <v>21341</v>
      </c>
      <c r="N170" s="74">
        <v>0</v>
      </c>
      <c r="O170" s="74" t="s">
        <v>21350</v>
      </c>
      <c r="P170" s="74" t="s">
        <v>21343</v>
      </c>
      <c r="Q170" s="74">
        <v>0</v>
      </c>
      <c r="R170" s="74" t="s">
        <v>148</v>
      </c>
      <c r="S170" s="74" t="s">
        <v>21338</v>
      </c>
      <c r="T170" s="74" t="s">
        <v>402</v>
      </c>
      <c r="U170" s="74">
        <v>0</v>
      </c>
      <c r="V170" s="74">
        <v>0</v>
      </c>
    </row>
    <row r="171" spans="3:22" x14ac:dyDescent="0.25">
      <c r="C171" s="74" t="s">
        <v>18795</v>
      </c>
      <c r="D171" s="74" t="s">
        <v>148</v>
      </c>
      <c r="E171" s="74" t="s">
        <v>21338</v>
      </c>
      <c r="F171" s="74">
        <v>551367</v>
      </c>
      <c r="G171" s="74">
        <v>1000</v>
      </c>
      <c r="H171" s="135">
        <v>43005.508981481478</v>
      </c>
      <c r="I171" s="74" t="s">
        <v>21339</v>
      </c>
      <c r="J171" s="74" t="s">
        <v>21340</v>
      </c>
      <c r="K171" s="74" t="s">
        <v>1445</v>
      </c>
      <c r="L171" s="74">
        <v>551839</v>
      </c>
      <c r="M171" s="74" t="s">
        <v>21341</v>
      </c>
      <c r="N171" s="74">
        <v>1</v>
      </c>
      <c r="O171" s="74" t="s">
        <v>21342</v>
      </c>
      <c r="P171" s="74" t="s">
        <v>21343</v>
      </c>
      <c r="Q171" s="74">
        <v>0</v>
      </c>
      <c r="R171" s="74" t="s">
        <v>148</v>
      </c>
      <c r="S171" s="74" t="s">
        <v>21338</v>
      </c>
      <c r="T171" s="74" t="s">
        <v>402</v>
      </c>
      <c r="U171" s="74">
        <v>0</v>
      </c>
      <c r="V171" s="74">
        <v>0</v>
      </c>
    </row>
    <row r="172" spans="3:22" x14ac:dyDescent="0.25">
      <c r="C172" s="74" t="s">
        <v>21386</v>
      </c>
      <c r="D172" s="74" t="s">
        <v>148</v>
      </c>
      <c r="E172" s="74" t="s">
        <v>21338</v>
      </c>
      <c r="F172" s="74">
        <v>674396</v>
      </c>
      <c r="G172" s="74">
        <v>3</v>
      </c>
      <c r="H172" s="135">
        <v>43005.492627314816</v>
      </c>
      <c r="I172" s="74" t="s">
        <v>21339</v>
      </c>
      <c r="J172" s="74" t="s">
        <v>21364</v>
      </c>
      <c r="K172" s="74" t="s">
        <v>21402</v>
      </c>
      <c r="L172" s="74">
        <v>910546</v>
      </c>
      <c r="M172" s="74" t="s">
        <v>21341</v>
      </c>
      <c r="N172" s="74">
        <v>1</v>
      </c>
      <c r="O172" s="74" t="s">
        <v>21342</v>
      </c>
      <c r="P172" s="74" t="s">
        <v>21343</v>
      </c>
      <c r="Q172" s="74">
        <v>0</v>
      </c>
      <c r="R172" s="74" t="s">
        <v>148</v>
      </c>
      <c r="S172" s="74" t="s">
        <v>21338</v>
      </c>
      <c r="T172" s="74" t="s">
        <v>402</v>
      </c>
      <c r="U172" s="74">
        <v>0</v>
      </c>
      <c r="V172" s="74">
        <v>0</v>
      </c>
    </row>
    <row r="173" spans="3:22" x14ac:dyDescent="0.25">
      <c r="C173" s="74" t="s">
        <v>21386</v>
      </c>
      <c r="D173" s="74" t="s">
        <v>148</v>
      </c>
      <c r="E173" s="74" t="s">
        <v>21338</v>
      </c>
      <c r="F173" s="74">
        <v>674396</v>
      </c>
      <c r="G173" s="74">
        <v>3</v>
      </c>
      <c r="H173" s="135">
        <v>43005.492615740739</v>
      </c>
      <c r="I173" s="74" t="s">
        <v>21398</v>
      </c>
      <c r="J173" s="74" t="s">
        <v>21366</v>
      </c>
      <c r="K173" s="74" t="s">
        <v>21367</v>
      </c>
      <c r="L173" s="74">
        <v>561482</v>
      </c>
      <c r="M173" s="74" t="s">
        <v>21368</v>
      </c>
      <c r="N173" s="74">
        <v>1</v>
      </c>
      <c r="O173" s="74" t="s">
        <v>21369</v>
      </c>
      <c r="P173" s="74" t="s">
        <v>21343</v>
      </c>
      <c r="Q173" s="74" t="s">
        <v>21411</v>
      </c>
      <c r="R173" s="74" t="s">
        <v>148</v>
      </c>
      <c r="S173" s="74" t="s">
        <v>21338</v>
      </c>
      <c r="T173" s="74" t="s">
        <v>21371</v>
      </c>
      <c r="U173" s="74">
        <v>0</v>
      </c>
      <c r="V173" s="74">
        <v>0</v>
      </c>
    </row>
    <row r="174" spans="3:22" x14ac:dyDescent="0.25">
      <c r="C174" s="74" t="s">
        <v>21386</v>
      </c>
      <c r="D174" s="74" t="s">
        <v>148</v>
      </c>
      <c r="E174" s="74" t="s">
        <v>21338</v>
      </c>
      <c r="F174" s="74">
        <v>674396</v>
      </c>
      <c r="G174" s="74">
        <v>3</v>
      </c>
      <c r="H174" s="135">
        <v>43005.492604166669</v>
      </c>
      <c r="I174" s="74" t="s">
        <v>21398</v>
      </c>
      <c r="J174" s="74" t="s">
        <v>21366</v>
      </c>
      <c r="K174" s="74" t="s">
        <v>21381</v>
      </c>
      <c r="L174" s="74">
        <v>555660</v>
      </c>
      <c r="M174" s="74" t="s">
        <v>21368</v>
      </c>
      <c r="N174" s="74">
        <v>1</v>
      </c>
      <c r="O174" s="74" t="s">
        <v>21369</v>
      </c>
      <c r="P174" s="74" t="s">
        <v>21343</v>
      </c>
      <c r="Q174" s="74" t="s">
        <v>21411</v>
      </c>
      <c r="R174" s="74" t="s">
        <v>148</v>
      </c>
      <c r="S174" s="74" t="s">
        <v>21338</v>
      </c>
      <c r="T174" s="74" t="s">
        <v>21371</v>
      </c>
      <c r="U174" s="74">
        <v>0</v>
      </c>
      <c r="V174" s="74">
        <v>0</v>
      </c>
    </row>
    <row r="175" spans="3:22" x14ac:dyDescent="0.25">
      <c r="C175" s="74" t="s">
        <v>21386</v>
      </c>
      <c r="D175" s="74" t="s">
        <v>148</v>
      </c>
      <c r="E175" s="74" t="s">
        <v>21338</v>
      </c>
      <c r="F175" s="74">
        <v>674396</v>
      </c>
      <c r="G175" s="74">
        <v>3</v>
      </c>
      <c r="H175" s="135">
        <v>43005.492581018516</v>
      </c>
      <c r="I175" s="74" t="s">
        <v>21339</v>
      </c>
      <c r="J175" s="74" t="s">
        <v>21364</v>
      </c>
      <c r="K175" s="74" t="s">
        <v>21402</v>
      </c>
      <c r="L175" s="74">
        <v>910546</v>
      </c>
      <c r="M175" s="74" t="s">
        <v>21341</v>
      </c>
      <c r="N175" s="74">
        <v>1</v>
      </c>
      <c r="O175" s="74" t="s">
        <v>21342</v>
      </c>
      <c r="P175" s="74" t="s">
        <v>21343</v>
      </c>
      <c r="Q175" s="74">
        <v>0</v>
      </c>
      <c r="R175" s="74" t="s">
        <v>148</v>
      </c>
      <c r="S175" s="74" t="s">
        <v>21338</v>
      </c>
      <c r="T175" s="74" t="s">
        <v>402</v>
      </c>
      <c r="U175" s="74">
        <v>0</v>
      </c>
      <c r="V175" s="74">
        <v>0</v>
      </c>
    </row>
    <row r="176" spans="3:22" x14ac:dyDescent="0.25">
      <c r="C176" s="74" t="s">
        <v>21386</v>
      </c>
      <c r="D176" s="74" t="s">
        <v>148</v>
      </c>
      <c r="E176" s="74" t="s">
        <v>21338</v>
      </c>
      <c r="F176" s="74">
        <v>674396</v>
      </c>
      <c r="G176" s="74">
        <v>3</v>
      </c>
      <c r="H176" s="135">
        <v>43005.492395833331</v>
      </c>
      <c r="I176" s="74" t="s">
        <v>21339</v>
      </c>
      <c r="J176" s="74" t="s">
        <v>21364</v>
      </c>
      <c r="K176" s="74" t="s">
        <v>21402</v>
      </c>
      <c r="L176" s="74">
        <v>910546</v>
      </c>
      <c r="M176" s="74" t="s">
        <v>21341</v>
      </c>
      <c r="N176" s="74">
        <v>1</v>
      </c>
      <c r="O176" s="74" t="s">
        <v>21342</v>
      </c>
      <c r="P176" s="74" t="s">
        <v>21343</v>
      </c>
      <c r="Q176" s="74">
        <v>0</v>
      </c>
      <c r="R176" s="74" t="s">
        <v>148</v>
      </c>
      <c r="S176" s="74" t="s">
        <v>21338</v>
      </c>
      <c r="T176" s="74" t="s">
        <v>402</v>
      </c>
      <c r="U176" s="74">
        <v>0</v>
      </c>
      <c r="V176" s="74">
        <v>0</v>
      </c>
    </row>
    <row r="177" spans="3:22" x14ac:dyDescent="0.25">
      <c r="C177" s="74" t="s">
        <v>21386</v>
      </c>
      <c r="D177" s="74" t="s">
        <v>148</v>
      </c>
      <c r="E177" s="74" t="s">
        <v>21338</v>
      </c>
      <c r="F177" s="74">
        <v>674396</v>
      </c>
      <c r="G177" s="74">
        <v>3</v>
      </c>
      <c r="H177" s="135">
        <v>43005.491620370369</v>
      </c>
      <c r="I177" s="74" t="s">
        <v>21398</v>
      </c>
      <c r="J177" s="74" t="s">
        <v>21400</v>
      </c>
      <c r="K177" s="74" t="s">
        <v>21402</v>
      </c>
      <c r="L177" s="74">
        <v>910546</v>
      </c>
      <c r="M177" s="74" t="s">
        <v>21341</v>
      </c>
      <c r="N177" s="74">
        <v>1</v>
      </c>
      <c r="O177" s="74" t="s">
        <v>21342</v>
      </c>
      <c r="P177" s="74" t="s">
        <v>21343</v>
      </c>
      <c r="Q177" s="74" t="s">
        <v>21412</v>
      </c>
      <c r="R177" s="74" t="s">
        <v>148</v>
      </c>
      <c r="S177" s="74" t="s">
        <v>21338</v>
      </c>
      <c r="T177" s="74" t="s">
        <v>402</v>
      </c>
      <c r="U177" s="74">
        <v>0</v>
      </c>
      <c r="V177" s="74">
        <v>0</v>
      </c>
    </row>
    <row r="178" spans="3:22" x14ac:dyDescent="0.25">
      <c r="C178" s="74" t="s">
        <v>21351</v>
      </c>
      <c r="D178" s="74" t="s">
        <v>148</v>
      </c>
      <c r="E178" s="74" t="s">
        <v>21338</v>
      </c>
      <c r="F178" s="74">
        <v>707864</v>
      </c>
      <c r="G178" s="74">
        <v>3</v>
      </c>
      <c r="H178" s="135">
        <v>43005.485729166663</v>
      </c>
      <c r="I178" s="74" t="s">
        <v>21354</v>
      </c>
      <c r="J178" s="74" t="s">
        <v>21355</v>
      </c>
      <c r="K178" s="74" t="s">
        <v>21413</v>
      </c>
      <c r="L178" s="74">
        <v>812709</v>
      </c>
      <c r="M178" s="74" t="s">
        <v>21341</v>
      </c>
      <c r="N178" s="74">
        <v>1</v>
      </c>
      <c r="O178" s="74" t="s">
        <v>21342</v>
      </c>
      <c r="P178" s="74" t="s">
        <v>21345</v>
      </c>
      <c r="R178" s="74" t="s">
        <v>148</v>
      </c>
      <c r="S178" s="74" t="s">
        <v>21338</v>
      </c>
      <c r="T178" s="74" t="s">
        <v>402</v>
      </c>
      <c r="U178" s="74">
        <v>0</v>
      </c>
      <c r="V178" s="74">
        <v>0</v>
      </c>
    </row>
    <row r="179" spans="3:22" x14ac:dyDescent="0.25">
      <c r="C179" s="74" t="s">
        <v>18795</v>
      </c>
      <c r="D179" s="74" t="s">
        <v>148</v>
      </c>
      <c r="E179" s="74" t="s">
        <v>21338</v>
      </c>
      <c r="F179" s="74">
        <v>551367</v>
      </c>
      <c r="G179" s="74">
        <v>1000</v>
      </c>
      <c r="H179" s="135">
        <v>43005.483217592591</v>
      </c>
      <c r="I179" s="74" t="s">
        <v>21339</v>
      </c>
      <c r="J179" s="74" t="s">
        <v>21340</v>
      </c>
      <c r="K179" s="74" t="s">
        <v>13929</v>
      </c>
      <c r="L179" s="74">
        <v>553429</v>
      </c>
      <c r="M179" s="74" t="s">
        <v>21341</v>
      </c>
      <c r="N179" s="74">
        <v>1</v>
      </c>
      <c r="O179" s="74" t="s">
        <v>21342</v>
      </c>
      <c r="P179" s="74" t="s">
        <v>21343</v>
      </c>
      <c r="Q179" s="74">
        <v>0</v>
      </c>
      <c r="R179" s="74" t="s">
        <v>148</v>
      </c>
      <c r="S179" s="74" t="s">
        <v>21338</v>
      </c>
      <c r="T179" s="74" t="s">
        <v>402</v>
      </c>
      <c r="U179" s="74">
        <v>0</v>
      </c>
      <c r="V179" s="74">
        <v>0</v>
      </c>
    </row>
    <row r="180" spans="3:22" x14ac:dyDescent="0.25">
      <c r="C180" s="74" t="s">
        <v>735</v>
      </c>
      <c r="D180" s="74" t="s">
        <v>148</v>
      </c>
      <c r="E180" s="74" t="s">
        <v>21338</v>
      </c>
      <c r="F180" s="74">
        <v>570025</v>
      </c>
      <c r="G180" s="74">
        <v>3</v>
      </c>
      <c r="H180" s="135">
        <v>43005.479432870372</v>
      </c>
      <c r="I180" s="74" t="s">
        <v>21339</v>
      </c>
      <c r="J180" s="74" t="s">
        <v>21364</v>
      </c>
      <c r="K180" s="74" t="s">
        <v>6165</v>
      </c>
      <c r="L180" s="74">
        <v>910536</v>
      </c>
      <c r="M180" s="74" t="s">
        <v>21341</v>
      </c>
      <c r="N180" s="74">
        <v>1</v>
      </c>
      <c r="O180" s="74" t="s">
        <v>21342</v>
      </c>
      <c r="P180" s="74" t="s">
        <v>21343</v>
      </c>
      <c r="Q180" s="74">
        <v>0</v>
      </c>
      <c r="R180" s="74" t="s">
        <v>148</v>
      </c>
      <c r="S180" s="74" t="s">
        <v>21338</v>
      </c>
      <c r="T180" s="74" t="s">
        <v>402</v>
      </c>
      <c r="U180" s="74">
        <v>0</v>
      </c>
      <c r="V180" s="74">
        <v>0</v>
      </c>
    </row>
    <row r="181" spans="3:22" x14ac:dyDescent="0.25">
      <c r="C181" s="74" t="s">
        <v>735</v>
      </c>
      <c r="D181" s="74" t="s">
        <v>148</v>
      </c>
      <c r="E181" s="74" t="s">
        <v>21338</v>
      </c>
      <c r="F181" s="74">
        <v>570025</v>
      </c>
      <c r="G181" s="74">
        <v>3</v>
      </c>
      <c r="H181" s="135">
        <v>43005.479421296295</v>
      </c>
      <c r="I181" s="74" t="s">
        <v>21398</v>
      </c>
      <c r="J181" s="74" t="s">
        <v>21366</v>
      </c>
      <c r="K181" s="74" t="s">
        <v>21367</v>
      </c>
      <c r="L181" s="74">
        <v>561482</v>
      </c>
      <c r="M181" s="74" t="s">
        <v>21368</v>
      </c>
      <c r="N181" s="74">
        <v>1</v>
      </c>
      <c r="O181" s="74" t="s">
        <v>21369</v>
      </c>
      <c r="P181" s="74" t="s">
        <v>21343</v>
      </c>
      <c r="Q181" s="74" t="s">
        <v>21414</v>
      </c>
      <c r="R181" s="74" t="s">
        <v>148</v>
      </c>
      <c r="S181" s="74" t="s">
        <v>21338</v>
      </c>
      <c r="T181" s="74" t="s">
        <v>21371</v>
      </c>
      <c r="U181" s="74">
        <v>0</v>
      </c>
      <c r="V181" s="74">
        <v>0</v>
      </c>
    </row>
    <row r="182" spans="3:22" x14ac:dyDescent="0.25">
      <c r="C182" s="74" t="s">
        <v>735</v>
      </c>
      <c r="D182" s="74" t="s">
        <v>148</v>
      </c>
      <c r="E182" s="74" t="s">
        <v>21338</v>
      </c>
      <c r="F182" s="74">
        <v>570025</v>
      </c>
      <c r="G182" s="74">
        <v>3</v>
      </c>
      <c r="H182" s="135">
        <v>43005.479398148149</v>
      </c>
      <c r="I182" s="74" t="s">
        <v>21398</v>
      </c>
      <c r="J182" s="74" t="s">
        <v>21366</v>
      </c>
      <c r="K182" s="74" t="s">
        <v>21381</v>
      </c>
      <c r="L182" s="74">
        <v>555660</v>
      </c>
      <c r="M182" s="74" t="s">
        <v>21368</v>
      </c>
      <c r="N182" s="74">
        <v>1</v>
      </c>
      <c r="O182" s="74" t="s">
        <v>21369</v>
      </c>
      <c r="P182" s="74" t="s">
        <v>21343</v>
      </c>
      <c r="Q182" s="74" t="s">
        <v>21414</v>
      </c>
      <c r="R182" s="74" t="s">
        <v>148</v>
      </c>
      <c r="S182" s="74" t="s">
        <v>21338</v>
      </c>
      <c r="T182" s="74" t="s">
        <v>21371</v>
      </c>
      <c r="U182" s="74">
        <v>0</v>
      </c>
      <c r="V182" s="74">
        <v>0</v>
      </c>
    </row>
    <row r="183" spans="3:22" x14ac:dyDescent="0.25">
      <c r="C183" s="74" t="s">
        <v>735</v>
      </c>
      <c r="D183" s="74" t="s">
        <v>148</v>
      </c>
      <c r="E183" s="74" t="s">
        <v>21338</v>
      </c>
      <c r="F183" s="74">
        <v>570025</v>
      </c>
      <c r="G183" s="74">
        <v>3</v>
      </c>
      <c r="H183" s="135">
        <v>43005.479386574072</v>
      </c>
      <c r="I183" s="74" t="s">
        <v>21339</v>
      </c>
      <c r="J183" s="74" t="s">
        <v>21364</v>
      </c>
      <c r="K183" s="74" t="s">
        <v>6165</v>
      </c>
      <c r="L183" s="74">
        <v>910536</v>
      </c>
      <c r="M183" s="74" t="s">
        <v>21341</v>
      </c>
      <c r="N183" s="74">
        <v>1</v>
      </c>
      <c r="O183" s="74" t="s">
        <v>21342</v>
      </c>
      <c r="P183" s="74" t="s">
        <v>21343</v>
      </c>
      <c r="Q183" s="74">
        <v>0</v>
      </c>
      <c r="R183" s="74" t="s">
        <v>148</v>
      </c>
      <c r="S183" s="74" t="s">
        <v>21338</v>
      </c>
      <c r="T183" s="74" t="s">
        <v>402</v>
      </c>
      <c r="U183" s="74">
        <v>0</v>
      </c>
      <c r="V183" s="74">
        <v>0</v>
      </c>
    </row>
    <row r="184" spans="3:22" x14ac:dyDescent="0.25">
      <c r="C184" s="74" t="s">
        <v>735</v>
      </c>
      <c r="D184" s="74" t="s">
        <v>148</v>
      </c>
      <c r="E184" s="74" t="s">
        <v>21338</v>
      </c>
      <c r="F184" s="74">
        <v>570025</v>
      </c>
      <c r="G184" s="74">
        <v>3</v>
      </c>
      <c r="H184" s="135">
        <v>43005.479131944441</v>
      </c>
      <c r="I184" s="74" t="s">
        <v>21339</v>
      </c>
      <c r="J184" s="74" t="s">
        <v>21364</v>
      </c>
      <c r="K184" s="74" t="s">
        <v>6165</v>
      </c>
      <c r="L184" s="74">
        <v>910536</v>
      </c>
      <c r="M184" s="74" t="s">
        <v>21341</v>
      </c>
      <c r="N184" s="74">
        <v>1</v>
      </c>
      <c r="O184" s="74" t="s">
        <v>21342</v>
      </c>
      <c r="P184" s="74" t="s">
        <v>21343</v>
      </c>
      <c r="Q184" s="74">
        <v>0</v>
      </c>
      <c r="R184" s="74" t="s">
        <v>148</v>
      </c>
      <c r="S184" s="74" t="s">
        <v>21338</v>
      </c>
      <c r="T184" s="74" t="s">
        <v>402</v>
      </c>
      <c r="U184" s="74">
        <v>0</v>
      </c>
      <c r="V184" s="74">
        <v>0</v>
      </c>
    </row>
    <row r="185" spans="3:22" x14ac:dyDescent="0.25">
      <c r="C185" s="74" t="s">
        <v>735</v>
      </c>
      <c r="D185" s="74" t="s">
        <v>148</v>
      </c>
      <c r="E185" s="74" t="s">
        <v>21338</v>
      </c>
      <c r="F185" s="74">
        <v>570025</v>
      </c>
      <c r="G185" s="74">
        <v>3</v>
      </c>
      <c r="H185" s="135">
        <v>43005.478229166663</v>
      </c>
      <c r="I185" s="74" t="s">
        <v>21398</v>
      </c>
      <c r="J185" s="74" t="s">
        <v>21400</v>
      </c>
      <c r="K185" s="74" t="s">
        <v>6165</v>
      </c>
      <c r="L185" s="74">
        <v>910536</v>
      </c>
      <c r="M185" s="74" t="s">
        <v>21341</v>
      </c>
      <c r="N185" s="74">
        <v>1</v>
      </c>
      <c r="O185" s="74" t="s">
        <v>21342</v>
      </c>
      <c r="P185" s="74" t="s">
        <v>21343</v>
      </c>
      <c r="Q185" s="74" t="s">
        <v>21415</v>
      </c>
      <c r="R185" s="74" t="s">
        <v>148</v>
      </c>
      <c r="S185" s="74" t="s">
        <v>21338</v>
      </c>
      <c r="T185" s="74" t="s">
        <v>402</v>
      </c>
      <c r="U185" s="74">
        <v>0</v>
      </c>
      <c r="V185" s="74">
        <v>0</v>
      </c>
    </row>
    <row r="186" spans="3:22" x14ac:dyDescent="0.25">
      <c r="C186" s="74" t="s">
        <v>735</v>
      </c>
      <c r="D186" s="74" t="s">
        <v>148</v>
      </c>
      <c r="E186" s="74" t="s">
        <v>21338</v>
      </c>
      <c r="F186" s="74">
        <v>570025</v>
      </c>
      <c r="G186" s="74">
        <v>3</v>
      </c>
      <c r="H186" s="135">
        <v>43005.474537037036</v>
      </c>
      <c r="I186" s="74" t="s">
        <v>21398</v>
      </c>
      <c r="J186" s="74" t="s">
        <v>21357</v>
      </c>
      <c r="K186" s="74" t="s">
        <v>7414</v>
      </c>
      <c r="L186" s="74">
        <v>908517</v>
      </c>
      <c r="M186" s="74" t="s">
        <v>21341</v>
      </c>
      <c r="N186" s="74">
        <v>1</v>
      </c>
      <c r="O186" s="74" t="s">
        <v>21359</v>
      </c>
      <c r="P186" s="74" t="s">
        <v>21343</v>
      </c>
      <c r="Q186" s="74" t="s">
        <v>21416</v>
      </c>
      <c r="R186" s="74" t="s">
        <v>148</v>
      </c>
      <c r="S186" s="74" t="s">
        <v>21338</v>
      </c>
      <c r="T186" s="74" t="s">
        <v>402</v>
      </c>
      <c r="U186" s="74">
        <v>0</v>
      </c>
      <c r="V186" s="74">
        <v>0</v>
      </c>
    </row>
    <row r="187" spans="3:22" x14ac:dyDescent="0.25">
      <c r="C187" s="74" t="s">
        <v>18795</v>
      </c>
      <c r="D187" s="74" t="s">
        <v>148</v>
      </c>
      <c r="E187" s="74" t="s">
        <v>21338</v>
      </c>
      <c r="F187" s="74">
        <v>551367</v>
      </c>
      <c r="G187" s="74">
        <v>1000</v>
      </c>
      <c r="H187" s="135">
        <v>43005.465868055559</v>
      </c>
      <c r="I187" s="74" t="s">
        <v>21339</v>
      </c>
      <c r="J187" s="74" t="s">
        <v>21340</v>
      </c>
      <c r="K187" s="74" t="s">
        <v>10911</v>
      </c>
      <c r="L187" s="74">
        <v>553037</v>
      </c>
      <c r="M187" s="74" t="s">
        <v>21341</v>
      </c>
      <c r="N187" s="74">
        <v>1</v>
      </c>
      <c r="O187" s="74" t="s">
        <v>21342</v>
      </c>
      <c r="P187" s="74" t="s">
        <v>21343</v>
      </c>
      <c r="Q187" s="74">
        <v>0</v>
      </c>
      <c r="R187" s="74" t="s">
        <v>148</v>
      </c>
      <c r="S187" s="74" t="s">
        <v>21338</v>
      </c>
      <c r="T187" s="74" t="s">
        <v>402</v>
      </c>
      <c r="U187" s="74">
        <v>0</v>
      </c>
      <c r="V187" s="74">
        <v>0</v>
      </c>
    </row>
    <row r="188" spans="3:22" x14ac:dyDescent="0.25">
      <c r="C188" s="74" t="s">
        <v>21388</v>
      </c>
      <c r="D188" s="74" t="s">
        <v>148</v>
      </c>
      <c r="E188" s="74" t="s">
        <v>21338</v>
      </c>
      <c r="F188" s="74">
        <v>560366</v>
      </c>
      <c r="G188" s="74">
        <v>3</v>
      </c>
      <c r="H188" s="135">
        <v>43005.460555555554</v>
      </c>
      <c r="I188" s="74" t="s">
        <v>21354</v>
      </c>
      <c r="J188" s="74" t="s">
        <v>21355</v>
      </c>
      <c r="K188" s="74" t="s">
        <v>21413</v>
      </c>
      <c r="L188" s="74">
        <v>812709</v>
      </c>
      <c r="M188" s="74" t="s">
        <v>21341</v>
      </c>
      <c r="N188" s="74">
        <v>1</v>
      </c>
      <c r="O188" s="74" t="s">
        <v>21342</v>
      </c>
      <c r="P188" s="74" t="s">
        <v>21345</v>
      </c>
      <c r="R188" s="74" t="s">
        <v>148</v>
      </c>
      <c r="S188" s="74" t="s">
        <v>21338</v>
      </c>
      <c r="T188" s="74" t="s">
        <v>402</v>
      </c>
      <c r="U188" s="74">
        <v>0</v>
      </c>
      <c r="V188" s="74">
        <v>0</v>
      </c>
    </row>
    <row r="189" spans="3:22" x14ac:dyDescent="0.25">
      <c r="C189" s="74" t="s">
        <v>21386</v>
      </c>
      <c r="D189" s="74" t="s">
        <v>148</v>
      </c>
      <c r="E189" s="74" t="s">
        <v>21338</v>
      </c>
      <c r="F189" s="74">
        <v>674396</v>
      </c>
      <c r="G189" s="74">
        <v>3</v>
      </c>
      <c r="H189" s="135">
        <v>43005.456053240741</v>
      </c>
      <c r="I189" s="74" t="s">
        <v>21339</v>
      </c>
      <c r="J189" s="74" t="s">
        <v>21360</v>
      </c>
      <c r="K189" s="74" t="s">
        <v>21217</v>
      </c>
      <c r="L189" s="74">
        <v>554335</v>
      </c>
      <c r="M189" s="74" t="s">
        <v>21341</v>
      </c>
      <c r="N189" s="74">
        <v>1</v>
      </c>
      <c r="O189" s="74" t="s">
        <v>21342</v>
      </c>
      <c r="P189" s="74" t="s">
        <v>21343</v>
      </c>
      <c r="Q189" s="74" t="s">
        <v>21361</v>
      </c>
      <c r="R189" s="74" t="s">
        <v>148</v>
      </c>
      <c r="S189" s="74" t="s">
        <v>21338</v>
      </c>
      <c r="T189" s="74" t="s">
        <v>402</v>
      </c>
      <c r="U189" s="74">
        <v>0</v>
      </c>
      <c r="V189" s="74">
        <v>0</v>
      </c>
    </row>
    <row r="190" spans="3:22" x14ac:dyDescent="0.25">
      <c r="C190" s="74" t="s">
        <v>18795</v>
      </c>
      <c r="D190" s="74" t="s">
        <v>148</v>
      </c>
      <c r="E190" s="74" t="s">
        <v>21338</v>
      </c>
      <c r="F190" s="74">
        <v>551367</v>
      </c>
      <c r="G190" s="74">
        <v>1000</v>
      </c>
      <c r="H190" s="135">
        <v>43005.454363425924</v>
      </c>
      <c r="I190" s="74" t="s">
        <v>21339</v>
      </c>
      <c r="J190" s="74" t="s">
        <v>21340</v>
      </c>
      <c r="K190" s="74" t="s">
        <v>21417</v>
      </c>
      <c r="L190" s="74">
        <v>910276</v>
      </c>
      <c r="M190" s="74" t="s">
        <v>21341</v>
      </c>
      <c r="N190" s="74">
        <v>1</v>
      </c>
      <c r="O190" s="74" t="s">
        <v>21342</v>
      </c>
      <c r="P190" s="74" t="s">
        <v>21343</v>
      </c>
      <c r="Q190" s="74">
        <v>0</v>
      </c>
      <c r="R190" s="74" t="s">
        <v>148</v>
      </c>
      <c r="S190" s="74" t="s">
        <v>21338</v>
      </c>
      <c r="T190" s="74" t="s">
        <v>402</v>
      </c>
      <c r="U190" s="74">
        <v>0</v>
      </c>
      <c r="V190" s="74">
        <v>0</v>
      </c>
    </row>
    <row r="191" spans="3:22" x14ac:dyDescent="0.25">
      <c r="C191" s="74" t="s">
        <v>2974</v>
      </c>
      <c r="D191" s="74" t="s">
        <v>148</v>
      </c>
      <c r="E191" s="74" t="s">
        <v>21338</v>
      </c>
      <c r="F191" s="74">
        <v>627564</v>
      </c>
      <c r="G191" s="74">
        <v>3</v>
      </c>
      <c r="H191" s="135">
        <v>43005.432118055556</v>
      </c>
      <c r="I191" s="74" t="s">
        <v>21339</v>
      </c>
      <c r="J191" s="74" t="s">
        <v>21340</v>
      </c>
      <c r="K191" s="74" t="s">
        <v>21418</v>
      </c>
      <c r="L191" s="74">
        <v>814375</v>
      </c>
      <c r="M191" s="74" t="s">
        <v>21341</v>
      </c>
      <c r="N191" s="74">
        <v>1</v>
      </c>
      <c r="O191" s="74" t="s">
        <v>21342</v>
      </c>
      <c r="P191" s="74" t="s">
        <v>21343</v>
      </c>
      <c r="Q191" s="74">
        <v>0</v>
      </c>
      <c r="R191" s="74" t="s">
        <v>148</v>
      </c>
      <c r="S191" s="74" t="s">
        <v>21338</v>
      </c>
      <c r="T191" s="74" t="s">
        <v>402</v>
      </c>
      <c r="U191" s="74">
        <v>0</v>
      </c>
      <c r="V191" s="74">
        <v>0</v>
      </c>
    </row>
    <row r="192" spans="3:22" x14ac:dyDescent="0.25">
      <c r="C192" s="74" t="s">
        <v>21379</v>
      </c>
      <c r="D192" s="74" t="s">
        <v>148</v>
      </c>
      <c r="E192" s="74" t="s">
        <v>21338</v>
      </c>
      <c r="F192" s="74">
        <v>809833</v>
      </c>
      <c r="G192" s="74">
        <v>3</v>
      </c>
      <c r="H192" s="135">
        <v>43005.42864583333</v>
      </c>
      <c r="I192" s="74" t="s">
        <v>21354</v>
      </c>
      <c r="J192" s="74" t="s">
        <v>21355</v>
      </c>
      <c r="K192" s="74" t="s">
        <v>21413</v>
      </c>
      <c r="L192" s="74">
        <v>812709</v>
      </c>
      <c r="M192" s="74" t="s">
        <v>21341</v>
      </c>
      <c r="N192" s="74">
        <v>1</v>
      </c>
      <c r="O192" s="74" t="s">
        <v>21342</v>
      </c>
      <c r="P192" s="74" t="s">
        <v>21345</v>
      </c>
      <c r="R192" s="74" t="s">
        <v>148</v>
      </c>
      <c r="S192" s="74" t="s">
        <v>21338</v>
      </c>
      <c r="T192" s="74" t="s">
        <v>402</v>
      </c>
      <c r="U192" s="74">
        <v>0</v>
      </c>
      <c r="V192" s="74">
        <v>0</v>
      </c>
    </row>
    <row r="193" spans="3:22" x14ac:dyDescent="0.25">
      <c r="C193" s="74" t="s">
        <v>18795</v>
      </c>
      <c r="D193" s="74" t="s">
        <v>148</v>
      </c>
      <c r="E193" s="74" t="s">
        <v>21338</v>
      </c>
      <c r="F193" s="74">
        <v>551367</v>
      </c>
      <c r="G193" s="74">
        <v>1000</v>
      </c>
      <c r="H193" s="135">
        <v>43005.422615740739</v>
      </c>
      <c r="I193" s="74" t="s">
        <v>21339</v>
      </c>
      <c r="J193" s="74" t="s">
        <v>21340</v>
      </c>
      <c r="K193" s="74" t="s">
        <v>21418</v>
      </c>
      <c r="L193" s="74">
        <v>814375</v>
      </c>
      <c r="M193" s="74" t="s">
        <v>21341</v>
      </c>
      <c r="N193" s="74">
        <v>1</v>
      </c>
      <c r="O193" s="74" t="s">
        <v>21342</v>
      </c>
      <c r="P193" s="74" t="s">
        <v>21343</v>
      </c>
      <c r="Q193" s="74">
        <v>0</v>
      </c>
      <c r="R193" s="74" t="s">
        <v>148</v>
      </c>
      <c r="S193" s="74" t="s">
        <v>21338</v>
      </c>
      <c r="T193" s="74" t="s">
        <v>402</v>
      </c>
      <c r="U193" s="74">
        <v>0</v>
      </c>
      <c r="V193" s="74">
        <v>0</v>
      </c>
    </row>
    <row r="194" spans="3:22" x14ac:dyDescent="0.25">
      <c r="C194" s="74" t="s">
        <v>18795</v>
      </c>
      <c r="D194" s="74" t="s">
        <v>148</v>
      </c>
      <c r="E194" s="74" t="s">
        <v>21338</v>
      </c>
      <c r="F194" s="74">
        <v>551367</v>
      </c>
      <c r="G194" s="74">
        <v>1000</v>
      </c>
      <c r="H194" s="135">
        <v>43005.416030092594</v>
      </c>
      <c r="I194" s="74" t="s">
        <v>21339</v>
      </c>
      <c r="J194" s="74" t="s">
        <v>21340</v>
      </c>
      <c r="K194" s="74" t="s">
        <v>7414</v>
      </c>
      <c r="L194" s="74">
        <v>908517</v>
      </c>
      <c r="M194" s="74" t="s">
        <v>21341</v>
      </c>
      <c r="N194" s="74">
        <v>1</v>
      </c>
      <c r="O194" s="74" t="s">
        <v>21342</v>
      </c>
      <c r="P194" s="74" t="s">
        <v>21343</v>
      </c>
      <c r="Q194" s="74">
        <v>0</v>
      </c>
      <c r="R194" s="74" t="s">
        <v>148</v>
      </c>
      <c r="S194" s="74" t="s">
        <v>21338</v>
      </c>
      <c r="T194" s="74" t="s">
        <v>402</v>
      </c>
      <c r="U194" s="74">
        <v>0</v>
      </c>
      <c r="V194" s="74">
        <v>0</v>
      </c>
    </row>
    <row r="195" spans="3:22" x14ac:dyDescent="0.25">
      <c r="C195" s="74" t="s">
        <v>21390</v>
      </c>
      <c r="D195" s="74" t="s">
        <v>148</v>
      </c>
      <c r="E195" s="74" t="s">
        <v>21338</v>
      </c>
      <c r="F195" s="74">
        <v>560864</v>
      </c>
      <c r="G195" s="74">
        <v>3</v>
      </c>
      <c r="H195" s="135">
        <v>43005.410358796296</v>
      </c>
      <c r="I195" s="74" t="s">
        <v>21354</v>
      </c>
      <c r="J195" s="74" t="s">
        <v>21355</v>
      </c>
      <c r="K195" s="74" t="s">
        <v>21419</v>
      </c>
      <c r="L195" s="74">
        <v>687894</v>
      </c>
      <c r="M195" s="74" t="s">
        <v>21341</v>
      </c>
      <c r="N195" s="74">
        <v>1</v>
      </c>
      <c r="O195" s="74" t="s">
        <v>21342</v>
      </c>
      <c r="P195" s="74" t="s">
        <v>21345</v>
      </c>
      <c r="R195" s="74" t="s">
        <v>148</v>
      </c>
      <c r="S195" s="74" t="s">
        <v>21338</v>
      </c>
      <c r="T195" s="74" t="s">
        <v>402</v>
      </c>
      <c r="U195" s="74">
        <v>0</v>
      </c>
      <c r="V195" s="74">
        <v>0</v>
      </c>
    </row>
    <row r="196" spans="3:22" x14ac:dyDescent="0.25">
      <c r="C196" s="74" t="s">
        <v>18795</v>
      </c>
      <c r="D196" s="74" t="s">
        <v>148</v>
      </c>
      <c r="E196" s="74" t="s">
        <v>21338</v>
      </c>
      <c r="F196" s="74">
        <v>551367</v>
      </c>
      <c r="G196" s="74">
        <v>1000</v>
      </c>
      <c r="H196" s="135">
        <v>43005.405763888892</v>
      </c>
      <c r="I196" s="74" t="s">
        <v>21339</v>
      </c>
      <c r="J196" s="74" t="s">
        <v>21340</v>
      </c>
      <c r="K196" s="74" t="s">
        <v>14084</v>
      </c>
      <c r="L196" s="74">
        <v>553453</v>
      </c>
      <c r="M196" s="74" t="s">
        <v>21341</v>
      </c>
      <c r="N196" s="74">
        <v>1</v>
      </c>
      <c r="O196" s="74" t="s">
        <v>21342</v>
      </c>
      <c r="P196" s="74" t="s">
        <v>21343</v>
      </c>
      <c r="Q196" s="74">
        <v>0</v>
      </c>
      <c r="R196" s="74" t="s">
        <v>148</v>
      </c>
      <c r="S196" s="74" t="s">
        <v>21338</v>
      </c>
      <c r="T196" s="74" t="s">
        <v>402</v>
      </c>
      <c r="U196" s="74">
        <v>0</v>
      </c>
      <c r="V196" s="74">
        <v>0</v>
      </c>
    </row>
    <row r="197" spans="3:22" x14ac:dyDescent="0.25">
      <c r="C197" s="74" t="s">
        <v>9081</v>
      </c>
      <c r="D197" s="74" t="s">
        <v>148</v>
      </c>
      <c r="E197" s="74" t="s">
        <v>21338</v>
      </c>
      <c r="F197" s="74">
        <v>722441</v>
      </c>
      <c r="G197" s="74">
        <v>3</v>
      </c>
      <c r="H197" s="135">
        <v>43005.404490740744</v>
      </c>
      <c r="I197" s="74" t="s">
        <v>21354</v>
      </c>
      <c r="J197" s="74" t="s">
        <v>21355</v>
      </c>
      <c r="K197" s="74" t="s">
        <v>6518</v>
      </c>
      <c r="L197" s="74">
        <v>552478</v>
      </c>
      <c r="M197" s="74" t="s">
        <v>21341</v>
      </c>
      <c r="N197" s="74">
        <v>1</v>
      </c>
      <c r="O197" s="74" t="s">
        <v>21342</v>
      </c>
      <c r="P197" s="74" t="s">
        <v>21345</v>
      </c>
      <c r="R197" s="74" t="s">
        <v>148</v>
      </c>
      <c r="S197" s="74" t="s">
        <v>21338</v>
      </c>
      <c r="T197" s="74" t="s">
        <v>402</v>
      </c>
      <c r="U197" s="74">
        <v>0</v>
      </c>
      <c r="V197" s="74">
        <v>0</v>
      </c>
    </row>
    <row r="198" spans="3:22" x14ac:dyDescent="0.25">
      <c r="C198" s="74" t="s">
        <v>18795</v>
      </c>
      <c r="D198" s="74" t="s">
        <v>148</v>
      </c>
      <c r="E198" s="74" t="s">
        <v>21338</v>
      </c>
      <c r="F198" s="74">
        <v>551367</v>
      </c>
      <c r="G198" s="74">
        <v>1000</v>
      </c>
      <c r="H198" s="135">
        <v>43005.381666666668</v>
      </c>
      <c r="I198" s="74" t="s">
        <v>21339</v>
      </c>
      <c r="J198" s="74" t="s">
        <v>21340</v>
      </c>
      <c r="K198" s="74" t="s">
        <v>6518</v>
      </c>
      <c r="L198" s="74">
        <v>552478</v>
      </c>
      <c r="M198" s="74" t="s">
        <v>21341</v>
      </c>
      <c r="N198" s="74">
        <v>1</v>
      </c>
      <c r="O198" s="74" t="s">
        <v>21342</v>
      </c>
      <c r="P198" s="74" t="s">
        <v>21343</v>
      </c>
      <c r="Q198" s="74">
        <v>0</v>
      </c>
      <c r="R198" s="74" t="s">
        <v>148</v>
      </c>
      <c r="S198" s="74" t="s">
        <v>21338</v>
      </c>
      <c r="T198" s="74" t="s">
        <v>402</v>
      </c>
      <c r="U198" s="74">
        <v>0</v>
      </c>
      <c r="V198" s="74">
        <v>0</v>
      </c>
    </row>
    <row r="199" spans="3:22" x14ac:dyDescent="0.25">
      <c r="C199" s="74" t="s">
        <v>18795</v>
      </c>
      <c r="D199" s="74" t="s">
        <v>148</v>
      </c>
      <c r="E199" s="74" t="s">
        <v>21338</v>
      </c>
      <c r="F199" s="74">
        <v>551367</v>
      </c>
      <c r="G199" s="74">
        <v>1000</v>
      </c>
      <c r="H199" s="135">
        <v>43005.380185185182</v>
      </c>
      <c r="I199" s="74" t="s">
        <v>21339</v>
      </c>
      <c r="J199" s="74" t="s">
        <v>21340</v>
      </c>
      <c r="K199" s="74" t="s">
        <v>21420</v>
      </c>
      <c r="L199" s="74">
        <v>785028</v>
      </c>
      <c r="M199" s="74" t="s">
        <v>21341</v>
      </c>
      <c r="N199" s="74">
        <v>1</v>
      </c>
      <c r="O199" s="74" t="s">
        <v>21342</v>
      </c>
      <c r="P199" s="74" t="s">
        <v>21343</v>
      </c>
      <c r="Q199" s="74">
        <v>0</v>
      </c>
      <c r="R199" s="74" t="s">
        <v>148</v>
      </c>
      <c r="S199" s="74" t="s">
        <v>21338</v>
      </c>
      <c r="T199" s="74" t="s">
        <v>402</v>
      </c>
      <c r="U199" s="74">
        <v>0</v>
      </c>
      <c r="V199" s="74">
        <v>0</v>
      </c>
    </row>
    <row r="200" spans="3:22" x14ac:dyDescent="0.25">
      <c r="C200" s="74" t="s">
        <v>18795</v>
      </c>
      <c r="D200" s="74" t="s">
        <v>148</v>
      </c>
      <c r="E200" s="74" t="s">
        <v>21338</v>
      </c>
      <c r="F200" s="74">
        <v>551367</v>
      </c>
      <c r="G200" s="74">
        <v>1000</v>
      </c>
      <c r="H200" s="135">
        <v>43005.38008101852</v>
      </c>
      <c r="I200" s="74" t="s">
        <v>21339</v>
      </c>
      <c r="J200" s="74" t="s">
        <v>21340</v>
      </c>
      <c r="K200" s="74" t="s">
        <v>21420</v>
      </c>
      <c r="L200" s="74">
        <v>785028</v>
      </c>
      <c r="M200" s="74" t="s">
        <v>21341</v>
      </c>
      <c r="N200" s="74">
        <v>1</v>
      </c>
      <c r="O200" s="74" t="s">
        <v>21342</v>
      </c>
      <c r="P200" s="74" t="s">
        <v>21343</v>
      </c>
      <c r="Q200" s="74">
        <v>0</v>
      </c>
      <c r="R200" s="74" t="s">
        <v>148</v>
      </c>
      <c r="S200" s="74" t="s">
        <v>21338</v>
      </c>
      <c r="T200" s="74" t="s">
        <v>402</v>
      </c>
      <c r="U200" s="74">
        <v>0</v>
      </c>
      <c r="V200" s="74">
        <v>0</v>
      </c>
    </row>
    <row r="201" spans="3:22" x14ac:dyDescent="0.25">
      <c r="C201" s="74" t="s">
        <v>18795</v>
      </c>
      <c r="D201" s="74" t="s">
        <v>148</v>
      </c>
      <c r="E201" s="74" t="s">
        <v>21338</v>
      </c>
      <c r="F201" s="74">
        <v>551367</v>
      </c>
      <c r="G201" s="74">
        <v>1000</v>
      </c>
      <c r="H201" s="135">
        <v>43005.376342592594</v>
      </c>
      <c r="I201" s="74" t="s">
        <v>21339</v>
      </c>
      <c r="J201" s="74" t="s">
        <v>21340</v>
      </c>
      <c r="K201" s="74" t="s">
        <v>21421</v>
      </c>
      <c r="L201" s="74">
        <v>560770</v>
      </c>
      <c r="M201" s="74" t="s">
        <v>21341</v>
      </c>
      <c r="N201" s="74">
        <v>1</v>
      </c>
      <c r="O201" s="74" t="s">
        <v>21342</v>
      </c>
      <c r="P201" s="74" t="s">
        <v>21343</v>
      </c>
      <c r="Q201" s="74">
        <v>0</v>
      </c>
      <c r="R201" s="74" t="s">
        <v>148</v>
      </c>
      <c r="S201" s="74" t="s">
        <v>21338</v>
      </c>
      <c r="T201" s="74" t="s">
        <v>393</v>
      </c>
      <c r="U201" s="74">
        <v>0</v>
      </c>
      <c r="V201" s="74">
        <v>0</v>
      </c>
    </row>
    <row r="202" spans="3:22" x14ac:dyDescent="0.25">
      <c r="C202" s="74" t="s">
        <v>18795</v>
      </c>
      <c r="D202" s="74" t="s">
        <v>148</v>
      </c>
      <c r="E202" s="74" t="s">
        <v>21338</v>
      </c>
      <c r="F202" s="74">
        <v>551367</v>
      </c>
      <c r="G202" s="74">
        <v>1000</v>
      </c>
      <c r="H202" s="135">
        <v>43005.373078703706</v>
      </c>
      <c r="I202" s="74" t="s">
        <v>21339</v>
      </c>
      <c r="J202" s="74" t="s">
        <v>21340</v>
      </c>
      <c r="K202" s="74" t="s">
        <v>4938</v>
      </c>
      <c r="L202" s="74">
        <v>552252</v>
      </c>
      <c r="M202" s="74" t="s">
        <v>21341</v>
      </c>
      <c r="N202" s="74">
        <v>1</v>
      </c>
      <c r="O202" s="74" t="s">
        <v>21342</v>
      </c>
      <c r="P202" s="74" t="s">
        <v>21343</v>
      </c>
      <c r="Q202" s="74">
        <v>0</v>
      </c>
      <c r="R202" s="74" t="s">
        <v>148</v>
      </c>
      <c r="S202" s="74" t="s">
        <v>21338</v>
      </c>
      <c r="T202" s="74" t="s">
        <v>402</v>
      </c>
      <c r="U202" s="74">
        <v>0</v>
      </c>
      <c r="V202" s="74">
        <v>0</v>
      </c>
    </row>
    <row r="203" spans="3:22" x14ac:dyDescent="0.25">
      <c r="C203" s="74" t="s">
        <v>735</v>
      </c>
      <c r="D203" s="74" t="s">
        <v>148</v>
      </c>
      <c r="E203" s="74" t="s">
        <v>21338</v>
      </c>
      <c r="F203" s="74">
        <v>570025</v>
      </c>
      <c r="G203" s="74">
        <v>3</v>
      </c>
      <c r="H203" s="135">
        <v>43005.372569444444</v>
      </c>
      <c r="I203" s="74" t="s">
        <v>21339</v>
      </c>
      <c r="J203" s="74" t="s">
        <v>21364</v>
      </c>
      <c r="K203" s="74" t="s">
        <v>5527</v>
      </c>
      <c r="L203" s="74">
        <v>910507</v>
      </c>
      <c r="M203" s="74" t="s">
        <v>21341</v>
      </c>
      <c r="N203" s="74">
        <v>1</v>
      </c>
      <c r="O203" s="74" t="s">
        <v>21342</v>
      </c>
      <c r="P203" s="74" t="s">
        <v>21343</v>
      </c>
      <c r="Q203" s="74">
        <v>0</v>
      </c>
      <c r="R203" s="74" t="s">
        <v>148</v>
      </c>
      <c r="S203" s="74" t="s">
        <v>21338</v>
      </c>
      <c r="T203" s="74" t="s">
        <v>402</v>
      </c>
      <c r="U203" s="74">
        <v>0</v>
      </c>
      <c r="V203" s="74">
        <v>0</v>
      </c>
    </row>
    <row r="204" spans="3:22" x14ac:dyDescent="0.25">
      <c r="C204" s="74" t="s">
        <v>735</v>
      </c>
      <c r="D204" s="74" t="s">
        <v>148</v>
      </c>
      <c r="E204" s="74" t="s">
        <v>21338</v>
      </c>
      <c r="F204" s="74">
        <v>570025</v>
      </c>
      <c r="G204" s="74">
        <v>3</v>
      </c>
      <c r="H204" s="135">
        <v>43005.372557870367</v>
      </c>
      <c r="I204" s="74" t="s">
        <v>21398</v>
      </c>
      <c r="J204" s="74" t="s">
        <v>21366</v>
      </c>
      <c r="K204" s="74" t="s">
        <v>21367</v>
      </c>
      <c r="L204" s="74">
        <v>561482</v>
      </c>
      <c r="M204" s="74" t="s">
        <v>21368</v>
      </c>
      <c r="N204" s="74">
        <v>1</v>
      </c>
      <c r="O204" s="74" t="s">
        <v>21369</v>
      </c>
      <c r="P204" s="74" t="s">
        <v>21343</v>
      </c>
      <c r="Q204" s="74" t="s">
        <v>21422</v>
      </c>
      <c r="R204" s="74" t="s">
        <v>148</v>
      </c>
      <c r="S204" s="74" t="s">
        <v>21338</v>
      </c>
      <c r="T204" s="74" t="s">
        <v>21371</v>
      </c>
      <c r="U204" s="74">
        <v>0</v>
      </c>
      <c r="V204" s="74">
        <v>0</v>
      </c>
    </row>
    <row r="205" spans="3:22" x14ac:dyDescent="0.25">
      <c r="C205" s="74" t="s">
        <v>735</v>
      </c>
      <c r="D205" s="74" t="s">
        <v>148</v>
      </c>
      <c r="E205" s="74" t="s">
        <v>21338</v>
      </c>
      <c r="F205" s="74">
        <v>570025</v>
      </c>
      <c r="G205" s="74">
        <v>3</v>
      </c>
      <c r="H205" s="135">
        <v>43005.372534722221</v>
      </c>
      <c r="I205" s="74" t="s">
        <v>21398</v>
      </c>
      <c r="J205" s="74" t="s">
        <v>21366</v>
      </c>
      <c r="K205" s="74" t="s">
        <v>21381</v>
      </c>
      <c r="L205" s="74">
        <v>555660</v>
      </c>
      <c r="M205" s="74" t="s">
        <v>21368</v>
      </c>
      <c r="N205" s="74">
        <v>1</v>
      </c>
      <c r="O205" s="74" t="s">
        <v>21369</v>
      </c>
      <c r="P205" s="74" t="s">
        <v>21343</v>
      </c>
      <c r="Q205" s="74" t="s">
        <v>21422</v>
      </c>
      <c r="R205" s="74" t="s">
        <v>148</v>
      </c>
      <c r="S205" s="74" t="s">
        <v>21338</v>
      </c>
      <c r="T205" s="74" t="s">
        <v>21371</v>
      </c>
      <c r="U205" s="74">
        <v>0</v>
      </c>
      <c r="V205" s="74">
        <v>0</v>
      </c>
    </row>
    <row r="206" spans="3:22" x14ac:dyDescent="0.25">
      <c r="C206" s="74" t="s">
        <v>735</v>
      </c>
      <c r="D206" s="74" t="s">
        <v>148</v>
      </c>
      <c r="E206" s="74" t="s">
        <v>21338</v>
      </c>
      <c r="F206" s="74">
        <v>570025</v>
      </c>
      <c r="G206" s="74">
        <v>3</v>
      </c>
      <c r="H206" s="135">
        <v>43005.372523148151</v>
      </c>
      <c r="I206" s="74" t="s">
        <v>21339</v>
      </c>
      <c r="J206" s="74" t="s">
        <v>21364</v>
      </c>
      <c r="K206" s="74" t="s">
        <v>5527</v>
      </c>
      <c r="L206" s="74">
        <v>910507</v>
      </c>
      <c r="M206" s="74" t="s">
        <v>21341</v>
      </c>
      <c r="N206" s="74">
        <v>1</v>
      </c>
      <c r="O206" s="74" t="s">
        <v>21342</v>
      </c>
      <c r="P206" s="74" t="s">
        <v>21343</v>
      </c>
      <c r="Q206" s="74">
        <v>0</v>
      </c>
      <c r="R206" s="74" t="s">
        <v>148</v>
      </c>
      <c r="S206" s="74" t="s">
        <v>21338</v>
      </c>
      <c r="T206" s="74" t="s">
        <v>402</v>
      </c>
      <c r="U206" s="74">
        <v>0</v>
      </c>
      <c r="V206" s="74">
        <v>0</v>
      </c>
    </row>
    <row r="207" spans="3:22" x14ac:dyDescent="0.25">
      <c r="C207" s="74" t="s">
        <v>735</v>
      </c>
      <c r="D207" s="74" t="s">
        <v>148</v>
      </c>
      <c r="E207" s="74" t="s">
        <v>21338</v>
      </c>
      <c r="F207" s="74">
        <v>570025</v>
      </c>
      <c r="G207" s="74">
        <v>3</v>
      </c>
      <c r="H207" s="135">
        <v>43005.37228009259</v>
      </c>
      <c r="I207" s="74" t="s">
        <v>21339</v>
      </c>
      <c r="J207" s="74" t="s">
        <v>21364</v>
      </c>
      <c r="K207" s="74" t="s">
        <v>5527</v>
      </c>
      <c r="L207" s="74">
        <v>910507</v>
      </c>
      <c r="M207" s="74" t="s">
        <v>21341</v>
      </c>
      <c r="N207" s="74">
        <v>1</v>
      </c>
      <c r="O207" s="74" t="s">
        <v>21342</v>
      </c>
      <c r="P207" s="74" t="s">
        <v>21343</v>
      </c>
      <c r="Q207" s="74">
        <v>0</v>
      </c>
      <c r="R207" s="74" t="s">
        <v>148</v>
      </c>
      <c r="S207" s="74" t="s">
        <v>21338</v>
      </c>
      <c r="T207" s="74" t="s">
        <v>402</v>
      </c>
      <c r="U207" s="74">
        <v>0</v>
      </c>
      <c r="V207" s="74">
        <v>0</v>
      </c>
    </row>
    <row r="208" spans="3:22" x14ac:dyDescent="0.25">
      <c r="C208" s="74" t="s">
        <v>735</v>
      </c>
      <c r="D208" s="74" t="s">
        <v>148</v>
      </c>
      <c r="E208" s="74" t="s">
        <v>21338</v>
      </c>
      <c r="F208" s="74">
        <v>570025</v>
      </c>
      <c r="G208" s="74">
        <v>3</v>
      </c>
      <c r="H208" s="135">
        <v>43005.371944444443</v>
      </c>
      <c r="I208" s="74" t="s">
        <v>21398</v>
      </c>
      <c r="J208" s="74" t="s">
        <v>21400</v>
      </c>
      <c r="K208" s="74" t="s">
        <v>5527</v>
      </c>
      <c r="L208" s="74">
        <v>910507</v>
      </c>
      <c r="M208" s="74" t="s">
        <v>21341</v>
      </c>
      <c r="N208" s="74">
        <v>1</v>
      </c>
      <c r="O208" s="74" t="s">
        <v>21342</v>
      </c>
      <c r="P208" s="74" t="s">
        <v>21343</v>
      </c>
      <c r="Q208" s="74" t="s">
        <v>21423</v>
      </c>
      <c r="R208" s="74" t="s">
        <v>148</v>
      </c>
      <c r="S208" s="74" t="s">
        <v>21338</v>
      </c>
      <c r="T208" s="74" t="s">
        <v>402</v>
      </c>
      <c r="U208" s="74">
        <v>0</v>
      </c>
      <c r="V208" s="74">
        <v>0</v>
      </c>
    </row>
    <row r="209" spans="3:22" x14ac:dyDescent="0.25">
      <c r="C209" s="74" t="s">
        <v>18795</v>
      </c>
      <c r="D209" s="74" t="s">
        <v>148</v>
      </c>
      <c r="E209" s="74" t="s">
        <v>21338</v>
      </c>
      <c r="F209" s="74">
        <v>551367</v>
      </c>
      <c r="G209" s="74">
        <v>1000</v>
      </c>
      <c r="H209" s="135">
        <v>43005.349351851852</v>
      </c>
      <c r="I209" s="74" t="s">
        <v>21339</v>
      </c>
      <c r="J209" s="74" t="s">
        <v>21340</v>
      </c>
      <c r="K209" s="74" t="s">
        <v>14722</v>
      </c>
      <c r="L209" s="74">
        <v>553543</v>
      </c>
      <c r="M209" s="74" t="s">
        <v>21341</v>
      </c>
      <c r="N209" s="74">
        <v>1</v>
      </c>
      <c r="O209" s="74" t="s">
        <v>21342</v>
      </c>
      <c r="P209" s="74" t="s">
        <v>21343</v>
      </c>
      <c r="Q209" s="74">
        <v>0</v>
      </c>
      <c r="R209" s="74" t="s">
        <v>148</v>
      </c>
      <c r="S209" s="74" t="s">
        <v>21338</v>
      </c>
      <c r="T209" s="74" t="s">
        <v>402</v>
      </c>
      <c r="U209" s="74">
        <v>0</v>
      </c>
      <c r="V209" s="74">
        <v>0</v>
      </c>
    </row>
    <row r="210" spans="3:22" x14ac:dyDescent="0.25">
      <c r="C210" s="74" t="s">
        <v>21386</v>
      </c>
      <c r="D210" s="74" t="s">
        <v>148</v>
      </c>
      <c r="E210" s="74" t="s">
        <v>21338</v>
      </c>
      <c r="F210" s="74">
        <v>674396</v>
      </c>
      <c r="G210" s="74">
        <v>3</v>
      </c>
      <c r="H210" s="135">
        <v>43005.334374999999</v>
      </c>
      <c r="I210" s="74" t="s">
        <v>21339</v>
      </c>
      <c r="J210" s="74" t="s">
        <v>21364</v>
      </c>
      <c r="K210" s="74" t="s">
        <v>21424</v>
      </c>
      <c r="L210" s="74">
        <v>901684</v>
      </c>
      <c r="M210" s="74" t="s">
        <v>21341</v>
      </c>
      <c r="N210" s="74">
        <v>1</v>
      </c>
      <c r="O210" s="74" t="s">
        <v>21342</v>
      </c>
      <c r="P210" s="74" t="s">
        <v>21343</v>
      </c>
      <c r="Q210" s="74">
        <v>0</v>
      </c>
      <c r="R210" s="74" t="s">
        <v>148</v>
      </c>
      <c r="S210" s="74" t="s">
        <v>21338</v>
      </c>
      <c r="T210" s="74" t="s">
        <v>402</v>
      </c>
      <c r="U210" s="74">
        <v>0</v>
      </c>
      <c r="V210" s="74">
        <v>0</v>
      </c>
    </row>
    <row r="211" spans="3:22" x14ac:dyDescent="0.25">
      <c r="C211" s="74" t="s">
        <v>21386</v>
      </c>
      <c r="D211" s="74" t="s">
        <v>148</v>
      </c>
      <c r="E211" s="74" t="s">
        <v>21338</v>
      </c>
      <c r="F211" s="74">
        <v>674396</v>
      </c>
      <c r="G211" s="74">
        <v>3</v>
      </c>
      <c r="H211" s="135">
        <v>43005.334363425929</v>
      </c>
      <c r="I211" s="74" t="s">
        <v>21398</v>
      </c>
      <c r="J211" s="74" t="s">
        <v>21366</v>
      </c>
      <c r="K211" s="74" t="s">
        <v>21403</v>
      </c>
      <c r="L211" s="74">
        <v>561483</v>
      </c>
      <c r="M211" s="74" t="s">
        <v>21368</v>
      </c>
      <c r="N211" s="74">
        <v>1</v>
      </c>
      <c r="O211" s="74" t="s">
        <v>21369</v>
      </c>
      <c r="P211" s="74" t="s">
        <v>21343</v>
      </c>
      <c r="Q211" s="74" t="s">
        <v>21425</v>
      </c>
      <c r="R211" s="74" t="s">
        <v>148</v>
      </c>
      <c r="S211" s="74" t="s">
        <v>21338</v>
      </c>
      <c r="T211" s="74" t="s">
        <v>21371</v>
      </c>
      <c r="U211" s="74">
        <v>0</v>
      </c>
      <c r="V211" s="74">
        <v>0</v>
      </c>
    </row>
    <row r="212" spans="3:22" x14ac:dyDescent="0.25">
      <c r="C212" s="74" t="s">
        <v>21386</v>
      </c>
      <c r="D212" s="74" t="s">
        <v>148</v>
      </c>
      <c r="E212" s="74" t="s">
        <v>21338</v>
      </c>
      <c r="F212" s="74">
        <v>674396</v>
      </c>
      <c r="G212" s="74">
        <v>3</v>
      </c>
      <c r="H212" s="135">
        <v>43005.334074074075</v>
      </c>
      <c r="I212" s="74" t="s">
        <v>21339</v>
      </c>
      <c r="J212" s="74" t="s">
        <v>21364</v>
      </c>
      <c r="K212" s="74" t="s">
        <v>21424</v>
      </c>
      <c r="L212" s="74">
        <v>901684</v>
      </c>
      <c r="M212" s="74" t="s">
        <v>21341</v>
      </c>
      <c r="N212" s="74">
        <v>1</v>
      </c>
      <c r="O212" s="74" t="s">
        <v>21342</v>
      </c>
      <c r="P212" s="74" t="s">
        <v>21343</v>
      </c>
      <c r="Q212" s="74">
        <v>0</v>
      </c>
      <c r="R212" s="74" t="s">
        <v>148</v>
      </c>
      <c r="S212" s="74" t="s">
        <v>21338</v>
      </c>
      <c r="T212" s="74" t="s">
        <v>402</v>
      </c>
      <c r="U212" s="74">
        <v>0</v>
      </c>
      <c r="V212" s="74">
        <v>0</v>
      </c>
    </row>
    <row r="213" spans="3:22" x14ac:dyDescent="0.25">
      <c r="C213" s="74" t="s">
        <v>21386</v>
      </c>
      <c r="D213" s="74" t="s">
        <v>148</v>
      </c>
      <c r="E213" s="74" t="s">
        <v>21338</v>
      </c>
      <c r="F213" s="74">
        <v>674396</v>
      </c>
      <c r="G213" s="74">
        <v>3</v>
      </c>
      <c r="H213" s="135">
        <v>43005.333912037036</v>
      </c>
      <c r="I213" s="74" t="s">
        <v>21339</v>
      </c>
      <c r="J213" s="74" t="s">
        <v>21364</v>
      </c>
      <c r="K213" s="74" t="s">
        <v>21424</v>
      </c>
      <c r="L213" s="74">
        <v>901684</v>
      </c>
      <c r="M213" s="74" t="s">
        <v>21341</v>
      </c>
      <c r="N213" s="74">
        <v>1</v>
      </c>
      <c r="O213" s="74" t="s">
        <v>21342</v>
      </c>
      <c r="P213" s="74" t="s">
        <v>21343</v>
      </c>
      <c r="Q213" s="74">
        <v>0</v>
      </c>
      <c r="R213" s="74" t="s">
        <v>148</v>
      </c>
      <c r="S213" s="74" t="s">
        <v>21338</v>
      </c>
      <c r="T213" s="74" t="s">
        <v>402</v>
      </c>
      <c r="U213" s="74">
        <v>0</v>
      </c>
      <c r="V213" s="74">
        <v>0</v>
      </c>
    </row>
    <row r="214" spans="3:22" x14ac:dyDescent="0.25">
      <c r="C214" s="74" t="s">
        <v>21386</v>
      </c>
      <c r="D214" s="74" t="s">
        <v>148</v>
      </c>
      <c r="E214" s="74" t="s">
        <v>21338</v>
      </c>
      <c r="F214" s="74">
        <v>674396</v>
      </c>
      <c r="G214" s="74">
        <v>3</v>
      </c>
      <c r="H214" s="135">
        <v>43005.331689814811</v>
      </c>
      <c r="I214" s="74" t="s">
        <v>21339</v>
      </c>
      <c r="J214" s="74" t="s">
        <v>21364</v>
      </c>
      <c r="K214" s="74" t="s">
        <v>21424</v>
      </c>
      <c r="L214" s="74">
        <v>901684</v>
      </c>
      <c r="M214" s="74" t="s">
        <v>21341</v>
      </c>
      <c r="N214" s="74">
        <v>1</v>
      </c>
      <c r="O214" s="74" t="s">
        <v>21342</v>
      </c>
      <c r="P214" s="74" t="s">
        <v>21343</v>
      </c>
      <c r="Q214" s="74">
        <v>0</v>
      </c>
      <c r="R214" s="74" t="s">
        <v>148</v>
      </c>
      <c r="S214" s="74" t="s">
        <v>21338</v>
      </c>
      <c r="T214" s="74" t="s">
        <v>402</v>
      </c>
      <c r="U214" s="74">
        <v>0</v>
      </c>
      <c r="V214" s="74">
        <v>0</v>
      </c>
    </row>
    <row r="215" spans="3:22" x14ac:dyDescent="0.25">
      <c r="C215" s="74" t="s">
        <v>18795</v>
      </c>
      <c r="D215" s="74" t="s">
        <v>148</v>
      </c>
      <c r="E215" s="74" t="s">
        <v>21338</v>
      </c>
      <c r="F215" s="74">
        <v>551367</v>
      </c>
      <c r="G215" s="74">
        <v>1000</v>
      </c>
      <c r="H215" s="135">
        <v>43005.036932870367</v>
      </c>
      <c r="I215" s="74" t="s">
        <v>21339</v>
      </c>
      <c r="J215" s="74" t="s">
        <v>21340</v>
      </c>
      <c r="K215" s="74" t="s">
        <v>20475</v>
      </c>
      <c r="L215" s="74">
        <v>554227</v>
      </c>
      <c r="M215" s="74" t="s">
        <v>21341</v>
      </c>
      <c r="N215" s="74">
        <v>1</v>
      </c>
      <c r="O215" s="74" t="s">
        <v>21342</v>
      </c>
      <c r="P215" s="74" t="s">
        <v>21343</v>
      </c>
      <c r="Q215" s="74">
        <v>0</v>
      </c>
      <c r="R215" s="74" t="s">
        <v>148</v>
      </c>
      <c r="S215" s="74" t="s">
        <v>21338</v>
      </c>
      <c r="T215" s="74" t="s">
        <v>402</v>
      </c>
      <c r="U215" s="74">
        <v>0</v>
      </c>
      <c r="V215" s="74">
        <v>0</v>
      </c>
    </row>
    <row r="216" spans="3:22" x14ac:dyDescent="0.25">
      <c r="C216" s="74" t="s">
        <v>21347</v>
      </c>
      <c r="D216" s="74" t="s">
        <v>148</v>
      </c>
      <c r="E216" s="74" t="s">
        <v>21338</v>
      </c>
      <c r="F216" s="74">
        <v>637976</v>
      </c>
      <c r="G216" s="74">
        <v>1</v>
      </c>
      <c r="H216" s="135">
        <v>43004.790995370371</v>
      </c>
      <c r="I216" s="74" t="s">
        <v>244</v>
      </c>
      <c r="J216" s="74" t="s">
        <v>21349</v>
      </c>
      <c r="K216" s="74" t="s">
        <v>21347</v>
      </c>
      <c r="L216" s="74">
        <v>637976</v>
      </c>
      <c r="M216" s="74" t="s">
        <v>21341</v>
      </c>
      <c r="N216" s="74">
        <v>0</v>
      </c>
      <c r="O216" s="74" t="s">
        <v>21350</v>
      </c>
      <c r="P216" s="74" t="s">
        <v>21343</v>
      </c>
      <c r="Q216" s="74">
        <v>0</v>
      </c>
      <c r="R216" s="74" t="s">
        <v>148</v>
      </c>
      <c r="S216" s="74" t="s">
        <v>21338</v>
      </c>
      <c r="T216" s="74" t="s">
        <v>402</v>
      </c>
      <c r="U216" s="74">
        <v>0</v>
      </c>
      <c r="V216" s="74">
        <v>0</v>
      </c>
    </row>
    <row r="217" spans="3:22" x14ac:dyDescent="0.25">
      <c r="C217" s="74" t="s">
        <v>21347</v>
      </c>
      <c r="D217" s="74" t="s">
        <v>148</v>
      </c>
      <c r="E217" s="74" t="s">
        <v>21338</v>
      </c>
      <c r="F217" s="74">
        <v>637976</v>
      </c>
      <c r="G217" s="74">
        <v>1</v>
      </c>
      <c r="H217" s="135">
        <v>43004.790983796294</v>
      </c>
      <c r="I217" s="74" t="s">
        <v>21348</v>
      </c>
      <c r="J217" s="74" t="s">
        <v>21349</v>
      </c>
      <c r="K217" s="74" t="s">
        <v>21347</v>
      </c>
      <c r="L217" s="74">
        <v>637976</v>
      </c>
      <c r="M217" s="74" t="s">
        <v>21341</v>
      </c>
      <c r="N217" s="74">
        <v>0</v>
      </c>
      <c r="O217" s="74" t="s">
        <v>21350</v>
      </c>
      <c r="P217" s="74" t="s">
        <v>21343</v>
      </c>
      <c r="Q217" s="74">
        <v>0</v>
      </c>
      <c r="R217" s="74" t="s">
        <v>148</v>
      </c>
      <c r="S217" s="74" t="s">
        <v>21338</v>
      </c>
      <c r="T217" s="74" t="s">
        <v>402</v>
      </c>
      <c r="U217" s="74">
        <v>0</v>
      </c>
      <c r="V217" s="74">
        <v>0</v>
      </c>
    </row>
    <row r="218" spans="3:22" x14ac:dyDescent="0.25">
      <c r="C218" s="74" t="s">
        <v>18795</v>
      </c>
      <c r="D218" s="74" t="s">
        <v>148</v>
      </c>
      <c r="E218" s="74" t="s">
        <v>21338</v>
      </c>
      <c r="F218" s="74">
        <v>551367</v>
      </c>
      <c r="G218" s="74">
        <v>1000</v>
      </c>
      <c r="H218" s="135">
        <v>43004.692719907405</v>
      </c>
      <c r="I218" s="74" t="s">
        <v>21339</v>
      </c>
      <c r="J218" s="74" t="s">
        <v>21340</v>
      </c>
      <c r="K218" s="74" t="s">
        <v>21426</v>
      </c>
      <c r="L218" s="74">
        <v>863731</v>
      </c>
      <c r="M218" s="74" t="s">
        <v>21341</v>
      </c>
      <c r="N218" s="74">
        <v>1</v>
      </c>
      <c r="O218" s="74" t="s">
        <v>21342</v>
      </c>
      <c r="P218" s="74" t="s">
        <v>21343</v>
      </c>
      <c r="Q218" s="74">
        <v>0</v>
      </c>
      <c r="R218" s="74" t="s">
        <v>148</v>
      </c>
      <c r="S218" s="74" t="s">
        <v>21338</v>
      </c>
      <c r="T218" s="74" t="s">
        <v>402</v>
      </c>
      <c r="U218" s="74">
        <v>0</v>
      </c>
      <c r="V218" s="74">
        <v>0</v>
      </c>
    </row>
    <row r="219" spans="3:22" x14ac:dyDescent="0.25">
      <c r="C219" s="74" t="s">
        <v>18795</v>
      </c>
      <c r="D219" s="74" t="s">
        <v>148</v>
      </c>
      <c r="E219" s="74" t="s">
        <v>21338</v>
      </c>
      <c r="F219" s="74">
        <v>551367</v>
      </c>
      <c r="G219" s="74">
        <v>1000</v>
      </c>
      <c r="H219" s="135">
        <v>43004.656134259261</v>
      </c>
      <c r="I219" s="74" t="s">
        <v>21339</v>
      </c>
      <c r="J219" s="74" t="s">
        <v>21340</v>
      </c>
      <c r="K219" s="74" t="s">
        <v>14257</v>
      </c>
      <c r="L219" s="74">
        <v>553474</v>
      </c>
      <c r="M219" s="74" t="s">
        <v>21341</v>
      </c>
      <c r="N219" s="74">
        <v>1</v>
      </c>
      <c r="O219" s="74" t="s">
        <v>21342</v>
      </c>
      <c r="P219" s="74" t="s">
        <v>21343</v>
      </c>
      <c r="Q219" s="74">
        <v>0</v>
      </c>
      <c r="R219" s="74" t="s">
        <v>148</v>
      </c>
      <c r="S219" s="74" t="s">
        <v>21338</v>
      </c>
      <c r="T219" s="74" t="s">
        <v>402</v>
      </c>
      <c r="U219" s="74">
        <v>0</v>
      </c>
      <c r="V219" s="74">
        <v>0</v>
      </c>
    </row>
    <row r="220" spans="3:22" x14ac:dyDescent="0.25">
      <c r="C220" s="74" t="s">
        <v>21386</v>
      </c>
      <c r="D220" s="74" t="s">
        <v>148</v>
      </c>
      <c r="E220" s="74" t="s">
        <v>21338</v>
      </c>
      <c r="F220" s="74">
        <v>674396</v>
      </c>
      <c r="G220" s="74">
        <v>3</v>
      </c>
      <c r="H220" s="135">
        <v>43004.607187499998</v>
      </c>
      <c r="I220" s="74" t="s">
        <v>21339</v>
      </c>
      <c r="J220" s="74" t="s">
        <v>21364</v>
      </c>
      <c r="K220" s="74" t="s">
        <v>21427</v>
      </c>
      <c r="L220" s="74">
        <v>910419</v>
      </c>
      <c r="M220" s="74" t="s">
        <v>21341</v>
      </c>
      <c r="N220" s="74">
        <v>1</v>
      </c>
      <c r="O220" s="74" t="s">
        <v>21342</v>
      </c>
      <c r="P220" s="74" t="s">
        <v>21343</v>
      </c>
      <c r="Q220" s="74">
        <v>0</v>
      </c>
      <c r="R220" s="74" t="s">
        <v>148</v>
      </c>
      <c r="S220" s="74" t="s">
        <v>21338</v>
      </c>
      <c r="T220" s="74" t="s">
        <v>402</v>
      </c>
      <c r="U220" s="74">
        <v>0</v>
      </c>
      <c r="V220" s="74">
        <v>0</v>
      </c>
    </row>
    <row r="221" spans="3:22" x14ac:dyDescent="0.25">
      <c r="C221" s="74" t="s">
        <v>21386</v>
      </c>
      <c r="D221" s="74" t="s">
        <v>148</v>
      </c>
      <c r="E221" s="74" t="s">
        <v>21338</v>
      </c>
      <c r="F221" s="74">
        <v>674396</v>
      </c>
      <c r="G221" s="74">
        <v>3</v>
      </c>
      <c r="H221" s="135">
        <v>43004.607175925928</v>
      </c>
      <c r="I221" s="74" t="s">
        <v>21398</v>
      </c>
      <c r="J221" s="74" t="s">
        <v>21366</v>
      </c>
      <c r="K221" s="74" t="s">
        <v>21367</v>
      </c>
      <c r="L221" s="74">
        <v>561482</v>
      </c>
      <c r="M221" s="74" t="s">
        <v>21368</v>
      </c>
      <c r="N221" s="74">
        <v>1</v>
      </c>
      <c r="O221" s="74" t="s">
        <v>21369</v>
      </c>
      <c r="P221" s="74" t="s">
        <v>21343</v>
      </c>
      <c r="Q221" s="74" t="s">
        <v>21428</v>
      </c>
      <c r="R221" s="74" t="s">
        <v>148</v>
      </c>
      <c r="S221" s="74" t="s">
        <v>21338</v>
      </c>
      <c r="T221" s="74" t="s">
        <v>21371</v>
      </c>
      <c r="U221" s="74">
        <v>0</v>
      </c>
      <c r="V221" s="74">
        <v>0</v>
      </c>
    </row>
    <row r="222" spans="3:22" x14ac:dyDescent="0.25">
      <c r="C222" s="74" t="s">
        <v>21386</v>
      </c>
      <c r="D222" s="74" t="s">
        <v>148</v>
      </c>
      <c r="E222" s="74" t="s">
        <v>21338</v>
      </c>
      <c r="F222" s="74">
        <v>674396</v>
      </c>
      <c r="G222" s="74">
        <v>3</v>
      </c>
      <c r="H222" s="135">
        <v>43004.607175925928</v>
      </c>
      <c r="I222" s="74" t="s">
        <v>21398</v>
      </c>
      <c r="J222" s="74" t="s">
        <v>21366</v>
      </c>
      <c r="K222" s="74" t="s">
        <v>21403</v>
      </c>
      <c r="L222" s="74">
        <v>561483</v>
      </c>
      <c r="M222" s="74" t="s">
        <v>21368</v>
      </c>
      <c r="N222" s="74">
        <v>1</v>
      </c>
      <c r="O222" s="74" t="s">
        <v>21369</v>
      </c>
      <c r="P222" s="74" t="s">
        <v>21343</v>
      </c>
      <c r="Q222" s="74" t="s">
        <v>21428</v>
      </c>
      <c r="R222" s="74" t="s">
        <v>148</v>
      </c>
      <c r="S222" s="74" t="s">
        <v>21338</v>
      </c>
      <c r="T222" s="74" t="s">
        <v>21371</v>
      </c>
      <c r="U222" s="74">
        <v>0</v>
      </c>
      <c r="V222" s="74">
        <v>0</v>
      </c>
    </row>
    <row r="223" spans="3:22" x14ac:dyDescent="0.25">
      <c r="C223" s="74" t="s">
        <v>21386</v>
      </c>
      <c r="D223" s="74" t="s">
        <v>148</v>
      </c>
      <c r="E223" s="74" t="s">
        <v>21338</v>
      </c>
      <c r="F223" s="74">
        <v>674396</v>
      </c>
      <c r="G223" s="74">
        <v>3</v>
      </c>
      <c r="H223" s="135">
        <v>43004.607164351852</v>
      </c>
      <c r="I223" s="74" t="s">
        <v>21398</v>
      </c>
      <c r="J223" s="74" t="s">
        <v>21366</v>
      </c>
      <c r="K223" s="74" t="s">
        <v>21376</v>
      </c>
      <c r="L223" s="74">
        <v>555659</v>
      </c>
      <c r="M223" s="74" t="s">
        <v>21368</v>
      </c>
      <c r="N223" s="74">
        <v>1</v>
      </c>
      <c r="O223" s="74" t="s">
        <v>21369</v>
      </c>
      <c r="P223" s="74" t="s">
        <v>21343</v>
      </c>
      <c r="Q223" s="74" t="s">
        <v>21428</v>
      </c>
      <c r="R223" s="74" t="s">
        <v>148</v>
      </c>
      <c r="S223" s="74" t="s">
        <v>21338</v>
      </c>
      <c r="T223" s="74" t="s">
        <v>21371</v>
      </c>
      <c r="U223" s="74">
        <v>0</v>
      </c>
      <c r="V223" s="74">
        <v>0</v>
      </c>
    </row>
    <row r="224" spans="3:22" x14ac:dyDescent="0.25">
      <c r="C224" s="74" t="s">
        <v>21386</v>
      </c>
      <c r="D224" s="74" t="s">
        <v>148</v>
      </c>
      <c r="E224" s="74" t="s">
        <v>21338</v>
      </c>
      <c r="F224" s="74">
        <v>674396</v>
      </c>
      <c r="G224" s="74">
        <v>3</v>
      </c>
      <c r="H224" s="135">
        <v>43004.607141203705</v>
      </c>
      <c r="I224" s="74" t="s">
        <v>21339</v>
      </c>
      <c r="J224" s="74" t="s">
        <v>21364</v>
      </c>
      <c r="K224" s="74" t="s">
        <v>21427</v>
      </c>
      <c r="L224" s="74">
        <v>910419</v>
      </c>
      <c r="M224" s="74" t="s">
        <v>21341</v>
      </c>
      <c r="N224" s="74">
        <v>1</v>
      </c>
      <c r="O224" s="74" t="s">
        <v>21342</v>
      </c>
      <c r="P224" s="74" t="s">
        <v>21343</v>
      </c>
      <c r="Q224" s="74">
        <v>0</v>
      </c>
      <c r="R224" s="74" t="s">
        <v>148</v>
      </c>
      <c r="S224" s="74" t="s">
        <v>21338</v>
      </c>
      <c r="T224" s="74" t="s">
        <v>402</v>
      </c>
      <c r="U224" s="74">
        <v>0</v>
      </c>
      <c r="V224" s="74">
        <v>0</v>
      </c>
    </row>
    <row r="225" spans="3:22" x14ac:dyDescent="0.25">
      <c r="C225" s="74" t="s">
        <v>21386</v>
      </c>
      <c r="D225" s="74" t="s">
        <v>148</v>
      </c>
      <c r="E225" s="74" t="s">
        <v>21338</v>
      </c>
      <c r="F225" s="74">
        <v>674396</v>
      </c>
      <c r="G225" s="74">
        <v>3</v>
      </c>
      <c r="H225" s="135">
        <v>43004.606886574074</v>
      </c>
      <c r="I225" s="74" t="s">
        <v>21339</v>
      </c>
      <c r="J225" s="74" t="s">
        <v>21364</v>
      </c>
      <c r="K225" s="74" t="s">
        <v>21427</v>
      </c>
      <c r="L225" s="74">
        <v>910419</v>
      </c>
      <c r="M225" s="74" t="s">
        <v>21341</v>
      </c>
      <c r="N225" s="74">
        <v>1</v>
      </c>
      <c r="O225" s="74" t="s">
        <v>21342</v>
      </c>
      <c r="P225" s="74" t="s">
        <v>21343</v>
      </c>
      <c r="Q225" s="74">
        <v>0</v>
      </c>
      <c r="R225" s="74" t="s">
        <v>148</v>
      </c>
      <c r="S225" s="74" t="s">
        <v>21338</v>
      </c>
      <c r="T225" s="74" t="s">
        <v>402</v>
      </c>
      <c r="U225" s="74">
        <v>0</v>
      </c>
      <c r="V225" s="74">
        <v>0</v>
      </c>
    </row>
    <row r="226" spans="3:22" x14ac:dyDescent="0.25">
      <c r="C226" s="74" t="s">
        <v>21386</v>
      </c>
      <c r="D226" s="74" t="s">
        <v>148</v>
      </c>
      <c r="E226" s="74" t="s">
        <v>21338</v>
      </c>
      <c r="F226" s="74">
        <v>674396</v>
      </c>
      <c r="G226" s="74">
        <v>3</v>
      </c>
      <c r="H226" s="135">
        <v>43004.606412037036</v>
      </c>
      <c r="I226" s="74" t="s">
        <v>21398</v>
      </c>
      <c r="J226" s="74" t="s">
        <v>21400</v>
      </c>
      <c r="K226" s="74" t="s">
        <v>21427</v>
      </c>
      <c r="L226" s="74">
        <v>910419</v>
      </c>
      <c r="M226" s="74" t="s">
        <v>21341</v>
      </c>
      <c r="N226" s="74">
        <v>1</v>
      </c>
      <c r="O226" s="74" t="s">
        <v>21342</v>
      </c>
      <c r="P226" s="74" t="s">
        <v>21343</v>
      </c>
      <c r="Q226" s="74" t="s">
        <v>21429</v>
      </c>
      <c r="R226" s="74" t="s">
        <v>148</v>
      </c>
      <c r="S226" s="74" t="s">
        <v>21338</v>
      </c>
      <c r="T226" s="74" t="s">
        <v>402</v>
      </c>
      <c r="U226" s="74">
        <v>0</v>
      </c>
      <c r="V226" s="74">
        <v>0</v>
      </c>
    </row>
    <row r="227" spans="3:22" x14ac:dyDescent="0.25">
      <c r="C227" s="74" t="s">
        <v>21409</v>
      </c>
      <c r="D227" s="74" t="s">
        <v>148</v>
      </c>
      <c r="E227" s="74" t="s">
        <v>21338</v>
      </c>
      <c r="F227" s="74">
        <v>560330</v>
      </c>
      <c r="G227" s="74">
        <v>3</v>
      </c>
      <c r="H227" s="135">
        <v>43004.602546296293</v>
      </c>
      <c r="I227" s="74" t="s">
        <v>21339</v>
      </c>
      <c r="J227" s="74" t="s">
        <v>21356</v>
      </c>
      <c r="K227" s="74" t="s">
        <v>18146</v>
      </c>
      <c r="L227" s="74">
        <v>909910</v>
      </c>
      <c r="M227" s="74" t="s">
        <v>21341</v>
      </c>
      <c r="N227" s="74">
        <v>1</v>
      </c>
      <c r="O227" s="74" t="s">
        <v>21342</v>
      </c>
      <c r="P227" s="74" t="s">
        <v>21343</v>
      </c>
      <c r="Q227" s="74" t="s">
        <v>21395</v>
      </c>
      <c r="R227" s="74" t="s">
        <v>148</v>
      </c>
      <c r="S227" s="74" t="s">
        <v>21338</v>
      </c>
      <c r="T227" s="74" t="s">
        <v>402</v>
      </c>
      <c r="U227" s="74">
        <v>0</v>
      </c>
      <c r="V227" s="74">
        <v>0</v>
      </c>
    </row>
    <row r="228" spans="3:22" x14ac:dyDescent="0.25">
      <c r="C228" s="74" t="s">
        <v>21409</v>
      </c>
      <c r="D228" s="74" t="s">
        <v>148</v>
      </c>
      <c r="E228" s="74" t="s">
        <v>21338</v>
      </c>
      <c r="F228" s="74">
        <v>560330</v>
      </c>
      <c r="G228" s="74">
        <v>3</v>
      </c>
      <c r="H228" s="135">
        <v>43004.601620370369</v>
      </c>
      <c r="I228" s="74" t="s">
        <v>21354</v>
      </c>
      <c r="J228" s="74" t="s">
        <v>21355</v>
      </c>
      <c r="K228" s="74" t="s">
        <v>18146</v>
      </c>
      <c r="L228" s="74">
        <v>909910</v>
      </c>
      <c r="M228" s="74" t="s">
        <v>21341</v>
      </c>
      <c r="N228" s="74">
        <v>1</v>
      </c>
      <c r="O228" s="74" t="s">
        <v>21342</v>
      </c>
      <c r="P228" s="74" t="s">
        <v>21345</v>
      </c>
      <c r="R228" s="74" t="s">
        <v>148</v>
      </c>
      <c r="S228" s="74" t="s">
        <v>21338</v>
      </c>
      <c r="T228" s="74" t="s">
        <v>402</v>
      </c>
      <c r="U228" s="74">
        <v>0</v>
      </c>
      <c r="V228" s="74">
        <v>0</v>
      </c>
    </row>
    <row r="229" spans="3:22" x14ac:dyDescent="0.25">
      <c r="C229" s="74" t="s">
        <v>18795</v>
      </c>
      <c r="D229" s="74" t="s">
        <v>148</v>
      </c>
      <c r="E229" s="74" t="s">
        <v>21338</v>
      </c>
      <c r="F229" s="74">
        <v>551367</v>
      </c>
      <c r="G229" s="74">
        <v>1000</v>
      </c>
      <c r="H229" s="135">
        <v>43004.60083333333</v>
      </c>
      <c r="I229" s="74" t="s">
        <v>21339</v>
      </c>
      <c r="J229" s="74" t="s">
        <v>21340</v>
      </c>
      <c r="K229" s="74" t="s">
        <v>18146</v>
      </c>
      <c r="L229" s="74">
        <v>909910</v>
      </c>
      <c r="M229" s="74" t="s">
        <v>21341</v>
      </c>
      <c r="N229" s="74">
        <v>1</v>
      </c>
      <c r="O229" s="74" t="s">
        <v>21342</v>
      </c>
      <c r="P229" s="74" t="s">
        <v>21343</v>
      </c>
      <c r="Q229" s="74">
        <v>0</v>
      </c>
      <c r="R229" s="74" t="s">
        <v>148</v>
      </c>
      <c r="S229" s="74" t="s">
        <v>21338</v>
      </c>
      <c r="T229" s="74" t="s">
        <v>402</v>
      </c>
      <c r="U229" s="74">
        <v>0</v>
      </c>
      <c r="V229" s="74">
        <v>0</v>
      </c>
    </row>
    <row r="230" spans="3:22" x14ac:dyDescent="0.25">
      <c r="C230" s="74" t="s">
        <v>9081</v>
      </c>
      <c r="D230" s="74" t="s">
        <v>148</v>
      </c>
      <c r="E230" s="74" t="s">
        <v>21338</v>
      </c>
      <c r="F230" s="74">
        <v>722441</v>
      </c>
      <c r="G230" s="74">
        <v>3</v>
      </c>
      <c r="H230" s="135">
        <v>43004.593715277777</v>
      </c>
      <c r="I230" s="74" t="s">
        <v>21354</v>
      </c>
      <c r="J230" s="74" t="s">
        <v>21355</v>
      </c>
      <c r="K230" s="74" t="s">
        <v>1630</v>
      </c>
      <c r="L230" s="74">
        <v>551858</v>
      </c>
      <c r="M230" s="74" t="s">
        <v>21341</v>
      </c>
      <c r="N230" s="74">
        <v>1</v>
      </c>
      <c r="O230" s="74" t="s">
        <v>21342</v>
      </c>
      <c r="P230" s="74" t="s">
        <v>21345</v>
      </c>
      <c r="R230" s="74" t="s">
        <v>148</v>
      </c>
      <c r="S230" s="74" t="s">
        <v>21338</v>
      </c>
      <c r="T230" s="74" t="s">
        <v>402</v>
      </c>
      <c r="U230" s="74">
        <v>0</v>
      </c>
      <c r="V230" s="74">
        <v>0</v>
      </c>
    </row>
    <row r="231" spans="3:22" x14ac:dyDescent="0.25">
      <c r="C231" s="74" t="s">
        <v>21386</v>
      </c>
      <c r="D231" s="74" t="s">
        <v>148</v>
      </c>
      <c r="E231" s="74" t="s">
        <v>21338</v>
      </c>
      <c r="F231" s="74">
        <v>674396</v>
      </c>
      <c r="G231" s="74">
        <v>3</v>
      </c>
      <c r="H231" s="135">
        <v>43004.578483796293</v>
      </c>
      <c r="I231" s="74" t="s">
        <v>21339</v>
      </c>
      <c r="J231" s="74" t="s">
        <v>21362</v>
      </c>
      <c r="K231" s="74" t="s">
        <v>21430</v>
      </c>
      <c r="L231" s="74">
        <v>832005</v>
      </c>
      <c r="M231" s="74" t="s">
        <v>21341</v>
      </c>
      <c r="N231" s="74">
        <v>1</v>
      </c>
      <c r="O231" s="74" t="s">
        <v>21342</v>
      </c>
      <c r="P231" s="74" t="s">
        <v>21343</v>
      </c>
      <c r="Q231" s="74" t="s">
        <v>21363</v>
      </c>
      <c r="R231" s="74" t="s">
        <v>148</v>
      </c>
      <c r="S231" s="74" t="s">
        <v>21338</v>
      </c>
      <c r="T231" s="74" t="s">
        <v>393</v>
      </c>
      <c r="U231" s="74">
        <v>0</v>
      </c>
      <c r="V231" s="74">
        <v>0</v>
      </c>
    </row>
    <row r="232" spans="3:22" x14ac:dyDescent="0.25">
      <c r="C232" s="74" t="s">
        <v>21386</v>
      </c>
      <c r="D232" s="74" t="s">
        <v>148</v>
      </c>
      <c r="E232" s="74" t="s">
        <v>21338</v>
      </c>
      <c r="F232" s="74">
        <v>674396</v>
      </c>
      <c r="G232" s="74">
        <v>3</v>
      </c>
      <c r="H232" s="135">
        <v>43004.577824074076</v>
      </c>
      <c r="I232" s="74" t="s">
        <v>21339</v>
      </c>
      <c r="J232" s="74" t="s">
        <v>21364</v>
      </c>
      <c r="K232" s="74" t="s">
        <v>21430</v>
      </c>
      <c r="L232" s="74">
        <v>832005</v>
      </c>
      <c r="M232" s="74" t="s">
        <v>21341</v>
      </c>
      <c r="N232" s="74">
        <v>1</v>
      </c>
      <c r="O232" s="74" t="s">
        <v>21342</v>
      </c>
      <c r="P232" s="74" t="s">
        <v>21343</v>
      </c>
      <c r="Q232" s="74">
        <v>0</v>
      </c>
      <c r="R232" s="74" t="s">
        <v>148</v>
      </c>
      <c r="S232" s="74" t="s">
        <v>21338</v>
      </c>
      <c r="T232" s="74" t="s">
        <v>402</v>
      </c>
      <c r="U232" s="74">
        <v>0</v>
      </c>
      <c r="V232" s="74">
        <v>0</v>
      </c>
    </row>
    <row r="233" spans="3:22" x14ac:dyDescent="0.25">
      <c r="C233" s="74" t="s">
        <v>21386</v>
      </c>
      <c r="D233" s="74" t="s">
        <v>148</v>
      </c>
      <c r="E233" s="74" t="s">
        <v>21338</v>
      </c>
      <c r="F233" s="74">
        <v>674396</v>
      </c>
      <c r="G233" s="74">
        <v>3</v>
      </c>
      <c r="H233" s="135">
        <v>43004.5778125</v>
      </c>
      <c r="I233" s="74" t="s">
        <v>21365</v>
      </c>
      <c r="J233" s="74" t="s">
        <v>21366</v>
      </c>
      <c r="K233" s="74" t="s">
        <v>21403</v>
      </c>
      <c r="L233" s="74">
        <v>561483</v>
      </c>
      <c r="M233" s="74" t="s">
        <v>21368</v>
      </c>
      <c r="N233" s="74">
        <v>1</v>
      </c>
      <c r="O233" s="74" t="s">
        <v>21369</v>
      </c>
      <c r="P233" s="74" t="s">
        <v>21343</v>
      </c>
      <c r="Q233" s="74" t="s">
        <v>21431</v>
      </c>
      <c r="R233" s="74" t="s">
        <v>148</v>
      </c>
      <c r="S233" s="74" t="s">
        <v>21338</v>
      </c>
      <c r="T233" s="74" t="s">
        <v>21371</v>
      </c>
      <c r="U233" s="74">
        <v>0</v>
      </c>
      <c r="V233" s="74">
        <v>0</v>
      </c>
    </row>
    <row r="234" spans="3:22" x14ac:dyDescent="0.25">
      <c r="C234" s="74" t="s">
        <v>21386</v>
      </c>
      <c r="D234" s="74" t="s">
        <v>148</v>
      </c>
      <c r="E234" s="74" t="s">
        <v>21338</v>
      </c>
      <c r="F234" s="74">
        <v>674396</v>
      </c>
      <c r="G234" s="74">
        <v>3</v>
      </c>
      <c r="H234" s="135">
        <v>43004.577800925923</v>
      </c>
      <c r="I234" s="74" t="s">
        <v>21365</v>
      </c>
      <c r="J234" s="74" t="s">
        <v>21366</v>
      </c>
      <c r="K234" s="74" t="s">
        <v>21367</v>
      </c>
      <c r="L234" s="74">
        <v>561482</v>
      </c>
      <c r="M234" s="74" t="s">
        <v>21368</v>
      </c>
      <c r="N234" s="74">
        <v>1</v>
      </c>
      <c r="O234" s="74" t="s">
        <v>21369</v>
      </c>
      <c r="P234" s="74" t="s">
        <v>21343</v>
      </c>
      <c r="Q234" s="74" t="s">
        <v>21431</v>
      </c>
      <c r="R234" s="74" t="s">
        <v>148</v>
      </c>
      <c r="S234" s="74" t="s">
        <v>21338</v>
      </c>
      <c r="T234" s="74" t="s">
        <v>21371</v>
      </c>
      <c r="U234" s="74">
        <v>0</v>
      </c>
      <c r="V234" s="74">
        <v>0</v>
      </c>
    </row>
    <row r="235" spans="3:22" x14ac:dyDescent="0.25">
      <c r="C235" s="74" t="s">
        <v>21386</v>
      </c>
      <c r="D235" s="74" t="s">
        <v>148</v>
      </c>
      <c r="E235" s="74" t="s">
        <v>21338</v>
      </c>
      <c r="F235" s="74">
        <v>674396</v>
      </c>
      <c r="G235" s="74">
        <v>3</v>
      </c>
      <c r="H235" s="135">
        <v>43004.577789351853</v>
      </c>
      <c r="I235" s="74" t="s">
        <v>21365</v>
      </c>
      <c r="J235" s="74" t="s">
        <v>21366</v>
      </c>
      <c r="K235" s="74" t="s">
        <v>21381</v>
      </c>
      <c r="L235" s="74">
        <v>555660</v>
      </c>
      <c r="M235" s="74" t="s">
        <v>21368</v>
      </c>
      <c r="N235" s="74">
        <v>1</v>
      </c>
      <c r="O235" s="74" t="s">
        <v>21369</v>
      </c>
      <c r="P235" s="74" t="s">
        <v>21343</v>
      </c>
      <c r="Q235" s="74" t="s">
        <v>21431</v>
      </c>
      <c r="R235" s="74" t="s">
        <v>148</v>
      </c>
      <c r="S235" s="74" t="s">
        <v>21338</v>
      </c>
      <c r="T235" s="74" t="s">
        <v>21371</v>
      </c>
      <c r="U235" s="74">
        <v>0</v>
      </c>
      <c r="V235" s="74">
        <v>0</v>
      </c>
    </row>
    <row r="236" spans="3:22" x14ac:dyDescent="0.25">
      <c r="C236" s="74" t="s">
        <v>21386</v>
      </c>
      <c r="D236" s="74" t="s">
        <v>148</v>
      </c>
      <c r="E236" s="74" t="s">
        <v>21338</v>
      </c>
      <c r="F236" s="74">
        <v>674396</v>
      </c>
      <c r="G236" s="74">
        <v>3</v>
      </c>
      <c r="H236" s="135">
        <v>43004.577777777777</v>
      </c>
      <c r="I236" s="74" t="s">
        <v>21365</v>
      </c>
      <c r="J236" s="74" t="s">
        <v>21366</v>
      </c>
      <c r="K236" s="74" t="s">
        <v>21376</v>
      </c>
      <c r="L236" s="74">
        <v>555659</v>
      </c>
      <c r="M236" s="74" t="s">
        <v>21368</v>
      </c>
      <c r="N236" s="74">
        <v>1</v>
      </c>
      <c r="O236" s="74" t="s">
        <v>21369</v>
      </c>
      <c r="P236" s="74" t="s">
        <v>21343</v>
      </c>
      <c r="Q236" s="74" t="s">
        <v>21431</v>
      </c>
      <c r="R236" s="74" t="s">
        <v>148</v>
      </c>
      <c r="S236" s="74" t="s">
        <v>21338</v>
      </c>
      <c r="T236" s="74" t="s">
        <v>21371</v>
      </c>
      <c r="U236" s="74">
        <v>0</v>
      </c>
      <c r="V236" s="74">
        <v>0</v>
      </c>
    </row>
    <row r="237" spans="3:22" x14ac:dyDescent="0.25">
      <c r="C237" s="74" t="s">
        <v>21386</v>
      </c>
      <c r="D237" s="74" t="s">
        <v>148</v>
      </c>
      <c r="E237" s="74" t="s">
        <v>21338</v>
      </c>
      <c r="F237" s="74">
        <v>674396</v>
      </c>
      <c r="G237" s="74">
        <v>3</v>
      </c>
      <c r="H237" s="135">
        <v>43004.57775462963</v>
      </c>
      <c r="I237" s="74" t="s">
        <v>21339</v>
      </c>
      <c r="J237" s="74" t="s">
        <v>21364</v>
      </c>
      <c r="K237" s="74" t="s">
        <v>21430</v>
      </c>
      <c r="L237" s="74">
        <v>832005</v>
      </c>
      <c r="M237" s="74" t="s">
        <v>21341</v>
      </c>
      <c r="N237" s="74">
        <v>1</v>
      </c>
      <c r="O237" s="74" t="s">
        <v>21342</v>
      </c>
      <c r="P237" s="74" t="s">
        <v>21343</v>
      </c>
      <c r="Q237" s="74">
        <v>0</v>
      </c>
      <c r="R237" s="74" t="s">
        <v>148</v>
      </c>
      <c r="S237" s="74" t="s">
        <v>21338</v>
      </c>
      <c r="T237" s="74" t="s">
        <v>402</v>
      </c>
      <c r="U237" s="74">
        <v>0</v>
      </c>
      <c r="V237" s="74">
        <v>0</v>
      </c>
    </row>
    <row r="238" spans="3:22" x14ac:dyDescent="0.25">
      <c r="C238" s="74" t="s">
        <v>21386</v>
      </c>
      <c r="D238" s="74" t="s">
        <v>148</v>
      </c>
      <c r="E238" s="74" t="s">
        <v>21338</v>
      </c>
      <c r="F238" s="74">
        <v>674396</v>
      </c>
      <c r="G238" s="74">
        <v>3</v>
      </c>
      <c r="H238" s="135">
        <v>43004.577673611115</v>
      </c>
      <c r="I238" s="74" t="s">
        <v>21339</v>
      </c>
      <c r="J238" s="74" t="s">
        <v>21364</v>
      </c>
      <c r="K238" s="74" t="s">
        <v>21430</v>
      </c>
      <c r="L238" s="74">
        <v>832005</v>
      </c>
      <c r="M238" s="74" t="s">
        <v>21341</v>
      </c>
      <c r="N238" s="74">
        <v>1</v>
      </c>
      <c r="O238" s="74" t="s">
        <v>21342</v>
      </c>
      <c r="P238" s="74" t="s">
        <v>21343</v>
      </c>
      <c r="Q238" s="74">
        <v>0</v>
      </c>
      <c r="R238" s="74" t="s">
        <v>148</v>
      </c>
      <c r="S238" s="74" t="s">
        <v>21338</v>
      </c>
      <c r="T238" s="74" t="s">
        <v>402</v>
      </c>
      <c r="U238" s="74">
        <v>0</v>
      </c>
      <c r="V238" s="74">
        <v>0</v>
      </c>
    </row>
    <row r="239" spans="3:22" x14ac:dyDescent="0.25">
      <c r="C239" s="74" t="s">
        <v>21386</v>
      </c>
      <c r="D239" s="74" t="s">
        <v>148</v>
      </c>
      <c r="E239" s="74" t="s">
        <v>21338</v>
      </c>
      <c r="F239" s="74">
        <v>674396</v>
      </c>
      <c r="G239" s="74">
        <v>3</v>
      </c>
      <c r="H239" s="135">
        <v>43004.575856481482</v>
      </c>
      <c r="I239" s="74" t="s">
        <v>21339</v>
      </c>
      <c r="J239" s="74" t="s">
        <v>21360</v>
      </c>
      <c r="K239" s="74" t="s">
        <v>21430</v>
      </c>
      <c r="L239" s="74">
        <v>832005</v>
      </c>
      <c r="M239" s="74" t="s">
        <v>21341</v>
      </c>
      <c r="N239" s="74">
        <v>1</v>
      </c>
      <c r="O239" s="74" t="s">
        <v>21342</v>
      </c>
      <c r="P239" s="74" t="s">
        <v>21343</v>
      </c>
      <c r="Q239" s="74" t="s">
        <v>21361</v>
      </c>
      <c r="R239" s="74" t="s">
        <v>148</v>
      </c>
      <c r="S239" s="74" t="s">
        <v>21338</v>
      </c>
      <c r="T239" s="74" t="s">
        <v>402</v>
      </c>
      <c r="U239" s="74">
        <v>0</v>
      </c>
      <c r="V239" s="74">
        <v>0</v>
      </c>
    </row>
    <row r="240" spans="3:22" x14ac:dyDescent="0.25">
      <c r="C240" s="74" t="s">
        <v>18795</v>
      </c>
      <c r="D240" s="74" t="s">
        <v>148</v>
      </c>
      <c r="E240" s="74" t="s">
        <v>21338</v>
      </c>
      <c r="F240" s="74">
        <v>551367</v>
      </c>
      <c r="G240" s="74">
        <v>1000</v>
      </c>
      <c r="H240" s="135">
        <v>43004.564386574071</v>
      </c>
      <c r="I240" s="74" t="s">
        <v>21339</v>
      </c>
      <c r="J240" s="74" t="s">
        <v>21340</v>
      </c>
      <c r="K240" s="74" t="s">
        <v>1445</v>
      </c>
      <c r="L240" s="74">
        <v>551839</v>
      </c>
      <c r="M240" s="74" t="s">
        <v>21341</v>
      </c>
      <c r="N240" s="74">
        <v>1</v>
      </c>
      <c r="O240" s="74" t="s">
        <v>21342</v>
      </c>
      <c r="P240" s="74" t="s">
        <v>21343</v>
      </c>
      <c r="Q240" s="74">
        <v>0</v>
      </c>
      <c r="R240" s="74" t="s">
        <v>148</v>
      </c>
      <c r="S240" s="74" t="s">
        <v>21338</v>
      </c>
      <c r="T240" s="74" t="s">
        <v>402</v>
      </c>
      <c r="U240" s="74">
        <v>0</v>
      </c>
      <c r="V240" s="74">
        <v>0</v>
      </c>
    </row>
    <row r="241" spans="3:22" x14ac:dyDescent="0.25">
      <c r="C241" s="74" t="s">
        <v>18795</v>
      </c>
      <c r="D241" s="74" t="s">
        <v>148</v>
      </c>
      <c r="E241" s="74" t="s">
        <v>21338</v>
      </c>
      <c r="F241" s="74">
        <v>551367</v>
      </c>
      <c r="G241" s="74">
        <v>1000</v>
      </c>
      <c r="H241" s="135">
        <v>43004.550682870373</v>
      </c>
      <c r="I241" s="74" t="s">
        <v>21339</v>
      </c>
      <c r="J241" s="74" t="s">
        <v>21340</v>
      </c>
      <c r="K241" s="74" t="s">
        <v>21432</v>
      </c>
      <c r="L241" s="74">
        <v>823488</v>
      </c>
      <c r="M241" s="74" t="s">
        <v>21341</v>
      </c>
      <c r="N241" s="74">
        <v>1</v>
      </c>
      <c r="O241" s="74" t="s">
        <v>21342</v>
      </c>
      <c r="P241" s="74" t="s">
        <v>21343</v>
      </c>
      <c r="Q241" s="74">
        <v>0</v>
      </c>
      <c r="R241" s="74" t="s">
        <v>148</v>
      </c>
      <c r="S241" s="74" t="s">
        <v>21338</v>
      </c>
      <c r="T241" s="74" t="s">
        <v>402</v>
      </c>
      <c r="U241" s="74">
        <v>0</v>
      </c>
      <c r="V241" s="74">
        <v>0</v>
      </c>
    </row>
    <row r="242" spans="3:22" x14ac:dyDescent="0.25">
      <c r="C242" s="74" t="s">
        <v>18795</v>
      </c>
      <c r="D242" s="74" t="s">
        <v>148</v>
      </c>
      <c r="E242" s="74" t="s">
        <v>21338</v>
      </c>
      <c r="F242" s="74">
        <v>551367</v>
      </c>
      <c r="G242" s="74">
        <v>1000</v>
      </c>
      <c r="H242" s="135">
        <v>43004.549745370372</v>
      </c>
      <c r="I242" s="74" t="s">
        <v>21339</v>
      </c>
      <c r="J242" s="74" t="s">
        <v>21340</v>
      </c>
      <c r="K242" s="74" t="s">
        <v>3775</v>
      </c>
      <c r="L242" s="74">
        <v>560178</v>
      </c>
      <c r="M242" s="74" t="s">
        <v>21341</v>
      </c>
      <c r="N242" s="74">
        <v>1</v>
      </c>
      <c r="O242" s="74" t="s">
        <v>21342</v>
      </c>
      <c r="P242" s="74" t="s">
        <v>21343</v>
      </c>
      <c r="Q242" s="74">
        <v>0</v>
      </c>
      <c r="R242" s="74" t="s">
        <v>148</v>
      </c>
      <c r="S242" s="74" t="s">
        <v>21338</v>
      </c>
      <c r="T242" s="74" t="s">
        <v>402</v>
      </c>
      <c r="U242" s="74">
        <v>0</v>
      </c>
      <c r="V242" s="74">
        <v>0</v>
      </c>
    </row>
    <row r="243" spans="3:22" x14ac:dyDescent="0.25">
      <c r="C243" s="74" t="s">
        <v>2974</v>
      </c>
      <c r="D243" s="74" t="s">
        <v>148</v>
      </c>
      <c r="E243" s="74" t="s">
        <v>21338</v>
      </c>
      <c r="F243" s="74">
        <v>627564</v>
      </c>
      <c r="G243" s="74">
        <v>3</v>
      </c>
      <c r="H243" s="135">
        <v>43004.548437500001</v>
      </c>
      <c r="I243" s="74" t="s">
        <v>21339</v>
      </c>
      <c r="J243" s="74" t="s">
        <v>21356</v>
      </c>
      <c r="K243" s="74" t="s">
        <v>21433</v>
      </c>
      <c r="L243" s="74">
        <v>906187</v>
      </c>
      <c r="M243" s="74" t="s">
        <v>21341</v>
      </c>
      <c r="N243" s="74">
        <v>1</v>
      </c>
      <c r="O243" s="74" t="s">
        <v>21342</v>
      </c>
      <c r="P243" s="74" t="s">
        <v>21343</v>
      </c>
      <c r="Q243" s="74" t="s">
        <v>21395</v>
      </c>
      <c r="R243" s="74" t="s">
        <v>148</v>
      </c>
      <c r="S243" s="74" t="s">
        <v>21338</v>
      </c>
      <c r="T243" s="74" t="s">
        <v>402</v>
      </c>
      <c r="U243" s="74">
        <v>0</v>
      </c>
      <c r="V243" s="74">
        <v>0</v>
      </c>
    </row>
    <row r="244" spans="3:22" x14ac:dyDescent="0.25">
      <c r="C244" s="74" t="s">
        <v>18795</v>
      </c>
      <c r="D244" s="74" t="s">
        <v>148</v>
      </c>
      <c r="E244" s="74" t="s">
        <v>21338</v>
      </c>
      <c r="F244" s="74">
        <v>551367</v>
      </c>
      <c r="G244" s="74">
        <v>1000</v>
      </c>
      <c r="H244" s="135">
        <v>43004.541944444441</v>
      </c>
      <c r="I244" s="74" t="s">
        <v>21339</v>
      </c>
      <c r="J244" s="74" t="s">
        <v>21340</v>
      </c>
      <c r="K244" s="74" t="s">
        <v>21434</v>
      </c>
      <c r="L244" s="74">
        <v>824929</v>
      </c>
      <c r="M244" s="74" t="s">
        <v>21341</v>
      </c>
      <c r="N244" s="74">
        <v>1</v>
      </c>
      <c r="O244" s="74" t="s">
        <v>21342</v>
      </c>
      <c r="P244" s="74" t="s">
        <v>21343</v>
      </c>
      <c r="Q244" s="74">
        <v>0</v>
      </c>
      <c r="R244" s="74" t="s">
        <v>148</v>
      </c>
      <c r="S244" s="74" t="s">
        <v>21338</v>
      </c>
      <c r="T244" s="74" t="s">
        <v>402</v>
      </c>
      <c r="U244" s="74">
        <v>0</v>
      </c>
      <c r="V244" s="74">
        <v>0</v>
      </c>
    </row>
    <row r="245" spans="3:22" x14ac:dyDescent="0.25">
      <c r="C245" s="74" t="s">
        <v>735</v>
      </c>
      <c r="D245" s="74" t="s">
        <v>148</v>
      </c>
      <c r="E245" s="74" t="s">
        <v>21338</v>
      </c>
      <c r="F245" s="74">
        <v>570025</v>
      </c>
      <c r="G245" s="74">
        <v>3</v>
      </c>
      <c r="H245" s="135">
        <v>43004.539664351854</v>
      </c>
      <c r="I245" s="74" t="s">
        <v>21339</v>
      </c>
      <c r="J245" s="74" t="s">
        <v>21364</v>
      </c>
      <c r="K245" s="74" t="s">
        <v>21435</v>
      </c>
      <c r="L245" s="74">
        <v>729549</v>
      </c>
      <c r="M245" s="74" t="s">
        <v>21368</v>
      </c>
      <c r="N245" s="74">
        <v>1</v>
      </c>
      <c r="O245" s="74" t="s">
        <v>21342</v>
      </c>
      <c r="P245" s="74" t="s">
        <v>21343</v>
      </c>
      <c r="Q245" s="74">
        <v>0</v>
      </c>
      <c r="R245" s="74" t="s">
        <v>148</v>
      </c>
      <c r="S245" s="74" t="s">
        <v>21338</v>
      </c>
      <c r="T245" s="74" t="s">
        <v>21371</v>
      </c>
      <c r="U245" s="74">
        <v>0</v>
      </c>
      <c r="V245" s="74">
        <v>0</v>
      </c>
    </row>
    <row r="246" spans="3:22" x14ac:dyDescent="0.25">
      <c r="C246" s="74" t="s">
        <v>18795</v>
      </c>
      <c r="D246" s="74" t="s">
        <v>148</v>
      </c>
      <c r="E246" s="74" t="s">
        <v>21338</v>
      </c>
      <c r="F246" s="74">
        <v>551367</v>
      </c>
      <c r="G246" s="74">
        <v>1000</v>
      </c>
      <c r="H246" s="135">
        <v>43004.526712962965</v>
      </c>
      <c r="I246" s="74" t="s">
        <v>21339</v>
      </c>
      <c r="J246" s="74" t="s">
        <v>21340</v>
      </c>
      <c r="K246" s="74" t="s">
        <v>1445</v>
      </c>
      <c r="L246" s="74">
        <v>551839</v>
      </c>
      <c r="M246" s="74" t="s">
        <v>21341</v>
      </c>
      <c r="N246" s="74">
        <v>1</v>
      </c>
      <c r="O246" s="74" t="s">
        <v>21342</v>
      </c>
      <c r="P246" s="74" t="s">
        <v>21343</v>
      </c>
      <c r="Q246" s="74">
        <v>0</v>
      </c>
      <c r="R246" s="74" t="s">
        <v>148</v>
      </c>
      <c r="S246" s="74" t="s">
        <v>21338</v>
      </c>
      <c r="T246" s="74" t="s">
        <v>402</v>
      </c>
      <c r="U246" s="74">
        <v>0</v>
      </c>
      <c r="V246" s="74">
        <v>0</v>
      </c>
    </row>
    <row r="247" spans="3:22" x14ac:dyDescent="0.25">
      <c r="C247" s="74" t="s">
        <v>18795</v>
      </c>
      <c r="D247" s="74" t="s">
        <v>148</v>
      </c>
      <c r="E247" s="74" t="s">
        <v>21338</v>
      </c>
      <c r="F247" s="74">
        <v>551367</v>
      </c>
      <c r="G247" s="74">
        <v>1000</v>
      </c>
      <c r="H247" s="135">
        <v>43004.526562500003</v>
      </c>
      <c r="I247" s="74" t="s">
        <v>21339</v>
      </c>
      <c r="J247" s="74" t="s">
        <v>21340</v>
      </c>
      <c r="K247" s="74" t="s">
        <v>13881</v>
      </c>
      <c r="L247" s="74">
        <v>553421</v>
      </c>
      <c r="M247" s="74" t="s">
        <v>21341</v>
      </c>
      <c r="N247" s="74">
        <v>1</v>
      </c>
      <c r="O247" s="74" t="s">
        <v>21342</v>
      </c>
      <c r="P247" s="74" t="s">
        <v>21343</v>
      </c>
      <c r="Q247" s="74">
        <v>0</v>
      </c>
      <c r="R247" s="74" t="s">
        <v>148</v>
      </c>
      <c r="S247" s="74" t="s">
        <v>21338</v>
      </c>
      <c r="T247" s="74" t="s">
        <v>402</v>
      </c>
      <c r="U247" s="74">
        <v>0</v>
      </c>
      <c r="V247" s="74">
        <v>0</v>
      </c>
    </row>
    <row r="248" spans="3:22" x14ac:dyDescent="0.25">
      <c r="C248" s="74" t="s">
        <v>533</v>
      </c>
      <c r="D248" s="74" t="s">
        <v>148</v>
      </c>
      <c r="E248" s="74" t="s">
        <v>21338</v>
      </c>
      <c r="F248" s="74">
        <v>627566</v>
      </c>
      <c r="G248" s="74">
        <v>3</v>
      </c>
      <c r="H248" s="135">
        <v>43004.521215277775</v>
      </c>
      <c r="I248" s="74" t="s">
        <v>21354</v>
      </c>
      <c r="J248" s="74" t="s">
        <v>21355</v>
      </c>
      <c r="K248" s="74" t="s">
        <v>16339</v>
      </c>
      <c r="L248" s="74">
        <v>553724</v>
      </c>
      <c r="M248" s="74" t="s">
        <v>21341</v>
      </c>
      <c r="N248" s="74">
        <v>1</v>
      </c>
      <c r="O248" s="74" t="s">
        <v>21342</v>
      </c>
      <c r="P248" s="74" t="s">
        <v>21345</v>
      </c>
      <c r="R248" s="74" t="s">
        <v>148</v>
      </c>
      <c r="S248" s="74" t="s">
        <v>21338</v>
      </c>
      <c r="T248" s="74" t="s">
        <v>402</v>
      </c>
      <c r="U248" s="74">
        <v>0</v>
      </c>
      <c r="V248" s="74">
        <v>0</v>
      </c>
    </row>
    <row r="249" spans="3:22" x14ac:dyDescent="0.25">
      <c r="C249" s="74" t="s">
        <v>533</v>
      </c>
      <c r="D249" s="74" t="s">
        <v>148</v>
      </c>
      <c r="E249" s="74" t="s">
        <v>21338</v>
      </c>
      <c r="F249" s="74">
        <v>627566</v>
      </c>
      <c r="G249" s="74">
        <v>3</v>
      </c>
      <c r="H249" s="135">
        <v>43004.520775462966</v>
      </c>
      <c r="I249" s="74" t="s">
        <v>21339</v>
      </c>
      <c r="J249" s="74" t="s">
        <v>21360</v>
      </c>
      <c r="K249" s="74" t="s">
        <v>16339</v>
      </c>
      <c r="L249" s="74">
        <v>553724</v>
      </c>
      <c r="M249" s="74" t="s">
        <v>21341</v>
      </c>
      <c r="N249" s="74">
        <v>1</v>
      </c>
      <c r="O249" s="74" t="s">
        <v>21359</v>
      </c>
      <c r="P249" s="74" t="s">
        <v>21343</v>
      </c>
      <c r="Q249" s="74" t="s">
        <v>21395</v>
      </c>
      <c r="R249" s="74" t="s">
        <v>148</v>
      </c>
      <c r="S249" s="74" t="s">
        <v>21338</v>
      </c>
      <c r="T249" s="74" t="s">
        <v>402</v>
      </c>
      <c r="U249" s="74">
        <v>0</v>
      </c>
      <c r="V249" s="74">
        <v>0</v>
      </c>
    </row>
    <row r="250" spans="3:22" x14ac:dyDescent="0.25">
      <c r="C250" s="74" t="s">
        <v>533</v>
      </c>
      <c r="D250" s="74" t="s">
        <v>148</v>
      </c>
      <c r="E250" s="74" t="s">
        <v>21338</v>
      </c>
      <c r="F250" s="74">
        <v>627566</v>
      </c>
      <c r="G250" s="74">
        <v>3</v>
      </c>
      <c r="H250" s="135">
        <v>43004.520775462966</v>
      </c>
      <c r="I250" s="74" t="s">
        <v>21339</v>
      </c>
      <c r="J250" s="74" t="s">
        <v>21360</v>
      </c>
      <c r="K250" s="74" t="s">
        <v>16339</v>
      </c>
      <c r="L250" s="74">
        <v>553724</v>
      </c>
      <c r="M250" s="74" t="s">
        <v>21341</v>
      </c>
      <c r="N250" s="74">
        <v>1</v>
      </c>
      <c r="O250" s="74" t="s">
        <v>21359</v>
      </c>
      <c r="P250" s="74" t="s">
        <v>21343</v>
      </c>
      <c r="Q250" s="74" t="s">
        <v>21395</v>
      </c>
      <c r="R250" s="74" t="s">
        <v>148</v>
      </c>
      <c r="S250" s="74" t="s">
        <v>21338</v>
      </c>
      <c r="T250" s="74" t="s">
        <v>402</v>
      </c>
      <c r="U250" s="74">
        <v>0</v>
      </c>
      <c r="V250" s="74">
        <v>0</v>
      </c>
    </row>
    <row r="251" spans="3:22" x14ac:dyDescent="0.25">
      <c r="C251" s="74" t="s">
        <v>18795</v>
      </c>
      <c r="D251" s="74" t="s">
        <v>148</v>
      </c>
      <c r="E251" s="74" t="s">
        <v>21338</v>
      </c>
      <c r="F251" s="74">
        <v>551367</v>
      </c>
      <c r="G251" s="74">
        <v>1000</v>
      </c>
      <c r="H251" s="135">
        <v>43004.515694444446</v>
      </c>
      <c r="I251" s="74" t="s">
        <v>21339</v>
      </c>
      <c r="J251" s="74" t="s">
        <v>21340</v>
      </c>
      <c r="K251" s="74" t="s">
        <v>21436</v>
      </c>
      <c r="L251" s="74">
        <v>560257</v>
      </c>
      <c r="M251" s="74" t="s">
        <v>21341</v>
      </c>
      <c r="N251" s="74">
        <v>1</v>
      </c>
      <c r="O251" s="74" t="s">
        <v>21342</v>
      </c>
      <c r="P251" s="74" t="s">
        <v>21343</v>
      </c>
      <c r="Q251" s="74">
        <v>0</v>
      </c>
      <c r="R251" s="74" t="s">
        <v>148</v>
      </c>
      <c r="S251" s="74" t="s">
        <v>21338</v>
      </c>
      <c r="T251" s="74" t="s">
        <v>402</v>
      </c>
      <c r="U251" s="74">
        <v>0</v>
      </c>
      <c r="V251" s="74">
        <v>0</v>
      </c>
    </row>
    <row r="252" spans="3:22" x14ac:dyDescent="0.25">
      <c r="C252" s="74" t="s">
        <v>18795</v>
      </c>
      <c r="D252" s="74" t="s">
        <v>148</v>
      </c>
      <c r="E252" s="74" t="s">
        <v>21338</v>
      </c>
      <c r="F252" s="74">
        <v>551367</v>
      </c>
      <c r="G252" s="74">
        <v>1000</v>
      </c>
      <c r="H252" s="135">
        <v>43004.515694444446</v>
      </c>
      <c r="I252" s="74" t="s">
        <v>21339</v>
      </c>
      <c r="J252" s="74" t="s">
        <v>21340</v>
      </c>
      <c r="K252" s="74" t="s">
        <v>21436</v>
      </c>
      <c r="L252" s="74">
        <v>560257</v>
      </c>
      <c r="M252" s="74" t="s">
        <v>21341</v>
      </c>
      <c r="N252" s="74">
        <v>1</v>
      </c>
      <c r="O252" s="74" t="s">
        <v>21342</v>
      </c>
      <c r="P252" s="74" t="s">
        <v>21343</v>
      </c>
      <c r="Q252" s="74">
        <v>0</v>
      </c>
      <c r="R252" s="74" t="s">
        <v>148</v>
      </c>
      <c r="S252" s="74" t="s">
        <v>21338</v>
      </c>
      <c r="T252" s="74" t="s">
        <v>402</v>
      </c>
      <c r="U252" s="74">
        <v>0</v>
      </c>
      <c r="V252" s="74">
        <v>0</v>
      </c>
    </row>
    <row r="253" spans="3:22" x14ac:dyDescent="0.25">
      <c r="C253" s="74" t="s">
        <v>21347</v>
      </c>
      <c r="D253" s="74" t="s">
        <v>148</v>
      </c>
      <c r="E253" s="74" t="s">
        <v>21338</v>
      </c>
      <c r="F253" s="74">
        <v>637976</v>
      </c>
      <c r="G253" s="74">
        <v>1</v>
      </c>
      <c r="H253" s="135">
        <v>43004.502002314817</v>
      </c>
      <c r="I253" s="74" t="s">
        <v>21348</v>
      </c>
      <c r="J253" s="74" t="s">
        <v>21349</v>
      </c>
      <c r="K253" s="74" t="s">
        <v>21347</v>
      </c>
      <c r="L253" s="74">
        <v>637976</v>
      </c>
      <c r="M253" s="74" t="s">
        <v>21341</v>
      </c>
      <c r="N253" s="74">
        <v>0</v>
      </c>
      <c r="O253" s="74" t="s">
        <v>21350</v>
      </c>
      <c r="P253" s="74" t="s">
        <v>21343</v>
      </c>
      <c r="Q253" s="74">
        <v>0</v>
      </c>
      <c r="R253" s="74" t="s">
        <v>148</v>
      </c>
      <c r="S253" s="74" t="s">
        <v>21338</v>
      </c>
      <c r="T253" s="74" t="s">
        <v>402</v>
      </c>
      <c r="U253" s="74">
        <v>0</v>
      </c>
      <c r="V253" s="74">
        <v>0</v>
      </c>
    </row>
    <row r="254" spans="3:22" x14ac:dyDescent="0.25">
      <c r="C254" s="74" t="s">
        <v>21347</v>
      </c>
      <c r="D254" s="74" t="s">
        <v>148</v>
      </c>
      <c r="E254" s="74" t="s">
        <v>21338</v>
      </c>
      <c r="F254" s="74">
        <v>637976</v>
      </c>
      <c r="G254" s="74">
        <v>1</v>
      </c>
      <c r="H254" s="135">
        <v>43004.502002314817</v>
      </c>
      <c r="I254" s="74" t="s">
        <v>244</v>
      </c>
      <c r="J254" s="74" t="s">
        <v>21349</v>
      </c>
      <c r="K254" s="74" t="s">
        <v>21347</v>
      </c>
      <c r="L254" s="74">
        <v>637976</v>
      </c>
      <c r="M254" s="74" t="s">
        <v>21341</v>
      </c>
      <c r="N254" s="74">
        <v>0</v>
      </c>
      <c r="O254" s="74" t="s">
        <v>21350</v>
      </c>
      <c r="P254" s="74" t="s">
        <v>21343</v>
      </c>
      <c r="Q254" s="74">
        <v>0</v>
      </c>
      <c r="R254" s="74" t="s">
        <v>148</v>
      </c>
      <c r="S254" s="74" t="s">
        <v>21338</v>
      </c>
      <c r="T254" s="74" t="s">
        <v>402</v>
      </c>
      <c r="U254" s="74">
        <v>0</v>
      </c>
      <c r="V254" s="74">
        <v>0</v>
      </c>
    </row>
    <row r="255" spans="3:22" x14ac:dyDescent="0.25">
      <c r="C255" s="74" t="s">
        <v>18795</v>
      </c>
      <c r="D255" s="74" t="s">
        <v>148</v>
      </c>
      <c r="E255" s="74" t="s">
        <v>21338</v>
      </c>
      <c r="F255" s="74">
        <v>551367</v>
      </c>
      <c r="G255" s="74">
        <v>1000</v>
      </c>
      <c r="H255" s="135">
        <v>43004.454328703701</v>
      </c>
      <c r="I255" s="74" t="s">
        <v>21339</v>
      </c>
      <c r="J255" s="74" t="s">
        <v>21340</v>
      </c>
      <c r="K255" s="74" t="s">
        <v>20442</v>
      </c>
      <c r="L255" s="74">
        <v>554222</v>
      </c>
      <c r="M255" s="74" t="s">
        <v>21341</v>
      </c>
      <c r="N255" s="74">
        <v>1</v>
      </c>
      <c r="O255" s="74" t="s">
        <v>21342</v>
      </c>
      <c r="P255" s="74" t="s">
        <v>21343</v>
      </c>
      <c r="Q255" s="74">
        <v>0</v>
      </c>
      <c r="R255" s="74" t="s">
        <v>148</v>
      </c>
      <c r="S255" s="74" t="s">
        <v>21338</v>
      </c>
      <c r="T255" s="74" t="s">
        <v>402</v>
      </c>
      <c r="U255" s="74">
        <v>0</v>
      </c>
      <c r="V255" s="74">
        <v>0</v>
      </c>
    </row>
    <row r="256" spans="3:22" x14ac:dyDescent="0.25">
      <c r="C256" s="74" t="s">
        <v>18795</v>
      </c>
      <c r="D256" s="74" t="s">
        <v>148</v>
      </c>
      <c r="E256" s="74" t="s">
        <v>21338</v>
      </c>
      <c r="F256" s="74">
        <v>551367</v>
      </c>
      <c r="G256" s="74">
        <v>1000</v>
      </c>
      <c r="H256" s="135">
        <v>43004.4531712963</v>
      </c>
      <c r="I256" s="74" t="s">
        <v>21339</v>
      </c>
      <c r="J256" s="74" t="s">
        <v>21340</v>
      </c>
      <c r="K256" s="74" t="s">
        <v>20442</v>
      </c>
      <c r="L256" s="74">
        <v>554222</v>
      </c>
      <c r="M256" s="74" t="s">
        <v>21341</v>
      </c>
      <c r="N256" s="74">
        <v>1</v>
      </c>
      <c r="O256" s="74" t="s">
        <v>21342</v>
      </c>
      <c r="P256" s="74" t="s">
        <v>21343</v>
      </c>
      <c r="Q256" s="74">
        <v>0</v>
      </c>
      <c r="R256" s="74" t="s">
        <v>148</v>
      </c>
      <c r="S256" s="74" t="s">
        <v>21338</v>
      </c>
      <c r="T256" s="74" t="s">
        <v>402</v>
      </c>
      <c r="U256" s="74">
        <v>0</v>
      </c>
      <c r="V256" s="74">
        <v>0</v>
      </c>
    </row>
    <row r="257" spans="3:22" x14ac:dyDescent="0.25">
      <c r="C257" s="74" t="s">
        <v>18795</v>
      </c>
      <c r="D257" s="74" t="s">
        <v>148</v>
      </c>
      <c r="E257" s="74" t="s">
        <v>21338</v>
      </c>
      <c r="F257" s="74">
        <v>551367</v>
      </c>
      <c r="G257" s="74">
        <v>1000</v>
      </c>
      <c r="H257" s="135">
        <v>43004.4528125</v>
      </c>
      <c r="I257" s="74" t="s">
        <v>21339</v>
      </c>
      <c r="J257" s="74" t="s">
        <v>21340</v>
      </c>
      <c r="K257" s="74" t="s">
        <v>5190</v>
      </c>
      <c r="L257" s="74">
        <v>552291</v>
      </c>
      <c r="M257" s="74" t="s">
        <v>21341</v>
      </c>
      <c r="N257" s="74">
        <v>1</v>
      </c>
      <c r="O257" s="74" t="s">
        <v>21342</v>
      </c>
      <c r="P257" s="74" t="s">
        <v>21343</v>
      </c>
      <c r="Q257" s="74">
        <v>0</v>
      </c>
      <c r="R257" s="74" t="s">
        <v>148</v>
      </c>
      <c r="S257" s="74" t="s">
        <v>21338</v>
      </c>
      <c r="T257" s="74" t="s">
        <v>393</v>
      </c>
      <c r="U257" s="74">
        <v>0</v>
      </c>
      <c r="V257" s="74">
        <v>0</v>
      </c>
    </row>
    <row r="258" spans="3:22" x14ac:dyDescent="0.25">
      <c r="C258" s="74" t="s">
        <v>18795</v>
      </c>
      <c r="D258" s="74" t="s">
        <v>148</v>
      </c>
      <c r="E258" s="74" t="s">
        <v>21338</v>
      </c>
      <c r="F258" s="74">
        <v>551367</v>
      </c>
      <c r="G258" s="74">
        <v>1000</v>
      </c>
      <c r="H258" s="135">
        <v>43004.440034722225</v>
      </c>
      <c r="I258" s="74" t="s">
        <v>21339</v>
      </c>
      <c r="J258" s="74" t="s">
        <v>21340</v>
      </c>
      <c r="K258" s="74" t="s">
        <v>7455</v>
      </c>
      <c r="L258" s="74">
        <v>552589</v>
      </c>
      <c r="M258" s="74" t="s">
        <v>21341</v>
      </c>
      <c r="N258" s="74">
        <v>1</v>
      </c>
      <c r="O258" s="74" t="s">
        <v>21342</v>
      </c>
      <c r="P258" s="74" t="s">
        <v>21343</v>
      </c>
      <c r="Q258" s="74">
        <v>0</v>
      </c>
      <c r="R258" s="74" t="s">
        <v>148</v>
      </c>
      <c r="S258" s="74" t="s">
        <v>21338</v>
      </c>
      <c r="T258" s="74" t="s">
        <v>402</v>
      </c>
      <c r="U258" s="74">
        <v>0</v>
      </c>
      <c r="V258" s="74">
        <v>0</v>
      </c>
    </row>
    <row r="259" spans="3:22" x14ac:dyDescent="0.25">
      <c r="C259" s="74" t="s">
        <v>18795</v>
      </c>
      <c r="D259" s="74" t="s">
        <v>148</v>
      </c>
      <c r="E259" s="74" t="s">
        <v>21338</v>
      </c>
      <c r="F259" s="74">
        <v>551367</v>
      </c>
      <c r="G259" s="74">
        <v>1000</v>
      </c>
      <c r="H259" s="135">
        <v>43004.439895833333</v>
      </c>
      <c r="I259" s="74" t="s">
        <v>21339</v>
      </c>
      <c r="J259" s="74" t="s">
        <v>21340</v>
      </c>
      <c r="K259" s="74" t="s">
        <v>11252</v>
      </c>
      <c r="L259" s="74">
        <v>551712</v>
      </c>
      <c r="M259" s="74" t="s">
        <v>21341</v>
      </c>
      <c r="N259" s="74">
        <v>1</v>
      </c>
      <c r="O259" s="74" t="s">
        <v>21342</v>
      </c>
      <c r="P259" s="74" t="s">
        <v>21343</v>
      </c>
      <c r="Q259" s="74">
        <v>0</v>
      </c>
      <c r="R259" s="74" t="s">
        <v>148</v>
      </c>
      <c r="S259" s="74" t="s">
        <v>21338</v>
      </c>
      <c r="T259" s="74" t="s">
        <v>402</v>
      </c>
      <c r="U259" s="74">
        <v>0</v>
      </c>
      <c r="V259" s="74">
        <v>0</v>
      </c>
    </row>
    <row r="260" spans="3:22" x14ac:dyDescent="0.25">
      <c r="C260" s="74" t="s">
        <v>21379</v>
      </c>
      <c r="D260" s="74" t="s">
        <v>148</v>
      </c>
      <c r="E260" s="74" t="s">
        <v>21338</v>
      </c>
      <c r="F260" s="74">
        <v>809833</v>
      </c>
      <c r="G260" s="74">
        <v>3</v>
      </c>
      <c r="H260" s="135">
        <v>43004.439097222225</v>
      </c>
      <c r="I260" s="74" t="s">
        <v>21354</v>
      </c>
      <c r="J260" s="74" t="s">
        <v>21355</v>
      </c>
      <c r="K260" s="74" t="s">
        <v>21413</v>
      </c>
      <c r="L260" s="74">
        <v>812709</v>
      </c>
      <c r="M260" s="74" t="s">
        <v>21341</v>
      </c>
      <c r="N260" s="74">
        <v>1</v>
      </c>
      <c r="O260" s="74" t="s">
        <v>21342</v>
      </c>
      <c r="P260" s="74" t="s">
        <v>21345</v>
      </c>
      <c r="R260" s="74" t="s">
        <v>148</v>
      </c>
      <c r="S260" s="74" t="s">
        <v>21338</v>
      </c>
      <c r="T260" s="74" t="s">
        <v>402</v>
      </c>
      <c r="U260" s="74">
        <v>0</v>
      </c>
      <c r="V260" s="74">
        <v>0</v>
      </c>
    </row>
    <row r="261" spans="3:22" x14ac:dyDescent="0.25">
      <c r="C261" s="74" t="s">
        <v>18795</v>
      </c>
      <c r="D261" s="74" t="s">
        <v>148</v>
      </c>
      <c r="E261" s="74" t="s">
        <v>21338</v>
      </c>
      <c r="F261" s="74">
        <v>551367</v>
      </c>
      <c r="G261" s="74">
        <v>1000</v>
      </c>
      <c r="H261" s="135">
        <v>43004.409872685188</v>
      </c>
      <c r="I261" s="74" t="s">
        <v>21339</v>
      </c>
      <c r="J261" s="74" t="s">
        <v>21340</v>
      </c>
      <c r="K261" s="74" t="s">
        <v>14743</v>
      </c>
      <c r="L261" s="74">
        <v>553547</v>
      </c>
      <c r="M261" s="74" t="s">
        <v>21341</v>
      </c>
      <c r="N261" s="74">
        <v>1</v>
      </c>
      <c r="O261" s="74" t="s">
        <v>21342</v>
      </c>
      <c r="P261" s="74" t="s">
        <v>21343</v>
      </c>
      <c r="Q261" s="74">
        <v>0</v>
      </c>
      <c r="R261" s="74" t="s">
        <v>148</v>
      </c>
      <c r="S261" s="74" t="s">
        <v>21338</v>
      </c>
      <c r="T261" s="74" t="s">
        <v>402</v>
      </c>
      <c r="U261" s="74">
        <v>0</v>
      </c>
      <c r="V261" s="74">
        <v>0</v>
      </c>
    </row>
    <row r="262" spans="3:22" x14ac:dyDescent="0.25">
      <c r="C262" s="74" t="s">
        <v>18795</v>
      </c>
      <c r="D262" s="74" t="s">
        <v>148</v>
      </c>
      <c r="E262" s="74" t="s">
        <v>21338</v>
      </c>
      <c r="F262" s="74">
        <v>551367</v>
      </c>
      <c r="G262" s="74">
        <v>1000</v>
      </c>
      <c r="H262" s="135">
        <v>43004.385844907411</v>
      </c>
      <c r="I262" s="74" t="s">
        <v>21339</v>
      </c>
      <c r="J262" s="74" t="s">
        <v>21340</v>
      </c>
      <c r="K262" s="74" t="s">
        <v>4628</v>
      </c>
      <c r="L262" s="74">
        <v>552222</v>
      </c>
      <c r="M262" s="74" t="s">
        <v>21341</v>
      </c>
      <c r="N262" s="74">
        <v>1</v>
      </c>
      <c r="O262" s="74" t="s">
        <v>21342</v>
      </c>
      <c r="P262" s="74" t="s">
        <v>21343</v>
      </c>
      <c r="Q262" s="74">
        <v>0</v>
      </c>
      <c r="R262" s="74" t="s">
        <v>148</v>
      </c>
      <c r="S262" s="74" t="s">
        <v>21338</v>
      </c>
      <c r="T262" s="74" t="s">
        <v>402</v>
      </c>
      <c r="U262" s="74">
        <v>0</v>
      </c>
      <c r="V262" s="74">
        <v>0</v>
      </c>
    </row>
    <row r="263" spans="3:22" x14ac:dyDescent="0.25">
      <c r="C263" s="74" t="s">
        <v>21390</v>
      </c>
      <c r="D263" s="74" t="s">
        <v>148</v>
      </c>
      <c r="E263" s="74" t="s">
        <v>21338</v>
      </c>
      <c r="F263" s="74">
        <v>560864</v>
      </c>
      <c r="G263" s="74">
        <v>3</v>
      </c>
      <c r="H263" s="135">
        <v>43004.385787037034</v>
      </c>
      <c r="I263" s="74" t="s">
        <v>21354</v>
      </c>
      <c r="J263" s="74" t="s">
        <v>21355</v>
      </c>
      <c r="K263" s="74" t="s">
        <v>21437</v>
      </c>
      <c r="L263" s="74">
        <v>825883</v>
      </c>
      <c r="M263" s="74" t="s">
        <v>21341</v>
      </c>
      <c r="N263" s="74">
        <v>1</v>
      </c>
      <c r="O263" s="74" t="s">
        <v>21342</v>
      </c>
      <c r="P263" s="74" t="s">
        <v>21345</v>
      </c>
      <c r="R263" s="74" t="s">
        <v>148</v>
      </c>
      <c r="S263" s="74" t="s">
        <v>21338</v>
      </c>
      <c r="T263" s="74" t="s">
        <v>402</v>
      </c>
      <c r="U263" s="74">
        <v>0</v>
      </c>
      <c r="V263" s="74">
        <v>0</v>
      </c>
    </row>
    <row r="264" spans="3:22" x14ac:dyDescent="0.25">
      <c r="C264" s="74" t="s">
        <v>18795</v>
      </c>
      <c r="D264" s="74" t="s">
        <v>148</v>
      </c>
      <c r="E264" s="74" t="s">
        <v>21338</v>
      </c>
      <c r="F264" s="74">
        <v>551367</v>
      </c>
      <c r="G264" s="74">
        <v>1000</v>
      </c>
      <c r="H264" s="135">
        <v>43004.383240740739</v>
      </c>
      <c r="I264" s="74" t="s">
        <v>21339</v>
      </c>
      <c r="J264" s="74" t="s">
        <v>21340</v>
      </c>
      <c r="K264" s="74" t="s">
        <v>2947</v>
      </c>
      <c r="L264" s="74">
        <v>552035</v>
      </c>
      <c r="M264" s="74" t="s">
        <v>21341</v>
      </c>
      <c r="N264" s="74">
        <v>1</v>
      </c>
      <c r="O264" s="74" t="s">
        <v>21342</v>
      </c>
      <c r="P264" s="74" t="s">
        <v>21343</v>
      </c>
      <c r="Q264" s="74">
        <v>0</v>
      </c>
      <c r="R264" s="74" t="s">
        <v>148</v>
      </c>
      <c r="S264" s="74" t="s">
        <v>21338</v>
      </c>
      <c r="T264" s="74" t="s">
        <v>402</v>
      </c>
      <c r="U264" s="74">
        <v>0</v>
      </c>
      <c r="V264" s="74">
        <v>0</v>
      </c>
    </row>
    <row r="265" spans="3:22" x14ac:dyDescent="0.25">
      <c r="C265" s="74" t="s">
        <v>18795</v>
      </c>
      <c r="D265" s="74" t="s">
        <v>148</v>
      </c>
      <c r="E265" s="74" t="s">
        <v>21338</v>
      </c>
      <c r="F265" s="74">
        <v>551367</v>
      </c>
      <c r="G265" s="74">
        <v>1000</v>
      </c>
      <c r="H265" s="135">
        <v>43004.376076388886</v>
      </c>
      <c r="I265" s="74" t="s">
        <v>21339</v>
      </c>
      <c r="J265" s="74" t="s">
        <v>21340</v>
      </c>
      <c r="K265" s="74" t="s">
        <v>15872</v>
      </c>
      <c r="L265" s="74">
        <v>569493</v>
      </c>
      <c r="M265" s="74" t="s">
        <v>21341</v>
      </c>
      <c r="N265" s="74">
        <v>1</v>
      </c>
      <c r="O265" s="74" t="s">
        <v>21342</v>
      </c>
      <c r="P265" s="74" t="s">
        <v>21343</v>
      </c>
      <c r="Q265" s="74">
        <v>0</v>
      </c>
      <c r="R265" s="74" t="s">
        <v>148</v>
      </c>
      <c r="S265" s="74" t="s">
        <v>21338</v>
      </c>
      <c r="T265" s="74" t="s">
        <v>402</v>
      </c>
      <c r="U265" s="74">
        <v>0</v>
      </c>
      <c r="V265" s="74">
        <v>0</v>
      </c>
    </row>
    <row r="266" spans="3:22" x14ac:dyDescent="0.25">
      <c r="C266" s="74" t="s">
        <v>18795</v>
      </c>
      <c r="D266" s="74" t="s">
        <v>148</v>
      </c>
      <c r="E266" s="74" t="s">
        <v>21338</v>
      </c>
      <c r="F266" s="74">
        <v>551367</v>
      </c>
      <c r="G266" s="74">
        <v>1000</v>
      </c>
      <c r="H266" s="135">
        <v>43004.375185185185</v>
      </c>
      <c r="I266" s="74" t="s">
        <v>21339</v>
      </c>
      <c r="J266" s="74" t="s">
        <v>21340</v>
      </c>
      <c r="K266" s="74" t="s">
        <v>15872</v>
      </c>
      <c r="L266" s="74">
        <v>569493</v>
      </c>
      <c r="M266" s="74" t="s">
        <v>21341</v>
      </c>
      <c r="N266" s="74">
        <v>1</v>
      </c>
      <c r="O266" s="74" t="s">
        <v>21342</v>
      </c>
      <c r="P266" s="74" t="s">
        <v>21343</v>
      </c>
      <c r="Q266" s="74">
        <v>0</v>
      </c>
      <c r="R266" s="74" t="s">
        <v>148</v>
      </c>
      <c r="S266" s="74" t="s">
        <v>21338</v>
      </c>
      <c r="T266" s="74" t="s">
        <v>402</v>
      </c>
      <c r="U266" s="74">
        <v>0</v>
      </c>
      <c r="V266" s="74">
        <v>0</v>
      </c>
    </row>
    <row r="267" spans="3:22" x14ac:dyDescent="0.25">
      <c r="C267" s="74" t="s">
        <v>18795</v>
      </c>
      <c r="D267" s="74" t="s">
        <v>148</v>
      </c>
      <c r="E267" s="74" t="s">
        <v>21338</v>
      </c>
      <c r="F267" s="74">
        <v>551367</v>
      </c>
      <c r="G267" s="74">
        <v>1000</v>
      </c>
      <c r="H267" s="135">
        <v>43004.358287037037</v>
      </c>
      <c r="I267" s="74" t="s">
        <v>21339</v>
      </c>
      <c r="J267" s="74" t="s">
        <v>21340</v>
      </c>
      <c r="K267" s="74" t="s">
        <v>3737</v>
      </c>
      <c r="L267" s="74">
        <v>552128</v>
      </c>
      <c r="M267" s="74" t="s">
        <v>21341</v>
      </c>
      <c r="N267" s="74">
        <v>1</v>
      </c>
      <c r="O267" s="74" t="s">
        <v>21342</v>
      </c>
      <c r="P267" s="74" t="s">
        <v>21343</v>
      </c>
      <c r="Q267" s="74">
        <v>0</v>
      </c>
      <c r="R267" s="74" t="s">
        <v>148</v>
      </c>
      <c r="S267" s="74" t="s">
        <v>21338</v>
      </c>
      <c r="T267" s="74" t="s">
        <v>402</v>
      </c>
      <c r="U267" s="74">
        <v>0</v>
      </c>
      <c r="V267" s="74">
        <v>0</v>
      </c>
    </row>
    <row r="268" spans="3:22" x14ac:dyDescent="0.25">
      <c r="C268" s="74" t="s">
        <v>18795</v>
      </c>
      <c r="D268" s="74" t="s">
        <v>148</v>
      </c>
      <c r="E268" s="74" t="s">
        <v>21338</v>
      </c>
      <c r="F268" s="74">
        <v>551367</v>
      </c>
      <c r="G268" s="74">
        <v>1000</v>
      </c>
      <c r="H268" s="135">
        <v>43004.351724537039</v>
      </c>
      <c r="I268" s="74" t="s">
        <v>21339</v>
      </c>
      <c r="J268" s="74" t="s">
        <v>21340</v>
      </c>
      <c r="K268" s="74" t="s">
        <v>21039</v>
      </c>
      <c r="L268" s="74">
        <v>554303</v>
      </c>
      <c r="M268" s="74" t="s">
        <v>21341</v>
      </c>
      <c r="N268" s="74">
        <v>1</v>
      </c>
      <c r="O268" s="74" t="s">
        <v>21342</v>
      </c>
      <c r="P268" s="74" t="s">
        <v>21343</v>
      </c>
      <c r="Q268" s="74">
        <v>0</v>
      </c>
      <c r="R268" s="74" t="s">
        <v>148</v>
      </c>
      <c r="S268" s="74" t="s">
        <v>21338</v>
      </c>
      <c r="T268" s="74" t="s">
        <v>402</v>
      </c>
      <c r="U268" s="74">
        <v>0</v>
      </c>
      <c r="V268" s="74">
        <v>0</v>
      </c>
    </row>
    <row r="269" spans="3:22" x14ac:dyDescent="0.25">
      <c r="C269" s="74" t="s">
        <v>21386</v>
      </c>
      <c r="D269" s="74" t="s">
        <v>148</v>
      </c>
      <c r="E269" s="74" t="s">
        <v>21338</v>
      </c>
      <c r="F269" s="74">
        <v>674396</v>
      </c>
      <c r="G269" s="74">
        <v>3</v>
      </c>
      <c r="H269" s="135">
        <v>43004.347592592596</v>
      </c>
      <c r="I269" s="74" t="s">
        <v>21339</v>
      </c>
      <c r="J269" s="74" t="s">
        <v>21362</v>
      </c>
      <c r="K269" s="74" t="s">
        <v>1821</v>
      </c>
      <c r="L269" s="74">
        <v>829171</v>
      </c>
      <c r="M269" s="74" t="s">
        <v>21341</v>
      </c>
      <c r="N269" s="74">
        <v>1</v>
      </c>
      <c r="O269" s="74" t="s">
        <v>21342</v>
      </c>
      <c r="P269" s="74" t="s">
        <v>21343</v>
      </c>
      <c r="Q269" s="74" t="s">
        <v>21363</v>
      </c>
      <c r="R269" s="74" t="s">
        <v>148</v>
      </c>
      <c r="S269" s="74" t="s">
        <v>21338</v>
      </c>
      <c r="T269" s="74" t="s">
        <v>393</v>
      </c>
      <c r="U269" s="74">
        <v>0</v>
      </c>
      <c r="V269" s="74">
        <v>0</v>
      </c>
    </row>
    <row r="270" spans="3:22" x14ac:dyDescent="0.25">
      <c r="C270" s="74" t="s">
        <v>21386</v>
      </c>
      <c r="D270" s="74" t="s">
        <v>148</v>
      </c>
      <c r="E270" s="74" t="s">
        <v>21338</v>
      </c>
      <c r="F270" s="74">
        <v>674396</v>
      </c>
      <c r="G270" s="74">
        <v>3</v>
      </c>
      <c r="H270" s="135">
        <v>43004.344583333332</v>
      </c>
      <c r="I270" s="74" t="s">
        <v>21339</v>
      </c>
      <c r="J270" s="74" t="s">
        <v>21364</v>
      </c>
      <c r="K270" s="74" t="s">
        <v>1821</v>
      </c>
      <c r="L270" s="74">
        <v>829171</v>
      </c>
      <c r="M270" s="74" t="s">
        <v>21341</v>
      </c>
      <c r="N270" s="74">
        <v>1</v>
      </c>
      <c r="O270" s="74" t="s">
        <v>21342</v>
      </c>
      <c r="P270" s="74" t="s">
        <v>21343</v>
      </c>
      <c r="Q270" s="74">
        <v>0</v>
      </c>
      <c r="R270" s="74" t="s">
        <v>148</v>
      </c>
      <c r="S270" s="74" t="s">
        <v>21338</v>
      </c>
      <c r="T270" s="74" t="s">
        <v>402</v>
      </c>
      <c r="U270" s="74">
        <v>0</v>
      </c>
      <c r="V270" s="74">
        <v>0</v>
      </c>
    </row>
    <row r="271" spans="3:22" x14ac:dyDescent="0.25">
      <c r="C271" s="74" t="s">
        <v>21386</v>
      </c>
      <c r="D271" s="74" t="s">
        <v>148</v>
      </c>
      <c r="E271" s="74" t="s">
        <v>21338</v>
      </c>
      <c r="F271" s="74">
        <v>674396</v>
      </c>
      <c r="G271" s="74">
        <v>3</v>
      </c>
      <c r="H271" s="135">
        <v>43004.344560185185</v>
      </c>
      <c r="I271" s="74" t="s">
        <v>21365</v>
      </c>
      <c r="J271" s="74" t="s">
        <v>21366</v>
      </c>
      <c r="K271" s="74" t="s">
        <v>21403</v>
      </c>
      <c r="L271" s="74">
        <v>561483</v>
      </c>
      <c r="M271" s="74" t="s">
        <v>21368</v>
      </c>
      <c r="N271" s="74">
        <v>1</v>
      </c>
      <c r="O271" s="74" t="s">
        <v>21369</v>
      </c>
      <c r="P271" s="74" t="s">
        <v>21343</v>
      </c>
      <c r="Q271" s="74" t="s">
        <v>21438</v>
      </c>
      <c r="R271" s="74" t="s">
        <v>148</v>
      </c>
      <c r="S271" s="74" t="s">
        <v>21338</v>
      </c>
      <c r="T271" s="74" t="s">
        <v>21371</v>
      </c>
      <c r="U271" s="74">
        <v>0</v>
      </c>
      <c r="V271" s="74">
        <v>0</v>
      </c>
    </row>
    <row r="272" spans="3:22" x14ac:dyDescent="0.25">
      <c r="C272" s="74" t="s">
        <v>21386</v>
      </c>
      <c r="D272" s="74" t="s">
        <v>148</v>
      </c>
      <c r="E272" s="74" t="s">
        <v>21338</v>
      </c>
      <c r="F272" s="74">
        <v>674396</v>
      </c>
      <c r="G272" s="74">
        <v>3</v>
      </c>
      <c r="H272" s="135">
        <v>43004.344548611109</v>
      </c>
      <c r="I272" s="74" t="s">
        <v>21365</v>
      </c>
      <c r="J272" s="74" t="s">
        <v>21366</v>
      </c>
      <c r="K272" s="74" t="s">
        <v>21367</v>
      </c>
      <c r="L272" s="74">
        <v>561482</v>
      </c>
      <c r="M272" s="74" t="s">
        <v>21368</v>
      </c>
      <c r="N272" s="74">
        <v>1</v>
      </c>
      <c r="O272" s="74" t="s">
        <v>21369</v>
      </c>
      <c r="P272" s="74" t="s">
        <v>21343</v>
      </c>
      <c r="Q272" s="74" t="s">
        <v>21438</v>
      </c>
      <c r="R272" s="74" t="s">
        <v>148</v>
      </c>
      <c r="S272" s="74" t="s">
        <v>21338</v>
      </c>
      <c r="T272" s="74" t="s">
        <v>21371</v>
      </c>
      <c r="U272" s="74">
        <v>0</v>
      </c>
      <c r="V272" s="74">
        <v>0</v>
      </c>
    </row>
    <row r="273" spans="3:22" x14ac:dyDescent="0.25">
      <c r="C273" s="74" t="s">
        <v>21386</v>
      </c>
      <c r="D273" s="74" t="s">
        <v>148</v>
      </c>
      <c r="E273" s="74" t="s">
        <v>21338</v>
      </c>
      <c r="F273" s="74">
        <v>674396</v>
      </c>
      <c r="G273" s="74">
        <v>3</v>
      </c>
      <c r="H273" s="135">
        <v>43004.34447916667</v>
      </c>
      <c r="I273" s="74" t="s">
        <v>21365</v>
      </c>
      <c r="J273" s="74" t="s">
        <v>21366</v>
      </c>
      <c r="K273" s="74" t="s">
        <v>21381</v>
      </c>
      <c r="L273" s="74">
        <v>555660</v>
      </c>
      <c r="M273" s="74" t="s">
        <v>21368</v>
      </c>
      <c r="N273" s="74">
        <v>1</v>
      </c>
      <c r="O273" s="74" t="s">
        <v>21369</v>
      </c>
      <c r="P273" s="74" t="s">
        <v>21343</v>
      </c>
      <c r="Q273" s="74" t="s">
        <v>21438</v>
      </c>
      <c r="R273" s="74" t="s">
        <v>148</v>
      </c>
      <c r="S273" s="74" t="s">
        <v>21338</v>
      </c>
      <c r="T273" s="74" t="s">
        <v>21371</v>
      </c>
      <c r="U273" s="74">
        <v>0</v>
      </c>
      <c r="V273" s="74">
        <v>0</v>
      </c>
    </row>
    <row r="274" spans="3:22" x14ac:dyDescent="0.25">
      <c r="C274" s="74" t="s">
        <v>21386</v>
      </c>
      <c r="D274" s="74" t="s">
        <v>148</v>
      </c>
      <c r="E274" s="74" t="s">
        <v>21338</v>
      </c>
      <c r="F274" s="74">
        <v>674396</v>
      </c>
      <c r="G274" s="74">
        <v>3</v>
      </c>
      <c r="H274" s="135">
        <v>43004.344340277778</v>
      </c>
      <c r="I274" s="74" t="s">
        <v>21339</v>
      </c>
      <c r="J274" s="74" t="s">
        <v>21364</v>
      </c>
      <c r="K274" s="74" t="s">
        <v>1821</v>
      </c>
      <c r="L274" s="74">
        <v>829171</v>
      </c>
      <c r="M274" s="74" t="s">
        <v>21341</v>
      </c>
      <c r="N274" s="74">
        <v>1</v>
      </c>
      <c r="O274" s="74" t="s">
        <v>21342</v>
      </c>
      <c r="P274" s="74" t="s">
        <v>21343</v>
      </c>
      <c r="Q274" s="74">
        <v>0</v>
      </c>
      <c r="R274" s="74" t="s">
        <v>148</v>
      </c>
      <c r="S274" s="74" t="s">
        <v>21338</v>
      </c>
      <c r="T274" s="74" t="s">
        <v>402</v>
      </c>
      <c r="U274" s="74">
        <v>0</v>
      </c>
      <c r="V274" s="74">
        <v>0</v>
      </c>
    </row>
    <row r="275" spans="3:22" x14ac:dyDescent="0.25">
      <c r="C275" s="74" t="s">
        <v>21386</v>
      </c>
      <c r="D275" s="74" t="s">
        <v>148</v>
      </c>
      <c r="E275" s="74" t="s">
        <v>21338</v>
      </c>
      <c r="F275" s="74">
        <v>674396</v>
      </c>
      <c r="G275" s="74">
        <v>3</v>
      </c>
      <c r="H275" s="135">
        <v>43004.344293981485</v>
      </c>
      <c r="I275" s="74" t="s">
        <v>21339</v>
      </c>
      <c r="J275" s="74" t="s">
        <v>21364</v>
      </c>
      <c r="K275" s="74" t="s">
        <v>1821</v>
      </c>
      <c r="L275" s="74">
        <v>829171</v>
      </c>
      <c r="M275" s="74" t="s">
        <v>21341</v>
      </c>
      <c r="N275" s="74">
        <v>1</v>
      </c>
      <c r="O275" s="74" t="s">
        <v>21342</v>
      </c>
      <c r="P275" s="74" t="s">
        <v>21343</v>
      </c>
      <c r="Q275" s="74">
        <v>0</v>
      </c>
      <c r="R275" s="74" t="s">
        <v>148</v>
      </c>
      <c r="S275" s="74" t="s">
        <v>21338</v>
      </c>
      <c r="T275" s="74" t="s">
        <v>402</v>
      </c>
      <c r="U275" s="74">
        <v>0</v>
      </c>
      <c r="V275" s="74">
        <v>0</v>
      </c>
    </row>
    <row r="276" spans="3:22" x14ac:dyDescent="0.25">
      <c r="C276" s="74" t="s">
        <v>21386</v>
      </c>
      <c r="D276" s="74" t="s">
        <v>148</v>
      </c>
      <c r="E276" s="74" t="s">
        <v>21338</v>
      </c>
      <c r="F276" s="74">
        <v>674396</v>
      </c>
      <c r="G276" s="74">
        <v>3</v>
      </c>
      <c r="H276" s="135">
        <v>43004.341365740744</v>
      </c>
      <c r="I276" s="74" t="s">
        <v>21339</v>
      </c>
      <c r="J276" s="74" t="s">
        <v>21360</v>
      </c>
      <c r="K276" s="74" t="s">
        <v>1821</v>
      </c>
      <c r="L276" s="74">
        <v>829171</v>
      </c>
      <c r="M276" s="74" t="s">
        <v>21341</v>
      </c>
      <c r="N276" s="74">
        <v>1</v>
      </c>
      <c r="O276" s="74" t="s">
        <v>21342</v>
      </c>
      <c r="P276" s="74" t="s">
        <v>21343</v>
      </c>
      <c r="Q276" s="74" t="s">
        <v>21361</v>
      </c>
      <c r="R276" s="74" t="s">
        <v>148</v>
      </c>
      <c r="S276" s="74" t="s">
        <v>21338</v>
      </c>
      <c r="T276" s="74" t="s">
        <v>402</v>
      </c>
      <c r="U276" s="74">
        <v>0</v>
      </c>
      <c r="V276" s="74">
        <v>0</v>
      </c>
    </row>
    <row r="277" spans="3:22" x14ac:dyDescent="0.25">
      <c r="C277" s="74" t="s">
        <v>21386</v>
      </c>
      <c r="D277" s="74" t="s">
        <v>148</v>
      </c>
      <c r="E277" s="74" t="s">
        <v>21338</v>
      </c>
      <c r="F277" s="74">
        <v>674396</v>
      </c>
      <c r="G277" s="74">
        <v>3</v>
      </c>
      <c r="H277" s="135">
        <v>43004.340405092589</v>
      </c>
      <c r="I277" s="74" t="s">
        <v>21339</v>
      </c>
      <c r="J277" s="74" t="s">
        <v>21360</v>
      </c>
      <c r="K277" s="74" t="s">
        <v>1821</v>
      </c>
      <c r="L277" s="74">
        <v>829171</v>
      </c>
      <c r="M277" s="74" t="s">
        <v>21341</v>
      </c>
      <c r="N277" s="74">
        <v>1</v>
      </c>
      <c r="O277" s="74" t="s">
        <v>21342</v>
      </c>
      <c r="P277" s="74" t="s">
        <v>21343</v>
      </c>
      <c r="Q277" s="74" t="s">
        <v>21361</v>
      </c>
      <c r="R277" s="74" t="s">
        <v>148</v>
      </c>
      <c r="S277" s="74" t="s">
        <v>21338</v>
      </c>
      <c r="T277" s="74" t="s">
        <v>402</v>
      </c>
      <c r="U277" s="74">
        <v>0</v>
      </c>
      <c r="V277" s="74">
        <v>0</v>
      </c>
    </row>
    <row r="278" spans="3:22" x14ac:dyDescent="0.25">
      <c r="C278" s="74" t="s">
        <v>18795</v>
      </c>
      <c r="D278" s="74" t="s">
        <v>148</v>
      </c>
      <c r="E278" s="74" t="s">
        <v>21338</v>
      </c>
      <c r="F278" s="74">
        <v>551367</v>
      </c>
      <c r="G278" s="74">
        <v>1000</v>
      </c>
      <c r="H278" s="135">
        <v>43004.050787037035</v>
      </c>
      <c r="I278" s="74" t="s">
        <v>21339</v>
      </c>
      <c r="J278" s="74" t="s">
        <v>21340</v>
      </c>
      <c r="K278" s="74" t="s">
        <v>7519</v>
      </c>
      <c r="L278" s="74">
        <v>552599</v>
      </c>
      <c r="M278" s="74" t="s">
        <v>21341</v>
      </c>
      <c r="N278" s="74">
        <v>1</v>
      </c>
      <c r="O278" s="74" t="s">
        <v>21342</v>
      </c>
      <c r="P278" s="74" t="s">
        <v>21343</v>
      </c>
      <c r="Q278" s="74">
        <v>0</v>
      </c>
      <c r="R278" s="74" t="s">
        <v>148</v>
      </c>
      <c r="S278" s="74" t="s">
        <v>21338</v>
      </c>
      <c r="T278" s="74" t="s">
        <v>402</v>
      </c>
      <c r="U278" s="74">
        <v>0</v>
      </c>
      <c r="V278" s="74">
        <v>0</v>
      </c>
    </row>
    <row r="279" spans="3:22" x14ac:dyDescent="0.25">
      <c r="C279" s="74" t="s">
        <v>18795</v>
      </c>
      <c r="D279" s="74" t="s">
        <v>148</v>
      </c>
      <c r="E279" s="74" t="s">
        <v>21338</v>
      </c>
      <c r="F279" s="74">
        <v>551367</v>
      </c>
      <c r="G279" s="74">
        <v>1000</v>
      </c>
      <c r="H279" s="135">
        <v>43003.960844907408</v>
      </c>
      <c r="I279" s="74" t="s">
        <v>21339</v>
      </c>
      <c r="J279" s="74" t="s">
        <v>21340</v>
      </c>
      <c r="K279" s="74" t="s">
        <v>2376</v>
      </c>
      <c r="L279" s="74">
        <v>551962</v>
      </c>
      <c r="M279" s="74" t="s">
        <v>21341</v>
      </c>
      <c r="N279" s="74">
        <v>1</v>
      </c>
      <c r="O279" s="74" t="s">
        <v>21342</v>
      </c>
      <c r="P279" s="74" t="s">
        <v>21343</v>
      </c>
      <c r="Q279" s="74">
        <v>0</v>
      </c>
      <c r="R279" s="74" t="s">
        <v>148</v>
      </c>
      <c r="S279" s="74" t="s">
        <v>21338</v>
      </c>
      <c r="T279" s="74" t="s">
        <v>402</v>
      </c>
      <c r="U279" s="74">
        <v>0</v>
      </c>
      <c r="V279" s="74">
        <v>0</v>
      </c>
    </row>
    <row r="280" spans="3:22" x14ac:dyDescent="0.25">
      <c r="C280" s="74" t="s">
        <v>18795</v>
      </c>
      <c r="D280" s="74" t="s">
        <v>148</v>
      </c>
      <c r="E280" s="74" t="s">
        <v>21338</v>
      </c>
      <c r="F280" s="74">
        <v>551367</v>
      </c>
      <c r="G280" s="74">
        <v>1000</v>
      </c>
      <c r="H280" s="135">
        <v>43003.750231481485</v>
      </c>
      <c r="I280" s="74" t="s">
        <v>21339</v>
      </c>
      <c r="J280" s="74" t="s">
        <v>21340</v>
      </c>
      <c r="K280" s="74" t="s">
        <v>2215</v>
      </c>
      <c r="L280" s="74">
        <v>551938</v>
      </c>
      <c r="M280" s="74" t="s">
        <v>21341</v>
      </c>
      <c r="N280" s="74">
        <v>1</v>
      </c>
      <c r="O280" s="74" t="s">
        <v>21342</v>
      </c>
      <c r="P280" s="74" t="s">
        <v>21343</v>
      </c>
      <c r="Q280" s="74">
        <v>0</v>
      </c>
      <c r="R280" s="74" t="s">
        <v>148</v>
      </c>
      <c r="S280" s="74" t="s">
        <v>21338</v>
      </c>
      <c r="T280" s="74" t="s">
        <v>402</v>
      </c>
      <c r="U280" s="74">
        <v>0</v>
      </c>
      <c r="V280" s="74">
        <v>0</v>
      </c>
    </row>
    <row r="281" spans="3:22" x14ac:dyDescent="0.25">
      <c r="C281" s="74" t="s">
        <v>18795</v>
      </c>
      <c r="D281" s="74" t="s">
        <v>148</v>
      </c>
      <c r="E281" s="74" t="s">
        <v>21338</v>
      </c>
      <c r="F281" s="74">
        <v>551367</v>
      </c>
      <c r="G281" s="74">
        <v>1000</v>
      </c>
      <c r="H281" s="135">
        <v>43003.748483796298</v>
      </c>
      <c r="I281" s="74" t="s">
        <v>21339</v>
      </c>
      <c r="J281" s="74" t="s">
        <v>21340</v>
      </c>
      <c r="K281" s="74" t="s">
        <v>10006</v>
      </c>
      <c r="L281" s="74">
        <v>552921</v>
      </c>
      <c r="M281" s="74" t="s">
        <v>21341</v>
      </c>
      <c r="N281" s="74">
        <v>1</v>
      </c>
      <c r="O281" s="74" t="s">
        <v>21342</v>
      </c>
      <c r="P281" s="74" t="s">
        <v>21343</v>
      </c>
      <c r="Q281" s="74">
        <v>0</v>
      </c>
      <c r="R281" s="74" t="s">
        <v>148</v>
      </c>
      <c r="S281" s="74" t="s">
        <v>21338</v>
      </c>
      <c r="T281" s="74" t="s">
        <v>402</v>
      </c>
      <c r="U281" s="74">
        <v>0</v>
      </c>
      <c r="V281" s="74">
        <v>0</v>
      </c>
    </row>
    <row r="282" spans="3:22" x14ac:dyDescent="0.25">
      <c r="C282" s="74" t="s">
        <v>18795</v>
      </c>
      <c r="D282" s="74" t="s">
        <v>148</v>
      </c>
      <c r="E282" s="74" t="s">
        <v>21338</v>
      </c>
      <c r="F282" s="74">
        <v>551367</v>
      </c>
      <c r="G282" s="74">
        <v>1000</v>
      </c>
      <c r="H282" s="135">
        <v>43003.717511574076</v>
      </c>
      <c r="I282" s="74" t="s">
        <v>21339</v>
      </c>
      <c r="J282" s="74" t="s">
        <v>21340</v>
      </c>
      <c r="K282" s="74" t="s">
        <v>18436</v>
      </c>
      <c r="L282" s="74">
        <v>554000</v>
      </c>
      <c r="M282" s="74" t="s">
        <v>21341</v>
      </c>
      <c r="N282" s="74">
        <v>1</v>
      </c>
      <c r="O282" s="74" t="s">
        <v>21342</v>
      </c>
      <c r="P282" s="74" t="s">
        <v>21343</v>
      </c>
      <c r="Q282" s="74">
        <v>0</v>
      </c>
      <c r="R282" s="74" t="s">
        <v>148</v>
      </c>
      <c r="S282" s="74" t="s">
        <v>21338</v>
      </c>
      <c r="T282" s="74" t="s">
        <v>402</v>
      </c>
      <c r="U282" s="74">
        <v>0</v>
      </c>
      <c r="V282" s="74">
        <v>0</v>
      </c>
    </row>
    <row r="283" spans="3:22" x14ac:dyDescent="0.25">
      <c r="C283" s="74" t="s">
        <v>18795</v>
      </c>
      <c r="D283" s="74" t="s">
        <v>148</v>
      </c>
      <c r="E283" s="74" t="s">
        <v>21338</v>
      </c>
      <c r="F283" s="74">
        <v>551367</v>
      </c>
      <c r="G283" s="74">
        <v>1000</v>
      </c>
      <c r="H283" s="135">
        <v>43003.706666666665</v>
      </c>
      <c r="I283" s="74" t="s">
        <v>21339</v>
      </c>
      <c r="J283" s="74" t="s">
        <v>21340</v>
      </c>
      <c r="K283" s="74" t="s">
        <v>12530</v>
      </c>
      <c r="L283" s="74">
        <v>553240</v>
      </c>
      <c r="M283" s="74" t="s">
        <v>21341</v>
      </c>
      <c r="N283" s="74">
        <v>1</v>
      </c>
      <c r="O283" s="74" t="s">
        <v>21342</v>
      </c>
      <c r="P283" s="74" t="s">
        <v>21343</v>
      </c>
      <c r="Q283" s="74">
        <v>0</v>
      </c>
      <c r="R283" s="74" t="s">
        <v>148</v>
      </c>
      <c r="S283" s="74" t="s">
        <v>21338</v>
      </c>
      <c r="T283" s="74" t="s">
        <v>402</v>
      </c>
      <c r="U283" s="74">
        <v>0</v>
      </c>
      <c r="V283" s="74">
        <v>0</v>
      </c>
    </row>
    <row r="284" spans="3:22" x14ac:dyDescent="0.25">
      <c r="C284" s="74" t="s">
        <v>21386</v>
      </c>
      <c r="D284" s="74" t="s">
        <v>148</v>
      </c>
      <c r="E284" s="74" t="s">
        <v>21338</v>
      </c>
      <c r="F284" s="74">
        <v>674396</v>
      </c>
      <c r="G284" s="74">
        <v>3</v>
      </c>
      <c r="H284" s="135">
        <v>43003.686944444446</v>
      </c>
      <c r="I284" s="74" t="s">
        <v>21339</v>
      </c>
      <c r="J284" s="74" t="s">
        <v>21364</v>
      </c>
      <c r="K284" s="74" t="s">
        <v>21417</v>
      </c>
      <c r="L284" s="74">
        <v>910276</v>
      </c>
      <c r="M284" s="74" t="s">
        <v>21341</v>
      </c>
      <c r="N284" s="74">
        <v>1</v>
      </c>
      <c r="O284" s="74" t="s">
        <v>21342</v>
      </c>
      <c r="P284" s="74" t="s">
        <v>21343</v>
      </c>
      <c r="Q284" s="74">
        <v>0</v>
      </c>
      <c r="R284" s="74" t="s">
        <v>148</v>
      </c>
      <c r="S284" s="74" t="s">
        <v>21338</v>
      </c>
      <c r="T284" s="74" t="s">
        <v>402</v>
      </c>
      <c r="U284" s="74">
        <v>0</v>
      </c>
      <c r="V284" s="74">
        <v>0</v>
      </c>
    </row>
    <row r="285" spans="3:22" x14ac:dyDescent="0.25">
      <c r="C285" s="74" t="s">
        <v>21386</v>
      </c>
      <c r="D285" s="74" t="s">
        <v>148</v>
      </c>
      <c r="E285" s="74" t="s">
        <v>21338</v>
      </c>
      <c r="F285" s="74">
        <v>674396</v>
      </c>
      <c r="G285" s="74">
        <v>3</v>
      </c>
      <c r="H285" s="135">
        <v>43003.686932870369</v>
      </c>
      <c r="I285" s="74" t="s">
        <v>21398</v>
      </c>
      <c r="J285" s="74" t="s">
        <v>21366</v>
      </c>
      <c r="K285" s="74" t="s">
        <v>21367</v>
      </c>
      <c r="L285" s="74">
        <v>561482</v>
      </c>
      <c r="M285" s="74" t="s">
        <v>21368</v>
      </c>
      <c r="N285" s="74">
        <v>1</v>
      </c>
      <c r="O285" s="74" t="s">
        <v>21369</v>
      </c>
      <c r="P285" s="74" t="s">
        <v>21343</v>
      </c>
      <c r="Q285" s="74" t="s">
        <v>21440</v>
      </c>
      <c r="R285" s="74" t="s">
        <v>148</v>
      </c>
      <c r="S285" s="74" t="s">
        <v>21338</v>
      </c>
      <c r="T285" s="74" t="s">
        <v>21371</v>
      </c>
      <c r="U285" s="74">
        <v>0</v>
      </c>
      <c r="V285" s="74">
        <v>0</v>
      </c>
    </row>
    <row r="286" spans="3:22" x14ac:dyDescent="0.25">
      <c r="C286" s="74" t="s">
        <v>21386</v>
      </c>
      <c r="D286" s="74" t="s">
        <v>148</v>
      </c>
      <c r="E286" s="74" t="s">
        <v>21338</v>
      </c>
      <c r="F286" s="74">
        <v>674396</v>
      </c>
      <c r="G286" s="74">
        <v>3</v>
      </c>
      <c r="H286" s="135">
        <v>43003.686932870369</v>
      </c>
      <c r="I286" s="74" t="s">
        <v>21398</v>
      </c>
      <c r="J286" s="74" t="s">
        <v>21366</v>
      </c>
      <c r="K286" s="74" t="s">
        <v>21403</v>
      </c>
      <c r="L286" s="74">
        <v>561483</v>
      </c>
      <c r="M286" s="74" t="s">
        <v>21368</v>
      </c>
      <c r="N286" s="74">
        <v>1</v>
      </c>
      <c r="O286" s="74" t="s">
        <v>21369</v>
      </c>
      <c r="P286" s="74" t="s">
        <v>21343</v>
      </c>
      <c r="Q286" s="74" t="s">
        <v>21440</v>
      </c>
      <c r="R286" s="74" t="s">
        <v>148</v>
      </c>
      <c r="S286" s="74" t="s">
        <v>21338</v>
      </c>
      <c r="T286" s="74" t="s">
        <v>21371</v>
      </c>
      <c r="U286" s="74">
        <v>0</v>
      </c>
      <c r="V286" s="74">
        <v>0</v>
      </c>
    </row>
    <row r="287" spans="3:22" x14ac:dyDescent="0.25">
      <c r="C287" s="74" t="s">
        <v>21386</v>
      </c>
      <c r="D287" s="74" t="s">
        <v>148</v>
      </c>
      <c r="E287" s="74" t="s">
        <v>21338</v>
      </c>
      <c r="F287" s="74">
        <v>674396</v>
      </c>
      <c r="G287" s="74">
        <v>3</v>
      </c>
      <c r="H287" s="135">
        <v>43003.686909722222</v>
      </c>
      <c r="I287" s="74" t="s">
        <v>21398</v>
      </c>
      <c r="J287" s="74" t="s">
        <v>21366</v>
      </c>
      <c r="K287" s="74" t="s">
        <v>21381</v>
      </c>
      <c r="L287" s="74">
        <v>555660</v>
      </c>
      <c r="M287" s="74" t="s">
        <v>21368</v>
      </c>
      <c r="N287" s="74">
        <v>1</v>
      </c>
      <c r="O287" s="74" t="s">
        <v>21369</v>
      </c>
      <c r="P287" s="74" t="s">
        <v>21343</v>
      </c>
      <c r="Q287" s="74" t="s">
        <v>21440</v>
      </c>
      <c r="R287" s="74" t="s">
        <v>148</v>
      </c>
      <c r="S287" s="74" t="s">
        <v>21338</v>
      </c>
      <c r="T287" s="74" t="s">
        <v>21371</v>
      </c>
      <c r="U287" s="74">
        <v>0</v>
      </c>
      <c r="V287" s="74">
        <v>0</v>
      </c>
    </row>
    <row r="288" spans="3:22" x14ac:dyDescent="0.25">
      <c r="C288" s="74" t="s">
        <v>21386</v>
      </c>
      <c r="D288" s="74" t="s">
        <v>148</v>
      </c>
      <c r="E288" s="74" t="s">
        <v>21338</v>
      </c>
      <c r="F288" s="74">
        <v>674396</v>
      </c>
      <c r="G288" s="74">
        <v>3</v>
      </c>
      <c r="H288" s="135">
        <v>43003.686874999999</v>
      </c>
      <c r="I288" s="74" t="s">
        <v>21339</v>
      </c>
      <c r="J288" s="74" t="s">
        <v>21364</v>
      </c>
      <c r="K288" s="74" t="s">
        <v>21417</v>
      </c>
      <c r="L288" s="74">
        <v>910276</v>
      </c>
      <c r="M288" s="74" t="s">
        <v>21341</v>
      </c>
      <c r="N288" s="74">
        <v>1</v>
      </c>
      <c r="O288" s="74" t="s">
        <v>21342</v>
      </c>
      <c r="P288" s="74" t="s">
        <v>21343</v>
      </c>
      <c r="Q288" s="74">
        <v>0</v>
      </c>
      <c r="R288" s="74" t="s">
        <v>148</v>
      </c>
      <c r="S288" s="74" t="s">
        <v>21338</v>
      </c>
      <c r="T288" s="74" t="s">
        <v>402</v>
      </c>
      <c r="U288" s="74">
        <v>0</v>
      </c>
      <c r="V288" s="74">
        <v>0</v>
      </c>
    </row>
    <row r="289" spans="3:22" x14ac:dyDescent="0.25">
      <c r="C289" s="74" t="s">
        <v>21386</v>
      </c>
      <c r="D289" s="74" t="s">
        <v>148</v>
      </c>
      <c r="E289" s="74" t="s">
        <v>21338</v>
      </c>
      <c r="F289" s="74">
        <v>674396</v>
      </c>
      <c r="G289" s="74">
        <v>3</v>
      </c>
      <c r="H289" s="135">
        <v>43003.677488425928</v>
      </c>
      <c r="I289" s="74" t="s">
        <v>21339</v>
      </c>
      <c r="J289" s="74" t="s">
        <v>21364</v>
      </c>
      <c r="K289" s="74" t="s">
        <v>21417</v>
      </c>
      <c r="L289" s="74">
        <v>910276</v>
      </c>
      <c r="M289" s="74" t="s">
        <v>21341</v>
      </c>
      <c r="N289" s="74">
        <v>1</v>
      </c>
      <c r="O289" s="74" t="s">
        <v>21342</v>
      </c>
      <c r="P289" s="74" t="s">
        <v>21343</v>
      </c>
      <c r="Q289" s="74">
        <v>0</v>
      </c>
      <c r="R289" s="74" t="s">
        <v>148</v>
      </c>
      <c r="S289" s="74" t="s">
        <v>21338</v>
      </c>
      <c r="T289" s="74" t="s">
        <v>402</v>
      </c>
      <c r="U289" s="74">
        <v>0</v>
      </c>
      <c r="V289" s="74">
        <v>0</v>
      </c>
    </row>
    <row r="290" spans="3:22" x14ac:dyDescent="0.25">
      <c r="C290" s="74" t="s">
        <v>21386</v>
      </c>
      <c r="D290" s="74" t="s">
        <v>148</v>
      </c>
      <c r="E290" s="74" t="s">
        <v>21338</v>
      </c>
      <c r="F290" s="74">
        <v>674396</v>
      </c>
      <c r="G290" s="74">
        <v>3</v>
      </c>
      <c r="H290" s="135">
        <v>43003.674930555557</v>
      </c>
      <c r="I290" s="74" t="s">
        <v>21398</v>
      </c>
      <c r="J290" s="74" t="s">
        <v>21400</v>
      </c>
      <c r="K290" s="74" t="s">
        <v>21417</v>
      </c>
      <c r="L290" s="74">
        <v>910276</v>
      </c>
      <c r="M290" s="74" t="s">
        <v>21341</v>
      </c>
      <c r="N290" s="74">
        <v>1</v>
      </c>
      <c r="O290" s="74" t="s">
        <v>21342</v>
      </c>
      <c r="P290" s="74" t="s">
        <v>21343</v>
      </c>
      <c r="Q290" s="74" t="s">
        <v>21441</v>
      </c>
      <c r="R290" s="74" t="s">
        <v>148</v>
      </c>
      <c r="S290" s="74" t="s">
        <v>21338</v>
      </c>
      <c r="T290" s="74" t="s">
        <v>402</v>
      </c>
      <c r="U290" s="74">
        <v>0</v>
      </c>
      <c r="V290" s="74">
        <v>0</v>
      </c>
    </row>
    <row r="291" spans="3:22" x14ac:dyDescent="0.25">
      <c r="C291" s="74" t="s">
        <v>21386</v>
      </c>
      <c r="D291" s="74" t="s">
        <v>148</v>
      </c>
      <c r="E291" s="74" t="s">
        <v>21338</v>
      </c>
      <c r="F291" s="74">
        <v>674396</v>
      </c>
      <c r="G291" s="74">
        <v>3</v>
      </c>
      <c r="H291" s="135">
        <v>43003.664074074077</v>
      </c>
      <c r="I291" s="74" t="s">
        <v>21398</v>
      </c>
      <c r="J291" s="74" t="s">
        <v>21366</v>
      </c>
      <c r="K291" s="74" t="s">
        <v>21403</v>
      </c>
      <c r="L291" s="74">
        <v>561483</v>
      </c>
      <c r="M291" s="74" t="s">
        <v>21368</v>
      </c>
      <c r="N291" s="74">
        <v>1</v>
      </c>
      <c r="O291" s="74" t="s">
        <v>21369</v>
      </c>
      <c r="P291" s="74" t="s">
        <v>21343</v>
      </c>
      <c r="Q291" s="74" t="s">
        <v>21442</v>
      </c>
      <c r="R291" s="74" t="s">
        <v>148</v>
      </c>
      <c r="S291" s="74" t="s">
        <v>21338</v>
      </c>
      <c r="T291" s="74" t="s">
        <v>21371</v>
      </c>
      <c r="U291" s="74">
        <v>0</v>
      </c>
      <c r="V291" s="74">
        <v>0</v>
      </c>
    </row>
    <row r="292" spans="3:22" x14ac:dyDescent="0.25">
      <c r="C292" s="74" t="s">
        <v>21386</v>
      </c>
      <c r="D292" s="74" t="s">
        <v>148</v>
      </c>
      <c r="E292" s="74" t="s">
        <v>21338</v>
      </c>
      <c r="F292" s="74">
        <v>674396</v>
      </c>
      <c r="G292" s="74">
        <v>3</v>
      </c>
      <c r="H292" s="135">
        <v>43003.664074074077</v>
      </c>
      <c r="I292" s="74" t="s">
        <v>21339</v>
      </c>
      <c r="J292" s="74" t="s">
        <v>21364</v>
      </c>
      <c r="K292" s="74" t="s">
        <v>21439</v>
      </c>
      <c r="L292" s="74">
        <v>910271</v>
      </c>
      <c r="M292" s="74" t="s">
        <v>21341</v>
      </c>
      <c r="N292" s="74">
        <v>1</v>
      </c>
      <c r="O292" s="74" t="s">
        <v>21342</v>
      </c>
      <c r="P292" s="74" t="s">
        <v>21343</v>
      </c>
      <c r="Q292" s="74">
        <v>0</v>
      </c>
      <c r="R292" s="74" t="s">
        <v>148</v>
      </c>
      <c r="S292" s="74" t="s">
        <v>21338</v>
      </c>
      <c r="T292" s="74" t="s">
        <v>402</v>
      </c>
      <c r="U292" s="74">
        <v>0</v>
      </c>
      <c r="V292" s="74">
        <v>0</v>
      </c>
    </row>
    <row r="293" spans="3:22" x14ac:dyDescent="0.25">
      <c r="C293" s="74" t="s">
        <v>21386</v>
      </c>
      <c r="D293" s="74" t="s">
        <v>148</v>
      </c>
      <c r="E293" s="74" t="s">
        <v>21338</v>
      </c>
      <c r="F293" s="74">
        <v>674396</v>
      </c>
      <c r="G293" s="74">
        <v>3</v>
      </c>
      <c r="H293" s="135">
        <v>43003.6640625</v>
      </c>
      <c r="I293" s="74" t="s">
        <v>21398</v>
      </c>
      <c r="J293" s="74" t="s">
        <v>21366</v>
      </c>
      <c r="K293" s="74" t="s">
        <v>21367</v>
      </c>
      <c r="L293" s="74">
        <v>561482</v>
      </c>
      <c r="M293" s="74" t="s">
        <v>21368</v>
      </c>
      <c r="N293" s="74">
        <v>1</v>
      </c>
      <c r="O293" s="74" t="s">
        <v>21369</v>
      </c>
      <c r="P293" s="74" t="s">
        <v>21343</v>
      </c>
      <c r="Q293" s="74" t="s">
        <v>21442</v>
      </c>
      <c r="R293" s="74" t="s">
        <v>148</v>
      </c>
      <c r="S293" s="74" t="s">
        <v>21338</v>
      </c>
      <c r="T293" s="74" t="s">
        <v>21371</v>
      </c>
      <c r="U293" s="74">
        <v>0</v>
      </c>
      <c r="V293" s="74">
        <v>0</v>
      </c>
    </row>
    <row r="294" spans="3:22" x14ac:dyDescent="0.25">
      <c r="C294" s="74" t="s">
        <v>21386</v>
      </c>
      <c r="D294" s="74" t="s">
        <v>148</v>
      </c>
      <c r="E294" s="74" t="s">
        <v>21338</v>
      </c>
      <c r="F294" s="74">
        <v>674396</v>
      </c>
      <c r="G294" s="74">
        <v>3</v>
      </c>
      <c r="H294" s="135">
        <v>43003.664039351854</v>
      </c>
      <c r="I294" s="74" t="s">
        <v>21398</v>
      </c>
      <c r="J294" s="74" t="s">
        <v>21366</v>
      </c>
      <c r="K294" s="74" t="s">
        <v>21376</v>
      </c>
      <c r="L294" s="74">
        <v>555659</v>
      </c>
      <c r="M294" s="74" t="s">
        <v>21368</v>
      </c>
      <c r="N294" s="74">
        <v>1</v>
      </c>
      <c r="O294" s="74" t="s">
        <v>21369</v>
      </c>
      <c r="P294" s="74" t="s">
        <v>21343</v>
      </c>
      <c r="Q294" s="74" t="s">
        <v>21442</v>
      </c>
      <c r="R294" s="74" t="s">
        <v>148</v>
      </c>
      <c r="S294" s="74" t="s">
        <v>21338</v>
      </c>
      <c r="T294" s="74" t="s">
        <v>21371</v>
      </c>
      <c r="U294" s="74">
        <v>0</v>
      </c>
      <c r="V294" s="74">
        <v>0</v>
      </c>
    </row>
    <row r="295" spans="3:22" x14ac:dyDescent="0.25">
      <c r="C295" s="74" t="s">
        <v>21386</v>
      </c>
      <c r="D295" s="74" t="s">
        <v>148</v>
      </c>
      <c r="E295" s="74" t="s">
        <v>21338</v>
      </c>
      <c r="F295" s="74">
        <v>674396</v>
      </c>
      <c r="G295" s="74">
        <v>3</v>
      </c>
      <c r="H295" s="135">
        <v>43003.6640162037</v>
      </c>
      <c r="I295" s="74" t="s">
        <v>21339</v>
      </c>
      <c r="J295" s="74" t="s">
        <v>21364</v>
      </c>
      <c r="K295" s="74" t="s">
        <v>21439</v>
      </c>
      <c r="L295" s="74">
        <v>910271</v>
      </c>
      <c r="M295" s="74" t="s">
        <v>21341</v>
      </c>
      <c r="N295" s="74">
        <v>1</v>
      </c>
      <c r="O295" s="74" t="s">
        <v>21342</v>
      </c>
      <c r="P295" s="74" t="s">
        <v>21343</v>
      </c>
      <c r="Q295" s="74">
        <v>0</v>
      </c>
      <c r="R295" s="74" t="s">
        <v>148</v>
      </c>
      <c r="S295" s="74" t="s">
        <v>21338</v>
      </c>
      <c r="T295" s="74" t="s">
        <v>402</v>
      </c>
      <c r="U295" s="74">
        <v>0</v>
      </c>
      <c r="V295" s="74">
        <v>0</v>
      </c>
    </row>
    <row r="296" spans="3:22" x14ac:dyDescent="0.25">
      <c r="C296" s="74" t="s">
        <v>21386</v>
      </c>
      <c r="D296" s="74" t="s">
        <v>148</v>
      </c>
      <c r="E296" s="74" t="s">
        <v>21338</v>
      </c>
      <c r="F296" s="74">
        <v>674396</v>
      </c>
      <c r="G296" s="74">
        <v>3</v>
      </c>
      <c r="H296" s="135">
        <v>43003.663842592592</v>
      </c>
      <c r="I296" s="74" t="s">
        <v>21339</v>
      </c>
      <c r="J296" s="74" t="s">
        <v>21364</v>
      </c>
      <c r="K296" s="74" t="s">
        <v>21439</v>
      </c>
      <c r="L296" s="74">
        <v>910271</v>
      </c>
      <c r="M296" s="74" t="s">
        <v>21341</v>
      </c>
      <c r="N296" s="74">
        <v>1</v>
      </c>
      <c r="O296" s="74" t="s">
        <v>21342</v>
      </c>
      <c r="P296" s="74" t="s">
        <v>21343</v>
      </c>
      <c r="Q296" s="74">
        <v>0</v>
      </c>
      <c r="R296" s="74" t="s">
        <v>148</v>
      </c>
      <c r="S296" s="74" t="s">
        <v>21338</v>
      </c>
      <c r="T296" s="74" t="s">
        <v>402</v>
      </c>
      <c r="U296" s="74">
        <v>0</v>
      </c>
      <c r="V296" s="74">
        <v>0</v>
      </c>
    </row>
    <row r="297" spans="3:22" x14ac:dyDescent="0.25">
      <c r="C297" s="74" t="s">
        <v>21386</v>
      </c>
      <c r="D297" s="74" t="s">
        <v>148</v>
      </c>
      <c r="E297" s="74" t="s">
        <v>21338</v>
      </c>
      <c r="F297" s="74">
        <v>674396</v>
      </c>
      <c r="G297" s="74">
        <v>3</v>
      </c>
      <c r="H297" s="135">
        <v>43003.663530092592</v>
      </c>
      <c r="I297" s="74" t="s">
        <v>21398</v>
      </c>
      <c r="J297" s="74" t="s">
        <v>21400</v>
      </c>
      <c r="K297" s="74" t="s">
        <v>21439</v>
      </c>
      <c r="L297" s="74">
        <v>910271</v>
      </c>
      <c r="M297" s="74" t="s">
        <v>21341</v>
      </c>
      <c r="N297" s="74">
        <v>1</v>
      </c>
      <c r="O297" s="74" t="s">
        <v>21342</v>
      </c>
      <c r="P297" s="74" t="s">
        <v>21343</v>
      </c>
      <c r="Q297" s="74" t="s">
        <v>21443</v>
      </c>
      <c r="R297" s="74" t="s">
        <v>148</v>
      </c>
      <c r="S297" s="74" t="s">
        <v>21338</v>
      </c>
      <c r="T297" s="74" t="s">
        <v>402</v>
      </c>
      <c r="U297" s="74">
        <v>0</v>
      </c>
      <c r="V297" s="74">
        <v>0</v>
      </c>
    </row>
    <row r="298" spans="3:22" x14ac:dyDescent="0.25">
      <c r="C298" s="74" t="s">
        <v>18795</v>
      </c>
      <c r="D298" s="74" t="s">
        <v>148</v>
      </c>
      <c r="E298" s="74" t="s">
        <v>21338</v>
      </c>
      <c r="F298" s="74">
        <v>551367</v>
      </c>
      <c r="G298" s="74">
        <v>1000</v>
      </c>
      <c r="H298" s="135">
        <v>43003.651388888888</v>
      </c>
      <c r="I298" s="74" t="s">
        <v>21339</v>
      </c>
      <c r="J298" s="74" t="s">
        <v>21340</v>
      </c>
      <c r="K298" s="74" t="s">
        <v>16908</v>
      </c>
      <c r="L298" s="74">
        <v>553787</v>
      </c>
      <c r="M298" s="74" t="s">
        <v>21341</v>
      </c>
      <c r="N298" s="74">
        <v>1</v>
      </c>
      <c r="O298" s="74" t="s">
        <v>21342</v>
      </c>
      <c r="P298" s="74" t="s">
        <v>21343</v>
      </c>
      <c r="Q298" s="74">
        <v>0</v>
      </c>
      <c r="R298" s="74" t="s">
        <v>148</v>
      </c>
      <c r="S298" s="74" t="s">
        <v>21338</v>
      </c>
      <c r="T298" s="74" t="s">
        <v>402</v>
      </c>
      <c r="U298" s="74">
        <v>0</v>
      </c>
      <c r="V298" s="74">
        <v>0</v>
      </c>
    </row>
    <row r="299" spans="3:22" x14ac:dyDescent="0.25">
      <c r="C299" s="74" t="s">
        <v>18795</v>
      </c>
      <c r="D299" s="74" t="s">
        <v>148</v>
      </c>
      <c r="E299" s="74" t="s">
        <v>21338</v>
      </c>
      <c r="F299" s="74">
        <v>551367</v>
      </c>
      <c r="G299" s="74">
        <v>1000</v>
      </c>
      <c r="H299" s="135">
        <v>43003.645740740743</v>
      </c>
      <c r="I299" s="74" t="s">
        <v>21339</v>
      </c>
      <c r="J299" s="74" t="s">
        <v>21340</v>
      </c>
      <c r="K299" s="74" t="s">
        <v>4003</v>
      </c>
      <c r="L299" s="74">
        <v>552158</v>
      </c>
      <c r="M299" s="74" t="s">
        <v>21341</v>
      </c>
      <c r="N299" s="74">
        <v>1</v>
      </c>
      <c r="O299" s="74" t="s">
        <v>21342</v>
      </c>
      <c r="P299" s="74" t="s">
        <v>21343</v>
      </c>
      <c r="Q299" s="74">
        <v>0</v>
      </c>
      <c r="R299" s="74" t="s">
        <v>148</v>
      </c>
      <c r="S299" s="74" t="s">
        <v>21338</v>
      </c>
      <c r="T299" s="74" t="s">
        <v>402</v>
      </c>
      <c r="U299" s="74">
        <v>0</v>
      </c>
      <c r="V299" s="74">
        <v>0</v>
      </c>
    </row>
    <row r="300" spans="3:22" x14ac:dyDescent="0.25">
      <c r="C300" s="74" t="s">
        <v>735</v>
      </c>
      <c r="D300" s="74" t="s">
        <v>148</v>
      </c>
      <c r="E300" s="74" t="s">
        <v>21338</v>
      </c>
      <c r="F300" s="74">
        <v>570025</v>
      </c>
      <c r="G300" s="74">
        <v>3</v>
      </c>
      <c r="H300" s="135">
        <v>43003.644571759258</v>
      </c>
      <c r="I300" s="74" t="s">
        <v>21339</v>
      </c>
      <c r="J300" s="74" t="s">
        <v>21360</v>
      </c>
      <c r="K300" s="74" t="s">
        <v>18272</v>
      </c>
      <c r="L300" s="74">
        <v>659367</v>
      </c>
      <c r="M300" s="74" t="s">
        <v>21341</v>
      </c>
      <c r="N300" s="74">
        <v>1</v>
      </c>
      <c r="O300" s="74" t="s">
        <v>21342</v>
      </c>
      <c r="P300" s="74" t="s">
        <v>21343</v>
      </c>
      <c r="Q300" s="74" t="s">
        <v>21361</v>
      </c>
      <c r="R300" s="74" t="s">
        <v>148</v>
      </c>
      <c r="S300" s="74" t="s">
        <v>21338</v>
      </c>
      <c r="T300" s="74" t="s">
        <v>393</v>
      </c>
      <c r="U300" s="74">
        <v>0</v>
      </c>
      <c r="V300" s="74">
        <v>0</v>
      </c>
    </row>
    <row r="301" spans="3:22" x14ac:dyDescent="0.25">
      <c r="C301" s="74" t="s">
        <v>735</v>
      </c>
      <c r="D301" s="74" t="s">
        <v>148</v>
      </c>
      <c r="E301" s="74" t="s">
        <v>21338</v>
      </c>
      <c r="F301" s="74">
        <v>570025</v>
      </c>
      <c r="G301" s="74">
        <v>3</v>
      </c>
      <c r="H301" s="135">
        <v>43003.643206018518</v>
      </c>
      <c r="I301" s="74" t="s">
        <v>21339</v>
      </c>
      <c r="J301" s="74" t="s">
        <v>21364</v>
      </c>
      <c r="K301" s="74" t="s">
        <v>18272</v>
      </c>
      <c r="L301" s="74">
        <v>659367</v>
      </c>
      <c r="M301" s="74" t="s">
        <v>21341</v>
      </c>
      <c r="N301" s="74">
        <v>1</v>
      </c>
      <c r="O301" s="74" t="s">
        <v>21342</v>
      </c>
      <c r="P301" s="74" t="s">
        <v>21343</v>
      </c>
      <c r="Q301" s="74">
        <v>0</v>
      </c>
      <c r="R301" s="74" t="s">
        <v>148</v>
      </c>
      <c r="S301" s="74" t="s">
        <v>21338</v>
      </c>
      <c r="T301" s="74" t="s">
        <v>393</v>
      </c>
      <c r="U301" s="74">
        <v>0</v>
      </c>
      <c r="V301" s="74">
        <v>0</v>
      </c>
    </row>
    <row r="302" spans="3:22" x14ac:dyDescent="0.25">
      <c r="C302" s="74" t="s">
        <v>735</v>
      </c>
      <c r="D302" s="74" t="s">
        <v>148</v>
      </c>
      <c r="E302" s="74" t="s">
        <v>21338</v>
      </c>
      <c r="F302" s="74">
        <v>570025</v>
      </c>
      <c r="G302" s="74">
        <v>3</v>
      </c>
      <c r="H302" s="135">
        <v>43003.643194444441</v>
      </c>
      <c r="I302" s="74" t="s">
        <v>21365</v>
      </c>
      <c r="J302" s="74" t="s">
        <v>21366</v>
      </c>
      <c r="K302" s="74" t="s">
        <v>21444</v>
      </c>
      <c r="L302" s="74">
        <v>561103</v>
      </c>
      <c r="M302" s="74" t="s">
        <v>21368</v>
      </c>
      <c r="N302" s="74">
        <v>1</v>
      </c>
      <c r="O302" s="74" t="s">
        <v>21369</v>
      </c>
      <c r="P302" s="74" t="s">
        <v>21343</v>
      </c>
      <c r="Q302" s="74" t="s">
        <v>21445</v>
      </c>
      <c r="R302" s="74" t="s">
        <v>148</v>
      </c>
      <c r="S302" s="74" t="s">
        <v>21338</v>
      </c>
      <c r="T302" s="74" t="s">
        <v>21371</v>
      </c>
      <c r="U302" s="74">
        <v>0</v>
      </c>
      <c r="V302" s="74">
        <v>0</v>
      </c>
    </row>
    <row r="303" spans="3:22" x14ac:dyDescent="0.25">
      <c r="C303" s="74" t="s">
        <v>735</v>
      </c>
      <c r="D303" s="74" t="s">
        <v>148</v>
      </c>
      <c r="E303" s="74" t="s">
        <v>21338</v>
      </c>
      <c r="F303" s="74">
        <v>570025</v>
      </c>
      <c r="G303" s="74">
        <v>3</v>
      </c>
      <c r="H303" s="135">
        <v>43003.643182870372</v>
      </c>
      <c r="I303" s="74" t="s">
        <v>21365</v>
      </c>
      <c r="J303" s="74" t="s">
        <v>21366</v>
      </c>
      <c r="K303" s="74" t="s">
        <v>21367</v>
      </c>
      <c r="L303" s="74">
        <v>561482</v>
      </c>
      <c r="M303" s="74" t="s">
        <v>21368</v>
      </c>
      <c r="N303" s="74">
        <v>1</v>
      </c>
      <c r="O303" s="74" t="s">
        <v>21369</v>
      </c>
      <c r="P303" s="74" t="s">
        <v>21343</v>
      </c>
      <c r="Q303" s="74" t="s">
        <v>21445</v>
      </c>
      <c r="R303" s="74" t="s">
        <v>148</v>
      </c>
      <c r="S303" s="74" t="s">
        <v>21338</v>
      </c>
      <c r="T303" s="74" t="s">
        <v>21371</v>
      </c>
      <c r="U303" s="74">
        <v>0</v>
      </c>
      <c r="V303" s="74">
        <v>0</v>
      </c>
    </row>
    <row r="304" spans="3:22" x14ac:dyDescent="0.25">
      <c r="C304" s="74" t="s">
        <v>735</v>
      </c>
      <c r="D304" s="74" t="s">
        <v>148</v>
      </c>
      <c r="E304" s="74" t="s">
        <v>21338</v>
      </c>
      <c r="F304" s="74">
        <v>570025</v>
      </c>
      <c r="G304" s="74">
        <v>3</v>
      </c>
      <c r="H304" s="135">
        <v>43003.643159722225</v>
      </c>
      <c r="I304" s="74" t="s">
        <v>21365</v>
      </c>
      <c r="J304" s="74" t="s">
        <v>21366</v>
      </c>
      <c r="K304" s="74" t="s">
        <v>21376</v>
      </c>
      <c r="L304" s="74">
        <v>555659</v>
      </c>
      <c r="M304" s="74" t="s">
        <v>21368</v>
      </c>
      <c r="N304" s="74">
        <v>1</v>
      </c>
      <c r="O304" s="74" t="s">
        <v>21369</v>
      </c>
      <c r="P304" s="74" t="s">
        <v>21343</v>
      </c>
      <c r="Q304" s="74" t="s">
        <v>21445</v>
      </c>
      <c r="R304" s="74" t="s">
        <v>148</v>
      </c>
      <c r="S304" s="74" t="s">
        <v>21338</v>
      </c>
      <c r="T304" s="74" t="s">
        <v>21371</v>
      </c>
      <c r="U304" s="74">
        <v>0</v>
      </c>
      <c r="V304" s="74">
        <v>0</v>
      </c>
    </row>
    <row r="305" spans="3:22" x14ac:dyDescent="0.25">
      <c r="C305" s="74" t="s">
        <v>735</v>
      </c>
      <c r="D305" s="74" t="s">
        <v>148</v>
      </c>
      <c r="E305" s="74" t="s">
        <v>21338</v>
      </c>
      <c r="F305" s="74">
        <v>570025</v>
      </c>
      <c r="G305" s="74">
        <v>3</v>
      </c>
      <c r="H305" s="135">
        <v>43003.643136574072</v>
      </c>
      <c r="I305" s="74" t="s">
        <v>21339</v>
      </c>
      <c r="J305" s="74" t="s">
        <v>21364</v>
      </c>
      <c r="K305" s="74" t="s">
        <v>18272</v>
      </c>
      <c r="L305" s="74">
        <v>659367</v>
      </c>
      <c r="M305" s="74" t="s">
        <v>21341</v>
      </c>
      <c r="N305" s="74">
        <v>1</v>
      </c>
      <c r="O305" s="74" t="s">
        <v>21342</v>
      </c>
      <c r="P305" s="74" t="s">
        <v>21343</v>
      </c>
      <c r="Q305" s="74">
        <v>0</v>
      </c>
      <c r="R305" s="74" t="s">
        <v>148</v>
      </c>
      <c r="S305" s="74" t="s">
        <v>21338</v>
      </c>
      <c r="T305" s="74" t="s">
        <v>393</v>
      </c>
      <c r="U305" s="74">
        <v>0</v>
      </c>
      <c r="V305" s="74">
        <v>0</v>
      </c>
    </row>
    <row r="306" spans="3:22" x14ac:dyDescent="0.25">
      <c r="C306" s="74" t="s">
        <v>735</v>
      </c>
      <c r="D306" s="74" t="s">
        <v>148</v>
      </c>
      <c r="E306" s="74" t="s">
        <v>21338</v>
      </c>
      <c r="F306" s="74">
        <v>570025</v>
      </c>
      <c r="G306" s="74">
        <v>3</v>
      </c>
      <c r="H306" s="135">
        <v>43003.643067129633</v>
      </c>
      <c r="I306" s="74" t="s">
        <v>21339</v>
      </c>
      <c r="J306" s="74" t="s">
        <v>21364</v>
      </c>
      <c r="K306" s="74" t="s">
        <v>18272</v>
      </c>
      <c r="L306" s="74">
        <v>659367</v>
      </c>
      <c r="M306" s="74" t="s">
        <v>21341</v>
      </c>
      <c r="N306" s="74">
        <v>1</v>
      </c>
      <c r="O306" s="74" t="s">
        <v>21342</v>
      </c>
      <c r="P306" s="74" t="s">
        <v>21343</v>
      </c>
      <c r="Q306" s="74">
        <v>0</v>
      </c>
      <c r="R306" s="74" t="s">
        <v>148</v>
      </c>
      <c r="S306" s="74" t="s">
        <v>21338</v>
      </c>
      <c r="T306" s="74" t="s">
        <v>393</v>
      </c>
      <c r="U306" s="74">
        <v>0</v>
      </c>
      <c r="V306" s="74">
        <v>0</v>
      </c>
    </row>
    <row r="307" spans="3:22" x14ac:dyDescent="0.25">
      <c r="C307" s="74" t="s">
        <v>735</v>
      </c>
      <c r="D307" s="74" t="s">
        <v>148</v>
      </c>
      <c r="E307" s="74" t="s">
        <v>21338</v>
      </c>
      <c r="F307" s="74">
        <v>570025</v>
      </c>
      <c r="G307" s="74">
        <v>3</v>
      </c>
      <c r="H307" s="135">
        <v>43003.642731481479</v>
      </c>
      <c r="I307" s="74" t="s">
        <v>21339</v>
      </c>
      <c r="J307" s="74" t="s">
        <v>21362</v>
      </c>
      <c r="K307" s="74" t="s">
        <v>18272</v>
      </c>
      <c r="L307" s="74">
        <v>659367</v>
      </c>
      <c r="M307" s="74" t="s">
        <v>21341</v>
      </c>
      <c r="N307" s="74">
        <v>1</v>
      </c>
      <c r="O307" s="74" t="s">
        <v>21342</v>
      </c>
      <c r="P307" s="74" t="s">
        <v>21343</v>
      </c>
      <c r="Q307" s="74" t="s">
        <v>21363</v>
      </c>
      <c r="R307" s="74" t="s">
        <v>148</v>
      </c>
      <c r="S307" s="74" t="s">
        <v>21338</v>
      </c>
      <c r="T307" s="74" t="s">
        <v>393</v>
      </c>
      <c r="U307" s="74">
        <v>0</v>
      </c>
      <c r="V307" s="74">
        <v>0</v>
      </c>
    </row>
    <row r="308" spans="3:22" x14ac:dyDescent="0.25">
      <c r="C308" s="74" t="s">
        <v>18795</v>
      </c>
      <c r="D308" s="74" t="s">
        <v>148</v>
      </c>
      <c r="E308" s="74" t="s">
        <v>21338</v>
      </c>
      <c r="F308" s="74">
        <v>551367</v>
      </c>
      <c r="G308" s="74">
        <v>1000</v>
      </c>
      <c r="H308" s="135">
        <v>43003.642268518517</v>
      </c>
      <c r="I308" s="74" t="s">
        <v>21339</v>
      </c>
      <c r="J308" s="74" t="s">
        <v>21340</v>
      </c>
      <c r="K308" s="74" t="s">
        <v>20977</v>
      </c>
      <c r="L308" s="74">
        <v>554294</v>
      </c>
      <c r="M308" s="74" t="s">
        <v>21341</v>
      </c>
      <c r="N308" s="74">
        <v>1</v>
      </c>
      <c r="O308" s="74" t="s">
        <v>21342</v>
      </c>
      <c r="P308" s="74" t="s">
        <v>21343</v>
      </c>
      <c r="Q308" s="74">
        <v>0</v>
      </c>
      <c r="R308" s="74" t="s">
        <v>148</v>
      </c>
      <c r="S308" s="74" t="s">
        <v>21338</v>
      </c>
      <c r="T308" s="74" t="s">
        <v>402</v>
      </c>
      <c r="U308" s="74">
        <v>0</v>
      </c>
      <c r="V308" s="74">
        <v>0</v>
      </c>
    </row>
    <row r="309" spans="3:22" x14ac:dyDescent="0.25">
      <c r="C309" s="74" t="s">
        <v>18795</v>
      </c>
      <c r="D309" s="74" t="s">
        <v>148</v>
      </c>
      <c r="E309" s="74" t="s">
        <v>21338</v>
      </c>
      <c r="F309" s="74">
        <v>551367</v>
      </c>
      <c r="G309" s="74">
        <v>1000</v>
      </c>
      <c r="H309" s="135">
        <v>43003.627523148149</v>
      </c>
      <c r="I309" s="74" t="s">
        <v>21339</v>
      </c>
      <c r="J309" s="74" t="s">
        <v>21340</v>
      </c>
      <c r="K309" s="74" t="s">
        <v>16908</v>
      </c>
      <c r="L309" s="74">
        <v>553787</v>
      </c>
      <c r="M309" s="74" t="s">
        <v>21341</v>
      </c>
      <c r="N309" s="74">
        <v>1</v>
      </c>
      <c r="O309" s="74" t="s">
        <v>21342</v>
      </c>
      <c r="P309" s="74" t="s">
        <v>21343</v>
      </c>
      <c r="Q309" s="74">
        <v>0</v>
      </c>
      <c r="R309" s="74" t="s">
        <v>148</v>
      </c>
      <c r="S309" s="74" t="s">
        <v>21338</v>
      </c>
      <c r="T309" s="74" t="s">
        <v>402</v>
      </c>
      <c r="U309" s="74">
        <v>0</v>
      </c>
      <c r="V309" s="74">
        <v>0</v>
      </c>
    </row>
    <row r="310" spans="3:22" x14ac:dyDescent="0.25">
      <c r="C310" s="74" t="s">
        <v>18795</v>
      </c>
      <c r="D310" s="74" t="s">
        <v>148</v>
      </c>
      <c r="E310" s="74" t="s">
        <v>21338</v>
      </c>
      <c r="F310" s="74">
        <v>551367</v>
      </c>
      <c r="G310" s="74">
        <v>1000</v>
      </c>
      <c r="H310" s="135">
        <v>43003.627465277779</v>
      </c>
      <c r="I310" s="74" t="s">
        <v>21339</v>
      </c>
      <c r="J310" s="74" t="s">
        <v>21340</v>
      </c>
      <c r="K310" s="74" t="s">
        <v>16908</v>
      </c>
      <c r="L310" s="74">
        <v>553787</v>
      </c>
      <c r="M310" s="74" t="s">
        <v>21341</v>
      </c>
      <c r="N310" s="74">
        <v>1</v>
      </c>
      <c r="O310" s="74" t="s">
        <v>21342</v>
      </c>
      <c r="P310" s="74" t="s">
        <v>21343</v>
      </c>
      <c r="Q310" s="74">
        <v>0</v>
      </c>
      <c r="R310" s="74" t="s">
        <v>148</v>
      </c>
      <c r="S310" s="74" t="s">
        <v>21338</v>
      </c>
      <c r="T310" s="74" t="s">
        <v>402</v>
      </c>
      <c r="U310" s="74">
        <v>0</v>
      </c>
      <c r="V310" s="74">
        <v>0</v>
      </c>
    </row>
    <row r="311" spans="3:22" x14ac:dyDescent="0.25">
      <c r="C311" s="74" t="s">
        <v>18795</v>
      </c>
      <c r="D311" s="74" t="s">
        <v>148</v>
      </c>
      <c r="E311" s="74" t="s">
        <v>21338</v>
      </c>
      <c r="F311" s="74">
        <v>551367</v>
      </c>
      <c r="G311" s="74">
        <v>1000</v>
      </c>
      <c r="H311" s="135">
        <v>43003.623553240737</v>
      </c>
      <c r="I311" s="74" t="s">
        <v>21339</v>
      </c>
      <c r="J311" s="74" t="s">
        <v>21340</v>
      </c>
      <c r="K311" s="74" t="s">
        <v>8007</v>
      </c>
      <c r="L311" s="74">
        <v>552666</v>
      </c>
      <c r="M311" s="74" t="s">
        <v>21341</v>
      </c>
      <c r="N311" s="74">
        <v>1</v>
      </c>
      <c r="O311" s="74" t="s">
        <v>21342</v>
      </c>
      <c r="P311" s="74" t="s">
        <v>21343</v>
      </c>
      <c r="Q311" s="74">
        <v>0</v>
      </c>
      <c r="R311" s="74" t="s">
        <v>148</v>
      </c>
      <c r="S311" s="74" t="s">
        <v>21338</v>
      </c>
      <c r="T311" s="74" t="s">
        <v>402</v>
      </c>
      <c r="U311" s="74">
        <v>0</v>
      </c>
      <c r="V311" s="74">
        <v>0</v>
      </c>
    </row>
    <row r="312" spans="3:22" x14ac:dyDescent="0.25">
      <c r="C312" s="74" t="s">
        <v>18795</v>
      </c>
      <c r="D312" s="74" t="s">
        <v>148</v>
      </c>
      <c r="E312" s="74" t="s">
        <v>21338</v>
      </c>
      <c r="F312" s="74">
        <v>551367</v>
      </c>
      <c r="G312" s="74">
        <v>1000</v>
      </c>
      <c r="H312" s="135">
        <v>43003.612974537034</v>
      </c>
      <c r="I312" s="74" t="s">
        <v>21339</v>
      </c>
      <c r="J312" s="74" t="s">
        <v>21340</v>
      </c>
      <c r="K312" s="74" t="s">
        <v>19407</v>
      </c>
      <c r="L312" s="74">
        <v>566459</v>
      </c>
      <c r="M312" s="74" t="s">
        <v>21341</v>
      </c>
      <c r="N312" s="74">
        <v>1</v>
      </c>
      <c r="O312" s="74" t="s">
        <v>21342</v>
      </c>
      <c r="P312" s="74" t="s">
        <v>21343</v>
      </c>
      <c r="Q312" s="74">
        <v>0</v>
      </c>
      <c r="R312" s="74" t="s">
        <v>148</v>
      </c>
      <c r="S312" s="74" t="s">
        <v>21338</v>
      </c>
      <c r="T312" s="74" t="s">
        <v>402</v>
      </c>
      <c r="U312" s="74">
        <v>0</v>
      </c>
      <c r="V312" s="74">
        <v>0</v>
      </c>
    </row>
    <row r="313" spans="3:22" x14ac:dyDescent="0.25">
      <c r="C313" s="74" t="s">
        <v>18795</v>
      </c>
      <c r="D313" s="74" t="s">
        <v>148</v>
      </c>
      <c r="E313" s="74" t="s">
        <v>21338</v>
      </c>
      <c r="F313" s="74">
        <v>551367</v>
      </c>
      <c r="G313" s="74">
        <v>1000</v>
      </c>
      <c r="H313" s="135">
        <v>43003.598298611112</v>
      </c>
      <c r="I313" s="74" t="s">
        <v>21339</v>
      </c>
      <c r="J313" s="74" t="s">
        <v>21340</v>
      </c>
      <c r="K313" s="74" t="s">
        <v>10162</v>
      </c>
      <c r="L313" s="74">
        <v>551709</v>
      </c>
      <c r="M313" s="74" t="s">
        <v>21341</v>
      </c>
      <c r="N313" s="74">
        <v>1</v>
      </c>
      <c r="O313" s="74" t="s">
        <v>21342</v>
      </c>
      <c r="P313" s="74" t="s">
        <v>21343</v>
      </c>
      <c r="Q313" s="74">
        <v>0</v>
      </c>
      <c r="R313" s="74" t="s">
        <v>148</v>
      </c>
      <c r="S313" s="74" t="s">
        <v>21338</v>
      </c>
      <c r="T313" s="74" t="s">
        <v>402</v>
      </c>
      <c r="U313" s="74">
        <v>0</v>
      </c>
      <c r="V313" s="74">
        <v>0</v>
      </c>
    </row>
    <row r="314" spans="3:22" x14ac:dyDescent="0.25">
      <c r="C314" s="74" t="s">
        <v>18795</v>
      </c>
      <c r="D314" s="74" t="s">
        <v>148</v>
      </c>
      <c r="E314" s="74" t="s">
        <v>21338</v>
      </c>
      <c r="F314" s="74">
        <v>551367</v>
      </c>
      <c r="G314" s="74">
        <v>1000</v>
      </c>
      <c r="H314" s="135">
        <v>43003.595439814817</v>
      </c>
      <c r="I314" s="74" t="s">
        <v>21339</v>
      </c>
      <c r="J314" s="74" t="s">
        <v>21340</v>
      </c>
      <c r="K314" s="74" t="s">
        <v>21437</v>
      </c>
      <c r="L314" s="74">
        <v>825883</v>
      </c>
      <c r="M314" s="74" t="s">
        <v>21341</v>
      </c>
      <c r="N314" s="74">
        <v>1</v>
      </c>
      <c r="O314" s="74" t="s">
        <v>21342</v>
      </c>
      <c r="P314" s="74" t="s">
        <v>21343</v>
      </c>
      <c r="Q314" s="74">
        <v>0</v>
      </c>
      <c r="R314" s="74" t="s">
        <v>148</v>
      </c>
      <c r="S314" s="74" t="s">
        <v>21338</v>
      </c>
      <c r="T314" s="74" t="s">
        <v>402</v>
      </c>
      <c r="U314" s="74">
        <v>0</v>
      </c>
      <c r="V314" s="74">
        <v>0</v>
      </c>
    </row>
    <row r="315" spans="3:22" x14ac:dyDescent="0.25">
      <c r="C315" s="74" t="s">
        <v>18795</v>
      </c>
      <c r="D315" s="74" t="s">
        <v>148</v>
      </c>
      <c r="E315" s="74" t="s">
        <v>21338</v>
      </c>
      <c r="F315" s="74">
        <v>551367</v>
      </c>
      <c r="G315" s="74">
        <v>1000</v>
      </c>
      <c r="H315" s="135">
        <v>43003.586377314816</v>
      </c>
      <c r="I315" s="74" t="s">
        <v>21339</v>
      </c>
      <c r="J315" s="74" t="s">
        <v>21340</v>
      </c>
      <c r="K315" s="74" t="s">
        <v>21346</v>
      </c>
      <c r="L315" s="74">
        <v>560511</v>
      </c>
      <c r="M315" s="74" t="s">
        <v>21341</v>
      </c>
      <c r="N315" s="74">
        <v>1</v>
      </c>
      <c r="O315" s="74" t="s">
        <v>21342</v>
      </c>
      <c r="P315" s="74" t="s">
        <v>21343</v>
      </c>
      <c r="Q315" s="74">
        <v>0</v>
      </c>
      <c r="R315" s="74" t="s">
        <v>148</v>
      </c>
      <c r="S315" s="74" t="s">
        <v>21338</v>
      </c>
      <c r="T315" s="74" t="s">
        <v>393</v>
      </c>
      <c r="U315" s="74">
        <v>0</v>
      </c>
      <c r="V315" s="74">
        <v>0</v>
      </c>
    </row>
    <row r="316" spans="3:22" x14ac:dyDescent="0.25">
      <c r="C316" s="74" t="s">
        <v>18795</v>
      </c>
      <c r="D316" s="74" t="s">
        <v>148</v>
      </c>
      <c r="E316" s="74" t="s">
        <v>21338</v>
      </c>
      <c r="F316" s="74">
        <v>551367</v>
      </c>
      <c r="G316" s="74">
        <v>1000</v>
      </c>
      <c r="H316" s="135">
        <v>43003.584641203706</v>
      </c>
      <c r="I316" s="74" t="s">
        <v>21339</v>
      </c>
      <c r="J316" s="74" t="s">
        <v>21340</v>
      </c>
      <c r="K316" s="74" t="s">
        <v>21413</v>
      </c>
      <c r="L316" s="74">
        <v>812709</v>
      </c>
      <c r="M316" s="74" t="s">
        <v>21341</v>
      </c>
      <c r="N316" s="74">
        <v>1</v>
      </c>
      <c r="O316" s="74" t="s">
        <v>21342</v>
      </c>
      <c r="P316" s="74" t="s">
        <v>21343</v>
      </c>
      <c r="Q316" s="74">
        <v>0</v>
      </c>
      <c r="R316" s="74" t="s">
        <v>148</v>
      </c>
      <c r="S316" s="74" t="s">
        <v>21338</v>
      </c>
      <c r="T316" s="74" t="s">
        <v>402</v>
      </c>
      <c r="U316" s="74">
        <v>0</v>
      </c>
      <c r="V316" s="74">
        <v>0</v>
      </c>
    </row>
    <row r="317" spans="3:22" x14ac:dyDescent="0.25">
      <c r="C317" s="74" t="s">
        <v>21388</v>
      </c>
      <c r="D317" s="74" t="s">
        <v>148</v>
      </c>
      <c r="E317" s="74" t="s">
        <v>21338</v>
      </c>
      <c r="F317" s="74">
        <v>560366</v>
      </c>
      <c r="G317" s="74">
        <v>3</v>
      </c>
      <c r="H317" s="135">
        <v>43003.583831018521</v>
      </c>
      <c r="I317" s="74" t="s">
        <v>21354</v>
      </c>
      <c r="J317" s="74" t="s">
        <v>21355</v>
      </c>
      <c r="K317" s="74" t="s">
        <v>21413</v>
      </c>
      <c r="L317" s="74">
        <v>812709</v>
      </c>
      <c r="M317" s="74" t="s">
        <v>21341</v>
      </c>
      <c r="N317" s="74">
        <v>1</v>
      </c>
      <c r="O317" s="74" t="s">
        <v>21342</v>
      </c>
      <c r="P317" s="74" t="s">
        <v>21345</v>
      </c>
      <c r="R317" s="74" t="s">
        <v>148</v>
      </c>
      <c r="S317" s="74" t="s">
        <v>21338</v>
      </c>
      <c r="T317" s="74" t="s">
        <v>402</v>
      </c>
      <c r="U317" s="74">
        <v>0</v>
      </c>
      <c r="V317" s="74">
        <v>0</v>
      </c>
    </row>
    <row r="318" spans="3:22" x14ac:dyDescent="0.25">
      <c r="C318" s="74" t="s">
        <v>18795</v>
      </c>
      <c r="D318" s="74" t="s">
        <v>148</v>
      </c>
      <c r="E318" s="74" t="s">
        <v>21338</v>
      </c>
      <c r="F318" s="74">
        <v>551367</v>
      </c>
      <c r="G318" s="74">
        <v>1000</v>
      </c>
      <c r="H318" s="135">
        <v>43003.566782407404</v>
      </c>
      <c r="I318" s="74" t="s">
        <v>21339</v>
      </c>
      <c r="J318" s="74" t="s">
        <v>21340</v>
      </c>
      <c r="K318" s="74" t="s">
        <v>1445</v>
      </c>
      <c r="L318" s="74">
        <v>551839</v>
      </c>
      <c r="M318" s="74" t="s">
        <v>21341</v>
      </c>
      <c r="N318" s="74">
        <v>1</v>
      </c>
      <c r="O318" s="74" t="s">
        <v>21342</v>
      </c>
      <c r="P318" s="74" t="s">
        <v>21343</v>
      </c>
      <c r="Q318" s="74">
        <v>0</v>
      </c>
      <c r="R318" s="74" t="s">
        <v>148</v>
      </c>
      <c r="S318" s="74" t="s">
        <v>21338</v>
      </c>
      <c r="T318" s="74" t="s">
        <v>402</v>
      </c>
      <c r="U318" s="74">
        <v>0</v>
      </c>
      <c r="V318" s="74">
        <v>0</v>
      </c>
    </row>
    <row r="319" spans="3:22" x14ac:dyDescent="0.25">
      <c r="C319" s="74" t="s">
        <v>18795</v>
      </c>
      <c r="D319" s="74" t="s">
        <v>148</v>
      </c>
      <c r="E319" s="74" t="s">
        <v>21338</v>
      </c>
      <c r="F319" s="74">
        <v>551367</v>
      </c>
      <c r="G319" s="74">
        <v>1000</v>
      </c>
      <c r="H319" s="135">
        <v>43003.551562499997</v>
      </c>
      <c r="I319" s="74" t="s">
        <v>21339</v>
      </c>
      <c r="J319" s="74" t="s">
        <v>21340</v>
      </c>
      <c r="K319" s="74" t="s">
        <v>9401</v>
      </c>
      <c r="L319" s="74">
        <v>552837</v>
      </c>
      <c r="M319" s="74" t="s">
        <v>21341</v>
      </c>
      <c r="N319" s="74">
        <v>1</v>
      </c>
      <c r="O319" s="74" t="s">
        <v>21342</v>
      </c>
      <c r="P319" s="74" t="s">
        <v>21343</v>
      </c>
      <c r="Q319" s="74">
        <v>0</v>
      </c>
      <c r="R319" s="74" t="s">
        <v>148</v>
      </c>
      <c r="S319" s="74" t="s">
        <v>21338</v>
      </c>
      <c r="T319" s="74" t="s">
        <v>402</v>
      </c>
      <c r="U319" s="74">
        <v>0</v>
      </c>
      <c r="V319" s="74">
        <v>0</v>
      </c>
    </row>
    <row r="320" spans="3:22" x14ac:dyDescent="0.25">
      <c r="C320" s="74" t="s">
        <v>21379</v>
      </c>
      <c r="D320" s="74" t="s">
        <v>148</v>
      </c>
      <c r="E320" s="74" t="s">
        <v>21338</v>
      </c>
      <c r="F320" s="74">
        <v>809833</v>
      </c>
      <c r="G320" s="74">
        <v>3</v>
      </c>
      <c r="H320" s="135">
        <v>43003.542337962965</v>
      </c>
      <c r="I320" s="74" t="s">
        <v>21354</v>
      </c>
      <c r="J320" s="74" t="s">
        <v>21355</v>
      </c>
      <c r="K320" s="74" t="s">
        <v>13941</v>
      </c>
      <c r="L320" s="74">
        <v>553431</v>
      </c>
      <c r="M320" s="74" t="s">
        <v>21341</v>
      </c>
      <c r="N320" s="74">
        <v>1</v>
      </c>
      <c r="O320" s="74" t="s">
        <v>21342</v>
      </c>
      <c r="P320" s="74" t="s">
        <v>21345</v>
      </c>
      <c r="R320" s="74" t="s">
        <v>148</v>
      </c>
      <c r="S320" s="74" t="s">
        <v>21338</v>
      </c>
      <c r="T320" s="74" t="s">
        <v>402</v>
      </c>
      <c r="U320" s="74">
        <v>0</v>
      </c>
      <c r="V320" s="74">
        <v>0</v>
      </c>
    </row>
    <row r="321" spans="3:22" x14ac:dyDescent="0.25">
      <c r="C321" s="74" t="s">
        <v>21353</v>
      </c>
      <c r="D321" s="74" t="s">
        <v>148</v>
      </c>
      <c r="E321" s="74" t="s">
        <v>21338</v>
      </c>
      <c r="F321" s="74">
        <v>560946</v>
      </c>
      <c r="G321" s="74">
        <v>3</v>
      </c>
      <c r="H321" s="135">
        <v>43003.539942129632</v>
      </c>
      <c r="I321" s="74" t="s">
        <v>21354</v>
      </c>
      <c r="J321" s="74" t="s">
        <v>21355</v>
      </c>
      <c r="K321" s="74" t="s">
        <v>14545</v>
      </c>
      <c r="L321" s="74">
        <v>553516</v>
      </c>
      <c r="M321" s="74" t="s">
        <v>21341</v>
      </c>
      <c r="N321" s="74">
        <v>1</v>
      </c>
      <c r="O321" s="74" t="s">
        <v>21342</v>
      </c>
      <c r="P321" s="74" t="s">
        <v>21345</v>
      </c>
      <c r="R321" s="74" t="s">
        <v>148</v>
      </c>
      <c r="S321" s="74" t="s">
        <v>21338</v>
      </c>
      <c r="T321" s="74" t="s">
        <v>402</v>
      </c>
      <c r="U321" s="74">
        <v>0</v>
      </c>
      <c r="V321" s="74">
        <v>0</v>
      </c>
    </row>
    <row r="322" spans="3:22" x14ac:dyDescent="0.25">
      <c r="C322" s="74" t="s">
        <v>18795</v>
      </c>
      <c r="D322" s="74" t="s">
        <v>148</v>
      </c>
      <c r="E322" s="74" t="s">
        <v>21338</v>
      </c>
      <c r="F322" s="74">
        <v>551367</v>
      </c>
      <c r="G322" s="74">
        <v>1000</v>
      </c>
      <c r="H322" s="135">
        <v>43003.537951388891</v>
      </c>
      <c r="I322" s="74" t="s">
        <v>21339</v>
      </c>
      <c r="J322" s="74" t="s">
        <v>21340</v>
      </c>
      <c r="K322" s="74" t="s">
        <v>21446</v>
      </c>
      <c r="L322" s="74">
        <v>864787</v>
      </c>
      <c r="M322" s="74" t="s">
        <v>21341</v>
      </c>
      <c r="N322" s="74">
        <v>1</v>
      </c>
      <c r="O322" s="74" t="s">
        <v>21342</v>
      </c>
      <c r="P322" s="74" t="s">
        <v>21343</v>
      </c>
      <c r="Q322" s="74">
        <v>0</v>
      </c>
      <c r="R322" s="74" t="s">
        <v>148</v>
      </c>
      <c r="S322" s="74" t="s">
        <v>21338</v>
      </c>
      <c r="T322" s="74" t="s">
        <v>402</v>
      </c>
      <c r="U322" s="74">
        <v>0</v>
      </c>
      <c r="V322" s="74">
        <v>0</v>
      </c>
    </row>
    <row r="323" spans="3:22" x14ac:dyDescent="0.25">
      <c r="C323" s="74" t="s">
        <v>21347</v>
      </c>
      <c r="D323" s="74" t="s">
        <v>148</v>
      </c>
      <c r="E323" s="74" t="s">
        <v>21338</v>
      </c>
      <c r="F323" s="74">
        <v>637976</v>
      </c>
      <c r="G323" s="74">
        <v>1</v>
      </c>
      <c r="H323" s="135">
        <v>43003.535925925928</v>
      </c>
      <c r="I323" s="74" t="s">
        <v>21348</v>
      </c>
      <c r="J323" s="74" t="s">
        <v>21349</v>
      </c>
      <c r="K323" s="74" t="s">
        <v>21347</v>
      </c>
      <c r="L323" s="74">
        <v>637976</v>
      </c>
      <c r="M323" s="74" t="s">
        <v>21341</v>
      </c>
      <c r="N323" s="74">
        <v>0</v>
      </c>
      <c r="O323" s="74" t="s">
        <v>21350</v>
      </c>
      <c r="P323" s="74" t="s">
        <v>21343</v>
      </c>
      <c r="Q323" s="74">
        <v>0</v>
      </c>
      <c r="R323" s="74" t="s">
        <v>148</v>
      </c>
      <c r="S323" s="74" t="s">
        <v>21338</v>
      </c>
      <c r="T323" s="74" t="s">
        <v>402</v>
      </c>
      <c r="U323" s="74">
        <v>0</v>
      </c>
      <c r="V323" s="74">
        <v>0</v>
      </c>
    </row>
    <row r="324" spans="3:22" x14ac:dyDescent="0.25">
      <c r="C324" s="74" t="s">
        <v>21347</v>
      </c>
      <c r="D324" s="74" t="s">
        <v>148</v>
      </c>
      <c r="E324" s="74" t="s">
        <v>21338</v>
      </c>
      <c r="F324" s="74">
        <v>637976</v>
      </c>
      <c r="G324" s="74">
        <v>1</v>
      </c>
      <c r="H324" s="135">
        <v>43003.535925925928</v>
      </c>
      <c r="I324" s="74" t="s">
        <v>244</v>
      </c>
      <c r="J324" s="74" t="s">
        <v>21349</v>
      </c>
      <c r="K324" s="74" t="s">
        <v>21347</v>
      </c>
      <c r="L324" s="74">
        <v>637976</v>
      </c>
      <c r="M324" s="74" t="s">
        <v>21341</v>
      </c>
      <c r="N324" s="74">
        <v>0</v>
      </c>
      <c r="O324" s="74" t="s">
        <v>21350</v>
      </c>
      <c r="P324" s="74" t="s">
        <v>21343</v>
      </c>
      <c r="Q324" s="74">
        <v>0</v>
      </c>
      <c r="R324" s="74" t="s">
        <v>148</v>
      </c>
      <c r="S324" s="74" t="s">
        <v>21338</v>
      </c>
      <c r="T324" s="74" t="s">
        <v>402</v>
      </c>
      <c r="U324" s="74">
        <v>0</v>
      </c>
      <c r="V324" s="74">
        <v>0</v>
      </c>
    </row>
    <row r="325" spans="3:22" x14ac:dyDescent="0.25">
      <c r="C325" s="74" t="s">
        <v>18795</v>
      </c>
      <c r="D325" s="74" t="s">
        <v>148</v>
      </c>
      <c r="E325" s="74" t="s">
        <v>21338</v>
      </c>
      <c r="F325" s="74">
        <v>551367</v>
      </c>
      <c r="G325" s="74">
        <v>1000</v>
      </c>
      <c r="H325" s="135">
        <v>43003.523946759262</v>
      </c>
      <c r="I325" s="74" t="s">
        <v>21339</v>
      </c>
      <c r="J325" s="74" t="s">
        <v>21340</v>
      </c>
      <c r="K325" s="74" t="s">
        <v>21447</v>
      </c>
      <c r="L325" s="74">
        <v>609300</v>
      </c>
      <c r="M325" s="74" t="s">
        <v>21341</v>
      </c>
      <c r="N325" s="74">
        <v>1</v>
      </c>
      <c r="O325" s="74" t="s">
        <v>21342</v>
      </c>
      <c r="P325" s="74" t="s">
        <v>21343</v>
      </c>
      <c r="Q325" s="74">
        <v>0</v>
      </c>
      <c r="R325" s="74" t="s">
        <v>148</v>
      </c>
      <c r="S325" s="74" t="s">
        <v>21338</v>
      </c>
      <c r="T325" s="74" t="s">
        <v>402</v>
      </c>
      <c r="U325" s="74">
        <v>0</v>
      </c>
      <c r="V325" s="74">
        <v>0</v>
      </c>
    </row>
    <row r="326" spans="3:22" x14ac:dyDescent="0.25">
      <c r="C326" s="74" t="s">
        <v>18795</v>
      </c>
      <c r="D326" s="74" t="s">
        <v>148</v>
      </c>
      <c r="E326" s="74" t="s">
        <v>21338</v>
      </c>
      <c r="F326" s="74">
        <v>551367</v>
      </c>
      <c r="G326" s="74">
        <v>1000</v>
      </c>
      <c r="H326" s="135">
        <v>43003.519155092596</v>
      </c>
      <c r="I326" s="74" t="s">
        <v>21339</v>
      </c>
      <c r="J326" s="74" t="s">
        <v>21340</v>
      </c>
      <c r="K326" s="74" t="s">
        <v>10133</v>
      </c>
      <c r="L326" s="74">
        <v>552937</v>
      </c>
      <c r="M326" s="74" t="s">
        <v>21341</v>
      </c>
      <c r="N326" s="74">
        <v>1</v>
      </c>
      <c r="O326" s="74" t="s">
        <v>21342</v>
      </c>
      <c r="P326" s="74" t="s">
        <v>21343</v>
      </c>
      <c r="Q326" s="74">
        <v>0</v>
      </c>
      <c r="R326" s="74" t="s">
        <v>148</v>
      </c>
      <c r="S326" s="74" t="s">
        <v>21338</v>
      </c>
      <c r="T326" s="74" t="s">
        <v>393</v>
      </c>
      <c r="U326" s="74">
        <v>0</v>
      </c>
      <c r="V326" s="74">
        <v>0</v>
      </c>
    </row>
    <row r="327" spans="3:22" x14ac:dyDescent="0.25">
      <c r="C327" s="74" t="s">
        <v>18795</v>
      </c>
      <c r="D327" s="74" t="s">
        <v>148</v>
      </c>
      <c r="E327" s="74" t="s">
        <v>21338</v>
      </c>
      <c r="F327" s="74">
        <v>551367</v>
      </c>
      <c r="G327" s="74">
        <v>1000</v>
      </c>
      <c r="H327" s="135">
        <v>43003.507557870369</v>
      </c>
      <c r="I327" s="74" t="s">
        <v>21339</v>
      </c>
      <c r="J327" s="74" t="s">
        <v>21340</v>
      </c>
      <c r="K327" s="74" t="s">
        <v>21448</v>
      </c>
      <c r="L327" s="74">
        <v>603940</v>
      </c>
      <c r="M327" s="74" t="s">
        <v>21341</v>
      </c>
      <c r="N327" s="74">
        <v>1</v>
      </c>
      <c r="O327" s="74" t="s">
        <v>21342</v>
      </c>
      <c r="P327" s="74" t="s">
        <v>21343</v>
      </c>
      <c r="Q327" s="74">
        <v>0</v>
      </c>
      <c r="R327" s="74" t="s">
        <v>148</v>
      </c>
      <c r="S327" s="74" t="s">
        <v>21338</v>
      </c>
      <c r="T327" s="74" t="s">
        <v>402</v>
      </c>
      <c r="U327" s="74">
        <v>0</v>
      </c>
      <c r="V327" s="74">
        <v>0</v>
      </c>
    </row>
    <row r="328" spans="3:22" x14ac:dyDescent="0.25">
      <c r="C328" s="74" t="s">
        <v>18795</v>
      </c>
      <c r="D328" s="74" t="s">
        <v>148</v>
      </c>
      <c r="E328" s="74" t="s">
        <v>21338</v>
      </c>
      <c r="F328" s="74">
        <v>551367</v>
      </c>
      <c r="G328" s="74">
        <v>1000</v>
      </c>
      <c r="H328" s="135">
        <v>43003.50341435185</v>
      </c>
      <c r="I328" s="74" t="s">
        <v>21339</v>
      </c>
      <c r="J328" s="74" t="s">
        <v>21340</v>
      </c>
      <c r="K328" s="74" t="s">
        <v>20726</v>
      </c>
      <c r="L328" s="74">
        <v>554257</v>
      </c>
      <c r="M328" s="74" t="s">
        <v>21341</v>
      </c>
      <c r="N328" s="74">
        <v>1</v>
      </c>
      <c r="O328" s="74" t="s">
        <v>21342</v>
      </c>
      <c r="P328" s="74" t="s">
        <v>21343</v>
      </c>
      <c r="Q328" s="74">
        <v>0</v>
      </c>
      <c r="R328" s="74" t="s">
        <v>148</v>
      </c>
      <c r="S328" s="74" t="s">
        <v>21338</v>
      </c>
      <c r="T328" s="74" t="s">
        <v>402</v>
      </c>
      <c r="U328" s="74">
        <v>0</v>
      </c>
      <c r="V328" s="74">
        <v>0</v>
      </c>
    </row>
    <row r="329" spans="3:22" x14ac:dyDescent="0.25">
      <c r="C329" s="74" t="s">
        <v>18795</v>
      </c>
      <c r="D329" s="74" t="s">
        <v>148</v>
      </c>
      <c r="E329" s="74" t="s">
        <v>21338</v>
      </c>
      <c r="F329" s="74">
        <v>551367</v>
      </c>
      <c r="G329" s="74">
        <v>1000</v>
      </c>
      <c r="H329" s="135">
        <v>43003.501562500001</v>
      </c>
      <c r="I329" s="74" t="s">
        <v>21339</v>
      </c>
      <c r="J329" s="74" t="s">
        <v>21340</v>
      </c>
      <c r="K329" s="74" t="s">
        <v>21389</v>
      </c>
      <c r="L329" s="74">
        <v>864176</v>
      </c>
      <c r="M329" s="74" t="s">
        <v>21341</v>
      </c>
      <c r="N329" s="74">
        <v>1</v>
      </c>
      <c r="O329" s="74" t="s">
        <v>21342</v>
      </c>
      <c r="P329" s="74" t="s">
        <v>21343</v>
      </c>
      <c r="Q329" s="74">
        <v>0</v>
      </c>
      <c r="R329" s="74" t="s">
        <v>148</v>
      </c>
      <c r="S329" s="74" t="s">
        <v>21338</v>
      </c>
      <c r="T329" s="74" t="s">
        <v>402</v>
      </c>
      <c r="U329" s="74">
        <v>0</v>
      </c>
      <c r="V329" s="74">
        <v>0</v>
      </c>
    </row>
    <row r="330" spans="3:22" x14ac:dyDescent="0.25">
      <c r="C330" s="74" t="s">
        <v>18795</v>
      </c>
      <c r="D330" s="74" t="s">
        <v>148</v>
      </c>
      <c r="E330" s="74" t="s">
        <v>21338</v>
      </c>
      <c r="F330" s="74">
        <v>551367</v>
      </c>
      <c r="G330" s="74">
        <v>1000</v>
      </c>
      <c r="H330" s="135">
        <v>43003.493541666663</v>
      </c>
      <c r="I330" s="74" t="s">
        <v>21339</v>
      </c>
      <c r="J330" s="74" t="s">
        <v>21340</v>
      </c>
      <c r="K330" s="74" t="s">
        <v>19512</v>
      </c>
      <c r="L330" s="74">
        <v>554109</v>
      </c>
      <c r="M330" s="74" t="s">
        <v>21341</v>
      </c>
      <c r="N330" s="74">
        <v>1</v>
      </c>
      <c r="O330" s="74" t="s">
        <v>21342</v>
      </c>
      <c r="P330" s="74" t="s">
        <v>21343</v>
      </c>
      <c r="Q330" s="74">
        <v>0</v>
      </c>
      <c r="R330" s="74" t="s">
        <v>148</v>
      </c>
      <c r="S330" s="74" t="s">
        <v>21338</v>
      </c>
      <c r="T330" s="74" t="s">
        <v>393</v>
      </c>
      <c r="U330" s="74">
        <v>0</v>
      </c>
      <c r="V330" s="74">
        <v>0</v>
      </c>
    </row>
    <row r="331" spans="3:22" x14ac:dyDescent="0.25">
      <c r="C331" s="74" t="s">
        <v>18795</v>
      </c>
      <c r="D331" s="74" t="s">
        <v>148</v>
      </c>
      <c r="E331" s="74" t="s">
        <v>21338</v>
      </c>
      <c r="F331" s="74">
        <v>551367</v>
      </c>
      <c r="G331" s="74">
        <v>1000</v>
      </c>
      <c r="H331" s="135">
        <v>43003.491585648146</v>
      </c>
      <c r="I331" s="74" t="s">
        <v>21339</v>
      </c>
      <c r="J331" s="74" t="s">
        <v>21340</v>
      </c>
      <c r="K331" s="74" t="s">
        <v>13941</v>
      </c>
      <c r="L331" s="74">
        <v>553431</v>
      </c>
      <c r="M331" s="74" t="s">
        <v>21341</v>
      </c>
      <c r="N331" s="74">
        <v>1</v>
      </c>
      <c r="O331" s="74" t="s">
        <v>21342</v>
      </c>
      <c r="P331" s="74" t="s">
        <v>21343</v>
      </c>
      <c r="Q331" s="74">
        <v>0</v>
      </c>
      <c r="R331" s="74" t="s">
        <v>148</v>
      </c>
      <c r="S331" s="74" t="s">
        <v>21338</v>
      </c>
      <c r="T331" s="74" t="s">
        <v>402</v>
      </c>
      <c r="U331" s="74">
        <v>0</v>
      </c>
      <c r="V331" s="74">
        <v>0</v>
      </c>
    </row>
    <row r="332" spans="3:22" x14ac:dyDescent="0.25">
      <c r="C332" s="74" t="s">
        <v>18795</v>
      </c>
      <c r="D332" s="74" t="s">
        <v>148</v>
      </c>
      <c r="E332" s="74" t="s">
        <v>21338</v>
      </c>
      <c r="F332" s="74">
        <v>551367</v>
      </c>
      <c r="G332" s="74">
        <v>1000</v>
      </c>
      <c r="H332" s="135">
        <v>43003.48704861111</v>
      </c>
      <c r="I332" s="74" t="s">
        <v>21339</v>
      </c>
      <c r="J332" s="74" t="s">
        <v>21340</v>
      </c>
      <c r="K332" s="74" t="s">
        <v>2671</v>
      </c>
      <c r="L332" s="74">
        <v>552007</v>
      </c>
      <c r="M332" s="74" t="s">
        <v>21341</v>
      </c>
      <c r="N332" s="74">
        <v>1</v>
      </c>
      <c r="O332" s="74" t="s">
        <v>21342</v>
      </c>
      <c r="P332" s="74" t="s">
        <v>21343</v>
      </c>
      <c r="Q332" s="74">
        <v>0</v>
      </c>
      <c r="R332" s="74" t="s">
        <v>148</v>
      </c>
      <c r="S332" s="74" t="s">
        <v>21338</v>
      </c>
      <c r="T332" s="74" t="s">
        <v>402</v>
      </c>
      <c r="U332" s="74">
        <v>0</v>
      </c>
      <c r="V332" s="74">
        <v>0</v>
      </c>
    </row>
    <row r="333" spans="3:22" x14ac:dyDescent="0.25">
      <c r="C333" s="74" t="s">
        <v>18795</v>
      </c>
      <c r="D333" s="74" t="s">
        <v>148</v>
      </c>
      <c r="E333" s="74" t="s">
        <v>21338</v>
      </c>
      <c r="F333" s="74">
        <v>551367</v>
      </c>
      <c r="G333" s="74">
        <v>1000</v>
      </c>
      <c r="H333" s="135">
        <v>43003.480578703704</v>
      </c>
      <c r="I333" s="74" t="s">
        <v>21339</v>
      </c>
      <c r="J333" s="74" t="s">
        <v>21340</v>
      </c>
      <c r="K333" s="74" t="s">
        <v>15868</v>
      </c>
      <c r="L333" s="74">
        <v>553658</v>
      </c>
      <c r="M333" s="74" t="s">
        <v>21341</v>
      </c>
      <c r="N333" s="74">
        <v>1</v>
      </c>
      <c r="O333" s="74" t="s">
        <v>21342</v>
      </c>
      <c r="P333" s="74" t="s">
        <v>21343</v>
      </c>
      <c r="Q333" s="74">
        <v>0</v>
      </c>
      <c r="R333" s="74" t="s">
        <v>148</v>
      </c>
      <c r="S333" s="74" t="s">
        <v>21338</v>
      </c>
      <c r="T333" s="74" t="s">
        <v>402</v>
      </c>
      <c r="U333" s="74">
        <v>0</v>
      </c>
      <c r="V333" s="74">
        <v>0</v>
      </c>
    </row>
    <row r="334" spans="3:22" x14ac:dyDescent="0.25">
      <c r="C334" s="74" t="s">
        <v>18795</v>
      </c>
      <c r="D334" s="74" t="s">
        <v>148</v>
      </c>
      <c r="E334" s="74" t="s">
        <v>21338</v>
      </c>
      <c r="F334" s="74">
        <v>551367</v>
      </c>
      <c r="G334" s="74">
        <v>1000</v>
      </c>
      <c r="H334" s="135">
        <v>43003.475324074076</v>
      </c>
      <c r="I334" s="74" t="s">
        <v>21339</v>
      </c>
      <c r="J334" s="74" t="s">
        <v>21340</v>
      </c>
      <c r="K334" s="74" t="s">
        <v>6850</v>
      </c>
      <c r="L334" s="74">
        <v>552519</v>
      </c>
      <c r="M334" s="74" t="s">
        <v>21341</v>
      </c>
      <c r="N334" s="74">
        <v>1</v>
      </c>
      <c r="O334" s="74" t="s">
        <v>21342</v>
      </c>
      <c r="P334" s="74" t="s">
        <v>21343</v>
      </c>
      <c r="Q334" s="74">
        <v>0</v>
      </c>
      <c r="R334" s="74" t="s">
        <v>148</v>
      </c>
      <c r="S334" s="74" t="s">
        <v>21338</v>
      </c>
      <c r="T334" s="74" t="s">
        <v>402</v>
      </c>
      <c r="U334" s="74">
        <v>0</v>
      </c>
      <c r="V334" s="74">
        <v>0</v>
      </c>
    </row>
    <row r="335" spans="3:22" x14ac:dyDescent="0.25">
      <c r="C335" s="74" t="s">
        <v>18795</v>
      </c>
      <c r="D335" s="74" t="s">
        <v>148</v>
      </c>
      <c r="E335" s="74" t="s">
        <v>21338</v>
      </c>
      <c r="F335" s="74">
        <v>551367</v>
      </c>
      <c r="G335" s="74">
        <v>1000</v>
      </c>
      <c r="H335" s="135">
        <v>43003.473912037036</v>
      </c>
      <c r="I335" s="74" t="s">
        <v>21339</v>
      </c>
      <c r="J335" s="74" t="s">
        <v>21340</v>
      </c>
      <c r="K335" s="74" t="s">
        <v>21449</v>
      </c>
      <c r="L335" s="74">
        <v>864793</v>
      </c>
      <c r="M335" s="74" t="s">
        <v>21341</v>
      </c>
      <c r="N335" s="74">
        <v>1</v>
      </c>
      <c r="O335" s="74" t="s">
        <v>21342</v>
      </c>
      <c r="P335" s="74" t="s">
        <v>21343</v>
      </c>
      <c r="Q335" s="74">
        <v>0</v>
      </c>
      <c r="R335" s="74" t="s">
        <v>148</v>
      </c>
      <c r="S335" s="74" t="s">
        <v>21338</v>
      </c>
      <c r="T335" s="74" t="s">
        <v>402</v>
      </c>
      <c r="U335" s="74">
        <v>0</v>
      </c>
      <c r="V335" s="74">
        <v>0</v>
      </c>
    </row>
    <row r="336" spans="3:22" x14ac:dyDescent="0.25">
      <c r="C336" s="74" t="s">
        <v>18795</v>
      </c>
      <c r="D336" s="74" t="s">
        <v>148</v>
      </c>
      <c r="E336" s="74" t="s">
        <v>21338</v>
      </c>
      <c r="F336" s="74">
        <v>551367</v>
      </c>
      <c r="G336" s="74">
        <v>1000</v>
      </c>
      <c r="H336" s="135">
        <v>43003.469629629632</v>
      </c>
      <c r="I336" s="74" t="s">
        <v>21339</v>
      </c>
      <c r="J336" s="74" t="s">
        <v>21340</v>
      </c>
      <c r="K336" s="74" t="s">
        <v>6614</v>
      </c>
      <c r="L336" s="74">
        <v>576216</v>
      </c>
      <c r="M336" s="74" t="s">
        <v>21341</v>
      </c>
      <c r="N336" s="74">
        <v>1</v>
      </c>
      <c r="O336" s="74" t="s">
        <v>21342</v>
      </c>
      <c r="P336" s="74" t="s">
        <v>21343</v>
      </c>
      <c r="Q336" s="74">
        <v>0</v>
      </c>
      <c r="R336" s="74" t="s">
        <v>148</v>
      </c>
      <c r="S336" s="74" t="s">
        <v>21338</v>
      </c>
      <c r="T336" s="74" t="s">
        <v>402</v>
      </c>
      <c r="U336" s="74">
        <v>0</v>
      </c>
      <c r="V336" s="74">
        <v>0</v>
      </c>
    </row>
    <row r="337" spans="3:22" x14ac:dyDescent="0.25">
      <c r="C337" s="74" t="s">
        <v>18795</v>
      </c>
      <c r="D337" s="74" t="s">
        <v>148</v>
      </c>
      <c r="E337" s="74" t="s">
        <v>21338</v>
      </c>
      <c r="F337" s="74">
        <v>551367</v>
      </c>
      <c r="G337" s="74">
        <v>1000</v>
      </c>
      <c r="H337" s="135">
        <v>43003.469189814816</v>
      </c>
      <c r="I337" s="74" t="s">
        <v>21339</v>
      </c>
      <c r="J337" s="74" t="s">
        <v>21340</v>
      </c>
      <c r="K337" s="74" t="s">
        <v>17888</v>
      </c>
      <c r="L337" s="74">
        <v>553925</v>
      </c>
      <c r="M337" s="74" t="s">
        <v>21341</v>
      </c>
      <c r="N337" s="74">
        <v>1</v>
      </c>
      <c r="O337" s="74" t="s">
        <v>21342</v>
      </c>
      <c r="P337" s="74" t="s">
        <v>21343</v>
      </c>
      <c r="Q337" s="74">
        <v>0</v>
      </c>
      <c r="R337" s="74" t="s">
        <v>148</v>
      </c>
      <c r="S337" s="74" t="s">
        <v>21338</v>
      </c>
      <c r="T337" s="74" t="s">
        <v>402</v>
      </c>
      <c r="U337" s="74">
        <v>0</v>
      </c>
      <c r="V337" s="74">
        <v>0</v>
      </c>
    </row>
    <row r="338" spans="3:22" x14ac:dyDescent="0.25">
      <c r="C338" s="74" t="s">
        <v>18795</v>
      </c>
      <c r="D338" s="74" t="s">
        <v>148</v>
      </c>
      <c r="E338" s="74" t="s">
        <v>21338</v>
      </c>
      <c r="F338" s="74">
        <v>551367</v>
      </c>
      <c r="G338" s="74">
        <v>1000</v>
      </c>
      <c r="H338" s="135">
        <v>43003.465740740743</v>
      </c>
      <c r="I338" s="74" t="s">
        <v>21339</v>
      </c>
      <c r="J338" s="74" t="s">
        <v>21340</v>
      </c>
      <c r="K338" s="74" t="s">
        <v>17123</v>
      </c>
      <c r="L338" s="74">
        <v>553820</v>
      </c>
      <c r="M338" s="74" t="s">
        <v>21341</v>
      </c>
      <c r="N338" s="74">
        <v>1</v>
      </c>
      <c r="O338" s="74" t="s">
        <v>21342</v>
      </c>
      <c r="P338" s="74" t="s">
        <v>21343</v>
      </c>
      <c r="Q338" s="74">
        <v>0</v>
      </c>
      <c r="R338" s="74" t="s">
        <v>148</v>
      </c>
      <c r="S338" s="74" t="s">
        <v>21338</v>
      </c>
      <c r="T338" s="74" t="s">
        <v>402</v>
      </c>
      <c r="U338" s="74">
        <v>0</v>
      </c>
      <c r="V338" s="74">
        <v>0</v>
      </c>
    </row>
    <row r="339" spans="3:22" x14ac:dyDescent="0.25">
      <c r="C339" s="74" t="s">
        <v>18795</v>
      </c>
      <c r="D339" s="74" t="s">
        <v>148</v>
      </c>
      <c r="E339" s="74" t="s">
        <v>21338</v>
      </c>
      <c r="F339" s="74">
        <v>551367</v>
      </c>
      <c r="G339" s="74">
        <v>1000</v>
      </c>
      <c r="H339" s="135">
        <v>43003.465231481481</v>
      </c>
      <c r="I339" s="74" t="s">
        <v>21339</v>
      </c>
      <c r="J339" s="74" t="s">
        <v>21340</v>
      </c>
      <c r="K339" s="74" t="s">
        <v>21450</v>
      </c>
      <c r="L339" s="74">
        <v>576200</v>
      </c>
      <c r="M339" s="74" t="s">
        <v>21341</v>
      </c>
      <c r="N339" s="74">
        <v>1</v>
      </c>
      <c r="O339" s="74" t="s">
        <v>21342</v>
      </c>
      <c r="P339" s="74" t="s">
        <v>21343</v>
      </c>
      <c r="Q339" s="74">
        <v>0</v>
      </c>
      <c r="R339" s="74" t="s">
        <v>148</v>
      </c>
      <c r="S339" s="74" t="s">
        <v>21338</v>
      </c>
      <c r="T339" s="74" t="s">
        <v>402</v>
      </c>
      <c r="U339" s="74">
        <v>0</v>
      </c>
      <c r="V339" s="74">
        <v>0</v>
      </c>
    </row>
    <row r="340" spans="3:22" x14ac:dyDescent="0.25">
      <c r="C340" s="74" t="s">
        <v>18795</v>
      </c>
      <c r="D340" s="74" t="s">
        <v>148</v>
      </c>
      <c r="E340" s="74" t="s">
        <v>21338</v>
      </c>
      <c r="F340" s="74">
        <v>551367</v>
      </c>
      <c r="G340" s="74">
        <v>1000</v>
      </c>
      <c r="H340" s="135">
        <v>43003.462638888886</v>
      </c>
      <c r="I340" s="74" t="s">
        <v>21339</v>
      </c>
      <c r="J340" s="74" t="s">
        <v>21340</v>
      </c>
      <c r="K340" s="74" t="s">
        <v>20527</v>
      </c>
      <c r="L340" s="74">
        <v>554233</v>
      </c>
      <c r="M340" s="74" t="s">
        <v>21341</v>
      </c>
      <c r="N340" s="74">
        <v>1</v>
      </c>
      <c r="O340" s="74" t="s">
        <v>21342</v>
      </c>
      <c r="P340" s="74" t="s">
        <v>21343</v>
      </c>
      <c r="Q340" s="74">
        <v>0</v>
      </c>
      <c r="R340" s="74" t="s">
        <v>148</v>
      </c>
      <c r="S340" s="74" t="s">
        <v>21338</v>
      </c>
      <c r="T340" s="74" t="s">
        <v>402</v>
      </c>
      <c r="U340" s="74">
        <v>0</v>
      </c>
      <c r="V340" s="74">
        <v>0</v>
      </c>
    </row>
    <row r="341" spans="3:22" x14ac:dyDescent="0.25">
      <c r="C341" s="74" t="s">
        <v>18795</v>
      </c>
      <c r="D341" s="74" t="s">
        <v>148</v>
      </c>
      <c r="E341" s="74" t="s">
        <v>21338</v>
      </c>
      <c r="F341" s="74">
        <v>551367</v>
      </c>
      <c r="G341" s="74">
        <v>1000</v>
      </c>
      <c r="H341" s="135">
        <v>43003.458194444444</v>
      </c>
      <c r="I341" s="74" t="s">
        <v>21339</v>
      </c>
      <c r="J341" s="74" t="s">
        <v>21340</v>
      </c>
      <c r="K341" s="74" t="s">
        <v>14355</v>
      </c>
      <c r="L341" s="74">
        <v>553490</v>
      </c>
      <c r="M341" s="74" t="s">
        <v>21341</v>
      </c>
      <c r="N341" s="74">
        <v>1</v>
      </c>
      <c r="O341" s="74" t="s">
        <v>21342</v>
      </c>
      <c r="P341" s="74" t="s">
        <v>21343</v>
      </c>
      <c r="Q341" s="74">
        <v>0</v>
      </c>
      <c r="R341" s="74" t="s">
        <v>148</v>
      </c>
      <c r="S341" s="74" t="s">
        <v>21338</v>
      </c>
      <c r="T341" s="74" t="s">
        <v>402</v>
      </c>
      <c r="U341" s="74">
        <v>0</v>
      </c>
      <c r="V341" s="74">
        <v>0</v>
      </c>
    </row>
    <row r="342" spans="3:22" x14ac:dyDescent="0.25">
      <c r="C342" s="74" t="s">
        <v>21379</v>
      </c>
      <c r="D342" s="74" t="s">
        <v>148</v>
      </c>
      <c r="E342" s="74" t="s">
        <v>21338</v>
      </c>
      <c r="F342" s="74">
        <v>809833</v>
      </c>
      <c r="G342" s="74">
        <v>3</v>
      </c>
      <c r="H342" s="135">
        <v>43003.457974537036</v>
      </c>
      <c r="I342" s="74" t="s">
        <v>21354</v>
      </c>
      <c r="J342" s="74" t="s">
        <v>21355</v>
      </c>
      <c r="K342" s="74" t="s">
        <v>14545</v>
      </c>
      <c r="L342" s="74">
        <v>553516</v>
      </c>
      <c r="M342" s="74" t="s">
        <v>21341</v>
      </c>
      <c r="N342" s="74">
        <v>1</v>
      </c>
      <c r="O342" s="74" t="s">
        <v>21342</v>
      </c>
      <c r="P342" s="74" t="s">
        <v>21345</v>
      </c>
      <c r="R342" s="74" t="s">
        <v>148</v>
      </c>
      <c r="S342" s="74" t="s">
        <v>21338</v>
      </c>
      <c r="T342" s="74" t="s">
        <v>402</v>
      </c>
      <c r="U342" s="74">
        <v>0</v>
      </c>
      <c r="V342" s="74">
        <v>0</v>
      </c>
    </row>
    <row r="343" spans="3:22" x14ac:dyDescent="0.25">
      <c r="C343" s="74" t="s">
        <v>21409</v>
      </c>
      <c r="D343" s="74" t="s">
        <v>148</v>
      </c>
      <c r="E343" s="74" t="s">
        <v>21338</v>
      </c>
      <c r="F343" s="74">
        <v>560330</v>
      </c>
      <c r="G343" s="74">
        <v>3</v>
      </c>
      <c r="H343" s="135">
        <v>43003.454282407409</v>
      </c>
      <c r="I343" s="74" t="s">
        <v>21354</v>
      </c>
      <c r="J343" s="74" t="s">
        <v>21355</v>
      </c>
      <c r="K343" s="74" t="s">
        <v>17888</v>
      </c>
      <c r="L343" s="74">
        <v>553925</v>
      </c>
      <c r="M343" s="74" t="s">
        <v>21341</v>
      </c>
      <c r="N343" s="74">
        <v>1</v>
      </c>
      <c r="O343" s="74" t="s">
        <v>21342</v>
      </c>
      <c r="P343" s="74" t="s">
        <v>21345</v>
      </c>
      <c r="R343" s="74" t="s">
        <v>148</v>
      </c>
      <c r="S343" s="74" t="s">
        <v>21338</v>
      </c>
      <c r="T343" s="74" t="s">
        <v>402</v>
      </c>
      <c r="U343" s="74">
        <v>0</v>
      </c>
      <c r="V343" s="74">
        <v>0</v>
      </c>
    </row>
    <row r="344" spans="3:22" x14ac:dyDescent="0.25">
      <c r="C344" s="74" t="s">
        <v>18795</v>
      </c>
      <c r="D344" s="74" t="s">
        <v>148</v>
      </c>
      <c r="E344" s="74" t="s">
        <v>21338</v>
      </c>
      <c r="F344" s="74">
        <v>551367</v>
      </c>
      <c r="G344" s="74">
        <v>1000</v>
      </c>
      <c r="H344" s="135">
        <v>43003.453275462962</v>
      </c>
      <c r="I344" s="74" t="s">
        <v>21339</v>
      </c>
      <c r="J344" s="74" t="s">
        <v>21340</v>
      </c>
      <c r="K344" s="74" t="s">
        <v>17888</v>
      </c>
      <c r="L344" s="74">
        <v>553925</v>
      </c>
      <c r="M344" s="74" t="s">
        <v>21341</v>
      </c>
      <c r="N344" s="74">
        <v>1</v>
      </c>
      <c r="O344" s="74" t="s">
        <v>21342</v>
      </c>
      <c r="P344" s="74" t="s">
        <v>21343</v>
      </c>
      <c r="Q344" s="74">
        <v>0</v>
      </c>
      <c r="R344" s="74" t="s">
        <v>148</v>
      </c>
      <c r="S344" s="74" t="s">
        <v>21338</v>
      </c>
      <c r="T344" s="74" t="s">
        <v>402</v>
      </c>
      <c r="U344" s="74">
        <v>0</v>
      </c>
      <c r="V344" s="74">
        <v>0</v>
      </c>
    </row>
    <row r="345" spans="3:22" x14ac:dyDescent="0.25">
      <c r="C345" s="74" t="s">
        <v>18795</v>
      </c>
      <c r="D345" s="74" t="s">
        <v>148</v>
      </c>
      <c r="E345" s="74" t="s">
        <v>21338</v>
      </c>
      <c r="F345" s="74">
        <v>551367</v>
      </c>
      <c r="G345" s="74">
        <v>1000</v>
      </c>
      <c r="H345" s="135">
        <v>43003.451296296298</v>
      </c>
      <c r="I345" s="74" t="s">
        <v>21339</v>
      </c>
      <c r="J345" s="74" t="s">
        <v>21340</v>
      </c>
      <c r="K345" s="74" t="s">
        <v>1341</v>
      </c>
      <c r="L345" s="74">
        <v>551822</v>
      </c>
      <c r="M345" s="74" t="s">
        <v>21341</v>
      </c>
      <c r="N345" s="74">
        <v>1</v>
      </c>
      <c r="O345" s="74" t="s">
        <v>21342</v>
      </c>
      <c r="P345" s="74" t="s">
        <v>21343</v>
      </c>
      <c r="Q345" s="74">
        <v>0</v>
      </c>
      <c r="R345" s="74" t="s">
        <v>148</v>
      </c>
      <c r="S345" s="74" t="s">
        <v>21338</v>
      </c>
      <c r="T345" s="74" t="s">
        <v>402</v>
      </c>
      <c r="U345" s="74">
        <v>0</v>
      </c>
      <c r="V345" s="74">
        <v>0</v>
      </c>
    </row>
    <row r="346" spans="3:22" x14ac:dyDescent="0.25">
      <c r="C346" s="74" t="s">
        <v>21409</v>
      </c>
      <c r="D346" s="74" t="s">
        <v>148</v>
      </c>
      <c r="E346" s="74" t="s">
        <v>21338</v>
      </c>
      <c r="F346" s="74">
        <v>560330</v>
      </c>
      <c r="G346" s="74">
        <v>3</v>
      </c>
      <c r="H346" s="135">
        <v>43003.44730324074</v>
      </c>
      <c r="I346" s="74" t="s">
        <v>21339</v>
      </c>
      <c r="J346" s="74" t="s">
        <v>21356</v>
      </c>
      <c r="K346" s="74" t="s">
        <v>17888</v>
      </c>
      <c r="L346" s="74">
        <v>553925</v>
      </c>
      <c r="M346" s="74" t="s">
        <v>21341</v>
      </c>
      <c r="N346" s="74">
        <v>1</v>
      </c>
      <c r="O346" s="74" t="s">
        <v>21342</v>
      </c>
      <c r="P346" s="74" t="s">
        <v>21343</v>
      </c>
      <c r="Q346" s="74" t="s">
        <v>21395</v>
      </c>
      <c r="R346" s="74" t="s">
        <v>148</v>
      </c>
      <c r="S346" s="74" t="s">
        <v>21338</v>
      </c>
      <c r="T346" s="74" t="s">
        <v>402</v>
      </c>
      <c r="U346" s="74">
        <v>0</v>
      </c>
      <c r="V346" s="74">
        <v>0</v>
      </c>
    </row>
    <row r="347" spans="3:22" x14ac:dyDescent="0.25">
      <c r="C347" s="74" t="s">
        <v>18795</v>
      </c>
      <c r="D347" s="74" t="s">
        <v>148</v>
      </c>
      <c r="E347" s="74" t="s">
        <v>21338</v>
      </c>
      <c r="F347" s="74">
        <v>551367</v>
      </c>
      <c r="G347" s="74">
        <v>1000</v>
      </c>
      <c r="H347" s="135">
        <v>43003.445567129631</v>
      </c>
      <c r="I347" s="74" t="s">
        <v>21339</v>
      </c>
      <c r="J347" s="74" t="s">
        <v>21340</v>
      </c>
      <c r="K347" s="74" t="s">
        <v>12842</v>
      </c>
      <c r="L347" s="74">
        <v>553285</v>
      </c>
      <c r="M347" s="74" t="s">
        <v>21341</v>
      </c>
      <c r="N347" s="74">
        <v>1</v>
      </c>
      <c r="O347" s="74" t="s">
        <v>21342</v>
      </c>
      <c r="P347" s="74" t="s">
        <v>21343</v>
      </c>
      <c r="Q347" s="74">
        <v>0</v>
      </c>
      <c r="R347" s="74" t="s">
        <v>148</v>
      </c>
      <c r="S347" s="74" t="s">
        <v>21338</v>
      </c>
      <c r="T347" s="74" t="s">
        <v>402</v>
      </c>
      <c r="U347" s="74">
        <v>0</v>
      </c>
      <c r="V347" s="74">
        <v>0</v>
      </c>
    </row>
    <row r="348" spans="3:22" x14ac:dyDescent="0.25">
      <c r="C348" s="74" t="s">
        <v>21409</v>
      </c>
      <c r="D348" s="74" t="s">
        <v>148</v>
      </c>
      <c r="E348" s="74" t="s">
        <v>21338</v>
      </c>
      <c r="F348" s="74">
        <v>560330</v>
      </c>
      <c r="G348" s="74">
        <v>3</v>
      </c>
      <c r="H348" s="135">
        <v>43003.437523148146</v>
      </c>
      <c r="I348" s="74" t="s">
        <v>21339</v>
      </c>
      <c r="J348" s="74" t="s">
        <v>21356</v>
      </c>
      <c r="K348" s="74" t="s">
        <v>17888</v>
      </c>
      <c r="L348" s="74">
        <v>553925</v>
      </c>
      <c r="M348" s="74" t="s">
        <v>21341</v>
      </c>
      <c r="N348" s="74">
        <v>1</v>
      </c>
      <c r="O348" s="74" t="s">
        <v>21342</v>
      </c>
      <c r="P348" s="74" t="s">
        <v>21343</v>
      </c>
      <c r="Q348" s="74" t="s">
        <v>21361</v>
      </c>
      <c r="R348" s="74" t="s">
        <v>148</v>
      </c>
      <c r="S348" s="74" t="s">
        <v>21338</v>
      </c>
      <c r="T348" s="74" t="s">
        <v>402</v>
      </c>
      <c r="U348" s="74">
        <v>0</v>
      </c>
      <c r="V348" s="74">
        <v>0</v>
      </c>
    </row>
    <row r="349" spans="3:22" x14ac:dyDescent="0.25">
      <c r="C349" s="74" t="s">
        <v>9081</v>
      </c>
      <c r="D349" s="74" t="s">
        <v>148</v>
      </c>
      <c r="E349" s="74" t="s">
        <v>21338</v>
      </c>
      <c r="F349" s="74">
        <v>722441</v>
      </c>
      <c r="G349" s="74">
        <v>3</v>
      </c>
      <c r="H349" s="135">
        <v>43003.436099537037</v>
      </c>
      <c r="I349" s="74" t="s">
        <v>21354</v>
      </c>
      <c r="J349" s="74" t="s">
        <v>21355</v>
      </c>
      <c r="K349" s="74" t="s">
        <v>14355</v>
      </c>
      <c r="L349" s="74">
        <v>553490</v>
      </c>
      <c r="M349" s="74" t="s">
        <v>21341</v>
      </c>
      <c r="N349" s="74">
        <v>1</v>
      </c>
      <c r="O349" s="74" t="s">
        <v>21342</v>
      </c>
      <c r="P349" s="74" t="s">
        <v>21345</v>
      </c>
      <c r="R349" s="74" t="s">
        <v>148</v>
      </c>
      <c r="S349" s="74" t="s">
        <v>21338</v>
      </c>
      <c r="T349" s="74" t="s">
        <v>402</v>
      </c>
      <c r="U349" s="74">
        <v>0</v>
      </c>
      <c r="V349" s="74">
        <v>0</v>
      </c>
    </row>
    <row r="350" spans="3:22" x14ac:dyDescent="0.25">
      <c r="C350" s="74" t="s">
        <v>18795</v>
      </c>
      <c r="D350" s="74" t="s">
        <v>148</v>
      </c>
      <c r="E350" s="74" t="s">
        <v>21338</v>
      </c>
      <c r="F350" s="74">
        <v>551367</v>
      </c>
      <c r="G350" s="74">
        <v>1000</v>
      </c>
      <c r="H350" s="135">
        <v>43003.43608796296</v>
      </c>
      <c r="I350" s="74" t="s">
        <v>21339</v>
      </c>
      <c r="J350" s="74" t="s">
        <v>21340</v>
      </c>
      <c r="K350" s="74" t="s">
        <v>14355</v>
      </c>
      <c r="L350" s="74">
        <v>553490</v>
      </c>
      <c r="M350" s="74" t="s">
        <v>21341</v>
      </c>
      <c r="N350" s="74">
        <v>1</v>
      </c>
      <c r="O350" s="74" t="s">
        <v>21342</v>
      </c>
      <c r="P350" s="74" t="s">
        <v>21343</v>
      </c>
      <c r="Q350" s="74">
        <v>0</v>
      </c>
      <c r="R350" s="74" t="s">
        <v>148</v>
      </c>
      <c r="S350" s="74" t="s">
        <v>21338</v>
      </c>
      <c r="T350" s="74" t="s">
        <v>402</v>
      </c>
      <c r="U350" s="74">
        <v>0</v>
      </c>
      <c r="V350" s="74">
        <v>0</v>
      </c>
    </row>
    <row r="351" spans="3:22" x14ac:dyDescent="0.25">
      <c r="C351" s="74" t="s">
        <v>18795</v>
      </c>
      <c r="D351" s="74" t="s">
        <v>148</v>
      </c>
      <c r="E351" s="74" t="s">
        <v>21338</v>
      </c>
      <c r="F351" s="74">
        <v>551367</v>
      </c>
      <c r="G351" s="74">
        <v>1000</v>
      </c>
      <c r="H351" s="135">
        <v>43003.429351851853</v>
      </c>
      <c r="I351" s="74" t="s">
        <v>21339</v>
      </c>
      <c r="J351" s="74" t="s">
        <v>21340</v>
      </c>
      <c r="K351" s="74" t="s">
        <v>14355</v>
      </c>
      <c r="L351" s="74">
        <v>553490</v>
      </c>
      <c r="M351" s="74" t="s">
        <v>21341</v>
      </c>
      <c r="N351" s="74">
        <v>1</v>
      </c>
      <c r="O351" s="74" t="s">
        <v>21342</v>
      </c>
      <c r="P351" s="74" t="s">
        <v>21343</v>
      </c>
      <c r="Q351" s="74">
        <v>0</v>
      </c>
      <c r="R351" s="74" t="s">
        <v>148</v>
      </c>
      <c r="S351" s="74" t="s">
        <v>21338</v>
      </c>
      <c r="T351" s="74" t="s">
        <v>402</v>
      </c>
      <c r="U351" s="74">
        <v>0</v>
      </c>
      <c r="V351" s="74">
        <v>0</v>
      </c>
    </row>
    <row r="352" spans="3:22" x14ac:dyDescent="0.25">
      <c r="C352" s="74" t="s">
        <v>735</v>
      </c>
      <c r="D352" s="74" t="s">
        <v>148</v>
      </c>
      <c r="E352" s="74" t="s">
        <v>21338</v>
      </c>
      <c r="F352" s="74">
        <v>570025</v>
      </c>
      <c r="G352" s="74">
        <v>3</v>
      </c>
      <c r="H352" s="135">
        <v>43003.428993055553</v>
      </c>
      <c r="I352" s="74" t="s">
        <v>21339</v>
      </c>
      <c r="J352" s="74" t="s">
        <v>21360</v>
      </c>
      <c r="K352" s="74" t="s">
        <v>15886</v>
      </c>
      <c r="L352" s="74">
        <v>553661</v>
      </c>
      <c r="M352" s="74" t="s">
        <v>21341</v>
      </c>
      <c r="N352" s="74">
        <v>1</v>
      </c>
      <c r="O352" s="74" t="s">
        <v>21342</v>
      </c>
      <c r="P352" s="74" t="s">
        <v>21343</v>
      </c>
      <c r="Q352" s="74" t="s">
        <v>21361</v>
      </c>
      <c r="R352" s="74" t="s">
        <v>148</v>
      </c>
      <c r="S352" s="74" t="s">
        <v>21338</v>
      </c>
      <c r="T352" s="74" t="s">
        <v>393</v>
      </c>
      <c r="U352" s="74">
        <v>0</v>
      </c>
      <c r="V352" s="74">
        <v>0</v>
      </c>
    </row>
    <row r="353" spans="3:22" x14ac:dyDescent="0.25">
      <c r="C353" s="74" t="s">
        <v>18795</v>
      </c>
      <c r="D353" s="74" t="s">
        <v>148</v>
      </c>
      <c r="E353" s="74" t="s">
        <v>21338</v>
      </c>
      <c r="F353" s="74">
        <v>551367</v>
      </c>
      <c r="G353" s="74">
        <v>1000</v>
      </c>
      <c r="H353" s="135">
        <v>43003.428067129629</v>
      </c>
      <c r="I353" s="74" t="s">
        <v>21339</v>
      </c>
      <c r="J353" s="74" t="s">
        <v>21340</v>
      </c>
      <c r="K353" s="74" t="s">
        <v>11274</v>
      </c>
      <c r="L353" s="74">
        <v>553089</v>
      </c>
      <c r="M353" s="74" t="s">
        <v>21341</v>
      </c>
      <c r="N353" s="74">
        <v>1</v>
      </c>
      <c r="O353" s="74" t="s">
        <v>21342</v>
      </c>
      <c r="P353" s="74" t="s">
        <v>21343</v>
      </c>
      <c r="Q353" s="74">
        <v>0</v>
      </c>
      <c r="R353" s="74" t="s">
        <v>148</v>
      </c>
      <c r="S353" s="74" t="s">
        <v>21338</v>
      </c>
      <c r="T353" s="74" t="s">
        <v>402</v>
      </c>
      <c r="U353" s="74">
        <v>0</v>
      </c>
      <c r="V353" s="74">
        <v>0</v>
      </c>
    </row>
    <row r="354" spans="3:22" x14ac:dyDescent="0.25">
      <c r="C354" s="74" t="s">
        <v>18795</v>
      </c>
      <c r="D354" s="74" t="s">
        <v>148</v>
      </c>
      <c r="E354" s="74" t="s">
        <v>21338</v>
      </c>
      <c r="F354" s="74">
        <v>551367</v>
      </c>
      <c r="G354" s="74">
        <v>1000</v>
      </c>
      <c r="H354" s="135">
        <v>43003.427916666667</v>
      </c>
      <c r="I354" s="74" t="s">
        <v>21339</v>
      </c>
      <c r="J354" s="74" t="s">
        <v>21340</v>
      </c>
      <c r="K354" s="74" t="s">
        <v>11274</v>
      </c>
      <c r="L354" s="74">
        <v>553089</v>
      </c>
      <c r="M354" s="74" t="s">
        <v>21341</v>
      </c>
      <c r="N354" s="74">
        <v>1</v>
      </c>
      <c r="O354" s="74" t="s">
        <v>21342</v>
      </c>
      <c r="P354" s="74" t="s">
        <v>21343</v>
      </c>
      <c r="Q354" s="74">
        <v>0</v>
      </c>
      <c r="R354" s="74" t="s">
        <v>148</v>
      </c>
      <c r="S354" s="74" t="s">
        <v>21338</v>
      </c>
      <c r="T354" s="74" t="s">
        <v>402</v>
      </c>
      <c r="U354" s="74">
        <v>0</v>
      </c>
      <c r="V354" s="74">
        <v>0</v>
      </c>
    </row>
    <row r="355" spans="3:22" x14ac:dyDescent="0.25">
      <c r="C355" s="74" t="s">
        <v>735</v>
      </c>
      <c r="D355" s="74" t="s">
        <v>148</v>
      </c>
      <c r="E355" s="74" t="s">
        <v>21338</v>
      </c>
      <c r="F355" s="74">
        <v>570025</v>
      </c>
      <c r="G355" s="74">
        <v>3</v>
      </c>
      <c r="H355" s="135">
        <v>43003.427615740744</v>
      </c>
      <c r="I355" s="74" t="s">
        <v>21339</v>
      </c>
      <c r="J355" s="74" t="s">
        <v>21362</v>
      </c>
      <c r="K355" s="74" t="s">
        <v>15886</v>
      </c>
      <c r="L355" s="74">
        <v>553661</v>
      </c>
      <c r="M355" s="74" t="s">
        <v>21341</v>
      </c>
      <c r="N355" s="74">
        <v>1</v>
      </c>
      <c r="O355" s="74" t="s">
        <v>21342</v>
      </c>
      <c r="P355" s="74" t="s">
        <v>21343</v>
      </c>
      <c r="Q355" s="74" t="s">
        <v>21363</v>
      </c>
      <c r="R355" s="74" t="s">
        <v>148</v>
      </c>
      <c r="S355" s="74" t="s">
        <v>21338</v>
      </c>
      <c r="T355" s="74" t="s">
        <v>393</v>
      </c>
      <c r="U355" s="74">
        <v>0</v>
      </c>
      <c r="V355" s="74">
        <v>0</v>
      </c>
    </row>
    <row r="356" spans="3:22" x14ac:dyDescent="0.25">
      <c r="C356" s="74" t="s">
        <v>18795</v>
      </c>
      <c r="D356" s="74" t="s">
        <v>148</v>
      </c>
      <c r="E356" s="74" t="s">
        <v>21338</v>
      </c>
      <c r="F356" s="74">
        <v>551367</v>
      </c>
      <c r="G356" s="74">
        <v>1000</v>
      </c>
      <c r="H356" s="135">
        <v>43003.427557870367</v>
      </c>
      <c r="I356" s="74" t="s">
        <v>21339</v>
      </c>
      <c r="J356" s="74" t="s">
        <v>21340</v>
      </c>
      <c r="K356" s="74" t="s">
        <v>21451</v>
      </c>
      <c r="L356" s="74">
        <v>778190</v>
      </c>
      <c r="M356" s="74" t="s">
        <v>21341</v>
      </c>
      <c r="N356" s="74">
        <v>1</v>
      </c>
      <c r="O356" s="74" t="s">
        <v>21342</v>
      </c>
      <c r="P356" s="74" t="s">
        <v>21343</v>
      </c>
      <c r="Q356" s="74">
        <v>0</v>
      </c>
      <c r="R356" s="74" t="s">
        <v>148</v>
      </c>
      <c r="S356" s="74" t="s">
        <v>21338</v>
      </c>
      <c r="T356" s="74" t="s">
        <v>402</v>
      </c>
      <c r="U356" s="74">
        <v>0</v>
      </c>
      <c r="V356" s="74">
        <v>0</v>
      </c>
    </row>
    <row r="357" spans="3:22" x14ac:dyDescent="0.25">
      <c r="C357" s="74" t="s">
        <v>735</v>
      </c>
      <c r="D357" s="74" t="s">
        <v>148</v>
      </c>
      <c r="E357" s="74" t="s">
        <v>21338</v>
      </c>
      <c r="F357" s="74">
        <v>570025</v>
      </c>
      <c r="G357" s="74">
        <v>3</v>
      </c>
      <c r="H357" s="135">
        <v>43003.42728009259</v>
      </c>
      <c r="I357" s="74" t="s">
        <v>21339</v>
      </c>
      <c r="J357" s="74" t="s">
        <v>21364</v>
      </c>
      <c r="K357" s="74" t="s">
        <v>15886</v>
      </c>
      <c r="L357" s="74">
        <v>553661</v>
      </c>
      <c r="M357" s="74" t="s">
        <v>21341</v>
      </c>
      <c r="N357" s="74">
        <v>1</v>
      </c>
      <c r="O357" s="74" t="s">
        <v>21342</v>
      </c>
      <c r="P357" s="74" t="s">
        <v>21343</v>
      </c>
      <c r="Q357" s="74">
        <v>0</v>
      </c>
      <c r="R357" s="74" t="s">
        <v>148</v>
      </c>
      <c r="S357" s="74" t="s">
        <v>21338</v>
      </c>
      <c r="T357" s="74" t="s">
        <v>402</v>
      </c>
      <c r="U357" s="74">
        <v>0</v>
      </c>
      <c r="V357" s="74">
        <v>0</v>
      </c>
    </row>
    <row r="358" spans="3:22" x14ac:dyDescent="0.25">
      <c r="C358" s="74" t="s">
        <v>735</v>
      </c>
      <c r="D358" s="74" t="s">
        <v>148</v>
      </c>
      <c r="E358" s="74" t="s">
        <v>21338</v>
      </c>
      <c r="F358" s="74">
        <v>570025</v>
      </c>
      <c r="G358" s="74">
        <v>3</v>
      </c>
      <c r="H358" s="135">
        <v>43003.427268518521</v>
      </c>
      <c r="I358" s="74" t="s">
        <v>21365</v>
      </c>
      <c r="J358" s="74" t="s">
        <v>21366</v>
      </c>
      <c r="K358" s="74" t="s">
        <v>21367</v>
      </c>
      <c r="L358" s="74">
        <v>561482</v>
      </c>
      <c r="M358" s="74" t="s">
        <v>21368</v>
      </c>
      <c r="N358" s="74">
        <v>1</v>
      </c>
      <c r="O358" s="74" t="s">
        <v>21369</v>
      </c>
      <c r="P358" s="74" t="s">
        <v>21343</v>
      </c>
      <c r="Q358" s="74" t="s">
        <v>21452</v>
      </c>
      <c r="R358" s="74" t="s">
        <v>148</v>
      </c>
      <c r="S358" s="74" t="s">
        <v>21338</v>
      </c>
      <c r="T358" s="74" t="s">
        <v>21371</v>
      </c>
      <c r="U358" s="74">
        <v>0</v>
      </c>
      <c r="V358" s="74">
        <v>0</v>
      </c>
    </row>
    <row r="359" spans="3:22" x14ac:dyDescent="0.25">
      <c r="C359" s="74" t="s">
        <v>735</v>
      </c>
      <c r="D359" s="74" t="s">
        <v>148</v>
      </c>
      <c r="E359" s="74" t="s">
        <v>21338</v>
      </c>
      <c r="F359" s="74">
        <v>570025</v>
      </c>
      <c r="G359" s="74">
        <v>3</v>
      </c>
      <c r="H359" s="135">
        <v>43003.427245370367</v>
      </c>
      <c r="I359" s="74" t="s">
        <v>21365</v>
      </c>
      <c r="J359" s="74" t="s">
        <v>21366</v>
      </c>
      <c r="K359" s="74" t="s">
        <v>21381</v>
      </c>
      <c r="L359" s="74">
        <v>555660</v>
      </c>
      <c r="M359" s="74" t="s">
        <v>21368</v>
      </c>
      <c r="N359" s="74">
        <v>1</v>
      </c>
      <c r="O359" s="74" t="s">
        <v>21369</v>
      </c>
      <c r="P359" s="74" t="s">
        <v>21343</v>
      </c>
      <c r="Q359" s="74" t="s">
        <v>21452</v>
      </c>
      <c r="R359" s="74" t="s">
        <v>148</v>
      </c>
      <c r="S359" s="74" t="s">
        <v>21338</v>
      </c>
      <c r="T359" s="74" t="s">
        <v>21371</v>
      </c>
      <c r="U359" s="74">
        <v>0</v>
      </c>
      <c r="V359" s="74">
        <v>0</v>
      </c>
    </row>
    <row r="360" spans="3:22" x14ac:dyDescent="0.25">
      <c r="C360" s="74" t="s">
        <v>735</v>
      </c>
      <c r="D360" s="74" t="s">
        <v>148</v>
      </c>
      <c r="E360" s="74" t="s">
        <v>21338</v>
      </c>
      <c r="F360" s="74">
        <v>570025</v>
      </c>
      <c r="G360" s="74">
        <v>3</v>
      </c>
      <c r="H360" s="135">
        <v>43003.427233796298</v>
      </c>
      <c r="I360" s="74" t="s">
        <v>21365</v>
      </c>
      <c r="J360" s="74" t="s">
        <v>21366</v>
      </c>
      <c r="K360" s="74" t="s">
        <v>21377</v>
      </c>
      <c r="L360" s="74">
        <v>555668</v>
      </c>
      <c r="M360" s="74" t="s">
        <v>21368</v>
      </c>
      <c r="N360" s="74">
        <v>1</v>
      </c>
      <c r="O360" s="74" t="s">
        <v>21369</v>
      </c>
      <c r="P360" s="74" t="s">
        <v>21343</v>
      </c>
      <c r="Q360" s="74" t="s">
        <v>21452</v>
      </c>
      <c r="R360" s="74" t="s">
        <v>148</v>
      </c>
      <c r="S360" s="74" t="s">
        <v>21338</v>
      </c>
      <c r="T360" s="74" t="s">
        <v>21371</v>
      </c>
      <c r="U360" s="74">
        <v>0</v>
      </c>
      <c r="V360" s="74">
        <v>0</v>
      </c>
    </row>
    <row r="361" spans="3:22" x14ac:dyDescent="0.25">
      <c r="C361" s="74" t="s">
        <v>735</v>
      </c>
      <c r="D361" s="74" t="s">
        <v>148</v>
      </c>
      <c r="E361" s="74" t="s">
        <v>21338</v>
      </c>
      <c r="F361" s="74">
        <v>570025</v>
      </c>
      <c r="G361" s="74">
        <v>3</v>
      </c>
      <c r="H361" s="135">
        <v>43003.427210648151</v>
      </c>
      <c r="I361" s="74" t="s">
        <v>21339</v>
      </c>
      <c r="J361" s="74" t="s">
        <v>21364</v>
      </c>
      <c r="K361" s="74" t="s">
        <v>15886</v>
      </c>
      <c r="L361" s="74">
        <v>553661</v>
      </c>
      <c r="M361" s="74" t="s">
        <v>21341</v>
      </c>
      <c r="N361" s="74">
        <v>1</v>
      </c>
      <c r="O361" s="74" t="s">
        <v>21342</v>
      </c>
      <c r="P361" s="74" t="s">
        <v>21343</v>
      </c>
      <c r="Q361" s="74">
        <v>0</v>
      </c>
      <c r="R361" s="74" t="s">
        <v>148</v>
      </c>
      <c r="S361" s="74" t="s">
        <v>21338</v>
      </c>
      <c r="T361" s="74" t="s">
        <v>402</v>
      </c>
      <c r="U361" s="74">
        <v>0</v>
      </c>
      <c r="V361" s="74">
        <v>0</v>
      </c>
    </row>
    <row r="362" spans="3:22" x14ac:dyDescent="0.25">
      <c r="C362" s="74" t="s">
        <v>735</v>
      </c>
      <c r="D362" s="74" t="s">
        <v>148</v>
      </c>
      <c r="E362" s="74" t="s">
        <v>21338</v>
      </c>
      <c r="F362" s="74">
        <v>570025</v>
      </c>
      <c r="G362" s="74">
        <v>3</v>
      </c>
      <c r="H362" s="135">
        <v>43003.427141203705</v>
      </c>
      <c r="I362" s="74" t="s">
        <v>21339</v>
      </c>
      <c r="J362" s="74" t="s">
        <v>21364</v>
      </c>
      <c r="K362" s="74" t="s">
        <v>15886</v>
      </c>
      <c r="L362" s="74">
        <v>553661</v>
      </c>
      <c r="M362" s="74" t="s">
        <v>21341</v>
      </c>
      <c r="N362" s="74">
        <v>1</v>
      </c>
      <c r="O362" s="74" t="s">
        <v>21342</v>
      </c>
      <c r="P362" s="74" t="s">
        <v>21343</v>
      </c>
      <c r="Q362" s="74">
        <v>0</v>
      </c>
      <c r="R362" s="74" t="s">
        <v>148</v>
      </c>
      <c r="S362" s="74" t="s">
        <v>21338</v>
      </c>
      <c r="T362" s="74" t="s">
        <v>402</v>
      </c>
      <c r="U362" s="74">
        <v>0</v>
      </c>
      <c r="V362" s="74">
        <v>0</v>
      </c>
    </row>
    <row r="363" spans="3:22" x14ac:dyDescent="0.25">
      <c r="C363" s="74" t="s">
        <v>18795</v>
      </c>
      <c r="D363" s="74" t="s">
        <v>148</v>
      </c>
      <c r="E363" s="74" t="s">
        <v>21338</v>
      </c>
      <c r="F363" s="74">
        <v>551367</v>
      </c>
      <c r="G363" s="74">
        <v>1000</v>
      </c>
      <c r="H363" s="135">
        <v>43003.42428240741</v>
      </c>
      <c r="I363" s="74" t="s">
        <v>21339</v>
      </c>
      <c r="J363" s="74" t="s">
        <v>21340</v>
      </c>
      <c r="K363" s="74" t="s">
        <v>12596</v>
      </c>
      <c r="L363" s="74">
        <v>690983</v>
      </c>
      <c r="M363" s="74" t="s">
        <v>21341</v>
      </c>
      <c r="N363" s="74">
        <v>1</v>
      </c>
      <c r="O363" s="74" t="s">
        <v>21342</v>
      </c>
      <c r="P363" s="74" t="s">
        <v>21343</v>
      </c>
      <c r="Q363" s="74">
        <v>0</v>
      </c>
      <c r="R363" s="74" t="s">
        <v>148</v>
      </c>
      <c r="S363" s="74" t="s">
        <v>21338</v>
      </c>
      <c r="T363" s="74" t="s">
        <v>402</v>
      </c>
      <c r="U363" s="74">
        <v>0</v>
      </c>
      <c r="V363" s="74">
        <v>0</v>
      </c>
    </row>
    <row r="364" spans="3:22" x14ac:dyDescent="0.25">
      <c r="C364" s="74" t="s">
        <v>18795</v>
      </c>
      <c r="D364" s="74" t="s">
        <v>148</v>
      </c>
      <c r="E364" s="74" t="s">
        <v>21338</v>
      </c>
      <c r="F364" s="74">
        <v>551367</v>
      </c>
      <c r="G364" s="74">
        <v>1000</v>
      </c>
      <c r="H364" s="135">
        <v>43003.42423611111</v>
      </c>
      <c r="I364" s="74" t="s">
        <v>21339</v>
      </c>
      <c r="J364" s="74" t="s">
        <v>21340</v>
      </c>
      <c r="K364" s="74" t="s">
        <v>21453</v>
      </c>
      <c r="L364" s="74">
        <v>639359</v>
      </c>
      <c r="M364" s="74" t="s">
        <v>21341</v>
      </c>
      <c r="N364" s="74">
        <v>1</v>
      </c>
      <c r="O364" s="74" t="s">
        <v>21342</v>
      </c>
      <c r="P364" s="74" t="s">
        <v>21343</v>
      </c>
      <c r="Q364" s="74">
        <v>0</v>
      </c>
      <c r="R364" s="74" t="s">
        <v>148</v>
      </c>
      <c r="S364" s="74" t="s">
        <v>21338</v>
      </c>
      <c r="T364" s="74" t="s">
        <v>402</v>
      </c>
      <c r="U364" s="74">
        <v>0</v>
      </c>
      <c r="V364" s="74">
        <v>0</v>
      </c>
    </row>
    <row r="365" spans="3:22" x14ac:dyDescent="0.25">
      <c r="C365" s="74" t="s">
        <v>18795</v>
      </c>
      <c r="D365" s="74" t="s">
        <v>148</v>
      </c>
      <c r="E365" s="74" t="s">
        <v>21338</v>
      </c>
      <c r="F365" s="74">
        <v>551367</v>
      </c>
      <c r="G365" s="74">
        <v>1000</v>
      </c>
      <c r="H365" s="135">
        <v>43003.421759259261</v>
      </c>
      <c r="I365" s="74" t="s">
        <v>21339</v>
      </c>
      <c r="J365" s="74" t="s">
        <v>21340</v>
      </c>
      <c r="K365" s="74" t="s">
        <v>21453</v>
      </c>
      <c r="L365" s="74">
        <v>639359</v>
      </c>
      <c r="M365" s="74" t="s">
        <v>21341</v>
      </c>
      <c r="N365" s="74">
        <v>1</v>
      </c>
      <c r="O365" s="74" t="s">
        <v>21342</v>
      </c>
      <c r="P365" s="74" t="s">
        <v>21343</v>
      </c>
      <c r="Q365" s="74">
        <v>0</v>
      </c>
      <c r="R365" s="74" t="s">
        <v>148</v>
      </c>
      <c r="S365" s="74" t="s">
        <v>21338</v>
      </c>
      <c r="T365" s="74" t="s">
        <v>402</v>
      </c>
      <c r="U365" s="74">
        <v>0</v>
      </c>
      <c r="V365" s="74">
        <v>0</v>
      </c>
    </row>
    <row r="366" spans="3:22" x14ac:dyDescent="0.25">
      <c r="C366" s="74" t="s">
        <v>18795</v>
      </c>
      <c r="D366" s="74" t="s">
        <v>148</v>
      </c>
      <c r="E366" s="74" t="s">
        <v>21338</v>
      </c>
      <c r="F366" s="74">
        <v>551367</v>
      </c>
      <c r="G366" s="74">
        <v>1000</v>
      </c>
      <c r="H366" s="135">
        <v>43003.420798611114</v>
      </c>
      <c r="I366" s="74" t="s">
        <v>21339</v>
      </c>
      <c r="J366" s="74" t="s">
        <v>21340</v>
      </c>
      <c r="K366" s="74" t="s">
        <v>9527</v>
      </c>
      <c r="L366" s="74">
        <v>552853</v>
      </c>
      <c r="M366" s="74" t="s">
        <v>21341</v>
      </c>
      <c r="N366" s="74">
        <v>1</v>
      </c>
      <c r="O366" s="74" t="s">
        <v>21342</v>
      </c>
      <c r="P366" s="74" t="s">
        <v>21343</v>
      </c>
      <c r="Q366" s="74">
        <v>0</v>
      </c>
      <c r="R366" s="74" t="s">
        <v>148</v>
      </c>
      <c r="S366" s="74" t="s">
        <v>21338</v>
      </c>
      <c r="T366" s="74" t="s">
        <v>402</v>
      </c>
      <c r="U366" s="74">
        <v>0</v>
      </c>
      <c r="V366" s="74">
        <v>0</v>
      </c>
    </row>
    <row r="367" spans="3:22" x14ac:dyDescent="0.25">
      <c r="C367" s="74" t="s">
        <v>18795</v>
      </c>
      <c r="D367" s="74" t="s">
        <v>148</v>
      </c>
      <c r="E367" s="74" t="s">
        <v>21338</v>
      </c>
      <c r="F367" s="74">
        <v>551367</v>
      </c>
      <c r="G367" s="74">
        <v>1000</v>
      </c>
      <c r="H367" s="135">
        <v>43003.419525462959</v>
      </c>
      <c r="I367" s="74" t="s">
        <v>21339</v>
      </c>
      <c r="J367" s="74" t="s">
        <v>21340</v>
      </c>
      <c r="K367" s="74" t="s">
        <v>19046</v>
      </c>
      <c r="L367" s="74">
        <v>554064</v>
      </c>
      <c r="M367" s="74" t="s">
        <v>21341</v>
      </c>
      <c r="N367" s="74">
        <v>1</v>
      </c>
      <c r="O367" s="74" t="s">
        <v>21342</v>
      </c>
      <c r="P367" s="74" t="s">
        <v>21343</v>
      </c>
      <c r="Q367" s="74">
        <v>0</v>
      </c>
      <c r="R367" s="74" t="s">
        <v>148</v>
      </c>
      <c r="S367" s="74" t="s">
        <v>21338</v>
      </c>
      <c r="T367" s="74" t="s">
        <v>402</v>
      </c>
      <c r="U367" s="74">
        <v>0</v>
      </c>
      <c r="V367" s="74">
        <v>0</v>
      </c>
    </row>
    <row r="368" spans="3:22" x14ac:dyDescent="0.25">
      <c r="C368" s="74" t="s">
        <v>18795</v>
      </c>
      <c r="D368" s="74" t="s">
        <v>148</v>
      </c>
      <c r="E368" s="74" t="s">
        <v>21338</v>
      </c>
      <c r="F368" s="74">
        <v>551367</v>
      </c>
      <c r="G368" s="74">
        <v>1000</v>
      </c>
      <c r="H368" s="135">
        <v>43003.416643518518</v>
      </c>
      <c r="I368" s="74" t="s">
        <v>21339</v>
      </c>
      <c r="J368" s="74" t="s">
        <v>21340</v>
      </c>
      <c r="K368" s="74" t="s">
        <v>21419</v>
      </c>
      <c r="L368" s="74">
        <v>687894</v>
      </c>
      <c r="M368" s="74" t="s">
        <v>21341</v>
      </c>
      <c r="N368" s="74">
        <v>1</v>
      </c>
      <c r="O368" s="74" t="s">
        <v>21342</v>
      </c>
      <c r="P368" s="74" t="s">
        <v>21343</v>
      </c>
      <c r="Q368" s="74">
        <v>0</v>
      </c>
      <c r="R368" s="74" t="s">
        <v>148</v>
      </c>
      <c r="S368" s="74" t="s">
        <v>21338</v>
      </c>
      <c r="T368" s="74" t="s">
        <v>402</v>
      </c>
      <c r="U368" s="74">
        <v>0</v>
      </c>
      <c r="V368" s="74">
        <v>0</v>
      </c>
    </row>
    <row r="369" spans="3:22" x14ac:dyDescent="0.25">
      <c r="C369" s="74" t="s">
        <v>18795</v>
      </c>
      <c r="D369" s="74" t="s">
        <v>148</v>
      </c>
      <c r="E369" s="74" t="s">
        <v>21338</v>
      </c>
      <c r="F369" s="74">
        <v>551367</v>
      </c>
      <c r="G369" s="74">
        <v>1000</v>
      </c>
      <c r="H369" s="135">
        <v>43003.41642361111</v>
      </c>
      <c r="I369" s="74" t="s">
        <v>21339</v>
      </c>
      <c r="J369" s="74" t="s">
        <v>21340</v>
      </c>
      <c r="K369" s="74" t="s">
        <v>7929</v>
      </c>
      <c r="L369" s="74">
        <v>552653</v>
      </c>
      <c r="M369" s="74" t="s">
        <v>21341</v>
      </c>
      <c r="N369" s="74">
        <v>1</v>
      </c>
      <c r="O369" s="74" t="s">
        <v>21342</v>
      </c>
      <c r="P369" s="74" t="s">
        <v>21343</v>
      </c>
      <c r="Q369" s="74">
        <v>0</v>
      </c>
      <c r="R369" s="74" t="s">
        <v>148</v>
      </c>
      <c r="S369" s="74" t="s">
        <v>21338</v>
      </c>
      <c r="T369" s="74" t="s">
        <v>402</v>
      </c>
      <c r="U369" s="74">
        <v>0</v>
      </c>
      <c r="V369" s="74">
        <v>0</v>
      </c>
    </row>
    <row r="370" spans="3:22" x14ac:dyDescent="0.25">
      <c r="C370" s="74" t="s">
        <v>18795</v>
      </c>
      <c r="D370" s="74" t="s">
        <v>148</v>
      </c>
      <c r="E370" s="74" t="s">
        <v>21338</v>
      </c>
      <c r="F370" s="74">
        <v>551367</v>
      </c>
      <c r="G370" s="74">
        <v>1000</v>
      </c>
      <c r="H370" s="135">
        <v>43003.406956018516</v>
      </c>
      <c r="I370" s="74" t="s">
        <v>21339</v>
      </c>
      <c r="J370" s="74" t="s">
        <v>21340</v>
      </c>
      <c r="K370" s="74" t="s">
        <v>21453</v>
      </c>
      <c r="L370" s="74">
        <v>639359</v>
      </c>
      <c r="M370" s="74" t="s">
        <v>21341</v>
      </c>
      <c r="N370" s="74">
        <v>1</v>
      </c>
      <c r="O370" s="74" t="s">
        <v>21342</v>
      </c>
      <c r="P370" s="74" t="s">
        <v>21343</v>
      </c>
      <c r="Q370" s="74">
        <v>0</v>
      </c>
      <c r="R370" s="74" t="s">
        <v>148</v>
      </c>
      <c r="S370" s="74" t="s">
        <v>21338</v>
      </c>
      <c r="T370" s="74" t="s">
        <v>402</v>
      </c>
      <c r="U370" s="74">
        <v>0</v>
      </c>
      <c r="V370" s="74">
        <v>0</v>
      </c>
    </row>
    <row r="371" spans="3:22" x14ac:dyDescent="0.25">
      <c r="C371" s="74" t="s">
        <v>18795</v>
      </c>
      <c r="D371" s="74" t="s">
        <v>148</v>
      </c>
      <c r="E371" s="74" t="s">
        <v>21338</v>
      </c>
      <c r="F371" s="74">
        <v>551367</v>
      </c>
      <c r="G371" s="74">
        <v>1000</v>
      </c>
      <c r="H371" s="135">
        <v>43003.404664351852</v>
      </c>
      <c r="I371" s="74" t="s">
        <v>21339</v>
      </c>
      <c r="J371" s="74" t="s">
        <v>21340</v>
      </c>
      <c r="K371" s="74" t="s">
        <v>12377</v>
      </c>
      <c r="L371" s="74">
        <v>674340</v>
      </c>
      <c r="M371" s="74" t="s">
        <v>21341</v>
      </c>
      <c r="N371" s="74">
        <v>1</v>
      </c>
      <c r="O371" s="74" t="s">
        <v>21342</v>
      </c>
      <c r="P371" s="74" t="s">
        <v>21343</v>
      </c>
      <c r="Q371" s="74">
        <v>0</v>
      </c>
      <c r="R371" s="74" t="s">
        <v>148</v>
      </c>
      <c r="S371" s="74" t="s">
        <v>21338</v>
      </c>
      <c r="T371" s="74" t="s">
        <v>402</v>
      </c>
      <c r="U371" s="74">
        <v>0</v>
      </c>
      <c r="V371" s="74">
        <v>0</v>
      </c>
    </row>
    <row r="372" spans="3:22" x14ac:dyDescent="0.25">
      <c r="C372" s="74" t="s">
        <v>18795</v>
      </c>
      <c r="D372" s="74" t="s">
        <v>148</v>
      </c>
      <c r="E372" s="74" t="s">
        <v>21338</v>
      </c>
      <c r="F372" s="74">
        <v>551367</v>
      </c>
      <c r="G372" s="74">
        <v>1000</v>
      </c>
      <c r="H372" s="135">
        <v>43003.404490740744</v>
      </c>
      <c r="I372" s="74" t="s">
        <v>21339</v>
      </c>
      <c r="J372" s="74" t="s">
        <v>21340</v>
      </c>
      <c r="K372" s="74" t="s">
        <v>19147</v>
      </c>
      <c r="L372" s="74">
        <v>554073</v>
      </c>
      <c r="M372" s="74" t="s">
        <v>21341</v>
      </c>
      <c r="N372" s="74">
        <v>1</v>
      </c>
      <c r="O372" s="74" t="s">
        <v>21342</v>
      </c>
      <c r="P372" s="74" t="s">
        <v>21343</v>
      </c>
      <c r="Q372" s="74">
        <v>0</v>
      </c>
      <c r="R372" s="74" t="s">
        <v>148</v>
      </c>
      <c r="S372" s="74" t="s">
        <v>21338</v>
      </c>
      <c r="T372" s="74" t="s">
        <v>402</v>
      </c>
      <c r="U372" s="74">
        <v>0</v>
      </c>
      <c r="V372" s="74">
        <v>0</v>
      </c>
    </row>
    <row r="373" spans="3:22" x14ac:dyDescent="0.25">
      <c r="C373" s="74" t="s">
        <v>18795</v>
      </c>
      <c r="D373" s="74" t="s">
        <v>148</v>
      </c>
      <c r="E373" s="74" t="s">
        <v>21338</v>
      </c>
      <c r="F373" s="74">
        <v>551367</v>
      </c>
      <c r="G373" s="74">
        <v>1000</v>
      </c>
      <c r="H373" s="135">
        <v>43003.404467592591</v>
      </c>
      <c r="I373" s="74" t="s">
        <v>21339</v>
      </c>
      <c r="J373" s="74" t="s">
        <v>21340</v>
      </c>
      <c r="K373" s="74" t="s">
        <v>21454</v>
      </c>
      <c r="L373" s="74">
        <v>827740</v>
      </c>
      <c r="M373" s="74" t="s">
        <v>21341</v>
      </c>
      <c r="N373" s="74">
        <v>1</v>
      </c>
      <c r="O373" s="74" t="s">
        <v>21342</v>
      </c>
      <c r="P373" s="74" t="s">
        <v>21343</v>
      </c>
      <c r="Q373" s="74">
        <v>0</v>
      </c>
      <c r="R373" s="74" t="s">
        <v>148</v>
      </c>
      <c r="S373" s="74" t="s">
        <v>21338</v>
      </c>
      <c r="T373" s="74" t="s">
        <v>402</v>
      </c>
      <c r="U373" s="74">
        <v>0</v>
      </c>
      <c r="V373" s="74">
        <v>0</v>
      </c>
    </row>
    <row r="374" spans="3:22" x14ac:dyDescent="0.25">
      <c r="C374" s="74" t="s">
        <v>21390</v>
      </c>
      <c r="D374" s="74" t="s">
        <v>148</v>
      </c>
      <c r="E374" s="74" t="s">
        <v>21338</v>
      </c>
      <c r="F374" s="74">
        <v>560864</v>
      </c>
      <c r="G374" s="74">
        <v>3</v>
      </c>
      <c r="H374" s="135">
        <v>43003.384293981479</v>
      </c>
      <c r="I374" s="74" t="s">
        <v>21354</v>
      </c>
      <c r="J374" s="74" t="s">
        <v>21355</v>
      </c>
      <c r="K374" s="74" t="s">
        <v>21447</v>
      </c>
      <c r="L374" s="74">
        <v>609300</v>
      </c>
      <c r="M374" s="74" t="s">
        <v>21341</v>
      </c>
      <c r="N374" s="74">
        <v>1</v>
      </c>
      <c r="O374" s="74" t="s">
        <v>21342</v>
      </c>
      <c r="P374" s="74" t="s">
        <v>21345</v>
      </c>
      <c r="R374" s="74" t="s">
        <v>148</v>
      </c>
      <c r="S374" s="74" t="s">
        <v>21338</v>
      </c>
      <c r="T374" s="74" t="s">
        <v>402</v>
      </c>
      <c r="U374" s="74">
        <v>0</v>
      </c>
      <c r="V374" s="74">
        <v>0</v>
      </c>
    </row>
    <row r="375" spans="3:22" x14ac:dyDescent="0.25">
      <c r="C375" s="74" t="s">
        <v>18795</v>
      </c>
      <c r="D375" s="74" t="s">
        <v>148</v>
      </c>
      <c r="E375" s="74" t="s">
        <v>21338</v>
      </c>
      <c r="F375" s="74">
        <v>551367</v>
      </c>
      <c r="G375" s="74">
        <v>1000</v>
      </c>
      <c r="H375" s="135">
        <v>43003.384085648147</v>
      </c>
      <c r="I375" s="74" t="s">
        <v>21339</v>
      </c>
      <c r="J375" s="74" t="s">
        <v>21340</v>
      </c>
      <c r="K375" s="74" t="s">
        <v>7594</v>
      </c>
      <c r="L375" s="74">
        <v>552632</v>
      </c>
      <c r="M375" s="74" t="s">
        <v>21341</v>
      </c>
      <c r="N375" s="74">
        <v>1</v>
      </c>
      <c r="O375" s="74" t="s">
        <v>21342</v>
      </c>
      <c r="P375" s="74" t="s">
        <v>21343</v>
      </c>
      <c r="Q375" s="74">
        <v>0</v>
      </c>
      <c r="R375" s="74" t="s">
        <v>148</v>
      </c>
      <c r="S375" s="74" t="s">
        <v>21338</v>
      </c>
      <c r="T375" s="74" t="s">
        <v>393</v>
      </c>
      <c r="U375" s="74">
        <v>0</v>
      </c>
      <c r="V375" s="74">
        <v>0</v>
      </c>
    </row>
    <row r="376" spans="3:22" x14ac:dyDescent="0.25">
      <c r="C376" s="74" t="s">
        <v>18795</v>
      </c>
      <c r="D376" s="74" t="s">
        <v>148</v>
      </c>
      <c r="E376" s="74" t="s">
        <v>21338</v>
      </c>
      <c r="F376" s="74">
        <v>551367</v>
      </c>
      <c r="G376" s="74">
        <v>1000</v>
      </c>
      <c r="H376" s="135">
        <v>43003.38386574074</v>
      </c>
      <c r="I376" s="74" t="s">
        <v>21339</v>
      </c>
      <c r="J376" s="74" t="s">
        <v>21340</v>
      </c>
      <c r="K376" s="74" t="s">
        <v>13534</v>
      </c>
      <c r="L376" s="74">
        <v>553369</v>
      </c>
      <c r="M376" s="74" t="s">
        <v>21341</v>
      </c>
      <c r="N376" s="74">
        <v>1</v>
      </c>
      <c r="O376" s="74" t="s">
        <v>21342</v>
      </c>
      <c r="P376" s="74" t="s">
        <v>21343</v>
      </c>
      <c r="Q376" s="74">
        <v>0</v>
      </c>
      <c r="R376" s="74" t="s">
        <v>148</v>
      </c>
      <c r="S376" s="74" t="s">
        <v>21338</v>
      </c>
      <c r="T376" s="74" t="s">
        <v>402</v>
      </c>
      <c r="U376" s="74">
        <v>0</v>
      </c>
      <c r="V376" s="74">
        <v>0</v>
      </c>
    </row>
    <row r="377" spans="3:22" x14ac:dyDescent="0.25">
      <c r="C377" s="74" t="s">
        <v>21351</v>
      </c>
      <c r="D377" s="74" t="s">
        <v>148</v>
      </c>
      <c r="E377" s="74" t="s">
        <v>21338</v>
      </c>
      <c r="F377" s="74">
        <v>707864</v>
      </c>
      <c r="G377" s="74">
        <v>3</v>
      </c>
      <c r="H377" s="135">
        <v>43003.383402777778</v>
      </c>
      <c r="I377" s="74" t="s">
        <v>21354</v>
      </c>
      <c r="J377" s="74" t="s">
        <v>21355</v>
      </c>
      <c r="K377" s="74" t="s">
        <v>12596</v>
      </c>
      <c r="L377" s="74">
        <v>690983</v>
      </c>
      <c r="M377" s="74" t="s">
        <v>21341</v>
      </c>
      <c r="N377" s="74">
        <v>1</v>
      </c>
      <c r="O377" s="74" t="s">
        <v>21342</v>
      </c>
      <c r="P377" s="74" t="s">
        <v>21345</v>
      </c>
      <c r="R377" s="74" t="s">
        <v>148</v>
      </c>
      <c r="S377" s="74" t="s">
        <v>21338</v>
      </c>
      <c r="T377" s="74" t="s">
        <v>402</v>
      </c>
      <c r="U377" s="74">
        <v>0</v>
      </c>
      <c r="V377" s="74">
        <v>0</v>
      </c>
    </row>
    <row r="378" spans="3:22" x14ac:dyDescent="0.25">
      <c r="C378" s="74" t="s">
        <v>18795</v>
      </c>
      <c r="D378" s="74" t="s">
        <v>148</v>
      </c>
      <c r="E378" s="74" t="s">
        <v>21338</v>
      </c>
      <c r="F378" s="74">
        <v>551367</v>
      </c>
      <c r="G378" s="74">
        <v>1000</v>
      </c>
      <c r="H378" s="135">
        <v>43003.379745370374</v>
      </c>
      <c r="I378" s="74" t="s">
        <v>21339</v>
      </c>
      <c r="J378" s="74" t="s">
        <v>21340</v>
      </c>
      <c r="K378" s="74" t="s">
        <v>21455</v>
      </c>
      <c r="L378" s="74">
        <v>725347</v>
      </c>
      <c r="M378" s="74" t="s">
        <v>21341</v>
      </c>
      <c r="N378" s="74">
        <v>1</v>
      </c>
      <c r="O378" s="74" t="s">
        <v>21342</v>
      </c>
      <c r="P378" s="74" t="s">
        <v>21343</v>
      </c>
      <c r="Q378" s="74">
        <v>0</v>
      </c>
      <c r="R378" s="74" t="s">
        <v>148</v>
      </c>
      <c r="S378" s="74" t="s">
        <v>21338</v>
      </c>
      <c r="T378" s="74" t="s">
        <v>402</v>
      </c>
      <c r="U378" s="74">
        <v>0</v>
      </c>
      <c r="V378" s="74">
        <v>0</v>
      </c>
    </row>
    <row r="379" spans="3:22" x14ac:dyDescent="0.25">
      <c r="C379" s="74" t="s">
        <v>735</v>
      </c>
      <c r="D379" s="74" t="s">
        <v>148</v>
      </c>
      <c r="E379" s="74" t="s">
        <v>21338</v>
      </c>
      <c r="F379" s="74">
        <v>570025</v>
      </c>
      <c r="G379" s="74">
        <v>3</v>
      </c>
      <c r="H379" s="135">
        <v>43003.37903935185</v>
      </c>
      <c r="I379" s="74" t="s">
        <v>21339</v>
      </c>
      <c r="J379" s="74" t="s">
        <v>21360</v>
      </c>
      <c r="K379" s="74" t="s">
        <v>21456</v>
      </c>
      <c r="L379" s="74">
        <v>891779</v>
      </c>
      <c r="M379" s="74" t="s">
        <v>21341</v>
      </c>
      <c r="N379" s="74">
        <v>1</v>
      </c>
      <c r="O379" s="74" t="s">
        <v>21342</v>
      </c>
      <c r="P379" s="74" t="s">
        <v>21343</v>
      </c>
      <c r="Q379" s="74" t="s">
        <v>21361</v>
      </c>
      <c r="R379" s="74" t="s">
        <v>148</v>
      </c>
      <c r="S379" s="74" t="s">
        <v>21338</v>
      </c>
      <c r="T379" s="74" t="s">
        <v>393</v>
      </c>
      <c r="U379" s="74">
        <v>0</v>
      </c>
      <c r="V379" s="74">
        <v>0</v>
      </c>
    </row>
    <row r="380" spans="3:22" x14ac:dyDescent="0.25">
      <c r="C380" s="74" t="s">
        <v>21386</v>
      </c>
      <c r="D380" s="74" t="s">
        <v>148</v>
      </c>
      <c r="E380" s="74" t="s">
        <v>21338</v>
      </c>
      <c r="F380" s="74">
        <v>674396</v>
      </c>
      <c r="G380" s="74">
        <v>3</v>
      </c>
      <c r="H380" s="135">
        <v>43003.378587962965</v>
      </c>
      <c r="I380" s="74" t="s">
        <v>21365</v>
      </c>
      <c r="J380" s="74" t="s">
        <v>21366</v>
      </c>
      <c r="K380" s="74" t="s">
        <v>21367</v>
      </c>
      <c r="L380" s="74">
        <v>561482</v>
      </c>
      <c r="M380" s="74" t="s">
        <v>21368</v>
      </c>
      <c r="N380" s="74">
        <v>1</v>
      </c>
      <c r="O380" s="74" t="s">
        <v>21369</v>
      </c>
      <c r="P380" s="74" t="s">
        <v>21343</v>
      </c>
      <c r="Q380" s="74" t="s">
        <v>21457</v>
      </c>
      <c r="R380" s="74" t="s">
        <v>148</v>
      </c>
      <c r="S380" s="74" t="s">
        <v>21338</v>
      </c>
      <c r="T380" s="74" t="s">
        <v>21371</v>
      </c>
      <c r="U380" s="74">
        <v>0</v>
      </c>
      <c r="V380" s="74">
        <v>0</v>
      </c>
    </row>
    <row r="381" spans="3:22" x14ac:dyDescent="0.25">
      <c r="C381" s="74" t="s">
        <v>21386</v>
      </c>
      <c r="D381" s="74" t="s">
        <v>148</v>
      </c>
      <c r="E381" s="74" t="s">
        <v>21338</v>
      </c>
      <c r="F381" s="74">
        <v>674396</v>
      </c>
      <c r="G381" s="74">
        <v>3</v>
      </c>
      <c r="H381" s="135">
        <v>43003.378587962965</v>
      </c>
      <c r="I381" s="74" t="s">
        <v>21339</v>
      </c>
      <c r="J381" s="74" t="s">
        <v>21364</v>
      </c>
      <c r="K381" s="74" t="s">
        <v>21458</v>
      </c>
      <c r="L381" s="74">
        <v>829787</v>
      </c>
      <c r="M381" s="74" t="s">
        <v>21341</v>
      </c>
      <c r="N381" s="74">
        <v>1</v>
      </c>
      <c r="O381" s="74" t="s">
        <v>21342</v>
      </c>
      <c r="P381" s="74" t="s">
        <v>21343</v>
      </c>
      <c r="Q381" s="74">
        <v>0</v>
      </c>
      <c r="R381" s="74" t="s">
        <v>148</v>
      </c>
      <c r="S381" s="74" t="s">
        <v>21338</v>
      </c>
      <c r="T381" s="74" t="s">
        <v>393</v>
      </c>
      <c r="U381" s="74">
        <v>0</v>
      </c>
      <c r="V381" s="74">
        <v>0</v>
      </c>
    </row>
    <row r="382" spans="3:22" x14ac:dyDescent="0.25">
      <c r="C382" s="74" t="s">
        <v>21386</v>
      </c>
      <c r="D382" s="74" t="s">
        <v>148</v>
      </c>
      <c r="E382" s="74" t="s">
        <v>21338</v>
      </c>
      <c r="F382" s="74">
        <v>674396</v>
      </c>
      <c r="G382" s="74">
        <v>3</v>
      </c>
      <c r="H382" s="135">
        <v>43003.378576388888</v>
      </c>
      <c r="I382" s="74" t="s">
        <v>21365</v>
      </c>
      <c r="J382" s="74" t="s">
        <v>21366</v>
      </c>
      <c r="K382" s="74" t="s">
        <v>21381</v>
      </c>
      <c r="L382" s="74">
        <v>555660</v>
      </c>
      <c r="M382" s="74" t="s">
        <v>21368</v>
      </c>
      <c r="N382" s="74">
        <v>1</v>
      </c>
      <c r="O382" s="74" t="s">
        <v>21369</v>
      </c>
      <c r="P382" s="74" t="s">
        <v>21343</v>
      </c>
      <c r="Q382" s="74" t="s">
        <v>21457</v>
      </c>
      <c r="R382" s="74" t="s">
        <v>148</v>
      </c>
      <c r="S382" s="74" t="s">
        <v>21338</v>
      </c>
      <c r="T382" s="74" t="s">
        <v>21371</v>
      </c>
      <c r="U382" s="74">
        <v>0</v>
      </c>
      <c r="V382" s="74">
        <v>0</v>
      </c>
    </row>
    <row r="383" spans="3:22" x14ac:dyDescent="0.25">
      <c r="C383" s="74" t="s">
        <v>21386</v>
      </c>
      <c r="D383" s="74" t="s">
        <v>148</v>
      </c>
      <c r="E383" s="74" t="s">
        <v>21338</v>
      </c>
      <c r="F383" s="74">
        <v>674396</v>
      </c>
      <c r="G383" s="74">
        <v>3</v>
      </c>
      <c r="H383" s="135">
        <v>43003.378564814811</v>
      </c>
      <c r="I383" s="74" t="s">
        <v>21339</v>
      </c>
      <c r="J383" s="74" t="s">
        <v>21364</v>
      </c>
      <c r="K383" s="74" t="s">
        <v>21458</v>
      </c>
      <c r="L383" s="74">
        <v>829787</v>
      </c>
      <c r="M383" s="74" t="s">
        <v>21341</v>
      </c>
      <c r="N383" s="74">
        <v>1</v>
      </c>
      <c r="O383" s="74" t="s">
        <v>21342</v>
      </c>
      <c r="P383" s="74" t="s">
        <v>21343</v>
      </c>
      <c r="Q383" s="74">
        <v>0</v>
      </c>
      <c r="R383" s="74" t="s">
        <v>148</v>
      </c>
      <c r="S383" s="74" t="s">
        <v>21338</v>
      </c>
      <c r="T383" s="74" t="s">
        <v>393</v>
      </c>
      <c r="U383" s="74">
        <v>0</v>
      </c>
      <c r="V383" s="74">
        <v>0</v>
      </c>
    </row>
    <row r="384" spans="3:22" x14ac:dyDescent="0.25">
      <c r="C384" s="74" t="s">
        <v>21386</v>
      </c>
      <c r="D384" s="74" t="s">
        <v>148</v>
      </c>
      <c r="E384" s="74" t="s">
        <v>21338</v>
      </c>
      <c r="F384" s="74">
        <v>674396</v>
      </c>
      <c r="G384" s="74">
        <v>3</v>
      </c>
      <c r="H384" s="135">
        <v>43003.378495370373</v>
      </c>
      <c r="I384" s="74" t="s">
        <v>21339</v>
      </c>
      <c r="J384" s="74" t="s">
        <v>21364</v>
      </c>
      <c r="K384" s="74" t="s">
        <v>21458</v>
      </c>
      <c r="L384" s="74">
        <v>829787</v>
      </c>
      <c r="M384" s="74" t="s">
        <v>21341</v>
      </c>
      <c r="N384" s="74">
        <v>1</v>
      </c>
      <c r="O384" s="74" t="s">
        <v>21342</v>
      </c>
      <c r="P384" s="74" t="s">
        <v>21343</v>
      </c>
      <c r="Q384" s="74">
        <v>0</v>
      </c>
      <c r="R384" s="74" t="s">
        <v>148</v>
      </c>
      <c r="S384" s="74" t="s">
        <v>21338</v>
      </c>
      <c r="T384" s="74" t="s">
        <v>393</v>
      </c>
      <c r="U384" s="74">
        <v>0</v>
      </c>
      <c r="V384" s="74">
        <v>0</v>
      </c>
    </row>
    <row r="385" spans="3:22" x14ac:dyDescent="0.25">
      <c r="C385" s="74" t="s">
        <v>21386</v>
      </c>
      <c r="D385" s="74" t="s">
        <v>148</v>
      </c>
      <c r="E385" s="74" t="s">
        <v>21338</v>
      </c>
      <c r="F385" s="74">
        <v>674396</v>
      </c>
      <c r="G385" s="74">
        <v>3</v>
      </c>
      <c r="H385" s="135">
        <v>43003.378287037034</v>
      </c>
      <c r="I385" s="74" t="s">
        <v>21339</v>
      </c>
      <c r="J385" s="74" t="s">
        <v>21362</v>
      </c>
      <c r="K385" s="74" t="s">
        <v>21458</v>
      </c>
      <c r="L385" s="74">
        <v>829787</v>
      </c>
      <c r="M385" s="74" t="s">
        <v>21341</v>
      </c>
      <c r="N385" s="74">
        <v>1</v>
      </c>
      <c r="O385" s="74" t="s">
        <v>21342</v>
      </c>
      <c r="P385" s="74" t="s">
        <v>21343</v>
      </c>
      <c r="Q385" s="74" t="s">
        <v>21363</v>
      </c>
      <c r="R385" s="74" t="s">
        <v>148</v>
      </c>
      <c r="S385" s="74" t="s">
        <v>21338</v>
      </c>
      <c r="T385" s="74" t="s">
        <v>393</v>
      </c>
      <c r="U385" s="74">
        <v>0</v>
      </c>
      <c r="V385" s="74">
        <v>0</v>
      </c>
    </row>
    <row r="386" spans="3:22" x14ac:dyDescent="0.25">
      <c r="C386" s="74" t="s">
        <v>18795</v>
      </c>
      <c r="D386" s="74" t="s">
        <v>148</v>
      </c>
      <c r="E386" s="74" t="s">
        <v>21338</v>
      </c>
      <c r="F386" s="74">
        <v>551367</v>
      </c>
      <c r="G386" s="74">
        <v>1000</v>
      </c>
      <c r="H386" s="135">
        <v>43003.378217592595</v>
      </c>
      <c r="I386" s="74" t="s">
        <v>21339</v>
      </c>
      <c r="J386" s="74" t="s">
        <v>21340</v>
      </c>
      <c r="K386" s="74" t="s">
        <v>21455</v>
      </c>
      <c r="L386" s="74">
        <v>725347</v>
      </c>
      <c r="M386" s="74" t="s">
        <v>21341</v>
      </c>
      <c r="N386" s="74">
        <v>1</v>
      </c>
      <c r="O386" s="74" t="s">
        <v>21342</v>
      </c>
      <c r="P386" s="74" t="s">
        <v>21343</v>
      </c>
      <c r="Q386" s="74">
        <v>0</v>
      </c>
      <c r="R386" s="74" t="s">
        <v>148</v>
      </c>
      <c r="S386" s="74" t="s">
        <v>21338</v>
      </c>
      <c r="T386" s="74" t="s">
        <v>402</v>
      </c>
      <c r="U386" s="74">
        <v>0</v>
      </c>
      <c r="V386" s="74">
        <v>0</v>
      </c>
    </row>
    <row r="387" spans="3:22" x14ac:dyDescent="0.25">
      <c r="C387" s="74" t="s">
        <v>21386</v>
      </c>
      <c r="D387" s="74" t="s">
        <v>148</v>
      </c>
      <c r="E387" s="74" t="s">
        <v>21338</v>
      </c>
      <c r="F387" s="74">
        <v>674396</v>
      </c>
      <c r="G387" s="74">
        <v>3</v>
      </c>
      <c r="H387" s="135">
        <v>43003.377986111111</v>
      </c>
      <c r="I387" s="74" t="s">
        <v>21339</v>
      </c>
      <c r="J387" s="74" t="s">
        <v>21391</v>
      </c>
      <c r="K387" s="74" t="s">
        <v>21458</v>
      </c>
      <c r="L387" s="74">
        <v>829787</v>
      </c>
      <c r="M387" s="74" t="s">
        <v>21341</v>
      </c>
      <c r="N387" s="74">
        <v>1</v>
      </c>
      <c r="O387" s="74" t="s">
        <v>21342</v>
      </c>
      <c r="P387" s="74" t="s">
        <v>21343</v>
      </c>
      <c r="Q387" s="74" t="s">
        <v>21459</v>
      </c>
      <c r="R387" s="74" t="s">
        <v>148</v>
      </c>
      <c r="S387" s="74" t="s">
        <v>21338</v>
      </c>
      <c r="T387" s="74" t="s">
        <v>402</v>
      </c>
      <c r="U387" s="74">
        <v>0</v>
      </c>
      <c r="V387" s="74">
        <v>0</v>
      </c>
    </row>
    <row r="388" spans="3:22" x14ac:dyDescent="0.25">
      <c r="C388" s="74" t="s">
        <v>21386</v>
      </c>
      <c r="D388" s="74" t="s">
        <v>148</v>
      </c>
      <c r="E388" s="74" t="s">
        <v>21338</v>
      </c>
      <c r="F388" s="74">
        <v>674396</v>
      </c>
      <c r="G388" s="74">
        <v>3</v>
      </c>
      <c r="H388" s="135">
        <v>43003.377986111111</v>
      </c>
      <c r="I388" s="74" t="s">
        <v>21339</v>
      </c>
      <c r="J388" s="74" t="s">
        <v>21391</v>
      </c>
      <c r="K388" s="74" t="s">
        <v>21458</v>
      </c>
      <c r="L388" s="74">
        <v>829787</v>
      </c>
      <c r="M388" s="74" t="s">
        <v>21341</v>
      </c>
      <c r="N388" s="74">
        <v>1</v>
      </c>
      <c r="O388" s="74" t="s">
        <v>21342</v>
      </c>
      <c r="P388" s="74" t="s">
        <v>21343</v>
      </c>
      <c r="Q388" s="74" t="s">
        <v>21459</v>
      </c>
      <c r="R388" s="74" t="s">
        <v>148</v>
      </c>
      <c r="S388" s="74" t="s">
        <v>21338</v>
      </c>
      <c r="T388" s="74" t="s">
        <v>402</v>
      </c>
      <c r="U388" s="74">
        <v>0</v>
      </c>
      <c r="V388" s="74">
        <v>0</v>
      </c>
    </row>
    <row r="389" spans="3:22" x14ac:dyDescent="0.25">
      <c r="C389" s="74" t="s">
        <v>18795</v>
      </c>
      <c r="D389" s="74" t="s">
        <v>148</v>
      </c>
      <c r="E389" s="74" t="s">
        <v>21338</v>
      </c>
      <c r="F389" s="74">
        <v>551367</v>
      </c>
      <c r="G389" s="74">
        <v>1000</v>
      </c>
      <c r="H389" s="135">
        <v>43003.371944444443</v>
      </c>
      <c r="I389" s="74" t="s">
        <v>21339</v>
      </c>
      <c r="J389" s="74" t="s">
        <v>21340</v>
      </c>
      <c r="K389" s="74" t="s">
        <v>12596</v>
      </c>
      <c r="L389" s="74">
        <v>690983</v>
      </c>
      <c r="M389" s="74" t="s">
        <v>21341</v>
      </c>
      <c r="N389" s="74">
        <v>1</v>
      </c>
      <c r="O389" s="74" t="s">
        <v>21342</v>
      </c>
      <c r="P389" s="74" t="s">
        <v>21343</v>
      </c>
      <c r="Q389" s="74">
        <v>0</v>
      </c>
      <c r="R389" s="74" t="s">
        <v>148</v>
      </c>
      <c r="S389" s="74" t="s">
        <v>21338</v>
      </c>
      <c r="T389" s="74" t="s">
        <v>402</v>
      </c>
      <c r="U389" s="74">
        <v>0</v>
      </c>
      <c r="V389" s="74">
        <v>0</v>
      </c>
    </row>
    <row r="390" spans="3:22" x14ac:dyDescent="0.25">
      <c r="C390" s="74" t="s">
        <v>18795</v>
      </c>
      <c r="D390" s="74" t="s">
        <v>148</v>
      </c>
      <c r="E390" s="74" t="s">
        <v>21338</v>
      </c>
      <c r="F390" s="74">
        <v>551367</v>
      </c>
      <c r="G390" s="74">
        <v>1000</v>
      </c>
      <c r="H390" s="135">
        <v>43003.366689814815</v>
      </c>
      <c r="I390" s="74" t="s">
        <v>21339</v>
      </c>
      <c r="J390" s="74" t="s">
        <v>21340</v>
      </c>
      <c r="K390" s="74" t="s">
        <v>11057</v>
      </c>
      <c r="L390" s="74">
        <v>693721</v>
      </c>
      <c r="M390" s="74" t="s">
        <v>21341</v>
      </c>
      <c r="N390" s="74">
        <v>1</v>
      </c>
      <c r="O390" s="74" t="s">
        <v>21342</v>
      </c>
      <c r="P390" s="74" t="s">
        <v>21343</v>
      </c>
      <c r="Q390" s="74">
        <v>0</v>
      </c>
      <c r="R390" s="74" t="s">
        <v>148</v>
      </c>
      <c r="S390" s="74" t="s">
        <v>21338</v>
      </c>
      <c r="T390" s="74" t="s">
        <v>402</v>
      </c>
      <c r="U390" s="74">
        <v>0</v>
      </c>
      <c r="V390" s="74">
        <v>0</v>
      </c>
    </row>
    <row r="391" spans="3:22" x14ac:dyDescent="0.25">
      <c r="C391" s="74" t="s">
        <v>735</v>
      </c>
      <c r="D391" s="74" t="s">
        <v>148</v>
      </c>
      <c r="E391" s="74" t="s">
        <v>21338</v>
      </c>
      <c r="F391" s="74">
        <v>570025</v>
      </c>
      <c r="G391" s="74">
        <v>3</v>
      </c>
      <c r="H391" s="135">
        <v>43003.36278935185</v>
      </c>
      <c r="I391" s="74" t="s">
        <v>21339</v>
      </c>
      <c r="J391" s="74" t="s">
        <v>21362</v>
      </c>
      <c r="K391" s="74" t="s">
        <v>21456</v>
      </c>
      <c r="L391" s="74">
        <v>891779</v>
      </c>
      <c r="M391" s="74" t="s">
        <v>21341</v>
      </c>
      <c r="N391" s="74">
        <v>1</v>
      </c>
      <c r="O391" s="74" t="s">
        <v>21342</v>
      </c>
      <c r="P391" s="74" t="s">
        <v>21343</v>
      </c>
      <c r="Q391" s="74" t="s">
        <v>21363</v>
      </c>
      <c r="R391" s="74" t="s">
        <v>148</v>
      </c>
      <c r="S391" s="74" t="s">
        <v>21338</v>
      </c>
      <c r="T391" s="74" t="s">
        <v>393</v>
      </c>
      <c r="U391" s="74">
        <v>0</v>
      </c>
      <c r="V391" s="74">
        <v>0</v>
      </c>
    </row>
    <row r="392" spans="3:22" x14ac:dyDescent="0.25">
      <c r="C392" s="74" t="s">
        <v>735</v>
      </c>
      <c r="D392" s="74" t="s">
        <v>148</v>
      </c>
      <c r="E392" s="74" t="s">
        <v>21338</v>
      </c>
      <c r="F392" s="74">
        <v>570025</v>
      </c>
      <c r="G392" s="74">
        <v>3</v>
      </c>
      <c r="H392" s="135">
        <v>43003.361527777779</v>
      </c>
      <c r="I392" s="74" t="s">
        <v>21339</v>
      </c>
      <c r="J392" s="74" t="s">
        <v>21364</v>
      </c>
      <c r="K392" s="74" t="s">
        <v>21456</v>
      </c>
      <c r="L392" s="74">
        <v>891779</v>
      </c>
      <c r="M392" s="74" t="s">
        <v>21341</v>
      </c>
      <c r="N392" s="74">
        <v>1</v>
      </c>
      <c r="O392" s="74" t="s">
        <v>21342</v>
      </c>
      <c r="P392" s="74" t="s">
        <v>21343</v>
      </c>
      <c r="Q392" s="74">
        <v>0</v>
      </c>
      <c r="R392" s="74" t="s">
        <v>148</v>
      </c>
      <c r="S392" s="74" t="s">
        <v>21338</v>
      </c>
      <c r="T392" s="74" t="s">
        <v>402</v>
      </c>
      <c r="U392" s="74">
        <v>0</v>
      </c>
      <c r="V392" s="74">
        <v>0</v>
      </c>
    </row>
    <row r="393" spans="3:22" x14ac:dyDescent="0.25">
      <c r="C393" s="74" t="s">
        <v>735</v>
      </c>
      <c r="D393" s="74" t="s">
        <v>148</v>
      </c>
      <c r="E393" s="74" t="s">
        <v>21338</v>
      </c>
      <c r="F393" s="74">
        <v>570025</v>
      </c>
      <c r="G393" s="74">
        <v>3</v>
      </c>
      <c r="H393" s="135">
        <v>43003.361516203702</v>
      </c>
      <c r="I393" s="74" t="s">
        <v>21365</v>
      </c>
      <c r="J393" s="74" t="s">
        <v>21366</v>
      </c>
      <c r="K393" s="74" t="s">
        <v>21367</v>
      </c>
      <c r="L393" s="74">
        <v>561482</v>
      </c>
      <c r="M393" s="74" t="s">
        <v>21368</v>
      </c>
      <c r="N393" s="74">
        <v>1</v>
      </c>
      <c r="O393" s="74" t="s">
        <v>21369</v>
      </c>
      <c r="P393" s="74" t="s">
        <v>21343</v>
      </c>
      <c r="Q393" s="74" t="s">
        <v>21460</v>
      </c>
      <c r="R393" s="74" t="s">
        <v>148</v>
      </c>
      <c r="S393" s="74" t="s">
        <v>21338</v>
      </c>
      <c r="T393" s="74" t="s">
        <v>21371</v>
      </c>
      <c r="U393" s="74">
        <v>0</v>
      </c>
      <c r="V393" s="74">
        <v>0</v>
      </c>
    </row>
    <row r="394" spans="3:22" x14ac:dyDescent="0.25">
      <c r="C394" s="74" t="s">
        <v>735</v>
      </c>
      <c r="D394" s="74" t="s">
        <v>148</v>
      </c>
      <c r="E394" s="74" t="s">
        <v>21338</v>
      </c>
      <c r="F394" s="74">
        <v>570025</v>
      </c>
      <c r="G394" s="74">
        <v>3</v>
      </c>
      <c r="H394" s="135">
        <v>43003.361516203702</v>
      </c>
      <c r="I394" s="74" t="s">
        <v>21365</v>
      </c>
      <c r="J394" s="74" t="s">
        <v>21366</v>
      </c>
      <c r="K394" s="74" t="s">
        <v>21403</v>
      </c>
      <c r="L394" s="74">
        <v>561483</v>
      </c>
      <c r="M394" s="74" t="s">
        <v>21368</v>
      </c>
      <c r="N394" s="74">
        <v>1</v>
      </c>
      <c r="O394" s="74" t="s">
        <v>21369</v>
      </c>
      <c r="P394" s="74" t="s">
        <v>21343</v>
      </c>
      <c r="Q394" s="74" t="s">
        <v>21460</v>
      </c>
      <c r="R394" s="74" t="s">
        <v>148</v>
      </c>
      <c r="S394" s="74" t="s">
        <v>21338</v>
      </c>
      <c r="T394" s="74" t="s">
        <v>21371</v>
      </c>
      <c r="U394" s="74">
        <v>0</v>
      </c>
      <c r="V394" s="74">
        <v>0</v>
      </c>
    </row>
    <row r="395" spans="3:22" x14ac:dyDescent="0.25">
      <c r="C395" s="74" t="s">
        <v>735</v>
      </c>
      <c r="D395" s="74" t="s">
        <v>148</v>
      </c>
      <c r="E395" s="74" t="s">
        <v>21338</v>
      </c>
      <c r="F395" s="74">
        <v>570025</v>
      </c>
      <c r="G395" s="74">
        <v>3</v>
      </c>
      <c r="H395" s="135">
        <v>43003.361504629633</v>
      </c>
      <c r="I395" s="74" t="s">
        <v>21365</v>
      </c>
      <c r="J395" s="74" t="s">
        <v>21366</v>
      </c>
      <c r="K395" s="74" t="s">
        <v>21405</v>
      </c>
      <c r="L395" s="74">
        <v>561085</v>
      </c>
      <c r="M395" s="74" t="s">
        <v>21368</v>
      </c>
      <c r="N395" s="74">
        <v>1</v>
      </c>
      <c r="O395" s="74" t="s">
        <v>21369</v>
      </c>
      <c r="P395" s="74" t="s">
        <v>21343</v>
      </c>
      <c r="Q395" s="74" t="s">
        <v>21460</v>
      </c>
      <c r="R395" s="74" t="s">
        <v>148</v>
      </c>
      <c r="S395" s="74" t="s">
        <v>21338</v>
      </c>
      <c r="T395" s="74" t="s">
        <v>21371</v>
      </c>
      <c r="U395" s="74">
        <v>0</v>
      </c>
      <c r="V395" s="74">
        <v>0</v>
      </c>
    </row>
    <row r="396" spans="3:22" x14ac:dyDescent="0.25">
      <c r="C396" s="74" t="s">
        <v>735</v>
      </c>
      <c r="D396" s="74" t="s">
        <v>148</v>
      </c>
      <c r="E396" s="74" t="s">
        <v>21338</v>
      </c>
      <c r="F396" s="74">
        <v>570025</v>
      </c>
      <c r="G396" s="74">
        <v>3</v>
      </c>
      <c r="H396" s="135">
        <v>43003.361493055556</v>
      </c>
      <c r="I396" s="74" t="s">
        <v>21365</v>
      </c>
      <c r="J396" s="74" t="s">
        <v>21366</v>
      </c>
      <c r="K396" s="74" t="s">
        <v>21381</v>
      </c>
      <c r="L396" s="74">
        <v>555660</v>
      </c>
      <c r="M396" s="74" t="s">
        <v>21368</v>
      </c>
      <c r="N396" s="74">
        <v>1</v>
      </c>
      <c r="O396" s="74" t="s">
        <v>21369</v>
      </c>
      <c r="P396" s="74" t="s">
        <v>21343</v>
      </c>
      <c r="Q396" s="74" t="s">
        <v>21460</v>
      </c>
      <c r="R396" s="74" t="s">
        <v>148</v>
      </c>
      <c r="S396" s="74" t="s">
        <v>21338</v>
      </c>
      <c r="T396" s="74" t="s">
        <v>21371</v>
      </c>
      <c r="U396" s="74">
        <v>0</v>
      </c>
      <c r="V396" s="74">
        <v>0</v>
      </c>
    </row>
    <row r="397" spans="3:22" x14ac:dyDescent="0.25">
      <c r="C397" s="74" t="s">
        <v>735</v>
      </c>
      <c r="D397" s="74" t="s">
        <v>148</v>
      </c>
      <c r="E397" s="74" t="s">
        <v>21338</v>
      </c>
      <c r="F397" s="74">
        <v>570025</v>
      </c>
      <c r="G397" s="74">
        <v>3</v>
      </c>
      <c r="H397" s="135">
        <v>43003.36146990741</v>
      </c>
      <c r="I397" s="74" t="s">
        <v>21339</v>
      </c>
      <c r="J397" s="74" t="s">
        <v>21364</v>
      </c>
      <c r="K397" s="74" t="s">
        <v>21456</v>
      </c>
      <c r="L397" s="74">
        <v>891779</v>
      </c>
      <c r="M397" s="74" t="s">
        <v>21341</v>
      </c>
      <c r="N397" s="74">
        <v>1</v>
      </c>
      <c r="O397" s="74" t="s">
        <v>21342</v>
      </c>
      <c r="P397" s="74" t="s">
        <v>21343</v>
      </c>
      <c r="Q397" s="74">
        <v>0</v>
      </c>
      <c r="R397" s="74" t="s">
        <v>148</v>
      </c>
      <c r="S397" s="74" t="s">
        <v>21338</v>
      </c>
      <c r="T397" s="74" t="s">
        <v>402</v>
      </c>
      <c r="U397" s="74">
        <v>0</v>
      </c>
      <c r="V397" s="74">
        <v>0</v>
      </c>
    </row>
    <row r="398" spans="3:22" x14ac:dyDescent="0.25">
      <c r="C398" s="74" t="s">
        <v>735</v>
      </c>
      <c r="D398" s="74" t="s">
        <v>148</v>
      </c>
      <c r="E398" s="74" t="s">
        <v>21338</v>
      </c>
      <c r="F398" s="74">
        <v>570025</v>
      </c>
      <c r="G398" s="74">
        <v>3</v>
      </c>
      <c r="H398" s="135">
        <v>43003.360868055555</v>
      </c>
      <c r="I398" s="74" t="s">
        <v>21339</v>
      </c>
      <c r="J398" s="74" t="s">
        <v>21364</v>
      </c>
      <c r="K398" s="74" t="s">
        <v>21456</v>
      </c>
      <c r="L398" s="74">
        <v>891779</v>
      </c>
      <c r="M398" s="74" t="s">
        <v>21341</v>
      </c>
      <c r="N398" s="74">
        <v>1</v>
      </c>
      <c r="O398" s="74" t="s">
        <v>21342</v>
      </c>
      <c r="P398" s="74" t="s">
        <v>21343</v>
      </c>
      <c r="Q398" s="74">
        <v>0</v>
      </c>
      <c r="R398" s="74" t="s">
        <v>148</v>
      </c>
      <c r="S398" s="74" t="s">
        <v>21338</v>
      </c>
      <c r="T398" s="74" t="s">
        <v>402</v>
      </c>
      <c r="U398" s="74">
        <v>0</v>
      </c>
      <c r="V398" s="74">
        <v>0</v>
      </c>
    </row>
    <row r="399" spans="3:22" x14ac:dyDescent="0.25">
      <c r="C399" s="74" t="s">
        <v>735</v>
      </c>
      <c r="D399" s="74" t="s">
        <v>148</v>
      </c>
      <c r="E399" s="74" t="s">
        <v>21338</v>
      </c>
      <c r="F399" s="74">
        <v>570025</v>
      </c>
      <c r="G399" s="74">
        <v>3</v>
      </c>
      <c r="H399" s="135">
        <v>43003.3596412037</v>
      </c>
      <c r="I399" s="74" t="s">
        <v>21339</v>
      </c>
      <c r="J399" s="74" t="s">
        <v>21360</v>
      </c>
      <c r="K399" s="74" t="s">
        <v>16386</v>
      </c>
      <c r="L399" s="74">
        <v>901062</v>
      </c>
      <c r="M399" s="74" t="s">
        <v>21341</v>
      </c>
      <c r="N399" s="74">
        <v>1</v>
      </c>
      <c r="O399" s="74" t="s">
        <v>21342</v>
      </c>
      <c r="P399" s="74" t="s">
        <v>21343</v>
      </c>
      <c r="Q399" s="74" t="s">
        <v>21361</v>
      </c>
      <c r="R399" s="74" t="s">
        <v>148</v>
      </c>
      <c r="S399" s="74" t="s">
        <v>21338</v>
      </c>
      <c r="T399" s="74" t="s">
        <v>393</v>
      </c>
      <c r="U399" s="74">
        <v>0</v>
      </c>
      <c r="V399" s="74">
        <v>0</v>
      </c>
    </row>
    <row r="400" spans="3:22" x14ac:dyDescent="0.25">
      <c r="C400" s="74" t="s">
        <v>735</v>
      </c>
      <c r="D400" s="74" t="s">
        <v>148</v>
      </c>
      <c r="E400" s="74" t="s">
        <v>21338</v>
      </c>
      <c r="F400" s="74">
        <v>570025</v>
      </c>
      <c r="G400" s="74">
        <v>3</v>
      </c>
      <c r="H400" s="135">
        <v>43003.358252314814</v>
      </c>
      <c r="I400" s="74" t="s">
        <v>21339</v>
      </c>
      <c r="J400" s="74" t="s">
        <v>21362</v>
      </c>
      <c r="K400" s="74" t="s">
        <v>16386</v>
      </c>
      <c r="L400" s="74">
        <v>901062</v>
      </c>
      <c r="M400" s="74" t="s">
        <v>21341</v>
      </c>
      <c r="N400" s="74">
        <v>1</v>
      </c>
      <c r="O400" s="74" t="s">
        <v>21342</v>
      </c>
      <c r="P400" s="74" t="s">
        <v>21343</v>
      </c>
      <c r="Q400" s="74" t="s">
        <v>21363</v>
      </c>
      <c r="R400" s="74" t="s">
        <v>148</v>
      </c>
      <c r="S400" s="74" t="s">
        <v>21338</v>
      </c>
      <c r="T400" s="74" t="s">
        <v>393</v>
      </c>
      <c r="U400" s="74">
        <v>0</v>
      </c>
      <c r="V400" s="74">
        <v>0</v>
      </c>
    </row>
    <row r="401" spans="3:22" x14ac:dyDescent="0.25">
      <c r="C401" s="74" t="s">
        <v>735</v>
      </c>
      <c r="D401" s="74" t="s">
        <v>148</v>
      </c>
      <c r="E401" s="74" t="s">
        <v>21338</v>
      </c>
      <c r="F401" s="74">
        <v>570025</v>
      </c>
      <c r="G401" s="74">
        <v>3</v>
      </c>
      <c r="H401" s="135">
        <v>43003.358020833337</v>
      </c>
      <c r="I401" s="74" t="s">
        <v>21365</v>
      </c>
      <c r="J401" s="74" t="s">
        <v>21366</v>
      </c>
      <c r="K401" s="74" t="s">
        <v>21403</v>
      </c>
      <c r="L401" s="74">
        <v>561483</v>
      </c>
      <c r="M401" s="74" t="s">
        <v>21368</v>
      </c>
      <c r="N401" s="74">
        <v>1</v>
      </c>
      <c r="O401" s="74" t="s">
        <v>21369</v>
      </c>
      <c r="P401" s="74" t="s">
        <v>21343</v>
      </c>
      <c r="Q401" s="74" t="s">
        <v>21461</v>
      </c>
      <c r="R401" s="74" t="s">
        <v>148</v>
      </c>
      <c r="S401" s="74" t="s">
        <v>21338</v>
      </c>
      <c r="T401" s="74" t="s">
        <v>21371</v>
      </c>
      <c r="U401" s="74">
        <v>0</v>
      </c>
      <c r="V401" s="74">
        <v>0</v>
      </c>
    </row>
    <row r="402" spans="3:22" x14ac:dyDescent="0.25">
      <c r="C402" s="74" t="s">
        <v>735</v>
      </c>
      <c r="D402" s="74" t="s">
        <v>148</v>
      </c>
      <c r="E402" s="74" t="s">
        <v>21338</v>
      </c>
      <c r="F402" s="74">
        <v>570025</v>
      </c>
      <c r="G402" s="74">
        <v>3</v>
      </c>
      <c r="H402" s="135">
        <v>43003.358020833337</v>
      </c>
      <c r="I402" s="74" t="s">
        <v>21339</v>
      </c>
      <c r="J402" s="74" t="s">
        <v>21364</v>
      </c>
      <c r="K402" s="74" t="s">
        <v>16386</v>
      </c>
      <c r="L402" s="74">
        <v>901062</v>
      </c>
      <c r="M402" s="74" t="s">
        <v>21341</v>
      </c>
      <c r="N402" s="74">
        <v>1</v>
      </c>
      <c r="O402" s="74" t="s">
        <v>21342</v>
      </c>
      <c r="P402" s="74" t="s">
        <v>21343</v>
      </c>
      <c r="Q402" s="74">
        <v>0</v>
      </c>
      <c r="R402" s="74" t="s">
        <v>148</v>
      </c>
      <c r="S402" s="74" t="s">
        <v>21338</v>
      </c>
      <c r="T402" s="74" t="s">
        <v>402</v>
      </c>
      <c r="U402" s="74">
        <v>0</v>
      </c>
      <c r="V402" s="74">
        <v>0</v>
      </c>
    </row>
    <row r="403" spans="3:22" x14ac:dyDescent="0.25">
      <c r="C403" s="74" t="s">
        <v>735</v>
      </c>
      <c r="D403" s="74" t="s">
        <v>148</v>
      </c>
      <c r="E403" s="74" t="s">
        <v>21338</v>
      </c>
      <c r="F403" s="74">
        <v>570025</v>
      </c>
      <c r="G403" s="74">
        <v>3</v>
      </c>
      <c r="H403" s="135">
        <v>43003.35800925926</v>
      </c>
      <c r="I403" s="74" t="s">
        <v>21365</v>
      </c>
      <c r="J403" s="74" t="s">
        <v>21366</v>
      </c>
      <c r="K403" s="74" t="s">
        <v>21367</v>
      </c>
      <c r="L403" s="74">
        <v>561482</v>
      </c>
      <c r="M403" s="74" t="s">
        <v>21368</v>
      </c>
      <c r="N403" s="74">
        <v>1</v>
      </c>
      <c r="O403" s="74" t="s">
        <v>21369</v>
      </c>
      <c r="P403" s="74" t="s">
        <v>21343</v>
      </c>
      <c r="Q403" s="74" t="s">
        <v>21461</v>
      </c>
      <c r="R403" s="74" t="s">
        <v>148</v>
      </c>
      <c r="S403" s="74" t="s">
        <v>21338</v>
      </c>
      <c r="T403" s="74" t="s">
        <v>21371</v>
      </c>
      <c r="U403" s="74">
        <v>0</v>
      </c>
      <c r="V403" s="74">
        <v>0</v>
      </c>
    </row>
    <row r="404" spans="3:22" x14ac:dyDescent="0.25">
      <c r="C404" s="74" t="s">
        <v>735</v>
      </c>
      <c r="D404" s="74" t="s">
        <v>148</v>
      </c>
      <c r="E404" s="74" t="s">
        <v>21338</v>
      </c>
      <c r="F404" s="74">
        <v>570025</v>
      </c>
      <c r="G404" s="74">
        <v>3</v>
      </c>
      <c r="H404" s="135">
        <v>43003.357997685183</v>
      </c>
      <c r="I404" s="74" t="s">
        <v>21365</v>
      </c>
      <c r="J404" s="74" t="s">
        <v>21366</v>
      </c>
      <c r="K404" s="74" t="s">
        <v>21376</v>
      </c>
      <c r="L404" s="74">
        <v>555659</v>
      </c>
      <c r="M404" s="74" t="s">
        <v>21368</v>
      </c>
      <c r="N404" s="74">
        <v>1</v>
      </c>
      <c r="O404" s="74" t="s">
        <v>21369</v>
      </c>
      <c r="P404" s="74" t="s">
        <v>21343</v>
      </c>
      <c r="Q404" s="74" t="s">
        <v>21461</v>
      </c>
      <c r="R404" s="74" t="s">
        <v>148</v>
      </c>
      <c r="S404" s="74" t="s">
        <v>21338</v>
      </c>
      <c r="T404" s="74" t="s">
        <v>21371</v>
      </c>
      <c r="U404" s="74">
        <v>0</v>
      </c>
      <c r="V404" s="74">
        <v>0</v>
      </c>
    </row>
    <row r="405" spans="3:22" x14ac:dyDescent="0.25">
      <c r="C405" s="74" t="s">
        <v>735</v>
      </c>
      <c r="D405" s="74" t="s">
        <v>148</v>
      </c>
      <c r="E405" s="74" t="s">
        <v>21338</v>
      </c>
      <c r="F405" s="74">
        <v>570025</v>
      </c>
      <c r="G405" s="74">
        <v>3</v>
      </c>
      <c r="H405" s="135">
        <v>43003.357997685183</v>
      </c>
      <c r="I405" s="74" t="s">
        <v>21365</v>
      </c>
      <c r="J405" s="74" t="s">
        <v>21366</v>
      </c>
      <c r="K405" s="74" t="s">
        <v>21381</v>
      </c>
      <c r="L405" s="74">
        <v>555660</v>
      </c>
      <c r="M405" s="74" t="s">
        <v>21368</v>
      </c>
      <c r="N405" s="74">
        <v>1</v>
      </c>
      <c r="O405" s="74" t="s">
        <v>21369</v>
      </c>
      <c r="P405" s="74" t="s">
        <v>21343</v>
      </c>
      <c r="Q405" s="74" t="s">
        <v>21461</v>
      </c>
      <c r="R405" s="74" t="s">
        <v>148</v>
      </c>
      <c r="S405" s="74" t="s">
        <v>21338</v>
      </c>
      <c r="T405" s="74" t="s">
        <v>21371</v>
      </c>
      <c r="U405" s="74">
        <v>0</v>
      </c>
      <c r="V405" s="74">
        <v>0</v>
      </c>
    </row>
    <row r="406" spans="3:22" x14ac:dyDescent="0.25">
      <c r="C406" s="74" t="s">
        <v>735</v>
      </c>
      <c r="D406" s="74" t="s">
        <v>148</v>
      </c>
      <c r="E406" s="74" t="s">
        <v>21338</v>
      </c>
      <c r="F406" s="74">
        <v>570025</v>
      </c>
      <c r="G406" s="74">
        <v>3</v>
      </c>
      <c r="H406" s="135">
        <v>43003.35796296296</v>
      </c>
      <c r="I406" s="74" t="s">
        <v>21339</v>
      </c>
      <c r="J406" s="74" t="s">
        <v>21364</v>
      </c>
      <c r="K406" s="74" t="s">
        <v>16386</v>
      </c>
      <c r="L406" s="74">
        <v>901062</v>
      </c>
      <c r="M406" s="74" t="s">
        <v>21341</v>
      </c>
      <c r="N406" s="74">
        <v>1</v>
      </c>
      <c r="O406" s="74" t="s">
        <v>21342</v>
      </c>
      <c r="P406" s="74" t="s">
        <v>21343</v>
      </c>
      <c r="Q406" s="74">
        <v>0</v>
      </c>
      <c r="R406" s="74" t="s">
        <v>148</v>
      </c>
      <c r="S406" s="74" t="s">
        <v>21338</v>
      </c>
      <c r="T406" s="74" t="s">
        <v>402</v>
      </c>
      <c r="U406" s="74">
        <v>0</v>
      </c>
      <c r="V406" s="74">
        <v>0</v>
      </c>
    </row>
    <row r="407" spans="3:22" x14ac:dyDescent="0.25">
      <c r="C407" s="74" t="s">
        <v>735</v>
      </c>
      <c r="D407" s="74" t="s">
        <v>148</v>
      </c>
      <c r="E407" s="74" t="s">
        <v>21338</v>
      </c>
      <c r="F407" s="74">
        <v>570025</v>
      </c>
      <c r="G407" s="74">
        <v>3</v>
      </c>
      <c r="H407" s="135">
        <v>43003.357592592591</v>
      </c>
      <c r="I407" s="74" t="s">
        <v>21339</v>
      </c>
      <c r="J407" s="74" t="s">
        <v>21364</v>
      </c>
      <c r="K407" s="74" t="s">
        <v>16386</v>
      </c>
      <c r="L407" s="74">
        <v>901062</v>
      </c>
      <c r="M407" s="74" t="s">
        <v>21341</v>
      </c>
      <c r="N407" s="74">
        <v>1</v>
      </c>
      <c r="O407" s="74" t="s">
        <v>21342</v>
      </c>
      <c r="P407" s="74" t="s">
        <v>21343</v>
      </c>
      <c r="Q407" s="74">
        <v>0</v>
      </c>
      <c r="R407" s="74" t="s">
        <v>148</v>
      </c>
      <c r="S407" s="74" t="s">
        <v>21338</v>
      </c>
      <c r="T407" s="74" t="s">
        <v>402</v>
      </c>
      <c r="U407" s="74">
        <v>0</v>
      </c>
      <c r="V407" s="74">
        <v>0</v>
      </c>
    </row>
    <row r="408" spans="3:22" x14ac:dyDescent="0.25">
      <c r="C408" s="74" t="s">
        <v>735</v>
      </c>
      <c r="D408" s="74" t="s">
        <v>148</v>
      </c>
      <c r="E408" s="74" t="s">
        <v>21338</v>
      </c>
      <c r="F408" s="74">
        <v>570025</v>
      </c>
      <c r="G408" s="74">
        <v>3</v>
      </c>
      <c r="H408" s="135">
        <v>43003.356979166667</v>
      </c>
      <c r="I408" s="74" t="s">
        <v>21339</v>
      </c>
      <c r="J408" s="74" t="s">
        <v>21360</v>
      </c>
      <c r="K408" s="74" t="s">
        <v>21462</v>
      </c>
      <c r="L408" s="74">
        <v>897863</v>
      </c>
      <c r="M408" s="74" t="s">
        <v>21341</v>
      </c>
      <c r="N408" s="74">
        <v>1</v>
      </c>
      <c r="O408" s="74" t="s">
        <v>21342</v>
      </c>
      <c r="P408" s="74" t="s">
        <v>21343</v>
      </c>
      <c r="Q408" s="74" t="s">
        <v>21361</v>
      </c>
      <c r="R408" s="74" t="s">
        <v>148</v>
      </c>
      <c r="S408" s="74" t="s">
        <v>21338</v>
      </c>
      <c r="T408" s="74" t="s">
        <v>393</v>
      </c>
      <c r="U408" s="74">
        <v>0</v>
      </c>
      <c r="V408" s="74">
        <v>0</v>
      </c>
    </row>
    <row r="409" spans="3:22" x14ac:dyDescent="0.25">
      <c r="C409" s="74" t="s">
        <v>735</v>
      </c>
      <c r="D409" s="74" t="s">
        <v>148</v>
      </c>
      <c r="E409" s="74" t="s">
        <v>21338</v>
      </c>
      <c r="F409" s="74">
        <v>570025</v>
      </c>
      <c r="G409" s="74">
        <v>3</v>
      </c>
      <c r="H409" s="135">
        <v>43003.355138888888</v>
      </c>
      <c r="I409" s="74" t="s">
        <v>21339</v>
      </c>
      <c r="J409" s="74" t="s">
        <v>21362</v>
      </c>
      <c r="K409" s="74" t="s">
        <v>21462</v>
      </c>
      <c r="L409" s="74">
        <v>897863</v>
      </c>
      <c r="M409" s="74" t="s">
        <v>21341</v>
      </c>
      <c r="N409" s="74">
        <v>1</v>
      </c>
      <c r="O409" s="74" t="s">
        <v>21342</v>
      </c>
      <c r="P409" s="74" t="s">
        <v>21343</v>
      </c>
      <c r="Q409" s="74" t="s">
        <v>21363</v>
      </c>
      <c r="R409" s="74" t="s">
        <v>148</v>
      </c>
      <c r="S409" s="74" t="s">
        <v>21338</v>
      </c>
      <c r="T409" s="74" t="s">
        <v>393</v>
      </c>
      <c r="U409" s="74">
        <v>0</v>
      </c>
      <c r="V409" s="74">
        <v>0</v>
      </c>
    </row>
    <row r="410" spans="3:22" x14ac:dyDescent="0.25">
      <c r="C410" s="74" t="s">
        <v>735</v>
      </c>
      <c r="D410" s="74" t="s">
        <v>148</v>
      </c>
      <c r="E410" s="74" t="s">
        <v>21338</v>
      </c>
      <c r="F410" s="74">
        <v>570025</v>
      </c>
      <c r="G410" s="74">
        <v>3</v>
      </c>
      <c r="H410" s="135">
        <v>43003.35428240741</v>
      </c>
      <c r="I410" s="74" t="s">
        <v>21339</v>
      </c>
      <c r="J410" s="74" t="s">
        <v>21364</v>
      </c>
      <c r="K410" s="74" t="s">
        <v>21462</v>
      </c>
      <c r="L410" s="74">
        <v>897863</v>
      </c>
      <c r="M410" s="74" t="s">
        <v>21341</v>
      </c>
      <c r="N410" s="74">
        <v>1</v>
      </c>
      <c r="O410" s="74" t="s">
        <v>21342</v>
      </c>
      <c r="P410" s="74" t="s">
        <v>21343</v>
      </c>
      <c r="Q410" s="74">
        <v>0</v>
      </c>
      <c r="R410" s="74" t="s">
        <v>148</v>
      </c>
      <c r="S410" s="74" t="s">
        <v>21338</v>
      </c>
      <c r="T410" s="74" t="s">
        <v>402</v>
      </c>
      <c r="U410" s="74">
        <v>0</v>
      </c>
      <c r="V410" s="74">
        <v>0</v>
      </c>
    </row>
    <row r="411" spans="3:22" x14ac:dyDescent="0.25">
      <c r="C411" s="74" t="s">
        <v>735</v>
      </c>
      <c r="D411" s="74" t="s">
        <v>148</v>
      </c>
      <c r="E411" s="74" t="s">
        <v>21338</v>
      </c>
      <c r="F411" s="74">
        <v>570025</v>
      </c>
      <c r="G411" s="74">
        <v>3</v>
      </c>
      <c r="H411" s="135">
        <v>43003.354270833333</v>
      </c>
      <c r="I411" s="74" t="s">
        <v>21365</v>
      </c>
      <c r="J411" s="74" t="s">
        <v>21366</v>
      </c>
      <c r="K411" s="74" t="s">
        <v>21367</v>
      </c>
      <c r="L411" s="74">
        <v>561482</v>
      </c>
      <c r="M411" s="74" t="s">
        <v>21368</v>
      </c>
      <c r="N411" s="74">
        <v>1</v>
      </c>
      <c r="O411" s="74" t="s">
        <v>21369</v>
      </c>
      <c r="P411" s="74" t="s">
        <v>21343</v>
      </c>
      <c r="Q411" s="74" t="s">
        <v>21463</v>
      </c>
      <c r="R411" s="74" t="s">
        <v>148</v>
      </c>
      <c r="S411" s="74" t="s">
        <v>21338</v>
      </c>
      <c r="T411" s="74" t="s">
        <v>21371</v>
      </c>
      <c r="U411" s="74">
        <v>0</v>
      </c>
      <c r="V411" s="74">
        <v>0</v>
      </c>
    </row>
    <row r="412" spans="3:22" x14ac:dyDescent="0.25">
      <c r="C412" s="74" t="s">
        <v>735</v>
      </c>
      <c r="D412" s="74" t="s">
        <v>148</v>
      </c>
      <c r="E412" s="74" t="s">
        <v>21338</v>
      </c>
      <c r="F412" s="74">
        <v>570025</v>
      </c>
      <c r="G412" s="74">
        <v>3</v>
      </c>
      <c r="H412" s="135">
        <v>43003.354247685187</v>
      </c>
      <c r="I412" s="74" t="s">
        <v>21365</v>
      </c>
      <c r="J412" s="74" t="s">
        <v>21366</v>
      </c>
      <c r="K412" s="74" t="s">
        <v>21381</v>
      </c>
      <c r="L412" s="74">
        <v>555660</v>
      </c>
      <c r="M412" s="74" t="s">
        <v>21368</v>
      </c>
      <c r="N412" s="74">
        <v>1</v>
      </c>
      <c r="O412" s="74" t="s">
        <v>21369</v>
      </c>
      <c r="P412" s="74" t="s">
        <v>21343</v>
      </c>
      <c r="Q412" s="74" t="s">
        <v>21463</v>
      </c>
      <c r="R412" s="74" t="s">
        <v>148</v>
      </c>
      <c r="S412" s="74" t="s">
        <v>21338</v>
      </c>
      <c r="T412" s="74" t="s">
        <v>21371</v>
      </c>
      <c r="U412" s="74">
        <v>0</v>
      </c>
      <c r="V412" s="74">
        <v>0</v>
      </c>
    </row>
    <row r="413" spans="3:22" x14ac:dyDescent="0.25">
      <c r="C413" s="74" t="s">
        <v>735</v>
      </c>
      <c r="D413" s="74" t="s">
        <v>148</v>
      </c>
      <c r="E413" s="74" t="s">
        <v>21338</v>
      </c>
      <c r="F413" s="74">
        <v>570025</v>
      </c>
      <c r="G413" s="74">
        <v>3</v>
      </c>
      <c r="H413" s="135">
        <v>43003.353935185187</v>
      </c>
      <c r="I413" s="74" t="s">
        <v>21339</v>
      </c>
      <c r="J413" s="74" t="s">
        <v>21364</v>
      </c>
      <c r="K413" s="74" t="s">
        <v>21462</v>
      </c>
      <c r="L413" s="74">
        <v>897863</v>
      </c>
      <c r="M413" s="74" t="s">
        <v>21341</v>
      </c>
      <c r="N413" s="74">
        <v>1</v>
      </c>
      <c r="O413" s="74" t="s">
        <v>21342</v>
      </c>
      <c r="P413" s="74" t="s">
        <v>21343</v>
      </c>
      <c r="Q413" s="74">
        <v>0</v>
      </c>
      <c r="R413" s="74" t="s">
        <v>148</v>
      </c>
      <c r="S413" s="74" t="s">
        <v>21338</v>
      </c>
      <c r="T413" s="74" t="s">
        <v>402</v>
      </c>
      <c r="U413" s="74">
        <v>0</v>
      </c>
      <c r="V413" s="74">
        <v>0</v>
      </c>
    </row>
    <row r="414" spans="3:22" x14ac:dyDescent="0.25">
      <c r="C414" s="74" t="s">
        <v>735</v>
      </c>
      <c r="D414" s="74" t="s">
        <v>148</v>
      </c>
      <c r="E414" s="74" t="s">
        <v>21338</v>
      </c>
      <c r="F414" s="74">
        <v>570025</v>
      </c>
      <c r="G414" s="74">
        <v>3</v>
      </c>
      <c r="H414" s="135">
        <v>43003.353877314818</v>
      </c>
      <c r="I414" s="74" t="s">
        <v>21339</v>
      </c>
      <c r="J414" s="74" t="s">
        <v>21364</v>
      </c>
      <c r="K414" s="74" t="s">
        <v>21462</v>
      </c>
      <c r="L414" s="74">
        <v>897863</v>
      </c>
      <c r="M414" s="74" t="s">
        <v>21341</v>
      </c>
      <c r="N414" s="74">
        <v>1</v>
      </c>
      <c r="O414" s="74" t="s">
        <v>21342</v>
      </c>
      <c r="P414" s="74" t="s">
        <v>21343</v>
      </c>
      <c r="Q414" s="74">
        <v>0</v>
      </c>
      <c r="R414" s="74" t="s">
        <v>148</v>
      </c>
      <c r="S414" s="74" t="s">
        <v>21338</v>
      </c>
      <c r="T414" s="74" t="s">
        <v>402</v>
      </c>
      <c r="U414" s="74">
        <v>0</v>
      </c>
      <c r="V414" s="74">
        <v>0</v>
      </c>
    </row>
    <row r="415" spans="3:22" x14ac:dyDescent="0.25">
      <c r="C415" s="74" t="s">
        <v>18795</v>
      </c>
      <c r="D415" s="74" t="s">
        <v>148</v>
      </c>
      <c r="E415" s="74" t="s">
        <v>21338</v>
      </c>
      <c r="F415" s="74">
        <v>551367</v>
      </c>
      <c r="G415" s="74">
        <v>1000</v>
      </c>
      <c r="H415" s="135">
        <v>43003.351215277777</v>
      </c>
      <c r="I415" s="74" t="s">
        <v>21339</v>
      </c>
      <c r="J415" s="74" t="s">
        <v>21340</v>
      </c>
      <c r="K415" s="74" t="s">
        <v>21453</v>
      </c>
      <c r="L415" s="74">
        <v>639359</v>
      </c>
      <c r="M415" s="74" t="s">
        <v>21341</v>
      </c>
      <c r="N415" s="74">
        <v>1</v>
      </c>
      <c r="O415" s="74" t="s">
        <v>21342</v>
      </c>
      <c r="P415" s="74" t="s">
        <v>21343</v>
      </c>
      <c r="Q415" s="74">
        <v>0</v>
      </c>
      <c r="R415" s="74" t="s">
        <v>148</v>
      </c>
      <c r="S415" s="74" t="s">
        <v>21338</v>
      </c>
      <c r="T415" s="74" t="s">
        <v>402</v>
      </c>
      <c r="U415" s="74">
        <v>0</v>
      </c>
      <c r="V415" s="74">
        <v>0</v>
      </c>
    </row>
    <row r="416" spans="3:22" x14ac:dyDescent="0.25">
      <c r="C416" s="74" t="s">
        <v>18795</v>
      </c>
      <c r="D416" s="74" t="s">
        <v>148</v>
      </c>
      <c r="E416" s="74" t="s">
        <v>21338</v>
      </c>
      <c r="F416" s="74">
        <v>551367</v>
      </c>
      <c r="G416" s="74">
        <v>1000</v>
      </c>
      <c r="H416" s="135">
        <v>43002.558807870373</v>
      </c>
      <c r="I416" s="74" t="s">
        <v>21339</v>
      </c>
      <c r="J416" s="74" t="s">
        <v>21340</v>
      </c>
      <c r="K416" s="74" t="s">
        <v>3332</v>
      </c>
      <c r="L416" s="74">
        <v>552082</v>
      </c>
      <c r="M416" s="74" t="s">
        <v>21341</v>
      </c>
      <c r="N416" s="74">
        <v>1</v>
      </c>
      <c r="O416" s="74" t="s">
        <v>21342</v>
      </c>
      <c r="P416" s="74" t="s">
        <v>21343</v>
      </c>
      <c r="Q416" s="74">
        <v>0</v>
      </c>
      <c r="R416" s="74" t="s">
        <v>148</v>
      </c>
      <c r="S416" s="74" t="s">
        <v>21338</v>
      </c>
      <c r="T416" s="74" t="s">
        <v>402</v>
      </c>
      <c r="U416" s="74">
        <v>0</v>
      </c>
      <c r="V416" s="74">
        <v>0</v>
      </c>
    </row>
    <row r="417" spans="3:22" x14ac:dyDescent="0.25">
      <c r="C417" s="74" t="s">
        <v>18795</v>
      </c>
      <c r="D417" s="74" t="s">
        <v>148</v>
      </c>
      <c r="E417" s="74" t="s">
        <v>21338</v>
      </c>
      <c r="F417" s="74">
        <v>551367</v>
      </c>
      <c r="G417" s="74">
        <v>1000</v>
      </c>
      <c r="H417" s="135">
        <v>43002.53292824074</v>
      </c>
      <c r="I417" s="74" t="s">
        <v>21339</v>
      </c>
      <c r="J417" s="74" t="s">
        <v>21340</v>
      </c>
      <c r="K417" s="74" t="s">
        <v>1540</v>
      </c>
      <c r="L417" s="74">
        <v>551850</v>
      </c>
      <c r="M417" s="74" t="s">
        <v>21341</v>
      </c>
      <c r="N417" s="74">
        <v>1</v>
      </c>
      <c r="O417" s="74" t="s">
        <v>21342</v>
      </c>
      <c r="P417" s="74" t="s">
        <v>21343</v>
      </c>
      <c r="Q417" s="74">
        <v>0</v>
      </c>
      <c r="R417" s="74" t="s">
        <v>148</v>
      </c>
      <c r="S417" s="74" t="s">
        <v>21338</v>
      </c>
      <c r="T417" s="74" t="s">
        <v>402</v>
      </c>
      <c r="U417" s="74">
        <v>0</v>
      </c>
      <c r="V417" s="74">
        <v>0</v>
      </c>
    </row>
    <row r="418" spans="3:22" x14ac:dyDescent="0.25">
      <c r="C418" s="74" t="s">
        <v>18795</v>
      </c>
      <c r="D418" s="74" t="s">
        <v>148</v>
      </c>
      <c r="E418" s="74" t="s">
        <v>21338</v>
      </c>
      <c r="F418" s="74">
        <v>551367</v>
      </c>
      <c r="G418" s="74">
        <v>1000</v>
      </c>
      <c r="H418" s="135">
        <v>43001.532800925925</v>
      </c>
      <c r="I418" s="74" t="s">
        <v>21339</v>
      </c>
      <c r="J418" s="74" t="s">
        <v>21340</v>
      </c>
      <c r="K418" s="74" t="s">
        <v>2738</v>
      </c>
      <c r="L418" s="74">
        <v>552014</v>
      </c>
      <c r="M418" s="74" t="s">
        <v>21341</v>
      </c>
      <c r="N418" s="74">
        <v>1</v>
      </c>
      <c r="O418" s="74" t="s">
        <v>21342</v>
      </c>
      <c r="P418" s="74" t="s">
        <v>21343</v>
      </c>
      <c r="Q418" s="74">
        <v>0</v>
      </c>
      <c r="R418" s="74" t="s">
        <v>148</v>
      </c>
      <c r="S418" s="74" t="s">
        <v>21338</v>
      </c>
      <c r="T418" s="74" t="s">
        <v>402</v>
      </c>
      <c r="U418" s="74">
        <v>0</v>
      </c>
      <c r="V418" s="74">
        <v>0</v>
      </c>
    </row>
    <row r="419" spans="3:22" x14ac:dyDescent="0.25">
      <c r="C419" s="74" t="s">
        <v>18795</v>
      </c>
      <c r="D419" s="74" t="s">
        <v>148</v>
      </c>
      <c r="E419" s="74" t="s">
        <v>21338</v>
      </c>
      <c r="F419" s="74">
        <v>551367</v>
      </c>
      <c r="G419" s="74">
        <v>1000</v>
      </c>
      <c r="H419" s="135">
        <v>43001.441782407404</v>
      </c>
      <c r="I419" s="74" t="s">
        <v>21339</v>
      </c>
      <c r="J419" s="74" t="s">
        <v>21340</v>
      </c>
      <c r="K419" s="74" t="s">
        <v>18206</v>
      </c>
      <c r="L419" s="74">
        <v>553965</v>
      </c>
      <c r="M419" s="74" t="s">
        <v>21341</v>
      </c>
      <c r="N419" s="74">
        <v>1</v>
      </c>
      <c r="O419" s="74" t="s">
        <v>21342</v>
      </c>
      <c r="P419" s="74" t="s">
        <v>21343</v>
      </c>
      <c r="Q419" s="74">
        <v>0</v>
      </c>
      <c r="R419" s="74" t="s">
        <v>148</v>
      </c>
      <c r="S419" s="74" t="s">
        <v>21338</v>
      </c>
      <c r="T419" s="74" t="s">
        <v>402</v>
      </c>
      <c r="U419" s="74">
        <v>0</v>
      </c>
      <c r="V419" s="74">
        <v>0</v>
      </c>
    </row>
    <row r="420" spans="3:22" x14ac:dyDescent="0.25">
      <c r="C420" s="74" t="s">
        <v>18795</v>
      </c>
      <c r="D420" s="74" t="s">
        <v>148</v>
      </c>
      <c r="E420" s="74" t="s">
        <v>21338</v>
      </c>
      <c r="F420" s="74">
        <v>551367</v>
      </c>
      <c r="G420" s="74">
        <v>1000</v>
      </c>
      <c r="H420" s="135">
        <v>43001.391875000001</v>
      </c>
      <c r="I420" s="74" t="s">
        <v>21339</v>
      </c>
      <c r="J420" s="74" t="s">
        <v>21340</v>
      </c>
      <c r="K420" s="74" t="s">
        <v>21464</v>
      </c>
      <c r="L420" s="74">
        <v>680671</v>
      </c>
      <c r="M420" s="74" t="s">
        <v>21341</v>
      </c>
      <c r="N420" s="74">
        <v>1</v>
      </c>
      <c r="O420" s="74" t="s">
        <v>21342</v>
      </c>
      <c r="P420" s="74" t="s">
        <v>21343</v>
      </c>
      <c r="Q420" s="74">
        <v>0</v>
      </c>
      <c r="R420" s="74" t="s">
        <v>148</v>
      </c>
      <c r="S420" s="74" t="s">
        <v>21338</v>
      </c>
      <c r="T420" s="74" t="s">
        <v>402</v>
      </c>
      <c r="U420" s="74">
        <v>0</v>
      </c>
      <c r="V420" s="74">
        <v>0</v>
      </c>
    </row>
    <row r="421" spans="3:22" x14ac:dyDescent="0.25">
      <c r="C421" s="74" t="s">
        <v>18795</v>
      </c>
      <c r="D421" s="74" t="s">
        <v>148</v>
      </c>
      <c r="E421" s="74" t="s">
        <v>21338</v>
      </c>
      <c r="F421" s="74">
        <v>551367</v>
      </c>
      <c r="G421" s="74">
        <v>1000</v>
      </c>
      <c r="H421" s="135">
        <v>43001.382199074076</v>
      </c>
      <c r="I421" s="74" t="s">
        <v>21339</v>
      </c>
      <c r="J421" s="74" t="s">
        <v>21340</v>
      </c>
      <c r="K421" s="74" t="s">
        <v>3779</v>
      </c>
      <c r="L421" s="74">
        <v>552135</v>
      </c>
      <c r="M421" s="74" t="s">
        <v>21341</v>
      </c>
      <c r="N421" s="74">
        <v>1</v>
      </c>
      <c r="O421" s="74" t="s">
        <v>21342</v>
      </c>
      <c r="P421" s="74" t="s">
        <v>21343</v>
      </c>
      <c r="Q421" s="74">
        <v>0</v>
      </c>
      <c r="R421" s="74" t="s">
        <v>148</v>
      </c>
      <c r="S421" s="74" t="s">
        <v>21338</v>
      </c>
      <c r="T421" s="74" t="s">
        <v>402</v>
      </c>
      <c r="U421" s="74">
        <v>0</v>
      </c>
      <c r="V421" s="74">
        <v>0</v>
      </c>
    </row>
    <row r="422" spans="3:22" x14ac:dyDescent="0.25">
      <c r="C422" s="74" t="s">
        <v>21347</v>
      </c>
      <c r="D422" s="74" t="s">
        <v>148</v>
      </c>
      <c r="E422" s="74" t="s">
        <v>21338</v>
      </c>
      <c r="F422" s="74">
        <v>637976</v>
      </c>
      <c r="G422" s="74">
        <v>1</v>
      </c>
      <c r="H422" s="135">
        <v>43000.816469907404</v>
      </c>
      <c r="I422" s="74" t="s">
        <v>244</v>
      </c>
      <c r="J422" s="74" t="s">
        <v>21349</v>
      </c>
      <c r="K422" s="74" t="s">
        <v>21347</v>
      </c>
      <c r="L422" s="74">
        <v>637976</v>
      </c>
      <c r="M422" s="74" t="s">
        <v>21341</v>
      </c>
      <c r="N422" s="74">
        <v>0</v>
      </c>
      <c r="O422" s="74" t="s">
        <v>21350</v>
      </c>
      <c r="P422" s="74" t="s">
        <v>21343</v>
      </c>
      <c r="Q422" s="74">
        <v>0</v>
      </c>
      <c r="R422" s="74" t="s">
        <v>148</v>
      </c>
      <c r="S422" s="74" t="s">
        <v>21338</v>
      </c>
      <c r="T422" s="74" t="s">
        <v>402</v>
      </c>
      <c r="U422" s="74">
        <v>0</v>
      </c>
      <c r="V422" s="74">
        <v>0</v>
      </c>
    </row>
    <row r="423" spans="3:22" x14ac:dyDescent="0.25">
      <c r="C423" s="74" t="s">
        <v>21347</v>
      </c>
      <c r="D423" s="74" t="s">
        <v>148</v>
      </c>
      <c r="E423" s="74" t="s">
        <v>21338</v>
      </c>
      <c r="F423" s="74">
        <v>637976</v>
      </c>
      <c r="G423" s="74">
        <v>1</v>
      </c>
      <c r="H423" s="135">
        <v>43000.816458333335</v>
      </c>
      <c r="I423" s="74" t="s">
        <v>21348</v>
      </c>
      <c r="J423" s="74" t="s">
        <v>21349</v>
      </c>
      <c r="K423" s="74" t="s">
        <v>21347</v>
      </c>
      <c r="L423" s="74">
        <v>637976</v>
      </c>
      <c r="M423" s="74" t="s">
        <v>21341</v>
      </c>
      <c r="N423" s="74">
        <v>0</v>
      </c>
      <c r="O423" s="74" t="s">
        <v>21350</v>
      </c>
      <c r="P423" s="74" t="s">
        <v>21343</v>
      </c>
      <c r="Q423" s="74">
        <v>0</v>
      </c>
      <c r="R423" s="74" t="s">
        <v>148</v>
      </c>
      <c r="S423" s="74" t="s">
        <v>21338</v>
      </c>
      <c r="T423" s="74" t="s">
        <v>402</v>
      </c>
      <c r="U423" s="74">
        <v>0</v>
      </c>
      <c r="V423" s="74">
        <v>0</v>
      </c>
    </row>
    <row r="424" spans="3:22" x14ac:dyDescent="0.25">
      <c r="C424" s="74" t="s">
        <v>21347</v>
      </c>
      <c r="D424" s="74" t="s">
        <v>148</v>
      </c>
      <c r="E424" s="74" t="s">
        <v>21338</v>
      </c>
      <c r="F424" s="74">
        <v>637976</v>
      </c>
      <c r="G424" s="74">
        <v>1</v>
      </c>
      <c r="H424" s="135">
        <v>43000.756666666668</v>
      </c>
      <c r="I424" s="74" t="s">
        <v>21348</v>
      </c>
      <c r="J424" s="74" t="s">
        <v>21349</v>
      </c>
      <c r="K424" s="74" t="s">
        <v>21347</v>
      </c>
      <c r="L424" s="74">
        <v>637976</v>
      </c>
      <c r="M424" s="74" t="s">
        <v>21341</v>
      </c>
      <c r="N424" s="74">
        <v>0</v>
      </c>
      <c r="O424" s="74" t="s">
        <v>21350</v>
      </c>
      <c r="P424" s="74" t="s">
        <v>21343</v>
      </c>
      <c r="Q424" s="74">
        <v>0</v>
      </c>
      <c r="R424" s="74" t="s">
        <v>148</v>
      </c>
      <c r="S424" s="74" t="s">
        <v>21338</v>
      </c>
      <c r="T424" s="74" t="s">
        <v>402</v>
      </c>
      <c r="U424" s="74">
        <v>0</v>
      </c>
      <c r="V424" s="74">
        <v>0</v>
      </c>
    </row>
    <row r="425" spans="3:22" x14ac:dyDescent="0.25">
      <c r="C425" s="74" t="s">
        <v>21347</v>
      </c>
      <c r="D425" s="74" t="s">
        <v>148</v>
      </c>
      <c r="E425" s="74" t="s">
        <v>21338</v>
      </c>
      <c r="F425" s="74">
        <v>637976</v>
      </c>
      <c r="G425" s="74">
        <v>1</v>
      </c>
      <c r="H425" s="135">
        <v>43000.756666666668</v>
      </c>
      <c r="I425" s="74" t="s">
        <v>244</v>
      </c>
      <c r="J425" s="74" t="s">
        <v>21349</v>
      </c>
      <c r="K425" s="74" t="s">
        <v>21347</v>
      </c>
      <c r="L425" s="74">
        <v>637976</v>
      </c>
      <c r="M425" s="74" t="s">
        <v>21341</v>
      </c>
      <c r="N425" s="74">
        <v>0</v>
      </c>
      <c r="O425" s="74" t="s">
        <v>21350</v>
      </c>
      <c r="P425" s="74" t="s">
        <v>21343</v>
      </c>
      <c r="Q425" s="74">
        <v>0</v>
      </c>
      <c r="R425" s="74" t="s">
        <v>148</v>
      </c>
      <c r="S425" s="74" t="s">
        <v>21338</v>
      </c>
      <c r="T425" s="74" t="s">
        <v>402</v>
      </c>
      <c r="U425" s="74">
        <v>0</v>
      </c>
      <c r="V425" s="74">
        <v>0</v>
      </c>
    </row>
    <row r="426" spans="3:22" x14ac:dyDescent="0.25">
      <c r="C426" s="74" t="s">
        <v>18795</v>
      </c>
      <c r="D426" s="74" t="s">
        <v>148</v>
      </c>
      <c r="E426" s="74" t="s">
        <v>21338</v>
      </c>
      <c r="F426" s="74">
        <v>551367</v>
      </c>
      <c r="G426" s="74">
        <v>1000</v>
      </c>
      <c r="H426" s="135">
        <v>43000.738032407404</v>
      </c>
      <c r="I426" s="74" t="s">
        <v>21339</v>
      </c>
      <c r="J426" s="74" t="s">
        <v>21340</v>
      </c>
      <c r="K426" s="74" t="s">
        <v>5534</v>
      </c>
      <c r="L426" s="74">
        <v>552340</v>
      </c>
      <c r="M426" s="74" t="s">
        <v>21341</v>
      </c>
      <c r="N426" s="74">
        <v>1</v>
      </c>
      <c r="O426" s="74" t="s">
        <v>21342</v>
      </c>
      <c r="P426" s="74" t="s">
        <v>21343</v>
      </c>
      <c r="Q426" s="74">
        <v>0</v>
      </c>
      <c r="R426" s="74" t="s">
        <v>148</v>
      </c>
      <c r="S426" s="74" t="s">
        <v>21338</v>
      </c>
      <c r="T426" s="74" t="s">
        <v>402</v>
      </c>
      <c r="U426" s="74">
        <v>0</v>
      </c>
      <c r="V426" s="74">
        <v>0</v>
      </c>
    </row>
    <row r="427" spans="3:22" x14ac:dyDescent="0.25">
      <c r="C427" s="74" t="s">
        <v>18795</v>
      </c>
      <c r="D427" s="74" t="s">
        <v>148</v>
      </c>
      <c r="E427" s="74" t="s">
        <v>21338</v>
      </c>
      <c r="F427" s="74">
        <v>551367</v>
      </c>
      <c r="G427" s="74">
        <v>1000</v>
      </c>
      <c r="H427" s="135">
        <v>43000.712199074071</v>
      </c>
      <c r="I427" s="74" t="s">
        <v>21339</v>
      </c>
      <c r="J427" s="74" t="s">
        <v>21340</v>
      </c>
      <c r="K427" s="74" t="s">
        <v>11710</v>
      </c>
      <c r="L427" s="74">
        <v>553138</v>
      </c>
      <c r="M427" s="74" t="s">
        <v>21341</v>
      </c>
      <c r="N427" s="74">
        <v>1</v>
      </c>
      <c r="O427" s="74" t="s">
        <v>21342</v>
      </c>
      <c r="P427" s="74" t="s">
        <v>21343</v>
      </c>
      <c r="Q427" s="74">
        <v>0</v>
      </c>
      <c r="R427" s="74" t="s">
        <v>148</v>
      </c>
      <c r="S427" s="74" t="s">
        <v>21338</v>
      </c>
      <c r="T427" s="74" t="s">
        <v>402</v>
      </c>
      <c r="U427" s="74">
        <v>0</v>
      </c>
      <c r="V427" s="74">
        <v>0</v>
      </c>
    </row>
    <row r="428" spans="3:22" x14ac:dyDescent="0.25">
      <c r="C428" s="74" t="s">
        <v>18795</v>
      </c>
      <c r="D428" s="74" t="s">
        <v>148</v>
      </c>
      <c r="E428" s="74" t="s">
        <v>21338</v>
      </c>
      <c r="F428" s="74">
        <v>551367</v>
      </c>
      <c r="G428" s="74">
        <v>1000</v>
      </c>
      <c r="H428" s="135">
        <v>43000.687847222223</v>
      </c>
      <c r="I428" s="74" t="s">
        <v>21339</v>
      </c>
      <c r="J428" s="74" t="s">
        <v>21340</v>
      </c>
      <c r="K428" s="74" t="s">
        <v>14545</v>
      </c>
      <c r="L428" s="74">
        <v>553516</v>
      </c>
      <c r="M428" s="74" t="s">
        <v>21341</v>
      </c>
      <c r="N428" s="74">
        <v>1</v>
      </c>
      <c r="O428" s="74" t="s">
        <v>21342</v>
      </c>
      <c r="P428" s="74" t="s">
        <v>21343</v>
      </c>
      <c r="Q428" s="74">
        <v>0</v>
      </c>
      <c r="R428" s="74" t="s">
        <v>148</v>
      </c>
      <c r="S428" s="74" t="s">
        <v>21338</v>
      </c>
      <c r="T428" s="74" t="s">
        <v>402</v>
      </c>
      <c r="U428" s="74">
        <v>0</v>
      </c>
      <c r="V428" s="74">
        <v>0</v>
      </c>
    </row>
    <row r="429" spans="3:22" x14ac:dyDescent="0.25">
      <c r="C429" s="74" t="s">
        <v>21385</v>
      </c>
      <c r="D429" s="74" t="s">
        <v>148</v>
      </c>
      <c r="E429" s="74" t="s">
        <v>21338</v>
      </c>
      <c r="F429" s="74">
        <v>560579</v>
      </c>
      <c r="G429" s="74">
        <v>3</v>
      </c>
      <c r="H429" s="135">
        <v>43000.684675925928</v>
      </c>
      <c r="I429" s="74" t="s">
        <v>21354</v>
      </c>
      <c r="J429" s="74" t="s">
        <v>21355</v>
      </c>
      <c r="K429" s="74" t="s">
        <v>21413</v>
      </c>
      <c r="L429" s="74">
        <v>812709</v>
      </c>
      <c r="M429" s="74" t="s">
        <v>21341</v>
      </c>
      <c r="N429" s="74">
        <v>1</v>
      </c>
      <c r="O429" s="74" t="s">
        <v>21342</v>
      </c>
      <c r="P429" s="74" t="s">
        <v>21345</v>
      </c>
      <c r="R429" s="74" t="s">
        <v>148</v>
      </c>
      <c r="S429" s="74" t="s">
        <v>21338</v>
      </c>
      <c r="T429" s="74" t="s">
        <v>402</v>
      </c>
      <c r="U429" s="74">
        <v>0</v>
      </c>
      <c r="V429" s="74">
        <v>0</v>
      </c>
    </row>
    <row r="430" spans="3:22" x14ac:dyDescent="0.25">
      <c r="C430" s="74" t="s">
        <v>21385</v>
      </c>
      <c r="D430" s="74" t="s">
        <v>148</v>
      </c>
      <c r="E430" s="74" t="s">
        <v>21338</v>
      </c>
      <c r="F430" s="74">
        <v>560579</v>
      </c>
      <c r="G430" s="74">
        <v>3</v>
      </c>
      <c r="H430" s="135">
        <v>43000.683298611111</v>
      </c>
      <c r="I430" s="74" t="s">
        <v>21354</v>
      </c>
      <c r="J430" s="74" t="s">
        <v>21355</v>
      </c>
      <c r="K430" s="74" t="s">
        <v>21413</v>
      </c>
      <c r="L430" s="74">
        <v>812709</v>
      </c>
      <c r="M430" s="74" t="s">
        <v>21341</v>
      </c>
      <c r="N430" s="74">
        <v>1</v>
      </c>
      <c r="O430" s="74" t="s">
        <v>21342</v>
      </c>
      <c r="P430" s="74" t="s">
        <v>21345</v>
      </c>
      <c r="R430" s="74" t="s">
        <v>148</v>
      </c>
      <c r="S430" s="74" t="s">
        <v>21338</v>
      </c>
      <c r="T430" s="74" t="s">
        <v>402</v>
      </c>
      <c r="U430" s="74">
        <v>0</v>
      </c>
      <c r="V430" s="74">
        <v>0</v>
      </c>
    </row>
    <row r="431" spans="3:22" x14ac:dyDescent="0.25">
      <c r="C431" s="74" t="s">
        <v>21385</v>
      </c>
      <c r="D431" s="74" t="s">
        <v>148</v>
      </c>
      <c r="E431" s="74" t="s">
        <v>21338</v>
      </c>
      <c r="F431" s="74">
        <v>560579</v>
      </c>
      <c r="G431" s="74">
        <v>3</v>
      </c>
      <c r="H431" s="135">
        <v>43000.682175925926</v>
      </c>
      <c r="I431" s="74" t="s">
        <v>21354</v>
      </c>
      <c r="J431" s="74" t="s">
        <v>21355</v>
      </c>
      <c r="K431" s="74" t="s">
        <v>21413</v>
      </c>
      <c r="L431" s="74">
        <v>812709</v>
      </c>
      <c r="M431" s="74" t="s">
        <v>21341</v>
      </c>
      <c r="N431" s="74">
        <v>1</v>
      </c>
      <c r="O431" s="74" t="s">
        <v>21342</v>
      </c>
      <c r="P431" s="74" t="s">
        <v>21345</v>
      </c>
      <c r="R431" s="74" t="s">
        <v>148</v>
      </c>
      <c r="S431" s="74" t="s">
        <v>21338</v>
      </c>
      <c r="T431" s="74" t="s">
        <v>402</v>
      </c>
      <c r="U431" s="74">
        <v>0</v>
      </c>
      <c r="V431" s="74">
        <v>0</v>
      </c>
    </row>
    <row r="432" spans="3:22" x14ac:dyDescent="0.25">
      <c r="C432" s="74" t="s">
        <v>18795</v>
      </c>
      <c r="D432" s="74" t="s">
        <v>148</v>
      </c>
      <c r="E432" s="74" t="s">
        <v>21338</v>
      </c>
      <c r="F432" s="74">
        <v>551367</v>
      </c>
      <c r="G432" s="74">
        <v>1000</v>
      </c>
      <c r="H432" s="135">
        <v>43000.674039351848</v>
      </c>
      <c r="I432" s="74" t="s">
        <v>21339</v>
      </c>
      <c r="J432" s="74" t="s">
        <v>21340</v>
      </c>
      <c r="K432" s="74" t="s">
        <v>5220</v>
      </c>
      <c r="L432" s="74">
        <v>552297</v>
      </c>
      <c r="M432" s="74" t="s">
        <v>21341</v>
      </c>
      <c r="N432" s="74">
        <v>1</v>
      </c>
      <c r="O432" s="74" t="s">
        <v>21342</v>
      </c>
      <c r="P432" s="74" t="s">
        <v>21343</v>
      </c>
      <c r="Q432" s="74">
        <v>0</v>
      </c>
      <c r="R432" s="74" t="s">
        <v>148</v>
      </c>
      <c r="S432" s="74" t="s">
        <v>21338</v>
      </c>
      <c r="T432" s="74" t="s">
        <v>402</v>
      </c>
      <c r="U432" s="74">
        <v>0</v>
      </c>
      <c r="V432" s="74">
        <v>0</v>
      </c>
    </row>
    <row r="433" spans="3:22" x14ac:dyDescent="0.25">
      <c r="C433" s="74" t="s">
        <v>18795</v>
      </c>
      <c r="D433" s="74" t="s">
        <v>148</v>
      </c>
      <c r="E433" s="74" t="s">
        <v>21338</v>
      </c>
      <c r="F433" s="74">
        <v>551367</v>
      </c>
      <c r="G433" s="74">
        <v>1000</v>
      </c>
      <c r="H433" s="135">
        <v>43000.670960648145</v>
      </c>
      <c r="I433" s="74" t="s">
        <v>21339</v>
      </c>
      <c r="J433" s="74" t="s">
        <v>21340</v>
      </c>
      <c r="K433" s="74" t="s">
        <v>21430</v>
      </c>
      <c r="L433" s="74">
        <v>832005</v>
      </c>
      <c r="M433" s="74" t="s">
        <v>21341</v>
      </c>
      <c r="N433" s="74">
        <v>1</v>
      </c>
      <c r="O433" s="74" t="s">
        <v>21342</v>
      </c>
      <c r="P433" s="74" t="s">
        <v>21343</v>
      </c>
      <c r="Q433" s="74">
        <v>0</v>
      </c>
      <c r="R433" s="74" t="s">
        <v>148</v>
      </c>
      <c r="S433" s="74" t="s">
        <v>21338</v>
      </c>
      <c r="T433" s="74" t="s">
        <v>402</v>
      </c>
      <c r="U433" s="74">
        <v>0</v>
      </c>
      <c r="V433" s="74">
        <v>0</v>
      </c>
    </row>
    <row r="434" spans="3:22" x14ac:dyDescent="0.25">
      <c r="C434" s="74" t="s">
        <v>18795</v>
      </c>
      <c r="D434" s="74" t="s">
        <v>148</v>
      </c>
      <c r="E434" s="74" t="s">
        <v>21338</v>
      </c>
      <c r="F434" s="74">
        <v>551367</v>
      </c>
      <c r="G434" s="74">
        <v>1000</v>
      </c>
      <c r="H434" s="135">
        <v>43000.61917824074</v>
      </c>
      <c r="I434" s="74" t="s">
        <v>21339</v>
      </c>
      <c r="J434" s="74" t="s">
        <v>21340</v>
      </c>
      <c r="K434" s="74" t="s">
        <v>21413</v>
      </c>
      <c r="L434" s="74">
        <v>812709</v>
      </c>
      <c r="M434" s="74" t="s">
        <v>21341</v>
      </c>
      <c r="N434" s="74">
        <v>1</v>
      </c>
      <c r="O434" s="74" t="s">
        <v>21342</v>
      </c>
      <c r="P434" s="74" t="s">
        <v>21343</v>
      </c>
      <c r="Q434" s="74">
        <v>0</v>
      </c>
      <c r="R434" s="74" t="s">
        <v>148</v>
      </c>
      <c r="S434" s="74" t="s">
        <v>21338</v>
      </c>
      <c r="T434" s="74" t="s">
        <v>402</v>
      </c>
      <c r="U434" s="74">
        <v>0</v>
      </c>
      <c r="V434" s="74">
        <v>0</v>
      </c>
    </row>
    <row r="435" spans="3:22" x14ac:dyDescent="0.25">
      <c r="C435" s="74" t="s">
        <v>21347</v>
      </c>
      <c r="D435" s="74" t="s">
        <v>148</v>
      </c>
      <c r="E435" s="74" t="s">
        <v>21338</v>
      </c>
      <c r="F435" s="74">
        <v>637976</v>
      </c>
      <c r="G435" s="74">
        <v>1</v>
      </c>
      <c r="H435" s="135">
        <v>43000.610925925925</v>
      </c>
      <c r="I435" s="74" t="s">
        <v>21348</v>
      </c>
      <c r="J435" s="74" t="s">
        <v>21349</v>
      </c>
      <c r="K435" s="74" t="s">
        <v>21347</v>
      </c>
      <c r="L435" s="74">
        <v>637976</v>
      </c>
      <c r="M435" s="74" t="s">
        <v>21341</v>
      </c>
      <c r="N435" s="74">
        <v>0</v>
      </c>
      <c r="O435" s="74" t="s">
        <v>21350</v>
      </c>
      <c r="P435" s="74" t="s">
        <v>21343</v>
      </c>
      <c r="Q435" s="74">
        <v>0</v>
      </c>
      <c r="R435" s="74" t="s">
        <v>148</v>
      </c>
      <c r="S435" s="74" t="s">
        <v>21338</v>
      </c>
      <c r="T435" s="74" t="s">
        <v>402</v>
      </c>
      <c r="U435" s="74">
        <v>0</v>
      </c>
      <c r="V435" s="74">
        <v>0</v>
      </c>
    </row>
    <row r="436" spans="3:22" x14ac:dyDescent="0.25">
      <c r="C436" s="74" t="s">
        <v>21347</v>
      </c>
      <c r="D436" s="74" t="s">
        <v>148</v>
      </c>
      <c r="E436" s="74" t="s">
        <v>21338</v>
      </c>
      <c r="F436" s="74">
        <v>637976</v>
      </c>
      <c r="G436" s="74">
        <v>1</v>
      </c>
      <c r="H436" s="135">
        <v>43000.610925925925</v>
      </c>
      <c r="I436" s="74" t="s">
        <v>244</v>
      </c>
      <c r="J436" s="74" t="s">
        <v>21349</v>
      </c>
      <c r="K436" s="74" t="s">
        <v>21347</v>
      </c>
      <c r="L436" s="74">
        <v>637976</v>
      </c>
      <c r="M436" s="74" t="s">
        <v>21341</v>
      </c>
      <c r="N436" s="74">
        <v>0</v>
      </c>
      <c r="O436" s="74" t="s">
        <v>21350</v>
      </c>
      <c r="P436" s="74" t="s">
        <v>21343</v>
      </c>
      <c r="Q436" s="74">
        <v>0</v>
      </c>
      <c r="R436" s="74" t="s">
        <v>148</v>
      </c>
      <c r="S436" s="74" t="s">
        <v>21338</v>
      </c>
      <c r="T436" s="74" t="s">
        <v>402</v>
      </c>
      <c r="U436" s="74">
        <v>0</v>
      </c>
      <c r="V436" s="74">
        <v>0</v>
      </c>
    </row>
    <row r="437" spans="3:22" x14ac:dyDescent="0.25">
      <c r="C437" s="74" t="s">
        <v>18795</v>
      </c>
      <c r="D437" s="74" t="s">
        <v>148</v>
      </c>
      <c r="E437" s="74" t="s">
        <v>21338</v>
      </c>
      <c r="F437" s="74">
        <v>551367</v>
      </c>
      <c r="G437" s="74">
        <v>1000</v>
      </c>
      <c r="H437" s="135">
        <v>43000.605243055557</v>
      </c>
      <c r="I437" s="74" t="s">
        <v>21339</v>
      </c>
      <c r="J437" s="74" t="s">
        <v>21340</v>
      </c>
      <c r="K437" s="74" t="s">
        <v>20924</v>
      </c>
      <c r="L437" s="74">
        <v>554284</v>
      </c>
      <c r="M437" s="74" t="s">
        <v>21341</v>
      </c>
      <c r="N437" s="74">
        <v>1</v>
      </c>
      <c r="O437" s="74" t="s">
        <v>21342</v>
      </c>
      <c r="P437" s="74" t="s">
        <v>21343</v>
      </c>
      <c r="Q437" s="74">
        <v>0</v>
      </c>
      <c r="R437" s="74" t="s">
        <v>148</v>
      </c>
      <c r="S437" s="74" t="s">
        <v>21338</v>
      </c>
      <c r="T437" s="74" t="s">
        <v>402</v>
      </c>
      <c r="U437" s="74">
        <v>0</v>
      </c>
      <c r="V437" s="74">
        <v>0</v>
      </c>
    </row>
    <row r="438" spans="3:22" x14ac:dyDescent="0.25">
      <c r="C438" s="74" t="s">
        <v>18795</v>
      </c>
      <c r="D438" s="74" t="s">
        <v>148</v>
      </c>
      <c r="E438" s="74" t="s">
        <v>21338</v>
      </c>
      <c r="F438" s="74">
        <v>551367</v>
      </c>
      <c r="G438" s="74">
        <v>1000</v>
      </c>
      <c r="H438" s="135">
        <v>43000.604722222219</v>
      </c>
      <c r="I438" s="74" t="s">
        <v>21339</v>
      </c>
      <c r="J438" s="74" t="s">
        <v>21340</v>
      </c>
      <c r="K438" s="74" t="s">
        <v>2777</v>
      </c>
      <c r="L438" s="74">
        <v>551693</v>
      </c>
      <c r="M438" s="74" t="s">
        <v>21341</v>
      </c>
      <c r="N438" s="74">
        <v>1</v>
      </c>
      <c r="O438" s="74" t="s">
        <v>21342</v>
      </c>
      <c r="P438" s="74" t="s">
        <v>21343</v>
      </c>
      <c r="Q438" s="74">
        <v>0</v>
      </c>
      <c r="R438" s="74" t="s">
        <v>148</v>
      </c>
      <c r="S438" s="74" t="s">
        <v>21338</v>
      </c>
      <c r="T438" s="74" t="s">
        <v>402</v>
      </c>
      <c r="U438" s="74">
        <v>0</v>
      </c>
      <c r="V438" s="74">
        <v>0</v>
      </c>
    </row>
    <row r="439" spans="3:22" x14ac:dyDescent="0.25">
      <c r="C439" s="74" t="s">
        <v>21388</v>
      </c>
      <c r="D439" s="74" t="s">
        <v>148</v>
      </c>
      <c r="E439" s="74" t="s">
        <v>21338</v>
      </c>
      <c r="F439" s="74">
        <v>560366</v>
      </c>
      <c r="G439" s="74">
        <v>3</v>
      </c>
      <c r="H439" s="135">
        <v>43000.601307870369</v>
      </c>
      <c r="I439" s="74" t="s">
        <v>21354</v>
      </c>
      <c r="J439" s="74" t="s">
        <v>21355</v>
      </c>
      <c r="K439" s="74" t="s">
        <v>2908</v>
      </c>
      <c r="L439" s="74">
        <v>909858</v>
      </c>
      <c r="M439" s="74" t="s">
        <v>21341</v>
      </c>
      <c r="N439" s="74">
        <v>1</v>
      </c>
      <c r="O439" s="74" t="s">
        <v>21342</v>
      </c>
      <c r="P439" s="74" t="s">
        <v>21345</v>
      </c>
      <c r="R439" s="74" t="s">
        <v>148</v>
      </c>
      <c r="S439" s="74" t="s">
        <v>21338</v>
      </c>
      <c r="T439" s="74" t="s">
        <v>402</v>
      </c>
      <c r="U439" s="74">
        <v>0</v>
      </c>
      <c r="V439" s="74">
        <v>0</v>
      </c>
    </row>
    <row r="440" spans="3:22" x14ac:dyDescent="0.25">
      <c r="C440" s="74" t="s">
        <v>18795</v>
      </c>
      <c r="D440" s="74" t="s">
        <v>148</v>
      </c>
      <c r="E440" s="74" t="s">
        <v>21338</v>
      </c>
      <c r="F440" s="74">
        <v>551367</v>
      </c>
      <c r="G440" s="74">
        <v>1000</v>
      </c>
      <c r="H440" s="135">
        <v>43000.598495370374</v>
      </c>
      <c r="I440" s="74" t="s">
        <v>21339</v>
      </c>
      <c r="J440" s="74" t="s">
        <v>21340</v>
      </c>
      <c r="K440" s="74" t="s">
        <v>2908</v>
      </c>
      <c r="L440" s="74">
        <v>909858</v>
      </c>
      <c r="M440" s="74" t="s">
        <v>21341</v>
      </c>
      <c r="N440" s="74">
        <v>1</v>
      </c>
      <c r="O440" s="74" t="s">
        <v>21342</v>
      </c>
      <c r="P440" s="74" t="s">
        <v>21343</v>
      </c>
      <c r="Q440" s="74">
        <v>0</v>
      </c>
      <c r="R440" s="74" t="s">
        <v>148</v>
      </c>
      <c r="S440" s="74" t="s">
        <v>21338</v>
      </c>
      <c r="T440" s="74" t="s">
        <v>402</v>
      </c>
      <c r="U440" s="74">
        <v>0</v>
      </c>
      <c r="V440" s="74">
        <v>0</v>
      </c>
    </row>
    <row r="441" spans="3:22" x14ac:dyDescent="0.25">
      <c r="C441" s="74" t="s">
        <v>18795</v>
      </c>
      <c r="D441" s="74" t="s">
        <v>148</v>
      </c>
      <c r="E441" s="74" t="s">
        <v>21338</v>
      </c>
      <c r="F441" s="74">
        <v>551367</v>
      </c>
      <c r="G441" s="74">
        <v>1000</v>
      </c>
      <c r="H441" s="135">
        <v>43000.579409722224</v>
      </c>
      <c r="I441" s="74" t="s">
        <v>21339</v>
      </c>
      <c r="J441" s="74" t="s">
        <v>21340</v>
      </c>
      <c r="K441" s="74" t="s">
        <v>10219</v>
      </c>
      <c r="L441" s="74">
        <v>552955</v>
      </c>
      <c r="M441" s="74" t="s">
        <v>21341</v>
      </c>
      <c r="N441" s="74">
        <v>1</v>
      </c>
      <c r="O441" s="74" t="s">
        <v>21342</v>
      </c>
      <c r="P441" s="74" t="s">
        <v>21343</v>
      </c>
      <c r="Q441" s="74">
        <v>0</v>
      </c>
      <c r="R441" s="74" t="s">
        <v>148</v>
      </c>
      <c r="S441" s="74" t="s">
        <v>21338</v>
      </c>
      <c r="T441" s="74" t="s">
        <v>402</v>
      </c>
      <c r="U441" s="74">
        <v>0</v>
      </c>
      <c r="V441" s="74">
        <v>0</v>
      </c>
    </row>
    <row r="442" spans="3:22" x14ac:dyDescent="0.25">
      <c r="C442" s="74" t="s">
        <v>735</v>
      </c>
      <c r="D442" s="74" t="s">
        <v>148</v>
      </c>
      <c r="E442" s="74" t="s">
        <v>21338</v>
      </c>
      <c r="F442" s="74">
        <v>570025</v>
      </c>
      <c r="G442" s="74">
        <v>3</v>
      </c>
      <c r="H442" s="135">
        <v>43000.554861111108</v>
      </c>
      <c r="I442" s="74" t="s">
        <v>21339</v>
      </c>
      <c r="J442" s="74" t="s">
        <v>21465</v>
      </c>
      <c r="K442" s="74" t="s">
        <v>21224</v>
      </c>
      <c r="L442" s="74">
        <v>908518</v>
      </c>
      <c r="M442" s="74" t="s">
        <v>21341</v>
      </c>
      <c r="N442" s="74">
        <v>1</v>
      </c>
      <c r="O442" s="74" t="s">
        <v>21359</v>
      </c>
      <c r="P442" s="74" t="s">
        <v>21343</v>
      </c>
      <c r="Q442" s="74" t="s">
        <v>21466</v>
      </c>
      <c r="R442" s="74" t="s">
        <v>148</v>
      </c>
      <c r="S442" s="74" t="s">
        <v>21338</v>
      </c>
      <c r="T442" s="74" t="s">
        <v>402</v>
      </c>
      <c r="U442" s="74">
        <v>0</v>
      </c>
      <c r="V442" s="74">
        <v>0</v>
      </c>
    </row>
    <row r="443" spans="3:22" x14ac:dyDescent="0.25">
      <c r="C443" s="74" t="s">
        <v>735</v>
      </c>
      <c r="D443" s="74" t="s">
        <v>148</v>
      </c>
      <c r="E443" s="74" t="s">
        <v>21338</v>
      </c>
      <c r="F443" s="74">
        <v>570025</v>
      </c>
      <c r="G443" s="74">
        <v>3</v>
      </c>
      <c r="H443" s="135">
        <v>43000.5544212963</v>
      </c>
      <c r="I443" s="74" t="s">
        <v>21398</v>
      </c>
      <c r="J443" s="74" t="s">
        <v>21357</v>
      </c>
      <c r="K443" s="74" t="s">
        <v>21467</v>
      </c>
      <c r="L443" s="74">
        <v>908518</v>
      </c>
      <c r="M443" s="74" t="s">
        <v>21341</v>
      </c>
      <c r="N443" s="74">
        <v>1</v>
      </c>
      <c r="O443" s="74" t="s">
        <v>21359</v>
      </c>
      <c r="P443" s="74" t="s">
        <v>21343</v>
      </c>
      <c r="Q443" s="74" t="s">
        <v>21468</v>
      </c>
      <c r="R443" s="74" t="s">
        <v>148</v>
      </c>
      <c r="S443" s="74" t="s">
        <v>21338</v>
      </c>
      <c r="T443" s="74" t="s">
        <v>402</v>
      </c>
      <c r="U443" s="74">
        <v>0</v>
      </c>
      <c r="V443" s="74">
        <v>0</v>
      </c>
    </row>
    <row r="444" spans="3:22" x14ac:dyDescent="0.25">
      <c r="C444" s="74" t="s">
        <v>18795</v>
      </c>
      <c r="D444" s="74" t="s">
        <v>148</v>
      </c>
      <c r="E444" s="74" t="s">
        <v>21338</v>
      </c>
      <c r="F444" s="74">
        <v>551367</v>
      </c>
      <c r="G444" s="74">
        <v>1000</v>
      </c>
      <c r="H444" s="135">
        <v>43000.513692129629</v>
      </c>
      <c r="I444" s="74" t="s">
        <v>21339</v>
      </c>
      <c r="J444" s="74" t="s">
        <v>21340</v>
      </c>
      <c r="K444" s="74" t="s">
        <v>19397</v>
      </c>
      <c r="L444" s="74">
        <v>554104</v>
      </c>
      <c r="M444" s="74" t="s">
        <v>21341</v>
      </c>
      <c r="N444" s="74">
        <v>1</v>
      </c>
      <c r="O444" s="74" t="s">
        <v>21342</v>
      </c>
      <c r="P444" s="74" t="s">
        <v>21343</v>
      </c>
      <c r="Q444" s="74">
        <v>0</v>
      </c>
      <c r="R444" s="74" t="s">
        <v>148</v>
      </c>
      <c r="S444" s="74" t="s">
        <v>21338</v>
      </c>
      <c r="T444" s="74" t="s">
        <v>402</v>
      </c>
      <c r="U444" s="74">
        <v>0</v>
      </c>
      <c r="V444" s="74">
        <v>0</v>
      </c>
    </row>
    <row r="445" spans="3:22" x14ac:dyDescent="0.25">
      <c r="C445" s="74" t="s">
        <v>18795</v>
      </c>
      <c r="D445" s="74" t="s">
        <v>148</v>
      </c>
      <c r="E445" s="74" t="s">
        <v>21338</v>
      </c>
      <c r="F445" s="74">
        <v>551367</v>
      </c>
      <c r="G445" s="74">
        <v>1000</v>
      </c>
      <c r="H445" s="135">
        <v>43000.48064814815</v>
      </c>
      <c r="I445" s="74" t="s">
        <v>21339</v>
      </c>
      <c r="J445" s="74" t="s">
        <v>21340</v>
      </c>
      <c r="K445" s="74" t="s">
        <v>19761</v>
      </c>
      <c r="L445" s="74">
        <v>554140</v>
      </c>
      <c r="M445" s="74" t="s">
        <v>21341</v>
      </c>
      <c r="N445" s="74">
        <v>1</v>
      </c>
      <c r="O445" s="74" t="s">
        <v>21342</v>
      </c>
      <c r="P445" s="74" t="s">
        <v>21343</v>
      </c>
      <c r="Q445" s="74">
        <v>0</v>
      </c>
      <c r="R445" s="74" t="s">
        <v>148</v>
      </c>
      <c r="S445" s="74" t="s">
        <v>21338</v>
      </c>
      <c r="T445" s="74" t="s">
        <v>402</v>
      </c>
      <c r="U445" s="74">
        <v>0</v>
      </c>
      <c r="V445" s="74">
        <v>0</v>
      </c>
    </row>
    <row r="446" spans="3:22" x14ac:dyDescent="0.25">
      <c r="C446" s="74" t="s">
        <v>18795</v>
      </c>
      <c r="D446" s="74" t="s">
        <v>148</v>
      </c>
      <c r="E446" s="74" t="s">
        <v>21338</v>
      </c>
      <c r="F446" s="74">
        <v>551367</v>
      </c>
      <c r="G446" s="74">
        <v>1000</v>
      </c>
      <c r="H446" s="135">
        <v>43000.480324074073</v>
      </c>
      <c r="I446" s="74" t="s">
        <v>21339</v>
      </c>
      <c r="J446" s="74" t="s">
        <v>21340</v>
      </c>
      <c r="K446" s="74" t="s">
        <v>17984</v>
      </c>
      <c r="L446" s="74">
        <v>553940</v>
      </c>
      <c r="M446" s="74" t="s">
        <v>21341</v>
      </c>
      <c r="N446" s="74">
        <v>1</v>
      </c>
      <c r="O446" s="74" t="s">
        <v>21342</v>
      </c>
      <c r="P446" s="74" t="s">
        <v>21343</v>
      </c>
      <c r="Q446" s="74">
        <v>0</v>
      </c>
      <c r="R446" s="74" t="s">
        <v>148</v>
      </c>
      <c r="S446" s="74" t="s">
        <v>21338</v>
      </c>
      <c r="T446" s="74" t="s">
        <v>402</v>
      </c>
      <c r="U446" s="74">
        <v>0</v>
      </c>
      <c r="V446" s="74">
        <v>0</v>
      </c>
    </row>
    <row r="447" spans="3:22" x14ac:dyDescent="0.25">
      <c r="C447" s="74" t="s">
        <v>18795</v>
      </c>
      <c r="D447" s="74" t="s">
        <v>148</v>
      </c>
      <c r="E447" s="74" t="s">
        <v>21338</v>
      </c>
      <c r="F447" s="74">
        <v>551367</v>
      </c>
      <c r="G447" s="74">
        <v>1000</v>
      </c>
      <c r="H447" s="135">
        <v>43000.479363425926</v>
      </c>
      <c r="I447" s="74" t="s">
        <v>21339</v>
      </c>
      <c r="J447" s="74" t="s">
        <v>21340</v>
      </c>
      <c r="K447" s="74" t="s">
        <v>21469</v>
      </c>
      <c r="L447" s="74">
        <v>560676</v>
      </c>
      <c r="M447" s="74" t="s">
        <v>21341</v>
      </c>
      <c r="N447" s="74">
        <v>1</v>
      </c>
      <c r="O447" s="74" t="s">
        <v>21342</v>
      </c>
      <c r="P447" s="74" t="s">
        <v>21343</v>
      </c>
      <c r="Q447" s="74">
        <v>0</v>
      </c>
      <c r="R447" s="74" t="s">
        <v>148</v>
      </c>
      <c r="S447" s="74" t="s">
        <v>21338</v>
      </c>
      <c r="T447" s="74" t="s">
        <v>393</v>
      </c>
      <c r="U447" s="74">
        <v>0</v>
      </c>
      <c r="V447" s="74">
        <v>0</v>
      </c>
    </row>
    <row r="448" spans="3:22" x14ac:dyDescent="0.25">
      <c r="C448" s="74" t="s">
        <v>18795</v>
      </c>
      <c r="D448" s="74" t="s">
        <v>148</v>
      </c>
      <c r="E448" s="74" t="s">
        <v>21338</v>
      </c>
      <c r="F448" s="74">
        <v>551367</v>
      </c>
      <c r="G448" s="74">
        <v>1000</v>
      </c>
      <c r="H448" s="135">
        <v>43000.477013888885</v>
      </c>
      <c r="I448" s="74" t="s">
        <v>21339</v>
      </c>
      <c r="J448" s="74" t="s">
        <v>21340</v>
      </c>
      <c r="K448" s="74" t="s">
        <v>9933</v>
      </c>
      <c r="L448" s="74">
        <v>552914</v>
      </c>
      <c r="M448" s="74" t="s">
        <v>21341</v>
      </c>
      <c r="N448" s="74">
        <v>1</v>
      </c>
      <c r="O448" s="74" t="s">
        <v>21342</v>
      </c>
      <c r="P448" s="74" t="s">
        <v>21343</v>
      </c>
      <c r="Q448" s="74">
        <v>0</v>
      </c>
      <c r="R448" s="74" t="s">
        <v>148</v>
      </c>
      <c r="S448" s="74" t="s">
        <v>21338</v>
      </c>
      <c r="T448" s="74" t="s">
        <v>402</v>
      </c>
      <c r="U448" s="74">
        <v>0</v>
      </c>
      <c r="V448" s="74">
        <v>0</v>
      </c>
    </row>
    <row r="449" spans="3:22" x14ac:dyDescent="0.25">
      <c r="C449" s="74" t="s">
        <v>18795</v>
      </c>
      <c r="D449" s="74" t="s">
        <v>148</v>
      </c>
      <c r="E449" s="74" t="s">
        <v>21338</v>
      </c>
      <c r="F449" s="74">
        <v>551367</v>
      </c>
      <c r="G449" s="74">
        <v>1000</v>
      </c>
      <c r="H449" s="135">
        <v>43000.4768287037</v>
      </c>
      <c r="I449" s="74" t="s">
        <v>21339</v>
      </c>
      <c r="J449" s="74" t="s">
        <v>21340</v>
      </c>
      <c r="K449" s="74" t="s">
        <v>21470</v>
      </c>
      <c r="L449" s="74">
        <v>811083</v>
      </c>
      <c r="M449" s="74" t="s">
        <v>21341</v>
      </c>
      <c r="N449" s="74">
        <v>1</v>
      </c>
      <c r="O449" s="74" t="s">
        <v>21342</v>
      </c>
      <c r="P449" s="74" t="s">
        <v>21343</v>
      </c>
      <c r="Q449" s="74">
        <v>0</v>
      </c>
      <c r="R449" s="74" t="s">
        <v>148</v>
      </c>
      <c r="S449" s="74" t="s">
        <v>21338</v>
      </c>
      <c r="T449" s="74" t="s">
        <v>402</v>
      </c>
      <c r="U449" s="74">
        <v>0</v>
      </c>
      <c r="V449" s="74">
        <v>0</v>
      </c>
    </row>
    <row r="450" spans="3:22" x14ac:dyDescent="0.25">
      <c r="C450" s="74" t="s">
        <v>18795</v>
      </c>
      <c r="D450" s="74" t="s">
        <v>148</v>
      </c>
      <c r="E450" s="74" t="s">
        <v>21338</v>
      </c>
      <c r="F450" s="74">
        <v>551367</v>
      </c>
      <c r="G450" s="74">
        <v>1000</v>
      </c>
      <c r="H450" s="135">
        <v>43000.466226851851</v>
      </c>
      <c r="I450" s="74" t="s">
        <v>21339</v>
      </c>
      <c r="J450" s="74" t="s">
        <v>21340</v>
      </c>
      <c r="K450" s="74" t="s">
        <v>19839</v>
      </c>
      <c r="L450" s="74">
        <v>554153</v>
      </c>
      <c r="M450" s="74" t="s">
        <v>21341</v>
      </c>
      <c r="N450" s="74">
        <v>1</v>
      </c>
      <c r="O450" s="74" t="s">
        <v>21342</v>
      </c>
      <c r="P450" s="74" t="s">
        <v>21343</v>
      </c>
      <c r="Q450" s="74">
        <v>0</v>
      </c>
      <c r="R450" s="74" t="s">
        <v>148</v>
      </c>
      <c r="S450" s="74" t="s">
        <v>21338</v>
      </c>
      <c r="T450" s="74" t="s">
        <v>402</v>
      </c>
      <c r="U450" s="74">
        <v>0</v>
      </c>
      <c r="V450" s="74">
        <v>0</v>
      </c>
    </row>
    <row r="451" spans="3:22" x14ac:dyDescent="0.25">
      <c r="C451" s="74" t="s">
        <v>18795</v>
      </c>
      <c r="D451" s="74" t="s">
        <v>148</v>
      </c>
      <c r="E451" s="74" t="s">
        <v>21338</v>
      </c>
      <c r="F451" s="74">
        <v>551367</v>
      </c>
      <c r="G451" s="74">
        <v>1000</v>
      </c>
      <c r="H451" s="135">
        <v>43000.464212962965</v>
      </c>
      <c r="I451" s="74" t="s">
        <v>21339</v>
      </c>
      <c r="J451" s="74" t="s">
        <v>21340</v>
      </c>
      <c r="K451" s="74" t="s">
        <v>18922</v>
      </c>
      <c r="L451" s="74">
        <v>554048</v>
      </c>
      <c r="M451" s="74" t="s">
        <v>21341</v>
      </c>
      <c r="N451" s="74">
        <v>1</v>
      </c>
      <c r="O451" s="74" t="s">
        <v>21342</v>
      </c>
      <c r="P451" s="74" t="s">
        <v>21343</v>
      </c>
      <c r="Q451" s="74">
        <v>0</v>
      </c>
      <c r="R451" s="74" t="s">
        <v>148</v>
      </c>
      <c r="S451" s="74" t="s">
        <v>21338</v>
      </c>
      <c r="T451" s="74" t="s">
        <v>402</v>
      </c>
      <c r="U451" s="74">
        <v>0</v>
      </c>
      <c r="V451" s="74">
        <v>0</v>
      </c>
    </row>
    <row r="452" spans="3:22" x14ac:dyDescent="0.25">
      <c r="C452" s="74" t="s">
        <v>18795</v>
      </c>
      <c r="D452" s="74" t="s">
        <v>148</v>
      </c>
      <c r="E452" s="74" t="s">
        <v>21338</v>
      </c>
      <c r="F452" s="74">
        <v>551367</v>
      </c>
      <c r="G452" s="74">
        <v>1000</v>
      </c>
      <c r="H452" s="135">
        <v>43000.440972222219</v>
      </c>
      <c r="I452" s="74" t="s">
        <v>21339</v>
      </c>
      <c r="J452" s="74" t="s">
        <v>21340</v>
      </c>
      <c r="K452" s="74" t="s">
        <v>19101</v>
      </c>
      <c r="L452" s="74">
        <v>554071</v>
      </c>
      <c r="M452" s="74" t="s">
        <v>21341</v>
      </c>
      <c r="N452" s="74">
        <v>1</v>
      </c>
      <c r="O452" s="74" t="s">
        <v>21342</v>
      </c>
      <c r="P452" s="74" t="s">
        <v>21343</v>
      </c>
      <c r="Q452" s="74">
        <v>0</v>
      </c>
      <c r="R452" s="74" t="s">
        <v>148</v>
      </c>
      <c r="S452" s="74" t="s">
        <v>21338</v>
      </c>
      <c r="T452" s="74" t="s">
        <v>402</v>
      </c>
      <c r="U452" s="74">
        <v>0</v>
      </c>
      <c r="V452" s="74">
        <v>0</v>
      </c>
    </row>
    <row r="453" spans="3:22" x14ac:dyDescent="0.25">
      <c r="C453" s="74" t="s">
        <v>18795</v>
      </c>
      <c r="D453" s="74" t="s">
        <v>148</v>
      </c>
      <c r="E453" s="74" t="s">
        <v>21338</v>
      </c>
      <c r="F453" s="74">
        <v>551367</v>
      </c>
      <c r="G453" s="74">
        <v>1000</v>
      </c>
      <c r="H453" s="135">
        <v>43000.428888888891</v>
      </c>
      <c r="I453" s="74" t="s">
        <v>21339</v>
      </c>
      <c r="J453" s="74" t="s">
        <v>21340</v>
      </c>
      <c r="K453" s="74" t="s">
        <v>21471</v>
      </c>
      <c r="L453" s="74">
        <v>824471</v>
      </c>
      <c r="M453" s="74" t="s">
        <v>21341</v>
      </c>
      <c r="N453" s="74">
        <v>1</v>
      </c>
      <c r="O453" s="74" t="s">
        <v>21342</v>
      </c>
      <c r="P453" s="74" t="s">
        <v>21343</v>
      </c>
      <c r="Q453" s="74">
        <v>0</v>
      </c>
      <c r="R453" s="74" t="s">
        <v>148</v>
      </c>
      <c r="S453" s="74" t="s">
        <v>21338</v>
      </c>
      <c r="T453" s="74" t="s">
        <v>402</v>
      </c>
      <c r="U453" s="74">
        <v>0</v>
      </c>
      <c r="V453" s="74">
        <v>0</v>
      </c>
    </row>
    <row r="454" spans="3:22" x14ac:dyDescent="0.25">
      <c r="C454" s="74" t="s">
        <v>18795</v>
      </c>
      <c r="D454" s="74" t="s">
        <v>148</v>
      </c>
      <c r="E454" s="74" t="s">
        <v>21338</v>
      </c>
      <c r="F454" s="74">
        <v>551367</v>
      </c>
      <c r="G454" s="74">
        <v>1000</v>
      </c>
      <c r="H454" s="135">
        <v>43000.413761574076</v>
      </c>
      <c r="I454" s="74" t="s">
        <v>21339</v>
      </c>
      <c r="J454" s="74" t="s">
        <v>21340</v>
      </c>
      <c r="K454" s="74" t="s">
        <v>19208</v>
      </c>
      <c r="L454" s="74">
        <v>554087</v>
      </c>
      <c r="M454" s="74" t="s">
        <v>21341</v>
      </c>
      <c r="N454" s="74">
        <v>1</v>
      </c>
      <c r="O454" s="74" t="s">
        <v>21342</v>
      </c>
      <c r="P454" s="74" t="s">
        <v>21343</v>
      </c>
      <c r="Q454" s="74">
        <v>0</v>
      </c>
      <c r="R454" s="74" t="s">
        <v>148</v>
      </c>
      <c r="S454" s="74" t="s">
        <v>21338</v>
      </c>
      <c r="T454" s="74" t="s">
        <v>393</v>
      </c>
      <c r="U454" s="74">
        <v>0</v>
      </c>
      <c r="V454" s="74">
        <v>0</v>
      </c>
    </row>
    <row r="455" spans="3:22" x14ac:dyDescent="0.25">
      <c r="C455" s="74" t="s">
        <v>18795</v>
      </c>
      <c r="D455" s="74" t="s">
        <v>148</v>
      </c>
      <c r="E455" s="74" t="s">
        <v>21338</v>
      </c>
      <c r="F455" s="74">
        <v>551367</v>
      </c>
      <c r="G455" s="74">
        <v>1000</v>
      </c>
      <c r="H455" s="135">
        <v>43000.413310185184</v>
      </c>
      <c r="I455" s="74" t="s">
        <v>21339</v>
      </c>
      <c r="J455" s="74" t="s">
        <v>21340</v>
      </c>
      <c r="K455" s="74" t="s">
        <v>19208</v>
      </c>
      <c r="L455" s="74">
        <v>554087</v>
      </c>
      <c r="M455" s="74" t="s">
        <v>21341</v>
      </c>
      <c r="N455" s="74">
        <v>1</v>
      </c>
      <c r="O455" s="74" t="s">
        <v>21342</v>
      </c>
      <c r="P455" s="74" t="s">
        <v>21343</v>
      </c>
      <c r="Q455" s="74">
        <v>0</v>
      </c>
      <c r="R455" s="74" t="s">
        <v>148</v>
      </c>
      <c r="S455" s="74" t="s">
        <v>21338</v>
      </c>
      <c r="T455" s="74" t="s">
        <v>393</v>
      </c>
      <c r="U455" s="74">
        <v>0</v>
      </c>
      <c r="V455" s="74">
        <v>0</v>
      </c>
    </row>
    <row r="456" spans="3:22" x14ac:dyDescent="0.25">
      <c r="C456" s="74" t="s">
        <v>18795</v>
      </c>
      <c r="D456" s="74" t="s">
        <v>148</v>
      </c>
      <c r="E456" s="74" t="s">
        <v>21338</v>
      </c>
      <c r="F456" s="74">
        <v>551367</v>
      </c>
      <c r="G456" s="74">
        <v>1000</v>
      </c>
      <c r="H456" s="135">
        <v>43000.41134259259</v>
      </c>
      <c r="I456" s="74" t="s">
        <v>21339</v>
      </c>
      <c r="J456" s="74" t="s">
        <v>21340</v>
      </c>
      <c r="K456" s="74" t="s">
        <v>18661</v>
      </c>
      <c r="L456" s="74">
        <v>569502</v>
      </c>
      <c r="M456" s="74" t="s">
        <v>21341</v>
      </c>
      <c r="N456" s="74">
        <v>1</v>
      </c>
      <c r="O456" s="74" t="s">
        <v>21342</v>
      </c>
      <c r="P456" s="74" t="s">
        <v>21343</v>
      </c>
      <c r="Q456" s="74">
        <v>0</v>
      </c>
      <c r="R456" s="74" t="s">
        <v>148</v>
      </c>
      <c r="S456" s="74" t="s">
        <v>21338</v>
      </c>
      <c r="T456" s="74" t="s">
        <v>402</v>
      </c>
      <c r="U456" s="74">
        <v>0</v>
      </c>
      <c r="V456" s="74">
        <v>0</v>
      </c>
    </row>
    <row r="457" spans="3:22" x14ac:dyDescent="0.25">
      <c r="C457" s="74" t="s">
        <v>735</v>
      </c>
      <c r="D457" s="74" t="s">
        <v>148</v>
      </c>
      <c r="E457" s="74" t="s">
        <v>21338</v>
      </c>
      <c r="F457" s="74">
        <v>570025</v>
      </c>
      <c r="G457" s="74">
        <v>3</v>
      </c>
      <c r="H457" s="135">
        <v>43000.406631944446</v>
      </c>
      <c r="I457" s="74" t="s">
        <v>21339</v>
      </c>
      <c r="J457" s="74" t="s">
        <v>21397</v>
      </c>
      <c r="K457" s="74" t="s">
        <v>18146</v>
      </c>
      <c r="L457" s="74">
        <v>909910</v>
      </c>
      <c r="M457" s="74" t="s">
        <v>21341</v>
      </c>
      <c r="N457" s="74">
        <v>1</v>
      </c>
      <c r="O457" s="74" t="s">
        <v>21342</v>
      </c>
      <c r="P457" s="74" t="s">
        <v>21343</v>
      </c>
      <c r="Q457" s="74">
        <v>0</v>
      </c>
      <c r="R457" s="74" t="s">
        <v>148</v>
      </c>
      <c r="S457" s="74" t="s">
        <v>21338</v>
      </c>
      <c r="T457" s="74" t="s">
        <v>402</v>
      </c>
      <c r="U457" s="74">
        <v>0</v>
      </c>
      <c r="V457" s="74">
        <v>0</v>
      </c>
    </row>
    <row r="458" spans="3:22" x14ac:dyDescent="0.25">
      <c r="C458" s="74" t="s">
        <v>735</v>
      </c>
      <c r="D458" s="74" t="s">
        <v>148</v>
      </c>
      <c r="E458" s="74" t="s">
        <v>21338</v>
      </c>
      <c r="F458" s="74">
        <v>570025</v>
      </c>
      <c r="G458" s="74">
        <v>3</v>
      </c>
      <c r="H458" s="135">
        <v>43000.405613425923</v>
      </c>
      <c r="I458" s="74" t="s">
        <v>21339</v>
      </c>
      <c r="J458" s="74" t="s">
        <v>21364</v>
      </c>
      <c r="K458" s="74" t="s">
        <v>18146</v>
      </c>
      <c r="L458" s="74">
        <v>909910</v>
      </c>
      <c r="M458" s="74" t="s">
        <v>21341</v>
      </c>
      <c r="N458" s="74">
        <v>1</v>
      </c>
      <c r="O458" s="74" t="s">
        <v>21342</v>
      </c>
      <c r="P458" s="74" t="s">
        <v>21343</v>
      </c>
      <c r="Q458" s="74">
        <v>0</v>
      </c>
      <c r="R458" s="74" t="s">
        <v>148</v>
      </c>
      <c r="S458" s="74" t="s">
        <v>21338</v>
      </c>
      <c r="T458" s="74" t="s">
        <v>402</v>
      </c>
      <c r="U458" s="74">
        <v>0</v>
      </c>
      <c r="V458" s="74">
        <v>0</v>
      </c>
    </row>
    <row r="459" spans="3:22" x14ac:dyDescent="0.25">
      <c r="C459" s="74" t="s">
        <v>735</v>
      </c>
      <c r="D459" s="74" t="s">
        <v>148</v>
      </c>
      <c r="E459" s="74" t="s">
        <v>21338</v>
      </c>
      <c r="F459" s="74">
        <v>570025</v>
      </c>
      <c r="G459" s="74">
        <v>3</v>
      </c>
      <c r="H459" s="135">
        <v>43000.405601851853</v>
      </c>
      <c r="I459" s="74" t="s">
        <v>21398</v>
      </c>
      <c r="J459" s="74" t="s">
        <v>21366</v>
      </c>
      <c r="K459" s="74" t="s">
        <v>21367</v>
      </c>
      <c r="L459" s="74">
        <v>561482</v>
      </c>
      <c r="M459" s="74" t="s">
        <v>21368</v>
      </c>
      <c r="N459" s="74">
        <v>1</v>
      </c>
      <c r="O459" s="74" t="s">
        <v>21369</v>
      </c>
      <c r="P459" s="74" t="s">
        <v>21343</v>
      </c>
      <c r="Q459" s="74" t="s">
        <v>21472</v>
      </c>
      <c r="R459" s="74" t="s">
        <v>148</v>
      </c>
      <c r="S459" s="74" t="s">
        <v>21338</v>
      </c>
      <c r="T459" s="74" t="s">
        <v>21371</v>
      </c>
      <c r="U459" s="74">
        <v>0</v>
      </c>
      <c r="V459" s="74">
        <v>0</v>
      </c>
    </row>
    <row r="460" spans="3:22" x14ac:dyDescent="0.25">
      <c r="C460" s="74" t="s">
        <v>735</v>
      </c>
      <c r="D460" s="74" t="s">
        <v>148</v>
      </c>
      <c r="E460" s="74" t="s">
        <v>21338</v>
      </c>
      <c r="F460" s="74">
        <v>570025</v>
      </c>
      <c r="G460" s="74">
        <v>3</v>
      </c>
      <c r="H460" s="135">
        <v>43000.405590277776</v>
      </c>
      <c r="I460" s="74" t="s">
        <v>21398</v>
      </c>
      <c r="J460" s="74" t="s">
        <v>21366</v>
      </c>
      <c r="K460" s="74" t="s">
        <v>21376</v>
      </c>
      <c r="L460" s="74">
        <v>555659</v>
      </c>
      <c r="M460" s="74" t="s">
        <v>21368</v>
      </c>
      <c r="N460" s="74">
        <v>1</v>
      </c>
      <c r="O460" s="74" t="s">
        <v>21369</v>
      </c>
      <c r="P460" s="74" t="s">
        <v>21343</v>
      </c>
      <c r="Q460" s="74" t="s">
        <v>21472</v>
      </c>
      <c r="R460" s="74" t="s">
        <v>148</v>
      </c>
      <c r="S460" s="74" t="s">
        <v>21338</v>
      </c>
      <c r="T460" s="74" t="s">
        <v>21371</v>
      </c>
      <c r="U460" s="74">
        <v>0</v>
      </c>
      <c r="V460" s="74">
        <v>0</v>
      </c>
    </row>
    <row r="461" spans="3:22" x14ac:dyDescent="0.25">
      <c r="C461" s="74" t="s">
        <v>735</v>
      </c>
      <c r="D461" s="74" t="s">
        <v>148</v>
      </c>
      <c r="E461" s="74" t="s">
        <v>21338</v>
      </c>
      <c r="F461" s="74">
        <v>570025</v>
      </c>
      <c r="G461" s="74">
        <v>3</v>
      </c>
      <c r="H461" s="135">
        <v>43000.405578703707</v>
      </c>
      <c r="I461" s="74" t="s">
        <v>21339</v>
      </c>
      <c r="J461" s="74" t="s">
        <v>21364</v>
      </c>
      <c r="K461" s="74" t="s">
        <v>18146</v>
      </c>
      <c r="L461" s="74">
        <v>909910</v>
      </c>
      <c r="M461" s="74" t="s">
        <v>21341</v>
      </c>
      <c r="N461" s="74">
        <v>1</v>
      </c>
      <c r="O461" s="74" t="s">
        <v>21342</v>
      </c>
      <c r="P461" s="74" t="s">
        <v>21343</v>
      </c>
      <c r="Q461" s="74">
        <v>0</v>
      </c>
      <c r="R461" s="74" t="s">
        <v>148</v>
      </c>
      <c r="S461" s="74" t="s">
        <v>21338</v>
      </c>
      <c r="T461" s="74" t="s">
        <v>402</v>
      </c>
      <c r="U461" s="74">
        <v>0</v>
      </c>
      <c r="V461" s="74">
        <v>0</v>
      </c>
    </row>
    <row r="462" spans="3:22" x14ac:dyDescent="0.25">
      <c r="C462" s="74" t="s">
        <v>735</v>
      </c>
      <c r="D462" s="74" t="s">
        <v>148</v>
      </c>
      <c r="E462" s="74" t="s">
        <v>21338</v>
      </c>
      <c r="F462" s="74">
        <v>570025</v>
      </c>
      <c r="G462" s="74">
        <v>3</v>
      </c>
      <c r="H462" s="135">
        <v>43000.404513888891</v>
      </c>
      <c r="I462" s="74" t="s">
        <v>21339</v>
      </c>
      <c r="J462" s="74" t="s">
        <v>21364</v>
      </c>
      <c r="K462" s="74" t="s">
        <v>18146</v>
      </c>
      <c r="L462" s="74">
        <v>909910</v>
      </c>
      <c r="M462" s="74" t="s">
        <v>21341</v>
      </c>
      <c r="N462" s="74">
        <v>1</v>
      </c>
      <c r="O462" s="74" t="s">
        <v>21342</v>
      </c>
      <c r="P462" s="74" t="s">
        <v>21343</v>
      </c>
      <c r="Q462" s="74">
        <v>0</v>
      </c>
      <c r="R462" s="74" t="s">
        <v>148</v>
      </c>
      <c r="S462" s="74" t="s">
        <v>21338</v>
      </c>
      <c r="T462" s="74" t="s">
        <v>402</v>
      </c>
      <c r="U462" s="74">
        <v>0</v>
      </c>
      <c r="V462" s="74">
        <v>0</v>
      </c>
    </row>
    <row r="463" spans="3:22" x14ac:dyDescent="0.25">
      <c r="C463" s="74" t="s">
        <v>735</v>
      </c>
      <c r="D463" s="74" t="s">
        <v>148</v>
      </c>
      <c r="E463" s="74" t="s">
        <v>21338</v>
      </c>
      <c r="F463" s="74">
        <v>570025</v>
      </c>
      <c r="G463" s="74">
        <v>3</v>
      </c>
      <c r="H463" s="135">
        <v>43000.403622685182</v>
      </c>
      <c r="I463" s="74" t="s">
        <v>21398</v>
      </c>
      <c r="J463" s="74" t="s">
        <v>21400</v>
      </c>
      <c r="K463" s="74" t="s">
        <v>18146</v>
      </c>
      <c r="L463" s="74">
        <v>909910</v>
      </c>
      <c r="M463" s="74" t="s">
        <v>21341</v>
      </c>
      <c r="N463" s="74">
        <v>1</v>
      </c>
      <c r="O463" s="74" t="s">
        <v>21342</v>
      </c>
      <c r="P463" s="74" t="s">
        <v>21343</v>
      </c>
      <c r="Q463" s="74" t="s">
        <v>21473</v>
      </c>
      <c r="R463" s="74" t="s">
        <v>148</v>
      </c>
      <c r="S463" s="74" t="s">
        <v>21338</v>
      </c>
      <c r="T463" s="74" t="s">
        <v>402</v>
      </c>
      <c r="U463" s="74">
        <v>0</v>
      </c>
      <c r="V463" s="74">
        <v>0</v>
      </c>
    </row>
    <row r="464" spans="3:22" x14ac:dyDescent="0.25">
      <c r="C464" s="74" t="s">
        <v>18795</v>
      </c>
      <c r="D464" s="74" t="s">
        <v>148</v>
      </c>
      <c r="E464" s="74" t="s">
        <v>21338</v>
      </c>
      <c r="F464" s="74">
        <v>551367</v>
      </c>
      <c r="G464" s="74">
        <v>1000</v>
      </c>
      <c r="H464" s="135">
        <v>43000.399930555555</v>
      </c>
      <c r="I464" s="74" t="s">
        <v>21339</v>
      </c>
      <c r="J464" s="74" t="s">
        <v>21340</v>
      </c>
      <c r="K464" s="74" t="s">
        <v>4832</v>
      </c>
      <c r="L464" s="74">
        <v>552245</v>
      </c>
      <c r="M464" s="74" t="s">
        <v>21341</v>
      </c>
      <c r="N464" s="74">
        <v>1</v>
      </c>
      <c r="O464" s="74" t="s">
        <v>21342</v>
      </c>
      <c r="P464" s="74" t="s">
        <v>21343</v>
      </c>
      <c r="Q464" s="74">
        <v>0</v>
      </c>
      <c r="R464" s="74" t="s">
        <v>148</v>
      </c>
      <c r="S464" s="74" t="s">
        <v>21338</v>
      </c>
      <c r="T464" s="74" t="s">
        <v>402</v>
      </c>
      <c r="U464" s="74">
        <v>0</v>
      </c>
      <c r="V464" s="74">
        <v>0</v>
      </c>
    </row>
    <row r="465" spans="3:22" x14ac:dyDescent="0.25">
      <c r="C465" s="74" t="s">
        <v>18795</v>
      </c>
      <c r="D465" s="74" t="s">
        <v>148</v>
      </c>
      <c r="E465" s="74" t="s">
        <v>21338</v>
      </c>
      <c r="F465" s="74">
        <v>551367</v>
      </c>
      <c r="G465" s="74">
        <v>1000</v>
      </c>
      <c r="H465" s="135">
        <v>43000.395196759258</v>
      </c>
      <c r="I465" s="74" t="s">
        <v>21339</v>
      </c>
      <c r="J465" s="74" t="s">
        <v>21340</v>
      </c>
      <c r="K465" s="74" t="s">
        <v>2030</v>
      </c>
      <c r="L465" s="74">
        <v>551911</v>
      </c>
      <c r="M465" s="74" t="s">
        <v>21341</v>
      </c>
      <c r="N465" s="74">
        <v>1</v>
      </c>
      <c r="O465" s="74" t="s">
        <v>21342</v>
      </c>
      <c r="P465" s="74" t="s">
        <v>21343</v>
      </c>
      <c r="Q465" s="74">
        <v>0</v>
      </c>
      <c r="R465" s="74" t="s">
        <v>148</v>
      </c>
      <c r="S465" s="74" t="s">
        <v>21338</v>
      </c>
      <c r="T465" s="74" t="s">
        <v>402</v>
      </c>
      <c r="U465" s="74">
        <v>0</v>
      </c>
      <c r="V465" s="74">
        <v>0</v>
      </c>
    </row>
    <row r="466" spans="3:22" x14ac:dyDescent="0.25">
      <c r="C466" s="74" t="s">
        <v>18795</v>
      </c>
      <c r="D466" s="74" t="s">
        <v>148</v>
      </c>
      <c r="E466" s="74" t="s">
        <v>21338</v>
      </c>
      <c r="F466" s="74">
        <v>551367</v>
      </c>
      <c r="G466" s="74">
        <v>1000</v>
      </c>
      <c r="H466" s="135">
        <v>43000.394502314812</v>
      </c>
      <c r="I466" s="74" t="s">
        <v>21339</v>
      </c>
      <c r="J466" s="74" t="s">
        <v>21340</v>
      </c>
      <c r="K466" s="74" t="s">
        <v>19988</v>
      </c>
      <c r="L466" s="74">
        <v>554174</v>
      </c>
      <c r="M466" s="74" t="s">
        <v>21341</v>
      </c>
      <c r="N466" s="74">
        <v>1</v>
      </c>
      <c r="O466" s="74" t="s">
        <v>21342</v>
      </c>
      <c r="P466" s="74" t="s">
        <v>21343</v>
      </c>
      <c r="Q466" s="74">
        <v>0</v>
      </c>
      <c r="R466" s="74" t="s">
        <v>148</v>
      </c>
      <c r="S466" s="74" t="s">
        <v>21338</v>
      </c>
      <c r="T466" s="74" t="s">
        <v>402</v>
      </c>
      <c r="U466" s="74">
        <v>0</v>
      </c>
      <c r="V466" s="74">
        <v>0</v>
      </c>
    </row>
    <row r="467" spans="3:22" x14ac:dyDescent="0.25">
      <c r="C467" s="74" t="s">
        <v>18795</v>
      </c>
      <c r="D467" s="74" t="s">
        <v>148</v>
      </c>
      <c r="E467" s="74" t="s">
        <v>21338</v>
      </c>
      <c r="F467" s="74">
        <v>551367</v>
      </c>
      <c r="G467" s="74">
        <v>1000</v>
      </c>
      <c r="H467" s="135">
        <v>43000.39135416667</v>
      </c>
      <c r="I467" s="74" t="s">
        <v>21339</v>
      </c>
      <c r="J467" s="74" t="s">
        <v>21340</v>
      </c>
      <c r="K467" s="74" t="s">
        <v>19042</v>
      </c>
      <c r="L467" s="74">
        <v>554063</v>
      </c>
      <c r="M467" s="74" t="s">
        <v>21341</v>
      </c>
      <c r="N467" s="74">
        <v>1</v>
      </c>
      <c r="O467" s="74" t="s">
        <v>21342</v>
      </c>
      <c r="P467" s="74" t="s">
        <v>21343</v>
      </c>
      <c r="Q467" s="74">
        <v>0</v>
      </c>
      <c r="R467" s="74" t="s">
        <v>148</v>
      </c>
      <c r="S467" s="74" t="s">
        <v>21338</v>
      </c>
      <c r="T467" s="74" t="s">
        <v>402</v>
      </c>
      <c r="U467" s="74">
        <v>0</v>
      </c>
      <c r="V467" s="74">
        <v>0</v>
      </c>
    </row>
    <row r="468" spans="3:22" x14ac:dyDescent="0.25">
      <c r="C468" s="74" t="s">
        <v>21409</v>
      </c>
      <c r="D468" s="74" t="s">
        <v>148</v>
      </c>
      <c r="E468" s="74" t="s">
        <v>21338</v>
      </c>
      <c r="F468" s="74">
        <v>560330</v>
      </c>
      <c r="G468" s="74">
        <v>3</v>
      </c>
      <c r="H468" s="135">
        <v>43000.391064814816</v>
      </c>
      <c r="I468" s="74" t="s">
        <v>21354</v>
      </c>
      <c r="J468" s="74" t="s">
        <v>21355</v>
      </c>
      <c r="K468" s="74" t="s">
        <v>14663</v>
      </c>
      <c r="L468" s="74">
        <v>553536</v>
      </c>
      <c r="M468" s="74" t="s">
        <v>21341</v>
      </c>
      <c r="N468" s="74">
        <v>1</v>
      </c>
      <c r="O468" s="74" t="s">
        <v>21342</v>
      </c>
      <c r="P468" s="74" t="s">
        <v>21345</v>
      </c>
      <c r="R468" s="74" t="s">
        <v>148</v>
      </c>
      <c r="S468" s="74" t="s">
        <v>21338</v>
      </c>
      <c r="T468" s="74" t="s">
        <v>402</v>
      </c>
      <c r="U468" s="74">
        <v>0</v>
      </c>
      <c r="V468" s="74">
        <v>0</v>
      </c>
    </row>
    <row r="469" spans="3:22" x14ac:dyDescent="0.25">
      <c r="C469" s="74" t="s">
        <v>18795</v>
      </c>
      <c r="D469" s="74" t="s">
        <v>148</v>
      </c>
      <c r="E469" s="74" t="s">
        <v>21338</v>
      </c>
      <c r="F469" s="74">
        <v>551367</v>
      </c>
      <c r="G469" s="74">
        <v>1000</v>
      </c>
      <c r="H469" s="135">
        <v>43000.386400462965</v>
      </c>
      <c r="I469" s="74" t="s">
        <v>21339</v>
      </c>
      <c r="J469" s="74" t="s">
        <v>21340</v>
      </c>
      <c r="K469" s="74" t="s">
        <v>21474</v>
      </c>
      <c r="L469" s="74">
        <v>560274</v>
      </c>
      <c r="M469" s="74" t="s">
        <v>21341</v>
      </c>
      <c r="N469" s="74">
        <v>1</v>
      </c>
      <c r="O469" s="74" t="s">
        <v>21342</v>
      </c>
      <c r="P469" s="74" t="s">
        <v>21343</v>
      </c>
      <c r="Q469" s="74">
        <v>0</v>
      </c>
      <c r="R469" s="74" t="s">
        <v>148</v>
      </c>
      <c r="S469" s="74" t="s">
        <v>21338</v>
      </c>
      <c r="T469" s="74" t="s">
        <v>393</v>
      </c>
      <c r="U469" s="74">
        <v>0</v>
      </c>
      <c r="V469" s="74">
        <v>0</v>
      </c>
    </row>
    <row r="470" spans="3:22" x14ac:dyDescent="0.25">
      <c r="C470" s="74" t="s">
        <v>18795</v>
      </c>
      <c r="D470" s="74" t="s">
        <v>148</v>
      </c>
      <c r="E470" s="74" t="s">
        <v>21338</v>
      </c>
      <c r="F470" s="74">
        <v>551367</v>
      </c>
      <c r="G470" s="74">
        <v>1000</v>
      </c>
      <c r="H470" s="135">
        <v>43000.377789351849</v>
      </c>
      <c r="I470" s="74" t="s">
        <v>21339</v>
      </c>
      <c r="J470" s="74" t="s">
        <v>21340</v>
      </c>
      <c r="K470" s="74" t="s">
        <v>2181</v>
      </c>
      <c r="L470" s="74">
        <v>551933</v>
      </c>
      <c r="M470" s="74" t="s">
        <v>21341</v>
      </c>
      <c r="N470" s="74">
        <v>1</v>
      </c>
      <c r="O470" s="74" t="s">
        <v>21342</v>
      </c>
      <c r="P470" s="74" t="s">
        <v>21343</v>
      </c>
      <c r="Q470" s="74">
        <v>0</v>
      </c>
      <c r="R470" s="74" t="s">
        <v>148</v>
      </c>
      <c r="S470" s="74" t="s">
        <v>21338</v>
      </c>
      <c r="T470" s="74" t="s">
        <v>402</v>
      </c>
      <c r="U470" s="74">
        <v>0</v>
      </c>
      <c r="V470" s="74">
        <v>0</v>
      </c>
    </row>
    <row r="471" spans="3:22" x14ac:dyDescent="0.25">
      <c r="C471" s="74" t="s">
        <v>735</v>
      </c>
      <c r="D471" s="74" t="s">
        <v>148</v>
      </c>
      <c r="E471" s="74" t="s">
        <v>21338</v>
      </c>
      <c r="F471" s="74">
        <v>570025</v>
      </c>
      <c r="G471" s="74">
        <v>3</v>
      </c>
      <c r="H471" s="135">
        <v>43000.374340277776</v>
      </c>
      <c r="I471" s="74" t="s">
        <v>21339</v>
      </c>
      <c r="J471" s="74" t="s">
        <v>21360</v>
      </c>
      <c r="K471" s="74" t="s">
        <v>21475</v>
      </c>
      <c r="L471" s="74">
        <v>624188</v>
      </c>
      <c r="M471" s="74" t="s">
        <v>21341</v>
      </c>
      <c r="N471" s="74">
        <v>1</v>
      </c>
      <c r="O471" s="74" t="s">
        <v>21342</v>
      </c>
      <c r="P471" s="74" t="s">
        <v>21343</v>
      </c>
      <c r="Q471" s="74" t="s">
        <v>21361</v>
      </c>
      <c r="R471" s="74" t="s">
        <v>148</v>
      </c>
      <c r="S471" s="74" t="s">
        <v>21338</v>
      </c>
      <c r="T471" s="74" t="s">
        <v>393</v>
      </c>
      <c r="U471" s="74">
        <v>0</v>
      </c>
      <c r="V471" s="74">
        <v>0</v>
      </c>
    </row>
    <row r="472" spans="3:22" x14ac:dyDescent="0.25">
      <c r="C472" s="74" t="s">
        <v>735</v>
      </c>
      <c r="D472" s="74" t="s">
        <v>148</v>
      </c>
      <c r="E472" s="74" t="s">
        <v>21338</v>
      </c>
      <c r="F472" s="74">
        <v>570025</v>
      </c>
      <c r="G472" s="74">
        <v>3</v>
      </c>
      <c r="H472" s="135">
        <v>43000.370370370372</v>
      </c>
      <c r="I472" s="74" t="s">
        <v>21339</v>
      </c>
      <c r="J472" s="74" t="s">
        <v>21364</v>
      </c>
      <c r="K472" s="74" t="s">
        <v>21475</v>
      </c>
      <c r="L472" s="74">
        <v>624188</v>
      </c>
      <c r="M472" s="74" t="s">
        <v>21341</v>
      </c>
      <c r="N472" s="74">
        <v>1</v>
      </c>
      <c r="O472" s="74" t="s">
        <v>21342</v>
      </c>
      <c r="P472" s="74" t="s">
        <v>21343</v>
      </c>
      <c r="Q472" s="74">
        <v>0</v>
      </c>
      <c r="R472" s="74" t="s">
        <v>148</v>
      </c>
      <c r="S472" s="74" t="s">
        <v>21338</v>
      </c>
      <c r="T472" s="74" t="s">
        <v>393</v>
      </c>
      <c r="U472" s="74">
        <v>0</v>
      </c>
      <c r="V472" s="74">
        <v>0</v>
      </c>
    </row>
    <row r="473" spans="3:22" x14ac:dyDescent="0.25">
      <c r="C473" s="74" t="s">
        <v>735</v>
      </c>
      <c r="D473" s="74" t="s">
        <v>148</v>
      </c>
      <c r="E473" s="74" t="s">
        <v>21338</v>
      </c>
      <c r="F473" s="74">
        <v>570025</v>
      </c>
      <c r="G473" s="74">
        <v>3</v>
      </c>
      <c r="H473" s="135">
        <v>43000.370358796295</v>
      </c>
      <c r="I473" s="74" t="s">
        <v>21365</v>
      </c>
      <c r="J473" s="74" t="s">
        <v>21366</v>
      </c>
      <c r="K473" s="74" t="s">
        <v>21367</v>
      </c>
      <c r="L473" s="74">
        <v>561482</v>
      </c>
      <c r="M473" s="74" t="s">
        <v>21368</v>
      </c>
      <c r="N473" s="74">
        <v>1</v>
      </c>
      <c r="O473" s="74" t="s">
        <v>21369</v>
      </c>
      <c r="P473" s="74" t="s">
        <v>21343</v>
      </c>
      <c r="Q473" s="74" t="s">
        <v>21476</v>
      </c>
      <c r="R473" s="74" t="s">
        <v>148</v>
      </c>
      <c r="S473" s="74" t="s">
        <v>21338</v>
      </c>
      <c r="T473" s="74" t="s">
        <v>21371</v>
      </c>
      <c r="U473" s="74">
        <v>0</v>
      </c>
      <c r="V473" s="74">
        <v>0</v>
      </c>
    </row>
    <row r="474" spans="3:22" x14ac:dyDescent="0.25">
      <c r="C474" s="74" t="s">
        <v>735</v>
      </c>
      <c r="D474" s="74" t="s">
        <v>148</v>
      </c>
      <c r="E474" s="74" t="s">
        <v>21338</v>
      </c>
      <c r="F474" s="74">
        <v>570025</v>
      </c>
      <c r="G474" s="74">
        <v>3</v>
      </c>
      <c r="H474" s="135">
        <v>43000.370347222219</v>
      </c>
      <c r="I474" s="74" t="s">
        <v>21365</v>
      </c>
      <c r="J474" s="74" t="s">
        <v>21366</v>
      </c>
      <c r="K474" s="74" t="s">
        <v>21376</v>
      </c>
      <c r="L474" s="74">
        <v>555659</v>
      </c>
      <c r="M474" s="74" t="s">
        <v>21368</v>
      </c>
      <c r="N474" s="74">
        <v>1</v>
      </c>
      <c r="O474" s="74" t="s">
        <v>21369</v>
      </c>
      <c r="P474" s="74" t="s">
        <v>21343</v>
      </c>
      <c r="Q474" s="74" t="s">
        <v>21476</v>
      </c>
      <c r="R474" s="74" t="s">
        <v>148</v>
      </c>
      <c r="S474" s="74" t="s">
        <v>21338</v>
      </c>
      <c r="T474" s="74" t="s">
        <v>21371</v>
      </c>
      <c r="U474" s="74">
        <v>0</v>
      </c>
      <c r="V474" s="74">
        <v>0</v>
      </c>
    </row>
    <row r="475" spans="3:22" x14ac:dyDescent="0.25">
      <c r="C475" s="74" t="s">
        <v>735</v>
      </c>
      <c r="D475" s="74" t="s">
        <v>148</v>
      </c>
      <c r="E475" s="74" t="s">
        <v>21338</v>
      </c>
      <c r="F475" s="74">
        <v>570025</v>
      </c>
      <c r="G475" s="74">
        <v>3</v>
      </c>
      <c r="H475" s="135">
        <v>43000.370335648149</v>
      </c>
      <c r="I475" s="74" t="s">
        <v>21339</v>
      </c>
      <c r="J475" s="74" t="s">
        <v>21364</v>
      </c>
      <c r="K475" s="74" t="s">
        <v>21475</v>
      </c>
      <c r="L475" s="74">
        <v>624188</v>
      </c>
      <c r="M475" s="74" t="s">
        <v>21341</v>
      </c>
      <c r="N475" s="74">
        <v>1</v>
      </c>
      <c r="O475" s="74" t="s">
        <v>21342</v>
      </c>
      <c r="P475" s="74" t="s">
        <v>21343</v>
      </c>
      <c r="Q475" s="74">
        <v>0</v>
      </c>
      <c r="R475" s="74" t="s">
        <v>148</v>
      </c>
      <c r="S475" s="74" t="s">
        <v>21338</v>
      </c>
      <c r="T475" s="74" t="s">
        <v>393</v>
      </c>
      <c r="U475" s="74">
        <v>0</v>
      </c>
      <c r="V475" s="74">
        <v>0</v>
      </c>
    </row>
    <row r="476" spans="3:22" x14ac:dyDescent="0.25">
      <c r="C476" s="74" t="s">
        <v>735</v>
      </c>
      <c r="D476" s="74" t="s">
        <v>148</v>
      </c>
      <c r="E476" s="74" t="s">
        <v>21338</v>
      </c>
      <c r="F476" s="74">
        <v>570025</v>
      </c>
      <c r="G476" s="74">
        <v>3</v>
      </c>
      <c r="H476" s="135">
        <v>43000.37027777778</v>
      </c>
      <c r="I476" s="74" t="s">
        <v>21339</v>
      </c>
      <c r="J476" s="74" t="s">
        <v>21364</v>
      </c>
      <c r="K476" s="74" t="s">
        <v>21475</v>
      </c>
      <c r="L476" s="74">
        <v>624188</v>
      </c>
      <c r="M476" s="74" t="s">
        <v>21341</v>
      </c>
      <c r="N476" s="74">
        <v>1</v>
      </c>
      <c r="O476" s="74" t="s">
        <v>21342</v>
      </c>
      <c r="P476" s="74" t="s">
        <v>21343</v>
      </c>
      <c r="Q476" s="74">
        <v>0</v>
      </c>
      <c r="R476" s="74" t="s">
        <v>148</v>
      </c>
      <c r="S476" s="74" t="s">
        <v>21338</v>
      </c>
      <c r="T476" s="74" t="s">
        <v>393</v>
      </c>
      <c r="U476" s="74">
        <v>0</v>
      </c>
      <c r="V476" s="74">
        <v>0</v>
      </c>
    </row>
    <row r="477" spans="3:22" x14ac:dyDescent="0.25">
      <c r="C477" s="74" t="s">
        <v>735</v>
      </c>
      <c r="D477" s="74" t="s">
        <v>148</v>
      </c>
      <c r="E477" s="74" t="s">
        <v>21338</v>
      </c>
      <c r="F477" s="74">
        <v>570025</v>
      </c>
      <c r="G477" s="74">
        <v>3</v>
      </c>
      <c r="H477" s="135">
        <v>43000.368680555555</v>
      </c>
      <c r="I477" s="74" t="s">
        <v>21339</v>
      </c>
      <c r="J477" s="74" t="s">
        <v>21362</v>
      </c>
      <c r="K477" s="74" t="s">
        <v>21475</v>
      </c>
      <c r="L477" s="74">
        <v>624188</v>
      </c>
      <c r="M477" s="74" t="s">
        <v>21341</v>
      </c>
      <c r="N477" s="74">
        <v>1</v>
      </c>
      <c r="O477" s="74" t="s">
        <v>21342</v>
      </c>
      <c r="P477" s="74" t="s">
        <v>21343</v>
      </c>
      <c r="Q477" s="74" t="s">
        <v>21363</v>
      </c>
      <c r="R477" s="74" t="s">
        <v>148</v>
      </c>
      <c r="S477" s="74" t="s">
        <v>21338</v>
      </c>
      <c r="T477" s="74" t="s">
        <v>393</v>
      </c>
      <c r="U477" s="74">
        <v>0</v>
      </c>
      <c r="V477" s="74">
        <v>0</v>
      </c>
    </row>
    <row r="478" spans="3:22" x14ac:dyDescent="0.25">
      <c r="C478" s="74" t="s">
        <v>18795</v>
      </c>
      <c r="D478" s="74" t="s">
        <v>148</v>
      </c>
      <c r="E478" s="74" t="s">
        <v>21338</v>
      </c>
      <c r="F478" s="74">
        <v>551367</v>
      </c>
      <c r="G478" s="74">
        <v>1000</v>
      </c>
      <c r="H478" s="135">
        <v>43000.36546296296</v>
      </c>
      <c r="I478" s="74" t="s">
        <v>21339</v>
      </c>
      <c r="J478" s="74" t="s">
        <v>21340</v>
      </c>
      <c r="K478" s="74" t="s">
        <v>18965</v>
      </c>
      <c r="L478" s="74">
        <v>863244</v>
      </c>
      <c r="M478" s="74" t="s">
        <v>21341</v>
      </c>
      <c r="N478" s="74">
        <v>1</v>
      </c>
      <c r="O478" s="74" t="s">
        <v>21342</v>
      </c>
      <c r="P478" s="74" t="s">
        <v>21343</v>
      </c>
      <c r="Q478" s="74">
        <v>0</v>
      </c>
      <c r="R478" s="74" t="s">
        <v>148</v>
      </c>
      <c r="S478" s="74" t="s">
        <v>21338</v>
      </c>
      <c r="T478" s="74" t="s">
        <v>402</v>
      </c>
      <c r="U478" s="74">
        <v>0</v>
      </c>
      <c r="V478" s="74">
        <v>0</v>
      </c>
    </row>
    <row r="479" spans="3:22" x14ac:dyDescent="0.25">
      <c r="C479" s="74" t="s">
        <v>735</v>
      </c>
      <c r="D479" s="74" t="s">
        <v>148</v>
      </c>
      <c r="E479" s="74" t="s">
        <v>21338</v>
      </c>
      <c r="F479" s="74">
        <v>570025</v>
      </c>
      <c r="G479" s="74">
        <v>3</v>
      </c>
      <c r="H479" s="135">
        <v>43000.342303240737</v>
      </c>
      <c r="I479" s="74" t="s">
        <v>21339</v>
      </c>
      <c r="J479" s="74" t="s">
        <v>21360</v>
      </c>
      <c r="K479" s="74" t="s">
        <v>21477</v>
      </c>
      <c r="L479" s="74">
        <v>729040</v>
      </c>
      <c r="M479" s="74" t="s">
        <v>21341</v>
      </c>
      <c r="N479" s="74">
        <v>1</v>
      </c>
      <c r="O479" s="74" t="s">
        <v>21342</v>
      </c>
      <c r="P479" s="74" t="s">
        <v>21343</v>
      </c>
      <c r="Q479" s="74" t="s">
        <v>21361</v>
      </c>
      <c r="R479" s="74" t="s">
        <v>148</v>
      </c>
      <c r="S479" s="74" t="s">
        <v>21338</v>
      </c>
      <c r="T479" s="74" t="s">
        <v>393</v>
      </c>
      <c r="U479" s="74">
        <v>0</v>
      </c>
      <c r="V479" s="74">
        <v>0</v>
      </c>
    </row>
    <row r="480" spans="3:22" x14ac:dyDescent="0.25">
      <c r="C480" s="74" t="s">
        <v>18795</v>
      </c>
      <c r="D480" s="74" t="s">
        <v>148</v>
      </c>
      <c r="E480" s="74" t="s">
        <v>21338</v>
      </c>
      <c r="F480" s="74">
        <v>551367</v>
      </c>
      <c r="G480" s="74">
        <v>1000</v>
      </c>
      <c r="H480" s="135">
        <v>43000.341273148151</v>
      </c>
      <c r="I480" s="74" t="s">
        <v>21339</v>
      </c>
      <c r="J480" s="74" t="s">
        <v>21340</v>
      </c>
      <c r="K480" s="74" t="s">
        <v>18374</v>
      </c>
      <c r="L480" s="74">
        <v>553989</v>
      </c>
      <c r="M480" s="74" t="s">
        <v>21341</v>
      </c>
      <c r="N480" s="74">
        <v>1</v>
      </c>
      <c r="O480" s="74" t="s">
        <v>21342</v>
      </c>
      <c r="P480" s="74" t="s">
        <v>21343</v>
      </c>
      <c r="Q480" s="74">
        <v>0</v>
      </c>
      <c r="R480" s="74" t="s">
        <v>148</v>
      </c>
      <c r="S480" s="74" t="s">
        <v>21338</v>
      </c>
      <c r="T480" s="74" t="s">
        <v>402</v>
      </c>
      <c r="U480" s="74">
        <v>0</v>
      </c>
      <c r="V480" s="74">
        <v>0</v>
      </c>
    </row>
    <row r="481" spans="3:22" x14ac:dyDescent="0.25">
      <c r="C481" s="74" t="s">
        <v>735</v>
      </c>
      <c r="D481" s="74" t="s">
        <v>148</v>
      </c>
      <c r="E481" s="74" t="s">
        <v>21338</v>
      </c>
      <c r="F481" s="74">
        <v>570025</v>
      </c>
      <c r="G481" s="74">
        <v>3</v>
      </c>
      <c r="H481" s="135">
        <v>43000.339733796296</v>
      </c>
      <c r="I481" s="74" t="s">
        <v>21365</v>
      </c>
      <c r="J481" s="74" t="s">
        <v>21366</v>
      </c>
      <c r="K481" s="74" t="s">
        <v>21367</v>
      </c>
      <c r="L481" s="74">
        <v>561482</v>
      </c>
      <c r="M481" s="74" t="s">
        <v>21368</v>
      </c>
      <c r="N481" s="74">
        <v>1</v>
      </c>
      <c r="O481" s="74" t="s">
        <v>21369</v>
      </c>
      <c r="P481" s="74" t="s">
        <v>21343</v>
      </c>
      <c r="Q481" s="74" t="s">
        <v>21478</v>
      </c>
      <c r="R481" s="74" t="s">
        <v>148</v>
      </c>
      <c r="S481" s="74" t="s">
        <v>21338</v>
      </c>
      <c r="T481" s="74" t="s">
        <v>21371</v>
      </c>
      <c r="U481" s="74">
        <v>0</v>
      </c>
      <c r="V481" s="74">
        <v>0</v>
      </c>
    </row>
    <row r="482" spans="3:22" x14ac:dyDescent="0.25">
      <c r="C482" s="74" t="s">
        <v>735</v>
      </c>
      <c r="D482" s="74" t="s">
        <v>148</v>
      </c>
      <c r="E482" s="74" t="s">
        <v>21338</v>
      </c>
      <c r="F482" s="74">
        <v>570025</v>
      </c>
      <c r="G482" s="74">
        <v>3</v>
      </c>
      <c r="H482" s="135">
        <v>43000.339733796296</v>
      </c>
      <c r="I482" s="74" t="s">
        <v>21339</v>
      </c>
      <c r="J482" s="74" t="s">
        <v>21364</v>
      </c>
      <c r="K482" s="74" t="s">
        <v>21477</v>
      </c>
      <c r="L482" s="74">
        <v>729040</v>
      </c>
      <c r="M482" s="74" t="s">
        <v>21341</v>
      </c>
      <c r="N482" s="74">
        <v>1</v>
      </c>
      <c r="O482" s="74" t="s">
        <v>21342</v>
      </c>
      <c r="P482" s="74" t="s">
        <v>21343</v>
      </c>
      <c r="Q482" s="74">
        <v>0</v>
      </c>
      <c r="R482" s="74" t="s">
        <v>148</v>
      </c>
      <c r="S482" s="74" t="s">
        <v>21338</v>
      </c>
      <c r="T482" s="74" t="s">
        <v>393</v>
      </c>
      <c r="U482" s="74">
        <v>0</v>
      </c>
      <c r="V482" s="74">
        <v>0</v>
      </c>
    </row>
    <row r="483" spans="3:22" x14ac:dyDescent="0.25">
      <c r="C483" s="74" t="s">
        <v>735</v>
      </c>
      <c r="D483" s="74" t="s">
        <v>148</v>
      </c>
      <c r="E483" s="74" t="s">
        <v>21338</v>
      </c>
      <c r="F483" s="74">
        <v>570025</v>
      </c>
      <c r="G483" s="74">
        <v>3</v>
      </c>
      <c r="H483" s="135">
        <v>43000.339722222219</v>
      </c>
      <c r="I483" s="74" t="s">
        <v>21365</v>
      </c>
      <c r="J483" s="74" t="s">
        <v>21366</v>
      </c>
      <c r="K483" s="74" t="s">
        <v>21381</v>
      </c>
      <c r="L483" s="74">
        <v>555660</v>
      </c>
      <c r="M483" s="74" t="s">
        <v>21368</v>
      </c>
      <c r="N483" s="74">
        <v>1</v>
      </c>
      <c r="O483" s="74" t="s">
        <v>21369</v>
      </c>
      <c r="P483" s="74" t="s">
        <v>21343</v>
      </c>
      <c r="Q483" s="74" t="s">
        <v>21478</v>
      </c>
      <c r="R483" s="74" t="s">
        <v>148</v>
      </c>
      <c r="S483" s="74" t="s">
        <v>21338</v>
      </c>
      <c r="T483" s="74" t="s">
        <v>21371</v>
      </c>
      <c r="U483" s="74">
        <v>0</v>
      </c>
      <c r="V483" s="74">
        <v>0</v>
      </c>
    </row>
    <row r="484" spans="3:22" x14ac:dyDescent="0.25">
      <c r="C484" s="74" t="s">
        <v>735</v>
      </c>
      <c r="D484" s="74" t="s">
        <v>148</v>
      </c>
      <c r="E484" s="74" t="s">
        <v>21338</v>
      </c>
      <c r="F484" s="74">
        <v>570025</v>
      </c>
      <c r="G484" s="74">
        <v>3</v>
      </c>
      <c r="H484" s="135">
        <v>43000.339687500003</v>
      </c>
      <c r="I484" s="74" t="s">
        <v>21339</v>
      </c>
      <c r="J484" s="74" t="s">
        <v>21364</v>
      </c>
      <c r="K484" s="74" t="s">
        <v>21477</v>
      </c>
      <c r="L484" s="74">
        <v>729040</v>
      </c>
      <c r="M484" s="74" t="s">
        <v>21341</v>
      </c>
      <c r="N484" s="74">
        <v>1</v>
      </c>
      <c r="O484" s="74" t="s">
        <v>21342</v>
      </c>
      <c r="P484" s="74" t="s">
        <v>21343</v>
      </c>
      <c r="Q484" s="74">
        <v>0</v>
      </c>
      <c r="R484" s="74" t="s">
        <v>148</v>
      </c>
      <c r="S484" s="74" t="s">
        <v>21338</v>
      </c>
      <c r="T484" s="74" t="s">
        <v>393</v>
      </c>
      <c r="U484" s="74">
        <v>0</v>
      </c>
      <c r="V484" s="74">
        <v>0</v>
      </c>
    </row>
    <row r="485" spans="3:22" x14ac:dyDescent="0.25">
      <c r="C485" s="74" t="s">
        <v>735</v>
      </c>
      <c r="D485" s="74" t="s">
        <v>148</v>
      </c>
      <c r="E485" s="74" t="s">
        <v>21338</v>
      </c>
      <c r="F485" s="74">
        <v>570025</v>
      </c>
      <c r="G485" s="74">
        <v>3</v>
      </c>
      <c r="H485" s="135">
        <v>43000.33934027778</v>
      </c>
      <c r="I485" s="74" t="s">
        <v>21339</v>
      </c>
      <c r="J485" s="74" t="s">
        <v>21364</v>
      </c>
      <c r="K485" s="74" t="s">
        <v>21477</v>
      </c>
      <c r="L485" s="74">
        <v>729040</v>
      </c>
      <c r="M485" s="74" t="s">
        <v>21341</v>
      </c>
      <c r="N485" s="74">
        <v>1</v>
      </c>
      <c r="O485" s="74" t="s">
        <v>21342</v>
      </c>
      <c r="P485" s="74" t="s">
        <v>21343</v>
      </c>
      <c r="Q485" s="74">
        <v>0</v>
      </c>
      <c r="R485" s="74" t="s">
        <v>148</v>
      </c>
      <c r="S485" s="74" t="s">
        <v>21338</v>
      </c>
      <c r="T485" s="74" t="s">
        <v>393</v>
      </c>
      <c r="U485" s="74">
        <v>0</v>
      </c>
      <c r="V485" s="74">
        <v>0</v>
      </c>
    </row>
    <row r="486" spans="3:22" x14ac:dyDescent="0.25">
      <c r="C486" s="74" t="s">
        <v>735</v>
      </c>
      <c r="D486" s="74" t="s">
        <v>148</v>
      </c>
      <c r="E486" s="74" t="s">
        <v>21338</v>
      </c>
      <c r="F486" s="74">
        <v>570025</v>
      </c>
      <c r="G486" s="74">
        <v>3</v>
      </c>
      <c r="H486" s="135">
        <v>43000.338831018518</v>
      </c>
      <c r="I486" s="74" t="s">
        <v>21339</v>
      </c>
      <c r="J486" s="74" t="s">
        <v>21362</v>
      </c>
      <c r="K486" s="74" t="s">
        <v>21477</v>
      </c>
      <c r="L486" s="74">
        <v>729040</v>
      </c>
      <c r="M486" s="74" t="s">
        <v>21341</v>
      </c>
      <c r="N486" s="74">
        <v>1</v>
      </c>
      <c r="O486" s="74" t="s">
        <v>21342</v>
      </c>
      <c r="P486" s="74" t="s">
        <v>21343</v>
      </c>
      <c r="Q486" s="74" t="s">
        <v>21363</v>
      </c>
      <c r="R486" s="74" t="s">
        <v>148</v>
      </c>
      <c r="S486" s="74" t="s">
        <v>21338</v>
      </c>
      <c r="T486" s="74" t="s">
        <v>393</v>
      </c>
      <c r="U486" s="74">
        <v>0</v>
      </c>
      <c r="V486" s="74">
        <v>0</v>
      </c>
    </row>
    <row r="487" spans="3:22" x14ac:dyDescent="0.25">
      <c r="C487" s="74" t="s">
        <v>18795</v>
      </c>
      <c r="D487" s="74" t="s">
        <v>148</v>
      </c>
      <c r="E487" s="74" t="s">
        <v>21338</v>
      </c>
      <c r="F487" s="74">
        <v>551367</v>
      </c>
      <c r="G487" s="74">
        <v>1000</v>
      </c>
      <c r="H487" s="135">
        <v>43000.329189814816</v>
      </c>
      <c r="I487" s="74" t="s">
        <v>21339</v>
      </c>
      <c r="J487" s="74" t="s">
        <v>21340</v>
      </c>
      <c r="K487" s="74" t="s">
        <v>14663</v>
      </c>
      <c r="L487" s="74">
        <v>553536</v>
      </c>
      <c r="M487" s="74" t="s">
        <v>21341</v>
      </c>
      <c r="N487" s="74">
        <v>1</v>
      </c>
      <c r="O487" s="74" t="s">
        <v>21342</v>
      </c>
      <c r="P487" s="74" t="s">
        <v>21343</v>
      </c>
      <c r="Q487" s="74">
        <v>0</v>
      </c>
      <c r="R487" s="74" t="s">
        <v>148</v>
      </c>
      <c r="S487" s="74" t="s">
        <v>21338</v>
      </c>
      <c r="T487" s="74" t="s">
        <v>402</v>
      </c>
      <c r="U487" s="74">
        <v>0</v>
      </c>
      <c r="V487" s="74">
        <v>0</v>
      </c>
    </row>
    <row r="488" spans="3:22" x14ac:dyDescent="0.25">
      <c r="C488" s="74" t="s">
        <v>18795</v>
      </c>
      <c r="D488" s="74" t="s">
        <v>148</v>
      </c>
      <c r="E488" s="74" t="s">
        <v>21338</v>
      </c>
      <c r="F488" s="74">
        <v>551367</v>
      </c>
      <c r="G488" s="74">
        <v>1000</v>
      </c>
      <c r="H488" s="135">
        <v>43000.299317129633</v>
      </c>
      <c r="I488" s="74" t="s">
        <v>21339</v>
      </c>
      <c r="J488" s="74" t="s">
        <v>21340</v>
      </c>
      <c r="K488" s="74" t="s">
        <v>21479</v>
      </c>
      <c r="L488" s="74">
        <v>811786</v>
      </c>
      <c r="M488" s="74" t="s">
        <v>21341</v>
      </c>
      <c r="N488" s="74">
        <v>1</v>
      </c>
      <c r="O488" s="74" t="s">
        <v>21342</v>
      </c>
      <c r="P488" s="74" t="s">
        <v>21343</v>
      </c>
      <c r="Q488" s="74">
        <v>0</v>
      </c>
      <c r="R488" s="74" t="s">
        <v>148</v>
      </c>
      <c r="S488" s="74" t="s">
        <v>21338</v>
      </c>
      <c r="T488" s="74" t="s">
        <v>402</v>
      </c>
      <c r="U488" s="74">
        <v>0</v>
      </c>
      <c r="V488" s="74">
        <v>0</v>
      </c>
    </row>
    <row r="489" spans="3:22" x14ac:dyDescent="0.25">
      <c r="C489" s="74" t="s">
        <v>18795</v>
      </c>
      <c r="D489" s="74" t="s">
        <v>148</v>
      </c>
      <c r="E489" s="74" t="s">
        <v>21338</v>
      </c>
      <c r="F489" s="74">
        <v>551367</v>
      </c>
      <c r="G489" s="74">
        <v>1000</v>
      </c>
      <c r="H489" s="135">
        <v>43000.093148148146</v>
      </c>
      <c r="I489" s="74" t="s">
        <v>21339</v>
      </c>
      <c r="J489" s="74" t="s">
        <v>21340</v>
      </c>
      <c r="K489" s="74" t="s">
        <v>13885</v>
      </c>
      <c r="L489" s="74">
        <v>553422</v>
      </c>
      <c r="M489" s="74" t="s">
        <v>21341</v>
      </c>
      <c r="N489" s="74">
        <v>1</v>
      </c>
      <c r="O489" s="74" t="s">
        <v>21342</v>
      </c>
      <c r="P489" s="74" t="s">
        <v>21343</v>
      </c>
      <c r="Q489" s="74">
        <v>0</v>
      </c>
      <c r="R489" s="74" t="s">
        <v>148</v>
      </c>
      <c r="S489" s="74" t="s">
        <v>21338</v>
      </c>
      <c r="T489" s="74" t="s">
        <v>402</v>
      </c>
      <c r="U489" s="74">
        <v>0</v>
      </c>
      <c r="V489" s="74">
        <v>0</v>
      </c>
    </row>
    <row r="490" spans="3:22" x14ac:dyDescent="0.25">
      <c r="C490" s="74" t="s">
        <v>18795</v>
      </c>
      <c r="D490" s="74" t="s">
        <v>148</v>
      </c>
      <c r="E490" s="74" t="s">
        <v>21338</v>
      </c>
      <c r="F490" s="74">
        <v>551367</v>
      </c>
      <c r="G490" s="74">
        <v>1000</v>
      </c>
      <c r="H490" s="135">
        <v>43000.093148148146</v>
      </c>
      <c r="I490" s="74" t="s">
        <v>21339</v>
      </c>
      <c r="J490" s="74" t="s">
        <v>21340</v>
      </c>
      <c r="K490" s="74" t="s">
        <v>13885</v>
      </c>
      <c r="L490" s="74">
        <v>553422</v>
      </c>
      <c r="M490" s="74" t="s">
        <v>21341</v>
      </c>
      <c r="N490" s="74">
        <v>1</v>
      </c>
      <c r="O490" s="74" t="s">
        <v>21342</v>
      </c>
      <c r="P490" s="74" t="s">
        <v>21343</v>
      </c>
      <c r="Q490" s="74">
        <v>0</v>
      </c>
      <c r="R490" s="74" t="s">
        <v>148</v>
      </c>
      <c r="S490" s="74" t="s">
        <v>21338</v>
      </c>
      <c r="T490" s="74" t="s">
        <v>402</v>
      </c>
      <c r="U490" s="74">
        <v>0</v>
      </c>
      <c r="V490" s="74">
        <v>0</v>
      </c>
    </row>
    <row r="491" spans="3:22" x14ac:dyDescent="0.25">
      <c r="C491" s="74" t="s">
        <v>533</v>
      </c>
      <c r="D491" s="74" t="s">
        <v>148</v>
      </c>
      <c r="E491" s="74" t="s">
        <v>21338</v>
      </c>
      <c r="F491" s="74">
        <v>627566</v>
      </c>
      <c r="G491" s="74">
        <v>3</v>
      </c>
      <c r="H491" s="135">
        <v>42999.734351851854</v>
      </c>
      <c r="I491" s="74" t="s">
        <v>21354</v>
      </c>
      <c r="J491" s="74" t="s">
        <v>21355</v>
      </c>
      <c r="K491" s="74" t="s">
        <v>9535</v>
      </c>
      <c r="L491" s="74">
        <v>552855</v>
      </c>
      <c r="M491" s="74" t="s">
        <v>21341</v>
      </c>
      <c r="N491" s="74">
        <v>1</v>
      </c>
      <c r="O491" s="74" t="s">
        <v>21342</v>
      </c>
      <c r="P491" s="74" t="s">
        <v>21345</v>
      </c>
      <c r="R491" s="74" t="s">
        <v>148</v>
      </c>
      <c r="S491" s="74" t="s">
        <v>21338</v>
      </c>
      <c r="T491" s="74" t="s">
        <v>402</v>
      </c>
      <c r="U491" s="74">
        <v>0</v>
      </c>
      <c r="V491" s="74">
        <v>0</v>
      </c>
    </row>
    <row r="492" spans="3:22" x14ac:dyDescent="0.25">
      <c r="C492" s="74" t="s">
        <v>533</v>
      </c>
      <c r="D492" s="74" t="s">
        <v>148</v>
      </c>
      <c r="E492" s="74" t="s">
        <v>21338</v>
      </c>
      <c r="F492" s="74">
        <v>627566</v>
      </c>
      <c r="G492" s="74">
        <v>3</v>
      </c>
      <c r="H492" s="135">
        <v>42999.734027777777</v>
      </c>
      <c r="I492" s="74" t="s">
        <v>21339</v>
      </c>
      <c r="J492" s="74" t="s">
        <v>21360</v>
      </c>
      <c r="K492" s="74" t="s">
        <v>9535</v>
      </c>
      <c r="L492" s="74">
        <v>552855</v>
      </c>
      <c r="M492" s="74" t="s">
        <v>21341</v>
      </c>
      <c r="N492" s="74">
        <v>1</v>
      </c>
      <c r="O492" s="74" t="s">
        <v>21359</v>
      </c>
      <c r="P492" s="74" t="s">
        <v>21343</v>
      </c>
      <c r="Q492" s="74" t="s">
        <v>21395</v>
      </c>
      <c r="R492" s="74" t="s">
        <v>148</v>
      </c>
      <c r="S492" s="74" t="s">
        <v>21338</v>
      </c>
      <c r="T492" s="74" t="s">
        <v>402</v>
      </c>
      <c r="U492" s="74">
        <v>0</v>
      </c>
      <c r="V492" s="74">
        <v>0</v>
      </c>
    </row>
    <row r="493" spans="3:22" x14ac:dyDescent="0.25">
      <c r="C493" s="74" t="s">
        <v>533</v>
      </c>
      <c r="D493" s="74" t="s">
        <v>148</v>
      </c>
      <c r="E493" s="74" t="s">
        <v>21338</v>
      </c>
      <c r="F493" s="74">
        <v>627566</v>
      </c>
      <c r="G493" s="74">
        <v>3</v>
      </c>
      <c r="H493" s="135">
        <v>42999.734027777777</v>
      </c>
      <c r="I493" s="74" t="s">
        <v>21339</v>
      </c>
      <c r="J493" s="74" t="s">
        <v>21360</v>
      </c>
      <c r="K493" s="74" t="s">
        <v>9535</v>
      </c>
      <c r="L493" s="74">
        <v>552855</v>
      </c>
      <c r="M493" s="74" t="s">
        <v>21341</v>
      </c>
      <c r="N493" s="74">
        <v>1</v>
      </c>
      <c r="O493" s="74" t="s">
        <v>21359</v>
      </c>
      <c r="P493" s="74" t="s">
        <v>21343</v>
      </c>
      <c r="Q493" s="74" t="s">
        <v>21395</v>
      </c>
      <c r="R493" s="74" t="s">
        <v>148</v>
      </c>
      <c r="S493" s="74" t="s">
        <v>21338</v>
      </c>
      <c r="T493" s="74" t="s">
        <v>402</v>
      </c>
      <c r="U493" s="74">
        <v>0</v>
      </c>
      <c r="V493" s="74">
        <v>0</v>
      </c>
    </row>
    <row r="494" spans="3:22" x14ac:dyDescent="0.25">
      <c r="C494" s="74" t="s">
        <v>533</v>
      </c>
      <c r="D494" s="74" t="s">
        <v>148</v>
      </c>
      <c r="E494" s="74" t="s">
        <v>21338</v>
      </c>
      <c r="F494" s="74">
        <v>627566</v>
      </c>
      <c r="G494" s="74">
        <v>3</v>
      </c>
      <c r="H494" s="135">
        <v>42999.734027777777</v>
      </c>
      <c r="I494" s="74" t="s">
        <v>21339</v>
      </c>
      <c r="J494" s="74" t="s">
        <v>21360</v>
      </c>
      <c r="K494" s="74" t="s">
        <v>9535</v>
      </c>
      <c r="L494" s="74">
        <v>552855</v>
      </c>
      <c r="M494" s="74" t="s">
        <v>21341</v>
      </c>
      <c r="N494" s="74">
        <v>1</v>
      </c>
      <c r="O494" s="74" t="s">
        <v>21359</v>
      </c>
      <c r="P494" s="74" t="s">
        <v>21343</v>
      </c>
      <c r="Q494" s="74" t="s">
        <v>21395</v>
      </c>
      <c r="R494" s="74" t="s">
        <v>148</v>
      </c>
      <c r="S494" s="74" t="s">
        <v>21338</v>
      </c>
      <c r="T494" s="74" t="s">
        <v>402</v>
      </c>
      <c r="U494" s="74">
        <v>0</v>
      </c>
      <c r="V494" s="74">
        <v>0</v>
      </c>
    </row>
    <row r="495" spans="3:22" x14ac:dyDescent="0.25">
      <c r="C495" s="74" t="s">
        <v>18795</v>
      </c>
      <c r="D495" s="74" t="s">
        <v>148</v>
      </c>
      <c r="E495" s="74" t="s">
        <v>21338</v>
      </c>
      <c r="F495" s="74">
        <v>551367</v>
      </c>
      <c r="G495" s="74">
        <v>1000</v>
      </c>
      <c r="H495" s="135">
        <v>42999.669259259259</v>
      </c>
      <c r="I495" s="74" t="s">
        <v>21339</v>
      </c>
      <c r="J495" s="74" t="s">
        <v>21340</v>
      </c>
      <c r="K495" s="74" t="s">
        <v>9918</v>
      </c>
      <c r="L495" s="74">
        <v>552911</v>
      </c>
      <c r="M495" s="74" t="s">
        <v>21341</v>
      </c>
      <c r="N495" s="74">
        <v>1</v>
      </c>
      <c r="O495" s="74" t="s">
        <v>21342</v>
      </c>
      <c r="P495" s="74" t="s">
        <v>21343</v>
      </c>
      <c r="Q495" s="74">
        <v>0</v>
      </c>
      <c r="R495" s="74" t="s">
        <v>148</v>
      </c>
      <c r="S495" s="74" t="s">
        <v>21338</v>
      </c>
      <c r="T495" s="74" t="s">
        <v>402</v>
      </c>
      <c r="U495" s="74">
        <v>0</v>
      </c>
      <c r="V495" s="74">
        <v>0</v>
      </c>
    </row>
    <row r="496" spans="3:22" x14ac:dyDescent="0.25">
      <c r="C496" s="74" t="s">
        <v>18795</v>
      </c>
      <c r="D496" s="74" t="s">
        <v>148</v>
      </c>
      <c r="E496" s="74" t="s">
        <v>21338</v>
      </c>
      <c r="F496" s="74">
        <v>551367</v>
      </c>
      <c r="G496" s="74">
        <v>1000</v>
      </c>
      <c r="H496" s="135">
        <v>42999.667164351849</v>
      </c>
      <c r="I496" s="74" t="s">
        <v>21339</v>
      </c>
      <c r="J496" s="74" t="s">
        <v>21340</v>
      </c>
      <c r="K496" s="74" t="s">
        <v>11822</v>
      </c>
      <c r="L496" s="74">
        <v>553150</v>
      </c>
      <c r="M496" s="74" t="s">
        <v>21341</v>
      </c>
      <c r="N496" s="74">
        <v>1</v>
      </c>
      <c r="O496" s="74" t="s">
        <v>21342</v>
      </c>
      <c r="P496" s="74" t="s">
        <v>21343</v>
      </c>
      <c r="Q496" s="74">
        <v>0</v>
      </c>
      <c r="R496" s="74" t="s">
        <v>148</v>
      </c>
      <c r="S496" s="74" t="s">
        <v>21338</v>
      </c>
      <c r="T496" s="74" t="s">
        <v>402</v>
      </c>
      <c r="U496" s="74">
        <v>0</v>
      </c>
      <c r="V496" s="74">
        <v>0</v>
      </c>
    </row>
    <row r="497" spans="3:22" x14ac:dyDescent="0.25">
      <c r="C497" s="74" t="s">
        <v>18795</v>
      </c>
      <c r="D497" s="74" t="s">
        <v>148</v>
      </c>
      <c r="E497" s="74" t="s">
        <v>21338</v>
      </c>
      <c r="F497" s="74">
        <v>551367</v>
      </c>
      <c r="G497" s="74">
        <v>1000</v>
      </c>
      <c r="H497" s="135">
        <v>42999.649537037039</v>
      </c>
      <c r="I497" s="74" t="s">
        <v>21339</v>
      </c>
      <c r="J497" s="74" t="s">
        <v>21340</v>
      </c>
      <c r="K497" s="74" t="s">
        <v>13821</v>
      </c>
      <c r="L497" s="74">
        <v>553414</v>
      </c>
      <c r="M497" s="74" t="s">
        <v>21341</v>
      </c>
      <c r="N497" s="74">
        <v>1</v>
      </c>
      <c r="O497" s="74" t="s">
        <v>21342</v>
      </c>
      <c r="P497" s="74" t="s">
        <v>21343</v>
      </c>
      <c r="Q497" s="74">
        <v>0</v>
      </c>
      <c r="R497" s="74" t="s">
        <v>148</v>
      </c>
      <c r="S497" s="74" t="s">
        <v>21338</v>
      </c>
      <c r="T497" s="74" t="s">
        <v>402</v>
      </c>
      <c r="U497" s="74">
        <v>0</v>
      </c>
      <c r="V497" s="74">
        <v>0</v>
      </c>
    </row>
    <row r="498" spans="3:22" x14ac:dyDescent="0.25">
      <c r="C498" s="74" t="s">
        <v>21385</v>
      </c>
      <c r="D498" s="74" t="s">
        <v>148</v>
      </c>
      <c r="E498" s="74" t="s">
        <v>21338</v>
      </c>
      <c r="F498" s="74">
        <v>560579</v>
      </c>
      <c r="G498" s="74">
        <v>3</v>
      </c>
      <c r="H498" s="135">
        <v>42999.63790509259</v>
      </c>
      <c r="I498" s="74" t="s">
        <v>21339</v>
      </c>
      <c r="J498" s="74" t="s">
        <v>21356</v>
      </c>
      <c r="K498" s="74" t="s">
        <v>7410</v>
      </c>
      <c r="L498" s="74">
        <v>552586</v>
      </c>
      <c r="M498" s="74" t="s">
        <v>21341</v>
      </c>
      <c r="N498" s="74">
        <v>1</v>
      </c>
      <c r="O498" s="74" t="s">
        <v>21342</v>
      </c>
      <c r="P498" s="74" t="s">
        <v>21343</v>
      </c>
      <c r="Q498" s="74" t="s">
        <v>21395</v>
      </c>
      <c r="R498" s="74" t="s">
        <v>148</v>
      </c>
      <c r="S498" s="74" t="s">
        <v>21338</v>
      </c>
      <c r="T498" s="74" t="s">
        <v>402</v>
      </c>
      <c r="U498" s="74">
        <v>0</v>
      </c>
      <c r="V498" s="74">
        <v>0</v>
      </c>
    </row>
    <row r="499" spans="3:22" x14ac:dyDescent="0.25">
      <c r="C499" s="74" t="s">
        <v>21385</v>
      </c>
      <c r="D499" s="74" t="s">
        <v>148</v>
      </c>
      <c r="E499" s="74" t="s">
        <v>21338</v>
      </c>
      <c r="F499" s="74">
        <v>560579</v>
      </c>
      <c r="G499" s="74">
        <v>3</v>
      </c>
      <c r="H499" s="135">
        <v>42999.637708333335</v>
      </c>
      <c r="I499" s="74" t="s">
        <v>21354</v>
      </c>
      <c r="J499" s="74" t="s">
        <v>21355</v>
      </c>
      <c r="K499" s="74" t="s">
        <v>7410</v>
      </c>
      <c r="L499" s="74">
        <v>552586</v>
      </c>
      <c r="M499" s="74" t="s">
        <v>21341</v>
      </c>
      <c r="N499" s="74">
        <v>1</v>
      </c>
      <c r="O499" s="74" t="s">
        <v>21342</v>
      </c>
      <c r="P499" s="74" t="s">
        <v>21345</v>
      </c>
      <c r="R499" s="74" t="s">
        <v>148</v>
      </c>
      <c r="S499" s="74" t="s">
        <v>21338</v>
      </c>
      <c r="T499" s="74" t="s">
        <v>402</v>
      </c>
      <c r="U499" s="74">
        <v>0</v>
      </c>
      <c r="V499" s="74">
        <v>0</v>
      </c>
    </row>
    <row r="500" spans="3:22" x14ac:dyDescent="0.25">
      <c r="C500" s="74" t="s">
        <v>21385</v>
      </c>
      <c r="D500" s="74" t="s">
        <v>148</v>
      </c>
      <c r="E500" s="74" t="s">
        <v>21338</v>
      </c>
      <c r="F500" s="74">
        <v>560579</v>
      </c>
      <c r="G500" s="74">
        <v>3</v>
      </c>
      <c r="H500" s="135">
        <v>42999.631145833337</v>
      </c>
      <c r="I500" s="74" t="s">
        <v>21354</v>
      </c>
      <c r="J500" s="74" t="s">
        <v>21355</v>
      </c>
      <c r="K500" s="74" t="s">
        <v>21480</v>
      </c>
      <c r="L500" s="74">
        <v>798446</v>
      </c>
      <c r="M500" s="74" t="s">
        <v>21341</v>
      </c>
      <c r="N500" s="74">
        <v>1</v>
      </c>
      <c r="O500" s="74" t="s">
        <v>21342</v>
      </c>
      <c r="P500" s="74" t="s">
        <v>21345</v>
      </c>
      <c r="R500" s="74" t="s">
        <v>148</v>
      </c>
      <c r="S500" s="74" t="s">
        <v>21338</v>
      </c>
      <c r="T500" s="74" t="s">
        <v>402</v>
      </c>
      <c r="U500" s="74">
        <v>0</v>
      </c>
      <c r="V500" s="74">
        <v>0</v>
      </c>
    </row>
    <row r="501" spans="3:22" x14ac:dyDescent="0.25">
      <c r="C501" s="74" t="s">
        <v>18795</v>
      </c>
      <c r="D501" s="74" t="s">
        <v>148</v>
      </c>
      <c r="E501" s="74" t="s">
        <v>21338</v>
      </c>
      <c r="F501" s="74">
        <v>551367</v>
      </c>
      <c r="G501" s="74">
        <v>1000</v>
      </c>
      <c r="H501" s="135">
        <v>42999.628645833334</v>
      </c>
      <c r="I501" s="74" t="s">
        <v>21339</v>
      </c>
      <c r="J501" s="74" t="s">
        <v>21340</v>
      </c>
      <c r="K501" s="74" t="s">
        <v>19861</v>
      </c>
      <c r="L501" s="74">
        <v>554159</v>
      </c>
      <c r="M501" s="74" t="s">
        <v>21341</v>
      </c>
      <c r="N501" s="74">
        <v>1</v>
      </c>
      <c r="O501" s="74" t="s">
        <v>21342</v>
      </c>
      <c r="P501" s="74" t="s">
        <v>21343</v>
      </c>
      <c r="Q501" s="74">
        <v>0</v>
      </c>
      <c r="R501" s="74" t="s">
        <v>148</v>
      </c>
      <c r="S501" s="74" t="s">
        <v>21338</v>
      </c>
      <c r="T501" s="74" t="s">
        <v>402</v>
      </c>
      <c r="U501" s="74">
        <v>0</v>
      </c>
      <c r="V501" s="74">
        <v>0</v>
      </c>
    </row>
    <row r="502" spans="3:22" x14ac:dyDescent="0.25">
      <c r="C502" s="74" t="s">
        <v>18795</v>
      </c>
      <c r="D502" s="74" t="s">
        <v>148</v>
      </c>
      <c r="E502" s="74" t="s">
        <v>21338</v>
      </c>
      <c r="F502" s="74">
        <v>551367</v>
      </c>
      <c r="G502" s="74">
        <v>1000</v>
      </c>
      <c r="H502" s="135">
        <v>42999.620821759258</v>
      </c>
      <c r="I502" s="74" t="s">
        <v>21339</v>
      </c>
      <c r="J502" s="74" t="s">
        <v>21340</v>
      </c>
      <c r="K502" s="74" t="s">
        <v>21481</v>
      </c>
      <c r="L502" s="74">
        <v>615228</v>
      </c>
      <c r="M502" s="74" t="s">
        <v>21341</v>
      </c>
      <c r="N502" s="74">
        <v>1</v>
      </c>
      <c r="O502" s="74" t="s">
        <v>21342</v>
      </c>
      <c r="P502" s="74" t="s">
        <v>21343</v>
      </c>
      <c r="Q502" s="74">
        <v>0</v>
      </c>
      <c r="R502" s="74" t="s">
        <v>148</v>
      </c>
      <c r="S502" s="74" t="s">
        <v>21338</v>
      </c>
      <c r="T502" s="74" t="s">
        <v>402</v>
      </c>
      <c r="U502" s="74">
        <v>0</v>
      </c>
      <c r="V502" s="74">
        <v>0</v>
      </c>
    </row>
    <row r="503" spans="3:22" x14ac:dyDescent="0.25">
      <c r="C503" s="74" t="s">
        <v>735</v>
      </c>
      <c r="D503" s="74" t="s">
        <v>148</v>
      </c>
      <c r="E503" s="74" t="s">
        <v>21338</v>
      </c>
      <c r="F503" s="74">
        <v>570025</v>
      </c>
      <c r="G503" s="74">
        <v>3</v>
      </c>
      <c r="H503" s="135">
        <v>42999.619837962964</v>
      </c>
      <c r="I503" s="74" t="s">
        <v>21339</v>
      </c>
      <c r="J503" s="74" t="s">
        <v>21364</v>
      </c>
      <c r="K503" s="74" t="s">
        <v>2908</v>
      </c>
      <c r="L503" s="74">
        <v>909858</v>
      </c>
      <c r="M503" s="74" t="s">
        <v>21341</v>
      </c>
      <c r="N503" s="74">
        <v>1</v>
      </c>
      <c r="O503" s="74" t="s">
        <v>21342</v>
      </c>
      <c r="P503" s="74" t="s">
        <v>21343</v>
      </c>
      <c r="Q503" s="74">
        <v>0</v>
      </c>
      <c r="R503" s="74" t="s">
        <v>148</v>
      </c>
      <c r="S503" s="74" t="s">
        <v>21338</v>
      </c>
      <c r="T503" s="74" t="s">
        <v>402</v>
      </c>
      <c r="U503" s="74">
        <v>0</v>
      </c>
      <c r="V503" s="74">
        <v>0</v>
      </c>
    </row>
    <row r="504" spans="3:22" x14ac:dyDescent="0.25">
      <c r="C504" s="74" t="s">
        <v>735</v>
      </c>
      <c r="D504" s="74" t="s">
        <v>148</v>
      </c>
      <c r="E504" s="74" t="s">
        <v>21338</v>
      </c>
      <c r="F504" s="74">
        <v>570025</v>
      </c>
      <c r="G504" s="74">
        <v>3</v>
      </c>
      <c r="H504" s="135">
        <v>42999.619826388887</v>
      </c>
      <c r="I504" s="74" t="s">
        <v>21398</v>
      </c>
      <c r="J504" s="74" t="s">
        <v>21366</v>
      </c>
      <c r="K504" s="74" t="s">
        <v>21367</v>
      </c>
      <c r="L504" s="74">
        <v>561482</v>
      </c>
      <c r="M504" s="74" t="s">
        <v>21368</v>
      </c>
      <c r="N504" s="74">
        <v>1</v>
      </c>
      <c r="O504" s="74" t="s">
        <v>21369</v>
      </c>
      <c r="P504" s="74" t="s">
        <v>21343</v>
      </c>
      <c r="Q504" s="74" t="s">
        <v>21482</v>
      </c>
      <c r="R504" s="74" t="s">
        <v>148</v>
      </c>
      <c r="S504" s="74" t="s">
        <v>21338</v>
      </c>
      <c r="T504" s="74" t="s">
        <v>21371</v>
      </c>
      <c r="U504" s="74">
        <v>0</v>
      </c>
      <c r="V504" s="74">
        <v>0</v>
      </c>
    </row>
    <row r="505" spans="3:22" x14ac:dyDescent="0.25">
      <c r="C505" s="74" t="s">
        <v>735</v>
      </c>
      <c r="D505" s="74" t="s">
        <v>148</v>
      </c>
      <c r="E505" s="74" t="s">
        <v>21338</v>
      </c>
      <c r="F505" s="74">
        <v>570025</v>
      </c>
      <c r="G505" s="74">
        <v>3</v>
      </c>
      <c r="H505" s="135">
        <v>42999.619814814818</v>
      </c>
      <c r="I505" s="74" t="s">
        <v>21398</v>
      </c>
      <c r="J505" s="74" t="s">
        <v>21366</v>
      </c>
      <c r="K505" s="74" t="s">
        <v>21381</v>
      </c>
      <c r="L505" s="74">
        <v>555660</v>
      </c>
      <c r="M505" s="74" t="s">
        <v>21368</v>
      </c>
      <c r="N505" s="74">
        <v>1</v>
      </c>
      <c r="O505" s="74" t="s">
        <v>21369</v>
      </c>
      <c r="P505" s="74" t="s">
        <v>21343</v>
      </c>
      <c r="Q505" s="74" t="s">
        <v>21482</v>
      </c>
      <c r="R505" s="74" t="s">
        <v>148</v>
      </c>
      <c r="S505" s="74" t="s">
        <v>21338</v>
      </c>
      <c r="T505" s="74" t="s">
        <v>21371</v>
      </c>
      <c r="U505" s="74">
        <v>0</v>
      </c>
      <c r="V505" s="74">
        <v>0</v>
      </c>
    </row>
    <row r="506" spans="3:22" x14ac:dyDescent="0.25">
      <c r="C506" s="74" t="s">
        <v>735</v>
      </c>
      <c r="D506" s="74" t="s">
        <v>148</v>
      </c>
      <c r="E506" s="74" t="s">
        <v>21338</v>
      </c>
      <c r="F506" s="74">
        <v>570025</v>
      </c>
      <c r="G506" s="74">
        <v>3</v>
      </c>
      <c r="H506" s="135">
        <v>42999.619803240741</v>
      </c>
      <c r="I506" s="74" t="s">
        <v>21339</v>
      </c>
      <c r="J506" s="74" t="s">
        <v>21364</v>
      </c>
      <c r="K506" s="74" t="s">
        <v>2908</v>
      </c>
      <c r="L506" s="74">
        <v>909858</v>
      </c>
      <c r="M506" s="74" t="s">
        <v>21341</v>
      </c>
      <c r="N506" s="74">
        <v>1</v>
      </c>
      <c r="O506" s="74" t="s">
        <v>21342</v>
      </c>
      <c r="P506" s="74" t="s">
        <v>21343</v>
      </c>
      <c r="Q506" s="74">
        <v>0</v>
      </c>
      <c r="R506" s="74" t="s">
        <v>148</v>
      </c>
      <c r="S506" s="74" t="s">
        <v>21338</v>
      </c>
      <c r="T506" s="74" t="s">
        <v>402</v>
      </c>
      <c r="U506" s="74">
        <v>0</v>
      </c>
      <c r="V506" s="74">
        <v>0</v>
      </c>
    </row>
    <row r="507" spans="3:22" x14ac:dyDescent="0.25">
      <c r="C507" s="74" t="s">
        <v>735</v>
      </c>
      <c r="D507" s="74" t="s">
        <v>148</v>
      </c>
      <c r="E507" s="74" t="s">
        <v>21338</v>
      </c>
      <c r="F507" s="74">
        <v>570025</v>
      </c>
      <c r="G507" s="74">
        <v>3</v>
      </c>
      <c r="H507" s="135">
        <v>42999.61954861111</v>
      </c>
      <c r="I507" s="74" t="s">
        <v>21339</v>
      </c>
      <c r="J507" s="74" t="s">
        <v>21364</v>
      </c>
      <c r="K507" s="74" t="s">
        <v>2908</v>
      </c>
      <c r="L507" s="74">
        <v>909858</v>
      </c>
      <c r="M507" s="74" t="s">
        <v>21341</v>
      </c>
      <c r="N507" s="74">
        <v>1</v>
      </c>
      <c r="O507" s="74" t="s">
        <v>21342</v>
      </c>
      <c r="P507" s="74" t="s">
        <v>21343</v>
      </c>
      <c r="Q507" s="74">
        <v>0</v>
      </c>
      <c r="R507" s="74" t="s">
        <v>148</v>
      </c>
      <c r="S507" s="74" t="s">
        <v>21338</v>
      </c>
      <c r="T507" s="74" t="s">
        <v>402</v>
      </c>
      <c r="U507" s="74">
        <v>0</v>
      </c>
      <c r="V507" s="74">
        <v>0</v>
      </c>
    </row>
    <row r="508" spans="3:22" x14ac:dyDescent="0.25">
      <c r="C508" s="74" t="s">
        <v>21386</v>
      </c>
      <c r="D508" s="74" t="s">
        <v>148</v>
      </c>
      <c r="E508" s="74" t="s">
        <v>21338</v>
      </c>
      <c r="F508" s="74">
        <v>674396</v>
      </c>
      <c r="G508" s="74">
        <v>3</v>
      </c>
      <c r="H508" s="135">
        <v>42999.614872685182</v>
      </c>
      <c r="I508" s="74" t="s">
        <v>21398</v>
      </c>
      <c r="J508" s="74" t="s">
        <v>21400</v>
      </c>
      <c r="K508" s="74" t="s">
        <v>2908</v>
      </c>
      <c r="L508" s="74">
        <v>909858</v>
      </c>
      <c r="M508" s="74" t="s">
        <v>21341</v>
      </c>
      <c r="N508" s="74">
        <v>1</v>
      </c>
      <c r="O508" s="74" t="s">
        <v>21342</v>
      </c>
      <c r="P508" s="74" t="s">
        <v>21343</v>
      </c>
      <c r="Q508" s="74" t="s">
        <v>21483</v>
      </c>
      <c r="R508" s="74" t="s">
        <v>148</v>
      </c>
      <c r="S508" s="74" t="s">
        <v>21338</v>
      </c>
      <c r="T508" s="74" t="s">
        <v>402</v>
      </c>
      <c r="U508" s="74">
        <v>0</v>
      </c>
      <c r="V508" s="74">
        <v>0</v>
      </c>
    </row>
    <row r="509" spans="3:22" x14ac:dyDescent="0.25">
      <c r="C509" s="74" t="s">
        <v>18795</v>
      </c>
      <c r="D509" s="74" t="s">
        <v>148</v>
      </c>
      <c r="E509" s="74" t="s">
        <v>21338</v>
      </c>
      <c r="F509" s="74">
        <v>551367</v>
      </c>
      <c r="G509" s="74">
        <v>1000</v>
      </c>
      <c r="H509" s="135">
        <v>42999.598194444443</v>
      </c>
      <c r="I509" s="74" t="s">
        <v>21339</v>
      </c>
      <c r="J509" s="74" t="s">
        <v>21340</v>
      </c>
      <c r="K509" s="74" t="s">
        <v>21484</v>
      </c>
      <c r="L509" s="74">
        <v>560600</v>
      </c>
      <c r="M509" s="74" t="s">
        <v>21341</v>
      </c>
      <c r="N509" s="74">
        <v>3</v>
      </c>
      <c r="O509" s="74" t="s">
        <v>21342</v>
      </c>
      <c r="P509" s="74" t="s">
        <v>21343</v>
      </c>
      <c r="Q509" s="74">
        <v>0</v>
      </c>
      <c r="R509" s="74" t="s">
        <v>148</v>
      </c>
      <c r="S509" s="74" t="s">
        <v>21338</v>
      </c>
      <c r="T509" s="74" t="s">
        <v>535</v>
      </c>
      <c r="U509" s="74">
        <v>0</v>
      </c>
      <c r="V509" s="74">
        <v>0</v>
      </c>
    </row>
    <row r="510" spans="3:22" x14ac:dyDescent="0.25">
      <c r="C510" s="74" t="s">
        <v>18795</v>
      </c>
      <c r="D510" s="74" t="s">
        <v>148</v>
      </c>
      <c r="E510" s="74" t="s">
        <v>21338</v>
      </c>
      <c r="F510" s="74">
        <v>551367</v>
      </c>
      <c r="G510" s="74">
        <v>1000</v>
      </c>
      <c r="H510" s="135">
        <v>42999.586643518516</v>
      </c>
      <c r="I510" s="74" t="s">
        <v>21339</v>
      </c>
      <c r="J510" s="74" t="s">
        <v>21340</v>
      </c>
      <c r="K510" s="74" t="s">
        <v>21485</v>
      </c>
      <c r="L510" s="74">
        <v>909827</v>
      </c>
      <c r="M510" s="74" t="s">
        <v>21341</v>
      </c>
      <c r="N510" s="74">
        <v>1</v>
      </c>
      <c r="O510" s="74" t="s">
        <v>21342</v>
      </c>
      <c r="P510" s="74" t="s">
        <v>21343</v>
      </c>
      <c r="Q510" s="74">
        <v>0</v>
      </c>
      <c r="R510" s="74" t="s">
        <v>148</v>
      </c>
      <c r="S510" s="74" t="s">
        <v>21338</v>
      </c>
      <c r="T510" s="74" t="s">
        <v>402</v>
      </c>
      <c r="U510" s="74">
        <v>0</v>
      </c>
      <c r="V510" s="74">
        <v>0</v>
      </c>
    </row>
    <row r="511" spans="3:22" x14ac:dyDescent="0.25">
      <c r="C511" s="74" t="s">
        <v>18795</v>
      </c>
      <c r="D511" s="74" t="s">
        <v>148</v>
      </c>
      <c r="E511" s="74" t="s">
        <v>21338</v>
      </c>
      <c r="F511" s="74">
        <v>551367</v>
      </c>
      <c r="G511" s="74">
        <v>1000</v>
      </c>
      <c r="H511" s="135">
        <v>42999.579699074071</v>
      </c>
      <c r="I511" s="74" t="s">
        <v>21339</v>
      </c>
      <c r="J511" s="74" t="s">
        <v>21340</v>
      </c>
      <c r="K511" s="74" t="s">
        <v>9535</v>
      </c>
      <c r="L511" s="74">
        <v>552855</v>
      </c>
      <c r="M511" s="74" t="s">
        <v>21341</v>
      </c>
      <c r="N511" s="74">
        <v>1</v>
      </c>
      <c r="O511" s="74" t="s">
        <v>21342</v>
      </c>
      <c r="P511" s="74" t="s">
        <v>21343</v>
      </c>
      <c r="Q511" s="74">
        <v>0</v>
      </c>
      <c r="R511" s="74" t="s">
        <v>148</v>
      </c>
      <c r="S511" s="74" t="s">
        <v>21338</v>
      </c>
      <c r="T511" s="74" t="s">
        <v>402</v>
      </c>
      <c r="U511" s="74">
        <v>0</v>
      </c>
      <c r="V511" s="74">
        <v>0</v>
      </c>
    </row>
    <row r="512" spans="3:22" x14ac:dyDescent="0.25">
      <c r="C512" s="74" t="s">
        <v>21386</v>
      </c>
      <c r="D512" s="74" t="s">
        <v>148</v>
      </c>
      <c r="E512" s="74" t="s">
        <v>21338</v>
      </c>
      <c r="F512" s="74">
        <v>674396</v>
      </c>
      <c r="G512" s="74">
        <v>3</v>
      </c>
      <c r="H512" s="135">
        <v>42999.578483796293</v>
      </c>
      <c r="I512" s="74" t="s">
        <v>21339</v>
      </c>
      <c r="J512" s="74" t="s">
        <v>21362</v>
      </c>
      <c r="K512" s="74" t="s">
        <v>8875</v>
      </c>
      <c r="L512" s="74">
        <v>552775</v>
      </c>
      <c r="M512" s="74" t="s">
        <v>21341</v>
      </c>
      <c r="N512" s="74">
        <v>1</v>
      </c>
      <c r="O512" s="74" t="s">
        <v>21342</v>
      </c>
      <c r="P512" s="74" t="s">
        <v>21343</v>
      </c>
      <c r="Q512" s="74" t="s">
        <v>21363</v>
      </c>
      <c r="R512" s="74" t="s">
        <v>148</v>
      </c>
      <c r="S512" s="74" t="s">
        <v>21338</v>
      </c>
      <c r="T512" s="74" t="s">
        <v>393</v>
      </c>
      <c r="U512" s="74">
        <v>0</v>
      </c>
      <c r="V512" s="74">
        <v>0</v>
      </c>
    </row>
    <row r="513" spans="3:22" x14ac:dyDescent="0.25">
      <c r="C513" s="74" t="s">
        <v>21386</v>
      </c>
      <c r="D513" s="74" t="s">
        <v>148</v>
      </c>
      <c r="E513" s="74" t="s">
        <v>21338</v>
      </c>
      <c r="F513" s="74">
        <v>674396</v>
      </c>
      <c r="G513" s="74">
        <v>3</v>
      </c>
      <c r="H513" s="135">
        <v>42999.577962962961</v>
      </c>
      <c r="I513" s="74" t="s">
        <v>21365</v>
      </c>
      <c r="J513" s="74" t="s">
        <v>21366</v>
      </c>
      <c r="K513" s="74" t="s">
        <v>21367</v>
      </c>
      <c r="L513" s="74">
        <v>561482</v>
      </c>
      <c r="M513" s="74" t="s">
        <v>21368</v>
      </c>
      <c r="N513" s="74">
        <v>1</v>
      </c>
      <c r="O513" s="74" t="s">
        <v>21369</v>
      </c>
      <c r="P513" s="74" t="s">
        <v>21343</v>
      </c>
      <c r="Q513" s="74" t="s">
        <v>21486</v>
      </c>
      <c r="R513" s="74" t="s">
        <v>148</v>
      </c>
      <c r="S513" s="74" t="s">
        <v>21338</v>
      </c>
      <c r="T513" s="74" t="s">
        <v>21371</v>
      </c>
      <c r="U513" s="74">
        <v>0</v>
      </c>
      <c r="V513" s="74">
        <v>0</v>
      </c>
    </row>
    <row r="514" spans="3:22" x14ac:dyDescent="0.25">
      <c r="C514" s="74" t="s">
        <v>21386</v>
      </c>
      <c r="D514" s="74" t="s">
        <v>148</v>
      </c>
      <c r="E514" s="74" t="s">
        <v>21338</v>
      </c>
      <c r="F514" s="74">
        <v>674396</v>
      </c>
      <c r="G514" s="74">
        <v>3</v>
      </c>
      <c r="H514" s="135">
        <v>42999.577962962961</v>
      </c>
      <c r="I514" s="74" t="s">
        <v>21339</v>
      </c>
      <c r="J514" s="74" t="s">
        <v>21364</v>
      </c>
      <c r="K514" s="74" t="s">
        <v>8875</v>
      </c>
      <c r="L514" s="74">
        <v>552775</v>
      </c>
      <c r="M514" s="74" t="s">
        <v>21341</v>
      </c>
      <c r="N514" s="74">
        <v>1</v>
      </c>
      <c r="O514" s="74" t="s">
        <v>21342</v>
      </c>
      <c r="P514" s="74" t="s">
        <v>21343</v>
      </c>
      <c r="Q514" s="74">
        <v>0</v>
      </c>
      <c r="R514" s="74" t="s">
        <v>148</v>
      </c>
      <c r="S514" s="74" t="s">
        <v>21338</v>
      </c>
      <c r="T514" s="74" t="s">
        <v>402</v>
      </c>
      <c r="U514" s="74">
        <v>0</v>
      </c>
      <c r="V514" s="74">
        <v>0</v>
      </c>
    </row>
    <row r="515" spans="3:22" x14ac:dyDescent="0.25">
      <c r="C515" s="74" t="s">
        <v>21386</v>
      </c>
      <c r="D515" s="74" t="s">
        <v>148</v>
      </c>
      <c r="E515" s="74" t="s">
        <v>21338</v>
      </c>
      <c r="F515" s="74">
        <v>674396</v>
      </c>
      <c r="G515" s="74">
        <v>3</v>
      </c>
      <c r="H515" s="135">
        <v>42999.577939814815</v>
      </c>
      <c r="I515" s="74" t="s">
        <v>21365</v>
      </c>
      <c r="J515" s="74" t="s">
        <v>21366</v>
      </c>
      <c r="K515" s="74" t="s">
        <v>21381</v>
      </c>
      <c r="L515" s="74">
        <v>555660</v>
      </c>
      <c r="M515" s="74" t="s">
        <v>21368</v>
      </c>
      <c r="N515" s="74">
        <v>1</v>
      </c>
      <c r="O515" s="74" t="s">
        <v>21369</v>
      </c>
      <c r="P515" s="74" t="s">
        <v>21343</v>
      </c>
      <c r="Q515" s="74" t="s">
        <v>21486</v>
      </c>
      <c r="R515" s="74" t="s">
        <v>148</v>
      </c>
      <c r="S515" s="74" t="s">
        <v>21338</v>
      </c>
      <c r="T515" s="74" t="s">
        <v>21371</v>
      </c>
      <c r="U515" s="74">
        <v>0</v>
      </c>
      <c r="V515" s="74">
        <v>0</v>
      </c>
    </row>
    <row r="516" spans="3:22" x14ac:dyDescent="0.25">
      <c r="C516" s="74" t="s">
        <v>21386</v>
      </c>
      <c r="D516" s="74" t="s">
        <v>148</v>
      </c>
      <c r="E516" s="74" t="s">
        <v>21338</v>
      </c>
      <c r="F516" s="74">
        <v>674396</v>
      </c>
      <c r="G516" s="74">
        <v>3</v>
      </c>
      <c r="H516" s="135">
        <v>42999.577928240738</v>
      </c>
      <c r="I516" s="74" t="s">
        <v>21365</v>
      </c>
      <c r="J516" s="74" t="s">
        <v>21366</v>
      </c>
      <c r="K516" s="74" t="s">
        <v>21377</v>
      </c>
      <c r="L516" s="74">
        <v>555668</v>
      </c>
      <c r="M516" s="74" t="s">
        <v>21368</v>
      </c>
      <c r="N516" s="74">
        <v>1</v>
      </c>
      <c r="O516" s="74" t="s">
        <v>21369</v>
      </c>
      <c r="P516" s="74" t="s">
        <v>21343</v>
      </c>
      <c r="Q516" s="74" t="s">
        <v>21486</v>
      </c>
      <c r="R516" s="74" t="s">
        <v>148</v>
      </c>
      <c r="S516" s="74" t="s">
        <v>21338</v>
      </c>
      <c r="T516" s="74" t="s">
        <v>21371</v>
      </c>
      <c r="U516" s="74">
        <v>0</v>
      </c>
      <c r="V516" s="74">
        <v>0</v>
      </c>
    </row>
    <row r="517" spans="3:22" x14ac:dyDescent="0.25">
      <c r="C517" s="74" t="s">
        <v>21386</v>
      </c>
      <c r="D517" s="74" t="s">
        <v>148</v>
      </c>
      <c r="E517" s="74" t="s">
        <v>21338</v>
      </c>
      <c r="F517" s="74">
        <v>674396</v>
      </c>
      <c r="G517" s="74">
        <v>3</v>
      </c>
      <c r="H517" s="135">
        <v>42999.577893518515</v>
      </c>
      <c r="I517" s="74" t="s">
        <v>21339</v>
      </c>
      <c r="J517" s="74" t="s">
        <v>21364</v>
      </c>
      <c r="K517" s="74" t="s">
        <v>8875</v>
      </c>
      <c r="L517" s="74">
        <v>552775</v>
      </c>
      <c r="M517" s="74" t="s">
        <v>21341</v>
      </c>
      <c r="N517" s="74">
        <v>1</v>
      </c>
      <c r="O517" s="74" t="s">
        <v>21342</v>
      </c>
      <c r="P517" s="74" t="s">
        <v>21343</v>
      </c>
      <c r="Q517" s="74">
        <v>0</v>
      </c>
      <c r="R517" s="74" t="s">
        <v>148</v>
      </c>
      <c r="S517" s="74" t="s">
        <v>21338</v>
      </c>
      <c r="T517" s="74" t="s">
        <v>402</v>
      </c>
      <c r="U517" s="74">
        <v>0</v>
      </c>
      <c r="V517" s="74">
        <v>0</v>
      </c>
    </row>
    <row r="518" spans="3:22" x14ac:dyDescent="0.25">
      <c r="C518" s="74" t="s">
        <v>21386</v>
      </c>
      <c r="D518" s="74" t="s">
        <v>148</v>
      </c>
      <c r="E518" s="74" t="s">
        <v>21338</v>
      </c>
      <c r="F518" s="74">
        <v>674396</v>
      </c>
      <c r="G518" s="74">
        <v>3</v>
      </c>
      <c r="H518" s="135">
        <v>42999.577824074076</v>
      </c>
      <c r="I518" s="74" t="s">
        <v>21339</v>
      </c>
      <c r="J518" s="74" t="s">
        <v>21364</v>
      </c>
      <c r="K518" s="74" t="s">
        <v>8875</v>
      </c>
      <c r="L518" s="74">
        <v>552775</v>
      </c>
      <c r="M518" s="74" t="s">
        <v>21341</v>
      </c>
      <c r="N518" s="74">
        <v>1</v>
      </c>
      <c r="O518" s="74" t="s">
        <v>21342</v>
      </c>
      <c r="P518" s="74" t="s">
        <v>21343</v>
      </c>
      <c r="Q518" s="74">
        <v>0</v>
      </c>
      <c r="R518" s="74" t="s">
        <v>148</v>
      </c>
      <c r="S518" s="74" t="s">
        <v>21338</v>
      </c>
      <c r="T518" s="74" t="s">
        <v>402</v>
      </c>
      <c r="U518" s="74">
        <v>0</v>
      </c>
      <c r="V518" s="74">
        <v>0</v>
      </c>
    </row>
    <row r="519" spans="3:22" x14ac:dyDescent="0.25">
      <c r="C519" s="74" t="s">
        <v>21386</v>
      </c>
      <c r="D519" s="74" t="s">
        <v>148</v>
      </c>
      <c r="E519" s="74" t="s">
        <v>21338</v>
      </c>
      <c r="F519" s="74">
        <v>674396</v>
      </c>
      <c r="G519" s="74">
        <v>3</v>
      </c>
      <c r="H519" s="135">
        <v>42999.575520833336</v>
      </c>
      <c r="I519" s="74" t="s">
        <v>21339</v>
      </c>
      <c r="J519" s="74" t="s">
        <v>21360</v>
      </c>
      <c r="K519" s="74" t="s">
        <v>8875</v>
      </c>
      <c r="L519" s="74">
        <v>552775</v>
      </c>
      <c r="M519" s="74" t="s">
        <v>21341</v>
      </c>
      <c r="N519" s="74">
        <v>1</v>
      </c>
      <c r="O519" s="74" t="s">
        <v>21342</v>
      </c>
      <c r="P519" s="74" t="s">
        <v>21343</v>
      </c>
      <c r="Q519" s="74" t="s">
        <v>21361</v>
      </c>
      <c r="R519" s="74" t="s">
        <v>148</v>
      </c>
      <c r="S519" s="74" t="s">
        <v>21338</v>
      </c>
      <c r="T519" s="74" t="s">
        <v>402</v>
      </c>
      <c r="U519" s="74">
        <v>0</v>
      </c>
      <c r="V519" s="74">
        <v>0</v>
      </c>
    </row>
    <row r="520" spans="3:22" x14ac:dyDescent="0.25">
      <c r="C520" s="74" t="s">
        <v>21386</v>
      </c>
      <c r="D520" s="74" t="s">
        <v>148</v>
      </c>
      <c r="E520" s="74" t="s">
        <v>21338</v>
      </c>
      <c r="F520" s="74">
        <v>674396</v>
      </c>
      <c r="G520" s="74">
        <v>3</v>
      </c>
      <c r="H520" s="135">
        <v>42999.574652777781</v>
      </c>
      <c r="I520" s="74" t="s">
        <v>21339</v>
      </c>
      <c r="J520" s="74" t="s">
        <v>21360</v>
      </c>
      <c r="K520" s="74" t="s">
        <v>8875</v>
      </c>
      <c r="L520" s="74">
        <v>552775</v>
      </c>
      <c r="M520" s="74" t="s">
        <v>21341</v>
      </c>
      <c r="N520" s="74">
        <v>1</v>
      </c>
      <c r="O520" s="74" t="s">
        <v>21342</v>
      </c>
      <c r="P520" s="74" t="s">
        <v>21343</v>
      </c>
      <c r="Q520" s="74" t="s">
        <v>21361</v>
      </c>
      <c r="R520" s="74" t="s">
        <v>148</v>
      </c>
      <c r="S520" s="74" t="s">
        <v>21338</v>
      </c>
      <c r="T520" s="74" t="s">
        <v>402</v>
      </c>
      <c r="U520" s="74">
        <v>0</v>
      </c>
      <c r="V520" s="74">
        <v>0</v>
      </c>
    </row>
    <row r="521" spans="3:22" x14ac:dyDescent="0.25">
      <c r="C521" s="74" t="s">
        <v>21379</v>
      </c>
      <c r="D521" s="74" t="s">
        <v>148</v>
      </c>
      <c r="E521" s="74" t="s">
        <v>21338</v>
      </c>
      <c r="F521" s="74">
        <v>809833</v>
      </c>
      <c r="G521" s="74">
        <v>3</v>
      </c>
      <c r="H521" s="135">
        <v>42999.564965277779</v>
      </c>
      <c r="I521" s="74" t="s">
        <v>21354</v>
      </c>
      <c r="J521" s="74" t="s">
        <v>21355</v>
      </c>
      <c r="K521" s="74" t="s">
        <v>21485</v>
      </c>
      <c r="L521" s="74">
        <v>909827</v>
      </c>
      <c r="M521" s="74" t="s">
        <v>21341</v>
      </c>
      <c r="N521" s="74">
        <v>1</v>
      </c>
      <c r="O521" s="74" t="s">
        <v>21342</v>
      </c>
      <c r="P521" s="74" t="s">
        <v>21345</v>
      </c>
      <c r="R521" s="74" t="s">
        <v>148</v>
      </c>
      <c r="S521" s="74" t="s">
        <v>21338</v>
      </c>
      <c r="T521" s="74" t="s">
        <v>402</v>
      </c>
      <c r="U521" s="74">
        <v>0</v>
      </c>
      <c r="V521" s="74">
        <v>0</v>
      </c>
    </row>
    <row r="522" spans="3:22" x14ac:dyDescent="0.25">
      <c r="C522" s="74" t="s">
        <v>18795</v>
      </c>
      <c r="D522" s="74" t="s">
        <v>148</v>
      </c>
      <c r="E522" s="74" t="s">
        <v>21338</v>
      </c>
      <c r="F522" s="74">
        <v>551367</v>
      </c>
      <c r="G522" s="74">
        <v>1000</v>
      </c>
      <c r="H522" s="135">
        <v>42999.548009259262</v>
      </c>
      <c r="I522" s="74" t="s">
        <v>21339</v>
      </c>
      <c r="J522" s="74" t="s">
        <v>21340</v>
      </c>
      <c r="K522" s="74" t="s">
        <v>21487</v>
      </c>
      <c r="L522" s="74">
        <v>863773</v>
      </c>
      <c r="M522" s="74" t="s">
        <v>21341</v>
      </c>
      <c r="N522" s="74">
        <v>1</v>
      </c>
      <c r="O522" s="74" t="s">
        <v>21342</v>
      </c>
      <c r="P522" s="74" t="s">
        <v>21343</v>
      </c>
      <c r="Q522" s="74">
        <v>0</v>
      </c>
      <c r="R522" s="74" t="s">
        <v>148</v>
      </c>
      <c r="S522" s="74" t="s">
        <v>21338</v>
      </c>
      <c r="T522" s="74" t="s">
        <v>393</v>
      </c>
      <c r="U522" s="74">
        <v>0</v>
      </c>
      <c r="V522" s="74">
        <v>0</v>
      </c>
    </row>
    <row r="523" spans="3:22" x14ac:dyDescent="0.25">
      <c r="C523" s="74" t="s">
        <v>21379</v>
      </c>
      <c r="D523" s="74" t="s">
        <v>148</v>
      </c>
      <c r="E523" s="74" t="s">
        <v>21338</v>
      </c>
      <c r="F523" s="74">
        <v>809833</v>
      </c>
      <c r="G523" s="74">
        <v>3</v>
      </c>
      <c r="H523" s="135">
        <v>42999.535231481481</v>
      </c>
      <c r="I523" s="74" t="s">
        <v>21354</v>
      </c>
      <c r="J523" s="74" t="s">
        <v>21355</v>
      </c>
      <c r="K523" s="74" t="s">
        <v>21485</v>
      </c>
      <c r="L523" s="74">
        <v>909827</v>
      </c>
      <c r="M523" s="74" t="s">
        <v>21341</v>
      </c>
      <c r="N523" s="74">
        <v>1</v>
      </c>
      <c r="O523" s="74" t="s">
        <v>21342</v>
      </c>
      <c r="P523" s="74" t="s">
        <v>21345</v>
      </c>
      <c r="R523" s="74" t="s">
        <v>148</v>
      </c>
      <c r="S523" s="74" t="s">
        <v>21338</v>
      </c>
      <c r="T523" s="74" t="s">
        <v>402</v>
      </c>
      <c r="U523" s="74">
        <v>0</v>
      </c>
      <c r="V523" s="74">
        <v>0</v>
      </c>
    </row>
    <row r="524" spans="3:22" x14ac:dyDescent="0.25">
      <c r="C524" s="74" t="s">
        <v>18795</v>
      </c>
      <c r="D524" s="74" t="s">
        <v>148</v>
      </c>
      <c r="E524" s="74" t="s">
        <v>21338</v>
      </c>
      <c r="F524" s="74">
        <v>551367</v>
      </c>
      <c r="G524" s="74">
        <v>1000</v>
      </c>
      <c r="H524" s="135">
        <v>42999.519745370373</v>
      </c>
      <c r="I524" s="74" t="s">
        <v>21339</v>
      </c>
      <c r="J524" s="74" t="s">
        <v>21340</v>
      </c>
      <c r="K524" s="74" t="s">
        <v>8635</v>
      </c>
      <c r="L524" s="74">
        <v>552743</v>
      </c>
      <c r="M524" s="74" t="s">
        <v>21341</v>
      </c>
      <c r="N524" s="74">
        <v>1</v>
      </c>
      <c r="O524" s="74" t="s">
        <v>21342</v>
      </c>
      <c r="P524" s="74" t="s">
        <v>21343</v>
      </c>
      <c r="Q524" s="74">
        <v>0</v>
      </c>
      <c r="R524" s="74" t="s">
        <v>148</v>
      </c>
      <c r="S524" s="74" t="s">
        <v>21338</v>
      </c>
      <c r="T524" s="74" t="s">
        <v>402</v>
      </c>
      <c r="U524" s="74">
        <v>0</v>
      </c>
      <c r="V524" s="74">
        <v>0</v>
      </c>
    </row>
    <row r="525" spans="3:22" x14ac:dyDescent="0.25">
      <c r="C525" s="74" t="s">
        <v>735</v>
      </c>
      <c r="D525" s="74" t="s">
        <v>148</v>
      </c>
      <c r="E525" s="74" t="s">
        <v>21338</v>
      </c>
      <c r="F525" s="74">
        <v>570025</v>
      </c>
      <c r="G525" s="74">
        <v>3</v>
      </c>
      <c r="H525" s="135">
        <v>42999.499502314815</v>
      </c>
      <c r="I525" s="74" t="s">
        <v>21339</v>
      </c>
      <c r="J525" s="74" t="s">
        <v>21364</v>
      </c>
      <c r="K525" s="74" t="s">
        <v>21485</v>
      </c>
      <c r="L525" s="74">
        <v>909827</v>
      </c>
      <c r="M525" s="74" t="s">
        <v>21341</v>
      </c>
      <c r="N525" s="74">
        <v>1</v>
      </c>
      <c r="O525" s="74" t="s">
        <v>21342</v>
      </c>
      <c r="P525" s="74" t="s">
        <v>21343</v>
      </c>
      <c r="Q525" s="74">
        <v>0</v>
      </c>
      <c r="R525" s="74" t="s">
        <v>148</v>
      </c>
      <c r="S525" s="74" t="s">
        <v>21338</v>
      </c>
      <c r="T525" s="74" t="s">
        <v>402</v>
      </c>
      <c r="U525" s="74">
        <v>0</v>
      </c>
      <c r="V525" s="74">
        <v>0</v>
      </c>
    </row>
    <row r="526" spans="3:22" x14ac:dyDescent="0.25">
      <c r="C526" s="74" t="s">
        <v>18795</v>
      </c>
      <c r="D526" s="74" t="s">
        <v>148</v>
      </c>
      <c r="E526" s="74" t="s">
        <v>21338</v>
      </c>
      <c r="F526" s="74">
        <v>551367</v>
      </c>
      <c r="G526" s="74">
        <v>1000</v>
      </c>
      <c r="H526" s="135">
        <v>42999.493101851855</v>
      </c>
      <c r="I526" s="74" t="s">
        <v>21339</v>
      </c>
      <c r="J526" s="74" t="s">
        <v>21340</v>
      </c>
      <c r="K526" s="74" t="s">
        <v>8635</v>
      </c>
      <c r="L526" s="74">
        <v>552743</v>
      </c>
      <c r="M526" s="74" t="s">
        <v>21341</v>
      </c>
      <c r="N526" s="74">
        <v>1</v>
      </c>
      <c r="O526" s="74" t="s">
        <v>21342</v>
      </c>
      <c r="P526" s="74" t="s">
        <v>21343</v>
      </c>
      <c r="Q526" s="74">
        <v>0</v>
      </c>
      <c r="R526" s="74" t="s">
        <v>148</v>
      </c>
      <c r="S526" s="74" t="s">
        <v>21338</v>
      </c>
      <c r="T526" s="74" t="s">
        <v>402</v>
      </c>
      <c r="U526" s="74">
        <v>0</v>
      </c>
      <c r="V526" s="74">
        <v>0</v>
      </c>
    </row>
    <row r="527" spans="3:22" x14ac:dyDescent="0.25">
      <c r="C527" s="74" t="s">
        <v>18795</v>
      </c>
      <c r="D527" s="74" t="s">
        <v>148</v>
      </c>
      <c r="E527" s="74" t="s">
        <v>21338</v>
      </c>
      <c r="F527" s="74">
        <v>551367</v>
      </c>
      <c r="G527" s="74">
        <v>1000</v>
      </c>
      <c r="H527" s="135">
        <v>42999.492893518516</v>
      </c>
      <c r="I527" s="74" t="s">
        <v>21339</v>
      </c>
      <c r="J527" s="74" t="s">
        <v>21340</v>
      </c>
      <c r="K527" s="74" t="s">
        <v>16595</v>
      </c>
      <c r="L527" s="74">
        <v>553754</v>
      </c>
      <c r="M527" s="74" t="s">
        <v>21341</v>
      </c>
      <c r="N527" s="74">
        <v>1</v>
      </c>
      <c r="O527" s="74" t="s">
        <v>21342</v>
      </c>
      <c r="P527" s="74" t="s">
        <v>21343</v>
      </c>
      <c r="Q527" s="74">
        <v>0</v>
      </c>
      <c r="R527" s="74" t="s">
        <v>148</v>
      </c>
      <c r="S527" s="74" t="s">
        <v>21338</v>
      </c>
      <c r="T527" s="74" t="s">
        <v>402</v>
      </c>
      <c r="U527" s="74">
        <v>0</v>
      </c>
      <c r="V527" s="74">
        <v>0</v>
      </c>
    </row>
    <row r="528" spans="3:22" x14ac:dyDescent="0.25">
      <c r="C528" s="74" t="s">
        <v>533</v>
      </c>
      <c r="D528" s="74" t="s">
        <v>148</v>
      </c>
      <c r="E528" s="74" t="s">
        <v>21338</v>
      </c>
      <c r="F528" s="74">
        <v>627566</v>
      </c>
      <c r="G528" s="74">
        <v>3</v>
      </c>
      <c r="H528" s="135">
        <v>42999.491840277777</v>
      </c>
      <c r="I528" s="74" t="s">
        <v>21339</v>
      </c>
      <c r="J528" s="74" t="s">
        <v>21360</v>
      </c>
      <c r="K528" s="74" t="s">
        <v>3628</v>
      </c>
      <c r="L528" s="74">
        <v>552116</v>
      </c>
      <c r="M528" s="74" t="s">
        <v>21341</v>
      </c>
      <c r="N528" s="74">
        <v>1</v>
      </c>
      <c r="O528" s="74" t="s">
        <v>21359</v>
      </c>
      <c r="P528" s="74" t="s">
        <v>21343</v>
      </c>
      <c r="Q528" s="74" t="s">
        <v>21395</v>
      </c>
      <c r="R528" s="74" t="s">
        <v>148</v>
      </c>
      <c r="S528" s="74" t="s">
        <v>21338</v>
      </c>
      <c r="T528" s="74" t="s">
        <v>402</v>
      </c>
      <c r="U528" s="74">
        <v>0</v>
      </c>
      <c r="V528" s="74">
        <v>0</v>
      </c>
    </row>
    <row r="529" spans="3:22" x14ac:dyDescent="0.25">
      <c r="C529" s="74" t="s">
        <v>533</v>
      </c>
      <c r="D529" s="74" t="s">
        <v>148</v>
      </c>
      <c r="E529" s="74" t="s">
        <v>21338</v>
      </c>
      <c r="F529" s="74">
        <v>627566</v>
      </c>
      <c r="G529" s="74">
        <v>3</v>
      </c>
      <c r="H529" s="135">
        <v>42999.491481481484</v>
      </c>
      <c r="I529" s="74" t="s">
        <v>21354</v>
      </c>
      <c r="J529" s="74" t="s">
        <v>21355</v>
      </c>
      <c r="K529" s="74" t="s">
        <v>3628</v>
      </c>
      <c r="L529" s="74">
        <v>552116</v>
      </c>
      <c r="M529" s="74" t="s">
        <v>21341</v>
      </c>
      <c r="N529" s="74">
        <v>1</v>
      </c>
      <c r="O529" s="74" t="s">
        <v>21342</v>
      </c>
      <c r="P529" s="74" t="s">
        <v>21345</v>
      </c>
      <c r="R529" s="74" t="s">
        <v>148</v>
      </c>
      <c r="S529" s="74" t="s">
        <v>21338</v>
      </c>
      <c r="T529" s="74" t="s">
        <v>402</v>
      </c>
      <c r="U529" s="74">
        <v>0</v>
      </c>
      <c r="V529" s="74">
        <v>0</v>
      </c>
    </row>
    <row r="530" spans="3:22" x14ac:dyDescent="0.25">
      <c r="C530" s="74" t="s">
        <v>18795</v>
      </c>
      <c r="D530" s="74" t="s">
        <v>148</v>
      </c>
      <c r="E530" s="74" t="s">
        <v>21338</v>
      </c>
      <c r="F530" s="74">
        <v>551367</v>
      </c>
      <c r="G530" s="74">
        <v>1000</v>
      </c>
      <c r="H530" s="135">
        <v>42999.488425925927</v>
      </c>
      <c r="I530" s="74" t="s">
        <v>21339</v>
      </c>
      <c r="J530" s="74" t="s">
        <v>21340</v>
      </c>
      <c r="K530" s="74" t="s">
        <v>7133</v>
      </c>
      <c r="L530" s="74">
        <v>552552</v>
      </c>
      <c r="M530" s="74" t="s">
        <v>21341</v>
      </c>
      <c r="N530" s="74">
        <v>1</v>
      </c>
      <c r="O530" s="74" t="s">
        <v>21342</v>
      </c>
      <c r="P530" s="74" t="s">
        <v>21343</v>
      </c>
      <c r="Q530" s="74">
        <v>0</v>
      </c>
      <c r="R530" s="74" t="s">
        <v>148</v>
      </c>
      <c r="S530" s="74" t="s">
        <v>21338</v>
      </c>
      <c r="T530" s="74" t="s">
        <v>402</v>
      </c>
      <c r="U530" s="74">
        <v>0</v>
      </c>
      <c r="V530" s="74">
        <v>0</v>
      </c>
    </row>
    <row r="531" spans="3:22" x14ac:dyDescent="0.25">
      <c r="C531" s="74" t="s">
        <v>21386</v>
      </c>
      <c r="D531" s="74" t="s">
        <v>148</v>
      </c>
      <c r="E531" s="74" t="s">
        <v>21338</v>
      </c>
      <c r="F531" s="74">
        <v>674396</v>
      </c>
      <c r="G531" s="74">
        <v>3</v>
      </c>
      <c r="H531" s="135">
        <v>42999.484085648146</v>
      </c>
      <c r="I531" s="74" t="s">
        <v>21339</v>
      </c>
      <c r="J531" s="74" t="s">
        <v>21364</v>
      </c>
      <c r="K531" s="74" t="s">
        <v>21485</v>
      </c>
      <c r="L531" s="74">
        <v>909827</v>
      </c>
      <c r="M531" s="74" t="s">
        <v>21341</v>
      </c>
      <c r="N531" s="74">
        <v>1</v>
      </c>
      <c r="O531" s="74" t="s">
        <v>21342</v>
      </c>
      <c r="P531" s="74" t="s">
        <v>21343</v>
      </c>
      <c r="Q531" s="74">
        <v>0</v>
      </c>
      <c r="R531" s="74" t="s">
        <v>148</v>
      </c>
      <c r="S531" s="74" t="s">
        <v>21338</v>
      </c>
      <c r="T531" s="74" t="s">
        <v>402</v>
      </c>
      <c r="U531" s="74">
        <v>0</v>
      </c>
      <c r="V531" s="74">
        <v>0</v>
      </c>
    </row>
    <row r="532" spans="3:22" x14ac:dyDescent="0.25">
      <c r="C532" s="74" t="s">
        <v>21386</v>
      </c>
      <c r="D532" s="74" t="s">
        <v>148</v>
      </c>
      <c r="E532" s="74" t="s">
        <v>21338</v>
      </c>
      <c r="F532" s="74">
        <v>674396</v>
      </c>
      <c r="G532" s="74">
        <v>3</v>
      </c>
      <c r="H532" s="135">
        <v>42999.484074074076</v>
      </c>
      <c r="I532" s="74" t="s">
        <v>21398</v>
      </c>
      <c r="J532" s="74" t="s">
        <v>21366</v>
      </c>
      <c r="K532" s="74" t="s">
        <v>21367</v>
      </c>
      <c r="L532" s="74">
        <v>561482</v>
      </c>
      <c r="M532" s="74" t="s">
        <v>21368</v>
      </c>
      <c r="N532" s="74">
        <v>1</v>
      </c>
      <c r="O532" s="74" t="s">
        <v>21369</v>
      </c>
      <c r="P532" s="74" t="s">
        <v>21343</v>
      </c>
      <c r="Q532" s="74" t="s">
        <v>21488</v>
      </c>
      <c r="R532" s="74" t="s">
        <v>148</v>
      </c>
      <c r="S532" s="74" t="s">
        <v>21338</v>
      </c>
      <c r="T532" s="74" t="s">
        <v>21371</v>
      </c>
      <c r="U532" s="74">
        <v>0</v>
      </c>
      <c r="V532" s="74">
        <v>0</v>
      </c>
    </row>
    <row r="533" spans="3:22" x14ac:dyDescent="0.25">
      <c r="C533" s="74" t="s">
        <v>21386</v>
      </c>
      <c r="D533" s="74" t="s">
        <v>148</v>
      </c>
      <c r="E533" s="74" t="s">
        <v>21338</v>
      </c>
      <c r="F533" s="74">
        <v>674396</v>
      </c>
      <c r="G533" s="74">
        <v>3</v>
      </c>
      <c r="H533" s="135">
        <v>42999.484050925923</v>
      </c>
      <c r="I533" s="74" t="s">
        <v>21398</v>
      </c>
      <c r="J533" s="74" t="s">
        <v>21366</v>
      </c>
      <c r="K533" s="74" t="s">
        <v>21381</v>
      </c>
      <c r="L533" s="74">
        <v>555660</v>
      </c>
      <c r="M533" s="74" t="s">
        <v>21368</v>
      </c>
      <c r="N533" s="74">
        <v>1</v>
      </c>
      <c r="O533" s="74" t="s">
        <v>21369</v>
      </c>
      <c r="P533" s="74" t="s">
        <v>21343</v>
      </c>
      <c r="Q533" s="74" t="s">
        <v>21488</v>
      </c>
      <c r="R533" s="74" t="s">
        <v>148</v>
      </c>
      <c r="S533" s="74" t="s">
        <v>21338</v>
      </c>
      <c r="T533" s="74" t="s">
        <v>21371</v>
      </c>
      <c r="U533" s="74">
        <v>0</v>
      </c>
      <c r="V533" s="74">
        <v>0</v>
      </c>
    </row>
    <row r="534" spans="3:22" x14ac:dyDescent="0.25">
      <c r="C534" s="74" t="s">
        <v>21386</v>
      </c>
      <c r="D534" s="74" t="s">
        <v>148</v>
      </c>
      <c r="E534" s="74" t="s">
        <v>21338</v>
      </c>
      <c r="F534" s="74">
        <v>674396</v>
      </c>
      <c r="G534" s="74">
        <v>3</v>
      </c>
      <c r="H534" s="135">
        <v>42999.48400462963</v>
      </c>
      <c r="I534" s="74" t="s">
        <v>21339</v>
      </c>
      <c r="J534" s="74" t="s">
        <v>21364</v>
      </c>
      <c r="K534" s="74" t="s">
        <v>21485</v>
      </c>
      <c r="L534" s="74">
        <v>909827</v>
      </c>
      <c r="M534" s="74" t="s">
        <v>21341</v>
      </c>
      <c r="N534" s="74">
        <v>1</v>
      </c>
      <c r="O534" s="74" t="s">
        <v>21342</v>
      </c>
      <c r="P534" s="74" t="s">
        <v>21343</v>
      </c>
      <c r="Q534" s="74">
        <v>0</v>
      </c>
      <c r="R534" s="74" t="s">
        <v>148</v>
      </c>
      <c r="S534" s="74" t="s">
        <v>21338</v>
      </c>
      <c r="T534" s="74" t="s">
        <v>402</v>
      </c>
      <c r="U534" s="74">
        <v>0</v>
      </c>
      <c r="V534" s="74">
        <v>0</v>
      </c>
    </row>
    <row r="535" spans="3:22" x14ac:dyDescent="0.25">
      <c r="C535" s="74" t="s">
        <v>21386</v>
      </c>
      <c r="D535" s="74" t="s">
        <v>148</v>
      </c>
      <c r="E535" s="74" t="s">
        <v>21338</v>
      </c>
      <c r="F535" s="74">
        <v>674396</v>
      </c>
      <c r="G535" s="74">
        <v>3</v>
      </c>
      <c r="H535" s="135">
        <v>42999.483865740738</v>
      </c>
      <c r="I535" s="74" t="s">
        <v>21339</v>
      </c>
      <c r="J535" s="74" t="s">
        <v>21364</v>
      </c>
      <c r="K535" s="74" t="s">
        <v>21485</v>
      </c>
      <c r="L535" s="74">
        <v>909827</v>
      </c>
      <c r="M535" s="74" t="s">
        <v>21341</v>
      </c>
      <c r="N535" s="74">
        <v>1</v>
      </c>
      <c r="O535" s="74" t="s">
        <v>21342</v>
      </c>
      <c r="P535" s="74" t="s">
        <v>21343</v>
      </c>
      <c r="Q535" s="74">
        <v>0</v>
      </c>
      <c r="R535" s="74" t="s">
        <v>148</v>
      </c>
      <c r="S535" s="74" t="s">
        <v>21338</v>
      </c>
      <c r="T535" s="74" t="s">
        <v>402</v>
      </c>
      <c r="U535" s="74">
        <v>0</v>
      </c>
      <c r="V535" s="74">
        <v>0</v>
      </c>
    </row>
    <row r="536" spans="3:22" x14ac:dyDescent="0.25">
      <c r="C536" s="74" t="s">
        <v>21386</v>
      </c>
      <c r="D536" s="74" t="s">
        <v>148</v>
      </c>
      <c r="E536" s="74" t="s">
        <v>21338</v>
      </c>
      <c r="F536" s="74">
        <v>674396</v>
      </c>
      <c r="G536" s="74">
        <v>3</v>
      </c>
      <c r="H536" s="135">
        <v>42999.483078703706</v>
      </c>
      <c r="I536" s="74" t="s">
        <v>21398</v>
      </c>
      <c r="J536" s="74" t="s">
        <v>21400</v>
      </c>
      <c r="K536" s="74" t="s">
        <v>21485</v>
      </c>
      <c r="L536" s="74">
        <v>909827</v>
      </c>
      <c r="M536" s="74" t="s">
        <v>21341</v>
      </c>
      <c r="N536" s="74">
        <v>1</v>
      </c>
      <c r="O536" s="74" t="s">
        <v>21342</v>
      </c>
      <c r="P536" s="74" t="s">
        <v>21343</v>
      </c>
      <c r="Q536" s="74" t="s">
        <v>21489</v>
      </c>
      <c r="R536" s="74" t="s">
        <v>148</v>
      </c>
      <c r="S536" s="74" t="s">
        <v>21338</v>
      </c>
      <c r="T536" s="74" t="s">
        <v>402</v>
      </c>
      <c r="U536" s="74">
        <v>0</v>
      </c>
      <c r="V536" s="74">
        <v>0</v>
      </c>
    </row>
    <row r="537" spans="3:22" x14ac:dyDescent="0.25">
      <c r="C537" s="74" t="s">
        <v>21386</v>
      </c>
      <c r="D537" s="74" t="s">
        <v>148</v>
      </c>
      <c r="E537" s="74" t="s">
        <v>21338</v>
      </c>
      <c r="F537" s="74">
        <v>674396</v>
      </c>
      <c r="G537" s="74">
        <v>3</v>
      </c>
      <c r="H537" s="135">
        <v>42999.478414351855</v>
      </c>
      <c r="I537" s="74" t="s">
        <v>21365</v>
      </c>
      <c r="J537" s="74" t="s">
        <v>21400</v>
      </c>
      <c r="K537" s="74" t="s">
        <v>21490</v>
      </c>
      <c r="L537" s="74">
        <v>909822</v>
      </c>
      <c r="M537" s="74" t="s">
        <v>21341</v>
      </c>
      <c r="N537" s="74">
        <v>1</v>
      </c>
      <c r="O537" s="74" t="s">
        <v>21369</v>
      </c>
      <c r="P537" s="74" t="s">
        <v>21343</v>
      </c>
      <c r="Q537" s="74" t="s">
        <v>21491</v>
      </c>
      <c r="R537" s="74" t="s">
        <v>148</v>
      </c>
      <c r="S537" s="74" t="s">
        <v>21338</v>
      </c>
      <c r="T537" s="74" t="s">
        <v>402</v>
      </c>
      <c r="U537" s="74">
        <v>0</v>
      </c>
      <c r="V537" s="74">
        <v>0</v>
      </c>
    </row>
    <row r="538" spans="3:22" x14ac:dyDescent="0.25">
      <c r="C538" s="74" t="s">
        <v>21386</v>
      </c>
      <c r="D538" s="74" t="s">
        <v>148</v>
      </c>
      <c r="E538" s="74" t="s">
        <v>21338</v>
      </c>
      <c r="F538" s="74">
        <v>674396</v>
      </c>
      <c r="G538" s="74">
        <v>3</v>
      </c>
      <c r="H538" s="135">
        <v>42999.476226851853</v>
      </c>
      <c r="I538" s="74" t="s">
        <v>21398</v>
      </c>
      <c r="J538" s="74" t="s">
        <v>21400</v>
      </c>
      <c r="K538" s="74" t="s">
        <v>21490</v>
      </c>
      <c r="L538" s="74">
        <v>909822</v>
      </c>
      <c r="M538" s="74" t="s">
        <v>21341</v>
      </c>
      <c r="N538" s="74">
        <v>1</v>
      </c>
      <c r="O538" s="74" t="s">
        <v>21342</v>
      </c>
      <c r="P538" s="74" t="s">
        <v>21343</v>
      </c>
      <c r="Q538" s="74" t="s">
        <v>21491</v>
      </c>
      <c r="R538" s="74" t="s">
        <v>148</v>
      </c>
      <c r="S538" s="74" t="s">
        <v>21338</v>
      </c>
      <c r="T538" s="74" t="s">
        <v>402</v>
      </c>
      <c r="U538" s="74">
        <v>0</v>
      </c>
      <c r="V538" s="74">
        <v>0</v>
      </c>
    </row>
    <row r="539" spans="3:22" x14ac:dyDescent="0.25">
      <c r="C539" s="74" t="s">
        <v>21409</v>
      </c>
      <c r="D539" s="74" t="s">
        <v>148</v>
      </c>
      <c r="E539" s="74" t="s">
        <v>21338</v>
      </c>
      <c r="F539" s="74">
        <v>560330</v>
      </c>
      <c r="G539" s="74">
        <v>3</v>
      </c>
      <c r="H539" s="135">
        <v>42999.473969907405</v>
      </c>
      <c r="I539" s="74" t="s">
        <v>21354</v>
      </c>
      <c r="J539" s="74" t="s">
        <v>21355</v>
      </c>
      <c r="K539" s="74" t="s">
        <v>14416</v>
      </c>
      <c r="L539" s="74">
        <v>553498</v>
      </c>
      <c r="M539" s="74" t="s">
        <v>21341</v>
      </c>
      <c r="N539" s="74">
        <v>1</v>
      </c>
      <c r="O539" s="74" t="s">
        <v>21342</v>
      </c>
      <c r="P539" s="74" t="s">
        <v>21345</v>
      </c>
      <c r="R539" s="74" t="s">
        <v>148</v>
      </c>
      <c r="S539" s="74" t="s">
        <v>21338</v>
      </c>
      <c r="T539" s="74" t="s">
        <v>402</v>
      </c>
      <c r="U539" s="74">
        <v>0</v>
      </c>
      <c r="V539" s="74">
        <v>0</v>
      </c>
    </row>
    <row r="540" spans="3:22" x14ac:dyDescent="0.25">
      <c r="C540" s="74" t="s">
        <v>18795</v>
      </c>
      <c r="D540" s="74" t="s">
        <v>148</v>
      </c>
      <c r="E540" s="74" t="s">
        <v>21338</v>
      </c>
      <c r="F540" s="74">
        <v>551367</v>
      </c>
      <c r="G540" s="74">
        <v>1000</v>
      </c>
      <c r="H540" s="135">
        <v>42999.473391203705</v>
      </c>
      <c r="I540" s="74" t="s">
        <v>21339</v>
      </c>
      <c r="J540" s="74" t="s">
        <v>21340</v>
      </c>
      <c r="K540" s="74" t="s">
        <v>14416</v>
      </c>
      <c r="L540" s="74">
        <v>553498</v>
      </c>
      <c r="M540" s="74" t="s">
        <v>21341</v>
      </c>
      <c r="N540" s="74">
        <v>1</v>
      </c>
      <c r="O540" s="74" t="s">
        <v>21342</v>
      </c>
      <c r="P540" s="74" t="s">
        <v>21343</v>
      </c>
      <c r="Q540" s="74">
        <v>0</v>
      </c>
      <c r="R540" s="74" t="s">
        <v>148</v>
      </c>
      <c r="S540" s="74" t="s">
        <v>21338</v>
      </c>
      <c r="T540" s="74" t="s">
        <v>402</v>
      </c>
      <c r="U540" s="74">
        <v>0</v>
      </c>
      <c r="V540" s="74">
        <v>0</v>
      </c>
    </row>
    <row r="541" spans="3:22" x14ac:dyDescent="0.25">
      <c r="C541" s="74" t="s">
        <v>18795</v>
      </c>
      <c r="D541" s="74" t="s">
        <v>148</v>
      </c>
      <c r="E541" s="74" t="s">
        <v>21338</v>
      </c>
      <c r="F541" s="74">
        <v>551367</v>
      </c>
      <c r="G541" s="74">
        <v>1000</v>
      </c>
      <c r="H541" s="135">
        <v>42999.443344907406</v>
      </c>
      <c r="I541" s="74" t="s">
        <v>21339</v>
      </c>
      <c r="J541" s="74" t="s">
        <v>21340</v>
      </c>
      <c r="K541" s="74" t="s">
        <v>13975</v>
      </c>
      <c r="L541" s="74">
        <v>553437</v>
      </c>
      <c r="M541" s="74" t="s">
        <v>21341</v>
      </c>
      <c r="N541" s="74">
        <v>1</v>
      </c>
      <c r="O541" s="74" t="s">
        <v>21342</v>
      </c>
      <c r="P541" s="74" t="s">
        <v>21343</v>
      </c>
      <c r="Q541" s="74">
        <v>0</v>
      </c>
      <c r="R541" s="74" t="s">
        <v>148</v>
      </c>
      <c r="S541" s="74" t="s">
        <v>21338</v>
      </c>
      <c r="T541" s="74" t="s">
        <v>393</v>
      </c>
      <c r="U541" s="74">
        <v>0</v>
      </c>
      <c r="V541" s="74">
        <v>0</v>
      </c>
    </row>
    <row r="542" spans="3:22" x14ac:dyDescent="0.25">
      <c r="C542" s="74" t="s">
        <v>18795</v>
      </c>
      <c r="D542" s="74" t="s">
        <v>148</v>
      </c>
      <c r="E542" s="74" t="s">
        <v>21338</v>
      </c>
      <c r="F542" s="74">
        <v>551367</v>
      </c>
      <c r="G542" s="74">
        <v>1000</v>
      </c>
      <c r="H542" s="135">
        <v>42999.4215625</v>
      </c>
      <c r="I542" s="74" t="s">
        <v>21339</v>
      </c>
      <c r="J542" s="74" t="s">
        <v>21340</v>
      </c>
      <c r="K542" s="74" t="s">
        <v>14112</v>
      </c>
      <c r="L542" s="74">
        <v>553457</v>
      </c>
      <c r="M542" s="74" t="s">
        <v>21341</v>
      </c>
      <c r="N542" s="74">
        <v>1</v>
      </c>
      <c r="O542" s="74" t="s">
        <v>21342</v>
      </c>
      <c r="P542" s="74" t="s">
        <v>21343</v>
      </c>
      <c r="Q542" s="74">
        <v>0</v>
      </c>
      <c r="R542" s="74" t="s">
        <v>148</v>
      </c>
      <c r="S542" s="74" t="s">
        <v>21338</v>
      </c>
      <c r="T542" s="74" t="s">
        <v>402</v>
      </c>
      <c r="U542" s="74">
        <v>0</v>
      </c>
      <c r="V542" s="74">
        <v>0</v>
      </c>
    </row>
    <row r="543" spans="3:22" x14ac:dyDescent="0.25">
      <c r="C543" s="74" t="s">
        <v>18795</v>
      </c>
      <c r="D543" s="74" t="s">
        <v>148</v>
      </c>
      <c r="E543" s="74" t="s">
        <v>21338</v>
      </c>
      <c r="F543" s="74">
        <v>551367</v>
      </c>
      <c r="G543" s="74">
        <v>1000</v>
      </c>
      <c r="H543" s="135">
        <v>42999.412673611114</v>
      </c>
      <c r="I543" s="74" t="s">
        <v>21339</v>
      </c>
      <c r="J543" s="74" t="s">
        <v>21340</v>
      </c>
      <c r="K543" s="74" t="s">
        <v>21492</v>
      </c>
      <c r="L543" s="74">
        <v>826678</v>
      </c>
      <c r="M543" s="74" t="s">
        <v>21341</v>
      </c>
      <c r="N543" s="74">
        <v>1</v>
      </c>
      <c r="O543" s="74" t="s">
        <v>21342</v>
      </c>
      <c r="P543" s="74" t="s">
        <v>21343</v>
      </c>
      <c r="Q543" s="74">
        <v>0</v>
      </c>
      <c r="R543" s="74" t="s">
        <v>148</v>
      </c>
      <c r="S543" s="74" t="s">
        <v>21338</v>
      </c>
      <c r="T543" s="74" t="s">
        <v>402</v>
      </c>
      <c r="U543" s="74">
        <v>0</v>
      </c>
      <c r="V543" s="74">
        <v>0</v>
      </c>
    </row>
    <row r="544" spans="3:22" x14ac:dyDescent="0.25">
      <c r="C544" s="74" t="s">
        <v>18795</v>
      </c>
      <c r="D544" s="74" t="s">
        <v>148</v>
      </c>
      <c r="E544" s="74" t="s">
        <v>21338</v>
      </c>
      <c r="F544" s="74">
        <v>551367</v>
      </c>
      <c r="G544" s="74">
        <v>1000</v>
      </c>
      <c r="H544" s="135">
        <v>42999.410405092596</v>
      </c>
      <c r="I544" s="74" t="s">
        <v>21339</v>
      </c>
      <c r="J544" s="74" t="s">
        <v>21340</v>
      </c>
      <c r="K544" s="74" t="s">
        <v>6993</v>
      </c>
      <c r="L544" s="74">
        <v>552535</v>
      </c>
      <c r="M544" s="74" t="s">
        <v>21341</v>
      </c>
      <c r="N544" s="74">
        <v>1</v>
      </c>
      <c r="O544" s="74" t="s">
        <v>21342</v>
      </c>
      <c r="P544" s="74" t="s">
        <v>21343</v>
      </c>
      <c r="Q544" s="74">
        <v>0</v>
      </c>
      <c r="R544" s="74" t="s">
        <v>148</v>
      </c>
      <c r="S544" s="74" t="s">
        <v>21338</v>
      </c>
      <c r="T544" s="74" t="s">
        <v>402</v>
      </c>
      <c r="U544" s="74">
        <v>0</v>
      </c>
      <c r="V544" s="74">
        <v>0</v>
      </c>
    </row>
    <row r="545" spans="3:22" x14ac:dyDescent="0.25">
      <c r="C545" s="74" t="s">
        <v>18795</v>
      </c>
      <c r="D545" s="74" t="s">
        <v>148</v>
      </c>
      <c r="E545" s="74" t="s">
        <v>21338</v>
      </c>
      <c r="F545" s="74">
        <v>551367</v>
      </c>
      <c r="G545" s="74">
        <v>1000</v>
      </c>
      <c r="H545" s="135">
        <v>42999.407222222224</v>
      </c>
      <c r="I545" s="74" t="s">
        <v>21339</v>
      </c>
      <c r="J545" s="74" t="s">
        <v>21340</v>
      </c>
      <c r="K545" s="74" t="s">
        <v>21493</v>
      </c>
      <c r="L545" s="74">
        <v>561043</v>
      </c>
      <c r="M545" s="74" t="s">
        <v>21341</v>
      </c>
      <c r="N545" s="74">
        <v>1</v>
      </c>
      <c r="O545" s="74" t="s">
        <v>21342</v>
      </c>
      <c r="P545" s="74" t="s">
        <v>21343</v>
      </c>
      <c r="Q545" s="74">
        <v>0</v>
      </c>
      <c r="R545" s="74" t="s">
        <v>148</v>
      </c>
      <c r="S545" s="74" t="s">
        <v>21338</v>
      </c>
      <c r="T545" s="74" t="s">
        <v>393</v>
      </c>
      <c r="U545" s="74">
        <v>0</v>
      </c>
      <c r="V545" s="74">
        <v>0</v>
      </c>
    </row>
    <row r="546" spans="3:22" x14ac:dyDescent="0.25">
      <c r="C546" s="74" t="s">
        <v>21409</v>
      </c>
      <c r="D546" s="74" t="s">
        <v>148</v>
      </c>
      <c r="E546" s="74" t="s">
        <v>21338</v>
      </c>
      <c r="F546" s="74">
        <v>560330</v>
      </c>
      <c r="G546" s="74">
        <v>3</v>
      </c>
      <c r="H546" s="135">
        <v>42999.36996527778</v>
      </c>
      <c r="I546" s="74" t="s">
        <v>21354</v>
      </c>
      <c r="J546" s="74" t="s">
        <v>21355</v>
      </c>
      <c r="K546" s="74" t="s">
        <v>16042</v>
      </c>
      <c r="L546" s="74">
        <v>553688</v>
      </c>
      <c r="M546" s="74" t="s">
        <v>21341</v>
      </c>
      <c r="N546" s="74">
        <v>1</v>
      </c>
      <c r="O546" s="74" t="s">
        <v>21342</v>
      </c>
      <c r="P546" s="74" t="s">
        <v>21345</v>
      </c>
      <c r="R546" s="74" t="s">
        <v>148</v>
      </c>
      <c r="S546" s="74" t="s">
        <v>21338</v>
      </c>
      <c r="T546" s="74" t="s">
        <v>402</v>
      </c>
      <c r="U546" s="74">
        <v>0</v>
      </c>
      <c r="V546" s="74">
        <v>0</v>
      </c>
    </row>
    <row r="547" spans="3:22" x14ac:dyDescent="0.25">
      <c r="C547" s="74" t="s">
        <v>18795</v>
      </c>
      <c r="D547" s="74" t="s">
        <v>148</v>
      </c>
      <c r="E547" s="74" t="s">
        <v>21338</v>
      </c>
      <c r="F547" s="74">
        <v>551367</v>
      </c>
      <c r="G547" s="74">
        <v>1000</v>
      </c>
      <c r="H547" s="135">
        <v>42999.36822916667</v>
      </c>
      <c r="I547" s="74" t="s">
        <v>21339</v>
      </c>
      <c r="J547" s="74" t="s">
        <v>21340</v>
      </c>
      <c r="K547" s="74" t="s">
        <v>18353</v>
      </c>
      <c r="L547" s="74">
        <v>553986</v>
      </c>
      <c r="M547" s="74" t="s">
        <v>21341</v>
      </c>
      <c r="N547" s="74">
        <v>1</v>
      </c>
      <c r="O547" s="74" t="s">
        <v>21342</v>
      </c>
      <c r="P547" s="74" t="s">
        <v>21343</v>
      </c>
      <c r="Q547" s="74">
        <v>0</v>
      </c>
      <c r="R547" s="74" t="s">
        <v>148</v>
      </c>
      <c r="S547" s="74" t="s">
        <v>21338</v>
      </c>
      <c r="T547" s="74" t="s">
        <v>402</v>
      </c>
      <c r="U547" s="74">
        <v>0</v>
      </c>
      <c r="V547" s="74">
        <v>0</v>
      </c>
    </row>
    <row r="548" spans="3:22" x14ac:dyDescent="0.25">
      <c r="C548" s="74" t="s">
        <v>18795</v>
      </c>
      <c r="D548" s="74" t="s">
        <v>148</v>
      </c>
      <c r="E548" s="74" t="s">
        <v>21338</v>
      </c>
      <c r="F548" s="74">
        <v>551367</v>
      </c>
      <c r="G548" s="74">
        <v>1000</v>
      </c>
      <c r="H548" s="135">
        <v>42999.345995370371</v>
      </c>
      <c r="I548" s="74" t="s">
        <v>21339</v>
      </c>
      <c r="J548" s="74" t="s">
        <v>21340</v>
      </c>
      <c r="K548" s="74" t="s">
        <v>21494</v>
      </c>
      <c r="L548" s="74">
        <v>560609</v>
      </c>
      <c r="M548" s="74" t="s">
        <v>21341</v>
      </c>
      <c r="N548" s="74">
        <v>1</v>
      </c>
      <c r="O548" s="74" t="s">
        <v>21342</v>
      </c>
      <c r="P548" s="74" t="s">
        <v>21343</v>
      </c>
      <c r="Q548" s="74">
        <v>0</v>
      </c>
      <c r="R548" s="74" t="s">
        <v>148</v>
      </c>
      <c r="S548" s="74" t="s">
        <v>21338</v>
      </c>
      <c r="T548" s="74" t="s">
        <v>393</v>
      </c>
      <c r="U548" s="74">
        <v>0</v>
      </c>
      <c r="V548" s="74">
        <v>0</v>
      </c>
    </row>
    <row r="549" spans="3:22" x14ac:dyDescent="0.25">
      <c r="C549" s="74" t="s">
        <v>18795</v>
      </c>
      <c r="D549" s="74" t="s">
        <v>148</v>
      </c>
      <c r="E549" s="74" t="s">
        <v>21338</v>
      </c>
      <c r="F549" s="74">
        <v>551367</v>
      </c>
      <c r="G549" s="74">
        <v>1000</v>
      </c>
      <c r="H549" s="135">
        <v>42999.342650462961</v>
      </c>
      <c r="I549" s="74" t="s">
        <v>21339</v>
      </c>
      <c r="J549" s="74" t="s">
        <v>21340</v>
      </c>
      <c r="K549" s="74" t="s">
        <v>21492</v>
      </c>
      <c r="L549" s="74">
        <v>826678</v>
      </c>
      <c r="M549" s="74" t="s">
        <v>21341</v>
      </c>
      <c r="N549" s="74">
        <v>1</v>
      </c>
      <c r="O549" s="74" t="s">
        <v>21342</v>
      </c>
      <c r="P549" s="74" t="s">
        <v>21343</v>
      </c>
      <c r="Q549" s="74">
        <v>0</v>
      </c>
      <c r="R549" s="74" t="s">
        <v>148</v>
      </c>
      <c r="S549" s="74" t="s">
        <v>21338</v>
      </c>
      <c r="T549" s="74" t="s">
        <v>402</v>
      </c>
      <c r="U549" s="74">
        <v>0</v>
      </c>
      <c r="V549" s="74">
        <v>0</v>
      </c>
    </row>
    <row r="550" spans="3:22" x14ac:dyDescent="0.25">
      <c r="C550" s="74" t="s">
        <v>735</v>
      </c>
      <c r="D550" s="74" t="s">
        <v>148</v>
      </c>
      <c r="E550" s="74" t="s">
        <v>21338</v>
      </c>
      <c r="F550" s="74">
        <v>570025</v>
      </c>
      <c r="G550" s="74">
        <v>3</v>
      </c>
      <c r="H550" s="135">
        <v>42998.984224537038</v>
      </c>
      <c r="I550" s="74" t="s">
        <v>21339</v>
      </c>
      <c r="J550" s="74" t="s">
        <v>21360</v>
      </c>
      <c r="K550" s="74" t="s">
        <v>21358</v>
      </c>
      <c r="L550" s="74">
        <v>658878</v>
      </c>
      <c r="M550" s="74" t="s">
        <v>21341</v>
      </c>
      <c r="N550" s="74">
        <v>1</v>
      </c>
      <c r="O550" s="74" t="s">
        <v>21342</v>
      </c>
      <c r="P550" s="74" t="s">
        <v>21343</v>
      </c>
      <c r="Q550" s="74" t="s">
        <v>21361</v>
      </c>
      <c r="R550" s="74" t="s">
        <v>148</v>
      </c>
      <c r="S550" s="74" t="s">
        <v>21338</v>
      </c>
      <c r="T550" s="74" t="s">
        <v>393</v>
      </c>
      <c r="U550" s="74">
        <v>0</v>
      </c>
      <c r="V550" s="74">
        <v>0</v>
      </c>
    </row>
    <row r="551" spans="3:22" x14ac:dyDescent="0.25">
      <c r="C551" s="74" t="s">
        <v>735</v>
      </c>
      <c r="D551" s="74" t="s">
        <v>148</v>
      </c>
      <c r="E551" s="74" t="s">
        <v>21338</v>
      </c>
      <c r="F551" s="74">
        <v>570025</v>
      </c>
      <c r="G551" s="74">
        <v>3</v>
      </c>
      <c r="H551" s="135">
        <v>42998.980624999997</v>
      </c>
      <c r="I551" s="74" t="s">
        <v>21339</v>
      </c>
      <c r="J551" s="74" t="s">
        <v>21364</v>
      </c>
      <c r="K551" s="74" t="s">
        <v>21358</v>
      </c>
      <c r="L551" s="74">
        <v>658878</v>
      </c>
      <c r="M551" s="74" t="s">
        <v>21341</v>
      </c>
      <c r="N551" s="74">
        <v>1</v>
      </c>
      <c r="O551" s="74" t="s">
        <v>21342</v>
      </c>
      <c r="P551" s="74" t="s">
        <v>21343</v>
      </c>
      <c r="Q551" s="74">
        <v>0</v>
      </c>
      <c r="R551" s="74" t="s">
        <v>148</v>
      </c>
      <c r="S551" s="74" t="s">
        <v>21338</v>
      </c>
      <c r="T551" s="74" t="s">
        <v>393</v>
      </c>
      <c r="U551" s="74">
        <v>0</v>
      </c>
      <c r="V551" s="74">
        <v>0</v>
      </c>
    </row>
    <row r="552" spans="3:22" x14ac:dyDescent="0.25">
      <c r="C552" s="74" t="s">
        <v>735</v>
      </c>
      <c r="D552" s="74" t="s">
        <v>148</v>
      </c>
      <c r="E552" s="74" t="s">
        <v>21338</v>
      </c>
      <c r="F552" s="74">
        <v>570025</v>
      </c>
      <c r="G552" s="74">
        <v>3</v>
      </c>
      <c r="H552" s="135">
        <v>42998.980613425927</v>
      </c>
      <c r="I552" s="74" t="s">
        <v>21365</v>
      </c>
      <c r="J552" s="74" t="s">
        <v>21366</v>
      </c>
      <c r="K552" s="74" t="s">
        <v>21367</v>
      </c>
      <c r="L552" s="74">
        <v>561482</v>
      </c>
      <c r="M552" s="74" t="s">
        <v>21368</v>
      </c>
      <c r="N552" s="74">
        <v>1</v>
      </c>
      <c r="O552" s="74" t="s">
        <v>21369</v>
      </c>
      <c r="P552" s="74" t="s">
        <v>21343</v>
      </c>
      <c r="Q552" s="74" t="s">
        <v>21495</v>
      </c>
      <c r="R552" s="74" t="s">
        <v>148</v>
      </c>
      <c r="S552" s="74" t="s">
        <v>21338</v>
      </c>
      <c r="T552" s="74" t="s">
        <v>21371</v>
      </c>
      <c r="U552" s="74">
        <v>0</v>
      </c>
      <c r="V552" s="74">
        <v>0</v>
      </c>
    </row>
    <row r="553" spans="3:22" x14ac:dyDescent="0.25">
      <c r="C553" s="74" t="s">
        <v>735</v>
      </c>
      <c r="D553" s="74" t="s">
        <v>148</v>
      </c>
      <c r="E553" s="74" t="s">
        <v>21338</v>
      </c>
      <c r="F553" s="74">
        <v>570025</v>
      </c>
      <c r="G553" s="74">
        <v>3</v>
      </c>
      <c r="H553" s="135">
        <v>42998.98060185185</v>
      </c>
      <c r="I553" s="74" t="s">
        <v>21365</v>
      </c>
      <c r="J553" s="74" t="s">
        <v>21366</v>
      </c>
      <c r="K553" s="74" t="s">
        <v>21381</v>
      </c>
      <c r="L553" s="74">
        <v>555660</v>
      </c>
      <c r="M553" s="74" t="s">
        <v>21368</v>
      </c>
      <c r="N553" s="74">
        <v>1</v>
      </c>
      <c r="O553" s="74" t="s">
        <v>21369</v>
      </c>
      <c r="P553" s="74" t="s">
        <v>21343</v>
      </c>
      <c r="Q553" s="74" t="s">
        <v>21495</v>
      </c>
      <c r="R553" s="74" t="s">
        <v>148</v>
      </c>
      <c r="S553" s="74" t="s">
        <v>21338</v>
      </c>
      <c r="T553" s="74" t="s">
        <v>21371</v>
      </c>
      <c r="U553" s="74">
        <v>0</v>
      </c>
      <c r="V553" s="74">
        <v>0</v>
      </c>
    </row>
    <row r="554" spans="3:22" x14ac:dyDescent="0.25">
      <c r="C554" s="74" t="s">
        <v>735</v>
      </c>
      <c r="D554" s="74" t="s">
        <v>148</v>
      </c>
      <c r="E554" s="74" t="s">
        <v>21338</v>
      </c>
      <c r="F554" s="74">
        <v>570025</v>
      </c>
      <c r="G554" s="74">
        <v>3</v>
      </c>
      <c r="H554" s="135">
        <v>42998.980567129627</v>
      </c>
      <c r="I554" s="74" t="s">
        <v>21339</v>
      </c>
      <c r="J554" s="74" t="s">
        <v>21364</v>
      </c>
      <c r="K554" s="74" t="s">
        <v>21358</v>
      </c>
      <c r="L554" s="74">
        <v>658878</v>
      </c>
      <c r="M554" s="74" t="s">
        <v>21341</v>
      </c>
      <c r="N554" s="74">
        <v>1</v>
      </c>
      <c r="O554" s="74" t="s">
        <v>21342</v>
      </c>
      <c r="P554" s="74" t="s">
        <v>21343</v>
      </c>
      <c r="Q554" s="74">
        <v>0</v>
      </c>
      <c r="R554" s="74" t="s">
        <v>148</v>
      </c>
      <c r="S554" s="74" t="s">
        <v>21338</v>
      </c>
      <c r="T554" s="74" t="s">
        <v>393</v>
      </c>
      <c r="U554" s="74">
        <v>0</v>
      </c>
      <c r="V554" s="74">
        <v>0</v>
      </c>
    </row>
    <row r="555" spans="3:22" x14ac:dyDescent="0.25">
      <c r="C555" s="74" t="s">
        <v>735</v>
      </c>
      <c r="D555" s="74" t="s">
        <v>148</v>
      </c>
      <c r="E555" s="74" t="s">
        <v>21338</v>
      </c>
      <c r="F555" s="74">
        <v>570025</v>
      </c>
      <c r="G555" s="74">
        <v>3</v>
      </c>
      <c r="H555" s="135">
        <v>42998.980509259258</v>
      </c>
      <c r="I555" s="74" t="s">
        <v>21339</v>
      </c>
      <c r="J555" s="74" t="s">
        <v>21364</v>
      </c>
      <c r="K555" s="74" t="s">
        <v>21358</v>
      </c>
      <c r="L555" s="74">
        <v>658878</v>
      </c>
      <c r="M555" s="74" t="s">
        <v>21341</v>
      </c>
      <c r="N555" s="74">
        <v>1</v>
      </c>
      <c r="O555" s="74" t="s">
        <v>21342</v>
      </c>
      <c r="P555" s="74" t="s">
        <v>21343</v>
      </c>
      <c r="Q555" s="74">
        <v>0</v>
      </c>
      <c r="R555" s="74" t="s">
        <v>148</v>
      </c>
      <c r="S555" s="74" t="s">
        <v>21338</v>
      </c>
      <c r="T555" s="74" t="s">
        <v>393</v>
      </c>
      <c r="U555" s="74">
        <v>0</v>
      </c>
      <c r="V555" s="74">
        <v>0</v>
      </c>
    </row>
    <row r="556" spans="3:22" x14ac:dyDescent="0.25">
      <c r="C556" s="74" t="s">
        <v>735</v>
      </c>
      <c r="D556" s="74" t="s">
        <v>148</v>
      </c>
      <c r="E556" s="74" t="s">
        <v>21338</v>
      </c>
      <c r="F556" s="74">
        <v>570025</v>
      </c>
      <c r="G556" s="74">
        <v>3</v>
      </c>
      <c r="H556" s="135">
        <v>42998.979872685188</v>
      </c>
      <c r="I556" s="74" t="s">
        <v>21339</v>
      </c>
      <c r="J556" s="74" t="s">
        <v>21362</v>
      </c>
      <c r="K556" s="74" t="s">
        <v>21358</v>
      </c>
      <c r="L556" s="74">
        <v>658878</v>
      </c>
      <c r="M556" s="74" t="s">
        <v>21341</v>
      </c>
      <c r="N556" s="74">
        <v>1</v>
      </c>
      <c r="O556" s="74" t="s">
        <v>21342</v>
      </c>
      <c r="P556" s="74" t="s">
        <v>21343</v>
      </c>
      <c r="Q556" s="74" t="s">
        <v>21363</v>
      </c>
      <c r="R556" s="74" t="s">
        <v>148</v>
      </c>
      <c r="S556" s="74" t="s">
        <v>21338</v>
      </c>
      <c r="T556" s="74" t="s">
        <v>393</v>
      </c>
      <c r="U556" s="74">
        <v>0</v>
      </c>
      <c r="V556" s="74">
        <v>0</v>
      </c>
    </row>
    <row r="557" spans="3:22" x14ac:dyDescent="0.25">
      <c r="C557" s="74" t="s">
        <v>533</v>
      </c>
      <c r="D557" s="74" t="s">
        <v>148</v>
      </c>
      <c r="E557" s="74" t="s">
        <v>21338</v>
      </c>
      <c r="F557" s="74">
        <v>627566</v>
      </c>
      <c r="G557" s="74">
        <v>3</v>
      </c>
      <c r="H557" s="135">
        <v>42998.755798611113</v>
      </c>
      <c r="I557" s="74" t="s">
        <v>21354</v>
      </c>
      <c r="J557" s="74" t="s">
        <v>21355</v>
      </c>
      <c r="K557" s="74" t="s">
        <v>12610</v>
      </c>
      <c r="L557" s="74">
        <v>553252</v>
      </c>
      <c r="M557" s="74" t="s">
        <v>21341</v>
      </c>
      <c r="N557" s="74">
        <v>1</v>
      </c>
      <c r="O557" s="74" t="s">
        <v>21342</v>
      </c>
      <c r="P557" s="74" t="s">
        <v>21345</v>
      </c>
      <c r="R557" s="74" t="s">
        <v>148</v>
      </c>
      <c r="S557" s="74" t="s">
        <v>21338</v>
      </c>
      <c r="T557" s="74" t="s">
        <v>402</v>
      </c>
      <c r="U557" s="74">
        <v>0</v>
      </c>
      <c r="V557" s="74">
        <v>0</v>
      </c>
    </row>
    <row r="558" spans="3:22" x14ac:dyDescent="0.25">
      <c r="C558" s="74" t="s">
        <v>533</v>
      </c>
      <c r="D558" s="74" t="s">
        <v>148</v>
      </c>
      <c r="E558" s="74" t="s">
        <v>21338</v>
      </c>
      <c r="F558" s="74">
        <v>627566</v>
      </c>
      <c r="G558" s="74">
        <v>3</v>
      </c>
      <c r="H558" s="135">
        <v>42998.755474537036</v>
      </c>
      <c r="I558" s="74" t="s">
        <v>21339</v>
      </c>
      <c r="J558" s="74" t="s">
        <v>21360</v>
      </c>
      <c r="K558" s="74" t="s">
        <v>12610</v>
      </c>
      <c r="L558" s="74">
        <v>553252</v>
      </c>
      <c r="M558" s="74" t="s">
        <v>21341</v>
      </c>
      <c r="N558" s="74">
        <v>1</v>
      </c>
      <c r="O558" s="74" t="s">
        <v>21359</v>
      </c>
      <c r="P558" s="74" t="s">
        <v>21343</v>
      </c>
      <c r="Q558" s="74" t="s">
        <v>21395</v>
      </c>
      <c r="R558" s="74" t="s">
        <v>148</v>
      </c>
      <c r="S558" s="74" t="s">
        <v>21338</v>
      </c>
      <c r="T558" s="74" t="s">
        <v>402</v>
      </c>
      <c r="U558" s="74">
        <v>0</v>
      </c>
      <c r="V558" s="74">
        <v>0</v>
      </c>
    </row>
    <row r="559" spans="3:22" x14ac:dyDescent="0.25">
      <c r="C559" s="74" t="s">
        <v>18795</v>
      </c>
      <c r="D559" s="74" t="s">
        <v>148</v>
      </c>
      <c r="E559" s="74" t="s">
        <v>21338</v>
      </c>
      <c r="F559" s="74">
        <v>551367</v>
      </c>
      <c r="G559" s="74">
        <v>1000</v>
      </c>
      <c r="H559" s="135">
        <v>42998.755393518521</v>
      </c>
      <c r="I559" s="74" t="s">
        <v>21339</v>
      </c>
      <c r="J559" s="74" t="s">
        <v>21340</v>
      </c>
      <c r="K559" s="74" t="s">
        <v>12610</v>
      </c>
      <c r="L559" s="74">
        <v>553252</v>
      </c>
      <c r="M559" s="74" t="s">
        <v>21341</v>
      </c>
      <c r="N559" s="74">
        <v>1</v>
      </c>
      <c r="O559" s="74" t="s">
        <v>21342</v>
      </c>
      <c r="P559" s="74" t="s">
        <v>21343</v>
      </c>
      <c r="Q559" s="74">
        <v>0</v>
      </c>
      <c r="R559" s="74" t="s">
        <v>148</v>
      </c>
      <c r="S559" s="74" t="s">
        <v>21338</v>
      </c>
      <c r="T559" s="74" t="s">
        <v>402</v>
      </c>
      <c r="U559" s="74">
        <v>0</v>
      </c>
      <c r="V559" s="74">
        <v>0</v>
      </c>
    </row>
    <row r="560" spans="3:22" x14ac:dyDescent="0.25">
      <c r="C560" s="74" t="s">
        <v>533</v>
      </c>
      <c r="D560" s="74" t="s">
        <v>148</v>
      </c>
      <c r="E560" s="74" t="s">
        <v>21338</v>
      </c>
      <c r="F560" s="74">
        <v>627566</v>
      </c>
      <c r="G560" s="74">
        <v>3</v>
      </c>
      <c r="H560" s="135">
        <v>42998.752870370372</v>
      </c>
      <c r="I560" s="74" t="s">
        <v>21354</v>
      </c>
      <c r="J560" s="74" t="s">
        <v>21355</v>
      </c>
      <c r="K560" s="74" t="s">
        <v>12610</v>
      </c>
      <c r="L560" s="74">
        <v>553252</v>
      </c>
      <c r="M560" s="74" t="s">
        <v>21341</v>
      </c>
      <c r="N560" s="74">
        <v>1</v>
      </c>
      <c r="O560" s="74" t="s">
        <v>21342</v>
      </c>
      <c r="P560" s="74" t="s">
        <v>21345</v>
      </c>
      <c r="R560" s="74" t="s">
        <v>148</v>
      </c>
      <c r="S560" s="74" t="s">
        <v>21338</v>
      </c>
      <c r="T560" s="74" t="s">
        <v>402</v>
      </c>
      <c r="U560" s="74">
        <v>0</v>
      </c>
      <c r="V560" s="74">
        <v>0</v>
      </c>
    </row>
    <row r="561" spans="3:22" x14ac:dyDescent="0.25">
      <c r="C561" s="74" t="s">
        <v>533</v>
      </c>
      <c r="D561" s="74" t="s">
        <v>148</v>
      </c>
      <c r="E561" s="74" t="s">
        <v>21338</v>
      </c>
      <c r="F561" s="74">
        <v>627566</v>
      </c>
      <c r="G561" s="74">
        <v>3</v>
      </c>
      <c r="H561" s="135">
        <v>42998.752685185187</v>
      </c>
      <c r="I561" s="74" t="s">
        <v>21339</v>
      </c>
      <c r="J561" s="74" t="s">
        <v>21360</v>
      </c>
      <c r="K561" s="74" t="s">
        <v>12610</v>
      </c>
      <c r="L561" s="74">
        <v>553252</v>
      </c>
      <c r="M561" s="74" t="s">
        <v>21341</v>
      </c>
      <c r="N561" s="74">
        <v>1</v>
      </c>
      <c r="O561" s="74" t="s">
        <v>21359</v>
      </c>
      <c r="P561" s="74" t="s">
        <v>21343</v>
      </c>
      <c r="Q561" s="74" t="s">
        <v>21395</v>
      </c>
      <c r="R561" s="74" t="s">
        <v>148</v>
      </c>
      <c r="S561" s="74" t="s">
        <v>21338</v>
      </c>
      <c r="T561" s="74" t="s">
        <v>402</v>
      </c>
      <c r="U561" s="74">
        <v>0</v>
      </c>
      <c r="V561" s="74">
        <v>0</v>
      </c>
    </row>
    <row r="562" spans="3:22" x14ac:dyDescent="0.25">
      <c r="C562" s="74" t="s">
        <v>533</v>
      </c>
      <c r="D562" s="74" t="s">
        <v>148</v>
      </c>
      <c r="E562" s="74" t="s">
        <v>21338</v>
      </c>
      <c r="F562" s="74">
        <v>627566</v>
      </c>
      <c r="G562" s="74">
        <v>3</v>
      </c>
      <c r="H562" s="135">
        <v>42998.752685185187</v>
      </c>
      <c r="I562" s="74" t="s">
        <v>21339</v>
      </c>
      <c r="J562" s="74" t="s">
        <v>21360</v>
      </c>
      <c r="K562" s="74" t="s">
        <v>12610</v>
      </c>
      <c r="L562" s="74">
        <v>553252</v>
      </c>
      <c r="M562" s="74" t="s">
        <v>21341</v>
      </c>
      <c r="N562" s="74">
        <v>1</v>
      </c>
      <c r="O562" s="74" t="s">
        <v>21359</v>
      </c>
      <c r="P562" s="74" t="s">
        <v>21343</v>
      </c>
      <c r="Q562" s="74" t="s">
        <v>21395</v>
      </c>
      <c r="R562" s="74" t="s">
        <v>148</v>
      </c>
      <c r="S562" s="74" t="s">
        <v>21338</v>
      </c>
      <c r="T562" s="74" t="s">
        <v>402</v>
      </c>
      <c r="U562" s="74">
        <v>0</v>
      </c>
      <c r="V562" s="74">
        <v>0</v>
      </c>
    </row>
    <row r="563" spans="3:22" x14ac:dyDescent="0.25">
      <c r="C563" s="74" t="s">
        <v>21347</v>
      </c>
      <c r="D563" s="74" t="s">
        <v>148</v>
      </c>
      <c r="E563" s="74" t="s">
        <v>21338</v>
      </c>
      <c r="F563" s="74">
        <v>637976</v>
      </c>
      <c r="G563" s="74">
        <v>1</v>
      </c>
      <c r="H563" s="135">
        <v>42998.736030092594</v>
      </c>
      <c r="I563" s="74" t="s">
        <v>244</v>
      </c>
      <c r="J563" s="74" t="s">
        <v>21349</v>
      </c>
      <c r="K563" s="74" t="s">
        <v>21347</v>
      </c>
      <c r="L563" s="74">
        <v>637976</v>
      </c>
      <c r="M563" s="74" t="s">
        <v>21341</v>
      </c>
      <c r="N563" s="74">
        <v>0</v>
      </c>
      <c r="O563" s="74" t="s">
        <v>21350</v>
      </c>
      <c r="P563" s="74" t="s">
        <v>21343</v>
      </c>
      <c r="Q563" s="74">
        <v>0</v>
      </c>
      <c r="R563" s="74" t="s">
        <v>148</v>
      </c>
      <c r="S563" s="74" t="s">
        <v>21338</v>
      </c>
      <c r="T563" s="74" t="s">
        <v>402</v>
      </c>
      <c r="U563" s="74">
        <v>0</v>
      </c>
      <c r="V563" s="74">
        <v>0</v>
      </c>
    </row>
    <row r="564" spans="3:22" x14ac:dyDescent="0.25">
      <c r="C564" s="74" t="s">
        <v>21347</v>
      </c>
      <c r="D564" s="74" t="s">
        <v>148</v>
      </c>
      <c r="E564" s="74" t="s">
        <v>21338</v>
      </c>
      <c r="F564" s="74">
        <v>637976</v>
      </c>
      <c r="G564" s="74">
        <v>1</v>
      </c>
      <c r="H564" s="135">
        <v>42998.736018518517</v>
      </c>
      <c r="I564" s="74" t="s">
        <v>21348</v>
      </c>
      <c r="J564" s="74" t="s">
        <v>21349</v>
      </c>
      <c r="K564" s="74" t="s">
        <v>21347</v>
      </c>
      <c r="L564" s="74">
        <v>637976</v>
      </c>
      <c r="M564" s="74" t="s">
        <v>21341</v>
      </c>
      <c r="N564" s="74">
        <v>0</v>
      </c>
      <c r="O564" s="74" t="s">
        <v>21350</v>
      </c>
      <c r="P564" s="74" t="s">
        <v>21343</v>
      </c>
      <c r="Q564" s="74">
        <v>0</v>
      </c>
      <c r="R564" s="74" t="s">
        <v>148</v>
      </c>
      <c r="S564" s="74" t="s">
        <v>21338</v>
      </c>
      <c r="T564" s="74" t="s">
        <v>402</v>
      </c>
      <c r="U564" s="74">
        <v>0</v>
      </c>
      <c r="V564" s="74">
        <v>0</v>
      </c>
    </row>
    <row r="565" spans="3:22" x14ac:dyDescent="0.25">
      <c r="C565" s="74" t="s">
        <v>18795</v>
      </c>
      <c r="D565" s="74" t="s">
        <v>148</v>
      </c>
      <c r="E565" s="74" t="s">
        <v>21338</v>
      </c>
      <c r="F565" s="74">
        <v>551367</v>
      </c>
      <c r="G565" s="74">
        <v>1000</v>
      </c>
      <c r="H565" s="135">
        <v>42998.734861111108</v>
      </c>
      <c r="I565" s="74" t="s">
        <v>21339</v>
      </c>
      <c r="J565" s="74" t="s">
        <v>21340</v>
      </c>
      <c r="K565" s="74" t="s">
        <v>13840</v>
      </c>
      <c r="L565" s="74">
        <v>560187</v>
      </c>
      <c r="M565" s="74" t="s">
        <v>21341</v>
      </c>
      <c r="N565" s="74">
        <v>1</v>
      </c>
      <c r="O565" s="74" t="s">
        <v>21342</v>
      </c>
      <c r="P565" s="74" t="s">
        <v>21343</v>
      </c>
      <c r="Q565" s="74">
        <v>0</v>
      </c>
      <c r="R565" s="74" t="s">
        <v>148</v>
      </c>
      <c r="S565" s="74" t="s">
        <v>21338</v>
      </c>
      <c r="T565" s="74" t="s">
        <v>402</v>
      </c>
      <c r="U565" s="74">
        <v>0</v>
      </c>
      <c r="V565" s="74">
        <v>0</v>
      </c>
    </row>
    <row r="566" spans="3:22" x14ac:dyDescent="0.25">
      <c r="C566" s="74" t="s">
        <v>18795</v>
      </c>
      <c r="D566" s="74" t="s">
        <v>148</v>
      </c>
      <c r="E566" s="74" t="s">
        <v>21338</v>
      </c>
      <c r="F566" s="74">
        <v>551367</v>
      </c>
      <c r="G566" s="74">
        <v>1000</v>
      </c>
      <c r="H566" s="135">
        <v>42998.732071759259</v>
      </c>
      <c r="I566" s="74" t="s">
        <v>21339</v>
      </c>
      <c r="J566" s="74" t="s">
        <v>21340</v>
      </c>
      <c r="K566" s="74" t="s">
        <v>12610</v>
      </c>
      <c r="L566" s="74">
        <v>553252</v>
      </c>
      <c r="M566" s="74" t="s">
        <v>21341</v>
      </c>
      <c r="N566" s="74">
        <v>1</v>
      </c>
      <c r="O566" s="74" t="s">
        <v>21342</v>
      </c>
      <c r="P566" s="74" t="s">
        <v>21343</v>
      </c>
      <c r="Q566" s="74">
        <v>0</v>
      </c>
      <c r="R566" s="74" t="s">
        <v>148</v>
      </c>
      <c r="S566" s="74" t="s">
        <v>21338</v>
      </c>
      <c r="T566" s="74" t="s">
        <v>402</v>
      </c>
      <c r="U566" s="74">
        <v>0</v>
      </c>
      <c r="V566" s="74">
        <v>0</v>
      </c>
    </row>
    <row r="567" spans="3:22" x14ac:dyDescent="0.25">
      <c r="C567" s="74" t="s">
        <v>18795</v>
      </c>
      <c r="D567" s="74" t="s">
        <v>148</v>
      </c>
      <c r="E567" s="74" t="s">
        <v>21338</v>
      </c>
      <c r="F567" s="74">
        <v>551367</v>
      </c>
      <c r="G567" s="74">
        <v>1000</v>
      </c>
      <c r="H567" s="135">
        <v>42998.704351851855</v>
      </c>
      <c r="I567" s="74" t="s">
        <v>21339</v>
      </c>
      <c r="J567" s="74" t="s">
        <v>21340</v>
      </c>
      <c r="K567" s="74" t="s">
        <v>21496</v>
      </c>
      <c r="L567" s="74">
        <v>909301</v>
      </c>
      <c r="M567" s="74" t="s">
        <v>21341</v>
      </c>
      <c r="N567" s="74">
        <v>1</v>
      </c>
      <c r="O567" s="74" t="s">
        <v>21342</v>
      </c>
      <c r="P567" s="74" t="s">
        <v>21343</v>
      </c>
      <c r="Q567" s="74">
        <v>0</v>
      </c>
      <c r="R567" s="74" t="s">
        <v>148</v>
      </c>
      <c r="S567" s="74" t="s">
        <v>21338</v>
      </c>
      <c r="T567" s="74" t="s">
        <v>402</v>
      </c>
      <c r="U567" s="74">
        <v>0</v>
      </c>
      <c r="V567" s="74">
        <v>0</v>
      </c>
    </row>
    <row r="568" spans="3:22" x14ac:dyDescent="0.25">
      <c r="C568" s="74" t="s">
        <v>4507</v>
      </c>
      <c r="D568" s="74" t="s">
        <v>148</v>
      </c>
      <c r="E568" s="74" t="s">
        <v>21338</v>
      </c>
      <c r="F568" s="74">
        <v>552215</v>
      </c>
      <c r="G568" s="74">
        <v>1</v>
      </c>
      <c r="H568" s="135">
        <v>42998.664247685185</v>
      </c>
      <c r="I568" s="74" t="s">
        <v>21348</v>
      </c>
      <c r="J568" s="74" t="s">
        <v>21349</v>
      </c>
      <c r="K568" s="74" t="s">
        <v>4507</v>
      </c>
      <c r="L568" s="74">
        <v>552215</v>
      </c>
      <c r="M568" s="74" t="s">
        <v>21341</v>
      </c>
      <c r="N568" s="74">
        <v>0</v>
      </c>
      <c r="O568" s="74" t="s">
        <v>21350</v>
      </c>
      <c r="P568" s="74" t="s">
        <v>21343</v>
      </c>
      <c r="Q568" s="74">
        <v>0</v>
      </c>
      <c r="R568" s="74" t="s">
        <v>148</v>
      </c>
      <c r="S568" s="74" t="s">
        <v>21338</v>
      </c>
      <c r="T568" s="74" t="s">
        <v>402</v>
      </c>
      <c r="U568" s="74">
        <v>0</v>
      </c>
      <c r="V568" s="74">
        <v>0</v>
      </c>
    </row>
    <row r="569" spans="3:22" x14ac:dyDescent="0.25">
      <c r="C569" s="74" t="s">
        <v>4507</v>
      </c>
      <c r="D569" s="74" t="s">
        <v>148</v>
      </c>
      <c r="E569" s="74" t="s">
        <v>21338</v>
      </c>
      <c r="F569" s="74">
        <v>552215</v>
      </c>
      <c r="G569" s="74">
        <v>1</v>
      </c>
      <c r="H569" s="135">
        <v>42998.664247685185</v>
      </c>
      <c r="I569" s="74" t="s">
        <v>244</v>
      </c>
      <c r="J569" s="74" t="s">
        <v>21349</v>
      </c>
      <c r="K569" s="74" t="s">
        <v>4507</v>
      </c>
      <c r="L569" s="74">
        <v>552215</v>
      </c>
      <c r="M569" s="74" t="s">
        <v>21341</v>
      </c>
      <c r="N569" s="74">
        <v>0</v>
      </c>
      <c r="O569" s="74" t="s">
        <v>21350</v>
      </c>
      <c r="P569" s="74" t="s">
        <v>21343</v>
      </c>
      <c r="Q569" s="74">
        <v>0</v>
      </c>
      <c r="R569" s="74" t="s">
        <v>148</v>
      </c>
      <c r="S569" s="74" t="s">
        <v>21338</v>
      </c>
      <c r="T569" s="74" t="s">
        <v>402</v>
      </c>
      <c r="U569" s="74">
        <v>0</v>
      </c>
      <c r="V569" s="74">
        <v>0</v>
      </c>
    </row>
    <row r="570" spans="3:22" x14ac:dyDescent="0.25">
      <c r="C570" s="74" t="s">
        <v>18795</v>
      </c>
      <c r="D570" s="74" t="s">
        <v>148</v>
      </c>
      <c r="E570" s="74" t="s">
        <v>21338</v>
      </c>
      <c r="F570" s="74">
        <v>551367</v>
      </c>
      <c r="G570" s="74">
        <v>1000</v>
      </c>
      <c r="H570" s="135">
        <v>42998.647546296299</v>
      </c>
      <c r="I570" s="74" t="s">
        <v>21339</v>
      </c>
      <c r="J570" s="74" t="s">
        <v>21340</v>
      </c>
      <c r="K570" s="74" t="s">
        <v>21497</v>
      </c>
      <c r="L570" s="74">
        <v>909705</v>
      </c>
      <c r="M570" s="74" t="s">
        <v>21341</v>
      </c>
      <c r="N570" s="74">
        <v>1</v>
      </c>
      <c r="O570" s="74" t="s">
        <v>21342</v>
      </c>
      <c r="P570" s="74" t="s">
        <v>21343</v>
      </c>
      <c r="Q570" s="74">
        <v>0</v>
      </c>
      <c r="R570" s="74" t="s">
        <v>148</v>
      </c>
      <c r="S570" s="74" t="s">
        <v>21338</v>
      </c>
      <c r="T570" s="74" t="s">
        <v>402</v>
      </c>
      <c r="U570" s="74">
        <v>0</v>
      </c>
      <c r="V570" s="74">
        <v>0</v>
      </c>
    </row>
    <row r="571" spans="3:22" x14ac:dyDescent="0.25">
      <c r="C571" s="74" t="s">
        <v>18795</v>
      </c>
      <c r="D571" s="74" t="s">
        <v>148</v>
      </c>
      <c r="E571" s="74" t="s">
        <v>21338</v>
      </c>
      <c r="F571" s="74">
        <v>551367</v>
      </c>
      <c r="G571" s="74">
        <v>1000</v>
      </c>
      <c r="H571" s="135">
        <v>42998.644548611112</v>
      </c>
      <c r="I571" s="74" t="s">
        <v>21339</v>
      </c>
      <c r="J571" s="74" t="s">
        <v>21340</v>
      </c>
      <c r="K571" s="74" t="s">
        <v>21497</v>
      </c>
      <c r="L571" s="74">
        <v>909705</v>
      </c>
      <c r="M571" s="74" t="s">
        <v>21341</v>
      </c>
      <c r="N571" s="74">
        <v>1</v>
      </c>
      <c r="O571" s="74" t="s">
        <v>21342</v>
      </c>
      <c r="P571" s="74" t="s">
        <v>21343</v>
      </c>
      <c r="Q571" s="74">
        <v>0</v>
      </c>
      <c r="R571" s="74" t="s">
        <v>148</v>
      </c>
      <c r="S571" s="74" t="s">
        <v>21338</v>
      </c>
      <c r="T571" s="74" t="s">
        <v>402</v>
      </c>
      <c r="U571" s="74">
        <v>0</v>
      </c>
      <c r="V571" s="74">
        <v>0</v>
      </c>
    </row>
    <row r="572" spans="3:22" x14ac:dyDescent="0.25">
      <c r="C572" s="74" t="s">
        <v>21347</v>
      </c>
      <c r="D572" s="74" t="s">
        <v>148</v>
      </c>
      <c r="E572" s="74" t="s">
        <v>21338</v>
      </c>
      <c r="F572" s="74">
        <v>637976</v>
      </c>
      <c r="G572" s="74">
        <v>1</v>
      </c>
      <c r="H572" s="135">
        <v>42998.638784722221</v>
      </c>
      <c r="I572" s="74" t="s">
        <v>21348</v>
      </c>
      <c r="J572" s="74" t="s">
        <v>21349</v>
      </c>
      <c r="K572" s="74" t="s">
        <v>21347</v>
      </c>
      <c r="L572" s="74">
        <v>637976</v>
      </c>
      <c r="M572" s="74" t="s">
        <v>21341</v>
      </c>
      <c r="N572" s="74">
        <v>0</v>
      </c>
      <c r="O572" s="74" t="s">
        <v>21350</v>
      </c>
      <c r="P572" s="74" t="s">
        <v>21343</v>
      </c>
      <c r="Q572" s="74">
        <v>0</v>
      </c>
      <c r="R572" s="74" t="s">
        <v>148</v>
      </c>
      <c r="S572" s="74" t="s">
        <v>21338</v>
      </c>
      <c r="T572" s="74" t="s">
        <v>402</v>
      </c>
      <c r="U572" s="74">
        <v>0</v>
      </c>
      <c r="V572" s="74">
        <v>0</v>
      </c>
    </row>
    <row r="573" spans="3:22" x14ac:dyDescent="0.25">
      <c r="C573" s="74" t="s">
        <v>21347</v>
      </c>
      <c r="D573" s="74" t="s">
        <v>148</v>
      </c>
      <c r="E573" s="74" t="s">
        <v>21338</v>
      </c>
      <c r="F573" s="74">
        <v>637976</v>
      </c>
      <c r="G573" s="74">
        <v>1</v>
      </c>
      <c r="H573" s="135">
        <v>42998.638784722221</v>
      </c>
      <c r="I573" s="74" t="s">
        <v>244</v>
      </c>
      <c r="J573" s="74" t="s">
        <v>21349</v>
      </c>
      <c r="K573" s="74" t="s">
        <v>21347</v>
      </c>
      <c r="L573" s="74">
        <v>637976</v>
      </c>
      <c r="M573" s="74" t="s">
        <v>21341</v>
      </c>
      <c r="N573" s="74">
        <v>0</v>
      </c>
      <c r="O573" s="74" t="s">
        <v>21350</v>
      </c>
      <c r="P573" s="74" t="s">
        <v>21343</v>
      </c>
      <c r="Q573" s="74">
        <v>0</v>
      </c>
      <c r="R573" s="74" t="s">
        <v>148</v>
      </c>
      <c r="S573" s="74" t="s">
        <v>21338</v>
      </c>
      <c r="T573" s="74" t="s">
        <v>402</v>
      </c>
      <c r="U573" s="74">
        <v>0</v>
      </c>
      <c r="V573" s="74">
        <v>0</v>
      </c>
    </row>
    <row r="574" spans="3:22" x14ac:dyDescent="0.25">
      <c r="C574" s="74" t="s">
        <v>18795</v>
      </c>
      <c r="D574" s="74" t="s">
        <v>148</v>
      </c>
      <c r="E574" s="74" t="s">
        <v>21338</v>
      </c>
      <c r="F574" s="74">
        <v>551367</v>
      </c>
      <c r="G574" s="74">
        <v>1000</v>
      </c>
      <c r="H574" s="135">
        <v>42998.637071759258</v>
      </c>
      <c r="I574" s="74" t="s">
        <v>21339</v>
      </c>
      <c r="J574" s="74" t="s">
        <v>21340</v>
      </c>
      <c r="K574" s="74" t="s">
        <v>21498</v>
      </c>
      <c r="L574" s="74">
        <v>905928</v>
      </c>
      <c r="M574" s="74" t="s">
        <v>21341</v>
      </c>
      <c r="N574" s="74">
        <v>1</v>
      </c>
      <c r="O574" s="74" t="s">
        <v>21342</v>
      </c>
      <c r="P574" s="74" t="s">
        <v>21343</v>
      </c>
      <c r="Q574" s="74">
        <v>0</v>
      </c>
      <c r="R574" s="74" t="s">
        <v>148</v>
      </c>
      <c r="S574" s="74" t="s">
        <v>21338</v>
      </c>
      <c r="T574" s="74" t="s">
        <v>402</v>
      </c>
      <c r="U574" s="74">
        <v>0</v>
      </c>
      <c r="V574" s="74">
        <v>0</v>
      </c>
    </row>
    <row r="575" spans="3:22" x14ac:dyDescent="0.25">
      <c r="C575" s="74" t="s">
        <v>18795</v>
      </c>
      <c r="D575" s="74" t="s">
        <v>148</v>
      </c>
      <c r="E575" s="74" t="s">
        <v>21338</v>
      </c>
      <c r="F575" s="74">
        <v>551367</v>
      </c>
      <c r="G575" s="74">
        <v>1000</v>
      </c>
      <c r="H575" s="135">
        <v>42998.633611111109</v>
      </c>
      <c r="I575" s="74" t="s">
        <v>21339</v>
      </c>
      <c r="J575" s="74" t="s">
        <v>21340</v>
      </c>
      <c r="K575" s="74" t="s">
        <v>14172</v>
      </c>
      <c r="L575" s="74">
        <v>553462</v>
      </c>
      <c r="M575" s="74" t="s">
        <v>21341</v>
      </c>
      <c r="N575" s="74">
        <v>1</v>
      </c>
      <c r="O575" s="74" t="s">
        <v>21342</v>
      </c>
      <c r="P575" s="74" t="s">
        <v>21343</v>
      </c>
      <c r="Q575" s="74">
        <v>0</v>
      </c>
      <c r="R575" s="74" t="s">
        <v>148</v>
      </c>
      <c r="S575" s="74" t="s">
        <v>21338</v>
      </c>
      <c r="T575" s="74" t="s">
        <v>393</v>
      </c>
      <c r="U575" s="74">
        <v>0</v>
      </c>
      <c r="V575" s="74">
        <v>0</v>
      </c>
    </row>
    <row r="576" spans="3:22" x14ac:dyDescent="0.25">
      <c r="C576" s="74" t="s">
        <v>533</v>
      </c>
      <c r="D576" s="74" t="s">
        <v>148</v>
      </c>
      <c r="E576" s="74" t="s">
        <v>21338</v>
      </c>
      <c r="F576" s="74">
        <v>627566</v>
      </c>
      <c r="G576" s="74">
        <v>3</v>
      </c>
      <c r="H576" s="135">
        <v>42998.631620370368</v>
      </c>
      <c r="I576" s="74" t="s">
        <v>21354</v>
      </c>
      <c r="J576" s="74" t="s">
        <v>21355</v>
      </c>
      <c r="K576" s="74" t="s">
        <v>21498</v>
      </c>
      <c r="L576" s="74">
        <v>905928</v>
      </c>
      <c r="M576" s="74" t="s">
        <v>21341</v>
      </c>
      <c r="N576" s="74">
        <v>1</v>
      </c>
      <c r="O576" s="74" t="s">
        <v>21342</v>
      </c>
      <c r="P576" s="74" t="s">
        <v>21345</v>
      </c>
      <c r="R576" s="74" t="s">
        <v>148</v>
      </c>
      <c r="S576" s="74" t="s">
        <v>21338</v>
      </c>
      <c r="T576" s="74" t="s">
        <v>402</v>
      </c>
      <c r="U576" s="74">
        <v>0</v>
      </c>
      <c r="V576" s="74">
        <v>0</v>
      </c>
    </row>
    <row r="577" spans="3:22" x14ac:dyDescent="0.25">
      <c r="C577" s="74" t="s">
        <v>533</v>
      </c>
      <c r="D577" s="74" t="s">
        <v>148</v>
      </c>
      <c r="E577" s="74" t="s">
        <v>21338</v>
      </c>
      <c r="F577" s="74">
        <v>627566</v>
      </c>
      <c r="G577" s="74">
        <v>3</v>
      </c>
      <c r="H577" s="135">
        <v>42998.631388888891</v>
      </c>
      <c r="I577" s="74" t="s">
        <v>21339</v>
      </c>
      <c r="J577" s="74" t="s">
        <v>21360</v>
      </c>
      <c r="K577" s="74" t="s">
        <v>21498</v>
      </c>
      <c r="L577" s="74">
        <v>905928</v>
      </c>
      <c r="M577" s="74" t="s">
        <v>21341</v>
      </c>
      <c r="N577" s="74">
        <v>1</v>
      </c>
      <c r="O577" s="74" t="s">
        <v>21359</v>
      </c>
      <c r="P577" s="74" t="s">
        <v>21343</v>
      </c>
      <c r="Q577" s="74" t="s">
        <v>21395</v>
      </c>
      <c r="R577" s="74" t="s">
        <v>148</v>
      </c>
      <c r="S577" s="74" t="s">
        <v>21338</v>
      </c>
      <c r="T577" s="74" t="s">
        <v>402</v>
      </c>
      <c r="U577" s="74">
        <v>0</v>
      </c>
      <c r="V577" s="74">
        <v>0</v>
      </c>
    </row>
    <row r="578" spans="3:22" x14ac:dyDescent="0.25">
      <c r="C578" s="74" t="s">
        <v>735</v>
      </c>
      <c r="D578" s="74" t="s">
        <v>148</v>
      </c>
      <c r="E578" s="74" t="s">
        <v>21338</v>
      </c>
      <c r="F578" s="74">
        <v>570025</v>
      </c>
      <c r="G578" s="74">
        <v>3</v>
      </c>
      <c r="H578" s="135">
        <v>42998.604421296295</v>
      </c>
      <c r="I578" s="74" t="s">
        <v>21339</v>
      </c>
      <c r="J578" s="74" t="s">
        <v>21360</v>
      </c>
      <c r="K578" s="74" t="s">
        <v>9252</v>
      </c>
      <c r="L578" s="74">
        <v>552826</v>
      </c>
      <c r="M578" s="74" t="s">
        <v>21341</v>
      </c>
      <c r="N578" s="74">
        <v>1</v>
      </c>
      <c r="O578" s="74" t="s">
        <v>21342</v>
      </c>
      <c r="P578" s="74" t="s">
        <v>21343</v>
      </c>
      <c r="Q578" s="74" t="s">
        <v>21361</v>
      </c>
      <c r="R578" s="74" t="s">
        <v>148</v>
      </c>
      <c r="S578" s="74" t="s">
        <v>21338</v>
      </c>
      <c r="T578" s="74" t="s">
        <v>393</v>
      </c>
      <c r="U578" s="74">
        <v>0</v>
      </c>
      <c r="V578" s="74">
        <v>0</v>
      </c>
    </row>
    <row r="579" spans="3:22" x14ac:dyDescent="0.25">
      <c r="C579" s="74" t="s">
        <v>21386</v>
      </c>
      <c r="D579" s="74" t="s">
        <v>148</v>
      </c>
      <c r="E579" s="74" t="s">
        <v>21338</v>
      </c>
      <c r="F579" s="74">
        <v>674396</v>
      </c>
      <c r="G579" s="74">
        <v>3</v>
      </c>
      <c r="H579" s="135">
        <v>42998.603773148148</v>
      </c>
      <c r="I579" s="74" t="s">
        <v>21339</v>
      </c>
      <c r="J579" s="74" t="s">
        <v>21362</v>
      </c>
      <c r="K579" s="74" t="s">
        <v>21499</v>
      </c>
      <c r="L579" s="74">
        <v>902569</v>
      </c>
      <c r="M579" s="74" t="s">
        <v>21341</v>
      </c>
      <c r="N579" s="74">
        <v>1</v>
      </c>
      <c r="O579" s="74" t="s">
        <v>21342</v>
      </c>
      <c r="P579" s="74" t="s">
        <v>21343</v>
      </c>
      <c r="Q579" s="74" t="s">
        <v>21363</v>
      </c>
      <c r="R579" s="74" t="s">
        <v>148</v>
      </c>
      <c r="S579" s="74" t="s">
        <v>21338</v>
      </c>
      <c r="T579" s="74" t="s">
        <v>393</v>
      </c>
      <c r="U579" s="74">
        <v>0</v>
      </c>
      <c r="V579" s="74">
        <v>0</v>
      </c>
    </row>
    <row r="580" spans="3:22" x14ac:dyDescent="0.25">
      <c r="C580" s="74" t="s">
        <v>21386</v>
      </c>
      <c r="D580" s="74" t="s">
        <v>148</v>
      </c>
      <c r="E580" s="74" t="s">
        <v>21338</v>
      </c>
      <c r="F580" s="74">
        <v>674396</v>
      </c>
      <c r="G580" s="74">
        <v>3</v>
      </c>
      <c r="H580" s="135">
        <v>42998.603449074071</v>
      </c>
      <c r="I580" s="74" t="s">
        <v>21365</v>
      </c>
      <c r="J580" s="74" t="s">
        <v>21366</v>
      </c>
      <c r="K580" s="74" t="s">
        <v>21403</v>
      </c>
      <c r="L580" s="74">
        <v>561483</v>
      </c>
      <c r="M580" s="74" t="s">
        <v>21368</v>
      </c>
      <c r="N580" s="74">
        <v>1</v>
      </c>
      <c r="O580" s="74" t="s">
        <v>21369</v>
      </c>
      <c r="P580" s="74" t="s">
        <v>21343</v>
      </c>
      <c r="Q580" s="74" t="s">
        <v>21500</v>
      </c>
      <c r="R580" s="74" t="s">
        <v>148</v>
      </c>
      <c r="S580" s="74" t="s">
        <v>21338</v>
      </c>
      <c r="T580" s="74" t="s">
        <v>21371</v>
      </c>
      <c r="U580" s="74">
        <v>0</v>
      </c>
      <c r="V580" s="74">
        <v>0</v>
      </c>
    </row>
    <row r="581" spans="3:22" x14ac:dyDescent="0.25">
      <c r="C581" s="74" t="s">
        <v>21386</v>
      </c>
      <c r="D581" s="74" t="s">
        <v>148</v>
      </c>
      <c r="E581" s="74" t="s">
        <v>21338</v>
      </c>
      <c r="F581" s="74">
        <v>674396</v>
      </c>
      <c r="G581" s="74">
        <v>3</v>
      </c>
      <c r="H581" s="135">
        <v>42998.603449074071</v>
      </c>
      <c r="I581" s="74" t="s">
        <v>21339</v>
      </c>
      <c r="J581" s="74" t="s">
        <v>21364</v>
      </c>
      <c r="K581" s="74" t="s">
        <v>21499</v>
      </c>
      <c r="L581" s="74">
        <v>902569</v>
      </c>
      <c r="M581" s="74" t="s">
        <v>21341</v>
      </c>
      <c r="N581" s="74">
        <v>1</v>
      </c>
      <c r="O581" s="74" t="s">
        <v>21342</v>
      </c>
      <c r="P581" s="74" t="s">
        <v>21343</v>
      </c>
      <c r="Q581" s="74">
        <v>0</v>
      </c>
      <c r="R581" s="74" t="s">
        <v>148</v>
      </c>
      <c r="S581" s="74" t="s">
        <v>21338</v>
      </c>
      <c r="T581" s="74" t="s">
        <v>402</v>
      </c>
      <c r="U581" s="74">
        <v>0</v>
      </c>
      <c r="V581" s="74">
        <v>0</v>
      </c>
    </row>
    <row r="582" spans="3:22" x14ac:dyDescent="0.25">
      <c r="C582" s="74" t="s">
        <v>21386</v>
      </c>
      <c r="D582" s="74" t="s">
        <v>148</v>
      </c>
      <c r="E582" s="74" t="s">
        <v>21338</v>
      </c>
      <c r="F582" s="74">
        <v>674396</v>
      </c>
      <c r="G582" s="74">
        <v>3</v>
      </c>
      <c r="H582" s="135">
        <v>42998.603437500002</v>
      </c>
      <c r="I582" s="74" t="s">
        <v>21365</v>
      </c>
      <c r="J582" s="74" t="s">
        <v>21366</v>
      </c>
      <c r="K582" s="74" t="s">
        <v>21367</v>
      </c>
      <c r="L582" s="74">
        <v>561482</v>
      </c>
      <c r="M582" s="74" t="s">
        <v>21368</v>
      </c>
      <c r="N582" s="74">
        <v>1</v>
      </c>
      <c r="O582" s="74" t="s">
        <v>21369</v>
      </c>
      <c r="P582" s="74" t="s">
        <v>21343</v>
      </c>
      <c r="Q582" s="74" t="s">
        <v>21500</v>
      </c>
      <c r="R582" s="74" t="s">
        <v>148</v>
      </c>
      <c r="S582" s="74" t="s">
        <v>21338</v>
      </c>
      <c r="T582" s="74" t="s">
        <v>21371</v>
      </c>
      <c r="U582" s="74">
        <v>0</v>
      </c>
      <c r="V582" s="74">
        <v>0</v>
      </c>
    </row>
    <row r="583" spans="3:22" x14ac:dyDescent="0.25">
      <c r="C583" s="74" t="s">
        <v>21386</v>
      </c>
      <c r="D583" s="74" t="s">
        <v>148</v>
      </c>
      <c r="E583" s="74" t="s">
        <v>21338</v>
      </c>
      <c r="F583" s="74">
        <v>674396</v>
      </c>
      <c r="G583" s="74">
        <v>3</v>
      </c>
      <c r="H583" s="135">
        <v>42998.603425925925</v>
      </c>
      <c r="I583" s="74" t="s">
        <v>21365</v>
      </c>
      <c r="J583" s="74" t="s">
        <v>21366</v>
      </c>
      <c r="K583" s="74" t="s">
        <v>21381</v>
      </c>
      <c r="L583" s="74">
        <v>555660</v>
      </c>
      <c r="M583" s="74" t="s">
        <v>21368</v>
      </c>
      <c r="N583" s="74">
        <v>1</v>
      </c>
      <c r="O583" s="74" t="s">
        <v>21369</v>
      </c>
      <c r="P583" s="74" t="s">
        <v>21343</v>
      </c>
      <c r="Q583" s="74" t="s">
        <v>21500</v>
      </c>
      <c r="R583" s="74" t="s">
        <v>148</v>
      </c>
      <c r="S583" s="74" t="s">
        <v>21338</v>
      </c>
      <c r="T583" s="74" t="s">
        <v>21371</v>
      </c>
      <c r="U583" s="74">
        <v>0</v>
      </c>
      <c r="V583" s="74">
        <v>0</v>
      </c>
    </row>
    <row r="584" spans="3:22" x14ac:dyDescent="0.25">
      <c r="C584" s="74" t="s">
        <v>21386</v>
      </c>
      <c r="D584" s="74" t="s">
        <v>148</v>
      </c>
      <c r="E584" s="74" t="s">
        <v>21338</v>
      </c>
      <c r="F584" s="74">
        <v>674396</v>
      </c>
      <c r="G584" s="74">
        <v>3</v>
      </c>
      <c r="H584" s="135">
        <v>42998.603414351855</v>
      </c>
      <c r="I584" s="74" t="s">
        <v>21339</v>
      </c>
      <c r="J584" s="74" t="s">
        <v>21364</v>
      </c>
      <c r="K584" s="74" t="s">
        <v>21499</v>
      </c>
      <c r="L584" s="74">
        <v>902569</v>
      </c>
      <c r="M584" s="74" t="s">
        <v>21341</v>
      </c>
      <c r="N584" s="74">
        <v>1</v>
      </c>
      <c r="O584" s="74" t="s">
        <v>21342</v>
      </c>
      <c r="P584" s="74" t="s">
        <v>21343</v>
      </c>
      <c r="Q584" s="74">
        <v>0</v>
      </c>
      <c r="R584" s="74" t="s">
        <v>148</v>
      </c>
      <c r="S584" s="74" t="s">
        <v>21338</v>
      </c>
      <c r="T584" s="74" t="s">
        <v>402</v>
      </c>
      <c r="U584" s="74">
        <v>0</v>
      </c>
      <c r="V584" s="74">
        <v>0</v>
      </c>
    </row>
    <row r="585" spans="3:22" x14ac:dyDescent="0.25">
      <c r="C585" s="74" t="s">
        <v>21386</v>
      </c>
      <c r="D585" s="74" t="s">
        <v>148</v>
      </c>
      <c r="E585" s="74" t="s">
        <v>21338</v>
      </c>
      <c r="F585" s="74">
        <v>674396</v>
      </c>
      <c r="G585" s="74">
        <v>3</v>
      </c>
      <c r="H585" s="135">
        <v>42998.603263888886</v>
      </c>
      <c r="I585" s="74" t="s">
        <v>21339</v>
      </c>
      <c r="J585" s="74" t="s">
        <v>21364</v>
      </c>
      <c r="K585" s="74" t="s">
        <v>21499</v>
      </c>
      <c r="L585" s="74">
        <v>902569</v>
      </c>
      <c r="M585" s="74" t="s">
        <v>21341</v>
      </c>
      <c r="N585" s="74">
        <v>1</v>
      </c>
      <c r="O585" s="74" t="s">
        <v>21342</v>
      </c>
      <c r="P585" s="74" t="s">
        <v>21343</v>
      </c>
      <c r="Q585" s="74">
        <v>0</v>
      </c>
      <c r="R585" s="74" t="s">
        <v>148</v>
      </c>
      <c r="S585" s="74" t="s">
        <v>21338</v>
      </c>
      <c r="T585" s="74" t="s">
        <v>402</v>
      </c>
      <c r="U585" s="74">
        <v>0</v>
      </c>
      <c r="V585" s="74">
        <v>0</v>
      </c>
    </row>
    <row r="586" spans="3:22" x14ac:dyDescent="0.25">
      <c r="C586" s="74" t="s">
        <v>735</v>
      </c>
      <c r="D586" s="74" t="s">
        <v>148</v>
      </c>
      <c r="E586" s="74" t="s">
        <v>21338</v>
      </c>
      <c r="F586" s="74">
        <v>570025</v>
      </c>
      <c r="G586" s="74">
        <v>3</v>
      </c>
      <c r="H586" s="135">
        <v>42998.603043981479</v>
      </c>
      <c r="I586" s="74" t="s">
        <v>21365</v>
      </c>
      <c r="J586" s="74" t="s">
        <v>21366</v>
      </c>
      <c r="K586" s="74" t="s">
        <v>21367</v>
      </c>
      <c r="L586" s="74">
        <v>561482</v>
      </c>
      <c r="M586" s="74" t="s">
        <v>21368</v>
      </c>
      <c r="N586" s="74">
        <v>1</v>
      </c>
      <c r="O586" s="74" t="s">
        <v>21369</v>
      </c>
      <c r="P586" s="74" t="s">
        <v>21343</v>
      </c>
      <c r="Q586" s="74" t="s">
        <v>21501</v>
      </c>
      <c r="R586" s="74" t="s">
        <v>148</v>
      </c>
      <c r="S586" s="74" t="s">
        <v>21338</v>
      </c>
      <c r="T586" s="74" t="s">
        <v>21371</v>
      </c>
      <c r="U586" s="74">
        <v>0</v>
      </c>
      <c r="V586" s="74">
        <v>0</v>
      </c>
    </row>
    <row r="587" spans="3:22" x14ac:dyDescent="0.25">
      <c r="C587" s="74" t="s">
        <v>735</v>
      </c>
      <c r="D587" s="74" t="s">
        <v>148</v>
      </c>
      <c r="E587" s="74" t="s">
        <v>21338</v>
      </c>
      <c r="F587" s="74">
        <v>570025</v>
      </c>
      <c r="G587" s="74">
        <v>3</v>
      </c>
      <c r="H587" s="135">
        <v>42998.603043981479</v>
      </c>
      <c r="I587" s="74" t="s">
        <v>21339</v>
      </c>
      <c r="J587" s="74" t="s">
        <v>21364</v>
      </c>
      <c r="K587" s="74" t="s">
        <v>9252</v>
      </c>
      <c r="L587" s="74">
        <v>552826</v>
      </c>
      <c r="M587" s="74" t="s">
        <v>21341</v>
      </c>
      <c r="N587" s="74">
        <v>1</v>
      </c>
      <c r="O587" s="74" t="s">
        <v>21342</v>
      </c>
      <c r="P587" s="74" t="s">
        <v>21343</v>
      </c>
      <c r="Q587" s="74">
        <v>0</v>
      </c>
      <c r="R587" s="74" t="s">
        <v>148</v>
      </c>
      <c r="S587" s="74" t="s">
        <v>21338</v>
      </c>
      <c r="T587" s="74" t="s">
        <v>393</v>
      </c>
      <c r="U587" s="74">
        <v>0</v>
      </c>
      <c r="V587" s="74">
        <v>0</v>
      </c>
    </row>
    <row r="588" spans="3:22" x14ac:dyDescent="0.25">
      <c r="C588" s="74" t="s">
        <v>735</v>
      </c>
      <c r="D588" s="74" t="s">
        <v>148</v>
      </c>
      <c r="E588" s="74" t="s">
        <v>21338</v>
      </c>
      <c r="F588" s="74">
        <v>570025</v>
      </c>
      <c r="G588" s="74">
        <v>3</v>
      </c>
      <c r="H588" s="135">
        <v>42998.603020833332</v>
      </c>
      <c r="I588" s="74" t="s">
        <v>21365</v>
      </c>
      <c r="J588" s="74" t="s">
        <v>21366</v>
      </c>
      <c r="K588" s="74" t="s">
        <v>21381</v>
      </c>
      <c r="L588" s="74">
        <v>555660</v>
      </c>
      <c r="M588" s="74" t="s">
        <v>21368</v>
      </c>
      <c r="N588" s="74">
        <v>1</v>
      </c>
      <c r="O588" s="74" t="s">
        <v>21369</v>
      </c>
      <c r="P588" s="74" t="s">
        <v>21343</v>
      </c>
      <c r="Q588" s="74" t="s">
        <v>21501</v>
      </c>
      <c r="R588" s="74" t="s">
        <v>148</v>
      </c>
      <c r="S588" s="74" t="s">
        <v>21338</v>
      </c>
      <c r="T588" s="74" t="s">
        <v>21371</v>
      </c>
      <c r="U588" s="74">
        <v>0</v>
      </c>
      <c r="V588" s="74">
        <v>0</v>
      </c>
    </row>
    <row r="589" spans="3:22" x14ac:dyDescent="0.25">
      <c r="C589" s="74" t="s">
        <v>735</v>
      </c>
      <c r="D589" s="74" t="s">
        <v>148</v>
      </c>
      <c r="E589" s="74" t="s">
        <v>21338</v>
      </c>
      <c r="F589" s="74">
        <v>570025</v>
      </c>
      <c r="G589" s="74">
        <v>3</v>
      </c>
      <c r="H589" s="135">
        <v>42998.603009259263</v>
      </c>
      <c r="I589" s="74" t="s">
        <v>21365</v>
      </c>
      <c r="J589" s="74" t="s">
        <v>21366</v>
      </c>
      <c r="K589" s="74" t="s">
        <v>21377</v>
      </c>
      <c r="L589" s="74">
        <v>555668</v>
      </c>
      <c r="M589" s="74" t="s">
        <v>21368</v>
      </c>
      <c r="N589" s="74">
        <v>1</v>
      </c>
      <c r="O589" s="74" t="s">
        <v>21369</v>
      </c>
      <c r="P589" s="74" t="s">
        <v>21343</v>
      </c>
      <c r="Q589" s="74" t="s">
        <v>21501</v>
      </c>
      <c r="R589" s="74" t="s">
        <v>148</v>
      </c>
      <c r="S589" s="74" t="s">
        <v>21338</v>
      </c>
      <c r="T589" s="74" t="s">
        <v>21371</v>
      </c>
      <c r="U589" s="74">
        <v>0</v>
      </c>
      <c r="V589" s="74">
        <v>0</v>
      </c>
    </row>
    <row r="590" spans="3:22" x14ac:dyDescent="0.25">
      <c r="C590" s="74" t="s">
        <v>735</v>
      </c>
      <c r="D590" s="74" t="s">
        <v>148</v>
      </c>
      <c r="E590" s="74" t="s">
        <v>21338</v>
      </c>
      <c r="F590" s="74">
        <v>570025</v>
      </c>
      <c r="G590" s="74">
        <v>3</v>
      </c>
      <c r="H590" s="135">
        <v>42998.602986111109</v>
      </c>
      <c r="I590" s="74" t="s">
        <v>21339</v>
      </c>
      <c r="J590" s="74" t="s">
        <v>21364</v>
      </c>
      <c r="K590" s="74" t="s">
        <v>9252</v>
      </c>
      <c r="L590" s="74">
        <v>552826</v>
      </c>
      <c r="M590" s="74" t="s">
        <v>21341</v>
      </c>
      <c r="N590" s="74">
        <v>1</v>
      </c>
      <c r="O590" s="74" t="s">
        <v>21342</v>
      </c>
      <c r="P590" s="74" t="s">
        <v>21343</v>
      </c>
      <c r="Q590" s="74">
        <v>0</v>
      </c>
      <c r="R590" s="74" t="s">
        <v>148</v>
      </c>
      <c r="S590" s="74" t="s">
        <v>21338</v>
      </c>
      <c r="T590" s="74" t="s">
        <v>393</v>
      </c>
      <c r="U590" s="74">
        <v>0</v>
      </c>
      <c r="V590" s="74">
        <v>0</v>
      </c>
    </row>
    <row r="591" spans="3:22" x14ac:dyDescent="0.25">
      <c r="C591" s="74" t="s">
        <v>21386</v>
      </c>
      <c r="D591" s="74" t="s">
        <v>148</v>
      </c>
      <c r="E591" s="74" t="s">
        <v>21338</v>
      </c>
      <c r="F591" s="74">
        <v>674396</v>
      </c>
      <c r="G591" s="74">
        <v>3</v>
      </c>
      <c r="H591" s="135">
        <v>42998.60292824074</v>
      </c>
      <c r="I591" s="74" t="s">
        <v>21339</v>
      </c>
      <c r="J591" s="74" t="s">
        <v>21360</v>
      </c>
      <c r="K591" s="74" t="s">
        <v>21499</v>
      </c>
      <c r="L591" s="74">
        <v>902569</v>
      </c>
      <c r="M591" s="74" t="s">
        <v>21341</v>
      </c>
      <c r="N591" s="74">
        <v>1</v>
      </c>
      <c r="O591" s="74" t="s">
        <v>21342</v>
      </c>
      <c r="P591" s="74" t="s">
        <v>21343</v>
      </c>
      <c r="Q591" s="74" t="s">
        <v>21361</v>
      </c>
      <c r="R591" s="74" t="s">
        <v>148</v>
      </c>
      <c r="S591" s="74" t="s">
        <v>21338</v>
      </c>
      <c r="T591" s="74" t="s">
        <v>402</v>
      </c>
      <c r="U591" s="74">
        <v>0</v>
      </c>
      <c r="V591" s="74">
        <v>0</v>
      </c>
    </row>
    <row r="592" spans="3:22" x14ac:dyDescent="0.25">
      <c r="C592" s="74" t="s">
        <v>735</v>
      </c>
      <c r="D592" s="74" t="s">
        <v>148</v>
      </c>
      <c r="E592" s="74" t="s">
        <v>21338</v>
      </c>
      <c r="F592" s="74">
        <v>570025</v>
      </c>
      <c r="G592" s="74">
        <v>3</v>
      </c>
      <c r="H592" s="135">
        <v>42998.60292824074</v>
      </c>
      <c r="I592" s="74" t="s">
        <v>21339</v>
      </c>
      <c r="J592" s="74" t="s">
        <v>21364</v>
      </c>
      <c r="K592" s="74" t="s">
        <v>9252</v>
      </c>
      <c r="L592" s="74">
        <v>552826</v>
      </c>
      <c r="M592" s="74" t="s">
        <v>21341</v>
      </c>
      <c r="N592" s="74">
        <v>1</v>
      </c>
      <c r="O592" s="74" t="s">
        <v>21342</v>
      </c>
      <c r="P592" s="74" t="s">
        <v>21343</v>
      </c>
      <c r="Q592" s="74">
        <v>0</v>
      </c>
      <c r="R592" s="74" t="s">
        <v>148</v>
      </c>
      <c r="S592" s="74" t="s">
        <v>21338</v>
      </c>
      <c r="T592" s="74" t="s">
        <v>393</v>
      </c>
      <c r="U592" s="74">
        <v>0</v>
      </c>
      <c r="V592" s="74">
        <v>0</v>
      </c>
    </row>
    <row r="593" spans="3:22" x14ac:dyDescent="0.25">
      <c r="C593" s="74" t="s">
        <v>735</v>
      </c>
      <c r="D593" s="74" t="s">
        <v>148</v>
      </c>
      <c r="E593" s="74" t="s">
        <v>21338</v>
      </c>
      <c r="F593" s="74">
        <v>570025</v>
      </c>
      <c r="G593" s="74">
        <v>3</v>
      </c>
      <c r="H593" s="135">
        <v>42998.60224537037</v>
      </c>
      <c r="I593" s="74" t="s">
        <v>21339</v>
      </c>
      <c r="J593" s="74" t="s">
        <v>21362</v>
      </c>
      <c r="K593" s="74" t="s">
        <v>9252</v>
      </c>
      <c r="L593" s="74">
        <v>552826</v>
      </c>
      <c r="M593" s="74" t="s">
        <v>21341</v>
      </c>
      <c r="N593" s="74">
        <v>1</v>
      </c>
      <c r="O593" s="74" t="s">
        <v>21342</v>
      </c>
      <c r="P593" s="74" t="s">
        <v>21343</v>
      </c>
      <c r="Q593" s="74" t="s">
        <v>21363</v>
      </c>
      <c r="R593" s="74" t="s">
        <v>148</v>
      </c>
      <c r="S593" s="74" t="s">
        <v>21338</v>
      </c>
      <c r="T593" s="74" t="s">
        <v>393</v>
      </c>
      <c r="U593" s="74">
        <v>0</v>
      </c>
      <c r="V593" s="74">
        <v>0</v>
      </c>
    </row>
    <row r="594" spans="3:22" x14ac:dyDescent="0.25">
      <c r="C594" s="74" t="s">
        <v>21386</v>
      </c>
      <c r="D594" s="74" t="s">
        <v>148</v>
      </c>
      <c r="E594" s="74" t="s">
        <v>21338</v>
      </c>
      <c r="F594" s="74">
        <v>674396</v>
      </c>
      <c r="G594" s="74">
        <v>3</v>
      </c>
      <c r="H594" s="135">
        <v>42998.601898148147</v>
      </c>
      <c r="I594" s="74" t="s">
        <v>21339</v>
      </c>
      <c r="J594" s="74" t="s">
        <v>21360</v>
      </c>
      <c r="K594" s="74" t="s">
        <v>21499</v>
      </c>
      <c r="L594" s="74">
        <v>902569</v>
      </c>
      <c r="M594" s="74" t="s">
        <v>21341</v>
      </c>
      <c r="N594" s="74">
        <v>1</v>
      </c>
      <c r="O594" s="74" t="s">
        <v>21342</v>
      </c>
      <c r="P594" s="74" t="s">
        <v>21343</v>
      </c>
      <c r="Q594" s="74" t="s">
        <v>21361</v>
      </c>
      <c r="R594" s="74" t="s">
        <v>148</v>
      </c>
      <c r="S594" s="74" t="s">
        <v>21338</v>
      </c>
      <c r="T594" s="74" t="s">
        <v>402</v>
      </c>
      <c r="U594" s="74">
        <v>0</v>
      </c>
      <c r="V594" s="74">
        <v>0</v>
      </c>
    </row>
    <row r="595" spans="3:22" x14ac:dyDescent="0.25">
      <c r="C595" s="74" t="s">
        <v>21390</v>
      </c>
      <c r="D595" s="74" t="s">
        <v>148</v>
      </c>
      <c r="E595" s="74" t="s">
        <v>21338</v>
      </c>
      <c r="F595" s="74">
        <v>560864</v>
      </c>
      <c r="G595" s="74">
        <v>3</v>
      </c>
      <c r="H595" s="135">
        <v>42998.597280092596</v>
      </c>
      <c r="I595" s="74" t="s">
        <v>21354</v>
      </c>
      <c r="J595" s="74" t="s">
        <v>21355</v>
      </c>
      <c r="K595" s="74" t="s">
        <v>5039</v>
      </c>
      <c r="L595" s="74">
        <v>552269</v>
      </c>
      <c r="M595" s="74" t="s">
        <v>21341</v>
      </c>
      <c r="N595" s="74">
        <v>1</v>
      </c>
      <c r="O595" s="74" t="s">
        <v>21342</v>
      </c>
      <c r="P595" s="74" t="s">
        <v>21345</v>
      </c>
      <c r="R595" s="74" t="s">
        <v>148</v>
      </c>
      <c r="S595" s="74" t="s">
        <v>21338</v>
      </c>
      <c r="T595" s="74" t="s">
        <v>402</v>
      </c>
      <c r="U595" s="74">
        <v>0</v>
      </c>
      <c r="V595" s="74">
        <v>0</v>
      </c>
    </row>
    <row r="596" spans="3:22" x14ac:dyDescent="0.25">
      <c r="C596" s="74" t="s">
        <v>18795</v>
      </c>
      <c r="D596" s="74" t="s">
        <v>148</v>
      </c>
      <c r="E596" s="74" t="s">
        <v>21338</v>
      </c>
      <c r="F596" s="74">
        <v>551367</v>
      </c>
      <c r="G596" s="74">
        <v>1000</v>
      </c>
      <c r="H596" s="135">
        <v>42998.58084490741</v>
      </c>
      <c r="I596" s="74" t="s">
        <v>21339</v>
      </c>
      <c r="J596" s="74" t="s">
        <v>21340</v>
      </c>
      <c r="K596" s="74" t="s">
        <v>6183</v>
      </c>
      <c r="L596" s="74">
        <v>552429</v>
      </c>
      <c r="M596" s="74" t="s">
        <v>21341</v>
      </c>
      <c r="N596" s="74">
        <v>1</v>
      </c>
      <c r="O596" s="74" t="s">
        <v>21342</v>
      </c>
      <c r="P596" s="74" t="s">
        <v>21343</v>
      </c>
      <c r="Q596" s="74">
        <v>0</v>
      </c>
      <c r="R596" s="74" t="s">
        <v>148</v>
      </c>
      <c r="S596" s="74" t="s">
        <v>21338</v>
      </c>
      <c r="T596" s="74" t="s">
        <v>402</v>
      </c>
      <c r="U596" s="74">
        <v>0</v>
      </c>
      <c r="V596" s="74">
        <v>0</v>
      </c>
    </row>
    <row r="597" spans="3:22" x14ac:dyDescent="0.25">
      <c r="C597" s="74" t="s">
        <v>18795</v>
      </c>
      <c r="D597" s="74" t="s">
        <v>148</v>
      </c>
      <c r="E597" s="74" t="s">
        <v>21338</v>
      </c>
      <c r="F597" s="74">
        <v>551367</v>
      </c>
      <c r="G597" s="74">
        <v>1000</v>
      </c>
      <c r="H597" s="135">
        <v>42998.577974537038</v>
      </c>
      <c r="I597" s="74" t="s">
        <v>21339</v>
      </c>
      <c r="J597" s="74" t="s">
        <v>21340</v>
      </c>
      <c r="K597" s="74" t="s">
        <v>6904</v>
      </c>
      <c r="L597" s="74">
        <v>552526</v>
      </c>
      <c r="M597" s="74" t="s">
        <v>21341</v>
      </c>
      <c r="N597" s="74">
        <v>1</v>
      </c>
      <c r="O597" s="74" t="s">
        <v>21342</v>
      </c>
      <c r="P597" s="74" t="s">
        <v>21343</v>
      </c>
      <c r="Q597" s="74">
        <v>0</v>
      </c>
      <c r="R597" s="74" t="s">
        <v>148</v>
      </c>
      <c r="S597" s="74" t="s">
        <v>21338</v>
      </c>
      <c r="T597" s="74" t="s">
        <v>402</v>
      </c>
      <c r="U597" s="74">
        <v>0</v>
      </c>
      <c r="V597" s="74">
        <v>0</v>
      </c>
    </row>
    <row r="598" spans="3:22" x14ac:dyDescent="0.25">
      <c r="C598" s="74" t="s">
        <v>21386</v>
      </c>
      <c r="D598" s="74" t="s">
        <v>148</v>
      </c>
      <c r="E598" s="74" t="s">
        <v>21338</v>
      </c>
      <c r="F598" s="74">
        <v>674396</v>
      </c>
      <c r="G598" s="74">
        <v>3</v>
      </c>
      <c r="H598" s="135">
        <v>42998.573935185188</v>
      </c>
      <c r="I598" s="74" t="s">
        <v>21339</v>
      </c>
      <c r="J598" s="74" t="s">
        <v>21364</v>
      </c>
      <c r="K598" s="74" t="s">
        <v>21497</v>
      </c>
      <c r="L598" s="74">
        <v>909705</v>
      </c>
      <c r="M598" s="74" t="s">
        <v>21341</v>
      </c>
      <c r="N598" s="74">
        <v>1</v>
      </c>
      <c r="O598" s="74" t="s">
        <v>21342</v>
      </c>
      <c r="P598" s="74" t="s">
        <v>21343</v>
      </c>
      <c r="Q598" s="74">
        <v>0</v>
      </c>
      <c r="R598" s="74" t="s">
        <v>148</v>
      </c>
      <c r="S598" s="74" t="s">
        <v>21338</v>
      </c>
      <c r="T598" s="74" t="s">
        <v>402</v>
      </c>
      <c r="U598" s="74">
        <v>0</v>
      </c>
      <c r="V598" s="74">
        <v>0</v>
      </c>
    </row>
    <row r="599" spans="3:22" x14ac:dyDescent="0.25">
      <c r="C599" s="74" t="s">
        <v>21386</v>
      </c>
      <c r="D599" s="74" t="s">
        <v>148</v>
      </c>
      <c r="E599" s="74" t="s">
        <v>21338</v>
      </c>
      <c r="F599" s="74">
        <v>674396</v>
      </c>
      <c r="G599" s="74">
        <v>3</v>
      </c>
      <c r="H599" s="135">
        <v>42998.573923611111</v>
      </c>
      <c r="I599" s="74" t="s">
        <v>21398</v>
      </c>
      <c r="J599" s="74" t="s">
        <v>21366</v>
      </c>
      <c r="K599" s="74" t="s">
        <v>21367</v>
      </c>
      <c r="L599" s="74">
        <v>561482</v>
      </c>
      <c r="M599" s="74" t="s">
        <v>21368</v>
      </c>
      <c r="N599" s="74">
        <v>1</v>
      </c>
      <c r="O599" s="74" t="s">
        <v>21369</v>
      </c>
      <c r="P599" s="74" t="s">
        <v>21343</v>
      </c>
      <c r="Q599" s="74" t="s">
        <v>21502</v>
      </c>
      <c r="R599" s="74" t="s">
        <v>148</v>
      </c>
      <c r="S599" s="74" t="s">
        <v>21338</v>
      </c>
      <c r="T599" s="74" t="s">
        <v>21371</v>
      </c>
      <c r="U599" s="74">
        <v>0</v>
      </c>
      <c r="V599" s="74">
        <v>0</v>
      </c>
    </row>
    <row r="600" spans="3:22" x14ac:dyDescent="0.25">
      <c r="C600" s="74" t="s">
        <v>21386</v>
      </c>
      <c r="D600" s="74" t="s">
        <v>148</v>
      </c>
      <c r="E600" s="74" t="s">
        <v>21338</v>
      </c>
      <c r="F600" s="74">
        <v>674396</v>
      </c>
      <c r="G600" s="74">
        <v>3</v>
      </c>
      <c r="H600" s="135">
        <v>42998.573865740742</v>
      </c>
      <c r="I600" s="74" t="s">
        <v>21398</v>
      </c>
      <c r="J600" s="74" t="s">
        <v>21366</v>
      </c>
      <c r="K600" s="74" t="s">
        <v>21381</v>
      </c>
      <c r="L600" s="74">
        <v>555660</v>
      </c>
      <c r="M600" s="74" t="s">
        <v>21368</v>
      </c>
      <c r="N600" s="74">
        <v>1</v>
      </c>
      <c r="O600" s="74" t="s">
        <v>21369</v>
      </c>
      <c r="P600" s="74" t="s">
        <v>21343</v>
      </c>
      <c r="Q600" s="74" t="s">
        <v>21502</v>
      </c>
      <c r="R600" s="74" t="s">
        <v>148</v>
      </c>
      <c r="S600" s="74" t="s">
        <v>21338</v>
      </c>
      <c r="T600" s="74" t="s">
        <v>21371</v>
      </c>
      <c r="U600" s="74">
        <v>0</v>
      </c>
      <c r="V600" s="74">
        <v>0</v>
      </c>
    </row>
    <row r="601" spans="3:22" x14ac:dyDescent="0.25">
      <c r="C601" s="74" t="s">
        <v>21386</v>
      </c>
      <c r="D601" s="74" t="s">
        <v>148</v>
      </c>
      <c r="E601" s="74" t="s">
        <v>21338</v>
      </c>
      <c r="F601" s="74">
        <v>674396</v>
      </c>
      <c r="G601" s="74">
        <v>3</v>
      </c>
      <c r="H601" s="135">
        <v>42998.573761574073</v>
      </c>
      <c r="I601" s="74" t="s">
        <v>21339</v>
      </c>
      <c r="J601" s="74" t="s">
        <v>21364</v>
      </c>
      <c r="K601" s="74" t="s">
        <v>21497</v>
      </c>
      <c r="L601" s="74">
        <v>909705</v>
      </c>
      <c r="M601" s="74" t="s">
        <v>21341</v>
      </c>
      <c r="N601" s="74">
        <v>1</v>
      </c>
      <c r="O601" s="74" t="s">
        <v>21342</v>
      </c>
      <c r="P601" s="74" t="s">
        <v>21343</v>
      </c>
      <c r="Q601" s="74">
        <v>0</v>
      </c>
      <c r="R601" s="74" t="s">
        <v>148</v>
      </c>
      <c r="S601" s="74" t="s">
        <v>21338</v>
      </c>
      <c r="T601" s="74" t="s">
        <v>402</v>
      </c>
      <c r="U601" s="74">
        <v>0</v>
      </c>
      <c r="V601" s="74">
        <v>0</v>
      </c>
    </row>
    <row r="602" spans="3:22" x14ac:dyDescent="0.25">
      <c r="C602" s="74" t="s">
        <v>21386</v>
      </c>
      <c r="D602" s="74" t="s">
        <v>148</v>
      </c>
      <c r="E602" s="74" t="s">
        <v>21338</v>
      </c>
      <c r="F602" s="74">
        <v>674396</v>
      </c>
      <c r="G602" s="74">
        <v>3</v>
      </c>
      <c r="H602" s="135">
        <v>42998.573379629626</v>
      </c>
      <c r="I602" s="74" t="s">
        <v>21339</v>
      </c>
      <c r="J602" s="74" t="s">
        <v>21364</v>
      </c>
      <c r="K602" s="74" t="s">
        <v>21497</v>
      </c>
      <c r="L602" s="74">
        <v>909705</v>
      </c>
      <c r="M602" s="74" t="s">
        <v>21341</v>
      </c>
      <c r="N602" s="74">
        <v>1</v>
      </c>
      <c r="O602" s="74" t="s">
        <v>21342</v>
      </c>
      <c r="P602" s="74" t="s">
        <v>21343</v>
      </c>
      <c r="Q602" s="74">
        <v>0</v>
      </c>
      <c r="R602" s="74" t="s">
        <v>148</v>
      </c>
      <c r="S602" s="74" t="s">
        <v>21338</v>
      </c>
      <c r="T602" s="74" t="s">
        <v>402</v>
      </c>
      <c r="U602" s="74">
        <v>0</v>
      </c>
      <c r="V602" s="74">
        <v>0</v>
      </c>
    </row>
    <row r="603" spans="3:22" x14ac:dyDescent="0.25">
      <c r="C603" s="74" t="s">
        <v>18795</v>
      </c>
      <c r="D603" s="74" t="s">
        <v>148</v>
      </c>
      <c r="E603" s="74" t="s">
        <v>21338</v>
      </c>
      <c r="F603" s="74">
        <v>551367</v>
      </c>
      <c r="G603" s="74">
        <v>1000</v>
      </c>
      <c r="H603" s="135">
        <v>42998.573333333334</v>
      </c>
      <c r="I603" s="74" t="s">
        <v>21339</v>
      </c>
      <c r="J603" s="74" t="s">
        <v>21340</v>
      </c>
      <c r="K603" s="74" t="s">
        <v>6000</v>
      </c>
      <c r="L603" s="74">
        <v>552397</v>
      </c>
      <c r="M603" s="74" t="s">
        <v>21341</v>
      </c>
      <c r="N603" s="74">
        <v>1</v>
      </c>
      <c r="O603" s="74" t="s">
        <v>21342</v>
      </c>
      <c r="P603" s="74" t="s">
        <v>21343</v>
      </c>
      <c r="Q603" s="74">
        <v>0</v>
      </c>
      <c r="R603" s="74" t="s">
        <v>148</v>
      </c>
      <c r="S603" s="74" t="s">
        <v>21338</v>
      </c>
      <c r="T603" s="74" t="s">
        <v>402</v>
      </c>
      <c r="U603" s="74">
        <v>0</v>
      </c>
      <c r="V603" s="74">
        <v>0</v>
      </c>
    </row>
    <row r="604" spans="3:22" x14ac:dyDescent="0.25">
      <c r="C604" s="74" t="s">
        <v>21386</v>
      </c>
      <c r="D604" s="74" t="s">
        <v>148</v>
      </c>
      <c r="E604" s="74" t="s">
        <v>21338</v>
      </c>
      <c r="F604" s="74">
        <v>674396</v>
      </c>
      <c r="G604" s="74">
        <v>3</v>
      </c>
      <c r="H604" s="135">
        <v>42998.571192129632</v>
      </c>
      <c r="I604" s="74" t="s">
        <v>21398</v>
      </c>
      <c r="J604" s="74" t="s">
        <v>21400</v>
      </c>
      <c r="K604" s="74" t="s">
        <v>21497</v>
      </c>
      <c r="L604" s="74">
        <v>909705</v>
      </c>
      <c r="M604" s="74" t="s">
        <v>21341</v>
      </c>
      <c r="N604" s="74">
        <v>1</v>
      </c>
      <c r="O604" s="74" t="s">
        <v>21342</v>
      </c>
      <c r="P604" s="74" t="s">
        <v>21343</v>
      </c>
      <c r="Q604" s="74" t="s">
        <v>21503</v>
      </c>
      <c r="R604" s="74" t="s">
        <v>148</v>
      </c>
      <c r="S604" s="74" t="s">
        <v>21338</v>
      </c>
      <c r="T604" s="74" t="s">
        <v>402</v>
      </c>
      <c r="U604" s="74">
        <v>0</v>
      </c>
      <c r="V604" s="74">
        <v>0</v>
      </c>
    </row>
    <row r="605" spans="3:22" x14ac:dyDescent="0.25">
      <c r="C605" s="74" t="s">
        <v>18795</v>
      </c>
      <c r="D605" s="74" t="s">
        <v>148</v>
      </c>
      <c r="E605" s="74" t="s">
        <v>21338</v>
      </c>
      <c r="F605" s="74">
        <v>551367</v>
      </c>
      <c r="G605" s="74">
        <v>1000</v>
      </c>
      <c r="H605" s="135">
        <v>42998.568495370368</v>
      </c>
      <c r="I605" s="74" t="s">
        <v>21339</v>
      </c>
      <c r="J605" s="74" t="s">
        <v>21340</v>
      </c>
      <c r="K605" s="74" t="s">
        <v>5039</v>
      </c>
      <c r="L605" s="74">
        <v>552269</v>
      </c>
      <c r="M605" s="74" t="s">
        <v>21341</v>
      </c>
      <c r="N605" s="74">
        <v>1</v>
      </c>
      <c r="O605" s="74" t="s">
        <v>21342</v>
      </c>
      <c r="P605" s="74" t="s">
        <v>21343</v>
      </c>
      <c r="Q605" s="74">
        <v>0</v>
      </c>
      <c r="R605" s="74" t="s">
        <v>148</v>
      </c>
      <c r="S605" s="74" t="s">
        <v>21338</v>
      </c>
      <c r="T605" s="74" t="s">
        <v>402</v>
      </c>
      <c r="U605" s="74">
        <v>0</v>
      </c>
      <c r="V605" s="74">
        <v>0</v>
      </c>
    </row>
    <row r="606" spans="3:22" x14ac:dyDescent="0.25">
      <c r="C606" s="74" t="s">
        <v>18795</v>
      </c>
      <c r="D606" s="74" t="s">
        <v>148</v>
      </c>
      <c r="E606" s="74" t="s">
        <v>21338</v>
      </c>
      <c r="F606" s="74">
        <v>551367</v>
      </c>
      <c r="G606" s="74">
        <v>1000</v>
      </c>
      <c r="H606" s="135">
        <v>42998.555451388886</v>
      </c>
      <c r="I606" s="74" t="s">
        <v>21339</v>
      </c>
      <c r="J606" s="74" t="s">
        <v>21340</v>
      </c>
      <c r="K606" s="74" t="s">
        <v>5381</v>
      </c>
      <c r="L606" s="74">
        <v>552324</v>
      </c>
      <c r="M606" s="74" t="s">
        <v>21341</v>
      </c>
      <c r="N606" s="74">
        <v>1</v>
      </c>
      <c r="O606" s="74" t="s">
        <v>21342</v>
      </c>
      <c r="P606" s="74" t="s">
        <v>21343</v>
      </c>
      <c r="Q606" s="74">
        <v>0</v>
      </c>
      <c r="R606" s="74" t="s">
        <v>148</v>
      </c>
      <c r="S606" s="74" t="s">
        <v>21338</v>
      </c>
      <c r="T606" s="74" t="s">
        <v>402</v>
      </c>
      <c r="U606" s="74">
        <v>0</v>
      </c>
      <c r="V606" s="74">
        <v>0</v>
      </c>
    </row>
    <row r="607" spans="3:22" x14ac:dyDescent="0.25">
      <c r="C607" s="74" t="s">
        <v>735</v>
      </c>
      <c r="D607" s="74" t="s">
        <v>148</v>
      </c>
      <c r="E607" s="74" t="s">
        <v>21338</v>
      </c>
      <c r="F607" s="74">
        <v>570025</v>
      </c>
      <c r="G607" s="74">
        <v>3</v>
      </c>
      <c r="H607" s="135">
        <v>42998.555046296293</v>
      </c>
      <c r="I607" s="74" t="s">
        <v>21339</v>
      </c>
      <c r="J607" s="74" t="s">
        <v>21465</v>
      </c>
      <c r="K607" s="74" t="s">
        <v>21467</v>
      </c>
      <c r="L607" s="74">
        <v>908518</v>
      </c>
      <c r="M607" s="74" t="s">
        <v>21341</v>
      </c>
      <c r="N607" s="74">
        <v>1</v>
      </c>
      <c r="O607" s="74" t="s">
        <v>21359</v>
      </c>
      <c r="P607" s="74" t="s">
        <v>21343</v>
      </c>
      <c r="Q607" s="74" t="s">
        <v>21504</v>
      </c>
      <c r="R607" s="74" t="s">
        <v>148</v>
      </c>
      <c r="S607" s="74" t="s">
        <v>21338</v>
      </c>
      <c r="T607" s="74" t="s">
        <v>402</v>
      </c>
      <c r="U607" s="74">
        <v>0</v>
      </c>
      <c r="V607" s="74">
        <v>0</v>
      </c>
    </row>
    <row r="608" spans="3:22" x14ac:dyDescent="0.25">
      <c r="C608" s="74" t="s">
        <v>735</v>
      </c>
      <c r="D608" s="74" t="s">
        <v>148</v>
      </c>
      <c r="E608" s="74" t="s">
        <v>21338</v>
      </c>
      <c r="F608" s="74">
        <v>570025</v>
      </c>
      <c r="G608" s="74">
        <v>3</v>
      </c>
      <c r="H608" s="135">
        <v>42998.554930555554</v>
      </c>
      <c r="I608" s="74" t="s">
        <v>21398</v>
      </c>
      <c r="J608" s="74" t="s">
        <v>21357</v>
      </c>
      <c r="K608" s="74" t="s">
        <v>21505</v>
      </c>
      <c r="L608" s="74">
        <v>908518</v>
      </c>
      <c r="M608" s="74" t="s">
        <v>21341</v>
      </c>
      <c r="N608" s="74">
        <v>1</v>
      </c>
      <c r="O608" s="74" t="s">
        <v>21359</v>
      </c>
      <c r="P608" s="74" t="s">
        <v>21343</v>
      </c>
      <c r="Q608" s="74" t="s">
        <v>21506</v>
      </c>
      <c r="R608" s="74" t="s">
        <v>148</v>
      </c>
      <c r="S608" s="74" t="s">
        <v>21338</v>
      </c>
      <c r="T608" s="74" t="s">
        <v>402</v>
      </c>
      <c r="U608" s="74">
        <v>0</v>
      </c>
      <c r="V608" s="74">
        <v>0</v>
      </c>
    </row>
    <row r="609" spans="3:22" x14ac:dyDescent="0.25">
      <c r="C609" s="74" t="s">
        <v>18795</v>
      </c>
      <c r="D609" s="74" t="s">
        <v>148</v>
      </c>
      <c r="E609" s="74" t="s">
        <v>21338</v>
      </c>
      <c r="F609" s="74">
        <v>551367</v>
      </c>
      <c r="G609" s="74">
        <v>1000</v>
      </c>
      <c r="H609" s="135">
        <v>42998.548518518517</v>
      </c>
      <c r="I609" s="74" t="s">
        <v>21339</v>
      </c>
      <c r="J609" s="74" t="s">
        <v>21340</v>
      </c>
      <c r="K609" s="74" t="s">
        <v>21507</v>
      </c>
      <c r="L609" s="74">
        <v>865816</v>
      </c>
      <c r="M609" s="74" t="s">
        <v>21341</v>
      </c>
      <c r="N609" s="74">
        <v>1</v>
      </c>
      <c r="O609" s="74" t="s">
        <v>21342</v>
      </c>
      <c r="P609" s="74" t="s">
        <v>21343</v>
      </c>
      <c r="Q609" s="74">
        <v>0</v>
      </c>
      <c r="R609" s="74" t="s">
        <v>148</v>
      </c>
      <c r="S609" s="74" t="s">
        <v>21338</v>
      </c>
      <c r="T609" s="74" t="s">
        <v>402</v>
      </c>
      <c r="U609" s="74">
        <v>0</v>
      </c>
      <c r="V609" s="74">
        <v>0</v>
      </c>
    </row>
    <row r="610" spans="3:22" x14ac:dyDescent="0.25">
      <c r="C610" s="74" t="s">
        <v>18795</v>
      </c>
      <c r="D610" s="74" t="s">
        <v>148</v>
      </c>
      <c r="E610" s="74" t="s">
        <v>21338</v>
      </c>
      <c r="F610" s="74">
        <v>551367</v>
      </c>
      <c r="G610" s="74">
        <v>1000</v>
      </c>
      <c r="H610" s="135">
        <v>42998.542361111111</v>
      </c>
      <c r="I610" s="74" t="s">
        <v>21339</v>
      </c>
      <c r="J610" s="74" t="s">
        <v>21340</v>
      </c>
      <c r="K610" s="74" t="s">
        <v>6137</v>
      </c>
      <c r="L610" s="74">
        <v>552421</v>
      </c>
      <c r="M610" s="74" t="s">
        <v>21341</v>
      </c>
      <c r="N610" s="74">
        <v>1</v>
      </c>
      <c r="O610" s="74" t="s">
        <v>21342</v>
      </c>
      <c r="P610" s="74" t="s">
        <v>21343</v>
      </c>
      <c r="Q610" s="74">
        <v>0</v>
      </c>
      <c r="R610" s="74" t="s">
        <v>148</v>
      </c>
      <c r="S610" s="74" t="s">
        <v>21338</v>
      </c>
      <c r="T610" s="74" t="s">
        <v>402</v>
      </c>
      <c r="U610" s="74">
        <v>0</v>
      </c>
      <c r="V610" s="74">
        <v>0</v>
      </c>
    </row>
    <row r="611" spans="3:22" x14ac:dyDescent="0.25">
      <c r="C611" s="74" t="s">
        <v>21347</v>
      </c>
      <c r="D611" s="74" t="s">
        <v>148</v>
      </c>
      <c r="E611" s="74" t="s">
        <v>21338</v>
      </c>
      <c r="F611" s="74">
        <v>637976</v>
      </c>
      <c r="G611" s="74">
        <v>1</v>
      </c>
      <c r="H611" s="135">
        <v>42998.522928240738</v>
      </c>
      <c r="I611" s="74" t="s">
        <v>244</v>
      </c>
      <c r="J611" s="74" t="s">
        <v>21349</v>
      </c>
      <c r="K611" s="74" t="s">
        <v>21347</v>
      </c>
      <c r="L611" s="74">
        <v>637976</v>
      </c>
      <c r="M611" s="74" t="s">
        <v>21341</v>
      </c>
      <c r="N611" s="74">
        <v>0</v>
      </c>
      <c r="O611" s="74" t="s">
        <v>21350</v>
      </c>
      <c r="P611" s="74" t="s">
        <v>21343</v>
      </c>
      <c r="Q611" s="74">
        <v>0</v>
      </c>
      <c r="R611" s="74" t="s">
        <v>148</v>
      </c>
      <c r="S611" s="74" t="s">
        <v>21338</v>
      </c>
      <c r="T611" s="74" t="s">
        <v>402</v>
      </c>
      <c r="U611" s="74">
        <v>0</v>
      </c>
      <c r="V611" s="74">
        <v>0</v>
      </c>
    </row>
    <row r="612" spans="3:22" x14ac:dyDescent="0.25">
      <c r="C612" s="74" t="s">
        <v>21347</v>
      </c>
      <c r="D612" s="74" t="s">
        <v>148</v>
      </c>
      <c r="E612" s="74" t="s">
        <v>21338</v>
      </c>
      <c r="F612" s="74">
        <v>637976</v>
      </c>
      <c r="G612" s="74">
        <v>1</v>
      </c>
      <c r="H612" s="135">
        <v>42998.522916666669</v>
      </c>
      <c r="I612" s="74" t="s">
        <v>21348</v>
      </c>
      <c r="J612" s="74" t="s">
        <v>21349</v>
      </c>
      <c r="K612" s="74" t="s">
        <v>21347</v>
      </c>
      <c r="L612" s="74">
        <v>637976</v>
      </c>
      <c r="M612" s="74" t="s">
        <v>21341</v>
      </c>
      <c r="N612" s="74">
        <v>0</v>
      </c>
      <c r="O612" s="74" t="s">
        <v>21350</v>
      </c>
      <c r="P612" s="74" t="s">
        <v>21343</v>
      </c>
      <c r="Q612" s="74">
        <v>0</v>
      </c>
      <c r="R612" s="74" t="s">
        <v>148</v>
      </c>
      <c r="S612" s="74" t="s">
        <v>21338</v>
      </c>
      <c r="T612" s="74" t="s">
        <v>402</v>
      </c>
      <c r="U612" s="74">
        <v>0</v>
      </c>
      <c r="V612" s="74">
        <v>0</v>
      </c>
    </row>
    <row r="613" spans="3:22" x14ac:dyDescent="0.25">
      <c r="C613" s="74" t="s">
        <v>18795</v>
      </c>
      <c r="D613" s="74" t="s">
        <v>148</v>
      </c>
      <c r="E613" s="74" t="s">
        <v>21338</v>
      </c>
      <c r="F613" s="74">
        <v>551367</v>
      </c>
      <c r="G613" s="74">
        <v>1000</v>
      </c>
      <c r="H613" s="135">
        <v>42998.51972222222</v>
      </c>
      <c r="I613" s="74" t="s">
        <v>21339</v>
      </c>
      <c r="J613" s="74" t="s">
        <v>21340</v>
      </c>
      <c r="K613" s="74" t="s">
        <v>17451</v>
      </c>
      <c r="L613" s="74">
        <v>553873</v>
      </c>
      <c r="M613" s="74" t="s">
        <v>21341</v>
      </c>
      <c r="N613" s="74">
        <v>1</v>
      </c>
      <c r="O613" s="74" t="s">
        <v>21342</v>
      </c>
      <c r="P613" s="74" t="s">
        <v>21343</v>
      </c>
      <c r="Q613" s="74">
        <v>0</v>
      </c>
      <c r="R613" s="74" t="s">
        <v>148</v>
      </c>
      <c r="S613" s="74" t="s">
        <v>21338</v>
      </c>
      <c r="T613" s="74" t="s">
        <v>402</v>
      </c>
      <c r="U613" s="74">
        <v>0</v>
      </c>
      <c r="V613" s="74">
        <v>0</v>
      </c>
    </row>
    <row r="614" spans="3:22" x14ac:dyDescent="0.25">
      <c r="C614" s="74" t="s">
        <v>18795</v>
      </c>
      <c r="D614" s="74" t="s">
        <v>148</v>
      </c>
      <c r="E614" s="74" t="s">
        <v>21338</v>
      </c>
      <c r="F614" s="74">
        <v>551367</v>
      </c>
      <c r="G614" s="74">
        <v>1000</v>
      </c>
      <c r="H614" s="135">
        <v>42998.519479166665</v>
      </c>
      <c r="I614" s="74" t="s">
        <v>21339</v>
      </c>
      <c r="J614" s="74" t="s">
        <v>21340</v>
      </c>
      <c r="K614" s="74" t="s">
        <v>12610</v>
      </c>
      <c r="L614" s="74">
        <v>553252</v>
      </c>
      <c r="M614" s="74" t="s">
        <v>21341</v>
      </c>
      <c r="N614" s="74">
        <v>1</v>
      </c>
      <c r="O614" s="74" t="s">
        <v>21342</v>
      </c>
      <c r="P614" s="74" t="s">
        <v>21343</v>
      </c>
      <c r="Q614" s="74">
        <v>0</v>
      </c>
      <c r="R614" s="74" t="s">
        <v>148</v>
      </c>
      <c r="S614" s="74" t="s">
        <v>21338</v>
      </c>
      <c r="T614" s="74" t="s">
        <v>402</v>
      </c>
      <c r="U614" s="74">
        <v>0</v>
      </c>
      <c r="V614" s="74">
        <v>0</v>
      </c>
    </row>
    <row r="615" spans="3:22" x14ac:dyDescent="0.25">
      <c r="C615" s="74" t="s">
        <v>21379</v>
      </c>
      <c r="D615" s="74" t="s">
        <v>148</v>
      </c>
      <c r="E615" s="74" t="s">
        <v>21338</v>
      </c>
      <c r="F615" s="74">
        <v>809833</v>
      </c>
      <c r="G615" s="74">
        <v>3</v>
      </c>
      <c r="H615" s="135">
        <v>42998.49559027778</v>
      </c>
      <c r="I615" s="74" t="s">
        <v>21354</v>
      </c>
      <c r="J615" s="74" t="s">
        <v>21355</v>
      </c>
      <c r="K615" s="74" t="s">
        <v>2207</v>
      </c>
      <c r="L615" s="74">
        <v>551936</v>
      </c>
      <c r="M615" s="74" t="s">
        <v>21341</v>
      </c>
      <c r="N615" s="74">
        <v>1</v>
      </c>
      <c r="O615" s="74" t="s">
        <v>21342</v>
      </c>
      <c r="P615" s="74" t="s">
        <v>21345</v>
      </c>
      <c r="R615" s="74" t="s">
        <v>148</v>
      </c>
      <c r="S615" s="74" t="s">
        <v>21338</v>
      </c>
      <c r="T615" s="74" t="s">
        <v>402</v>
      </c>
      <c r="U615" s="74">
        <v>0</v>
      </c>
      <c r="V615" s="74">
        <v>0</v>
      </c>
    </row>
    <row r="616" spans="3:22" x14ac:dyDescent="0.25">
      <c r="C616" s="74" t="s">
        <v>18795</v>
      </c>
      <c r="D616" s="74" t="s">
        <v>148</v>
      </c>
      <c r="E616" s="74" t="s">
        <v>21338</v>
      </c>
      <c r="F616" s="74">
        <v>551367</v>
      </c>
      <c r="G616" s="74">
        <v>1000</v>
      </c>
      <c r="H616" s="135">
        <v>42998.494722222225</v>
      </c>
      <c r="I616" s="74" t="s">
        <v>21339</v>
      </c>
      <c r="J616" s="74" t="s">
        <v>21340</v>
      </c>
      <c r="K616" s="74" t="s">
        <v>1630</v>
      </c>
      <c r="L616" s="74">
        <v>551858</v>
      </c>
      <c r="M616" s="74" t="s">
        <v>21341</v>
      </c>
      <c r="N616" s="74">
        <v>1</v>
      </c>
      <c r="O616" s="74" t="s">
        <v>21342</v>
      </c>
      <c r="P616" s="74" t="s">
        <v>21343</v>
      </c>
      <c r="Q616" s="74">
        <v>0</v>
      </c>
      <c r="R616" s="74" t="s">
        <v>148</v>
      </c>
      <c r="S616" s="74" t="s">
        <v>21338</v>
      </c>
      <c r="T616" s="74" t="s">
        <v>402</v>
      </c>
      <c r="U616" s="74">
        <v>0</v>
      </c>
      <c r="V616" s="74">
        <v>0</v>
      </c>
    </row>
    <row r="617" spans="3:22" x14ac:dyDescent="0.25">
      <c r="C617" s="74" t="s">
        <v>18795</v>
      </c>
      <c r="D617" s="74" t="s">
        <v>148</v>
      </c>
      <c r="E617" s="74" t="s">
        <v>21338</v>
      </c>
      <c r="F617" s="74">
        <v>551367</v>
      </c>
      <c r="G617" s="74">
        <v>1000</v>
      </c>
      <c r="H617" s="135">
        <v>42998.494363425925</v>
      </c>
      <c r="I617" s="74" t="s">
        <v>21339</v>
      </c>
      <c r="J617" s="74" t="s">
        <v>21340</v>
      </c>
      <c r="K617" s="74" t="s">
        <v>5381</v>
      </c>
      <c r="L617" s="74">
        <v>552324</v>
      </c>
      <c r="M617" s="74" t="s">
        <v>21341</v>
      </c>
      <c r="N617" s="74">
        <v>1</v>
      </c>
      <c r="O617" s="74" t="s">
        <v>21342</v>
      </c>
      <c r="P617" s="74" t="s">
        <v>21343</v>
      </c>
      <c r="Q617" s="74">
        <v>0</v>
      </c>
      <c r="R617" s="74" t="s">
        <v>148</v>
      </c>
      <c r="S617" s="74" t="s">
        <v>21338</v>
      </c>
      <c r="T617" s="74" t="s">
        <v>402</v>
      </c>
      <c r="U617" s="74">
        <v>0</v>
      </c>
      <c r="V617" s="74">
        <v>0</v>
      </c>
    </row>
    <row r="618" spans="3:22" x14ac:dyDescent="0.25">
      <c r="C618" s="74" t="s">
        <v>18795</v>
      </c>
      <c r="D618" s="74" t="s">
        <v>148</v>
      </c>
      <c r="E618" s="74" t="s">
        <v>21338</v>
      </c>
      <c r="F618" s="74">
        <v>551367</v>
      </c>
      <c r="G618" s="74">
        <v>1000</v>
      </c>
      <c r="H618" s="135">
        <v>42998.487905092596</v>
      </c>
      <c r="I618" s="74" t="s">
        <v>21339</v>
      </c>
      <c r="J618" s="74" t="s">
        <v>21340</v>
      </c>
      <c r="K618" s="74" t="s">
        <v>5381</v>
      </c>
      <c r="L618" s="74">
        <v>552324</v>
      </c>
      <c r="M618" s="74" t="s">
        <v>21341</v>
      </c>
      <c r="N618" s="74">
        <v>1</v>
      </c>
      <c r="O618" s="74" t="s">
        <v>21342</v>
      </c>
      <c r="P618" s="74" t="s">
        <v>21343</v>
      </c>
      <c r="Q618" s="74">
        <v>0</v>
      </c>
      <c r="R618" s="74" t="s">
        <v>148</v>
      </c>
      <c r="S618" s="74" t="s">
        <v>21338</v>
      </c>
      <c r="T618" s="74" t="s">
        <v>402</v>
      </c>
      <c r="U618" s="74">
        <v>0</v>
      </c>
      <c r="V618" s="74">
        <v>0</v>
      </c>
    </row>
    <row r="619" spans="3:22" x14ac:dyDescent="0.25">
      <c r="C619" s="74" t="s">
        <v>18795</v>
      </c>
      <c r="D619" s="74" t="s">
        <v>148</v>
      </c>
      <c r="E619" s="74" t="s">
        <v>21338</v>
      </c>
      <c r="F619" s="74">
        <v>551367</v>
      </c>
      <c r="G619" s="74">
        <v>1000</v>
      </c>
      <c r="H619" s="135">
        <v>42998.483483796299</v>
      </c>
      <c r="I619" s="74" t="s">
        <v>21339</v>
      </c>
      <c r="J619" s="74" t="s">
        <v>21340</v>
      </c>
      <c r="K619" s="74" t="s">
        <v>21508</v>
      </c>
      <c r="L619" s="74">
        <v>560256</v>
      </c>
      <c r="M619" s="74" t="s">
        <v>21341</v>
      </c>
      <c r="N619" s="74">
        <v>1</v>
      </c>
      <c r="O619" s="74" t="s">
        <v>21342</v>
      </c>
      <c r="P619" s="74" t="s">
        <v>21343</v>
      </c>
      <c r="Q619" s="74">
        <v>0</v>
      </c>
      <c r="R619" s="74" t="s">
        <v>148</v>
      </c>
      <c r="S619" s="74" t="s">
        <v>21338</v>
      </c>
      <c r="T619" s="74" t="s">
        <v>393</v>
      </c>
      <c r="U619" s="74">
        <v>0</v>
      </c>
      <c r="V619" s="74">
        <v>0</v>
      </c>
    </row>
    <row r="620" spans="3:22" x14ac:dyDescent="0.25">
      <c r="C620" s="74" t="s">
        <v>18795</v>
      </c>
      <c r="D620" s="74" t="s">
        <v>148</v>
      </c>
      <c r="E620" s="74" t="s">
        <v>21338</v>
      </c>
      <c r="F620" s="74">
        <v>551367</v>
      </c>
      <c r="G620" s="74">
        <v>1000</v>
      </c>
      <c r="H620" s="135">
        <v>42998.460162037038</v>
      </c>
      <c r="I620" s="74" t="s">
        <v>21339</v>
      </c>
      <c r="J620" s="74" t="s">
        <v>21340</v>
      </c>
      <c r="K620" s="74" t="s">
        <v>14172</v>
      </c>
      <c r="L620" s="74">
        <v>553462</v>
      </c>
      <c r="M620" s="74" t="s">
        <v>21341</v>
      </c>
      <c r="N620" s="74">
        <v>1</v>
      </c>
      <c r="O620" s="74" t="s">
        <v>21342</v>
      </c>
      <c r="P620" s="74" t="s">
        <v>21343</v>
      </c>
      <c r="Q620" s="74">
        <v>0</v>
      </c>
      <c r="R620" s="74" t="s">
        <v>148</v>
      </c>
      <c r="S620" s="74" t="s">
        <v>21338</v>
      </c>
      <c r="T620" s="74" t="s">
        <v>393</v>
      </c>
      <c r="U620" s="74">
        <v>0</v>
      </c>
      <c r="V620" s="74">
        <v>0</v>
      </c>
    </row>
    <row r="621" spans="3:22" x14ac:dyDescent="0.25">
      <c r="C621" s="74" t="s">
        <v>18795</v>
      </c>
      <c r="D621" s="74" t="s">
        <v>148</v>
      </c>
      <c r="E621" s="74" t="s">
        <v>21338</v>
      </c>
      <c r="F621" s="74">
        <v>551367</v>
      </c>
      <c r="G621" s="74">
        <v>1000</v>
      </c>
      <c r="H621" s="135">
        <v>42998.441342592596</v>
      </c>
      <c r="I621" s="74" t="s">
        <v>21339</v>
      </c>
      <c r="J621" s="74" t="s">
        <v>21340</v>
      </c>
      <c r="K621" s="74" t="s">
        <v>2440</v>
      </c>
      <c r="L621" s="74">
        <v>551969</v>
      </c>
      <c r="M621" s="74" t="s">
        <v>21341</v>
      </c>
      <c r="N621" s="74">
        <v>1</v>
      </c>
      <c r="O621" s="74" t="s">
        <v>21342</v>
      </c>
      <c r="P621" s="74" t="s">
        <v>21343</v>
      </c>
      <c r="Q621" s="74">
        <v>0</v>
      </c>
      <c r="R621" s="74" t="s">
        <v>148</v>
      </c>
      <c r="S621" s="74" t="s">
        <v>21338</v>
      </c>
      <c r="T621" s="74" t="s">
        <v>402</v>
      </c>
      <c r="U621" s="74">
        <v>0</v>
      </c>
      <c r="V621" s="74">
        <v>0</v>
      </c>
    </row>
    <row r="622" spans="3:22" x14ac:dyDescent="0.25">
      <c r="C622" s="74" t="s">
        <v>21379</v>
      </c>
      <c r="D622" s="74" t="s">
        <v>148</v>
      </c>
      <c r="E622" s="74" t="s">
        <v>21338</v>
      </c>
      <c r="F622" s="74">
        <v>809833</v>
      </c>
      <c r="G622" s="74">
        <v>3</v>
      </c>
      <c r="H622" s="135">
        <v>42998.434270833335</v>
      </c>
      <c r="I622" s="74" t="s">
        <v>21354</v>
      </c>
      <c r="J622" s="74" t="s">
        <v>21355</v>
      </c>
      <c r="K622" s="74" t="s">
        <v>16042</v>
      </c>
      <c r="L622" s="74">
        <v>553688</v>
      </c>
      <c r="M622" s="74" t="s">
        <v>21341</v>
      </c>
      <c r="N622" s="74">
        <v>1</v>
      </c>
      <c r="O622" s="74" t="s">
        <v>21342</v>
      </c>
      <c r="P622" s="74" t="s">
        <v>21345</v>
      </c>
      <c r="R622" s="74" t="s">
        <v>148</v>
      </c>
      <c r="S622" s="74" t="s">
        <v>21338</v>
      </c>
      <c r="T622" s="74" t="s">
        <v>402</v>
      </c>
      <c r="U622" s="74">
        <v>0</v>
      </c>
      <c r="V622" s="74">
        <v>0</v>
      </c>
    </row>
    <row r="623" spans="3:22" x14ac:dyDescent="0.25">
      <c r="C623" s="74" t="s">
        <v>18795</v>
      </c>
      <c r="D623" s="74" t="s">
        <v>148</v>
      </c>
      <c r="E623" s="74" t="s">
        <v>21338</v>
      </c>
      <c r="F623" s="74">
        <v>551367</v>
      </c>
      <c r="G623" s="74">
        <v>1000</v>
      </c>
      <c r="H623" s="135">
        <v>42998.434259259258</v>
      </c>
      <c r="I623" s="74" t="s">
        <v>21339</v>
      </c>
      <c r="J623" s="74" t="s">
        <v>21340</v>
      </c>
      <c r="K623" s="74" t="s">
        <v>10041</v>
      </c>
      <c r="L623" s="74">
        <v>552926</v>
      </c>
      <c r="M623" s="74" t="s">
        <v>21341</v>
      </c>
      <c r="N623" s="74">
        <v>1</v>
      </c>
      <c r="O623" s="74" t="s">
        <v>21342</v>
      </c>
      <c r="P623" s="74" t="s">
        <v>21343</v>
      </c>
      <c r="Q623" s="74">
        <v>0</v>
      </c>
      <c r="R623" s="74" t="s">
        <v>148</v>
      </c>
      <c r="S623" s="74" t="s">
        <v>21338</v>
      </c>
      <c r="T623" s="74" t="s">
        <v>402</v>
      </c>
      <c r="U623" s="74">
        <v>0</v>
      </c>
      <c r="V623" s="74">
        <v>0</v>
      </c>
    </row>
    <row r="624" spans="3:22" x14ac:dyDescent="0.25">
      <c r="C624" s="74" t="s">
        <v>18795</v>
      </c>
      <c r="D624" s="74" t="s">
        <v>148</v>
      </c>
      <c r="E624" s="74" t="s">
        <v>21338</v>
      </c>
      <c r="F624" s="74">
        <v>551367</v>
      </c>
      <c r="G624" s="74">
        <v>1000</v>
      </c>
      <c r="H624" s="135">
        <v>42998.433483796296</v>
      </c>
      <c r="I624" s="74" t="s">
        <v>21339</v>
      </c>
      <c r="J624" s="74" t="s">
        <v>21340</v>
      </c>
      <c r="K624" s="74" t="s">
        <v>10041</v>
      </c>
      <c r="L624" s="74">
        <v>552926</v>
      </c>
      <c r="M624" s="74" t="s">
        <v>21341</v>
      </c>
      <c r="N624" s="74">
        <v>1</v>
      </c>
      <c r="O624" s="74" t="s">
        <v>21342</v>
      </c>
      <c r="P624" s="74" t="s">
        <v>21343</v>
      </c>
      <c r="Q624" s="74">
        <v>0</v>
      </c>
      <c r="R624" s="74" t="s">
        <v>148</v>
      </c>
      <c r="S624" s="74" t="s">
        <v>21338</v>
      </c>
      <c r="T624" s="74" t="s">
        <v>402</v>
      </c>
      <c r="U624" s="74">
        <v>0</v>
      </c>
      <c r="V624" s="74">
        <v>0</v>
      </c>
    </row>
    <row r="625" spans="3:22" x14ac:dyDescent="0.25">
      <c r="C625" s="74" t="s">
        <v>18795</v>
      </c>
      <c r="D625" s="74" t="s">
        <v>148</v>
      </c>
      <c r="E625" s="74" t="s">
        <v>21338</v>
      </c>
      <c r="F625" s="74">
        <v>551367</v>
      </c>
      <c r="G625" s="74">
        <v>1000</v>
      </c>
      <c r="H625" s="135">
        <v>42998.427615740744</v>
      </c>
      <c r="I625" s="74" t="s">
        <v>21339</v>
      </c>
      <c r="J625" s="74" t="s">
        <v>21340</v>
      </c>
      <c r="K625" s="74" t="s">
        <v>14562</v>
      </c>
      <c r="L625" s="74">
        <v>553520</v>
      </c>
      <c r="M625" s="74" t="s">
        <v>21341</v>
      </c>
      <c r="N625" s="74">
        <v>1</v>
      </c>
      <c r="O625" s="74" t="s">
        <v>21342</v>
      </c>
      <c r="P625" s="74" t="s">
        <v>21343</v>
      </c>
      <c r="Q625" s="74">
        <v>0</v>
      </c>
      <c r="R625" s="74" t="s">
        <v>148</v>
      </c>
      <c r="S625" s="74" t="s">
        <v>21338</v>
      </c>
      <c r="T625" s="74" t="s">
        <v>402</v>
      </c>
      <c r="U625" s="74">
        <v>0</v>
      </c>
      <c r="V625" s="74">
        <v>0</v>
      </c>
    </row>
    <row r="626" spans="3:22" x14ac:dyDescent="0.25">
      <c r="C626" s="74" t="s">
        <v>21379</v>
      </c>
      <c r="D626" s="74" t="s">
        <v>148</v>
      </c>
      <c r="E626" s="74" t="s">
        <v>21338</v>
      </c>
      <c r="F626" s="74">
        <v>809833</v>
      </c>
      <c r="G626" s="74">
        <v>3</v>
      </c>
      <c r="H626" s="135">
        <v>42998.425856481481</v>
      </c>
      <c r="I626" s="74" t="s">
        <v>21354</v>
      </c>
      <c r="J626" s="74" t="s">
        <v>21355</v>
      </c>
      <c r="K626" s="74" t="s">
        <v>21509</v>
      </c>
      <c r="L626" s="74">
        <v>714560</v>
      </c>
      <c r="M626" s="74" t="s">
        <v>21341</v>
      </c>
      <c r="N626" s="74">
        <v>1</v>
      </c>
      <c r="O626" s="74" t="s">
        <v>21342</v>
      </c>
      <c r="P626" s="74" t="s">
        <v>21345</v>
      </c>
      <c r="R626" s="74" t="s">
        <v>148</v>
      </c>
      <c r="S626" s="74" t="s">
        <v>21338</v>
      </c>
      <c r="T626" s="74" t="s">
        <v>402</v>
      </c>
      <c r="U626" s="74">
        <v>0</v>
      </c>
      <c r="V626" s="74">
        <v>0</v>
      </c>
    </row>
    <row r="627" spans="3:22" x14ac:dyDescent="0.25">
      <c r="C627" s="74" t="s">
        <v>18795</v>
      </c>
      <c r="D627" s="74" t="s">
        <v>148</v>
      </c>
      <c r="E627" s="74" t="s">
        <v>21338</v>
      </c>
      <c r="F627" s="74">
        <v>551367</v>
      </c>
      <c r="G627" s="74">
        <v>1000</v>
      </c>
      <c r="H627" s="135">
        <v>42998.417303240742</v>
      </c>
      <c r="I627" s="74" t="s">
        <v>21339</v>
      </c>
      <c r="J627" s="74" t="s">
        <v>21340</v>
      </c>
      <c r="K627" s="74" t="s">
        <v>21510</v>
      </c>
      <c r="L627" s="74">
        <v>827744</v>
      </c>
      <c r="M627" s="74" t="s">
        <v>21341</v>
      </c>
      <c r="N627" s="74">
        <v>1</v>
      </c>
      <c r="O627" s="74" t="s">
        <v>21342</v>
      </c>
      <c r="P627" s="74" t="s">
        <v>21343</v>
      </c>
      <c r="Q627" s="74">
        <v>0</v>
      </c>
      <c r="R627" s="74" t="s">
        <v>148</v>
      </c>
      <c r="S627" s="74" t="s">
        <v>21338</v>
      </c>
      <c r="T627" s="74" t="s">
        <v>402</v>
      </c>
      <c r="U627" s="74">
        <v>0</v>
      </c>
      <c r="V627" s="74">
        <v>0</v>
      </c>
    </row>
    <row r="628" spans="3:22" x14ac:dyDescent="0.25">
      <c r="C628" s="74" t="s">
        <v>21409</v>
      </c>
      <c r="D628" s="74" t="s">
        <v>148</v>
      </c>
      <c r="E628" s="74" t="s">
        <v>21338</v>
      </c>
      <c r="F628" s="74">
        <v>560330</v>
      </c>
      <c r="G628" s="74">
        <v>3</v>
      </c>
      <c r="H628" s="135">
        <v>42998.401979166665</v>
      </c>
      <c r="I628" s="74" t="s">
        <v>21354</v>
      </c>
      <c r="J628" s="74" t="s">
        <v>21355</v>
      </c>
      <c r="K628" s="74" t="s">
        <v>17888</v>
      </c>
      <c r="L628" s="74">
        <v>553925</v>
      </c>
      <c r="M628" s="74" t="s">
        <v>21341</v>
      </c>
      <c r="N628" s="74">
        <v>1</v>
      </c>
      <c r="O628" s="74" t="s">
        <v>21342</v>
      </c>
      <c r="P628" s="74" t="s">
        <v>21345</v>
      </c>
      <c r="R628" s="74" t="s">
        <v>148</v>
      </c>
      <c r="S628" s="74" t="s">
        <v>21338</v>
      </c>
      <c r="T628" s="74" t="s">
        <v>402</v>
      </c>
      <c r="U628" s="74">
        <v>0</v>
      </c>
      <c r="V628" s="74">
        <v>0</v>
      </c>
    </row>
    <row r="629" spans="3:22" x14ac:dyDescent="0.25">
      <c r="C629" s="74" t="s">
        <v>18795</v>
      </c>
      <c r="D629" s="74" t="s">
        <v>148</v>
      </c>
      <c r="E629" s="74" t="s">
        <v>21338</v>
      </c>
      <c r="F629" s="74">
        <v>551367</v>
      </c>
      <c r="G629" s="74">
        <v>1000</v>
      </c>
      <c r="H629" s="135">
        <v>42998.396608796298</v>
      </c>
      <c r="I629" s="74" t="s">
        <v>21339</v>
      </c>
      <c r="J629" s="74" t="s">
        <v>21340</v>
      </c>
      <c r="K629" s="74" t="s">
        <v>5653</v>
      </c>
      <c r="L629" s="74">
        <v>723794</v>
      </c>
      <c r="M629" s="74" t="s">
        <v>21341</v>
      </c>
      <c r="N629" s="74">
        <v>1</v>
      </c>
      <c r="O629" s="74" t="s">
        <v>21342</v>
      </c>
      <c r="P629" s="74" t="s">
        <v>21343</v>
      </c>
      <c r="Q629" s="74">
        <v>0</v>
      </c>
      <c r="R629" s="74" t="s">
        <v>148</v>
      </c>
      <c r="S629" s="74" t="s">
        <v>21338</v>
      </c>
      <c r="T629" s="74" t="s">
        <v>402</v>
      </c>
      <c r="U629" s="74">
        <v>0</v>
      </c>
      <c r="V629" s="74">
        <v>0</v>
      </c>
    </row>
    <row r="630" spans="3:22" x14ac:dyDescent="0.25">
      <c r="C630" s="74" t="s">
        <v>18795</v>
      </c>
      <c r="D630" s="74" t="s">
        <v>148</v>
      </c>
      <c r="E630" s="74" t="s">
        <v>21338</v>
      </c>
      <c r="F630" s="74">
        <v>551367</v>
      </c>
      <c r="G630" s="74">
        <v>1000</v>
      </c>
      <c r="H630" s="135">
        <v>42998.39640046296</v>
      </c>
      <c r="I630" s="74" t="s">
        <v>21339</v>
      </c>
      <c r="J630" s="74" t="s">
        <v>21340</v>
      </c>
      <c r="K630" s="74" t="s">
        <v>13163</v>
      </c>
      <c r="L630" s="74">
        <v>553317</v>
      </c>
      <c r="M630" s="74" t="s">
        <v>21341</v>
      </c>
      <c r="N630" s="74">
        <v>1</v>
      </c>
      <c r="O630" s="74" t="s">
        <v>21342</v>
      </c>
      <c r="P630" s="74" t="s">
        <v>21343</v>
      </c>
      <c r="Q630" s="74">
        <v>0</v>
      </c>
      <c r="R630" s="74" t="s">
        <v>148</v>
      </c>
      <c r="S630" s="74" t="s">
        <v>21338</v>
      </c>
      <c r="T630" s="74" t="s">
        <v>402</v>
      </c>
      <c r="U630" s="74">
        <v>0</v>
      </c>
      <c r="V630" s="74">
        <v>0</v>
      </c>
    </row>
    <row r="631" spans="3:22" x14ac:dyDescent="0.25">
      <c r="C631" s="74" t="s">
        <v>18795</v>
      </c>
      <c r="D631" s="74" t="s">
        <v>148</v>
      </c>
      <c r="E631" s="74" t="s">
        <v>21338</v>
      </c>
      <c r="F631" s="74">
        <v>551367</v>
      </c>
      <c r="G631" s="74">
        <v>1000</v>
      </c>
      <c r="H631" s="135">
        <v>42998.39303240741</v>
      </c>
      <c r="I631" s="74" t="s">
        <v>21339</v>
      </c>
      <c r="J631" s="74" t="s">
        <v>21340</v>
      </c>
      <c r="K631" s="74" t="s">
        <v>2207</v>
      </c>
      <c r="L631" s="74">
        <v>551936</v>
      </c>
      <c r="M631" s="74" t="s">
        <v>21341</v>
      </c>
      <c r="N631" s="74">
        <v>1</v>
      </c>
      <c r="O631" s="74" t="s">
        <v>21342</v>
      </c>
      <c r="P631" s="74" t="s">
        <v>21343</v>
      </c>
      <c r="Q631" s="74">
        <v>0</v>
      </c>
      <c r="R631" s="74" t="s">
        <v>148</v>
      </c>
      <c r="S631" s="74" t="s">
        <v>21338</v>
      </c>
      <c r="T631" s="74" t="s">
        <v>402</v>
      </c>
      <c r="U631" s="74">
        <v>0</v>
      </c>
      <c r="V631" s="74">
        <v>0</v>
      </c>
    </row>
    <row r="632" spans="3:22" x14ac:dyDescent="0.25">
      <c r="C632" s="74" t="s">
        <v>18795</v>
      </c>
      <c r="D632" s="74" t="s">
        <v>148</v>
      </c>
      <c r="E632" s="74" t="s">
        <v>21338</v>
      </c>
      <c r="F632" s="74">
        <v>551367</v>
      </c>
      <c r="G632" s="74">
        <v>1000</v>
      </c>
      <c r="H632" s="135">
        <v>42998.384837962964</v>
      </c>
      <c r="I632" s="74" t="s">
        <v>21339</v>
      </c>
      <c r="J632" s="74" t="s">
        <v>21340</v>
      </c>
      <c r="K632" s="74" t="s">
        <v>11961</v>
      </c>
      <c r="L632" s="74">
        <v>553166</v>
      </c>
      <c r="M632" s="74" t="s">
        <v>21341</v>
      </c>
      <c r="N632" s="74">
        <v>1</v>
      </c>
      <c r="O632" s="74" t="s">
        <v>21342</v>
      </c>
      <c r="P632" s="74" t="s">
        <v>21343</v>
      </c>
      <c r="Q632" s="74">
        <v>0</v>
      </c>
      <c r="R632" s="74" t="s">
        <v>148</v>
      </c>
      <c r="S632" s="74" t="s">
        <v>21338</v>
      </c>
      <c r="T632" s="74" t="s">
        <v>402</v>
      </c>
      <c r="U632" s="74">
        <v>0</v>
      </c>
      <c r="V632" s="74">
        <v>0</v>
      </c>
    </row>
    <row r="633" spans="3:22" x14ac:dyDescent="0.25">
      <c r="C633" s="74" t="s">
        <v>18795</v>
      </c>
      <c r="D633" s="74" t="s">
        <v>148</v>
      </c>
      <c r="E633" s="74" t="s">
        <v>21338</v>
      </c>
      <c r="F633" s="74">
        <v>551367</v>
      </c>
      <c r="G633" s="74">
        <v>1000</v>
      </c>
      <c r="H633" s="135">
        <v>42998.380590277775</v>
      </c>
      <c r="I633" s="74" t="s">
        <v>21339</v>
      </c>
      <c r="J633" s="74" t="s">
        <v>21340</v>
      </c>
      <c r="K633" s="74" t="s">
        <v>16042</v>
      </c>
      <c r="L633" s="74">
        <v>553688</v>
      </c>
      <c r="M633" s="74" t="s">
        <v>21341</v>
      </c>
      <c r="N633" s="74">
        <v>1</v>
      </c>
      <c r="O633" s="74" t="s">
        <v>21342</v>
      </c>
      <c r="P633" s="74" t="s">
        <v>21343</v>
      </c>
      <c r="Q633" s="74">
        <v>0</v>
      </c>
      <c r="R633" s="74" t="s">
        <v>148</v>
      </c>
      <c r="S633" s="74" t="s">
        <v>21338</v>
      </c>
      <c r="T633" s="74" t="s">
        <v>402</v>
      </c>
      <c r="U633" s="74">
        <v>0</v>
      </c>
      <c r="V633" s="74">
        <v>0</v>
      </c>
    </row>
    <row r="634" spans="3:22" x14ac:dyDescent="0.25">
      <c r="C634" s="74" t="s">
        <v>18795</v>
      </c>
      <c r="D634" s="74" t="s">
        <v>148</v>
      </c>
      <c r="E634" s="74" t="s">
        <v>21338</v>
      </c>
      <c r="F634" s="74">
        <v>551367</v>
      </c>
      <c r="G634" s="74">
        <v>1000</v>
      </c>
      <c r="H634" s="135">
        <v>42998.377627314818</v>
      </c>
      <c r="I634" s="74" t="s">
        <v>21339</v>
      </c>
      <c r="J634" s="74" t="s">
        <v>21340</v>
      </c>
      <c r="K634" s="74" t="s">
        <v>14625</v>
      </c>
      <c r="L634" s="74">
        <v>553528</v>
      </c>
      <c r="M634" s="74" t="s">
        <v>21341</v>
      </c>
      <c r="N634" s="74">
        <v>1</v>
      </c>
      <c r="O634" s="74" t="s">
        <v>21342</v>
      </c>
      <c r="P634" s="74" t="s">
        <v>21343</v>
      </c>
      <c r="Q634" s="74">
        <v>0</v>
      </c>
      <c r="R634" s="74" t="s">
        <v>148</v>
      </c>
      <c r="S634" s="74" t="s">
        <v>21338</v>
      </c>
      <c r="T634" s="74" t="s">
        <v>402</v>
      </c>
      <c r="U634" s="74">
        <v>0</v>
      </c>
      <c r="V634" s="74">
        <v>0</v>
      </c>
    </row>
    <row r="635" spans="3:22" x14ac:dyDescent="0.25">
      <c r="C635" s="74" t="s">
        <v>18795</v>
      </c>
      <c r="D635" s="74" t="s">
        <v>148</v>
      </c>
      <c r="E635" s="74" t="s">
        <v>21338</v>
      </c>
      <c r="F635" s="74">
        <v>551367</v>
      </c>
      <c r="G635" s="74">
        <v>1000</v>
      </c>
      <c r="H635" s="135">
        <v>42998.37060185185</v>
      </c>
      <c r="I635" s="74" t="s">
        <v>21339</v>
      </c>
      <c r="J635" s="74" t="s">
        <v>21340</v>
      </c>
      <c r="K635" s="74" t="s">
        <v>12366</v>
      </c>
      <c r="L635" s="74">
        <v>553220</v>
      </c>
      <c r="M635" s="74" t="s">
        <v>21341</v>
      </c>
      <c r="N635" s="74">
        <v>1</v>
      </c>
      <c r="O635" s="74" t="s">
        <v>21342</v>
      </c>
      <c r="P635" s="74" t="s">
        <v>21343</v>
      </c>
      <c r="Q635" s="74">
        <v>0</v>
      </c>
      <c r="R635" s="74" t="s">
        <v>148</v>
      </c>
      <c r="S635" s="74" t="s">
        <v>21338</v>
      </c>
      <c r="T635" s="74" t="s">
        <v>402</v>
      </c>
      <c r="U635" s="74">
        <v>0</v>
      </c>
      <c r="V635" s="74">
        <v>0</v>
      </c>
    </row>
    <row r="636" spans="3:22" x14ac:dyDescent="0.25">
      <c r="C636" s="74" t="s">
        <v>18795</v>
      </c>
      <c r="D636" s="74" t="s">
        <v>148</v>
      </c>
      <c r="E636" s="74" t="s">
        <v>21338</v>
      </c>
      <c r="F636" s="74">
        <v>551367</v>
      </c>
      <c r="G636" s="74">
        <v>1000</v>
      </c>
      <c r="H636" s="135">
        <v>42998.363425925927</v>
      </c>
      <c r="I636" s="74" t="s">
        <v>21339</v>
      </c>
      <c r="J636" s="74" t="s">
        <v>21340</v>
      </c>
      <c r="K636" s="74" t="s">
        <v>12622</v>
      </c>
      <c r="L636" s="74">
        <v>553255</v>
      </c>
      <c r="M636" s="74" t="s">
        <v>21341</v>
      </c>
      <c r="N636" s="74">
        <v>1</v>
      </c>
      <c r="O636" s="74" t="s">
        <v>21342</v>
      </c>
      <c r="P636" s="74" t="s">
        <v>21343</v>
      </c>
      <c r="Q636" s="74">
        <v>0</v>
      </c>
      <c r="R636" s="74" t="s">
        <v>148</v>
      </c>
      <c r="S636" s="74" t="s">
        <v>21338</v>
      </c>
      <c r="T636" s="74" t="s">
        <v>402</v>
      </c>
      <c r="U636" s="74">
        <v>0</v>
      </c>
      <c r="V636" s="74">
        <v>0</v>
      </c>
    </row>
    <row r="637" spans="3:22" x14ac:dyDescent="0.25">
      <c r="C637" s="74" t="s">
        <v>18795</v>
      </c>
      <c r="D637" s="74" t="s">
        <v>148</v>
      </c>
      <c r="E637" s="74" t="s">
        <v>21338</v>
      </c>
      <c r="F637" s="74">
        <v>551367</v>
      </c>
      <c r="G637" s="74">
        <v>1000</v>
      </c>
      <c r="H637" s="135">
        <v>42998.362847222219</v>
      </c>
      <c r="I637" s="74" t="s">
        <v>21339</v>
      </c>
      <c r="J637" s="74" t="s">
        <v>21340</v>
      </c>
      <c r="K637" s="74" t="s">
        <v>18296</v>
      </c>
      <c r="L637" s="74">
        <v>553977</v>
      </c>
      <c r="M637" s="74" t="s">
        <v>21341</v>
      </c>
      <c r="N637" s="74">
        <v>1</v>
      </c>
      <c r="O637" s="74" t="s">
        <v>21342</v>
      </c>
      <c r="P637" s="74" t="s">
        <v>21343</v>
      </c>
      <c r="Q637" s="74">
        <v>0</v>
      </c>
      <c r="R637" s="74" t="s">
        <v>148</v>
      </c>
      <c r="S637" s="74" t="s">
        <v>21338</v>
      </c>
      <c r="T637" s="74" t="s">
        <v>402</v>
      </c>
      <c r="U637" s="74">
        <v>0</v>
      </c>
      <c r="V637" s="74">
        <v>0</v>
      </c>
    </row>
    <row r="638" spans="3:22" x14ac:dyDescent="0.25">
      <c r="C638" s="74" t="s">
        <v>18795</v>
      </c>
      <c r="D638" s="74" t="s">
        <v>148</v>
      </c>
      <c r="E638" s="74" t="s">
        <v>21338</v>
      </c>
      <c r="F638" s="74">
        <v>551367</v>
      </c>
      <c r="G638" s="74">
        <v>1000</v>
      </c>
      <c r="H638" s="135">
        <v>42998.357245370367</v>
      </c>
      <c r="I638" s="74" t="s">
        <v>21339</v>
      </c>
      <c r="J638" s="74" t="s">
        <v>21340</v>
      </c>
      <c r="K638" s="74" t="s">
        <v>16738</v>
      </c>
      <c r="L638" s="74">
        <v>553766</v>
      </c>
      <c r="M638" s="74" t="s">
        <v>21341</v>
      </c>
      <c r="N638" s="74">
        <v>1</v>
      </c>
      <c r="O638" s="74" t="s">
        <v>21342</v>
      </c>
      <c r="P638" s="74" t="s">
        <v>21343</v>
      </c>
      <c r="Q638" s="74">
        <v>0</v>
      </c>
      <c r="R638" s="74" t="s">
        <v>148</v>
      </c>
      <c r="S638" s="74" t="s">
        <v>21338</v>
      </c>
      <c r="T638" s="74" t="s">
        <v>402</v>
      </c>
      <c r="U638" s="74">
        <v>0</v>
      </c>
      <c r="V638" s="74">
        <v>0</v>
      </c>
    </row>
    <row r="639" spans="3:22" x14ac:dyDescent="0.25">
      <c r="C639" s="74" t="s">
        <v>18795</v>
      </c>
      <c r="D639" s="74" t="s">
        <v>148</v>
      </c>
      <c r="E639" s="74" t="s">
        <v>21338</v>
      </c>
      <c r="F639" s="74">
        <v>551367</v>
      </c>
      <c r="G639" s="74">
        <v>1000</v>
      </c>
      <c r="H639" s="135">
        <v>42998.345868055556</v>
      </c>
      <c r="I639" s="74" t="s">
        <v>21339</v>
      </c>
      <c r="J639" s="74" t="s">
        <v>21340</v>
      </c>
      <c r="K639" s="74" t="s">
        <v>2531</v>
      </c>
      <c r="L639" s="74">
        <v>551984</v>
      </c>
      <c r="M639" s="74" t="s">
        <v>21341</v>
      </c>
      <c r="N639" s="74">
        <v>1</v>
      </c>
      <c r="O639" s="74" t="s">
        <v>21342</v>
      </c>
      <c r="P639" s="74" t="s">
        <v>21343</v>
      </c>
      <c r="Q639" s="74">
        <v>0</v>
      </c>
      <c r="R639" s="74" t="s">
        <v>148</v>
      </c>
      <c r="S639" s="74" t="s">
        <v>21338</v>
      </c>
      <c r="T639" s="74" t="s">
        <v>402</v>
      </c>
      <c r="U639" s="74">
        <v>0</v>
      </c>
      <c r="V639" s="74">
        <v>0</v>
      </c>
    </row>
    <row r="640" spans="3:22" x14ac:dyDescent="0.25">
      <c r="C640" s="74" t="s">
        <v>18795</v>
      </c>
      <c r="D640" s="74" t="s">
        <v>148</v>
      </c>
      <c r="E640" s="74" t="s">
        <v>21338</v>
      </c>
      <c r="F640" s="74">
        <v>551367</v>
      </c>
      <c r="G640" s="74">
        <v>1000</v>
      </c>
      <c r="H640" s="135">
        <v>42998.291747685187</v>
      </c>
      <c r="I640" s="74" t="s">
        <v>21339</v>
      </c>
      <c r="J640" s="74" t="s">
        <v>21340</v>
      </c>
      <c r="K640" s="74" t="s">
        <v>16177</v>
      </c>
      <c r="L640" s="74">
        <v>553707</v>
      </c>
      <c r="M640" s="74" t="s">
        <v>21341</v>
      </c>
      <c r="N640" s="74">
        <v>1</v>
      </c>
      <c r="O640" s="74" t="s">
        <v>21342</v>
      </c>
      <c r="P640" s="74" t="s">
        <v>21343</v>
      </c>
      <c r="Q640" s="74">
        <v>0</v>
      </c>
      <c r="R640" s="74" t="s">
        <v>148</v>
      </c>
      <c r="S640" s="74" t="s">
        <v>21338</v>
      </c>
      <c r="T640" s="74" t="s">
        <v>402</v>
      </c>
      <c r="U640" s="74">
        <v>0</v>
      </c>
      <c r="V640" s="74">
        <v>0</v>
      </c>
    </row>
    <row r="641" spans="3:22" x14ac:dyDescent="0.25">
      <c r="C641" s="74" t="s">
        <v>18795</v>
      </c>
      <c r="D641" s="74" t="s">
        <v>148</v>
      </c>
      <c r="E641" s="74" t="s">
        <v>21338</v>
      </c>
      <c r="F641" s="74">
        <v>551367</v>
      </c>
      <c r="G641" s="74">
        <v>1000</v>
      </c>
      <c r="H641" s="135">
        <v>42998.291747685187</v>
      </c>
      <c r="I641" s="74" t="s">
        <v>21339</v>
      </c>
      <c r="J641" s="74" t="s">
        <v>21340</v>
      </c>
      <c r="K641" s="74" t="s">
        <v>16177</v>
      </c>
      <c r="L641" s="74">
        <v>553707</v>
      </c>
      <c r="M641" s="74" t="s">
        <v>21341</v>
      </c>
      <c r="N641" s="74">
        <v>1</v>
      </c>
      <c r="O641" s="74" t="s">
        <v>21342</v>
      </c>
      <c r="P641" s="74" t="s">
        <v>21343</v>
      </c>
      <c r="Q641" s="74">
        <v>0</v>
      </c>
      <c r="R641" s="74" t="s">
        <v>148</v>
      </c>
      <c r="S641" s="74" t="s">
        <v>21338</v>
      </c>
      <c r="T641" s="74" t="s">
        <v>402</v>
      </c>
      <c r="U641" s="74">
        <v>0</v>
      </c>
      <c r="V641" s="74">
        <v>0</v>
      </c>
    </row>
    <row r="642" spans="3:22" x14ac:dyDescent="0.25">
      <c r="C642" s="74" t="s">
        <v>18795</v>
      </c>
      <c r="D642" s="74" t="s">
        <v>148</v>
      </c>
      <c r="E642" s="74" t="s">
        <v>21338</v>
      </c>
      <c r="F642" s="74">
        <v>551367</v>
      </c>
      <c r="G642" s="74">
        <v>1000</v>
      </c>
      <c r="H642" s="135">
        <v>42997.947291666664</v>
      </c>
      <c r="I642" s="74" t="s">
        <v>21339</v>
      </c>
      <c r="J642" s="74" t="s">
        <v>21340</v>
      </c>
      <c r="K642" s="74" t="s">
        <v>2597</v>
      </c>
      <c r="L642" s="74">
        <v>551992</v>
      </c>
      <c r="M642" s="74" t="s">
        <v>21341</v>
      </c>
      <c r="N642" s="74">
        <v>1</v>
      </c>
      <c r="O642" s="74" t="s">
        <v>21342</v>
      </c>
      <c r="P642" s="74" t="s">
        <v>21343</v>
      </c>
      <c r="Q642" s="74">
        <v>0</v>
      </c>
      <c r="R642" s="74" t="s">
        <v>148</v>
      </c>
      <c r="S642" s="74" t="s">
        <v>21338</v>
      </c>
      <c r="T642" s="74" t="s">
        <v>402</v>
      </c>
      <c r="U642" s="74">
        <v>0</v>
      </c>
      <c r="V642" s="74">
        <v>0</v>
      </c>
    </row>
    <row r="643" spans="3:22" x14ac:dyDescent="0.25">
      <c r="C643" s="74" t="s">
        <v>18795</v>
      </c>
      <c r="D643" s="74" t="s">
        <v>148</v>
      </c>
      <c r="E643" s="74" t="s">
        <v>21338</v>
      </c>
      <c r="F643" s="74">
        <v>551367</v>
      </c>
      <c r="G643" s="74">
        <v>1000</v>
      </c>
      <c r="H643" s="135">
        <v>42997.744837962964</v>
      </c>
      <c r="I643" s="74" t="s">
        <v>21339</v>
      </c>
      <c r="J643" s="74" t="s">
        <v>21340</v>
      </c>
      <c r="K643" s="74" t="s">
        <v>6206</v>
      </c>
      <c r="L643" s="74">
        <v>552433</v>
      </c>
      <c r="M643" s="74" t="s">
        <v>21341</v>
      </c>
      <c r="N643" s="74">
        <v>1</v>
      </c>
      <c r="O643" s="74" t="s">
        <v>21342</v>
      </c>
      <c r="P643" s="74" t="s">
        <v>21343</v>
      </c>
      <c r="Q643" s="74">
        <v>0</v>
      </c>
      <c r="R643" s="74" t="s">
        <v>148</v>
      </c>
      <c r="S643" s="74" t="s">
        <v>21338</v>
      </c>
      <c r="T643" s="74" t="s">
        <v>402</v>
      </c>
      <c r="U643" s="74">
        <v>0</v>
      </c>
      <c r="V643" s="74">
        <v>0</v>
      </c>
    </row>
    <row r="644" spans="3:22" x14ac:dyDescent="0.25">
      <c r="C644" s="74" t="s">
        <v>18795</v>
      </c>
      <c r="D644" s="74" t="s">
        <v>148</v>
      </c>
      <c r="E644" s="74" t="s">
        <v>21338</v>
      </c>
      <c r="F644" s="74">
        <v>551367</v>
      </c>
      <c r="G644" s="74">
        <v>1000</v>
      </c>
      <c r="H644" s="135">
        <v>42997.721284722225</v>
      </c>
      <c r="I644" s="74" t="s">
        <v>21339</v>
      </c>
      <c r="J644" s="74" t="s">
        <v>21340</v>
      </c>
      <c r="K644" s="74" t="s">
        <v>5159</v>
      </c>
      <c r="L644" s="74">
        <v>552286</v>
      </c>
      <c r="M644" s="74" t="s">
        <v>21341</v>
      </c>
      <c r="N644" s="74">
        <v>1</v>
      </c>
      <c r="O644" s="74" t="s">
        <v>21342</v>
      </c>
      <c r="P644" s="74" t="s">
        <v>21343</v>
      </c>
      <c r="Q644" s="74">
        <v>0</v>
      </c>
      <c r="R644" s="74" t="s">
        <v>148</v>
      </c>
      <c r="S644" s="74" t="s">
        <v>21338</v>
      </c>
      <c r="T644" s="74" t="s">
        <v>402</v>
      </c>
      <c r="U644" s="74">
        <v>0</v>
      </c>
      <c r="V644" s="74">
        <v>0</v>
      </c>
    </row>
    <row r="645" spans="3:22" x14ac:dyDescent="0.25">
      <c r="C645" s="74" t="s">
        <v>21347</v>
      </c>
      <c r="D645" s="74" t="s">
        <v>148</v>
      </c>
      <c r="E645" s="74" t="s">
        <v>21338</v>
      </c>
      <c r="F645" s="74">
        <v>637976</v>
      </c>
      <c r="G645" s="74">
        <v>1</v>
      </c>
      <c r="H645" s="135">
        <v>42997.720995370371</v>
      </c>
      <c r="I645" s="74" t="s">
        <v>21348</v>
      </c>
      <c r="J645" s="74" t="s">
        <v>21349</v>
      </c>
      <c r="K645" s="74" t="s">
        <v>21347</v>
      </c>
      <c r="L645" s="74">
        <v>637976</v>
      </c>
      <c r="M645" s="74" t="s">
        <v>21341</v>
      </c>
      <c r="N645" s="74">
        <v>0</v>
      </c>
      <c r="O645" s="74" t="s">
        <v>21350</v>
      </c>
      <c r="P645" s="74" t="s">
        <v>21343</v>
      </c>
      <c r="Q645" s="74">
        <v>0</v>
      </c>
      <c r="R645" s="74" t="s">
        <v>148</v>
      </c>
      <c r="S645" s="74" t="s">
        <v>21338</v>
      </c>
      <c r="T645" s="74" t="s">
        <v>402</v>
      </c>
      <c r="U645" s="74">
        <v>0</v>
      </c>
      <c r="V645" s="74">
        <v>0</v>
      </c>
    </row>
    <row r="646" spans="3:22" x14ac:dyDescent="0.25">
      <c r="C646" s="74" t="s">
        <v>21347</v>
      </c>
      <c r="D646" s="74" t="s">
        <v>148</v>
      </c>
      <c r="E646" s="74" t="s">
        <v>21338</v>
      </c>
      <c r="F646" s="74">
        <v>637976</v>
      </c>
      <c r="G646" s="74">
        <v>1</v>
      </c>
      <c r="H646" s="135">
        <v>42997.720995370371</v>
      </c>
      <c r="I646" s="74" t="s">
        <v>244</v>
      </c>
      <c r="J646" s="74" t="s">
        <v>21349</v>
      </c>
      <c r="K646" s="74" t="s">
        <v>21347</v>
      </c>
      <c r="L646" s="74">
        <v>637976</v>
      </c>
      <c r="M646" s="74" t="s">
        <v>21341</v>
      </c>
      <c r="N646" s="74">
        <v>0</v>
      </c>
      <c r="O646" s="74" t="s">
        <v>21350</v>
      </c>
      <c r="P646" s="74" t="s">
        <v>21343</v>
      </c>
      <c r="Q646" s="74">
        <v>0</v>
      </c>
      <c r="R646" s="74" t="s">
        <v>148</v>
      </c>
      <c r="S646" s="74" t="s">
        <v>21338</v>
      </c>
      <c r="T646" s="74" t="s">
        <v>402</v>
      </c>
      <c r="U646" s="74">
        <v>0</v>
      </c>
      <c r="V646" s="74">
        <v>0</v>
      </c>
    </row>
    <row r="647" spans="3:22" x14ac:dyDescent="0.25">
      <c r="C647" s="74" t="s">
        <v>21390</v>
      </c>
      <c r="D647" s="74" t="s">
        <v>148</v>
      </c>
      <c r="E647" s="74" t="s">
        <v>21338</v>
      </c>
      <c r="F647" s="74">
        <v>560864</v>
      </c>
      <c r="G647" s="74">
        <v>3</v>
      </c>
      <c r="H647" s="135">
        <v>42997.689652777779</v>
      </c>
      <c r="I647" s="74" t="s">
        <v>21354</v>
      </c>
      <c r="J647" s="74" t="s">
        <v>21355</v>
      </c>
      <c r="K647" s="74" t="s">
        <v>13037</v>
      </c>
      <c r="L647" s="74">
        <v>553300</v>
      </c>
      <c r="M647" s="74" t="s">
        <v>21341</v>
      </c>
      <c r="N647" s="74">
        <v>1</v>
      </c>
      <c r="O647" s="74" t="s">
        <v>21342</v>
      </c>
      <c r="P647" s="74" t="s">
        <v>21345</v>
      </c>
      <c r="R647" s="74" t="s">
        <v>148</v>
      </c>
      <c r="S647" s="74" t="s">
        <v>21338</v>
      </c>
      <c r="T647" s="74" t="s">
        <v>402</v>
      </c>
      <c r="U647" s="74">
        <v>0</v>
      </c>
      <c r="V647" s="74">
        <v>0</v>
      </c>
    </row>
    <row r="648" spans="3:22" x14ac:dyDescent="0.25">
      <c r="C648" s="74" t="s">
        <v>18795</v>
      </c>
      <c r="D648" s="74" t="s">
        <v>148</v>
      </c>
      <c r="E648" s="74" t="s">
        <v>21338</v>
      </c>
      <c r="F648" s="74">
        <v>551367</v>
      </c>
      <c r="G648" s="74">
        <v>1000</v>
      </c>
      <c r="H648" s="135">
        <v>42997.644432870373</v>
      </c>
      <c r="I648" s="74" t="s">
        <v>21339</v>
      </c>
      <c r="J648" s="74" t="s">
        <v>21340</v>
      </c>
      <c r="K648" s="74" t="s">
        <v>11965</v>
      </c>
      <c r="L648" s="74">
        <v>553167</v>
      </c>
      <c r="M648" s="74" t="s">
        <v>21341</v>
      </c>
      <c r="N648" s="74">
        <v>1</v>
      </c>
      <c r="O648" s="74" t="s">
        <v>21342</v>
      </c>
      <c r="P648" s="74" t="s">
        <v>21343</v>
      </c>
      <c r="Q648" s="74">
        <v>0</v>
      </c>
      <c r="R648" s="74" t="s">
        <v>148</v>
      </c>
      <c r="S648" s="74" t="s">
        <v>21338</v>
      </c>
      <c r="T648" s="74" t="s">
        <v>402</v>
      </c>
      <c r="U648" s="74">
        <v>0</v>
      </c>
      <c r="V648" s="74">
        <v>0</v>
      </c>
    </row>
    <row r="649" spans="3:22" x14ac:dyDescent="0.25">
      <c r="C649" s="74" t="s">
        <v>21386</v>
      </c>
      <c r="D649" s="74" t="s">
        <v>148</v>
      </c>
      <c r="E649" s="74" t="s">
        <v>21338</v>
      </c>
      <c r="F649" s="74">
        <v>674396</v>
      </c>
      <c r="G649" s="74">
        <v>3</v>
      </c>
      <c r="H649" s="135">
        <v>42997.636342592596</v>
      </c>
      <c r="I649" s="74" t="s">
        <v>21339</v>
      </c>
      <c r="J649" s="74" t="s">
        <v>21362</v>
      </c>
      <c r="K649" s="74" t="s">
        <v>21512</v>
      </c>
      <c r="L649" s="74">
        <v>780943</v>
      </c>
      <c r="M649" s="74" t="s">
        <v>21341</v>
      </c>
      <c r="N649" s="74">
        <v>1</v>
      </c>
      <c r="O649" s="74" t="s">
        <v>21342</v>
      </c>
      <c r="P649" s="74" t="s">
        <v>21343</v>
      </c>
      <c r="Q649" s="74" t="s">
        <v>21363</v>
      </c>
      <c r="R649" s="74" t="s">
        <v>148</v>
      </c>
      <c r="S649" s="74" t="s">
        <v>21338</v>
      </c>
      <c r="T649" s="74" t="s">
        <v>393</v>
      </c>
      <c r="U649" s="74">
        <v>0</v>
      </c>
      <c r="V649" s="74">
        <v>0</v>
      </c>
    </row>
    <row r="650" spans="3:22" x14ac:dyDescent="0.25">
      <c r="C650" s="74" t="s">
        <v>21386</v>
      </c>
      <c r="D650" s="74" t="s">
        <v>148</v>
      </c>
      <c r="E650" s="74" t="s">
        <v>21338</v>
      </c>
      <c r="F650" s="74">
        <v>674396</v>
      </c>
      <c r="G650" s="74">
        <v>3</v>
      </c>
      <c r="H650" s="135">
        <v>42997.636030092595</v>
      </c>
      <c r="I650" s="74" t="s">
        <v>21365</v>
      </c>
      <c r="J650" s="74" t="s">
        <v>21366</v>
      </c>
      <c r="K650" s="74" t="s">
        <v>21367</v>
      </c>
      <c r="L650" s="74">
        <v>561482</v>
      </c>
      <c r="M650" s="74" t="s">
        <v>21368</v>
      </c>
      <c r="N650" s="74">
        <v>1</v>
      </c>
      <c r="O650" s="74" t="s">
        <v>21369</v>
      </c>
      <c r="P650" s="74" t="s">
        <v>21343</v>
      </c>
      <c r="Q650" s="74" t="s">
        <v>21513</v>
      </c>
      <c r="R650" s="74" t="s">
        <v>148</v>
      </c>
      <c r="S650" s="74" t="s">
        <v>21338</v>
      </c>
      <c r="T650" s="74" t="s">
        <v>21371</v>
      </c>
      <c r="U650" s="74">
        <v>0</v>
      </c>
      <c r="V650" s="74">
        <v>0</v>
      </c>
    </row>
    <row r="651" spans="3:22" x14ac:dyDescent="0.25">
      <c r="C651" s="74" t="s">
        <v>21386</v>
      </c>
      <c r="D651" s="74" t="s">
        <v>148</v>
      </c>
      <c r="E651" s="74" t="s">
        <v>21338</v>
      </c>
      <c r="F651" s="74">
        <v>674396</v>
      </c>
      <c r="G651" s="74">
        <v>3</v>
      </c>
      <c r="H651" s="135">
        <v>42997.636030092595</v>
      </c>
      <c r="I651" s="74" t="s">
        <v>21339</v>
      </c>
      <c r="J651" s="74" t="s">
        <v>21364</v>
      </c>
      <c r="K651" s="74" t="s">
        <v>21512</v>
      </c>
      <c r="L651" s="74">
        <v>780943</v>
      </c>
      <c r="M651" s="74" t="s">
        <v>21341</v>
      </c>
      <c r="N651" s="74">
        <v>1</v>
      </c>
      <c r="O651" s="74" t="s">
        <v>21342</v>
      </c>
      <c r="P651" s="74" t="s">
        <v>21343</v>
      </c>
      <c r="Q651" s="74">
        <v>0</v>
      </c>
      <c r="R651" s="74" t="s">
        <v>148</v>
      </c>
      <c r="S651" s="74" t="s">
        <v>21338</v>
      </c>
      <c r="T651" s="74" t="s">
        <v>402</v>
      </c>
      <c r="U651" s="74">
        <v>0</v>
      </c>
      <c r="V651" s="74">
        <v>0</v>
      </c>
    </row>
    <row r="652" spans="3:22" x14ac:dyDescent="0.25">
      <c r="C652" s="74" t="s">
        <v>21386</v>
      </c>
      <c r="D652" s="74" t="s">
        <v>148</v>
      </c>
      <c r="E652" s="74" t="s">
        <v>21338</v>
      </c>
      <c r="F652" s="74">
        <v>674396</v>
      </c>
      <c r="G652" s="74">
        <v>3</v>
      </c>
      <c r="H652" s="135">
        <v>42997.636018518519</v>
      </c>
      <c r="I652" s="74" t="s">
        <v>21365</v>
      </c>
      <c r="J652" s="74" t="s">
        <v>21366</v>
      </c>
      <c r="K652" s="74" t="s">
        <v>21381</v>
      </c>
      <c r="L652" s="74">
        <v>555660</v>
      </c>
      <c r="M652" s="74" t="s">
        <v>21368</v>
      </c>
      <c r="N652" s="74">
        <v>1</v>
      </c>
      <c r="O652" s="74" t="s">
        <v>21369</v>
      </c>
      <c r="P652" s="74" t="s">
        <v>21343</v>
      </c>
      <c r="Q652" s="74" t="s">
        <v>21513</v>
      </c>
      <c r="R652" s="74" t="s">
        <v>148</v>
      </c>
      <c r="S652" s="74" t="s">
        <v>21338</v>
      </c>
      <c r="T652" s="74" t="s">
        <v>21371</v>
      </c>
      <c r="U652" s="74">
        <v>0</v>
      </c>
      <c r="V652" s="74">
        <v>0</v>
      </c>
    </row>
    <row r="653" spans="3:22" x14ac:dyDescent="0.25">
      <c r="C653" s="74" t="s">
        <v>21386</v>
      </c>
      <c r="D653" s="74" t="s">
        <v>148</v>
      </c>
      <c r="E653" s="74" t="s">
        <v>21338</v>
      </c>
      <c r="F653" s="74">
        <v>674396</v>
      </c>
      <c r="G653" s="74">
        <v>3</v>
      </c>
      <c r="H653" s="135">
        <v>42997.636006944442</v>
      </c>
      <c r="I653" s="74" t="s">
        <v>21365</v>
      </c>
      <c r="J653" s="74" t="s">
        <v>21366</v>
      </c>
      <c r="K653" s="74" t="s">
        <v>21376</v>
      </c>
      <c r="L653" s="74">
        <v>555659</v>
      </c>
      <c r="M653" s="74" t="s">
        <v>21368</v>
      </c>
      <c r="N653" s="74">
        <v>1</v>
      </c>
      <c r="O653" s="74" t="s">
        <v>21369</v>
      </c>
      <c r="P653" s="74" t="s">
        <v>21343</v>
      </c>
      <c r="Q653" s="74" t="s">
        <v>21513</v>
      </c>
      <c r="R653" s="74" t="s">
        <v>148</v>
      </c>
      <c r="S653" s="74" t="s">
        <v>21338</v>
      </c>
      <c r="T653" s="74" t="s">
        <v>21371</v>
      </c>
      <c r="U653" s="74">
        <v>0</v>
      </c>
      <c r="V653" s="74">
        <v>0</v>
      </c>
    </row>
    <row r="654" spans="3:22" x14ac:dyDescent="0.25">
      <c r="C654" s="74" t="s">
        <v>21386</v>
      </c>
      <c r="D654" s="74" t="s">
        <v>148</v>
      </c>
      <c r="E654" s="74" t="s">
        <v>21338</v>
      </c>
      <c r="F654" s="74">
        <v>674396</v>
      </c>
      <c r="G654" s="74">
        <v>3</v>
      </c>
      <c r="H654" s="135">
        <v>42997.635983796295</v>
      </c>
      <c r="I654" s="74" t="s">
        <v>21339</v>
      </c>
      <c r="J654" s="74" t="s">
        <v>21364</v>
      </c>
      <c r="K654" s="74" t="s">
        <v>21512</v>
      </c>
      <c r="L654" s="74">
        <v>780943</v>
      </c>
      <c r="M654" s="74" t="s">
        <v>21341</v>
      </c>
      <c r="N654" s="74">
        <v>1</v>
      </c>
      <c r="O654" s="74" t="s">
        <v>21342</v>
      </c>
      <c r="P654" s="74" t="s">
        <v>21343</v>
      </c>
      <c r="Q654" s="74">
        <v>0</v>
      </c>
      <c r="R654" s="74" t="s">
        <v>148</v>
      </c>
      <c r="S654" s="74" t="s">
        <v>21338</v>
      </c>
      <c r="T654" s="74" t="s">
        <v>402</v>
      </c>
      <c r="U654" s="74">
        <v>0</v>
      </c>
      <c r="V654" s="74">
        <v>0</v>
      </c>
    </row>
    <row r="655" spans="3:22" x14ac:dyDescent="0.25">
      <c r="C655" s="74" t="s">
        <v>21386</v>
      </c>
      <c r="D655" s="74" t="s">
        <v>148</v>
      </c>
      <c r="E655" s="74" t="s">
        <v>21338</v>
      </c>
      <c r="F655" s="74">
        <v>674396</v>
      </c>
      <c r="G655" s="74">
        <v>3</v>
      </c>
      <c r="H655" s="135">
        <v>42997.635925925926</v>
      </c>
      <c r="I655" s="74" t="s">
        <v>21339</v>
      </c>
      <c r="J655" s="74" t="s">
        <v>21364</v>
      </c>
      <c r="K655" s="74" t="s">
        <v>21512</v>
      </c>
      <c r="L655" s="74">
        <v>780943</v>
      </c>
      <c r="M655" s="74" t="s">
        <v>21341</v>
      </c>
      <c r="N655" s="74">
        <v>1</v>
      </c>
      <c r="O655" s="74" t="s">
        <v>21342</v>
      </c>
      <c r="P655" s="74" t="s">
        <v>21343</v>
      </c>
      <c r="Q655" s="74">
        <v>0</v>
      </c>
      <c r="R655" s="74" t="s">
        <v>148</v>
      </c>
      <c r="S655" s="74" t="s">
        <v>21338</v>
      </c>
      <c r="T655" s="74" t="s">
        <v>402</v>
      </c>
      <c r="U655" s="74">
        <v>0</v>
      </c>
      <c r="V655" s="74">
        <v>0</v>
      </c>
    </row>
    <row r="656" spans="3:22" x14ac:dyDescent="0.25">
      <c r="C656" s="74" t="s">
        <v>21386</v>
      </c>
      <c r="D656" s="74" t="s">
        <v>148</v>
      </c>
      <c r="E656" s="74" t="s">
        <v>21338</v>
      </c>
      <c r="F656" s="74">
        <v>674396</v>
      </c>
      <c r="G656" s="74">
        <v>3</v>
      </c>
      <c r="H656" s="135">
        <v>42997.635659722226</v>
      </c>
      <c r="I656" s="74" t="s">
        <v>21339</v>
      </c>
      <c r="J656" s="74" t="s">
        <v>21360</v>
      </c>
      <c r="K656" s="74" t="s">
        <v>21512</v>
      </c>
      <c r="L656" s="74">
        <v>780943</v>
      </c>
      <c r="M656" s="74" t="s">
        <v>21341</v>
      </c>
      <c r="N656" s="74">
        <v>1</v>
      </c>
      <c r="O656" s="74" t="s">
        <v>21342</v>
      </c>
      <c r="P656" s="74" t="s">
        <v>21343</v>
      </c>
      <c r="Q656" s="74" t="s">
        <v>21361</v>
      </c>
      <c r="R656" s="74" t="s">
        <v>148</v>
      </c>
      <c r="S656" s="74" t="s">
        <v>21338</v>
      </c>
      <c r="T656" s="74" t="s">
        <v>402</v>
      </c>
      <c r="U656" s="74">
        <v>0</v>
      </c>
      <c r="V656" s="74">
        <v>0</v>
      </c>
    </row>
    <row r="657" spans="3:22" x14ac:dyDescent="0.25">
      <c r="C657" s="74" t="s">
        <v>21409</v>
      </c>
      <c r="D657" s="74" t="s">
        <v>148</v>
      </c>
      <c r="E657" s="74" t="s">
        <v>21338</v>
      </c>
      <c r="F657" s="74">
        <v>560330</v>
      </c>
      <c r="G657" s="74">
        <v>3</v>
      </c>
      <c r="H657" s="135">
        <v>42997.635081018518</v>
      </c>
      <c r="I657" s="74" t="s">
        <v>21354</v>
      </c>
      <c r="J657" s="74" t="s">
        <v>21355</v>
      </c>
      <c r="K657" s="74" t="s">
        <v>21514</v>
      </c>
      <c r="L657" s="74">
        <v>815406</v>
      </c>
      <c r="M657" s="74" t="s">
        <v>21341</v>
      </c>
      <c r="N657" s="74">
        <v>1</v>
      </c>
      <c r="O657" s="74" t="s">
        <v>21342</v>
      </c>
      <c r="P657" s="74" t="s">
        <v>21345</v>
      </c>
      <c r="R657" s="74" t="s">
        <v>148</v>
      </c>
      <c r="S657" s="74" t="s">
        <v>21338</v>
      </c>
      <c r="T657" s="74" t="s">
        <v>402</v>
      </c>
      <c r="U657" s="74">
        <v>0</v>
      </c>
      <c r="V657" s="74">
        <v>0</v>
      </c>
    </row>
    <row r="658" spans="3:22" x14ac:dyDescent="0.25">
      <c r="C658" s="74" t="s">
        <v>18795</v>
      </c>
      <c r="D658" s="74" t="s">
        <v>148</v>
      </c>
      <c r="E658" s="74" t="s">
        <v>21338</v>
      </c>
      <c r="F658" s="74">
        <v>551367</v>
      </c>
      <c r="G658" s="74">
        <v>1000</v>
      </c>
      <c r="H658" s="135">
        <v>42997.632592592592</v>
      </c>
      <c r="I658" s="74" t="s">
        <v>21339</v>
      </c>
      <c r="J658" s="74" t="s">
        <v>21340</v>
      </c>
      <c r="K658" s="74" t="s">
        <v>3689</v>
      </c>
      <c r="L658" s="74">
        <v>552156</v>
      </c>
      <c r="M658" s="74" t="s">
        <v>21341</v>
      </c>
      <c r="N658" s="74">
        <v>1</v>
      </c>
      <c r="O658" s="74" t="s">
        <v>21342</v>
      </c>
      <c r="P658" s="74" t="s">
        <v>21343</v>
      </c>
      <c r="Q658" s="74">
        <v>0</v>
      </c>
      <c r="R658" s="74" t="s">
        <v>148</v>
      </c>
      <c r="S658" s="74" t="s">
        <v>21338</v>
      </c>
      <c r="T658" s="74" t="s">
        <v>402</v>
      </c>
      <c r="U658" s="74">
        <v>0</v>
      </c>
      <c r="V658" s="74">
        <v>0</v>
      </c>
    </row>
    <row r="659" spans="3:22" x14ac:dyDescent="0.25">
      <c r="C659" s="74" t="s">
        <v>21409</v>
      </c>
      <c r="D659" s="74" t="s">
        <v>148</v>
      </c>
      <c r="E659" s="74" t="s">
        <v>21338</v>
      </c>
      <c r="F659" s="74">
        <v>560330</v>
      </c>
      <c r="G659" s="74">
        <v>3</v>
      </c>
      <c r="H659" s="135">
        <v>42997.620324074072</v>
      </c>
      <c r="I659" s="74" t="s">
        <v>21354</v>
      </c>
      <c r="J659" s="74" t="s">
        <v>21355</v>
      </c>
      <c r="K659" s="74" t="s">
        <v>3827</v>
      </c>
      <c r="L659" s="74">
        <v>552141</v>
      </c>
      <c r="M659" s="74" t="s">
        <v>21341</v>
      </c>
      <c r="N659" s="74">
        <v>1</v>
      </c>
      <c r="O659" s="74" t="s">
        <v>21342</v>
      </c>
      <c r="P659" s="74" t="s">
        <v>21345</v>
      </c>
      <c r="R659" s="74" t="s">
        <v>148</v>
      </c>
      <c r="S659" s="74" t="s">
        <v>21338</v>
      </c>
      <c r="T659" s="74" t="s">
        <v>402</v>
      </c>
      <c r="U659" s="74">
        <v>0</v>
      </c>
      <c r="V659" s="74">
        <v>0</v>
      </c>
    </row>
    <row r="660" spans="3:22" x14ac:dyDescent="0.25">
      <c r="C660" s="74" t="s">
        <v>21386</v>
      </c>
      <c r="D660" s="74" t="s">
        <v>148</v>
      </c>
      <c r="E660" s="74" t="s">
        <v>21338</v>
      </c>
      <c r="F660" s="74">
        <v>674396</v>
      </c>
      <c r="G660" s="74">
        <v>3</v>
      </c>
      <c r="H660" s="135">
        <v>42997.616793981484</v>
      </c>
      <c r="I660" s="74" t="s">
        <v>21339</v>
      </c>
      <c r="J660" s="74" t="s">
        <v>21360</v>
      </c>
      <c r="K660" s="74" t="s">
        <v>21515</v>
      </c>
      <c r="L660" s="74">
        <v>632616</v>
      </c>
      <c r="M660" s="74" t="s">
        <v>21341</v>
      </c>
      <c r="N660" s="74">
        <v>1</v>
      </c>
      <c r="O660" s="74" t="s">
        <v>21342</v>
      </c>
      <c r="P660" s="74" t="s">
        <v>21343</v>
      </c>
      <c r="Q660" s="74" t="s">
        <v>21361</v>
      </c>
      <c r="R660" s="74" t="s">
        <v>148</v>
      </c>
      <c r="S660" s="74" t="s">
        <v>21338</v>
      </c>
      <c r="T660" s="74" t="s">
        <v>402</v>
      </c>
      <c r="U660" s="74">
        <v>0</v>
      </c>
      <c r="V660" s="74">
        <v>0</v>
      </c>
    </row>
    <row r="661" spans="3:22" x14ac:dyDescent="0.25">
      <c r="C661" s="74" t="s">
        <v>21386</v>
      </c>
      <c r="D661" s="74" t="s">
        <v>148</v>
      </c>
      <c r="E661" s="74" t="s">
        <v>21338</v>
      </c>
      <c r="F661" s="74">
        <v>674396</v>
      </c>
      <c r="G661" s="74">
        <v>3</v>
      </c>
      <c r="H661" s="135">
        <v>42997.614745370367</v>
      </c>
      <c r="I661" s="74" t="s">
        <v>21339</v>
      </c>
      <c r="J661" s="74" t="s">
        <v>21391</v>
      </c>
      <c r="K661" s="74" t="s">
        <v>21515</v>
      </c>
      <c r="L661" s="74">
        <v>632616</v>
      </c>
      <c r="M661" s="74" t="s">
        <v>21341</v>
      </c>
      <c r="N661" s="74">
        <v>1</v>
      </c>
      <c r="O661" s="74" t="s">
        <v>21342</v>
      </c>
      <c r="P661" s="74" t="s">
        <v>21343</v>
      </c>
      <c r="Q661" s="74" t="s">
        <v>21516</v>
      </c>
      <c r="R661" s="74" t="s">
        <v>148</v>
      </c>
      <c r="S661" s="74" t="s">
        <v>21338</v>
      </c>
      <c r="T661" s="74" t="s">
        <v>402</v>
      </c>
      <c r="U661" s="74">
        <v>0</v>
      </c>
      <c r="V661" s="74">
        <v>0</v>
      </c>
    </row>
    <row r="662" spans="3:22" x14ac:dyDescent="0.25">
      <c r="C662" s="74" t="s">
        <v>21386</v>
      </c>
      <c r="D662" s="74" t="s">
        <v>148</v>
      </c>
      <c r="E662" s="74" t="s">
        <v>21338</v>
      </c>
      <c r="F662" s="74">
        <v>674396</v>
      </c>
      <c r="G662" s="74">
        <v>3</v>
      </c>
      <c r="H662" s="135">
        <v>42997.614745370367</v>
      </c>
      <c r="I662" s="74" t="s">
        <v>21339</v>
      </c>
      <c r="J662" s="74" t="s">
        <v>21391</v>
      </c>
      <c r="K662" s="74" t="s">
        <v>21515</v>
      </c>
      <c r="L662" s="74">
        <v>632616</v>
      </c>
      <c r="M662" s="74" t="s">
        <v>21341</v>
      </c>
      <c r="N662" s="74">
        <v>1</v>
      </c>
      <c r="O662" s="74" t="s">
        <v>21342</v>
      </c>
      <c r="P662" s="74" t="s">
        <v>21343</v>
      </c>
      <c r="Q662" s="74" t="s">
        <v>21516</v>
      </c>
      <c r="R662" s="74" t="s">
        <v>148</v>
      </c>
      <c r="S662" s="74" t="s">
        <v>21338</v>
      </c>
      <c r="T662" s="74" t="s">
        <v>402</v>
      </c>
      <c r="U662" s="74">
        <v>0</v>
      </c>
      <c r="V662" s="74">
        <v>0</v>
      </c>
    </row>
    <row r="663" spans="3:22" x14ac:dyDescent="0.25">
      <c r="C663" s="74" t="s">
        <v>21386</v>
      </c>
      <c r="D663" s="74" t="s">
        <v>148</v>
      </c>
      <c r="E663" s="74" t="s">
        <v>21338</v>
      </c>
      <c r="F663" s="74">
        <v>674396</v>
      </c>
      <c r="G663" s="74">
        <v>3</v>
      </c>
      <c r="H663" s="135">
        <v>42997.609224537038</v>
      </c>
      <c r="I663" s="74" t="s">
        <v>21339</v>
      </c>
      <c r="J663" s="74" t="s">
        <v>21362</v>
      </c>
      <c r="K663" s="74" t="s">
        <v>870</v>
      </c>
      <c r="L663" s="74">
        <v>551737</v>
      </c>
      <c r="M663" s="74" t="s">
        <v>21341</v>
      </c>
      <c r="N663" s="74">
        <v>1</v>
      </c>
      <c r="O663" s="74" t="s">
        <v>21342</v>
      </c>
      <c r="P663" s="74" t="s">
        <v>21343</v>
      </c>
      <c r="Q663" s="74" t="s">
        <v>21363</v>
      </c>
      <c r="R663" s="74" t="s">
        <v>148</v>
      </c>
      <c r="S663" s="74" t="s">
        <v>21338</v>
      </c>
      <c r="T663" s="74" t="s">
        <v>393</v>
      </c>
      <c r="U663" s="74">
        <v>0</v>
      </c>
      <c r="V663" s="74">
        <v>0</v>
      </c>
    </row>
    <row r="664" spans="3:22" x14ac:dyDescent="0.25">
      <c r="C664" s="74" t="s">
        <v>21386</v>
      </c>
      <c r="D664" s="74" t="s">
        <v>148</v>
      </c>
      <c r="E664" s="74" t="s">
        <v>21338</v>
      </c>
      <c r="F664" s="74">
        <v>674396</v>
      </c>
      <c r="G664" s="74">
        <v>3</v>
      </c>
      <c r="H664" s="135">
        <v>42997.608807870369</v>
      </c>
      <c r="I664" s="74" t="s">
        <v>21339</v>
      </c>
      <c r="J664" s="74" t="s">
        <v>21364</v>
      </c>
      <c r="K664" s="74" t="s">
        <v>870</v>
      </c>
      <c r="L664" s="74">
        <v>551737</v>
      </c>
      <c r="M664" s="74" t="s">
        <v>21341</v>
      </c>
      <c r="N664" s="74">
        <v>1</v>
      </c>
      <c r="O664" s="74" t="s">
        <v>21342</v>
      </c>
      <c r="P664" s="74" t="s">
        <v>21343</v>
      </c>
      <c r="Q664" s="74">
        <v>0</v>
      </c>
      <c r="R664" s="74" t="s">
        <v>148</v>
      </c>
      <c r="S664" s="74" t="s">
        <v>21338</v>
      </c>
      <c r="T664" s="74" t="s">
        <v>402</v>
      </c>
      <c r="U664" s="74">
        <v>0</v>
      </c>
      <c r="V664" s="74">
        <v>0</v>
      </c>
    </row>
    <row r="665" spans="3:22" x14ac:dyDescent="0.25">
      <c r="C665" s="74" t="s">
        <v>21386</v>
      </c>
      <c r="D665" s="74" t="s">
        <v>148</v>
      </c>
      <c r="E665" s="74" t="s">
        <v>21338</v>
      </c>
      <c r="F665" s="74">
        <v>674396</v>
      </c>
      <c r="G665" s="74">
        <v>3</v>
      </c>
      <c r="H665" s="135">
        <v>42997.608796296299</v>
      </c>
      <c r="I665" s="74" t="s">
        <v>21339</v>
      </c>
      <c r="J665" s="74" t="s">
        <v>21364</v>
      </c>
      <c r="K665" s="74" t="s">
        <v>870</v>
      </c>
      <c r="L665" s="74">
        <v>551737</v>
      </c>
      <c r="M665" s="74" t="s">
        <v>21341</v>
      </c>
      <c r="N665" s="74">
        <v>1</v>
      </c>
      <c r="O665" s="74" t="s">
        <v>21342</v>
      </c>
      <c r="P665" s="74" t="s">
        <v>21343</v>
      </c>
      <c r="Q665" s="74">
        <v>0</v>
      </c>
      <c r="R665" s="74" t="s">
        <v>148</v>
      </c>
      <c r="S665" s="74" t="s">
        <v>21338</v>
      </c>
      <c r="T665" s="74" t="s">
        <v>402</v>
      </c>
      <c r="U665" s="74">
        <v>0</v>
      </c>
      <c r="V665" s="74">
        <v>0</v>
      </c>
    </row>
    <row r="666" spans="3:22" x14ac:dyDescent="0.25">
      <c r="C666" s="74" t="s">
        <v>21386</v>
      </c>
      <c r="D666" s="74" t="s">
        <v>148</v>
      </c>
      <c r="E666" s="74" t="s">
        <v>21338</v>
      </c>
      <c r="F666" s="74">
        <v>674396</v>
      </c>
      <c r="G666" s="74">
        <v>3</v>
      </c>
      <c r="H666" s="135">
        <v>42997.608715277776</v>
      </c>
      <c r="I666" s="74" t="s">
        <v>21339</v>
      </c>
      <c r="J666" s="74" t="s">
        <v>21364</v>
      </c>
      <c r="K666" s="74" t="s">
        <v>870</v>
      </c>
      <c r="L666" s="74">
        <v>551737</v>
      </c>
      <c r="M666" s="74" t="s">
        <v>21341</v>
      </c>
      <c r="N666" s="74">
        <v>1</v>
      </c>
      <c r="O666" s="74" t="s">
        <v>21342</v>
      </c>
      <c r="P666" s="74" t="s">
        <v>21343</v>
      </c>
      <c r="Q666" s="74">
        <v>0</v>
      </c>
      <c r="R666" s="74" t="s">
        <v>148</v>
      </c>
      <c r="S666" s="74" t="s">
        <v>21338</v>
      </c>
      <c r="T666" s="74" t="s">
        <v>402</v>
      </c>
      <c r="U666" s="74">
        <v>0</v>
      </c>
      <c r="V666" s="74">
        <v>0</v>
      </c>
    </row>
    <row r="667" spans="3:22" x14ac:dyDescent="0.25">
      <c r="C667" s="74" t="s">
        <v>21386</v>
      </c>
      <c r="D667" s="74" t="s">
        <v>148</v>
      </c>
      <c r="E667" s="74" t="s">
        <v>21338</v>
      </c>
      <c r="F667" s="74">
        <v>674396</v>
      </c>
      <c r="G667" s="74">
        <v>3</v>
      </c>
      <c r="H667" s="135">
        <v>42997.608703703707</v>
      </c>
      <c r="I667" s="74" t="s">
        <v>21365</v>
      </c>
      <c r="J667" s="74" t="s">
        <v>21366</v>
      </c>
      <c r="K667" s="74" t="s">
        <v>21517</v>
      </c>
      <c r="L667" s="74">
        <v>555675</v>
      </c>
      <c r="M667" s="74" t="s">
        <v>21368</v>
      </c>
      <c r="N667" s="74">
        <v>1</v>
      </c>
      <c r="O667" s="74" t="s">
        <v>21369</v>
      </c>
      <c r="P667" s="74" t="s">
        <v>21343</v>
      </c>
      <c r="Q667" s="74" t="s">
        <v>21518</v>
      </c>
      <c r="R667" s="74" t="s">
        <v>148</v>
      </c>
      <c r="S667" s="74" t="s">
        <v>21338</v>
      </c>
      <c r="T667" s="74" t="s">
        <v>21371</v>
      </c>
      <c r="U667" s="74">
        <v>0</v>
      </c>
      <c r="V667" s="74">
        <v>0</v>
      </c>
    </row>
    <row r="668" spans="3:22" x14ac:dyDescent="0.25">
      <c r="C668" s="74" t="s">
        <v>21386</v>
      </c>
      <c r="D668" s="74" t="s">
        <v>148</v>
      </c>
      <c r="E668" s="74" t="s">
        <v>21338</v>
      </c>
      <c r="F668" s="74">
        <v>674396</v>
      </c>
      <c r="G668" s="74">
        <v>3</v>
      </c>
      <c r="H668" s="135">
        <v>42997.60869212963</v>
      </c>
      <c r="I668" s="74" t="s">
        <v>21365</v>
      </c>
      <c r="J668" s="74" t="s">
        <v>21366</v>
      </c>
      <c r="K668" s="74" t="s">
        <v>21367</v>
      </c>
      <c r="L668" s="74">
        <v>561482</v>
      </c>
      <c r="M668" s="74" t="s">
        <v>21368</v>
      </c>
      <c r="N668" s="74">
        <v>1</v>
      </c>
      <c r="O668" s="74" t="s">
        <v>21369</v>
      </c>
      <c r="P668" s="74" t="s">
        <v>21343</v>
      </c>
      <c r="Q668" s="74" t="s">
        <v>21518</v>
      </c>
      <c r="R668" s="74" t="s">
        <v>148</v>
      </c>
      <c r="S668" s="74" t="s">
        <v>21338</v>
      </c>
      <c r="T668" s="74" t="s">
        <v>21371</v>
      </c>
      <c r="U668" s="74">
        <v>0</v>
      </c>
      <c r="V668" s="74">
        <v>0</v>
      </c>
    </row>
    <row r="669" spans="3:22" x14ac:dyDescent="0.25">
      <c r="C669" s="74" t="s">
        <v>21386</v>
      </c>
      <c r="D669" s="74" t="s">
        <v>148</v>
      </c>
      <c r="E669" s="74" t="s">
        <v>21338</v>
      </c>
      <c r="F669" s="74">
        <v>674396</v>
      </c>
      <c r="G669" s="74">
        <v>3</v>
      </c>
      <c r="H669" s="135">
        <v>42997.60869212963</v>
      </c>
      <c r="I669" s="74" t="s">
        <v>21365</v>
      </c>
      <c r="J669" s="74" t="s">
        <v>21366</v>
      </c>
      <c r="K669" s="74" t="s">
        <v>21403</v>
      </c>
      <c r="L669" s="74">
        <v>561483</v>
      </c>
      <c r="M669" s="74" t="s">
        <v>21368</v>
      </c>
      <c r="N669" s="74">
        <v>1</v>
      </c>
      <c r="O669" s="74" t="s">
        <v>21369</v>
      </c>
      <c r="P669" s="74" t="s">
        <v>21343</v>
      </c>
      <c r="Q669" s="74" t="s">
        <v>21518</v>
      </c>
      <c r="R669" s="74" t="s">
        <v>148</v>
      </c>
      <c r="S669" s="74" t="s">
        <v>21338</v>
      </c>
      <c r="T669" s="74" t="s">
        <v>21371</v>
      </c>
      <c r="U669" s="74">
        <v>0</v>
      </c>
      <c r="V669" s="74">
        <v>0</v>
      </c>
    </row>
    <row r="670" spans="3:22" x14ac:dyDescent="0.25">
      <c r="C670" s="74" t="s">
        <v>21386</v>
      </c>
      <c r="D670" s="74" t="s">
        <v>148</v>
      </c>
      <c r="E670" s="74" t="s">
        <v>21338</v>
      </c>
      <c r="F670" s="74">
        <v>674396</v>
      </c>
      <c r="G670" s="74">
        <v>3</v>
      </c>
      <c r="H670" s="135">
        <v>42997.608680555553</v>
      </c>
      <c r="I670" s="74" t="s">
        <v>21365</v>
      </c>
      <c r="J670" s="74" t="s">
        <v>21366</v>
      </c>
      <c r="K670" s="74" t="s">
        <v>21519</v>
      </c>
      <c r="L670" s="74">
        <v>555672</v>
      </c>
      <c r="M670" s="74" t="s">
        <v>21368</v>
      </c>
      <c r="N670" s="74">
        <v>1</v>
      </c>
      <c r="O670" s="74" t="s">
        <v>21369</v>
      </c>
      <c r="P670" s="74" t="s">
        <v>21343</v>
      </c>
      <c r="Q670" s="74" t="s">
        <v>21518</v>
      </c>
      <c r="R670" s="74" t="s">
        <v>148</v>
      </c>
      <c r="S670" s="74" t="s">
        <v>21338</v>
      </c>
      <c r="T670" s="74" t="s">
        <v>21371</v>
      </c>
      <c r="U670" s="74">
        <v>0</v>
      </c>
      <c r="V670" s="74">
        <v>0</v>
      </c>
    </row>
    <row r="671" spans="3:22" x14ac:dyDescent="0.25">
      <c r="C671" s="74" t="s">
        <v>21386</v>
      </c>
      <c r="D671" s="74" t="s">
        <v>148</v>
      </c>
      <c r="E671" s="74" t="s">
        <v>21338</v>
      </c>
      <c r="F671" s="74">
        <v>674396</v>
      </c>
      <c r="G671" s="74">
        <v>3</v>
      </c>
      <c r="H671" s="135">
        <v>42997.608668981484</v>
      </c>
      <c r="I671" s="74" t="s">
        <v>21365</v>
      </c>
      <c r="J671" s="74" t="s">
        <v>21366</v>
      </c>
      <c r="K671" s="74" t="s">
        <v>21520</v>
      </c>
      <c r="L671" s="74">
        <v>555679</v>
      </c>
      <c r="M671" s="74" t="s">
        <v>21368</v>
      </c>
      <c r="N671" s="74">
        <v>1</v>
      </c>
      <c r="O671" s="74" t="s">
        <v>21369</v>
      </c>
      <c r="P671" s="74" t="s">
        <v>21343</v>
      </c>
      <c r="Q671" s="74" t="s">
        <v>21518</v>
      </c>
      <c r="R671" s="74" t="s">
        <v>148</v>
      </c>
      <c r="S671" s="74" t="s">
        <v>21338</v>
      </c>
      <c r="T671" s="74" t="s">
        <v>21371</v>
      </c>
      <c r="U671" s="74">
        <v>0</v>
      </c>
      <c r="V671" s="74">
        <v>0</v>
      </c>
    </row>
    <row r="672" spans="3:22" x14ac:dyDescent="0.25">
      <c r="C672" s="74" t="s">
        <v>21386</v>
      </c>
      <c r="D672" s="74" t="s">
        <v>148</v>
      </c>
      <c r="E672" s="74" t="s">
        <v>21338</v>
      </c>
      <c r="F672" s="74">
        <v>674396</v>
      </c>
      <c r="G672" s="74">
        <v>3</v>
      </c>
      <c r="H672" s="135">
        <v>42997.608668981484</v>
      </c>
      <c r="I672" s="74" t="s">
        <v>21365</v>
      </c>
      <c r="J672" s="74" t="s">
        <v>21366</v>
      </c>
      <c r="K672" s="74" t="s">
        <v>21373</v>
      </c>
      <c r="L672" s="74">
        <v>555662</v>
      </c>
      <c r="M672" s="74" t="s">
        <v>21368</v>
      </c>
      <c r="N672" s="74">
        <v>1</v>
      </c>
      <c r="O672" s="74" t="s">
        <v>21369</v>
      </c>
      <c r="P672" s="74" t="s">
        <v>21343</v>
      </c>
      <c r="Q672" s="74" t="s">
        <v>21518</v>
      </c>
      <c r="R672" s="74" t="s">
        <v>148</v>
      </c>
      <c r="S672" s="74" t="s">
        <v>21338</v>
      </c>
      <c r="T672" s="74" t="s">
        <v>21371</v>
      </c>
      <c r="U672" s="74">
        <v>0</v>
      </c>
      <c r="V672" s="74">
        <v>0</v>
      </c>
    </row>
    <row r="673" spans="3:22" x14ac:dyDescent="0.25">
      <c r="C673" s="74" t="s">
        <v>21386</v>
      </c>
      <c r="D673" s="74" t="s">
        <v>148</v>
      </c>
      <c r="E673" s="74" t="s">
        <v>21338</v>
      </c>
      <c r="F673" s="74">
        <v>674396</v>
      </c>
      <c r="G673" s="74">
        <v>3</v>
      </c>
      <c r="H673" s="135">
        <v>42997.608657407407</v>
      </c>
      <c r="I673" s="74" t="s">
        <v>21365</v>
      </c>
      <c r="J673" s="74" t="s">
        <v>21366</v>
      </c>
      <c r="K673" s="74" t="s">
        <v>21376</v>
      </c>
      <c r="L673" s="74">
        <v>555659</v>
      </c>
      <c r="M673" s="74" t="s">
        <v>21368</v>
      </c>
      <c r="N673" s="74">
        <v>1</v>
      </c>
      <c r="O673" s="74" t="s">
        <v>21369</v>
      </c>
      <c r="P673" s="74" t="s">
        <v>21343</v>
      </c>
      <c r="Q673" s="74" t="s">
        <v>21518</v>
      </c>
      <c r="R673" s="74" t="s">
        <v>148</v>
      </c>
      <c r="S673" s="74" t="s">
        <v>21338</v>
      </c>
      <c r="T673" s="74" t="s">
        <v>21371</v>
      </c>
      <c r="U673" s="74">
        <v>0</v>
      </c>
      <c r="V673" s="74">
        <v>0</v>
      </c>
    </row>
    <row r="674" spans="3:22" x14ac:dyDescent="0.25">
      <c r="C674" s="74" t="s">
        <v>21386</v>
      </c>
      <c r="D674" s="74" t="s">
        <v>148</v>
      </c>
      <c r="E674" s="74" t="s">
        <v>21338</v>
      </c>
      <c r="F674" s="74">
        <v>674396</v>
      </c>
      <c r="G674" s="74">
        <v>3</v>
      </c>
      <c r="H674" s="135">
        <v>42997.608657407407</v>
      </c>
      <c r="I674" s="74" t="s">
        <v>21365</v>
      </c>
      <c r="J674" s="74" t="s">
        <v>21366</v>
      </c>
      <c r="K674" s="74" t="s">
        <v>21521</v>
      </c>
      <c r="L674" s="74">
        <v>561111</v>
      </c>
      <c r="M674" s="74" t="s">
        <v>21368</v>
      </c>
      <c r="N674" s="74">
        <v>1</v>
      </c>
      <c r="O674" s="74" t="s">
        <v>21369</v>
      </c>
      <c r="P674" s="74" t="s">
        <v>21343</v>
      </c>
      <c r="Q674" s="74" t="s">
        <v>21518</v>
      </c>
      <c r="R674" s="74" t="s">
        <v>148</v>
      </c>
      <c r="S674" s="74" t="s">
        <v>21338</v>
      </c>
      <c r="T674" s="74" t="s">
        <v>21371</v>
      </c>
      <c r="U674" s="74">
        <v>0</v>
      </c>
      <c r="V674" s="74">
        <v>0</v>
      </c>
    </row>
    <row r="675" spans="3:22" x14ac:dyDescent="0.25">
      <c r="C675" s="74" t="s">
        <v>21386</v>
      </c>
      <c r="D675" s="74" t="s">
        <v>148</v>
      </c>
      <c r="E675" s="74" t="s">
        <v>21338</v>
      </c>
      <c r="F675" s="74">
        <v>674396</v>
      </c>
      <c r="G675" s="74">
        <v>3</v>
      </c>
      <c r="H675" s="135">
        <v>42997.60864583333</v>
      </c>
      <c r="I675" s="74" t="s">
        <v>21365</v>
      </c>
      <c r="J675" s="74" t="s">
        <v>21366</v>
      </c>
      <c r="K675" s="74" t="s">
        <v>21377</v>
      </c>
      <c r="L675" s="74">
        <v>555668</v>
      </c>
      <c r="M675" s="74" t="s">
        <v>21368</v>
      </c>
      <c r="N675" s="74">
        <v>1</v>
      </c>
      <c r="O675" s="74" t="s">
        <v>21369</v>
      </c>
      <c r="P675" s="74" t="s">
        <v>21343</v>
      </c>
      <c r="Q675" s="74" t="s">
        <v>21518</v>
      </c>
      <c r="R675" s="74" t="s">
        <v>148</v>
      </c>
      <c r="S675" s="74" t="s">
        <v>21338</v>
      </c>
      <c r="T675" s="74" t="s">
        <v>21371</v>
      </c>
      <c r="U675" s="74">
        <v>0</v>
      </c>
      <c r="V675" s="74">
        <v>0</v>
      </c>
    </row>
    <row r="676" spans="3:22" x14ac:dyDescent="0.25">
      <c r="C676" s="74" t="s">
        <v>21386</v>
      </c>
      <c r="D676" s="74" t="s">
        <v>148</v>
      </c>
      <c r="E676" s="74" t="s">
        <v>21338</v>
      </c>
      <c r="F676" s="74">
        <v>674396</v>
      </c>
      <c r="G676" s="74">
        <v>3</v>
      </c>
      <c r="H676" s="135">
        <v>42997.608622685184</v>
      </c>
      <c r="I676" s="74" t="s">
        <v>21339</v>
      </c>
      <c r="J676" s="74" t="s">
        <v>21364</v>
      </c>
      <c r="K676" s="74" t="s">
        <v>870</v>
      </c>
      <c r="L676" s="74">
        <v>551737</v>
      </c>
      <c r="M676" s="74" t="s">
        <v>21341</v>
      </c>
      <c r="N676" s="74">
        <v>1</v>
      </c>
      <c r="O676" s="74" t="s">
        <v>21342</v>
      </c>
      <c r="P676" s="74" t="s">
        <v>21343</v>
      </c>
      <c r="Q676" s="74">
        <v>0</v>
      </c>
      <c r="R676" s="74" t="s">
        <v>148</v>
      </c>
      <c r="S676" s="74" t="s">
        <v>21338</v>
      </c>
      <c r="T676" s="74" t="s">
        <v>402</v>
      </c>
      <c r="U676" s="74">
        <v>0</v>
      </c>
      <c r="V676" s="74">
        <v>0</v>
      </c>
    </row>
    <row r="677" spans="3:22" x14ac:dyDescent="0.25">
      <c r="C677" s="74" t="s">
        <v>21386</v>
      </c>
      <c r="D677" s="74" t="s">
        <v>148</v>
      </c>
      <c r="E677" s="74" t="s">
        <v>21338</v>
      </c>
      <c r="F677" s="74">
        <v>674396</v>
      </c>
      <c r="G677" s="74">
        <v>3</v>
      </c>
      <c r="H677" s="135">
        <v>42997.608518518522</v>
      </c>
      <c r="I677" s="74" t="s">
        <v>21339</v>
      </c>
      <c r="J677" s="74" t="s">
        <v>21364</v>
      </c>
      <c r="K677" s="74" t="s">
        <v>870</v>
      </c>
      <c r="L677" s="74">
        <v>551737</v>
      </c>
      <c r="M677" s="74" t="s">
        <v>21341</v>
      </c>
      <c r="N677" s="74">
        <v>1</v>
      </c>
      <c r="O677" s="74" t="s">
        <v>21342</v>
      </c>
      <c r="P677" s="74" t="s">
        <v>21343</v>
      </c>
      <c r="Q677" s="74">
        <v>0</v>
      </c>
      <c r="R677" s="74" t="s">
        <v>148</v>
      </c>
      <c r="S677" s="74" t="s">
        <v>21338</v>
      </c>
      <c r="T677" s="74" t="s">
        <v>402</v>
      </c>
      <c r="U677" s="74">
        <v>0</v>
      </c>
      <c r="V677" s="74">
        <v>0</v>
      </c>
    </row>
    <row r="678" spans="3:22" x14ac:dyDescent="0.25">
      <c r="C678" s="74" t="s">
        <v>21386</v>
      </c>
      <c r="D678" s="74" t="s">
        <v>148</v>
      </c>
      <c r="E678" s="74" t="s">
        <v>21338</v>
      </c>
      <c r="F678" s="74">
        <v>674396</v>
      </c>
      <c r="G678" s="74">
        <v>3</v>
      </c>
      <c r="H678" s="135">
        <v>42997.59952546296</v>
      </c>
      <c r="I678" s="74" t="s">
        <v>21339</v>
      </c>
      <c r="J678" s="74" t="s">
        <v>21360</v>
      </c>
      <c r="K678" s="74" t="s">
        <v>870</v>
      </c>
      <c r="L678" s="74">
        <v>551737</v>
      </c>
      <c r="M678" s="74" t="s">
        <v>21341</v>
      </c>
      <c r="N678" s="74">
        <v>1</v>
      </c>
      <c r="O678" s="74" t="s">
        <v>21342</v>
      </c>
      <c r="P678" s="74" t="s">
        <v>21343</v>
      </c>
      <c r="Q678" s="74" t="s">
        <v>21361</v>
      </c>
      <c r="R678" s="74" t="s">
        <v>148</v>
      </c>
      <c r="S678" s="74" t="s">
        <v>21338</v>
      </c>
      <c r="T678" s="74" t="s">
        <v>402</v>
      </c>
      <c r="U678" s="74">
        <v>0</v>
      </c>
      <c r="V678" s="74">
        <v>0</v>
      </c>
    </row>
    <row r="679" spans="3:22" x14ac:dyDescent="0.25">
      <c r="C679" s="74" t="s">
        <v>18795</v>
      </c>
      <c r="D679" s="74" t="s">
        <v>148</v>
      </c>
      <c r="E679" s="74" t="s">
        <v>21338</v>
      </c>
      <c r="F679" s="74">
        <v>551367</v>
      </c>
      <c r="G679" s="74">
        <v>1000</v>
      </c>
      <c r="H679" s="135">
        <v>42997.591168981482</v>
      </c>
      <c r="I679" s="74" t="s">
        <v>21339</v>
      </c>
      <c r="J679" s="74" t="s">
        <v>21340</v>
      </c>
      <c r="K679" s="74" t="s">
        <v>11050</v>
      </c>
      <c r="L679" s="74">
        <v>553050</v>
      </c>
      <c r="M679" s="74" t="s">
        <v>21341</v>
      </c>
      <c r="N679" s="74">
        <v>1</v>
      </c>
      <c r="O679" s="74" t="s">
        <v>21342</v>
      </c>
      <c r="P679" s="74" t="s">
        <v>21343</v>
      </c>
      <c r="Q679" s="74">
        <v>0</v>
      </c>
      <c r="R679" s="74" t="s">
        <v>148</v>
      </c>
      <c r="S679" s="74" t="s">
        <v>21338</v>
      </c>
      <c r="T679" s="74" t="s">
        <v>393</v>
      </c>
      <c r="U679" s="74">
        <v>0</v>
      </c>
      <c r="V679" s="74">
        <v>0</v>
      </c>
    </row>
    <row r="680" spans="3:22" x14ac:dyDescent="0.25">
      <c r="C680" s="74" t="s">
        <v>18795</v>
      </c>
      <c r="D680" s="74" t="s">
        <v>148</v>
      </c>
      <c r="E680" s="74" t="s">
        <v>21338</v>
      </c>
      <c r="F680" s="74">
        <v>551367</v>
      </c>
      <c r="G680" s="74">
        <v>1000</v>
      </c>
      <c r="H680" s="135">
        <v>42997.554699074077</v>
      </c>
      <c r="I680" s="74" t="s">
        <v>21339</v>
      </c>
      <c r="J680" s="74" t="s">
        <v>21340</v>
      </c>
      <c r="K680" s="74" t="s">
        <v>5088</v>
      </c>
      <c r="L680" s="74">
        <v>552276</v>
      </c>
      <c r="M680" s="74" t="s">
        <v>21341</v>
      </c>
      <c r="N680" s="74">
        <v>1</v>
      </c>
      <c r="O680" s="74" t="s">
        <v>21342</v>
      </c>
      <c r="P680" s="74" t="s">
        <v>21343</v>
      </c>
      <c r="Q680" s="74">
        <v>0</v>
      </c>
      <c r="R680" s="74" t="s">
        <v>148</v>
      </c>
      <c r="S680" s="74" t="s">
        <v>21338</v>
      </c>
      <c r="T680" s="74" t="s">
        <v>402</v>
      </c>
      <c r="U680" s="74">
        <v>0</v>
      </c>
      <c r="V680" s="74">
        <v>0</v>
      </c>
    </row>
    <row r="681" spans="3:22" x14ac:dyDescent="0.25">
      <c r="C681" s="74" t="s">
        <v>21351</v>
      </c>
      <c r="D681" s="74" t="s">
        <v>148</v>
      </c>
      <c r="E681" s="74" t="s">
        <v>21338</v>
      </c>
      <c r="F681" s="74">
        <v>707864</v>
      </c>
      <c r="G681" s="74">
        <v>3</v>
      </c>
      <c r="H681" s="135">
        <v>42997.54724537037</v>
      </c>
      <c r="I681" s="74" t="s">
        <v>21354</v>
      </c>
      <c r="J681" s="74" t="s">
        <v>21355</v>
      </c>
      <c r="K681" s="74" t="s">
        <v>21522</v>
      </c>
      <c r="L681" s="74">
        <v>909245</v>
      </c>
      <c r="M681" s="74" t="s">
        <v>21341</v>
      </c>
      <c r="N681" s="74">
        <v>1</v>
      </c>
      <c r="O681" s="74" t="s">
        <v>21342</v>
      </c>
      <c r="P681" s="74" t="s">
        <v>21345</v>
      </c>
      <c r="R681" s="74" t="s">
        <v>148</v>
      </c>
      <c r="S681" s="74" t="s">
        <v>21338</v>
      </c>
      <c r="T681" s="74" t="s">
        <v>402</v>
      </c>
      <c r="U681" s="74">
        <v>0</v>
      </c>
      <c r="V681" s="74">
        <v>0</v>
      </c>
    </row>
    <row r="682" spans="3:22" x14ac:dyDescent="0.25">
      <c r="C682" s="74" t="s">
        <v>18795</v>
      </c>
      <c r="D682" s="74" t="s">
        <v>148</v>
      </c>
      <c r="E682" s="74" t="s">
        <v>21338</v>
      </c>
      <c r="F682" s="74">
        <v>551367</v>
      </c>
      <c r="G682" s="74">
        <v>1000</v>
      </c>
      <c r="H682" s="135">
        <v>42997.546400462961</v>
      </c>
      <c r="I682" s="74" t="s">
        <v>21339</v>
      </c>
      <c r="J682" s="74" t="s">
        <v>21340</v>
      </c>
      <c r="K682" s="74" t="s">
        <v>21523</v>
      </c>
      <c r="L682" s="74">
        <v>631398</v>
      </c>
      <c r="M682" s="74" t="s">
        <v>21341</v>
      </c>
      <c r="N682" s="74">
        <v>1</v>
      </c>
      <c r="O682" s="74" t="s">
        <v>21342</v>
      </c>
      <c r="P682" s="74" t="s">
        <v>21343</v>
      </c>
      <c r="Q682" s="74">
        <v>0</v>
      </c>
      <c r="R682" s="74" t="s">
        <v>148</v>
      </c>
      <c r="S682" s="74" t="s">
        <v>21338</v>
      </c>
      <c r="T682" s="74" t="s">
        <v>402</v>
      </c>
      <c r="U682" s="74">
        <v>0</v>
      </c>
      <c r="V682" s="74">
        <v>0</v>
      </c>
    </row>
    <row r="683" spans="3:22" x14ac:dyDescent="0.25">
      <c r="C683" s="74" t="s">
        <v>18795</v>
      </c>
      <c r="D683" s="74" t="s">
        <v>148</v>
      </c>
      <c r="E683" s="74" t="s">
        <v>21338</v>
      </c>
      <c r="F683" s="74">
        <v>551367</v>
      </c>
      <c r="G683" s="74">
        <v>1000</v>
      </c>
      <c r="H683" s="135">
        <v>42997.54210648148</v>
      </c>
      <c r="I683" s="74" t="s">
        <v>21339</v>
      </c>
      <c r="J683" s="74" t="s">
        <v>21340</v>
      </c>
      <c r="K683" s="74" t="s">
        <v>21524</v>
      </c>
      <c r="L683" s="74">
        <v>878079</v>
      </c>
      <c r="M683" s="74" t="s">
        <v>21341</v>
      </c>
      <c r="N683" s="74">
        <v>1</v>
      </c>
      <c r="O683" s="74" t="s">
        <v>21342</v>
      </c>
      <c r="P683" s="74" t="s">
        <v>21343</v>
      </c>
      <c r="Q683" s="74">
        <v>0</v>
      </c>
      <c r="R683" s="74" t="s">
        <v>148</v>
      </c>
      <c r="S683" s="74" t="s">
        <v>21338</v>
      </c>
      <c r="T683" s="74" t="s">
        <v>393</v>
      </c>
      <c r="U683" s="74">
        <v>0</v>
      </c>
      <c r="V683" s="74">
        <v>0</v>
      </c>
    </row>
    <row r="684" spans="3:22" x14ac:dyDescent="0.25">
      <c r="C684" s="74" t="s">
        <v>18795</v>
      </c>
      <c r="D684" s="74" t="s">
        <v>148</v>
      </c>
      <c r="E684" s="74" t="s">
        <v>21338</v>
      </c>
      <c r="F684" s="74">
        <v>551367</v>
      </c>
      <c r="G684" s="74">
        <v>1000</v>
      </c>
      <c r="H684" s="135">
        <v>42997.540023148147</v>
      </c>
      <c r="I684" s="74" t="s">
        <v>21339</v>
      </c>
      <c r="J684" s="74" t="s">
        <v>21340</v>
      </c>
      <c r="K684" s="74" t="s">
        <v>21522</v>
      </c>
      <c r="L684" s="74">
        <v>909245</v>
      </c>
      <c r="M684" s="74" t="s">
        <v>21341</v>
      </c>
      <c r="N684" s="74">
        <v>1</v>
      </c>
      <c r="O684" s="74" t="s">
        <v>21342</v>
      </c>
      <c r="P684" s="74" t="s">
        <v>21343</v>
      </c>
      <c r="Q684" s="74">
        <v>0</v>
      </c>
      <c r="R684" s="74" t="s">
        <v>148</v>
      </c>
      <c r="S684" s="74" t="s">
        <v>21338</v>
      </c>
      <c r="T684" s="74" t="s">
        <v>402</v>
      </c>
      <c r="U684" s="74">
        <v>0</v>
      </c>
      <c r="V684" s="74">
        <v>0</v>
      </c>
    </row>
    <row r="685" spans="3:22" x14ac:dyDescent="0.25">
      <c r="C685" s="74" t="s">
        <v>735</v>
      </c>
      <c r="D685" s="74" t="s">
        <v>148</v>
      </c>
      <c r="E685" s="74" t="s">
        <v>21338</v>
      </c>
      <c r="F685" s="74">
        <v>570025</v>
      </c>
      <c r="G685" s="74">
        <v>3</v>
      </c>
      <c r="H685" s="135">
        <v>42997.534849537034</v>
      </c>
      <c r="I685" s="74" t="s">
        <v>21339</v>
      </c>
      <c r="J685" s="74" t="s">
        <v>21360</v>
      </c>
      <c r="K685" s="74" t="s">
        <v>3831</v>
      </c>
      <c r="L685" s="74">
        <v>552142</v>
      </c>
      <c r="M685" s="74" t="s">
        <v>21341</v>
      </c>
      <c r="N685" s="74">
        <v>1</v>
      </c>
      <c r="O685" s="74" t="s">
        <v>21342</v>
      </c>
      <c r="P685" s="74" t="s">
        <v>21343</v>
      </c>
      <c r="Q685" s="74" t="s">
        <v>21361</v>
      </c>
      <c r="R685" s="74" t="s">
        <v>148</v>
      </c>
      <c r="S685" s="74" t="s">
        <v>21338</v>
      </c>
      <c r="T685" s="74" t="s">
        <v>393</v>
      </c>
      <c r="U685" s="74">
        <v>0</v>
      </c>
      <c r="V685" s="74">
        <v>0</v>
      </c>
    </row>
    <row r="686" spans="3:22" x14ac:dyDescent="0.25">
      <c r="C686" s="74" t="s">
        <v>735</v>
      </c>
      <c r="D686" s="74" t="s">
        <v>148</v>
      </c>
      <c r="E686" s="74" t="s">
        <v>21338</v>
      </c>
      <c r="F686" s="74">
        <v>570025</v>
      </c>
      <c r="G686" s="74">
        <v>3</v>
      </c>
      <c r="H686" s="135">
        <v>42997.533252314817</v>
      </c>
      <c r="I686" s="74" t="s">
        <v>21339</v>
      </c>
      <c r="J686" s="74" t="s">
        <v>21364</v>
      </c>
      <c r="K686" s="74" t="s">
        <v>3831</v>
      </c>
      <c r="L686" s="74">
        <v>552142</v>
      </c>
      <c r="M686" s="74" t="s">
        <v>21341</v>
      </c>
      <c r="N686" s="74">
        <v>1</v>
      </c>
      <c r="O686" s="74" t="s">
        <v>21342</v>
      </c>
      <c r="P686" s="74" t="s">
        <v>21343</v>
      </c>
      <c r="Q686" s="74">
        <v>0</v>
      </c>
      <c r="R686" s="74" t="s">
        <v>148</v>
      </c>
      <c r="S686" s="74" t="s">
        <v>21338</v>
      </c>
      <c r="T686" s="74" t="s">
        <v>393</v>
      </c>
      <c r="U686" s="74">
        <v>0</v>
      </c>
      <c r="V686" s="74">
        <v>0</v>
      </c>
    </row>
    <row r="687" spans="3:22" x14ac:dyDescent="0.25">
      <c r="C687" s="74" t="s">
        <v>735</v>
      </c>
      <c r="D687" s="74" t="s">
        <v>148</v>
      </c>
      <c r="E687" s="74" t="s">
        <v>21338</v>
      </c>
      <c r="F687" s="74">
        <v>570025</v>
      </c>
      <c r="G687" s="74">
        <v>3</v>
      </c>
      <c r="H687" s="135">
        <v>42997.53324074074</v>
      </c>
      <c r="I687" s="74" t="s">
        <v>21365</v>
      </c>
      <c r="J687" s="74" t="s">
        <v>21366</v>
      </c>
      <c r="K687" s="74" t="s">
        <v>21367</v>
      </c>
      <c r="L687" s="74">
        <v>561482</v>
      </c>
      <c r="M687" s="74" t="s">
        <v>21368</v>
      </c>
      <c r="N687" s="74">
        <v>1</v>
      </c>
      <c r="O687" s="74" t="s">
        <v>21369</v>
      </c>
      <c r="P687" s="74" t="s">
        <v>21343</v>
      </c>
      <c r="Q687" s="74" t="s">
        <v>21525</v>
      </c>
      <c r="R687" s="74" t="s">
        <v>148</v>
      </c>
      <c r="S687" s="74" t="s">
        <v>21338</v>
      </c>
      <c r="T687" s="74" t="s">
        <v>21371</v>
      </c>
      <c r="U687" s="74">
        <v>0</v>
      </c>
      <c r="V687" s="74">
        <v>0</v>
      </c>
    </row>
    <row r="688" spans="3:22" x14ac:dyDescent="0.25">
      <c r="C688" s="74" t="s">
        <v>735</v>
      </c>
      <c r="D688" s="74" t="s">
        <v>148</v>
      </c>
      <c r="E688" s="74" t="s">
        <v>21338</v>
      </c>
      <c r="F688" s="74">
        <v>570025</v>
      </c>
      <c r="G688" s="74">
        <v>3</v>
      </c>
      <c r="H688" s="135">
        <v>42997.53324074074</v>
      </c>
      <c r="I688" s="74" t="s">
        <v>21365</v>
      </c>
      <c r="J688" s="74" t="s">
        <v>21366</v>
      </c>
      <c r="K688" s="74" t="s">
        <v>21403</v>
      </c>
      <c r="L688" s="74">
        <v>561483</v>
      </c>
      <c r="M688" s="74" t="s">
        <v>21368</v>
      </c>
      <c r="N688" s="74">
        <v>1</v>
      </c>
      <c r="O688" s="74" t="s">
        <v>21369</v>
      </c>
      <c r="P688" s="74" t="s">
        <v>21343</v>
      </c>
      <c r="Q688" s="74" t="s">
        <v>21525</v>
      </c>
      <c r="R688" s="74" t="s">
        <v>148</v>
      </c>
      <c r="S688" s="74" t="s">
        <v>21338</v>
      </c>
      <c r="T688" s="74" t="s">
        <v>21371</v>
      </c>
      <c r="U688" s="74">
        <v>0</v>
      </c>
      <c r="V688" s="74">
        <v>0</v>
      </c>
    </row>
    <row r="689" spans="3:22" x14ac:dyDescent="0.25">
      <c r="C689" s="74" t="s">
        <v>735</v>
      </c>
      <c r="D689" s="74" t="s">
        <v>148</v>
      </c>
      <c r="E689" s="74" t="s">
        <v>21338</v>
      </c>
      <c r="F689" s="74">
        <v>570025</v>
      </c>
      <c r="G689" s="74">
        <v>3</v>
      </c>
      <c r="H689" s="135">
        <v>42997.533217592594</v>
      </c>
      <c r="I689" s="74" t="s">
        <v>21365</v>
      </c>
      <c r="J689" s="74" t="s">
        <v>21366</v>
      </c>
      <c r="K689" s="74" t="s">
        <v>21519</v>
      </c>
      <c r="L689" s="74">
        <v>555672</v>
      </c>
      <c r="M689" s="74" t="s">
        <v>21368</v>
      </c>
      <c r="N689" s="74">
        <v>1</v>
      </c>
      <c r="O689" s="74" t="s">
        <v>21369</v>
      </c>
      <c r="P689" s="74" t="s">
        <v>21343</v>
      </c>
      <c r="Q689" s="74" t="s">
        <v>21525</v>
      </c>
      <c r="R689" s="74" t="s">
        <v>148</v>
      </c>
      <c r="S689" s="74" t="s">
        <v>21338</v>
      </c>
      <c r="T689" s="74" t="s">
        <v>21371</v>
      </c>
      <c r="U689" s="74">
        <v>0</v>
      </c>
      <c r="V689" s="74">
        <v>0</v>
      </c>
    </row>
    <row r="690" spans="3:22" x14ac:dyDescent="0.25">
      <c r="C690" s="74" t="s">
        <v>735</v>
      </c>
      <c r="D690" s="74" t="s">
        <v>148</v>
      </c>
      <c r="E690" s="74" t="s">
        <v>21338</v>
      </c>
      <c r="F690" s="74">
        <v>570025</v>
      </c>
      <c r="G690" s="74">
        <v>3</v>
      </c>
      <c r="H690" s="135">
        <v>42997.533206018517</v>
      </c>
      <c r="I690" s="74" t="s">
        <v>21365</v>
      </c>
      <c r="J690" s="74" t="s">
        <v>21366</v>
      </c>
      <c r="K690" s="74" t="s">
        <v>21526</v>
      </c>
      <c r="L690" s="74">
        <v>606187</v>
      </c>
      <c r="M690" s="74" t="s">
        <v>21368</v>
      </c>
      <c r="N690" s="74">
        <v>1</v>
      </c>
      <c r="O690" s="74" t="s">
        <v>21369</v>
      </c>
      <c r="P690" s="74" t="s">
        <v>21343</v>
      </c>
      <c r="Q690" s="74" t="s">
        <v>21525</v>
      </c>
      <c r="R690" s="74" t="s">
        <v>148</v>
      </c>
      <c r="S690" s="74" t="s">
        <v>21338</v>
      </c>
      <c r="T690" s="74" t="s">
        <v>21371</v>
      </c>
      <c r="U690" s="74">
        <v>0</v>
      </c>
      <c r="V690" s="74">
        <v>0</v>
      </c>
    </row>
    <row r="691" spans="3:22" x14ac:dyDescent="0.25">
      <c r="C691" s="74" t="s">
        <v>735</v>
      </c>
      <c r="D691" s="74" t="s">
        <v>148</v>
      </c>
      <c r="E691" s="74" t="s">
        <v>21338</v>
      </c>
      <c r="F691" s="74">
        <v>570025</v>
      </c>
      <c r="G691" s="74">
        <v>3</v>
      </c>
      <c r="H691" s="135">
        <v>42997.533194444448</v>
      </c>
      <c r="I691" s="74" t="s">
        <v>21365</v>
      </c>
      <c r="J691" s="74" t="s">
        <v>21366</v>
      </c>
      <c r="K691" s="74" t="s">
        <v>21520</v>
      </c>
      <c r="L691" s="74">
        <v>555679</v>
      </c>
      <c r="M691" s="74" t="s">
        <v>21368</v>
      </c>
      <c r="N691" s="74">
        <v>1</v>
      </c>
      <c r="O691" s="74" t="s">
        <v>21369</v>
      </c>
      <c r="P691" s="74" t="s">
        <v>21343</v>
      </c>
      <c r="Q691" s="74" t="s">
        <v>21525</v>
      </c>
      <c r="R691" s="74" t="s">
        <v>148</v>
      </c>
      <c r="S691" s="74" t="s">
        <v>21338</v>
      </c>
      <c r="T691" s="74" t="s">
        <v>21371</v>
      </c>
      <c r="U691" s="74">
        <v>0</v>
      </c>
      <c r="V691" s="74">
        <v>0</v>
      </c>
    </row>
    <row r="692" spans="3:22" x14ac:dyDescent="0.25">
      <c r="C692" s="74" t="s">
        <v>735</v>
      </c>
      <c r="D692" s="74" t="s">
        <v>148</v>
      </c>
      <c r="E692" s="74" t="s">
        <v>21338</v>
      </c>
      <c r="F692" s="74">
        <v>570025</v>
      </c>
      <c r="G692" s="74">
        <v>3</v>
      </c>
      <c r="H692" s="135">
        <v>42997.533194444448</v>
      </c>
      <c r="I692" s="74" t="s">
        <v>21365</v>
      </c>
      <c r="J692" s="74" t="s">
        <v>21366</v>
      </c>
      <c r="K692" s="74" t="s">
        <v>21373</v>
      </c>
      <c r="L692" s="74">
        <v>555662</v>
      </c>
      <c r="M692" s="74" t="s">
        <v>21368</v>
      </c>
      <c r="N692" s="74">
        <v>1</v>
      </c>
      <c r="O692" s="74" t="s">
        <v>21369</v>
      </c>
      <c r="P692" s="74" t="s">
        <v>21343</v>
      </c>
      <c r="Q692" s="74" t="s">
        <v>21525</v>
      </c>
      <c r="R692" s="74" t="s">
        <v>148</v>
      </c>
      <c r="S692" s="74" t="s">
        <v>21338</v>
      </c>
      <c r="T692" s="74" t="s">
        <v>21371</v>
      </c>
      <c r="U692" s="74">
        <v>0</v>
      </c>
      <c r="V692" s="74">
        <v>0</v>
      </c>
    </row>
    <row r="693" spans="3:22" x14ac:dyDescent="0.25">
      <c r="C693" s="74" t="s">
        <v>735</v>
      </c>
      <c r="D693" s="74" t="s">
        <v>148</v>
      </c>
      <c r="E693" s="74" t="s">
        <v>21338</v>
      </c>
      <c r="F693" s="74">
        <v>570025</v>
      </c>
      <c r="G693" s="74">
        <v>3</v>
      </c>
      <c r="H693" s="135">
        <v>42997.533182870371</v>
      </c>
      <c r="I693" s="74" t="s">
        <v>21365</v>
      </c>
      <c r="J693" s="74" t="s">
        <v>21366</v>
      </c>
      <c r="K693" s="74" t="s">
        <v>21376</v>
      </c>
      <c r="L693" s="74">
        <v>555659</v>
      </c>
      <c r="M693" s="74" t="s">
        <v>21368</v>
      </c>
      <c r="N693" s="74">
        <v>1</v>
      </c>
      <c r="O693" s="74" t="s">
        <v>21369</v>
      </c>
      <c r="P693" s="74" t="s">
        <v>21343</v>
      </c>
      <c r="Q693" s="74" t="s">
        <v>21525</v>
      </c>
      <c r="R693" s="74" t="s">
        <v>148</v>
      </c>
      <c r="S693" s="74" t="s">
        <v>21338</v>
      </c>
      <c r="T693" s="74" t="s">
        <v>21371</v>
      </c>
      <c r="U693" s="74">
        <v>0</v>
      </c>
      <c r="V693" s="74">
        <v>0</v>
      </c>
    </row>
    <row r="694" spans="3:22" x14ac:dyDescent="0.25">
      <c r="C694" s="74" t="s">
        <v>735</v>
      </c>
      <c r="D694" s="74" t="s">
        <v>148</v>
      </c>
      <c r="E694" s="74" t="s">
        <v>21338</v>
      </c>
      <c r="F694" s="74">
        <v>570025</v>
      </c>
      <c r="G694" s="74">
        <v>3</v>
      </c>
      <c r="H694" s="135">
        <v>42997.533182870371</v>
      </c>
      <c r="I694" s="74" t="s">
        <v>21365</v>
      </c>
      <c r="J694" s="74" t="s">
        <v>21366</v>
      </c>
      <c r="K694" s="74" t="s">
        <v>21521</v>
      </c>
      <c r="L694" s="74">
        <v>561111</v>
      </c>
      <c r="M694" s="74" t="s">
        <v>21368</v>
      </c>
      <c r="N694" s="74">
        <v>1</v>
      </c>
      <c r="O694" s="74" t="s">
        <v>21369</v>
      </c>
      <c r="P694" s="74" t="s">
        <v>21343</v>
      </c>
      <c r="Q694" s="74" t="s">
        <v>21525</v>
      </c>
      <c r="R694" s="74" t="s">
        <v>148</v>
      </c>
      <c r="S694" s="74" t="s">
        <v>21338</v>
      </c>
      <c r="T694" s="74" t="s">
        <v>21371</v>
      </c>
      <c r="U694" s="74">
        <v>0</v>
      </c>
      <c r="V694" s="74">
        <v>0</v>
      </c>
    </row>
    <row r="695" spans="3:22" x14ac:dyDescent="0.25">
      <c r="C695" s="74" t="s">
        <v>735</v>
      </c>
      <c r="D695" s="74" t="s">
        <v>148</v>
      </c>
      <c r="E695" s="74" t="s">
        <v>21338</v>
      </c>
      <c r="F695" s="74">
        <v>570025</v>
      </c>
      <c r="G695" s="74">
        <v>3</v>
      </c>
      <c r="H695" s="135">
        <v>42997.533159722225</v>
      </c>
      <c r="I695" s="74" t="s">
        <v>21365</v>
      </c>
      <c r="J695" s="74" t="s">
        <v>21366</v>
      </c>
      <c r="K695" s="74" t="s">
        <v>21377</v>
      </c>
      <c r="L695" s="74">
        <v>555668</v>
      </c>
      <c r="M695" s="74" t="s">
        <v>21368</v>
      </c>
      <c r="N695" s="74">
        <v>1</v>
      </c>
      <c r="O695" s="74" t="s">
        <v>21369</v>
      </c>
      <c r="P695" s="74" t="s">
        <v>21343</v>
      </c>
      <c r="Q695" s="74" t="s">
        <v>21525</v>
      </c>
      <c r="R695" s="74" t="s">
        <v>148</v>
      </c>
      <c r="S695" s="74" t="s">
        <v>21338</v>
      </c>
      <c r="T695" s="74" t="s">
        <v>21371</v>
      </c>
      <c r="U695" s="74">
        <v>0</v>
      </c>
      <c r="V695" s="74">
        <v>0</v>
      </c>
    </row>
    <row r="696" spans="3:22" x14ac:dyDescent="0.25">
      <c r="C696" s="74" t="s">
        <v>735</v>
      </c>
      <c r="D696" s="74" t="s">
        <v>148</v>
      </c>
      <c r="E696" s="74" t="s">
        <v>21338</v>
      </c>
      <c r="F696" s="74">
        <v>570025</v>
      </c>
      <c r="G696" s="74">
        <v>3</v>
      </c>
      <c r="H696" s="135">
        <v>42997.533125000002</v>
      </c>
      <c r="I696" s="74" t="s">
        <v>21339</v>
      </c>
      <c r="J696" s="74" t="s">
        <v>21364</v>
      </c>
      <c r="K696" s="74" t="s">
        <v>3831</v>
      </c>
      <c r="L696" s="74">
        <v>552142</v>
      </c>
      <c r="M696" s="74" t="s">
        <v>21341</v>
      </c>
      <c r="N696" s="74">
        <v>1</v>
      </c>
      <c r="O696" s="74" t="s">
        <v>21342</v>
      </c>
      <c r="P696" s="74" t="s">
        <v>21343</v>
      </c>
      <c r="Q696" s="74">
        <v>0</v>
      </c>
      <c r="R696" s="74" t="s">
        <v>148</v>
      </c>
      <c r="S696" s="74" t="s">
        <v>21338</v>
      </c>
      <c r="T696" s="74" t="s">
        <v>393</v>
      </c>
      <c r="U696" s="74">
        <v>0</v>
      </c>
      <c r="V696" s="74">
        <v>0</v>
      </c>
    </row>
    <row r="697" spans="3:22" x14ac:dyDescent="0.25">
      <c r="C697" s="74" t="s">
        <v>735</v>
      </c>
      <c r="D697" s="74" t="s">
        <v>148</v>
      </c>
      <c r="E697" s="74" t="s">
        <v>21338</v>
      </c>
      <c r="F697" s="74">
        <v>570025</v>
      </c>
      <c r="G697" s="74">
        <v>3</v>
      </c>
      <c r="H697" s="135">
        <v>42997.533067129632</v>
      </c>
      <c r="I697" s="74" t="s">
        <v>21339</v>
      </c>
      <c r="J697" s="74" t="s">
        <v>21364</v>
      </c>
      <c r="K697" s="74" t="s">
        <v>3831</v>
      </c>
      <c r="L697" s="74">
        <v>552142</v>
      </c>
      <c r="M697" s="74" t="s">
        <v>21341</v>
      </c>
      <c r="N697" s="74">
        <v>1</v>
      </c>
      <c r="O697" s="74" t="s">
        <v>21342</v>
      </c>
      <c r="P697" s="74" t="s">
        <v>21343</v>
      </c>
      <c r="Q697" s="74">
        <v>0</v>
      </c>
      <c r="R697" s="74" t="s">
        <v>148</v>
      </c>
      <c r="S697" s="74" t="s">
        <v>21338</v>
      </c>
      <c r="T697" s="74" t="s">
        <v>393</v>
      </c>
      <c r="U697" s="74">
        <v>0</v>
      </c>
      <c r="V697" s="74">
        <v>0</v>
      </c>
    </row>
    <row r="698" spans="3:22" x14ac:dyDescent="0.25">
      <c r="C698" s="74" t="s">
        <v>735</v>
      </c>
      <c r="D698" s="74" t="s">
        <v>148</v>
      </c>
      <c r="E698" s="74" t="s">
        <v>21338</v>
      </c>
      <c r="F698" s="74">
        <v>570025</v>
      </c>
      <c r="G698" s="74">
        <v>3</v>
      </c>
      <c r="H698" s="135">
        <v>42997.532800925925</v>
      </c>
      <c r="I698" s="74" t="s">
        <v>21339</v>
      </c>
      <c r="J698" s="74" t="s">
        <v>21362</v>
      </c>
      <c r="K698" s="74" t="s">
        <v>3831</v>
      </c>
      <c r="L698" s="74">
        <v>552142</v>
      </c>
      <c r="M698" s="74" t="s">
        <v>21341</v>
      </c>
      <c r="N698" s="74">
        <v>1</v>
      </c>
      <c r="O698" s="74" t="s">
        <v>21342</v>
      </c>
      <c r="P698" s="74" t="s">
        <v>21343</v>
      </c>
      <c r="Q698" s="74" t="s">
        <v>21363</v>
      </c>
      <c r="R698" s="74" t="s">
        <v>148</v>
      </c>
      <c r="S698" s="74" t="s">
        <v>21338</v>
      </c>
      <c r="T698" s="74" t="s">
        <v>393</v>
      </c>
      <c r="U698" s="74">
        <v>0</v>
      </c>
      <c r="V698" s="74">
        <v>0</v>
      </c>
    </row>
    <row r="699" spans="3:22" x14ac:dyDescent="0.25">
      <c r="C699" s="74" t="s">
        <v>18795</v>
      </c>
      <c r="D699" s="74" t="s">
        <v>148</v>
      </c>
      <c r="E699" s="74" t="s">
        <v>21338</v>
      </c>
      <c r="F699" s="74">
        <v>551367</v>
      </c>
      <c r="G699" s="74">
        <v>1000</v>
      </c>
      <c r="H699" s="135">
        <v>42997.529629629629</v>
      </c>
      <c r="I699" s="74" t="s">
        <v>21339</v>
      </c>
      <c r="J699" s="74" t="s">
        <v>21340</v>
      </c>
      <c r="K699" s="74" t="s">
        <v>3047</v>
      </c>
      <c r="L699" s="74">
        <v>552045</v>
      </c>
      <c r="M699" s="74" t="s">
        <v>21341</v>
      </c>
      <c r="N699" s="74">
        <v>1</v>
      </c>
      <c r="O699" s="74" t="s">
        <v>21342</v>
      </c>
      <c r="P699" s="74" t="s">
        <v>21343</v>
      </c>
      <c r="Q699" s="74">
        <v>0</v>
      </c>
      <c r="R699" s="74" t="s">
        <v>148</v>
      </c>
      <c r="S699" s="74" t="s">
        <v>21338</v>
      </c>
      <c r="T699" s="74" t="s">
        <v>402</v>
      </c>
      <c r="U699" s="74">
        <v>0</v>
      </c>
      <c r="V699" s="74">
        <v>0</v>
      </c>
    </row>
    <row r="700" spans="3:22" x14ac:dyDescent="0.25">
      <c r="C700" s="74" t="s">
        <v>18795</v>
      </c>
      <c r="D700" s="74" t="s">
        <v>148</v>
      </c>
      <c r="E700" s="74" t="s">
        <v>21338</v>
      </c>
      <c r="F700" s="74">
        <v>551367</v>
      </c>
      <c r="G700" s="74">
        <v>1000</v>
      </c>
      <c r="H700" s="135">
        <v>42997.510347222225</v>
      </c>
      <c r="I700" s="74" t="s">
        <v>21339</v>
      </c>
      <c r="J700" s="74" t="s">
        <v>21340</v>
      </c>
      <c r="K700" s="74" t="s">
        <v>1449</v>
      </c>
      <c r="L700" s="74">
        <v>551689</v>
      </c>
      <c r="M700" s="74" t="s">
        <v>21341</v>
      </c>
      <c r="N700" s="74">
        <v>1</v>
      </c>
      <c r="O700" s="74" t="s">
        <v>21342</v>
      </c>
      <c r="P700" s="74" t="s">
        <v>21343</v>
      </c>
      <c r="Q700" s="74">
        <v>0</v>
      </c>
      <c r="R700" s="74" t="s">
        <v>148</v>
      </c>
      <c r="S700" s="74" t="s">
        <v>21338</v>
      </c>
      <c r="T700" s="74" t="s">
        <v>402</v>
      </c>
      <c r="U700" s="74">
        <v>0</v>
      </c>
      <c r="V700" s="74">
        <v>0</v>
      </c>
    </row>
    <row r="701" spans="3:22" x14ac:dyDescent="0.25">
      <c r="C701" s="74" t="s">
        <v>21388</v>
      </c>
      <c r="D701" s="74" t="s">
        <v>148</v>
      </c>
      <c r="E701" s="74" t="s">
        <v>21338</v>
      </c>
      <c r="F701" s="74">
        <v>560366</v>
      </c>
      <c r="G701" s="74">
        <v>3</v>
      </c>
      <c r="H701" s="135">
        <v>42997.50744212963</v>
      </c>
      <c r="I701" s="74" t="s">
        <v>21354</v>
      </c>
      <c r="J701" s="74" t="s">
        <v>21355</v>
      </c>
      <c r="K701" s="74" t="s">
        <v>21527</v>
      </c>
      <c r="L701" s="74">
        <v>731474</v>
      </c>
      <c r="M701" s="74" t="s">
        <v>21341</v>
      </c>
      <c r="N701" s="74">
        <v>1</v>
      </c>
      <c r="O701" s="74" t="s">
        <v>21342</v>
      </c>
      <c r="P701" s="74" t="s">
        <v>21345</v>
      </c>
      <c r="R701" s="74" t="s">
        <v>148</v>
      </c>
      <c r="S701" s="74" t="s">
        <v>21338</v>
      </c>
      <c r="T701" s="74" t="s">
        <v>402</v>
      </c>
      <c r="U701" s="74">
        <v>0</v>
      </c>
      <c r="V701" s="74">
        <v>0</v>
      </c>
    </row>
    <row r="702" spans="3:22" x14ac:dyDescent="0.25">
      <c r="C702" s="74" t="s">
        <v>735</v>
      </c>
      <c r="D702" s="74" t="s">
        <v>148</v>
      </c>
      <c r="E702" s="74" t="s">
        <v>21338</v>
      </c>
      <c r="F702" s="74">
        <v>570025</v>
      </c>
      <c r="G702" s="74">
        <v>3</v>
      </c>
      <c r="H702" s="135">
        <v>42997.500787037039</v>
      </c>
      <c r="I702" s="74" t="s">
        <v>21339</v>
      </c>
      <c r="J702" s="74" t="s">
        <v>21360</v>
      </c>
      <c r="K702" s="74" t="s">
        <v>13305</v>
      </c>
      <c r="L702" s="74">
        <v>553335</v>
      </c>
      <c r="M702" s="74" t="s">
        <v>21341</v>
      </c>
      <c r="N702" s="74">
        <v>1</v>
      </c>
      <c r="O702" s="74" t="s">
        <v>21342</v>
      </c>
      <c r="P702" s="74" t="s">
        <v>21343</v>
      </c>
      <c r="Q702" s="74" t="s">
        <v>21361</v>
      </c>
      <c r="R702" s="74" t="s">
        <v>148</v>
      </c>
      <c r="S702" s="74" t="s">
        <v>21338</v>
      </c>
      <c r="T702" s="74" t="s">
        <v>393</v>
      </c>
      <c r="U702" s="74">
        <v>0</v>
      </c>
      <c r="V702" s="74">
        <v>0</v>
      </c>
    </row>
    <row r="703" spans="3:22" x14ac:dyDescent="0.25">
      <c r="C703" s="74" t="s">
        <v>735</v>
      </c>
      <c r="D703" s="74" t="s">
        <v>148</v>
      </c>
      <c r="E703" s="74" t="s">
        <v>21338</v>
      </c>
      <c r="F703" s="74">
        <v>570025</v>
      </c>
      <c r="G703" s="74">
        <v>3</v>
      </c>
      <c r="H703" s="135">
        <v>42997.498252314814</v>
      </c>
      <c r="I703" s="74" t="s">
        <v>21339</v>
      </c>
      <c r="J703" s="74" t="s">
        <v>21364</v>
      </c>
      <c r="K703" s="74" t="s">
        <v>13305</v>
      </c>
      <c r="L703" s="74">
        <v>553335</v>
      </c>
      <c r="M703" s="74" t="s">
        <v>21341</v>
      </c>
      <c r="N703" s="74">
        <v>1</v>
      </c>
      <c r="O703" s="74" t="s">
        <v>21342</v>
      </c>
      <c r="P703" s="74" t="s">
        <v>21343</v>
      </c>
      <c r="Q703" s="74">
        <v>0</v>
      </c>
      <c r="R703" s="74" t="s">
        <v>148</v>
      </c>
      <c r="S703" s="74" t="s">
        <v>21338</v>
      </c>
      <c r="T703" s="74" t="s">
        <v>393</v>
      </c>
      <c r="U703" s="74">
        <v>0</v>
      </c>
      <c r="V703" s="74">
        <v>0</v>
      </c>
    </row>
    <row r="704" spans="3:22" x14ac:dyDescent="0.25">
      <c r="C704" s="74" t="s">
        <v>735</v>
      </c>
      <c r="D704" s="74" t="s">
        <v>148</v>
      </c>
      <c r="E704" s="74" t="s">
        <v>21338</v>
      </c>
      <c r="F704" s="74">
        <v>570025</v>
      </c>
      <c r="G704" s="74">
        <v>3</v>
      </c>
      <c r="H704" s="135">
        <v>42997.498240740744</v>
      </c>
      <c r="I704" s="74" t="s">
        <v>21365</v>
      </c>
      <c r="J704" s="74" t="s">
        <v>21366</v>
      </c>
      <c r="K704" s="74" t="s">
        <v>21367</v>
      </c>
      <c r="L704" s="74">
        <v>561482</v>
      </c>
      <c r="M704" s="74" t="s">
        <v>21368</v>
      </c>
      <c r="N704" s="74">
        <v>1</v>
      </c>
      <c r="O704" s="74" t="s">
        <v>21369</v>
      </c>
      <c r="P704" s="74" t="s">
        <v>21343</v>
      </c>
      <c r="Q704" s="74" t="s">
        <v>21528</v>
      </c>
      <c r="R704" s="74" t="s">
        <v>148</v>
      </c>
      <c r="S704" s="74" t="s">
        <v>21338</v>
      </c>
      <c r="T704" s="74" t="s">
        <v>21371</v>
      </c>
      <c r="U704" s="74">
        <v>0</v>
      </c>
      <c r="V704" s="74">
        <v>0</v>
      </c>
    </row>
    <row r="705" spans="3:22" x14ac:dyDescent="0.25">
      <c r="C705" s="74" t="s">
        <v>735</v>
      </c>
      <c r="D705" s="74" t="s">
        <v>148</v>
      </c>
      <c r="E705" s="74" t="s">
        <v>21338</v>
      </c>
      <c r="F705" s="74">
        <v>570025</v>
      </c>
      <c r="G705" s="74">
        <v>3</v>
      </c>
      <c r="H705" s="135">
        <v>42997.498229166667</v>
      </c>
      <c r="I705" s="74" t="s">
        <v>21365</v>
      </c>
      <c r="J705" s="74" t="s">
        <v>21366</v>
      </c>
      <c r="K705" s="74" t="s">
        <v>21373</v>
      </c>
      <c r="L705" s="74">
        <v>555662</v>
      </c>
      <c r="M705" s="74" t="s">
        <v>21368</v>
      </c>
      <c r="N705" s="74">
        <v>1</v>
      </c>
      <c r="O705" s="74" t="s">
        <v>21369</v>
      </c>
      <c r="P705" s="74" t="s">
        <v>21343</v>
      </c>
      <c r="Q705" s="74" t="s">
        <v>21528</v>
      </c>
      <c r="R705" s="74" t="s">
        <v>148</v>
      </c>
      <c r="S705" s="74" t="s">
        <v>21338</v>
      </c>
      <c r="T705" s="74" t="s">
        <v>21371</v>
      </c>
      <c r="U705" s="74">
        <v>0</v>
      </c>
      <c r="V705" s="74">
        <v>0</v>
      </c>
    </row>
    <row r="706" spans="3:22" x14ac:dyDescent="0.25">
      <c r="C706" s="74" t="s">
        <v>735</v>
      </c>
      <c r="D706" s="74" t="s">
        <v>148</v>
      </c>
      <c r="E706" s="74" t="s">
        <v>21338</v>
      </c>
      <c r="F706" s="74">
        <v>570025</v>
      </c>
      <c r="G706" s="74">
        <v>3</v>
      </c>
      <c r="H706" s="135">
        <v>42997.498229166667</v>
      </c>
      <c r="I706" s="74" t="s">
        <v>21365</v>
      </c>
      <c r="J706" s="74" t="s">
        <v>21366</v>
      </c>
      <c r="K706" s="74" t="s">
        <v>21372</v>
      </c>
      <c r="L706" s="74">
        <v>555674</v>
      </c>
      <c r="M706" s="74" t="s">
        <v>21368</v>
      </c>
      <c r="N706" s="74">
        <v>1</v>
      </c>
      <c r="O706" s="74" t="s">
        <v>21369</v>
      </c>
      <c r="P706" s="74" t="s">
        <v>21343</v>
      </c>
      <c r="Q706" s="74" t="s">
        <v>21528</v>
      </c>
      <c r="R706" s="74" t="s">
        <v>148</v>
      </c>
      <c r="S706" s="74" t="s">
        <v>21338</v>
      </c>
      <c r="T706" s="74" t="s">
        <v>21371</v>
      </c>
      <c r="U706" s="74">
        <v>0</v>
      </c>
      <c r="V706" s="74">
        <v>0</v>
      </c>
    </row>
    <row r="707" spans="3:22" x14ac:dyDescent="0.25">
      <c r="C707" s="74" t="s">
        <v>735</v>
      </c>
      <c r="D707" s="74" t="s">
        <v>148</v>
      </c>
      <c r="E707" s="74" t="s">
        <v>21338</v>
      </c>
      <c r="F707" s="74">
        <v>570025</v>
      </c>
      <c r="G707" s="74">
        <v>3</v>
      </c>
      <c r="H707" s="135">
        <v>42997.498217592591</v>
      </c>
      <c r="I707" s="74" t="s">
        <v>21365</v>
      </c>
      <c r="J707" s="74" t="s">
        <v>21366</v>
      </c>
      <c r="K707" s="74" t="s">
        <v>21374</v>
      </c>
      <c r="L707" s="74">
        <v>555669</v>
      </c>
      <c r="M707" s="74" t="s">
        <v>21368</v>
      </c>
      <c r="N707" s="74">
        <v>1</v>
      </c>
      <c r="O707" s="74" t="s">
        <v>21369</v>
      </c>
      <c r="P707" s="74" t="s">
        <v>21343</v>
      </c>
      <c r="Q707" s="74" t="s">
        <v>21528</v>
      </c>
      <c r="R707" s="74" t="s">
        <v>148</v>
      </c>
      <c r="S707" s="74" t="s">
        <v>21338</v>
      </c>
      <c r="T707" s="74" t="s">
        <v>21371</v>
      </c>
      <c r="U707" s="74">
        <v>0</v>
      </c>
      <c r="V707" s="74">
        <v>0</v>
      </c>
    </row>
    <row r="708" spans="3:22" x14ac:dyDescent="0.25">
      <c r="C708" s="74" t="s">
        <v>735</v>
      </c>
      <c r="D708" s="74" t="s">
        <v>148</v>
      </c>
      <c r="E708" s="74" t="s">
        <v>21338</v>
      </c>
      <c r="F708" s="74">
        <v>570025</v>
      </c>
      <c r="G708" s="74">
        <v>3</v>
      </c>
      <c r="H708" s="135">
        <v>42997.498206018521</v>
      </c>
      <c r="I708" s="74" t="s">
        <v>21365</v>
      </c>
      <c r="J708" s="74" t="s">
        <v>21366</v>
      </c>
      <c r="K708" s="74" t="s">
        <v>21521</v>
      </c>
      <c r="L708" s="74">
        <v>561111</v>
      </c>
      <c r="M708" s="74" t="s">
        <v>21368</v>
      </c>
      <c r="N708" s="74">
        <v>1</v>
      </c>
      <c r="O708" s="74" t="s">
        <v>21369</v>
      </c>
      <c r="P708" s="74" t="s">
        <v>21343</v>
      </c>
      <c r="Q708" s="74" t="s">
        <v>21528</v>
      </c>
      <c r="R708" s="74" t="s">
        <v>148</v>
      </c>
      <c r="S708" s="74" t="s">
        <v>21338</v>
      </c>
      <c r="T708" s="74" t="s">
        <v>21371</v>
      </c>
      <c r="U708" s="74">
        <v>0</v>
      </c>
      <c r="V708" s="74">
        <v>0</v>
      </c>
    </row>
    <row r="709" spans="3:22" x14ac:dyDescent="0.25">
      <c r="C709" s="74" t="s">
        <v>735</v>
      </c>
      <c r="D709" s="74" t="s">
        <v>148</v>
      </c>
      <c r="E709" s="74" t="s">
        <v>21338</v>
      </c>
      <c r="F709" s="74">
        <v>570025</v>
      </c>
      <c r="G709" s="74">
        <v>3</v>
      </c>
      <c r="H709" s="135">
        <v>42997.498206018521</v>
      </c>
      <c r="I709" s="74" t="s">
        <v>21365</v>
      </c>
      <c r="J709" s="74" t="s">
        <v>21366</v>
      </c>
      <c r="K709" s="74" t="s">
        <v>21375</v>
      </c>
      <c r="L709" s="74">
        <v>561082</v>
      </c>
      <c r="M709" s="74" t="s">
        <v>21368</v>
      </c>
      <c r="N709" s="74">
        <v>1</v>
      </c>
      <c r="O709" s="74" t="s">
        <v>21369</v>
      </c>
      <c r="P709" s="74" t="s">
        <v>21343</v>
      </c>
      <c r="Q709" s="74" t="s">
        <v>21528</v>
      </c>
      <c r="R709" s="74" t="s">
        <v>148</v>
      </c>
      <c r="S709" s="74" t="s">
        <v>21338</v>
      </c>
      <c r="T709" s="74" t="s">
        <v>21371</v>
      </c>
      <c r="U709" s="74">
        <v>0</v>
      </c>
      <c r="V709" s="74">
        <v>0</v>
      </c>
    </row>
    <row r="710" spans="3:22" x14ac:dyDescent="0.25">
      <c r="C710" s="74" t="s">
        <v>735</v>
      </c>
      <c r="D710" s="74" t="s">
        <v>148</v>
      </c>
      <c r="E710" s="74" t="s">
        <v>21338</v>
      </c>
      <c r="F710" s="74">
        <v>570025</v>
      </c>
      <c r="G710" s="74">
        <v>3</v>
      </c>
      <c r="H710" s="135">
        <v>42997.498194444444</v>
      </c>
      <c r="I710" s="74" t="s">
        <v>21365</v>
      </c>
      <c r="J710" s="74" t="s">
        <v>21366</v>
      </c>
      <c r="K710" s="74" t="s">
        <v>21376</v>
      </c>
      <c r="L710" s="74">
        <v>555659</v>
      </c>
      <c r="M710" s="74" t="s">
        <v>21368</v>
      </c>
      <c r="N710" s="74">
        <v>1</v>
      </c>
      <c r="O710" s="74" t="s">
        <v>21369</v>
      </c>
      <c r="P710" s="74" t="s">
        <v>21343</v>
      </c>
      <c r="Q710" s="74" t="s">
        <v>21528</v>
      </c>
      <c r="R710" s="74" t="s">
        <v>148</v>
      </c>
      <c r="S710" s="74" t="s">
        <v>21338</v>
      </c>
      <c r="T710" s="74" t="s">
        <v>21371</v>
      </c>
      <c r="U710" s="74">
        <v>0</v>
      </c>
      <c r="V710" s="74">
        <v>0</v>
      </c>
    </row>
    <row r="711" spans="3:22" x14ac:dyDescent="0.25">
      <c r="C711" s="74" t="s">
        <v>735</v>
      </c>
      <c r="D711" s="74" t="s">
        <v>148</v>
      </c>
      <c r="E711" s="74" t="s">
        <v>21338</v>
      </c>
      <c r="F711" s="74">
        <v>570025</v>
      </c>
      <c r="G711" s="74">
        <v>3</v>
      </c>
      <c r="H711" s="135">
        <v>42997.498182870368</v>
      </c>
      <c r="I711" s="74" t="s">
        <v>21365</v>
      </c>
      <c r="J711" s="74" t="s">
        <v>21366</v>
      </c>
      <c r="K711" s="74" t="s">
        <v>21377</v>
      </c>
      <c r="L711" s="74">
        <v>555668</v>
      </c>
      <c r="M711" s="74" t="s">
        <v>21368</v>
      </c>
      <c r="N711" s="74">
        <v>1</v>
      </c>
      <c r="O711" s="74" t="s">
        <v>21369</v>
      </c>
      <c r="P711" s="74" t="s">
        <v>21343</v>
      </c>
      <c r="Q711" s="74" t="s">
        <v>21528</v>
      </c>
      <c r="R711" s="74" t="s">
        <v>148</v>
      </c>
      <c r="S711" s="74" t="s">
        <v>21338</v>
      </c>
      <c r="T711" s="74" t="s">
        <v>21371</v>
      </c>
      <c r="U711" s="74">
        <v>0</v>
      </c>
      <c r="V711" s="74">
        <v>0</v>
      </c>
    </row>
    <row r="712" spans="3:22" x14ac:dyDescent="0.25">
      <c r="C712" s="74" t="s">
        <v>735</v>
      </c>
      <c r="D712" s="74" t="s">
        <v>148</v>
      </c>
      <c r="E712" s="74" t="s">
        <v>21338</v>
      </c>
      <c r="F712" s="74">
        <v>570025</v>
      </c>
      <c r="G712" s="74">
        <v>3</v>
      </c>
      <c r="H712" s="135">
        <v>42997.498171296298</v>
      </c>
      <c r="I712" s="74" t="s">
        <v>21339</v>
      </c>
      <c r="J712" s="74" t="s">
        <v>21364</v>
      </c>
      <c r="K712" s="74" t="s">
        <v>13305</v>
      </c>
      <c r="L712" s="74">
        <v>553335</v>
      </c>
      <c r="M712" s="74" t="s">
        <v>21341</v>
      </c>
      <c r="N712" s="74">
        <v>1</v>
      </c>
      <c r="O712" s="74" t="s">
        <v>21342</v>
      </c>
      <c r="P712" s="74" t="s">
        <v>21343</v>
      </c>
      <c r="Q712" s="74">
        <v>0</v>
      </c>
      <c r="R712" s="74" t="s">
        <v>148</v>
      </c>
      <c r="S712" s="74" t="s">
        <v>21338</v>
      </c>
      <c r="T712" s="74" t="s">
        <v>393</v>
      </c>
      <c r="U712" s="74">
        <v>0</v>
      </c>
      <c r="V712" s="74">
        <v>0</v>
      </c>
    </row>
    <row r="713" spans="3:22" x14ac:dyDescent="0.25">
      <c r="C713" s="74" t="s">
        <v>735</v>
      </c>
      <c r="D713" s="74" t="s">
        <v>148</v>
      </c>
      <c r="E713" s="74" t="s">
        <v>21338</v>
      </c>
      <c r="F713" s="74">
        <v>570025</v>
      </c>
      <c r="G713" s="74">
        <v>3</v>
      </c>
      <c r="H713" s="135">
        <v>42997.498020833336</v>
      </c>
      <c r="I713" s="74" t="s">
        <v>21339</v>
      </c>
      <c r="J713" s="74" t="s">
        <v>21364</v>
      </c>
      <c r="K713" s="74" t="s">
        <v>13305</v>
      </c>
      <c r="L713" s="74">
        <v>553335</v>
      </c>
      <c r="M713" s="74" t="s">
        <v>21341</v>
      </c>
      <c r="N713" s="74">
        <v>1</v>
      </c>
      <c r="O713" s="74" t="s">
        <v>21342</v>
      </c>
      <c r="P713" s="74" t="s">
        <v>21343</v>
      </c>
      <c r="Q713" s="74">
        <v>0</v>
      </c>
      <c r="R713" s="74" t="s">
        <v>148</v>
      </c>
      <c r="S713" s="74" t="s">
        <v>21338</v>
      </c>
      <c r="T713" s="74" t="s">
        <v>393</v>
      </c>
      <c r="U713" s="74">
        <v>0</v>
      </c>
      <c r="V713" s="74">
        <v>0</v>
      </c>
    </row>
    <row r="714" spans="3:22" x14ac:dyDescent="0.25">
      <c r="C714" s="74" t="s">
        <v>735</v>
      </c>
      <c r="D714" s="74" t="s">
        <v>148</v>
      </c>
      <c r="E714" s="74" t="s">
        <v>21338</v>
      </c>
      <c r="F714" s="74">
        <v>570025</v>
      </c>
      <c r="G714" s="74">
        <v>3</v>
      </c>
      <c r="H714" s="135">
        <v>42997.497766203705</v>
      </c>
      <c r="I714" s="74" t="s">
        <v>21339</v>
      </c>
      <c r="J714" s="74" t="s">
        <v>21362</v>
      </c>
      <c r="K714" s="74" t="s">
        <v>13305</v>
      </c>
      <c r="L714" s="74">
        <v>553335</v>
      </c>
      <c r="M714" s="74" t="s">
        <v>21341</v>
      </c>
      <c r="N714" s="74">
        <v>1</v>
      </c>
      <c r="O714" s="74" t="s">
        <v>21342</v>
      </c>
      <c r="P714" s="74" t="s">
        <v>21343</v>
      </c>
      <c r="Q714" s="74" t="s">
        <v>21363</v>
      </c>
      <c r="R714" s="74" t="s">
        <v>148</v>
      </c>
      <c r="S714" s="74" t="s">
        <v>21338</v>
      </c>
      <c r="T714" s="74" t="s">
        <v>393</v>
      </c>
      <c r="U714" s="74">
        <v>0</v>
      </c>
      <c r="V714" s="74">
        <v>0</v>
      </c>
    </row>
    <row r="715" spans="3:22" x14ac:dyDescent="0.25">
      <c r="C715" s="74" t="s">
        <v>21386</v>
      </c>
      <c r="D715" s="74" t="s">
        <v>148</v>
      </c>
      <c r="E715" s="74" t="s">
        <v>21338</v>
      </c>
      <c r="F715" s="74">
        <v>674396</v>
      </c>
      <c r="G715" s="74">
        <v>3</v>
      </c>
      <c r="H715" s="135">
        <v>42997.496793981481</v>
      </c>
      <c r="I715" s="74" t="s">
        <v>21339</v>
      </c>
      <c r="J715" s="74" t="s">
        <v>21362</v>
      </c>
      <c r="K715" s="74" t="s">
        <v>18900</v>
      </c>
      <c r="L715" s="74">
        <v>554044</v>
      </c>
      <c r="M715" s="74" t="s">
        <v>21341</v>
      </c>
      <c r="N715" s="74">
        <v>1</v>
      </c>
      <c r="O715" s="74" t="s">
        <v>21342</v>
      </c>
      <c r="P715" s="74" t="s">
        <v>21343</v>
      </c>
      <c r="Q715" s="74" t="s">
        <v>21363</v>
      </c>
      <c r="R715" s="74" t="s">
        <v>148</v>
      </c>
      <c r="S715" s="74" t="s">
        <v>21338</v>
      </c>
      <c r="T715" s="74" t="s">
        <v>393</v>
      </c>
      <c r="U715" s="74">
        <v>0</v>
      </c>
      <c r="V715" s="74">
        <v>0</v>
      </c>
    </row>
    <row r="716" spans="3:22" x14ac:dyDescent="0.25">
      <c r="C716" s="74" t="s">
        <v>21386</v>
      </c>
      <c r="D716" s="74" t="s">
        <v>148</v>
      </c>
      <c r="E716" s="74" t="s">
        <v>21338</v>
      </c>
      <c r="F716" s="74">
        <v>674396</v>
      </c>
      <c r="G716" s="74">
        <v>3</v>
      </c>
      <c r="H716" s="135">
        <v>42997.496238425927</v>
      </c>
      <c r="I716" s="74" t="s">
        <v>21339</v>
      </c>
      <c r="J716" s="74" t="s">
        <v>21364</v>
      </c>
      <c r="K716" s="74" t="s">
        <v>18900</v>
      </c>
      <c r="L716" s="74">
        <v>554044</v>
      </c>
      <c r="M716" s="74" t="s">
        <v>21341</v>
      </c>
      <c r="N716" s="74">
        <v>1</v>
      </c>
      <c r="O716" s="74" t="s">
        <v>21342</v>
      </c>
      <c r="P716" s="74" t="s">
        <v>21343</v>
      </c>
      <c r="Q716" s="74">
        <v>0</v>
      </c>
      <c r="R716" s="74" t="s">
        <v>148</v>
      </c>
      <c r="S716" s="74" t="s">
        <v>21338</v>
      </c>
      <c r="T716" s="74" t="s">
        <v>402</v>
      </c>
      <c r="U716" s="74">
        <v>0</v>
      </c>
      <c r="V716" s="74">
        <v>0</v>
      </c>
    </row>
    <row r="717" spans="3:22" x14ac:dyDescent="0.25">
      <c r="C717" s="74" t="s">
        <v>21386</v>
      </c>
      <c r="D717" s="74" t="s">
        <v>148</v>
      </c>
      <c r="E717" s="74" t="s">
        <v>21338</v>
      </c>
      <c r="F717" s="74">
        <v>674396</v>
      </c>
      <c r="G717" s="74">
        <v>3</v>
      </c>
      <c r="H717" s="135">
        <v>42997.49622685185</v>
      </c>
      <c r="I717" s="74" t="s">
        <v>21365</v>
      </c>
      <c r="J717" s="74" t="s">
        <v>21366</v>
      </c>
      <c r="K717" s="74" t="s">
        <v>21403</v>
      </c>
      <c r="L717" s="74">
        <v>561483</v>
      </c>
      <c r="M717" s="74" t="s">
        <v>21368</v>
      </c>
      <c r="N717" s="74">
        <v>1</v>
      </c>
      <c r="O717" s="74" t="s">
        <v>21369</v>
      </c>
      <c r="P717" s="74" t="s">
        <v>21343</v>
      </c>
      <c r="Q717" s="74" t="s">
        <v>21529</v>
      </c>
      <c r="R717" s="74" t="s">
        <v>148</v>
      </c>
      <c r="S717" s="74" t="s">
        <v>21338</v>
      </c>
      <c r="T717" s="74" t="s">
        <v>21371</v>
      </c>
      <c r="U717" s="74">
        <v>0</v>
      </c>
      <c r="V717" s="74">
        <v>0</v>
      </c>
    </row>
    <row r="718" spans="3:22" x14ac:dyDescent="0.25">
      <c r="C718" s="74" t="s">
        <v>21386</v>
      </c>
      <c r="D718" s="74" t="s">
        <v>148</v>
      </c>
      <c r="E718" s="74" t="s">
        <v>21338</v>
      </c>
      <c r="F718" s="74">
        <v>674396</v>
      </c>
      <c r="G718" s="74">
        <v>3</v>
      </c>
      <c r="H718" s="135">
        <v>42997.496215277781</v>
      </c>
      <c r="I718" s="74" t="s">
        <v>21365</v>
      </c>
      <c r="J718" s="74" t="s">
        <v>21366</v>
      </c>
      <c r="K718" s="74" t="s">
        <v>21367</v>
      </c>
      <c r="L718" s="74">
        <v>561482</v>
      </c>
      <c r="M718" s="74" t="s">
        <v>21368</v>
      </c>
      <c r="N718" s="74">
        <v>1</v>
      </c>
      <c r="O718" s="74" t="s">
        <v>21369</v>
      </c>
      <c r="P718" s="74" t="s">
        <v>21343</v>
      </c>
      <c r="Q718" s="74" t="s">
        <v>21529</v>
      </c>
      <c r="R718" s="74" t="s">
        <v>148</v>
      </c>
      <c r="S718" s="74" t="s">
        <v>21338</v>
      </c>
      <c r="T718" s="74" t="s">
        <v>21371</v>
      </c>
      <c r="U718" s="74">
        <v>0</v>
      </c>
      <c r="V718" s="74">
        <v>0</v>
      </c>
    </row>
    <row r="719" spans="3:22" x14ac:dyDescent="0.25">
      <c r="C719" s="74" t="s">
        <v>21386</v>
      </c>
      <c r="D719" s="74" t="s">
        <v>148</v>
      </c>
      <c r="E719" s="74" t="s">
        <v>21338</v>
      </c>
      <c r="F719" s="74">
        <v>674396</v>
      </c>
      <c r="G719" s="74">
        <v>3</v>
      </c>
      <c r="H719" s="135">
        <v>42997.496203703704</v>
      </c>
      <c r="I719" s="74" t="s">
        <v>21365</v>
      </c>
      <c r="J719" s="74" t="s">
        <v>21366</v>
      </c>
      <c r="K719" s="74" t="s">
        <v>21372</v>
      </c>
      <c r="L719" s="74">
        <v>555674</v>
      </c>
      <c r="M719" s="74" t="s">
        <v>21368</v>
      </c>
      <c r="N719" s="74">
        <v>1</v>
      </c>
      <c r="O719" s="74" t="s">
        <v>21369</v>
      </c>
      <c r="P719" s="74" t="s">
        <v>21343</v>
      </c>
      <c r="Q719" s="74" t="s">
        <v>21529</v>
      </c>
      <c r="R719" s="74" t="s">
        <v>148</v>
      </c>
      <c r="S719" s="74" t="s">
        <v>21338</v>
      </c>
      <c r="T719" s="74" t="s">
        <v>21371</v>
      </c>
      <c r="U719" s="74">
        <v>0</v>
      </c>
      <c r="V719" s="74">
        <v>0</v>
      </c>
    </row>
    <row r="720" spans="3:22" x14ac:dyDescent="0.25">
      <c r="C720" s="74" t="s">
        <v>21386</v>
      </c>
      <c r="D720" s="74" t="s">
        <v>148</v>
      </c>
      <c r="E720" s="74" t="s">
        <v>21338</v>
      </c>
      <c r="F720" s="74">
        <v>674396</v>
      </c>
      <c r="G720" s="74">
        <v>3</v>
      </c>
      <c r="H720" s="135">
        <v>42997.496192129627</v>
      </c>
      <c r="I720" s="74" t="s">
        <v>21365</v>
      </c>
      <c r="J720" s="74" t="s">
        <v>21366</v>
      </c>
      <c r="K720" s="74" t="s">
        <v>21521</v>
      </c>
      <c r="L720" s="74">
        <v>561111</v>
      </c>
      <c r="M720" s="74" t="s">
        <v>21368</v>
      </c>
      <c r="N720" s="74">
        <v>1</v>
      </c>
      <c r="O720" s="74" t="s">
        <v>21369</v>
      </c>
      <c r="P720" s="74" t="s">
        <v>21343</v>
      </c>
      <c r="Q720" s="74" t="s">
        <v>21529</v>
      </c>
      <c r="R720" s="74" t="s">
        <v>148</v>
      </c>
      <c r="S720" s="74" t="s">
        <v>21338</v>
      </c>
      <c r="T720" s="74" t="s">
        <v>21371</v>
      </c>
      <c r="U720" s="74">
        <v>0</v>
      </c>
      <c r="V720" s="74">
        <v>0</v>
      </c>
    </row>
    <row r="721" spans="3:22" x14ac:dyDescent="0.25">
      <c r="C721" s="74" t="s">
        <v>21386</v>
      </c>
      <c r="D721" s="74" t="s">
        <v>148</v>
      </c>
      <c r="E721" s="74" t="s">
        <v>21338</v>
      </c>
      <c r="F721" s="74">
        <v>674396</v>
      </c>
      <c r="G721" s="74">
        <v>3</v>
      </c>
      <c r="H721" s="135">
        <v>42997.496192129627</v>
      </c>
      <c r="I721" s="74" t="s">
        <v>21365</v>
      </c>
      <c r="J721" s="74" t="s">
        <v>21366</v>
      </c>
      <c r="K721" s="74" t="s">
        <v>21373</v>
      </c>
      <c r="L721" s="74">
        <v>555662</v>
      </c>
      <c r="M721" s="74" t="s">
        <v>21368</v>
      </c>
      <c r="N721" s="74">
        <v>1</v>
      </c>
      <c r="O721" s="74" t="s">
        <v>21369</v>
      </c>
      <c r="P721" s="74" t="s">
        <v>21343</v>
      </c>
      <c r="Q721" s="74" t="s">
        <v>21529</v>
      </c>
      <c r="R721" s="74" t="s">
        <v>148</v>
      </c>
      <c r="S721" s="74" t="s">
        <v>21338</v>
      </c>
      <c r="T721" s="74" t="s">
        <v>21371</v>
      </c>
      <c r="U721" s="74">
        <v>0</v>
      </c>
      <c r="V721" s="74">
        <v>0</v>
      </c>
    </row>
    <row r="722" spans="3:22" x14ac:dyDescent="0.25">
      <c r="C722" s="74" t="s">
        <v>21386</v>
      </c>
      <c r="D722" s="74" t="s">
        <v>148</v>
      </c>
      <c r="E722" s="74" t="s">
        <v>21338</v>
      </c>
      <c r="F722" s="74">
        <v>674396</v>
      </c>
      <c r="G722" s="74">
        <v>3</v>
      </c>
      <c r="H722" s="135">
        <v>42997.496180555558</v>
      </c>
      <c r="I722" s="74" t="s">
        <v>21365</v>
      </c>
      <c r="J722" s="74" t="s">
        <v>21366</v>
      </c>
      <c r="K722" s="74" t="s">
        <v>21376</v>
      </c>
      <c r="L722" s="74">
        <v>555659</v>
      </c>
      <c r="M722" s="74" t="s">
        <v>21368</v>
      </c>
      <c r="N722" s="74">
        <v>1</v>
      </c>
      <c r="O722" s="74" t="s">
        <v>21369</v>
      </c>
      <c r="P722" s="74" t="s">
        <v>21343</v>
      </c>
      <c r="Q722" s="74" t="s">
        <v>21529</v>
      </c>
      <c r="R722" s="74" t="s">
        <v>148</v>
      </c>
      <c r="S722" s="74" t="s">
        <v>21338</v>
      </c>
      <c r="T722" s="74" t="s">
        <v>21371</v>
      </c>
      <c r="U722" s="74">
        <v>0</v>
      </c>
      <c r="V722" s="74">
        <v>0</v>
      </c>
    </row>
    <row r="723" spans="3:22" x14ac:dyDescent="0.25">
      <c r="C723" s="74" t="s">
        <v>21386</v>
      </c>
      <c r="D723" s="74" t="s">
        <v>148</v>
      </c>
      <c r="E723" s="74" t="s">
        <v>21338</v>
      </c>
      <c r="F723" s="74">
        <v>674396</v>
      </c>
      <c r="G723" s="74">
        <v>3</v>
      </c>
      <c r="H723" s="135">
        <v>42997.496168981481</v>
      </c>
      <c r="I723" s="74" t="s">
        <v>21365</v>
      </c>
      <c r="J723" s="74" t="s">
        <v>21366</v>
      </c>
      <c r="K723" s="74" t="s">
        <v>21377</v>
      </c>
      <c r="L723" s="74">
        <v>555668</v>
      </c>
      <c r="M723" s="74" t="s">
        <v>21368</v>
      </c>
      <c r="N723" s="74">
        <v>1</v>
      </c>
      <c r="O723" s="74" t="s">
        <v>21369</v>
      </c>
      <c r="P723" s="74" t="s">
        <v>21343</v>
      </c>
      <c r="Q723" s="74" t="s">
        <v>21529</v>
      </c>
      <c r="R723" s="74" t="s">
        <v>148</v>
      </c>
      <c r="S723" s="74" t="s">
        <v>21338</v>
      </c>
      <c r="T723" s="74" t="s">
        <v>21371</v>
      </c>
      <c r="U723" s="74">
        <v>0</v>
      </c>
      <c r="V723" s="74">
        <v>0</v>
      </c>
    </row>
    <row r="724" spans="3:22" x14ac:dyDescent="0.25">
      <c r="C724" s="74" t="s">
        <v>21386</v>
      </c>
      <c r="D724" s="74" t="s">
        <v>148</v>
      </c>
      <c r="E724" s="74" t="s">
        <v>21338</v>
      </c>
      <c r="F724" s="74">
        <v>674396</v>
      </c>
      <c r="G724" s="74">
        <v>3</v>
      </c>
      <c r="H724" s="135">
        <v>42997.496145833335</v>
      </c>
      <c r="I724" s="74" t="s">
        <v>21339</v>
      </c>
      <c r="J724" s="74" t="s">
        <v>21364</v>
      </c>
      <c r="K724" s="74" t="s">
        <v>18900</v>
      </c>
      <c r="L724" s="74">
        <v>554044</v>
      </c>
      <c r="M724" s="74" t="s">
        <v>21341</v>
      </c>
      <c r="N724" s="74">
        <v>1</v>
      </c>
      <c r="O724" s="74" t="s">
        <v>21342</v>
      </c>
      <c r="P724" s="74" t="s">
        <v>21343</v>
      </c>
      <c r="Q724" s="74">
        <v>0</v>
      </c>
      <c r="R724" s="74" t="s">
        <v>148</v>
      </c>
      <c r="S724" s="74" t="s">
        <v>21338</v>
      </c>
      <c r="T724" s="74" t="s">
        <v>402</v>
      </c>
      <c r="U724" s="74">
        <v>0</v>
      </c>
      <c r="V724" s="74">
        <v>0</v>
      </c>
    </row>
    <row r="725" spans="3:22" x14ac:dyDescent="0.25">
      <c r="C725" s="74" t="s">
        <v>21386</v>
      </c>
      <c r="D725" s="74" t="s">
        <v>148</v>
      </c>
      <c r="E725" s="74" t="s">
        <v>21338</v>
      </c>
      <c r="F725" s="74">
        <v>674396</v>
      </c>
      <c r="G725" s="74">
        <v>3</v>
      </c>
      <c r="H725" s="135">
        <v>42997.496087962965</v>
      </c>
      <c r="I725" s="74" t="s">
        <v>21339</v>
      </c>
      <c r="J725" s="74" t="s">
        <v>21364</v>
      </c>
      <c r="K725" s="74" t="s">
        <v>18900</v>
      </c>
      <c r="L725" s="74">
        <v>554044</v>
      </c>
      <c r="M725" s="74" t="s">
        <v>21341</v>
      </c>
      <c r="N725" s="74">
        <v>1</v>
      </c>
      <c r="O725" s="74" t="s">
        <v>21342</v>
      </c>
      <c r="P725" s="74" t="s">
        <v>21343</v>
      </c>
      <c r="Q725" s="74">
        <v>0</v>
      </c>
      <c r="R725" s="74" t="s">
        <v>148</v>
      </c>
      <c r="S725" s="74" t="s">
        <v>21338</v>
      </c>
      <c r="T725" s="74" t="s">
        <v>402</v>
      </c>
      <c r="U725" s="74">
        <v>0</v>
      </c>
      <c r="V725" s="74">
        <v>0</v>
      </c>
    </row>
    <row r="726" spans="3:22" x14ac:dyDescent="0.25">
      <c r="C726" s="74" t="s">
        <v>18795</v>
      </c>
      <c r="D726" s="74" t="s">
        <v>148</v>
      </c>
      <c r="E726" s="74" t="s">
        <v>21338</v>
      </c>
      <c r="F726" s="74">
        <v>551367</v>
      </c>
      <c r="G726" s="74">
        <v>1000</v>
      </c>
      <c r="H726" s="135">
        <v>42997.495729166665</v>
      </c>
      <c r="I726" s="74" t="s">
        <v>21339</v>
      </c>
      <c r="J726" s="74" t="s">
        <v>21340</v>
      </c>
      <c r="K726" s="74" t="s">
        <v>21530</v>
      </c>
      <c r="L726" s="74">
        <v>864258</v>
      </c>
      <c r="M726" s="74" t="s">
        <v>21341</v>
      </c>
      <c r="N726" s="74">
        <v>1</v>
      </c>
      <c r="O726" s="74" t="s">
        <v>21342</v>
      </c>
      <c r="P726" s="74" t="s">
        <v>21343</v>
      </c>
      <c r="Q726" s="74">
        <v>0</v>
      </c>
      <c r="R726" s="74" t="s">
        <v>148</v>
      </c>
      <c r="S726" s="74" t="s">
        <v>21338</v>
      </c>
      <c r="T726" s="74" t="s">
        <v>402</v>
      </c>
      <c r="U726" s="74">
        <v>0</v>
      </c>
      <c r="V726" s="74">
        <v>0</v>
      </c>
    </row>
    <row r="727" spans="3:22" x14ac:dyDescent="0.25">
      <c r="C727" s="74" t="s">
        <v>21386</v>
      </c>
      <c r="D727" s="74" t="s">
        <v>148</v>
      </c>
      <c r="E727" s="74" t="s">
        <v>21338</v>
      </c>
      <c r="F727" s="74">
        <v>674396</v>
      </c>
      <c r="G727" s="74">
        <v>3</v>
      </c>
      <c r="H727" s="135">
        <v>42997.494803240741</v>
      </c>
      <c r="I727" s="74" t="s">
        <v>21339</v>
      </c>
      <c r="J727" s="74" t="s">
        <v>21360</v>
      </c>
      <c r="K727" s="74" t="s">
        <v>18900</v>
      </c>
      <c r="L727" s="74">
        <v>554044</v>
      </c>
      <c r="M727" s="74" t="s">
        <v>21341</v>
      </c>
      <c r="N727" s="74">
        <v>1</v>
      </c>
      <c r="O727" s="74" t="s">
        <v>21342</v>
      </c>
      <c r="P727" s="74" t="s">
        <v>21343</v>
      </c>
      <c r="Q727" s="74" t="s">
        <v>21361</v>
      </c>
      <c r="R727" s="74" t="s">
        <v>148</v>
      </c>
      <c r="S727" s="74" t="s">
        <v>21338</v>
      </c>
      <c r="T727" s="74" t="s">
        <v>402</v>
      </c>
      <c r="U727" s="74">
        <v>0</v>
      </c>
      <c r="V727" s="74">
        <v>0</v>
      </c>
    </row>
    <row r="728" spans="3:22" x14ac:dyDescent="0.25">
      <c r="C728" s="74" t="s">
        <v>18795</v>
      </c>
      <c r="D728" s="74" t="s">
        <v>148</v>
      </c>
      <c r="E728" s="74" t="s">
        <v>21338</v>
      </c>
      <c r="F728" s="74">
        <v>551367</v>
      </c>
      <c r="G728" s="74">
        <v>1000</v>
      </c>
      <c r="H728" s="135">
        <v>42997.489363425928</v>
      </c>
      <c r="I728" s="74" t="s">
        <v>21339</v>
      </c>
      <c r="J728" s="74" t="s">
        <v>21340</v>
      </c>
      <c r="K728" s="74" t="s">
        <v>8471</v>
      </c>
      <c r="L728" s="74">
        <v>552724</v>
      </c>
      <c r="M728" s="74" t="s">
        <v>21341</v>
      </c>
      <c r="N728" s="74">
        <v>1</v>
      </c>
      <c r="O728" s="74" t="s">
        <v>21342</v>
      </c>
      <c r="P728" s="74" t="s">
        <v>21343</v>
      </c>
      <c r="Q728" s="74">
        <v>0</v>
      </c>
      <c r="R728" s="74" t="s">
        <v>148</v>
      </c>
      <c r="S728" s="74" t="s">
        <v>21338</v>
      </c>
      <c r="T728" s="74" t="s">
        <v>402</v>
      </c>
      <c r="U728" s="74">
        <v>0</v>
      </c>
      <c r="V728" s="74">
        <v>0</v>
      </c>
    </row>
    <row r="729" spans="3:22" x14ac:dyDescent="0.25">
      <c r="C729" s="74" t="s">
        <v>18795</v>
      </c>
      <c r="D729" s="74" t="s">
        <v>148</v>
      </c>
      <c r="E729" s="74" t="s">
        <v>21338</v>
      </c>
      <c r="F729" s="74">
        <v>551367</v>
      </c>
      <c r="G729" s="74">
        <v>1000</v>
      </c>
      <c r="H729" s="135">
        <v>42997.480451388888</v>
      </c>
      <c r="I729" s="74" t="s">
        <v>21339</v>
      </c>
      <c r="J729" s="74" t="s">
        <v>21340</v>
      </c>
      <c r="K729" s="74" t="s">
        <v>21505</v>
      </c>
      <c r="L729" s="74">
        <v>908518</v>
      </c>
      <c r="M729" s="74" t="s">
        <v>21341</v>
      </c>
      <c r="N729" s="74">
        <v>1</v>
      </c>
      <c r="O729" s="74" t="s">
        <v>21342</v>
      </c>
      <c r="P729" s="74" t="s">
        <v>21343</v>
      </c>
      <c r="Q729" s="74">
        <v>0</v>
      </c>
      <c r="R729" s="74" t="s">
        <v>148</v>
      </c>
      <c r="S729" s="74" t="s">
        <v>21338</v>
      </c>
      <c r="T729" s="74" t="s">
        <v>402</v>
      </c>
      <c r="U729" s="74">
        <v>0</v>
      </c>
      <c r="V729" s="74">
        <v>0</v>
      </c>
    </row>
    <row r="730" spans="3:22" x14ac:dyDescent="0.25">
      <c r="C730" s="74" t="s">
        <v>21409</v>
      </c>
      <c r="D730" s="74" t="s">
        <v>148</v>
      </c>
      <c r="E730" s="74" t="s">
        <v>21338</v>
      </c>
      <c r="F730" s="74">
        <v>560330</v>
      </c>
      <c r="G730" s="74">
        <v>3</v>
      </c>
      <c r="H730" s="135">
        <v>42997.479224537034</v>
      </c>
      <c r="I730" s="74" t="s">
        <v>21339</v>
      </c>
      <c r="J730" s="74" t="s">
        <v>21356</v>
      </c>
      <c r="K730" s="74" t="s">
        <v>21531</v>
      </c>
      <c r="L730" s="74">
        <v>908539</v>
      </c>
      <c r="M730" s="74" t="s">
        <v>21341</v>
      </c>
      <c r="N730" s="74">
        <v>1</v>
      </c>
      <c r="O730" s="74" t="s">
        <v>21342</v>
      </c>
      <c r="P730" s="74" t="s">
        <v>21343</v>
      </c>
      <c r="Q730" s="74" t="s">
        <v>21395</v>
      </c>
      <c r="R730" s="74" t="s">
        <v>148</v>
      </c>
      <c r="S730" s="74" t="s">
        <v>21338</v>
      </c>
      <c r="T730" s="74" t="s">
        <v>402</v>
      </c>
      <c r="U730" s="74">
        <v>0</v>
      </c>
      <c r="V730" s="74">
        <v>0</v>
      </c>
    </row>
    <row r="731" spans="3:22" x14ac:dyDescent="0.25">
      <c r="C731" s="74" t="s">
        <v>18795</v>
      </c>
      <c r="D731" s="74" t="s">
        <v>148</v>
      </c>
      <c r="E731" s="74" t="s">
        <v>21338</v>
      </c>
      <c r="F731" s="74">
        <v>551367</v>
      </c>
      <c r="G731" s="74">
        <v>1000</v>
      </c>
      <c r="H731" s="135">
        <v>42997.478750000002</v>
      </c>
      <c r="I731" s="74" t="s">
        <v>21339</v>
      </c>
      <c r="J731" s="74" t="s">
        <v>21340</v>
      </c>
      <c r="K731" s="74" t="s">
        <v>21532</v>
      </c>
      <c r="L731" s="74">
        <v>728114</v>
      </c>
      <c r="M731" s="74" t="s">
        <v>21341</v>
      </c>
      <c r="N731" s="74">
        <v>1</v>
      </c>
      <c r="O731" s="74" t="s">
        <v>21342</v>
      </c>
      <c r="P731" s="74" t="s">
        <v>21343</v>
      </c>
      <c r="Q731" s="74">
        <v>0</v>
      </c>
      <c r="R731" s="74" t="s">
        <v>148</v>
      </c>
      <c r="S731" s="74" t="s">
        <v>21338</v>
      </c>
      <c r="T731" s="74" t="s">
        <v>402</v>
      </c>
      <c r="U731" s="74">
        <v>0</v>
      </c>
      <c r="V731" s="74">
        <v>0</v>
      </c>
    </row>
    <row r="732" spans="3:22" x14ac:dyDescent="0.25">
      <c r="C732" s="74" t="s">
        <v>18795</v>
      </c>
      <c r="D732" s="74" t="s">
        <v>148</v>
      </c>
      <c r="E732" s="74" t="s">
        <v>21338</v>
      </c>
      <c r="F732" s="74">
        <v>551367</v>
      </c>
      <c r="G732" s="74">
        <v>1000</v>
      </c>
      <c r="H732" s="135">
        <v>42997.477847222224</v>
      </c>
      <c r="I732" s="74" t="s">
        <v>21339</v>
      </c>
      <c r="J732" s="74" t="s">
        <v>21340</v>
      </c>
      <c r="K732" s="74" t="s">
        <v>21533</v>
      </c>
      <c r="L732" s="74">
        <v>826318</v>
      </c>
      <c r="M732" s="74" t="s">
        <v>21341</v>
      </c>
      <c r="N732" s="74">
        <v>1</v>
      </c>
      <c r="O732" s="74" t="s">
        <v>21342</v>
      </c>
      <c r="P732" s="74" t="s">
        <v>21343</v>
      </c>
      <c r="Q732" s="74">
        <v>0</v>
      </c>
      <c r="R732" s="74" t="s">
        <v>148</v>
      </c>
      <c r="S732" s="74" t="s">
        <v>21338</v>
      </c>
      <c r="T732" s="74" t="s">
        <v>402</v>
      </c>
      <c r="U732" s="74">
        <v>0</v>
      </c>
      <c r="V732" s="74">
        <v>0</v>
      </c>
    </row>
    <row r="733" spans="3:22" x14ac:dyDescent="0.25">
      <c r="C733" s="74" t="s">
        <v>21385</v>
      </c>
      <c r="D733" s="74" t="s">
        <v>148</v>
      </c>
      <c r="E733" s="74" t="s">
        <v>21338</v>
      </c>
      <c r="F733" s="74">
        <v>560579</v>
      </c>
      <c r="G733" s="74">
        <v>3</v>
      </c>
      <c r="H733" s="135">
        <v>42997.471689814818</v>
      </c>
      <c r="I733" s="74" t="s">
        <v>21354</v>
      </c>
      <c r="J733" s="74" t="s">
        <v>21355</v>
      </c>
      <c r="K733" s="74" t="s">
        <v>2104</v>
      </c>
      <c r="L733" s="74">
        <v>551920</v>
      </c>
      <c r="M733" s="74" t="s">
        <v>21341</v>
      </c>
      <c r="N733" s="74">
        <v>1</v>
      </c>
      <c r="O733" s="74" t="s">
        <v>21342</v>
      </c>
      <c r="P733" s="74" t="s">
        <v>21345</v>
      </c>
      <c r="R733" s="74" t="s">
        <v>148</v>
      </c>
      <c r="S733" s="74" t="s">
        <v>21338</v>
      </c>
      <c r="T733" s="74" t="s">
        <v>402</v>
      </c>
      <c r="U733" s="74">
        <v>0</v>
      </c>
      <c r="V733" s="74">
        <v>0</v>
      </c>
    </row>
    <row r="734" spans="3:22" x14ac:dyDescent="0.25">
      <c r="C734" s="74" t="s">
        <v>21385</v>
      </c>
      <c r="D734" s="74" t="s">
        <v>148</v>
      </c>
      <c r="E734" s="74" t="s">
        <v>21338</v>
      </c>
      <c r="F734" s="74">
        <v>560579</v>
      </c>
      <c r="G734" s="74">
        <v>3</v>
      </c>
      <c r="H734" s="135">
        <v>42997.471539351849</v>
      </c>
      <c r="I734" s="74" t="s">
        <v>21354</v>
      </c>
      <c r="J734" s="74" t="s">
        <v>21355</v>
      </c>
      <c r="K734" s="74" t="s">
        <v>2104</v>
      </c>
      <c r="L734" s="74">
        <v>551920</v>
      </c>
      <c r="M734" s="74" t="s">
        <v>21341</v>
      </c>
      <c r="N734" s="74">
        <v>1</v>
      </c>
      <c r="O734" s="74" t="s">
        <v>21342</v>
      </c>
      <c r="P734" s="74" t="s">
        <v>21345</v>
      </c>
      <c r="R734" s="74" t="s">
        <v>148</v>
      </c>
      <c r="S734" s="74" t="s">
        <v>21338</v>
      </c>
      <c r="T734" s="74" t="s">
        <v>402</v>
      </c>
      <c r="U734" s="74">
        <v>0</v>
      </c>
      <c r="V734" s="74">
        <v>0</v>
      </c>
    </row>
    <row r="735" spans="3:22" x14ac:dyDescent="0.25">
      <c r="C735" s="74" t="s">
        <v>18795</v>
      </c>
      <c r="D735" s="74" t="s">
        <v>148</v>
      </c>
      <c r="E735" s="74" t="s">
        <v>21338</v>
      </c>
      <c r="F735" s="74">
        <v>551367</v>
      </c>
      <c r="G735" s="74">
        <v>1000</v>
      </c>
      <c r="H735" s="135">
        <v>42997.471516203703</v>
      </c>
      <c r="I735" s="74" t="s">
        <v>21339</v>
      </c>
      <c r="J735" s="74" t="s">
        <v>21340</v>
      </c>
      <c r="K735" s="74" t="s">
        <v>2104</v>
      </c>
      <c r="L735" s="74">
        <v>551920</v>
      </c>
      <c r="M735" s="74" t="s">
        <v>21341</v>
      </c>
      <c r="N735" s="74">
        <v>1</v>
      </c>
      <c r="O735" s="74" t="s">
        <v>21342</v>
      </c>
      <c r="P735" s="74" t="s">
        <v>21343</v>
      </c>
      <c r="Q735" s="74">
        <v>0</v>
      </c>
      <c r="R735" s="74" t="s">
        <v>148</v>
      </c>
      <c r="S735" s="74" t="s">
        <v>21338</v>
      </c>
      <c r="T735" s="74" t="s">
        <v>402</v>
      </c>
      <c r="U735" s="74">
        <v>0</v>
      </c>
      <c r="V735" s="74">
        <v>0</v>
      </c>
    </row>
    <row r="736" spans="3:22" x14ac:dyDescent="0.25">
      <c r="C736" s="74" t="s">
        <v>21351</v>
      </c>
      <c r="D736" s="74" t="s">
        <v>148</v>
      </c>
      <c r="E736" s="74" t="s">
        <v>21338</v>
      </c>
      <c r="F736" s="74">
        <v>707864</v>
      </c>
      <c r="G736" s="74">
        <v>3</v>
      </c>
      <c r="H736" s="135">
        <v>42997.471203703702</v>
      </c>
      <c r="I736" s="74" t="s">
        <v>21354</v>
      </c>
      <c r="J736" s="74" t="s">
        <v>21355</v>
      </c>
      <c r="K736" s="74" t="s">
        <v>19835</v>
      </c>
      <c r="L736" s="74">
        <v>554152</v>
      </c>
      <c r="M736" s="74" t="s">
        <v>21341</v>
      </c>
      <c r="N736" s="74">
        <v>1</v>
      </c>
      <c r="O736" s="74" t="s">
        <v>21342</v>
      </c>
      <c r="P736" s="74" t="s">
        <v>21345</v>
      </c>
      <c r="R736" s="74" t="s">
        <v>148</v>
      </c>
      <c r="S736" s="74" t="s">
        <v>21338</v>
      </c>
      <c r="T736" s="74" t="s">
        <v>402</v>
      </c>
      <c r="U736" s="74">
        <v>0</v>
      </c>
      <c r="V736" s="74">
        <v>0</v>
      </c>
    </row>
    <row r="737" spans="3:22" x14ac:dyDescent="0.25">
      <c r="C737" s="74" t="s">
        <v>735</v>
      </c>
      <c r="D737" s="74" t="s">
        <v>148</v>
      </c>
      <c r="E737" s="74" t="s">
        <v>21338</v>
      </c>
      <c r="F737" s="74">
        <v>570025</v>
      </c>
      <c r="G737" s="74">
        <v>3</v>
      </c>
      <c r="H737" s="135">
        <v>42997.466122685182</v>
      </c>
      <c r="I737" s="74" t="s">
        <v>21339</v>
      </c>
      <c r="J737" s="74" t="s">
        <v>21360</v>
      </c>
      <c r="K737" s="74" t="s">
        <v>8323</v>
      </c>
      <c r="L737" s="74">
        <v>552705</v>
      </c>
      <c r="M737" s="74" t="s">
        <v>21341</v>
      </c>
      <c r="N737" s="74">
        <v>1</v>
      </c>
      <c r="O737" s="74" t="s">
        <v>21342</v>
      </c>
      <c r="P737" s="74" t="s">
        <v>21343</v>
      </c>
      <c r="Q737" s="74" t="s">
        <v>21361</v>
      </c>
      <c r="R737" s="74" t="s">
        <v>148</v>
      </c>
      <c r="S737" s="74" t="s">
        <v>21338</v>
      </c>
      <c r="T737" s="74" t="s">
        <v>393</v>
      </c>
      <c r="U737" s="74">
        <v>0</v>
      </c>
      <c r="V737" s="74">
        <v>0</v>
      </c>
    </row>
    <row r="738" spans="3:22" x14ac:dyDescent="0.25">
      <c r="C738" s="74" t="s">
        <v>735</v>
      </c>
      <c r="D738" s="74" t="s">
        <v>148</v>
      </c>
      <c r="E738" s="74" t="s">
        <v>21338</v>
      </c>
      <c r="F738" s="74">
        <v>570025</v>
      </c>
      <c r="G738" s="74">
        <v>3</v>
      </c>
      <c r="H738" s="135">
        <v>42997.464814814812</v>
      </c>
      <c r="I738" s="74" t="s">
        <v>21339</v>
      </c>
      <c r="J738" s="74" t="s">
        <v>21364</v>
      </c>
      <c r="K738" s="74" t="s">
        <v>8323</v>
      </c>
      <c r="L738" s="74">
        <v>552705</v>
      </c>
      <c r="M738" s="74" t="s">
        <v>21341</v>
      </c>
      <c r="N738" s="74">
        <v>1</v>
      </c>
      <c r="O738" s="74" t="s">
        <v>21342</v>
      </c>
      <c r="P738" s="74" t="s">
        <v>21343</v>
      </c>
      <c r="Q738" s="74">
        <v>0</v>
      </c>
      <c r="R738" s="74" t="s">
        <v>148</v>
      </c>
      <c r="S738" s="74" t="s">
        <v>21338</v>
      </c>
      <c r="T738" s="74" t="s">
        <v>393</v>
      </c>
      <c r="U738" s="74">
        <v>0</v>
      </c>
      <c r="V738" s="74">
        <v>0</v>
      </c>
    </row>
    <row r="739" spans="3:22" x14ac:dyDescent="0.25">
      <c r="C739" s="74" t="s">
        <v>735</v>
      </c>
      <c r="D739" s="74" t="s">
        <v>148</v>
      </c>
      <c r="E739" s="74" t="s">
        <v>21338</v>
      </c>
      <c r="F739" s="74">
        <v>570025</v>
      </c>
      <c r="G739" s="74">
        <v>3</v>
      </c>
      <c r="H739" s="135">
        <v>42997.464803240742</v>
      </c>
      <c r="I739" s="74" t="s">
        <v>21365</v>
      </c>
      <c r="J739" s="74" t="s">
        <v>21366</v>
      </c>
      <c r="K739" s="74" t="s">
        <v>21403</v>
      </c>
      <c r="L739" s="74">
        <v>561483</v>
      </c>
      <c r="M739" s="74" t="s">
        <v>21368</v>
      </c>
      <c r="N739" s="74">
        <v>1</v>
      </c>
      <c r="O739" s="74" t="s">
        <v>21369</v>
      </c>
      <c r="P739" s="74" t="s">
        <v>21343</v>
      </c>
      <c r="Q739" s="74" t="s">
        <v>21534</v>
      </c>
      <c r="R739" s="74" t="s">
        <v>148</v>
      </c>
      <c r="S739" s="74" t="s">
        <v>21338</v>
      </c>
      <c r="T739" s="74" t="s">
        <v>21371</v>
      </c>
      <c r="U739" s="74">
        <v>0</v>
      </c>
      <c r="V739" s="74">
        <v>0</v>
      </c>
    </row>
    <row r="740" spans="3:22" x14ac:dyDescent="0.25">
      <c r="C740" s="74" t="s">
        <v>735</v>
      </c>
      <c r="D740" s="74" t="s">
        <v>148</v>
      </c>
      <c r="E740" s="74" t="s">
        <v>21338</v>
      </c>
      <c r="F740" s="74">
        <v>570025</v>
      </c>
      <c r="G740" s="74">
        <v>3</v>
      </c>
      <c r="H740" s="135">
        <v>42997.464791666665</v>
      </c>
      <c r="I740" s="74" t="s">
        <v>21365</v>
      </c>
      <c r="J740" s="74" t="s">
        <v>21366</v>
      </c>
      <c r="K740" s="74" t="s">
        <v>21367</v>
      </c>
      <c r="L740" s="74">
        <v>561482</v>
      </c>
      <c r="M740" s="74" t="s">
        <v>21368</v>
      </c>
      <c r="N740" s="74">
        <v>1</v>
      </c>
      <c r="O740" s="74" t="s">
        <v>21369</v>
      </c>
      <c r="P740" s="74" t="s">
        <v>21343</v>
      </c>
      <c r="Q740" s="74" t="s">
        <v>21534</v>
      </c>
      <c r="R740" s="74" t="s">
        <v>148</v>
      </c>
      <c r="S740" s="74" t="s">
        <v>21338</v>
      </c>
      <c r="T740" s="74" t="s">
        <v>21371</v>
      </c>
      <c r="U740" s="74">
        <v>0</v>
      </c>
      <c r="V740" s="74">
        <v>0</v>
      </c>
    </row>
    <row r="741" spans="3:22" x14ac:dyDescent="0.25">
      <c r="C741" s="74" t="s">
        <v>735</v>
      </c>
      <c r="D741" s="74" t="s">
        <v>148</v>
      </c>
      <c r="E741" s="74" t="s">
        <v>21338</v>
      </c>
      <c r="F741" s="74">
        <v>570025</v>
      </c>
      <c r="G741" s="74">
        <v>3</v>
      </c>
      <c r="H741" s="135">
        <v>42997.464780092596</v>
      </c>
      <c r="I741" s="74" t="s">
        <v>21365</v>
      </c>
      <c r="J741" s="74" t="s">
        <v>21366</v>
      </c>
      <c r="K741" s="74" t="s">
        <v>21519</v>
      </c>
      <c r="L741" s="74">
        <v>555672</v>
      </c>
      <c r="M741" s="74" t="s">
        <v>21368</v>
      </c>
      <c r="N741" s="74">
        <v>1</v>
      </c>
      <c r="O741" s="74" t="s">
        <v>21369</v>
      </c>
      <c r="P741" s="74" t="s">
        <v>21343</v>
      </c>
      <c r="Q741" s="74" t="s">
        <v>21534</v>
      </c>
      <c r="R741" s="74" t="s">
        <v>148</v>
      </c>
      <c r="S741" s="74" t="s">
        <v>21338</v>
      </c>
      <c r="T741" s="74" t="s">
        <v>21371</v>
      </c>
      <c r="U741" s="74">
        <v>0</v>
      </c>
      <c r="V741" s="74">
        <v>0</v>
      </c>
    </row>
    <row r="742" spans="3:22" x14ac:dyDescent="0.25">
      <c r="C742" s="74" t="s">
        <v>735</v>
      </c>
      <c r="D742" s="74" t="s">
        <v>148</v>
      </c>
      <c r="E742" s="74" t="s">
        <v>21338</v>
      </c>
      <c r="F742" s="74">
        <v>570025</v>
      </c>
      <c r="G742" s="74">
        <v>3</v>
      </c>
      <c r="H742" s="135">
        <v>42997.464768518519</v>
      </c>
      <c r="I742" s="74" t="s">
        <v>21365</v>
      </c>
      <c r="J742" s="74" t="s">
        <v>21366</v>
      </c>
      <c r="K742" s="74" t="s">
        <v>21373</v>
      </c>
      <c r="L742" s="74">
        <v>555662</v>
      </c>
      <c r="M742" s="74" t="s">
        <v>21368</v>
      </c>
      <c r="N742" s="74">
        <v>1</v>
      </c>
      <c r="O742" s="74" t="s">
        <v>21369</v>
      </c>
      <c r="P742" s="74" t="s">
        <v>21343</v>
      </c>
      <c r="Q742" s="74" t="s">
        <v>21534</v>
      </c>
      <c r="R742" s="74" t="s">
        <v>148</v>
      </c>
      <c r="S742" s="74" t="s">
        <v>21338</v>
      </c>
      <c r="T742" s="74" t="s">
        <v>21371</v>
      </c>
      <c r="U742" s="74">
        <v>0</v>
      </c>
      <c r="V742" s="74">
        <v>0</v>
      </c>
    </row>
    <row r="743" spans="3:22" x14ac:dyDescent="0.25">
      <c r="C743" s="74" t="s">
        <v>735</v>
      </c>
      <c r="D743" s="74" t="s">
        <v>148</v>
      </c>
      <c r="E743" s="74" t="s">
        <v>21338</v>
      </c>
      <c r="F743" s="74">
        <v>570025</v>
      </c>
      <c r="G743" s="74">
        <v>3</v>
      </c>
      <c r="H743" s="135">
        <v>42997.464768518519</v>
      </c>
      <c r="I743" s="74" t="s">
        <v>21365</v>
      </c>
      <c r="J743" s="74" t="s">
        <v>21366</v>
      </c>
      <c r="K743" s="74" t="s">
        <v>21526</v>
      </c>
      <c r="L743" s="74">
        <v>606187</v>
      </c>
      <c r="M743" s="74" t="s">
        <v>21368</v>
      </c>
      <c r="N743" s="74">
        <v>1</v>
      </c>
      <c r="O743" s="74" t="s">
        <v>21369</v>
      </c>
      <c r="P743" s="74" t="s">
        <v>21343</v>
      </c>
      <c r="Q743" s="74" t="s">
        <v>21534</v>
      </c>
      <c r="R743" s="74" t="s">
        <v>148</v>
      </c>
      <c r="S743" s="74" t="s">
        <v>21338</v>
      </c>
      <c r="T743" s="74" t="s">
        <v>21371</v>
      </c>
      <c r="U743" s="74">
        <v>0</v>
      </c>
      <c r="V743" s="74">
        <v>0</v>
      </c>
    </row>
    <row r="744" spans="3:22" x14ac:dyDescent="0.25">
      <c r="C744" s="74" t="s">
        <v>735</v>
      </c>
      <c r="D744" s="74" t="s">
        <v>148</v>
      </c>
      <c r="E744" s="74" t="s">
        <v>21338</v>
      </c>
      <c r="F744" s="74">
        <v>570025</v>
      </c>
      <c r="G744" s="74">
        <v>3</v>
      </c>
      <c r="H744" s="135">
        <v>42997.464756944442</v>
      </c>
      <c r="I744" s="74" t="s">
        <v>21365</v>
      </c>
      <c r="J744" s="74" t="s">
        <v>21366</v>
      </c>
      <c r="K744" s="74" t="s">
        <v>21374</v>
      </c>
      <c r="L744" s="74">
        <v>555669</v>
      </c>
      <c r="M744" s="74" t="s">
        <v>21368</v>
      </c>
      <c r="N744" s="74">
        <v>1</v>
      </c>
      <c r="O744" s="74" t="s">
        <v>21369</v>
      </c>
      <c r="P744" s="74" t="s">
        <v>21343</v>
      </c>
      <c r="Q744" s="74" t="s">
        <v>21534</v>
      </c>
      <c r="R744" s="74" t="s">
        <v>148</v>
      </c>
      <c r="S744" s="74" t="s">
        <v>21338</v>
      </c>
      <c r="T744" s="74" t="s">
        <v>21371</v>
      </c>
      <c r="U744" s="74">
        <v>0</v>
      </c>
      <c r="V744" s="74">
        <v>0</v>
      </c>
    </row>
    <row r="745" spans="3:22" x14ac:dyDescent="0.25">
      <c r="C745" s="74" t="s">
        <v>735</v>
      </c>
      <c r="D745" s="74" t="s">
        <v>148</v>
      </c>
      <c r="E745" s="74" t="s">
        <v>21338</v>
      </c>
      <c r="F745" s="74">
        <v>570025</v>
      </c>
      <c r="G745" s="74">
        <v>3</v>
      </c>
      <c r="H745" s="135">
        <v>42997.464745370373</v>
      </c>
      <c r="I745" s="74" t="s">
        <v>21365</v>
      </c>
      <c r="J745" s="74" t="s">
        <v>21366</v>
      </c>
      <c r="K745" s="74" t="s">
        <v>21521</v>
      </c>
      <c r="L745" s="74">
        <v>561111</v>
      </c>
      <c r="M745" s="74" t="s">
        <v>21368</v>
      </c>
      <c r="N745" s="74">
        <v>1</v>
      </c>
      <c r="O745" s="74" t="s">
        <v>21369</v>
      </c>
      <c r="P745" s="74" t="s">
        <v>21343</v>
      </c>
      <c r="Q745" s="74" t="s">
        <v>21534</v>
      </c>
      <c r="R745" s="74" t="s">
        <v>148</v>
      </c>
      <c r="S745" s="74" t="s">
        <v>21338</v>
      </c>
      <c r="T745" s="74" t="s">
        <v>21371</v>
      </c>
      <c r="U745" s="74">
        <v>0</v>
      </c>
      <c r="V745" s="74">
        <v>0</v>
      </c>
    </row>
    <row r="746" spans="3:22" x14ac:dyDescent="0.25">
      <c r="C746" s="74" t="s">
        <v>735</v>
      </c>
      <c r="D746" s="74" t="s">
        <v>148</v>
      </c>
      <c r="E746" s="74" t="s">
        <v>21338</v>
      </c>
      <c r="F746" s="74">
        <v>570025</v>
      </c>
      <c r="G746" s="74">
        <v>3</v>
      </c>
      <c r="H746" s="135">
        <v>42997.464745370373</v>
      </c>
      <c r="I746" s="74" t="s">
        <v>21365</v>
      </c>
      <c r="J746" s="74" t="s">
        <v>21366</v>
      </c>
      <c r="K746" s="74" t="s">
        <v>21375</v>
      </c>
      <c r="L746" s="74">
        <v>561082</v>
      </c>
      <c r="M746" s="74" t="s">
        <v>21368</v>
      </c>
      <c r="N746" s="74">
        <v>1</v>
      </c>
      <c r="O746" s="74" t="s">
        <v>21369</v>
      </c>
      <c r="P746" s="74" t="s">
        <v>21343</v>
      </c>
      <c r="Q746" s="74" t="s">
        <v>21534</v>
      </c>
      <c r="R746" s="74" t="s">
        <v>148</v>
      </c>
      <c r="S746" s="74" t="s">
        <v>21338</v>
      </c>
      <c r="T746" s="74" t="s">
        <v>21371</v>
      </c>
      <c r="U746" s="74">
        <v>0</v>
      </c>
      <c r="V746" s="74">
        <v>0</v>
      </c>
    </row>
    <row r="747" spans="3:22" x14ac:dyDescent="0.25">
      <c r="C747" s="74" t="s">
        <v>735</v>
      </c>
      <c r="D747" s="74" t="s">
        <v>148</v>
      </c>
      <c r="E747" s="74" t="s">
        <v>21338</v>
      </c>
      <c r="F747" s="74">
        <v>570025</v>
      </c>
      <c r="G747" s="74">
        <v>3</v>
      </c>
      <c r="H747" s="135">
        <v>42997.464733796296</v>
      </c>
      <c r="I747" s="74" t="s">
        <v>21365</v>
      </c>
      <c r="J747" s="74" t="s">
        <v>21366</v>
      </c>
      <c r="K747" s="74" t="s">
        <v>21376</v>
      </c>
      <c r="L747" s="74">
        <v>555659</v>
      </c>
      <c r="M747" s="74" t="s">
        <v>21368</v>
      </c>
      <c r="N747" s="74">
        <v>1</v>
      </c>
      <c r="O747" s="74" t="s">
        <v>21369</v>
      </c>
      <c r="P747" s="74" t="s">
        <v>21343</v>
      </c>
      <c r="Q747" s="74" t="s">
        <v>21534</v>
      </c>
      <c r="R747" s="74" t="s">
        <v>148</v>
      </c>
      <c r="S747" s="74" t="s">
        <v>21338</v>
      </c>
      <c r="T747" s="74" t="s">
        <v>21371</v>
      </c>
      <c r="U747" s="74">
        <v>0</v>
      </c>
      <c r="V747" s="74">
        <v>0</v>
      </c>
    </row>
    <row r="748" spans="3:22" x14ac:dyDescent="0.25">
      <c r="C748" s="74" t="s">
        <v>735</v>
      </c>
      <c r="D748" s="74" t="s">
        <v>148</v>
      </c>
      <c r="E748" s="74" t="s">
        <v>21338</v>
      </c>
      <c r="F748" s="74">
        <v>570025</v>
      </c>
      <c r="G748" s="74">
        <v>3</v>
      </c>
      <c r="H748" s="135">
        <v>42997.464722222219</v>
      </c>
      <c r="I748" s="74" t="s">
        <v>21365</v>
      </c>
      <c r="J748" s="74" t="s">
        <v>21366</v>
      </c>
      <c r="K748" s="74" t="s">
        <v>21377</v>
      </c>
      <c r="L748" s="74">
        <v>555668</v>
      </c>
      <c r="M748" s="74" t="s">
        <v>21368</v>
      </c>
      <c r="N748" s="74">
        <v>1</v>
      </c>
      <c r="O748" s="74" t="s">
        <v>21369</v>
      </c>
      <c r="P748" s="74" t="s">
        <v>21343</v>
      </c>
      <c r="Q748" s="74" t="s">
        <v>21534</v>
      </c>
      <c r="R748" s="74" t="s">
        <v>148</v>
      </c>
      <c r="S748" s="74" t="s">
        <v>21338</v>
      </c>
      <c r="T748" s="74" t="s">
        <v>21371</v>
      </c>
      <c r="U748" s="74">
        <v>0</v>
      </c>
      <c r="V748" s="74">
        <v>0</v>
      </c>
    </row>
    <row r="749" spans="3:22" x14ac:dyDescent="0.25">
      <c r="C749" s="74" t="s">
        <v>735</v>
      </c>
      <c r="D749" s="74" t="s">
        <v>148</v>
      </c>
      <c r="E749" s="74" t="s">
        <v>21338</v>
      </c>
      <c r="F749" s="74">
        <v>570025</v>
      </c>
      <c r="G749" s="74">
        <v>3</v>
      </c>
      <c r="H749" s="135">
        <v>42997.46471064815</v>
      </c>
      <c r="I749" s="74" t="s">
        <v>21339</v>
      </c>
      <c r="J749" s="74" t="s">
        <v>21364</v>
      </c>
      <c r="K749" s="74" t="s">
        <v>8323</v>
      </c>
      <c r="L749" s="74">
        <v>552705</v>
      </c>
      <c r="M749" s="74" t="s">
        <v>21341</v>
      </c>
      <c r="N749" s="74">
        <v>1</v>
      </c>
      <c r="O749" s="74" t="s">
        <v>21342</v>
      </c>
      <c r="P749" s="74" t="s">
        <v>21343</v>
      </c>
      <c r="Q749" s="74">
        <v>0</v>
      </c>
      <c r="R749" s="74" t="s">
        <v>148</v>
      </c>
      <c r="S749" s="74" t="s">
        <v>21338</v>
      </c>
      <c r="T749" s="74" t="s">
        <v>393</v>
      </c>
      <c r="U749" s="74">
        <v>0</v>
      </c>
      <c r="V749" s="74">
        <v>0</v>
      </c>
    </row>
    <row r="750" spans="3:22" x14ac:dyDescent="0.25">
      <c r="C750" s="74" t="s">
        <v>735</v>
      </c>
      <c r="D750" s="74" t="s">
        <v>148</v>
      </c>
      <c r="E750" s="74" t="s">
        <v>21338</v>
      </c>
      <c r="F750" s="74">
        <v>570025</v>
      </c>
      <c r="G750" s="74">
        <v>3</v>
      </c>
      <c r="H750" s="135">
        <v>42997.464629629627</v>
      </c>
      <c r="I750" s="74" t="s">
        <v>21339</v>
      </c>
      <c r="J750" s="74" t="s">
        <v>21364</v>
      </c>
      <c r="K750" s="74" t="s">
        <v>8323</v>
      </c>
      <c r="L750" s="74">
        <v>552705</v>
      </c>
      <c r="M750" s="74" t="s">
        <v>21341</v>
      </c>
      <c r="N750" s="74">
        <v>1</v>
      </c>
      <c r="O750" s="74" t="s">
        <v>21342</v>
      </c>
      <c r="P750" s="74" t="s">
        <v>21343</v>
      </c>
      <c r="Q750" s="74">
        <v>0</v>
      </c>
      <c r="R750" s="74" t="s">
        <v>148</v>
      </c>
      <c r="S750" s="74" t="s">
        <v>21338</v>
      </c>
      <c r="T750" s="74" t="s">
        <v>393</v>
      </c>
      <c r="U750" s="74">
        <v>0</v>
      </c>
      <c r="V750" s="74">
        <v>0</v>
      </c>
    </row>
    <row r="751" spans="3:22" x14ac:dyDescent="0.25">
      <c r="C751" s="74" t="s">
        <v>735</v>
      </c>
      <c r="D751" s="74" t="s">
        <v>148</v>
      </c>
      <c r="E751" s="74" t="s">
        <v>21338</v>
      </c>
      <c r="F751" s="74">
        <v>570025</v>
      </c>
      <c r="G751" s="74">
        <v>3</v>
      </c>
      <c r="H751" s="135">
        <v>42997.464432870373</v>
      </c>
      <c r="I751" s="74" t="s">
        <v>21339</v>
      </c>
      <c r="J751" s="74" t="s">
        <v>21362</v>
      </c>
      <c r="K751" s="74" t="s">
        <v>8323</v>
      </c>
      <c r="L751" s="74">
        <v>552705</v>
      </c>
      <c r="M751" s="74" t="s">
        <v>21341</v>
      </c>
      <c r="N751" s="74">
        <v>1</v>
      </c>
      <c r="O751" s="74" t="s">
        <v>21342</v>
      </c>
      <c r="P751" s="74" t="s">
        <v>21343</v>
      </c>
      <c r="Q751" s="74" t="s">
        <v>21363</v>
      </c>
      <c r="R751" s="74" t="s">
        <v>148</v>
      </c>
      <c r="S751" s="74" t="s">
        <v>21338</v>
      </c>
      <c r="T751" s="74" t="s">
        <v>393</v>
      </c>
      <c r="U751" s="74">
        <v>0</v>
      </c>
      <c r="V751" s="74">
        <v>0</v>
      </c>
    </row>
    <row r="752" spans="3:22" x14ac:dyDescent="0.25">
      <c r="C752" s="74" t="s">
        <v>18795</v>
      </c>
      <c r="D752" s="74" t="s">
        <v>148</v>
      </c>
      <c r="E752" s="74" t="s">
        <v>21338</v>
      </c>
      <c r="F752" s="74">
        <v>551367</v>
      </c>
      <c r="G752" s="74">
        <v>1000</v>
      </c>
      <c r="H752" s="135">
        <v>42997.456562500003</v>
      </c>
      <c r="I752" s="74" t="s">
        <v>21339</v>
      </c>
      <c r="J752" s="74" t="s">
        <v>21340</v>
      </c>
      <c r="K752" s="74" t="s">
        <v>16239</v>
      </c>
      <c r="L752" s="74">
        <v>553715</v>
      </c>
      <c r="M752" s="74" t="s">
        <v>21341</v>
      </c>
      <c r="N752" s="74">
        <v>1</v>
      </c>
      <c r="O752" s="74" t="s">
        <v>21342</v>
      </c>
      <c r="P752" s="74" t="s">
        <v>21343</v>
      </c>
      <c r="Q752" s="74">
        <v>0</v>
      </c>
      <c r="R752" s="74" t="s">
        <v>148</v>
      </c>
      <c r="S752" s="74" t="s">
        <v>21338</v>
      </c>
      <c r="T752" s="74" t="s">
        <v>402</v>
      </c>
      <c r="U752" s="74">
        <v>0</v>
      </c>
      <c r="V752" s="74">
        <v>0</v>
      </c>
    </row>
    <row r="753" spans="3:22" x14ac:dyDescent="0.25">
      <c r="C753" s="74" t="s">
        <v>18795</v>
      </c>
      <c r="D753" s="74" t="s">
        <v>148</v>
      </c>
      <c r="E753" s="74" t="s">
        <v>21338</v>
      </c>
      <c r="F753" s="74">
        <v>551367</v>
      </c>
      <c r="G753" s="74">
        <v>1000</v>
      </c>
      <c r="H753" s="135">
        <v>42997.452106481483</v>
      </c>
      <c r="I753" s="74" t="s">
        <v>21339</v>
      </c>
      <c r="J753" s="74" t="s">
        <v>21340</v>
      </c>
      <c r="K753" s="74" t="s">
        <v>21535</v>
      </c>
      <c r="L753" s="74">
        <v>570908</v>
      </c>
      <c r="M753" s="74" t="s">
        <v>21341</v>
      </c>
      <c r="N753" s="74">
        <v>1</v>
      </c>
      <c r="O753" s="74" t="s">
        <v>21342</v>
      </c>
      <c r="P753" s="74" t="s">
        <v>21343</v>
      </c>
      <c r="Q753" s="74">
        <v>0</v>
      </c>
      <c r="R753" s="74" t="s">
        <v>148</v>
      </c>
      <c r="S753" s="74" t="s">
        <v>21338</v>
      </c>
      <c r="T753" s="74" t="s">
        <v>402</v>
      </c>
      <c r="U753" s="74">
        <v>0</v>
      </c>
      <c r="V753" s="74">
        <v>0</v>
      </c>
    </row>
    <row r="754" spans="3:22" x14ac:dyDescent="0.25">
      <c r="C754" s="74" t="s">
        <v>18795</v>
      </c>
      <c r="D754" s="74" t="s">
        <v>148</v>
      </c>
      <c r="E754" s="74" t="s">
        <v>21338</v>
      </c>
      <c r="F754" s="74">
        <v>551367</v>
      </c>
      <c r="G754" s="74">
        <v>1000</v>
      </c>
      <c r="H754" s="135">
        <v>42997.44803240741</v>
      </c>
      <c r="I754" s="74" t="s">
        <v>21339</v>
      </c>
      <c r="J754" s="74" t="s">
        <v>21340</v>
      </c>
      <c r="K754" s="74" t="s">
        <v>9277</v>
      </c>
      <c r="L754" s="74">
        <v>552828</v>
      </c>
      <c r="M754" s="74" t="s">
        <v>21341</v>
      </c>
      <c r="N754" s="74">
        <v>1</v>
      </c>
      <c r="O754" s="74" t="s">
        <v>21342</v>
      </c>
      <c r="P754" s="74" t="s">
        <v>21343</v>
      </c>
      <c r="Q754" s="74">
        <v>0</v>
      </c>
      <c r="R754" s="74" t="s">
        <v>148</v>
      </c>
      <c r="S754" s="74" t="s">
        <v>21338</v>
      </c>
      <c r="T754" s="74" t="s">
        <v>402</v>
      </c>
      <c r="U754" s="74">
        <v>0</v>
      </c>
      <c r="V754" s="74">
        <v>0</v>
      </c>
    </row>
    <row r="755" spans="3:22" x14ac:dyDescent="0.25">
      <c r="C755" s="74" t="s">
        <v>735</v>
      </c>
      <c r="D755" s="74" t="s">
        <v>148</v>
      </c>
      <c r="E755" s="74" t="s">
        <v>21338</v>
      </c>
      <c r="F755" s="74">
        <v>570025</v>
      </c>
      <c r="G755" s="74">
        <v>3</v>
      </c>
      <c r="H755" s="135">
        <v>42997.437685185185</v>
      </c>
      <c r="I755" s="74" t="s">
        <v>21339</v>
      </c>
      <c r="J755" s="74" t="s">
        <v>21360</v>
      </c>
      <c r="K755" s="74" t="s">
        <v>16527</v>
      </c>
      <c r="L755" s="74">
        <v>553746</v>
      </c>
      <c r="M755" s="74" t="s">
        <v>21341</v>
      </c>
      <c r="N755" s="74">
        <v>1</v>
      </c>
      <c r="O755" s="74" t="s">
        <v>21342</v>
      </c>
      <c r="P755" s="74" t="s">
        <v>21343</v>
      </c>
      <c r="Q755" s="74" t="s">
        <v>21361</v>
      </c>
      <c r="R755" s="74" t="s">
        <v>148</v>
      </c>
      <c r="S755" s="74" t="s">
        <v>21338</v>
      </c>
      <c r="T755" s="74" t="s">
        <v>393</v>
      </c>
      <c r="U755" s="74">
        <v>0</v>
      </c>
      <c r="V755" s="74">
        <v>0</v>
      </c>
    </row>
    <row r="756" spans="3:22" x14ac:dyDescent="0.25">
      <c r="C756" s="74" t="s">
        <v>18795</v>
      </c>
      <c r="D756" s="74" t="s">
        <v>148</v>
      </c>
      <c r="E756" s="74" t="s">
        <v>21338</v>
      </c>
      <c r="F756" s="74">
        <v>551367</v>
      </c>
      <c r="G756" s="74">
        <v>1000</v>
      </c>
      <c r="H756" s="135">
        <v>42997.436979166669</v>
      </c>
      <c r="I756" s="74" t="s">
        <v>21339</v>
      </c>
      <c r="J756" s="74" t="s">
        <v>21340</v>
      </c>
      <c r="K756" s="74" t="s">
        <v>10960</v>
      </c>
      <c r="L756" s="74">
        <v>831221</v>
      </c>
      <c r="M756" s="74" t="s">
        <v>21341</v>
      </c>
      <c r="N756" s="74">
        <v>1</v>
      </c>
      <c r="O756" s="74" t="s">
        <v>21342</v>
      </c>
      <c r="P756" s="74" t="s">
        <v>21343</v>
      </c>
      <c r="Q756" s="74">
        <v>0</v>
      </c>
      <c r="R756" s="74" t="s">
        <v>148</v>
      </c>
      <c r="S756" s="74" t="s">
        <v>21338</v>
      </c>
      <c r="T756" s="74" t="s">
        <v>402</v>
      </c>
      <c r="U756" s="74">
        <v>0</v>
      </c>
      <c r="V756" s="74">
        <v>0</v>
      </c>
    </row>
    <row r="757" spans="3:22" x14ac:dyDescent="0.25">
      <c r="C757" s="74" t="s">
        <v>735</v>
      </c>
      <c r="D757" s="74" t="s">
        <v>148</v>
      </c>
      <c r="E757" s="74" t="s">
        <v>21338</v>
      </c>
      <c r="F757" s="74">
        <v>570025</v>
      </c>
      <c r="G757" s="74">
        <v>3</v>
      </c>
      <c r="H757" s="135">
        <v>42997.436215277776</v>
      </c>
      <c r="I757" s="74" t="s">
        <v>21365</v>
      </c>
      <c r="J757" s="74" t="s">
        <v>21366</v>
      </c>
      <c r="K757" s="74" t="s">
        <v>21367</v>
      </c>
      <c r="L757" s="74">
        <v>561482</v>
      </c>
      <c r="M757" s="74" t="s">
        <v>21368</v>
      </c>
      <c r="N757" s="74">
        <v>1</v>
      </c>
      <c r="O757" s="74" t="s">
        <v>21369</v>
      </c>
      <c r="P757" s="74" t="s">
        <v>21343</v>
      </c>
      <c r="Q757" s="74" t="s">
        <v>21536</v>
      </c>
      <c r="R757" s="74" t="s">
        <v>148</v>
      </c>
      <c r="S757" s="74" t="s">
        <v>21338</v>
      </c>
      <c r="T757" s="74" t="s">
        <v>21371</v>
      </c>
      <c r="U757" s="74">
        <v>0</v>
      </c>
      <c r="V757" s="74">
        <v>0</v>
      </c>
    </row>
    <row r="758" spans="3:22" x14ac:dyDescent="0.25">
      <c r="C758" s="74" t="s">
        <v>735</v>
      </c>
      <c r="D758" s="74" t="s">
        <v>148</v>
      </c>
      <c r="E758" s="74" t="s">
        <v>21338</v>
      </c>
      <c r="F758" s="74">
        <v>570025</v>
      </c>
      <c r="G758" s="74">
        <v>3</v>
      </c>
      <c r="H758" s="135">
        <v>42997.436215277776</v>
      </c>
      <c r="I758" s="74" t="s">
        <v>21339</v>
      </c>
      <c r="J758" s="74" t="s">
        <v>21364</v>
      </c>
      <c r="K758" s="74" t="s">
        <v>16527</v>
      </c>
      <c r="L758" s="74">
        <v>553746</v>
      </c>
      <c r="M758" s="74" t="s">
        <v>21341</v>
      </c>
      <c r="N758" s="74">
        <v>1</v>
      </c>
      <c r="O758" s="74" t="s">
        <v>21342</v>
      </c>
      <c r="P758" s="74" t="s">
        <v>21343</v>
      </c>
      <c r="Q758" s="74">
        <v>0</v>
      </c>
      <c r="R758" s="74" t="s">
        <v>148</v>
      </c>
      <c r="S758" s="74" t="s">
        <v>21338</v>
      </c>
      <c r="T758" s="74" t="s">
        <v>393</v>
      </c>
      <c r="U758" s="74">
        <v>0</v>
      </c>
      <c r="V758" s="74">
        <v>0</v>
      </c>
    </row>
    <row r="759" spans="3:22" x14ac:dyDescent="0.25">
      <c r="C759" s="74" t="s">
        <v>735</v>
      </c>
      <c r="D759" s="74" t="s">
        <v>148</v>
      </c>
      <c r="E759" s="74" t="s">
        <v>21338</v>
      </c>
      <c r="F759" s="74">
        <v>570025</v>
      </c>
      <c r="G759" s="74">
        <v>3</v>
      </c>
      <c r="H759" s="135">
        <v>42997.436192129629</v>
      </c>
      <c r="I759" s="74" t="s">
        <v>21365</v>
      </c>
      <c r="J759" s="74" t="s">
        <v>21366</v>
      </c>
      <c r="K759" s="74" t="s">
        <v>21393</v>
      </c>
      <c r="L759" s="74">
        <v>555664</v>
      </c>
      <c r="M759" s="74" t="s">
        <v>21368</v>
      </c>
      <c r="N759" s="74">
        <v>1</v>
      </c>
      <c r="O759" s="74" t="s">
        <v>21369</v>
      </c>
      <c r="P759" s="74" t="s">
        <v>21343</v>
      </c>
      <c r="Q759" s="74" t="s">
        <v>21536</v>
      </c>
      <c r="R759" s="74" t="s">
        <v>148</v>
      </c>
      <c r="S759" s="74" t="s">
        <v>21338</v>
      </c>
      <c r="T759" s="74" t="s">
        <v>21371</v>
      </c>
      <c r="U759" s="74">
        <v>0</v>
      </c>
      <c r="V759" s="74">
        <v>0</v>
      </c>
    </row>
    <row r="760" spans="3:22" x14ac:dyDescent="0.25">
      <c r="C760" s="74" t="s">
        <v>735</v>
      </c>
      <c r="D760" s="74" t="s">
        <v>148</v>
      </c>
      <c r="E760" s="74" t="s">
        <v>21338</v>
      </c>
      <c r="F760" s="74">
        <v>570025</v>
      </c>
      <c r="G760" s="74">
        <v>3</v>
      </c>
      <c r="H760" s="135">
        <v>42997.436180555553</v>
      </c>
      <c r="I760" s="74" t="s">
        <v>21365</v>
      </c>
      <c r="J760" s="74" t="s">
        <v>21366</v>
      </c>
      <c r="K760" s="74" t="s">
        <v>21376</v>
      </c>
      <c r="L760" s="74">
        <v>555659</v>
      </c>
      <c r="M760" s="74" t="s">
        <v>21368</v>
      </c>
      <c r="N760" s="74">
        <v>1</v>
      </c>
      <c r="O760" s="74" t="s">
        <v>21369</v>
      </c>
      <c r="P760" s="74" t="s">
        <v>21343</v>
      </c>
      <c r="Q760" s="74" t="s">
        <v>21536</v>
      </c>
      <c r="R760" s="74" t="s">
        <v>148</v>
      </c>
      <c r="S760" s="74" t="s">
        <v>21338</v>
      </c>
      <c r="T760" s="74" t="s">
        <v>21371</v>
      </c>
      <c r="U760" s="74">
        <v>0</v>
      </c>
      <c r="V760" s="74">
        <v>0</v>
      </c>
    </row>
    <row r="761" spans="3:22" x14ac:dyDescent="0.25">
      <c r="C761" s="74" t="s">
        <v>735</v>
      </c>
      <c r="D761" s="74" t="s">
        <v>148</v>
      </c>
      <c r="E761" s="74" t="s">
        <v>21338</v>
      </c>
      <c r="F761" s="74">
        <v>570025</v>
      </c>
      <c r="G761" s="74">
        <v>3</v>
      </c>
      <c r="H761" s="135">
        <v>42997.436168981483</v>
      </c>
      <c r="I761" s="74" t="s">
        <v>21365</v>
      </c>
      <c r="J761" s="74" t="s">
        <v>21366</v>
      </c>
      <c r="K761" s="74" t="s">
        <v>21377</v>
      </c>
      <c r="L761" s="74">
        <v>555668</v>
      </c>
      <c r="M761" s="74" t="s">
        <v>21368</v>
      </c>
      <c r="N761" s="74">
        <v>1</v>
      </c>
      <c r="O761" s="74" t="s">
        <v>21369</v>
      </c>
      <c r="P761" s="74" t="s">
        <v>21343</v>
      </c>
      <c r="Q761" s="74" t="s">
        <v>21536</v>
      </c>
      <c r="R761" s="74" t="s">
        <v>148</v>
      </c>
      <c r="S761" s="74" t="s">
        <v>21338</v>
      </c>
      <c r="T761" s="74" t="s">
        <v>21371</v>
      </c>
      <c r="U761" s="74">
        <v>0</v>
      </c>
      <c r="V761" s="74">
        <v>0</v>
      </c>
    </row>
    <row r="762" spans="3:22" x14ac:dyDescent="0.25">
      <c r="C762" s="74" t="s">
        <v>735</v>
      </c>
      <c r="D762" s="74" t="s">
        <v>148</v>
      </c>
      <c r="E762" s="74" t="s">
        <v>21338</v>
      </c>
      <c r="F762" s="74">
        <v>570025</v>
      </c>
      <c r="G762" s="74">
        <v>3</v>
      </c>
      <c r="H762" s="135">
        <v>42997.436145833337</v>
      </c>
      <c r="I762" s="74" t="s">
        <v>21339</v>
      </c>
      <c r="J762" s="74" t="s">
        <v>21364</v>
      </c>
      <c r="K762" s="74" t="s">
        <v>16527</v>
      </c>
      <c r="L762" s="74">
        <v>553746</v>
      </c>
      <c r="M762" s="74" t="s">
        <v>21341</v>
      </c>
      <c r="N762" s="74">
        <v>1</v>
      </c>
      <c r="O762" s="74" t="s">
        <v>21342</v>
      </c>
      <c r="P762" s="74" t="s">
        <v>21343</v>
      </c>
      <c r="Q762" s="74">
        <v>0</v>
      </c>
      <c r="R762" s="74" t="s">
        <v>148</v>
      </c>
      <c r="S762" s="74" t="s">
        <v>21338</v>
      </c>
      <c r="T762" s="74" t="s">
        <v>393</v>
      </c>
      <c r="U762" s="74">
        <v>0</v>
      </c>
      <c r="V762" s="74">
        <v>0</v>
      </c>
    </row>
    <row r="763" spans="3:22" x14ac:dyDescent="0.25">
      <c r="C763" s="74" t="s">
        <v>735</v>
      </c>
      <c r="D763" s="74" t="s">
        <v>148</v>
      </c>
      <c r="E763" s="74" t="s">
        <v>21338</v>
      </c>
      <c r="F763" s="74">
        <v>570025</v>
      </c>
      <c r="G763" s="74">
        <v>3</v>
      </c>
      <c r="H763" s="135">
        <v>42997.436076388891</v>
      </c>
      <c r="I763" s="74" t="s">
        <v>21339</v>
      </c>
      <c r="J763" s="74" t="s">
        <v>21364</v>
      </c>
      <c r="K763" s="74" t="s">
        <v>16527</v>
      </c>
      <c r="L763" s="74">
        <v>553746</v>
      </c>
      <c r="M763" s="74" t="s">
        <v>21341</v>
      </c>
      <c r="N763" s="74">
        <v>1</v>
      </c>
      <c r="O763" s="74" t="s">
        <v>21342</v>
      </c>
      <c r="P763" s="74" t="s">
        <v>21343</v>
      </c>
      <c r="Q763" s="74">
        <v>0</v>
      </c>
      <c r="R763" s="74" t="s">
        <v>148</v>
      </c>
      <c r="S763" s="74" t="s">
        <v>21338</v>
      </c>
      <c r="T763" s="74" t="s">
        <v>393</v>
      </c>
      <c r="U763" s="74">
        <v>0</v>
      </c>
      <c r="V763" s="74">
        <v>0</v>
      </c>
    </row>
    <row r="764" spans="3:22" x14ac:dyDescent="0.25">
      <c r="C764" s="74" t="s">
        <v>735</v>
      </c>
      <c r="D764" s="74" t="s">
        <v>148</v>
      </c>
      <c r="E764" s="74" t="s">
        <v>21338</v>
      </c>
      <c r="F764" s="74">
        <v>570025</v>
      </c>
      <c r="G764" s="74">
        <v>3</v>
      </c>
      <c r="H764" s="135">
        <v>42997.435069444444</v>
      </c>
      <c r="I764" s="74" t="s">
        <v>21339</v>
      </c>
      <c r="J764" s="74" t="s">
        <v>21362</v>
      </c>
      <c r="K764" s="74" t="s">
        <v>16527</v>
      </c>
      <c r="L764" s="74">
        <v>553746</v>
      </c>
      <c r="M764" s="74" t="s">
        <v>21341</v>
      </c>
      <c r="N764" s="74">
        <v>1</v>
      </c>
      <c r="O764" s="74" t="s">
        <v>21342</v>
      </c>
      <c r="P764" s="74" t="s">
        <v>21343</v>
      </c>
      <c r="Q764" s="74" t="s">
        <v>21363</v>
      </c>
      <c r="R764" s="74" t="s">
        <v>148</v>
      </c>
      <c r="S764" s="74" t="s">
        <v>21338</v>
      </c>
      <c r="T764" s="74" t="s">
        <v>393</v>
      </c>
      <c r="U764" s="74">
        <v>0</v>
      </c>
      <c r="V764" s="74">
        <v>0</v>
      </c>
    </row>
    <row r="765" spans="3:22" x14ac:dyDescent="0.25">
      <c r="C765" s="74" t="s">
        <v>9081</v>
      </c>
      <c r="D765" s="74" t="s">
        <v>148</v>
      </c>
      <c r="E765" s="74" t="s">
        <v>21338</v>
      </c>
      <c r="F765" s="74">
        <v>722441</v>
      </c>
      <c r="G765" s="74">
        <v>3</v>
      </c>
      <c r="H765" s="135">
        <v>42997.422673611109</v>
      </c>
      <c r="I765" s="74" t="s">
        <v>21354</v>
      </c>
      <c r="J765" s="74" t="s">
        <v>21355</v>
      </c>
      <c r="K765" s="74" t="s">
        <v>21394</v>
      </c>
      <c r="L765" s="74">
        <v>560259</v>
      </c>
      <c r="M765" s="74" t="s">
        <v>21341</v>
      </c>
      <c r="N765" s="74">
        <v>1</v>
      </c>
      <c r="O765" s="74" t="s">
        <v>21342</v>
      </c>
      <c r="P765" s="74" t="s">
        <v>21345</v>
      </c>
      <c r="R765" s="74" t="s">
        <v>148</v>
      </c>
      <c r="S765" s="74" t="s">
        <v>21338</v>
      </c>
      <c r="T765" s="74" t="s">
        <v>402</v>
      </c>
      <c r="U765" s="74">
        <v>0</v>
      </c>
      <c r="V765" s="74">
        <v>0</v>
      </c>
    </row>
    <row r="766" spans="3:22" x14ac:dyDescent="0.25">
      <c r="C766" s="74" t="s">
        <v>18795</v>
      </c>
      <c r="D766" s="74" t="s">
        <v>148</v>
      </c>
      <c r="E766" s="74" t="s">
        <v>21338</v>
      </c>
      <c r="F766" s="74">
        <v>551367</v>
      </c>
      <c r="G766" s="74">
        <v>1000</v>
      </c>
      <c r="H766" s="135">
        <v>42997.413472222222</v>
      </c>
      <c r="I766" s="74" t="s">
        <v>21339</v>
      </c>
      <c r="J766" s="74" t="s">
        <v>21340</v>
      </c>
      <c r="K766" s="74" t="s">
        <v>21527</v>
      </c>
      <c r="L766" s="74">
        <v>731474</v>
      </c>
      <c r="M766" s="74" t="s">
        <v>21341</v>
      </c>
      <c r="N766" s="74">
        <v>1</v>
      </c>
      <c r="O766" s="74" t="s">
        <v>21342</v>
      </c>
      <c r="P766" s="74" t="s">
        <v>21343</v>
      </c>
      <c r="Q766" s="74">
        <v>0</v>
      </c>
      <c r="R766" s="74" t="s">
        <v>148</v>
      </c>
      <c r="S766" s="74" t="s">
        <v>21338</v>
      </c>
      <c r="T766" s="74" t="s">
        <v>402</v>
      </c>
      <c r="U766" s="74">
        <v>0</v>
      </c>
      <c r="V766" s="74">
        <v>0</v>
      </c>
    </row>
    <row r="767" spans="3:22" x14ac:dyDescent="0.25">
      <c r="C767" s="74" t="s">
        <v>18795</v>
      </c>
      <c r="D767" s="74" t="s">
        <v>148</v>
      </c>
      <c r="E767" s="74" t="s">
        <v>21338</v>
      </c>
      <c r="F767" s="74">
        <v>551367</v>
      </c>
      <c r="G767" s="74">
        <v>1000</v>
      </c>
      <c r="H767" s="135">
        <v>42997.405462962961</v>
      </c>
      <c r="I767" s="74" t="s">
        <v>21339</v>
      </c>
      <c r="J767" s="74" t="s">
        <v>21340</v>
      </c>
      <c r="K767" s="74" t="s">
        <v>14203</v>
      </c>
      <c r="L767" s="74">
        <v>553467</v>
      </c>
      <c r="M767" s="74" t="s">
        <v>21341</v>
      </c>
      <c r="N767" s="74">
        <v>1</v>
      </c>
      <c r="O767" s="74" t="s">
        <v>21342</v>
      </c>
      <c r="P767" s="74" t="s">
        <v>21343</v>
      </c>
      <c r="Q767" s="74">
        <v>0</v>
      </c>
      <c r="R767" s="74" t="s">
        <v>148</v>
      </c>
      <c r="S767" s="74" t="s">
        <v>21338</v>
      </c>
      <c r="T767" s="74" t="s">
        <v>402</v>
      </c>
      <c r="U767" s="74">
        <v>0</v>
      </c>
      <c r="V767" s="74">
        <v>0</v>
      </c>
    </row>
    <row r="768" spans="3:22" x14ac:dyDescent="0.25">
      <c r="C768" s="74" t="s">
        <v>18795</v>
      </c>
      <c r="D768" s="74" t="s">
        <v>148</v>
      </c>
      <c r="E768" s="74" t="s">
        <v>21338</v>
      </c>
      <c r="F768" s="74">
        <v>551367</v>
      </c>
      <c r="G768" s="74">
        <v>1000</v>
      </c>
      <c r="H768" s="135">
        <v>42997.397870370369</v>
      </c>
      <c r="I768" s="74" t="s">
        <v>21339</v>
      </c>
      <c r="J768" s="74" t="s">
        <v>21340</v>
      </c>
      <c r="K768" s="74" t="s">
        <v>12270</v>
      </c>
      <c r="L768" s="74">
        <v>553211</v>
      </c>
      <c r="M768" s="74" t="s">
        <v>21341</v>
      </c>
      <c r="N768" s="74">
        <v>1</v>
      </c>
      <c r="O768" s="74" t="s">
        <v>21342</v>
      </c>
      <c r="P768" s="74" t="s">
        <v>21343</v>
      </c>
      <c r="Q768" s="74">
        <v>0</v>
      </c>
      <c r="R768" s="74" t="s">
        <v>148</v>
      </c>
      <c r="S768" s="74" t="s">
        <v>21338</v>
      </c>
      <c r="T768" s="74" t="s">
        <v>402</v>
      </c>
      <c r="U768" s="74">
        <v>0</v>
      </c>
      <c r="V768" s="74">
        <v>0</v>
      </c>
    </row>
    <row r="769" spans="3:22" x14ac:dyDescent="0.25">
      <c r="C769" s="74" t="s">
        <v>18795</v>
      </c>
      <c r="D769" s="74" t="s">
        <v>148</v>
      </c>
      <c r="E769" s="74" t="s">
        <v>21338</v>
      </c>
      <c r="F769" s="74">
        <v>551367</v>
      </c>
      <c r="G769" s="74">
        <v>1000</v>
      </c>
      <c r="H769" s="135">
        <v>42997.395671296297</v>
      </c>
      <c r="I769" s="74" t="s">
        <v>21339</v>
      </c>
      <c r="J769" s="74" t="s">
        <v>21340</v>
      </c>
      <c r="K769" s="74" t="s">
        <v>16339</v>
      </c>
      <c r="L769" s="74">
        <v>553724</v>
      </c>
      <c r="M769" s="74" t="s">
        <v>21341</v>
      </c>
      <c r="N769" s="74">
        <v>1</v>
      </c>
      <c r="O769" s="74" t="s">
        <v>21342</v>
      </c>
      <c r="P769" s="74" t="s">
        <v>21343</v>
      </c>
      <c r="Q769" s="74">
        <v>0</v>
      </c>
      <c r="R769" s="74" t="s">
        <v>148</v>
      </c>
      <c r="S769" s="74" t="s">
        <v>21338</v>
      </c>
      <c r="T769" s="74" t="s">
        <v>402</v>
      </c>
      <c r="U769" s="74">
        <v>0</v>
      </c>
      <c r="V769" s="74">
        <v>0</v>
      </c>
    </row>
    <row r="770" spans="3:22" x14ac:dyDescent="0.25">
      <c r="C770" s="74" t="s">
        <v>18795</v>
      </c>
      <c r="D770" s="74" t="s">
        <v>148</v>
      </c>
      <c r="E770" s="74" t="s">
        <v>21338</v>
      </c>
      <c r="F770" s="74">
        <v>551367</v>
      </c>
      <c r="G770" s="74">
        <v>1000</v>
      </c>
      <c r="H770" s="135">
        <v>42997.394780092596</v>
      </c>
      <c r="I770" s="74" t="s">
        <v>21339</v>
      </c>
      <c r="J770" s="74" t="s">
        <v>21340</v>
      </c>
      <c r="K770" s="74" t="s">
        <v>16339</v>
      </c>
      <c r="L770" s="74">
        <v>553724</v>
      </c>
      <c r="M770" s="74" t="s">
        <v>21341</v>
      </c>
      <c r="N770" s="74">
        <v>1</v>
      </c>
      <c r="O770" s="74" t="s">
        <v>21342</v>
      </c>
      <c r="P770" s="74" t="s">
        <v>21343</v>
      </c>
      <c r="Q770" s="74">
        <v>0</v>
      </c>
      <c r="R770" s="74" t="s">
        <v>148</v>
      </c>
      <c r="S770" s="74" t="s">
        <v>21338</v>
      </c>
      <c r="T770" s="74" t="s">
        <v>402</v>
      </c>
      <c r="U770" s="74">
        <v>0</v>
      </c>
      <c r="V770" s="74">
        <v>0</v>
      </c>
    </row>
    <row r="771" spans="3:22" x14ac:dyDescent="0.25">
      <c r="C771" s="74" t="s">
        <v>21386</v>
      </c>
      <c r="D771" s="74" t="s">
        <v>148</v>
      </c>
      <c r="E771" s="74" t="s">
        <v>21338</v>
      </c>
      <c r="F771" s="74">
        <v>674396</v>
      </c>
      <c r="G771" s="74">
        <v>3</v>
      </c>
      <c r="H771" s="135">
        <v>42997.391296296293</v>
      </c>
      <c r="I771" s="74" t="s">
        <v>21339</v>
      </c>
      <c r="J771" s="74" t="s">
        <v>21364</v>
      </c>
      <c r="K771" s="74" t="s">
        <v>21537</v>
      </c>
      <c r="L771" s="74">
        <v>809151</v>
      </c>
      <c r="M771" s="74" t="s">
        <v>21341</v>
      </c>
      <c r="N771" s="74">
        <v>1</v>
      </c>
      <c r="O771" s="74" t="s">
        <v>21342</v>
      </c>
      <c r="P771" s="74" t="s">
        <v>21343</v>
      </c>
      <c r="Q771" s="74">
        <v>0</v>
      </c>
      <c r="R771" s="74" t="s">
        <v>148</v>
      </c>
      <c r="S771" s="74" t="s">
        <v>21338</v>
      </c>
      <c r="T771" s="74" t="s">
        <v>402</v>
      </c>
      <c r="U771" s="74">
        <v>0</v>
      </c>
      <c r="V771" s="74">
        <v>0</v>
      </c>
    </row>
    <row r="772" spans="3:22" x14ac:dyDescent="0.25">
      <c r="C772" s="74" t="s">
        <v>18795</v>
      </c>
      <c r="D772" s="74" t="s">
        <v>148</v>
      </c>
      <c r="E772" s="74" t="s">
        <v>21338</v>
      </c>
      <c r="F772" s="74">
        <v>551367</v>
      </c>
      <c r="G772" s="74">
        <v>1000</v>
      </c>
      <c r="H772" s="135">
        <v>42997.38790509259</v>
      </c>
      <c r="I772" s="74" t="s">
        <v>21339</v>
      </c>
      <c r="J772" s="74" t="s">
        <v>21340</v>
      </c>
      <c r="K772" s="74" t="s">
        <v>21532</v>
      </c>
      <c r="L772" s="74">
        <v>728114</v>
      </c>
      <c r="M772" s="74" t="s">
        <v>21341</v>
      </c>
      <c r="N772" s="74">
        <v>1</v>
      </c>
      <c r="O772" s="74" t="s">
        <v>21342</v>
      </c>
      <c r="P772" s="74" t="s">
        <v>21343</v>
      </c>
      <c r="Q772" s="74">
        <v>0</v>
      </c>
      <c r="R772" s="74" t="s">
        <v>148</v>
      </c>
      <c r="S772" s="74" t="s">
        <v>21338</v>
      </c>
      <c r="T772" s="74" t="s">
        <v>402</v>
      </c>
      <c r="U772" s="74">
        <v>0</v>
      </c>
      <c r="V772" s="74">
        <v>0</v>
      </c>
    </row>
    <row r="773" spans="3:22" x14ac:dyDescent="0.25">
      <c r="C773" s="74" t="s">
        <v>18795</v>
      </c>
      <c r="D773" s="74" t="s">
        <v>148</v>
      </c>
      <c r="E773" s="74" t="s">
        <v>21338</v>
      </c>
      <c r="F773" s="74">
        <v>551367</v>
      </c>
      <c r="G773" s="74">
        <v>1000</v>
      </c>
      <c r="H773" s="135">
        <v>42997.376307870371</v>
      </c>
      <c r="I773" s="74" t="s">
        <v>21339</v>
      </c>
      <c r="J773" s="74" t="s">
        <v>21340</v>
      </c>
      <c r="K773" s="74" t="s">
        <v>21388</v>
      </c>
      <c r="L773" s="74">
        <v>560366</v>
      </c>
      <c r="M773" s="74" t="s">
        <v>21341</v>
      </c>
      <c r="N773" s="74">
        <v>3</v>
      </c>
      <c r="O773" s="74" t="s">
        <v>21342</v>
      </c>
      <c r="P773" s="74" t="s">
        <v>21343</v>
      </c>
      <c r="Q773" s="74">
        <v>0</v>
      </c>
      <c r="R773" s="74" t="s">
        <v>148</v>
      </c>
      <c r="S773" s="74" t="s">
        <v>21338</v>
      </c>
      <c r="T773" s="74" t="s">
        <v>535</v>
      </c>
      <c r="U773" s="74">
        <v>0</v>
      </c>
      <c r="V773" s="74">
        <v>0</v>
      </c>
    </row>
    <row r="774" spans="3:22" x14ac:dyDescent="0.25">
      <c r="C774" s="74" t="s">
        <v>18795</v>
      </c>
      <c r="D774" s="74" t="s">
        <v>148</v>
      </c>
      <c r="E774" s="74" t="s">
        <v>21338</v>
      </c>
      <c r="F774" s="74">
        <v>551367</v>
      </c>
      <c r="G774" s="74">
        <v>1000</v>
      </c>
      <c r="H774" s="135">
        <v>42997.34474537037</v>
      </c>
      <c r="I774" s="74" t="s">
        <v>21339</v>
      </c>
      <c r="J774" s="74" t="s">
        <v>21340</v>
      </c>
      <c r="K774" s="74" t="s">
        <v>2079</v>
      </c>
      <c r="L774" s="74">
        <v>551917</v>
      </c>
      <c r="M774" s="74" t="s">
        <v>21341</v>
      </c>
      <c r="N774" s="74">
        <v>1</v>
      </c>
      <c r="O774" s="74" t="s">
        <v>21342</v>
      </c>
      <c r="P774" s="74" t="s">
        <v>21343</v>
      </c>
      <c r="Q774" s="74">
        <v>0</v>
      </c>
      <c r="R774" s="74" t="s">
        <v>148</v>
      </c>
      <c r="S774" s="74" t="s">
        <v>21338</v>
      </c>
      <c r="T774" s="74" t="s">
        <v>402</v>
      </c>
      <c r="U774" s="74">
        <v>0</v>
      </c>
      <c r="V774" s="74">
        <v>0</v>
      </c>
    </row>
    <row r="775" spans="3:22" x14ac:dyDescent="0.25">
      <c r="C775" s="74" t="s">
        <v>18795</v>
      </c>
      <c r="D775" s="74" t="s">
        <v>148</v>
      </c>
      <c r="E775" s="74" t="s">
        <v>21338</v>
      </c>
      <c r="F775" s="74">
        <v>551367</v>
      </c>
      <c r="G775" s="74">
        <v>1000</v>
      </c>
      <c r="H775" s="135">
        <v>42997.313032407408</v>
      </c>
      <c r="I775" s="74" t="s">
        <v>21339</v>
      </c>
      <c r="J775" s="74" t="s">
        <v>21340</v>
      </c>
      <c r="K775" s="74" t="s">
        <v>8864</v>
      </c>
      <c r="L775" s="74">
        <v>552773</v>
      </c>
      <c r="M775" s="74" t="s">
        <v>21341</v>
      </c>
      <c r="N775" s="74">
        <v>1</v>
      </c>
      <c r="O775" s="74" t="s">
        <v>21342</v>
      </c>
      <c r="P775" s="74" t="s">
        <v>21343</v>
      </c>
      <c r="Q775" s="74">
        <v>0</v>
      </c>
      <c r="R775" s="74" t="s">
        <v>148</v>
      </c>
      <c r="S775" s="74" t="s">
        <v>21338</v>
      </c>
      <c r="T775" s="74" t="s">
        <v>402</v>
      </c>
      <c r="U775" s="74">
        <v>0</v>
      </c>
      <c r="V775" s="74">
        <v>0</v>
      </c>
    </row>
    <row r="776" spans="3:22" x14ac:dyDescent="0.25">
      <c r="C776" s="74" t="s">
        <v>18795</v>
      </c>
      <c r="D776" s="74" t="s">
        <v>148</v>
      </c>
      <c r="E776" s="74" t="s">
        <v>21338</v>
      </c>
      <c r="F776" s="74">
        <v>551367</v>
      </c>
      <c r="G776" s="74">
        <v>1000</v>
      </c>
      <c r="H776" s="135">
        <v>42997.310347222221</v>
      </c>
      <c r="I776" s="74" t="s">
        <v>21339</v>
      </c>
      <c r="J776" s="74" t="s">
        <v>21340</v>
      </c>
      <c r="K776" s="74" t="s">
        <v>8864</v>
      </c>
      <c r="L776" s="74">
        <v>552773</v>
      </c>
      <c r="M776" s="74" t="s">
        <v>21341</v>
      </c>
      <c r="N776" s="74">
        <v>1</v>
      </c>
      <c r="O776" s="74" t="s">
        <v>21342</v>
      </c>
      <c r="P776" s="74" t="s">
        <v>21343</v>
      </c>
      <c r="Q776" s="74">
        <v>0</v>
      </c>
      <c r="R776" s="74" t="s">
        <v>148</v>
      </c>
      <c r="S776" s="74" t="s">
        <v>21338</v>
      </c>
      <c r="T776" s="74" t="s">
        <v>402</v>
      </c>
      <c r="U776" s="74">
        <v>0</v>
      </c>
      <c r="V776" s="74">
        <v>0</v>
      </c>
    </row>
    <row r="777" spans="3:22" x14ac:dyDescent="0.25">
      <c r="C777" s="74" t="s">
        <v>18795</v>
      </c>
      <c r="D777" s="74" t="s">
        <v>148</v>
      </c>
      <c r="E777" s="74" t="s">
        <v>21338</v>
      </c>
      <c r="F777" s="74">
        <v>551367</v>
      </c>
      <c r="G777" s="74">
        <v>1000</v>
      </c>
      <c r="H777" s="135">
        <v>42997.021944444445</v>
      </c>
      <c r="I777" s="74" t="s">
        <v>21339</v>
      </c>
      <c r="J777" s="74" t="s">
        <v>21340</v>
      </c>
      <c r="K777" s="74" t="s">
        <v>19785</v>
      </c>
      <c r="L777" s="74">
        <v>554142</v>
      </c>
      <c r="M777" s="74" t="s">
        <v>21341</v>
      </c>
      <c r="N777" s="74">
        <v>1</v>
      </c>
      <c r="O777" s="74" t="s">
        <v>21342</v>
      </c>
      <c r="P777" s="74" t="s">
        <v>21343</v>
      </c>
      <c r="Q777" s="74">
        <v>0</v>
      </c>
      <c r="R777" s="74" t="s">
        <v>148</v>
      </c>
      <c r="S777" s="74" t="s">
        <v>21338</v>
      </c>
      <c r="T777" s="74" t="s">
        <v>402</v>
      </c>
      <c r="U777" s="74">
        <v>0</v>
      </c>
      <c r="V777" s="74">
        <v>0</v>
      </c>
    </row>
    <row r="778" spans="3:22" x14ac:dyDescent="0.25">
      <c r="C778" s="74" t="s">
        <v>18795</v>
      </c>
      <c r="D778" s="74" t="s">
        <v>148</v>
      </c>
      <c r="E778" s="74" t="s">
        <v>21338</v>
      </c>
      <c r="F778" s="74">
        <v>551367</v>
      </c>
      <c r="G778" s="74">
        <v>1000</v>
      </c>
      <c r="H778" s="135">
        <v>42997.010300925926</v>
      </c>
      <c r="I778" s="74" t="s">
        <v>21339</v>
      </c>
      <c r="J778" s="74" t="s">
        <v>21340</v>
      </c>
      <c r="K778" s="74" t="s">
        <v>13037</v>
      </c>
      <c r="L778" s="74">
        <v>553300</v>
      </c>
      <c r="M778" s="74" t="s">
        <v>21341</v>
      </c>
      <c r="N778" s="74">
        <v>1</v>
      </c>
      <c r="O778" s="74" t="s">
        <v>21342</v>
      </c>
      <c r="P778" s="74" t="s">
        <v>21343</v>
      </c>
      <c r="Q778" s="74">
        <v>0</v>
      </c>
      <c r="R778" s="74" t="s">
        <v>148</v>
      </c>
      <c r="S778" s="74" t="s">
        <v>21338</v>
      </c>
      <c r="T778" s="74" t="s">
        <v>402</v>
      </c>
      <c r="U778" s="74">
        <v>0</v>
      </c>
      <c r="V778" s="74">
        <v>0</v>
      </c>
    </row>
    <row r="779" spans="3:22" x14ac:dyDescent="0.25">
      <c r="C779" s="74" t="s">
        <v>18795</v>
      </c>
      <c r="D779" s="74" t="s">
        <v>148</v>
      </c>
      <c r="E779" s="74" t="s">
        <v>21338</v>
      </c>
      <c r="F779" s="74">
        <v>551367</v>
      </c>
      <c r="G779" s="74">
        <v>1000</v>
      </c>
      <c r="H779" s="135">
        <v>42996.997499999998</v>
      </c>
      <c r="I779" s="74" t="s">
        <v>21339</v>
      </c>
      <c r="J779" s="74" t="s">
        <v>21340</v>
      </c>
      <c r="K779" s="74" t="s">
        <v>20654</v>
      </c>
      <c r="L779" s="74">
        <v>554249</v>
      </c>
      <c r="M779" s="74" t="s">
        <v>21341</v>
      </c>
      <c r="N779" s="74">
        <v>1</v>
      </c>
      <c r="O779" s="74" t="s">
        <v>21342</v>
      </c>
      <c r="P779" s="74" t="s">
        <v>21343</v>
      </c>
      <c r="Q779" s="74">
        <v>0</v>
      </c>
      <c r="R779" s="74" t="s">
        <v>148</v>
      </c>
      <c r="S779" s="74" t="s">
        <v>21338</v>
      </c>
      <c r="T779" s="74" t="s">
        <v>402</v>
      </c>
      <c r="U779" s="74">
        <v>0</v>
      </c>
      <c r="V779" s="74">
        <v>0</v>
      </c>
    </row>
    <row r="780" spans="3:22" x14ac:dyDescent="0.25">
      <c r="C780" s="74" t="s">
        <v>18795</v>
      </c>
      <c r="D780" s="74" t="s">
        <v>148</v>
      </c>
      <c r="E780" s="74" t="s">
        <v>21338</v>
      </c>
      <c r="F780" s="74">
        <v>551367</v>
      </c>
      <c r="G780" s="74">
        <v>1000</v>
      </c>
      <c r="H780" s="135">
        <v>42996.738125000003</v>
      </c>
      <c r="I780" s="74" t="s">
        <v>21339</v>
      </c>
      <c r="J780" s="74" t="s">
        <v>21340</v>
      </c>
      <c r="K780" s="74" t="s">
        <v>13563</v>
      </c>
      <c r="L780" s="74">
        <v>553372</v>
      </c>
      <c r="M780" s="74" t="s">
        <v>21341</v>
      </c>
      <c r="N780" s="74">
        <v>1</v>
      </c>
      <c r="O780" s="74" t="s">
        <v>21342</v>
      </c>
      <c r="P780" s="74" t="s">
        <v>21343</v>
      </c>
      <c r="Q780" s="74">
        <v>0</v>
      </c>
      <c r="R780" s="74" t="s">
        <v>148</v>
      </c>
      <c r="S780" s="74" t="s">
        <v>21338</v>
      </c>
      <c r="T780" s="74" t="s">
        <v>402</v>
      </c>
      <c r="U780" s="74">
        <v>0</v>
      </c>
      <c r="V780" s="74">
        <v>0</v>
      </c>
    </row>
    <row r="781" spans="3:22" x14ac:dyDescent="0.25">
      <c r="C781" s="74" t="s">
        <v>21347</v>
      </c>
      <c r="D781" s="74" t="s">
        <v>148</v>
      </c>
      <c r="E781" s="74" t="s">
        <v>21338</v>
      </c>
      <c r="F781" s="74">
        <v>637976</v>
      </c>
      <c r="G781" s="74">
        <v>1</v>
      </c>
      <c r="H781" s="135">
        <v>42996.712326388886</v>
      </c>
      <c r="I781" s="74" t="s">
        <v>244</v>
      </c>
      <c r="J781" s="74" t="s">
        <v>21349</v>
      </c>
      <c r="K781" s="74" t="s">
        <v>21347</v>
      </c>
      <c r="L781" s="74">
        <v>637976</v>
      </c>
      <c r="M781" s="74" t="s">
        <v>21341</v>
      </c>
      <c r="N781" s="74">
        <v>0</v>
      </c>
      <c r="O781" s="74" t="s">
        <v>21350</v>
      </c>
      <c r="P781" s="74" t="s">
        <v>21343</v>
      </c>
      <c r="Q781" s="74">
        <v>0</v>
      </c>
      <c r="R781" s="74" t="s">
        <v>148</v>
      </c>
      <c r="S781" s="74" t="s">
        <v>21338</v>
      </c>
      <c r="T781" s="74" t="s">
        <v>402</v>
      </c>
      <c r="U781" s="74">
        <v>0</v>
      </c>
      <c r="V781" s="74">
        <v>0</v>
      </c>
    </row>
    <row r="782" spans="3:22" x14ac:dyDescent="0.25">
      <c r="C782" s="74" t="s">
        <v>21347</v>
      </c>
      <c r="D782" s="74" t="s">
        <v>148</v>
      </c>
      <c r="E782" s="74" t="s">
        <v>21338</v>
      </c>
      <c r="F782" s="74">
        <v>637976</v>
      </c>
      <c r="G782" s="74">
        <v>1</v>
      </c>
      <c r="H782" s="135">
        <v>42996.712314814817</v>
      </c>
      <c r="I782" s="74" t="s">
        <v>21348</v>
      </c>
      <c r="J782" s="74" t="s">
        <v>21349</v>
      </c>
      <c r="K782" s="74" t="s">
        <v>21347</v>
      </c>
      <c r="L782" s="74">
        <v>637976</v>
      </c>
      <c r="M782" s="74" t="s">
        <v>21341</v>
      </c>
      <c r="N782" s="74">
        <v>0</v>
      </c>
      <c r="O782" s="74" t="s">
        <v>21350</v>
      </c>
      <c r="P782" s="74" t="s">
        <v>21343</v>
      </c>
      <c r="Q782" s="74">
        <v>0</v>
      </c>
      <c r="R782" s="74" t="s">
        <v>148</v>
      </c>
      <c r="S782" s="74" t="s">
        <v>21338</v>
      </c>
      <c r="T782" s="74" t="s">
        <v>402</v>
      </c>
      <c r="U782" s="74">
        <v>0</v>
      </c>
      <c r="V782" s="74">
        <v>0</v>
      </c>
    </row>
    <row r="783" spans="3:22" x14ac:dyDescent="0.25">
      <c r="C783" s="74" t="s">
        <v>18795</v>
      </c>
      <c r="D783" s="74" t="s">
        <v>148</v>
      </c>
      <c r="E783" s="74" t="s">
        <v>21338</v>
      </c>
      <c r="F783" s="74">
        <v>551367</v>
      </c>
      <c r="G783" s="74">
        <v>1000</v>
      </c>
      <c r="H783" s="135">
        <v>42996.69258101852</v>
      </c>
      <c r="I783" s="74" t="s">
        <v>21339</v>
      </c>
      <c r="J783" s="74" t="s">
        <v>21340</v>
      </c>
      <c r="K783" s="74" t="s">
        <v>19835</v>
      </c>
      <c r="L783" s="74">
        <v>554152</v>
      </c>
      <c r="M783" s="74" t="s">
        <v>21341</v>
      </c>
      <c r="N783" s="74">
        <v>1</v>
      </c>
      <c r="O783" s="74" t="s">
        <v>21342</v>
      </c>
      <c r="P783" s="74" t="s">
        <v>21343</v>
      </c>
      <c r="Q783" s="74">
        <v>0</v>
      </c>
      <c r="R783" s="74" t="s">
        <v>148</v>
      </c>
      <c r="S783" s="74" t="s">
        <v>21338</v>
      </c>
      <c r="T783" s="74" t="s">
        <v>402</v>
      </c>
      <c r="U783" s="74">
        <v>0</v>
      </c>
      <c r="V783" s="74">
        <v>0</v>
      </c>
    </row>
    <row r="784" spans="3:22" x14ac:dyDescent="0.25">
      <c r="C784" s="74" t="s">
        <v>18795</v>
      </c>
      <c r="D784" s="74" t="s">
        <v>148</v>
      </c>
      <c r="E784" s="74" t="s">
        <v>21338</v>
      </c>
      <c r="F784" s="74">
        <v>551367</v>
      </c>
      <c r="G784" s="74">
        <v>1000</v>
      </c>
      <c r="H784" s="135">
        <v>42996.689409722225</v>
      </c>
      <c r="I784" s="74" t="s">
        <v>21339</v>
      </c>
      <c r="J784" s="74" t="s">
        <v>21340</v>
      </c>
      <c r="K784" s="74" t="s">
        <v>21538</v>
      </c>
      <c r="L784" s="74">
        <v>622107</v>
      </c>
      <c r="M784" s="74" t="s">
        <v>21341</v>
      </c>
      <c r="N784" s="74">
        <v>1</v>
      </c>
      <c r="O784" s="74" t="s">
        <v>21342</v>
      </c>
      <c r="P784" s="74" t="s">
        <v>21343</v>
      </c>
      <c r="Q784" s="74">
        <v>0</v>
      </c>
      <c r="R784" s="74" t="s">
        <v>148</v>
      </c>
      <c r="S784" s="74" t="s">
        <v>21338</v>
      </c>
      <c r="T784" s="74" t="s">
        <v>402</v>
      </c>
      <c r="U784" s="74">
        <v>0</v>
      </c>
      <c r="V784" s="74">
        <v>0</v>
      </c>
    </row>
    <row r="785" spans="3:22" x14ac:dyDescent="0.25">
      <c r="C785" s="74" t="s">
        <v>18795</v>
      </c>
      <c r="D785" s="74" t="s">
        <v>148</v>
      </c>
      <c r="E785" s="74" t="s">
        <v>21338</v>
      </c>
      <c r="F785" s="74">
        <v>551367</v>
      </c>
      <c r="G785" s="74">
        <v>1000</v>
      </c>
      <c r="H785" s="135">
        <v>42996.684340277781</v>
      </c>
      <c r="I785" s="74" t="s">
        <v>21339</v>
      </c>
      <c r="J785" s="74" t="s">
        <v>21340</v>
      </c>
      <c r="K785" s="74" t="s">
        <v>18826</v>
      </c>
      <c r="L785" s="74">
        <v>554035</v>
      </c>
      <c r="M785" s="74" t="s">
        <v>21341</v>
      </c>
      <c r="N785" s="74">
        <v>1</v>
      </c>
      <c r="O785" s="74" t="s">
        <v>21342</v>
      </c>
      <c r="P785" s="74" t="s">
        <v>21343</v>
      </c>
      <c r="Q785" s="74">
        <v>0</v>
      </c>
      <c r="R785" s="74" t="s">
        <v>148</v>
      </c>
      <c r="S785" s="74" t="s">
        <v>21338</v>
      </c>
      <c r="T785" s="74" t="s">
        <v>402</v>
      </c>
      <c r="U785" s="74">
        <v>0</v>
      </c>
      <c r="V785" s="74">
        <v>0</v>
      </c>
    </row>
    <row r="786" spans="3:22" x14ac:dyDescent="0.25">
      <c r="C786" s="74" t="s">
        <v>18795</v>
      </c>
      <c r="D786" s="74" t="s">
        <v>148</v>
      </c>
      <c r="E786" s="74" t="s">
        <v>21338</v>
      </c>
      <c r="F786" s="74">
        <v>551367</v>
      </c>
      <c r="G786" s="74">
        <v>1000</v>
      </c>
      <c r="H786" s="135">
        <v>42996.650266203702</v>
      </c>
      <c r="I786" s="74" t="s">
        <v>21339</v>
      </c>
      <c r="J786" s="74" t="s">
        <v>21340</v>
      </c>
      <c r="K786" s="74" t="s">
        <v>6960</v>
      </c>
      <c r="L786" s="74">
        <v>551668</v>
      </c>
      <c r="M786" s="74" t="s">
        <v>21341</v>
      </c>
      <c r="N786" s="74">
        <v>1</v>
      </c>
      <c r="O786" s="74" t="s">
        <v>21342</v>
      </c>
      <c r="P786" s="74" t="s">
        <v>21343</v>
      </c>
      <c r="Q786" s="74">
        <v>0</v>
      </c>
      <c r="R786" s="74" t="s">
        <v>148</v>
      </c>
      <c r="S786" s="74" t="s">
        <v>21338</v>
      </c>
      <c r="T786" s="74" t="s">
        <v>402</v>
      </c>
      <c r="U786" s="74">
        <v>0</v>
      </c>
      <c r="V786" s="74">
        <v>0</v>
      </c>
    </row>
    <row r="787" spans="3:22" x14ac:dyDescent="0.25">
      <c r="C787" s="74" t="s">
        <v>21409</v>
      </c>
      <c r="D787" s="74" t="s">
        <v>148</v>
      </c>
      <c r="E787" s="74" t="s">
        <v>21338</v>
      </c>
      <c r="F787" s="74">
        <v>560330</v>
      </c>
      <c r="G787" s="74">
        <v>3</v>
      </c>
      <c r="H787" s="135">
        <v>42996.643090277779</v>
      </c>
      <c r="I787" s="74" t="s">
        <v>21354</v>
      </c>
      <c r="J787" s="74" t="s">
        <v>21355</v>
      </c>
      <c r="K787" s="74" t="s">
        <v>3628</v>
      </c>
      <c r="L787" s="74">
        <v>552116</v>
      </c>
      <c r="M787" s="74" t="s">
        <v>21341</v>
      </c>
      <c r="N787" s="74">
        <v>1</v>
      </c>
      <c r="O787" s="74" t="s">
        <v>21342</v>
      </c>
      <c r="P787" s="74" t="s">
        <v>21345</v>
      </c>
      <c r="R787" s="74" t="s">
        <v>148</v>
      </c>
      <c r="S787" s="74" t="s">
        <v>21338</v>
      </c>
      <c r="T787" s="74" t="s">
        <v>402</v>
      </c>
      <c r="U787" s="74">
        <v>0</v>
      </c>
      <c r="V787" s="74">
        <v>0</v>
      </c>
    </row>
    <row r="788" spans="3:22" x14ac:dyDescent="0.25">
      <c r="C788" s="74" t="s">
        <v>21409</v>
      </c>
      <c r="D788" s="74" t="s">
        <v>148</v>
      </c>
      <c r="E788" s="74" t="s">
        <v>21338</v>
      </c>
      <c r="F788" s="74">
        <v>560330</v>
      </c>
      <c r="G788" s="74">
        <v>3</v>
      </c>
      <c r="H788" s="135">
        <v>42996.642187500001</v>
      </c>
      <c r="I788" s="74" t="s">
        <v>21339</v>
      </c>
      <c r="J788" s="74" t="s">
        <v>21340</v>
      </c>
      <c r="K788" s="74" t="s">
        <v>3628</v>
      </c>
      <c r="L788" s="74">
        <v>552116</v>
      </c>
      <c r="M788" s="74" t="s">
        <v>21341</v>
      </c>
      <c r="N788" s="74">
        <v>1</v>
      </c>
      <c r="O788" s="74" t="s">
        <v>21342</v>
      </c>
      <c r="P788" s="74" t="s">
        <v>21343</v>
      </c>
      <c r="Q788" s="74">
        <v>0</v>
      </c>
      <c r="R788" s="74" t="s">
        <v>148</v>
      </c>
      <c r="S788" s="74" t="s">
        <v>21338</v>
      </c>
      <c r="T788" s="74" t="s">
        <v>402</v>
      </c>
      <c r="U788" s="74">
        <v>0</v>
      </c>
      <c r="V788" s="74">
        <v>0</v>
      </c>
    </row>
    <row r="789" spans="3:22" x14ac:dyDescent="0.25">
      <c r="C789" s="74" t="s">
        <v>21409</v>
      </c>
      <c r="D789" s="74" t="s">
        <v>148</v>
      </c>
      <c r="E789" s="74" t="s">
        <v>21338</v>
      </c>
      <c r="F789" s="74">
        <v>560330</v>
      </c>
      <c r="G789" s="74">
        <v>3</v>
      </c>
      <c r="H789" s="135">
        <v>42996.633773148147</v>
      </c>
      <c r="I789" s="74" t="s">
        <v>21354</v>
      </c>
      <c r="J789" s="74" t="s">
        <v>21355</v>
      </c>
      <c r="K789" s="74" t="s">
        <v>3628</v>
      </c>
      <c r="L789" s="74">
        <v>552116</v>
      </c>
      <c r="M789" s="74" t="s">
        <v>21341</v>
      </c>
      <c r="N789" s="74">
        <v>1</v>
      </c>
      <c r="O789" s="74" t="s">
        <v>21342</v>
      </c>
      <c r="P789" s="74" t="s">
        <v>21345</v>
      </c>
      <c r="R789" s="74" t="s">
        <v>148</v>
      </c>
      <c r="S789" s="74" t="s">
        <v>21338</v>
      </c>
      <c r="T789" s="74" t="s">
        <v>402</v>
      </c>
      <c r="U789" s="74">
        <v>0</v>
      </c>
      <c r="V789" s="74">
        <v>0</v>
      </c>
    </row>
    <row r="790" spans="3:22" x14ac:dyDescent="0.25">
      <c r="C790" s="74" t="s">
        <v>21351</v>
      </c>
      <c r="D790" s="74" t="s">
        <v>148</v>
      </c>
      <c r="E790" s="74" t="s">
        <v>21338</v>
      </c>
      <c r="F790" s="74">
        <v>707864</v>
      </c>
      <c r="G790" s="74">
        <v>3</v>
      </c>
      <c r="H790" s="135">
        <v>42996.629479166666</v>
      </c>
      <c r="I790" s="74" t="s">
        <v>21354</v>
      </c>
      <c r="J790" s="74" t="s">
        <v>21355</v>
      </c>
      <c r="K790" s="74" t="s">
        <v>21539</v>
      </c>
      <c r="L790" s="74">
        <v>863812</v>
      </c>
      <c r="M790" s="74" t="s">
        <v>21341</v>
      </c>
      <c r="N790" s="74">
        <v>1</v>
      </c>
      <c r="O790" s="74" t="s">
        <v>21342</v>
      </c>
      <c r="P790" s="74" t="s">
        <v>21345</v>
      </c>
      <c r="R790" s="74" t="s">
        <v>148</v>
      </c>
      <c r="S790" s="74" t="s">
        <v>21338</v>
      </c>
      <c r="T790" s="74" t="s">
        <v>402</v>
      </c>
      <c r="U790" s="74">
        <v>0</v>
      </c>
      <c r="V790" s="74">
        <v>0</v>
      </c>
    </row>
    <row r="791" spans="3:22" x14ac:dyDescent="0.25">
      <c r="C791" s="74" t="s">
        <v>18795</v>
      </c>
      <c r="D791" s="74" t="s">
        <v>148</v>
      </c>
      <c r="E791" s="74" t="s">
        <v>21338</v>
      </c>
      <c r="F791" s="74">
        <v>551367</v>
      </c>
      <c r="G791" s="74">
        <v>1000</v>
      </c>
      <c r="H791" s="135">
        <v>42996.604618055557</v>
      </c>
      <c r="I791" s="74" t="s">
        <v>21339</v>
      </c>
      <c r="J791" s="74" t="s">
        <v>21340</v>
      </c>
      <c r="K791" s="74" t="s">
        <v>19843</v>
      </c>
      <c r="L791" s="74">
        <v>554154</v>
      </c>
      <c r="M791" s="74" t="s">
        <v>21341</v>
      </c>
      <c r="N791" s="74">
        <v>1</v>
      </c>
      <c r="O791" s="74" t="s">
        <v>21342</v>
      </c>
      <c r="P791" s="74" t="s">
        <v>21343</v>
      </c>
      <c r="Q791" s="74">
        <v>0</v>
      </c>
      <c r="R791" s="74" t="s">
        <v>148</v>
      </c>
      <c r="S791" s="74" t="s">
        <v>21338</v>
      </c>
      <c r="T791" s="74" t="s">
        <v>402</v>
      </c>
      <c r="U791" s="74">
        <v>0</v>
      </c>
      <c r="V791" s="74">
        <v>0</v>
      </c>
    </row>
    <row r="792" spans="3:22" x14ac:dyDescent="0.25">
      <c r="C792" s="74" t="s">
        <v>18795</v>
      </c>
      <c r="D792" s="74" t="s">
        <v>148</v>
      </c>
      <c r="E792" s="74" t="s">
        <v>21338</v>
      </c>
      <c r="F792" s="74">
        <v>551367</v>
      </c>
      <c r="G792" s="74">
        <v>1000</v>
      </c>
      <c r="H792" s="135">
        <v>42996.587442129632</v>
      </c>
      <c r="I792" s="74" t="s">
        <v>21339</v>
      </c>
      <c r="J792" s="74" t="s">
        <v>21340</v>
      </c>
      <c r="K792" s="74" t="s">
        <v>2637</v>
      </c>
      <c r="L792" s="74">
        <v>552000</v>
      </c>
      <c r="M792" s="74" t="s">
        <v>21341</v>
      </c>
      <c r="N792" s="74">
        <v>1</v>
      </c>
      <c r="O792" s="74" t="s">
        <v>21342</v>
      </c>
      <c r="P792" s="74" t="s">
        <v>21343</v>
      </c>
      <c r="Q792" s="74">
        <v>0</v>
      </c>
      <c r="R792" s="74" t="s">
        <v>148</v>
      </c>
      <c r="S792" s="74" t="s">
        <v>21338</v>
      </c>
      <c r="T792" s="74" t="s">
        <v>402</v>
      </c>
      <c r="U792" s="74">
        <v>0</v>
      </c>
      <c r="V792" s="74">
        <v>0</v>
      </c>
    </row>
    <row r="793" spans="3:22" x14ac:dyDescent="0.25">
      <c r="C793" s="74" t="s">
        <v>18795</v>
      </c>
      <c r="D793" s="74" t="s">
        <v>148</v>
      </c>
      <c r="E793" s="74" t="s">
        <v>21338</v>
      </c>
      <c r="F793" s="74">
        <v>551367</v>
      </c>
      <c r="G793" s="74">
        <v>1000</v>
      </c>
      <c r="H793" s="135">
        <v>42996.584606481483</v>
      </c>
      <c r="I793" s="74" t="s">
        <v>21339</v>
      </c>
      <c r="J793" s="74" t="s">
        <v>21340</v>
      </c>
      <c r="K793" s="74" t="s">
        <v>21155</v>
      </c>
      <c r="L793" s="74">
        <v>554322</v>
      </c>
      <c r="M793" s="74" t="s">
        <v>21341</v>
      </c>
      <c r="N793" s="74">
        <v>1</v>
      </c>
      <c r="O793" s="74" t="s">
        <v>21342</v>
      </c>
      <c r="P793" s="74" t="s">
        <v>21343</v>
      </c>
      <c r="Q793" s="74">
        <v>0</v>
      </c>
      <c r="R793" s="74" t="s">
        <v>148</v>
      </c>
      <c r="S793" s="74" t="s">
        <v>21338</v>
      </c>
      <c r="T793" s="74" t="s">
        <v>402</v>
      </c>
      <c r="U793" s="74">
        <v>0</v>
      </c>
      <c r="V793" s="74">
        <v>0</v>
      </c>
    </row>
    <row r="794" spans="3:22" x14ac:dyDescent="0.25">
      <c r="C794" s="74" t="s">
        <v>18795</v>
      </c>
      <c r="D794" s="74" t="s">
        <v>148</v>
      </c>
      <c r="E794" s="74" t="s">
        <v>21338</v>
      </c>
      <c r="F794" s="74">
        <v>551367</v>
      </c>
      <c r="G794" s="74">
        <v>1000</v>
      </c>
      <c r="H794" s="135">
        <v>42996.579895833333</v>
      </c>
      <c r="I794" s="74" t="s">
        <v>21339</v>
      </c>
      <c r="J794" s="74" t="s">
        <v>21340</v>
      </c>
      <c r="K794" s="74" t="s">
        <v>19726</v>
      </c>
      <c r="L794" s="74">
        <v>554137</v>
      </c>
      <c r="M794" s="74" t="s">
        <v>21341</v>
      </c>
      <c r="N794" s="74">
        <v>1</v>
      </c>
      <c r="O794" s="74" t="s">
        <v>21342</v>
      </c>
      <c r="P794" s="74" t="s">
        <v>21343</v>
      </c>
      <c r="Q794" s="74">
        <v>0</v>
      </c>
      <c r="R794" s="74" t="s">
        <v>148</v>
      </c>
      <c r="S794" s="74" t="s">
        <v>21338</v>
      </c>
      <c r="T794" s="74" t="s">
        <v>402</v>
      </c>
      <c r="U794" s="74">
        <v>0</v>
      </c>
      <c r="V794" s="74">
        <v>0</v>
      </c>
    </row>
    <row r="795" spans="3:22" x14ac:dyDescent="0.25">
      <c r="C795" s="74" t="s">
        <v>18795</v>
      </c>
      <c r="D795" s="74" t="s">
        <v>148</v>
      </c>
      <c r="E795" s="74" t="s">
        <v>21338</v>
      </c>
      <c r="F795" s="74">
        <v>551367</v>
      </c>
      <c r="G795" s="74">
        <v>1000</v>
      </c>
      <c r="H795" s="135">
        <v>42996.5780787037</v>
      </c>
      <c r="I795" s="74" t="s">
        <v>21339</v>
      </c>
      <c r="J795" s="74" t="s">
        <v>21340</v>
      </c>
      <c r="K795" s="74" t="s">
        <v>21053</v>
      </c>
      <c r="L795" s="74">
        <v>554299</v>
      </c>
      <c r="M795" s="74" t="s">
        <v>21341</v>
      </c>
      <c r="N795" s="74">
        <v>1</v>
      </c>
      <c r="O795" s="74" t="s">
        <v>21342</v>
      </c>
      <c r="P795" s="74" t="s">
        <v>21343</v>
      </c>
      <c r="Q795" s="74">
        <v>0</v>
      </c>
      <c r="R795" s="74" t="s">
        <v>148</v>
      </c>
      <c r="S795" s="74" t="s">
        <v>21338</v>
      </c>
      <c r="T795" s="74" t="s">
        <v>402</v>
      </c>
      <c r="U795" s="74">
        <v>0</v>
      </c>
      <c r="V795" s="74">
        <v>0</v>
      </c>
    </row>
    <row r="796" spans="3:22" x14ac:dyDescent="0.25">
      <c r="C796" s="74" t="s">
        <v>18795</v>
      </c>
      <c r="D796" s="74" t="s">
        <v>148</v>
      </c>
      <c r="E796" s="74" t="s">
        <v>21338</v>
      </c>
      <c r="F796" s="74">
        <v>551367</v>
      </c>
      <c r="G796" s="74">
        <v>1000</v>
      </c>
      <c r="H796" s="135">
        <v>42996.554652777777</v>
      </c>
      <c r="I796" s="74" t="s">
        <v>21339</v>
      </c>
      <c r="J796" s="74" t="s">
        <v>21340</v>
      </c>
      <c r="K796" s="74" t="s">
        <v>7107</v>
      </c>
      <c r="L796" s="74">
        <v>552549</v>
      </c>
      <c r="M796" s="74" t="s">
        <v>21341</v>
      </c>
      <c r="N796" s="74">
        <v>1</v>
      </c>
      <c r="O796" s="74" t="s">
        <v>21342</v>
      </c>
      <c r="P796" s="74" t="s">
        <v>21343</v>
      </c>
      <c r="Q796" s="74">
        <v>0</v>
      </c>
      <c r="R796" s="74" t="s">
        <v>148</v>
      </c>
      <c r="S796" s="74" t="s">
        <v>21338</v>
      </c>
      <c r="T796" s="74" t="s">
        <v>402</v>
      </c>
      <c r="U796" s="74">
        <v>0</v>
      </c>
      <c r="V796" s="74">
        <v>0</v>
      </c>
    </row>
    <row r="797" spans="3:22" x14ac:dyDescent="0.25">
      <c r="C797" s="74" t="s">
        <v>18795</v>
      </c>
      <c r="D797" s="74" t="s">
        <v>148</v>
      </c>
      <c r="E797" s="74" t="s">
        <v>21338</v>
      </c>
      <c r="F797" s="74">
        <v>551367</v>
      </c>
      <c r="G797" s="74">
        <v>1000</v>
      </c>
      <c r="H797" s="135">
        <v>42996.551527777781</v>
      </c>
      <c r="I797" s="74" t="s">
        <v>21339</v>
      </c>
      <c r="J797" s="74" t="s">
        <v>21340</v>
      </c>
      <c r="K797" s="74" t="s">
        <v>17168</v>
      </c>
      <c r="L797" s="74">
        <v>553826</v>
      </c>
      <c r="M797" s="74" t="s">
        <v>21341</v>
      </c>
      <c r="N797" s="74">
        <v>1</v>
      </c>
      <c r="O797" s="74" t="s">
        <v>21342</v>
      </c>
      <c r="P797" s="74" t="s">
        <v>21343</v>
      </c>
      <c r="Q797" s="74">
        <v>0</v>
      </c>
      <c r="R797" s="74" t="s">
        <v>148</v>
      </c>
      <c r="S797" s="74" t="s">
        <v>21338</v>
      </c>
      <c r="T797" s="74" t="s">
        <v>402</v>
      </c>
      <c r="U797" s="74">
        <v>0</v>
      </c>
      <c r="V797" s="74">
        <v>0</v>
      </c>
    </row>
    <row r="798" spans="3:22" x14ac:dyDescent="0.25">
      <c r="C798" s="74" t="s">
        <v>18795</v>
      </c>
      <c r="D798" s="74" t="s">
        <v>148</v>
      </c>
      <c r="E798" s="74" t="s">
        <v>21338</v>
      </c>
      <c r="F798" s="74">
        <v>551367</v>
      </c>
      <c r="G798" s="74">
        <v>1000</v>
      </c>
      <c r="H798" s="135">
        <v>42996.550497685188</v>
      </c>
      <c r="I798" s="74" t="s">
        <v>21339</v>
      </c>
      <c r="J798" s="74" t="s">
        <v>21340</v>
      </c>
      <c r="K798" s="74" t="s">
        <v>12217</v>
      </c>
      <c r="L798" s="74">
        <v>553201</v>
      </c>
      <c r="M798" s="74" t="s">
        <v>21341</v>
      </c>
      <c r="N798" s="74">
        <v>1</v>
      </c>
      <c r="O798" s="74" t="s">
        <v>21342</v>
      </c>
      <c r="P798" s="74" t="s">
        <v>21343</v>
      </c>
      <c r="Q798" s="74">
        <v>0</v>
      </c>
      <c r="R798" s="74" t="s">
        <v>148</v>
      </c>
      <c r="S798" s="74" t="s">
        <v>21338</v>
      </c>
      <c r="T798" s="74" t="s">
        <v>402</v>
      </c>
      <c r="U798" s="74">
        <v>0</v>
      </c>
      <c r="V798" s="74">
        <v>0</v>
      </c>
    </row>
    <row r="799" spans="3:22" x14ac:dyDescent="0.25">
      <c r="C799" s="74" t="s">
        <v>21386</v>
      </c>
      <c r="D799" s="74" t="s">
        <v>148</v>
      </c>
      <c r="E799" s="74" t="s">
        <v>21338</v>
      </c>
      <c r="F799" s="74">
        <v>674396</v>
      </c>
      <c r="G799" s="74">
        <v>3</v>
      </c>
      <c r="H799" s="135">
        <v>42996.547500000001</v>
      </c>
      <c r="I799" s="74" t="s">
        <v>21339</v>
      </c>
      <c r="J799" s="74" t="s">
        <v>21362</v>
      </c>
      <c r="K799" s="74" t="s">
        <v>21540</v>
      </c>
      <c r="L799" s="74">
        <v>906965</v>
      </c>
      <c r="M799" s="74" t="s">
        <v>21341</v>
      </c>
      <c r="N799" s="74">
        <v>1</v>
      </c>
      <c r="O799" s="74" t="s">
        <v>21342</v>
      </c>
      <c r="P799" s="74" t="s">
        <v>21343</v>
      </c>
      <c r="Q799" s="74" t="s">
        <v>21363</v>
      </c>
      <c r="R799" s="74" t="s">
        <v>148</v>
      </c>
      <c r="S799" s="74" t="s">
        <v>21338</v>
      </c>
      <c r="T799" s="74" t="s">
        <v>393</v>
      </c>
      <c r="U799" s="74">
        <v>0</v>
      </c>
      <c r="V799" s="74">
        <v>0</v>
      </c>
    </row>
    <row r="800" spans="3:22" x14ac:dyDescent="0.25">
      <c r="C800" s="74" t="s">
        <v>21386</v>
      </c>
      <c r="D800" s="74" t="s">
        <v>148</v>
      </c>
      <c r="E800" s="74" t="s">
        <v>21338</v>
      </c>
      <c r="F800" s="74">
        <v>674396</v>
      </c>
      <c r="G800" s="74">
        <v>3</v>
      </c>
      <c r="H800" s="135">
        <v>42996.5468287037</v>
      </c>
      <c r="I800" s="74" t="s">
        <v>21365</v>
      </c>
      <c r="J800" s="74" t="s">
        <v>21366</v>
      </c>
      <c r="K800" s="74" t="s">
        <v>21367</v>
      </c>
      <c r="L800" s="74">
        <v>561482</v>
      </c>
      <c r="M800" s="74" t="s">
        <v>21368</v>
      </c>
      <c r="N800" s="74">
        <v>1</v>
      </c>
      <c r="O800" s="74" t="s">
        <v>21369</v>
      </c>
      <c r="P800" s="74" t="s">
        <v>21343</v>
      </c>
      <c r="Q800" s="74" t="s">
        <v>21541</v>
      </c>
      <c r="R800" s="74" t="s">
        <v>148</v>
      </c>
      <c r="S800" s="74" t="s">
        <v>21338</v>
      </c>
      <c r="T800" s="74" t="s">
        <v>21371</v>
      </c>
      <c r="U800" s="74">
        <v>0</v>
      </c>
      <c r="V800" s="74">
        <v>0</v>
      </c>
    </row>
    <row r="801" spans="3:22" x14ac:dyDescent="0.25">
      <c r="C801" s="74" t="s">
        <v>21386</v>
      </c>
      <c r="D801" s="74" t="s">
        <v>148</v>
      </c>
      <c r="E801" s="74" t="s">
        <v>21338</v>
      </c>
      <c r="F801" s="74">
        <v>674396</v>
      </c>
      <c r="G801" s="74">
        <v>3</v>
      </c>
      <c r="H801" s="135">
        <v>42996.5468287037</v>
      </c>
      <c r="I801" s="74" t="s">
        <v>21339</v>
      </c>
      <c r="J801" s="74" t="s">
        <v>21364</v>
      </c>
      <c r="K801" s="74" t="s">
        <v>21540</v>
      </c>
      <c r="L801" s="74">
        <v>906965</v>
      </c>
      <c r="M801" s="74" t="s">
        <v>21341</v>
      </c>
      <c r="N801" s="74">
        <v>1</v>
      </c>
      <c r="O801" s="74" t="s">
        <v>21342</v>
      </c>
      <c r="P801" s="74" t="s">
        <v>21343</v>
      </c>
      <c r="Q801" s="74">
        <v>0</v>
      </c>
      <c r="R801" s="74" t="s">
        <v>148</v>
      </c>
      <c r="S801" s="74" t="s">
        <v>21338</v>
      </c>
      <c r="T801" s="74" t="s">
        <v>402</v>
      </c>
      <c r="U801" s="74">
        <v>0</v>
      </c>
      <c r="V801" s="74">
        <v>0</v>
      </c>
    </row>
    <row r="802" spans="3:22" x14ac:dyDescent="0.25">
      <c r="C802" s="74" t="s">
        <v>21386</v>
      </c>
      <c r="D802" s="74" t="s">
        <v>148</v>
      </c>
      <c r="E802" s="74" t="s">
        <v>21338</v>
      </c>
      <c r="F802" s="74">
        <v>674396</v>
      </c>
      <c r="G802" s="74">
        <v>3</v>
      </c>
      <c r="H802" s="135">
        <v>42996.546747685185</v>
      </c>
      <c r="I802" s="74" t="s">
        <v>21365</v>
      </c>
      <c r="J802" s="74" t="s">
        <v>21366</v>
      </c>
      <c r="K802" s="74" t="s">
        <v>21381</v>
      </c>
      <c r="L802" s="74">
        <v>555660</v>
      </c>
      <c r="M802" s="74" t="s">
        <v>21368</v>
      </c>
      <c r="N802" s="74">
        <v>1</v>
      </c>
      <c r="O802" s="74" t="s">
        <v>21369</v>
      </c>
      <c r="P802" s="74" t="s">
        <v>21343</v>
      </c>
      <c r="Q802" s="74" t="s">
        <v>21541</v>
      </c>
      <c r="R802" s="74" t="s">
        <v>148</v>
      </c>
      <c r="S802" s="74" t="s">
        <v>21338</v>
      </c>
      <c r="T802" s="74" t="s">
        <v>21371</v>
      </c>
      <c r="U802" s="74">
        <v>0</v>
      </c>
      <c r="V802" s="74">
        <v>0</v>
      </c>
    </row>
    <row r="803" spans="3:22" x14ac:dyDescent="0.25">
      <c r="C803" s="74" t="s">
        <v>21386</v>
      </c>
      <c r="D803" s="74" t="s">
        <v>148</v>
      </c>
      <c r="E803" s="74" t="s">
        <v>21338</v>
      </c>
      <c r="F803" s="74">
        <v>674396</v>
      </c>
      <c r="G803" s="74">
        <v>3</v>
      </c>
      <c r="H803" s="135">
        <v>42996.546550925923</v>
      </c>
      <c r="I803" s="74" t="s">
        <v>21339</v>
      </c>
      <c r="J803" s="74" t="s">
        <v>21364</v>
      </c>
      <c r="K803" s="74" t="s">
        <v>21540</v>
      </c>
      <c r="L803" s="74">
        <v>906965</v>
      </c>
      <c r="M803" s="74" t="s">
        <v>21341</v>
      </c>
      <c r="N803" s="74">
        <v>1</v>
      </c>
      <c r="O803" s="74" t="s">
        <v>21342</v>
      </c>
      <c r="P803" s="74" t="s">
        <v>21343</v>
      </c>
      <c r="Q803" s="74">
        <v>0</v>
      </c>
      <c r="R803" s="74" t="s">
        <v>148</v>
      </c>
      <c r="S803" s="74" t="s">
        <v>21338</v>
      </c>
      <c r="T803" s="74" t="s">
        <v>402</v>
      </c>
      <c r="U803" s="74">
        <v>0</v>
      </c>
      <c r="V803" s="74">
        <v>0</v>
      </c>
    </row>
    <row r="804" spans="3:22" x14ac:dyDescent="0.25">
      <c r="C804" s="74" t="s">
        <v>21386</v>
      </c>
      <c r="D804" s="74" t="s">
        <v>148</v>
      </c>
      <c r="E804" s="74" t="s">
        <v>21338</v>
      </c>
      <c r="F804" s="74">
        <v>674396</v>
      </c>
      <c r="G804" s="74">
        <v>3</v>
      </c>
      <c r="H804" s="135">
        <v>42996.546423611115</v>
      </c>
      <c r="I804" s="74" t="s">
        <v>21339</v>
      </c>
      <c r="J804" s="74" t="s">
        <v>21364</v>
      </c>
      <c r="K804" s="74" t="s">
        <v>21540</v>
      </c>
      <c r="L804" s="74">
        <v>906965</v>
      </c>
      <c r="M804" s="74" t="s">
        <v>21341</v>
      </c>
      <c r="N804" s="74">
        <v>1</v>
      </c>
      <c r="O804" s="74" t="s">
        <v>21342</v>
      </c>
      <c r="P804" s="74" t="s">
        <v>21343</v>
      </c>
      <c r="Q804" s="74">
        <v>0</v>
      </c>
      <c r="R804" s="74" t="s">
        <v>148</v>
      </c>
      <c r="S804" s="74" t="s">
        <v>21338</v>
      </c>
      <c r="T804" s="74" t="s">
        <v>402</v>
      </c>
      <c r="U804" s="74">
        <v>0</v>
      </c>
      <c r="V804" s="74">
        <v>0</v>
      </c>
    </row>
    <row r="805" spans="3:22" x14ac:dyDescent="0.25">
      <c r="C805" s="74" t="s">
        <v>21386</v>
      </c>
      <c r="D805" s="74" t="s">
        <v>148</v>
      </c>
      <c r="E805" s="74" t="s">
        <v>21338</v>
      </c>
      <c r="F805" s="74">
        <v>674396</v>
      </c>
      <c r="G805" s="74">
        <v>3</v>
      </c>
      <c r="H805" s="135">
        <v>42996.545162037037</v>
      </c>
      <c r="I805" s="74" t="s">
        <v>21339</v>
      </c>
      <c r="J805" s="74" t="s">
        <v>21360</v>
      </c>
      <c r="K805" s="74" t="s">
        <v>21540</v>
      </c>
      <c r="L805" s="74">
        <v>906965</v>
      </c>
      <c r="M805" s="74" t="s">
        <v>21341</v>
      </c>
      <c r="N805" s="74">
        <v>1</v>
      </c>
      <c r="O805" s="74" t="s">
        <v>21342</v>
      </c>
      <c r="P805" s="74" t="s">
        <v>21343</v>
      </c>
      <c r="Q805" s="74" t="s">
        <v>21361</v>
      </c>
      <c r="R805" s="74" t="s">
        <v>148</v>
      </c>
      <c r="S805" s="74" t="s">
        <v>21338</v>
      </c>
      <c r="T805" s="74" t="s">
        <v>402</v>
      </c>
      <c r="U805" s="74">
        <v>0</v>
      </c>
      <c r="V805" s="74">
        <v>0</v>
      </c>
    </row>
    <row r="806" spans="3:22" x14ac:dyDescent="0.25">
      <c r="C806" s="74" t="s">
        <v>18795</v>
      </c>
      <c r="D806" s="74" t="s">
        <v>148</v>
      </c>
      <c r="E806" s="74" t="s">
        <v>21338</v>
      </c>
      <c r="F806" s="74">
        <v>551367</v>
      </c>
      <c r="G806" s="74">
        <v>1000</v>
      </c>
      <c r="H806" s="135">
        <v>42996.536261574074</v>
      </c>
      <c r="I806" s="74" t="s">
        <v>21339</v>
      </c>
      <c r="J806" s="74" t="s">
        <v>21340</v>
      </c>
      <c r="K806" s="74" t="s">
        <v>4371</v>
      </c>
      <c r="L806" s="74">
        <v>552198</v>
      </c>
      <c r="M806" s="74" t="s">
        <v>21341</v>
      </c>
      <c r="N806" s="74">
        <v>1</v>
      </c>
      <c r="O806" s="74" t="s">
        <v>21342</v>
      </c>
      <c r="P806" s="74" t="s">
        <v>21343</v>
      </c>
      <c r="Q806" s="74">
        <v>0</v>
      </c>
      <c r="R806" s="74" t="s">
        <v>148</v>
      </c>
      <c r="S806" s="74" t="s">
        <v>21338</v>
      </c>
      <c r="T806" s="74" t="s">
        <v>402</v>
      </c>
      <c r="U806" s="74">
        <v>0</v>
      </c>
      <c r="V806" s="74">
        <v>0</v>
      </c>
    </row>
    <row r="807" spans="3:22" x14ac:dyDescent="0.25">
      <c r="C807" s="74" t="s">
        <v>21347</v>
      </c>
      <c r="D807" s="74" t="s">
        <v>148</v>
      </c>
      <c r="E807" s="74" t="s">
        <v>21338</v>
      </c>
      <c r="F807" s="74">
        <v>637976</v>
      </c>
      <c r="G807" s="74">
        <v>1</v>
      </c>
      <c r="H807" s="135">
        <v>42996.532604166663</v>
      </c>
      <c r="I807" s="74" t="s">
        <v>244</v>
      </c>
      <c r="J807" s="74" t="s">
        <v>21349</v>
      </c>
      <c r="K807" s="74" t="s">
        <v>21347</v>
      </c>
      <c r="L807" s="74">
        <v>637976</v>
      </c>
      <c r="M807" s="74" t="s">
        <v>21341</v>
      </c>
      <c r="N807" s="74">
        <v>0</v>
      </c>
      <c r="O807" s="74" t="s">
        <v>21350</v>
      </c>
      <c r="P807" s="74" t="s">
        <v>21343</v>
      </c>
      <c r="Q807" s="74">
        <v>0</v>
      </c>
      <c r="R807" s="74" t="s">
        <v>148</v>
      </c>
      <c r="S807" s="74" t="s">
        <v>21338</v>
      </c>
      <c r="T807" s="74" t="s">
        <v>402</v>
      </c>
      <c r="U807" s="74">
        <v>0</v>
      </c>
      <c r="V807" s="74">
        <v>0</v>
      </c>
    </row>
    <row r="808" spans="3:22" x14ac:dyDescent="0.25">
      <c r="C808" s="74" t="s">
        <v>21347</v>
      </c>
      <c r="D808" s="74" t="s">
        <v>148</v>
      </c>
      <c r="E808" s="74" t="s">
        <v>21338</v>
      </c>
      <c r="F808" s="74">
        <v>637976</v>
      </c>
      <c r="G808" s="74">
        <v>1</v>
      </c>
      <c r="H808" s="135">
        <v>42996.532592592594</v>
      </c>
      <c r="I808" s="74" t="s">
        <v>21348</v>
      </c>
      <c r="J808" s="74" t="s">
        <v>21349</v>
      </c>
      <c r="K808" s="74" t="s">
        <v>21347</v>
      </c>
      <c r="L808" s="74">
        <v>637976</v>
      </c>
      <c r="M808" s="74" t="s">
        <v>21341</v>
      </c>
      <c r="N808" s="74">
        <v>0</v>
      </c>
      <c r="O808" s="74" t="s">
        <v>21350</v>
      </c>
      <c r="P808" s="74" t="s">
        <v>21343</v>
      </c>
      <c r="Q808" s="74">
        <v>0</v>
      </c>
      <c r="R808" s="74" t="s">
        <v>148</v>
      </c>
      <c r="S808" s="74" t="s">
        <v>21338</v>
      </c>
      <c r="T808" s="74" t="s">
        <v>402</v>
      </c>
      <c r="U808" s="74">
        <v>0</v>
      </c>
      <c r="V808" s="74">
        <v>0</v>
      </c>
    </row>
    <row r="809" spans="3:22" x14ac:dyDescent="0.25">
      <c r="C809" s="74" t="s">
        <v>18795</v>
      </c>
      <c r="D809" s="74" t="s">
        <v>148</v>
      </c>
      <c r="E809" s="74" t="s">
        <v>21338</v>
      </c>
      <c r="F809" s="74">
        <v>551367</v>
      </c>
      <c r="G809" s="74">
        <v>1000</v>
      </c>
      <c r="H809" s="135">
        <v>42996.527962962966</v>
      </c>
      <c r="I809" s="74" t="s">
        <v>21339</v>
      </c>
      <c r="J809" s="74" t="s">
        <v>21340</v>
      </c>
      <c r="K809" s="74" t="s">
        <v>4371</v>
      </c>
      <c r="L809" s="74">
        <v>552198</v>
      </c>
      <c r="M809" s="74" t="s">
        <v>21341</v>
      </c>
      <c r="N809" s="74">
        <v>1</v>
      </c>
      <c r="O809" s="74" t="s">
        <v>21342</v>
      </c>
      <c r="P809" s="74" t="s">
        <v>21343</v>
      </c>
      <c r="Q809" s="74">
        <v>0</v>
      </c>
      <c r="R809" s="74" t="s">
        <v>148</v>
      </c>
      <c r="S809" s="74" t="s">
        <v>21338</v>
      </c>
      <c r="T809" s="74" t="s">
        <v>402</v>
      </c>
      <c r="U809" s="74">
        <v>0</v>
      </c>
      <c r="V809" s="74">
        <v>0</v>
      </c>
    </row>
    <row r="810" spans="3:22" x14ac:dyDescent="0.25">
      <c r="C810" s="74" t="s">
        <v>18795</v>
      </c>
      <c r="D810" s="74" t="s">
        <v>148</v>
      </c>
      <c r="E810" s="74" t="s">
        <v>21338</v>
      </c>
      <c r="F810" s="74">
        <v>551367</v>
      </c>
      <c r="G810" s="74">
        <v>1000</v>
      </c>
      <c r="H810" s="135">
        <v>42996.516875000001</v>
      </c>
      <c r="I810" s="74" t="s">
        <v>21339</v>
      </c>
      <c r="J810" s="74" t="s">
        <v>21340</v>
      </c>
      <c r="K810" s="74" t="s">
        <v>5825</v>
      </c>
      <c r="L810" s="74">
        <v>552375</v>
      </c>
      <c r="M810" s="74" t="s">
        <v>21341</v>
      </c>
      <c r="N810" s="74">
        <v>1</v>
      </c>
      <c r="O810" s="74" t="s">
        <v>21342</v>
      </c>
      <c r="P810" s="74" t="s">
        <v>21343</v>
      </c>
      <c r="Q810" s="74">
        <v>0</v>
      </c>
      <c r="R810" s="74" t="s">
        <v>148</v>
      </c>
      <c r="S810" s="74" t="s">
        <v>21338</v>
      </c>
      <c r="T810" s="74" t="s">
        <v>402</v>
      </c>
      <c r="U810" s="74">
        <v>0</v>
      </c>
      <c r="V810" s="74">
        <v>0</v>
      </c>
    </row>
    <row r="811" spans="3:22" x14ac:dyDescent="0.25">
      <c r="C811" s="74" t="s">
        <v>18795</v>
      </c>
      <c r="D811" s="74" t="s">
        <v>148</v>
      </c>
      <c r="E811" s="74" t="s">
        <v>21338</v>
      </c>
      <c r="F811" s="74">
        <v>551367</v>
      </c>
      <c r="G811" s="74">
        <v>1000</v>
      </c>
      <c r="H811" s="135">
        <v>42996.516122685185</v>
      </c>
      <c r="I811" s="74" t="s">
        <v>21339</v>
      </c>
      <c r="J811" s="74" t="s">
        <v>21340</v>
      </c>
      <c r="K811" s="74" t="s">
        <v>18334</v>
      </c>
      <c r="L811" s="74">
        <v>553982</v>
      </c>
      <c r="M811" s="74" t="s">
        <v>21341</v>
      </c>
      <c r="N811" s="74">
        <v>1</v>
      </c>
      <c r="O811" s="74" t="s">
        <v>21342</v>
      </c>
      <c r="P811" s="74" t="s">
        <v>21343</v>
      </c>
      <c r="Q811" s="74">
        <v>0</v>
      </c>
      <c r="R811" s="74" t="s">
        <v>148</v>
      </c>
      <c r="S811" s="74" t="s">
        <v>21338</v>
      </c>
      <c r="T811" s="74" t="s">
        <v>393</v>
      </c>
      <c r="U811" s="74">
        <v>0</v>
      </c>
      <c r="V811" s="74">
        <v>0</v>
      </c>
    </row>
    <row r="812" spans="3:22" x14ac:dyDescent="0.25">
      <c r="C812" s="74" t="s">
        <v>21409</v>
      </c>
      <c r="D812" s="74" t="s">
        <v>148</v>
      </c>
      <c r="E812" s="74" t="s">
        <v>21338</v>
      </c>
      <c r="F812" s="74">
        <v>560330</v>
      </c>
      <c r="G812" s="74">
        <v>3</v>
      </c>
      <c r="H812" s="135">
        <v>42996.515462962961</v>
      </c>
      <c r="I812" s="74" t="s">
        <v>21354</v>
      </c>
      <c r="J812" s="74" t="s">
        <v>21355</v>
      </c>
      <c r="K812" s="74" t="s">
        <v>17112</v>
      </c>
      <c r="L812" s="74">
        <v>551718</v>
      </c>
      <c r="M812" s="74" t="s">
        <v>21341</v>
      </c>
      <c r="N812" s="74">
        <v>1</v>
      </c>
      <c r="O812" s="74" t="s">
        <v>21342</v>
      </c>
      <c r="P812" s="74" t="s">
        <v>21345</v>
      </c>
      <c r="R812" s="74" t="s">
        <v>148</v>
      </c>
      <c r="S812" s="74" t="s">
        <v>21338</v>
      </c>
      <c r="T812" s="74" t="s">
        <v>402</v>
      </c>
      <c r="U812" s="74">
        <v>0</v>
      </c>
      <c r="V812" s="74">
        <v>0</v>
      </c>
    </row>
    <row r="813" spans="3:22" x14ac:dyDescent="0.25">
      <c r="C813" s="74" t="s">
        <v>18795</v>
      </c>
      <c r="D813" s="74" t="s">
        <v>148</v>
      </c>
      <c r="E813" s="74" t="s">
        <v>21338</v>
      </c>
      <c r="F813" s="74">
        <v>551367</v>
      </c>
      <c r="G813" s="74">
        <v>1000</v>
      </c>
      <c r="H813" s="135">
        <v>42996.511446759258</v>
      </c>
      <c r="I813" s="74" t="s">
        <v>21339</v>
      </c>
      <c r="J813" s="74" t="s">
        <v>21340</v>
      </c>
      <c r="K813" s="74" t="s">
        <v>17112</v>
      </c>
      <c r="L813" s="74">
        <v>551718</v>
      </c>
      <c r="M813" s="74" t="s">
        <v>21341</v>
      </c>
      <c r="N813" s="74">
        <v>1</v>
      </c>
      <c r="O813" s="74" t="s">
        <v>21342</v>
      </c>
      <c r="P813" s="74" t="s">
        <v>21343</v>
      </c>
      <c r="Q813" s="74">
        <v>0</v>
      </c>
      <c r="R813" s="74" t="s">
        <v>148</v>
      </c>
      <c r="S813" s="74" t="s">
        <v>21338</v>
      </c>
      <c r="T813" s="74" t="s">
        <v>402</v>
      </c>
      <c r="U813" s="74">
        <v>0</v>
      </c>
      <c r="V813" s="74">
        <v>0</v>
      </c>
    </row>
    <row r="814" spans="3:22" x14ac:dyDescent="0.25">
      <c r="C814" s="74" t="s">
        <v>18795</v>
      </c>
      <c r="D814" s="74" t="s">
        <v>148</v>
      </c>
      <c r="E814" s="74" t="s">
        <v>21338</v>
      </c>
      <c r="F814" s="74">
        <v>551367</v>
      </c>
      <c r="G814" s="74">
        <v>1000</v>
      </c>
      <c r="H814" s="135">
        <v>42996.510798611111</v>
      </c>
      <c r="I814" s="74" t="s">
        <v>21339</v>
      </c>
      <c r="J814" s="74" t="s">
        <v>21340</v>
      </c>
      <c r="K814" s="74" t="s">
        <v>4371</v>
      </c>
      <c r="L814" s="74">
        <v>552198</v>
      </c>
      <c r="M814" s="74" t="s">
        <v>21341</v>
      </c>
      <c r="N814" s="74">
        <v>1</v>
      </c>
      <c r="O814" s="74" t="s">
        <v>21342</v>
      </c>
      <c r="P814" s="74" t="s">
        <v>21343</v>
      </c>
      <c r="Q814" s="74">
        <v>0</v>
      </c>
      <c r="R814" s="74" t="s">
        <v>148</v>
      </c>
      <c r="S814" s="74" t="s">
        <v>21338</v>
      </c>
      <c r="T814" s="74" t="s">
        <v>402</v>
      </c>
      <c r="U814" s="74">
        <v>0</v>
      </c>
      <c r="V814" s="74">
        <v>0</v>
      </c>
    </row>
    <row r="815" spans="3:22" x14ac:dyDescent="0.25">
      <c r="C815" s="74" t="s">
        <v>18795</v>
      </c>
      <c r="D815" s="74" t="s">
        <v>148</v>
      </c>
      <c r="E815" s="74" t="s">
        <v>21338</v>
      </c>
      <c r="F815" s="74">
        <v>551367</v>
      </c>
      <c r="G815" s="74">
        <v>1000</v>
      </c>
      <c r="H815" s="135">
        <v>42996.509108796294</v>
      </c>
      <c r="I815" s="74" t="s">
        <v>21339</v>
      </c>
      <c r="J815" s="74" t="s">
        <v>21340</v>
      </c>
      <c r="K815" s="74" t="s">
        <v>5825</v>
      </c>
      <c r="L815" s="74">
        <v>552375</v>
      </c>
      <c r="M815" s="74" t="s">
        <v>21341</v>
      </c>
      <c r="N815" s="74">
        <v>1</v>
      </c>
      <c r="O815" s="74" t="s">
        <v>21342</v>
      </c>
      <c r="P815" s="74" t="s">
        <v>21343</v>
      </c>
      <c r="Q815" s="74">
        <v>0</v>
      </c>
      <c r="R815" s="74" t="s">
        <v>148</v>
      </c>
      <c r="S815" s="74" t="s">
        <v>21338</v>
      </c>
      <c r="T815" s="74" t="s">
        <v>402</v>
      </c>
      <c r="U815" s="74">
        <v>0</v>
      </c>
      <c r="V815" s="74">
        <v>0</v>
      </c>
    </row>
    <row r="816" spans="3:22" x14ac:dyDescent="0.25">
      <c r="C816" s="74" t="s">
        <v>18795</v>
      </c>
      <c r="D816" s="74" t="s">
        <v>148</v>
      </c>
      <c r="E816" s="74" t="s">
        <v>21338</v>
      </c>
      <c r="F816" s="74">
        <v>551367</v>
      </c>
      <c r="G816" s="74">
        <v>1000</v>
      </c>
      <c r="H816" s="135">
        <v>42996.508784722224</v>
      </c>
      <c r="I816" s="74" t="s">
        <v>21339</v>
      </c>
      <c r="J816" s="74" t="s">
        <v>21340</v>
      </c>
      <c r="K816" s="74" t="s">
        <v>21542</v>
      </c>
      <c r="L816" s="74">
        <v>560641</v>
      </c>
      <c r="M816" s="74" t="s">
        <v>21341</v>
      </c>
      <c r="N816" s="74">
        <v>1</v>
      </c>
      <c r="O816" s="74" t="s">
        <v>21342</v>
      </c>
      <c r="P816" s="74" t="s">
        <v>21343</v>
      </c>
      <c r="Q816" s="74">
        <v>0</v>
      </c>
      <c r="R816" s="74" t="s">
        <v>148</v>
      </c>
      <c r="S816" s="74" t="s">
        <v>21338</v>
      </c>
      <c r="T816" s="74" t="s">
        <v>393</v>
      </c>
      <c r="U816" s="74">
        <v>0</v>
      </c>
      <c r="V816" s="74">
        <v>0</v>
      </c>
    </row>
    <row r="817" spans="3:22" x14ac:dyDescent="0.25">
      <c r="C817" s="74" t="s">
        <v>18795</v>
      </c>
      <c r="D817" s="74" t="s">
        <v>148</v>
      </c>
      <c r="E817" s="74" t="s">
        <v>21338</v>
      </c>
      <c r="F817" s="74">
        <v>551367</v>
      </c>
      <c r="G817" s="74">
        <v>1000</v>
      </c>
      <c r="H817" s="135">
        <v>42996.505150462966</v>
      </c>
      <c r="I817" s="74" t="s">
        <v>21339</v>
      </c>
      <c r="J817" s="74" t="s">
        <v>21340</v>
      </c>
      <c r="K817" s="74" t="s">
        <v>12217</v>
      </c>
      <c r="L817" s="74">
        <v>553201</v>
      </c>
      <c r="M817" s="74" t="s">
        <v>21341</v>
      </c>
      <c r="N817" s="74">
        <v>1</v>
      </c>
      <c r="O817" s="74" t="s">
        <v>21342</v>
      </c>
      <c r="P817" s="74" t="s">
        <v>21343</v>
      </c>
      <c r="Q817" s="74">
        <v>0</v>
      </c>
      <c r="R817" s="74" t="s">
        <v>148</v>
      </c>
      <c r="S817" s="74" t="s">
        <v>21338</v>
      </c>
      <c r="T817" s="74" t="s">
        <v>402</v>
      </c>
      <c r="U817" s="74">
        <v>0</v>
      </c>
      <c r="V817" s="74">
        <v>0</v>
      </c>
    </row>
    <row r="818" spans="3:22" x14ac:dyDescent="0.25">
      <c r="C818" s="74" t="s">
        <v>21386</v>
      </c>
      <c r="D818" s="74" t="s">
        <v>148</v>
      </c>
      <c r="E818" s="74" t="s">
        <v>21338</v>
      </c>
      <c r="F818" s="74">
        <v>674396</v>
      </c>
      <c r="G818" s="74">
        <v>3</v>
      </c>
      <c r="H818" s="135">
        <v>42996.494108796294</v>
      </c>
      <c r="I818" s="74" t="s">
        <v>21339</v>
      </c>
      <c r="J818" s="74" t="s">
        <v>21362</v>
      </c>
      <c r="K818" s="74" t="s">
        <v>21543</v>
      </c>
      <c r="L818" s="74">
        <v>831375</v>
      </c>
      <c r="M818" s="74" t="s">
        <v>21341</v>
      </c>
      <c r="N818" s="74">
        <v>1</v>
      </c>
      <c r="O818" s="74" t="s">
        <v>21342</v>
      </c>
      <c r="P818" s="74" t="s">
        <v>21343</v>
      </c>
      <c r="Q818" s="74" t="s">
        <v>21363</v>
      </c>
      <c r="R818" s="74" t="s">
        <v>148</v>
      </c>
      <c r="S818" s="74" t="s">
        <v>21338</v>
      </c>
      <c r="T818" s="74" t="s">
        <v>393</v>
      </c>
      <c r="U818" s="74">
        <v>0</v>
      </c>
      <c r="V818" s="74">
        <v>0</v>
      </c>
    </row>
    <row r="819" spans="3:22" x14ac:dyDescent="0.25">
      <c r="C819" s="74" t="s">
        <v>18795</v>
      </c>
      <c r="D819" s="74" t="s">
        <v>148</v>
      </c>
      <c r="E819" s="74" t="s">
        <v>21338</v>
      </c>
      <c r="F819" s="74">
        <v>551367</v>
      </c>
      <c r="G819" s="74">
        <v>1000</v>
      </c>
      <c r="H819" s="135">
        <v>42996.493506944447</v>
      </c>
      <c r="I819" s="74" t="s">
        <v>21339</v>
      </c>
      <c r="J819" s="74" t="s">
        <v>21340</v>
      </c>
      <c r="K819" s="74" t="s">
        <v>19613</v>
      </c>
      <c r="L819" s="74">
        <v>554122</v>
      </c>
      <c r="M819" s="74" t="s">
        <v>21341</v>
      </c>
      <c r="N819" s="74">
        <v>1</v>
      </c>
      <c r="O819" s="74" t="s">
        <v>21342</v>
      </c>
      <c r="P819" s="74" t="s">
        <v>21343</v>
      </c>
      <c r="Q819" s="74">
        <v>0</v>
      </c>
      <c r="R819" s="74" t="s">
        <v>148</v>
      </c>
      <c r="S819" s="74" t="s">
        <v>21338</v>
      </c>
      <c r="T819" s="74" t="s">
        <v>402</v>
      </c>
      <c r="U819" s="74">
        <v>0</v>
      </c>
      <c r="V819" s="74">
        <v>0</v>
      </c>
    </row>
    <row r="820" spans="3:22" x14ac:dyDescent="0.25">
      <c r="C820" s="74" t="s">
        <v>21386</v>
      </c>
      <c r="D820" s="74" t="s">
        <v>148</v>
      </c>
      <c r="E820" s="74" t="s">
        <v>21338</v>
      </c>
      <c r="F820" s="74">
        <v>674396</v>
      </c>
      <c r="G820" s="74">
        <v>3</v>
      </c>
      <c r="H820" s="135">
        <v>42996.493402777778</v>
      </c>
      <c r="I820" s="74" t="s">
        <v>21339</v>
      </c>
      <c r="J820" s="74" t="s">
        <v>21364</v>
      </c>
      <c r="K820" s="74" t="s">
        <v>21543</v>
      </c>
      <c r="L820" s="74">
        <v>831375</v>
      </c>
      <c r="M820" s="74" t="s">
        <v>21341</v>
      </c>
      <c r="N820" s="74">
        <v>1</v>
      </c>
      <c r="O820" s="74" t="s">
        <v>21342</v>
      </c>
      <c r="P820" s="74" t="s">
        <v>21343</v>
      </c>
      <c r="Q820" s="74">
        <v>0</v>
      </c>
      <c r="R820" s="74" t="s">
        <v>148</v>
      </c>
      <c r="S820" s="74" t="s">
        <v>21338</v>
      </c>
      <c r="T820" s="74" t="s">
        <v>402</v>
      </c>
      <c r="U820" s="74">
        <v>0</v>
      </c>
      <c r="V820" s="74">
        <v>0</v>
      </c>
    </row>
    <row r="821" spans="3:22" x14ac:dyDescent="0.25">
      <c r="C821" s="74" t="s">
        <v>21386</v>
      </c>
      <c r="D821" s="74" t="s">
        <v>148</v>
      </c>
      <c r="E821" s="74" t="s">
        <v>21338</v>
      </c>
      <c r="F821" s="74">
        <v>674396</v>
      </c>
      <c r="G821" s="74">
        <v>3</v>
      </c>
      <c r="H821" s="135">
        <v>42996.493391203701</v>
      </c>
      <c r="I821" s="74" t="s">
        <v>21365</v>
      </c>
      <c r="J821" s="74" t="s">
        <v>21366</v>
      </c>
      <c r="K821" s="74" t="s">
        <v>21367</v>
      </c>
      <c r="L821" s="74">
        <v>561482</v>
      </c>
      <c r="M821" s="74" t="s">
        <v>21368</v>
      </c>
      <c r="N821" s="74">
        <v>1</v>
      </c>
      <c r="O821" s="74" t="s">
        <v>21369</v>
      </c>
      <c r="P821" s="74" t="s">
        <v>21343</v>
      </c>
      <c r="Q821" s="74" t="s">
        <v>21544</v>
      </c>
      <c r="R821" s="74" t="s">
        <v>148</v>
      </c>
      <c r="S821" s="74" t="s">
        <v>21338</v>
      </c>
      <c r="T821" s="74" t="s">
        <v>21371</v>
      </c>
      <c r="U821" s="74">
        <v>0</v>
      </c>
      <c r="V821" s="74">
        <v>0</v>
      </c>
    </row>
    <row r="822" spans="3:22" x14ac:dyDescent="0.25">
      <c r="C822" s="74" t="s">
        <v>21386</v>
      </c>
      <c r="D822" s="74" t="s">
        <v>148</v>
      </c>
      <c r="E822" s="74" t="s">
        <v>21338</v>
      </c>
      <c r="F822" s="74">
        <v>674396</v>
      </c>
      <c r="G822" s="74">
        <v>3</v>
      </c>
      <c r="H822" s="135">
        <v>42996.493379629632</v>
      </c>
      <c r="I822" s="74" t="s">
        <v>21365</v>
      </c>
      <c r="J822" s="74" t="s">
        <v>21366</v>
      </c>
      <c r="K822" s="74" t="s">
        <v>21381</v>
      </c>
      <c r="L822" s="74">
        <v>555660</v>
      </c>
      <c r="M822" s="74" t="s">
        <v>21368</v>
      </c>
      <c r="N822" s="74">
        <v>1</v>
      </c>
      <c r="O822" s="74" t="s">
        <v>21369</v>
      </c>
      <c r="P822" s="74" t="s">
        <v>21343</v>
      </c>
      <c r="Q822" s="74" t="s">
        <v>21544</v>
      </c>
      <c r="R822" s="74" t="s">
        <v>148</v>
      </c>
      <c r="S822" s="74" t="s">
        <v>21338</v>
      </c>
      <c r="T822" s="74" t="s">
        <v>21371</v>
      </c>
      <c r="U822" s="74">
        <v>0</v>
      </c>
      <c r="V822" s="74">
        <v>0</v>
      </c>
    </row>
    <row r="823" spans="3:22" x14ac:dyDescent="0.25">
      <c r="C823" s="74" t="s">
        <v>21386</v>
      </c>
      <c r="D823" s="74" t="s">
        <v>148</v>
      </c>
      <c r="E823" s="74" t="s">
        <v>21338</v>
      </c>
      <c r="F823" s="74">
        <v>674396</v>
      </c>
      <c r="G823" s="74">
        <v>3</v>
      </c>
      <c r="H823" s="135">
        <v>42996.493356481478</v>
      </c>
      <c r="I823" s="74" t="s">
        <v>21339</v>
      </c>
      <c r="J823" s="74" t="s">
        <v>21364</v>
      </c>
      <c r="K823" s="74" t="s">
        <v>21543</v>
      </c>
      <c r="L823" s="74">
        <v>831375</v>
      </c>
      <c r="M823" s="74" t="s">
        <v>21341</v>
      </c>
      <c r="N823" s="74">
        <v>1</v>
      </c>
      <c r="O823" s="74" t="s">
        <v>21342</v>
      </c>
      <c r="P823" s="74" t="s">
        <v>21343</v>
      </c>
      <c r="Q823" s="74">
        <v>0</v>
      </c>
      <c r="R823" s="74" t="s">
        <v>148</v>
      </c>
      <c r="S823" s="74" t="s">
        <v>21338</v>
      </c>
      <c r="T823" s="74" t="s">
        <v>402</v>
      </c>
      <c r="U823" s="74">
        <v>0</v>
      </c>
      <c r="V823" s="74">
        <v>0</v>
      </c>
    </row>
    <row r="824" spans="3:22" x14ac:dyDescent="0.25">
      <c r="C824" s="74" t="s">
        <v>21386</v>
      </c>
      <c r="D824" s="74" t="s">
        <v>148</v>
      </c>
      <c r="E824" s="74" t="s">
        <v>21338</v>
      </c>
      <c r="F824" s="74">
        <v>674396</v>
      </c>
      <c r="G824" s="74">
        <v>3</v>
      </c>
      <c r="H824" s="135">
        <v>42996.493263888886</v>
      </c>
      <c r="I824" s="74" t="s">
        <v>21339</v>
      </c>
      <c r="J824" s="74" t="s">
        <v>21364</v>
      </c>
      <c r="K824" s="74" t="s">
        <v>21543</v>
      </c>
      <c r="L824" s="74">
        <v>831375</v>
      </c>
      <c r="M824" s="74" t="s">
        <v>21341</v>
      </c>
      <c r="N824" s="74">
        <v>1</v>
      </c>
      <c r="O824" s="74" t="s">
        <v>21342</v>
      </c>
      <c r="P824" s="74" t="s">
        <v>21343</v>
      </c>
      <c r="Q824" s="74">
        <v>0</v>
      </c>
      <c r="R824" s="74" t="s">
        <v>148</v>
      </c>
      <c r="S824" s="74" t="s">
        <v>21338</v>
      </c>
      <c r="T824" s="74" t="s">
        <v>402</v>
      </c>
      <c r="U824" s="74">
        <v>0</v>
      </c>
      <c r="V824" s="74">
        <v>0</v>
      </c>
    </row>
    <row r="825" spans="3:22" x14ac:dyDescent="0.25">
      <c r="C825" s="74" t="s">
        <v>21386</v>
      </c>
      <c r="D825" s="74" t="s">
        <v>148</v>
      </c>
      <c r="E825" s="74" t="s">
        <v>21338</v>
      </c>
      <c r="F825" s="74">
        <v>674396</v>
      </c>
      <c r="G825" s="74">
        <v>3</v>
      </c>
      <c r="H825" s="135">
        <v>42996.492754629631</v>
      </c>
      <c r="I825" s="74" t="s">
        <v>21339</v>
      </c>
      <c r="J825" s="74" t="s">
        <v>21360</v>
      </c>
      <c r="K825" s="74" t="s">
        <v>21543</v>
      </c>
      <c r="L825" s="74">
        <v>831375</v>
      </c>
      <c r="M825" s="74" t="s">
        <v>21341</v>
      </c>
      <c r="N825" s="74">
        <v>1</v>
      </c>
      <c r="O825" s="74" t="s">
        <v>21342</v>
      </c>
      <c r="P825" s="74" t="s">
        <v>21343</v>
      </c>
      <c r="Q825" s="74" t="s">
        <v>21361</v>
      </c>
      <c r="R825" s="74" t="s">
        <v>148</v>
      </c>
      <c r="S825" s="74" t="s">
        <v>21338</v>
      </c>
      <c r="T825" s="74" t="s">
        <v>402</v>
      </c>
      <c r="U825" s="74">
        <v>0</v>
      </c>
      <c r="V825" s="74">
        <v>0</v>
      </c>
    </row>
    <row r="826" spans="3:22" x14ac:dyDescent="0.25">
      <c r="C826" s="74" t="s">
        <v>18795</v>
      </c>
      <c r="D826" s="74" t="s">
        <v>148</v>
      </c>
      <c r="E826" s="74" t="s">
        <v>21338</v>
      </c>
      <c r="F826" s="74">
        <v>551367</v>
      </c>
      <c r="G826" s="74">
        <v>1000</v>
      </c>
      <c r="H826" s="135">
        <v>42996.490810185183</v>
      </c>
      <c r="I826" s="74" t="s">
        <v>21339</v>
      </c>
      <c r="J826" s="74" t="s">
        <v>21340</v>
      </c>
      <c r="K826" s="74" t="s">
        <v>10953</v>
      </c>
      <c r="L826" s="74">
        <v>553041</v>
      </c>
      <c r="M826" s="74" t="s">
        <v>21341</v>
      </c>
      <c r="N826" s="74">
        <v>1</v>
      </c>
      <c r="O826" s="74" t="s">
        <v>21342</v>
      </c>
      <c r="P826" s="74" t="s">
        <v>21343</v>
      </c>
      <c r="Q826" s="74">
        <v>0</v>
      </c>
      <c r="R826" s="74" t="s">
        <v>148</v>
      </c>
      <c r="S826" s="74" t="s">
        <v>21338</v>
      </c>
      <c r="T826" s="74" t="s">
        <v>402</v>
      </c>
      <c r="U826" s="74">
        <v>0</v>
      </c>
      <c r="V826" s="74">
        <v>0</v>
      </c>
    </row>
    <row r="827" spans="3:22" x14ac:dyDescent="0.25">
      <c r="C827" s="74" t="s">
        <v>18795</v>
      </c>
      <c r="D827" s="74" t="s">
        <v>148</v>
      </c>
      <c r="E827" s="74" t="s">
        <v>21338</v>
      </c>
      <c r="F827" s="74">
        <v>551367</v>
      </c>
      <c r="G827" s="74">
        <v>1000</v>
      </c>
      <c r="H827" s="135">
        <v>42996.48400462963</v>
      </c>
      <c r="I827" s="74" t="s">
        <v>21339</v>
      </c>
      <c r="J827" s="74" t="s">
        <v>21340</v>
      </c>
      <c r="K827" s="74" t="s">
        <v>14181</v>
      </c>
      <c r="L827" s="74">
        <v>553464</v>
      </c>
      <c r="M827" s="74" t="s">
        <v>21341</v>
      </c>
      <c r="N827" s="74">
        <v>1</v>
      </c>
      <c r="O827" s="74" t="s">
        <v>21342</v>
      </c>
      <c r="P827" s="74" t="s">
        <v>21343</v>
      </c>
      <c r="Q827" s="74">
        <v>0</v>
      </c>
      <c r="R827" s="74" t="s">
        <v>148</v>
      </c>
      <c r="S827" s="74" t="s">
        <v>21338</v>
      </c>
      <c r="T827" s="74" t="s">
        <v>402</v>
      </c>
      <c r="U827" s="74">
        <v>0</v>
      </c>
      <c r="V827" s="74">
        <v>0</v>
      </c>
    </row>
    <row r="828" spans="3:22" x14ac:dyDescent="0.25">
      <c r="C828" s="74" t="s">
        <v>18795</v>
      </c>
      <c r="D828" s="74" t="s">
        <v>148</v>
      </c>
      <c r="E828" s="74" t="s">
        <v>21338</v>
      </c>
      <c r="F828" s="74">
        <v>551367</v>
      </c>
      <c r="G828" s="74">
        <v>1000</v>
      </c>
      <c r="H828" s="135">
        <v>42996.479560185187</v>
      </c>
      <c r="I828" s="74" t="s">
        <v>21339</v>
      </c>
      <c r="J828" s="74" t="s">
        <v>21340</v>
      </c>
      <c r="K828" s="74" t="s">
        <v>6701</v>
      </c>
      <c r="L828" s="74">
        <v>552499</v>
      </c>
      <c r="M828" s="74" t="s">
        <v>21341</v>
      </c>
      <c r="N828" s="74">
        <v>1</v>
      </c>
      <c r="O828" s="74" t="s">
        <v>21342</v>
      </c>
      <c r="P828" s="74" t="s">
        <v>21343</v>
      </c>
      <c r="Q828" s="74">
        <v>0</v>
      </c>
      <c r="R828" s="74" t="s">
        <v>148</v>
      </c>
      <c r="S828" s="74" t="s">
        <v>21338</v>
      </c>
      <c r="T828" s="74" t="s">
        <v>402</v>
      </c>
      <c r="U828" s="74">
        <v>0</v>
      </c>
      <c r="V828" s="74">
        <v>0</v>
      </c>
    </row>
    <row r="829" spans="3:22" x14ac:dyDescent="0.25">
      <c r="C829" s="74" t="s">
        <v>21351</v>
      </c>
      <c r="D829" s="74" t="s">
        <v>148</v>
      </c>
      <c r="E829" s="74" t="s">
        <v>21338</v>
      </c>
      <c r="F829" s="74">
        <v>707864</v>
      </c>
      <c r="G829" s="74">
        <v>3</v>
      </c>
      <c r="H829" s="135">
        <v>42996.477048611108</v>
      </c>
      <c r="I829" s="74" t="s">
        <v>21354</v>
      </c>
      <c r="J829" s="74" t="s">
        <v>21355</v>
      </c>
      <c r="K829" s="74" t="s">
        <v>7311</v>
      </c>
      <c r="L829" s="74">
        <v>552577</v>
      </c>
      <c r="M829" s="74" t="s">
        <v>21341</v>
      </c>
      <c r="N829" s="74">
        <v>1</v>
      </c>
      <c r="O829" s="74" t="s">
        <v>21342</v>
      </c>
      <c r="P829" s="74" t="s">
        <v>21345</v>
      </c>
      <c r="R829" s="74" t="s">
        <v>148</v>
      </c>
      <c r="S829" s="74" t="s">
        <v>21338</v>
      </c>
      <c r="T829" s="74" t="s">
        <v>402</v>
      </c>
      <c r="U829" s="74">
        <v>0</v>
      </c>
      <c r="V829" s="74">
        <v>0</v>
      </c>
    </row>
    <row r="830" spans="3:22" x14ac:dyDescent="0.25">
      <c r="C830" s="74" t="s">
        <v>18795</v>
      </c>
      <c r="D830" s="74" t="s">
        <v>148</v>
      </c>
      <c r="E830" s="74" t="s">
        <v>21338</v>
      </c>
      <c r="F830" s="74">
        <v>551367</v>
      </c>
      <c r="G830" s="74">
        <v>1000</v>
      </c>
      <c r="H830" s="135">
        <v>42996.47284722222</v>
      </c>
      <c r="I830" s="74" t="s">
        <v>21339</v>
      </c>
      <c r="J830" s="74" t="s">
        <v>21340</v>
      </c>
      <c r="K830" s="74" t="s">
        <v>4022</v>
      </c>
      <c r="L830" s="74">
        <v>693605</v>
      </c>
      <c r="M830" s="74" t="s">
        <v>21341</v>
      </c>
      <c r="N830" s="74">
        <v>1</v>
      </c>
      <c r="O830" s="74" t="s">
        <v>21342</v>
      </c>
      <c r="P830" s="74" t="s">
        <v>21343</v>
      </c>
      <c r="Q830" s="74">
        <v>0</v>
      </c>
      <c r="R830" s="74" t="s">
        <v>148</v>
      </c>
      <c r="S830" s="74" t="s">
        <v>21338</v>
      </c>
      <c r="T830" s="74" t="s">
        <v>402</v>
      </c>
      <c r="U830" s="74">
        <v>0</v>
      </c>
      <c r="V830" s="74">
        <v>0</v>
      </c>
    </row>
    <row r="831" spans="3:22" x14ac:dyDescent="0.25">
      <c r="C831" s="74" t="s">
        <v>21386</v>
      </c>
      <c r="D831" s="74" t="s">
        <v>148</v>
      </c>
      <c r="E831" s="74" t="s">
        <v>21338</v>
      </c>
      <c r="F831" s="74">
        <v>674396</v>
      </c>
      <c r="G831" s="74">
        <v>3</v>
      </c>
      <c r="H831" s="135">
        <v>42996.471296296295</v>
      </c>
      <c r="I831" s="74" t="s">
        <v>21339</v>
      </c>
      <c r="J831" s="74" t="s">
        <v>21364</v>
      </c>
      <c r="K831" s="74" t="s">
        <v>21496</v>
      </c>
      <c r="L831" s="74">
        <v>909301</v>
      </c>
      <c r="M831" s="74" t="s">
        <v>21341</v>
      </c>
      <c r="N831" s="74">
        <v>1</v>
      </c>
      <c r="O831" s="74" t="s">
        <v>21342</v>
      </c>
      <c r="P831" s="74" t="s">
        <v>21343</v>
      </c>
      <c r="Q831" s="74">
        <v>0</v>
      </c>
      <c r="R831" s="74" t="s">
        <v>148</v>
      </c>
      <c r="S831" s="74" t="s">
        <v>21338</v>
      </c>
      <c r="T831" s="74" t="s">
        <v>402</v>
      </c>
      <c r="U831" s="74">
        <v>0</v>
      </c>
      <c r="V831" s="74">
        <v>0</v>
      </c>
    </row>
    <row r="832" spans="3:22" x14ac:dyDescent="0.25">
      <c r="C832" s="74" t="s">
        <v>21386</v>
      </c>
      <c r="D832" s="74" t="s">
        <v>148</v>
      </c>
      <c r="E832" s="74" t="s">
        <v>21338</v>
      </c>
      <c r="F832" s="74">
        <v>674396</v>
      </c>
      <c r="G832" s="74">
        <v>3</v>
      </c>
      <c r="H832" s="135">
        <v>42996.471273148149</v>
      </c>
      <c r="I832" s="74" t="s">
        <v>21398</v>
      </c>
      <c r="J832" s="74" t="s">
        <v>21366</v>
      </c>
      <c r="K832" s="74" t="s">
        <v>21367</v>
      </c>
      <c r="L832" s="74">
        <v>561482</v>
      </c>
      <c r="M832" s="74" t="s">
        <v>21368</v>
      </c>
      <c r="N832" s="74">
        <v>1</v>
      </c>
      <c r="O832" s="74" t="s">
        <v>21369</v>
      </c>
      <c r="P832" s="74" t="s">
        <v>21343</v>
      </c>
      <c r="Q832" s="74" t="s">
        <v>21545</v>
      </c>
      <c r="R832" s="74" t="s">
        <v>148</v>
      </c>
      <c r="S832" s="74" t="s">
        <v>21338</v>
      </c>
      <c r="T832" s="74" t="s">
        <v>21371</v>
      </c>
      <c r="U832" s="74">
        <v>0</v>
      </c>
      <c r="V832" s="74">
        <v>0</v>
      </c>
    </row>
    <row r="833" spans="3:22" x14ac:dyDescent="0.25">
      <c r="C833" s="74" t="s">
        <v>21386</v>
      </c>
      <c r="D833" s="74" t="s">
        <v>148</v>
      </c>
      <c r="E833" s="74" t="s">
        <v>21338</v>
      </c>
      <c r="F833" s="74">
        <v>674396</v>
      </c>
      <c r="G833" s="74">
        <v>3</v>
      </c>
      <c r="H833" s="135">
        <v>42996.471261574072</v>
      </c>
      <c r="I833" s="74" t="s">
        <v>21398</v>
      </c>
      <c r="J833" s="74" t="s">
        <v>21366</v>
      </c>
      <c r="K833" s="74" t="s">
        <v>21381</v>
      </c>
      <c r="L833" s="74">
        <v>555660</v>
      </c>
      <c r="M833" s="74" t="s">
        <v>21368</v>
      </c>
      <c r="N833" s="74">
        <v>1</v>
      </c>
      <c r="O833" s="74" t="s">
        <v>21369</v>
      </c>
      <c r="P833" s="74" t="s">
        <v>21343</v>
      </c>
      <c r="Q833" s="74" t="s">
        <v>21545</v>
      </c>
      <c r="R833" s="74" t="s">
        <v>148</v>
      </c>
      <c r="S833" s="74" t="s">
        <v>21338</v>
      </c>
      <c r="T833" s="74" t="s">
        <v>21371</v>
      </c>
      <c r="U833" s="74">
        <v>0</v>
      </c>
      <c r="V833" s="74">
        <v>0</v>
      </c>
    </row>
    <row r="834" spans="3:22" x14ac:dyDescent="0.25">
      <c r="C834" s="74" t="s">
        <v>21386</v>
      </c>
      <c r="D834" s="74" t="s">
        <v>148</v>
      </c>
      <c r="E834" s="74" t="s">
        <v>21338</v>
      </c>
      <c r="F834" s="74">
        <v>674396</v>
      </c>
      <c r="G834" s="74">
        <v>3</v>
      </c>
      <c r="H834" s="135">
        <v>42996.471238425926</v>
      </c>
      <c r="I834" s="74" t="s">
        <v>21339</v>
      </c>
      <c r="J834" s="74" t="s">
        <v>21364</v>
      </c>
      <c r="K834" s="74" t="s">
        <v>21496</v>
      </c>
      <c r="L834" s="74">
        <v>909301</v>
      </c>
      <c r="M834" s="74" t="s">
        <v>21341</v>
      </c>
      <c r="N834" s="74">
        <v>1</v>
      </c>
      <c r="O834" s="74" t="s">
        <v>21342</v>
      </c>
      <c r="P834" s="74" t="s">
        <v>21343</v>
      </c>
      <c r="Q834" s="74">
        <v>0</v>
      </c>
      <c r="R834" s="74" t="s">
        <v>148</v>
      </c>
      <c r="S834" s="74" t="s">
        <v>21338</v>
      </c>
      <c r="T834" s="74" t="s">
        <v>402</v>
      </c>
      <c r="U834" s="74">
        <v>0</v>
      </c>
      <c r="V834" s="74">
        <v>0</v>
      </c>
    </row>
    <row r="835" spans="3:22" x14ac:dyDescent="0.25">
      <c r="C835" s="74" t="s">
        <v>21386</v>
      </c>
      <c r="D835" s="74" t="s">
        <v>148</v>
      </c>
      <c r="E835" s="74" t="s">
        <v>21338</v>
      </c>
      <c r="F835" s="74">
        <v>674396</v>
      </c>
      <c r="G835" s="74">
        <v>3</v>
      </c>
      <c r="H835" s="135">
        <v>42996.470833333333</v>
      </c>
      <c r="I835" s="74" t="s">
        <v>21339</v>
      </c>
      <c r="J835" s="74" t="s">
        <v>21364</v>
      </c>
      <c r="K835" s="74" t="s">
        <v>21496</v>
      </c>
      <c r="L835" s="74">
        <v>909301</v>
      </c>
      <c r="M835" s="74" t="s">
        <v>21341</v>
      </c>
      <c r="N835" s="74">
        <v>1</v>
      </c>
      <c r="O835" s="74" t="s">
        <v>21342</v>
      </c>
      <c r="P835" s="74" t="s">
        <v>21343</v>
      </c>
      <c r="Q835" s="74">
        <v>0</v>
      </c>
      <c r="R835" s="74" t="s">
        <v>148</v>
      </c>
      <c r="S835" s="74" t="s">
        <v>21338</v>
      </c>
      <c r="T835" s="74" t="s">
        <v>402</v>
      </c>
      <c r="U835" s="74">
        <v>0</v>
      </c>
      <c r="V835" s="74">
        <v>0</v>
      </c>
    </row>
    <row r="836" spans="3:22" x14ac:dyDescent="0.25">
      <c r="C836" s="74" t="s">
        <v>533</v>
      </c>
      <c r="D836" s="74" t="s">
        <v>148</v>
      </c>
      <c r="E836" s="74" t="s">
        <v>21338</v>
      </c>
      <c r="F836" s="74">
        <v>627566</v>
      </c>
      <c r="G836" s="74">
        <v>3</v>
      </c>
      <c r="H836" s="135">
        <v>42996.467118055552</v>
      </c>
      <c r="I836" s="74" t="s">
        <v>21354</v>
      </c>
      <c r="J836" s="74" t="s">
        <v>21355</v>
      </c>
      <c r="K836" s="74" t="s">
        <v>3802</v>
      </c>
      <c r="L836" s="74">
        <v>907988</v>
      </c>
      <c r="M836" s="74" t="s">
        <v>21341</v>
      </c>
      <c r="N836" s="74">
        <v>1</v>
      </c>
      <c r="O836" s="74" t="s">
        <v>21342</v>
      </c>
      <c r="P836" s="74" t="s">
        <v>21345</v>
      </c>
      <c r="R836" s="74" t="s">
        <v>148</v>
      </c>
      <c r="S836" s="74" t="s">
        <v>21338</v>
      </c>
      <c r="T836" s="74" t="s">
        <v>402</v>
      </c>
      <c r="U836" s="74">
        <v>0</v>
      </c>
      <c r="V836" s="74">
        <v>0</v>
      </c>
    </row>
    <row r="837" spans="3:22" x14ac:dyDescent="0.25">
      <c r="C837" s="74" t="s">
        <v>533</v>
      </c>
      <c r="D837" s="74" t="s">
        <v>148</v>
      </c>
      <c r="E837" s="74" t="s">
        <v>21338</v>
      </c>
      <c r="F837" s="74">
        <v>627566</v>
      </c>
      <c r="G837" s="74">
        <v>3</v>
      </c>
      <c r="H837" s="135">
        <v>42996.466956018521</v>
      </c>
      <c r="I837" s="74" t="s">
        <v>21339</v>
      </c>
      <c r="J837" s="74" t="s">
        <v>21360</v>
      </c>
      <c r="K837" s="74" t="s">
        <v>3802</v>
      </c>
      <c r="L837" s="74">
        <v>907988</v>
      </c>
      <c r="M837" s="74" t="s">
        <v>21341</v>
      </c>
      <c r="N837" s="74">
        <v>1</v>
      </c>
      <c r="O837" s="74" t="s">
        <v>21359</v>
      </c>
      <c r="P837" s="74" t="s">
        <v>21343</v>
      </c>
      <c r="Q837" s="74" t="s">
        <v>21395</v>
      </c>
      <c r="R837" s="74" t="s">
        <v>148</v>
      </c>
      <c r="S837" s="74" t="s">
        <v>21338</v>
      </c>
      <c r="T837" s="74" t="s">
        <v>402</v>
      </c>
      <c r="U837" s="74">
        <v>0</v>
      </c>
      <c r="V837" s="74">
        <v>0</v>
      </c>
    </row>
    <row r="838" spans="3:22" x14ac:dyDescent="0.25">
      <c r="C838" s="74" t="s">
        <v>18795</v>
      </c>
      <c r="D838" s="74" t="s">
        <v>148</v>
      </c>
      <c r="E838" s="74" t="s">
        <v>21338</v>
      </c>
      <c r="F838" s="74">
        <v>551367</v>
      </c>
      <c r="G838" s="74">
        <v>1000</v>
      </c>
      <c r="H838" s="135">
        <v>42996.465162037035</v>
      </c>
      <c r="I838" s="74" t="s">
        <v>21339</v>
      </c>
      <c r="J838" s="74" t="s">
        <v>21340</v>
      </c>
      <c r="K838" s="74" t="s">
        <v>21546</v>
      </c>
      <c r="L838" s="74">
        <v>796405</v>
      </c>
      <c r="M838" s="74" t="s">
        <v>21341</v>
      </c>
      <c r="N838" s="74">
        <v>1</v>
      </c>
      <c r="O838" s="74" t="s">
        <v>21342</v>
      </c>
      <c r="P838" s="74" t="s">
        <v>21343</v>
      </c>
      <c r="Q838" s="74">
        <v>0</v>
      </c>
      <c r="R838" s="74" t="s">
        <v>148</v>
      </c>
      <c r="S838" s="74" t="s">
        <v>21338</v>
      </c>
      <c r="T838" s="74" t="s">
        <v>402</v>
      </c>
      <c r="U838" s="74">
        <v>0</v>
      </c>
      <c r="V838" s="74">
        <v>0</v>
      </c>
    </row>
    <row r="839" spans="3:22" x14ac:dyDescent="0.25">
      <c r="C839" s="74" t="s">
        <v>21385</v>
      </c>
      <c r="D839" s="74" t="s">
        <v>148</v>
      </c>
      <c r="E839" s="74" t="s">
        <v>21338</v>
      </c>
      <c r="F839" s="74">
        <v>560579</v>
      </c>
      <c r="G839" s="74">
        <v>3</v>
      </c>
      <c r="H839" s="135">
        <v>42996.463645833333</v>
      </c>
      <c r="I839" s="74" t="s">
        <v>21354</v>
      </c>
      <c r="J839" s="74" t="s">
        <v>21355</v>
      </c>
      <c r="K839" s="74" t="s">
        <v>21531</v>
      </c>
      <c r="L839" s="74">
        <v>908539</v>
      </c>
      <c r="M839" s="74" t="s">
        <v>21341</v>
      </c>
      <c r="N839" s="74">
        <v>1</v>
      </c>
      <c r="O839" s="74" t="s">
        <v>21342</v>
      </c>
      <c r="P839" s="74" t="s">
        <v>21345</v>
      </c>
      <c r="R839" s="74" t="s">
        <v>148</v>
      </c>
      <c r="S839" s="74" t="s">
        <v>21338</v>
      </c>
      <c r="T839" s="74" t="s">
        <v>402</v>
      </c>
      <c r="U839" s="74">
        <v>0</v>
      </c>
      <c r="V839" s="74">
        <v>0</v>
      </c>
    </row>
    <row r="840" spans="3:22" x14ac:dyDescent="0.25">
      <c r="C840" s="74" t="s">
        <v>21386</v>
      </c>
      <c r="D840" s="74" t="s">
        <v>148</v>
      </c>
      <c r="E840" s="74" t="s">
        <v>21338</v>
      </c>
      <c r="F840" s="74">
        <v>674396</v>
      </c>
      <c r="G840" s="74">
        <v>3</v>
      </c>
      <c r="H840" s="135">
        <v>42996.462141203701</v>
      </c>
      <c r="I840" s="74" t="s">
        <v>21398</v>
      </c>
      <c r="J840" s="74" t="s">
        <v>21400</v>
      </c>
      <c r="K840" s="74" t="s">
        <v>21496</v>
      </c>
      <c r="L840" s="74">
        <v>909301</v>
      </c>
      <c r="M840" s="74" t="s">
        <v>21341</v>
      </c>
      <c r="N840" s="74">
        <v>1</v>
      </c>
      <c r="O840" s="74" t="s">
        <v>21342</v>
      </c>
      <c r="P840" s="74" t="s">
        <v>21343</v>
      </c>
      <c r="Q840" s="74" t="s">
        <v>21547</v>
      </c>
      <c r="R840" s="74" t="s">
        <v>148</v>
      </c>
      <c r="S840" s="74" t="s">
        <v>21338</v>
      </c>
      <c r="T840" s="74" t="s">
        <v>402</v>
      </c>
      <c r="U840" s="74">
        <v>0</v>
      </c>
      <c r="V840" s="74">
        <v>0</v>
      </c>
    </row>
    <row r="841" spans="3:22" x14ac:dyDescent="0.25">
      <c r="C841" s="74" t="s">
        <v>21385</v>
      </c>
      <c r="D841" s="74" t="s">
        <v>148</v>
      </c>
      <c r="E841" s="74" t="s">
        <v>21338</v>
      </c>
      <c r="F841" s="74">
        <v>560579</v>
      </c>
      <c r="G841" s="74">
        <v>3</v>
      </c>
      <c r="H841" s="135">
        <v>42996.461134259262</v>
      </c>
      <c r="I841" s="74" t="s">
        <v>21339</v>
      </c>
      <c r="J841" s="74" t="s">
        <v>21340</v>
      </c>
      <c r="K841" s="74" t="s">
        <v>21531</v>
      </c>
      <c r="L841" s="74">
        <v>908539</v>
      </c>
      <c r="M841" s="74" t="s">
        <v>21341</v>
      </c>
      <c r="N841" s="74">
        <v>1</v>
      </c>
      <c r="O841" s="74" t="s">
        <v>21342</v>
      </c>
      <c r="P841" s="74" t="s">
        <v>21343</v>
      </c>
      <c r="Q841" s="74">
        <v>0</v>
      </c>
      <c r="R841" s="74" t="s">
        <v>148</v>
      </c>
      <c r="S841" s="74" t="s">
        <v>21338</v>
      </c>
      <c r="T841" s="74" t="s">
        <v>402</v>
      </c>
      <c r="U841" s="74">
        <v>0</v>
      </c>
      <c r="V841" s="74">
        <v>0</v>
      </c>
    </row>
    <row r="842" spans="3:22" x14ac:dyDescent="0.25">
      <c r="C842" s="74" t="s">
        <v>21385</v>
      </c>
      <c r="D842" s="74" t="s">
        <v>148</v>
      </c>
      <c r="E842" s="74" t="s">
        <v>21338</v>
      </c>
      <c r="F842" s="74">
        <v>560579</v>
      </c>
      <c r="G842" s="74">
        <v>3</v>
      </c>
      <c r="H842" s="135">
        <v>42996.460833333331</v>
      </c>
      <c r="I842" s="74" t="s">
        <v>21354</v>
      </c>
      <c r="J842" s="74" t="s">
        <v>21355</v>
      </c>
      <c r="K842" s="74" t="s">
        <v>21531</v>
      </c>
      <c r="L842" s="74">
        <v>908539</v>
      </c>
      <c r="M842" s="74" t="s">
        <v>21341</v>
      </c>
      <c r="N842" s="74">
        <v>1</v>
      </c>
      <c r="O842" s="74" t="s">
        <v>21342</v>
      </c>
      <c r="P842" s="74" t="s">
        <v>21345</v>
      </c>
      <c r="R842" s="74" t="s">
        <v>148</v>
      </c>
      <c r="S842" s="74" t="s">
        <v>21338</v>
      </c>
      <c r="T842" s="74" t="s">
        <v>402</v>
      </c>
      <c r="U842" s="74">
        <v>0</v>
      </c>
      <c r="V842" s="74">
        <v>0</v>
      </c>
    </row>
    <row r="843" spans="3:22" x14ac:dyDescent="0.25">
      <c r="C843" s="74" t="s">
        <v>18795</v>
      </c>
      <c r="D843" s="74" t="s">
        <v>148</v>
      </c>
      <c r="E843" s="74" t="s">
        <v>21338</v>
      </c>
      <c r="F843" s="74">
        <v>551367</v>
      </c>
      <c r="G843" s="74">
        <v>1000</v>
      </c>
      <c r="H843" s="135">
        <v>42996.459432870368</v>
      </c>
      <c r="I843" s="74" t="s">
        <v>21339</v>
      </c>
      <c r="J843" s="74" t="s">
        <v>21340</v>
      </c>
      <c r="K843" s="74" t="s">
        <v>5685</v>
      </c>
      <c r="L843" s="74">
        <v>552355</v>
      </c>
      <c r="M843" s="74" t="s">
        <v>21341</v>
      </c>
      <c r="N843" s="74">
        <v>1</v>
      </c>
      <c r="O843" s="74" t="s">
        <v>21342</v>
      </c>
      <c r="P843" s="74" t="s">
        <v>21343</v>
      </c>
      <c r="Q843" s="74">
        <v>0</v>
      </c>
      <c r="R843" s="74" t="s">
        <v>148</v>
      </c>
      <c r="S843" s="74" t="s">
        <v>21338</v>
      </c>
      <c r="T843" s="74" t="s">
        <v>402</v>
      </c>
      <c r="U843" s="74">
        <v>0</v>
      </c>
      <c r="V843" s="74">
        <v>0</v>
      </c>
    </row>
    <row r="844" spans="3:22" x14ac:dyDescent="0.25">
      <c r="C844" s="74" t="s">
        <v>18795</v>
      </c>
      <c r="D844" s="74" t="s">
        <v>148</v>
      </c>
      <c r="E844" s="74" t="s">
        <v>21338</v>
      </c>
      <c r="F844" s="74">
        <v>551367</v>
      </c>
      <c r="G844" s="74">
        <v>1000</v>
      </c>
      <c r="H844" s="135">
        <v>42996.455104166664</v>
      </c>
      <c r="I844" s="74" t="s">
        <v>21339</v>
      </c>
      <c r="J844" s="74" t="s">
        <v>21340</v>
      </c>
      <c r="K844" s="74" t="s">
        <v>6008</v>
      </c>
      <c r="L844" s="74">
        <v>552399</v>
      </c>
      <c r="M844" s="74" t="s">
        <v>21341</v>
      </c>
      <c r="N844" s="74">
        <v>1</v>
      </c>
      <c r="O844" s="74" t="s">
        <v>21342</v>
      </c>
      <c r="P844" s="74" t="s">
        <v>21343</v>
      </c>
      <c r="Q844" s="74">
        <v>0</v>
      </c>
      <c r="R844" s="74" t="s">
        <v>148</v>
      </c>
      <c r="S844" s="74" t="s">
        <v>21338</v>
      </c>
      <c r="T844" s="74" t="s">
        <v>402</v>
      </c>
      <c r="U844" s="74">
        <v>0</v>
      </c>
      <c r="V844" s="74">
        <v>0</v>
      </c>
    </row>
    <row r="845" spans="3:22" x14ac:dyDescent="0.25">
      <c r="C845" s="74" t="s">
        <v>21386</v>
      </c>
      <c r="D845" s="74" t="s">
        <v>148</v>
      </c>
      <c r="E845" s="74" t="s">
        <v>21338</v>
      </c>
      <c r="F845" s="74">
        <v>674396</v>
      </c>
      <c r="G845" s="74">
        <v>3</v>
      </c>
      <c r="H845" s="135">
        <v>42996.454756944448</v>
      </c>
      <c r="I845" s="74" t="s">
        <v>21339</v>
      </c>
      <c r="J845" s="74" t="s">
        <v>21364</v>
      </c>
      <c r="K845" s="74" t="s">
        <v>21548</v>
      </c>
      <c r="L845" s="74">
        <v>555666</v>
      </c>
      <c r="M845" s="74" t="s">
        <v>21368</v>
      </c>
      <c r="N845" s="74">
        <v>1</v>
      </c>
      <c r="O845" s="74" t="s">
        <v>21342</v>
      </c>
      <c r="P845" s="74" t="s">
        <v>21343</v>
      </c>
      <c r="Q845" s="74">
        <v>0</v>
      </c>
      <c r="R845" s="74" t="s">
        <v>148</v>
      </c>
      <c r="S845" s="74" t="s">
        <v>21338</v>
      </c>
      <c r="T845" s="74" t="s">
        <v>21371</v>
      </c>
      <c r="U845" s="74">
        <v>0</v>
      </c>
      <c r="V845" s="74">
        <v>0</v>
      </c>
    </row>
    <row r="846" spans="3:22" x14ac:dyDescent="0.25">
      <c r="C846" s="74" t="s">
        <v>21386</v>
      </c>
      <c r="D846" s="74" t="s">
        <v>148</v>
      </c>
      <c r="E846" s="74" t="s">
        <v>21338</v>
      </c>
      <c r="F846" s="74">
        <v>674396</v>
      </c>
      <c r="G846" s="74">
        <v>3</v>
      </c>
      <c r="H846" s="135">
        <v>42996.453888888886</v>
      </c>
      <c r="I846" s="74" t="s">
        <v>21339</v>
      </c>
      <c r="J846" s="74" t="s">
        <v>21364</v>
      </c>
      <c r="K846" s="74" t="s">
        <v>21548</v>
      </c>
      <c r="L846" s="74">
        <v>555666</v>
      </c>
      <c r="M846" s="74" t="s">
        <v>21368</v>
      </c>
      <c r="N846" s="74">
        <v>1</v>
      </c>
      <c r="O846" s="74" t="s">
        <v>21342</v>
      </c>
      <c r="P846" s="74" t="s">
        <v>21343</v>
      </c>
      <c r="Q846" s="74">
        <v>0</v>
      </c>
      <c r="R846" s="74" t="s">
        <v>148</v>
      </c>
      <c r="S846" s="74" t="s">
        <v>21338</v>
      </c>
      <c r="T846" s="74" t="s">
        <v>21371</v>
      </c>
      <c r="U846" s="74">
        <v>0</v>
      </c>
      <c r="V846" s="74">
        <v>0</v>
      </c>
    </row>
    <row r="847" spans="3:22" x14ac:dyDescent="0.25">
      <c r="C847" s="74" t="s">
        <v>735</v>
      </c>
      <c r="D847" s="74" t="s">
        <v>148</v>
      </c>
      <c r="E847" s="74" t="s">
        <v>21338</v>
      </c>
      <c r="F847" s="74">
        <v>570025</v>
      </c>
      <c r="G847" s="74">
        <v>3</v>
      </c>
      <c r="H847" s="135">
        <v>42996.451898148145</v>
      </c>
      <c r="I847" s="74" t="s">
        <v>21398</v>
      </c>
      <c r="J847" s="74" t="s">
        <v>21366</v>
      </c>
      <c r="K847" s="74" t="s">
        <v>21548</v>
      </c>
      <c r="L847" s="74">
        <v>555666</v>
      </c>
      <c r="M847" s="74" t="s">
        <v>21368</v>
      </c>
      <c r="N847" s="74">
        <v>1</v>
      </c>
      <c r="O847" s="74" t="s">
        <v>21369</v>
      </c>
      <c r="P847" s="74" t="s">
        <v>21343</v>
      </c>
      <c r="Q847" s="74" t="s">
        <v>21549</v>
      </c>
      <c r="R847" s="74" t="s">
        <v>148</v>
      </c>
      <c r="S847" s="74" t="s">
        <v>21338</v>
      </c>
      <c r="T847" s="74" t="s">
        <v>21371</v>
      </c>
      <c r="U847" s="74">
        <v>0</v>
      </c>
      <c r="V847" s="74">
        <v>0</v>
      </c>
    </row>
    <row r="848" spans="3:22" x14ac:dyDescent="0.25">
      <c r="C848" s="74" t="s">
        <v>18795</v>
      </c>
      <c r="D848" s="74" t="s">
        <v>148</v>
      </c>
      <c r="E848" s="74" t="s">
        <v>21338</v>
      </c>
      <c r="F848" s="74">
        <v>551367</v>
      </c>
      <c r="G848" s="74">
        <v>1000</v>
      </c>
      <c r="H848" s="135">
        <v>42996.450381944444</v>
      </c>
      <c r="I848" s="74" t="s">
        <v>21339</v>
      </c>
      <c r="J848" s="74" t="s">
        <v>21340</v>
      </c>
      <c r="K848" s="74" t="s">
        <v>9020</v>
      </c>
      <c r="L848" s="74">
        <v>552793</v>
      </c>
      <c r="M848" s="74" t="s">
        <v>21341</v>
      </c>
      <c r="N848" s="74">
        <v>1</v>
      </c>
      <c r="O848" s="74" t="s">
        <v>21342</v>
      </c>
      <c r="P848" s="74" t="s">
        <v>21343</v>
      </c>
      <c r="Q848" s="74">
        <v>0</v>
      </c>
      <c r="R848" s="74" t="s">
        <v>148</v>
      </c>
      <c r="S848" s="74" t="s">
        <v>21338</v>
      </c>
      <c r="T848" s="74" t="s">
        <v>402</v>
      </c>
      <c r="U848" s="74">
        <v>0</v>
      </c>
      <c r="V848" s="74">
        <v>0</v>
      </c>
    </row>
    <row r="849" spans="3:22" x14ac:dyDescent="0.25">
      <c r="C849" s="74" t="s">
        <v>18795</v>
      </c>
      <c r="D849" s="74" t="s">
        <v>148</v>
      </c>
      <c r="E849" s="74" t="s">
        <v>21338</v>
      </c>
      <c r="F849" s="74">
        <v>551367</v>
      </c>
      <c r="G849" s="74">
        <v>1000</v>
      </c>
      <c r="H849" s="135">
        <v>42996.445879629631</v>
      </c>
      <c r="I849" s="74" t="s">
        <v>21339</v>
      </c>
      <c r="J849" s="74" t="s">
        <v>21340</v>
      </c>
      <c r="K849" s="74" t="s">
        <v>21550</v>
      </c>
      <c r="L849" s="74">
        <v>815779</v>
      </c>
      <c r="M849" s="74" t="s">
        <v>21341</v>
      </c>
      <c r="N849" s="74">
        <v>1</v>
      </c>
      <c r="O849" s="74" t="s">
        <v>21342</v>
      </c>
      <c r="P849" s="74" t="s">
        <v>21343</v>
      </c>
      <c r="Q849" s="74">
        <v>0</v>
      </c>
      <c r="R849" s="74" t="s">
        <v>148</v>
      </c>
      <c r="S849" s="74" t="s">
        <v>21338</v>
      </c>
      <c r="T849" s="74" t="s">
        <v>402</v>
      </c>
      <c r="U849" s="74">
        <v>0</v>
      </c>
      <c r="V849" s="74">
        <v>0</v>
      </c>
    </row>
    <row r="850" spans="3:22" x14ac:dyDescent="0.25">
      <c r="C850" s="74" t="s">
        <v>533</v>
      </c>
      <c r="D850" s="74" t="s">
        <v>148</v>
      </c>
      <c r="E850" s="74" t="s">
        <v>21338</v>
      </c>
      <c r="F850" s="74">
        <v>627566</v>
      </c>
      <c r="G850" s="74">
        <v>3</v>
      </c>
      <c r="H850" s="135">
        <v>42996.445451388892</v>
      </c>
      <c r="I850" s="74" t="s">
        <v>21354</v>
      </c>
      <c r="J850" s="74" t="s">
        <v>21355</v>
      </c>
      <c r="K850" s="74" t="s">
        <v>21228</v>
      </c>
      <c r="L850" s="74">
        <v>554337</v>
      </c>
      <c r="M850" s="74" t="s">
        <v>21341</v>
      </c>
      <c r="N850" s="74">
        <v>1</v>
      </c>
      <c r="O850" s="74" t="s">
        <v>21342</v>
      </c>
      <c r="P850" s="74" t="s">
        <v>21345</v>
      </c>
      <c r="R850" s="74" t="s">
        <v>148</v>
      </c>
      <c r="S850" s="74" t="s">
        <v>21338</v>
      </c>
      <c r="T850" s="74" t="s">
        <v>402</v>
      </c>
      <c r="U850" s="74">
        <v>0</v>
      </c>
      <c r="V850" s="74">
        <v>0</v>
      </c>
    </row>
    <row r="851" spans="3:22" x14ac:dyDescent="0.25">
      <c r="C851" s="74" t="s">
        <v>533</v>
      </c>
      <c r="D851" s="74" t="s">
        <v>148</v>
      </c>
      <c r="E851" s="74" t="s">
        <v>21338</v>
      </c>
      <c r="F851" s="74">
        <v>627566</v>
      </c>
      <c r="G851" s="74">
        <v>3</v>
      </c>
      <c r="H851" s="135">
        <v>42996.445092592592</v>
      </c>
      <c r="I851" s="74" t="s">
        <v>21339</v>
      </c>
      <c r="J851" s="74" t="s">
        <v>21360</v>
      </c>
      <c r="K851" s="74" t="s">
        <v>21228</v>
      </c>
      <c r="L851" s="74">
        <v>554337</v>
      </c>
      <c r="M851" s="74" t="s">
        <v>21341</v>
      </c>
      <c r="N851" s="74">
        <v>1</v>
      </c>
      <c r="O851" s="74" t="s">
        <v>21359</v>
      </c>
      <c r="P851" s="74" t="s">
        <v>21343</v>
      </c>
      <c r="Q851" s="74" t="s">
        <v>21395</v>
      </c>
      <c r="R851" s="74" t="s">
        <v>148</v>
      </c>
      <c r="S851" s="74" t="s">
        <v>21338</v>
      </c>
      <c r="T851" s="74" t="s">
        <v>402</v>
      </c>
      <c r="U851" s="74">
        <v>0</v>
      </c>
      <c r="V851" s="74">
        <v>0</v>
      </c>
    </row>
    <row r="852" spans="3:22" x14ac:dyDescent="0.25">
      <c r="C852" s="74" t="s">
        <v>18795</v>
      </c>
      <c r="D852" s="74" t="s">
        <v>148</v>
      </c>
      <c r="E852" s="74" t="s">
        <v>21338</v>
      </c>
      <c r="F852" s="74">
        <v>551367</v>
      </c>
      <c r="G852" s="74">
        <v>1000</v>
      </c>
      <c r="H852" s="135">
        <v>42996.442708333336</v>
      </c>
      <c r="I852" s="74" t="s">
        <v>21339</v>
      </c>
      <c r="J852" s="74" t="s">
        <v>21340</v>
      </c>
      <c r="K852" s="74" t="s">
        <v>9635</v>
      </c>
      <c r="L852" s="74">
        <v>552872</v>
      </c>
      <c r="M852" s="74" t="s">
        <v>21341</v>
      </c>
      <c r="N852" s="74">
        <v>1</v>
      </c>
      <c r="O852" s="74" t="s">
        <v>21342</v>
      </c>
      <c r="P852" s="74" t="s">
        <v>21343</v>
      </c>
      <c r="Q852" s="74">
        <v>0</v>
      </c>
      <c r="R852" s="74" t="s">
        <v>148</v>
      </c>
      <c r="S852" s="74" t="s">
        <v>21338</v>
      </c>
      <c r="T852" s="74" t="s">
        <v>402</v>
      </c>
      <c r="U852" s="74">
        <v>0</v>
      </c>
      <c r="V852" s="74">
        <v>0</v>
      </c>
    </row>
    <row r="853" spans="3:22" x14ac:dyDescent="0.25">
      <c r="C853" s="74" t="s">
        <v>18795</v>
      </c>
      <c r="D853" s="74" t="s">
        <v>148</v>
      </c>
      <c r="E853" s="74" t="s">
        <v>21338</v>
      </c>
      <c r="F853" s="74">
        <v>551367</v>
      </c>
      <c r="G853" s="74">
        <v>1000</v>
      </c>
      <c r="H853" s="135">
        <v>42996.438576388886</v>
      </c>
      <c r="I853" s="74" t="s">
        <v>21339</v>
      </c>
      <c r="J853" s="74" t="s">
        <v>21340</v>
      </c>
      <c r="K853" s="74" t="s">
        <v>7386</v>
      </c>
      <c r="L853" s="74">
        <v>551702</v>
      </c>
      <c r="M853" s="74" t="s">
        <v>21341</v>
      </c>
      <c r="N853" s="74">
        <v>1</v>
      </c>
      <c r="O853" s="74" t="s">
        <v>21342</v>
      </c>
      <c r="P853" s="74" t="s">
        <v>21343</v>
      </c>
      <c r="Q853" s="74">
        <v>0</v>
      </c>
      <c r="R853" s="74" t="s">
        <v>148</v>
      </c>
      <c r="S853" s="74" t="s">
        <v>21338</v>
      </c>
      <c r="T853" s="74" t="s">
        <v>402</v>
      </c>
      <c r="U853" s="74">
        <v>0</v>
      </c>
      <c r="V853" s="74">
        <v>0</v>
      </c>
    </row>
    <row r="854" spans="3:22" x14ac:dyDescent="0.25">
      <c r="C854" s="74" t="s">
        <v>18795</v>
      </c>
      <c r="D854" s="74" t="s">
        <v>148</v>
      </c>
      <c r="E854" s="74" t="s">
        <v>21338</v>
      </c>
      <c r="F854" s="74">
        <v>551367</v>
      </c>
      <c r="G854" s="74">
        <v>1000</v>
      </c>
      <c r="H854" s="135">
        <v>42996.437048611115</v>
      </c>
      <c r="I854" s="74" t="s">
        <v>21339</v>
      </c>
      <c r="J854" s="74" t="s">
        <v>21340</v>
      </c>
      <c r="K854" s="74" t="s">
        <v>14395</v>
      </c>
      <c r="L854" s="74">
        <v>553496</v>
      </c>
      <c r="M854" s="74" t="s">
        <v>21341</v>
      </c>
      <c r="N854" s="74">
        <v>1</v>
      </c>
      <c r="O854" s="74" t="s">
        <v>21342</v>
      </c>
      <c r="P854" s="74" t="s">
        <v>21343</v>
      </c>
      <c r="Q854" s="74">
        <v>0</v>
      </c>
      <c r="R854" s="74" t="s">
        <v>148</v>
      </c>
      <c r="S854" s="74" t="s">
        <v>21338</v>
      </c>
      <c r="T854" s="74" t="s">
        <v>402</v>
      </c>
      <c r="U854" s="74">
        <v>0</v>
      </c>
      <c r="V854" s="74">
        <v>0</v>
      </c>
    </row>
    <row r="855" spans="3:22" x14ac:dyDescent="0.25">
      <c r="C855" s="74" t="s">
        <v>18795</v>
      </c>
      <c r="D855" s="74" t="s">
        <v>148</v>
      </c>
      <c r="E855" s="74" t="s">
        <v>21338</v>
      </c>
      <c r="F855" s="74">
        <v>551367</v>
      </c>
      <c r="G855" s="74">
        <v>1000</v>
      </c>
      <c r="H855" s="135">
        <v>42996.436909722222</v>
      </c>
      <c r="I855" s="74" t="s">
        <v>21339</v>
      </c>
      <c r="J855" s="74" t="s">
        <v>21340</v>
      </c>
      <c r="K855" s="74" t="s">
        <v>6866</v>
      </c>
      <c r="L855" s="74">
        <v>552521</v>
      </c>
      <c r="M855" s="74" t="s">
        <v>21341</v>
      </c>
      <c r="N855" s="74">
        <v>1</v>
      </c>
      <c r="O855" s="74" t="s">
        <v>21342</v>
      </c>
      <c r="P855" s="74" t="s">
        <v>21343</v>
      </c>
      <c r="Q855" s="74">
        <v>0</v>
      </c>
      <c r="R855" s="74" t="s">
        <v>148</v>
      </c>
      <c r="S855" s="74" t="s">
        <v>21338</v>
      </c>
      <c r="T855" s="74" t="s">
        <v>402</v>
      </c>
      <c r="U855" s="74">
        <v>0</v>
      </c>
      <c r="V855" s="74">
        <v>0</v>
      </c>
    </row>
    <row r="856" spans="3:22" x14ac:dyDescent="0.25">
      <c r="C856" s="74" t="s">
        <v>18795</v>
      </c>
      <c r="D856" s="74" t="s">
        <v>148</v>
      </c>
      <c r="E856" s="74" t="s">
        <v>21338</v>
      </c>
      <c r="F856" s="74">
        <v>551367</v>
      </c>
      <c r="G856" s="74">
        <v>1000</v>
      </c>
      <c r="H856" s="135">
        <v>42996.436099537037</v>
      </c>
      <c r="I856" s="74" t="s">
        <v>21339</v>
      </c>
      <c r="J856" s="74" t="s">
        <v>21340</v>
      </c>
      <c r="K856" s="74" t="s">
        <v>19810</v>
      </c>
      <c r="L856" s="74">
        <v>554145</v>
      </c>
      <c r="M856" s="74" t="s">
        <v>21341</v>
      </c>
      <c r="N856" s="74">
        <v>1</v>
      </c>
      <c r="O856" s="74" t="s">
        <v>21342</v>
      </c>
      <c r="P856" s="74" t="s">
        <v>21343</v>
      </c>
      <c r="Q856" s="74">
        <v>0</v>
      </c>
      <c r="R856" s="74" t="s">
        <v>148</v>
      </c>
      <c r="S856" s="74" t="s">
        <v>21338</v>
      </c>
      <c r="T856" s="74" t="s">
        <v>402</v>
      </c>
      <c r="U856" s="74">
        <v>0</v>
      </c>
      <c r="V856" s="74">
        <v>0</v>
      </c>
    </row>
    <row r="857" spans="3:22" x14ac:dyDescent="0.25">
      <c r="C857" s="74" t="s">
        <v>18795</v>
      </c>
      <c r="D857" s="74" t="s">
        <v>148</v>
      </c>
      <c r="E857" s="74" t="s">
        <v>21338</v>
      </c>
      <c r="F857" s="74">
        <v>551367</v>
      </c>
      <c r="G857" s="74">
        <v>1000</v>
      </c>
      <c r="H857" s="135">
        <v>42996.42800925926</v>
      </c>
      <c r="I857" s="74" t="s">
        <v>21339</v>
      </c>
      <c r="J857" s="74" t="s">
        <v>21340</v>
      </c>
      <c r="K857" s="74" t="s">
        <v>20843</v>
      </c>
      <c r="L857" s="74">
        <v>554273</v>
      </c>
      <c r="M857" s="74" t="s">
        <v>21341</v>
      </c>
      <c r="N857" s="74">
        <v>1</v>
      </c>
      <c r="O857" s="74" t="s">
        <v>21342</v>
      </c>
      <c r="P857" s="74" t="s">
        <v>21343</v>
      </c>
      <c r="Q857" s="74">
        <v>0</v>
      </c>
      <c r="R857" s="74" t="s">
        <v>148</v>
      </c>
      <c r="S857" s="74" t="s">
        <v>21338</v>
      </c>
      <c r="T857" s="74" t="s">
        <v>402</v>
      </c>
      <c r="U857" s="74">
        <v>0</v>
      </c>
      <c r="V857" s="74">
        <v>0</v>
      </c>
    </row>
    <row r="858" spans="3:22" x14ac:dyDescent="0.25">
      <c r="C858" s="74" t="s">
        <v>18795</v>
      </c>
      <c r="D858" s="74" t="s">
        <v>148</v>
      </c>
      <c r="E858" s="74" t="s">
        <v>21338</v>
      </c>
      <c r="F858" s="74">
        <v>551367</v>
      </c>
      <c r="G858" s="74">
        <v>1000</v>
      </c>
      <c r="H858" s="135">
        <v>42996.423981481479</v>
      </c>
      <c r="I858" s="74" t="s">
        <v>21339</v>
      </c>
      <c r="J858" s="74" t="s">
        <v>21340</v>
      </c>
      <c r="K858" s="74" t="s">
        <v>1062</v>
      </c>
      <c r="L858" s="74">
        <v>551786</v>
      </c>
      <c r="M858" s="74" t="s">
        <v>21341</v>
      </c>
      <c r="N858" s="74">
        <v>1</v>
      </c>
      <c r="O858" s="74" t="s">
        <v>21342</v>
      </c>
      <c r="P858" s="74" t="s">
        <v>21343</v>
      </c>
      <c r="Q858" s="74">
        <v>0</v>
      </c>
      <c r="R858" s="74" t="s">
        <v>148</v>
      </c>
      <c r="S858" s="74" t="s">
        <v>21338</v>
      </c>
      <c r="T858" s="74" t="s">
        <v>402</v>
      </c>
      <c r="U858" s="74">
        <v>0</v>
      </c>
      <c r="V858" s="74">
        <v>0</v>
      </c>
    </row>
    <row r="859" spans="3:22" x14ac:dyDescent="0.25">
      <c r="C859" s="74" t="s">
        <v>18795</v>
      </c>
      <c r="D859" s="74" t="s">
        <v>148</v>
      </c>
      <c r="E859" s="74" t="s">
        <v>21338</v>
      </c>
      <c r="F859" s="74">
        <v>551367</v>
      </c>
      <c r="G859" s="74">
        <v>1000</v>
      </c>
      <c r="H859" s="135">
        <v>42996.419571759259</v>
      </c>
      <c r="I859" s="74" t="s">
        <v>21339</v>
      </c>
      <c r="J859" s="74" t="s">
        <v>21340</v>
      </c>
      <c r="K859" s="74" t="s">
        <v>13223</v>
      </c>
      <c r="L859" s="74">
        <v>553326</v>
      </c>
      <c r="M859" s="74" t="s">
        <v>21341</v>
      </c>
      <c r="N859" s="74">
        <v>1</v>
      </c>
      <c r="O859" s="74" t="s">
        <v>21342</v>
      </c>
      <c r="P859" s="74" t="s">
        <v>21343</v>
      </c>
      <c r="Q859" s="74">
        <v>0</v>
      </c>
      <c r="R859" s="74" t="s">
        <v>148</v>
      </c>
      <c r="S859" s="74" t="s">
        <v>21338</v>
      </c>
      <c r="T859" s="74" t="s">
        <v>402</v>
      </c>
      <c r="U859" s="74">
        <v>0</v>
      </c>
      <c r="V859" s="74">
        <v>0</v>
      </c>
    </row>
    <row r="860" spans="3:22" x14ac:dyDescent="0.25">
      <c r="C860" s="74" t="s">
        <v>18795</v>
      </c>
      <c r="D860" s="74" t="s">
        <v>148</v>
      </c>
      <c r="E860" s="74" t="s">
        <v>21338</v>
      </c>
      <c r="F860" s="74">
        <v>551367</v>
      </c>
      <c r="G860" s="74">
        <v>1000</v>
      </c>
      <c r="H860" s="135">
        <v>42996.409861111111</v>
      </c>
      <c r="I860" s="74" t="s">
        <v>21339</v>
      </c>
      <c r="J860" s="74" t="s">
        <v>21340</v>
      </c>
      <c r="K860" s="74" t="s">
        <v>4033</v>
      </c>
      <c r="L860" s="74">
        <v>551675</v>
      </c>
      <c r="M860" s="74" t="s">
        <v>21341</v>
      </c>
      <c r="N860" s="74">
        <v>1</v>
      </c>
      <c r="O860" s="74" t="s">
        <v>21342</v>
      </c>
      <c r="P860" s="74" t="s">
        <v>21343</v>
      </c>
      <c r="Q860" s="74">
        <v>0</v>
      </c>
      <c r="R860" s="74" t="s">
        <v>148</v>
      </c>
      <c r="S860" s="74" t="s">
        <v>21338</v>
      </c>
      <c r="T860" s="74" t="s">
        <v>402</v>
      </c>
      <c r="U860" s="74">
        <v>0</v>
      </c>
      <c r="V860" s="74">
        <v>0</v>
      </c>
    </row>
    <row r="861" spans="3:22" x14ac:dyDescent="0.25">
      <c r="C861" s="74" t="s">
        <v>18795</v>
      </c>
      <c r="D861" s="74" t="s">
        <v>148</v>
      </c>
      <c r="E861" s="74" t="s">
        <v>21338</v>
      </c>
      <c r="F861" s="74">
        <v>551367</v>
      </c>
      <c r="G861" s="74">
        <v>1000</v>
      </c>
      <c r="H861" s="135">
        <v>42996.409097222226</v>
      </c>
      <c r="I861" s="74" t="s">
        <v>21339</v>
      </c>
      <c r="J861" s="74" t="s">
        <v>21340</v>
      </c>
      <c r="K861" s="74" t="s">
        <v>15212</v>
      </c>
      <c r="L861" s="74">
        <v>553587</v>
      </c>
      <c r="M861" s="74" t="s">
        <v>21341</v>
      </c>
      <c r="N861" s="74">
        <v>1</v>
      </c>
      <c r="O861" s="74" t="s">
        <v>21342</v>
      </c>
      <c r="P861" s="74" t="s">
        <v>21343</v>
      </c>
      <c r="Q861" s="74">
        <v>0</v>
      </c>
      <c r="R861" s="74" t="s">
        <v>148</v>
      </c>
      <c r="S861" s="74" t="s">
        <v>21338</v>
      </c>
      <c r="T861" s="74" t="s">
        <v>402</v>
      </c>
      <c r="U861" s="74">
        <v>0</v>
      </c>
      <c r="V861" s="74">
        <v>0</v>
      </c>
    </row>
    <row r="862" spans="3:22" x14ac:dyDescent="0.25">
      <c r="C862" s="74" t="s">
        <v>18795</v>
      </c>
      <c r="D862" s="74" t="s">
        <v>148</v>
      </c>
      <c r="E862" s="74" t="s">
        <v>21338</v>
      </c>
      <c r="F862" s="74">
        <v>551367</v>
      </c>
      <c r="G862" s="74">
        <v>1000</v>
      </c>
      <c r="H862" s="135">
        <v>42996.403217592589</v>
      </c>
      <c r="I862" s="74" t="s">
        <v>21339</v>
      </c>
      <c r="J862" s="74" t="s">
        <v>21340</v>
      </c>
      <c r="K862" s="74" t="s">
        <v>21551</v>
      </c>
      <c r="L862" s="74">
        <v>729232</v>
      </c>
      <c r="M862" s="74" t="s">
        <v>21341</v>
      </c>
      <c r="N862" s="74">
        <v>1</v>
      </c>
      <c r="O862" s="74" t="s">
        <v>21342</v>
      </c>
      <c r="P862" s="74" t="s">
        <v>21343</v>
      </c>
      <c r="Q862" s="74">
        <v>0</v>
      </c>
      <c r="R862" s="74" t="s">
        <v>148</v>
      </c>
      <c r="S862" s="74" t="s">
        <v>21338</v>
      </c>
      <c r="T862" s="74" t="s">
        <v>402</v>
      </c>
      <c r="U862" s="74">
        <v>0</v>
      </c>
      <c r="V862" s="74">
        <v>0</v>
      </c>
    </row>
    <row r="863" spans="3:22" x14ac:dyDescent="0.25">
      <c r="C863" s="74" t="s">
        <v>18795</v>
      </c>
      <c r="D863" s="74" t="s">
        <v>148</v>
      </c>
      <c r="E863" s="74" t="s">
        <v>21338</v>
      </c>
      <c r="F863" s="74">
        <v>551367</v>
      </c>
      <c r="G863" s="74">
        <v>1000</v>
      </c>
      <c r="H863" s="135">
        <v>42996.403078703705</v>
      </c>
      <c r="I863" s="74" t="s">
        <v>21339</v>
      </c>
      <c r="J863" s="74" t="s">
        <v>21340</v>
      </c>
      <c r="K863" s="74" t="s">
        <v>21552</v>
      </c>
      <c r="L863" s="74">
        <v>560977</v>
      </c>
      <c r="M863" s="74" t="s">
        <v>21341</v>
      </c>
      <c r="N863" s="74">
        <v>1</v>
      </c>
      <c r="O863" s="74" t="s">
        <v>21342</v>
      </c>
      <c r="P863" s="74" t="s">
        <v>21343</v>
      </c>
      <c r="Q863" s="74">
        <v>0</v>
      </c>
      <c r="R863" s="74" t="s">
        <v>148</v>
      </c>
      <c r="S863" s="74" t="s">
        <v>21338</v>
      </c>
      <c r="T863" s="74" t="s">
        <v>393</v>
      </c>
      <c r="U863" s="74">
        <v>0</v>
      </c>
      <c r="V863" s="74">
        <v>0</v>
      </c>
    </row>
    <row r="864" spans="3:22" x14ac:dyDescent="0.25">
      <c r="C864" s="74" t="s">
        <v>18795</v>
      </c>
      <c r="D864" s="74" t="s">
        <v>148</v>
      </c>
      <c r="E864" s="74" t="s">
        <v>21338</v>
      </c>
      <c r="F864" s="74">
        <v>551367</v>
      </c>
      <c r="G864" s="74">
        <v>1000</v>
      </c>
      <c r="H864" s="135">
        <v>42996.402662037035</v>
      </c>
      <c r="I864" s="74" t="s">
        <v>21339</v>
      </c>
      <c r="J864" s="74" t="s">
        <v>21340</v>
      </c>
      <c r="K864" s="74" t="s">
        <v>7304</v>
      </c>
      <c r="L864" s="74">
        <v>551701</v>
      </c>
      <c r="M864" s="74" t="s">
        <v>21341</v>
      </c>
      <c r="N864" s="74">
        <v>1</v>
      </c>
      <c r="O864" s="74" t="s">
        <v>21342</v>
      </c>
      <c r="P864" s="74" t="s">
        <v>21343</v>
      </c>
      <c r="Q864" s="74">
        <v>0</v>
      </c>
      <c r="R864" s="74" t="s">
        <v>148</v>
      </c>
      <c r="S864" s="74" t="s">
        <v>21338</v>
      </c>
      <c r="T864" s="74" t="s">
        <v>402</v>
      </c>
      <c r="U864" s="74">
        <v>0</v>
      </c>
      <c r="V864" s="74">
        <v>0</v>
      </c>
    </row>
    <row r="865" spans="3:22" x14ac:dyDescent="0.25">
      <c r="C865" s="74" t="s">
        <v>735</v>
      </c>
      <c r="D865" s="74" t="s">
        <v>148</v>
      </c>
      <c r="E865" s="74" t="s">
        <v>21338</v>
      </c>
      <c r="F865" s="74">
        <v>570025</v>
      </c>
      <c r="G865" s="74">
        <v>3</v>
      </c>
      <c r="H865" s="135">
        <v>42996.398564814815</v>
      </c>
      <c r="I865" s="74" t="s">
        <v>21339</v>
      </c>
      <c r="J865" s="74" t="s">
        <v>21364</v>
      </c>
      <c r="K865" s="74" t="s">
        <v>18617</v>
      </c>
      <c r="L865" s="74">
        <v>554021</v>
      </c>
      <c r="M865" s="74" t="s">
        <v>21341</v>
      </c>
      <c r="N865" s="74">
        <v>1</v>
      </c>
      <c r="O865" s="74" t="s">
        <v>21342</v>
      </c>
      <c r="P865" s="74" t="s">
        <v>21343</v>
      </c>
      <c r="Q865" s="74">
        <v>0</v>
      </c>
      <c r="R865" s="74" t="s">
        <v>148</v>
      </c>
      <c r="S865" s="74" t="s">
        <v>21338</v>
      </c>
      <c r="T865" s="74" t="s">
        <v>393</v>
      </c>
      <c r="U865" s="74">
        <v>0</v>
      </c>
      <c r="V865" s="74">
        <v>0</v>
      </c>
    </row>
    <row r="866" spans="3:22" x14ac:dyDescent="0.25">
      <c r="C866" s="74" t="s">
        <v>735</v>
      </c>
      <c r="D866" s="74" t="s">
        <v>148</v>
      </c>
      <c r="E866" s="74" t="s">
        <v>21338</v>
      </c>
      <c r="F866" s="74">
        <v>570025</v>
      </c>
      <c r="G866" s="74">
        <v>3</v>
      </c>
      <c r="H866" s="135">
        <v>42996.398553240739</v>
      </c>
      <c r="I866" s="74" t="s">
        <v>21365</v>
      </c>
      <c r="J866" s="74" t="s">
        <v>21366</v>
      </c>
      <c r="K866" s="74" t="s">
        <v>21367</v>
      </c>
      <c r="L866" s="74">
        <v>561482</v>
      </c>
      <c r="M866" s="74" t="s">
        <v>21368</v>
      </c>
      <c r="N866" s="74">
        <v>1</v>
      </c>
      <c r="O866" s="74" t="s">
        <v>21369</v>
      </c>
      <c r="P866" s="74" t="s">
        <v>21343</v>
      </c>
      <c r="Q866" s="74" t="s">
        <v>21553</v>
      </c>
      <c r="R866" s="74" t="s">
        <v>148</v>
      </c>
      <c r="S866" s="74" t="s">
        <v>21338</v>
      </c>
      <c r="T866" s="74" t="s">
        <v>21371</v>
      </c>
      <c r="U866" s="74">
        <v>0</v>
      </c>
      <c r="V866" s="74">
        <v>0</v>
      </c>
    </row>
    <row r="867" spans="3:22" x14ac:dyDescent="0.25">
      <c r="C867" s="74" t="s">
        <v>735</v>
      </c>
      <c r="D867" s="74" t="s">
        <v>148</v>
      </c>
      <c r="E867" s="74" t="s">
        <v>21338</v>
      </c>
      <c r="F867" s="74">
        <v>570025</v>
      </c>
      <c r="G867" s="74">
        <v>3</v>
      </c>
      <c r="H867" s="135">
        <v>42996.398530092592</v>
      </c>
      <c r="I867" s="74" t="s">
        <v>21365</v>
      </c>
      <c r="J867" s="74" t="s">
        <v>21366</v>
      </c>
      <c r="K867" s="74" t="s">
        <v>21373</v>
      </c>
      <c r="L867" s="74">
        <v>555662</v>
      </c>
      <c r="M867" s="74" t="s">
        <v>21368</v>
      </c>
      <c r="N867" s="74">
        <v>1</v>
      </c>
      <c r="O867" s="74" t="s">
        <v>21369</v>
      </c>
      <c r="P867" s="74" t="s">
        <v>21343</v>
      </c>
      <c r="Q867" s="74" t="s">
        <v>21553</v>
      </c>
      <c r="R867" s="74" t="s">
        <v>148</v>
      </c>
      <c r="S867" s="74" t="s">
        <v>21338</v>
      </c>
      <c r="T867" s="74" t="s">
        <v>21371</v>
      </c>
      <c r="U867" s="74">
        <v>0</v>
      </c>
      <c r="V867" s="74">
        <v>0</v>
      </c>
    </row>
    <row r="868" spans="3:22" x14ac:dyDescent="0.25">
      <c r="C868" s="74" t="s">
        <v>735</v>
      </c>
      <c r="D868" s="74" t="s">
        <v>148</v>
      </c>
      <c r="E868" s="74" t="s">
        <v>21338</v>
      </c>
      <c r="F868" s="74">
        <v>570025</v>
      </c>
      <c r="G868" s="74">
        <v>3</v>
      </c>
      <c r="H868" s="135">
        <v>42996.398518518516</v>
      </c>
      <c r="I868" s="74" t="s">
        <v>21365</v>
      </c>
      <c r="J868" s="74" t="s">
        <v>21366</v>
      </c>
      <c r="K868" s="74" t="s">
        <v>21376</v>
      </c>
      <c r="L868" s="74">
        <v>555659</v>
      </c>
      <c r="M868" s="74" t="s">
        <v>21368</v>
      </c>
      <c r="N868" s="74">
        <v>1</v>
      </c>
      <c r="O868" s="74" t="s">
        <v>21369</v>
      </c>
      <c r="P868" s="74" t="s">
        <v>21343</v>
      </c>
      <c r="Q868" s="74" t="s">
        <v>21553</v>
      </c>
      <c r="R868" s="74" t="s">
        <v>148</v>
      </c>
      <c r="S868" s="74" t="s">
        <v>21338</v>
      </c>
      <c r="T868" s="74" t="s">
        <v>21371</v>
      </c>
      <c r="U868" s="74">
        <v>0</v>
      </c>
      <c r="V868" s="74">
        <v>0</v>
      </c>
    </row>
    <row r="869" spans="3:22" x14ac:dyDescent="0.25">
      <c r="C869" s="74" t="s">
        <v>735</v>
      </c>
      <c r="D869" s="74" t="s">
        <v>148</v>
      </c>
      <c r="E869" s="74" t="s">
        <v>21338</v>
      </c>
      <c r="F869" s="74">
        <v>570025</v>
      </c>
      <c r="G869" s="74">
        <v>3</v>
      </c>
      <c r="H869" s="135">
        <v>42996.398506944446</v>
      </c>
      <c r="I869" s="74" t="s">
        <v>21365</v>
      </c>
      <c r="J869" s="74" t="s">
        <v>21366</v>
      </c>
      <c r="K869" s="74" t="s">
        <v>21377</v>
      </c>
      <c r="L869" s="74">
        <v>555668</v>
      </c>
      <c r="M869" s="74" t="s">
        <v>21368</v>
      </c>
      <c r="N869" s="74">
        <v>1</v>
      </c>
      <c r="O869" s="74" t="s">
        <v>21369</v>
      </c>
      <c r="P869" s="74" t="s">
        <v>21343</v>
      </c>
      <c r="Q869" s="74" t="s">
        <v>21553</v>
      </c>
      <c r="R869" s="74" t="s">
        <v>148</v>
      </c>
      <c r="S869" s="74" t="s">
        <v>21338</v>
      </c>
      <c r="T869" s="74" t="s">
        <v>21371</v>
      </c>
      <c r="U869" s="74">
        <v>0</v>
      </c>
      <c r="V869" s="74">
        <v>0</v>
      </c>
    </row>
    <row r="870" spans="3:22" x14ac:dyDescent="0.25">
      <c r="C870" s="74" t="s">
        <v>735</v>
      </c>
      <c r="D870" s="74" t="s">
        <v>148</v>
      </c>
      <c r="E870" s="74" t="s">
        <v>21338</v>
      </c>
      <c r="F870" s="74">
        <v>570025</v>
      </c>
      <c r="G870" s="74">
        <v>3</v>
      </c>
      <c r="H870" s="135">
        <v>42996.398472222223</v>
      </c>
      <c r="I870" s="74" t="s">
        <v>21339</v>
      </c>
      <c r="J870" s="74" t="s">
        <v>21364</v>
      </c>
      <c r="K870" s="74" t="s">
        <v>18617</v>
      </c>
      <c r="L870" s="74">
        <v>554021</v>
      </c>
      <c r="M870" s="74" t="s">
        <v>21341</v>
      </c>
      <c r="N870" s="74">
        <v>1</v>
      </c>
      <c r="O870" s="74" t="s">
        <v>21342</v>
      </c>
      <c r="P870" s="74" t="s">
        <v>21343</v>
      </c>
      <c r="Q870" s="74">
        <v>0</v>
      </c>
      <c r="R870" s="74" t="s">
        <v>148</v>
      </c>
      <c r="S870" s="74" t="s">
        <v>21338</v>
      </c>
      <c r="T870" s="74" t="s">
        <v>393</v>
      </c>
      <c r="U870" s="74">
        <v>0</v>
      </c>
      <c r="V870" s="74">
        <v>0</v>
      </c>
    </row>
    <row r="871" spans="3:22" x14ac:dyDescent="0.25">
      <c r="C871" s="74" t="s">
        <v>735</v>
      </c>
      <c r="D871" s="74" t="s">
        <v>148</v>
      </c>
      <c r="E871" s="74" t="s">
        <v>21338</v>
      </c>
      <c r="F871" s="74">
        <v>570025</v>
      </c>
      <c r="G871" s="74">
        <v>3</v>
      </c>
      <c r="H871" s="135">
        <v>42996.398402777777</v>
      </c>
      <c r="I871" s="74" t="s">
        <v>21339</v>
      </c>
      <c r="J871" s="74" t="s">
        <v>21364</v>
      </c>
      <c r="K871" s="74" t="s">
        <v>18617</v>
      </c>
      <c r="L871" s="74">
        <v>554021</v>
      </c>
      <c r="M871" s="74" t="s">
        <v>21341</v>
      </c>
      <c r="N871" s="74">
        <v>1</v>
      </c>
      <c r="O871" s="74" t="s">
        <v>21342</v>
      </c>
      <c r="P871" s="74" t="s">
        <v>21343</v>
      </c>
      <c r="Q871" s="74">
        <v>0</v>
      </c>
      <c r="R871" s="74" t="s">
        <v>148</v>
      </c>
      <c r="S871" s="74" t="s">
        <v>21338</v>
      </c>
      <c r="T871" s="74" t="s">
        <v>393</v>
      </c>
      <c r="U871" s="74">
        <v>0</v>
      </c>
      <c r="V871" s="74">
        <v>0</v>
      </c>
    </row>
    <row r="872" spans="3:22" x14ac:dyDescent="0.25">
      <c r="C872" s="74" t="s">
        <v>18795</v>
      </c>
      <c r="D872" s="74" t="s">
        <v>148</v>
      </c>
      <c r="E872" s="74" t="s">
        <v>21338</v>
      </c>
      <c r="F872" s="74">
        <v>551367</v>
      </c>
      <c r="G872" s="74">
        <v>1000</v>
      </c>
      <c r="H872" s="135">
        <v>42996.39770833333</v>
      </c>
      <c r="I872" s="74" t="s">
        <v>21339</v>
      </c>
      <c r="J872" s="74" t="s">
        <v>21340</v>
      </c>
      <c r="K872" s="74" t="s">
        <v>2836</v>
      </c>
      <c r="L872" s="74">
        <v>552031</v>
      </c>
      <c r="M872" s="74" t="s">
        <v>21341</v>
      </c>
      <c r="N872" s="74">
        <v>1</v>
      </c>
      <c r="O872" s="74" t="s">
        <v>21342</v>
      </c>
      <c r="P872" s="74" t="s">
        <v>21343</v>
      </c>
      <c r="Q872" s="74">
        <v>0</v>
      </c>
      <c r="R872" s="74" t="s">
        <v>148</v>
      </c>
      <c r="S872" s="74" t="s">
        <v>21338</v>
      </c>
      <c r="T872" s="74" t="s">
        <v>402</v>
      </c>
      <c r="U872" s="74">
        <v>0</v>
      </c>
      <c r="V872" s="74">
        <v>0</v>
      </c>
    </row>
    <row r="873" spans="3:22" x14ac:dyDescent="0.25">
      <c r="C873" s="74" t="s">
        <v>735</v>
      </c>
      <c r="D873" s="74" t="s">
        <v>148</v>
      </c>
      <c r="E873" s="74" t="s">
        <v>21338</v>
      </c>
      <c r="F873" s="74">
        <v>570025</v>
      </c>
      <c r="G873" s="74">
        <v>3</v>
      </c>
      <c r="H873" s="135">
        <v>42996.396921296298</v>
      </c>
      <c r="I873" s="74" t="s">
        <v>21339</v>
      </c>
      <c r="J873" s="74" t="s">
        <v>21360</v>
      </c>
      <c r="K873" s="74" t="s">
        <v>18617</v>
      </c>
      <c r="L873" s="74">
        <v>554021</v>
      </c>
      <c r="M873" s="74" t="s">
        <v>21341</v>
      </c>
      <c r="N873" s="74">
        <v>1</v>
      </c>
      <c r="O873" s="74" t="s">
        <v>21342</v>
      </c>
      <c r="P873" s="74" t="s">
        <v>21343</v>
      </c>
      <c r="Q873" s="74" t="s">
        <v>21361</v>
      </c>
      <c r="R873" s="74" t="s">
        <v>148</v>
      </c>
      <c r="S873" s="74" t="s">
        <v>21338</v>
      </c>
      <c r="T873" s="74" t="s">
        <v>393</v>
      </c>
      <c r="U873" s="74">
        <v>0</v>
      </c>
      <c r="V873" s="74">
        <v>0</v>
      </c>
    </row>
    <row r="874" spans="3:22" x14ac:dyDescent="0.25">
      <c r="C874" s="74" t="s">
        <v>21385</v>
      </c>
      <c r="D874" s="74" t="s">
        <v>148</v>
      </c>
      <c r="E874" s="74" t="s">
        <v>21338</v>
      </c>
      <c r="F874" s="74">
        <v>560579</v>
      </c>
      <c r="G874" s="74">
        <v>3</v>
      </c>
      <c r="H874" s="135">
        <v>42996.396018518521</v>
      </c>
      <c r="I874" s="74" t="s">
        <v>21354</v>
      </c>
      <c r="J874" s="74" t="s">
        <v>21355</v>
      </c>
      <c r="K874" s="74" t="s">
        <v>21514</v>
      </c>
      <c r="L874" s="74">
        <v>815406</v>
      </c>
      <c r="M874" s="74" t="s">
        <v>21341</v>
      </c>
      <c r="N874" s="74">
        <v>1</v>
      </c>
      <c r="O874" s="74" t="s">
        <v>21342</v>
      </c>
      <c r="P874" s="74" t="s">
        <v>21345</v>
      </c>
      <c r="R874" s="74" t="s">
        <v>148</v>
      </c>
      <c r="S874" s="74" t="s">
        <v>21338</v>
      </c>
      <c r="T874" s="74" t="s">
        <v>402</v>
      </c>
      <c r="U874" s="74">
        <v>0</v>
      </c>
      <c r="V874" s="74">
        <v>0</v>
      </c>
    </row>
    <row r="875" spans="3:22" x14ac:dyDescent="0.25">
      <c r="C875" s="74" t="s">
        <v>21385</v>
      </c>
      <c r="D875" s="74" t="s">
        <v>148</v>
      </c>
      <c r="E875" s="74" t="s">
        <v>21338</v>
      </c>
      <c r="F875" s="74">
        <v>560579</v>
      </c>
      <c r="G875" s="74">
        <v>3</v>
      </c>
      <c r="H875" s="135">
        <v>42996.395868055559</v>
      </c>
      <c r="I875" s="74" t="s">
        <v>21354</v>
      </c>
      <c r="J875" s="74" t="s">
        <v>21355</v>
      </c>
      <c r="K875" s="74" t="s">
        <v>21514</v>
      </c>
      <c r="L875" s="74">
        <v>815406</v>
      </c>
      <c r="M875" s="74" t="s">
        <v>21341</v>
      </c>
      <c r="N875" s="74">
        <v>1</v>
      </c>
      <c r="O875" s="74" t="s">
        <v>21342</v>
      </c>
      <c r="P875" s="74" t="s">
        <v>21345</v>
      </c>
      <c r="R875" s="74" t="s">
        <v>148</v>
      </c>
      <c r="S875" s="74" t="s">
        <v>21338</v>
      </c>
      <c r="T875" s="74" t="s">
        <v>402</v>
      </c>
      <c r="U875" s="74">
        <v>0</v>
      </c>
      <c r="V875" s="74">
        <v>0</v>
      </c>
    </row>
    <row r="876" spans="3:22" x14ac:dyDescent="0.25">
      <c r="C876" s="74" t="s">
        <v>18795</v>
      </c>
      <c r="D876" s="74" t="s">
        <v>148</v>
      </c>
      <c r="E876" s="74" t="s">
        <v>21338</v>
      </c>
      <c r="F876" s="74">
        <v>551367</v>
      </c>
      <c r="G876" s="74">
        <v>1000</v>
      </c>
      <c r="H876" s="135">
        <v>42996.395648148151</v>
      </c>
      <c r="I876" s="74" t="s">
        <v>21339</v>
      </c>
      <c r="J876" s="74" t="s">
        <v>21340</v>
      </c>
      <c r="K876" s="74" t="s">
        <v>18505</v>
      </c>
      <c r="L876" s="74">
        <v>554010</v>
      </c>
      <c r="M876" s="74" t="s">
        <v>21341</v>
      </c>
      <c r="N876" s="74">
        <v>1</v>
      </c>
      <c r="O876" s="74" t="s">
        <v>21342</v>
      </c>
      <c r="P876" s="74" t="s">
        <v>21343</v>
      </c>
      <c r="Q876" s="74">
        <v>0</v>
      </c>
      <c r="R876" s="74" t="s">
        <v>148</v>
      </c>
      <c r="S876" s="74" t="s">
        <v>21338</v>
      </c>
      <c r="T876" s="74" t="s">
        <v>402</v>
      </c>
      <c r="U876" s="74">
        <v>0</v>
      </c>
      <c r="V876" s="74">
        <v>0</v>
      </c>
    </row>
    <row r="877" spans="3:22" x14ac:dyDescent="0.25">
      <c r="C877" s="74" t="s">
        <v>18795</v>
      </c>
      <c r="D877" s="74" t="s">
        <v>148</v>
      </c>
      <c r="E877" s="74" t="s">
        <v>21338</v>
      </c>
      <c r="F877" s="74">
        <v>551367</v>
      </c>
      <c r="G877" s="74">
        <v>1000</v>
      </c>
      <c r="H877" s="135">
        <v>42996.395520833335</v>
      </c>
      <c r="I877" s="74" t="s">
        <v>21339</v>
      </c>
      <c r="J877" s="74" t="s">
        <v>21340</v>
      </c>
      <c r="K877" s="74" t="s">
        <v>13030</v>
      </c>
      <c r="L877" s="74">
        <v>551676</v>
      </c>
      <c r="M877" s="74" t="s">
        <v>21341</v>
      </c>
      <c r="N877" s="74">
        <v>1</v>
      </c>
      <c r="O877" s="74" t="s">
        <v>21342</v>
      </c>
      <c r="P877" s="74" t="s">
        <v>21343</v>
      </c>
      <c r="Q877" s="74">
        <v>0</v>
      </c>
      <c r="R877" s="74" t="s">
        <v>148</v>
      </c>
      <c r="S877" s="74" t="s">
        <v>21338</v>
      </c>
      <c r="T877" s="74" t="s">
        <v>402</v>
      </c>
      <c r="U877" s="74">
        <v>0</v>
      </c>
      <c r="V877" s="74">
        <v>0</v>
      </c>
    </row>
    <row r="878" spans="3:22" x14ac:dyDescent="0.25">
      <c r="C878" s="74" t="s">
        <v>18795</v>
      </c>
      <c r="D878" s="74" t="s">
        <v>148</v>
      </c>
      <c r="E878" s="74" t="s">
        <v>21338</v>
      </c>
      <c r="F878" s="74">
        <v>551367</v>
      </c>
      <c r="G878" s="74">
        <v>1000</v>
      </c>
      <c r="H878" s="135">
        <v>42996.395243055558</v>
      </c>
      <c r="I878" s="74" t="s">
        <v>21339</v>
      </c>
      <c r="J878" s="74" t="s">
        <v>21340</v>
      </c>
      <c r="K878" s="74" t="s">
        <v>2836</v>
      </c>
      <c r="L878" s="74">
        <v>552031</v>
      </c>
      <c r="M878" s="74" t="s">
        <v>21341</v>
      </c>
      <c r="N878" s="74">
        <v>1</v>
      </c>
      <c r="O878" s="74" t="s">
        <v>21342</v>
      </c>
      <c r="P878" s="74" t="s">
        <v>21343</v>
      </c>
      <c r="Q878" s="74">
        <v>0</v>
      </c>
      <c r="R878" s="74" t="s">
        <v>148</v>
      </c>
      <c r="S878" s="74" t="s">
        <v>21338</v>
      </c>
      <c r="T878" s="74" t="s">
        <v>402</v>
      </c>
      <c r="U878" s="74">
        <v>0</v>
      </c>
      <c r="V878" s="74">
        <v>0</v>
      </c>
    </row>
    <row r="879" spans="3:22" x14ac:dyDescent="0.25">
      <c r="C879" s="74" t="s">
        <v>21385</v>
      </c>
      <c r="D879" s="74" t="s">
        <v>148</v>
      </c>
      <c r="E879" s="74" t="s">
        <v>21338</v>
      </c>
      <c r="F879" s="74">
        <v>560579</v>
      </c>
      <c r="G879" s="74">
        <v>3</v>
      </c>
      <c r="H879" s="135">
        <v>42996.394942129627</v>
      </c>
      <c r="I879" s="74" t="s">
        <v>21354</v>
      </c>
      <c r="J879" s="74" t="s">
        <v>21355</v>
      </c>
      <c r="K879" s="74" t="s">
        <v>21514</v>
      </c>
      <c r="L879" s="74">
        <v>815406</v>
      </c>
      <c r="M879" s="74" t="s">
        <v>21341</v>
      </c>
      <c r="N879" s="74">
        <v>1</v>
      </c>
      <c r="O879" s="74" t="s">
        <v>21342</v>
      </c>
      <c r="P879" s="74" t="s">
        <v>21345</v>
      </c>
      <c r="R879" s="74" t="s">
        <v>148</v>
      </c>
      <c r="S879" s="74" t="s">
        <v>21338</v>
      </c>
      <c r="T879" s="74" t="s">
        <v>402</v>
      </c>
      <c r="U879" s="74">
        <v>0</v>
      </c>
      <c r="V879" s="74">
        <v>0</v>
      </c>
    </row>
    <row r="880" spans="3:22" x14ac:dyDescent="0.25">
      <c r="C880" s="74" t="s">
        <v>21385</v>
      </c>
      <c r="D880" s="74" t="s">
        <v>148</v>
      </c>
      <c r="E880" s="74" t="s">
        <v>21338</v>
      </c>
      <c r="F880" s="74">
        <v>560579</v>
      </c>
      <c r="G880" s="74">
        <v>3</v>
      </c>
      <c r="H880" s="135">
        <v>42996.394837962966</v>
      </c>
      <c r="I880" s="74" t="s">
        <v>21354</v>
      </c>
      <c r="J880" s="74" t="s">
        <v>21355</v>
      </c>
      <c r="K880" s="74" t="s">
        <v>21514</v>
      </c>
      <c r="L880" s="74">
        <v>815406</v>
      </c>
      <c r="M880" s="74" t="s">
        <v>21341</v>
      </c>
      <c r="N880" s="74">
        <v>1</v>
      </c>
      <c r="O880" s="74" t="s">
        <v>21342</v>
      </c>
      <c r="P880" s="74" t="s">
        <v>21345</v>
      </c>
      <c r="R880" s="74" t="s">
        <v>148</v>
      </c>
      <c r="S880" s="74" t="s">
        <v>21338</v>
      </c>
      <c r="T880" s="74" t="s">
        <v>402</v>
      </c>
      <c r="U880" s="74">
        <v>0</v>
      </c>
      <c r="V880" s="74">
        <v>0</v>
      </c>
    </row>
    <row r="881" spans="3:22" x14ac:dyDescent="0.25">
      <c r="C881" s="74" t="s">
        <v>18795</v>
      </c>
      <c r="D881" s="74" t="s">
        <v>148</v>
      </c>
      <c r="E881" s="74" t="s">
        <v>21338</v>
      </c>
      <c r="F881" s="74">
        <v>551367</v>
      </c>
      <c r="G881" s="74">
        <v>1000</v>
      </c>
      <c r="H881" s="135">
        <v>42996.393969907411</v>
      </c>
      <c r="I881" s="74" t="s">
        <v>21339</v>
      </c>
      <c r="J881" s="74" t="s">
        <v>21340</v>
      </c>
      <c r="K881" s="74" t="s">
        <v>7304</v>
      </c>
      <c r="L881" s="74">
        <v>551701</v>
      </c>
      <c r="M881" s="74" t="s">
        <v>21341</v>
      </c>
      <c r="N881" s="74">
        <v>1</v>
      </c>
      <c r="O881" s="74" t="s">
        <v>21342</v>
      </c>
      <c r="P881" s="74" t="s">
        <v>21343</v>
      </c>
      <c r="Q881" s="74">
        <v>0</v>
      </c>
      <c r="R881" s="74" t="s">
        <v>148</v>
      </c>
      <c r="S881" s="74" t="s">
        <v>21338</v>
      </c>
      <c r="T881" s="74" t="s">
        <v>402</v>
      </c>
      <c r="U881" s="74">
        <v>0</v>
      </c>
      <c r="V881" s="74">
        <v>0</v>
      </c>
    </row>
    <row r="882" spans="3:22" x14ac:dyDescent="0.25">
      <c r="C882" s="74" t="s">
        <v>735</v>
      </c>
      <c r="D882" s="74" t="s">
        <v>148</v>
      </c>
      <c r="E882" s="74" t="s">
        <v>21338</v>
      </c>
      <c r="F882" s="74">
        <v>570025</v>
      </c>
      <c r="G882" s="74">
        <v>3</v>
      </c>
      <c r="H882" s="135">
        <v>42996.386666666665</v>
      </c>
      <c r="I882" s="74" t="s">
        <v>21339</v>
      </c>
      <c r="J882" s="74" t="s">
        <v>21362</v>
      </c>
      <c r="K882" s="74" t="s">
        <v>18617</v>
      </c>
      <c r="L882" s="74">
        <v>554021</v>
      </c>
      <c r="M882" s="74" t="s">
        <v>21341</v>
      </c>
      <c r="N882" s="74">
        <v>1</v>
      </c>
      <c r="O882" s="74" t="s">
        <v>21342</v>
      </c>
      <c r="P882" s="74" t="s">
        <v>21343</v>
      </c>
      <c r="Q882" s="74" t="s">
        <v>21363</v>
      </c>
      <c r="R882" s="74" t="s">
        <v>148</v>
      </c>
      <c r="S882" s="74" t="s">
        <v>21338</v>
      </c>
      <c r="T882" s="74" t="s">
        <v>393</v>
      </c>
      <c r="U882" s="74">
        <v>0</v>
      </c>
      <c r="V882" s="74">
        <v>0</v>
      </c>
    </row>
    <row r="883" spans="3:22" x14ac:dyDescent="0.25">
      <c r="C883" s="74" t="s">
        <v>21385</v>
      </c>
      <c r="D883" s="74" t="s">
        <v>148</v>
      </c>
      <c r="E883" s="74" t="s">
        <v>21338</v>
      </c>
      <c r="F883" s="74">
        <v>560579</v>
      </c>
      <c r="G883" s="74">
        <v>3</v>
      </c>
      <c r="H883" s="135">
        <v>42996.383298611108</v>
      </c>
      <c r="I883" s="74" t="s">
        <v>21354</v>
      </c>
      <c r="J883" s="74" t="s">
        <v>21355</v>
      </c>
      <c r="K883" s="74" t="s">
        <v>13764</v>
      </c>
      <c r="L883" s="74">
        <v>553408</v>
      </c>
      <c r="M883" s="74" t="s">
        <v>21341</v>
      </c>
      <c r="N883" s="74">
        <v>1</v>
      </c>
      <c r="O883" s="74" t="s">
        <v>21342</v>
      </c>
      <c r="P883" s="74" t="s">
        <v>21345</v>
      </c>
      <c r="R883" s="74" t="s">
        <v>148</v>
      </c>
      <c r="S883" s="74" t="s">
        <v>21338</v>
      </c>
      <c r="T883" s="74" t="s">
        <v>402</v>
      </c>
      <c r="U883" s="74">
        <v>0</v>
      </c>
      <c r="V883" s="74">
        <v>0</v>
      </c>
    </row>
    <row r="884" spans="3:22" x14ac:dyDescent="0.25">
      <c r="C884" s="74" t="s">
        <v>21385</v>
      </c>
      <c r="D884" s="74" t="s">
        <v>148</v>
      </c>
      <c r="E884" s="74" t="s">
        <v>21338</v>
      </c>
      <c r="F884" s="74">
        <v>560579</v>
      </c>
      <c r="G884" s="74">
        <v>3</v>
      </c>
      <c r="H884" s="135">
        <v>42996.383229166669</v>
      </c>
      <c r="I884" s="74" t="s">
        <v>21354</v>
      </c>
      <c r="J884" s="74" t="s">
        <v>21355</v>
      </c>
      <c r="K884" s="74" t="s">
        <v>13764</v>
      </c>
      <c r="L884" s="74">
        <v>553408</v>
      </c>
      <c r="M884" s="74" t="s">
        <v>21341</v>
      </c>
      <c r="N884" s="74">
        <v>1</v>
      </c>
      <c r="O884" s="74" t="s">
        <v>21342</v>
      </c>
      <c r="P884" s="74" t="s">
        <v>21345</v>
      </c>
      <c r="R884" s="74" t="s">
        <v>148</v>
      </c>
      <c r="S884" s="74" t="s">
        <v>21338</v>
      </c>
      <c r="T884" s="74" t="s">
        <v>402</v>
      </c>
      <c r="U884" s="74">
        <v>0</v>
      </c>
      <c r="V884" s="74">
        <v>0</v>
      </c>
    </row>
    <row r="885" spans="3:22" x14ac:dyDescent="0.25">
      <c r="C885" s="74" t="s">
        <v>18795</v>
      </c>
      <c r="D885" s="74" t="s">
        <v>148</v>
      </c>
      <c r="E885" s="74" t="s">
        <v>21338</v>
      </c>
      <c r="F885" s="74">
        <v>551367</v>
      </c>
      <c r="G885" s="74">
        <v>1000</v>
      </c>
      <c r="H885" s="135">
        <v>42996.377685185187</v>
      </c>
      <c r="I885" s="74" t="s">
        <v>21339</v>
      </c>
      <c r="J885" s="74" t="s">
        <v>21340</v>
      </c>
      <c r="K885" s="74" t="s">
        <v>3915</v>
      </c>
      <c r="L885" s="74">
        <v>552149</v>
      </c>
      <c r="M885" s="74" t="s">
        <v>21341</v>
      </c>
      <c r="N885" s="74">
        <v>1</v>
      </c>
      <c r="O885" s="74" t="s">
        <v>21342</v>
      </c>
      <c r="P885" s="74" t="s">
        <v>21343</v>
      </c>
      <c r="Q885" s="74">
        <v>0</v>
      </c>
      <c r="R885" s="74" t="s">
        <v>148</v>
      </c>
      <c r="S885" s="74" t="s">
        <v>21338</v>
      </c>
      <c r="T885" s="74" t="s">
        <v>402</v>
      </c>
      <c r="U885" s="74">
        <v>0</v>
      </c>
      <c r="V885" s="74">
        <v>0</v>
      </c>
    </row>
    <row r="886" spans="3:22" x14ac:dyDescent="0.25">
      <c r="C886" s="74" t="s">
        <v>735</v>
      </c>
      <c r="D886" s="74" t="s">
        <v>148</v>
      </c>
      <c r="E886" s="74" t="s">
        <v>21338</v>
      </c>
      <c r="F886" s="74">
        <v>570025</v>
      </c>
      <c r="G886" s="74">
        <v>3</v>
      </c>
      <c r="H886" s="135">
        <v>42996.340671296297</v>
      </c>
      <c r="I886" s="74" t="s">
        <v>21339</v>
      </c>
      <c r="J886" s="74" t="s">
        <v>21360</v>
      </c>
      <c r="K886" s="74" t="s">
        <v>14253</v>
      </c>
      <c r="L886" s="74">
        <v>721107</v>
      </c>
      <c r="M886" s="74" t="s">
        <v>21341</v>
      </c>
      <c r="N886" s="74">
        <v>1</v>
      </c>
      <c r="O886" s="74" t="s">
        <v>21342</v>
      </c>
      <c r="P886" s="74" t="s">
        <v>21343</v>
      </c>
      <c r="Q886" s="74" t="s">
        <v>21361</v>
      </c>
      <c r="R886" s="74" t="s">
        <v>148</v>
      </c>
      <c r="S886" s="74" t="s">
        <v>21338</v>
      </c>
      <c r="T886" s="74" t="s">
        <v>393</v>
      </c>
      <c r="U886" s="74">
        <v>0</v>
      </c>
      <c r="V886" s="74">
        <v>0</v>
      </c>
    </row>
    <row r="887" spans="3:22" x14ac:dyDescent="0.25">
      <c r="C887" s="74" t="s">
        <v>735</v>
      </c>
      <c r="D887" s="74" t="s">
        <v>148</v>
      </c>
      <c r="E887" s="74" t="s">
        <v>21338</v>
      </c>
      <c r="F887" s="74">
        <v>570025</v>
      </c>
      <c r="G887" s="74">
        <v>3</v>
      </c>
      <c r="H887" s="135">
        <v>42996.338252314818</v>
      </c>
      <c r="I887" s="74" t="s">
        <v>21339</v>
      </c>
      <c r="J887" s="74" t="s">
        <v>21362</v>
      </c>
      <c r="K887" s="74" t="s">
        <v>14253</v>
      </c>
      <c r="L887" s="74">
        <v>721107</v>
      </c>
      <c r="M887" s="74" t="s">
        <v>21341</v>
      </c>
      <c r="N887" s="74">
        <v>1</v>
      </c>
      <c r="O887" s="74" t="s">
        <v>21342</v>
      </c>
      <c r="P887" s="74" t="s">
        <v>21343</v>
      </c>
      <c r="Q887" s="74" t="s">
        <v>21363</v>
      </c>
      <c r="R887" s="74" t="s">
        <v>148</v>
      </c>
      <c r="S887" s="74" t="s">
        <v>21338</v>
      </c>
      <c r="T887" s="74" t="s">
        <v>393</v>
      </c>
      <c r="U887" s="74">
        <v>0</v>
      </c>
      <c r="V887" s="74">
        <v>0</v>
      </c>
    </row>
    <row r="888" spans="3:22" x14ac:dyDescent="0.25">
      <c r="C888" s="74" t="s">
        <v>735</v>
      </c>
      <c r="D888" s="74" t="s">
        <v>148</v>
      </c>
      <c r="E888" s="74" t="s">
        <v>21338</v>
      </c>
      <c r="F888" s="74">
        <v>570025</v>
      </c>
      <c r="G888" s="74">
        <v>3</v>
      </c>
      <c r="H888" s="135">
        <v>42996.337430555555</v>
      </c>
      <c r="I888" s="74" t="s">
        <v>21339</v>
      </c>
      <c r="J888" s="74" t="s">
        <v>21364</v>
      </c>
      <c r="K888" s="74" t="s">
        <v>14253</v>
      </c>
      <c r="L888" s="74">
        <v>721107</v>
      </c>
      <c r="M888" s="74" t="s">
        <v>21341</v>
      </c>
      <c r="N888" s="74">
        <v>1</v>
      </c>
      <c r="O888" s="74" t="s">
        <v>21342</v>
      </c>
      <c r="P888" s="74" t="s">
        <v>21343</v>
      </c>
      <c r="Q888" s="74">
        <v>0</v>
      </c>
      <c r="R888" s="74" t="s">
        <v>148</v>
      </c>
      <c r="S888" s="74" t="s">
        <v>21338</v>
      </c>
      <c r="T888" s="74" t="s">
        <v>402</v>
      </c>
      <c r="U888" s="74">
        <v>0</v>
      </c>
      <c r="V888" s="74">
        <v>0</v>
      </c>
    </row>
    <row r="889" spans="3:22" x14ac:dyDescent="0.25">
      <c r="C889" s="74" t="s">
        <v>735</v>
      </c>
      <c r="D889" s="74" t="s">
        <v>148</v>
      </c>
      <c r="E889" s="74" t="s">
        <v>21338</v>
      </c>
      <c r="F889" s="74">
        <v>570025</v>
      </c>
      <c r="G889" s="74">
        <v>3</v>
      </c>
      <c r="H889" s="135">
        <v>42996.337418981479</v>
      </c>
      <c r="I889" s="74" t="s">
        <v>21365</v>
      </c>
      <c r="J889" s="74" t="s">
        <v>21366</v>
      </c>
      <c r="K889" s="74" t="s">
        <v>21367</v>
      </c>
      <c r="L889" s="74">
        <v>561482</v>
      </c>
      <c r="M889" s="74" t="s">
        <v>21368</v>
      </c>
      <c r="N889" s="74">
        <v>1</v>
      </c>
      <c r="O889" s="74" t="s">
        <v>21369</v>
      </c>
      <c r="P889" s="74" t="s">
        <v>21343</v>
      </c>
      <c r="Q889" s="74" t="s">
        <v>21554</v>
      </c>
      <c r="R889" s="74" t="s">
        <v>148</v>
      </c>
      <c r="S889" s="74" t="s">
        <v>21338</v>
      </c>
      <c r="T889" s="74" t="s">
        <v>21371</v>
      </c>
      <c r="U889" s="74">
        <v>0</v>
      </c>
      <c r="V889" s="74">
        <v>0</v>
      </c>
    </row>
    <row r="890" spans="3:22" x14ac:dyDescent="0.25">
      <c r="C890" s="74" t="s">
        <v>735</v>
      </c>
      <c r="D890" s="74" t="s">
        <v>148</v>
      </c>
      <c r="E890" s="74" t="s">
        <v>21338</v>
      </c>
      <c r="F890" s="74">
        <v>570025</v>
      </c>
      <c r="G890" s="74">
        <v>3</v>
      </c>
      <c r="H890" s="135">
        <v>42996.337372685186</v>
      </c>
      <c r="I890" s="74" t="s">
        <v>21365</v>
      </c>
      <c r="J890" s="74" t="s">
        <v>21366</v>
      </c>
      <c r="K890" s="74" t="s">
        <v>21376</v>
      </c>
      <c r="L890" s="74">
        <v>555659</v>
      </c>
      <c r="M890" s="74" t="s">
        <v>21368</v>
      </c>
      <c r="N890" s="74">
        <v>1</v>
      </c>
      <c r="O890" s="74" t="s">
        <v>21369</v>
      </c>
      <c r="P890" s="74" t="s">
        <v>21343</v>
      </c>
      <c r="Q890" s="74" t="s">
        <v>21554</v>
      </c>
      <c r="R890" s="74" t="s">
        <v>148</v>
      </c>
      <c r="S890" s="74" t="s">
        <v>21338</v>
      </c>
      <c r="T890" s="74" t="s">
        <v>21371</v>
      </c>
      <c r="U890" s="74">
        <v>0</v>
      </c>
      <c r="V890" s="74">
        <v>0</v>
      </c>
    </row>
    <row r="891" spans="3:22" x14ac:dyDescent="0.25">
      <c r="C891" s="74" t="s">
        <v>735</v>
      </c>
      <c r="D891" s="74" t="s">
        <v>148</v>
      </c>
      <c r="E891" s="74" t="s">
        <v>21338</v>
      </c>
      <c r="F891" s="74">
        <v>570025</v>
      </c>
      <c r="G891" s="74">
        <v>3</v>
      </c>
      <c r="H891" s="135">
        <v>42996.33734953704</v>
      </c>
      <c r="I891" s="74" t="s">
        <v>21339</v>
      </c>
      <c r="J891" s="74" t="s">
        <v>21364</v>
      </c>
      <c r="K891" s="74" t="s">
        <v>14253</v>
      </c>
      <c r="L891" s="74">
        <v>721107</v>
      </c>
      <c r="M891" s="74" t="s">
        <v>21341</v>
      </c>
      <c r="N891" s="74">
        <v>1</v>
      </c>
      <c r="O891" s="74" t="s">
        <v>21342</v>
      </c>
      <c r="P891" s="74" t="s">
        <v>21343</v>
      </c>
      <c r="Q891" s="74">
        <v>0</v>
      </c>
      <c r="R891" s="74" t="s">
        <v>148</v>
      </c>
      <c r="S891" s="74" t="s">
        <v>21338</v>
      </c>
      <c r="T891" s="74" t="s">
        <v>402</v>
      </c>
      <c r="U891" s="74">
        <v>0</v>
      </c>
      <c r="V891" s="74">
        <v>0</v>
      </c>
    </row>
    <row r="892" spans="3:22" x14ac:dyDescent="0.25">
      <c r="C892" s="74" t="s">
        <v>735</v>
      </c>
      <c r="D892" s="74" t="s">
        <v>148</v>
      </c>
      <c r="E892" s="74" t="s">
        <v>21338</v>
      </c>
      <c r="F892" s="74">
        <v>570025</v>
      </c>
      <c r="G892" s="74">
        <v>3</v>
      </c>
      <c r="H892" s="135">
        <v>42996.337280092594</v>
      </c>
      <c r="I892" s="74" t="s">
        <v>21339</v>
      </c>
      <c r="J892" s="74" t="s">
        <v>21364</v>
      </c>
      <c r="K892" s="74" t="s">
        <v>14253</v>
      </c>
      <c r="L892" s="74">
        <v>721107</v>
      </c>
      <c r="M892" s="74" t="s">
        <v>21341</v>
      </c>
      <c r="N892" s="74">
        <v>1</v>
      </c>
      <c r="O892" s="74" t="s">
        <v>21342</v>
      </c>
      <c r="P892" s="74" t="s">
        <v>21343</v>
      </c>
      <c r="Q892" s="74">
        <v>0</v>
      </c>
      <c r="R892" s="74" t="s">
        <v>148</v>
      </c>
      <c r="S892" s="74" t="s">
        <v>21338</v>
      </c>
      <c r="T892" s="74" t="s">
        <v>402</v>
      </c>
      <c r="U892" s="74">
        <v>0</v>
      </c>
      <c r="V892" s="74">
        <v>0</v>
      </c>
    </row>
    <row r="893" spans="3:22" x14ac:dyDescent="0.25">
      <c r="C893" s="74" t="s">
        <v>18795</v>
      </c>
      <c r="D893" s="74" t="s">
        <v>148</v>
      </c>
      <c r="E893" s="74" t="s">
        <v>21338</v>
      </c>
      <c r="F893" s="74">
        <v>551367</v>
      </c>
      <c r="G893" s="74">
        <v>1000</v>
      </c>
      <c r="H893" s="135">
        <v>42996.302615740744</v>
      </c>
      <c r="I893" s="74" t="s">
        <v>21339</v>
      </c>
      <c r="J893" s="74" t="s">
        <v>21340</v>
      </c>
      <c r="K893" s="74" t="s">
        <v>4112</v>
      </c>
      <c r="L893" s="74">
        <v>552170</v>
      </c>
      <c r="M893" s="74" t="s">
        <v>21341</v>
      </c>
      <c r="N893" s="74">
        <v>1</v>
      </c>
      <c r="O893" s="74" t="s">
        <v>21342</v>
      </c>
      <c r="P893" s="74" t="s">
        <v>21343</v>
      </c>
      <c r="Q893" s="74">
        <v>0</v>
      </c>
      <c r="R893" s="74" t="s">
        <v>148</v>
      </c>
      <c r="S893" s="74" t="s">
        <v>21338</v>
      </c>
      <c r="T893" s="74" t="s">
        <v>402</v>
      </c>
      <c r="U893" s="74">
        <v>0</v>
      </c>
      <c r="V893" s="74">
        <v>0</v>
      </c>
    </row>
    <row r="894" spans="3:22" x14ac:dyDescent="0.25">
      <c r="C894" s="74" t="s">
        <v>4507</v>
      </c>
      <c r="D894" s="74" t="s">
        <v>148</v>
      </c>
      <c r="E894" s="74" t="s">
        <v>21338</v>
      </c>
      <c r="F894" s="74">
        <v>552215</v>
      </c>
      <c r="G894" s="74">
        <v>1</v>
      </c>
      <c r="H894" s="135">
        <v>42996.077627314815</v>
      </c>
      <c r="I894" s="74" t="s">
        <v>244</v>
      </c>
      <c r="J894" s="74" t="s">
        <v>21349</v>
      </c>
      <c r="K894" s="74" t="s">
        <v>4507</v>
      </c>
      <c r="L894" s="74">
        <v>552215</v>
      </c>
      <c r="M894" s="74" t="s">
        <v>21341</v>
      </c>
      <c r="N894" s="74">
        <v>0</v>
      </c>
      <c r="O894" s="74" t="s">
        <v>21350</v>
      </c>
      <c r="P894" s="74" t="s">
        <v>21343</v>
      </c>
      <c r="Q894" s="74">
        <v>0</v>
      </c>
      <c r="R894" s="74" t="s">
        <v>148</v>
      </c>
      <c r="S894" s="74" t="s">
        <v>21338</v>
      </c>
      <c r="T894" s="74" t="s">
        <v>402</v>
      </c>
      <c r="U894" s="74">
        <v>0</v>
      </c>
      <c r="V894" s="74">
        <v>0</v>
      </c>
    </row>
    <row r="895" spans="3:22" x14ac:dyDescent="0.25">
      <c r="C895" s="74" t="s">
        <v>4507</v>
      </c>
      <c r="D895" s="74" t="s">
        <v>148</v>
      </c>
      <c r="E895" s="74" t="s">
        <v>21338</v>
      </c>
      <c r="F895" s="74">
        <v>552215</v>
      </c>
      <c r="G895" s="74">
        <v>1</v>
      </c>
      <c r="H895" s="135">
        <v>42996.077615740738</v>
      </c>
      <c r="I895" s="74" t="s">
        <v>21348</v>
      </c>
      <c r="J895" s="74" t="s">
        <v>21349</v>
      </c>
      <c r="K895" s="74" t="s">
        <v>4507</v>
      </c>
      <c r="L895" s="74">
        <v>552215</v>
      </c>
      <c r="M895" s="74" t="s">
        <v>21341</v>
      </c>
      <c r="N895" s="74">
        <v>0</v>
      </c>
      <c r="O895" s="74" t="s">
        <v>21350</v>
      </c>
      <c r="P895" s="74" t="s">
        <v>21343</v>
      </c>
      <c r="Q895" s="74">
        <v>0</v>
      </c>
      <c r="R895" s="74" t="s">
        <v>148</v>
      </c>
      <c r="S895" s="74" t="s">
        <v>21338</v>
      </c>
      <c r="T895" s="74" t="s">
        <v>402</v>
      </c>
      <c r="U895" s="74">
        <v>0</v>
      </c>
      <c r="V895" s="74">
        <v>0</v>
      </c>
    </row>
    <row r="896" spans="3:22" x14ac:dyDescent="0.25">
      <c r="C896" s="74" t="s">
        <v>735</v>
      </c>
      <c r="D896" s="74" t="s">
        <v>148</v>
      </c>
      <c r="E896" s="74" t="s">
        <v>21338</v>
      </c>
      <c r="F896" s="74">
        <v>570025</v>
      </c>
      <c r="G896" s="74">
        <v>3</v>
      </c>
      <c r="H896" s="135">
        <v>42996.003020833334</v>
      </c>
      <c r="I896" s="74" t="s">
        <v>21339</v>
      </c>
      <c r="J896" s="74" t="s">
        <v>21391</v>
      </c>
      <c r="K896" s="74" t="s">
        <v>21555</v>
      </c>
      <c r="L896" s="74">
        <v>909195</v>
      </c>
      <c r="M896" s="74" t="s">
        <v>21341</v>
      </c>
      <c r="N896" s="74">
        <v>1</v>
      </c>
      <c r="O896" s="74" t="s">
        <v>21342</v>
      </c>
      <c r="P896" s="74" t="s">
        <v>21343</v>
      </c>
      <c r="Q896" s="74" t="s">
        <v>21556</v>
      </c>
      <c r="R896" s="74" t="s">
        <v>148</v>
      </c>
      <c r="S896" s="74" t="s">
        <v>21338</v>
      </c>
      <c r="T896" s="74" t="s">
        <v>402</v>
      </c>
      <c r="U896" s="74">
        <v>0</v>
      </c>
      <c r="V896" s="74">
        <v>0</v>
      </c>
    </row>
    <row r="897" spans="3:22" x14ac:dyDescent="0.25">
      <c r="C897" s="74" t="s">
        <v>735</v>
      </c>
      <c r="D897" s="74" t="s">
        <v>148</v>
      </c>
      <c r="E897" s="74" t="s">
        <v>21338</v>
      </c>
      <c r="F897" s="74">
        <v>570025</v>
      </c>
      <c r="G897" s="74">
        <v>3</v>
      </c>
      <c r="H897" s="135">
        <v>42996.003009259257</v>
      </c>
      <c r="I897" s="74" t="s">
        <v>21339</v>
      </c>
      <c r="J897" s="74" t="s">
        <v>21391</v>
      </c>
      <c r="K897" s="74" t="s">
        <v>21555</v>
      </c>
      <c r="L897" s="74">
        <v>909195</v>
      </c>
      <c r="M897" s="74" t="s">
        <v>21341</v>
      </c>
      <c r="N897" s="74">
        <v>1</v>
      </c>
      <c r="O897" s="74" t="s">
        <v>21342</v>
      </c>
      <c r="P897" s="74" t="s">
        <v>21343</v>
      </c>
      <c r="Q897" s="74" t="s">
        <v>21556</v>
      </c>
      <c r="R897" s="74" t="s">
        <v>148</v>
      </c>
      <c r="S897" s="74" t="s">
        <v>21338</v>
      </c>
      <c r="T897" s="74" t="s">
        <v>402</v>
      </c>
      <c r="U897" s="74">
        <v>0</v>
      </c>
      <c r="V897" s="74">
        <v>0</v>
      </c>
    </row>
    <row r="898" spans="3:22" x14ac:dyDescent="0.25">
      <c r="C898" s="74" t="s">
        <v>735</v>
      </c>
      <c r="D898" s="74" t="s">
        <v>148</v>
      </c>
      <c r="E898" s="74" t="s">
        <v>21338</v>
      </c>
      <c r="F898" s="74">
        <v>570025</v>
      </c>
      <c r="G898" s="74">
        <v>3</v>
      </c>
      <c r="H898" s="135">
        <v>42995.959062499998</v>
      </c>
      <c r="I898" s="74" t="s">
        <v>21339</v>
      </c>
      <c r="J898" s="74" t="s">
        <v>21364</v>
      </c>
      <c r="K898" s="74" t="s">
        <v>21522</v>
      </c>
      <c r="L898" s="74">
        <v>909245</v>
      </c>
      <c r="M898" s="74" t="s">
        <v>21341</v>
      </c>
      <c r="N898" s="74">
        <v>1</v>
      </c>
      <c r="O898" s="74" t="s">
        <v>21342</v>
      </c>
      <c r="P898" s="74" t="s">
        <v>21343</v>
      </c>
      <c r="Q898" s="74">
        <v>0</v>
      </c>
      <c r="R898" s="74" t="s">
        <v>148</v>
      </c>
      <c r="S898" s="74" t="s">
        <v>21338</v>
      </c>
      <c r="T898" s="74" t="s">
        <v>402</v>
      </c>
      <c r="U898" s="74">
        <v>0</v>
      </c>
      <c r="V898" s="74">
        <v>0</v>
      </c>
    </row>
    <row r="899" spans="3:22" x14ac:dyDescent="0.25">
      <c r="C899" s="74" t="s">
        <v>735</v>
      </c>
      <c r="D899" s="74" t="s">
        <v>148</v>
      </c>
      <c r="E899" s="74" t="s">
        <v>21338</v>
      </c>
      <c r="F899" s="74">
        <v>570025</v>
      </c>
      <c r="G899" s="74">
        <v>3</v>
      </c>
      <c r="H899" s="135">
        <v>42995.959050925929</v>
      </c>
      <c r="I899" s="74" t="s">
        <v>21398</v>
      </c>
      <c r="J899" s="74" t="s">
        <v>21366</v>
      </c>
      <c r="K899" s="74" t="s">
        <v>21367</v>
      </c>
      <c r="L899" s="74">
        <v>561482</v>
      </c>
      <c r="M899" s="74" t="s">
        <v>21368</v>
      </c>
      <c r="N899" s="74">
        <v>1</v>
      </c>
      <c r="O899" s="74" t="s">
        <v>21369</v>
      </c>
      <c r="P899" s="74" t="s">
        <v>21343</v>
      </c>
      <c r="Q899" s="74" t="s">
        <v>21557</v>
      </c>
      <c r="R899" s="74" t="s">
        <v>148</v>
      </c>
      <c r="S899" s="74" t="s">
        <v>21338</v>
      </c>
      <c r="T899" s="74" t="s">
        <v>21371</v>
      </c>
      <c r="U899" s="74">
        <v>0</v>
      </c>
      <c r="V899" s="74">
        <v>0</v>
      </c>
    </row>
    <row r="900" spans="3:22" x14ac:dyDescent="0.25">
      <c r="C900" s="74" t="s">
        <v>735</v>
      </c>
      <c r="D900" s="74" t="s">
        <v>148</v>
      </c>
      <c r="E900" s="74" t="s">
        <v>21338</v>
      </c>
      <c r="F900" s="74">
        <v>570025</v>
      </c>
      <c r="G900" s="74">
        <v>3</v>
      </c>
      <c r="H900" s="135">
        <v>42995.958993055552</v>
      </c>
      <c r="I900" s="74" t="s">
        <v>21398</v>
      </c>
      <c r="J900" s="74" t="s">
        <v>21366</v>
      </c>
      <c r="K900" s="74" t="s">
        <v>21381</v>
      </c>
      <c r="L900" s="74">
        <v>555660</v>
      </c>
      <c r="M900" s="74" t="s">
        <v>21368</v>
      </c>
      <c r="N900" s="74">
        <v>1</v>
      </c>
      <c r="O900" s="74" t="s">
        <v>21369</v>
      </c>
      <c r="P900" s="74" t="s">
        <v>21343</v>
      </c>
      <c r="Q900" s="74" t="s">
        <v>21557</v>
      </c>
      <c r="R900" s="74" t="s">
        <v>148</v>
      </c>
      <c r="S900" s="74" t="s">
        <v>21338</v>
      </c>
      <c r="T900" s="74" t="s">
        <v>21371</v>
      </c>
      <c r="U900" s="74">
        <v>0</v>
      </c>
      <c r="V900" s="74">
        <v>0</v>
      </c>
    </row>
    <row r="901" spans="3:22" x14ac:dyDescent="0.25">
      <c r="C901" s="74" t="s">
        <v>735</v>
      </c>
      <c r="D901" s="74" t="s">
        <v>148</v>
      </c>
      <c r="E901" s="74" t="s">
        <v>21338</v>
      </c>
      <c r="F901" s="74">
        <v>570025</v>
      </c>
      <c r="G901" s="74">
        <v>3</v>
      </c>
      <c r="H901" s="135">
        <v>42995.958935185183</v>
      </c>
      <c r="I901" s="74" t="s">
        <v>21339</v>
      </c>
      <c r="J901" s="74" t="s">
        <v>21364</v>
      </c>
      <c r="K901" s="74" t="s">
        <v>21522</v>
      </c>
      <c r="L901" s="74">
        <v>909245</v>
      </c>
      <c r="M901" s="74" t="s">
        <v>21341</v>
      </c>
      <c r="N901" s="74">
        <v>1</v>
      </c>
      <c r="O901" s="74" t="s">
        <v>21342</v>
      </c>
      <c r="P901" s="74" t="s">
        <v>21343</v>
      </c>
      <c r="Q901" s="74">
        <v>0</v>
      </c>
      <c r="R901" s="74" t="s">
        <v>148</v>
      </c>
      <c r="S901" s="74" t="s">
        <v>21338</v>
      </c>
      <c r="T901" s="74" t="s">
        <v>402</v>
      </c>
      <c r="U901" s="74">
        <v>0</v>
      </c>
      <c r="V901" s="74">
        <v>0</v>
      </c>
    </row>
    <row r="902" spans="3:22" x14ac:dyDescent="0.25">
      <c r="C902" s="74" t="s">
        <v>735</v>
      </c>
      <c r="D902" s="74" t="s">
        <v>148</v>
      </c>
      <c r="E902" s="74" t="s">
        <v>21338</v>
      </c>
      <c r="F902" s="74">
        <v>570025</v>
      </c>
      <c r="G902" s="74">
        <v>3</v>
      </c>
      <c r="H902" s="135">
        <v>42995.958715277775</v>
      </c>
      <c r="I902" s="74" t="s">
        <v>21339</v>
      </c>
      <c r="J902" s="74" t="s">
        <v>21364</v>
      </c>
      <c r="K902" s="74" t="s">
        <v>21522</v>
      </c>
      <c r="L902" s="74">
        <v>909245</v>
      </c>
      <c r="M902" s="74" t="s">
        <v>21341</v>
      </c>
      <c r="N902" s="74">
        <v>1</v>
      </c>
      <c r="O902" s="74" t="s">
        <v>21342</v>
      </c>
      <c r="P902" s="74" t="s">
        <v>21343</v>
      </c>
      <c r="Q902" s="74">
        <v>0</v>
      </c>
      <c r="R902" s="74" t="s">
        <v>148</v>
      </c>
      <c r="S902" s="74" t="s">
        <v>21338</v>
      </c>
      <c r="T902" s="74" t="s">
        <v>402</v>
      </c>
      <c r="U902" s="74">
        <v>0</v>
      </c>
      <c r="V902" s="74">
        <v>0</v>
      </c>
    </row>
    <row r="903" spans="3:22" x14ac:dyDescent="0.25">
      <c r="C903" s="74" t="s">
        <v>735</v>
      </c>
      <c r="D903" s="74" t="s">
        <v>148</v>
      </c>
      <c r="E903" s="74" t="s">
        <v>21338</v>
      </c>
      <c r="F903" s="74">
        <v>570025</v>
      </c>
      <c r="G903" s="74">
        <v>3</v>
      </c>
      <c r="H903" s="135">
        <v>42995.95653935185</v>
      </c>
      <c r="I903" s="74" t="s">
        <v>21398</v>
      </c>
      <c r="J903" s="74" t="s">
        <v>21400</v>
      </c>
      <c r="K903" s="74" t="s">
        <v>21522</v>
      </c>
      <c r="L903" s="74">
        <v>909245</v>
      </c>
      <c r="M903" s="74" t="s">
        <v>21341</v>
      </c>
      <c r="N903" s="74">
        <v>1</v>
      </c>
      <c r="O903" s="74" t="s">
        <v>21342</v>
      </c>
      <c r="P903" s="74" t="s">
        <v>21343</v>
      </c>
      <c r="Q903" s="74" t="s">
        <v>21558</v>
      </c>
      <c r="R903" s="74" t="s">
        <v>148</v>
      </c>
      <c r="S903" s="74" t="s">
        <v>21338</v>
      </c>
      <c r="T903" s="74" t="s">
        <v>402</v>
      </c>
      <c r="U903" s="74">
        <v>0</v>
      </c>
      <c r="V903" s="74">
        <v>0</v>
      </c>
    </row>
    <row r="904" spans="3:22" x14ac:dyDescent="0.25">
      <c r="C904" s="74" t="s">
        <v>18795</v>
      </c>
      <c r="D904" s="74" t="s">
        <v>148</v>
      </c>
      <c r="E904" s="74" t="s">
        <v>21338</v>
      </c>
      <c r="F904" s="74">
        <v>551367</v>
      </c>
      <c r="G904" s="74">
        <v>1000</v>
      </c>
      <c r="H904" s="135">
        <v>42995.956087962964</v>
      </c>
      <c r="I904" s="74" t="s">
        <v>21339</v>
      </c>
      <c r="J904" s="74" t="s">
        <v>21340</v>
      </c>
      <c r="K904" s="74" t="s">
        <v>18051</v>
      </c>
      <c r="L904" s="74">
        <v>553948</v>
      </c>
      <c r="M904" s="74" t="s">
        <v>21341</v>
      </c>
      <c r="N904" s="74">
        <v>1</v>
      </c>
      <c r="O904" s="74" t="s">
        <v>21342</v>
      </c>
      <c r="P904" s="74" t="s">
        <v>21343</v>
      </c>
      <c r="Q904" s="74">
        <v>0</v>
      </c>
      <c r="R904" s="74" t="s">
        <v>148</v>
      </c>
      <c r="S904" s="74" t="s">
        <v>21338</v>
      </c>
      <c r="T904" s="74" t="s">
        <v>402</v>
      </c>
      <c r="U904" s="74">
        <v>0</v>
      </c>
      <c r="V904" s="74">
        <v>0</v>
      </c>
    </row>
    <row r="905" spans="3:22" x14ac:dyDescent="0.25">
      <c r="C905" s="74" t="s">
        <v>18795</v>
      </c>
      <c r="D905" s="74" t="s">
        <v>148</v>
      </c>
      <c r="E905" s="74" t="s">
        <v>21338</v>
      </c>
      <c r="F905" s="74">
        <v>551367</v>
      </c>
      <c r="G905" s="74">
        <v>1000</v>
      </c>
      <c r="H905" s="135">
        <v>42995.924768518518</v>
      </c>
      <c r="I905" s="74" t="s">
        <v>21339</v>
      </c>
      <c r="J905" s="74" t="s">
        <v>21340</v>
      </c>
      <c r="K905" s="74" t="s">
        <v>7304</v>
      </c>
      <c r="L905" s="74">
        <v>551701</v>
      </c>
      <c r="M905" s="74" t="s">
        <v>21341</v>
      </c>
      <c r="N905" s="74">
        <v>1</v>
      </c>
      <c r="O905" s="74" t="s">
        <v>21342</v>
      </c>
      <c r="P905" s="74" t="s">
        <v>21343</v>
      </c>
      <c r="Q905" s="74">
        <v>0</v>
      </c>
      <c r="R905" s="74" t="s">
        <v>148</v>
      </c>
      <c r="S905" s="74" t="s">
        <v>21338</v>
      </c>
      <c r="T905" s="74" t="s">
        <v>402</v>
      </c>
      <c r="U905" s="74">
        <v>0</v>
      </c>
      <c r="V905" s="74">
        <v>0</v>
      </c>
    </row>
    <row r="906" spans="3:22" x14ac:dyDescent="0.25">
      <c r="C906" s="74" t="s">
        <v>735</v>
      </c>
      <c r="D906" s="74" t="s">
        <v>148</v>
      </c>
      <c r="E906" s="74" t="s">
        <v>21338</v>
      </c>
      <c r="F906" s="74">
        <v>570025</v>
      </c>
      <c r="G906" s="74">
        <v>3</v>
      </c>
      <c r="H906" s="135">
        <v>42995.920532407406</v>
      </c>
      <c r="I906" s="74" t="s">
        <v>21365</v>
      </c>
      <c r="J906" s="74" t="s">
        <v>21357</v>
      </c>
      <c r="K906" s="74" t="s">
        <v>3798</v>
      </c>
      <c r="L906" s="74">
        <v>893653</v>
      </c>
      <c r="M906" s="74" t="s">
        <v>21341</v>
      </c>
      <c r="N906" s="74">
        <v>1</v>
      </c>
      <c r="O906" s="74" t="s">
        <v>21359</v>
      </c>
      <c r="P906" s="74" t="s">
        <v>21343</v>
      </c>
      <c r="Q906" s="74" t="s">
        <v>21559</v>
      </c>
      <c r="R906" s="74" t="s">
        <v>148</v>
      </c>
      <c r="S906" s="74" t="s">
        <v>21338</v>
      </c>
      <c r="T906" s="74" t="s">
        <v>402</v>
      </c>
      <c r="U906" s="74">
        <v>0</v>
      </c>
      <c r="V906" s="74">
        <v>0</v>
      </c>
    </row>
    <row r="907" spans="3:22" x14ac:dyDescent="0.25">
      <c r="C907" s="74" t="s">
        <v>18795</v>
      </c>
      <c r="D907" s="74" t="s">
        <v>148</v>
      </c>
      <c r="E907" s="74" t="s">
        <v>21338</v>
      </c>
      <c r="F907" s="74">
        <v>551367</v>
      </c>
      <c r="G907" s="74">
        <v>1000</v>
      </c>
      <c r="H907" s="135">
        <v>42995.789004629631</v>
      </c>
      <c r="I907" s="74" t="s">
        <v>21339</v>
      </c>
      <c r="J907" s="74" t="s">
        <v>21340</v>
      </c>
      <c r="K907" s="74" t="s">
        <v>11784</v>
      </c>
      <c r="L907" s="74">
        <v>553141</v>
      </c>
      <c r="M907" s="74" t="s">
        <v>21341</v>
      </c>
      <c r="N907" s="74">
        <v>1</v>
      </c>
      <c r="O907" s="74" t="s">
        <v>21342</v>
      </c>
      <c r="P907" s="74" t="s">
        <v>21343</v>
      </c>
      <c r="Q907" s="74">
        <v>0</v>
      </c>
      <c r="R907" s="74" t="s">
        <v>148</v>
      </c>
      <c r="S907" s="74" t="s">
        <v>21338</v>
      </c>
      <c r="T907" s="74" t="s">
        <v>402</v>
      </c>
      <c r="U907" s="74">
        <v>0</v>
      </c>
      <c r="V907" s="74">
        <v>0</v>
      </c>
    </row>
    <row r="908" spans="3:22" x14ac:dyDescent="0.25">
      <c r="C908" s="74" t="s">
        <v>21347</v>
      </c>
      <c r="D908" s="74" t="s">
        <v>148</v>
      </c>
      <c r="E908" s="74" t="s">
        <v>21338</v>
      </c>
      <c r="F908" s="74">
        <v>637976</v>
      </c>
      <c r="G908" s="74">
        <v>1</v>
      </c>
      <c r="H908" s="135">
        <v>42993.78665509259</v>
      </c>
      <c r="I908" s="74" t="s">
        <v>244</v>
      </c>
      <c r="J908" s="74" t="s">
        <v>21349</v>
      </c>
      <c r="K908" s="74" t="s">
        <v>21347</v>
      </c>
      <c r="L908" s="74">
        <v>637976</v>
      </c>
      <c r="M908" s="74" t="s">
        <v>21341</v>
      </c>
      <c r="N908" s="74">
        <v>0</v>
      </c>
      <c r="O908" s="74" t="s">
        <v>21350</v>
      </c>
      <c r="P908" s="74" t="s">
        <v>21343</v>
      </c>
      <c r="Q908" s="74">
        <v>0</v>
      </c>
      <c r="R908" s="74" t="s">
        <v>148</v>
      </c>
      <c r="S908" s="74" t="s">
        <v>21338</v>
      </c>
      <c r="T908" s="74" t="s">
        <v>402</v>
      </c>
      <c r="U908" s="74">
        <v>0</v>
      </c>
      <c r="V908" s="74">
        <v>0</v>
      </c>
    </row>
    <row r="909" spans="3:22" x14ac:dyDescent="0.25">
      <c r="C909" s="74" t="s">
        <v>21347</v>
      </c>
      <c r="D909" s="74" t="s">
        <v>148</v>
      </c>
      <c r="E909" s="74" t="s">
        <v>21338</v>
      </c>
      <c r="F909" s="74">
        <v>637976</v>
      </c>
      <c r="G909" s="74">
        <v>1</v>
      </c>
      <c r="H909" s="135">
        <v>42993.786643518521</v>
      </c>
      <c r="I909" s="74" t="s">
        <v>21348</v>
      </c>
      <c r="J909" s="74" t="s">
        <v>21349</v>
      </c>
      <c r="K909" s="74" t="s">
        <v>21347</v>
      </c>
      <c r="L909" s="74">
        <v>637976</v>
      </c>
      <c r="M909" s="74" t="s">
        <v>21341</v>
      </c>
      <c r="N909" s="74">
        <v>0</v>
      </c>
      <c r="O909" s="74" t="s">
        <v>21350</v>
      </c>
      <c r="P909" s="74" t="s">
        <v>21343</v>
      </c>
      <c r="Q909" s="74">
        <v>0</v>
      </c>
      <c r="R909" s="74" t="s">
        <v>148</v>
      </c>
      <c r="S909" s="74" t="s">
        <v>21338</v>
      </c>
      <c r="T909" s="74" t="s">
        <v>402</v>
      </c>
      <c r="U909" s="74">
        <v>0</v>
      </c>
      <c r="V909" s="74">
        <v>0</v>
      </c>
    </row>
    <row r="910" spans="3:22" x14ac:dyDescent="0.25">
      <c r="C910" s="74" t="s">
        <v>18795</v>
      </c>
      <c r="D910" s="74" t="s">
        <v>148</v>
      </c>
      <c r="E910" s="74" t="s">
        <v>21338</v>
      </c>
      <c r="F910" s="74">
        <v>551367</v>
      </c>
      <c r="G910" s="74">
        <v>1000</v>
      </c>
      <c r="H910" s="135">
        <v>42993.779502314814</v>
      </c>
      <c r="I910" s="74" t="s">
        <v>21339</v>
      </c>
      <c r="J910" s="74" t="s">
        <v>21340</v>
      </c>
      <c r="K910" s="74" t="s">
        <v>21407</v>
      </c>
      <c r="L910" s="74">
        <v>630976</v>
      </c>
      <c r="M910" s="74" t="s">
        <v>21341</v>
      </c>
      <c r="N910" s="74">
        <v>1</v>
      </c>
      <c r="O910" s="74" t="s">
        <v>21342</v>
      </c>
      <c r="P910" s="74" t="s">
        <v>21343</v>
      </c>
      <c r="Q910" s="74">
        <v>0</v>
      </c>
      <c r="R910" s="74" t="s">
        <v>148</v>
      </c>
      <c r="S910" s="74" t="s">
        <v>21338</v>
      </c>
      <c r="T910" s="74" t="s">
        <v>402</v>
      </c>
      <c r="U910" s="74">
        <v>0</v>
      </c>
      <c r="V910" s="74">
        <v>0</v>
      </c>
    </row>
    <row r="911" spans="3:22" x14ac:dyDescent="0.25">
      <c r="C911" s="74" t="s">
        <v>18795</v>
      </c>
      <c r="D911" s="74" t="s">
        <v>148</v>
      </c>
      <c r="E911" s="74" t="s">
        <v>21338</v>
      </c>
      <c r="F911" s="74">
        <v>551367</v>
      </c>
      <c r="G911" s="74">
        <v>1000</v>
      </c>
      <c r="H911" s="135">
        <v>42993.742546296293</v>
      </c>
      <c r="I911" s="74" t="s">
        <v>21339</v>
      </c>
      <c r="J911" s="74" t="s">
        <v>21340</v>
      </c>
      <c r="K911" s="74" t="s">
        <v>10880</v>
      </c>
      <c r="L911" s="74">
        <v>553030</v>
      </c>
      <c r="M911" s="74" t="s">
        <v>21341</v>
      </c>
      <c r="N911" s="74">
        <v>1</v>
      </c>
      <c r="O911" s="74" t="s">
        <v>21342</v>
      </c>
      <c r="P911" s="74" t="s">
        <v>21343</v>
      </c>
      <c r="Q911" s="74">
        <v>0</v>
      </c>
      <c r="R911" s="74" t="s">
        <v>148</v>
      </c>
      <c r="S911" s="74" t="s">
        <v>21338</v>
      </c>
      <c r="T911" s="74" t="s">
        <v>402</v>
      </c>
      <c r="U911" s="74">
        <v>0</v>
      </c>
      <c r="V911" s="74">
        <v>0</v>
      </c>
    </row>
    <row r="912" spans="3:22" x14ac:dyDescent="0.25">
      <c r="C912" s="74" t="s">
        <v>21351</v>
      </c>
      <c r="D912" s="74" t="s">
        <v>148</v>
      </c>
      <c r="E912" s="74" t="s">
        <v>21338</v>
      </c>
      <c r="F912" s="74">
        <v>707864</v>
      </c>
      <c r="G912" s="74">
        <v>3</v>
      </c>
      <c r="H912" s="135">
        <v>42993.729826388888</v>
      </c>
      <c r="I912" s="74" t="s">
        <v>21354</v>
      </c>
      <c r="J912" s="74" t="s">
        <v>21355</v>
      </c>
      <c r="K912" s="74" t="s">
        <v>16000</v>
      </c>
      <c r="L912" s="74">
        <v>553679</v>
      </c>
      <c r="M912" s="74" t="s">
        <v>21341</v>
      </c>
      <c r="N912" s="74">
        <v>1</v>
      </c>
      <c r="O912" s="74" t="s">
        <v>21342</v>
      </c>
      <c r="P912" s="74" t="s">
        <v>21345</v>
      </c>
      <c r="R912" s="74" t="s">
        <v>148</v>
      </c>
      <c r="S912" s="74" t="s">
        <v>21338</v>
      </c>
      <c r="T912" s="74" t="s">
        <v>402</v>
      </c>
      <c r="U912" s="74">
        <v>0</v>
      </c>
      <c r="V912" s="74">
        <v>0</v>
      </c>
    </row>
    <row r="913" spans="3:22" x14ac:dyDescent="0.25">
      <c r="C913" s="74" t="s">
        <v>21347</v>
      </c>
      <c r="D913" s="74" t="s">
        <v>148</v>
      </c>
      <c r="E913" s="74" t="s">
        <v>21338</v>
      </c>
      <c r="F913" s="74">
        <v>637976</v>
      </c>
      <c r="G913" s="74">
        <v>1</v>
      </c>
      <c r="H913" s="135">
        <v>42993.715671296297</v>
      </c>
      <c r="I913" s="74" t="s">
        <v>21348</v>
      </c>
      <c r="J913" s="74" t="s">
        <v>21349</v>
      </c>
      <c r="K913" s="74" t="s">
        <v>21347</v>
      </c>
      <c r="L913" s="74">
        <v>637976</v>
      </c>
      <c r="M913" s="74" t="s">
        <v>21341</v>
      </c>
      <c r="N913" s="74">
        <v>0</v>
      </c>
      <c r="O913" s="74" t="s">
        <v>21350</v>
      </c>
      <c r="P913" s="74" t="s">
        <v>21343</v>
      </c>
      <c r="Q913" s="74">
        <v>0</v>
      </c>
      <c r="R913" s="74" t="s">
        <v>148</v>
      </c>
      <c r="S913" s="74" t="s">
        <v>21338</v>
      </c>
      <c r="T913" s="74" t="s">
        <v>402</v>
      </c>
      <c r="U913" s="74">
        <v>0</v>
      </c>
      <c r="V913" s="74">
        <v>0</v>
      </c>
    </row>
    <row r="914" spans="3:22" x14ac:dyDescent="0.25">
      <c r="C914" s="74" t="s">
        <v>21347</v>
      </c>
      <c r="D914" s="74" t="s">
        <v>148</v>
      </c>
      <c r="E914" s="74" t="s">
        <v>21338</v>
      </c>
      <c r="F914" s="74">
        <v>637976</v>
      </c>
      <c r="G914" s="74">
        <v>1</v>
      </c>
      <c r="H914" s="135">
        <v>42993.715671296297</v>
      </c>
      <c r="I914" s="74" t="s">
        <v>244</v>
      </c>
      <c r="J914" s="74" t="s">
        <v>21349</v>
      </c>
      <c r="K914" s="74" t="s">
        <v>21347</v>
      </c>
      <c r="L914" s="74">
        <v>637976</v>
      </c>
      <c r="M914" s="74" t="s">
        <v>21341</v>
      </c>
      <c r="N914" s="74">
        <v>0</v>
      </c>
      <c r="O914" s="74" t="s">
        <v>21350</v>
      </c>
      <c r="P914" s="74" t="s">
        <v>21343</v>
      </c>
      <c r="Q914" s="74">
        <v>0</v>
      </c>
      <c r="R914" s="74" t="s">
        <v>148</v>
      </c>
      <c r="S914" s="74" t="s">
        <v>21338</v>
      </c>
      <c r="T914" s="74" t="s">
        <v>402</v>
      </c>
      <c r="U914" s="74">
        <v>0</v>
      </c>
      <c r="V914" s="74">
        <v>0</v>
      </c>
    </row>
    <row r="915" spans="3:22" x14ac:dyDescent="0.25">
      <c r="C915" s="74" t="s">
        <v>18795</v>
      </c>
      <c r="D915" s="74" t="s">
        <v>148</v>
      </c>
      <c r="E915" s="74" t="s">
        <v>21338</v>
      </c>
      <c r="F915" s="74">
        <v>551367</v>
      </c>
      <c r="G915" s="74">
        <v>1000</v>
      </c>
      <c r="H915" s="135">
        <v>42993.697465277779</v>
      </c>
      <c r="I915" s="74" t="s">
        <v>21339</v>
      </c>
      <c r="J915" s="74" t="s">
        <v>21340</v>
      </c>
      <c r="K915" s="74" t="s">
        <v>16000</v>
      </c>
      <c r="L915" s="74">
        <v>553679</v>
      </c>
      <c r="M915" s="74" t="s">
        <v>21341</v>
      </c>
      <c r="N915" s="74">
        <v>1</v>
      </c>
      <c r="O915" s="74" t="s">
        <v>21342</v>
      </c>
      <c r="P915" s="74" t="s">
        <v>21343</v>
      </c>
      <c r="Q915" s="74">
        <v>0</v>
      </c>
      <c r="R915" s="74" t="s">
        <v>148</v>
      </c>
      <c r="S915" s="74" t="s">
        <v>21338</v>
      </c>
      <c r="T915" s="74" t="s">
        <v>402</v>
      </c>
      <c r="U915" s="74">
        <v>0</v>
      </c>
      <c r="V915" s="74">
        <v>0</v>
      </c>
    </row>
    <row r="916" spans="3:22" x14ac:dyDescent="0.25">
      <c r="C916" s="74" t="s">
        <v>21351</v>
      </c>
      <c r="D916" s="74" t="s">
        <v>148</v>
      </c>
      <c r="E916" s="74" t="s">
        <v>21338</v>
      </c>
      <c r="F916" s="74">
        <v>707864</v>
      </c>
      <c r="G916" s="74">
        <v>3</v>
      </c>
      <c r="H916" s="135">
        <v>42993.680590277778</v>
      </c>
      <c r="I916" s="74" t="s">
        <v>21354</v>
      </c>
      <c r="J916" s="74" t="s">
        <v>21355</v>
      </c>
      <c r="K916" s="74" t="s">
        <v>16140</v>
      </c>
      <c r="L916" s="74">
        <v>553701</v>
      </c>
      <c r="M916" s="74" t="s">
        <v>21341</v>
      </c>
      <c r="N916" s="74">
        <v>1</v>
      </c>
      <c r="O916" s="74" t="s">
        <v>21342</v>
      </c>
      <c r="P916" s="74" t="s">
        <v>21345</v>
      </c>
      <c r="R916" s="74" t="s">
        <v>148</v>
      </c>
      <c r="S916" s="74" t="s">
        <v>21338</v>
      </c>
      <c r="T916" s="74" t="s">
        <v>402</v>
      </c>
      <c r="U916" s="74">
        <v>0</v>
      </c>
      <c r="V916" s="74">
        <v>0</v>
      </c>
    </row>
    <row r="917" spans="3:22" x14ac:dyDescent="0.25">
      <c r="C917" s="74" t="s">
        <v>2974</v>
      </c>
      <c r="D917" s="74" t="s">
        <v>148</v>
      </c>
      <c r="E917" s="74" t="s">
        <v>21338</v>
      </c>
      <c r="F917" s="74">
        <v>627564</v>
      </c>
      <c r="G917" s="74">
        <v>3</v>
      </c>
      <c r="H917" s="135">
        <v>42993.671851851854</v>
      </c>
      <c r="I917" s="74" t="s">
        <v>21339</v>
      </c>
      <c r="J917" s="74" t="s">
        <v>21356</v>
      </c>
      <c r="K917" s="74" t="s">
        <v>3802</v>
      </c>
      <c r="L917" s="74">
        <v>907988</v>
      </c>
      <c r="M917" s="74" t="s">
        <v>21341</v>
      </c>
      <c r="N917" s="74">
        <v>1</v>
      </c>
      <c r="O917" s="74" t="s">
        <v>21342</v>
      </c>
      <c r="P917" s="74" t="s">
        <v>21343</v>
      </c>
      <c r="Q917" s="74" t="s">
        <v>21395</v>
      </c>
      <c r="R917" s="74" t="s">
        <v>148</v>
      </c>
      <c r="S917" s="74" t="s">
        <v>21338</v>
      </c>
      <c r="T917" s="74" t="s">
        <v>402</v>
      </c>
      <c r="U917" s="74">
        <v>0</v>
      </c>
      <c r="V917" s="74">
        <v>0</v>
      </c>
    </row>
    <row r="918" spans="3:22" x14ac:dyDescent="0.25">
      <c r="C918" s="74" t="s">
        <v>18795</v>
      </c>
      <c r="D918" s="74" t="s">
        <v>148</v>
      </c>
      <c r="E918" s="74" t="s">
        <v>21338</v>
      </c>
      <c r="F918" s="74">
        <v>551367</v>
      </c>
      <c r="G918" s="74">
        <v>1000</v>
      </c>
      <c r="H918" s="135">
        <v>42993.669305555559</v>
      </c>
      <c r="I918" s="74" t="s">
        <v>21339</v>
      </c>
      <c r="J918" s="74" t="s">
        <v>21340</v>
      </c>
      <c r="K918" s="74" t="s">
        <v>3802</v>
      </c>
      <c r="L918" s="74">
        <v>907988</v>
      </c>
      <c r="M918" s="74" t="s">
        <v>21341</v>
      </c>
      <c r="N918" s="74">
        <v>1</v>
      </c>
      <c r="O918" s="74" t="s">
        <v>21342</v>
      </c>
      <c r="P918" s="74" t="s">
        <v>21343</v>
      </c>
      <c r="Q918" s="74">
        <v>0</v>
      </c>
      <c r="R918" s="74" t="s">
        <v>148</v>
      </c>
      <c r="S918" s="74" t="s">
        <v>21338</v>
      </c>
      <c r="T918" s="74" t="s">
        <v>402</v>
      </c>
      <c r="U918" s="74">
        <v>0</v>
      </c>
      <c r="V918" s="74">
        <v>0</v>
      </c>
    </row>
    <row r="919" spans="3:22" x14ac:dyDescent="0.25">
      <c r="C919" s="74" t="s">
        <v>18795</v>
      </c>
      <c r="D919" s="74" t="s">
        <v>148</v>
      </c>
      <c r="E919" s="74" t="s">
        <v>21338</v>
      </c>
      <c r="F919" s="74">
        <v>551367</v>
      </c>
      <c r="G919" s="74">
        <v>1000</v>
      </c>
      <c r="H919" s="135">
        <v>42993.663148148145</v>
      </c>
      <c r="I919" s="74" t="s">
        <v>21339</v>
      </c>
      <c r="J919" s="74" t="s">
        <v>21340</v>
      </c>
      <c r="K919" s="74" t="s">
        <v>5935</v>
      </c>
      <c r="L919" s="74">
        <v>552387</v>
      </c>
      <c r="M919" s="74" t="s">
        <v>21341</v>
      </c>
      <c r="N919" s="74">
        <v>1</v>
      </c>
      <c r="O919" s="74" t="s">
        <v>21342</v>
      </c>
      <c r="P919" s="74" t="s">
        <v>21343</v>
      </c>
      <c r="Q919" s="74">
        <v>0</v>
      </c>
      <c r="R919" s="74" t="s">
        <v>148</v>
      </c>
      <c r="S919" s="74" t="s">
        <v>21338</v>
      </c>
      <c r="T919" s="74" t="s">
        <v>402</v>
      </c>
      <c r="U919" s="74">
        <v>0</v>
      </c>
      <c r="V919" s="74">
        <v>0</v>
      </c>
    </row>
    <row r="920" spans="3:22" x14ac:dyDescent="0.25">
      <c r="C920" s="74" t="s">
        <v>18795</v>
      </c>
      <c r="D920" s="74" t="s">
        <v>148</v>
      </c>
      <c r="E920" s="74" t="s">
        <v>21338</v>
      </c>
      <c r="F920" s="74">
        <v>551367</v>
      </c>
      <c r="G920" s="74">
        <v>1000</v>
      </c>
      <c r="H920" s="135">
        <v>42993.644456018519</v>
      </c>
      <c r="I920" s="74" t="s">
        <v>21339</v>
      </c>
      <c r="J920" s="74" t="s">
        <v>21340</v>
      </c>
      <c r="K920" s="74" t="s">
        <v>7938</v>
      </c>
      <c r="L920" s="74">
        <v>552656</v>
      </c>
      <c r="M920" s="74" t="s">
        <v>21341</v>
      </c>
      <c r="N920" s="74">
        <v>1</v>
      </c>
      <c r="O920" s="74" t="s">
        <v>21342</v>
      </c>
      <c r="P920" s="74" t="s">
        <v>21343</v>
      </c>
      <c r="Q920" s="74">
        <v>0</v>
      </c>
      <c r="R920" s="74" t="s">
        <v>148</v>
      </c>
      <c r="S920" s="74" t="s">
        <v>21338</v>
      </c>
      <c r="T920" s="74" t="s">
        <v>402</v>
      </c>
      <c r="U920" s="74">
        <v>0</v>
      </c>
      <c r="V920" s="74">
        <v>0</v>
      </c>
    </row>
    <row r="921" spans="3:22" x14ac:dyDescent="0.25">
      <c r="C921" s="74" t="s">
        <v>21347</v>
      </c>
      <c r="D921" s="74" t="s">
        <v>148</v>
      </c>
      <c r="E921" s="74" t="s">
        <v>21338</v>
      </c>
      <c r="F921" s="74">
        <v>637976</v>
      </c>
      <c r="G921" s="74">
        <v>1</v>
      </c>
      <c r="H921" s="135">
        <v>42993.637627314813</v>
      </c>
      <c r="I921" s="74" t="s">
        <v>21348</v>
      </c>
      <c r="J921" s="74" t="s">
        <v>21349</v>
      </c>
      <c r="K921" s="74" t="s">
        <v>21347</v>
      </c>
      <c r="L921" s="74">
        <v>637976</v>
      </c>
      <c r="M921" s="74" t="s">
        <v>21341</v>
      </c>
      <c r="N921" s="74">
        <v>0</v>
      </c>
      <c r="O921" s="74" t="s">
        <v>21350</v>
      </c>
      <c r="P921" s="74" t="s">
        <v>21343</v>
      </c>
      <c r="Q921" s="74">
        <v>0</v>
      </c>
      <c r="R921" s="74" t="s">
        <v>148</v>
      </c>
      <c r="S921" s="74" t="s">
        <v>21338</v>
      </c>
      <c r="T921" s="74" t="s">
        <v>402</v>
      </c>
      <c r="U921" s="74">
        <v>0</v>
      </c>
      <c r="V921" s="74">
        <v>0</v>
      </c>
    </row>
    <row r="922" spans="3:22" x14ac:dyDescent="0.25">
      <c r="C922" s="74" t="s">
        <v>21347</v>
      </c>
      <c r="D922" s="74" t="s">
        <v>148</v>
      </c>
      <c r="E922" s="74" t="s">
        <v>21338</v>
      </c>
      <c r="F922" s="74">
        <v>637976</v>
      </c>
      <c r="G922" s="74">
        <v>1</v>
      </c>
      <c r="H922" s="135">
        <v>42993.637627314813</v>
      </c>
      <c r="I922" s="74" t="s">
        <v>244</v>
      </c>
      <c r="J922" s="74" t="s">
        <v>21349</v>
      </c>
      <c r="K922" s="74" t="s">
        <v>21347</v>
      </c>
      <c r="L922" s="74">
        <v>637976</v>
      </c>
      <c r="M922" s="74" t="s">
        <v>21341</v>
      </c>
      <c r="N922" s="74">
        <v>0</v>
      </c>
      <c r="O922" s="74" t="s">
        <v>21350</v>
      </c>
      <c r="P922" s="74" t="s">
        <v>21343</v>
      </c>
      <c r="Q922" s="74">
        <v>0</v>
      </c>
      <c r="R922" s="74" t="s">
        <v>148</v>
      </c>
      <c r="S922" s="74" t="s">
        <v>21338</v>
      </c>
      <c r="T922" s="74" t="s">
        <v>402</v>
      </c>
      <c r="U922" s="74">
        <v>0</v>
      </c>
      <c r="V922" s="74">
        <v>0</v>
      </c>
    </row>
    <row r="923" spans="3:22" x14ac:dyDescent="0.25">
      <c r="C923" s="74" t="s">
        <v>21511</v>
      </c>
      <c r="D923" s="74">
        <v>0</v>
      </c>
      <c r="E923" s="74" t="s">
        <v>21344</v>
      </c>
      <c r="F923" s="74">
        <v>690215</v>
      </c>
      <c r="G923" s="74">
        <v>1000</v>
      </c>
      <c r="H923" s="135">
        <v>42993.598553240743</v>
      </c>
      <c r="I923" s="74" t="s">
        <v>21560</v>
      </c>
      <c r="J923" s="74" t="s">
        <v>21561</v>
      </c>
      <c r="K923" s="74" t="s">
        <v>21555</v>
      </c>
      <c r="L923" s="74">
        <v>909195</v>
      </c>
      <c r="M923" s="74" t="s">
        <v>21341</v>
      </c>
      <c r="N923" s="74">
        <v>1</v>
      </c>
      <c r="O923" s="74" t="s">
        <v>21342</v>
      </c>
      <c r="P923" s="74" t="s">
        <v>21343</v>
      </c>
      <c r="Q923" s="74" t="s">
        <v>21562</v>
      </c>
      <c r="R923" s="74" t="s">
        <v>148</v>
      </c>
      <c r="S923" s="74" t="s">
        <v>21338</v>
      </c>
      <c r="T923" s="74" t="s">
        <v>402</v>
      </c>
      <c r="U923" s="74">
        <v>0</v>
      </c>
      <c r="V923" s="74">
        <v>0</v>
      </c>
    </row>
    <row r="924" spans="3:22" x14ac:dyDescent="0.25">
      <c r="C924" s="74" t="s">
        <v>21511</v>
      </c>
      <c r="D924" s="74">
        <v>0</v>
      </c>
      <c r="E924" s="74" t="s">
        <v>21344</v>
      </c>
      <c r="F924" s="74">
        <v>690215</v>
      </c>
      <c r="G924" s="74">
        <v>1000</v>
      </c>
      <c r="H924" s="135">
        <v>42993.59778935185</v>
      </c>
      <c r="I924" s="74" t="s">
        <v>21563</v>
      </c>
      <c r="J924" s="74" t="s">
        <v>21564</v>
      </c>
      <c r="K924" s="74" t="s">
        <v>5416</v>
      </c>
      <c r="L924" s="74">
        <v>552330</v>
      </c>
      <c r="M924" s="74" t="s">
        <v>21341</v>
      </c>
      <c r="N924" s="74">
        <v>1</v>
      </c>
      <c r="O924" s="74" t="s">
        <v>21342</v>
      </c>
      <c r="P924" s="74" t="s">
        <v>21343</v>
      </c>
      <c r="Q924" s="74" t="s">
        <v>21565</v>
      </c>
      <c r="R924" s="74" t="s">
        <v>148</v>
      </c>
      <c r="S924" s="74" t="s">
        <v>21338</v>
      </c>
      <c r="T924" s="74" t="s">
        <v>393</v>
      </c>
      <c r="U924" s="74">
        <v>0</v>
      </c>
      <c r="V924" s="74">
        <v>0</v>
      </c>
    </row>
    <row r="925" spans="3:22" x14ac:dyDescent="0.25">
      <c r="C925" s="74" t="s">
        <v>18795</v>
      </c>
      <c r="D925" s="74" t="s">
        <v>148</v>
      </c>
      <c r="E925" s="74" t="s">
        <v>21338</v>
      </c>
      <c r="F925" s="74">
        <v>551367</v>
      </c>
      <c r="G925" s="74">
        <v>1000</v>
      </c>
      <c r="H925" s="135">
        <v>42993.597210648149</v>
      </c>
      <c r="I925" s="74" t="s">
        <v>21339</v>
      </c>
      <c r="J925" s="74" t="s">
        <v>21340</v>
      </c>
      <c r="K925" s="74" t="s">
        <v>1228</v>
      </c>
      <c r="L925" s="74">
        <v>551809</v>
      </c>
      <c r="M925" s="74" t="s">
        <v>21341</v>
      </c>
      <c r="N925" s="74">
        <v>1</v>
      </c>
      <c r="O925" s="74" t="s">
        <v>21342</v>
      </c>
      <c r="P925" s="74" t="s">
        <v>21343</v>
      </c>
      <c r="Q925" s="74">
        <v>0</v>
      </c>
      <c r="R925" s="74" t="s">
        <v>148</v>
      </c>
      <c r="S925" s="74" t="s">
        <v>21338</v>
      </c>
      <c r="T925" s="74" t="s">
        <v>402</v>
      </c>
      <c r="U925" s="74">
        <v>0</v>
      </c>
      <c r="V925" s="74">
        <v>0</v>
      </c>
    </row>
    <row r="926" spans="3:22" x14ac:dyDescent="0.25">
      <c r="C926" s="74" t="s">
        <v>21511</v>
      </c>
      <c r="D926" s="74">
        <v>0</v>
      </c>
      <c r="E926" s="74" t="s">
        <v>21344</v>
      </c>
      <c r="F926" s="74">
        <v>690215</v>
      </c>
      <c r="G926" s="74">
        <v>1000</v>
      </c>
      <c r="H926" s="135">
        <v>42993.59652777778</v>
      </c>
      <c r="I926" s="74" t="s">
        <v>21339</v>
      </c>
      <c r="J926" s="74" t="s">
        <v>21360</v>
      </c>
      <c r="K926" s="74" t="s">
        <v>5416</v>
      </c>
      <c r="L926" s="74">
        <v>552330</v>
      </c>
      <c r="M926" s="74" t="s">
        <v>21341</v>
      </c>
      <c r="N926" s="74">
        <v>1</v>
      </c>
      <c r="O926" s="74" t="s">
        <v>21342</v>
      </c>
      <c r="P926" s="74" t="s">
        <v>21343</v>
      </c>
      <c r="Q926" s="74" t="s">
        <v>21395</v>
      </c>
      <c r="R926" s="74" t="s">
        <v>148</v>
      </c>
      <c r="S926" s="74" t="s">
        <v>21338</v>
      </c>
      <c r="T926" s="74" t="s">
        <v>393</v>
      </c>
      <c r="U926" s="74">
        <v>0</v>
      </c>
      <c r="V926" s="74">
        <v>0</v>
      </c>
    </row>
    <row r="927" spans="3:22" x14ac:dyDescent="0.25">
      <c r="C927" s="74" t="s">
        <v>21386</v>
      </c>
      <c r="D927" s="74" t="s">
        <v>148</v>
      </c>
      <c r="E927" s="74" t="s">
        <v>21338</v>
      </c>
      <c r="F927" s="74">
        <v>674396</v>
      </c>
      <c r="G927" s="74">
        <v>3</v>
      </c>
      <c r="H927" s="135">
        <v>42993.596203703702</v>
      </c>
      <c r="I927" s="74" t="s">
        <v>21339</v>
      </c>
      <c r="J927" s="74" t="s">
        <v>21362</v>
      </c>
      <c r="K927" s="74" t="s">
        <v>2633</v>
      </c>
      <c r="L927" s="74">
        <v>718368</v>
      </c>
      <c r="M927" s="74" t="s">
        <v>21341</v>
      </c>
      <c r="N927" s="74">
        <v>1</v>
      </c>
      <c r="O927" s="74" t="s">
        <v>21342</v>
      </c>
      <c r="P927" s="74" t="s">
        <v>21343</v>
      </c>
      <c r="Q927" s="74" t="s">
        <v>21363</v>
      </c>
      <c r="R927" s="74" t="s">
        <v>148</v>
      </c>
      <c r="S927" s="74" t="s">
        <v>21338</v>
      </c>
      <c r="T927" s="74" t="s">
        <v>393</v>
      </c>
      <c r="U927" s="74">
        <v>0</v>
      </c>
      <c r="V927" s="74">
        <v>0</v>
      </c>
    </row>
    <row r="928" spans="3:22" x14ac:dyDescent="0.25">
      <c r="C928" s="74" t="s">
        <v>21386</v>
      </c>
      <c r="D928" s="74" t="s">
        <v>148</v>
      </c>
      <c r="E928" s="74" t="s">
        <v>21338</v>
      </c>
      <c r="F928" s="74">
        <v>674396</v>
      </c>
      <c r="G928" s="74">
        <v>3</v>
      </c>
      <c r="H928" s="135">
        <v>42993.595520833333</v>
      </c>
      <c r="I928" s="74" t="s">
        <v>21339</v>
      </c>
      <c r="J928" s="74" t="s">
        <v>21364</v>
      </c>
      <c r="K928" s="74" t="s">
        <v>2633</v>
      </c>
      <c r="L928" s="74">
        <v>718368</v>
      </c>
      <c r="M928" s="74" t="s">
        <v>21341</v>
      </c>
      <c r="N928" s="74">
        <v>1</v>
      </c>
      <c r="O928" s="74" t="s">
        <v>21342</v>
      </c>
      <c r="P928" s="74" t="s">
        <v>21343</v>
      </c>
      <c r="Q928" s="74">
        <v>0</v>
      </c>
      <c r="R928" s="74" t="s">
        <v>148</v>
      </c>
      <c r="S928" s="74" t="s">
        <v>21338</v>
      </c>
      <c r="T928" s="74" t="s">
        <v>402</v>
      </c>
      <c r="U928" s="74">
        <v>0</v>
      </c>
      <c r="V928" s="74">
        <v>0</v>
      </c>
    </row>
    <row r="929" spans="3:22" x14ac:dyDescent="0.25">
      <c r="C929" s="74" t="s">
        <v>21386</v>
      </c>
      <c r="D929" s="74" t="s">
        <v>148</v>
      </c>
      <c r="E929" s="74" t="s">
        <v>21338</v>
      </c>
      <c r="F929" s="74">
        <v>674396</v>
      </c>
      <c r="G929" s="74">
        <v>3</v>
      </c>
      <c r="H929" s="135">
        <v>42993.595509259256</v>
      </c>
      <c r="I929" s="74" t="s">
        <v>21365</v>
      </c>
      <c r="J929" s="74" t="s">
        <v>21366</v>
      </c>
      <c r="K929" s="74" t="s">
        <v>21367</v>
      </c>
      <c r="L929" s="74">
        <v>561482</v>
      </c>
      <c r="M929" s="74" t="s">
        <v>21368</v>
      </c>
      <c r="N929" s="74">
        <v>1</v>
      </c>
      <c r="O929" s="74" t="s">
        <v>21369</v>
      </c>
      <c r="P929" s="74" t="s">
        <v>21343</v>
      </c>
      <c r="Q929" s="74" t="s">
        <v>21566</v>
      </c>
      <c r="R929" s="74" t="s">
        <v>148</v>
      </c>
      <c r="S929" s="74" t="s">
        <v>21338</v>
      </c>
      <c r="T929" s="74" t="s">
        <v>21371</v>
      </c>
      <c r="U929" s="74">
        <v>0</v>
      </c>
      <c r="V929" s="74">
        <v>0</v>
      </c>
    </row>
    <row r="930" spans="3:22" x14ac:dyDescent="0.25">
      <c r="C930" s="74" t="s">
        <v>21386</v>
      </c>
      <c r="D930" s="74" t="s">
        <v>148</v>
      </c>
      <c r="E930" s="74" t="s">
        <v>21338</v>
      </c>
      <c r="F930" s="74">
        <v>674396</v>
      </c>
      <c r="G930" s="74">
        <v>3</v>
      </c>
      <c r="H930" s="135">
        <v>42993.595486111109</v>
      </c>
      <c r="I930" s="74" t="s">
        <v>21365</v>
      </c>
      <c r="J930" s="74" t="s">
        <v>21366</v>
      </c>
      <c r="K930" s="74" t="s">
        <v>21376</v>
      </c>
      <c r="L930" s="74">
        <v>555659</v>
      </c>
      <c r="M930" s="74" t="s">
        <v>21368</v>
      </c>
      <c r="N930" s="74">
        <v>1</v>
      </c>
      <c r="O930" s="74" t="s">
        <v>21369</v>
      </c>
      <c r="P930" s="74" t="s">
        <v>21343</v>
      </c>
      <c r="Q930" s="74" t="s">
        <v>21566</v>
      </c>
      <c r="R930" s="74" t="s">
        <v>148</v>
      </c>
      <c r="S930" s="74" t="s">
        <v>21338</v>
      </c>
      <c r="T930" s="74" t="s">
        <v>21371</v>
      </c>
      <c r="U930" s="74">
        <v>0</v>
      </c>
      <c r="V930" s="74">
        <v>0</v>
      </c>
    </row>
    <row r="931" spans="3:22" x14ac:dyDescent="0.25">
      <c r="C931" s="74" t="s">
        <v>21386</v>
      </c>
      <c r="D931" s="74" t="s">
        <v>148</v>
      </c>
      <c r="E931" s="74" t="s">
        <v>21338</v>
      </c>
      <c r="F931" s="74">
        <v>674396</v>
      </c>
      <c r="G931" s="74">
        <v>3</v>
      </c>
      <c r="H931" s="135">
        <v>42993.595451388886</v>
      </c>
      <c r="I931" s="74" t="s">
        <v>21339</v>
      </c>
      <c r="J931" s="74" t="s">
        <v>21364</v>
      </c>
      <c r="K931" s="74" t="s">
        <v>2633</v>
      </c>
      <c r="L931" s="74">
        <v>718368</v>
      </c>
      <c r="M931" s="74" t="s">
        <v>21341</v>
      </c>
      <c r="N931" s="74">
        <v>1</v>
      </c>
      <c r="O931" s="74" t="s">
        <v>21342</v>
      </c>
      <c r="P931" s="74" t="s">
        <v>21343</v>
      </c>
      <c r="Q931" s="74">
        <v>0</v>
      </c>
      <c r="R931" s="74" t="s">
        <v>148</v>
      </c>
      <c r="S931" s="74" t="s">
        <v>21338</v>
      </c>
      <c r="T931" s="74" t="s">
        <v>402</v>
      </c>
      <c r="U931" s="74">
        <v>0</v>
      </c>
      <c r="V931" s="74">
        <v>0</v>
      </c>
    </row>
    <row r="932" spans="3:22" x14ac:dyDescent="0.25">
      <c r="C932" s="74" t="s">
        <v>21386</v>
      </c>
      <c r="D932" s="74" t="s">
        <v>148</v>
      </c>
      <c r="E932" s="74" t="s">
        <v>21338</v>
      </c>
      <c r="F932" s="74">
        <v>674396</v>
      </c>
      <c r="G932" s="74">
        <v>3</v>
      </c>
      <c r="H932" s="135">
        <v>42993.591377314813</v>
      </c>
      <c r="I932" s="74" t="s">
        <v>21339</v>
      </c>
      <c r="J932" s="74" t="s">
        <v>21364</v>
      </c>
      <c r="K932" s="74" t="s">
        <v>2633</v>
      </c>
      <c r="L932" s="74">
        <v>718368</v>
      </c>
      <c r="M932" s="74" t="s">
        <v>21341</v>
      </c>
      <c r="N932" s="74">
        <v>1</v>
      </c>
      <c r="O932" s="74" t="s">
        <v>21342</v>
      </c>
      <c r="P932" s="74" t="s">
        <v>21343</v>
      </c>
      <c r="Q932" s="74">
        <v>0</v>
      </c>
      <c r="R932" s="74" t="s">
        <v>148</v>
      </c>
      <c r="S932" s="74" t="s">
        <v>21338</v>
      </c>
      <c r="T932" s="74" t="s">
        <v>402</v>
      </c>
      <c r="U932" s="74">
        <v>0</v>
      </c>
      <c r="V932" s="74">
        <v>0</v>
      </c>
    </row>
    <row r="933" spans="3:22" x14ac:dyDescent="0.25">
      <c r="C933" s="74" t="s">
        <v>21386</v>
      </c>
      <c r="D933" s="74" t="s">
        <v>148</v>
      </c>
      <c r="E933" s="74" t="s">
        <v>21338</v>
      </c>
      <c r="F933" s="74">
        <v>674396</v>
      </c>
      <c r="G933" s="74">
        <v>3</v>
      </c>
      <c r="H933" s="135">
        <v>42993.583703703705</v>
      </c>
      <c r="I933" s="74" t="s">
        <v>21339</v>
      </c>
      <c r="J933" s="74" t="s">
        <v>21360</v>
      </c>
      <c r="K933" s="74" t="s">
        <v>2633</v>
      </c>
      <c r="L933" s="74">
        <v>718368</v>
      </c>
      <c r="M933" s="74" t="s">
        <v>21341</v>
      </c>
      <c r="N933" s="74">
        <v>1</v>
      </c>
      <c r="O933" s="74" t="s">
        <v>21342</v>
      </c>
      <c r="P933" s="74" t="s">
        <v>21343</v>
      </c>
      <c r="Q933" s="74" t="s">
        <v>21361</v>
      </c>
      <c r="R933" s="74" t="s">
        <v>148</v>
      </c>
      <c r="S933" s="74" t="s">
        <v>21338</v>
      </c>
      <c r="T933" s="74" t="s">
        <v>402</v>
      </c>
      <c r="U933" s="74">
        <v>0</v>
      </c>
      <c r="V933" s="74">
        <v>0</v>
      </c>
    </row>
    <row r="934" spans="3:22" x14ac:dyDescent="0.25">
      <c r="C934" s="74" t="s">
        <v>21386</v>
      </c>
      <c r="D934" s="74" t="s">
        <v>148</v>
      </c>
      <c r="E934" s="74" t="s">
        <v>21338</v>
      </c>
      <c r="F934" s="74">
        <v>674396</v>
      </c>
      <c r="G934" s="74">
        <v>3</v>
      </c>
      <c r="H934" s="135">
        <v>42993.582673611112</v>
      </c>
      <c r="I934" s="74" t="s">
        <v>21339</v>
      </c>
      <c r="J934" s="74" t="s">
        <v>21360</v>
      </c>
      <c r="K934" s="74" t="s">
        <v>2633</v>
      </c>
      <c r="L934" s="74">
        <v>718368</v>
      </c>
      <c r="M934" s="74" t="s">
        <v>21341</v>
      </c>
      <c r="N934" s="74">
        <v>1</v>
      </c>
      <c r="O934" s="74" t="s">
        <v>21342</v>
      </c>
      <c r="P934" s="74" t="s">
        <v>21343</v>
      </c>
      <c r="Q934" s="74" t="s">
        <v>21361</v>
      </c>
      <c r="R934" s="74" t="s">
        <v>148</v>
      </c>
      <c r="S934" s="74" t="s">
        <v>21338</v>
      </c>
      <c r="T934" s="74" t="s">
        <v>402</v>
      </c>
      <c r="U934" s="74">
        <v>0</v>
      </c>
      <c r="V934" s="74">
        <v>0</v>
      </c>
    </row>
    <row r="935" spans="3:22" x14ac:dyDescent="0.25">
      <c r="C935" s="74" t="s">
        <v>18795</v>
      </c>
      <c r="D935" s="74" t="s">
        <v>148</v>
      </c>
      <c r="E935" s="74" t="s">
        <v>21338</v>
      </c>
      <c r="F935" s="74">
        <v>551367</v>
      </c>
      <c r="G935" s="74">
        <v>1000</v>
      </c>
      <c r="H935" s="135">
        <v>42993.576817129629</v>
      </c>
      <c r="I935" s="74" t="s">
        <v>21339</v>
      </c>
      <c r="J935" s="74" t="s">
        <v>21340</v>
      </c>
      <c r="K935" s="74" t="s">
        <v>1228</v>
      </c>
      <c r="L935" s="74">
        <v>551809</v>
      </c>
      <c r="M935" s="74" t="s">
        <v>21341</v>
      </c>
      <c r="N935" s="74">
        <v>1</v>
      </c>
      <c r="O935" s="74" t="s">
        <v>21342</v>
      </c>
      <c r="P935" s="74" t="s">
        <v>21343</v>
      </c>
      <c r="Q935" s="74">
        <v>0</v>
      </c>
      <c r="R935" s="74" t="s">
        <v>148</v>
      </c>
      <c r="S935" s="74" t="s">
        <v>21338</v>
      </c>
      <c r="T935" s="74" t="s">
        <v>402</v>
      </c>
      <c r="U935" s="74">
        <v>0</v>
      </c>
      <c r="V935" s="74">
        <v>0</v>
      </c>
    </row>
    <row r="936" spans="3:22" x14ac:dyDescent="0.25">
      <c r="C936" s="74" t="s">
        <v>18795</v>
      </c>
      <c r="D936" s="74" t="s">
        <v>148</v>
      </c>
      <c r="E936" s="74" t="s">
        <v>21338</v>
      </c>
      <c r="F936" s="74">
        <v>551367</v>
      </c>
      <c r="G936" s="74">
        <v>1000</v>
      </c>
      <c r="H936" s="135">
        <v>42993.556516203702</v>
      </c>
      <c r="I936" s="74" t="s">
        <v>21339</v>
      </c>
      <c r="J936" s="74" t="s">
        <v>21340</v>
      </c>
      <c r="K936" s="74" t="s">
        <v>17273</v>
      </c>
      <c r="L936" s="74">
        <v>553844</v>
      </c>
      <c r="M936" s="74" t="s">
        <v>21341</v>
      </c>
      <c r="N936" s="74">
        <v>1</v>
      </c>
      <c r="O936" s="74" t="s">
        <v>21342</v>
      </c>
      <c r="P936" s="74" t="s">
        <v>21343</v>
      </c>
      <c r="Q936" s="74">
        <v>0</v>
      </c>
      <c r="R936" s="74" t="s">
        <v>148</v>
      </c>
      <c r="S936" s="74" t="s">
        <v>21338</v>
      </c>
      <c r="T936" s="74" t="s">
        <v>402</v>
      </c>
      <c r="U936" s="74">
        <v>0</v>
      </c>
      <c r="V936" s="74">
        <v>0</v>
      </c>
    </row>
    <row r="937" spans="3:22" x14ac:dyDescent="0.25">
      <c r="C937" s="74" t="s">
        <v>21347</v>
      </c>
      <c r="D937" s="74" t="s">
        <v>148</v>
      </c>
      <c r="E937" s="74" t="s">
        <v>21338</v>
      </c>
      <c r="F937" s="74">
        <v>637976</v>
      </c>
      <c r="G937" s="74">
        <v>1</v>
      </c>
      <c r="H937" s="135">
        <v>42993.546967592592</v>
      </c>
      <c r="I937" s="74" t="s">
        <v>21348</v>
      </c>
      <c r="J937" s="74" t="s">
        <v>21349</v>
      </c>
      <c r="K937" s="74" t="s">
        <v>21347</v>
      </c>
      <c r="L937" s="74">
        <v>637976</v>
      </c>
      <c r="M937" s="74" t="s">
        <v>21341</v>
      </c>
      <c r="N937" s="74">
        <v>0</v>
      </c>
      <c r="O937" s="74" t="s">
        <v>21350</v>
      </c>
      <c r="P937" s="74" t="s">
        <v>21343</v>
      </c>
      <c r="Q937" s="74">
        <v>0</v>
      </c>
      <c r="R937" s="74" t="s">
        <v>148</v>
      </c>
      <c r="S937" s="74" t="s">
        <v>21338</v>
      </c>
      <c r="T937" s="74" t="s">
        <v>402</v>
      </c>
      <c r="U937" s="74">
        <v>0</v>
      </c>
      <c r="V937" s="74">
        <v>0</v>
      </c>
    </row>
    <row r="938" spans="3:22" x14ac:dyDescent="0.25">
      <c r="C938" s="74" t="s">
        <v>21347</v>
      </c>
      <c r="D938" s="74" t="s">
        <v>148</v>
      </c>
      <c r="E938" s="74" t="s">
        <v>21338</v>
      </c>
      <c r="F938" s="74">
        <v>637976</v>
      </c>
      <c r="G938" s="74">
        <v>1</v>
      </c>
      <c r="H938" s="135">
        <v>42993.546967592592</v>
      </c>
      <c r="I938" s="74" t="s">
        <v>244</v>
      </c>
      <c r="J938" s="74" t="s">
        <v>21349</v>
      </c>
      <c r="K938" s="74" t="s">
        <v>21347</v>
      </c>
      <c r="L938" s="74">
        <v>637976</v>
      </c>
      <c r="M938" s="74" t="s">
        <v>21341</v>
      </c>
      <c r="N938" s="74">
        <v>0</v>
      </c>
      <c r="O938" s="74" t="s">
        <v>21350</v>
      </c>
      <c r="P938" s="74" t="s">
        <v>21343</v>
      </c>
      <c r="Q938" s="74">
        <v>0</v>
      </c>
      <c r="R938" s="74" t="s">
        <v>148</v>
      </c>
      <c r="S938" s="74" t="s">
        <v>21338</v>
      </c>
      <c r="T938" s="74" t="s">
        <v>402</v>
      </c>
      <c r="U938" s="74">
        <v>0</v>
      </c>
      <c r="V938" s="74">
        <v>0</v>
      </c>
    </row>
    <row r="939" spans="3:22" x14ac:dyDescent="0.25">
      <c r="C939" s="74" t="s">
        <v>18795</v>
      </c>
      <c r="D939" s="74" t="s">
        <v>148</v>
      </c>
      <c r="E939" s="74" t="s">
        <v>21338</v>
      </c>
      <c r="F939" s="74">
        <v>551367</v>
      </c>
      <c r="G939" s="74">
        <v>1000</v>
      </c>
      <c r="H939" s="135">
        <v>42993.510717592595</v>
      </c>
      <c r="I939" s="74" t="s">
        <v>21339</v>
      </c>
      <c r="J939" s="74" t="s">
        <v>21340</v>
      </c>
      <c r="K939" s="74" t="s">
        <v>13492</v>
      </c>
      <c r="L939" s="74">
        <v>553362</v>
      </c>
      <c r="M939" s="74" t="s">
        <v>21341</v>
      </c>
      <c r="N939" s="74">
        <v>1</v>
      </c>
      <c r="O939" s="74" t="s">
        <v>21342</v>
      </c>
      <c r="P939" s="74" t="s">
        <v>21343</v>
      </c>
      <c r="Q939" s="74">
        <v>0</v>
      </c>
      <c r="R939" s="74" t="s">
        <v>148</v>
      </c>
      <c r="S939" s="74" t="s">
        <v>21338</v>
      </c>
      <c r="T939" s="74" t="s">
        <v>402</v>
      </c>
      <c r="U939" s="74">
        <v>0</v>
      </c>
      <c r="V939" s="74">
        <v>0</v>
      </c>
    </row>
    <row r="940" spans="3:22" x14ac:dyDescent="0.25">
      <c r="C940" s="74" t="s">
        <v>21386</v>
      </c>
      <c r="D940" s="74" t="s">
        <v>148</v>
      </c>
      <c r="E940" s="74" t="s">
        <v>21338</v>
      </c>
      <c r="F940" s="74">
        <v>674396</v>
      </c>
      <c r="G940" s="74">
        <v>3</v>
      </c>
      <c r="H940" s="135">
        <v>42993.492511574077</v>
      </c>
      <c r="I940" s="74" t="s">
        <v>21339</v>
      </c>
      <c r="J940" s="74" t="s">
        <v>21362</v>
      </c>
      <c r="K940" s="74" t="s">
        <v>9061</v>
      </c>
      <c r="L940" s="74">
        <v>552800</v>
      </c>
      <c r="M940" s="74" t="s">
        <v>21341</v>
      </c>
      <c r="N940" s="74">
        <v>1</v>
      </c>
      <c r="O940" s="74" t="s">
        <v>21342</v>
      </c>
      <c r="P940" s="74" t="s">
        <v>21343</v>
      </c>
      <c r="Q940" s="74" t="s">
        <v>21363</v>
      </c>
      <c r="R940" s="74" t="s">
        <v>148</v>
      </c>
      <c r="S940" s="74" t="s">
        <v>21338</v>
      </c>
      <c r="T940" s="74" t="s">
        <v>393</v>
      </c>
      <c r="U940" s="74">
        <v>0</v>
      </c>
      <c r="V940" s="74">
        <v>0</v>
      </c>
    </row>
    <row r="941" spans="3:22" x14ac:dyDescent="0.25">
      <c r="C941" s="74" t="s">
        <v>21386</v>
      </c>
      <c r="D941" s="74" t="s">
        <v>148</v>
      </c>
      <c r="E941" s="74" t="s">
        <v>21338</v>
      </c>
      <c r="F941" s="74">
        <v>674396</v>
      </c>
      <c r="G941" s="74">
        <v>3</v>
      </c>
      <c r="H941" s="135">
        <v>42993.492060185185</v>
      </c>
      <c r="I941" s="74" t="s">
        <v>21339</v>
      </c>
      <c r="J941" s="74" t="s">
        <v>21364</v>
      </c>
      <c r="K941" s="74" t="s">
        <v>9061</v>
      </c>
      <c r="L941" s="74">
        <v>552800</v>
      </c>
      <c r="M941" s="74" t="s">
        <v>21341</v>
      </c>
      <c r="N941" s="74">
        <v>1</v>
      </c>
      <c r="O941" s="74" t="s">
        <v>21342</v>
      </c>
      <c r="P941" s="74" t="s">
        <v>21343</v>
      </c>
      <c r="Q941" s="74">
        <v>0</v>
      </c>
      <c r="R941" s="74" t="s">
        <v>148</v>
      </c>
      <c r="S941" s="74" t="s">
        <v>21338</v>
      </c>
      <c r="T941" s="74" t="s">
        <v>402</v>
      </c>
      <c r="U941" s="74">
        <v>0</v>
      </c>
      <c r="V941" s="74">
        <v>0</v>
      </c>
    </row>
    <row r="942" spans="3:22" x14ac:dyDescent="0.25">
      <c r="C942" s="74" t="s">
        <v>21386</v>
      </c>
      <c r="D942" s="74" t="s">
        <v>148</v>
      </c>
      <c r="E942" s="74" t="s">
        <v>21338</v>
      </c>
      <c r="F942" s="74">
        <v>674396</v>
      </c>
      <c r="G942" s="74">
        <v>3</v>
      </c>
      <c r="H942" s="135">
        <v>42993.492048611108</v>
      </c>
      <c r="I942" s="74" t="s">
        <v>21365</v>
      </c>
      <c r="J942" s="74" t="s">
        <v>21366</v>
      </c>
      <c r="K942" s="74" t="s">
        <v>21367</v>
      </c>
      <c r="L942" s="74">
        <v>561482</v>
      </c>
      <c r="M942" s="74" t="s">
        <v>21368</v>
      </c>
      <c r="N942" s="74">
        <v>1</v>
      </c>
      <c r="O942" s="74" t="s">
        <v>21369</v>
      </c>
      <c r="P942" s="74" t="s">
        <v>21343</v>
      </c>
      <c r="Q942" s="74" t="s">
        <v>21567</v>
      </c>
      <c r="R942" s="74" t="s">
        <v>148</v>
      </c>
      <c r="S942" s="74" t="s">
        <v>21338</v>
      </c>
      <c r="T942" s="74" t="s">
        <v>21371</v>
      </c>
      <c r="U942" s="74">
        <v>0</v>
      </c>
      <c r="V942" s="74">
        <v>0</v>
      </c>
    </row>
    <row r="943" spans="3:22" x14ac:dyDescent="0.25">
      <c r="C943" s="74" t="s">
        <v>21386</v>
      </c>
      <c r="D943" s="74" t="s">
        <v>148</v>
      </c>
      <c r="E943" s="74" t="s">
        <v>21338</v>
      </c>
      <c r="F943" s="74">
        <v>674396</v>
      </c>
      <c r="G943" s="74">
        <v>3</v>
      </c>
      <c r="H943" s="135">
        <v>42993.492025462961</v>
      </c>
      <c r="I943" s="74" t="s">
        <v>21365</v>
      </c>
      <c r="J943" s="74" t="s">
        <v>21366</v>
      </c>
      <c r="K943" s="74" t="s">
        <v>21376</v>
      </c>
      <c r="L943" s="74">
        <v>555659</v>
      </c>
      <c r="M943" s="74" t="s">
        <v>21368</v>
      </c>
      <c r="N943" s="74">
        <v>1</v>
      </c>
      <c r="O943" s="74" t="s">
        <v>21369</v>
      </c>
      <c r="P943" s="74" t="s">
        <v>21343</v>
      </c>
      <c r="Q943" s="74" t="s">
        <v>21567</v>
      </c>
      <c r="R943" s="74" t="s">
        <v>148</v>
      </c>
      <c r="S943" s="74" t="s">
        <v>21338</v>
      </c>
      <c r="T943" s="74" t="s">
        <v>21371</v>
      </c>
      <c r="U943" s="74">
        <v>0</v>
      </c>
      <c r="V943" s="74">
        <v>0</v>
      </c>
    </row>
    <row r="944" spans="3:22" x14ac:dyDescent="0.25">
      <c r="C944" s="74" t="s">
        <v>21386</v>
      </c>
      <c r="D944" s="74" t="s">
        <v>148</v>
      </c>
      <c r="E944" s="74" t="s">
        <v>21338</v>
      </c>
      <c r="F944" s="74">
        <v>674396</v>
      </c>
      <c r="G944" s="74">
        <v>3</v>
      </c>
      <c r="H944" s="135">
        <v>42993.492013888892</v>
      </c>
      <c r="I944" s="74" t="s">
        <v>21365</v>
      </c>
      <c r="J944" s="74" t="s">
        <v>21366</v>
      </c>
      <c r="K944" s="74" t="s">
        <v>21377</v>
      </c>
      <c r="L944" s="74">
        <v>555668</v>
      </c>
      <c r="M944" s="74" t="s">
        <v>21368</v>
      </c>
      <c r="N944" s="74">
        <v>1</v>
      </c>
      <c r="O944" s="74" t="s">
        <v>21369</v>
      </c>
      <c r="P944" s="74" t="s">
        <v>21343</v>
      </c>
      <c r="Q944" s="74" t="s">
        <v>21567</v>
      </c>
      <c r="R944" s="74" t="s">
        <v>148</v>
      </c>
      <c r="S944" s="74" t="s">
        <v>21338</v>
      </c>
      <c r="T944" s="74" t="s">
        <v>21371</v>
      </c>
      <c r="U944" s="74">
        <v>0</v>
      </c>
      <c r="V944" s="74">
        <v>0</v>
      </c>
    </row>
    <row r="945" spans="3:22" x14ac:dyDescent="0.25">
      <c r="C945" s="74" t="s">
        <v>21386</v>
      </c>
      <c r="D945" s="74" t="s">
        <v>148</v>
      </c>
      <c r="E945" s="74" t="s">
        <v>21338</v>
      </c>
      <c r="F945" s="74">
        <v>674396</v>
      </c>
      <c r="G945" s="74">
        <v>3</v>
      </c>
      <c r="H945" s="135">
        <v>42993.491886574076</v>
      </c>
      <c r="I945" s="74" t="s">
        <v>21339</v>
      </c>
      <c r="J945" s="74" t="s">
        <v>21364</v>
      </c>
      <c r="K945" s="74" t="s">
        <v>9061</v>
      </c>
      <c r="L945" s="74">
        <v>552800</v>
      </c>
      <c r="M945" s="74" t="s">
        <v>21341</v>
      </c>
      <c r="N945" s="74">
        <v>1</v>
      </c>
      <c r="O945" s="74" t="s">
        <v>21342</v>
      </c>
      <c r="P945" s="74" t="s">
        <v>21343</v>
      </c>
      <c r="Q945" s="74">
        <v>0</v>
      </c>
      <c r="R945" s="74" t="s">
        <v>148</v>
      </c>
      <c r="S945" s="74" t="s">
        <v>21338</v>
      </c>
      <c r="T945" s="74" t="s">
        <v>402</v>
      </c>
      <c r="U945" s="74">
        <v>0</v>
      </c>
      <c r="V945" s="74">
        <v>0</v>
      </c>
    </row>
    <row r="946" spans="3:22" x14ac:dyDescent="0.25">
      <c r="C946" s="74" t="s">
        <v>21386</v>
      </c>
      <c r="D946" s="74" t="s">
        <v>148</v>
      </c>
      <c r="E946" s="74" t="s">
        <v>21338</v>
      </c>
      <c r="F946" s="74">
        <v>674396</v>
      </c>
      <c r="G946" s="74">
        <v>3</v>
      </c>
      <c r="H946" s="135">
        <v>42993.491793981484</v>
      </c>
      <c r="I946" s="74" t="s">
        <v>21339</v>
      </c>
      <c r="J946" s="74" t="s">
        <v>21364</v>
      </c>
      <c r="K946" s="74" t="s">
        <v>9061</v>
      </c>
      <c r="L946" s="74">
        <v>552800</v>
      </c>
      <c r="M946" s="74" t="s">
        <v>21341</v>
      </c>
      <c r="N946" s="74">
        <v>1</v>
      </c>
      <c r="O946" s="74" t="s">
        <v>21342</v>
      </c>
      <c r="P946" s="74" t="s">
        <v>21343</v>
      </c>
      <c r="Q946" s="74">
        <v>0</v>
      </c>
      <c r="R946" s="74" t="s">
        <v>148</v>
      </c>
      <c r="S946" s="74" t="s">
        <v>21338</v>
      </c>
      <c r="T946" s="74" t="s">
        <v>402</v>
      </c>
      <c r="U946" s="74">
        <v>0</v>
      </c>
      <c r="V946" s="74">
        <v>0</v>
      </c>
    </row>
    <row r="947" spans="3:22" x14ac:dyDescent="0.25">
      <c r="C947" s="74" t="s">
        <v>21386</v>
      </c>
      <c r="D947" s="74" t="s">
        <v>148</v>
      </c>
      <c r="E947" s="74" t="s">
        <v>21338</v>
      </c>
      <c r="F947" s="74">
        <v>674396</v>
      </c>
      <c r="G947" s="74">
        <v>3</v>
      </c>
      <c r="H947" s="135">
        <v>42993.490995370368</v>
      </c>
      <c r="I947" s="74" t="s">
        <v>21339</v>
      </c>
      <c r="J947" s="74" t="s">
        <v>21360</v>
      </c>
      <c r="K947" s="74" t="s">
        <v>9061</v>
      </c>
      <c r="L947" s="74">
        <v>552800</v>
      </c>
      <c r="M947" s="74" t="s">
        <v>21341</v>
      </c>
      <c r="N947" s="74">
        <v>1</v>
      </c>
      <c r="O947" s="74" t="s">
        <v>21342</v>
      </c>
      <c r="P947" s="74" t="s">
        <v>21343</v>
      </c>
      <c r="Q947" s="74" t="s">
        <v>21361</v>
      </c>
      <c r="R947" s="74" t="s">
        <v>148</v>
      </c>
      <c r="S947" s="74" t="s">
        <v>21338</v>
      </c>
      <c r="T947" s="74" t="s">
        <v>402</v>
      </c>
      <c r="U947" s="74">
        <v>0</v>
      </c>
      <c r="V947" s="74">
        <v>0</v>
      </c>
    </row>
    <row r="948" spans="3:22" x14ac:dyDescent="0.25">
      <c r="C948" s="74" t="s">
        <v>21386</v>
      </c>
      <c r="D948" s="74" t="s">
        <v>148</v>
      </c>
      <c r="E948" s="74" t="s">
        <v>21338</v>
      </c>
      <c r="F948" s="74">
        <v>674396</v>
      </c>
      <c r="G948" s="74">
        <v>3</v>
      </c>
      <c r="H948" s="135">
        <v>42993.489976851852</v>
      </c>
      <c r="I948" s="74" t="s">
        <v>21339</v>
      </c>
      <c r="J948" s="74" t="s">
        <v>21360</v>
      </c>
      <c r="K948" s="74" t="s">
        <v>9061</v>
      </c>
      <c r="L948" s="74">
        <v>552800</v>
      </c>
      <c r="M948" s="74" t="s">
        <v>21341</v>
      </c>
      <c r="N948" s="74">
        <v>1</v>
      </c>
      <c r="O948" s="74" t="s">
        <v>21342</v>
      </c>
      <c r="P948" s="74" t="s">
        <v>21343</v>
      </c>
      <c r="Q948" s="74" t="s">
        <v>21361</v>
      </c>
      <c r="R948" s="74" t="s">
        <v>148</v>
      </c>
      <c r="S948" s="74" t="s">
        <v>21338</v>
      </c>
      <c r="T948" s="74" t="s">
        <v>402</v>
      </c>
      <c r="U948" s="74">
        <v>0</v>
      </c>
      <c r="V948" s="74">
        <v>0</v>
      </c>
    </row>
    <row r="949" spans="3:22" x14ac:dyDescent="0.25">
      <c r="C949" s="74" t="s">
        <v>21379</v>
      </c>
      <c r="D949" s="74" t="s">
        <v>148</v>
      </c>
      <c r="E949" s="74" t="s">
        <v>21338</v>
      </c>
      <c r="F949" s="74">
        <v>809833</v>
      </c>
      <c r="G949" s="74">
        <v>3</v>
      </c>
      <c r="H949" s="135">
        <v>42993.463333333333</v>
      </c>
      <c r="I949" s="74" t="s">
        <v>21354</v>
      </c>
      <c r="J949" s="74" t="s">
        <v>21355</v>
      </c>
      <c r="K949" s="74" t="s">
        <v>21568</v>
      </c>
      <c r="L949" s="74">
        <v>863560</v>
      </c>
      <c r="M949" s="74" t="s">
        <v>21341</v>
      </c>
      <c r="N949" s="74">
        <v>1</v>
      </c>
      <c r="O949" s="74" t="s">
        <v>21342</v>
      </c>
      <c r="P949" s="74" t="s">
        <v>21345</v>
      </c>
      <c r="R949" s="74" t="s">
        <v>148</v>
      </c>
      <c r="S949" s="74" t="s">
        <v>21338</v>
      </c>
      <c r="T949" s="74" t="s">
        <v>402</v>
      </c>
      <c r="U949" s="74">
        <v>0</v>
      </c>
      <c r="V949" s="74">
        <v>0</v>
      </c>
    </row>
    <row r="950" spans="3:22" x14ac:dyDescent="0.25">
      <c r="C950" s="74" t="s">
        <v>18795</v>
      </c>
      <c r="D950" s="74" t="s">
        <v>148</v>
      </c>
      <c r="E950" s="74" t="s">
        <v>21338</v>
      </c>
      <c r="F950" s="74">
        <v>551367</v>
      </c>
      <c r="G950" s="74">
        <v>1000</v>
      </c>
      <c r="H950" s="135">
        <v>42993.441759259258</v>
      </c>
      <c r="I950" s="74" t="s">
        <v>21339</v>
      </c>
      <c r="J950" s="74" t="s">
        <v>21340</v>
      </c>
      <c r="K950" s="74" t="s">
        <v>21569</v>
      </c>
      <c r="L950" s="74">
        <v>726386</v>
      </c>
      <c r="M950" s="74" t="s">
        <v>21341</v>
      </c>
      <c r="N950" s="74">
        <v>1</v>
      </c>
      <c r="O950" s="74" t="s">
        <v>21342</v>
      </c>
      <c r="P950" s="74" t="s">
        <v>21343</v>
      </c>
      <c r="Q950" s="74">
        <v>0</v>
      </c>
      <c r="R950" s="74" t="s">
        <v>148</v>
      </c>
      <c r="S950" s="74" t="s">
        <v>21338</v>
      </c>
      <c r="T950" s="74" t="s">
        <v>402</v>
      </c>
      <c r="U950" s="74">
        <v>0</v>
      </c>
      <c r="V950" s="74">
        <v>0</v>
      </c>
    </row>
    <row r="951" spans="3:22" x14ac:dyDescent="0.25">
      <c r="C951" s="74" t="s">
        <v>18795</v>
      </c>
      <c r="D951" s="74" t="s">
        <v>148</v>
      </c>
      <c r="E951" s="74" t="s">
        <v>21338</v>
      </c>
      <c r="F951" s="74">
        <v>551367</v>
      </c>
      <c r="G951" s="74">
        <v>1000</v>
      </c>
      <c r="H951" s="135">
        <v>42993.43712962963</v>
      </c>
      <c r="I951" s="74" t="s">
        <v>21339</v>
      </c>
      <c r="J951" s="74" t="s">
        <v>21340</v>
      </c>
      <c r="K951" s="74" t="s">
        <v>4138</v>
      </c>
      <c r="L951" s="74">
        <v>552177</v>
      </c>
      <c r="M951" s="74" t="s">
        <v>21341</v>
      </c>
      <c r="N951" s="74">
        <v>1</v>
      </c>
      <c r="O951" s="74" t="s">
        <v>21342</v>
      </c>
      <c r="P951" s="74" t="s">
        <v>21343</v>
      </c>
      <c r="Q951" s="74">
        <v>0</v>
      </c>
      <c r="R951" s="74" t="s">
        <v>148</v>
      </c>
      <c r="S951" s="74" t="s">
        <v>21338</v>
      </c>
      <c r="T951" s="74" t="s">
        <v>402</v>
      </c>
      <c r="U951" s="74">
        <v>0</v>
      </c>
      <c r="V951" s="74">
        <v>0</v>
      </c>
    </row>
    <row r="952" spans="3:22" x14ac:dyDescent="0.25">
      <c r="C952" s="74" t="s">
        <v>18795</v>
      </c>
      <c r="D952" s="74" t="s">
        <v>148</v>
      </c>
      <c r="E952" s="74" t="s">
        <v>21338</v>
      </c>
      <c r="F952" s="74">
        <v>551367</v>
      </c>
      <c r="G952" s="74">
        <v>1000</v>
      </c>
      <c r="H952" s="135">
        <v>42993.413726851853</v>
      </c>
      <c r="I952" s="74" t="s">
        <v>21339</v>
      </c>
      <c r="J952" s="74" t="s">
        <v>21340</v>
      </c>
      <c r="K952" s="74" t="s">
        <v>11839</v>
      </c>
      <c r="L952" s="74">
        <v>553153</v>
      </c>
      <c r="M952" s="74" t="s">
        <v>21341</v>
      </c>
      <c r="N952" s="74">
        <v>1</v>
      </c>
      <c r="O952" s="74" t="s">
        <v>21342</v>
      </c>
      <c r="P952" s="74" t="s">
        <v>21343</v>
      </c>
      <c r="Q952" s="74">
        <v>0</v>
      </c>
      <c r="R952" s="74" t="s">
        <v>148</v>
      </c>
      <c r="S952" s="74" t="s">
        <v>21338</v>
      </c>
      <c r="T952" s="74" t="s">
        <v>402</v>
      </c>
      <c r="U952" s="74">
        <v>0</v>
      </c>
      <c r="V952" s="74">
        <v>0</v>
      </c>
    </row>
    <row r="953" spans="3:22" x14ac:dyDescent="0.25">
      <c r="C953" s="74" t="s">
        <v>18795</v>
      </c>
      <c r="D953" s="74" t="s">
        <v>148</v>
      </c>
      <c r="E953" s="74" t="s">
        <v>21338</v>
      </c>
      <c r="F953" s="74">
        <v>551367</v>
      </c>
      <c r="G953" s="74">
        <v>1000</v>
      </c>
      <c r="H953" s="135">
        <v>42993.409432870372</v>
      </c>
      <c r="I953" s="74" t="s">
        <v>21339</v>
      </c>
      <c r="J953" s="74" t="s">
        <v>21340</v>
      </c>
      <c r="K953" s="74" t="s">
        <v>11351</v>
      </c>
      <c r="L953" s="74">
        <v>553104</v>
      </c>
      <c r="M953" s="74" t="s">
        <v>21341</v>
      </c>
      <c r="N953" s="74">
        <v>1</v>
      </c>
      <c r="O953" s="74" t="s">
        <v>21342</v>
      </c>
      <c r="P953" s="74" t="s">
        <v>21343</v>
      </c>
      <c r="Q953" s="74">
        <v>0</v>
      </c>
      <c r="R953" s="74" t="s">
        <v>148</v>
      </c>
      <c r="S953" s="74" t="s">
        <v>21338</v>
      </c>
      <c r="T953" s="74" t="s">
        <v>402</v>
      </c>
      <c r="U953" s="74">
        <v>0</v>
      </c>
      <c r="V953" s="74">
        <v>0</v>
      </c>
    </row>
    <row r="954" spans="3:22" x14ac:dyDescent="0.25">
      <c r="C954" s="74" t="s">
        <v>18795</v>
      </c>
      <c r="D954" s="74" t="s">
        <v>148</v>
      </c>
      <c r="E954" s="74" t="s">
        <v>21338</v>
      </c>
      <c r="F954" s="74">
        <v>551367</v>
      </c>
      <c r="G954" s="74">
        <v>1000</v>
      </c>
      <c r="H954" s="135">
        <v>42993.407280092593</v>
      </c>
      <c r="I954" s="74" t="s">
        <v>21339</v>
      </c>
      <c r="J954" s="74" t="s">
        <v>21340</v>
      </c>
      <c r="K954" s="74" t="s">
        <v>21568</v>
      </c>
      <c r="L954" s="74">
        <v>863560</v>
      </c>
      <c r="M954" s="74" t="s">
        <v>21341</v>
      </c>
      <c r="N954" s="74">
        <v>1</v>
      </c>
      <c r="O954" s="74" t="s">
        <v>21342</v>
      </c>
      <c r="P954" s="74" t="s">
        <v>21343</v>
      </c>
      <c r="Q954" s="74">
        <v>0</v>
      </c>
      <c r="R954" s="74" t="s">
        <v>148</v>
      </c>
      <c r="S954" s="74" t="s">
        <v>21338</v>
      </c>
      <c r="T954" s="74" t="s">
        <v>402</v>
      </c>
      <c r="U954" s="74">
        <v>0</v>
      </c>
      <c r="V954" s="74">
        <v>0</v>
      </c>
    </row>
    <row r="955" spans="3:22" x14ac:dyDescent="0.25">
      <c r="C955" s="74" t="s">
        <v>18795</v>
      </c>
      <c r="D955" s="74" t="s">
        <v>148</v>
      </c>
      <c r="E955" s="74" t="s">
        <v>21338</v>
      </c>
      <c r="F955" s="74">
        <v>551367</v>
      </c>
      <c r="G955" s="74">
        <v>1000</v>
      </c>
      <c r="H955" s="135">
        <v>42993.405787037038</v>
      </c>
      <c r="I955" s="74" t="s">
        <v>21339</v>
      </c>
      <c r="J955" s="74" t="s">
        <v>21340</v>
      </c>
      <c r="K955" s="74" t="s">
        <v>11880</v>
      </c>
      <c r="L955" s="74">
        <v>553157</v>
      </c>
      <c r="M955" s="74" t="s">
        <v>21341</v>
      </c>
      <c r="N955" s="74">
        <v>1</v>
      </c>
      <c r="O955" s="74" t="s">
        <v>21342</v>
      </c>
      <c r="P955" s="74" t="s">
        <v>21343</v>
      </c>
      <c r="Q955" s="74">
        <v>0</v>
      </c>
      <c r="R955" s="74" t="s">
        <v>148</v>
      </c>
      <c r="S955" s="74" t="s">
        <v>21338</v>
      </c>
      <c r="T955" s="74" t="s">
        <v>402</v>
      </c>
      <c r="U955" s="74">
        <v>0</v>
      </c>
      <c r="V955" s="74">
        <v>0</v>
      </c>
    </row>
    <row r="956" spans="3:22" x14ac:dyDescent="0.25">
      <c r="C956" s="74" t="s">
        <v>18795</v>
      </c>
      <c r="D956" s="74" t="s">
        <v>148</v>
      </c>
      <c r="E956" s="74" t="s">
        <v>21338</v>
      </c>
      <c r="F956" s="74">
        <v>551367</v>
      </c>
      <c r="G956" s="74">
        <v>1000</v>
      </c>
      <c r="H956" s="135">
        <v>42993.394548611112</v>
      </c>
      <c r="I956" s="74" t="s">
        <v>21339</v>
      </c>
      <c r="J956" s="74" t="s">
        <v>21340</v>
      </c>
      <c r="K956" s="74" t="s">
        <v>16159</v>
      </c>
      <c r="L956" s="74">
        <v>553704</v>
      </c>
      <c r="M956" s="74" t="s">
        <v>21341</v>
      </c>
      <c r="N956" s="74">
        <v>1</v>
      </c>
      <c r="O956" s="74" t="s">
        <v>21342</v>
      </c>
      <c r="P956" s="74" t="s">
        <v>21343</v>
      </c>
      <c r="Q956" s="74">
        <v>0</v>
      </c>
      <c r="R956" s="74" t="s">
        <v>148</v>
      </c>
      <c r="S956" s="74" t="s">
        <v>21338</v>
      </c>
      <c r="T956" s="74" t="s">
        <v>402</v>
      </c>
      <c r="U956" s="74">
        <v>0</v>
      </c>
      <c r="V956" s="74">
        <v>0</v>
      </c>
    </row>
    <row r="957" spans="3:22" x14ac:dyDescent="0.25">
      <c r="C957" s="74" t="s">
        <v>18795</v>
      </c>
      <c r="D957" s="74" t="s">
        <v>148</v>
      </c>
      <c r="E957" s="74" t="s">
        <v>21338</v>
      </c>
      <c r="F957" s="74">
        <v>551367</v>
      </c>
      <c r="G957" s="74">
        <v>1000</v>
      </c>
      <c r="H957" s="135">
        <v>42993.387835648151</v>
      </c>
      <c r="I957" s="74" t="s">
        <v>21339</v>
      </c>
      <c r="J957" s="74" t="s">
        <v>21340</v>
      </c>
      <c r="K957" s="74" t="s">
        <v>21571</v>
      </c>
      <c r="L957" s="74">
        <v>560529</v>
      </c>
      <c r="M957" s="74" t="s">
        <v>21341</v>
      </c>
      <c r="N957" s="74">
        <v>1</v>
      </c>
      <c r="O957" s="74" t="s">
        <v>21342</v>
      </c>
      <c r="P957" s="74" t="s">
        <v>21343</v>
      </c>
      <c r="Q957" s="74">
        <v>0</v>
      </c>
      <c r="R957" s="74" t="s">
        <v>148</v>
      </c>
      <c r="S957" s="74" t="s">
        <v>21338</v>
      </c>
      <c r="T957" s="74" t="s">
        <v>393</v>
      </c>
      <c r="U957" s="74">
        <v>0</v>
      </c>
      <c r="V957" s="74">
        <v>0</v>
      </c>
    </row>
    <row r="958" spans="3:22" x14ac:dyDescent="0.25">
      <c r="C958" s="74" t="s">
        <v>18795</v>
      </c>
      <c r="D958" s="74" t="s">
        <v>148</v>
      </c>
      <c r="E958" s="74" t="s">
        <v>21338</v>
      </c>
      <c r="F958" s="74">
        <v>551367</v>
      </c>
      <c r="G958" s="74">
        <v>1000</v>
      </c>
      <c r="H958" s="135">
        <v>42993.329039351855</v>
      </c>
      <c r="I958" s="74" t="s">
        <v>21339</v>
      </c>
      <c r="J958" s="74" t="s">
        <v>21340</v>
      </c>
      <c r="K958" s="74" t="s">
        <v>20714</v>
      </c>
      <c r="L958" s="74">
        <v>566454</v>
      </c>
      <c r="M958" s="74" t="s">
        <v>21341</v>
      </c>
      <c r="N958" s="74">
        <v>1</v>
      </c>
      <c r="O958" s="74" t="s">
        <v>21342</v>
      </c>
      <c r="P958" s="74" t="s">
        <v>21343</v>
      </c>
      <c r="Q958" s="74">
        <v>0</v>
      </c>
      <c r="R958" s="74" t="s">
        <v>148</v>
      </c>
      <c r="S958" s="74" t="s">
        <v>21338</v>
      </c>
      <c r="T958" s="74" t="s">
        <v>402</v>
      </c>
      <c r="U958" s="74">
        <v>0</v>
      </c>
      <c r="V958" s="74">
        <v>0</v>
      </c>
    </row>
    <row r="959" spans="3:22" x14ac:dyDescent="0.25">
      <c r="C959" s="74" t="s">
        <v>18795</v>
      </c>
      <c r="D959" s="74" t="s">
        <v>148</v>
      </c>
      <c r="E959" s="74" t="s">
        <v>21338</v>
      </c>
      <c r="F959" s="74">
        <v>551367</v>
      </c>
      <c r="G959" s="74">
        <v>1000</v>
      </c>
      <c r="H959" s="135">
        <v>42993.276307870372</v>
      </c>
      <c r="I959" s="74" t="s">
        <v>21339</v>
      </c>
      <c r="J959" s="74" t="s">
        <v>21340</v>
      </c>
      <c r="K959" s="74" t="s">
        <v>7515</v>
      </c>
      <c r="L959" s="74">
        <v>552598</v>
      </c>
      <c r="M959" s="74" t="s">
        <v>21341</v>
      </c>
      <c r="N959" s="74">
        <v>1</v>
      </c>
      <c r="O959" s="74" t="s">
        <v>21342</v>
      </c>
      <c r="P959" s="74" t="s">
        <v>21343</v>
      </c>
      <c r="Q959" s="74">
        <v>0</v>
      </c>
      <c r="R959" s="74" t="s">
        <v>148</v>
      </c>
      <c r="S959" s="74" t="s">
        <v>21338</v>
      </c>
      <c r="T959" s="74" t="s">
        <v>402</v>
      </c>
      <c r="U959" s="74">
        <v>0</v>
      </c>
      <c r="V959" s="74">
        <v>0</v>
      </c>
    </row>
    <row r="960" spans="3:22" x14ac:dyDescent="0.25">
      <c r="C960" s="74" t="s">
        <v>18795</v>
      </c>
      <c r="D960" s="74" t="s">
        <v>148</v>
      </c>
      <c r="E960" s="74" t="s">
        <v>21338</v>
      </c>
      <c r="F960" s="74">
        <v>551367</v>
      </c>
      <c r="G960" s="74">
        <v>1000</v>
      </c>
      <c r="H960" s="135">
        <v>42992.801759259259</v>
      </c>
      <c r="I960" s="74" t="s">
        <v>21339</v>
      </c>
      <c r="J960" s="74" t="s">
        <v>21340</v>
      </c>
      <c r="K960" s="74" t="s">
        <v>1228</v>
      </c>
      <c r="L960" s="74">
        <v>551809</v>
      </c>
      <c r="M960" s="74" t="s">
        <v>21341</v>
      </c>
      <c r="N960" s="74">
        <v>1</v>
      </c>
      <c r="O960" s="74" t="s">
        <v>21342</v>
      </c>
      <c r="P960" s="74" t="s">
        <v>21343</v>
      </c>
      <c r="Q960" s="74">
        <v>0</v>
      </c>
      <c r="R960" s="74" t="s">
        <v>148</v>
      </c>
      <c r="S960" s="74" t="s">
        <v>21338</v>
      </c>
      <c r="T960" s="74" t="s">
        <v>402</v>
      </c>
      <c r="U960" s="74">
        <v>0</v>
      </c>
      <c r="V960" s="74">
        <v>0</v>
      </c>
    </row>
    <row r="961" spans="3:22" x14ac:dyDescent="0.25">
      <c r="C961" s="74" t="s">
        <v>18795</v>
      </c>
      <c r="D961" s="74" t="s">
        <v>148</v>
      </c>
      <c r="E961" s="74" t="s">
        <v>21338</v>
      </c>
      <c r="F961" s="74">
        <v>551367</v>
      </c>
      <c r="G961" s="74">
        <v>1000</v>
      </c>
      <c r="H961" s="135">
        <v>42992.71297453704</v>
      </c>
      <c r="I961" s="74" t="s">
        <v>21339</v>
      </c>
      <c r="J961" s="74" t="s">
        <v>21340</v>
      </c>
      <c r="K961" s="74" t="s">
        <v>21539</v>
      </c>
      <c r="L961" s="74">
        <v>863812</v>
      </c>
      <c r="M961" s="74" t="s">
        <v>21341</v>
      </c>
      <c r="N961" s="74">
        <v>1</v>
      </c>
      <c r="O961" s="74" t="s">
        <v>21342</v>
      </c>
      <c r="P961" s="74" t="s">
        <v>21343</v>
      </c>
      <c r="Q961" s="74">
        <v>0</v>
      </c>
      <c r="R961" s="74" t="s">
        <v>148</v>
      </c>
      <c r="S961" s="74" t="s">
        <v>21338</v>
      </c>
      <c r="T961" s="74" t="s">
        <v>402</v>
      </c>
      <c r="U961" s="74">
        <v>0</v>
      </c>
      <c r="V961" s="74">
        <v>0</v>
      </c>
    </row>
    <row r="962" spans="3:22" x14ac:dyDescent="0.25">
      <c r="C962" s="74" t="s">
        <v>533</v>
      </c>
      <c r="D962" s="74" t="s">
        <v>148</v>
      </c>
      <c r="E962" s="74" t="s">
        <v>21338</v>
      </c>
      <c r="F962" s="74">
        <v>627566</v>
      </c>
      <c r="G962" s="74">
        <v>3</v>
      </c>
      <c r="H962" s="135">
        <v>42992.648229166669</v>
      </c>
      <c r="I962" s="74" t="s">
        <v>21354</v>
      </c>
      <c r="J962" s="74" t="s">
        <v>21355</v>
      </c>
      <c r="K962" s="74" t="s">
        <v>13702</v>
      </c>
      <c r="L962" s="74">
        <v>553398</v>
      </c>
      <c r="M962" s="74" t="s">
        <v>21341</v>
      </c>
      <c r="N962" s="74">
        <v>1</v>
      </c>
      <c r="O962" s="74" t="s">
        <v>21342</v>
      </c>
      <c r="P962" s="74" t="s">
        <v>21345</v>
      </c>
      <c r="R962" s="74" t="s">
        <v>148</v>
      </c>
      <c r="S962" s="74" t="s">
        <v>21338</v>
      </c>
      <c r="T962" s="74" t="s">
        <v>402</v>
      </c>
      <c r="U962" s="74">
        <v>0</v>
      </c>
      <c r="V962" s="74">
        <v>0</v>
      </c>
    </row>
    <row r="963" spans="3:22" x14ac:dyDescent="0.25">
      <c r="C963" s="74" t="s">
        <v>533</v>
      </c>
      <c r="D963" s="74" t="s">
        <v>148</v>
      </c>
      <c r="E963" s="74" t="s">
        <v>21338</v>
      </c>
      <c r="F963" s="74">
        <v>627566</v>
      </c>
      <c r="G963" s="74">
        <v>3</v>
      </c>
      <c r="H963" s="135">
        <v>42992.647743055553</v>
      </c>
      <c r="I963" s="74" t="s">
        <v>21354</v>
      </c>
      <c r="J963" s="74" t="s">
        <v>21355</v>
      </c>
      <c r="K963" s="74" t="s">
        <v>13702</v>
      </c>
      <c r="L963" s="74">
        <v>553398</v>
      </c>
      <c r="M963" s="74" t="s">
        <v>21341</v>
      </c>
      <c r="N963" s="74">
        <v>1</v>
      </c>
      <c r="O963" s="74" t="s">
        <v>21342</v>
      </c>
      <c r="P963" s="74" t="s">
        <v>21345</v>
      </c>
      <c r="R963" s="74" t="s">
        <v>148</v>
      </c>
      <c r="S963" s="74" t="s">
        <v>21338</v>
      </c>
      <c r="T963" s="74" t="s">
        <v>402</v>
      </c>
      <c r="U963" s="74">
        <v>0</v>
      </c>
      <c r="V963" s="74">
        <v>0</v>
      </c>
    </row>
    <row r="964" spans="3:22" x14ac:dyDescent="0.25">
      <c r="C964" s="74" t="s">
        <v>18795</v>
      </c>
      <c r="D964" s="74" t="s">
        <v>148</v>
      </c>
      <c r="E964" s="74" t="s">
        <v>21338</v>
      </c>
      <c r="F964" s="74">
        <v>551367</v>
      </c>
      <c r="G964" s="74">
        <v>1000</v>
      </c>
      <c r="H964" s="135">
        <v>42992.645162037035</v>
      </c>
      <c r="I964" s="74" t="s">
        <v>21339</v>
      </c>
      <c r="J964" s="74" t="s">
        <v>21340</v>
      </c>
      <c r="K964" s="74" t="s">
        <v>16446</v>
      </c>
      <c r="L964" s="74">
        <v>553735</v>
      </c>
      <c r="M964" s="74" t="s">
        <v>21341</v>
      </c>
      <c r="N964" s="74">
        <v>1</v>
      </c>
      <c r="O964" s="74" t="s">
        <v>21342</v>
      </c>
      <c r="P964" s="74" t="s">
        <v>21343</v>
      </c>
      <c r="Q964" s="74">
        <v>0</v>
      </c>
      <c r="R964" s="74" t="s">
        <v>148</v>
      </c>
      <c r="S964" s="74" t="s">
        <v>21338</v>
      </c>
      <c r="T964" s="74" t="s">
        <v>402</v>
      </c>
      <c r="U964" s="74">
        <v>0</v>
      </c>
      <c r="V964" s="74">
        <v>0</v>
      </c>
    </row>
    <row r="965" spans="3:22" x14ac:dyDescent="0.25">
      <c r="C965" s="74" t="s">
        <v>21347</v>
      </c>
      <c r="D965" s="74" t="s">
        <v>148</v>
      </c>
      <c r="E965" s="74" t="s">
        <v>21338</v>
      </c>
      <c r="F965" s="74">
        <v>637976</v>
      </c>
      <c r="G965" s="74">
        <v>1</v>
      </c>
      <c r="H965" s="135">
        <v>42992.624699074076</v>
      </c>
      <c r="I965" s="74" t="s">
        <v>21348</v>
      </c>
      <c r="J965" s="74" t="s">
        <v>21349</v>
      </c>
      <c r="K965" s="74" t="s">
        <v>21347</v>
      </c>
      <c r="L965" s="74">
        <v>637976</v>
      </c>
      <c r="M965" s="74" t="s">
        <v>21341</v>
      </c>
      <c r="N965" s="74">
        <v>0</v>
      </c>
      <c r="O965" s="74" t="s">
        <v>21350</v>
      </c>
      <c r="P965" s="74" t="s">
        <v>21343</v>
      </c>
      <c r="Q965" s="74">
        <v>0</v>
      </c>
      <c r="R965" s="74" t="s">
        <v>148</v>
      </c>
      <c r="S965" s="74" t="s">
        <v>21338</v>
      </c>
      <c r="T965" s="74" t="s">
        <v>402</v>
      </c>
      <c r="U965" s="74">
        <v>0</v>
      </c>
      <c r="V965" s="74">
        <v>0</v>
      </c>
    </row>
    <row r="966" spans="3:22" x14ac:dyDescent="0.25">
      <c r="C966" s="74" t="s">
        <v>21347</v>
      </c>
      <c r="D966" s="74" t="s">
        <v>148</v>
      </c>
      <c r="E966" s="74" t="s">
        <v>21338</v>
      </c>
      <c r="F966" s="74">
        <v>637976</v>
      </c>
      <c r="G966" s="74">
        <v>1</v>
      </c>
      <c r="H966" s="135">
        <v>42992.624699074076</v>
      </c>
      <c r="I966" s="74" t="s">
        <v>244</v>
      </c>
      <c r="J966" s="74" t="s">
        <v>21349</v>
      </c>
      <c r="K966" s="74" t="s">
        <v>21347</v>
      </c>
      <c r="L966" s="74">
        <v>637976</v>
      </c>
      <c r="M966" s="74" t="s">
        <v>21341</v>
      </c>
      <c r="N966" s="74">
        <v>0</v>
      </c>
      <c r="O966" s="74" t="s">
        <v>21350</v>
      </c>
      <c r="P966" s="74" t="s">
        <v>21343</v>
      </c>
      <c r="Q966" s="74">
        <v>0</v>
      </c>
      <c r="R966" s="74" t="s">
        <v>148</v>
      </c>
      <c r="S966" s="74" t="s">
        <v>21338</v>
      </c>
      <c r="T966" s="74" t="s">
        <v>402</v>
      </c>
      <c r="U966" s="74">
        <v>0</v>
      </c>
      <c r="V966" s="74">
        <v>0</v>
      </c>
    </row>
    <row r="967" spans="3:22" x14ac:dyDescent="0.25">
      <c r="C967" s="74" t="s">
        <v>21388</v>
      </c>
      <c r="D967" s="74" t="s">
        <v>148</v>
      </c>
      <c r="E967" s="74" t="s">
        <v>21338</v>
      </c>
      <c r="F967" s="74">
        <v>560366</v>
      </c>
      <c r="G967" s="74">
        <v>3</v>
      </c>
      <c r="H967" s="135">
        <v>42992.60560185185</v>
      </c>
      <c r="I967" s="74" t="s">
        <v>21354</v>
      </c>
      <c r="J967" s="74" t="s">
        <v>21355</v>
      </c>
      <c r="K967" s="74" t="s">
        <v>3276</v>
      </c>
      <c r="L967" s="74">
        <v>552077</v>
      </c>
      <c r="M967" s="74" t="s">
        <v>21341</v>
      </c>
      <c r="N967" s="74">
        <v>1</v>
      </c>
      <c r="O967" s="74" t="s">
        <v>21342</v>
      </c>
      <c r="P967" s="74" t="s">
        <v>21345</v>
      </c>
      <c r="R967" s="74" t="s">
        <v>148</v>
      </c>
      <c r="S967" s="74" t="s">
        <v>21338</v>
      </c>
      <c r="T967" s="74" t="s">
        <v>402</v>
      </c>
      <c r="U967" s="74">
        <v>0</v>
      </c>
      <c r="V967" s="74">
        <v>0</v>
      </c>
    </row>
    <row r="968" spans="3:22" x14ac:dyDescent="0.25">
      <c r="C968" s="74" t="s">
        <v>18795</v>
      </c>
      <c r="D968" s="74" t="s">
        <v>148</v>
      </c>
      <c r="E968" s="74" t="s">
        <v>21338</v>
      </c>
      <c r="F968" s="74">
        <v>551367</v>
      </c>
      <c r="G968" s="74">
        <v>1000</v>
      </c>
      <c r="H968" s="135">
        <v>42992.566111111111</v>
      </c>
      <c r="I968" s="74" t="s">
        <v>21339</v>
      </c>
      <c r="J968" s="74" t="s">
        <v>21340</v>
      </c>
      <c r="K968" s="74" t="s">
        <v>9291</v>
      </c>
      <c r="L968" s="74">
        <v>901580</v>
      </c>
      <c r="M968" s="74" t="s">
        <v>21341</v>
      </c>
      <c r="N968" s="74">
        <v>1</v>
      </c>
      <c r="O968" s="74" t="s">
        <v>21342</v>
      </c>
      <c r="P968" s="74" t="s">
        <v>21343</v>
      </c>
      <c r="Q968" s="74">
        <v>0</v>
      </c>
      <c r="R968" s="74" t="s">
        <v>148</v>
      </c>
      <c r="S968" s="74" t="s">
        <v>21338</v>
      </c>
      <c r="T968" s="74" t="s">
        <v>402</v>
      </c>
      <c r="U968" s="74">
        <v>0</v>
      </c>
      <c r="V968" s="74">
        <v>0</v>
      </c>
    </row>
    <row r="969" spans="3:22" x14ac:dyDescent="0.25">
      <c r="C969" s="74" t="s">
        <v>18795</v>
      </c>
      <c r="D969" s="74" t="s">
        <v>148</v>
      </c>
      <c r="E969" s="74" t="s">
        <v>21338</v>
      </c>
      <c r="F969" s="74">
        <v>551367</v>
      </c>
      <c r="G969" s="74">
        <v>1000</v>
      </c>
      <c r="H969" s="135">
        <v>42992.563692129632</v>
      </c>
      <c r="I969" s="74" t="s">
        <v>21339</v>
      </c>
      <c r="J969" s="74" t="s">
        <v>21340</v>
      </c>
      <c r="K969" s="74" t="s">
        <v>16148</v>
      </c>
      <c r="L969" s="74">
        <v>553703</v>
      </c>
      <c r="M969" s="74" t="s">
        <v>21341</v>
      </c>
      <c r="N969" s="74">
        <v>1</v>
      </c>
      <c r="O969" s="74" t="s">
        <v>21342</v>
      </c>
      <c r="P969" s="74" t="s">
        <v>21343</v>
      </c>
      <c r="Q969" s="74">
        <v>0</v>
      </c>
      <c r="R969" s="74" t="s">
        <v>148</v>
      </c>
      <c r="S969" s="74" t="s">
        <v>21338</v>
      </c>
      <c r="T969" s="74" t="s">
        <v>402</v>
      </c>
      <c r="U969" s="74">
        <v>0</v>
      </c>
      <c r="V969" s="74">
        <v>0</v>
      </c>
    </row>
    <row r="970" spans="3:22" x14ac:dyDescent="0.25">
      <c r="C970" s="74" t="s">
        <v>18795</v>
      </c>
      <c r="D970" s="74" t="s">
        <v>148</v>
      </c>
      <c r="E970" s="74" t="s">
        <v>21338</v>
      </c>
      <c r="F970" s="74">
        <v>551367</v>
      </c>
      <c r="G970" s="74">
        <v>1000</v>
      </c>
      <c r="H970" s="135">
        <v>42992.562962962962</v>
      </c>
      <c r="I970" s="74" t="s">
        <v>21339</v>
      </c>
      <c r="J970" s="74" t="s">
        <v>21340</v>
      </c>
      <c r="K970" s="74" t="s">
        <v>11410</v>
      </c>
      <c r="L970" s="74">
        <v>553113</v>
      </c>
      <c r="M970" s="74" t="s">
        <v>21341</v>
      </c>
      <c r="N970" s="74">
        <v>1</v>
      </c>
      <c r="O970" s="74" t="s">
        <v>21342</v>
      </c>
      <c r="P970" s="74" t="s">
        <v>21343</v>
      </c>
      <c r="Q970" s="74">
        <v>0</v>
      </c>
      <c r="R970" s="74" t="s">
        <v>148</v>
      </c>
      <c r="S970" s="74" t="s">
        <v>21338</v>
      </c>
      <c r="T970" s="74" t="s">
        <v>402</v>
      </c>
      <c r="U970" s="74">
        <v>0</v>
      </c>
      <c r="V970" s="74">
        <v>0</v>
      </c>
    </row>
    <row r="971" spans="3:22" x14ac:dyDescent="0.25">
      <c r="C971" s="74" t="s">
        <v>21386</v>
      </c>
      <c r="D971" s="74" t="s">
        <v>148</v>
      </c>
      <c r="E971" s="74" t="s">
        <v>21338</v>
      </c>
      <c r="F971" s="74">
        <v>674396</v>
      </c>
      <c r="G971" s="74">
        <v>3</v>
      </c>
      <c r="H971" s="135">
        <v>42992.561608796299</v>
      </c>
      <c r="I971" s="74" t="s">
        <v>21339</v>
      </c>
      <c r="J971" s="74" t="s">
        <v>21362</v>
      </c>
      <c r="K971" s="74" t="s">
        <v>20280</v>
      </c>
      <c r="L971" s="74">
        <v>554213</v>
      </c>
      <c r="M971" s="74" t="s">
        <v>21341</v>
      </c>
      <c r="N971" s="74">
        <v>1</v>
      </c>
      <c r="O971" s="74" t="s">
        <v>21342</v>
      </c>
      <c r="P971" s="74" t="s">
        <v>21343</v>
      </c>
      <c r="Q971" s="74" t="s">
        <v>21363</v>
      </c>
      <c r="R971" s="74" t="s">
        <v>148</v>
      </c>
      <c r="S971" s="74" t="s">
        <v>21338</v>
      </c>
      <c r="T971" s="74" t="s">
        <v>393</v>
      </c>
      <c r="U971" s="74">
        <v>0</v>
      </c>
      <c r="V971" s="74">
        <v>0</v>
      </c>
    </row>
    <row r="972" spans="3:22" x14ac:dyDescent="0.25">
      <c r="C972" s="74" t="s">
        <v>21386</v>
      </c>
      <c r="D972" s="74" t="s">
        <v>148</v>
      </c>
      <c r="E972" s="74" t="s">
        <v>21338</v>
      </c>
      <c r="F972" s="74">
        <v>674396</v>
      </c>
      <c r="G972" s="74">
        <v>3</v>
      </c>
      <c r="H972" s="135">
        <v>42992.561261574076</v>
      </c>
      <c r="I972" s="74" t="s">
        <v>21339</v>
      </c>
      <c r="J972" s="74" t="s">
        <v>21364</v>
      </c>
      <c r="K972" s="74" t="s">
        <v>20280</v>
      </c>
      <c r="L972" s="74">
        <v>554213</v>
      </c>
      <c r="M972" s="74" t="s">
        <v>21341</v>
      </c>
      <c r="N972" s="74">
        <v>1</v>
      </c>
      <c r="O972" s="74" t="s">
        <v>21342</v>
      </c>
      <c r="P972" s="74" t="s">
        <v>21343</v>
      </c>
      <c r="Q972" s="74">
        <v>0</v>
      </c>
      <c r="R972" s="74" t="s">
        <v>148</v>
      </c>
      <c r="S972" s="74" t="s">
        <v>21338</v>
      </c>
      <c r="T972" s="74" t="s">
        <v>402</v>
      </c>
      <c r="U972" s="74">
        <v>0</v>
      </c>
      <c r="V972" s="74">
        <v>0</v>
      </c>
    </row>
    <row r="973" spans="3:22" x14ac:dyDescent="0.25">
      <c r="C973" s="74" t="s">
        <v>21386</v>
      </c>
      <c r="D973" s="74" t="s">
        <v>148</v>
      </c>
      <c r="E973" s="74" t="s">
        <v>21338</v>
      </c>
      <c r="F973" s="74">
        <v>674396</v>
      </c>
      <c r="G973" s="74">
        <v>3</v>
      </c>
      <c r="H973" s="135">
        <v>42992.561249999999</v>
      </c>
      <c r="I973" s="74" t="s">
        <v>21365</v>
      </c>
      <c r="J973" s="74" t="s">
        <v>21366</v>
      </c>
      <c r="K973" s="74" t="s">
        <v>21367</v>
      </c>
      <c r="L973" s="74">
        <v>561482</v>
      </c>
      <c r="M973" s="74" t="s">
        <v>21368</v>
      </c>
      <c r="N973" s="74">
        <v>1</v>
      </c>
      <c r="O973" s="74" t="s">
        <v>21369</v>
      </c>
      <c r="P973" s="74" t="s">
        <v>21343</v>
      </c>
      <c r="Q973" s="74" t="s">
        <v>21572</v>
      </c>
      <c r="R973" s="74" t="s">
        <v>148</v>
      </c>
      <c r="S973" s="74" t="s">
        <v>21338</v>
      </c>
      <c r="T973" s="74" t="s">
        <v>21371</v>
      </c>
      <c r="U973" s="74">
        <v>0</v>
      </c>
      <c r="V973" s="74">
        <v>0</v>
      </c>
    </row>
    <row r="974" spans="3:22" x14ac:dyDescent="0.25">
      <c r="C974" s="74" t="s">
        <v>21386</v>
      </c>
      <c r="D974" s="74" t="s">
        <v>148</v>
      </c>
      <c r="E974" s="74" t="s">
        <v>21338</v>
      </c>
      <c r="F974" s="74">
        <v>674396</v>
      </c>
      <c r="G974" s="74">
        <v>3</v>
      </c>
      <c r="H974" s="135">
        <v>42992.561226851853</v>
      </c>
      <c r="I974" s="74" t="s">
        <v>21365</v>
      </c>
      <c r="J974" s="74" t="s">
        <v>21366</v>
      </c>
      <c r="K974" s="74" t="s">
        <v>21381</v>
      </c>
      <c r="L974" s="74">
        <v>555660</v>
      </c>
      <c r="M974" s="74" t="s">
        <v>21368</v>
      </c>
      <c r="N974" s="74">
        <v>1</v>
      </c>
      <c r="O974" s="74" t="s">
        <v>21369</v>
      </c>
      <c r="P974" s="74" t="s">
        <v>21343</v>
      </c>
      <c r="Q974" s="74" t="s">
        <v>21572</v>
      </c>
      <c r="R974" s="74" t="s">
        <v>148</v>
      </c>
      <c r="S974" s="74" t="s">
        <v>21338</v>
      </c>
      <c r="T974" s="74" t="s">
        <v>21371</v>
      </c>
      <c r="U974" s="74">
        <v>0</v>
      </c>
      <c r="V974" s="74">
        <v>0</v>
      </c>
    </row>
    <row r="975" spans="3:22" x14ac:dyDescent="0.25">
      <c r="C975" s="74" t="s">
        <v>21386</v>
      </c>
      <c r="D975" s="74" t="s">
        <v>148</v>
      </c>
      <c r="E975" s="74" t="s">
        <v>21338</v>
      </c>
      <c r="F975" s="74">
        <v>674396</v>
      </c>
      <c r="G975" s="74">
        <v>3</v>
      </c>
      <c r="H975" s="135">
        <v>42992.561215277776</v>
      </c>
      <c r="I975" s="74" t="s">
        <v>21365</v>
      </c>
      <c r="J975" s="74" t="s">
        <v>21366</v>
      </c>
      <c r="K975" s="74" t="s">
        <v>21377</v>
      </c>
      <c r="L975" s="74">
        <v>555668</v>
      </c>
      <c r="M975" s="74" t="s">
        <v>21368</v>
      </c>
      <c r="N975" s="74">
        <v>1</v>
      </c>
      <c r="O975" s="74" t="s">
        <v>21369</v>
      </c>
      <c r="P975" s="74" t="s">
        <v>21343</v>
      </c>
      <c r="Q975" s="74" t="s">
        <v>21572</v>
      </c>
      <c r="R975" s="74" t="s">
        <v>148</v>
      </c>
      <c r="S975" s="74" t="s">
        <v>21338</v>
      </c>
      <c r="T975" s="74" t="s">
        <v>21371</v>
      </c>
      <c r="U975" s="74">
        <v>0</v>
      </c>
      <c r="V975" s="74">
        <v>0</v>
      </c>
    </row>
    <row r="976" spans="3:22" x14ac:dyDescent="0.25">
      <c r="C976" s="74" t="s">
        <v>21386</v>
      </c>
      <c r="D976" s="74" t="s">
        <v>148</v>
      </c>
      <c r="E976" s="74" t="s">
        <v>21338</v>
      </c>
      <c r="F976" s="74">
        <v>674396</v>
      </c>
      <c r="G976" s="74">
        <v>3</v>
      </c>
      <c r="H976" s="135">
        <v>42992.561180555553</v>
      </c>
      <c r="I976" s="74" t="s">
        <v>21339</v>
      </c>
      <c r="J976" s="74" t="s">
        <v>21364</v>
      </c>
      <c r="K976" s="74" t="s">
        <v>20280</v>
      </c>
      <c r="L976" s="74">
        <v>554213</v>
      </c>
      <c r="M976" s="74" t="s">
        <v>21341</v>
      </c>
      <c r="N976" s="74">
        <v>1</v>
      </c>
      <c r="O976" s="74" t="s">
        <v>21342</v>
      </c>
      <c r="P976" s="74" t="s">
        <v>21343</v>
      </c>
      <c r="Q976" s="74">
        <v>0</v>
      </c>
      <c r="R976" s="74" t="s">
        <v>148</v>
      </c>
      <c r="S976" s="74" t="s">
        <v>21338</v>
      </c>
      <c r="T976" s="74" t="s">
        <v>402</v>
      </c>
      <c r="U976" s="74">
        <v>0</v>
      </c>
      <c r="V976" s="74">
        <v>0</v>
      </c>
    </row>
    <row r="977" spans="3:22" x14ac:dyDescent="0.25">
      <c r="C977" s="74" t="s">
        <v>21386</v>
      </c>
      <c r="D977" s="74" t="s">
        <v>148</v>
      </c>
      <c r="E977" s="74" t="s">
        <v>21338</v>
      </c>
      <c r="F977" s="74">
        <v>674396</v>
      </c>
      <c r="G977" s="74">
        <v>3</v>
      </c>
      <c r="H977" s="135">
        <v>42992.560972222222</v>
      </c>
      <c r="I977" s="74" t="s">
        <v>21339</v>
      </c>
      <c r="J977" s="74" t="s">
        <v>21364</v>
      </c>
      <c r="K977" s="74" t="s">
        <v>20280</v>
      </c>
      <c r="L977" s="74">
        <v>554213</v>
      </c>
      <c r="M977" s="74" t="s">
        <v>21341</v>
      </c>
      <c r="N977" s="74">
        <v>1</v>
      </c>
      <c r="O977" s="74" t="s">
        <v>21342</v>
      </c>
      <c r="P977" s="74" t="s">
        <v>21343</v>
      </c>
      <c r="Q977" s="74">
        <v>0</v>
      </c>
      <c r="R977" s="74" t="s">
        <v>148</v>
      </c>
      <c r="S977" s="74" t="s">
        <v>21338</v>
      </c>
      <c r="T977" s="74" t="s">
        <v>402</v>
      </c>
      <c r="U977" s="74">
        <v>0</v>
      </c>
      <c r="V977" s="74">
        <v>0</v>
      </c>
    </row>
    <row r="978" spans="3:22" x14ac:dyDescent="0.25">
      <c r="C978" s="74" t="s">
        <v>21386</v>
      </c>
      <c r="D978" s="74" t="s">
        <v>148</v>
      </c>
      <c r="E978" s="74" t="s">
        <v>21338</v>
      </c>
      <c r="F978" s="74">
        <v>674396</v>
      </c>
      <c r="G978" s="74">
        <v>3</v>
      </c>
      <c r="H978" s="135">
        <v>42992.559895833336</v>
      </c>
      <c r="I978" s="74" t="s">
        <v>21339</v>
      </c>
      <c r="J978" s="74" t="s">
        <v>21360</v>
      </c>
      <c r="K978" s="74" t="s">
        <v>20280</v>
      </c>
      <c r="L978" s="74">
        <v>554213</v>
      </c>
      <c r="M978" s="74" t="s">
        <v>21341</v>
      </c>
      <c r="N978" s="74">
        <v>1</v>
      </c>
      <c r="O978" s="74" t="s">
        <v>21342</v>
      </c>
      <c r="P978" s="74" t="s">
        <v>21343</v>
      </c>
      <c r="Q978" s="74" t="s">
        <v>21361</v>
      </c>
      <c r="R978" s="74" t="s">
        <v>148</v>
      </c>
      <c r="S978" s="74" t="s">
        <v>21338</v>
      </c>
      <c r="T978" s="74" t="s">
        <v>402</v>
      </c>
      <c r="U978" s="74">
        <v>0</v>
      </c>
      <c r="V978" s="74">
        <v>0</v>
      </c>
    </row>
    <row r="979" spans="3:22" x14ac:dyDescent="0.25">
      <c r="C979" s="74" t="s">
        <v>21351</v>
      </c>
      <c r="D979" s="74" t="s">
        <v>148</v>
      </c>
      <c r="E979" s="74" t="s">
        <v>21338</v>
      </c>
      <c r="F979" s="74">
        <v>707864</v>
      </c>
      <c r="G979" s="74">
        <v>3</v>
      </c>
      <c r="H979" s="135">
        <v>42992.559328703705</v>
      </c>
      <c r="I979" s="74" t="s">
        <v>21354</v>
      </c>
      <c r="J979" s="74" t="s">
        <v>21355</v>
      </c>
      <c r="K979" s="74" t="s">
        <v>21505</v>
      </c>
      <c r="L979" s="74">
        <v>908518</v>
      </c>
      <c r="M979" s="74" t="s">
        <v>21341</v>
      </c>
      <c r="N979" s="74">
        <v>1</v>
      </c>
      <c r="O979" s="74" t="s">
        <v>21342</v>
      </c>
      <c r="P979" s="74" t="s">
        <v>21345</v>
      </c>
      <c r="R979" s="74" t="s">
        <v>148</v>
      </c>
      <c r="S979" s="74" t="s">
        <v>21338</v>
      </c>
      <c r="T979" s="74" t="s">
        <v>402</v>
      </c>
      <c r="U979" s="74">
        <v>0</v>
      </c>
      <c r="V979" s="74">
        <v>0</v>
      </c>
    </row>
    <row r="980" spans="3:22" x14ac:dyDescent="0.25">
      <c r="C980" s="74" t="s">
        <v>18795</v>
      </c>
      <c r="D980" s="74" t="s">
        <v>148</v>
      </c>
      <c r="E980" s="74" t="s">
        <v>21338</v>
      </c>
      <c r="F980" s="74">
        <v>551367</v>
      </c>
      <c r="G980" s="74">
        <v>1000</v>
      </c>
      <c r="H980" s="135">
        <v>42992.549016203702</v>
      </c>
      <c r="I980" s="74" t="s">
        <v>21339</v>
      </c>
      <c r="J980" s="74" t="s">
        <v>21340</v>
      </c>
      <c r="K980" s="74" t="s">
        <v>21505</v>
      </c>
      <c r="L980" s="74">
        <v>908518</v>
      </c>
      <c r="M980" s="74" t="s">
        <v>21341</v>
      </c>
      <c r="N980" s="74">
        <v>1</v>
      </c>
      <c r="O980" s="74" t="s">
        <v>21342</v>
      </c>
      <c r="P980" s="74" t="s">
        <v>21343</v>
      </c>
      <c r="Q980" s="74">
        <v>0</v>
      </c>
      <c r="R980" s="74" t="s">
        <v>148</v>
      </c>
      <c r="S980" s="74" t="s">
        <v>21338</v>
      </c>
      <c r="T980" s="74" t="s">
        <v>402</v>
      </c>
      <c r="U980" s="74">
        <v>0</v>
      </c>
      <c r="V980" s="74">
        <v>0</v>
      </c>
    </row>
    <row r="981" spans="3:22" x14ac:dyDescent="0.25">
      <c r="C981" s="74" t="s">
        <v>18795</v>
      </c>
      <c r="D981" s="74" t="s">
        <v>148</v>
      </c>
      <c r="E981" s="74" t="s">
        <v>21338</v>
      </c>
      <c r="F981" s="74">
        <v>551367</v>
      </c>
      <c r="G981" s="74">
        <v>1000</v>
      </c>
      <c r="H981" s="135">
        <v>42992.545648148145</v>
      </c>
      <c r="I981" s="74" t="s">
        <v>21339</v>
      </c>
      <c r="J981" s="74" t="s">
        <v>21340</v>
      </c>
      <c r="K981" s="74" t="s">
        <v>11120</v>
      </c>
      <c r="L981" s="74">
        <v>553064</v>
      </c>
      <c r="M981" s="74" t="s">
        <v>21341</v>
      </c>
      <c r="N981" s="74">
        <v>1</v>
      </c>
      <c r="O981" s="74" t="s">
        <v>21342</v>
      </c>
      <c r="P981" s="74" t="s">
        <v>21343</v>
      </c>
      <c r="Q981" s="74">
        <v>0</v>
      </c>
      <c r="R981" s="74" t="s">
        <v>148</v>
      </c>
      <c r="S981" s="74" t="s">
        <v>21338</v>
      </c>
      <c r="T981" s="74" t="s">
        <v>402</v>
      </c>
      <c r="U981" s="74">
        <v>0</v>
      </c>
      <c r="V981" s="74">
        <v>0</v>
      </c>
    </row>
    <row r="982" spans="3:22" x14ac:dyDescent="0.25">
      <c r="C982" s="74" t="s">
        <v>18795</v>
      </c>
      <c r="D982" s="74" t="s">
        <v>148</v>
      </c>
      <c r="E982" s="74" t="s">
        <v>21338</v>
      </c>
      <c r="F982" s="74">
        <v>551367</v>
      </c>
      <c r="G982" s="74">
        <v>1000</v>
      </c>
      <c r="H982" s="135">
        <v>42992.543692129628</v>
      </c>
      <c r="I982" s="74" t="s">
        <v>21339</v>
      </c>
      <c r="J982" s="74" t="s">
        <v>21340</v>
      </c>
      <c r="K982" s="74" t="s">
        <v>11120</v>
      </c>
      <c r="L982" s="74">
        <v>553064</v>
      </c>
      <c r="M982" s="74" t="s">
        <v>21341</v>
      </c>
      <c r="N982" s="74">
        <v>1</v>
      </c>
      <c r="O982" s="74" t="s">
        <v>21342</v>
      </c>
      <c r="P982" s="74" t="s">
        <v>21343</v>
      </c>
      <c r="Q982" s="74">
        <v>0</v>
      </c>
      <c r="R982" s="74" t="s">
        <v>148</v>
      </c>
      <c r="S982" s="74" t="s">
        <v>21338</v>
      </c>
      <c r="T982" s="74" t="s">
        <v>402</v>
      </c>
      <c r="U982" s="74">
        <v>0</v>
      </c>
      <c r="V982" s="74">
        <v>0</v>
      </c>
    </row>
    <row r="983" spans="3:22" x14ac:dyDescent="0.25">
      <c r="C983" s="74" t="s">
        <v>18795</v>
      </c>
      <c r="D983" s="74" t="s">
        <v>148</v>
      </c>
      <c r="E983" s="74" t="s">
        <v>21338</v>
      </c>
      <c r="F983" s="74">
        <v>551367</v>
      </c>
      <c r="G983" s="74">
        <v>1000</v>
      </c>
      <c r="H983" s="135">
        <v>42992.523657407408</v>
      </c>
      <c r="I983" s="74" t="s">
        <v>21339</v>
      </c>
      <c r="J983" s="74" t="s">
        <v>21340</v>
      </c>
      <c r="K983" s="74" t="s">
        <v>3395</v>
      </c>
      <c r="L983" s="74">
        <v>552092</v>
      </c>
      <c r="M983" s="74" t="s">
        <v>21341</v>
      </c>
      <c r="N983" s="74">
        <v>1</v>
      </c>
      <c r="O983" s="74" t="s">
        <v>21342</v>
      </c>
      <c r="P983" s="74" t="s">
        <v>21343</v>
      </c>
      <c r="Q983" s="74">
        <v>0</v>
      </c>
      <c r="R983" s="74" t="s">
        <v>148</v>
      </c>
      <c r="S983" s="74" t="s">
        <v>21338</v>
      </c>
      <c r="T983" s="74" t="s">
        <v>402</v>
      </c>
      <c r="U983" s="74">
        <v>0</v>
      </c>
      <c r="V983" s="74">
        <v>0</v>
      </c>
    </row>
    <row r="984" spans="3:22" x14ac:dyDescent="0.25">
      <c r="C984" s="74" t="s">
        <v>18795</v>
      </c>
      <c r="D984" s="74" t="s">
        <v>148</v>
      </c>
      <c r="E984" s="74" t="s">
        <v>21338</v>
      </c>
      <c r="F984" s="74">
        <v>551367</v>
      </c>
      <c r="G984" s="74">
        <v>1000</v>
      </c>
      <c r="H984" s="135">
        <v>42992.496724537035</v>
      </c>
      <c r="I984" s="74" t="s">
        <v>21339</v>
      </c>
      <c r="J984" s="74" t="s">
        <v>21340</v>
      </c>
      <c r="K984" s="74" t="s">
        <v>7311</v>
      </c>
      <c r="L984" s="74">
        <v>552577</v>
      </c>
      <c r="M984" s="74" t="s">
        <v>21341</v>
      </c>
      <c r="N984" s="74">
        <v>1</v>
      </c>
      <c r="O984" s="74" t="s">
        <v>21342</v>
      </c>
      <c r="P984" s="74" t="s">
        <v>21343</v>
      </c>
      <c r="Q984" s="74">
        <v>0</v>
      </c>
      <c r="R984" s="74" t="s">
        <v>148</v>
      </c>
      <c r="S984" s="74" t="s">
        <v>21338</v>
      </c>
      <c r="T984" s="74" t="s">
        <v>402</v>
      </c>
      <c r="U984" s="74">
        <v>0</v>
      </c>
      <c r="V984" s="74">
        <v>0</v>
      </c>
    </row>
    <row r="985" spans="3:22" x14ac:dyDescent="0.25">
      <c r="C985" s="74" t="s">
        <v>18795</v>
      </c>
      <c r="D985" s="74" t="s">
        <v>148</v>
      </c>
      <c r="E985" s="74" t="s">
        <v>21338</v>
      </c>
      <c r="F985" s="74">
        <v>551367</v>
      </c>
      <c r="G985" s="74">
        <v>1000</v>
      </c>
      <c r="H985" s="135">
        <v>42992.473240740743</v>
      </c>
      <c r="I985" s="74" t="s">
        <v>21339</v>
      </c>
      <c r="J985" s="74" t="s">
        <v>21340</v>
      </c>
      <c r="K985" s="74" t="s">
        <v>6088</v>
      </c>
      <c r="L985" s="74">
        <v>552413</v>
      </c>
      <c r="M985" s="74" t="s">
        <v>21341</v>
      </c>
      <c r="N985" s="74">
        <v>1</v>
      </c>
      <c r="O985" s="74" t="s">
        <v>21342</v>
      </c>
      <c r="P985" s="74" t="s">
        <v>21343</v>
      </c>
      <c r="Q985" s="74">
        <v>0</v>
      </c>
      <c r="R985" s="74" t="s">
        <v>148</v>
      </c>
      <c r="S985" s="74" t="s">
        <v>21338</v>
      </c>
      <c r="T985" s="74" t="s">
        <v>402</v>
      </c>
      <c r="U985" s="74">
        <v>0</v>
      </c>
      <c r="V985" s="74">
        <v>0</v>
      </c>
    </row>
    <row r="986" spans="3:22" x14ac:dyDescent="0.25">
      <c r="C986" s="74" t="s">
        <v>18795</v>
      </c>
      <c r="D986" s="74" t="s">
        <v>148</v>
      </c>
      <c r="E986" s="74" t="s">
        <v>21338</v>
      </c>
      <c r="F986" s="74">
        <v>551367</v>
      </c>
      <c r="G986" s="74">
        <v>1000</v>
      </c>
      <c r="H986" s="135">
        <v>42992.466805555552</v>
      </c>
      <c r="I986" s="74" t="s">
        <v>21339</v>
      </c>
      <c r="J986" s="74" t="s">
        <v>21340</v>
      </c>
      <c r="K986" s="74" t="s">
        <v>15098</v>
      </c>
      <c r="L986" s="74">
        <v>553578</v>
      </c>
      <c r="M986" s="74" t="s">
        <v>21341</v>
      </c>
      <c r="N986" s="74">
        <v>1</v>
      </c>
      <c r="O986" s="74" t="s">
        <v>21342</v>
      </c>
      <c r="P986" s="74" t="s">
        <v>21343</v>
      </c>
      <c r="Q986" s="74">
        <v>0</v>
      </c>
      <c r="R986" s="74" t="s">
        <v>148</v>
      </c>
      <c r="S986" s="74" t="s">
        <v>21338</v>
      </c>
      <c r="T986" s="74" t="s">
        <v>402</v>
      </c>
      <c r="U986" s="74">
        <v>0</v>
      </c>
      <c r="V986" s="74">
        <v>0</v>
      </c>
    </row>
    <row r="987" spans="3:22" x14ac:dyDescent="0.25">
      <c r="C987" s="74" t="s">
        <v>21385</v>
      </c>
      <c r="D987" s="74" t="s">
        <v>148</v>
      </c>
      <c r="E987" s="74" t="s">
        <v>21338</v>
      </c>
      <c r="F987" s="74">
        <v>560579</v>
      </c>
      <c r="G987" s="74">
        <v>3</v>
      </c>
      <c r="H987" s="135">
        <v>42992.463738425926</v>
      </c>
      <c r="I987" s="74" t="s">
        <v>21339</v>
      </c>
      <c r="J987" s="74" t="s">
        <v>21340</v>
      </c>
      <c r="K987" s="74" t="s">
        <v>10588</v>
      </c>
      <c r="L987" s="74">
        <v>908154</v>
      </c>
      <c r="M987" s="74" t="s">
        <v>21341</v>
      </c>
      <c r="N987" s="74">
        <v>1</v>
      </c>
      <c r="O987" s="74" t="s">
        <v>21342</v>
      </c>
      <c r="P987" s="74" t="s">
        <v>21343</v>
      </c>
      <c r="Q987" s="74">
        <v>0</v>
      </c>
      <c r="R987" s="74" t="s">
        <v>148</v>
      </c>
      <c r="S987" s="74" t="s">
        <v>21338</v>
      </c>
      <c r="T987" s="74" t="s">
        <v>402</v>
      </c>
      <c r="U987" s="74">
        <v>0</v>
      </c>
      <c r="V987" s="74">
        <v>0</v>
      </c>
    </row>
    <row r="988" spans="3:22" x14ac:dyDescent="0.25">
      <c r="C988" s="74" t="s">
        <v>21386</v>
      </c>
      <c r="D988" s="74" t="s">
        <v>148</v>
      </c>
      <c r="E988" s="74" t="s">
        <v>21338</v>
      </c>
      <c r="F988" s="74">
        <v>674396</v>
      </c>
      <c r="G988" s="74">
        <v>3</v>
      </c>
      <c r="H988" s="135">
        <v>42992.462129629632</v>
      </c>
      <c r="I988" s="74" t="s">
        <v>21339</v>
      </c>
      <c r="J988" s="74" t="s">
        <v>21364</v>
      </c>
      <c r="K988" s="74" t="s">
        <v>16022</v>
      </c>
      <c r="L988" s="74">
        <v>553683</v>
      </c>
      <c r="M988" s="74" t="s">
        <v>21341</v>
      </c>
      <c r="N988" s="74">
        <v>1</v>
      </c>
      <c r="O988" s="74" t="s">
        <v>21342</v>
      </c>
      <c r="P988" s="74" t="s">
        <v>21343</v>
      </c>
      <c r="Q988" s="74">
        <v>0</v>
      </c>
      <c r="R988" s="74" t="s">
        <v>148</v>
      </c>
      <c r="S988" s="74" t="s">
        <v>21338</v>
      </c>
      <c r="T988" s="74" t="s">
        <v>402</v>
      </c>
      <c r="U988" s="74">
        <v>0</v>
      </c>
      <c r="V988" s="74">
        <v>0</v>
      </c>
    </row>
    <row r="989" spans="3:22" x14ac:dyDescent="0.25">
      <c r="C989" s="74" t="s">
        <v>21386</v>
      </c>
      <c r="D989" s="74" t="s">
        <v>148</v>
      </c>
      <c r="E989" s="74" t="s">
        <v>21338</v>
      </c>
      <c r="F989" s="74">
        <v>674396</v>
      </c>
      <c r="G989" s="74">
        <v>3</v>
      </c>
      <c r="H989" s="135">
        <v>42992.462106481478</v>
      </c>
      <c r="I989" s="74" t="s">
        <v>21398</v>
      </c>
      <c r="J989" s="74" t="s">
        <v>21366</v>
      </c>
      <c r="K989" s="74" t="s">
        <v>21403</v>
      </c>
      <c r="L989" s="74">
        <v>561483</v>
      </c>
      <c r="M989" s="74" t="s">
        <v>21368</v>
      </c>
      <c r="N989" s="74">
        <v>1</v>
      </c>
      <c r="O989" s="74" t="s">
        <v>21369</v>
      </c>
      <c r="P989" s="74" t="s">
        <v>21343</v>
      </c>
      <c r="Q989" s="74" t="s">
        <v>21573</v>
      </c>
      <c r="R989" s="74" t="s">
        <v>148</v>
      </c>
      <c r="S989" s="74" t="s">
        <v>21338</v>
      </c>
      <c r="T989" s="74" t="s">
        <v>21371</v>
      </c>
      <c r="U989" s="74">
        <v>0</v>
      </c>
      <c r="V989" s="74">
        <v>0</v>
      </c>
    </row>
    <row r="990" spans="3:22" x14ac:dyDescent="0.25">
      <c r="C990" s="74" t="s">
        <v>21386</v>
      </c>
      <c r="D990" s="74" t="s">
        <v>148</v>
      </c>
      <c r="E990" s="74" t="s">
        <v>21338</v>
      </c>
      <c r="F990" s="74">
        <v>674396</v>
      </c>
      <c r="G990" s="74">
        <v>3</v>
      </c>
      <c r="H990" s="135">
        <v>42992.461828703701</v>
      </c>
      <c r="I990" s="74" t="s">
        <v>21339</v>
      </c>
      <c r="J990" s="74" t="s">
        <v>21364</v>
      </c>
      <c r="K990" s="74" t="s">
        <v>16022</v>
      </c>
      <c r="L990" s="74">
        <v>553683</v>
      </c>
      <c r="M990" s="74" t="s">
        <v>21341</v>
      </c>
      <c r="N990" s="74">
        <v>1</v>
      </c>
      <c r="O990" s="74" t="s">
        <v>21342</v>
      </c>
      <c r="P990" s="74" t="s">
        <v>21343</v>
      </c>
      <c r="Q990" s="74">
        <v>0</v>
      </c>
      <c r="R990" s="74" t="s">
        <v>148</v>
      </c>
      <c r="S990" s="74" t="s">
        <v>21338</v>
      </c>
      <c r="T990" s="74" t="s">
        <v>402</v>
      </c>
      <c r="U990" s="74">
        <v>0</v>
      </c>
      <c r="V990" s="74">
        <v>0</v>
      </c>
    </row>
    <row r="991" spans="3:22" x14ac:dyDescent="0.25">
      <c r="C991" s="74" t="s">
        <v>21386</v>
      </c>
      <c r="D991" s="74" t="s">
        <v>148</v>
      </c>
      <c r="E991" s="74" t="s">
        <v>21338</v>
      </c>
      <c r="F991" s="74">
        <v>674396</v>
      </c>
      <c r="G991" s="74">
        <v>3</v>
      </c>
      <c r="H991" s="135">
        <v>42992.46166666667</v>
      </c>
      <c r="I991" s="74" t="s">
        <v>21339</v>
      </c>
      <c r="J991" s="74" t="s">
        <v>21364</v>
      </c>
      <c r="K991" s="74" t="s">
        <v>16022</v>
      </c>
      <c r="L991" s="74">
        <v>553683</v>
      </c>
      <c r="M991" s="74" t="s">
        <v>21341</v>
      </c>
      <c r="N991" s="74">
        <v>1</v>
      </c>
      <c r="O991" s="74" t="s">
        <v>21342</v>
      </c>
      <c r="P991" s="74" t="s">
        <v>21343</v>
      </c>
      <c r="Q991" s="74">
        <v>0</v>
      </c>
      <c r="R991" s="74" t="s">
        <v>148</v>
      </c>
      <c r="S991" s="74" t="s">
        <v>21338</v>
      </c>
      <c r="T991" s="74" t="s">
        <v>402</v>
      </c>
      <c r="U991" s="74">
        <v>0</v>
      </c>
      <c r="V991" s="74">
        <v>0</v>
      </c>
    </row>
    <row r="992" spans="3:22" x14ac:dyDescent="0.25">
      <c r="C992" s="74" t="s">
        <v>18795</v>
      </c>
      <c r="D992" s="74" t="s">
        <v>148</v>
      </c>
      <c r="E992" s="74" t="s">
        <v>21338</v>
      </c>
      <c r="F992" s="74">
        <v>551367</v>
      </c>
      <c r="G992" s="74">
        <v>1000</v>
      </c>
      <c r="H992" s="135">
        <v>42992.440798611111</v>
      </c>
      <c r="I992" s="74" t="s">
        <v>21339</v>
      </c>
      <c r="J992" s="74" t="s">
        <v>21340</v>
      </c>
      <c r="K992" s="74" t="s">
        <v>21574</v>
      </c>
      <c r="L992" s="74">
        <v>857053</v>
      </c>
      <c r="M992" s="74" t="s">
        <v>21341</v>
      </c>
      <c r="N992" s="74">
        <v>1</v>
      </c>
      <c r="O992" s="74" t="s">
        <v>21342</v>
      </c>
      <c r="P992" s="74" t="s">
        <v>21343</v>
      </c>
      <c r="Q992" s="74">
        <v>0</v>
      </c>
      <c r="R992" s="74" t="s">
        <v>148</v>
      </c>
      <c r="S992" s="74" t="s">
        <v>21338</v>
      </c>
      <c r="T992" s="74" t="s">
        <v>402</v>
      </c>
      <c r="U992" s="74">
        <v>0</v>
      </c>
      <c r="V992" s="74">
        <v>0</v>
      </c>
    </row>
    <row r="993" spans="3:22" x14ac:dyDescent="0.25">
      <c r="C993" s="74" t="s">
        <v>18795</v>
      </c>
      <c r="D993" s="74" t="s">
        <v>148</v>
      </c>
      <c r="E993" s="74" t="s">
        <v>21338</v>
      </c>
      <c r="F993" s="74">
        <v>551367</v>
      </c>
      <c r="G993" s="74">
        <v>1000</v>
      </c>
      <c r="H993" s="135">
        <v>42992.423750000002</v>
      </c>
      <c r="I993" s="74" t="s">
        <v>21339</v>
      </c>
      <c r="J993" s="74" t="s">
        <v>21340</v>
      </c>
      <c r="K993" s="74" t="s">
        <v>15461</v>
      </c>
      <c r="L993" s="74">
        <v>553613</v>
      </c>
      <c r="M993" s="74" t="s">
        <v>21341</v>
      </c>
      <c r="N993" s="74">
        <v>1</v>
      </c>
      <c r="O993" s="74" t="s">
        <v>21342</v>
      </c>
      <c r="P993" s="74" t="s">
        <v>21343</v>
      </c>
      <c r="Q993" s="74">
        <v>0</v>
      </c>
      <c r="R993" s="74" t="s">
        <v>148</v>
      </c>
      <c r="S993" s="74" t="s">
        <v>21338</v>
      </c>
      <c r="T993" s="74" t="s">
        <v>402</v>
      </c>
      <c r="U993" s="74">
        <v>0</v>
      </c>
      <c r="V993" s="74">
        <v>0</v>
      </c>
    </row>
    <row r="994" spans="3:22" x14ac:dyDescent="0.25">
      <c r="C994" s="74" t="s">
        <v>18795</v>
      </c>
      <c r="D994" s="74" t="s">
        <v>148</v>
      </c>
      <c r="E994" s="74" t="s">
        <v>21338</v>
      </c>
      <c r="F994" s="74">
        <v>551367</v>
      </c>
      <c r="G994" s="74">
        <v>1000</v>
      </c>
      <c r="H994" s="135">
        <v>42992.422222222223</v>
      </c>
      <c r="I994" s="74" t="s">
        <v>21339</v>
      </c>
      <c r="J994" s="74" t="s">
        <v>21340</v>
      </c>
      <c r="K994" s="74" t="s">
        <v>14329</v>
      </c>
      <c r="L994" s="74">
        <v>553487</v>
      </c>
      <c r="M994" s="74" t="s">
        <v>21341</v>
      </c>
      <c r="N994" s="74">
        <v>1</v>
      </c>
      <c r="O994" s="74" t="s">
        <v>21342</v>
      </c>
      <c r="P994" s="74" t="s">
        <v>21343</v>
      </c>
      <c r="Q994" s="74">
        <v>0</v>
      </c>
      <c r="R994" s="74" t="s">
        <v>148</v>
      </c>
      <c r="S994" s="74" t="s">
        <v>21338</v>
      </c>
      <c r="T994" s="74" t="s">
        <v>402</v>
      </c>
      <c r="U994" s="74">
        <v>0</v>
      </c>
      <c r="V994" s="74">
        <v>0</v>
      </c>
    </row>
    <row r="995" spans="3:22" x14ac:dyDescent="0.25">
      <c r="C995" s="74" t="s">
        <v>18795</v>
      </c>
      <c r="D995" s="74" t="s">
        <v>148</v>
      </c>
      <c r="E995" s="74" t="s">
        <v>21338</v>
      </c>
      <c r="F995" s="74">
        <v>551367</v>
      </c>
      <c r="G995" s="74">
        <v>1000</v>
      </c>
      <c r="H995" s="135">
        <v>42992.4221875</v>
      </c>
      <c r="I995" s="74" t="s">
        <v>21339</v>
      </c>
      <c r="J995" s="74" t="s">
        <v>21340</v>
      </c>
      <c r="K995" s="74" t="s">
        <v>3224</v>
      </c>
      <c r="L995" s="74">
        <v>552071</v>
      </c>
      <c r="M995" s="74" t="s">
        <v>21341</v>
      </c>
      <c r="N995" s="74">
        <v>1</v>
      </c>
      <c r="O995" s="74" t="s">
        <v>21342</v>
      </c>
      <c r="P995" s="74" t="s">
        <v>21343</v>
      </c>
      <c r="Q995" s="74">
        <v>0</v>
      </c>
      <c r="R995" s="74" t="s">
        <v>148</v>
      </c>
      <c r="S995" s="74" t="s">
        <v>21338</v>
      </c>
      <c r="T995" s="74" t="s">
        <v>402</v>
      </c>
      <c r="U995" s="74">
        <v>0</v>
      </c>
      <c r="V995" s="74">
        <v>0</v>
      </c>
    </row>
    <row r="996" spans="3:22" x14ac:dyDescent="0.25">
      <c r="C996" s="74" t="s">
        <v>18795</v>
      </c>
      <c r="D996" s="74" t="s">
        <v>148</v>
      </c>
      <c r="E996" s="74" t="s">
        <v>21338</v>
      </c>
      <c r="F996" s="74">
        <v>551367</v>
      </c>
      <c r="G996" s="74">
        <v>1000</v>
      </c>
      <c r="H996" s="135">
        <v>42992.420300925929</v>
      </c>
      <c r="I996" s="74" t="s">
        <v>21339</v>
      </c>
      <c r="J996" s="74" t="s">
        <v>21340</v>
      </c>
      <c r="K996" s="74" t="s">
        <v>2527</v>
      </c>
      <c r="L996" s="74">
        <v>907578</v>
      </c>
      <c r="M996" s="74" t="s">
        <v>21341</v>
      </c>
      <c r="N996" s="74">
        <v>1</v>
      </c>
      <c r="O996" s="74" t="s">
        <v>21342</v>
      </c>
      <c r="P996" s="74" t="s">
        <v>21343</v>
      </c>
      <c r="Q996" s="74">
        <v>0</v>
      </c>
      <c r="R996" s="74" t="s">
        <v>148</v>
      </c>
      <c r="S996" s="74" t="s">
        <v>21338</v>
      </c>
      <c r="T996" s="74" t="s">
        <v>402</v>
      </c>
      <c r="U996" s="74">
        <v>0</v>
      </c>
      <c r="V996" s="74">
        <v>0</v>
      </c>
    </row>
    <row r="997" spans="3:22" x14ac:dyDescent="0.25">
      <c r="C997" s="74" t="s">
        <v>18795</v>
      </c>
      <c r="D997" s="74" t="s">
        <v>148</v>
      </c>
      <c r="E997" s="74" t="s">
        <v>21338</v>
      </c>
      <c r="F997" s="74">
        <v>551367</v>
      </c>
      <c r="G997" s="74">
        <v>1000</v>
      </c>
      <c r="H997" s="135">
        <v>42992.414930555555</v>
      </c>
      <c r="I997" s="74" t="s">
        <v>21339</v>
      </c>
      <c r="J997" s="74" t="s">
        <v>21340</v>
      </c>
      <c r="K997" s="74" t="s">
        <v>14608</v>
      </c>
      <c r="L997" s="74">
        <v>553525</v>
      </c>
      <c r="M997" s="74" t="s">
        <v>21341</v>
      </c>
      <c r="N997" s="74">
        <v>1</v>
      </c>
      <c r="O997" s="74" t="s">
        <v>21342</v>
      </c>
      <c r="P997" s="74" t="s">
        <v>21343</v>
      </c>
      <c r="Q997" s="74">
        <v>0</v>
      </c>
      <c r="R997" s="74" t="s">
        <v>148</v>
      </c>
      <c r="S997" s="74" t="s">
        <v>21338</v>
      </c>
      <c r="T997" s="74" t="s">
        <v>402</v>
      </c>
      <c r="U997" s="74">
        <v>0</v>
      </c>
      <c r="V997" s="74">
        <v>0</v>
      </c>
    </row>
    <row r="998" spans="3:22" x14ac:dyDescent="0.25">
      <c r="C998" s="74" t="s">
        <v>18795</v>
      </c>
      <c r="D998" s="74" t="s">
        <v>148</v>
      </c>
      <c r="E998" s="74" t="s">
        <v>21338</v>
      </c>
      <c r="F998" s="74">
        <v>551367</v>
      </c>
      <c r="G998" s="74">
        <v>1000</v>
      </c>
      <c r="H998" s="135">
        <v>42992.408854166664</v>
      </c>
      <c r="I998" s="74" t="s">
        <v>21339</v>
      </c>
      <c r="J998" s="74" t="s">
        <v>21340</v>
      </c>
      <c r="K998" s="74" t="s">
        <v>14289</v>
      </c>
      <c r="L998" s="74">
        <v>553479</v>
      </c>
      <c r="M998" s="74" t="s">
        <v>21341</v>
      </c>
      <c r="N998" s="74">
        <v>1</v>
      </c>
      <c r="O998" s="74" t="s">
        <v>21342</v>
      </c>
      <c r="P998" s="74" t="s">
        <v>21343</v>
      </c>
      <c r="Q998" s="74">
        <v>0</v>
      </c>
      <c r="R998" s="74" t="s">
        <v>148</v>
      </c>
      <c r="S998" s="74" t="s">
        <v>21338</v>
      </c>
      <c r="T998" s="74" t="s">
        <v>402</v>
      </c>
      <c r="U998" s="74">
        <v>0</v>
      </c>
      <c r="V998" s="74">
        <v>0</v>
      </c>
    </row>
    <row r="999" spans="3:22" x14ac:dyDescent="0.25">
      <c r="C999" s="74" t="s">
        <v>18795</v>
      </c>
      <c r="D999" s="74" t="s">
        <v>148</v>
      </c>
      <c r="E999" s="74" t="s">
        <v>21338</v>
      </c>
      <c r="F999" s="74">
        <v>551367</v>
      </c>
      <c r="G999" s="74">
        <v>1000</v>
      </c>
      <c r="H999" s="135">
        <v>42992.405347222222</v>
      </c>
      <c r="I999" s="74" t="s">
        <v>21339</v>
      </c>
      <c r="J999" s="74" t="s">
        <v>21340</v>
      </c>
      <c r="K999" s="74" t="s">
        <v>14250</v>
      </c>
      <c r="L999" s="74">
        <v>560727</v>
      </c>
      <c r="M999" s="74" t="s">
        <v>21341</v>
      </c>
      <c r="N999" s="74">
        <v>1000</v>
      </c>
      <c r="O999" s="74" t="s">
        <v>21342</v>
      </c>
      <c r="P999" s="74" t="s">
        <v>21343</v>
      </c>
      <c r="Q999" s="74">
        <v>0</v>
      </c>
      <c r="R999" s="74" t="s">
        <v>148</v>
      </c>
      <c r="S999" s="74" t="s">
        <v>21338</v>
      </c>
      <c r="T999" s="74" t="s">
        <v>535</v>
      </c>
      <c r="U999" s="74">
        <v>0</v>
      </c>
      <c r="V999" s="74">
        <v>0</v>
      </c>
    </row>
    <row r="1000" spans="3:22" x14ac:dyDescent="0.25">
      <c r="C1000" s="74" t="s">
        <v>18795</v>
      </c>
      <c r="D1000" s="74" t="s">
        <v>148</v>
      </c>
      <c r="E1000" s="74" t="s">
        <v>21338</v>
      </c>
      <c r="F1000" s="74">
        <v>551367</v>
      </c>
      <c r="G1000" s="74">
        <v>1000</v>
      </c>
      <c r="H1000" s="135">
        <v>42992.400057870371</v>
      </c>
      <c r="I1000" s="74" t="s">
        <v>21339</v>
      </c>
      <c r="J1000" s="74" t="s">
        <v>21340</v>
      </c>
      <c r="K1000" s="74" t="s">
        <v>10122</v>
      </c>
      <c r="L1000" s="74">
        <v>552935</v>
      </c>
      <c r="M1000" s="74" t="s">
        <v>21341</v>
      </c>
      <c r="N1000" s="74">
        <v>1</v>
      </c>
      <c r="O1000" s="74" t="s">
        <v>21342</v>
      </c>
      <c r="P1000" s="74" t="s">
        <v>21343</v>
      </c>
      <c r="Q1000" s="74">
        <v>0</v>
      </c>
      <c r="R1000" s="74" t="s">
        <v>148</v>
      </c>
      <c r="S1000" s="74" t="s">
        <v>21338</v>
      </c>
      <c r="T1000" s="74" t="s">
        <v>402</v>
      </c>
      <c r="U1000" s="74">
        <v>0</v>
      </c>
      <c r="V1000" s="74">
        <v>0</v>
      </c>
    </row>
    <row r="1001" spans="3:22" x14ac:dyDescent="0.25">
      <c r="C1001" s="74" t="s">
        <v>18795</v>
      </c>
      <c r="D1001" s="74" t="s">
        <v>148</v>
      </c>
      <c r="E1001" s="74" t="s">
        <v>21338</v>
      </c>
      <c r="F1001" s="74">
        <v>551367</v>
      </c>
      <c r="G1001" s="74">
        <v>1000</v>
      </c>
      <c r="H1001" s="135">
        <v>42992.398009259261</v>
      </c>
      <c r="I1001" s="74" t="s">
        <v>21339</v>
      </c>
      <c r="J1001" s="74" t="s">
        <v>21340</v>
      </c>
      <c r="K1001" s="74" t="s">
        <v>21575</v>
      </c>
      <c r="L1001" s="74">
        <v>831358</v>
      </c>
      <c r="M1001" s="74" t="s">
        <v>21341</v>
      </c>
      <c r="N1001" s="74">
        <v>1</v>
      </c>
      <c r="O1001" s="74" t="s">
        <v>21342</v>
      </c>
      <c r="P1001" s="74" t="s">
        <v>21343</v>
      </c>
      <c r="Q1001" s="74">
        <v>0</v>
      </c>
      <c r="R1001" s="74" t="s">
        <v>148</v>
      </c>
      <c r="S1001" s="74" t="s">
        <v>21338</v>
      </c>
      <c r="T1001" s="74" t="s">
        <v>402</v>
      </c>
      <c r="U1001" s="74">
        <v>0</v>
      </c>
      <c r="V1001" s="74">
        <v>0</v>
      </c>
    </row>
    <row r="1002" spans="3:22" x14ac:dyDescent="0.25">
      <c r="C1002" s="74" t="s">
        <v>18795</v>
      </c>
      <c r="D1002" s="74" t="s">
        <v>148</v>
      </c>
      <c r="E1002" s="74" t="s">
        <v>21338</v>
      </c>
      <c r="F1002" s="74">
        <v>551367</v>
      </c>
      <c r="G1002" s="74">
        <v>1000</v>
      </c>
      <c r="H1002" s="135">
        <v>42992.394247685188</v>
      </c>
      <c r="I1002" s="74" t="s">
        <v>21339</v>
      </c>
      <c r="J1002" s="74" t="s">
        <v>21340</v>
      </c>
      <c r="K1002" s="74" t="s">
        <v>18716</v>
      </c>
      <c r="L1002" s="74">
        <v>554028</v>
      </c>
      <c r="M1002" s="74" t="s">
        <v>21341</v>
      </c>
      <c r="N1002" s="74">
        <v>1</v>
      </c>
      <c r="O1002" s="74" t="s">
        <v>21342</v>
      </c>
      <c r="P1002" s="74" t="s">
        <v>21343</v>
      </c>
      <c r="Q1002" s="74">
        <v>0</v>
      </c>
      <c r="R1002" s="74" t="s">
        <v>148</v>
      </c>
      <c r="S1002" s="74" t="s">
        <v>21338</v>
      </c>
      <c r="T1002" s="74" t="s">
        <v>402</v>
      </c>
      <c r="U1002" s="74">
        <v>0</v>
      </c>
      <c r="V1002" s="74">
        <v>0</v>
      </c>
    </row>
    <row r="1003" spans="3:22" x14ac:dyDescent="0.25">
      <c r="C1003" s="74" t="s">
        <v>18795</v>
      </c>
      <c r="D1003" s="74" t="s">
        <v>148</v>
      </c>
      <c r="E1003" s="74" t="s">
        <v>21338</v>
      </c>
      <c r="F1003" s="74">
        <v>551367</v>
      </c>
      <c r="G1003" s="74">
        <v>1000</v>
      </c>
      <c r="H1003" s="135">
        <v>42992.389907407407</v>
      </c>
      <c r="I1003" s="74" t="s">
        <v>21339</v>
      </c>
      <c r="J1003" s="74" t="s">
        <v>21340</v>
      </c>
      <c r="K1003" s="74" t="s">
        <v>6285</v>
      </c>
      <c r="L1003" s="74">
        <v>552445</v>
      </c>
      <c r="M1003" s="74" t="s">
        <v>21341</v>
      </c>
      <c r="N1003" s="74">
        <v>1</v>
      </c>
      <c r="O1003" s="74" t="s">
        <v>21342</v>
      </c>
      <c r="P1003" s="74" t="s">
        <v>21343</v>
      </c>
      <c r="Q1003" s="74">
        <v>0</v>
      </c>
      <c r="R1003" s="74" t="s">
        <v>148</v>
      </c>
      <c r="S1003" s="74" t="s">
        <v>21338</v>
      </c>
      <c r="T1003" s="74" t="s">
        <v>402</v>
      </c>
      <c r="U1003" s="74">
        <v>0</v>
      </c>
      <c r="V1003" s="74">
        <v>0</v>
      </c>
    </row>
    <row r="1004" spans="3:22" x14ac:dyDescent="0.25">
      <c r="C1004" s="74" t="s">
        <v>18795</v>
      </c>
      <c r="D1004" s="74" t="s">
        <v>148</v>
      </c>
      <c r="E1004" s="74" t="s">
        <v>21338</v>
      </c>
      <c r="F1004" s="74">
        <v>551367</v>
      </c>
      <c r="G1004" s="74">
        <v>1000</v>
      </c>
      <c r="H1004" s="135">
        <v>42992.389907407407</v>
      </c>
      <c r="I1004" s="74" t="s">
        <v>21339</v>
      </c>
      <c r="J1004" s="74" t="s">
        <v>21340</v>
      </c>
      <c r="K1004" s="74" t="s">
        <v>8606</v>
      </c>
      <c r="L1004" s="74">
        <v>554290</v>
      </c>
      <c r="M1004" s="74" t="s">
        <v>21341</v>
      </c>
      <c r="N1004" s="74">
        <v>1</v>
      </c>
      <c r="O1004" s="74" t="s">
        <v>21342</v>
      </c>
      <c r="P1004" s="74" t="s">
        <v>21343</v>
      </c>
      <c r="Q1004" s="74">
        <v>0</v>
      </c>
      <c r="R1004" s="74" t="s">
        <v>148</v>
      </c>
      <c r="S1004" s="74" t="s">
        <v>21338</v>
      </c>
      <c r="T1004" s="74" t="s">
        <v>402</v>
      </c>
      <c r="U1004" s="74">
        <v>0</v>
      </c>
      <c r="V1004" s="74">
        <v>0</v>
      </c>
    </row>
    <row r="1005" spans="3:22" x14ac:dyDescent="0.25">
      <c r="C1005" s="74" t="s">
        <v>18795</v>
      </c>
      <c r="D1005" s="74" t="s">
        <v>148</v>
      </c>
      <c r="E1005" s="74" t="s">
        <v>21338</v>
      </c>
      <c r="F1005" s="74">
        <v>551367</v>
      </c>
      <c r="G1005" s="74">
        <v>1000</v>
      </c>
      <c r="H1005" s="135">
        <v>42992.381712962961</v>
      </c>
      <c r="I1005" s="74" t="s">
        <v>21339</v>
      </c>
      <c r="J1005" s="74" t="s">
        <v>21340</v>
      </c>
      <c r="K1005" s="74" t="s">
        <v>9504</v>
      </c>
      <c r="L1005" s="74">
        <v>552848</v>
      </c>
      <c r="M1005" s="74" t="s">
        <v>21341</v>
      </c>
      <c r="N1005" s="74">
        <v>1</v>
      </c>
      <c r="O1005" s="74" t="s">
        <v>21342</v>
      </c>
      <c r="P1005" s="74" t="s">
        <v>21343</v>
      </c>
      <c r="Q1005" s="74">
        <v>0</v>
      </c>
      <c r="R1005" s="74" t="s">
        <v>148</v>
      </c>
      <c r="S1005" s="74" t="s">
        <v>21338</v>
      </c>
      <c r="T1005" s="74" t="s">
        <v>402</v>
      </c>
      <c r="U1005" s="74">
        <v>0</v>
      </c>
      <c r="V1005" s="74">
        <v>0</v>
      </c>
    </row>
    <row r="1006" spans="3:22" x14ac:dyDescent="0.25">
      <c r="C1006" s="74" t="s">
        <v>18795</v>
      </c>
      <c r="D1006" s="74" t="s">
        <v>148</v>
      </c>
      <c r="E1006" s="74" t="s">
        <v>21338</v>
      </c>
      <c r="F1006" s="74">
        <v>551367</v>
      </c>
      <c r="G1006" s="74">
        <v>1000</v>
      </c>
      <c r="H1006" s="135">
        <v>42992.304027777776</v>
      </c>
      <c r="I1006" s="74" t="s">
        <v>21339</v>
      </c>
      <c r="J1006" s="74" t="s">
        <v>21340</v>
      </c>
      <c r="K1006" s="74" t="s">
        <v>14454</v>
      </c>
      <c r="L1006" s="74">
        <v>553504</v>
      </c>
      <c r="M1006" s="74" t="s">
        <v>21341</v>
      </c>
      <c r="N1006" s="74">
        <v>1</v>
      </c>
      <c r="O1006" s="74" t="s">
        <v>21342</v>
      </c>
      <c r="P1006" s="74" t="s">
        <v>21343</v>
      </c>
      <c r="Q1006" s="74">
        <v>0</v>
      </c>
      <c r="R1006" s="74" t="s">
        <v>148</v>
      </c>
      <c r="S1006" s="74" t="s">
        <v>21338</v>
      </c>
      <c r="T1006" s="74" t="s">
        <v>402</v>
      </c>
      <c r="U1006" s="74">
        <v>0</v>
      </c>
      <c r="V1006" s="74">
        <v>0</v>
      </c>
    </row>
    <row r="1007" spans="3:22" x14ac:dyDescent="0.25">
      <c r="C1007" s="74" t="s">
        <v>18795</v>
      </c>
      <c r="D1007" s="74" t="s">
        <v>148</v>
      </c>
      <c r="E1007" s="74" t="s">
        <v>21338</v>
      </c>
      <c r="F1007" s="74">
        <v>551367</v>
      </c>
      <c r="G1007" s="74">
        <v>1000</v>
      </c>
      <c r="H1007" s="135">
        <v>42992.29346064815</v>
      </c>
      <c r="I1007" s="74" t="s">
        <v>21339</v>
      </c>
      <c r="J1007" s="74" t="s">
        <v>21340</v>
      </c>
      <c r="K1007" s="74" t="s">
        <v>15946</v>
      </c>
      <c r="L1007" s="74">
        <v>553668</v>
      </c>
      <c r="M1007" s="74" t="s">
        <v>21341</v>
      </c>
      <c r="N1007" s="74">
        <v>1</v>
      </c>
      <c r="O1007" s="74" t="s">
        <v>21342</v>
      </c>
      <c r="P1007" s="74" t="s">
        <v>21343</v>
      </c>
      <c r="Q1007" s="74">
        <v>0</v>
      </c>
      <c r="R1007" s="74" t="s">
        <v>148</v>
      </c>
      <c r="S1007" s="74" t="s">
        <v>21338</v>
      </c>
      <c r="T1007" s="74" t="s">
        <v>402</v>
      </c>
      <c r="U1007" s="74">
        <v>0</v>
      </c>
      <c r="V1007" s="74">
        <v>0</v>
      </c>
    </row>
    <row r="1008" spans="3:22" x14ac:dyDescent="0.25">
      <c r="C1008" s="74" t="s">
        <v>18795</v>
      </c>
      <c r="D1008" s="74" t="s">
        <v>148</v>
      </c>
      <c r="E1008" s="74" t="s">
        <v>21338</v>
      </c>
      <c r="F1008" s="74">
        <v>551367</v>
      </c>
      <c r="G1008" s="74">
        <v>1000</v>
      </c>
      <c r="H1008" s="135">
        <v>42991.821226851855</v>
      </c>
      <c r="I1008" s="74" t="s">
        <v>21339</v>
      </c>
      <c r="J1008" s="74" t="s">
        <v>21340</v>
      </c>
      <c r="K1008" s="74" t="s">
        <v>13885</v>
      </c>
      <c r="L1008" s="74">
        <v>553422</v>
      </c>
      <c r="M1008" s="74" t="s">
        <v>21341</v>
      </c>
      <c r="N1008" s="74">
        <v>1</v>
      </c>
      <c r="O1008" s="74" t="s">
        <v>21342</v>
      </c>
      <c r="P1008" s="74" t="s">
        <v>21343</v>
      </c>
      <c r="Q1008" s="74">
        <v>0</v>
      </c>
      <c r="R1008" s="74" t="s">
        <v>148</v>
      </c>
      <c r="S1008" s="74" t="s">
        <v>21338</v>
      </c>
      <c r="T1008" s="74" t="s">
        <v>402</v>
      </c>
      <c r="U1008" s="74">
        <v>0</v>
      </c>
      <c r="V1008" s="74">
        <v>0</v>
      </c>
    </row>
    <row r="1009" spans="3:22" x14ac:dyDescent="0.25">
      <c r="C1009" s="74" t="s">
        <v>21347</v>
      </c>
      <c r="D1009" s="74" t="s">
        <v>148</v>
      </c>
      <c r="E1009" s="74" t="s">
        <v>21338</v>
      </c>
      <c r="F1009" s="74">
        <v>637976</v>
      </c>
      <c r="G1009" s="74">
        <v>1</v>
      </c>
      <c r="H1009" s="135">
        <v>42991.78396990741</v>
      </c>
      <c r="I1009" s="74" t="s">
        <v>21348</v>
      </c>
      <c r="J1009" s="74" t="s">
        <v>21349</v>
      </c>
      <c r="K1009" s="74" t="s">
        <v>21347</v>
      </c>
      <c r="L1009" s="74">
        <v>637976</v>
      </c>
      <c r="M1009" s="74" t="s">
        <v>21341</v>
      </c>
      <c r="N1009" s="74">
        <v>0</v>
      </c>
      <c r="O1009" s="74" t="s">
        <v>21350</v>
      </c>
      <c r="P1009" s="74" t="s">
        <v>21343</v>
      </c>
      <c r="Q1009" s="74">
        <v>0</v>
      </c>
      <c r="R1009" s="74" t="s">
        <v>148</v>
      </c>
      <c r="S1009" s="74" t="s">
        <v>21338</v>
      </c>
      <c r="T1009" s="74" t="s">
        <v>402</v>
      </c>
      <c r="U1009" s="74">
        <v>0</v>
      </c>
      <c r="V1009" s="74">
        <v>0</v>
      </c>
    </row>
    <row r="1010" spans="3:22" x14ac:dyDescent="0.25">
      <c r="C1010" s="74" t="s">
        <v>21347</v>
      </c>
      <c r="D1010" s="74" t="s">
        <v>148</v>
      </c>
      <c r="E1010" s="74" t="s">
        <v>21338</v>
      </c>
      <c r="F1010" s="74">
        <v>637976</v>
      </c>
      <c r="G1010" s="74">
        <v>1</v>
      </c>
      <c r="H1010" s="135">
        <v>42991.78396990741</v>
      </c>
      <c r="I1010" s="74" t="s">
        <v>244</v>
      </c>
      <c r="J1010" s="74" t="s">
        <v>21349</v>
      </c>
      <c r="K1010" s="74" t="s">
        <v>21347</v>
      </c>
      <c r="L1010" s="74">
        <v>637976</v>
      </c>
      <c r="M1010" s="74" t="s">
        <v>21341</v>
      </c>
      <c r="N1010" s="74">
        <v>0</v>
      </c>
      <c r="O1010" s="74" t="s">
        <v>21350</v>
      </c>
      <c r="P1010" s="74" t="s">
        <v>21343</v>
      </c>
      <c r="Q1010" s="74">
        <v>0</v>
      </c>
      <c r="R1010" s="74" t="s">
        <v>148</v>
      </c>
      <c r="S1010" s="74" t="s">
        <v>21338</v>
      </c>
      <c r="T1010" s="74" t="s">
        <v>402</v>
      </c>
      <c r="U1010" s="74">
        <v>0</v>
      </c>
      <c r="V1010" s="74">
        <v>0</v>
      </c>
    </row>
    <row r="1011" spans="3:22" x14ac:dyDescent="0.25">
      <c r="C1011" s="74" t="s">
        <v>18795</v>
      </c>
      <c r="D1011" s="74" t="s">
        <v>148</v>
      </c>
      <c r="E1011" s="74" t="s">
        <v>21338</v>
      </c>
      <c r="F1011" s="74">
        <v>551367</v>
      </c>
      <c r="G1011" s="74">
        <v>1000</v>
      </c>
      <c r="H1011" s="135">
        <v>42991.783043981479</v>
      </c>
      <c r="I1011" s="74" t="s">
        <v>21339</v>
      </c>
      <c r="J1011" s="74" t="s">
        <v>21340</v>
      </c>
      <c r="K1011" s="74" t="s">
        <v>13885</v>
      </c>
      <c r="L1011" s="74">
        <v>553422</v>
      </c>
      <c r="M1011" s="74" t="s">
        <v>21341</v>
      </c>
      <c r="N1011" s="74">
        <v>1</v>
      </c>
      <c r="O1011" s="74" t="s">
        <v>21342</v>
      </c>
      <c r="P1011" s="74" t="s">
        <v>21343</v>
      </c>
      <c r="Q1011" s="74">
        <v>0</v>
      </c>
      <c r="R1011" s="74" t="s">
        <v>148</v>
      </c>
      <c r="S1011" s="74" t="s">
        <v>21338</v>
      </c>
      <c r="T1011" s="74" t="s">
        <v>402</v>
      </c>
      <c r="U1011" s="74">
        <v>0</v>
      </c>
      <c r="V1011" s="74">
        <v>0</v>
      </c>
    </row>
    <row r="1012" spans="3:22" x14ac:dyDescent="0.25">
      <c r="C1012" s="74" t="s">
        <v>21347</v>
      </c>
      <c r="D1012" s="74" t="s">
        <v>148</v>
      </c>
      <c r="E1012" s="74" t="s">
        <v>21338</v>
      </c>
      <c r="F1012" s="74">
        <v>637976</v>
      </c>
      <c r="G1012" s="74">
        <v>1</v>
      </c>
      <c r="H1012" s="135">
        <v>42991.757824074077</v>
      </c>
      <c r="I1012" s="74" t="s">
        <v>244</v>
      </c>
      <c r="J1012" s="74" t="s">
        <v>21349</v>
      </c>
      <c r="K1012" s="74" t="s">
        <v>21347</v>
      </c>
      <c r="L1012" s="74">
        <v>637976</v>
      </c>
      <c r="M1012" s="74" t="s">
        <v>21341</v>
      </c>
      <c r="N1012" s="74">
        <v>0</v>
      </c>
      <c r="O1012" s="74" t="s">
        <v>21350</v>
      </c>
      <c r="P1012" s="74" t="s">
        <v>21343</v>
      </c>
      <c r="Q1012" s="74">
        <v>0</v>
      </c>
      <c r="R1012" s="74" t="s">
        <v>148</v>
      </c>
      <c r="S1012" s="74" t="s">
        <v>21338</v>
      </c>
      <c r="T1012" s="74" t="s">
        <v>402</v>
      </c>
      <c r="U1012" s="74">
        <v>0</v>
      </c>
      <c r="V1012" s="74">
        <v>0</v>
      </c>
    </row>
    <row r="1013" spans="3:22" x14ac:dyDescent="0.25">
      <c r="C1013" s="74" t="s">
        <v>21347</v>
      </c>
      <c r="D1013" s="74" t="s">
        <v>148</v>
      </c>
      <c r="E1013" s="74" t="s">
        <v>21338</v>
      </c>
      <c r="F1013" s="74">
        <v>637976</v>
      </c>
      <c r="G1013" s="74">
        <v>1</v>
      </c>
      <c r="H1013" s="135">
        <v>42991.7578125</v>
      </c>
      <c r="I1013" s="74" t="s">
        <v>21348</v>
      </c>
      <c r="J1013" s="74" t="s">
        <v>21349</v>
      </c>
      <c r="K1013" s="74" t="s">
        <v>21347</v>
      </c>
      <c r="L1013" s="74">
        <v>637976</v>
      </c>
      <c r="M1013" s="74" t="s">
        <v>21341</v>
      </c>
      <c r="N1013" s="74">
        <v>0</v>
      </c>
      <c r="O1013" s="74" t="s">
        <v>21350</v>
      </c>
      <c r="P1013" s="74" t="s">
        <v>21343</v>
      </c>
      <c r="Q1013" s="74">
        <v>0</v>
      </c>
      <c r="R1013" s="74" t="s">
        <v>148</v>
      </c>
      <c r="S1013" s="74" t="s">
        <v>21338</v>
      </c>
      <c r="T1013" s="74" t="s">
        <v>402</v>
      </c>
      <c r="U1013" s="74">
        <v>0</v>
      </c>
      <c r="V1013" s="74">
        <v>0</v>
      </c>
    </row>
    <row r="1014" spans="3:22" x14ac:dyDescent="0.25">
      <c r="C1014" s="74" t="s">
        <v>18795</v>
      </c>
      <c r="D1014" s="74" t="s">
        <v>148</v>
      </c>
      <c r="E1014" s="74" t="s">
        <v>21338</v>
      </c>
      <c r="F1014" s="74">
        <v>551367</v>
      </c>
      <c r="G1014" s="74">
        <v>1000</v>
      </c>
      <c r="H1014" s="135">
        <v>42991.755173611113</v>
      </c>
      <c r="I1014" s="74" t="s">
        <v>21339</v>
      </c>
      <c r="J1014" s="74" t="s">
        <v>21340</v>
      </c>
      <c r="K1014" s="74" t="s">
        <v>21576</v>
      </c>
      <c r="L1014" s="74">
        <v>729043</v>
      </c>
      <c r="M1014" s="74" t="s">
        <v>21341</v>
      </c>
      <c r="N1014" s="74">
        <v>1</v>
      </c>
      <c r="O1014" s="74" t="s">
        <v>21342</v>
      </c>
      <c r="P1014" s="74" t="s">
        <v>21343</v>
      </c>
      <c r="Q1014" s="74">
        <v>0</v>
      </c>
      <c r="R1014" s="74" t="s">
        <v>148</v>
      </c>
      <c r="S1014" s="74" t="s">
        <v>21338</v>
      </c>
      <c r="T1014" s="74" t="s">
        <v>402</v>
      </c>
      <c r="U1014" s="74">
        <v>0</v>
      </c>
      <c r="V1014" s="74">
        <v>0</v>
      </c>
    </row>
    <row r="1015" spans="3:22" x14ac:dyDescent="0.25">
      <c r="C1015" s="74" t="s">
        <v>18795</v>
      </c>
      <c r="D1015" s="74" t="s">
        <v>148</v>
      </c>
      <c r="E1015" s="74" t="s">
        <v>21338</v>
      </c>
      <c r="F1015" s="74">
        <v>551367</v>
      </c>
      <c r="G1015" s="74">
        <v>1000</v>
      </c>
      <c r="H1015" s="135">
        <v>42991.741400462961</v>
      </c>
      <c r="I1015" s="74" t="s">
        <v>21339</v>
      </c>
      <c r="J1015" s="74" t="s">
        <v>21340</v>
      </c>
      <c r="K1015" s="74" t="s">
        <v>21577</v>
      </c>
      <c r="L1015" s="74">
        <v>560603</v>
      </c>
      <c r="M1015" s="74" t="s">
        <v>21341</v>
      </c>
      <c r="N1015" s="74">
        <v>1</v>
      </c>
      <c r="O1015" s="74" t="s">
        <v>21342</v>
      </c>
      <c r="P1015" s="74" t="s">
        <v>21343</v>
      </c>
      <c r="Q1015" s="74">
        <v>0</v>
      </c>
      <c r="R1015" s="74" t="s">
        <v>148</v>
      </c>
      <c r="S1015" s="74" t="s">
        <v>21338</v>
      </c>
      <c r="T1015" s="74" t="s">
        <v>393</v>
      </c>
      <c r="U1015" s="74">
        <v>0</v>
      </c>
      <c r="V1015" s="74">
        <v>0</v>
      </c>
    </row>
    <row r="1016" spans="3:22" x14ac:dyDescent="0.25">
      <c r="C1016" s="74" t="s">
        <v>21347</v>
      </c>
      <c r="D1016" s="74" t="s">
        <v>148</v>
      </c>
      <c r="E1016" s="74" t="s">
        <v>21338</v>
      </c>
      <c r="F1016" s="74">
        <v>637976</v>
      </c>
      <c r="G1016" s="74">
        <v>1</v>
      </c>
      <c r="H1016" s="135">
        <v>42991.741076388891</v>
      </c>
      <c r="I1016" s="74" t="s">
        <v>244</v>
      </c>
      <c r="J1016" s="74" t="s">
        <v>21349</v>
      </c>
      <c r="K1016" s="74" t="s">
        <v>21347</v>
      </c>
      <c r="L1016" s="74">
        <v>637976</v>
      </c>
      <c r="M1016" s="74" t="s">
        <v>21341</v>
      </c>
      <c r="N1016" s="74">
        <v>0</v>
      </c>
      <c r="O1016" s="74" t="s">
        <v>21350</v>
      </c>
      <c r="P1016" s="74" t="s">
        <v>21343</v>
      </c>
      <c r="Q1016" s="74">
        <v>0</v>
      </c>
      <c r="R1016" s="74" t="s">
        <v>148</v>
      </c>
      <c r="S1016" s="74" t="s">
        <v>21338</v>
      </c>
      <c r="T1016" s="74" t="s">
        <v>402</v>
      </c>
      <c r="U1016" s="74">
        <v>0</v>
      </c>
      <c r="V1016" s="74">
        <v>0</v>
      </c>
    </row>
    <row r="1017" spans="3:22" x14ac:dyDescent="0.25">
      <c r="C1017" s="74" t="s">
        <v>21347</v>
      </c>
      <c r="D1017" s="74" t="s">
        <v>148</v>
      </c>
      <c r="E1017" s="74" t="s">
        <v>21338</v>
      </c>
      <c r="F1017" s="74">
        <v>637976</v>
      </c>
      <c r="G1017" s="74">
        <v>1</v>
      </c>
      <c r="H1017" s="135">
        <v>42991.741064814814</v>
      </c>
      <c r="I1017" s="74" t="s">
        <v>21348</v>
      </c>
      <c r="J1017" s="74" t="s">
        <v>21349</v>
      </c>
      <c r="K1017" s="74" t="s">
        <v>21347</v>
      </c>
      <c r="L1017" s="74">
        <v>637976</v>
      </c>
      <c r="M1017" s="74" t="s">
        <v>21341</v>
      </c>
      <c r="N1017" s="74">
        <v>0</v>
      </c>
      <c r="O1017" s="74" t="s">
        <v>21350</v>
      </c>
      <c r="P1017" s="74" t="s">
        <v>21343</v>
      </c>
      <c r="Q1017" s="74">
        <v>0</v>
      </c>
      <c r="R1017" s="74" t="s">
        <v>148</v>
      </c>
      <c r="S1017" s="74" t="s">
        <v>21338</v>
      </c>
      <c r="T1017" s="74" t="s">
        <v>402</v>
      </c>
      <c r="U1017" s="74">
        <v>0</v>
      </c>
      <c r="V1017" s="74">
        <v>0</v>
      </c>
    </row>
    <row r="1018" spans="3:22" x14ac:dyDescent="0.25">
      <c r="C1018" s="74" t="s">
        <v>4337</v>
      </c>
      <c r="D1018" s="74" t="s">
        <v>148</v>
      </c>
      <c r="E1018" s="74" t="s">
        <v>21338</v>
      </c>
      <c r="F1018" s="74">
        <v>552195</v>
      </c>
      <c r="G1018" s="74">
        <v>1</v>
      </c>
      <c r="H1018" s="135">
        <v>42991.688831018517</v>
      </c>
      <c r="I1018" s="74" t="s">
        <v>244</v>
      </c>
      <c r="J1018" s="74" t="s">
        <v>21349</v>
      </c>
      <c r="K1018" s="74" t="s">
        <v>4337</v>
      </c>
      <c r="L1018" s="74">
        <v>552195</v>
      </c>
      <c r="M1018" s="74" t="s">
        <v>21341</v>
      </c>
      <c r="N1018" s="74">
        <v>0</v>
      </c>
      <c r="O1018" s="74" t="s">
        <v>21350</v>
      </c>
      <c r="P1018" s="74" t="s">
        <v>21343</v>
      </c>
      <c r="Q1018" s="74">
        <v>0</v>
      </c>
      <c r="R1018" s="74" t="s">
        <v>148</v>
      </c>
      <c r="S1018" s="74" t="s">
        <v>21338</v>
      </c>
      <c r="T1018" s="74" t="s">
        <v>402</v>
      </c>
      <c r="U1018" s="74">
        <v>0</v>
      </c>
      <c r="V1018" s="74">
        <v>0</v>
      </c>
    </row>
    <row r="1019" spans="3:22" x14ac:dyDescent="0.25">
      <c r="C1019" s="74" t="s">
        <v>4337</v>
      </c>
      <c r="D1019" s="74" t="s">
        <v>148</v>
      </c>
      <c r="E1019" s="74" t="s">
        <v>21338</v>
      </c>
      <c r="F1019" s="74">
        <v>552195</v>
      </c>
      <c r="G1019" s="74">
        <v>1</v>
      </c>
      <c r="H1019" s="135">
        <v>42991.688819444447</v>
      </c>
      <c r="I1019" s="74" t="s">
        <v>21348</v>
      </c>
      <c r="J1019" s="74" t="s">
        <v>21349</v>
      </c>
      <c r="K1019" s="74" t="s">
        <v>4337</v>
      </c>
      <c r="L1019" s="74">
        <v>552195</v>
      </c>
      <c r="M1019" s="74" t="s">
        <v>21341</v>
      </c>
      <c r="N1019" s="74">
        <v>0</v>
      </c>
      <c r="O1019" s="74" t="s">
        <v>21350</v>
      </c>
      <c r="P1019" s="74" t="s">
        <v>21343</v>
      </c>
      <c r="Q1019" s="74">
        <v>0</v>
      </c>
      <c r="R1019" s="74" t="s">
        <v>148</v>
      </c>
      <c r="S1019" s="74" t="s">
        <v>21338</v>
      </c>
      <c r="T1019" s="74" t="s">
        <v>402</v>
      </c>
      <c r="U1019" s="74">
        <v>0</v>
      </c>
      <c r="V1019" s="74">
        <v>0</v>
      </c>
    </row>
    <row r="1020" spans="3:22" x14ac:dyDescent="0.25">
      <c r="C1020" s="74" t="s">
        <v>18795</v>
      </c>
      <c r="D1020" s="74" t="s">
        <v>148</v>
      </c>
      <c r="E1020" s="74" t="s">
        <v>21338</v>
      </c>
      <c r="F1020" s="74">
        <v>551367</v>
      </c>
      <c r="G1020" s="74">
        <v>1000</v>
      </c>
      <c r="H1020" s="135">
        <v>42991.671724537038</v>
      </c>
      <c r="I1020" s="74" t="s">
        <v>21339</v>
      </c>
      <c r="J1020" s="74" t="s">
        <v>21340</v>
      </c>
      <c r="K1020" s="74" t="s">
        <v>13317</v>
      </c>
      <c r="L1020" s="74">
        <v>553338</v>
      </c>
      <c r="M1020" s="74" t="s">
        <v>21341</v>
      </c>
      <c r="N1020" s="74">
        <v>1</v>
      </c>
      <c r="O1020" s="74" t="s">
        <v>21342</v>
      </c>
      <c r="P1020" s="74" t="s">
        <v>21343</v>
      </c>
      <c r="Q1020" s="74">
        <v>0</v>
      </c>
      <c r="R1020" s="74" t="s">
        <v>148</v>
      </c>
      <c r="S1020" s="74" t="s">
        <v>21338</v>
      </c>
      <c r="T1020" s="74" t="s">
        <v>402</v>
      </c>
      <c r="U1020" s="74">
        <v>0</v>
      </c>
      <c r="V1020" s="74">
        <v>0</v>
      </c>
    </row>
    <row r="1021" spans="3:22" x14ac:dyDescent="0.25">
      <c r="C1021" s="74" t="s">
        <v>21484</v>
      </c>
      <c r="D1021" s="74" t="s">
        <v>148</v>
      </c>
      <c r="E1021" s="74" t="s">
        <v>21338</v>
      </c>
      <c r="F1021" s="74">
        <v>560600</v>
      </c>
      <c r="G1021" s="74">
        <v>3</v>
      </c>
      <c r="H1021" s="135">
        <v>42991.666458333333</v>
      </c>
      <c r="I1021" s="74" t="s">
        <v>21339</v>
      </c>
      <c r="J1021" s="74" t="s">
        <v>21397</v>
      </c>
      <c r="K1021" s="74" t="s">
        <v>6839</v>
      </c>
      <c r="L1021" s="74">
        <v>866813</v>
      </c>
      <c r="M1021" s="74" t="s">
        <v>21341</v>
      </c>
      <c r="N1021" s="74">
        <v>1</v>
      </c>
      <c r="O1021" s="74" t="s">
        <v>21342</v>
      </c>
      <c r="P1021" s="74" t="s">
        <v>21343</v>
      </c>
      <c r="Q1021" s="74">
        <v>0</v>
      </c>
      <c r="R1021" s="74" t="s">
        <v>148</v>
      </c>
      <c r="S1021" s="74" t="s">
        <v>21338</v>
      </c>
      <c r="T1021" s="74" t="s">
        <v>402</v>
      </c>
      <c r="U1021" s="74">
        <v>0</v>
      </c>
      <c r="V1021" s="74">
        <v>0</v>
      </c>
    </row>
    <row r="1022" spans="3:22" x14ac:dyDescent="0.25">
      <c r="C1022" s="74" t="s">
        <v>21347</v>
      </c>
      <c r="D1022" s="74" t="s">
        <v>148</v>
      </c>
      <c r="E1022" s="74" t="s">
        <v>21338</v>
      </c>
      <c r="F1022" s="74">
        <v>637976</v>
      </c>
      <c r="G1022" s="74">
        <v>1</v>
      </c>
      <c r="H1022" s="135">
        <v>42991.660995370374</v>
      </c>
      <c r="I1022" s="74" t="s">
        <v>21348</v>
      </c>
      <c r="J1022" s="74" t="s">
        <v>21349</v>
      </c>
      <c r="K1022" s="74" t="s">
        <v>21347</v>
      </c>
      <c r="L1022" s="74">
        <v>637976</v>
      </c>
      <c r="M1022" s="74" t="s">
        <v>21341</v>
      </c>
      <c r="N1022" s="74">
        <v>0</v>
      </c>
      <c r="O1022" s="74" t="s">
        <v>21350</v>
      </c>
      <c r="P1022" s="74" t="s">
        <v>21343</v>
      </c>
      <c r="Q1022" s="74">
        <v>0</v>
      </c>
      <c r="R1022" s="74" t="s">
        <v>148</v>
      </c>
      <c r="S1022" s="74" t="s">
        <v>21338</v>
      </c>
      <c r="T1022" s="74" t="s">
        <v>402</v>
      </c>
      <c r="U1022" s="74">
        <v>0</v>
      </c>
      <c r="V1022" s="74">
        <v>0</v>
      </c>
    </row>
    <row r="1023" spans="3:22" x14ac:dyDescent="0.25">
      <c r="C1023" s="74" t="s">
        <v>21347</v>
      </c>
      <c r="D1023" s="74" t="s">
        <v>148</v>
      </c>
      <c r="E1023" s="74" t="s">
        <v>21338</v>
      </c>
      <c r="F1023" s="74">
        <v>637976</v>
      </c>
      <c r="G1023" s="74">
        <v>1</v>
      </c>
      <c r="H1023" s="135">
        <v>42991.660995370374</v>
      </c>
      <c r="I1023" s="74" t="s">
        <v>244</v>
      </c>
      <c r="J1023" s="74" t="s">
        <v>21349</v>
      </c>
      <c r="K1023" s="74" t="s">
        <v>21347</v>
      </c>
      <c r="L1023" s="74">
        <v>637976</v>
      </c>
      <c r="M1023" s="74" t="s">
        <v>21341</v>
      </c>
      <c r="N1023" s="74">
        <v>0</v>
      </c>
      <c r="O1023" s="74" t="s">
        <v>21350</v>
      </c>
      <c r="P1023" s="74" t="s">
        <v>21343</v>
      </c>
      <c r="Q1023" s="74">
        <v>0</v>
      </c>
      <c r="R1023" s="74" t="s">
        <v>148</v>
      </c>
      <c r="S1023" s="74" t="s">
        <v>21338</v>
      </c>
      <c r="T1023" s="74" t="s">
        <v>402</v>
      </c>
      <c r="U1023" s="74">
        <v>0</v>
      </c>
      <c r="V1023" s="74">
        <v>0</v>
      </c>
    </row>
    <row r="1024" spans="3:22" x14ac:dyDescent="0.25">
      <c r="C1024" s="74" t="s">
        <v>21351</v>
      </c>
      <c r="D1024" s="74" t="s">
        <v>148</v>
      </c>
      <c r="E1024" s="74" t="s">
        <v>21338</v>
      </c>
      <c r="F1024" s="74">
        <v>707864</v>
      </c>
      <c r="G1024" s="74">
        <v>3</v>
      </c>
      <c r="H1024" s="135">
        <v>42991.647835648146</v>
      </c>
      <c r="I1024" s="74" t="s">
        <v>21354</v>
      </c>
      <c r="J1024" s="74" t="s">
        <v>21355</v>
      </c>
      <c r="K1024" s="74" t="s">
        <v>3276</v>
      </c>
      <c r="L1024" s="74">
        <v>552077</v>
      </c>
      <c r="M1024" s="74" t="s">
        <v>21341</v>
      </c>
      <c r="N1024" s="74">
        <v>1</v>
      </c>
      <c r="O1024" s="74" t="s">
        <v>21342</v>
      </c>
      <c r="P1024" s="74" t="s">
        <v>21345</v>
      </c>
      <c r="R1024" s="74" t="s">
        <v>148</v>
      </c>
      <c r="S1024" s="74" t="s">
        <v>21338</v>
      </c>
      <c r="T1024" s="74" t="s">
        <v>402</v>
      </c>
      <c r="U1024" s="74">
        <v>0</v>
      </c>
      <c r="V1024" s="74">
        <v>0</v>
      </c>
    </row>
    <row r="1025" spans="3:22" x14ac:dyDescent="0.25">
      <c r="C1025" s="74" t="s">
        <v>21347</v>
      </c>
      <c r="D1025" s="74" t="s">
        <v>148</v>
      </c>
      <c r="E1025" s="74" t="s">
        <v>21338</v>
      </c>
      <c r="F1025" s="74">
        <v>637976</v>
      </c>
      <c r="G1025" s="74">
        <v>1</v>
      </c>
      <c r="H1025" s="135">
        <v>42991.635891203703</v>
      </c>
      <c r="I1025" s="74" t="s">
        <v>244</v>
      </c>
      <c r="J1025" s="74" t="s">
        <v>21349</v>
      </c>
      <c r="K1025" s="74" t="s">
        <v>21347</v>
      </c>
      <c r="L1025" s="74">
        <v>637976</v>
      </c>
      <c r="M1025" s="74" t="s">
        <v>21341</v>
      </c>
      <c r="N1025" s="74">
        <v>0</v>
      </c>
      <c r="O1025" s="74" t="s">
        <v>21350</v>
      </c>
      <c r="P1025" s="74" t="s">
        <v>21343</v>
      </c>
      <c r="Q1025" s="74">
        <v>0</v>
      </c>
      <c r="R1025" s="74" t="s">
        <v>148</v>
      </c>
      <c r="S1025" s="74" t="s">
        <v>21338</v>
      </c>
      <c r="T1025" s="74" t="s">
        <v>402</v>
      </c>
      <c r="U1025" s="74">
        <v>0</v>
      </c>
      <c r="V1025" s="74">
        <v>0</v>
      </c>
    </row>
    <row r="1026" spans="3:22" x14ac:dyDescent="0.25">
      <c r="C1026" s="74" t="s">
        <v>21347</v>
      </c>
      <c r="D1026" s="74" t="s">
        <v>148</v>
      </c>
      <c r="E1026" s="74" t="s">
        <v>21338</v>
      </c>
      <c r="F1026" s="74">
        <v>637976</v>
      </c>
      <c r="G1026" s="74">
        <v>1</v>
      </c>
      <c r="H1026" s="135">
        <v>42991.635879629626</v>
      </c>
      <c r="I1026" s="74" t="s">
        <v>21348</v>
      </c>
      <c r="J1026" s="74" t="s">
        <v>21349</v>
      </c>
      <c r="K1026" s="74" t="s">
        <v>21347</v>
      </c>
      <c r="L1026" s="74">
        <v>637976</v>
      </c>
      <c r="M1026" s="74" t="s">
        <v>21341</v>
      </c>
      <c r="N1026" s="74">
        <v>0</v>
      </c>
      <c r="O1026" s="74" t="s">
        <v>21350</v>
      </c>
      <c r="P1026" s="74" t="s">
        <v>21343</v>
      </c>
      <c r="Q1026" s="74">
        <v>0</v>
      </c>
      <c r="R1026" s="74" t="s">
        <v>148</v>
      </c>
      <c r="S1026" s="74" t="s">
        <v>21338</v>
      </c>
      <c r="T1026" s="74" t="s">
        <v>402</v>
      </c>
      <c r="U1026" s="74">
        <v>0</v>
      </c>
      <c r="V1026" s="74">
        <v>0</v>
      </c>
    </row>
    <row r="1027" spans="3:22" x14ac:dyDescent="0.25">
      <c r="C1027" s="74" t="s">
        <v>18795</v>
      </c>
      <c r="D1027" s="74" t="s">
        <v>148</v>
      </c>
      <c r="E1027" s="74" t="s">
        <v>21338</v>
      </c>
      <c r="F1027" s="74">
        <v>551367</v>
      </c>
      <c r="G1027" s="74">
        <v>1000</v>
      </c>
      <c r="H1027" s="135">
        <v>42991.63113425926</v>
      </c>
      <c r="I1027" s="74" t="s">
        <v>21339</v>
      </c>
      <c r="J1027" s="74" t="s">
        <v>21340</v>
      </c>
      <c r="K1027" s="74" t="s">
        <v>11333</v>
      </c>
      <c r="L1027" s="74">
        <v>553101</v>
      </c>
      <c r="M1027" s="74" t="s">
        <v>21341</v>
      </c>
      <c r="N1027" s="74">
        <v>1</v>
      </c>
      <c r="O1027" s="74" t="s">
        <v>21342</v>
      </c>
      <c r="P1027" s="74" t="s">
        <v>21343</v>
      </c>
      <c r="Q1027" s="74">
        <v>0</v>
      </c>
      <c r="R1027" s="74" t="s">
        <v>148</v>
      </c>
      <c r="S1027" s="74" t="s">
        <v>21338</v>
      </c>
      <c r="T1027" s="74" t="s">
        <v>402</v>
      </c>
      <c r="U1027" s="74">
        <v>0</v>
      </c>
      <c r="V1027" s="74">
        <v>0</v>
      </c>
    </row>
    <row r="1028" spans="3:22" x14ac:dyDescent="0.25">
      <c r="C1028" s="74" t="s">
        <v>18795</v>
      </c>
      <c r="D1028" s="74" t="s">
        <v>148</v>
      </c>
      <c r="E1028" s="74" t="s">
        <v>21338</v>
      </c>
      <c r="F1028" s="74">
        <v>551367</v>
      </c>
      <c r="G1028" s="74">
        <v>1000</v>
      </c>
      <c r="H1028" s="135">
        <v>42991.62804398148</v>
      </c>
      <c r="I1028" s="74" t="s">
        <v>21339</v>
      </c>
      <c r="J1028" s="74" t="s">
        <v>21340</v>
      </c>
      <c r="K1028" s="74" t="s">
        <v>18407</v>
      </c>
      <c r="L1028" s="74">
        <v>553993</v>
      </c>
      <c r="M1028" s="74" t="s">
        <v>21341</v>
      </c>
      <c r="N1028" s="74">
        <v>1</v>
      </c>
      <c r="O1028" s="74" t="s">
        <v>21342</v>
      </c>
      <c r="P1028" s="74" t="s">
        <v>21343</v>
      </c>
      <c r="Q1028" s="74">
        <v>0</v>
      </c>
      <c r="R1028" s="74" t="s">
        <v>148</v>
      </c>
      <c r="S1028" s="74" t="s">
        <v>21338</v>
      </c>
      <c r="T1028" s="74" t="s">
        <v>402</v>
      </c>
      <c r="U1028" s="74">
        <v>0</v>
      </c>
      <c r="V1028" s="74">
        <v>0</v>
      </c>
    </row>
    <row r="1029" spans="3:22" x14ac:dyDescent="0.25">
      <c r="C1029" s="74" t="s">
        <v>18795</v>
      </c>
      <c r="D1029" s="74" t="s">
        <v>148</v>
      </c>
      <c r="E1029" s="74" t="s">
        <v>21338</v>
      </c>
      <c r="F1029" s="74">
        <v>551367</v>
      </c>
      <c r="G1029" s="74">
        <v>1000</v>
      </c>
      <c r="H1029" s="135">
        <v>42991.623368055552</v>
      </c>
      <c r="I1029" s="74" t="s">
        <v>21339</v>
      </c>
      <c r="J1029" s="74" t="s">
        <v>21340</v>
      </c>
      <c r="K1029" s="74" t="s">
        <v>10819</v>
      </c>
      <c r="L1029" s="74">
        <v>553018</v>
      </c>
      <c r="M1029" s="74" t="s">
        <v>21341</v>
      </c>
      <c r="N1029" s="74">
        <v>1</v>
      </c>
      <c r="O1029" s="74" t="s">
        <v>21342</v>
      </c>
      <c r="P1029" s="74" t="s">
        <v>21343</v>
      </c>
      <c r="Q1029" s="74">
        <v>0</v>
      </c>
      <c r="R1029" s="74" t="s">
        <v>148</v>
      </c>
      <c r="S1029" s="74" t="s">
        <v>21338</v>
      </c>
      <c r="T1029" s="74" t="s">
        <v>402</v>
      </c>
      <c r="U1029" s="74">
        <v>0</v>
      </c>
      <c r="V1029" s="74">
        <v>0</v>
      </c>
    </row>
    <row r="1030" spans="3:22" x14ac:dyDescent="0.25">
      <c r="C1030" s="74" t="s">
        <v>735</v>
      </c>
      <c r="D1030" s="74" t="s">
        <v>148</v>
      </c>
      <c r="E1030" s="74" t="s">
        <v>21338</v>
      </c>
      <c r="F1030" s="74">
        <v>570025</v>
      </c>
      <c r="G1030" s="74">
        <v>3</v>
      </c>
      <c r="H1030" s="135">
        <v>42991.599479166667</v>
      </c>
      <c r="I1030" s="74" t="s">
        <v>21365</v>
      </c>
      <c r="J1030" s="74" t="s">
        <v>21357</v>
      </c>
      <c r="K1030" s="74" t="s">
        <v>7414</v>
      </c>
      <c r="L1030" s="74">
        <v>908517</v>
      </c>
      <c r="M1030" s="74" t="s">
        <v>21341</v>
      </c>
      <c r="N1030" s="74">
        <v>1</v>
      </c>
      <c r="O1030" s="74" t="s">
        <v>21359</v>
      </c>
      <c r="P1030" s="74" t="s">
        <v>21343</v>
      </c>
      <c r="Q1030" s="74" t="s">
        <v>21579</v>
      </c>
      <c r="R1030" s="74" t="s">
        <v>148</v>
      </c>
      <c r="S1030" s="74" t="s">
        <v>21338</v>
      </c>
      <c r="T1030" s="74" t="s">
        <v>402</v>
      </c>
      <c r="U1030" s="74">
        <v>0</v>
      </c>
      <c r="V1030" s="74">
        <v>0</v>
      </c>
    </row>
    <row r="1031" spans="3:22" x14ac:dyDescent="0.25">
      <c r="C1031" s="74" t="s">
        <v>735</v>
      </c>
      <c r="D1031" s="74" t="s">
        <v>148</v>
      </c>
      <c r="E1031" s="74" t="s">
        <v>21338</v>
      </c>
      <c r="F1031" s="74">
        <v>570025</v>
      </c>
      <c r="G1031" s="74">
        <v>3</v>
      </c>
      <c r="H1031" s="135">
        <v>42991.599270833336</v>
      </c>
      <c r="I1031" s="74" t="s">
        <v>21339</v>
      </c>
      <c r="J1031" s="74" t="s">
        <v>21465</v>
      </c>
      <c r="K1031" s="74" t="s">
        <v>7414</v>
      </c>
      <c r="L1031" s="74">
        <v>908517</v>
      </c>
      <c r="M1031" s="74" t="s">
        <v>21341</v>
      </c>
      <c r="N1031" s="74">
        <v>1</v>
      </c>
      <c r="O1031" s="74" t="s">
        <v>21359</v>
      </c>
      <c r="P1031" s="74" t="s">
        <v>21343</v>
      </c>
      <c r="Q1031" s="74" t="s">
        <v>21580</v>
      </c>
      <c r="R1031" s="74" t="s">
        <v>148</v>
      </c>
      <c r="S1031" s="74" t="s">
        <v>21338</v>
      </c>
      <c r="T1031" s="74" t="s">
        <v>402</v>
      </c>
      <c r="U1031" s="74">
        <v>0</v>
      </c>
      <c r="V1031" s="74">
        <v>0</v>
      </c>
    </row>
    <row r="1032" spans="3:22" x14ac:dyDescent="0.25">
      <c r="C1032" s="74" t="s">
        <v>735</v>
      </c>
      <c r="D1032" s="74" t="s">
        <v>148</v>
      </c>
      <c r="E1032" s="74" t="s">
        <v>21338</v>
      </c>
      <c r="F1032" s="74">
        <v>570025</v>
      </c>
      <c r="G1032" s="74">
        <v>3</v>
      </c>
      <c r="H1032" s="135">
        <v>42991.59915509259</v>
      </c>
      <c r="I1032" s="74" t="s">
        <v>21398</v>
      </c>
      <c r="J1032" s="74" t="s">
        <v>21357</v>
      </c>
      <c r="K1032" s="74" t="s">
        <v>21581</v>
      </c>
      <c r="L1032" s="74">
        <v>908517</v>
      </c>
      <c r="M1032" s="74" t="s">
        <v>21341</v>
      </c>
      <c r="N1032" s="74">
        <v>1</v>
      </c>
      <c r="O1032" s="74" t="s">
        <v>21359</v>
      </c>
      <c r="P1032" s="74" t="s">
        <v>21343</v>
      </c>
      <c r="Q1032" s="74" t="s">
        <v>21582</v>
      </c>
      <c r="R1032" s="74" t="s">
        <v>148</v>
      </c>
      <c r="S1032" s="74" t="s">
        <v>21338</v>
      </c>
      <c r="T1032" s="74" t="s">
        <v>402</v>
      </c>
      <c r="U1032" s="74">
        <v>0</v>
      </c>
      <c r="V1032" s="74">
        <v>0</v>
      </c>
    </row>
    <row r="1033" spans="3:22" x14ac:dyDescent="0.25">
      <c r="C1033" s="74" t="s">
        <v>735</v>
      </c>
      <c r="D1033" s="74" t="s">
        <v>148</v>
      </c>
      <c r="E1033" s="74" t="s">
        <v>21338</v>
      </c>
      <c r="F1033" s="74">
        <v>570025</v>
      </c>
      <c r="G1033" s="74">
        <v>3</v>
      </c>
      <c r="H1033" s="135">
        <v>42991.598738425928</v>
      </c>
      <c r="I1033" s="74" t="s">
        <v>21339</v>
      </c>
      <c r="J1033" s="74" t="s">
        <v>21397</v>
      </c>
      <c r="K1033" s="74" t="s">
        <v>21581</v>
      </c>
      <c r="L1033" s="74">
        <v>908517</v>
      </c>
      <c r="M1033" s="74" t="s">
        <v>21341</v>
      </c>
      <c r="N1033" s="74">
        <v>1</v>
      </c>
      <c r="O1033" s="74" t="s">
        <v>21342</v>
      </c>
      <c r="P1033" s="74" t="s">
        <v>21343</v>
      </c>
      <c r="Q1033" s="74">
        <v>0</v>
      </c>
      <c r="R1033" s="74" t="s">
        <v>148</v>
      </c>
      <c r="S1033" s="74" t="s">
        <v>21338</v>
      </c>
      <c r="T1033" s="74" t="s">
        <v>402</v>
      </c>
      <c r="U1033" s="74">
        <v>0</v>
      </c>
      <c r="V1033" s="74">
        <v>0</v>
      </c>
    </row>
    <row r="1034" spans="3:22" x14ac:dyDescent="0.25">
      <c r="C1034" s="74" t="s">
        <v>21386</v>
      </c>
      <c r="D1034" s="74" t="s">
        <v>148</v>
      </c>
      <c r="E1034" s="74" t="s">
        <v>21338</v>
      </c>
      <c r="F1034" s="74">
        <v>674396</v>
      </c>
      <c r="G1034" s="74">
        <v>3</v>
      </c>
      <c r="H1034" s="135">
        <v>42991.594872685186</v>
      </c>
      <c r="I1034" s="74" t="s">
        <v>21339</v>
      </c>
      <c r="J1034" s="74" t="s">
        <v>21364</v>
      </c>
      <c r="K1034" s="74" t="s">
        <v>21531</v>
      </c>
      <c r="L1034" s="74">
        <v>908539</v>
      </c>
      <c r="M1034" s="74" t="s">
        <v>21341</v>
      </c>
      <c r="N1034" s="74">
        <v>1</v>
      </c>
      <c r="O1034" s="74" t="s">
        <v>21342</v>
      </c>
      <c r="P1034" s="74" t="s">
        <v>21343</v>
      </c>
      <c r="Q1034" s="74">
        <v>0</v>
      </c>
      <c r="R1034" s="74" t="s">
        <v>148</v>
      </c>
      <c r="S1034" s="74" t="s">
        <v>21338</v>
      </c>
      <c r="T1034" s="74" t="s">
        <v>402</v>
      </c>
      <c r="U1034" s="74">
        <v>0</v>
      </c>
      <c r="V1034" s="74">
        <v>0</v>
      </c>
    </row>
    <row r="1035" spans="3:22" x14ac:dyDescent="0.25">
      <c r="C1035" s="74" t="s">
        <v>21386</v>
      </c>
      <c r="D1035" s="74" t="s">
        <v>148</v>
      </c>
      <c r="E1035" s="74" t="s">
        <v>21338</v>
      </c>
      <c r="F1035" s="74">
        <v>674396</v>
      </c>
      <c r="G1035" s="74">
        <v>3</v>
      </c>
      <c r="H1035" s="135">
        <v>42991.594849537039</v>
      </c>
      <c r="I1035" s="74" t="s">
        <v>21398</v>
      </c>
      <c r="J1035" s="74" t="s">
        <v>21366</v>
      </c>
      <c r="K1035" s="74" t="s">
        <v>21367</v>
      </c>
      <c r="L1035" s="74">
        <v>561482</v>
      </c>
      <c r="M1035" s="74" t="s">
        <v>21368</v>
      </c>
      <c r="N1035" s="74">
        <v>1</v>
      </c>
      <c r="O1035" s="74" t="s">
        <v>21369</v>
      </c>
      <c r="P1035" s="74" t="s">
        <v>21343</v>
      </c>
      <c r="Q1035" s="74" t="s">
        <v>21549</v>
      </c>
      <c r="R1035" s="74" t="s">
        <v>148</v>
      </c>
      <c r="S1035" s="74" t="s">
        <v>21338</v>
      </c>
      <c r="T1035" s="74" t="s">
        <v>21371</v>
      </c>
      <c r="U1035" s="74">
        <v>0</v>
      </c>
      <c r="V1035" s="74">
        <v>0</v>
      </c>
    </row>
    <row r="1036" spans="3:22" x14ac:dyDescent="0.25">
      <c r="C1036" s="74" t="s">
        <v>21386</v>
      </c>
      <c r="D1036" s="74" t="s">
        <v>148</v>
      </c>
      <c r="E1036" s="74" t="s">
        <v>21338</v>
      </c>
      <c r="F1036" s="74">
        <v>674396</v>
      </c>
      <c r="G1036" s="74">
        <v>3</v>
      </c>
      <c r="H1036" s="135">
        <v>42991.594849537039</v>
      </c>
      <c r="I1036" s="74" t="s">
        <v>21398</v>
      </c>
      <c r="J1036" s="74" t="s">
        <v>21366</v>
      </c>
      <c r="K1036" s="74" t="s">
        <v>21403</v>
      </c>
      <c r="L1036" s="74">
        <v>561483</v>
      </c>
      <c r="M1036" s="74" t="s">
        <v>21368</v>
      </c>
      <c r="N1036" s="74">
        <v>1</v>
      </c>
      <c r="O1036" s="74" t="s">
        <v>21369</v>
      </c>
      <c r="P1036" s="74" t="s">
        <v>21343</v>
      </c>
      <c r="Q1036" s="74" t="s">
        <v>21549</v>
      </c>
      <c r="R1036" s="74" t="s">
        <v>148</v>
      </c>
      <c r="S1036" s="74" t="s">
        <v>21338</v>
      </c>
      <c r="T1036" s="74" t="s">
        <v>21371</v>
      </c>
      <c r="U1036" s="74">
        <v>0</v>
      </c>
      <c r="V1036" s="74">
        <v>0</v>
      </c>
    </row>
    <row r="1037" spans="3:22" x14ac:dyDescent="0.25">
      <c r="C1037" s="74" t="s">
        <v>21386</v>
      </c>
      <c r="D1037" s="74" t="s">
        <v>148</v>
      </c>
      <c r="E1037" s="74" t="s">
        <v>21338</v>
      </c>
      <c r="F1037" s="74">
        <v>674396</v>
      </c>
      <c r="G1037" s="74">
        <v>3</v>
      </c>
      <c r="H1037" s="135">
        <v>42991.594826388886</v>
      </c>
      <c r="I1037" s="74" t="s">
        <v>21398</v>
      </c>
      <c r="J1037" s="74" t="s">
        <v>21366</v>
      </c>
      <c r="K1037" s="74" t="s">
        <v>21381</v>
      </c>
      <c r="L1037" s="74">
        <v>555660</v>
      </c>
      <c r="M1037" s="74" t="s">
        <v>21368</v>
      </c>
      <c r="N1037" s="74">
        <v>1</v>
      </c>
      <c r="O1037" s="74" t="s">
        <v>21369</v>
      </c>
      <c r="P1037" s="74" t="s">
        <v>21343</v>
      </c>
      <c r="Q1037" s="74" t="s">
        <v>21549</v>
      </c>
      <c r="R1037" s="74" t="s">
        <v>148</v>
      </c>
      <c r="S1037" s="74" t="s">
        <v>21338</v>
      </c>
      <c r="T1037" s="74" t="s">
        <v>21371</v>
      </c>
      <c r="U1037" s="74">
        <v>0</v>
      </c>
      <c r="V1037" s="74">
        <v>0</v>
      </c>
    </row>
    <row r="1038" spans="3:22" x14ac:dyDescent="0.25">
      <c r="C1038" s="74" t="s">
        <v>21386</v>
      </c>
      <c r="D1038" s="74" t="s">
        <v>148</v>
      </c>
      <c r="E1038" s="74" t="s">
        <v>21338</v>
      </c>
      <c r="F1038" s="74">
        <v>674396</v>
      </c>
      <c r="G1038" s="74">
        <v>3</v>
      </c>
      <c r="H1038" s="135">
        <v>42991.59480324074</v>
      </c>
      <c r="I1038" s="74" t="s">
        <v>21339</v>
      </c>
      <c r="J1038" s="74" t="s">
        <v>21364</v>
      </c>
      <c r="K1038" s="74" t="s">
        <v>21531</v>
      </c>
      <c r="L1038" s="74">
        <v>908539</v>
      </c>
      <c r="M1038" s="74" t="s">
        <v>21341</v>
      </c>
      <c r="N1038" s="74">
        <v>1</v>
      </c>
      <c r="O1038" s="74" t="s">
        <v>21342</v>
      </c>
      <c r="P1038" s="74" t="s">
        <v>21343</v>
      </c>
      <c r="Q1038" s="74">
        <v>0</v>
      </c>
      <c r="R1038" s="74" t="s">
        <v>148</v>
      </c>
      <c r="S1038" s="74" t="s">
        <v>21338</v>
      </c>
      <c r="T1038" s="74" t="s">
        <v>402</v>
      </c>
      <c r="U1038" s="74">
        <v>0</v>
      </c>
      <c r="V1038" s="74">
        <v>0</v>
      </c>
    </row>
    <row r="1039" spans="3:22" x14ac:dyDescent="0.25">
      <c r="C1039" s="74" t="s">
        <v>21386</v>
      </c>
      <c r="D1039" s="74" t="s">
        <v>148</v>
      </c>
      <c r="E1039" s="74" t="s">
        <v>21338</v>
      </c>
      <c r="F1039" s="74">
        <v>674396</v>
      </c>
      <c r="G1039" s="74">
        <v>3</v>
      </c>
      <c r="H1039" s="135">
        <v>42991.59443287037</v>
      </c>
      <c r="I1039" s="74" t="s">
        <v>21339</v>
      </c>
      <c r="J1039" s="74" t="s">
        <v>21364</v>
      </c>
      <c r="K1039" s="74" t="s">
        <v>21531</v>
      </c>
      <c r="L1039" s="74">
        <v>908539</v>
      </c>
      <c r="M1039" s="74" t="s">
        <v>21341</v>
      </c>
      <c r="N1039" s="74">
        <v>1</v>
      </c>
      <c r="O1039" s="74" t="s">
        <v>21342</v>
      </c>
      <c r="P1039" s="74" t="s">
        <v>21343</v>
      </c>
      <c r="Q1039" s="74">
        <v>0</v>
      </c>
      <c r="R1039" s="74" t="s">
        <v>148</v>
      </c>
      <c r="S1039" s="74" t="s">
        <v>21338</v>
      </c>
      <c r="T1039" s="74" t="s">
        <v>402</v>
      </c>
      <c r="U1039" s="74">
        <v>0</v>
      </c>
      <c r="V1039" s="74">
        <v>0</v>
      </c>
    </row>
    <row r="1040" spans="3:22" x14ac:dyDescent="0.25">
      <c r="C1040" s="74" t="s">
        <v>533</v>
      </c>
      <c r="D1040" s="74" t="s">
        <v>148</v>
      </c>
      <c r="E1040" s="74" t="s">
        <v>21338</v>
      </c>
      <c r="F1040" s="74">
        <v>627566</v>
      </c>
      <c r="G1040" s="74">
        <v>3</v>
      </c>
      <c r="H1040" s="135">
        <v>42991.591168981482</v>
      </c>
      <c r="I1040" s="74" t="s">
        <v>21354</v>
      </c>
      <c r="J1040" s="74" t="s">
        <v>21355</v>
      </c>
      <c r="K1040" s="74" t="s">
        <v>17888</v>
      </c>
      <c r="L1040" s="74">
        <v>553925</v>
      </c>
      <c r="M1040" s="74" t="s">
        <v>21341</v>
      </c>
      <c r="N1040" s="74">
        <v>1</v>
      </c>
      <c r="O1040" s="74" t="s">
        <v>21342</v>
      </c>
      <c r="P1040" s="74" t="s">
        <v>21345</v>
      </c>
      <c r="R1040" s="74" t="s">
        <v>148</v>
      </c>
      <c r="S1040" s="74" t="s">
        <v>21338</v>
      </c>
      <c r="T1040" s="74" t="s">
        <v>402</v>
      </c>
      <c r="U1040" s="74">
        <v>0</v>
      </c>
      <c r="V1040" s="74">
        <v>0</v>
      </c>
    </row>
    <row r="1041" spans="3:22" x14ac:dyDescent="0.25">
      <c r="C1041" s="74" t="s">
        <v>533</v>
      </c>
      <c r="D1041" s="74" t="s">
        <v>148</v>
      </c>
      <c r="E1041" s="74" t="s">
        <v>21338</v>
      </c>
      <c r="F1041" s="74">
        <v>627566</v>
      </c>
      <c r="G1041" s="74">
        <v>3</v>
      </c>
      <c r="H1041" s="135">
        <v>42991.590567129628</v>
      </c>
      <c r="I1041" s="74" t="s">
        <v>21339</v>
      </c>
      <c r="J1041" s="74" t="s">
        <v>21360</v>
      </c>
      <c r="K1041" s="74" t="s">
        <v>17888</v>
      </c>
      <c r="L1041" s="74">
        <v>553925</v>
      </c>
      <c r="M1041" s="74" t="s">
        <v>21341</v>
      </c>
      <c r="N1041" s="74">
        <v>1</v>
      </c>
      <c r="O1041" s="74" t="s">
        <v>21359</v>
      </c>
      <c r="P1041" s="74" t="s">
        <v>21343</v>
      </c>
      <c r="Q1041" s="74" t="s">
        <v>21395</v>
      </c>
      <c r="R1041" s="74" t="s">
        <v>148</v>
      </c>
      <c r="S1041" s="74" t="s">
        <v>21338</v>
      </c>
      <c r="T1041" s="74" t="s">
        <v>402</v>
      </c>
      <c r="U1041" s="74">
        <v>0</v>
      </c>
      <c r="V1041" s="74">
        <v>0</v>
      </c>
    </row>
    <row r="1042" spans="3:22" x14ac:dyDescent="0.25">
      <c r="C1042" s="74" t="s">
        <v>21386</v>
      </c>
      <c r="D1042" s="74" t="s">
        <v>148</v>
      </c>
      <c r="E1042" s="74" t="s">
        <v>21338</v>
      </c>
      <c r="F1042" s="74">
        <v>674396</v>
      </c>
      <c r="G1042" s="74">
        <v>3</v>
      </c>
      <c r="H1042" s="135">
        <v>42991.586863425924</v>
      </c>
      <c r="I1042" s="74" t="s">
        <v>21398</v>
      </c>
      <c r="J1042" s="74" t="s">
        <v>21400</v>
      </c>
      <c r="K1042" s="74" t="s">
        <v>21531</v>
      </c>
      <c r="L1042" s="74">
        <v>908539</v>
      </c>
      <c r="M1042" s="74" t="s">
        <v>21341</v>
      </c>
      <c r="N1042" s="74">
        <v>1</v>
      </c>
      <c r="O1042" s="74" t="s">
        <v>21342</v>
      </c>
      <c r="P1042" s="74" t="s">
        <v>21343</v>
      </c>
      <c r="Q1042" s="74" t="s">
        <v>21583</v>
      </c>
      <c r="R1042" s="74" t="s">
        <v>148</v>
      </c>
      <c r="S1042" s="74" t="s">
        <v>21338</v>
      </c>
      <c r="T1042" s="74" t="s">
        <v>402</v>
      </c>
      <c r="U1042" s="74">
        <v>0</v>
      </c>
      <c r="V1042" s="74">
        <v>0</v>
      </c>
    </row>
    <row r="1043" spans="3:22" x14ac:dyDescent="0.25">
      <c r="C1043" s="74" t="s">
        <v>21385</v>
      </c>
      <c r="D1043" s="74" t="s">
        <v>148</v>
      </c>
      <c r="E1043" s="74" t="s">
        <v>21338</v>
      </c>
      <c r="F1043" s="74">
        <v>560579</v>
      </c>
      <c r="G1043" s="74">
        <v>3</v>
      </c>
      <c r="H1043" s="135">
        <v>42991.569432870368</v>
      </c>
      <c r="I1043" s="74" t="s">
        <v>21354</v>
      </c>
      <c r="J1043" s="74" t="s">
        <v>21355</v>
      </c>
      <c r="K1043" s="74" t="s">
        <v>21578</v>
      </c>
      <c r="L1043" s="74">
        <v>840602</v>
      </c>
      <c r="M1043" s="74" t="s">
        <v>21341</v>
      </c>
      <c r="N1043" s="74">
        <v>1</v>
      </c>
      <c r="O1043" s="74" t="s">
        <v>21342</v>
      </c>
      <c r="P1043" s="74" t="s">
        <v>21345</v>
      </c>
      <c r="R1043" s="74" t="s">
        <v>148</v>
      </c>
      <c r="S1043" s="74" t="s">
        <v>21338</v>
      </c>
      <c r="T1043" s="74" t="s">
        <v>402</v>
      </c>
      <c r="U1043" s="74">
        <v>0</v>
      </c>
      <c r="V1043" s="74">
        <v>0</v>
      </c>
    </row>
    <row r="1044" spans="3:22" x14ac:dyDescent="0.25">
      <c r="C1044" s="74" t="s">
        <v>21385</v>
      </c>
      <c r="D1044" s="74" t="s">
        <v>148</v>
      </c>
      <c r="E1044" s="74" t="s">
        <v>21338</v>
      </c>
      <c r="F1044" s="74">
        <v>560579</v>
      </c>
      <c r="G1044" s="74">
        <v>3</v>
      </c>
      <c r="H1044" s="135">
        <v>42991.568912037037</v>
      </c>
      <c r="I1044" s="74" t="s">
        <v>21339</v>
      </c>
      <c r="J1044" s="74" t="s">
        <v>21340</v>
      </c>
      <c r="K1044" s="74" t="s">
        <v>21578</v>
      </c>
      <c r="L1044" s="74">
        <v>840602</v>
      </c>
      <c r="M1044" s="74" t="s">
        <v>21341</v>
      </c>
      <c r="N1044" s="74">
        <v>1</v>
      </c>
      <c r="O1044" s="74" t="s">
        <v>21342</v>
      </c>
      <c r="P1044" s="74" t="s">
        <v>21343</v>
      </c>
      <c r="Q1044" s="74">
        <v>0</v>
      </c>
      <c r="R1044" s="74" t="s">
        <v>148</v>
      </c>
      <c r="S1044" s="74" t="s">
        <v>21338</v>
      </c>
      <c r="T1044" s="74" t="s">
        <v>402</v>
      </c>
      <c r="U1044" s="74">
        <v>0</v>
      </c>
      <c r="V1044" s="74">
        <v>0</v>
      </c>
    </row>
    <row r="1045" spans="3:22" x14ac:dyDescent="0.25">
      <c r="C1045" s="74" t="s">
        <v>21385</v>
      </c>
      <c r="D1045" s="74" t="s">
        <v>148</v>
      </c>
      <c r="E1045" s="74" t="s">
        <v>21338</v>
      </c>
      <c r="F1045" s="74">
        <v>560579</v>
      </c>
      <c r="G1045" s="74">
        <v>3</v>
      </c>
      <c r="H1045" s="135">
        <v>42991.565381944441</v>
      </c>
      <c r="I1045" s="74" t="s">
        <v>21354</v>
      </c>
      <c r="J1045" s="74" t="s">
        <v>21355</v>
      </c>
      <c r="K1045" s="74" t="s">
        <v>21578</v>
      </c>
      <c r="L1045" s="74">
        <v>840602</v>
      </c>
      <c r="M1045" s="74" t="s">
        <v>21341</v>
      </c>
      <c r="N1045" s="74">
        <v>1</v>
      </c>
      <c r="O1045" s="74" t="s">
        <v>21342</v>
      </c>
      <c r="P1045" s="74" t="s">
        <v>21345</v>
      </c>
      <c r="R1045" s="74" t="s">
        <v>148</v>
      </c>
      <c r="S1045" s="74" t="s">
        <v>21338</v>
      </c>
      <c r="T1045" s="74" t="s">
        <v>402</v>
      </c>
      <c r="U1045" s="74">
        <v>0</v>
      </c>
      <c r="V1045" s="74">
        <v>0</v>
      </c>
    </row>
    <row r="1046" spans="3:22" x14ac:dyDescent="0.25">
      <c r="C1046" s="74" t="s">
        <v>18795</v>
      </c>
      <c r="D1046" s="74" t="s">
        <v>148</v>
      </c>
      <c r="E1046" s="74" t="s">
        <v>21338</v>
      </c>
      <c r="F1046" s="74">
        <v>551367</v>
      </c>
      <c r="G1046" s="74">
        <v>1000</v>
      </c>
      <c r="H1046" s="135">
        <v>42991.542453703703</v>
      </c>
      <c r="I1046" s="74" t="s">
        <v>21339</v>
      </c>
      <c r="J1046" s="74" t="s">
        <v>21340</v>
      </c>
      <c r="K1046" s="74" t="s">
        <v>17888</v>
      </c>
      <c r="L1046" s="74">
        <v>553925</v>
      </c>
      <c r="M1046" s="74" t="s">
        <v>21341</v>
      </c>
      <c r="N1046" s="74">
        <v>1</v>
      </c>
      <c r="O1046" s="74" t="s">
        <v>21342</v>
      </c>
      <c r="P1046" s="74" t="s">
        <v>21343</v>
      </c>
      <c r="Q1046" s="74">
        <v>0</v>
      </c>
      <c r="R1046" s="74" t="s">
        <v>148</v>
      </c>
      <c r="S1046" s="74" t="s">
        <v>21338</v>
      </c>
      <c r="T1046" s="74" t="s">
        <v>402</v>
      </c>
      <c r="U1046" s="74">
        <v>0</v>
      </c>
      <c r="V1046" s="74">
        <v>0</v>
      </c>
    </row>
    <row r="1047" spans="3:22" x14ac:dyDescent="0.25">
      <c r="C1047" s="74" t="s">
        <v>21388</v>
      </c>
      <c r="D1047" s="74" t="s">
        <v>148</v>
      </c>
      <c r="E1047" s="74" t="s">
        <v>21338</v>
      </c>
      <c r="F1047" s="74">
        <v>560366</v>
      </c>
      <c r="G1047" s="74">
        <v>3</v>
      </c>
      <c r="H1047" s="135">
        <v>42991.540567129632</v>
      </c>
      <c r="I1047" s="74" t="s">
        <v>21354</v>
      </c>
      <c r="J1047" s="74" t="s">
        <v>21355</v>
      </c>
      <c r="K1047" s="74" t="s">
        <v>17888</v>
      </c>
      <c r="L1047" s="74">
        <v>553925</v>
      </c>
      <c r="M1047" s="74" t="s">
        <v>21341</v>
      </c>
      <c r="N1047" s="74">
        <v>1</v>
      </c>
      <c r="O1047" s="74" t="s">
        <v>21342</v>
      </c>
      <c r="P1047" s="74" t="s">
        <v>21345</v>
      </c>
      <c r="R1047" s="74" t="s">
        <v>148</v>
      </c>
      <c r="S1047" s="74" t="s">
        <v>21338</v>
      </c>
      <c r="T1047" s="74" t="s">
        <v>402</v>
      </c>
      <c r="U1047" s="74">
        <v>0</v>
      </c>
      <c r="V1047" s="74">
        <v>0</v>
      </c>
    </row>
    <row r="1048" spans="3:22" x14ac:dyDescent="0.25">
      <c r="C1048" s="74" t="s">
        <v>21388</v>
      </c>
      <c r="D1048" s="74" t="s">
        <v>148</v>
      </c>
      <c r="E1048" s="74" t="s">
        <v>21338</v>
      </c>
      <c r="F1048" s="74">
        <v>560366</v>
      </c>
      <c r="G1048" s="74">
        <v>3</v>
      </c>
      <c r="H1048" s="135">
        <v>42991.540150462963</v>
      </c>
      <c r="I1048" s="74" t="s">
        <v>21354</v>
      </c>
      <c r="J1048" s="74" t="s">
        <v>21355</v>
      </c>
      <c r="K1048" s="74" t="s">
        <v>17888</v>
      </c>
      <c r="L1048" s="74">
        <v>553925</v>
      </c>
      <c r="M1048" s="74" t="s">
        <v>21341</v>
      </c>
      <c r="N1048" s="74">
        <v>1</v>
      </c>
      <c r="O1048" s="74" t="s">
        <v>21342</v>
      </c>
      <c r="P1048" s="74" t="s">
        <v>21345</v>
      </c>
      <c r="R1048" s="74" t="s">
        <v>148</v>
      </c>
      <c r="S1048" s="74" t="s">
        <v>21338</v>
      </c>
      <c r="T1048" s="74" t="s">
        <v>402</v>
      </c>
      <c r="U1048" s="74">
        <v>0</v>
      </c>
      <c r="V1048" s="74">
        <v>0</v>
      </c>
    </row>
    <row r="1049" spans="3:22" x14ac:dyDescent="0.25">
      <c r="C1049" s="74" t="s">
        <v>18795</v>
      </c>
      <c r="D1049" s="74" t="s">
        <v>148</v>
      </c>
      <c r="E1049" s="74" t="s">
        <v>21338</v>
      </c>
      <c r="F1049" s="74">
        <v>551367</v>
      </c>
      <c r="G1049" s="74">
        <v>1000</v>
      </c>
      <c r="H1049" s="135">
        <v>42991.539814814816</v>
      </c>
      <c r="I1049" s="74" t="s">
        <v>21339</v>
      </c>
      <c r="J1049" s="74" t="s">
        <v>21340</v>
      </c>
      <c r="K1049" s="74" t="s">
        <v>21578</v>
      </c>
      <c r="L1049" s="74">
        <v>840602</v>
      </c>
      <c r="M1049" s="74" t="s">
        <v>21341</v>
      </c>
      <c r="N1049" s="74">
        <v>1</v>
      </c>
      <c r="O1049" s="74" t="s">
        <v>21342</v>
      </c>
      <c r="P1049" s="74" t="s">
        <v>21343</v>
      </c>
      <c r="Q1049" s="74">
        <v>0</v>
      </c>
      <c r="R1049" s="74" t="s">
        <v>148</v>
      </c>
      <c r="S1049" s="74" t="s">
        <v>21338</v>
      </c>
      <c r="T1049" s="74" t="s">
        <v>402</v>
      </c>
      <c r="U1049" s="74">
        <v>0</v>
      </c>
      <c r="V1049" s="74">
        <v>0</v>
      </c>
    </row>
    <row r="1050" spans="3:22" x14ac:dyDescent="0.25">
      <c r="C1050" s="74" t="s">
        <v>21347</v>
      </c>
      <c r="D1050" s="74" t="s">
        <v>148</v>
      </c>
      <c r="E1050" s="74" t="s">
        <v>21338</v>
      </c>
      <c r="F1050" s="74">
        <v>637976</v>
      </c>
      <c r="G1050" s="74">
        <v>1</v>
      </c>
      <c r="H1050" s="135">
        <v>42991.538900462961</v>
      </c>
      <c r="I1050" s="74" t="s">
        <v>244</v>
      </c>
      <c r="J1050" s="74" t="s">
        <v>21349</v>
      </c>
      <c r="K1050" s="74" t="s">
        <v>21347</v>
      </c>
      <c r="L1050" s="74">
        <v>637976</v>
      </c>
      <c r="M1050" s="74" t="s">
        <v>21341</v>
      </c>
      <c r="N1050" s="74">
        <v>0</v>
      </c>
      <c r="O1050" s="74" t="s">
        <v>21350</v>
      </c>
      <c r="P1050" s="74" t="s">
        <v>21343</v>
      </c>
      <c r="Q1050" s="74">
        <v>0</v>
      </c>
      <c r="R1050" s="74" t="s">
        <v>148</v>
      </c>
      <c r="S1050" s="74" t="s">
        <v>21338</v>
      </c>
      <c r="T1050" s="74" t="s">
        <v>402</v>
      </c>
      <c r="U1050" s="74">
        <v>0</v>
      </c>
      <c r="V1050" s="74">
        <v>0</v>
      </c>
    </row>
    <row r="1051" spans="3:22" x14ac:dyDescent="0.25">
      <c r="C1051" s="74" t="s">
        <v>21347</v>
      </c>
      <c r="D1051" s="74" t="s">
        <v>148</v>
      </c>
      <c r="E1051" s="74" t="s">
        <v>21338</v>
      </c>
      <c r="F1051" s="74">
        <v>637976</v>
      </c>
      <c r="G1051" s="74">
        <v>1</v>
      </c>
      <c r="H1051" s="135">
        <v>42991.538888888892</v>
      </c>
      <c r="I1051" s="74" t="s">
        <v>21348</v>
      </c>
      <c r="J1051" s="74" t="s">
        <v>21349</v>
      </c>
      <c r="K1051" s="74" t="s">
        <v>21347</v>
      </c>
      <c r="L1051" s="74">
        <v>637976</v>
      </c>
      <c r="M1051" s="74" t="s">
        <v>21341</v>
      </c>
      <c r="N1051" s="74">
        <v>0</v>
      </c>
      <c r="O1051" s="74" t="s">
        <v>21350</v>
      </c>
      <c r="P1051" s="74" t="s">
        <v>21343</v>
      </c>
      <c r="Q1051" s="74">
        <v>0</v>
      </c>
      <c r="R1051" s="74" t="s">
        <v>148</v>
      </c>
      <c r="S1051" s="74" t="s">
        <v>21338</v>
      </c>
      <c r="T1051" s="74" t="s">
        <v>402</v>
      </c>
      <c r="U1051" s="74">
        <v>0</v>
      </c>
      <c r="V1051" s="74">
        <v>0</v>
      </c>
    </row>
    <row r="1052" spans="3:22" x14ac:dyDescent="0.25">
      <c r="C1052" s="74" t="s">
        <v>533</v>
      </c>
      <c r="D1052" s="74" t="s">
        <v>148</v>
      </c>
      <c r="E1052" s="74" t="s">
        <v>21338</v>
      </c>
      <c r="F1052" s="74">
        <v>627566</v>
      </c>
      <c r="G1052" s="74">
        <v>3</v>
      </c>
      <c r="H1052" s="135">
        <v>42991.538449074076</v>
      </c>
      <c r="I1052" s="74" t="s">
        <v>21339</v>
      </c>
      <c r="J1052" s="74" t="s">
        <v>21356</v>
      </c>
      <c r="K1052" s="74" t="s">
        <v>21584</v>
      </c>
      <c r="L1052" s="74">
        <v>907004</v>
      </c>
      <c r="M1052" s="74" t="s">
        <v>21341</v>
      </c>
      <c r="N1052" s="74">
        <v>1</v>
      </c>
      <c r="O1052" s="74" t="s">
        <v>21342</v>
      </c>
      <c r="P1052" s="74" t="s">
        <v>21343</v>
      </c>
      <c r="Q1052" s="74" t="s">
        <v>21395</v>
      </c>
      <c r="R1052" s="74" t="s">
        <v>148</v>
      </c>
      <c r="S1052" s="74" t="s">
        <v>21338</v>
      </c>
      <c r="T1052" s="74" t="s">
        <v>402</v>
      </c>
      <c r="U1052" s="74">
        <v>0</v>
      </c>
      <c r="V1052" s="74">
        <v>0</v>
      </c>
    </row>
    <row r="1053" spans="3:22" x14ac:dyDescent="0.25">
      <c r="C1053" s="74" t="s">
        <v>533</v>
      </c>
      <c r="D1053" s="74" t="s">
        <v>148</v>
      </c>
      <c r="E1053" s="74" t="s">
        <v>21338</v>
      </c>
      <c r="F1053" s="74">
        <v>627566</v>
      </c>
      <c r="G1053" s="74">
        <v>3</v>
      </c>
      <c r="H1053" s="135">
        <v>42991.538194444445</v>
      </c>
      <c r="I1053" s="74" t="s">
        <v>21354</v>
      </c>
      <c r="J1053" s="74" t="s">
        <v>21355</v>
      </c>
      <c r="K1053" s="74" t="s">
        <v>21584</v>
      </c>
      <c r="L1053" s="74">
        <v>907004</v>
      </c>
      <c r="M1053" s="74" t="s">
        <v>21341</v>
      </c>
      <c r="N1053" s="74">
        <v>1</v>
      </c>
      <c r="O1053" s="74" t="s">
        <v>21342</v>
      </c>
      <c r="P1053" s="74" t="s">
        <v>21345</v>
      </c>
      <c r="R1053" s="74" t="s">
        <v>148</v>
      </c>
      <c r="S1053" s="74" t="s">
        <v>21338</v>
      </c>
      <c r="T1053" s="74" t="s">
        <v>402</v>
      </c>
      <c r="U1053" s="74">
        <v>0</v>
      </c>
      <c r="V1053" s="74">
        <v>0</v>
      </c>
    </row>
    <row r="1054" spans="3:22" x14ac:dyDescent="0.25">
      <c r="C1054" s="74" t="s">
        <v>533</v>
      </c>
      <c r="D1054" s="74" t="s">
        <v>148</v>
      </c>
      <c r="E1054" s="74" t="s">
        <v>21338</v>
      </c>
      <c r="F1054" s="74">
        <v>627566</v>
      </c>
      <c r="G1054" s="74">
        <v>3</v>
      </c>
      <c r="H1054" s="135">
        <v>42991.538055555553</v>
      </c>
      <c r="I1054" s="74" t="s">
        <v>21339</v>
      </c>
      <c r="J1054" s="74" t="s">
        <v>21360</v>
      </c>
      <c r="K1054" s="74" t="s">
        <v>21584</v>
      </c>
      <c r="L1054" s="74">
        <v>907004</v>
      </c>
      <c r="M1054" s="74" t="s">
        <v>21341</v>
      </c>
      <c r="N1054" s="74">
        <v>1</v>
      </c>
      <c r="O1054" s="74" t="s">
        <v>21359</v>
      </c>
      <c r="P1054" s="74" t="s">
        <v>21343</v>
      </c>
      <c r="Q1054" s="74" t="s">
        <v>21395</v>
      </c>
      <c r="R1054" s="74" t="s">
        <v>148</v>
      </c>
      <c r="S1054" s="74" t="s">
        <v>21338</v>
      </c>
      <c r="T1054" s="74" t="s">
        <v>402</v>
      </c>
      <c r="U1054" s="74">
        <v>0</v>
      </c>
      <c r="V1054" s="74">
        <v>0</v>
      </c>
    </row>
    <row r="1055" spans="3:22" x14ac:dyDescent="0.25">
      <c r="C1055" s="74" t="s">
        <v>735</v>
      </c>
      <c r="D1055" s="74" t="s">
        <v>148</v>
      </c>
      <c r="E1055" s="74" t="s">
        <v>21338</v>
      </c>
      <c r="F1055" s="74">
        <v>570025</v>
      </c>
      <c r="G1055" s="74">
        <v>3</v>
      </c>
      <c r="H1055" s="135">
        <v>42991.525613425925</v>
      </c>
      <c r="I1055" s="74" t="s">
        <v>21339</v>
      </c>
      <c r="J1055" s="74" t="s">
        <v>21364</v>
      </c>
      <c r="K1055" s="74" t="s">
        <v>21505</v>
      </c>
      <c r="L1055" s="74">
        <v>908518</v>
      </c>
      <c r="M1055" s="74" t="s">
        <v>21341</v>
      </c>
      <c r="N1055" s="74">
        <v>1</v>
      </c>
      <c r="O1055" s="74" t="s">
        <v>21342</v>
      </c>
      <c r="P1055" s="74" t="s">
        <v>21343</v>
      </c>
      <c r="Q1055" s="74">
        <v>0</v>
      </c>
      <c r="R1055" s="74" t="s">
        <v>148</v>
      </c>
      <c r="S1055" s="74" t="s">
        <v>21338</v>
      </c>
      <c r="T1055" s="74" t="s">
        <v>402</v>
      </c>
      <c r="U1055" s="74">
        <v>0</v>
      </c>
      <c r="V1055" s="74">
        <v>0</v>
      </c>
    </row>
    <row r="1056" spans="3:22" x14ac:dyDescent="0.25">
      <c r="C1056" s="74" t="s">
        <v>735</v>
      </c>
      <c r="D1056" s="74" t="s">
        <v>148</v>
      </c>
      <c r="E1056" s="74" t="s">
        <v>21338</v>
      </c>
      <c r="F1056" s="74">
        <v>570025</v>
      </c>
      <c r="G1056" s="74">
        <v>3</v>
      </c>
      <c r="H1056" s="135">
        <v>42991.525601851848</v>
      </c>
      <c r="I1056" s="74" t="s">
        <v>21339</v>
      </c>
      <c r="J1056" s="74" t="s">
        <v>21364</v>
      </c>
      <c r="K1056" s="74" t="s">
        <v>21505</v>
      </c>
      <c r="L1056" s="74">
        <v>908518</v>
      </c>
      <c r="M1056" s="74" t="s">
        <v>21341</v>
      </c>
      <c r="N1056" s="74">
        <v>1</v>
      </c>
      <c r="O1056" s="74" t="s">
        <v>21342</v>
      </c>
      <c r="P1056" s="74" t="s">
        <v>21343</v>
      </c>
      <c r="Q1056" s="74">
        <v>0</v>
      </c>
      <c r="R1056" s="74" t="s">
        <v>148</v>
      </c>
      <c r="S1056" s="74" t="s">
        <v>21338</v>
      </c>
      <c r="T1056" s="74" t="s">
        <v>402</v>
      </c>
      <c r="U1056" s="74">
        <v>0</v>
      </c>
      <c r="V1056" s="74">
        <v>0</v>
      </c>
    </row>
    <row r="1057" spans="3:22" x14ac:dyDescent="0.25">
      <c r="C1057" s="74" t="s">
        <v>735</v>
      </c>
      <c r="D1057" s="74" t="s">
        <v>148</v>
      </c>
      <c r="E1057" s="74" t="s">
        <v>21338</v>
      </c>
      <c r="F1057" s="74">
        <v>570025</v>
      </c>
      <c r="G1057" s="74">
        <v>3</v>
      </c>
      <c r="H1057" s="135">
        <v>42991.524837962963</v>
      </c>
      <c r="I1057" s="74" t="s">
        <v>21339</v>
      </c>
      <c r="J1057" s="74" t="s">
        <v>21364</v>
      </c>
      <c r="K1057" s="74" t="s">
        <v>21505</v>
      </c>
      <c r="L1057" s="74">
        <v>908518</v>
      </c>
      <c r="M1057" s="74" t="s">
        <v>21341</v>
      </c>
      <c r="N1057" s="74">
        <v>1</v>
      </c>
      <c r="O1057" s="74" t="s">
        <v>21342</v>
      </c>
      <c r="P1057" s="74" t="s">
        <v>21343</v>
      </c>
      <c r="Q1057" s="74">
        <v>0</v>
      </c>
      <c r="R1057" s="74" t="s">
        <v>148</v>
      </c>
      <c r="S1057" s="74" t="s">
        <v>21338</v>
      </c>
      <c r="T1057" s="74" t="s">
        <v>402</v>
      </c>
      <c r="U1057" s="74">
        <v>0</v>
      </c>
      <c r="V1057" s="74">
        <v>0</v>
      </c>
    </row>
    <row r="1058" spans="3:22" x14ac:dyDescent="0.25">
      <c r="C1058" s="74" t="s">
        <v>735</v>
      </c>
      <c r="D1058" s="74" t="s">
        <v>148</v>
      </c>
      <c r="E1058" s="74" t="s">
        <v>21338</v>
      </c>
      <c r="F1058" s="74">
        <v>570025</v>
      </c>
      <c r="G1058" s="74">
        <v>3</v>
      </c>
      <c r="H1058" s="135">
        <v>42991.524826388886</v>
      </c>
      <c r="I1058" s="74" t="s">
        <v>21398</v>
      </c>
      <c r="J1058" s="74" t="s">
        <v>21366</v>
      </c>
      <c r="K1058" s="74" t="s">
        <v>21367</v>
      </c>
      <c r="L1058" s="74">
        <v>561482</v>
      </c>
      <c r="M1058" s="74" t="s">
        <v>21368</v>
      </c>
      <c r="N1058" s="74">
        <v>1</v>
      </c>
      <c r="O1058" s="74" t="s">
        <v>21369</v>
      </c>
      <c r="P1058" s="74" t="s">
        <v>21343</v>
      </c>
      <c r="Q1058" s="74" t="s">
        <v>21585</v>
      </c>
      <c r="R1058" s="74" t="s">
        <v>148</v>
      </c>
      <c r="S1058" s="74" t="s">
        <v>21338</v>
      </c>
      <c r="T1058" s="74" t="s">
        <v>21371</v>
      </c>
      <c r="U1058" s="74">
        <v>0</v>
      </c>
      <c r="V1058" s="74">
        <v>0</v>
      </c>
    </row>
    <row r="1059" spans="3:22" x14ac:dyDescent="0.25">
      <c r="C1059" s="74" t="s">
        <v>735</v>
      </c>
      <c r="D1059" s="74" t="s">
        <v>148</v>
      </c>
      <c r="E1059" s="74" t="s">
        <v>21338</v>
      </c>
      <c r="F1059" s="74">
        <v>570025</v>
      </c>
      <c r="G1059" s="74">
        <v>3</v>
      </c>
      <c r="H1059" s="135">
        <v>42991.524814814817</v>
      </c>
      <c r="I1059" s="74" t="s">
        <v>21398</v>
      </c>
      <c r="J1059" s="74" t="s">
        <v>21366</v>
      </c>
      <c r="K1059" s="74" t="s">
        <v>21381</v>
      </c>
      <c r="L1059" s="74">
        <v>555660</v>
      </c>
      <c r="M1059" s="74" t="s">
        <v>21368</v>
      </c>
      <c r="N1059" s="74">
        <v>1</v>
      </c>
      <c r="O1059" s="74" t="s">
        <v>21369</v>
      </c>
      <c r="P1059" s="74" t="s">
        <v>21343</v>
      </c>
      <c r="Q1059" s="74" t="s">
        <v>21585</v>
      </c>
      <c r="R1059" s="74" t="s">
        <v>148</v>
      </c>
      <c r="S1059" s="74" t="s">
        <v>21338</v>
      </c>
      <c r="T1059" s="74" t="s">
        <v>21371</v>
      </c>
      <c r="U1059" s="74">
        <v>0</v>
      </c>
      <c r="V1059" s="74">
        <v>0</v>
      </c>
    </row>
    <row r="1060" spans="3:22" x14ac:dyDescent="0.25">
      <c r="C1060" s="74" t="s">
        <v>735</v>
      </c>
      <c r="D1060" s="74" t="s">
        <v>148</v>
      </c>
      <c r="E1060" s="74" t="s">
        <v>21338</v>
      </c>
      <c r="F1060" s="74">
        <v>570025</v>
      </c>
      <c r="G1060" s="74">
        <v>3</v>
      </c>
      <c r="H1060" s="135">
        <v>42991.52480324074</v>
      </c>
      <c r="I1060" s="74" t="s">
        <v>21339</v>
      </c>
      <c r="J1060" s="74" t="s">
        <v>21364</v>
      </c>
      <c r="K1060" s="74" t="s">
        <v>21505</v>
      </c>
      <c r="L1060" s="74">
        <v>908518</v>
      </c>
      <c r="M1060" s="74" t="s">
        <v>21341</v>
      </c>
      <c r="N1060" s="74">
        <v>1</v>
      </c>
      <c r="O1060" s="74" t="s">
        <v>21342</v>
      </c>
      <c r="P1060" s="74" t="s">
        <v>21343</v>
      </c>
      <c r="Q1060" s="74">
        <v>0</v>
      </c>
      <c r="R1060" s="74" t="s">
        <v>148</v>
      </c>
      <c r="S1060" s="74" t="s">
        <v>21338</v>
      </c>
      <c r="T1060" s="74" t="s">
        <v>402</v>
      </c>
      <c r="U1060" s="74">
        <v>0</v>
      </c>
      <c r="V1060" s="74">
        <v>0</v>
      </c>
    </row>
    <row r="1061" spans="3:22" x14ac:dyDescent="0.25">
      <c r="C1061" s="74" t="s">
        <v>21386</v>
      </c>
      <c r="D1061" s="74" t="s">
        <v>148</v>
      </c>
      <c r="E1061" s="74" t="s">
        <v>21338</v>
      </c>
      <c r="F1061" s="74">
        <v>674396</v>
      </c>
      <c r="G1061" s="74">
        <v>3</v>
      </c>
      <c r="H1061" s="135">
        <v>42991.524699074071</v>
      </c>
      <c r="I1061" s="74" t="s">
        <v>21398</v>
      </c>
      <c r="J1061" s="74" t="s">
        <v>21366</v>
      </c>
      <c r="K1061" s="74" t="s">
        <v>21367</v>
      </c>
      <c r="L1061" s="74">
        <v>561482</v>
      </c>
      <c r="M1061" s="74" t="s">
        <v>21368</v>
      </c>
      <c r="N1061" s="74">
        <v>1</v>
      </c>
      <c r="O1061" s="74" t="s">
        <v>21369</v>
      </c>
      <c r="P1061" s="74" t="s">
        <v>21343</v>
      </c>
      <c r="Q1061" s="74" t="s">
        <v>21586</v>
      </c>
      <c r="R1061" s="74" t="s">
        <v>148</v>
      </c>
      <c r="S1061" s="74" t="s">
        <v>21338</v>
      </c>
      <c r="T1061" s="74" t="s">
        <v>21371</v>
      </c>
      <c r="U1061" s="74">
        <v>0</v>
      </c>
      <c r="V1061" s="74">
        <v>0</v>
      </c>
    </row>
    <row r="1062" spans="3:22" x14ac:dyDescent="0.25">
      <c r="C1062" s="74" t="s">
        <v>21386</v>
      </c>
      <c r="D1062" s="74" t="s">
        <v>148</v>
      </c>
      <c r="E1062" s="74" t="s">
        <v>21338</v>
      </c>
      <c r="F1062" s="74">
        <v>674396</v>
      </c>
      <c r="G1062" s="74">
        <v>3</v>
      </c>
      <c r="H1062" s="135">
        <v>42991.524699074071</v>
      </c>
      <c r="I1062" s="74" t="s">
        <v>21339</v>
      </c>
      <c r="J1062" s="74" t="s">
        <v>21364</v>
      </c>
      <c r="K1062" s="74" t="s">
        <v>21581</v>
      </c>
      <c r="L1062" s="74">
        <v>908517</v>
      </c>
      <c r="M1062" s="74" t="s">
        <v>21341</v>
      </c>
      <c r="N1062" s="74">
        <v>1</v>
      </c>
      <c r="O1062" s="74" t="s">
        <v>21342</v>
      </c>
      <c r="P1062" s="74" t="s">
        <v>21343</v>
      </c>
      <c r="Q1062" s="74">
        <v>0</v>
      </c>
      <c r="R1062" s="74" t="s">
        <v>148</v>
      </c>
      <c r="S1062" s="74" t="s">
        <v>21338</v>
      </c>
      <c r="T1062" s="74" t="s">
        <v>402</v>
      </c>
      <c r="U1062" s="74">
        <v>0</v>
      </c>
      <c r="V1062" s="74">
        <v>0</v>
      </c>
    </row>
    <row r="1063" spans="3:22" x14ac:dyDescent="0.25">
      <c r="C1063" s="74" t="s">
        <v>21386</v>
      </c>
      <c r="D1063" s="74" t="s">
        <v>148</v>
      </c>
      <c r="E1063" s="74" t="s">
        <v>21338</v>
      </c>
      <c r="F1063" s="74">
        <v>674396</v>
      </c>
      <c r="G1063" s="74">
        <v>3</v>
      </c>
      <c r="H1063" s="135">
        <v>42991.524675925924</v>
      </c>
      <c r="I1063" s="74" t="s">
        <v>21398</v>
      </c>
      <c r="J1063" s="74" t="s">
        <v>21366</v>
      </c>
      <c r="K1063" s="74" t="s">
        <v>21381</v>
      </c>
      <c r="L1063" s="74">
        <v>555660</v>
      </c>
      <c r="M1063" s="74" t="s">
        <v>21368</v>
      </c>
      <c r="N1063" s="74">
        <v>1</v>
      </c>
      <c r="O1063" s="74" t="s">
        <v>21369</v>
      </c>
      <c r="P1063" s="74" t="s">
        <v>21343</v>
      </c>
      <c r="Q1063" s="74" t="s">
        <v>21586</v>
      </c>
      <c r="R1063" s="74" t="s">
        <v>148</v>
      </c>
      <c r="S1063" s="74" t="s">
        <v>21338</v>
      </c>
      <c r="T1063" s="74" t="s">
        <v>21371</v>
      </c>
      <c r="U1063" s="74">
        <v>0</v>
      </c>
      <c r="V1063" s="74">
        <v>0</v>
      </c>
    </row>
    <row r="1064" spans="3:22" x14ac:dyDescent="0.25">
      <c r="C1064" s="74" t="s">
        <v>21386</v>
      </c>
      <c r="D1064" s="74" t="s">
        <v>148</v>
      </c>
      <c r="E1064" s="74" t="s">
        <v>21338</v>
      </c>
      <c r="F1064" s="74">
        <v>674396</v>
      </c>
      <c r="G1064" s="74">
        <v>3</v>
      </c>
      <c r="H1064" s="135">
        <v>42991.524664351855</v>
      </c>
      <c r="I1064" s="74" t="s">
        <v>21339</v>
      </c>
      <c r="J1064" s="74" t="s">
        <v>21364</v>
      </c>
      <c r="K1064" s="74" t="s">
        <v>21581</v>
      </c>
      <c r="L1064" s="74">
        <v>908517</v>
      </c>
      <c r="M1064" s="74" t="s">
        <v>21341</v>
      </c>
      <c r="N1064" s="74">
        <v>1</v>
      </c>
      <c r="O1064" s="74" t="s">
        <v>21342</v>
      </c>
      <c r="P1064" s="74" t="s">
        <v>21343</v>
      </c>
      <c r="Q1064" s="74">
        <v>0</v>
      </c>
      <c r="R1064" s="74" t="s">
        <v>148</v>
      </c>
      <c r="S1064" s="74" t="s">
        <v>21338</v>
      </c>
      <c r="T1064" s="74" t="s">
        <v>402</v>
      </c>
      <c r="U1064" s="74">
        <v>0</v>
      </c>
      <c r="V1064" s="74">
        <v>0</v>
      </c>
    </row>
    <row r="1065" spans="3:22" x14ac:dyDescent="0.25">
      <c r="C1065" s="74" t="s">
        <v>735</v>
      </c>
      <c r="D1065" s="74" t="s">
        <v>148</v>
      </c>
      <c r="E1065" s="74" t="s">
        <v>21338</v>
      </c>
      <c r="F1065" s="74">
        <v>570025</v>
      </c>
      <c r="G1065" s="74">
        <v>3</v>
      </c>
      <c r="H1065" s="135">
        <v>42991.524537037039</v>
      </c>
      <c r="I1065" s="74" t="s">
        <v>21339</v>
      </c>
      <c r="J1065" s="74" t="s">
        <v>21364</v>
      </c>
      <c r="K1065" s="74" t="s">
        <v>21505</v>
      </c>
      <c r="L1065" s="74">
        <v>908518</v>
      </c>
      <c r="M1065" s="74" t="s">
        <v>21341</v>
      </c>
      <c r="N1065" s="74">
        <v>1</v>
      </c>
      <c r="O1065" s="74" t="s">
        <v>21342</v>
      </c>
      <c r="P1065" s="74" t="s">
        <v>21343</v>
      </c>
      <c r="Q1065" s="74">
        <v>0</v>
      </c>
      <c r="R1065" s="74" t="s">
        <v>148</v>
      </c>
      <c r="S1065" s="74" t="s">
        <v>21338</v>
      </c>
      <c r="T1065" s="74" t="s">
        <v>402</v>
      </c>
      <c r="U1065" s="74">
        <v>0</v>
      </c>
      <c r="V1065" s="74">
        <v>0</v>
      </c>
    </row>
    <row r="1066" spans="3:22" x14ac:dyDescent="0.25">
      <c r="C1066" s="74" t="s">
        <v>21386</v>
      </c>
      <c r="D1066" s="74" t="s">
        <v>148</v>
      </c>
      <c r="E1066" s="74" t="s">
        <v>21338</v>
      </c>
      <c r="F1066" s="74">
        <v>674396</v>
      </c>
      <c r="G1066" s="74">
        <v>3</v>
      </c>
      <c r="H1066" s="135">
        <v>42991.524444444447</v>
      </c>
      <c r="I1066" s="74" t="s">
        <v>21339</v>
      </c>
      <c r="J1066" s="74" t="s">
        <v>21364</v>
      </c>
      <c r="K1066" s="74" t="s">
        <v>21581</v>
      </c>
      <c r="L1066" s="74">
        <v>908517</v>
      </c>
      <c r="M1066" s="74" t="s">
        <v>21341</v>
      </c>
      <c r="N1066" s="74">
        <v>1</v>
      </c>
      <c r="O1066" s="74" t="s">
        <v>21342</v>
      </c>
      <c r="P1066" s="74" t="s">
        <v>21343</v>
      </c>
      <c r="Q1066" s="74">
        <v>0</v>
      </c>
      <c r="R1066" s="74" t="s">
        <v>148</v>
      </c>
      <c r="S1066" s="74" t="s">
        <v>21338</v>
      </c>
      <c r="T1066" s="74" t="s">
        <v>402</v>
      </c>
      <c r="U1066" s="74">
        <v>0</v>
      </c>
      <c r="V1066" s="74">
        <v>0</v>
      </c>
    </row>
    <row r="1067" spans="3:22" x14ac:dyDescent="0.25">
      <c r="C1067" s="74" t="s">
        <v>735</v>
      </c>
      <c r="D1067" s="74" t="s">
        <v>148</v>
      </c>
      <c r="E1067" s="74" t="s">
        <v>21338</v>
      </c>
      <c r="F1067" s="74">
        <v>570025</v>
      </c>
      <c r="G1067" s="74">
        <v>3</v>
      </c>
      <c r="H1067" s="135">
        <v>42991.524236111109</v>
      </c>
      <c r="I1067" s="74" t="s">
        <v>21398</v>
      </c>
      <c r="J1067" s="74" t="s">
        <v>21400</v>
      </c>
      <c r="K1067" s="74" t="s">
        <v>21505</v>
      </c>
      <c r="L1067" s="74">
        <v>908518</v>
      </c>
      <c r="M1067" s="74" t="s">
        <v>21341</v>
      </c>
      <c r="N1067" s="74">
        <v>1</v>
      </c>
      <c r="O1067" s="74" t="s">
        <v>21342</v>
      </c>
      <c r="P1067" s="74" t="s">
        <v>21343</v>
      </c>
      <c r="Q1067" s="74" t="s">
        <v>21587</v>
      </c>
      <c r="R1067" s="74" t="s">
        <v>148</v>
      </c>
      <c r="S1067" s="74" t="s">
        <v>21338</v>
      </c>
      <c r="T1067" s="74" t="s">
        <v>402</v>
      </c>
      <c r="U1067" s="74">
        <v>0</v>
      </c>
      <c r="V1067" s="74">
        <v>0</v>
      </c>
    </row>
    <row r="1068" spans="3:22" x14ac:dyDescent="0.25">
      <c r="C1068" s="74" t="s">
        <v>21386</v>
      </c>
      <c r="D1068" s="74" t="s">
        <v>148</v>
      </c>
      <c r="E1068" s="74" t="s">
        <v>21338</v>
      </c>
      <c r="F1068" s="74">
        <v>674396</v>
      </c>
      <c r="G1068" s="74">
        <v>3</v>
      </c>
      <c r="H1068" s="135">
        <v>42991.524155092593</v>
      </c>
      <c r="I1068" s="74" t="s">
        <v>21398</v>
      </c>
      <c r="J1068" s="74" t="s">
        <v>21400</v>
      </c>
      <c r="K1068" s="74" t="s">
        <v>21581</v>
      </c>
      <c r="L1068" s="74">
        <v>908517</v>
      </c>
      <c r="M1068" s="74" t="s">
        <v>21341</v>
      </c>
      <c r="N1068" s="74">
        <v>1</v>
      </c>
      <c r="O1068" s="74" t="s">
        <v>21342</v>
      </c>
      <c r="P1068" s="74" t="s">
        <v>21343</v>
      </c>
      <c r="Q1068" s="74" t="s">
        <v>21588</v>
      </c>
      <c r="R1068" s="74" t="s">
        <v>148</v>
      </c>
      <c r="S1068" s="74" t="s">
        <v>21338</v>
      </c>
      <c r="T1068" s="74" t="s">
        <v>402</v>
      </c>
      <c r="U1068" s="74">
        <v>0</v>
      </c>
      <c r="V1068" s="74">
        <v>0</v>
      </c>
    </row>
    <row r="1069" spans="3:22" x14ac:dyDescent="0.25">
      <c r="C1069" s="74" t="s">
        <v>18795</v>
      </c>
      <c r="D1069" s="74" t="s">
        <v>148</v>
      </c>
      <c r="E1069" s="74" t="s">
        <v>21338</v>
      </c>
      <c r="F1069" s="74">
        <v>551367</v>
      </c>
      <c r="G1069" s="74">
        <v>1000</v>
      </c>
      <c r="H1069" s="135">
        <v>42991.517939814818</v>
      </c>
      <c r="I1069" s="74" t="s">
        <v>21339</v>
      </c>
      <c r="J1069" s="74" t="s">
        <v>21340</v>
      </c>
      <c r="K1069" s="74" t="s">
        <v>19054</v>
      </c>
      <c r="L1069" s="74">
        <v>554066</v>
      </c>
      <c r="M1069" s="74" t="s">
        <v>21341</v>
      </c>
      <c r="N1069" s="74">
        <v>1</v>
      </c>
      <c r="O1069" s="74" t="s">
        <v>21342</v>
      </c>
      <c r="P1069" s="74" t="s">
        <v>21343</v>
      </c>
      <c r="Q1069" s="74">
        <v>0</v>
      </c>
      <c r="R1069" s="74" t="s">
        <v>148</v>
      </c>
      <c r="S1069" s="74" t="s">
        <v>21338</v>
      </c>
      <c r="T1069" s="74" t="s">
        <v>402</v>
      </c>
      <c r="U1069" s="74">
        <v>0</v>
      </c>
      <c r="V1069" s="74">
        <v>0</v>
      </c>
    </row>
    <row r="1070" spans="3:22" x14ac:dyDescent="0.25">
      <c r="C1070" s="74" t="s">
        <v>735</v>
      </c>
      <c r="D1070" s="74" t="s">
        <v>148</v>
      </c>
      <c r="E1070" s="74" t="s">
        <v>21338</v>
      </c>
      <c r="F1070" s="74">
        <v>570025</v>
      </c>
      <c r="G1070" s="74">
        <v>3</v>
      </c>
      <c r="H1070" s="135">
        <v>42991.497812499998</v>
      </c>
      <c r="I1070" s="74" t="s">
        <v>21339</v>
      </c>
      <c r="J1070" s="74" t="s">
        <v>21364</v>
      </c>
      <c r="K1070" s="74" t="s">
        <v>21589</v>
      </c>
      <c r="L1070" s="74">
        <v>893947</v>
      </c>
      <c r="M1070" s="74" t="s">
        <v>21341</v>
      </c>
      <c r="N1070" s="74">
        <v>1</v>
      </c>
      <c r="O1070" s="74" t="s">
        <v>21342</v>
      </c>
      <c r="P1070" s="74" t="s">
        <v>21343</v>
      </c>
      <c r="Q1070" s="74">
        <v>0</v>
      </c>
      <c r="R1070" s="74" t="s">
        <v>148</v>
      </c>
      <c r="S1070" s="74" t="s">
        <v>21338</v>
      </c>
      <c r="T1070" s="74" t="s">
        <v>402</v>
      </c>
      <c r="U1070" s="74">
        <v>0</v>
      </c>
      <c r="V1070" s="74">
        <v>0</v>
      </c>
    </row>
    <row r="1071" spans="3:22" x14ac:dyDescent="0.25">
      <c r="C1071" s="74" t="s">
        <v>735</v>
      </c>
      <c r="D1071" s="74" t="s">
        <v>148</v>
      </c>
      <c r="E1071" s="74" t="s">
        <v>21338</v>
      </c>
      <c r="F1071" s="74">
        <v>570025</v>
      </c>
      <c r="G1071" s="74">
        <v>3</v>
      </c>
      <c r="H1071" s="135">
        <v>42991.497800925928</v>
      </c>
      <c r="I1071" s="74" t="s">
        <v>21365</v>
      </c>
      <c r="J1071" s="74" t="s">
        <v>21366</v>
      </c>
      <c r="K1071" s="74" t="s">
        <v>21367</v>
      </c>
      <c r="L1071" s="74">
        <v>561482</v>
      </c>
      <c r="M1071" s="74" t="s">
        <v>21368</v>
      </c>
      <c r="N1071" s="74">
        <v>1</v>
      </c>
      <c r="O1071" s="74" t="s">
        <v>21369</v>
      </c>
      <c r="P1071" s="74" t="s">
        <v>21343</v>
      </c>
      <c r="Q1071" s="74" t="s">
        <v>21590</v>
      </c>
      <c r="R1071" s="74" t="s">
        <v>148</v>
      </c>
      <c r="S1071" s="74" t="s">
        <v>21338</v>
      </c>
      <c r="T1071" s="74" t="s">
        <v>21371</v>
      </c>
      <c r="U1071" s="74">
        <v>0</v>
      </c>
      <c r="V1071" s="74">
        <v>0</v>
      </c>
    </row>
    <row r="1072" spans="3:22" x14ac:dyDescent="0.25">
      <c r="C1072" s="74" t="s">
        <v>735</v>
      </c>
      <c r="D1072" s="74" t="s">
        <v>148</v>
      </c>
      <c r="E1072" s="74" t="s">
        <v>21338</v>
      </c>
      <c r="F1072" s="74">
        <v>570025</v>
      </c>
      <c r="G1072" s="74">
        <v>3</v>
      </c>
      <c r="H1072" s="135">
        <v>42991.497789351852</v>
      </c>
      <c r="I1072" s="74" t="s">
        <v>21365</v>
      </c>
      <c r="J1072" s="74" t="s">
        <v>21366</v>
      </c>
      <c r="K1072" s="74" t="s">
        <v>21381</v>
      </c>
      <c r="L1072" s="74">
        <v>555660</v>
      </c>
      <c r="M1072" s="74" t="s">
        <v>21368</v>
      </c>
      <c r="N1072" s="74">
        <v>1</v>
      </c>
      <c r="O1072" s="74" t="s">
        <v>21369</v>
      </c>
      <c r="P1072" s="74" t="s">
        <v>21343</v>
      </c>
      <c r="Q1072" s="74" t="s">
        <v>21590</v>
      </c>
      <c r="R1072" s="74" t="s">
        <v>148</v>
      </c>
      <c r="S1072" s="74" t="s">
        <v>21338</v>
      </c>
      <c r="T1072" s="74" t="s">
        <v>21371</v>
      </c>
      <c r="U1072" s="74">
        <v>0</v>
      </c>
      <c r="V1072" s="74">
        <v>0</v>
      </c>
    </row>
    <row r="1073" spans="3:22" x14ac:dyDescent="0.25">
      <c r="C1073" s="74" t="s">
        <v>735</v>
      </c>
      <c r="D1073" s="74" t="s">
        <v>148</v>
      </c>
      <c r="E1073" s="74" t="s">
        <v>21338</v>
      </c>
      <c r="F1073" s="74">
        <v>570025</v>
      </c>
      <c r="G1073" s="74">
        <v>3</v>
      </c>
      <c r="H1073" s="135">
        <v>42991.497766203705</v>
      </c>
      <c r="I1073" s="74" t="s">
        <v>21339</v>
      </c>
      <c r="J1073" s="74" t="s">
        <v>21364</v>
      </c>
      <c r="K1073" s="74" t="s">
        <v>21589</v>
      </c>
      <c r="L1073" s="74">
        <v>893947</v>
      </c>
      <c r="M1073" s="74" t="s">
        <v>21341</v>
      </c>
      <c r="N1073" s="74">
        <v>1</v>
      </c>
      <c r="O1073" s="74" t="s">
        <v>21342</v>
      </c>
      <c r="P1073" s="74" t="s">
        <v>21343</v>
      </c>
      <c r="Q1073" s="74">
        <v>0</v>
      </c>
      <c r="R1073" s="74" t="s">
        <v>148</v>
      </c>
      <c r="S1073" s="74" t="s">
        <v>21338</v>
      </c>
      <c r="T1073" s="74" t="s">
        <v>402</v>
      </c>
      <c r="U1073" s="74">
        <v>0</v>
      </c>
      <c r="V1073" s="74">
        <v>0</v>
      </c>
    </row>
    <row r="1074" spans="3:22" x14ac:dyDescent="0.25">
      <c r="C1074" s="74" t="s">
        <v>735</v>
      </c>
      <c r="D1074" s="74" t="s">
        <v>148</v>
      </c>
      <c r="E1074" s="74" t="s">
        <v>21338</v>
      </c>
      <c r="F1074" s="74">
        <v>570025</v>
      </c>
      <c r="G1074" s="74">
        <v>3</v>
      </c>
      <c r="H1074" s="135">
        <v>42991.497708333336</v>
      </c>
      <c r="I1074" s="74" t="s">
        <v>21339</v>
      </c>
      <c r="J1074" s="74" t="s">
        <v>21364</v>
      </c>
      <c r="K1074" s="74" t="s">
        <v>21589</v>
      </c>
      <c r="L1074" s="74">
        <v>893947</v>
      </c>
      <c r="M1074" s="74" t="s">
        <v>21341</v>
      </c>
      <c r="N1074" s="74">
        <v>1</v>
      </c>
      <c r="O1074" s="74" t="s">
        <v>21342</v>
      </c>
      <c r="P1074" s="74" t="s">
        <v>21343</v>
      </c>
      <c r="Q1074" s="74">
        <v>0</v>
      </c>
      <c r="R1074" s="74" t="s">
        <v>148</v>
      </c>
      <c r="S1074" s="74" t="s">
        <v>21338</v>
      </c>
      <c r="T1074" s="74" t="s">
        <v>402</v>
      </c>
      <c r="U1074" s="74">
        <v>0</v>
      </c>
      <c r="V1074" s="74">
        <v>0</v>
      </c>
    </row>
    <row r="1075" spans="3:22" x14ac:dyDescent="0.25">
      <c r="C1075" s="74" t="s">
        <v>18795</v>
      </c>
      <c r="D1075" s="74" t="s">
        <v>148</v>
      </c>
      <c r="E1075" s="74" t="s">
        <v>21338</v>
      </c>
      <c r="F1075" s="74">
        <v>551367</v>
      </c>
      <c r="G1075" s="74">
        <v>1000</v>
      </c>
      <c r="H1075" s="135">
        <v>42991.491203703707</v>
      </c>
      <c r="I1075" s="74" t="s">
        <v>21339</v>
      </c>
      <c r="J1075" s="74" t="s">
        <v>21340</v>
      </c>
      <c r="K1075" s="74" t="s">
        <v>11128</v>
      </c>
      <c r="L1075" s="74">
        <v>553067</v>
      </c>
      <c r="M1075" s="74" t="s">
        <v>21341</v>
      </c>
      <c r="N1075" s="74">
        <v>1</v>
      </c>
      <c r="O1075" s="74" t="s">
        <v>21342</v>
      </c>
      <c r="P1075" s="74" t="s">
        <v>21343</v>
      </c>
      <c r="Q1075" s="74">
        <v>0</v>
      </c>
      <c r="R1075" s="74" t="s">
        <v>148</v>
      </c>
      <c r="S1075" s="74" t="s">
        <v>21338</v>
      </c>
      <c r="T1075" s="74" t="s">
        <v>402</v>
      </c>
      <c r="U1075" s="74">
        <v>0</v>
      </c>
      <c r="V1075" s="74">
        <v>0</v>
      </c>
    </row>
    <row r="1076" spans="3:22" x14ac:dyDescent="0.25">
      <c r="C1076" s="74" t="s">
        <v>21386</v>
      </c>
      <c r="D1076" s="74" t="s">
        <v>148</v>
      </c>
      <c r="E1076" s="74" t="s">
        <v>21338</v>
      </c>
      <c r="F1076" s="74">
        <v>674396</v>
      </c>
      <c r="G1076" s="74">
        <v>3</v>
      </c>
      <c r="H1076" s="135">
        <v>42991.490266203706</v>
      </c>
      <c r="I1076" s="74" t="s">
        <v>21339</v>
      </c>
      <c r="J1076" s="74" t="s">
        <v>21362</v>
      </c>
      <c r="K1076" s="74" t="s">
        <v>5416</v>
      </c>
      <c r="L1076" s="74">
        <v>552330</v>
      </c>
      <c r="M1076" s="74" t="s">
        <v>21341</v>
      </c>
      <c r="N1076" s="74">
        <v>1</v>
      </c>
      <c r="O1076" s="74" t="s">
        <v>21342</v>
      </c>
      <c r="P1076" s="74" t="s">
        <v>21343</v>
      </c>
      <c r="Q1076" s="74" t="s">
        <v>21363</v>
      </c>
      <c r="R1076" s="74" t="s">
        <v>148</v>
      </c>
      <c r="S1076" s="74" t="s">
        <v>21338</v>
      </c>
      <c r="T1076" s="74" t="s">
        <v>393</v>
      </c>
      <c r="U1076" s="74">
        <v>0</v>
      </c>
      <c r="V1076" s="74">
        <v>0</v>
      </c>
    </row>
    <row r="1077" spans="3:22" x14ac:dyDescent="0.25">
      <c r="C1077" s="74" t="s">
        <v>21386</v>
      </c>
      <c r="D1077" s="74" t="s">
        <v>148</v>
      </c>
      <c r="E1077" s="74" t="s">
        <v>21338</v>
      </c>
      <c r="F1077" s="74">
        <v>674396</v>
      </c>
      <c r="G1077" s="74">
        <v>3</v>
      </c>
      <c r="H1077" s="135">
        <v>42991.486863425926</v>
      </c>
      <c r="I1077" s="74" t="s">
        <v>21365</v>
      </c>
      <c r="J1077" s="74" t="s">
        <v>21366</v>
      </c>
      <c r="K1077" s="74" t="s">
        <v>21517</v>
      </c>
      <c r="L1077" s="74">
        <v>555675</v>
      </c>
      <c r="M1077" s="74" t="s">
        <v>21368</v>
      </c>
      <c r="N1077" s="74">
        <v>1</v>
      </c>
      <c r="O1077" s="74" t="s">
        <v>21369</v>
      </c>
      <c r="P1077" s="74" t="s">
        <v>21343</v>
      </c>
      <c r="Q1077" s="74" t="s">
        <v>21591</v>
      </c>
      <c r="R1077" s="74" t="s">
        <v>148</v>
      </c>
      <c r="S1077" s="74" t="s">
        <v>21338</v>
      </c>
      <c r="T1077" s="74" t="s">
        <v>21371</v>
      </c>
      <c r="U1077" s="74">
        <v>0</v>
      </c>
      <c r="V1077" s="74">
        <v>0</v>
      </c>
    </row>
    <row r="1078" spans="3:22" x14ac:dyDescent="0.25">
      <c r="C1078" s="74" t="s">
        <v>21386</v>
      </c>
      <c r="D1078" s="74" t="s">
        <v>148</v>
      </c>
      <c r="E1078" s="74" t="s">
        <v>21338</v>
      </c>
      <c r="F1078" s="74">
        <v>674396</v>
      </c>
      <c r="G1078" s="74">
        <v>3</v>
      </c>
      <c r="H1078" s="135">
        <v>42991.486863425926</v>
      </c>
      <c r="I1078" s="74" t="s">
        <v>21339</v>
      </c>
      <c r="J1078" s="74" t="s">
        <v>21364</v>
      </c>
      <c r="K1078" s="74" t="s">
        <v>5416</v>
      </c>
      <c r="L1078" s="74">
        <v>552330</v>
      </c>
      <c r="M1078" s="74" t="s">
        <v>21341</v>
      </c>
      <c r="N1078" s="74">
        <v>1</v>
      </c>
      <c r="O1078" s="74" t="s">
        <v>21342</v>
      </c>
      <c r="P1078" s="74" t="s">
        <v>21343</v>
      </c>
      <c r="Q1078" s="74">
        <v>0</v>
      </c>
      <c r="R1078" s="74" t="s">
        <v>148</v>
      </c>
      <c r="S1078" s="74" t="s">
        <v>21338</v>
      </c>
      <c r="T1078" s="74" t="s">
        <v>402</v>
      </c>
      <c r="U1078" s="74">
        <v>0</v>
      </c>
      <c r="V1078" s="74">
        <v>0</v>
      </c>
    </row>
    <row r="1079" spans="3:22" x14ac:dyDescent="0.25">
      <c r="C1079" s="74" t="s">
        <v>21386</v>
      </c>
      <c r="D1079" s="74" t="s">
        <v>148</v>
      </c>
      <c r="E1079" s="74" t="s">
        <v>21338</v>
      </c>
      <c r="F1079" s="74">
        <v>674396</v>
      </c>
      <c r="G1079" s="74">
        <v>3</v>
      </c>
      <c r="H1079" s="135">
        <v>42991.486851851849</v>
      </c>
      <c r="I1079" s="74" t="s">
        <v>21365</v>
      </c>
      <c r="J1079" s="74" t="s">
        <v>21366</v>
      </c>
      <c r="K1079" s="74" t="s">
        <v>21367</v>
      </c>
      <c r="L1079" s="74">
        <v>561482</v>
      </c>
      <c r="M1079" s="74" t="s">
        <v>21368</v>
      </c>
      <c r="N1079" s="74">
        <v>1</v>
      </c>
      <c r="O1079" s="74" t="s">
        <v>21369</v>
      </c>
      <c r="P1079" s="74" t="s">
        <v>21343</v>
      </c>
      <c r="Q1079" s="74" t="s">
        <v>21591</v>
      </c>
      <c r="R1079" s="74" t="s">
        <v>148</v>
      </c>
      <c r="S1079" s="74" t="s">
        <v>21338</v>
      </c>
      <c r="T1079" s="74" t="s">
        <v>21371</v>
      </c>
      <c r="U1079" s="74">
        <v>0</v>
      </c>
      <c r="V1079" s="74">
        <v>0</v>
      </c>
    </row>
    <row r="1080" spans="3:22" x14ac:dyDescent="0.25">
      <c r="C1080" s="74" t="s">
        <v>21386</v>
      </c>
      <c r="D1080" s="74" t="s">
        <v>148</v>
      </c>
      <c r="E1080" s="74" t="s">
        <v>21338</v>
      </c>
      <c r="F1080" s="74">
        <v>674396</v>
      </c>
      <c r="G1080" s="74">
        <v>3</v>
      </c>
      <c r="H1080" s="135">
        <v>42991.486828703702</v>
      </c>
      <c r="I1080" s="74" t="s">
        <v>21365</v>
      </c>
      <c r="J1080" s="74" t="s">
        <v>21366</v>
      </c>
      <c r="K1080" s="74" t="s">
        <v>21592</v>
      </c>
      <c r="L1080" s="74">
        <v>561089</v>
      </c>
      <c r="M1080" s="74" t="s">
        <v>21368</v>
      </c>
      <c r="N1080" s="74">
        <v>1</v>
      </c>
      <c r="O1080" s="74" t="s">
        <v>21369</v>
      </c>
      <c r="P1080" s="74" t="s">
        <v>21343</v>
      </c>
      <c r="Q1080" s="74" t="s">
        <v>21591</v>
      </c>
      <c r="R1080" s="74" t="s">
        <v>148</v>
      </c>
      <c r="S1080" s="74" t="s">
        <v>21338</v>
      </c>
      <c r="T1080" s="74" t="s">
        <v>21371</v>
      </c>
      <c r="U1080" s="74">
        <v>0</v>
      </c>
      <c r="V1080" s="74">
        <v>0</v>
      </c>
    </row>
    <row r="1081" spans="3:22" x14ac:dyDescent="0.25">
      <c r="C1081" s="74" t="s">
        <v>21386</v>
      </c>
      <c r="D1081" s="74" t="s">
        <v>148</v>
      </c>
      <c r="E1081" s="74" t="s">
        <v>21338</v>
      </c>
      <c r="F1081" s="74">
        <v>674396</v>
      </c>
      <c r="G1081" s="74">
        <v>3</v>
      </c>
      <c r="H1081" s="135">
        <v>42991.486828703702</v>
      </c>
      <c r="I1081" s="74" t="s">
        <v>21365</v>
      </c>
      <c r="J1081" s="74" t="s">
        <v>21366</v>
      </c>
      <c r="K1081" s="74" t="s">
        <v>21372</v>
      </c>
      <c r="L1081" s="74">
        <v>555674</v>
      </c>
      <c r="M1081" s="74" t="s">
        <v>21368</v>
      </c>
      <c r="N1081" s="74">
        <v>1</v>
      </c>
      <c r="O1081" s="74" t="s">
        <v>21369</v>
      </c>
      <c r="P1081" s="74" t="s">
        <v>21343</v>
      </c>
      <c r="Q1081" s="74" t="s">
        <v>21591</v>
      </c>
      <c r="R1081" s="74" t="s">
        <v>148</v>
      </c>
      <c r="S1081" s="74" t="s">
        <v>21338</v>
      </c>
      <c r="T1081" s="74" t="s">
        <v>21371</v>
      </c>
      <c r="U1081" s="74">
        <v>0</v>
      </c>
      <c r="V1081" s="74">
        <v>0</v>
      </c>
    </row>
    <row r="1082" spans="3:22" x14ac:dyDescent="0.25">
      <c r="C1082" s="74" t="s">
        <v>21386</v>
      </c>
      <c r="D1082" s="74" t="s">
        <v>148</v>
      </c>
      <c r="E1082" s="74" t="s">
        <v>21338</v>
      </c>
      <c r="F1082" s="74">
        <v>674396</v>
      </c>
      <c r="G1082" s="74">
        <v>3</v>
      </c>
      <c r="H1082" s="135">
        <v>42991.486817129633</v>
      </c>
      <c r="I1082" s="74" t="s">
        <v>21365</v>
      </c>
      <c r="J1082" s="74" t="s">
        <v>21366</v>
      </c>
      <c r="K1082" s="74" t="s">
        <v>21373</v>
      </c>
      <c r="L1082" s="74">
        <v>555662</v>
      </c>
      <c r="M1082" s="74" t="s">
        <v>21368</v>
      </c>
      <c r="N1082" s="74">
        <v>1</v>
      </c>
      <c r="O1082" s="74" t="s">
        <v>21369</v>
      </c>
      <c r="P1082" s="74" t="s">
        <v>21343</v>
      </c>
      <c r="Q1082" s="74" t="s">
        <v>21591</v>
      </c>
      <c r="R1082" s="74" t="s">
        <v>148</v>
      </c>
      <c r="S1082" s="74" t="s">
        <v>21338</v>
      </c>
      <c r="T1082" s="74" t="s">
        <v>21371</v>
      </c>
      <c r="U1082" s="74">
        <v>0</v>
      </c>
      <c r="V1082" s="74">
        <v>0</v>
      </c>
    </row>
    <row r="1083" spans="3:22" x14ac:dyDescent="0.25">
      <c r="C1083" s="74" t="s">
        <v>21386</v>
      </c>
      <c r="D1083" s="74" t="s">
        <v>148</v>
      </c>
      <c r="E1083" s="74" t="s">
        <v>21338</v>
      </c>
      <c r="F1083" s="74">
        <v>674396</v>
      </c>
      <c r="G1083" s="74">
        <v>3</v>
      </c>
      <c r="H1083" s="135">
        <v>42991.486805555556</v>
      </c>
      <c r="I1083" s="74" t="s">
        <v>21365</v>
      </c>
      <c r="J1083" s="74" t="s">
        <v>21366</v>
      </c>
      <c r="K1083" s="74" t="s">
        <v>21374</v>
      </c>
      <c r="L1083" s="74">
        <v>555669</v>
      </c>
      <c r="M1083" s="74" t="s">
        <v>21368</v>
      </c>
      <c r="N1083" s="74">
        <v>1</v>
      </c>
      <c r="O1083" s="74" t="s">
        <v>21369</v>
      </c>
      <c r="P1083" s="74" t="s">
        <v>21343</v>
      </c>
      <c r="Q1083" s="74" t="s">
        <v>21591</v>
      </c>
      <c r="R1083" s="74" t="s">
        <v>148</v>
      </c>
      <c r="S1083" s="74" t="s">
        <v>21338</v>
      </c>
      <c r="T1083" s="74" t="s">
        <v>21371</v>
      </c>
      <c r="U1083" s="74">
        <v>0</v>
      </c>
      <c r="V1083" s="74">
        <v>0</v>
      </c>
    </row>
    <row r="1084" spans="3:22" x14ac:dyDescent="0.25">
      <c r="C1084" s="74" t="s">
        <v>21386</v>
      </c>
      <c r="D1084" s="74" t="s">
        <v>148</v>
      </c>
      <c r="E1084" s="74" t="s">
        <v>21338</v>
      </c>
      <c r="F1084" s="74">
        <v>674396</v>
      </c>
      <c r="G1084" s="74">
        <v>3</v>
      </c>
      <c r="H1084" s="135">
        <v>42991.486793981479</v>
      </c>
      <c r="I1084" s="74" t="s">
        <v>21365</v>
      </c>
      <c r="J1084" s="74" t="s">
        <v>21366</v>
      </c>
      <c r="K1084" s="74" t="s">
        <v>21376</v>
      </c>
      <c r="L1084" s="74">
        <v>555659</v>
      </c>
      <c r="M1084" s="74" t="s">
        <v>21368</v>
      </c>
      <c r="N1084" s="74">
        <v>1</v>
      </c>
      <c r="O1084" s="74" t="s">
        <v>21369</v>
      </c>
      <c r="P1084" s="74" t="s">
        <v>21343</v>
      </c>
      <c r="Q1084" s="74" t="s">
        <v>21591</v>
      </c>
      <c r="R1084" s="74" t="s">
        <v>148</v>
      </c>
      <c r="S1084" s="74" t="s">
        <v>21338</v>
      </c>
      <c r="T1084" s="74" t="s">
        <v>21371</v>
      </c>
      <c r="U1084" s="74">
        <v>0</v>
      </c>
      <c r="V1084" s="74">
        <v>0</v>
      </c>
    </row>
    <row r="1085" spans="3:22" x14ac:dyDescent="0.25">
      <c r="C1085" s="74" t="s">
        <v>21386</v>
      </c>
      <c r="D1085" s="74" t="s">
        <v>148</v>
      </c>
      <c r="E1085" s="74" t="s">
        <v>21338</v>
      </c>
      <c r="F1085" s="74">
        <v>674396</v>
      </c>
      <c r="G1085" s="74">
        <v>3</v>
      </c>
      <c r="H1085" s="135">
        <v>42991.48678240741</v>
      </c>
      <c r="I1085" s="74" t="s">
        <v>21365</v>
      </c>
      <c r="J1085" s="74" t="s">
        <v>21366</v>
      </c>
      <c r="K1085" s="74" t="s">
        <v>21377</v>
      </c>
      <c r="L1085" s="74">
        <v>555668</v>
      </c>
      <c r="M1085" s="74" t="s">
        <v>21368</v>
      </c>
      <c r="N1085" s="74">
        <v>1</v>
      </c>
      <c r="O1085" s="74" t="s">
        <v>21369</v>
      </c>
      <c r="P1085" s="74" t="s">
        <v>21343</v>
      </c>
      <c r="Q1085" s="74" t="s">
        <v>21591</v>
      </c>
      <c r="R1085" s="74" t="s">
        <v>148</v>
      </c>
      <c r="S1085" s="74" t="s">
        <v>21338</v>
      </c>
      <c r="T1085" s="74" t="s">
        <v>21371</v>
      </c>
      <c r="U1085" s="74">
        <v>0</v>
      </c>
      <c r="V1085" s="74">
        <v>0</v>
      </c>
    </row>
    <row r="1086" spans="3:22" x14ac:dyDescent="0.25">
      <c r="C1086" s="74" t="s">
        <v>21386</v>
      </c>
      <c r="D1086" s="74" t="s">
        <v>148</v>
      </c>
      <c r="E1086" s="74" t="s">
        <v>21338</v>
      </c>
      <c r="F1086" s="74">
        <v>674396</v>
      </c>
      <c r="G1086" s="74">
        <v>3</v>
      </c>
      <c r="H1086" s="135">
        <v>42991.486747685187</v>
      </c>
      <c r="I1086" s="74" t="s">
        <v>21339</v>
      </c>
      <c r="J1086" s="74" t="s">
        <v>21364</v>
      </c>
      <c r="K1086" s="74" t="s">
        <v>5416</v>
      </c>
      <c r="L1086" s="74">
        <v>552330</v>
      </c>
      <c r="M1086" s="74" t="s">
        <v>21341</v>
      </c>
      <c r="N1086" s="74">
        <v>1</v>
      </c>
      <c r="O1086" s="74" t="s">
        <v>21342</v>
      </c>
      <c r="P1086" s="74" t="s">
        <v>21343</v>
      </c>
      <c r="Q1086" s="74">
        <v>0</v>
      </c>
      <c r="R1086" s="74" t="s">
        <v>148</v>
      </c>
      <c r="S1086" s="74" t="s">
        <v>21338</v>
      </c>
      <c r="T1086" s="74" t="s">
        <v>402</v>
      </c>
      <c r="U1086" s="74">
        <v>0</v>
      </c>
      <c r="V1086" s="74">
        <v>0</v>
      </c>
    </row>
    <row r="1087" spans="3:22" x14ac:dyDescent="0.25">
      <c r="C1087" s="74" t="s">
        <v>21386</v>
      </c>
      <c r="D1087" s="74" t="s">
        <v>148</v>
      </c>
      <c r="E1087" s="74" t="s">
        <v>21338</v>
      </c>
      <c r="F1087" s="74">
        <v>674396</v>
      </c>
      <c r="G1087" s="74">
        <v>3</v>
      </c>
      <c r="H1087" s="135">
        <v>42991.486631944441</v>
      </c>
      <c r="I1087" s="74" t="s">
        <v>21339</v>
      </c>
      <c r="J1087" s="74" t="s">
        <v>21360</v>
      </c>
      <c r="K1087" s="74" t="s">
        <v>5416</v>
      </c>
      <c r="L1087" s="74">
        <v>552330</v>
      </c>
      <c r="M1087" s="74" t="s">
        <v>21341</v>
      </c>
      <c r="N1087" s="74">
        <v>1</v>
      </c>
      <c r="O1087" s="74" t="s">
        <v>21342</v>
      </c>
      <c r="P1087" s="74" t="s">
        <v>21343</v>
      </c>
      <c r="Q1087" s="74" t="s">
        <v>21361</v>
      </c>
      <c r="R1087" s="74" t="s">
        <v>148</v>
      </c>
      <c r="S1087" s="74" t="s">
        <v>21338</v>
      </c>
      <c r="T1087" s="74" t="s">
        <v>402</v>
      </c>
      <c r="U1087" s="74">
        <v>0</v>
      </c>
      <c r="V1087" s="74">
        <v>0</v>
      </c>
    </row>
    <row r="1088" spans="3:22" x14ac:dyDescent="0.25">
      <c r="C1088" s="74" t="s">
        <v>21386</v>
      </c>
      <c r="D1088" s="74" t="s">
        <v>148</v>
      </c>
      <c r="E1088" s="74" t="s">
        <v>21338</v>
      </c>
      <c r="F1088" s="74">
        <v>674396</v>
      </c>
      <c r="G1088" s="74">
        <v>3</v>
      </c>
      <c r="H1088" s="135">
        <v>42991.486608796295</v>
      </c>
      <c r="I1088" s="74" t="s">
        <v>21339</v>
      </c>
      <c r="J1088" s="74" t="s">
        <v>21364</v>
      </c>
      <c r="K1088" s="74" t="s">
        <v>5416</v>
      </c>
      <c r="L1088" s="74">
        <v>552330</v>
      </c>
      <c r="M1088" s="74" t="s">
        <v>21341</v>
      </c>
      <c r="N1088" s="74">
        <v>1</v>
      </c>
      <c r="O1088" s="74" t="s">
        <v>21342</v>
      </c>
      <c r="P1088" s="74" t="s">
        <v>21343</v>
      </c>
      <c r="Q1088" s="74">
        <v>0</v>
      </c>
      <c r="R1088" s="74" t="s">
        <v>148</v>
      </c>
      <c r="S1088" s="74" t="s">
        <v>21338</v>
      </c>
      <c r="T1088" s="74" t="s">
        <v>402</v>
      </c>
      <c r="U1088" s="74">
        <v>0</v>
      </c>
      <c r="V1088" s="74">
        <v>0</v>
      </c>
    </row>
    <row r="1089" spans="3:22" x14ac:dyDescent="0.25">
      <c r="C1089" s="74" t="s">
        <v>21386</v>
      </c>
      <c r="D1089" s="74" t="s">
        <v>148</v>
      </c>
      <c r="E1089" s="74" t="s">
        <v>21338</v>
      </c>
      <c r="F1089" s="74">
        <v>674396</v>
      </c>
      <c r="G1089" s="74">
        <v>3</v>
      </c>
      <c r="H1089" s="135">
        <v>42991.486180555556</v>
      </c>
      <c r="I1089" s="74" t="s">
        <v>21339</v>
      </c>
      <c r="J1089" s="74" t="s">
        <v>21360</v>
      </c>
      <c r="K1089" s="74" t="s">
        <v>5416</v>
      </c>
      <c r="L1089" s="74">
        <v>552330</v>
      </c>
      <c r="M1089" s="74" t="s">
        <v>21341</v>
      </c>
      <c r="N1089" s="74">
        <v>1</v>
      </c>
      <c r="O1089" s="74" t="s">
        <v>21342</v>
      </c>
      <c r="P1089" s="74" t="s">
        <v>21343</v>
      </c>
      <c r="Q1089" s="74" t="s">
        <v>21361</v>
      </c>
      <c r="R1089" s="74" t="s">
        <v>148</v>
      </c>
      <c r="S1089" s="74" t="s">
        <v>21338</v>
      </c>
      <c r="T1089" s="74" t="s">
        <v>402</v>
      </c>
      <c r="U1089" s="74">
        <v>0</v>
      </c>
      <c r="V1089" s="74">
        <v>0</v>
      </c>
    </row>
    <row r="1090" spans="3:22" x14ac:dyDescent="0.25">
      <c r="C1090" s="74" t="s">
        <v>735</v>
      </c>
      <c r="D1090" s="74" t="s">
        <v>148</v>
      </c>
      <c r="E1090" s="74" t="s">
        <v>21338</v>
      </c>
      <c r="F1090" s="74">
        <v>570025</v>
      </c>
      <c r="G1090" s="74">
        <v>3</v>
      </c>
      <c r="H1090" s="135">
        <v>42991.481516203705</v>
      </c>
      <c r="I1090" s="74" t="s">
        <v>21339</v>
      </c>
      <c r="J1090" s="74" t="s">
        <v>21340</v>
      </c>
      <c r="K1090" s="74" t="s">
        <v>21589</v>
      </c>
      <c r="L1090" s="74">
        <v>893947</v>
      </c>
      <c r="M1090" s="74" t="s">
        <v>21341</v>
      </c>
      <c r="N1090" s="74">
        <v>1</v>
      </c>
      <c r="O1090" s="74" t="s">
        <v>21342</v>
      </c>
      <c r="P1090" s="74" t="s">
        <v>21343</v>
      </c>
      <c r="Q1090" s="74">
        <v>0</v>
      </c>
      <c r="R1090" s="74" t="s">
        <v>148</v>
      </c>
      <c r="S1090" s="74" t="s">
        <v>21338</v>
      </c>
      <c r="T1090" s="74" t="s">
        <v>402</v>
      </c>
      <c r="U1090" s="74">
        <v>0</v>
      </c>
      <c r="V1090" s="74">
        <v>0</v>
      </c>
    </row>
    <row r="1091" spans="3:22" x14ac:dyDescent="0.25">
      <c r="C1091" s="74" t="s">
        <v>735</v>
      </c>
      <c r="D1091" s="74" t="s">
        <v>148</v>
      </c>
      <c r="E1091" s="74" t="s">
        <v>21338</v>
      </c>
      <c r="F1091" s="74">
        <v>570025</v>
      </c>
      <c r="G1091" s="74">
        <v>3</v>
      </c>
      <c r="H1091" s="135">
        <v>42991.478819444441</v>
      </c>
      <c r="I1091" s="74" t="s">
        <v>21339</v>
      </c>
      <c r="J1091" s="74" t="s">
        <v>21391</v>
      </c>
      <c r="K1091" s="74" t="s">
        <v>21589</v>
      </c>
      <c r="L1091" s="74">
        <v>893947</v>
      </c>
      <c r="M1091" s="74" t="s">
        <v>21341</v>
      </c>
      <c r="N1091" s="74">
        <v>1</v>
      </c>
      <c r="O1091" s="74" t="s">
        <v>21342</v>
      </c>
      <c r="P1091" s="74" t="s">
        <v>21343</v>
      </c>
      <c r="Q1091" s="74" t="s">
        <v>21516</v>
      </c>
      <c r="R1091" s="74" t="s">
        <v>148</v>
      </c>
      <c r="S1091" s="74" t="s">
        <v>21338</v>
      </c>
      <c r="T1091" s="74" t="s">
        <v>402</v>
      </c>
      <c r="U1091" s="74">
        <v>0</v>
      </c>
      <c r="V1091" s="74">
        <v>0</v>
      </c>
    </row>
    <row r="1092" spans="3:22" x14ac:dyDescent="0.25">
      <c r="C1092" s="74" t="s">
        <v>735</v>
      </c>
      <c r="D1092" s="74" t="s">
        <v>148</v>
      </c>
      <c r="E1092" s="74" t="s">
        <v>21338</v>
      </c>
      <c r="F1092" s="74">
        <v>570025</v>
      </c>
      <c r="G1092" s="74">
        <v>3</v>
      </c>
      <c r="H1092" s="135">
        <v>42991.478819444441</v>
      </c>
      <c r="I1092" s="74" t="s">
        <v>21339</v>
      </c>
      <c r="J1092" s="74" t="s">
        <v>21391</v>
      </c>
      <c r="K1092" s="74" t="s">
        <v>21589</v>
      </c>
      <c r="L1092" s="74">
        <v>893947</v>
      </c>
      <c r="M1092" s="74" t="s">
        <v>21341</v>
      </c>
      <c r="N1092" s="74">
        <v>1</v>
      </c>
      <c r="O1092" s="74" t="s">
        <v>21342</v>
      </c>
      <c r="P1092" s="74" t="s">
        <v>21343</v>
      </c>
      <c r="Q1092" s="74" t="s">
        <v>21516</v>
      </c>
      <c r="R1092" s="74" t="s">
        <v>148</v>
      </c>
      <c r="S1092" s="74" t="s">
        <v>21338</v>
      </c>
      <c r="T1092" s="74" t="s">
        <v>402</v>
      </c>
      <c r="U1092" s="74">
        <v>0</v>
      </c>
      <c r="V1092" s="74">
        <v>0</v>
      </c>
    </row>
    <row r="1093" spans="3:22" x14ac:dyDescent="0.25">
      <c r="C1093" s="74" t="s">
        <v>21351</v>
      </c>
      <c r="D1093" s="74" t="s">
        <v>148</v>
      </c>
      <c r="E1093" s="74" t="s">
        <v>21338</v>
      </c>
      <c r="F1093" s="74">
        <v>707864</v>
      </c>
      <c r="G1093" s="74">
        <v>3</v>
      </c>
      <c r="H1093" s="135">
        <v>42991.469259259262</v>
      </c>
      <c r="I1093" s="74" t="s">
        <v>21354</v>
      </c>
      <c r="J1093" s="74" t="s">
        <v>21355</v>
      </c>
      <c r="K1093" s="74" t="s">
        <v>21578</v>
      </c>
      <c r="L1093" s="74">
        <v>840602</v>
      </c>
      <c r="M1093" s="74" t="s">
        <v>21341</v>
      </c>
      <c r="N1093" s="74">
        <v>1</v>
      </c>
      <c r="O1093" s="74" t="s">
        <v>21342</v>
      </c>
      <c r="P1093" s="74" t="s">
        <v>21345</v>
      </c>
      <c r="R1093" s="74" t="s">
        <v>148</v>
      </c>
      <c r="S1093" s="74" t="s">
        <v>21338</v>
      </c>
      <c r="T1093" s="74" t="s">
        <v>402</v>
      </c>
      <c r="U1093" s="74">
        <v>0</v>
      </c>
      <c r="V1093" s="74">
        <v>0</v>
      </c>
    </row>
    <row r="1094" spans="3:22" x14ac:dyDescent="0.25">
      <c r="C1094" s="74" t="s">
        <v>18795</v>
      </c>
      <c r="D1094" s="74" t="s">
        <v>148</v>
      </c>
      <c r="E1094" s="74" t="s">
        <v>21338</v>
      </c>
      <c r="F1094" s="74">
        <v>551367</v>
      </c>
      <c r="G1094" s="74">
        <v>1000</v>
      </c>
      <c r="H1094" s="135">
        <v>42991.457280092596</v>
      </c>
      <c r="I1094" s="74" t="s">
        <v>21339</v>
      </c>
      <c r="J1094" s="74" t="s">
        <v>21340</v>
      </c>
      <c r="K1094" s="74" t="s">
        <v>17220</v>
      </c>
      <c r="L1094" s="74">
        <v>553835</v>
      </c>
      <c r="M1094" s="74" t="s">
        <v>21341</v>
      </c>
      <c r="N1094" s="74">
        <v>1</v>
      </c>
      <c r="O1094" s="74" t="s">
        <v>21342</v>
      </c>
      <c r="P1094" s="74" t="s">
        <v>21343</v>
      </c>
      <c r="Q1094" s="74">
        <v>0</v>
      </c>
      <c r="R1094" s="74" t="s">
        <v>148</v>
      </c>
      <c r="S1094" s="74" t="s">
        <v>21338</v>
      </c>
      <c r="T1094" s="74" t="s">
        <v>402</v>
      </c>
      <c r="U1094" s="74">
        <v>0</v>
      </c>
      <c r="V1094" s="74">
        <v>0</v>
      </c>
    </row>
    <row r="1095" spans="3:22" x14ac:dyDescent="0.25">
      <c r="C1095" s="74" t="s">
        <v>18795</v>
      </c>
      <c r="D1095" s="74" t="s">
        <v>148</v>
      </c>
      <c r="E1095" s="74" t="s">
        <v>21338</v>
      </c>
      <c r="F1095" s="74">
        <v>551367</v>
      </c>
      <c r="G1095" s="74">
        <v>1000</v>
      </c>
      <c r="H1095" s="135">
        <v>42991.446828703702</v>
      </c>
      <c r="I1095" s="74" t="s">
        <v>21339</v>
      </c>
      <c r="J1095" s="74" t="s">
        <v>21340</v>
      </c>
      <c r="K1095" s="74" t="s">
        <v>12059</v>
      </c>
      <c r="L1095" s="74">
        <v>553179</v>
      </c>
      <c r="M1095" s="74" t="s">
        <v>21341</v>
      </c>
      <c r="N1095" s="74">
        <v>1</v>
      </c>
      <c r="O1095" s="74" t="s">
        <v>21342</v>
      </c>
      <c r="P1095" s="74" t="s">
        <v>21343</v>
      </c>
      <c r="Q1095" s="74">
        <v>0</v>
      </c>
      <c r="R1095" s="74" t="s">
        <v>148</v>
      </c>
      <c r="S1095" s="74" t="s">
        <v>21338</v>
      </c>
      <c r="T1095" s="74" t="s">
        <v>402</v>
      </c>
      <c r="U1095" s="74">
        <v>0</v>
      </c>
      <c r="V1095" s="74">
        <v>0</v>
      </c>
    </row>
    <row r="1096" spans="3:22" x14ac:dyDescent="0.25">
      <c r="C1096" s="74" t="s">
        <v>18795</v>
      </c>
      <c r="D1096" s="74" t="s">
        <v>148</v>
      </c>
      <c r="E1096" s="74" t="s">
        <v>21338</v>
      </c>
      <c r="F1096" s="74">
        <v>551367</v>
      </c>
      <c r="G1096" s="74">
        <v>1000</v>
      </c>
      <c r="H1096" s="135">
        <v>42991.417291666665</v>
      </c>
      <c r="I1096" s="74" t="s">
        <v>21339</v>
      </c>
      <c r="J1096" s="74" t="s">
        <v>21340</v>
      </c>
      <c r="K1096" s="74" t="s">
        <v>21409</v>
      </c>
      <c r="L1096" s="74">
        <v>560330</v>
      </c>
      <c r="M1096" s="74" t="s">
        <v>21341</v>
      </c>
      <c r="N1096" s="74">
        <v>3</v>
      </c>
      <c r="O1096" s="74" t="s">
        <v>21342</v>
      </c>
      <c r="P1096" s="74" t="s">
        <v>21343</v>
      </c>
      <c r="Q1096" s="74">
        <v>0</v>
      </c>
      <c r="R1096" s="74" t="s">
        <v>148</v>
      </c>
      <c r="S1096" s="74" t="s">
        <v>21338</v>
      </c>
      <c r="T1096" s="74" t="s">
        <v>535</v>
      </c>
      <c r="U1096" s="74">
        <v>0</v>
      </c>
      <c r="V1096" s="74">
        <v>0</v>
      </c>
    </row>
    <row r="1097" spans="3:22" x14ac:dyDescent="0.25">
      <c r="C1097" s="74" t="s">
        <v>21379</v>
      </c>
      <c r="D1097" s="74" t="s">
        <v>148</v>
      </c>
      <c r="E1097" s="74" t="s">
        <v>21338</v>
      </c>
      <c r="F1097" s="74">
        <v>809833</v>
      </c>
      <c r="G1097" s="74">
        <v>3</v>
      </c>
      <c r="H1097" s="135">
        <v>42991.411805555559</v>
      </c>
      <c r="I1097" s="74" t="s">
        <v>21354</v>
      </c>
      <c r="J1097" s="74" t="s">
        <v>21355</v>
      </c>
      <c r="K1097" s="74" t="s">
        <v>21593</v>
      </c>
      <c r="L1097" s="74">
        <v>653807</v>
      </c>
      <c r="M1097" s="74" t="s">
        <v>21341</v>
      </c>
      <c r="N1097" s="74">
        <v>1</v>
      </c>
      <c r="O1097" s="74" t="s">
        <v>21342</v>
      </c>
      <c r="P1097" s="74" t="s">
        <v>21345</v>
      </c>
      <c r="R1097" s="74" t="s">
        <v>148</v>
      </c>
      <c r="S1097" s="74" t="s">
        <v>21338</v>
      </c>
      <c r="T1097" s="74" t="s">
        <v>402</v>
      </c>
      <c r="U1097" s="74">
        <v>0</v>
      </c>
      <c r="V1097" s="74">
        <v>0</v>
      </c>
    </row>
    <row r="1098" spans="3:22" x14ac:dyDescent="0.25">
      <c r="C1098" s="74" t="s">
        <v>21379</v>
      </c>
      <c r="D1098" s="74" t="s">
        <v>148</v>
      </c>
      <c r="E1098" s="74" t="s">
        <v>21338</v>
      </c>
      <c r="F1098" s="74">
        <v>809833</v>
      </c>
      <c r="G1098" s="74">
        <v>3</v>
      </c>
      <c r="H1098" s="135">
        <v>42991.411539351851</v>
      </c>
      <c r="I1098" s="74" t="s">
        <v>21354</v>
      </c>
      <c r="J1098" s="74" t="s">
        <v>21355</v>
      </c>
      <c r="K1098" s="74" t="s">
        <v>21593</v>
      </c>
      <c r="L1098" s="74">
        <v>653807</v>
      </c>
      <c r="M1098" s="74" t="s">
        <v>21341</v>
      </c>
      <c r="N1098" s="74">
        <v>1</v>
      </c>
      <c r="O1098" s="74" t="s">
        <v>21342</v>
      </c>
      <c r="P1098" s="74" t="s">
        <v>21345</v>
      </c>
      <c r="R1098" s="74" t="s">
        <v>148</v>
      </c>
      <c r="S1098" s="74" t="s">
        <v>21338</v>
      </c>
      <c r="T1098" s="74" t="s">
        <v>402</v>
      </c>
      <c r="U1098" s="74">
        <v>0</v>
      </c>
      <c r="V1098" s="74">
        <v>0</v>
      </c>
    </row>
    <row r="1099" spans="3:22" x14ac:dyDescent="0.25">
      <c r="C1099" s="74" t="s">
        <v>18795</v>
      </c>
      <c r="D1099" s="74" t="s">
        <v>148</v>
      </c>
      <c r="E1099" s="74" t="s">
        <v>21338</v>
      </c>
      <c r="F1099" s="74">
        <v>551367</v>
      </c>
      <c r="G1099" s="74">
        <v>1000</v>
      </c>
      <c r="H1099" s="135">
        <v>42991.409039351849</v>
      </c>
      <c r="I1099" s="74" t="s">
        <v>21339</v>
      </c>
      <c r="J1099" s="74" t="s">
        <v>21340</v>
      </c>
      <c r="K1099" s="74" t="s">
        <v>11087</v>
      </c>
      <c r="L1099" s="74">
        <v>553059</v>
      </c>
      <c r="M1099" s="74" t="s">
        <v>21341</v>
      </c>
      <c r="N1099" s="74">
        <v>1</v>
      </c>
      <c r="O1099" s="74" t="s">
        <v>21342</v>
      </c>
      <c r="P1099" s="74" t="s">
        <v>21343</v>
      </c>
      <c r="Q1099" s="74">
        <v>0</v>
      </c>
      <c r="R1099" s="74" t="s">
        <v>148</v>
      </c>
      <c r="S1099" s="74" t="s">
        <v>21338</v>
      </c>
      <c r="T1099" s="74" t="s">
        <v>393</v>
      </c>
      <c r="U1099" s="74">
        <v>0</v>
      </c>
      <c r="V1099" s="74">
        <v>0</v>
      </c>
    </row>
    <row r="1100" spans="3:22" x14ac:dyDescent="0.25">
      <c r="C1100" s="74" t="s">
        <v>18795</v>
      </c>
      <c r="D1100" s="74" t="s">
        <v>148</v>
      </c>
      <c r="E1100" s="74" t="s">
        <v>21338</v>
      </c>
      <c r="F1100" s="74">
        <v>551367</v>
      </c>
      <c r="G1100" s="74">
        <v>1000</v>
      </c>
      <c r="H1100" s="135">
        <v>42991.406875000001</v>
      </c>
      <c r="I1100" s="74" t="s">
        <v>21339</v>
      </c>
      <c r="J1100" s="74" t="s">
        <v>21340</v>
      </c>
      <c r="K1100" s="74" t="s">
        <v>21593</v>
      </c>
      <c r="L1100" s="74">
        <v>653807</v>
      </c>
      <c r="M1100" s="74" t="s">
        <v>21341</v>
      </c>
      <c r="N1100" s="74">
        <v>1</v>
      </c>
      <c r="O1100" s="74" t="s">
        <v>21342</v>
      </c>
      <c r="P1100" s="74" t="s">
        <v>21343</v>
      </c>
      <c r="Q1100" s="74">
        <v>0</v>
      </c>
      <c r="R1100" s="74" t="s">
        <v>148</v>
      </c>
      <c r="S1100" s="74" t="s">
        <v>21338</v>
      </c>
      <c r="T1100" s="74" t="s">
        <v>402</v>
      </c>
      <c r="U1100" s="74">
        <v>0</v>
      </c>
      <c r="V1100" s="74">
        <v>0</v>
      </c>
    </row>
    <row r="1101" spans="3:22" x14ac:dyDescent="0.25">
      <c r="C1101" s="74" t="s">
        <v>18795</v>
      </c>
      <c r="D1101" s="74" t="s">
        <v>148</v>
      </c>
      <c r="E1101" s="74" t="s">
        <v>21338</v>
      </c>
      <c r="F1101" s="74">
        <v>551367</v>
      </c>
      <c r="G1101" s="74">
        <v>1000</v>
      </c>
      <c r="H1101" s="135">
        <v>42991.387569444443</v>
      </c>
      <c r="I1101" s="74" t="s">
        <v>21339</v>
      </c>
      <c r="J1101" s="74" t="s">
        <v>21340</v>
      </c>
      <c r="K1101" s="74" t="s">
        <v>21346</v>
      </c>
      <c r="L1101" s="74">
        <v>560511</v>
      </c>
      <c r="M1101" s="74" t="s">
        <v>21341</v>
      </c>
      <c r="N1101" s="74">
        <v>1</v>
      </c>
      <c r="O1101" s="74" t="s">
        <v>21342</v>
      </c>
      <c r="P1101" s="74" t="s">
        <v>21343</v>
      </c>
      <c r="Q1101" s="74">
        <v>0</v>
      </c>
      <c r="R1101" s="74" t="s">
        <v>148</v>
      </c>
      <c r="S1101" s="74" t="s">
        <v>21338</v>
      </c>
      <c r="T1101" s="74" t="s">
        <v>393</v>
      </c>
      <c r="U1101" s="74">
        <v>0</v>
      </c>
      <c r="V1101" s="74">
        <v>0</v>
      </c>
    </row>
    <row r="1102" spans="3:22" x14ac:dyDescent="0.25">
      <c r="C1102" s="74" t="s">
        <v>18795</v>
      </c>
      <c r="D1102" s="74" t="s">
        <v>148</v>
      </c>
      <c r="E1102" s="74" t="s">
        <v>21338</v>
      </c>
      <c r="F1102" s="74">
        <v>551367</v>
      </c>
      <c r="G1102" s="74">
        <v>1000</v>
      </c>
      <c r="H1102" s="135">
        <v>42991.383310185185</v>
      </c>
      <c r="I1102" s="74" t="s">
        <v>21339</v>
      </c>
      <c r="J1102" s="74" t="s">
        <v>21340</v>
      </c>
      <c r="K1102" s="74" t="s">
        <v>2621</v>
      </c>
      <c r="L1102" s="74">
        <v>551997</v>
      </c>
      <c r="M1102" s="74" t="s">
        <v>21341</v>
      </c>
      <c r="N1102" s="74">
        <v>1</v>
      </c>
      <c r="O1102" s="74" t="s">
        <v>21342</v>
      </c>
      <c r="P1102" s="74" t="s">
        <v>21343</v>
      </c>
      <c r="Q1102" s="74">
        <v>0</v>
      </c>
      <c r="R1102" s="74" t="s">
        <v>148</v>
      </c>
      <c r="S1102" s="74" t="s">
        <v>21338</v>
      </c>
      <c r="T1102" s="74" t="s">
        <v>402</v>
      </c>
      <c r="U1102" s="74">
        <v>0</v>
      </c>
      <c r="V1102" s="74">
        <v>0</v>
      </c>
    </row>
    <row r="1103" spans="3:22" x14ac:dyDescent="0.25">
      <c r="C1103" s="74" t="s">
        <v>18795</v>
      </c>
      <c r="D1103" s="74" t="s">
        <v>148</v>
      </c>
      <c r="E1103" s="74" t="s">
        <v>21338</v>
      </c>
      <c r="F1103" s="74">
        <v>551367</v>
      </c>
      <c r="G1103" s="74">
        <v>1000</v>
      </c>
      <c r="H1103" s="135">
        <v>42991.380023148151</v>
      </c>
      <c r="I1103" s="74" t="s">
        <v>21339</v>
      </c>
      <c r="J1103" s="74" t="s">
        <v>21340</v>
      </c>
      <c r="K1103" s="74" t="s">
        <v>13828</v>
      </c>
      <c r="L1103" s="74">
        <v>553415</v>
      </c>
      <c r="M1103" s="74" t="s">
        <v>21341</v>
      </c>
      <c r="N1103" s="74">
        <v>1</v>
      </c>
      <c r="O1103" s="74" t="s">
        <v>21342</v>
      </c>
      <c r="P1103" s="74" t="s">
        <v>21343</v>
      </c>
      <c r="Q1103" s="74">
        <v>0</v>
      </c>
      <c r="R1103" s="74" t="s">
        <v>148</v>
      </c>
      <c r="S1103" s="74" t="s">
        <v>21338</v>
      </c>
      <c r="T1103" s="74" t="s">
        <v>402</v>
      </c>
      <c r="U1103" s="74">
        <v>0</v>
      </c>
      <c r="V1103" s="74">
        <v>0</v>
      </c>
    </row>
    <row r="1104" spans="3:22" x14ac:dyDescent="0.25">
      <c r="C1104" s="74" t="s">
        <v>18795</v>
      </c>
      <c r="D1104" s="74" t="s">
        <v>148</v>
      </c>
      <c r="E1104" s="74" t="s">
        <v>21338</v>
      </c>
      <c r="F1104" s="74">
        <v>551367</v>
      </c>
      <c r="G1104" s="74">
        <v>1000</v>
      </c>
      <c r="H1104" s="135">
        <v>42991.335416666669</v>
      </c>
      <c r="I1104" s="74" t="s">
        <v>21339</v>
      </c>
      <c r="J1104" s="74" t="s">
        <v>21340</v>
      </c>
      <c r="K1104" s="74" t="s">
        <v>21346</v>
      </c>
      <c r="L1104" s="74">
        <v>560511</v>
      </c>
      <c r="M1104" s="74" t="s">
        <v>21341</v>
      </c>
      <c r="N1104" s="74">
        <v>1</v>
      </c>
      <c r="O1104" s="74" t="s">
        <v>21342</v>
      </c>
      <c r="P1104" s="74" t="s">
        <v>21343</v>
      </c>
      <c r="Q1104" s="74">
        <v>0</v>
      </c>
      <c r="R1104" s="74" t="s">
        <v>148</v>
      </c>
      <c r="S1104" s="74" t="s">
        <v>21338</v>
      </c>
      <c r="T1104" s="74" t="s">
        <v>393</v>
      </c>
      <c r="U1104" s="74">
        <v>0</v>
      </c>
      <c r="V1104" s="74">
        <v>0</v>
      </c>
    </row>
    <row r="1105" spans="3:22" x14ac:dyDescent="0.25">
      <c r="C1105" s="74" t="s">
        <v>18795</v>
      </c>
      <c r="D1105" s="74" t="s">
        <v>148</v>
      </c>
      <c r="E1105" s="74" t="s">
        <v>21338</v>
      </c>
      <c r="F1105" s="74">
        <v>551367</v>
      </c>
      <c r="G1105" s="74">
        <v>1000</v>
      </c>
      <c r="H1105" s="135">
        <v>42991.316493055558</v>
      </c>
      <c r="I1105" s="74" t="s">
        <v>21339</v>
      </c>
      <c r="J1105" s="74" t="s">
        <v>21340</v>
      </c>
      <c r="K1105" s="74" t="s">
        <v>1405</v>
      </c>
      <c r="L1105" s="74">
        <v>551831</v>
      </c>
      <c r="M1105" s="74" t="s">
        <v>21341</v>
      </c>
      <c r="N1105" s="74">
        <v>1</v>
      </c>
      <c r="O1105" s="74" t="s">
        <v>21342</v>
      </c>
      <c r="P1105" s="74" t="s">
        <v>21343</v>
      </c>
      <c r="Q1105" s="74">
        <v>0</v>
      </c>
      <c r="R1105" s="74" t="s">
        <v>148</v>
      </c>
      <c r="S1105" s="74" t="s">
        <v>21338</v>
      </c>
      <c r="T1105" s="74" t="s">
        <v>393</v>
      </c>
      <c r="U1105" s="74">
        <v>0</v>
      </c>
      <c r="V1105" s="74">
        <v>0</v>
      </c>
    </row>
    <row r="1106" spans="3:22" x14ac:dyDescent="0.25">
      <c r="C1106" s="74" t="s">
        <v>18795</v>
      </c>
      <c r="D1106" s="74" t="s">
        <v>148</v>
      </c>
      <c r="E1106" s="74" t="s">
        <v>21338</v>
      </c>
      <c r="F1106" s="74">
        <v>551367</v>
      </c>
      <c r="G1106" s="74">
        <v>1000</v>
      </c>
      <c r="H1106" s="135">
        <v>42991.283553240741</v>
      </c>
      <c r="I1106" s="74" t="s">
        <v>21339</v>
      </c>
      <c r="J1106" s="74" t="s">
        <v>21340</v>
      </c>
      <c r="K1106" s="74" t="s">
        <v>9732</v>
      </c>
      <c r="L1106" s="74">
        <v>552943</v>
      </c>
      <c r="M1106" s="74" t="s">
        <v>21341</v>
      </c>
      <c r="N1106" s="74">
        <v>1</v>
      </c>
      <c r="O1106" s="74" t="s">
        <v>21342</v>
      </c>
      <c r="P1106" s="74" t="s">
        <v>21343</v>
      </c>
      <c r="Q1106" s="74">
        <v>0</v>
      </c>
      <c r="R1106" s="74" t="s">
        <v>148</v>
      </c>
      <c r="S1106" s="74" t="s">
        <v>21338</v>
      </c>
      <c r="T1106" s="74" t="s">
        <v>402</v>
      </c>
      <c r="U1106" s="74">
        <v>0</v>
      </c>
      <c r="V1106" s="74">
        <v>0</v>
      </c>
    </row>
    <row r="1107" spans="3:22" x14ac:dyDescent="0.25">
      <c r="C1107" s="74" t="s">
        <v>18795</v>
      </c>
      <c r="D1107" s="74" t="s">
        <v>148</v>
      </c>
      <c r="E1107" s="74" t="s">
        <v>21338</v>
      </c>
      <c r="F1107" s="74">
        <v>551367</v>
      </c>
      <c r="G1107" s="74">
        <v>1000</v>
      </c>
      <c r="H1107" s="135">
        <v>42991.014317129629</v>
      </c>
      <c r="I1107" s="74" t="s">
        <v>21339</v>
      </c>
      <c r="J1107" s="74" t="s">
        <v>21340</v>
      </c>
      <c r="K1107" s="74" t="s">
        <v>9999</v>
      </c>
      <c r="L1107" s="74">
        <v>552920</v>
      </c>
      <c r="M1107" s="74" t="s">
        <v>21341</v>
      </c>
      <c r="N1107" s="74">
        <v>1</v>
      </c>
      <c r="O1107" s="74" t="s">
        <v>21342</v>
      </c>
      <c r="P1107" s="74" t="s">
        <v>21343</v>
      </c>
      <c r="Q1107" s="74">
        <v>0</v>
      </c>
      <c r="R1107" s="74" t="s">
        <v>148</v>
      </c>
      <c r="S1107" s="74" t="s">
        <v>21338</v>
      </c>
      <c r="T1107" s="74" t="s">
        <v>402</v>
      </c>
      <c r="U1107" s="74">
        <v>0</v>
      </c>
      <c r="V1107" s="74">
        <v>0</v>
      </c>
    </row>
    <row r="1108" spans="3:22" x14ac:dyDescent="0.25">
      <c r="C1108" s="74" t="s">
        <v>18795</v>
      </c>
      <c r="D1108" s="74" t="s">
        <v>148</v>
      </c>
      <c r="E1108" s="74" t="s">
        <v>21338</v>
      </c>
      <c r="F1108" s="74">
        <v>551367</v>
      </c>
      <c r="G1108" s="74">
        <v>1000</v>
      </c>
      <c r="H1108" s="135">
        <v>42990.900034722225</v>
      </c>
      <c r="I1108" s="74" t="s">
        <v>21339</v>
      </c>
      <c r="J1108" s="74" t="s">
        <v>21340</v>
      </c>
      <c r="K1108" s="74" t="s">
        <v>21594</v>
      </c>
      <c r="L1108" s="74">
        <v>723907</v>
      </c>
      <c r="M1108" s="74" t="s">
        <v>21341</v>
      </c>
      <c r="N1108" s="74">
        <v>1</v>
      </c>
      <c r="O1108" s="74" t="s">
        <v>21342</v>
      </c>
      <c r="P1108" s="74" t="s">
        <v>21343</v>
      </c>
      <c r="Q1108" s="74">
        <v>0</v>
      </c>
      <c r="R1108" s="74" t="s">
        <v>148</v>
      </c>
      <c r="S1108" s="74" t="s">
        <v>21338</v>
      </c>
      <c r="T1108" s="74" t="s">
        <v>402</v>
      </c>
      <c r="U1108" s="74">
        <v>0</v>
      </c>
      <c r="V1108" s="74">
        <v>0</v>
      </c>
    </row>
    <row r="1109" spans="3:22" x14ac:dyDescent="0.25">
      <c r="C1109" s="74" t="s">
        <v>21347</v>
      </c>
      <c r="D1109" s="74" t="s">
        <v>148</v>
      </c>
      <c r="E1109" s="74" t="s">
        <v>21338</v>
      </c>
      <c r="F1109" s="74">
        <v>637976</v>
      </c>
      <c r="G1109" s="74">
        <v>1</v>
      </c>
      <c r="H1109" s="135">
        <v>42990.775416666664</v>
      </c>
      <c r="I1109" s="74" t="s">
        <v>244</v>
      </c>
      <c r="J1109" s="74" t="s">
        <v>21349</v>
      </c>
      <c r="K1109" s="74" t="s">
        <v>21347</v>
      </c>
      <c r="L1109" s="74">
        <v>637976</v>
      </c>
      <c r="M1109" s="74" t="s">
        <v>21341</v>
      </c>
      <c r="N1109" s="74">
        <v>0</v>
      </c>
      <c r="O1109" s="74" t="s">
        <v>21350</v>
      </c>
      <c r="P1109" s="74" t="s">
        <v>21343</v>
      </c>
      <c r="Q1109" s="74">
        <v>0</v>
      </c>
      <c r="R1109" s="74" t="s">
        <v>148</v>
      </c>
      <c r="S1109" s="74" t="s">
        <v>21338</v>
      </c>
      <c r="T1109" s="74" t="s">
        <v>402</v>
      </c>
      <c r="U1109" s="74">
        <v>0</v>
      </c>
      <c r="V1109" s="74">
        <v>0</v>
      </c>
    </row>
    <row r="1110" spans="3:22" x14ac:dyDescent="0.25">
      <c r="C1110" s="74" t="s">
        <v>21347</v>
      </c>
      <c r="D1110" s="74" t="s">
        <v>148</v>
      </c>
      <c r="E1110" s="74" t="s">
        <v>21338</v>
      </c>
      <c r="F1110" s="74">
        <v>637976</v>
      </c>
      <c r="G1110" s="74">
        <v>1</v>
      </c>
      <c r="H1110" s="135">
        <v>42990.775405092594</v>
      </c>
      <c r="I1110" s="74" t="s">
        <v>21348</v>
      </c>
      <c r="J1110" s="74" t="s">
        <v>21349</v>
      </c>
      <c r="K1110" s="74" t="s">
        <v>21347</v>
      </c>
      <c r="L1110" s="74">
        <v>637976</v>
      </c>
      <c r="M1110" s="74" t="s">
        <v>21341</v>
      </c>
      <c r="N1110" s="74">
        <v>0</v>
      </c>
      <c r="O1110" s="74" t="s">
        <v>21350</v>
      </c>
      <c r="P1110" s="74" t="s">
        <v>21343</v>
      </c>
      <c r="Q1110" s="74">
        <v>0</v>
      </c>
      <c r="R1110" s="74" t="s">
        <v>148</v>
      </c>
      <c r="S1110" s="74" t="s">
        <v>21338</v>
      </c>
      <c r="T1110" s="74" t="s">
        <v>402</v>
      </c>
      <c r="U1110" s="74">
        <v>0</v>
      </c>
      <c r="V1110" s="74">
        <v>0</v>
      </c>
    </row>
    <row r="1111" spans="3:22" x14ac:dyDescent="0.25">
      <c r="C1111" s="74" t="s">
        <v>2974</v>
      </c>
      <c r="D1111" s="74" t="s">
        <v>148</v>
      </c>
      <c r="E1111" s="74" t="s">
        <v>21338</v>
      </c>
      <c r="F1111" s="74">
        <v>627564</v>
      </c>
      <c r="G1111" s="74">
        <v>3</v>
      </c>
      <c r="H1111" s="135">
        <v>42990.672858796293</v>
      </c>
      <c r="I1111" s="74" t="s">
        <v>21354</v>
      </c>
      <c r="J1111" s="74" t="s">
        <v>21355</v>
      </c>
      <c r="K1111" s="74" t="s">
        <v>21578</v>
      </c>
      <c r="L1111" s="74">
        <v>840602</v>
      </c>
      <c r="M1111" s="74" t="s">
        <v>21341</v>
      </c>
      <c r="N1111" s="74">
        <v>1</v>
      </c>
      <c r="O1111" s="74" t="s">
        <v>21342</v>
      </c>
      <c r="P1111" s="74" t="s">
        <v>21345</v>
      </c>
      <c r="R1111" s="74" t="s">
        <v>148</v>
      </c>
      <c r="S1111" s="74" t="s">
        <v>21338</v>
      </c>
      <c r="T1111" s="74" t="s">
        <v>402</v>
      </c>
      <c r="U1111" s="74">
        <v>0</v>
      </c>
      <c r="V1111" s="74">
        <v>0</v>
      </c>
    </row>
    <row r="1112" spans="3:22" x14ac:dyDescent="0.25">
      <c r="C1112" s="74" t="s">
        <v>2974</v>
      </c>
      <c r="D1112" s="74" t="s">
        <v>148</v>
      </c>
      <c r="E1112" s="74" t="s">
        <v>21338</v>
      </c>
      <c r="F1112" s="74">
        <v>627564</v>
      </c>
      <c r="G1112" s="74">
        <v>3</v>
      </c>
      <c r="H1112" s="135">
        <v>42990.666956018518</v>
      </c>
      <c r="I1112" s="74" t="s">
        <v>21339</v>
      </c>
      <c r="J1112" s="74" t="s">
        <v>21340</v>
      </c>
      <c r="K1112" s="74" t="s">
        <v>21578</v>
      </c>
      <c r="L1112" s="74">
        <v>840602</v>
      </c>
      <c r="M1112" s="74" t="s">
        <v>21341</v>
      </c>
      <c r="N1112" s="74">
        <v>1</v>
      </c>
      <c r="O1112" s="74" t="s">
        <v>21342</v>
      </c>
      <c r="P1112" s="74" t="s">
        <v>21343</v>
      </c>
      <c r="Q1112" s="74">
        <v>0</v>
      </c>
      <c r="R1112" s="74" t="s">
        <v>148</v>
      </c>
      <c r="S1112" s="74" t="s">
        <v>21338</v>
      </c>
      <c r="T1112" s="74" t="s">
        <v>402</v>
      </c>
      <c r="U1112" s="74">
        <v>0</v>
      </c>
      <c r="V1112" s="74">
        <v>0</v>
      </c>
    </row>
    <row r="1113" spans="3:22" x14ac:dyDescent="0.25">
      <c r="C1113" s="74" t="s">
        <v>18795</v>
      </c>
      <c r="D1113" s="74" t="s">
        <v>148</v>
      </c>
      <c r="E1113" s="74" t="s">
        <v>21338</v>
      </c>
      <c r="F1113" s="74">
        <v>551367</v>
      </c>
      <c r="G1113" s="74">
        <v>1000</v>
      </c>
      <c r="H1113" s="135">
        <v>42990.659375000003</v>
      </c>
      <c r="I1113" s="74" t="s">
        <v>21339</v>
      </c>
      <c r="J1113" s="74" t="s">
        <v>21340</v>
      </c>
      <c r="K1113" s="74" t="s">
        <v>14420</v>
      </c>
      <c r="L1113" s="74">
        <v>551666</v>
      </c>
      <c r="M1113" s="74" t="s">
        <v>21341</v>
      </c>
      <c r="N1113" s="74">
        <v>1</v>
      </c>
      <c r="O1113" s="74" t="s">
        <v>21342</v>
      </c>
      <c r="P1113" s="74" t="s">
        <v>21343</v>
      </c>
      <c r="Q1113" s="74">
        <v>0</v>
      </c>
      <c r="R1113" s="74" t="s">
        <v>148</v>
      </c>
      <c r="S1113" s="74" t="s">
        <v>21338</v>
      </c>
      <c r="T1113" s="74" t="s">
        <v>402</v>
      </c>
      <c r="U1113" s="74">
        <v>0</v>
      </c>
      <c r="V1113" s="74">
        <v>0</v>
      </c>
    </row>
    <row r="1114" spans="3:22" x14ac:dyDescent="0.25">
      <c r="C1114" s="74" t="s">
        <v>21347</v>
      </c>
      <c r="D1114" s="74" t="s">
        <v>148</v>
      </c>
      <c r="E1114" s="74" t="s">
        <v>21338</v>
      </c>
      <c r="F1114" s="74">
        <v>637976</v>
      </c>
      <c r="G1114" s="74">
        <v>1</v>
      </c>
      <c r="H1114" s="135">
        <v>42990.647569444445</v>
      </c>
      <c r="I1114" s="74" t="s">
        <v>21348</v>
      </c>
      <c r="J1114" s="74" t="s">
        <v>21349</v>
      </c>
      <c r="K1114" s="74" t="s">
        <v>21347</v>
      </c>
      <c r="L1114" s="74">
        <v>637976</v>
      </c>
      <c r="M1114" s="74" t="s">
        <v>21341</v>
      </c>
      <c r="N1114" s="74">
        <v>0</v>
      </c>
      <c r="O1114" s="74" t="s">
        <v>21350</v>
      </c>
      <c r="P1114" s="74" t="s">
        <v>21343</v>
      </c>
      <c r="Q1114" s="74">
        <v>0</v>
      </c>
      <c r="R1114" s="74" t="s">
        <v>148</v>
      </c>
      <c r="S1114" s="74" t="s">
        <v>21338</v>
      </c>
      <c r="T1114" s="74" t="s">
        <v>402</v>
      </c>
      <c r="U1114" s="74">
        <v>0</v>
      </c>
      <c r="V1114" s="74">
        <v>0</v>
      </c>
    </row>
    <row r="1115" spans="3:22" x14ac:dyDescent="0.25">
      <c r="C1115" s="74" t="s">
        <v>21347</v>
      </c>
      <c r="D1115" s="74" t="s">
        <v>148</v>
      </c>
      <c r="E1115" s="74" t="s">
        <v>21338</v>
      </c>
      <c r="F1115" s="74">
        <v>637976</v>
      </c>
      <c r="G1115" s="74">
        <v>1</v>
      </c>
      <c r="H1115" s="135">
        <v>42990.647569444445</v>
      </c>
      <c r="I1115" s="74" t="s">
        <v>244</v>
      </c>
      <c r="J1115" s="74" t="s">
        <v>21349</v>
      </c>
      <c r="K1115" s="74" t="s">
        <v>21347</v>
      </c>
      <c r="L1115" s="74">
        <v>637976</v>
      </c>
      <c r="M1115" s="74" t="s">
        <v>21341</v>
      </c>
      <c r="N1115" s="74">
        <v>0</v>
      </c>
      <c r="O1115" s="74" t="s">
        <v>21350</v>
      </c>
      <c r="P1115" s="74" t="s">
        <v>21343</v>
      </c>
      <c r="Q1115" s="74">
        <v>0</v>
      </c>
      <c r="R1115" s="74" t="s">
        <v>148</v>
      </c>
      <c r="S1115" s="74" t="s">
        <v>21338</v>
      </c>
      <c r="T1115" s="74" t="s">
        <v>402</v>
      </c>
      <c r="U1115" s="74">
        <v>0</v>
      </c>
      <c r="V1115" s="74">
        <v>0</v>
      </c>
    </row>
    <row r="1116" spans="3:22" x14ac:dyDescent="0.25">
      <c r="C1116" s="74" t="s">
        <v>21409</v>
      </c>
      <c r="D1116" s="74" t="s">
        <v>148</v>
      </c>
      <c r="E1116" s="74" t="s">
        <v>21338</v>
      </c>
      <c r="F1116" s="74">
        <v>560330</v>
      </c>
      <c r="G1116" s="74">
        <v>3</v>
      </c>
      <c r="H1116" s="135">
        <v>42990.572314814817</v>
      </c>
      <c r="I1116" s="74" t="s">
        <v>21354</v>
      </c>
      <c r="J1116" s="74" t="s">
        <v>21355</v>
      </c>
      <c r="K1116" s="74" t="s">
        <v>21578</v>
      </c>
      <c r="L1116" s="74">
        <v>840602</v>
      </c>
      <c r="M1116" s="74" t="s">
        <v>21341</v>
      </c>
      <c r="N1116" s="74">
        <v>1</v>
      </c>
      <c r="O1116" s="74" t="s">
        <v>21342</v>
      </c>
      <c r="P1116" s="74" t="s">
        <v>21345</v>
      </c>
      <c r="R1116" s="74" t="s">
        <v>148</v>
      </c>
      <c r="S1116" s="74" t="s">
        <v>21338</v>
      </c>
      <c r="T1116" s="74" t="s">
        <v>402</v>
      </c>
      <c r="U1116" s="74">
        <v>0</v>
      </c>
      <c r="V1116" s="74">
        <v>0</v>
      </c>
    </row>
    <row r="1117" spans="3:22" x14ac:dyDescent="0.25">
      <c r="C1117" s="74" t="s">
        <v>18795</v>
      </c>
      <c r="D1117" s="74" t="s">
        <v>148</v>
      </c>
      <c r="E1117" s="74" t="s">
        <v>21338</v>
      </c>
      <c r="F1117" s="74">
        <v>551367</v>
      </c>
      <c r="G1117" s="74">
        <v>1000</v>
      </c>
      <c r="H1117" s="135">
        <v>42990.570555555554</v>
      </c>
      <c r="I1117" s="74" t="s">
        <v>21339</v>
      </c>
      <c r="J1117" s="74" t="s">
        <v>21340</v>
      </c>
      <c r="K1117" s="74" t="s">
        <v>21578</v>
      </c>
      <c r="L1117" s="74">
        <v>840602</v>
      </c>
      <c r="M1117" s="74" t="s">
        <v>21341</v>
      </c>
      <c r="N1117" s="74">
        <v>1</v>
      </c>
      <c r="O1117" s="74" t="s">
        <v>21342</v>
      </c>
      <c r="P1117" s="74" t="s">
        <v>21343</v>
      </c>
      <c r="Q1117" s="74">
        <v>0</v>
      </c>
      <c r="R1117" s="74" t="s">
        <v>148</v>
      </c>
      <c r="S1117" s="74" t="s">
        <v>21338</v>
      </c>
      <c r="T1117" s="74" t="s">
        <v>402</v>
      </c>
      <c r="U1117" s="74">
        <v>0</v>
      </c>
      <c r="V1117" s="74">
        <v>0</v>
      </c>
    </row>
    <row r="1118" spans="3:22" x14ac:dyDescent="0.25">
      <c r="C1118" s="74" t="s">
        <v>735</v>
      </c>
      <c r="D1118" s="74" t="s">
        <v>148</v>
      </c>
      <c r="E1118" s="74" t="s">
        <v>21338</v>
      </c>
      <c r="F1118" s="74">
        <v>570025</v>
      </c>
      <c r="G1118" s="74">
        <v>3</v>
      </c>
      <c r="H1118" s="135">
        <v>42990.520138888889</v>
      </c>
      <c r="I1118" s="74" t="s">
        <v>21339</v>
      </c>
      <c r="J1118" s="74" t="s">
        <v>21364</v>
      </c>
      <c r="K1118" s="74" t="s">
        <v>10588</v>
      </c>
      <c r="L1118" s="74">
        <v>908154</v>
      </c>
      <c r="M1118" s="74" t="s">
        <v>21341</v>
      </c>
      <c r="N1118" s="74">
        <v>1</v>
      </c>
      <c r="O1118" s="74" t="s">
        <v>21342</v>
      </c>
      <c r="P1118" s="74" t="s">
        <v>21343</v>
      </c>
      <c r="Q1118" s="74">
        <v>0</v>
      </c>
      <c r="R1118" s="74" t="s">
        <v>148</v>
      </c>
      <c r="S1118" s="74" t="s">
        <v>21338</v>
      </c>
      <c r="T1118" s="74" t="s">
        <v>402</v>
      </c>
      <c r="U1118" s="74">
        <v>0</v>
      </c>
      <c r="V1118" s="74">
        <v>0</v>
      </c>
    </row>
    <row r="1119" spans="3:22" x14ac:dyDescent="0.25">
      <c r="C1119" s="74" t="s">
        <v>735</v>
      </c>
      <c r="D1119" s="74" t="s">
        <v>148</v>
      </c>
      <c r="E1119" s="74" t="s">
        <v>21338</v>
      </c>
      <c r="F1119" s="74">
        <v>570025</v>
      </c>
      <c r="G1119" s="74">
        <v>3</v>
      </c>
      <c r="H1119" s="135">
        <v>42990.520127314812</v>
      </c>
      <c r="I1119" s="74" t="s">
        <v>21398</v>
      </c>
      <c r="J1119" s="74" t="s">
        <v>21366</v>
      </c>
      <c r="K1119" s="74" t="s">
        <v>21367</v>
      </c>
      <c r="L1119" s="74">
        <v>561482</v>
      </c>
      <c r="M1119" s="74" t="s">
        <v>21368</v>
      </c>
      <c r="N1119" s="74">
        <v>1</v>
      </c>
      <c r="O1119" s="74" t="s">
        <v>21369</v>
      </c>
      <c r="P1119" s="74" t="s">
        <v>21343</v>
      </c>
      <c r="Q1119" s="74" t="s">
        <v>21595</v>
      </c>
      <c r="R1119" s="74" t="s">
        <v>148</v>
      </c>
      <c r="S1119" s="74" t="s">
        <v>21338</v>
      </c>
      <c r="T1119" s="74" t="s">
        <v>21371</v>
      </c>
      <c r="U1119" s="74">
        <v>0</v>
      </c>
      <c r="V1119" s="74">
        <v>0</v>
      </c>
    </row>
    <row r="1120" spans="3:22" x14ac:dyDescent="0.25">
      <c r="C1120" s="74" t="s">
        <v>735</v>
      </c>
      <c r="D1120" s="74" t="s">
        <v>148</v>
      </c>
      <c r="E1120" s="74" t="s">
        <v>21338</v>
      </c>
      <c r="F1120" s="74">
        <v>570025</v>
      </c>
      <c r="G1120" s="74">
        <v>3</v>
      </c>
      <c r="H1120" s="135">
        <v>42990.520115740743</v>
      </c>
      <c r="I1120" s="74" t="s">
        <v>21398</v>
      </c>
      <c r="J1120" s="74" t="s">
        <v>21366</v>
      </c>
      <c r="K1120" s="74" t="s">
        <v>21381</v>
      </c>
      <c r="L1120" s="74">
        <v>555660</v>
      </c>
      <c r="M1120" s="74" t="s">
        <v>21368</v>
      </c>
      <c r="N1120" s="74">
        <v>1</v>
      </c>
      <c r="O1120" s="74" t="s">
        <v>21369</v>
      </c>
      <c r="P1120" s="74" t="s">
        <v>21343</v>
      </c>
      <c r="Q1120" s="74" t="s">
        <v>21595</v>
      </c>
      <c r="R1120" s="74" t="s">
        <v>148</v>
      </c>
      <c r="S1120" s="74" t="s">
        <v>21338</v>
      </c>
      <c r="T1120" s="74" t="s">
        <v>21371</v>
      </c>
      <c r="U1120" s="74">
        <v>0</v>
      </c>
      <c r="V1120" s="74">
        <v>0</v>
      </c>
    </row>
    <row r="1121" spans="3:22" x14ac:dyDescent="0.25">
      <c r="C1121" s="74" t="s">
        <v>735</v>
      </c>
      <c r="D1121" s="74" t="s">
        <v>148</v>
      </c>
      <c r="E1121" s="74" t="s">
        <v>21338</v>
      </c>
      <c r="F1121" s="74">
        <v>570025</v>
      </c>
      <c r="G1121" s="74">
        <v>3</v>
      </c>
      <c r="H1121" s="135">
        <v>42990.520104166666</v>
      </c>
      <c r="I1121" s="74" t="s">
        <v>21339</v>
      </c>
      <c r="J1121" s="74" t="s">
        <v>21364</v>
      </c>
      <c r="K1121" s="74" t="s">
        <v>10588</v>
      </c>
      <c r="L1121" s="74">
        <v>908154</v>
      </c>
      <c r="M1121" s="74" t="s">
        <v>21341</v>
      </c>
      <c r="N1121" s="74">
        <v>1</v>
      </c>
      <c r="O1121" s="74" t="s">
        <v>21342</v>
      </c>
      <c r="P1121" s="74" t="s">
        <v>21343</v>
      </c>
      <c r="Q1121" s="74">
        <v>0</v>
      </c>
      <c r="R1121" s="74" t="s">
        <v>148</v>
      </c>
      <c r="S1121" s="74" t="s">
        <v>21338</v>
      </c>
      <c r="T1121" s="74" t="s">
        <v>402</v>
      </c>
      <c r="U1121" s="74">
        <v>0</v>
      </c>
      <c r="V1121" s="74">
        <v>0</v>
      </c>
    </row>
    <row r="1122" spans="3:22" x14ac:dyDescent="0.25">
      <c r="C1122" s="74" t="s">
        <v>735</v>
      </c>
      <c r="D1122" s="74" t="s">
        <v>148</v>
      </c>
      <c r="E1122" s="74" t="s">
        <v>21338</v>
      </c>
      <c r="F1122" s="74">
        <v>570025</v>
      </c>
      <c r="G1122" s="74">
        <v>3</v>
      </c>
      <c r="H1122" s="135">
        <v>42990.519907407404</v>
      </c>
      <c r="I1122" s="74" t="s">
        <v>21339</v>
      </c>
      <c r="J1122" s="74" t="s">
        <v>21364</v>
      </c>
      <c r="K1122" s="74" t="s">
        <v>10588</v>
      </c>
      <c r="L1122" s="74">
        <v>908154</v>
      </c>
      <c r="M1122" s="74" t="s">
        <v>21341</v>
      </c>
      <c r="N1122" s="74">
        <v>1</v>
      </c>
      <c r="O1122" s="74" t="s">
        <v>21342</v>
      </c>
      <c r="P1122" s="74" t="s">
        <v>21343</v>
      </c>
      <c r="Q1122" s="74">
        <v>0</v>
      </c>
      <c r="R1122" s="74" t="s">
        <v>148</v>
      </c>
      <c r="S1122" s="74" t="s">
        <v>21338</v>
      </c>
      <c r="T1122" s="74" t="s">
        <v>402</v>
      </c>
      <c r="U1122" s="74">
        <v>0</v>
      </c>
      <c r="V1122" s="74">
        <v>0</v>
      </c>
    </row>
    <row r="1123" spans="3:22" x14ac:dyDescent="0.25">
      <c r="C1123" s="74" t="s">
        <v>735</v>
      </c>
      <c r="D1123" s="74" t="s">
        <v>148</v>
      </c>
      <c r="E1123" s="74" t="s">
        <v>21338</v>
      </c>
      <c r="F1123" s="74">
        <v>570025</v>
      </c>
      <c r="G1123" s="74">
        <v>3</v>
      </c>
      <c r="H1123" s="135">
        <v>42990.519687499997</v>
      </c>
      <c r="I1123" s="74" t="s">
        <v>21398</v>
      </c>
      <c r="J1123" s="74" t="s">
        <v>21400</v>
      </c>
      <c r="K1123" s="74" t="s">
        <v>10588</v>
      </c>
      <c r="L1123" s="74">
        <v>908154</v>
      </c>
      <c r="M1123" s="74" t="s">
        <v>21341</v>
      </c>
      <c r="N1123" s="74">
        <v>1</v>
      </c>
      <c r="O1123" s="74" t="s">
        <v>21342</v>
      </c>
      <c r="P1123" s="74" t="s">
        <v>21343</v>
      </c>
      <c r="Q1123" s="74" t="s">
        <v>21596</v>
      </c>
      <c r="R1123" s="74" t="s">
        <v>148</v>
      </c>
      <c r="S1123" s="74" t="s">
        <v>21338</v>
      </c>
      <c r="T1123" s="74" t="s">
        <v>402</v>
      </c>
      <c r="U1123" s="74">
        <v>0</v>
      </c>
      <c r="V1123" s="74">
        <v>0</v>
      </c>
    </row>
    <row r="1124" spans="3:22" x14ac:dyDescent="0.25">
      <c r="C1124" s="74" t="s">
        <v>2346</v>
      </c>
      <c r="D1124" s="74" t="s">
        <v>148</v>
      </c>
      <c r="E1124" s="74" t="s">
        <v>21338</v>
      </c>
      <c r="F1124" s="74">
        <v>569490</v>
      </c>
      <c r="G1124" s="74">
        <v>1</v>
      </c>
      <c r="H1124" s="135">
        <v>42990.516030092593</v>
      </c>
      <c r="I1124" s="74" t="s">
        <v>21348</v>
      </c>
      <c r="J1124" s="74" t="s">
        <v>21349</v>
      </c>
      <c r="K1124" s="74" t="s">
        <v>2346</v>
      </c>
      <c r="L1124" s="74">
        <v>569490</v>
      </c>
      <c r="M1124" s="74" t="s">
        <v>21341</v>
      </c>
      <c r="N1124" s="74">
        <v>0</v>
      </c>
      <c r="O1124" s="74" t="s">
        <v>21350</v>
      </c>
      <c r="P1124" s="74" t="s">
        <v>21343</v>
      </c>
      <c r="Q1124" s="74">
        <v>0</v>
      </c>
      <c r="R1124" s="74" t="s">
        <v>148</v>
      </c>
      <c r="S1124" s="74" t="s">
        <v>21338</v>
      </c>
      <c r="T1124" s="74" t="s">
        <v>402</v>
      </c>
      <c r="U1124" s="74">
        <v>0</v>
      </c>
      <c r="V1124" s="74">
        <v>0</v>
      </c>
    </row>
    <row r="1125" spans="3:22" x14ac:dyDescent="0.25">
      <c r="C1125" s="74" t="s">
        <v>2346</v>
      </c>
      <c r="D1125" s="74" t="s">
        <v>148</v>
      </c>
      <c r="E1125" s="74" t="s">
        <v>21338</v>
      </c>
      <c r="F1125" s="74">
        <v>569490</v>
      </c>
      <c r="G1125" s="74">
        <v>1</v>
      </c>
      <c r="H1125" s="135">
        <v>42990.516030092593</v>
      </c>
      <c r="I1125" s="74" t="s">
        <v>244</v>
      </c>
      <c r="J1125" s="74" t="s">
        <v>21349</v>
      </c>
      <c r="K1125" s="74" t="s">
        <v>2346</v>
      </c>
      <c r="L1125" s="74">
        <v>569490</v>
      </c>
      <c r="M1125" s="74" t="s">
        <v>21341</v>
      </c>
      <c r="N1125" s="74">
        <v>0</v>
      </c>
      <c r="O1125" s="74" t="s">
        <v>21350</v>
      </c>
      <c r="P1125" s="74" t="s">
        <v>21343</v>
      </c>
      <c r="Q1125" s="74">
        <v>0</v>
      </c>
      <c r="R1125" s="74" t="s">
        <v>148</v>
      </c>
      <c r="S1125" s="74" t="s">
        <v>21338</v>
      </c>
      <c r="T1125" s="74" t="s">
        <v>402</v>
      </c>
      <c r="U1125" s="74">
        <v>0</v>
      </c>
      <c r="V1125" s="74">
        <v>0</v>
      </c>
    </row>
    <row r="1126" spans="3:22" x14ac:dyDescent="0.25">
      <c r="C1126" s="74" t="s">
        <v>735</v>
      </c>
      <c r="D1126" s="74" t="s">
        <v>148</v>
      </c>
      <c r="E1126" s="74" t="s">
        <v>21338</v>
      </c>
      <c r="F1126" s="74">
        <v>570025</v>
      </c>
      <c r="G1126" s="74">
        <v>3</v>
      </c>
      <c r="H1126" s="135">
        <v>42990.515972222223</v>
      </c>
      <c r="I1126" s="74" t="s">
        <v>21365</v>
      </c>
      <c r="J1126" s="74" t="s">
        <v>21366</v>
      </c>
      <c r="K1126" s="74" t="s">
        <v>21367</v>
      </c>
      <c r="L1126" s="74">
        <v>561482</v>
      </c>
      <c r="M1126" s="74" t="s">
        <v>21368</v>
      </c>
      <c r="N1126" s="74">
        <v>1</v>
      </c>
      <c r="O1126" s="74" t="s">
        <v>21369</v>
      </c>
      <c r="P1126" s="74" t="s">
        <v>21343</v>
      </c>
      <c r="Q1126" s="74" t="s">
        <v>21597</v>
      </c>
      <c r="R1126" s="74" t="s">
        <v>148</v>
      </c>
      <c r="S1126" s="74" t="s">
        <v>21338</v>
      </c>
      <c r="T1126" s="74" t="s">
        <v>21371</v>
      </c>
      <c r="U1126" s="74">
        <v>0</v>
      </c>
      <c r="V1126" s="74">
        <v>0</v>
      </c>
    </row>
    <row r="1127" spans="3:22" x14ac:dyDescent="0.25">
      <c r="C1127" s="74" t="s">
        <v>735</v>
      </c>
      <c r="D1127" s="74" t="s">
        <v>148</v>
      </c>
      <c r="E1127" s="74" t="s">
        <v>21338</v>
      </c>
      <c r="F1127" s="74">
        <v>570025</v>
      </c>
      <c r="G1127" s="74">
        <v>3</v>
      </c>
      <c r="H1127" s="135">
        <v>42990.515972222223</v>
      </c>
      <c r="I1127" s="74" t="s">
        <v>21339</v>
      </c>
      <c r="J1127" s="74" t="s">
        <v>21364</v>
      </c>
      <c r="K1127" s="74" t="s">
        <v>21598</v>
      </c>
      <c r="L1127" s="74">
        <v>898543</v>
      </c>
      <c r="M1127" s="74" t="s">
        <v>21341</v>
      </c>
      <c r="N1127" s="74">
        <v>1</v>
      </c>
      <c r="O1127" s="74" t="s">
        <v>21342</v>
      </c>
      <c r="P1127" s="74" t="s">
        <v>21343</v>
      </c>
      <c r="Q1127" s="74">
        <v>0</v>
      </c>
      <c r="R1127" s="74" t="s">
        <v>148</v>
      </c>
      <c r="S1127" s="74" t="s">
        <v>21338</v>
      </c>
      <c r="T1127" s="74" t="s">
        <v>393</v>
      </c>
      <c r="U1127" s="74">
        <v>0</v>
      </c>
      <c r="V1127" s="74">
        <v>0</v>
      </c>
    </row>
    <row r="1128" spans="3:22" x14ac:dyDescent="0.25">
      <c r="C1128" s="74" t="s">
        <v>735</v>
      </c>
      <c r="D1128" s="74" t="s">
        <v>148</v>
      </c>
      <c r="E1128" s="74" t="s">
        <v>21338</v>
      </c>
      <c r="F1128" s="74">
        <v>570025</v>
      </c>
      <c r="G1128" s="74">
        <v>3</v>
      </c>
      <c r="H1128" s="135">
        <v>42990.515949074077</v>
      </c>
      <c r="I1128" s="74" t="s">
        <v>21365</v>
      </c>
      <c r="J1128" s="74" t="s">
        <v>21366</v>
      </c>
      <c r="K1128" s="74" t="s">
        <v>21381</v>
      </c>
      <c r="L1128" s="74">
        <v>555660</v>
      </c>
      <c r="M1128" s="74" t="s">
        <v>21368</v>
      </c>
      <c r="N1128" s="74">
        <v>1</v>
      </c>
      <c r="O1128" s="74" t="s">
        <v>21369</v>
      </c>
      <c r="P1128" s="74" t="s">
        <v>21343</v>
      </c>
      <c r="Q1128" s="74" t="s">
        <v>21597</v>
      </c>
      <c r="R1128" s="74" t="s">
        <v>148</v>
      </c>
      <c r="S1128" s="74" t="s">
        <v>21338</v>
      </c>
      <c r="T1128" s="74" t="s">
        <v>21371</v>
      </c>
      <c r="U1128" s="74">
        <v>0</v>
      </c>
      <c r="V1128" s="74">
        <v>0</v>
      </c>
    </row>
    <row r="1129" spans="3:22" x14ac:dyDescent="0.25">
      <c r="C1129" s="74" t="s">
        <v>735</v>
      </c>
      <c r="D1129" s="74" t="s">
        <v>148</v>
      </c>
      <c r="E1129" s="74" t="s">
        <v>21338</v>
      </c>
      <c r="F1129" s="74">
        <v>570025</v>
      </c>
      <c r="G1129" s="74">
        <v>3</v>
      </c>
      <c r="H1129" s="135">
        <v>42990.515925925924</v>
      </c>
      <c r="I1129" s="74" t="s">
        <v>21339</v>
      </c>
      <c r="J1129" s="74" t="s">
        <v>21364</v>
      </c>
      <c r="K1129" s="74" t="s">
        <v>21598</v>
      </c>
      <c r="L1129" s="74">
        <v>898543</v>
      </c>
      <c r="M1129" s="74" t="s">
        <v>21341</v>
      </c>
      <c r="N1129" s="74">
        <v>1</v>
      </c>
      <c r="O1129" s="74" t="s">
        <v>21342</v>
      </c>
      <c r="P1129" s="74" t="s">
        <v>21343</v>
      </c>
      <c r="Q1129" s="74">
        <v>0</v>
      </c>
      <c r="R1129" s="74" t="s">
        <v>148</v>
      </c>
      <c r="S1129" s="74" t="s">
        <v>21338</v>
      </c>
      <c r="T1129" s="74" t="s">
        <v>393</v>
      </c>
      <c r="U1129" s="74">
        <v>0</v>
      </c>
      <c r="V1129" s="74">
        <v>0</v>
      </c>
    </row>
    <row r="1130" spans="3:22" x14ac:dyDescent="0.25">
      <c r="C1130" s="74" t="s">
        <v>735</v>
      </c>
      <c r="D1130" s="74" t="s">
        <v>148</v>
      </c>
      <c r="E1130" s="74" t="s">
        <v>21338</v>
      </c>
      <c r="F1130" s="74">
        <v>570025</v>
      </c>
      <c r="G1130" s="74">
        <v>3</v>
      </c>
      <c r="H1130" s="135">
        <v>42990.515856481485</v>
      </c>
      <c r="I1130" s="74" t="s">
        <v>21339</v>
      </c>
      <c r="J1130" s="74" t="s">
        <v>21364</v>
      </c>
      <c r="K1130" s="74" t="s">
        <v>21598</v>
      </c>
      <c r="L1130" s="74">
        <v>898543</v>
      </c>
      <c r="M1130" s="74" t="s">
        <v>21341</v>
      </c>
      <c r="N1130" s="74">
        <v>1</v>
      </c>
      <c r="O1130" s="74" t="s">
        <v>21342</v>
      </c>
      <c r="P1130" s="74" t="s">
        <v>21343</v>
      </c>
      <c r="Q1130" s="74">
        <v>0</v>
      </c>
      <c r="R1130" s="74" t="s">
        <v>148</v>
      </c>
      <c r="S1130" s="74" t="s">
        <v>21338</v>
      </c>
      <c r="T1130" s="74" t="s">
        <v>393</v>
      </c>
      <c r="U1130" s="74">
        <v>0</v>
      </c>
      <c r="V1130" s="74">
        <v>0</v>
      </c>
    </row>
    <row r="1131" spans="3:22" x14ac:dyDescent="0.25">
      <c r="C1131" s="74" t="s">
        <v>735</v>
      </c>
      <c r="D1131" s="74" t="s">
        <v>148</v>
      </c>
      <c r="E1131" s="74" t="s">
        <v>21338</v>
      </c>
      <c r="F1131" s="74">
        <v>570025</v>
      </c>
      <c r="G1131" s="74">
        <v>3</v>
      </c>
      <c r="H1131" s="135">
        <v>42990.5155787037</v>
      </c>
      <c r="I1131" s="74" t="s">
        <v>21339</v>
      </c>
      <c r="J1131" s="74" t="s">
        <v>21362</v>
      </c>
      <c r="K1131" s="74" t="s">
        <v>21598</v>
      </c>
      <c r="L1131" s="74">
        <v>898543</v>
      </c>
      <c r="M1131" s="74" t="s">
        <v>21341</v>
      </c>
      <c r="N1131" s="74">
        <v>1</v>
      </c>
      <c r="O1131" s="74" t="s">
        <v>21342</v>
      </c>
      <c r="P1131" s="74" t="s">
        <v>21343</v>
      </c>
      <c r="Q1131" s="74" t="s">
        <v>21363</v>
      </c>
      <c r="R1131" s="74" t="s">
        <v>148</v>
      </c>
      <c r="S1131" s="74" t="s">
        <v>21338</v>
      </c>
      <c r="T1131" s="74" t="s">
        <v>393</v>
      </c>
      <c r="U1131" s="74">
        <v>0</v>
      </c>
      <c r="V1131" s="74">
        <v>0</v>
      </c>
    </row>
    <row r="1132" spans="3:22" x14ac:dyDescent="0.25">
      <c r="C1132" s="74" t="s">
        <v>735</v>
      </c>
      <c r="D1132" s="74" t="s">
        <v>148</v>
      </c>
      <c r="E1132" s="74" t="s">
        <v>21338</v>
      </c>
      <c r="F1132" s="74">
        <v>570025</v>
      </c>
      <c r="G1132" s="74">
        <v>3</v>
      </c>
      <c r="H1132" s="135">
        <v>42990.514594907407</v>
      </c>
      <c r="I1132" s="74" t="s">
        <v>21339</v>
      </c>
      <c r="J1132" s="74" t="s">
        <v>21360</v>
      </c>
      <c r="K1132" s="74" t="s">
        <v>21598</v>
      </c>
      <c r="L1132" s="74">
        <v>898543</v>
      </c>
      <c r="M1132" s="74" t="s">
        <v>21341</v>
      </c>
      <c r="N1132" s="74">
        <v>1</v>
      </c>
      <c r="O1132" s="74" t="s">
        <v>21342</v>
      </c>
      <c r="P1132" s="74" t="s">
        <v>21343</v>
      </c>
      <c r="Q1132" s="74" t="s">
        <v>21361</v>
      </c>
      <c r="R1132" s="74" t="s">
        <v>148</v>
      </c>
      <c r="S1132" s="74" t="s">
        <v>21338</v>
      </c>
      <c r="T1132" s="74" t="s">
        <v>402</v>
      </c>
      <c r="U1132" s="74">
        <v>0</v>
      </c>
      <c r="V1132" s="74">
        <v>0</v>
      </c>
    </row>
    <row r="1133" spans="3:22" x14ac:dyDescent="0.25">
      <c r="C1133" s="74" t="s">
        <v>21379</v>
      </c>
      <c r="D1133" s="74" t="s">
        <v>148</v>
      </c>
      <c r="E1133" s="74" t="s">
        <v>21338</v>
      </c>
      <c r="F1133" s="74">
        <v>809833</v>
      </c>
      <c r="G1133" s="74">
        <v>3</v>
      </c>
      <c r="H1133" s="135">
        <v>42990.484722222223</v>
      </c>
      <c r="I1133" s="74" t="s">
        <v>21354</v>
      </c>
      <c r="J1133" s="74" t="s">
        <v>21355</v>
      </c>
      <c r="K1133" s="74" t="s">
        <v>13444</v>
      </c>
      <c r="L1133" s="74">
        <v>553354</v>
      </c>
      <c r="M1133" s="74" t="s">
        <v>21341</v>
      </c>
      <c r="N1133" s="74">
        <v>1</v>
      </c>
      <c r="O1133" s="74" t="s">
        <v>21342</v>
      </c>
      <c r="P1133" s="74" t="s">
        <v>21345</v>
      </c>
      <c r="R1133" s="74" t="s">
        <v>148</v>
      </c>
      <c r="S1133" s="74" t="s">
        <v>21338</v>
      </c>
      <c r="T1133" s="74" t="s">
        <v>402</v>
      </c>
      <c r="U1133" s="74">
        <v>0</v>
      </c>
      <c r="V1133" s="74">
        <v>0</v>
      </c>
    </row>
    <row r="1134" spans="3:22" x14ac:dyDescent="0.25">
      <c r="C1134" s="74" t="s">
        <v>18795</v>
      </c>
      <c r="D1134" s="74" t="s">
        <v>148</v>
      </c>
      <c r="E1134" s="74" t="s">
        <v>21338</v>
      </c>
      <c r="F1134" s="74">
        <v>551367</v>
      </c>
      <c r="G1134" s="74">
        <v>1000</v>
      </c>
      <c r="H1134" s="135">
        <v>42990.475590277776</v>
      </c>
      <c r="I1134" s="74" t="s">
        <v>21339</v>
      </c>
      <c r="J1134" s="74" t="s">
        <v>21340</v>
      </c>
      <c r="K1134" s="74" t="s">
        <v>4322</v>
      </c>
      <c r="L1134" s="74">
        <v>552192</v>
      </c>
      <c r="M1134" s="74" t="s">
        <v>21341</v>
      </c>
      <c r="N1134" s="74">
        <v>1</v>
      </c>
      <c r="O1134" s="74" t="s">
        <v>21342</v>
      </c>
      <c r="P1134" s="74" t="s">
        <v>21343</v>
      </c>
      <c r="Q1134" s="74">
        <v>0</v>
      </c>
      <c r="R1134" s="74" t="s">
        <v>148</v>
      </c>
      <c r="S1134" s="74" t="s">
        <v>21338</v>
      </c>
      <c r="T1134" s="74" t="s">
        <v>402</v>
      </c>
      <c r="U1134" s="74">
        <v>0</v>
      </c>
      <c r="V1134" s="74">
        <v>0</v>
      </c>
    </row>
    <row r="1135" spans="3:22" x14ac:dyDescent="0.25">
      <c r="C1135" s="74" t="s">
        <v>21351</v>
      </c>
      <c r="D1135" s="74" t="s">
        <v>148</v>
      </c>
      <c r="E1135" s="74" t="s">
        <v>21338</v>
      </c>
      <c r="F1135" s="74">
        <v>707864</v>
      </c>
      <c r="G1135" s="74">
        <v>3</v>
      </c>
      <c r="H1135" s="135">
        <v>42990.466249999998</v>
      </c>
      <c r="I1135" s="74" t="s">
        <v>21354</v>
      </c>
      <c r="J1135" s="74" t="s">
        <v>21355</v>
      </c>
      <c r="K1135" s="74" t="s">
        <v>4886</v>
      </c>
      <c r="L1135" s="74">
        <v>907995</v>
      </c>
      <c r="M1135" s="74" t="s">
        <v>21341</v>
      </c>
      <c r="N1135" s="74">
        <v>1</v>
      </c>
      <c r="O1135" s="74" t="s">
        <v>21342</v>
      </c>
      <c r="P1135" s="74" t="s">
        <v>21345</v>
      </c>
      <c r="R1135" s="74" t="s">
        <v>148</v>
      </c>
      <c r="S1135" s="74" t="s">
        <v>21338</v>
      </c>
      <c r="T1135" s="74" t="s">
        <v>402</v>
      </c>
      <c r="U1135" s="74">
        <v>0</v>
      </c>
      <c r="V1135" s="74">
        <v>0</v>
      </c>
    </row>
    <row r="1136" spans="3:22" x14ac:dyDescent="0.25">
      <c r="C1136" s="74" t="s">
        <v>18795</v>
      </c>
      <c r="D1136" s="74" t="s">
        <v>148</v>
      </c>
      <c r="E1136" s="74" t="s">
        <v>21338</v>
      </c>
      <c r="F1136" s="74">
        <v>551367</v>
      </c>
      <c r="G1136" s="74">
        <v>1000</v>
      </c>
      <c r="H1136" s="135">
        <v>42990.466006944444</v>
      </c>
      <c r="I1136" s="74" t="s">
        <v>21339</v>
      </c>
      <c r="J1136" s="74" t="s">
        <v>21340</v>
      </c>
      <c r="K1136" s="74" t="s">
        <v>4886</v>
      </c>
      <c r="L1136" s="74">
        <v>907995</v>
      </c>
      <c r="M1136" s="74" t="s">
        <v>21341</v>
      </c>
      <c r="N1136" s="74">
        <v>1</v>
      </c>
      <c r="O1136" s="74" t="s">
        <v>21342</v>
      </c>
      <c r="P1136" s="74" t="s">
        <v>21343</v>
      </c>
      <c r="Q1136" s="74">
        <v>0</v>
      </c>
      <c r="R1136" s="74" t="s">
        <v>148</v>
      </c>
      <c r="S1136" s="74" t="s">
        <v>21338</v>
      </c>
      <c r="T1136" s="74" t="s">
        <v>402</v>
      </c>
      <c r="U1136" s="74">
        <v>0</v>
      </c>
      <c r="V1136" s="74">
        <v>0</v>
      </c>
    </row>
    <row r="1137" spans="3:22" x14ac:dyDescent="0.25">
      <c r="C1137" s="74" t="s">
        <v>18795</v>
      </c>
      <c r="D1137" s="74" t="s">
        <v>148</v>
      </c>
      <c r="E1137" s="74" t="s">
        <v>21338</v>
      </c>
      <c r="F1137" s="74">
        <v>551367</v>
      </c>
      <c r="G1137" s="74">
        <v>1000</v>
      </c>
      <c r="H1137" s="135">
        <v>42990.461574074077</v>
      </c>
      <c r="I1137" s="74" t="s">
        <v>21339</v>
      </c>
      <c r="J1137" s="74" t="s">
        <v>21340</v>
      </c>
      <c r="K1137" s="74" t="s">
        <v>10173</v>
      </c>
      <c r="L1137" s="74">
        <v>569903</v>
      </c>
      <c r="M1137" s="74" t="s">
        <v>21341</v>
      </c>
      <c r="N1137" s="74">
        <v>1</v>
      </c>
      <c r="O1137" s="74" t="s">
        <v>21342</v>
      </c>
      <c r="P1137" s="74" t="s">
        <v>21343</v>
      </c>
      <c r="Q1137" s="74">
        <v>0</v>
      </c>
      <c r="R1137" s="74" t="s">
        <v>148</v>
      </c>
      <c r="S1137" s="74" t="s">
        <v>21338</v>
      </c>
      <c r="T1137" s="74" t="s">
        <v>402</v>
      </c>
      <c r="U1137" s="74">
        <v>0</v>
      </c>
      <c r="V1137" s="74">
        <v>0</v>
      </c>
    </row>
    <row r="1138" spans="3:22" x14ac:dyDescent="0.25">
      <c r="C1138" s="74" t="s">
        <v>18795</v>
      </c>
      <c r="D1138" s="74" t="s">
        <v>148</v>
      </c>
      <c r="E1138" s="74" t="s">
        <v>21338</v>
      </c>
      <c r="F1138" s="74">
        <v>551367</v>
      </c>
      <c r="G1138" s="74">
        <v>1000</v>
      </c>
      <c r="H1138" s="135">
        <v>42990.453900462962</v>
      </c>
      <c r="I1138" s="74" t="s">
        <v>21339</v>
      </c>
      <c r="J1138" s="74" t="s">
        <v>21340</v>
      </c>
      <c r="K1138" s="74" t="s">
        <v>21346</v>
      </c>
      <c r="L1138" s="74">
        <v>560511</v>
      </c>
      <c r="M1138" s="74" t="s">
        <v>21341</v>
      </c>
      <c r="N1138" s="74">
        <v>1</v>
      </c>
      <c r="O1138" s="74" t="s">
        <v>21342</v>
      </c>
      <c r="P1138" s="74" t="s">
        <v>21343</v>
      </c>
      <c r="Q1138" s="74">
        <v>0</v>
      </c>
      <c r="R1138" s="74" t="s">
        <v>148</v>
      </c>
      <c r="S1138" s="74" t="s">
        <v>21338</v>
      </c>
      <c r="T1138" s="74" t="s">
        <v>393</v>
      </c>
      <c r="U1138" s="74">
        <v>0</v>
      </c>
      <c r="V1138" s="74">
        <v>0</v>
      </c>
    </row>
    <row r="1139" spans="3:22" x14ac:dyDescent="0.25">
      <c r="C1139" s="74" t="s">
        <v>21388</v>
      </c>
      <c r="D1139" s="74" t="s">
        <v>148</v>
      </c>
      <c r="E1139" s="74" t="s">
        <v>21338</v>
      </c>
      <c r="F1139" s="74">
        <v>560366</v>
      </c>
      <c r="G1139" s="74">
        <v>3</v>
      </c>
      <c r="H1139" s="135">
        <v>42990.447812500002</v>
      </c>
      <c r="I1139" s="74" t="s">
        <v>21354</v>
      </c>
      <c r="J1139" s="74" t="s">
        <v>21355</v>
      </c>
      <c r="K1139" s="74" t="s">
        <v>17888</v>
      </c>
      <c r="L1139" s="74">
        <v>553925</v>
      </c>
      <c r="M1139" s="74" t="s">
        <v>21341</v>
      </c>
      <c r="N1139" s="74">
        <v>1</v>
      </c>
      <c r="O1139" s="74" t="s">
        <v>21342</v>
      </c>
      <c r="P1139" s="74" t="s">
        <v>21345</v>
      </c>
      <c r="R1139" s="74" t="s">
        <v>148</v>
      </c>
      <c r="S1139" s="74" t="s">
        <v>21338</v>
      </c>
      <c r="T1139" s="74" t="s">
        <v>402</v>
      </c>
      <c r="U1139" s="74">
        <v>0</v>
      </c>
      <c r="V1139" s="74">
        <v>0</v>
      </c>
    </row>
    <row r="1140" spans="3:22" x14ac:dyDescent="0.25">
      <c r="C1140" s="74" t="s">
        <v>18795</v>
      </c>
      <c r="D1140" s="74" t="s">
        <v>148</v>
      </c>
      <c r="E1140" s="74" t="s">
        <v>21338</v>
      </c>
      <c r="F1140" s="74">
        <v>551367</v>
      </c>
      <c r="G1140" s="74">
        <v>1000</v>
      </c>
      <c r="H1140" s="135">
        <v>42990.444618055553</v>
      </c>
      <c r="I1140" s="74" t="s">
        <v>21339</v>
      </c>
      <c r="J1140" s="74" t="s">
        <v>21340</v>
      </c>
      <c r="K1140" s="74" t="s">
        <v>21569</v>
      </c>
      <c r="L1140" s="74">
        <v>726386</v>
      </c>
      <c r="M1140" s="74" t="s">
        <v>21341</v>
      </c>
      <c r="N1140" s="74">
        <v>1</v>
      </c>
      <c r="O1140" s="74" t="s">
        <v>21342</v>
      </c>
      <c r="P1140" s="74" t="s">
        <v>21343</v>
      </c>
      <c r="Q1140" s="74">
        <v>0</v>
      </c>
      <c r="R1140" s="74" t="s">
        <v>148</v>
      </c>
      <c r="S1140" s="74" t="s">
        <v>21338</v>
      </c>
      <c r="T1140" s="74" t="s">
        <v>402</v>
      </c>
      <c r="U1140" s="74">
        <v>0</v>
      </c>
      <c r="V1140" s="74">
        <v>0</v>
      </c>
    </row>
    <row r="1141" spans="3:22" x14ac:dyDescent="0.25">
      <c r="C1141" s="74" t="s">
        <v>18795</v>
      </c>
      <c r="D1141" s="74" t="s">
        <v>148</v>
      </c>
      <c r="E1141" s="74" t="s">
        <v>21338</v>
      </c>
      <c r="F1141" s="74">
        <v>551367</v>
      </c>
      <c r="G1141" s="74">
        <v>1000</v>
      </c>
      <c r="H1141" s="135">
        <v>42990.443356481483</v>
      </c>
      <c r="I1141" s="74" t="s">
        <v>21339</v>
      </c>
      <c r="J1141" s="74" t="s">
        <v>21340</v>
      </c>
      <c r="K1141" s="74" t="s">
        <v>17888</v>
      </c>
      <c r="L1141" s="74">
        <v>553925</v>
      </c>
      <c r="M1141" s="74" t="s">
        <v>21341</v>
      </c>
      <c r="N1141" s="74">
        <v>1</v>
      </c>
      <c r="O1141" s="74" t="s">
        <v>21342</v>
      </c>
      <c r="P1141" s="74" t="s">
        <v>21343</v>
      </c>
      <c r="Q1141" s="74">
        <v>0</v>
      </c>
      <c r="R1141" s="74" t="s">
        <v>148</v>
      </c>
      <c r="S1141" s="74" t="s">
        <v>21338</v>
      </c>
      <c r="T1141" s="74" t="s">
        <v>402</v>
      </c>
      <c r="U1141" s="74">
        <v>0</v>
      </c>
      <c r="V1141" s="74">
        <v>0</v>
      </c>
    </row>
    <row r="1142" spans="3:22" x14ac:dyDescent="0.25">
      <c r="C1142" s="74" t="s">
        <v>18795</v>
      </c>
      <c r="D1142" s="74" t="s">
        <v>148</v>
      </c>
      <c r="E1142" s="74" t="s">
        <v>21338</v>
      </c>
      <c r="F1142" s="74">
        <v>551367</v>
      </c>
      <c r="G1142" s="74">
        <v>1000</v>
      </c>
      <c r="H1142" s="135">
        <v>42990.430254629631</v>
      </c>
      <c r="I1142" s="74" t="s">
        <v>21339</v>
      </c>
      <c r="J1142" s="74" t="s">
        <v>21340</v>
      </c>
      <c r="K1142" s="74" t="s">
        <v>13444</v>
      </c>
      <c r="L1142" s="74">
        <v>553354</v>
      </c>
      <c r="M1142" s="74" t="s">
        <v>21341</v>
      </c>
      <c r="N1142" s="74">
        <v>1</v>
      </c>
      <c r="O1142" s="74" t="s">
        <v>21342</v>
      </c>
      <c r="P1142" s="74" t="s">
        <v>21343</v>
      </c>
      <c r="Q1142" s="74">
        <v>0</v>
      </c>
      <c r="R1142" s="74" t="s">
        <v>148</v>
      </c>
      <c r="S1142" s="74" t="s">
        <v>21338</v>
      </c>
      <c r="T1142" s="74" t="s">
        <v>402</v>
      </c>
      <c r="U1142" s="74">
        <v>0</v>
      </c>
      <c r="V1142" s="74">
        <v>0</v>
      </c>
    </row>
    <row r="1143" spans="3:22" x14ac:dyDescent="0.25">
      <c r="C1143" s="74" t="s">
        <v>18795</v>
      </c>
      <c r="D1143" s="74" t="s">
        <v>148</v>
      </c>
      <c r="E1143" s="74" t="s">
        <v>21338</v>
      </c>
      <c r="F1143" s="74">
        <v>551367</v>
      </c>
      <c r="G1143" s="74">
        <v>1000</v>
      </c>
      <c r="H1143" s="135">
        <v>42990.423935185187</v>
      </c>
      <c r="I1143" s="74" t="s">
        <v>21339</v>
      </c>
      <c r="J1143" s="74" t="s">
        <v>21340</v>
      </c>
      <c r="K1143" s="74" t="s">
        <v>11431</v>
      </c>
      <c r="L1143" s="74">
        <v>553115</v>
      </c>
      <c r="M1143" s="74" t="s">
        <v>21341</v>
      </c>
      <c r="N1143" s="74">
        <v>1</v>
      </c>
      <c r="O1143" s="74" t="s">
        <v>21342</v>
      </c>
      <c r="P1143" s="74" t="s">
        <v>21343</v>
      </c>
      <c r="Q1143" s="74">
        <v>0</v>
      </c>
      <c r="R1143" s="74" t="s">
        <v>148</v>
      </c>
      <c r="S1143" s="74" t="s">
        <v>21338</v>
      </c>
      <c r="T1143" s="74" t="s">
        <v>402</v>
      </c>
      <c r="U1143" s="74">
        <v>0</v>
      </c>
      <c r="V1143" s="74">
        <v>0</v>
      </c>
    </row>
    <row r="1144" spans="3:22" x14ac:dyDescent="0.25">
      <c r="C1144" s="74" t="s">
        <v>18795</v>
      </c>
      <c r="D1144" s="74" t="s">
        <v>148</v>
      </c>
      <c r="E1144" s="74" t="s">
        <v>21338</v>
      </c>
      <c r="F1144" s="74">
        <v>551367</v>
      </c>
      <c r="G1144" s="74">
        <v>1000</v>
      </c>
      <c r="H1144" s="135">
        <v>42990.418877314813</v>
      </c>
      <c r="I1144" s="74" t="s">
        <v>21339</v>
      </c>
      <c r="J1144" s="74" t="s">
        <v>21340</v>
      </c>
      <c r="K1144" s="74" t="s">
        <v>8711</v>
      </c>
      <c r="L1144" s="74">
        <v>552752</v>
      </c>
      <c r="M1144" s="74" t="s">
        <v>21341</v>
      </c>
      <c r="N1144" s="74">
        <v>1</v>
      </c>
      <c r="O1144" s="74" t="s">
        <v>21342</v>
      </c>
      <c r="P1144" s="74" t="s">
        <v>21343</v>
      </c>
      <c r="Q1144" s="74">
        <v>0</v>
      </c>
      <c r="R1144" s="74" t="s">
        <v>148</v>
      </c>
      <c r="S1144" s="74" t="s">
        <v>21338</v>
      </c>
      <c r="T1144" s="74" t="s">
        <v>402</v>
      </c>
      <c r="U1144" s="74">
        <v>0</v>
      </c>
      <c r="V1144" s="74">
        <v>0</v>
      </c>
    </row>
    <row r="1145" spans="3:22" x14ac:dyDescent="0.25">
      <c r="C1145" s="74" t="s">
        <v>18795</v>
      </c>
      <c r="D1145" s="74" t="s">
        <v>148</v>
      </c>
      <c r="E1145" s="74" t="s">
        <v>21338</v>
      </c>
      <c r="F1145" s="74">
        <v>551367</v>
      </c>
      <c r="G1145" s="74">
        <v>1000</v>
      </c>
      <c r="H1145" s="135">
        <v>42990.416990740741</v>
      </c>
      <c r="I1145" s="74" t="s">
        <v>21339</v>
      </c>
      <c r="J1145" s="74" t="s">
        <v>21340</v>
      </c>
      <c r="K1145" s="74" t="s">
        <v>5949</v>
      </c>
      <c r="L1145" s="74">
        <v>552367</v>
      </c>
      <c r="M1145" s="74" t="s">
        <v>21341</v>
      </c>
      <c r="N1145" s="74">
        <v>1</v>
      </c>
      <c r="O1145" s="74" t="s">
        <v>21342</v>
      </c>
      <c r="P1145" s="74" t="s">
        <v>21343</v>
      </c>
      <c r="Q1145" s="74">
        <v>0</v>
      </c>
      <c r="R1145" s="74" t="s">
        <v>148</v>
      </c>
      <c r="S1145" s="74" t="s">
        <v>21338</v>
      </c>
      <c r="T1145" s="74" t="s">
        <v>402</v>
      </c>
      <c r="U1145" s="74">
        <v>0</v>
      </c>
      <c r="V1145" s="74">
        <v>0</v>
      </c>
    </row>
    <row r="1146" spans="3:22" x14ac:dyDescent="0.25">
      <c r="C1146" s="74" t="s">
        <v>18795</v>
      </c>
      <c r="D1146" s="74" t="s">
        <v>148</v>
      </c>
      <c r="E1146" s="74" t="s">
        <v>21338</v>
      </c>
      <c r="F1146" s="74">
        <v>551367</v>
      </c>
      <c r="G1146" s="74">
        <v>1000</v>
      </c>
      <c r="H1146" s="135">
        <v>42990.41642361111</v>
      </c>
      <c r="I1146" s="74" t="s">
        <v>21339</v>
      </c>
      <c r="J1146" s="74" t="s">
        <v>21340</v>
      </c>
      <c r="K1146" s="74" t="s">
        <v>13030</v>
      </c>
      <c r="L1146" s="74">
        <v>551676</v>
      </c>
      <c r="M1146" s="74" t="s">
        <v>21341</v>
      </c>
      <c r="N1146" s="74">
        <v>1</v>
      </c>
      <c r="O1146" s="74" t="s">
        <v>21342</v>
      </c>
      <c r="P1146" s="74" t="s">
        <v>21343</v>
      </c>
      <c r="Q1146" s="74">
        <v>0</v>
      </c>
      <c r="R1146" s="74" t="s">
        <v>148</v>
      </c>
      <c r="S1146" s="74" t="s">
        <v>21338</v>
      </c>
      <c r="T1146" s="74" t="s">
        <v>402</v>
      </c>
      <c r="U1146" s="74">
        <v>0</v>
      </c>
      <c r="V1146" s="74">
        <v>0</v>
      </c>
    </row>
    <row r="1147" spans="3:22" x14ac:dyDescent="0.25">
      <c r="C1147" s="74" t="s">
        <v>18795</v>
      </c>
      <c r="D1147" s="74" t="s">
        <v>148</v>
      </c>
      <c r="E1147" s="74" t="s">
        <v>21338</v>
      </c>
      <c r="F1147" s="74">
        <v>551367</v>
      </c>
      <c r="G1147" s="74">
        <v>1000</v>
      </c>
      <c r="H1147" s="135">
        <v>42990.416030092594</v>
      </c>
      <c r="I1147" s="74" t="s">
        <v>21339</v>
      </c>
      <c r="J1147" s="74" t="s">
        <v>21340</v>
      </c>
      <c r="K1147" s="74" t="s">
        <v>9390</v>
      </c>
      <c r="L1147" s="74">
        <v>552835</v>
      </c>
      <c r="M1147" s="74" t="s">
        <v>21341</v>
      </c>
      <c r="N1147" s="74">
        <v>1</v>
      </c>
      <c r="O1147" s="74" t="s">
        <v>21342</v>
      </c>
      <c r="P1147" s="74" t="s">
        <v>21343</v>
      </c>
      <c r="Q1147" s="74">
        <v>0</v>
      </c>
      <c r="R1147" s="74" t="s">
        <v>148</v>
      </c>
      <c r="S1147" s="74" t="s">
        <v>21338</v>
      </c>
      <c r="T1147" s="74" t="s">
        <v>402</v>
      </c>
      <c r="U1147" s="74">
        <v>0</v>
      </c>
      <c r="V1147" s="74">
        <v>0</v>
      </c>
    </row>
    <row r="1148" spans="3:22" x14ac:dyDescent="0.25">
      <c r="C1148" s="74" t="s">
        <v>21390</v>
      </c>
      <c r="D1148" s="74" t="s">
        <v>148</v>
      </c>
      <c r="E1148" s="74" t="s">
        <v>21338</v>
      </c>
      <c r="F1148" s="74">
        <v>560864</v>
      </c>
      <c r="G1148" s="74">
        <v>3</v>
      </c>
      <c r="H1148" s="135">
        <v>42990.410937499997</v>
      </c>
      <c r="I1148" s="74" t="s">
        <v>21339</v>
      </c>
      <c r="J1148" s="74" t="s">
        <v>21340</v>
      </c>
      <c r="K1148" s="74" t="s">
        <v>21599</v>
      </c>
      <c r="L1148" s="74">
        <v>877289</v>
      </c>
      <c r="M1148" s="74" t="s">
        <v>21341</v>
      </c>
      <c r="N1148" s="74">
        <v>1</v>
      </c>
      <c r="O1148" s="74" t="s">
        <v>21342</v>
      </c>
      <c r="P1148" s="74" t="s">
        <v>21343</v>
      </c>
      <c r="Q1148" s="74">
        <v>0</v>
      </c>
      <c r="R1148" s="74" t="s">
        <v>148</v>
      </c>
      <c r="S1148" s="74" t="s">
        <v>21338</v>
      </c>
      <c r="T1148" s="74" t="s">
        <v>402</v>
      </c>
      <c r="U1148" s="74">
        <v>0</v>
      </c>
      <c r="V1148" s="74">
        <v>0</v>
      </c>
    </row>
    <row r="1149" spans="3:22" x14ac:dyDescent="0.25">
      <c r="C1149" s="74" t="s">
        <v>18795</v>
      </c>
      <c r="D1149" s="74" t="s">
        <v>148</v>
      </c>
      <c r="E1149" s="74" t="s">
        <v>21338</v>
      </c>
      <c r="F1149" s="74">
        <v>551367</v>
      </c>
      <c r="G1149" s="74">
        <v>1000</v>
      </c>
      <c r="H1149" s="135">
        <v>42990.404606481483</v>
      </c>
      <c r="I1149" s="74" t="s">
        <v>21339</v>
      </c>
      <c r="J1149" s="74" t="s">
        <v>21340</v>
      </c>
      <c r="K1149" s="74" t="s">
        <v>5749</v>
      </c>
      <c r="L1149" s="74">
        <v>552361</v>
      </c>
      <c r="M1149" s="74" t="s">
        <v>21341</v>
      </c>
      <c r="N1149" s="74">
        <v>1</v>
      </c>
      <c r="O1149" s="74" t="s">
        <v>21342</v>
      </c>
      <c r="P1149" s="74" t="s">
        <v>21343</v>
      </c>
      <c r="Q1149" s="74">
        <v>0</v>
      </c>
      <c r="R1149" s="74" t="s">
        <v>148</v>
      </c>
      <c r="S1149" s="74" t="s">
        <v>21338</v>
      </c>
      <c r="T1149" s="74" t="s">
        <v>402</v>
      </c>
      <c r="U1149" s="74">
        <v>0</v>
      </c>
      <c r="V1149" s="74">
        <v>0</v>
      </c>
    </row>
    <row r="1150" spans="3:22" x14ac:dyDescent="0.25">
      <c r="C1150" s="74" t="s">
        <v>18795</v>
      </c>
      <c r="D1150" s="74" t="s">
        <v>148</v>
      </c>
      <c r="E1150" s="74" t="s">
        <v>21338</v>
      </c>
      <c r="F1150" s="74">
        <v>551367</v>
      </c>
      <c r="G1150" s="74">
        <v>1000</v>
      </c>
      <c r="H1150" s="135">
        <v>42990.397199074076</v>
      </c>
      <c r="I1150" s="74" t="s">
        <v>21339</v>
      </c>
      <c r="J1150" s="74" t="s">
        <v>21340</v>
      </c>
      <c r="K1150" s="74" t="s">
        <v>9390</v>
      </c>
      <c r="L1150" s="74">
        <v>552835</v>
      </c>
      <c r="M1150" s="74" t="s">
        <v>21341</v>
      </c>
      <c r="N1150" s="74">
        <v>1</v>
      </c>
      <c r="O1150" s="74" t="s">
        <v>21342</v>
      </c>
      <c r="P1150" s="74" t="s">
        <v>21343</v>
      </c>
      <c r="Q1150" s="74">
        <v>0</v>
      </c>
      <c r="R1150" s="74" t="s">
        <v>148</v>
      </c>
      <c r="S1150" s="74" t="s">
        <v>21338</v>
      </c>
      <c r="T1150" s="74" t="s">
        <v>402</v>
      </c>
      <c r="U1150" s="74">
        <v>0</v>
      </c>
      <c r="V1150" s="74">
        <v>0</v>
      </c>
    </row>
    <row r="1151" spans="3:22" x14ac:dyDescent="0.25">
      <c r="C1151" s="74" t="s">
        <v>18795</v>
      </c>
      <c r="D1151" s="74" t="s">
        <v>148</v>
      </c>
      <c r="E1151" s="74" t="s">
        <v>21338</v>
      </c>
      <c r="F1151" s="74">
        <v>551367</v>
      </c>
      <c r="G1151" s="74">
        <v>1000</v>
      </c>
      <c r="H1151" s="135">
        <v>42990.396805555552</v>
      </c>
      <c r="I1151" s="74" t="s">
        <v>21339</v>
      </c>
      <c r="J1151" s="74" t="s">
        <v>21340</v>
      </c>
      <c r="K1151" s="74" t="s">
        <v>472</v>
      </c>
      <c r="L1151" s="74">
        <v>551726</v>
      </c>
      <c r="M1151" s="74" t="s">
        <v>21341</v>
      </c>
      <c r="N1151" s="74">
        <v>1</v>
      </c>
      <c r="O1151" s="74" t="s">
        <v>21342</v>
      </c>
      <c r="P1151" s="74" t="s">
        <v>21343</v>
      </c>
      <c r="Q1151" s="74">
        <v>0</v>
      </c>
      <c r="R1151" s="74" t="s">
        <v>148</v>
      </c>
      <c r="S1151" s="74" t="s">
        <v>21338</v>
      </c>
      <c r="T1151" s="74" t="s">
        <v>402</v>
      </c>
      <c r="U1151" s="74">
        <v>0</v>
      </c>
      <c r="V1151" s="74">
        <v>0</v>
      </c>
    </row>
    <row r="1152" spans="3:22" x14ac:dyDescent="0.25">
      <c r="C1152" s="74" t="s">
        <v>21390</v>
      </c>
      <c r="D1152" s="74" t="s">
        <v>148</v>
      </c>
      <c r="E1152" s="74" t="s">
        <v>21338</v>
      </c>
      <c r="F1152" s="74">
        <v>560864</v>
      </c>
      <c r="G1152" s="74">
        <v>3</v>
      </c>
      <c r="H1152" s="135">
        <v>42990.389918981484</v>
      </c>
      <c r="I1152" s="74" t="s">
        <v>21354</v>
      </c>
      <c r="J1152" s="74" t="s">
        <v>21355</v>
      </c>
      <c r="K1152" s="74" t="s">
        <v>655</v>
      </c>
      <c r="L1152" s="74">
        <v>551742</v>
      </c>
      <c r="M1152" s="74" t="s">
        <v>21341</v>
      </c>
      <c r="N1152" s="74">
        <v>1</v>
      </c>
      <c r="O1152" s="74" t="s">
        <v>21342</v>
      </c>
      <c r="P1152" s="74" t="s">
        <v>21345</v>
      </c>
      <c r="R1152" s="74" t="s">
        <v>148</v>
      </c>
      <c r="S1152" s="74" t="s">
        <v>21338</v>
      </c>
      <c r="T1152" s="74" t="s">
        <v>402</v>
      </c>
      <c r="U1152" s="74">
        <v>0</v>
      </c>
      <c r="V1152" s="74">
        <v>0</v>
      </c>
    </row>
    <row r="1153" spans="3:22" x14ac:dyDescent="0.25">
      <c r="C1153" s="74" t="s">
        <v>18795</v>
      </c>
      <c r="D1153" s="74" t="s">
        <v>148</v>
      </c>
      <c r="E1153" s="74" t="s">
        <v>21338</v>
      </c>
      <c r="F1153" s="74">
        <v>551367</v>
      </c>
      <c r="G1153" s="74">
        <v>1000</v>
      </c>
      <c r="H1153" s="135">
        <v>42990.366249999999</v>
      </c>
      <c r="I1153" s="74" t="s">
        <v>21339</v>
      </c>
      <c r="J1153" s="74" t="s">
        <v>21340</v>
      </c>
      <c r="K1153" s="74" t="s">
        <v>4168</v>
      </c>
      <c r="L1153" s="74">
        <v>552179</v>
      </c>
      <c r="M1153" s="74" t="s">
        <v>21341</v>
      </c>
      <c r="N1153" s="74">
        <v>1</v>
      </c>
      <c r="O1153" s="74" t="s">
        <v>21342</v>
      </c>
      <c r="P1153" s="74" t="s">
        <v>21343</v>
      </c>
      <c r="Q1153" s="74">
        <v>0</v>
      </c>
      <c r="R1153" s="74" t="s">
        <v>148</v>
      </c>
      <c r="S1153" s="74" t="s">
        <v>21338</v>
      </c>
      <c r="T1153" s="74" t="s">
        <v>402</v>
      </c>
      <c r="U1153" s="74">
        <v>0</v>
      </c>
      <c r="V1153" s="74">
        <v>0</v>
      </c>
    </row>
    <row r="1154" spans="3:22" x14ac:dyDescent="0.25">
      <c r="C1154" s="74" t="s">
        <v>18795</v>
      </c>
      <c r="D1154" s="74" t="s">
        <v>148</v>
      </c>
      <c r="E1154" s="74" t="s">
        <v>21338</v>
      </c>
      <c r="F1154" s="74">
        <v>551367</v>
      </c>
      <c r="G1154" s="74">
        <v>1000</v>
      </c>
      <c r="H1154" s="135">
        <v>42990.360196759262</v>
      </c>
      <c r="I1154" s="74" t="s">
        <v>21339</v>
      </c>
      <c r="J1154" s="74" t="s">
        <v>21340</v>
      </c>
      <c r="K1154" s="74" t="s">
        <v>11766</v>
      </c>
      <c r="L1154" s="74">
        <v>553236</v>
      </c>
      <c r="M1154" s="74" t="s">
        <v>21341</v>
      </c>
      <c r="N1154" s="74">
        <v>1</v>
      </c>
      <c r="O1154" s="74" t="s">
        <v>21342</v>
      </c>
      <c r="P1154" s="74" t="s">
        <v>21343</v>
      </c>
      <c r="Q1154" s="74">
        <v>0</v>
      </c>
      <c r="R1154" s="74" t="s">
        <v>148</v>
      </c>
      <c r="S1154" s="74" t="s">
        <v>21338</v>
      </c>
      <c r="T1154" s="74" t="s">
        <v>402</v>
      </c>
      <c r="U1154" s="74">
        <v>0</v>
      </c>
      <c r="V1154" s="74">
        <v>0</v>
      </c>
    </row>
    <row r="1155" spans="3:22" x14ac:dyDescent="0.25">
      <c r="C1155" s="74" t="s">
        <v>18795</v>
      </c>
      <c r="D1155" s="74" t="s">
        <v>148</v>
      </c>
      <c r="E1155" s="74" t="s">
        <v>21338</v>
      </c>
      <c r="F1155" s="74">
        <v>551367</v>
      </c>
      <c r="G1155" s="74">
        <v>1000</v>
      </c>
      <c r="H1155" s="135">
        <v>42990.357453703706</v>
      </c>
      <c r="I1155" s="74" t="s">
        <v>21339</v>
      </c>
      <c r="J1155" s="74" t="s">
        <v>21340</v>
      </c>
      <c r="K1155" s="74" t="s">
        <v>10896</v>
      </c>
      <c r="L1155" s="74">
        <v>553034</v>
      </c>
      <c r="M1155" s="74" t="s">
        <v>21341</v>
      </c>
      <c r="N1155" s="74">
        <v>1</v>
      </c>
      <c r="O1155" s="74" t="s">
        <v>21342</v>
      </c>
      <c r="P1155" s="74" t="s">
        <v>21343</v>
      </c>
      <c r="Q1155" s="74">
        <v>0</v>
      </c>
      <c r="R1155" s="74" t="s">
        <v>148</v>
      </c>
      <c r="S1155" s="74" t="s">
        <v>21338</v>
      </c>
      <c r="T1155" s="74" t="s">
        <v>402</v>
      </c>
      <c r="U1155" s="74">
        <v>0</v>
      </c>
      <c r="V1155" s="74">
        <v>0</v>
      </c>
    </row>
    <row r="1156" spans="3:22" x14ac:dyDescent="0.25">
      <c r="C1156" s="74" t="s">
        <v>18795</v>
      </c>
      <c r="D1156" s="74" t="s">
        <v>148</v>
      </c>
      <c r="E1156" s="74" t="s">
        <v>21338</v>
      </c>
      <c r="F1156" s="74">
        <v>551367</v>
      </c>
      <c r="G1156" s="74">
        <v>1000</v>
      </c>
      <c r="H1156" s="135">
        <v>42990.344918981478</v>
      </c>
      <c r="I1156" s="74" t="s">
        <v>21339</v>
      </c>
      <c r="J1156" s="74" t="s">
        <v>21340</v>
      </c>
      <c r="K1156" s="74" t="s">
        <v>21600</v>
      </c>
      <c r="L1156" s="74">
        <v>554413</v>
      </c>
      <c r="M1156" s="74" t="s">
        <v>21341</v>
      </c>
      <c r="N1156" s="74">
        <v>1</v>
      </c>
      <c r="O1156" s="74" t="s">
        <v>21342</v>
      </c>
      <c r="P1156" s="74" t="s">
        <v>21343</v>
      </c>
      <c r="Q1156" s="74">
        <v>0</v>
      </c>
      <c r="R1156" s="74" t="s">
        <v>148</v>
      </c>
      <c r="S1156" s="74" t="s">
        <v>21338</v>
      </c>
      <c r="T1156" s="74" t="s">
        <v>393</v>
      </c>
      <c r="U1156" s="74">
        <v>0</v>
      </c>
      <c r="V1156" s="74">
        <v>0</v>
      </c>
    </row>
    <row r="1157" spans="3:22" x14ac:dyDescent="0.25">
      <c r="C1157" s="74" t="s">
        <v>735</v>
      </c>
      <c r="D1157" s="74" t="s">
        <v>148</v>
      </c>
      <c r="E1157" s="74" t="s">
        <v>21338</v>
      </c>
      <c r="F1157" s="74">
        <v>570025</v>
      </c>
      <c r="G1157" s="74">
        <v>3</v>
      </c>
      <c r="H1157" s="135">
        <v>42989.93372685185</v>
      </c>
      <c r="I1157" s="74" t="s">
        <v>21339</v>
      </c>
      <c r="J1157" s="74" t="s">
        <v>21360</v>
      </c>
      <c r="K1157" s="74" t="s">
        <v>21599</v>
      </c>
      <c r="L1157" s="74">
        <v>877289</v>
      </c>
      <c r="M1157" s="74" t="s">
        <v>21341</v>
      </c>
      <c r="N1157" s="74">
        <v>1</v>
      </c>
      <c r="O1157" s="74" t="s">
        <v>21342</v>
      </c>
      <c r="P1157" s="74" t="s">
        <v>21343</v>
      </c>
      <c r="Q1157" s="74" t="s">
        <v>21395</v>
      </c>
      <c r="R1157" s="74" t="s">
        <v>148</v>
      </c>
      <c r="S1157" s="74" t="s">
        <v>21338</v>
      </c>
      <c r="T1157" s="74" t="s">
        <v>402</v>
      </c>
      <c r="U1157" s="74">
        <v>0</v>
      </c>
      <c r="V1157" s="74">
        <v>0</v>
      </c>
    </row>
    <row r="1158" spans="3:22" x14ac:dyDescent="0.25">
      <c r="C1158" s="74" t="s">
        <v>735</v>
      </c>
      <c r="D1158" s="74" t="s">
        <v>148</v>
      </c>
      <c r="E1158" s="74" t="s">
        <v>21338</v>
      </c>
      <c r="F1158" s="74">
        <v>570025</v>
      </c>
      <c r="G1158" s="74">
        <v>3</v>
      </c>
      <c r="H1158" s="135">
        <v>42989.931585648148</v>
      </c>
      <c r="I1158" s="74" t="s">
        <v>21339</v>
      </c>
      <c r="J1158" s="74" t="s">
        <v>21391</v>
      </c>
      <c r="K1158" s="74" t="s">
        <v>21599</v>
      </c>
      <c r="L1158" s="74">
        <v>877289</v>
      </c>
      <c r="M1158" s="74" t="s">
        <v>21341</v>
      </c>
      <c r="N1158" s="74">
        <v>1</v>
      </c>
      <c r="O1158" s="74" t="s">
        <v>21342</v>
      </c>
      <c r="P1158" s="74" t="s">
        <v>21343</v>
      </c>
      <c r="Q1158" s="74" t="s">
        <v>21601</v>
      </c>
      <c r="R1158" s="74" t="s">
        <v>148</v>
      </c>
      <c r="S1158" s="74" t="s">
        <v>21338</v>
      </c>
      <c r="T1158" s="74" t="s">
        <v>402</v>
      </c>
      <c r="U1158" s="74">
        <v>0</v>
      </c>
      <c r="V1158" s="74">
        <v>0</v>
      </c>
    </row>
    <row r="1159" spans="3:22" x14ac:dyDescent="0.25">
      <c r="C1159" s="74" t="s">
        <v>735</v>
      </c>
      <c r="D1159" s="74" t="s">
        <v>148</v>
      </c>
      <c r="E1159" s="74" t="s">
        <v>21338</v>
      </c>
      <c r="F1159" s="74">
        <v>570025</v>
      </c>
      <c r="G1159" s="74">
        <v>3</v>
      </c>
      <c r="H1159" s="135">
        <v>42989.931585648148</v>
      </c>
      <c r="I1159" s="74" t="s">
        <v>21339</v>
      </c>
      <c r="J1159" s="74" t="s">
        <v>21391</v>
      </c>
      <c r="K1159" s="74" t="s">
        <v>21599</v>
      </c>
      <c r="L1159" s="74">
        <v>877289</v>
      </c>
      <c r="M1159" s="74" t="s">
        <v>21341</v>
      </c>
      <c r="N1159" s="74">
        <v>1</v>
      </c>
      <c r="O1159" s="74" t="s">
        <v>21342</v>
      </c>
      <c r="P1159" s="74" t="s">
        <v>21343</v>
      </c>
      <c r="Q1159" s="74" t="s">
        <v>21601</v>
      </c>
      <c r="R1159" s="74" t="s">
        <v>148</v>
      </c>
      <c r="S1159" s="74" t="s">
        <v>21338</v>
      </c>
      <c r="T1159" s="74" t="s">
        <v>402</v>
      </c>
      <c r="U1159" s="74">
        <v>0</v>
      </c>
      <c r="V1159" s="74">
        <v>0</v>
      </c>
    </row>
    <row r="1160" spans="3:22" x14ac:dyDescent="0.25">
      <c r="C1160" s="74" t="s">
        <v>735</v>
      </c>
      <c r="D1160" s="74" t="s">
        <v>148</v>
      </c>
      <c r="E1160" s="74" t="s">
        <v>21338</v>
      </c>
      <c r="F1160" s="74">
        <v>570025</v>
      </c>
      <c r="G1160" s="74">
        <v>3</v>
      </c>
      <c r="H1160" s="135">
        <v>42989.928240740737</v>
      </c>
      <c r="I1160" s="74" t="s">
        <v>21339</v>
      </c>
      <c r="J1160" s="74" t="s">
        <v>21362</v>
      </c>
      <c r="K1160" s="74" t="s">
        <v>21599</v>
      </c>
      <c r="L1160" s="74">
        <v>877289</v>
      </c>
      <c r="M1160" s="74" t="s">
        <v>21341</v>
      </c>
      <c r="N1160" s="74">
        <v>1</v>
      </c>
      <c r="O1160" s="74" t="s">
        <v>21342</v>
      </c>
      <c r="P1160" s="74" t="s">
        <v>21343</v>
      </c>
      <c r="Q1160" s="74" t="s">
        <v>21602</v>
      </c>
      <c r="R1160" s="74" t="s">
        <v>148</v>
      </c>
      <c r="S1160" s="74" t="s">
        <v>21338</v>
      </c>
      <c r="T1160" s="74" t="s">
        <v>402</v>
      </c>
      <c r="U1160" s="74">
        <v>0</v>
      </c>
      <c r="V1160" s="74">
        <v>0</v>
      </c>
    </row>
    <row r="1161" spans="3:22" x14ac:dyDescent="0.25">
      <c r="C1161" s="74" t="s">
        <v>18795</v>
      </c>
      <c r="D1161" s="74" t="s">
        <v>148</v>
      </c>
      <c r="E1161" s="74" t="s">
        <v>21338</v>
      </c>
      <c r="F1161" s="74">
        <v>551367</v>
      </c>
      <c r="G1161" s="74">
        <v>1000</v>
      </c>
      <c r="H1161" s="135">
        <v>42989.756319444445</v>
      </c>
      <c r="I1161" s="74" t="s">
        <v>21339</v>
      </c>
      <c r="J1161" s="74" t="s">
        <v>21340</v>
      </c>
      <c r="K1161" s="74" t="s">
        <v>11321</v>
      </c>
      <c r="L1161" s="74">
        <v>553099</v>
      </c>
      <c r="M1161" s="74" t="s">
        <v>21341</v>
      </c>
      <c r="N1161" s="74">
        <v>1</v>
      </c>
      <c r="O1161" s="74" t="s">
        <v>21342</v>
      </c>
      <c r="P1161" s="74" t="s">
        <v>21343</v>
      </c>
      <c r="Q1161" s="74">
        <v>0</v>
      </c>
      <c r="R1161" s="74" t="s">
        <v>148</v>
      </c>
      <c r="S1161" s="74" t="s">
        <v>21338</v>
      </c>
      <c r="T1161" s="74" t="s">
        <v>402</v>
      </c>
      <c r="U1161" s="74">
        <v>0</v>
      </c>
      <c r="V1161" s="74">
        <v>0</v>
      </c>
    </row>
    <row r="1162" spans="3:22" x14ac:dyDescent="0.25">
      <c r="C1162" s="74" t="s">
        <v>18795</v>
      </c>
      <c r="D1162" s="74" t="s">
        <v>148</v>
      </c>
      <c r="E1162" s="74" t="s">
        <v>21338</v>
      </c>
      <c r="F1162" s="74">
        <v>551367</v>
      </c>
      <c r="G1162" s="74">
        <v>1000</v>
      </c>
      <c r="H1162" s="135">
        <v>42989.715937499997</v>
      </c>
      <c r="I1162" s="74" t="s">
        <v>21339</v>
      </c>
      <c r="J1162" s="74" t="s">
        <v>21340</v>
      </c>
      <c r="K1162" s="74" t="s">
        <v>20892</v>
      </c>
      <c r="L1162" s="74">
        <v>554278</v>
      </c>
      <c r="M1162" s="74" t="s">
        <v>21341</v>
      </c>
      <c r="N1162" s="74">
        <v>1</v>
      </c>
      <c r="O1162" s="74" t="s">
        <v>21342</v>
      </c>
      <c r="P1162" s="74" t="s">
        <v>21343</v>
      </c>
      <c r="Q1162" s="74">
        <v>0</v>
      </c>
      <c r="R1162" s="74" t="s">
        <v>148</v>
      </c>
      <c r="S1162" s="74" t="s">
        <v>21338</v>
      </c>
      <c r="T1162" s="74" t="s">
        <v>402</v>
      </c>
      <c r="U1162" s="74">
        <v>0</v>
      </c>
      <c r="V1162" s="74">
        <v>0</v>
      </c>
    </row>
    <row r="1163" spans="3:22" x14ac:dyDescent="0.25">
      <c r="C1163" s="74" t="s">
        <v>18795</v>
      </c>
      <c r="D1163" s="74" t="s">
        <v>148</v>
      </c>
      <c r="E1163" s="74" t="s">
        <v>21338</v>
      </c>
      <c r="F1163" s="74">
        <v>551367</v>
      </c>
      <c r="G1163" s="74">
        <v>1000</v>
      </c>
      <c r="H1163" s="135">
        <v>42989.715740740743</v>
      </c>
      <c r="I1163" s="74" t="s">
        <v>21339</v>
      </c>
      <c r="J1163" s="74" t="s">
        <v>21340</v>
      </c>
      <c r="K1163" s="74" t="s">
        <v>21603</v>
      </c>
      <c r="L1163" s="74">
        <v>906982</v>
      </c>
      <c r="M1163" s="74" t="s">
        <v>21341</v>
      </c>
      <c r="N1163" s="74">
        <v>1</v>
      </c>
      <c r="O1163" s="74" t="s">
        <v>21342</v>
      </c>
      <c r="P1163" s="74" t="s">
        <v>21343</v>
      </c>
      <c r="Q1163" s="74">
        <v>0</v>
      </c>
      <c r="R1163" s="74" t="s">
        <v>148</v>
      </c>
      <c r="S1163" s="74" t="s">
        <v>21338</v>
      </c>
      <c r="T1163" s="74" t="s">
        <v>402</v>
      </c>
      <c r="U1163" s="74">
        <v>0</v>
      </c>
      <c r="V1163" s="74">
        <v>0</v>
      </c>
    </row>
    <row r="1164" spans="3:22" x14ac:dyDescent="0.25">
      <c r="C1164" s="74" t="s">
        <v>18795</v>
      </c>
      <c r="D1164" s="74" t="s">
        <v>148</v>
      </c>
      <c r="E1164" s="74" t="s">
        <v>21338</v>
      </c>
      <c r="F1164" s="74">
        <v>551367</v>
      </c>
      <c r="G1164" s="74">
        <v>1000</v>
      </c>
      <c r="H1164" s="135">
        <v>42989.686678240738</v>
      </c>
      <c r="I1164" s="74" t="s">
        <v>21339</v>
      </c>
      <c r="J1164" s="74" t="s">
        <v>21340</v>
      </c>
      <c r="K1164" s="74" t="s">
        <v>21604</v>
      </c>
      <c r="L1164" s="74">
        <v>907727</v>
      </c>
      <c r="M1164" s="74" t="s">
        <v>21341</v>
      </c>
      <c r="N1164" s="74">
        <v>1</v>
      </c>
      <c r="O1164" s="74" t="s">
        <v>21342</v>
      </c>
      <c r="P1164" s="74" t="s">
        <v>21343</v>
      </c>
      <c r="Q1164" s="74">
        <v>0</v>
      </c>
      <c r="R1164" s="74" t="s">
        <v>148</v>
      </c>
      <c r="S1164" s="74" t="s">
        <v>21338</v>
      </c>
      <c r="T1164" s="74" t="s">
        <v>402</v>
      </c>
      <c r="U1164" s="74">
        <v>0</v>
      </c>
      <c r="V1164" s="74">
        <v>0</v>
      </c>
    </row>
    <row r="1165" spans="3:22" x14ac:dyDescent="0.25">
      <c r="C1165" s="74" t="s">
        <v>18795</v>
      </c>
      <c r="D1165" s="74" t="s">
        <v>148</v>
      </c>
      <c r="E1165" s="74" t="s">
        <v>21338</v>
      </c>
      <c r="F1165" s="74">
        <v>551367</v>
      </c>
      <c r="G1165" s="74">
        <v>1000</v>
      </c>
      <c r="H1165" s="135">
        <v>42989.677581018521</v>
      </c>
      <c r="I1165" s="74" t="s">
        <v>21339</v>
      </c>
      <c r="J1165" s="74" t="s">
        <v>21340</v>
      </c>
      <c r="K1165" s="74" t="s">
        <v>17629</v>
      </c>
      <c r="L1165" s="74">
        <v>553899</v>
      </c>
      <c r="M1165" s="74" t="s">
        <v>21341</v>
      </c>
      <c r="N1165" s="74">
        <v>1</v>
      </c>
      <c r="O1165" s="74" t="s">
        <v>21342</v>
      </c>
      <c r="P1165" s="74" t="s">
        <v>21343</v>
      </c>
      <c r="Q1165" s="74">
        <v>0</v>
      </c>
      <c r="R1165" s="74" t="s">
        <v>148</v>
      </c>
      <c r="S1165" s="74" t="s">
        <v>21338</v>
      </c>
      <c r="T1165" s="74" t="s">
        <v>402</v>
      </c>
      <c r="U1165" s="74">
        <v>0</v>
      </c>
      <c r="V1165" s="74">
        <v>0</v>
      </c>
    </row>
    <row r="1166" spans="3:22" x14ac:dyDescent="0.25">
      <c r="C1166" s="74" t="s">
        <v>735</v>
      </c>
      <c r="D1166" s="74" t="s">
        <v>148</v>
      </c>
      <c r="E1166" s="74" t="s">
        <v>21338</v>
      </c>
      <c r="F1166" s="74">
        <v>570025</v>
      </c>
      <c r="G1166" s="74">
        <v>3</v>
      </c>
      <c r="H1166" s="135">
        <v>42989.66951388889</v>
      </c>
      <c r="I1166" s="74" t="s">
        <v>21339</v>
      </c>
      <c r="J1166" s="74" t="s">
        <v>21364</v>
      </c>
      <c r="K1166" s="74" t="s">
        <v>4886</v>
      </c>
      <c r="L1166" s="74">
        <v>907995</v>
      </c>
      <c r="M1166" s="74" t="s">
        <v>21341</v>
      </c>
      <c r="N1166" s="74">
        <v>1</v>
      </c>
      <c r="O1166" s="74" t="s">
        <v>21342</v>
      </c>
      <c r="P1166" s="74" t="s">
        <v>21343</v>
      </c>
      <c r="Q1166" s="74">
        <v>0</v>
      </c>
      <c r="R1166" s="74" t="s">
        <v>148</v>
      </c>
      <c r="S1166" s="74" t="s">
        <v>21338</v>
      </c>
      <c r="T1166" s="74" t="s">
        <v>402</v>
      </c>
      <c r="U1166" s="74">
        <v>0</v>
      </c>
      <c r="V1166" s="74">
        <v>0</v>
      </c>
    </row>
    <row r="1167" spans="3:22" x14ac:dyDescent="0.25">
      <c r="C1167" s="74" t="s">
        <v>735</v>
      </c>
      <c r="D1167" s="74" t="s">
        <v>148</v>
      </c>
      <c r="E1167" s="74" t="s">
        <v>21338</v>
      </c>
      <c r="F1167" s="74">
        <v>570025</v>
      </c>
      <c r="G1167" s="74">
        <v>3</v>
      </c>
      <c r="H1167" s="135">
        <v>42989.669502314813</v>
      </c>
      <c r="I1167" s="74" t="s">
        <v>21339</v>
      </c>
      <c r="J1167" s="74" t="s">
        <v>21364</v>
      </c>
      <c r="K1167" s="74" t="s">
        <v>4886</v>
      </c>
      <c r="L1167" s="74">
        <v>907995</v>
      </c>
      <c r="M1167" s="74" t="s">
        <v>21341</v>
      </c>
      <c r="N1167" s="74">
        <v>1</v>
      </c>
      <c r="O1167" s="74" t="s">
        <v>21342</v>
      </c>
      <c r="P1167" s="74" t="s">
        <v>21343</v>
      </c>
      <c r="Q1167" s="74">
        <v>0</v>
      </c>
      <c r="R1167" s="74" t="s">
        <v>148</v>
      </c>
      <c r="S1167" s="74" t="s">
        <v>21338</v>
      </c>
      <c r="T1167" s="74" t="s">
        <v>402</v>
      </c>
      <c r="U1167" s="74">
        <v>0</v>
      </c>
      <c r="V1167" s="74">
        <v>0</v>
      </c>
    </row>
    <row r="1168" spans="3:22" x14ac:dyDescent="0.25">
      <c r="C1168" s="74" t="s">
        <v>735</v>
      </c>
      <c r="D1168" s="74" t="s">
        <v>148</v>
      </c>
      <c r="E1168" s="74" t="s">
        <v>21338</v>
      </c>
      <c r="F1168" s="74">
        <v>570025</v>
      </c>
      <c r="G1168" s="74">
        <v>3</v>
      </c>
      <c r="H1168" s="135">
        <v>42989.667187500003</v>
      </c>
      <c r="I1168" s="74" t="s">
        <v>21339</v>
      </c>
      <c r="J1168" s="74" t="s">
        <v>21364</v>
      </c>
      <c r="K1168" s="74" t="s">
        <v>4886</v>
      </c>
      <c r="L1168" s="74">
        <v>907995</v>
      </c>
      <c r="M1168" s="74" t="s">
        <v>21341</v>
      </c>
      <c r="N1168" s="74">
        <v>1</v>
      </c>
      <c r="O1168" s="74" t="s">
        <v>21342</v>
      </c>
      <c r="P1168" s="74" t="s">
        <v>21343</v>
      </c>
      <c r="Q1168" s="74">
        <v>0</v>
      </c>
      <c r="R1168" s="74" t="s">
        <v>148</v>
      </c>
      <c r="S1168" s="74" t="s">
        <v>21338</v>
      </c>
      <c r="T1168" s="74" t="s">
        <v>402</v>
      </c>
      <c r="U1168" s="74">
        <v>0</v>
      </c>
      <c r="V1168" s="74">
        <v>0</v>
      </c>
    </row>
    <row r="1169" spans="3:22" x14ac:dyDescent="0.25">
      <c r="C1169" s="74" t="s">
        <v>735</v>
      </c>
      <c r="D1169" s="74" t="s">
        <v>148</v>
      </c>
      <c r="E1169" s="74" t="s">
        <v>21338</v>
      </c>
      <c r="F1169" s="74">
        <v>570025</v>
      </c>
      <c r="G1169" s="74">
        <v>3</v>
      </c>
      <c r="H1169" s="135">
        <v>42989.667175925926</v>
      </c>
      <c r="I1169" s="74" t="s">
        <v>21398</v>
      </c>
      <c r="J1169" s="74" t="s">
        <v>21366</v>
      </c>
      <c r="K1169" s="74" t="s">
        <v>21367</v>
      </c>
      <c r="L1169" s="74">
        <v>561482</v>
      </c>
      <c r="M1169" s="74" t="s">
        <v>21368</v>
      </c>
      <c r="N1169" s="74">
        <v>1</v>
      </c>
      <c r="O1169" s="74" t="s">
        <v>21369</v>
      </c>
      <c r="P1169" s="74" t="s">
        <v>21343</v>
      </c>
      <c r="Q1169" s="74" t="s">
        <v>21605</v>
      </c>
      <c r="R1169" s="74" t="s">
        <v>148</v>
      </c>
      <c r="S1169" s="74" t="s">
        <v>21338</v>
      </c>
      <c r="T1169" s="74" t="s">
        <v>21371</v>
      </c>
      <c r="U1169" s="74">
        <v>0</v>
      </c>
      <c r="V1169" s="74">
        <v>0</v>
      </c>
    </row>
    <row r="1170" spans="3:22" x14ac:dyDescent="0.25">
      <c r="C1170" s="74" t="s">
        <v>735</v>
      </c>
      <c r="D1170" s="74" t="s">
        <v>148</v>
      </c>
      <c r="E1170" s="74" t="s">
        <v>21338</v>
      </c>
      <c r="F1170" s="74">
        <v>570025</v>
      </c>
      <c r="G1170" s="74">
        <v>3</v>
      </c>
      <c r="H1170" s="135">
        <v>42989.667164351849</v>
      </c>
      <c r="I1170" s="74" t="s">
        <v>21398</v>
      </c>
      <c r="J1170" s="74" t="s">
        <v>21366</v>
      </c>
      <c r="K1170" s="74" t="s">
        <v>21381</v>
      </c>
      <c r="L1170" s="74">
        <v>555660</v>
      </c>
      <c r="M1170" s="74" t="s">
        <v>21368</v>
      </c>
      <c r="N1170" s="74">
        <v>1</v>
      </c>
      <c r="O1170" s="74" t="s">
        <v>21369</v>
      </c>
      <c r="P1170" s="74" t="s">
        <v>21343</v>
      </c>
      <c r="Q1170" s="74" t="s">
        <v>21605</v>
      </c>
      <c r="R1170" s="74" t="s">
        <v>148</v>
      </c>
      <c r="S1170" s="74" t="s">
        <v>21338</v>
      </c>
      <c r="T1170" s="74" t="s">
        <v>21371</v>
      </c>
      <c r="U1170" s="74">
        <v>0</v>
      </c>
      <c r="V1170" s="74">
        <v>0</v>
      </c>
    </row>
    <row r="1171" spans="3:22" x14ac:dyDescent="0.25">
      <c r="C1171" s="74" t="s">
        <v>735</v>
      </c>
      <c r="D1171" s="74" t="s">
        <v>148</v>
      </c>
      <c r="E1171" s="74" t="s">
        <v>21338</v>
      </c>
      <c r="F1171" s="74">
        <v>570025</v>
      </c>
      <c r="G1171" s="74">
        <v>3</v>
      </c>
      <c r="H1171" s="135">
        <v>42989.667141203703</v>
      </c>
      <c r="I1171" s="74" t="s">
        <v>21339</v>
      </c>
      <c r="J1171" s="74" t="s">
        <v>21364</v>
      </c>
      <c r="K1171" s="74" t="s">
        <v>4886</v>
      </c>
      <c r="L1171" s="74">
        <v>907995</v>
      </c>
      <c r="M1171" s="74" t="s">
        <v>21341</v>
      </c>
      <c r="N1171" s="74">
        <v>1</v>
      </c>
      <c r="O1171" s="74" t="s">
        <v>21342</v>
      </c>
      <c r="P1171" s="74" t="s">
        <v>21343</v>
      </c>
      <c r="Q1171" s="74">
        <v>0</v>
      </c>
      <c r="R1171" s="74" t="s">
        <v>148</v>
      </c>
      <c r="S1171" s="74" t="s">
        <v>21338</v>
      </c>
      <c r="T1171" s="74" t="s">
        <v>402</v>
      </c>
      <c r="U1171" s="74">
        <v>0</v>
      </c>
      <c r="V1171" s="74">
        <v>0</v>
      </c>
    </row>
    <row r="1172" spans="3:22" x14ac:dyDescent="0.25">
      <c r="C1172" s="74" t="s">
        <v>735</v>
      </c>
      <c r="D1172" s="74" t="s">
        <v>148</v>
      </c>
      <c r="E1172" s="74" t="s">
        <v>21338</v>
      </c>
      <c r="F1172" s="74">
        <v>570025</v>
      </c>
      <c r="G1172" s="74">
        <v>3</v>
      </c>
      <c r="H1172" s="135">
        <v>42989.666990740741</v>
      </c>
      <c r="I1172" s="74" t="s">
        <v>21339</v>
      </c>
      <c r="J1172" s="74" t="s">
        <v>21364</v>
      </c>
      <c r="K1172" s="74" t="s">
        <v>4886</v>
      </c>
      <c r="L1172" s="74">
        <v>907995</v>
      </c>
      <c r="M1172" s="74" t="s">
        <v>21341</v>
      </c>
      <c r="N1172" s="74">
        <v>1</v>
      </c>
      <c r="O1172" s="74" t="s">
        <v>21342</v>
      </c>
      <c r="P1172" s="74" t="s">
        <v>21343</v>
      </c>
      <c r="Q1172" s="74">
        <v>0</v>
      </c>
      <c r="R1172" s="74" t="s">
        <v>148</v>
      </c>
      <c r="S1172" s="74" t="s">
        <v>21338</v>
      </c>
      <c r="T1172" s="74" t="s">
        <v>402</v>
      </c>
      <c r="U1172" s="74">
        <v>0</v>
      </c>
      <c r="V1172" s="74">
        <v>0</v>
      </c>
    </row>
    <row r="1173" spans="3:22" x14ac:dyDescent="0.25">
      <c r="C1173" s="74" t="s">
        <v>735</v>
      </c>
      <c r="D1173" s="74" t="s">
        <v>148</v>
      </c>
      <c r="E1173" s="74" t="s">
        <v>21338</v>
      </c>
      <c r="F1173" s="74">
        <v>570025</v>
      </c>
      <c r="G1173" s="74">
        <v>3</v>
      </c>
      <c r="H1173" s="135">
        <v>42989.66605324074</v>
      </c>
      <c r="I1173" s="74" t="s">
        <v>21398</v>
      </c>
      <c r="J1173" s="74" t="s">
        <v>21400</v>
      </c>
      <c r="K1173" s="74" t="s">
        <v>4886</v>
      </c>
      <c r="L1173" s="74">
        <v>907995</v>
      </c>
      <c r="M1173" s="74" t="s">
        <v>21341</v>
      </c>
      <c r="N1173" s="74">
        <v>1</v>
      </c>
      <c r="O1173" s="74" t="s">
        <v>21342</v>
      </c>
      <c r="P1173" s="74" t="s">
        <v>21343</v>
      </c>
      <c r="Q1173" s="74" t="s">
        <v>21606</v>
      </c>
      <c r="R1173" s="74" t="s">
        <v>148</v>
      </c>
      <c r="S1173" s="74" t="s">
        <v>21338</v>
      </c>
      <c r="T1173" s="74" t="s">
        <v>402</v>
      </c>
      <c r="U1173" s="74">
        <v>0</v>
      </c>
      <c r="V1173" s="74">
        <v>0</v>
      </c>
    </row>
    <row r="1174" spans="3:22" x14ac:dyDescent="0.25">
      <c r="C1174" s="74" t="s">
        <v>18795</v>
      </c>
      <c r="D1174" s="74" t="s">
        <v>148</v>
      </c>
      <c r="E1174" s="74" t="s">
        <v>21338</v>
      </c>
      <c r="F1174" s="74">
        <v>551367</v>
      </c>
      <c r="G1174" s="74">
        <v>1000</v>
      </c>
      <c r="H1174" s="135">
        <v>42989.657141203701</v>
      </c>
      <c r="I1174" s="74" t="s">
        <v>21339</v>
      </c>
      <c r="J1174" s="74" t="s">
        <v>21340</v>
      </c>
      <c r="K1174" s="74" t="s">
        <v>11270</v>
      </c>
      <c r="L1174" s="74">
        <v>907387</v>
      </c>
      <c r="M1174" s="74" t="s">
        <v>21341</v>
      </c>
      <c r="N1174" s="74">
        <v>1</v>
      </c>
      <c r="O1174" s="74" t="s">
        <v>21342</v>
      </c>
      <c r="P1174" s="74" t="s">
        <v>21343</v>
      </c>
      <c r="Q1174" s="74">
        <v>0</v>
      </c>
      <c r="R1174" s="74" t="s">
        <v>148</v>
      </c>
      <c r="S1174" s="74" t="s">
        <v>21338</v>
      </c>
      <c r="T1174" s="74" t="s">
        <v>402</v>
      </c>
      <c r="U1174" s="74">
        <v>0</v>
      </c>
      <c r="V1174" s="74">
        <v>0</v>
      </c>
    </row>
    <row r="1175" spans="3:22" x14ac:dyDescent="0.25">
      <c r="C1175" s="74" t="s">
        <v>735</v>
      </c>
      <c r="D1175" s="74" t="s">
        <v>148</v>
      </c>
      <c r="E1175" s="74" t="s">
        <v>21338</v>
      </c>
      <c r="F1175" s="74">
        <v>570025</v>
      </c>
      <c r="G1175" s="74">
        <v>3</v>
      </c>
      <c r="H1175" s="135">
        <v>42989.655509259261</v>
      </c>
      <c r="I1175" s="74" t="s">
        <v>21339</v>
      </c>
      <c r="J1175" s="74" t="s">
        <v>21364</v>
      </c>
      <c r="K1175" s="74" t="s">
        <v>3802</v>
      </c>
      <c r="L1175" s="74">
        <v>907988</v>
      </c>
      <c r="M1175" s="74" t="s">
        <v>21341</v>
      </c>
      <c r="N1175" s="74">
        <v>1</v>
      </c>
      <c r="O1175" s="74" t="s">
        <v>21342</v>
      </c>
      <c r="P1175" s="74" t="s">
        <v>21343</v>
      </c>
      <c r="Q1175" s="74">
        <v>0</v>
      </c>
      <c r="R1175" s="74" t="s">
        <v>148</v>
      </c>
      <c r="S1175" s="74" t="s">
        <v>21338</v>
      </c>
      <c r="T1175" s="74" t="s">
        <v>402</v>
      </c>
      <c r="U1175" s="74">
        <v>0</v>
      </c>
      <c r="V1175" s="74">
        <v>0</v>
      </c>
    </row>
    <row r="1176" spans="3:22" x14ac:dyDescent="0.25">
      <c r="C1176" s="74" t="s">
        <v>735</v>
      </c>
      <c r="D1176" s="74" t="s">
        <v>148</v>
      </c>
      <c r="E1176" s="74" t="s">
        <v>21338</v>
      </c>
      <c r="F1176" s="74">
        <v>570025</v>
      </c>
      <c r="G1176" s="74">
        <v>3</v>
      </c>
      <c r="H1176" s="135">
        <v>42989.655497685184</v>
      </c>
      <c r="I1176" s="74" t="s">
        <v>21398</v>
      </c>
      <c r="J1176" s="74" t="s">
        <v>21366</v>
      </c>
      <c r="K1176" s="74" t="s">
        <v>21367</v>
      </c>
      <c r="L1176" s="74">
        <v>561482</v>
      </c>
      <c r="M1176" s="74" t="s">
        <v>21368</v>
      </c>
      <c r="N1176" s="74">
        <v>1</v>
      </c>
      <c r="O1176" s="74" t="s">
        <v>21369</v>
      </c>
      <c r="P1176" s="74" t="s">
        <v>21343</v>
      </c>
      <c r="Q1176" s="74" t="s">
        <v>21607</v>
      </c>
      <c r="R1176" s="74" t="s">
        <v>148</v>
      </c>
      <c r="S1176" s="74" t="s">
        <v>21338</v>
      </c>
      <c r="T1176" s="74" t="s">
        <v>21371</v>
      </c>
      <c r="U1176" s="74">
        <v>0</v>
      </c>
      <c r="V1176" s="74">
        <v>0</v>
      </c>
    </row>
    <row r="1177" spans="3:22" x14ac:dyDescent="0.25">
      <c r="C1177" s="74" t="s">
        <v>735</v>
      </c>
      <c r="D1177" s="74" t="s">
        <v>148</v>
      </c>
      <c r="E1177" s="74" t="s">
        <v>21338</v>
      </c>
      <c r="F1177" s="74">
        <v>570025</v>
      </c>
      <c r="G1177" s="74">
        <v>3</v>
      </c>
      <c r="H1177" s="135">
        <v>42989.655486111114</v>
      </c>
      <c r="I1177" s="74" t="s">
        <v>21398</v>
      </c>
      <c r="J1177" s="74" t="s">
        <v>21366</v>
      </c>
      <c r="K1177" s="74" t="s">
        <v>21381</v>
      </c>
      <c r="L1177" s="74">
        <v>555660</v>
      </c>
      <c r="M1177" s="74" t="s">
        <v>21368</v>
      </c>
      <c r="N1177" s="74">
        <v>1</v>
      </c>
      <c r="O1177" s="74" t="s">
        <v>21369</v>
      </c>
      <c r="P1177" s="74" t="s">
        <v>21343</v>
      </c>
      <c r="Q1177" s="74" t="s">
        <v>21607</v>
      </c>
      <c r="R1177" s="74" t="s">
        <v>148</v>
      </c>
      <c r="S1177" s="74" t="s">
        <v>21338</v>
      </c>
      <c r="T1177" s="74" t="s">
        <v>21371</v>
      </c>
      <c r="U1177" s="74">
        <v>0</v>
      </c>
      <c r="V1177" s="74">
        <v>0</v>
      </c>
    </row>
    <row r="1178" spans="3:22" x14ac:dyDescent="0.25">
      <c r="C1178" s="74" t="s">
        <v>735</v>
      </c>
      <c r="D1178" s="74" t="s">
        <v>148</v>
      </c>
      <c r="E1178" s="74" t="s">
        <v>21338</v>
      </c>
      <c r="F1178" s="74">
        <v>570025</v>
      </c>
      <c r="G1178" s="74">
        <v>3</v>
      </c>
      <c r="H1178" s="135">
        <v>42989.655462962961</v>
      </c>
      <c r="I1178" s="74" t="s">
        <v>21339</v>
      </c>
      <c r="J1178" s="74" t="s">
        <v>21364</v>
      </c>
      <c r="K1178" s="74" t="s">
        <v>3802</v>
      </c>
      <c r="L1178" s="74">
        <v>907988</v>
      </c>
      <c r="M1178" s="74" t="s">
        <v>21341</v>
      </c>
      <c r="N1178" s="74">
        <v>1</v>
      </c>
      <c r="O1178" s="74" t="s">
        <v>21342</v>
      </c>
      <c r="P1178" s="74" t="s">
        <v>21343</v>
      </c>
      <c r="Q1178" s="74">
        <v>0</v>
      </c>
      <c r="R1178" s="74" t="s">
        <v>148</v>
      </c>
      <c r="S1178" s="74" t="s">
        <v>21338</v>
      </c>
      <c r="T1178" s="74" t="s">
        <v>402</v>
      </c>
      <c r="U1178" s="74">
        <v>0</v>
      </c>
      <c r="V1178" s="74">
        <v>0</v>
      </c>
    </row>
    <row r="1179" spans="3:22" x14ac:dyDescent="0.25">
      <c r="C1179" s="74" t="s">
        <v>735</v>
      </c>
      <c r="D1179" s="74" t="s">
        <v>148</v>
      </c>
      <c r="E1179" s="74" t="s">
        <v>21338</v>
      </c>
      <c r="F1179" s="74">
        <v>570025</v>
      </c>
      <c r="G1179" s="74">
        <v>3</v>
      </c>
      <c r="H1179" s="135">
        <v>42989.655312499999</v>
      </c>
      <c r="I1179" s="74" t="s">
        <v>21339</v>
      </c>
      <c r="J1179" s="74" t="s">
        <v>21364</v>
      </c>
      <c r="K1179" s="74" t="s">
        <v>3802</v>
      </c>
      <c r="L1179" s="74">
        <v>907988</v>
      </c>
      <c r="M1179" s="74" t="s">
        <v>21341</v>
      </c>
      <c r="N1179" s="74">
        <v>1</v>
      </c>
      <c r="O1179" s="74" t="s">
        <v>21342</v>
      </c>
      <c r="P1179" s="74" t="s">
        <v>21343</v>
      </c>
      <c r="Q1179" s="74">
        <v>0</v>
      </c>
      <c r="R1179" s="74" t="s">
        <v>148</v>
      </c>
      <c r="S1179" s="74" t="s">
        <v>21338</v>
      </c>
      <c r="T1179" s="74" t="s">
        <v>402</v>
      </c>
      <c r="U1179" s="74">
        <v>0</v>
      </c>
      <c r="V1179" s="74">
        <v>0</v>
      </c>
    </row>
    <row r="1180" spans="3:22" x14ac:dyDescent="0.25">
      <c r="C1180" s="74" t="s">
        <v>735</v>
      </c>
      <c r="D1180" s="74" t="s">
        <v>148</v>
      </c>
      <c r="E1180" s="74" t="s">
        <v>21338</v>
      </c>
      <c r="F1180" s="74">
        <v>570025</v>
      </c>
      <c r="G1180" s="74">
        <v>3</v>
      </c>
      <c r="H1180" s="135">
        <v>42989.65483796296</v>
      </c>
      <c r="I1180" s="74" t="s">
        <v>21398</v>
      </c>
      <c r="J1180" s="74" t="s">
        <v>21400</v>
      </c>
      <c r="K1180" s="74" t="s">
        <v>3802</v>
      </c>
      <c r="L1180" s="74">
        <v>907988</v>
      </c>
      <c r="M1180" s="74" t="s">
        <v>21341</v>
      </c>
      <c r="N1180" s="74">
        <v>1</v>
      </c>
      <c r="O1180" s="74" t="s">
        <v>21342</v>
      </c>
      <c r="P1180" s="74" t="s">
        <v>21343</v>
      </c>
      <c r="Q1180" s="74" t="s">
        <v>21608</v>
      </c>
      <c r="R1180" s="74" t="s">
        <v>148</v>
      </c>
      <c r="S1180" s="74" t="s">
        <v>21338</v>
      </c>
      <c r="T1180" s="74" t="s">
        <v>402</v>
      </c>
      <c r="U1180" s="74">
        <v>0</v>
      </c>
      <c r="V1180" s="74">
        <v>0</v>
      </c>
    </row>
    <row r="1181" spans="3:22" x14ac:dyDescent="0.25">
      <c r="C1181" s="74" t="s">
        <v>18795</v>
      </c>
      <c r="D1181" s="74" t="s">
        <v>148</v>
      </c>
      <c r="E1181" s="74" t="s">
        <v>21338</v>
      </c>
      <c r="F1181" s="74">
        <v>551367</v>
      </c>
      <c r="G1181" s="74">
        <v>1000</v>
      </c>
      <c r="H1181" s="135">
        <v>42989.650034722225</v>
      </c>
      <c r="I1181" s="74" t="s">
        <v>21339</v>
      </c>
      <c r="J1181" s="74" t="s">
        <v>21340</v>
      </c>
      <c r="K1181" s="74" t="s">
        <v>5825</v>
      </c>
      <c r="L1181" s="74">
        <v>552375</v>
      </c>
      <c r="M1181" s="74" t="s">
        <v>21341</v>
      </c>
      <c r="N1181" s="74">
        <v>1</v>
      </c>
      <c r="O1181" s="74" t="s">
        <v>21342</v>
      </c>
      <c r="P1181" s="74" t="s">
        <v>21343</v>
      </c>
      <c r="Q1181" s="74">
        <v>0</v>
      </c>
      <c r="R1181" s="74" t="s">
        <v>148</v>
      </c>
      <c r="S1181" s="74" t="s">
        <v>21338</v>
      </c>
      <c r="T1181" s="74" t="s">
        <v>402</v>
      </c>
      <c r="U1181" s="74">
        <v>0</v>
      </c>
      <c r="V1181" s="74">
        <v>0</v>
      </c>
    </row>
    <row r="1182" spans="3:22" x14ac:dyDescent="0.25">
      <c r="C1182" s="74" t="s">
        <v>533</v>
      </c>
      <c r="D1182" s="74" t="s">
        <v>148</v>
      </c>
      <c r="E1182" s="74" t="s">
        <v>21338</v>
      </c>
      <c r="F1182" s="74">
        <v>627566</v>
      </c>
      <c r="G1182" s="74">
        <v>3</v>
      </c>
      <c r="H1182" s="135">
        <v>42989.649571759262</v>
      </c>
      <c r="I1182" s="74" t="s">
        <v>21354</v>
      </c>
      <c r="J1182" s="74" t="s">
        <v>21355</v>
      </c>
      <c r="K1182" s="74" t="s">
        <v>11270</v>
      </c>
      <c r="L1182" s="74">
        <v>907387</v>
      </c>
      <c r="M1182" s="74" t="s">
        <v>21341</v>
      </c>
      <c r="N1182" s="74">
        <v>1</v>
      </c>
      <c r="O1182" s="74" t="s">
        <v>21342</v>
      </c>
      <c r="P1182" s="74" t="s">
        <v>21345</v>
      </c>
      <c r="R1182" s="74" t="s">
        <v>148</v>
      </c>
      <c r="S1182" s="74" t="s">
        <v>21338</v>
      </c>
      <c r="T1182" s="74" t="s">
        <v>402</v>
      </c>
      <c r="U1182" s="74">
        <v>0</v>
      </c>
      <c r="V1182" s="74">
        <v>0</v>
      </c>
    </row>
    <row r="1183" spans="3:22" x14ac:dyDescent="0.25">
      <c r="C1183" s="74" t="s">
        <v>735</v>
      </c>
      <c r="D1183" s="74" t="s">
        <v>148</v>
      </c>
      <c r="E1183" s="74" t="s">
        <v>21338</v>
      </c>
      <c r="F1183" s="74">
        <v>570025</v>
      </c>
      <c r="G1183" s="74">
        <v>3</v>
      </c>
      <c r="H1183" s="135">
        <v>42989.649189814816</v>
      </c>
      <c r="I1183" s="74" t="s">
        <v>21339</v>
      </c>
      <c r="J1183" s="74" t="s">
        <v>21362</v>
      </c>
      <c r="K1183" s="74" t="s">
        <v>21609</v>
      </c>
      <c r="L1183" s="74">
        <v>638181</v>
      </c>
      <c r="M1183" s="74" t="s">
        <v>21341</v>
      </c>
      <c r="N1183" s="74">
        <v>1</v>
      </c>
      <c r="O1183" s="74" t="s">
        <v>21342</v>
      </c>
      <c r="P1183" s="74" t="s">
        <v>21343</v>
      </c>
      <c r="Q1183" s="74" t="s">
        <v>21363</v>
      </c>
      <c r="R1183" s="74" t="s">
        <v>148</v>
      </c>
      <c r="S1183" s="74" t="s">
        <v>21338</v>
      </c>
      <c r="T1183" s="74" t="s">
        <v>393</v>
      </c>
      <c r="U1183" s="74">
        <v>0</v>
      </c>
      <c r="V1183" s="74">
        <v>0</v>
      </c>
    </row>
    <row r="1184" spans="3:22" x14ac:dyDescent="0.25">
      <c r="C1184" s="74" t="s">
        <v>533</v>
      </c>
      <c r="D1184" s="74" t="s">
        <v>148</v>
      </c>
      <c r="E1184" s="74" t="s">
        <v>21338</v>
      </c>
      <c r="F1184" s="74">
        <v>627566</v>
      </c>
      <c r="G1184" s="74">
        <v>3</v>
      </c>
      <c r="H1184" s="135">
        <v>42989.649062500001</v>
      </c>
      <c r="I1184" s="74" t="s">
        <v>21339</v>
      </c>
      <c r="J1184" s="74" t="s">
        <v>21360</v>
      </c>
      <c r="K1184" s="74" t="s">
        <v>11270</v>
      </c>
      <c r="L1184" s="74">
        <v>907387</v>
      </c>
      <c r="M1184" s="74" t="s">
        <v>21341</v>
      </c>
      <c r="N1184" s="74">
        <v>1</v>
      </c>
      <c r="O1184" s="74" t="s">
        <v>21359</v>
      </c>
      <c r="P1184" s="74" t="s">
        <v>21343</v>
      </c>
      <c r="Q1184" s="74" t="s">
        <v>21395</v>
      </c>
      <c r="R1184" s="74" t="s">
        <v>148</v>
      </c>
      <c r="S1184" s="74" t="s">
        <v>21338</v>
      </c>
      <c r="T1184" s="74" t="s">
        <v>402</v>
      </c>
      <c r="U1184" s="74">
        <v>0</v>
      </c>
      <c r="V1184" s="74">
        <v>0</v>
      </c>
    </row>
    <row r="1185" spans="3:22" x14ac:dyDescent="0.25">
      <c r="C1185" s="74" t="s">
        <v>735</v>
      </c>
      <c r="D1185" s="74" t="s">
        <v>148</v>
      </c>
      <c r="E1185" s="74" t="s">
        <v>21338</v>
      </c>
      <c r="F1185" s="74">
        <v>570025</v>
      </c>
      <c r="G1185" s="74">
        <v>3</v>
      </c>
      <c r="H1185" s="135">
        <v>42989.648576388892</v>
      </c>
      <c r="I1185" s="74" t="s">
        <v>21339</v>
      </c>
      <c r="J1185" s="74" t="s">
        <v>21364</v>
      </c>
      <c r="K1185" s="74" t="s">
        <v>21609</v>
      </c>
      <c r="L1185" s="74">
        <v>638181</v>
      </c>
      <c r="M1185" s="74" t="s">
        <v>21341</v>
      </c>
      <c r="N1185" s="74">
        <v>1</v>
      </c>
      <c r="O1185" s="74" t="s">
        <v>21342</v>
      </c>
      <c r="P1185" s="74" t="s">
        <v>21343</v>
      </c>
      <c r="Q1185" s="74">
        <v>0</v>
      </c>
      <c r="R1185" s="74" t="s">
        <v>148</v>
      </c>
      <c r="S1185" s="74" t="s">
        <v>21338</v>
      </c>
      <c r="T1185" s="74" t="s">
        <v>402</v>
      </c>
      <c r="U1185" s="74">
        <v>0</v>
      </c>
      <c r="V1185" s="74">
        <v>0</v>
      </c>
    </row>
    <row r="1186" spans="3:22" x14ac:dyDescent="0.25">
      <c r="C1186" s="74" t="s">
        <v>735</v>
      </c>
      <c r="D1186" s="74" t="s">
        <v>148</v>
      </c>
      <c r="E1186" s="74" t="s">
        <v>21338</v>
      </c>
      <c r="F1186" s="74">
        <v>570025</v>
      </c>
      <c r="G1186" s="74">
        <v>3</v>
      </c>
      <c r="H1186" s="135">
        <v>42989.648564814815</v>
      </c>
      <c r="I1186" s="74" t="s">
        <v>21339</v>
      </c>
      <c r="J1186" s="74" t="s">
        <v>21364</v>
      </c>
      <c r="K1186" s="74" t="s">
        <v>21609</v>
      </c>
      <c r="L1186" s="74">
        <v>638181</v>
      </c>
      <c r="M1186" s="74" t="s">
        <v>21341</v>
      </c>
      <c r="N1186" s="74">
        <v>1</v>
      </c>
      <c r="O1186" s="74" t="s">
        <v>21342</v>
      </c>
      <c r="P1186" s="74" t="s">
        <v>21343</v>
      </c>
      <c r="Q1186" s="74">
        <v>0</v>
      </c>
      <c r="R1186" s="74" t="s">
        <v>148</v>
      </c>
      <c r="S1186" s="74" t="s">
        <v>21338</v>
      </c>
      <c r="T1186" s="74" t="s">
        <v>402</v>
      </c>
      <c r="U1186" s="74">
        <v>0</v>
      </c>
      <c r="V1186" s="74">
        <v>0</v>
      </c>
    </row>
    <row r="1187" spans="3:22" x14ac:dyDescent="0.25">
      <c r="C1187" s="74" t="s">
        <v>735</v>
      </c>
      <c r="D1187" s="74" t="s">
        <v>148</v>
      </c>
      <c r="E1187" s="74" t="s">
        <v>21338</v>
      </c>
      <c r="F1187" s="74">
        <v>570025</v>
      </c>
      <c r="G1187" s="74">
        <v>3</v>
      </c>
      <c r="H1187" s="135">
        <v>42989.648182870369</v>
      </c>
      <c r="I1187" s="74" t="s">
        <v>21339</v>
      </c>
      <c r="J1187" s="74" t="s">
        <v>21364</v>
      </c>
      <c r="K1187" s="74" t="s">
        <v>21609</v>
      </c>
      <c r="L1187" s="74">
        <v>638181</v>
      </c>
      <c r="M1187" s="74" t="s">
        <v>21341</v>
      </c>
      <c r="N1187" s="74">
        <v>1</v>
      </c>
      <c r="O1187" s="74" t="s">
        <v>21342</v>
      </c>
      <c r="P1187" s="74" t="s">
        <v>21343</v>
      </c>
      <c r="Q1187" s="74">
        <v>0</v>
      </c>
      <c r="R1187" s="74" t="s">
        <v>148</v>
      </c>
      <c r="S1187" s="74" t="s">
        <v>21338</v>
      </c>
      <c r="T1187" s="74" t="s">
        <v>402</v>
      </c>
      <c r="U1187" s="74">
        <v>0</v>
      </c>
      <c r="V1187" s="74">
        <v>0</v>
      </c>
    </row>
    <row r="1188" spans="3:22" x14ac:dyDescent="0.25">
      <c r="C1188" s="74" t="s">
        <v>735</v>
      </c>
      <c r="D1188" s="74" t="s">
        <v>148</v>
      </c>
      <c r="E1188" s="74" t="s">
        <v>21338</v>
      </c>
      <c r="F1188" s="74">
        <v>570025</v>
      </c>
      <c r="G1188" s="74">
        <v>3</v>
      </c>
      <c r="H1188" s="135">
        <v>42989.6481712963</v>
      </c>
      <c r="I1188" s="74" t="s">
        <v>21365</v>
      </c>
      <c r="J1188" s="74" t="s">
        <v>21366</v>
      </c>
      <c r="K1188" s="74" t="s">
        <v>21367</v>
      </c>
      <c r="L1188" s="74">
        <v>561482</v>
      </c>
      <c r="M1188" s="74" t="s">
        <v>21368</v>
      </c>
      <c r="N1188" s="74">
        <v>1</v>
      </c>
      <c r="O1188" s="74" t="s">
        <v>21369</v>
      </c>
      <c r="P1188" s="74" t="s">
        <v>21343</v>
      </c>
      <c r="Q1188" s="74" t="s">
        <v>21610</v>
      </c>
      <c r="R1188" s="74" t="s">
        <v>148</v>
      </c>
      <c r="S1188" s="74" t="s">
        <v>21338</v>
      </c>
      <c r="T1188" s="74" t="s">
        <v>21371</v>
      </c>
      <c r="U1188" s="74">
        <v>0</v>
      </c>
      <c r="V1188" s="74">
        <v>0</v>
      </c>
    </row>
    <row r="1189" spans="3:22" x14ac:dyDescent="0.25">
      <c r="C1189" s="74" t="s">
        <v>735</v>
      </c>
      <c r="D1189" s="74" t="s">
        <v>148</v>
      </c>
      <c r="E1189" s="74" t="s">
        <v>21338</v>
      </c>
      <c r="F1189" s="74">
        <v>570025</v>
      </c>
      <c r="G1189" s="74">
        <v>3</v>
      </c>
      <c r="H1189" s="135">
        <v>42989.648148148146</v>
      </c>
      <c r="I1189" s="74" t="s">
        <v>21365</v>
      </c>
      <c r="J1189" s="74" t="s">
        <v>21366</v>
      </c>
      <c r="K1189" s="74" t="s">
        <v>21381</v>
      </c>
      <c r="L1189" s="74">
        <v>555660</v>
      </c>
      <c r="M1189" s="74" t="s">
        <v>21368</v>
      </c>
      <c r="N1189" s="74">
        <v>1</v>
      </c>
      <c r="O1189" s="74" t="s">
        <v>21369</v>
      </c>
      <c r="P1189" s="74" t="s">
        <v>21343</v>
      </c>
      <c r="Q1189" s="74" t="s">
        <v>21610</v>
      </c>
      <c r="R1189" s="74" t="s">
        <v>148</v>
      </c>
      <c r="S1189" s="74" t="s">
        <v>21338</v>
      </c>
      <c r="T1189" s="74" t="s">
        <v>21371</v>
      </c>
      <c r="U1189" s="74">
        <v>0</v>
      </c>
      <c r="V1189" s="74">
        <v>0</v>
      </c>
    </row>
    <row r="1190" spans="3:22" x14ac:dyDescent="0.25">
      <c r="C1190" s="74" t="s">
        <v>735</v>
      </c>
      <c r="D1190" s="74" t="s">
        <v>148</v>
      </c>
      <c r="E1190" s="74" t="s">
        <v>21338</v>
      </c>
      <c r="F1190" s="74">
        <v>570025</v>
      </c>
      <c r="G1190" s="74">
        <v>3</v>
      </c>
      <c r="H1190" s="135">
        <v>42989.648125</v>
      </c>
      <c r="I1190" s="74" t="s">
        <v>21339</v>
      </c>
      <c r="J1190" s="74" t="s">
        <v>21364</v>
      </c>
      <c r="K1190" s="74" t="s">
        <v>21609</v>
      </c>
      <c r="L1190" s="74">
        <v>638181</v>
      </c>
      <c r="M1190" s="74" t="s">
        <v>21341</v>
      </c>
      <c r="N1190" s="74">
        <v>1</v>
      </c>
      <c r="O1190" s="74" t="s">
        <v>21342</v>
      </c>
      <c r="P1190" s="74" t="s">
        <v>21343</v>
      </c>
      <c r="Q1190" s="74">
        <v>0</v>
      </c>
      <c r="R1190" s="74" t="s">
        <v>148</v>
      </c>
      <c r="S1190" s="74" t="s">
        <v>21338</v>
      </c>
      <c r="T1190" s="74" t="s">
        <v>402</v>
      </c>
      <c r="U1190" s="74">
        <v>0</v>
      </c>
      <c r="V1190" s="74">
        <v>0</v>
      </c>
    </row>
    <row r="1191" spans="3:22" x14ac:dyDescent="0.25">
      <c r="C1191" s="74" t="s">
        <v>735</v>
      </c>
      <c r="D1191" s="74" t="s">
        <v>148</v>
      </c>
      <c r="E1191" s="74" t="s">
        <v>21338</v>
      </c>
      <c r="F1191" s="74">
        <v>570025</v>
      </c>
      <c r="G1191" s="74">
        <v>3</v>
      </c>
      <c r="H1191" s="135">
        <v>42989.648055555554</v>
      </c>
      <c r="I1191" s="74" t="s">
        <v>21339</v>
      </c>
      <c r="J1191" s="74" t="s">
        <v>21364</v>
      </c>
      <c r="K1191" s="74" t="s">
        <v>21609</v>
      </c>
      <c r="L1191" s="74">
        <v>638181</v>
      </c>
      <c r="M1191" s="74" t="s">
        <v>21341</v>
      </c>
      <c r="N1191" s="74">
        <v>1</v>
      </c>
      <c r="O1191" s="74" t="s">
        <v>21342</v>
      </c>
      <c r="P1191" s="74" t="s">
        <v>21343</v>
      </c>
      <c r="Q1191" s="74">
        <v>0</v>
      </c>
      <c r="R1191" s="74" t="s">
        <v>148</v>
      </c>
      <c r="S1191" s="74" t="s">
        <v>21338</v>
      </c>
      <c r="T1191" s="74" t="s">
        <v>402</v>
      </c>
      <c r="U1191" s="74">
        <v>0</v>
      </c>
      <c r="V1191" s="74">
        <v>0</v>
      </c>
    </row>
    <row r="1192" spans="3:22" x14ac:dyDescent="0.25">
      <c r="C1192" s="74" t="s">
        <v>735</v>
      </c>
      <c r="D1192" s="74" t="s">
        <v>148</v>
      </c>
      <c r="E1192" s="74" t="s">
        <v>21338</v>
      </c>
      <c r="F1192" s="74">
        <v>570025</v>
      </c>
      <c r="G1192" s="74">
        <v>3</v>
      </c>
      <c r="H1192" s="135">
        <v>42989.646932870368</v>
      </c>
      <c r="I1192" s="74" t="s">
        <v>21339</v>
      </c>
      <c r="J1192" s="74" t="s">
        <v>21360</v>
      </c>
      <c r="K1192" s="74" t="s">
        <v>21609</v>
      </c>
      <c r="L1192" s="74">
        <v>638181</v>
      </c>
      <c r="M1192" s="74" t="s">
        <v>21341</v>
      </c>
      <c r="N1192" s="74">
        <v>1</v>
      </c>
      <c r="O1192" s="74" t="s">
        <v>21342</v>
      </c>
      <c r="P1192" s="74" t="s">
        <v>21343</v>
      </c>
      <c r="Q1192" s="74" t="s">
        <v>21361</v>
      </c>
      <c r="R1192" s="74" t="s">
        <v>148</v>
      </c>
      <c r="S1192" s="74" t="s">
        <v>21338</v>
      </c>
      <c r="T1192" s="74" t="s">
        <v>402</v>
      </c>
      <c r="U1192" s="74">
        <v>0</v>
      </c>
      <c r="V1192" s="74">
        <v>0</v>
      </c>
    </row>
    <row r="1193" spans="3:22" x14ac:dyDescent="0.25">
      <c r="C1193" s="74" t="s">
        <v>735</v>
      </c>
      <c r="D1193" s="74" t="s">
        <v>148</v>
      </c>
      <c r="E1193" s="74" t="s">
        <v>21338</v>
      </c>
      <c r="F1193" s="74">
        <v>570025</v>
      </c>
      <c r="G1193" s="74">
        <v>3</v>
      </c>
      <c r="H1193" s="135">
        <v>42989.645879629628</v>
      </c>
      <c r="I1193" s="74" t="s">
        <v>21339</v>
      </c>
      <c r="J1193" s="74" t="s">
        <v>21360</v>
      </c>
      <c r="K1193" s="74" t="s">
        <v>21609</v>
      </c>
      <c r="L1193" s="74">
        <v>638181</v>
      </c>
      <c r="M1193" s="74" t="s">
        <v>21341</v>
      </c>
      <c r="N1193" s="74">
        <v>1</v>
      </c>
      <c r="O1193" s="74" t="s">
        <v>21342</v>
      </c>
      <c r="P1193" s="74" t="s">
        <v>21343</v>
      </c>
      <c r="Q1193" s="74" t="s">
        <v>21361</v>
      </c>
      <c r="R1193" s="74" t="s">
        <v>148</v>
      </c>
      <c r="S1193" s="74" t="s">
        <v>21338</v>
      </c>
      <c r="T1193" s="74" t="s">
        <v>402</v>
      </c>
      <c r="U1193" s="74">
        <v>0</v>
      </c>
      <c r="V1193" s="74">
        <v>0</v>
      </c>
    </row>
    <row r="1194" spans="3:22" x14ac:dyDescent="0.25">
      <c r="C1194" s="74" t="s">
        <v>18795</v>
      </c>
      <c r="D1194" s="74" t="s">
        <v>148</v>
      </c>
      <c r="E1194" s="74" t="s">
        <v>21338</v>
      </c>
      <c r="F1194" s="74">
        <v>551367</v>
      </c>
      <c r="G1194" s="74">
        <v>1000</v>
      </c>
      <c r="H1194" s="135">
        <v>42989.636666666665</v>
      </c>
      <c r="I1194" s="74" t="s">
        <v>21339</v>
      </c>
      <c r="J1194" s="74" t="s">
        <v>21340</v>
      </c>
      <c r="K1194" s="74" t="s">
        <v>21611</v>
      </c>
      <c r="L1194" s="74">
        <v>560693</v>
      </c>
      <c r="M1194" s="74" t="s">
        <v>21341</v>
      </c>
      <c r="N1194" s="74">
        <v>1</v>
      </c>
      <c r="O1194" s="74" t="s">
        <v>21342</v>
      </c>
      <c r="P1194" s="74" t="s">
        <v>21343</v>
      </c>
      <c r="Q1194" s="74">
        <v>0</v>
      </c>
      <c r="R1194" s="74" t="s">
        <v>148</v>
      </c>
      <c r="S1194" s="74" t="s">
        <v>21338</v>
      </c>
      <c r="T1194" s="74" t="s">
        <v>393</v>
      </c>
      <c r="U1194" s="74">
        <v>0</v>
      </c>
      <c r="V1194" s="74">
        <v>0</v>
      </c>
    </row>
    <row r="1195" spans="3:22" x14ac:dyDescent="0.25">
      <c r="C1195" s="74" t="s">
        <v>18795</v>
      </c>
      <c r="D1195" s="74" t="s">
        <v>148</v>
      </c>
      <c r="E1195" s="74" t="s">
        <v>21338</v>
      </c>
      <c r="F1195" s="74">
        <v>551367</v>
      </c>
      <c r="G1195" s="74">
        <v>1000</v>
      </c>
      <c r="H1195" s="135">
        <v>42989.617395833331</v>
      </c>
      <c r="I1195" s="74" t="s">
        <v>21339</v>
      </c>
      <c r="J1195" s="74" t="s">
        <v>21340</v>
      </c>
      <c r="K1195" s="74" t="s">
        <v>21611</v>
      </c>
      <c r="L1195" s="74">
        <v>560693</v>
      </c>
      <c r="M1195" s="74" t="s">
        <v>21341</v>
      </c>
      <c r="N1195" s="74">
        <v>1</v>
      </c>
      <c r="O1195" s="74" t="s">
        <v>21342</v>
      </c>
      <c r="P1195" s="74" t="s">
        <v>21343</v>
      </c>
      <c r="Q1195" s="74">
        <v>0</v>
      </c>
      <c r="R1195" s="74" t="s">
        <v>148</v>
      </c>
      <c r="S1195" s="74" t="s">
        <v>21338</v>
      </c>
      <c r="T1195" s="74" t="s">
        <v>393</v>
      </c>
      <c r="U1195" s="74">
        <v>0</v>
      </c>
      <c r="V1195" s="74">
        <v>0</v>
      </c>
    </row>
    <row r="1196" spans="3:22" x14ac:dyDescent="0.25">
      <c r="C1196" s="74" t="s">
        <v>21409</v>
      </c>
      <c r="D1196" s="74" t="s">
        <v>148</v>
      </c>
      <c r="E1196" s="74" t="s">
        <v>21338</v>
      </c>
      <c r="F1196" s="74">
        <v>560330</v>
      </c>
      <c r="G1196" s="74">
        <v>3</v>
      </c>
      <c r="H1196" s="135">
        <v>42989.605497685188</v>
      </c>
      <c r="I1196" s="74" t="s">
        <v>21354</v>
      </c>
      <c r="J1196" s="74" t="s">
        <v>21355</v>
      </c>
      <c r="K1196" s="74" t="s">
        <v>13030</v>
      </c>
      <c r="L1196" s="74">
        <v>551676</v>
      </c>
      <c r="M1196" s="74" t="s">
        <v>21341</v>
      </c>
      <c r="N1196" s="74">
        <v>1</v>
      </c>
      <c r="O1196" s="74" t="s">
        <v>21342</v>
      </c>
      <c r="P1196" s="74" t="s">
        <v>21345</v>
      </c>
      <c r="R1196" s="74" t="s">
        <v>148</v>
      </c>
      <c r="S1196" s="74" t="s">
        <v>21338</v>
      </c>
      <c r="T1196" s="74" t="s">
        <v>402</v>
      </c>
      <c r="U1196" s="74">
        <v>0</v>
      </c>
      <c r="V1196" s="74">
        <v>0</v>
      </c>
    </row>
    <row r="1197" spans="3:22" x14ac:dyDescent="0.25">
      <c r="C1197" s="74" t="s">
        <v>18795</v>
      </c>
      <c r="D1197" s="74" t="s">
        <v>148</v>
      </c>
      <c r="E1197" s="74" t="s">
        <v>21338</v>
      </c>
      <c r="F1197" s="74">
        <v>551367</v>
      </c>
      <c r="G1197" s="74">
        <v>1000</v>
      </c>
      <c r="H1197" s="135">
        <v>42989.60328703704</v>
      </c>
      <c r="I1197" s="74" t="s">
        <v>21339</v>
      </c>
      <c r="J1197" s="74" t="s">
        <v>21340</v>
      </c>
      <c r="K1197" s="74" t="s">
        <v>20013</v>
      </c>
      <c r="L1197" s="74">
        <v>554178</v>
      </c>
      <c r="M1197" s="74" t="s">
        <v>21341</v>
      </c>
      <c r="N1197" s="74">
        <v>1</v>
      </c>
      <c r="O1197" s="74" t="s">
        <v>21342</v>
      </c>
      <c r="P1197" s="74" t="s">
        <v>21343</v>
      </c>
      <c r="Q1197" s="74">
        <v>0</v>
      </c>
      <c r="R1197" s="74" t="s">
        <v>148</v>
      </c>
      <c r="S1197" s="74" t="s">
        <v>21338</v>
      </c>
      <c r="T1197" s="74" t="s">
        <v>402</v>
      </c>
      <c r="U1197" s="74">
        <v>0</v>
      </c>
      <c r="V1197" s="74">
        <v>0</v>
      </c>
    </row>
    <row r="1198" spans="3:22" x14ac:dyDescent="0.25">
      <c r="C1198" s="74" t="s">
        <v>18795</v>
      </c>
      <c r="D1198" s="74" t="s">
        <v>148</v>
      </c>
      <c r="E1198" s="74" t="s">
        <v>21338</v>
      </c>
      <c r="F1198" s="74">
        <v>551367</v>
      </c>
      <c r="G1198" s="74">
        <v>1000</v>
      </c>
      <c r="H1198" s="135">
        <v>42989.600416666668</v>
      </c>
      <c r="I1198" s="74" t="s">
        <v>21339</v>
      </c>
      <c r="J1198" s="74" t="s">
        <v>21340</v>
      </c>
      <c r="K1198" s="74" t="s">
        <v>20013</v>
      </c>
      <c r="L1198" s="74">
        <v>554178</v>
      </c>
      <c r="M1198" s="74" t="s">
        <v>21341</v>
      </c>
      <c r="N1198" s="74">
        <v>1</v>
      </c>
      <c r="O1198" s="74" t="s">
        <v>21342</v>
      </c>
      <c r="P1198" s="74" t="s">
        <v>21343</v>
      </c>
      <c r="Q1198" s="74">
        <v>0</v>
      </c>
      <c r="R1198" s="74" t="s">
        <v>148</v>
      </c>
      <c r="S1198" s="74" t="s">
        <v>21338</v>
      </c>
      <c r="T1198" s="74" t="s">
        <v>402</v>
      </c>
      <c r="U1198" s="74">
        <v>0</v>
      </c>
      <c r="V1198" s="74">
        <v>0</v>
      </c>
    </row>
    <row r="1199" spans="3:22" x14ac:dyDescent="0.25">
      <c r="C1199" s="74" t="s">
        <v>18795</v>
      </c>
      <c r="D1199" s="74" t="s">
        <v>148</v>
      </c>
      <c r="E1199" s="74" t="s">
        <v>21338</v>
      </c>
      <c r="F1199" s="74">
        <v>551367</v>
      </c>
      <c r="G1199" s="74">
        <v>1000</v>
      </c>
      <c r="H1199" s="135">
        <v>42989.586319444446</v>
      </c>
      <c r="I1199" s="74" t="s">
        <v>21339</v>
      </c>
      <c r="J1199" s="74" t="s">
        <v>21340</v>
      </c>
      <c r="K1199" s="74" t="s">
        <v>5039</v>
      </c>
      <c r="L1199" s="74">
        <v>552269</v>
      </c>
      <c r="M1199" s="74" t="s">
        <v>21341</v>
      </c>
      <c r="N1199" s="74">
        <v>1</v>
      </c>
      <c r="O1199" s="74" t="s">
        <v>21342</v>
      </c>
      <c r="P1199" s="74" t="s">
        <v>21343</v>
      </c>
      <c r="Q1199" s="74">
        <v>0</v>
      </c>
      <c r="R1199" s="74" t="s">
        <v>148</v>
      </c>
      <c r="S1199" s="74" t="s">
        <v>21338</v>
      </c>
      <c r="T1199" s="74" t="s">
        <v>402</v>
      </c>
      <c r="U1199" s="74">
        <v>0</v>
      </c>
      <c r="V1199" s="74">
        <v>0</v>
      </c>
    </row>
    <row r="1200" spans="3:22" x14ac:dyDescent="0.25">
      <c r="C1200" s="74" t="s">
        <v>21484</v>
      </c>
      <c r="D1200" s="74" t="s">
        <v>148</v>
      </c>
      <c r="E1200" s="74" t="s">
        <v>21338</v>
      </c>
      <c r="F1200" s="74">
        <v>560600</v>
      </c>
      <c r="G1200" s="74">
        <v>3</v>
      </c>
      <c r="H1200" s="135">
        <v>42989.526238425926</v>
      </c>
      <c r="I1200" s="74" t="s">
        <v>21339</v>
      </c>
      <c r="J1200" s="74" t="s">
        <v>21397</v>
      </c>
      <c r="K1200" s="74" t="s">
        <v>4238</v>
      </c>
      <c r="L1200" s="74">
        <v>552183</v>
      </c>
      <c r="M1200" s="74" t="s">
        <v>21341</v>
      </c>
      <c r="N1200" s="74">
        <v>1</v>
      </c>
      <c r="O1200" s="74" t="s">
        <v>21342</v>
      </c>
      <c r="P1200" s="74" t="s">
        <v>21343</v>
      </c>
      <c r="Q1200" s="74">
        <v>0</v>
      </c>
      <c r="R1200" s="74" t="s">
        <v>148</v>
      </c>
      <c r="S1200" s="74" t="s">
        <v>21338</v>
      </c>
      <c r="T1200" s="74" t="s">
        <v>402</v>
      </c>
      <c r="U1200" s="74">
        <v>0</v>
      </c>
      <c r="V1200" s="74">
        <v>0</v>
      </c>
    </row>
    <row r="1201" spans="3:22" x14ac:dyDescent="0.25">
      <c r="C1201" s="74" t="s">
        <v>18795</v>
      </c>
      <c r="D1201" s="74" t="s">
        <v>148</v>
      </c>
      <c r="E1201" s="74" t="s">
        <v>21338</v>
      </c>
      <c r="F1201" s="74">
        <v>551367</v>
      </c>
      <c r="G1201" s="74">
        <v>1000</v>
      </c>
      <c r="H1201" s="135">
        <v>42989.511886574073</v>
      </c>
      <c r="I1201" s="74" t="s">
        <v>21339</v>
      </c>
      <c r="J1201" s="74" t="s">
        <v>21340</v>
      </c>
      <c r="K1201" s="74" t="s">
        <v>14435</v>
      </c>
      <c r="L1201" s="74">
        <v>895201</v>
      </c>
      <c r="M1201" s="74" t="s">
        <v>21341</v>
      </c>
      <c r="N1201" s="74">
        <v>1</v>
      </c>
      <c r="O1201" s="74" t="s">
        <v>21342</v>
      </c>
      <c r="P1201" s="74" t="s">
        <v>21343</v>
      </c>
      <c r="Q1201" s="74">
        <v>0</v>
      </c>
      <c r="R1201" s="74" t="s">
        <v>148</v>
      </c>
      <c r="S1201" s="74" t="s">
        <v>21338</v>
      </c>
      <c r="T1201" s="74" t="s">
        <v>402</v>
      </c>
      <c r="U1201" s="74">
        <v>0</v>
      </c>
      <c r="V1201" s="74">
        <v>0</v>
      </c>
    </row>
    <row r="1202" spans="3:22" x14ac:dyDescent="0.25">
      <c r="C1202" s="74" t="s">
        <v>18795</v>
      </c>
      <c r="D1202" s="74" t="s">
        <v>148</v>
      </c>
      <c r="E1202" s="74" t="s">
        <v>21338</v>
      </c>
      <c r="F1202" s="74">
        <v>551367</v>
      </c>
      <c r="G1202" s="74">
        <v>1000</v>
      </c>
      <c r="H1202" s="135">
        <v>42989.511620370373</v>
      </c>
      <c r="I1202" s="74" t="s">
        <v>21339</v>
      </c>
      <c r="J1202" s="74" t="s">
        <v>21340</v>
      </c>
      <c r="K1202" s="74" t="s">
        <v>20827</v>
      </c>
      <c r="L1202" s="74">
        <v>554270</v>
      </c>
      <c r="M1202" s="74" t="s">
        <v>21341</v>
      </c>
      <c r="N1202" s="74">
        <v>1</v>
      </c>
      <c r="O1202" s="74" t="s">
        <v>21342</v>
      </c>
      <c r="P1202" s="74" t="s">
        <v>21343</v>
      </c>
      <c r="Q1202" s="74">
        <v>0</v>
      </c>
      <c r="R1202" s="74" t="s">
        <v>148</v>
      </c>
      <c r="S1202" s="74" t="s">
        <v>21338</v>
      </c>
      <c r="T1202" s="74" t="s">
        <v>402</v>
      </c>
      <c r="U1202" s="74">
        <v>0</v>
      </c>
      <c r="V1202" s="74">
        <v>0</v>
      </c>
    </row>
    <row r="1203" spans="3:22" x14ac:dyDescent="0.25">
      <c r="C1203" s="74" t="s">
        <v>18795</v>
      </c>
      <c r="D1203" s="74" t="s">
        <v>148</v>
      </c>
      <c r="E1203" s="74" t="s">
        <v>21338</v>
      </c>
      <c r="F1203" s="74">
        <v>551367</v>
      </c>
      <c r="G1203" s="74">
        <v>1000</v>
      </c>
      <c r="H1203" s="135">
        <v>42989.510474537034</v>
      </c>
      <c r="I1203" s="74" t="s">
        <v>21339</v>
      </c>
      <c r="J1203" s="74" t="s">
        <v>21340</v>
      </c>
      <c r="K1203" s="74" t="s">
        <v>6759</v>
      </c>
      <c r="L1203" s="74">
        <v>552508</v>
      </c>
      <c r="M1203" s="74" t="s">
        <v>21341</v>
      </c>
      <c r="N1203" s="74">
        <v>1</v>
      </c>
      <c r="O1203" s="74" t="s">
        <v>21342</v>
      </c>
      <c r="P1203" s="74" t="s">
        <v>21343</v>
      </c>
      <c r="Q1203" s="74">
        <v>0</v>
      </c>
      <c r="R1203" s="74" t="s">
        <v>148</v>
      </c>
      <c r="S1203" s="74" t="s">
        <v>21338</v>
      </c>
      <c r="T1203" s="74" t="s">
        <v>402</v>
      </c>
      <c r="U1203" s="74">
        <v>0</v>
      </c>
      <c r="V1203" s="74">
        <v>0</v>
      </c>
    </row>
    <row r="1204" spans="3:22" x14ac:dyDescent="0.25">
      <c r="C1204" s="74" t="s">
        <v>18795</v>
      </c>
      <c r="D1204" s="74" t="s">
        <v>148</v>
      </c>
      <c r="E1204" s="74" t="s">
        <v>21338</v>
      </c>
      <c r="F1204" s="74">
        <v>551367</v>
      </c>
      <c r="G1204" s="74">
        <v>1000</v>
      </c>
      <c r="H1204" s="135">
        <v>42989.490243055552</v>
      </c>
      <c r="I1204" s="74" t="s">
        <v>21339</v>
      </c>
      <c r="J1204" s="74" t="s">
        <v>21340</v>
      </c>
      <c r="K1204" s="74" t="s">
        <v>17346</v>
      </c>
      <c r="L1204" s="74">
        <v>553855</v>
      </c>
      <c r="M1204" s="74" t="s">
        <v>21341</v>
      </c>
      <c r="N1204" s="74">
        <v>1</v>
      </c>
      <c r="O1204" s="74" t="s">
        <v>21342</v>
      </c>
      <c r="P1204" s="74" t="s">
        <v>21343</v>
      </c>
      <c r="Q1204" s="74">
        <v>0</v>
      </c>
      <c r="R1204" s="74" t="s">
        <v>148</v>
      </c>
      <c r="S1204" s="74" t="s">
        <v>21338</v>
      </c>
      <c r="T1204" s="74" t="s">
        <v>402</v>
      </c>
      <c r="U1204" s="74">
        <v>0</v>
      </c>
      <c r="V1204" s="74">
        <v>0</v>
      </c>
    </row>
    <row r="1205" spans="3:22" x14ac:dyDescent="0.25">
      <c r="C1205" s="74" t="s">
        <v>21484</v>
      </c>
      <c r="D1205" s="74" t="s">
        <v>148</v>
      </c>
      <c r="E1205" s="74" t="s">
        <v>21338</v>
      </c>
      <c r="F1205" s="74">
        <v>560600</v>
      </c>
      <c r="G1205" s="74">
        <v>3</v>
      </c>
      <c r="H1205" s="135">
        <v>42989.473796296297</v>
      </c>
      <c r="I1205" s="74" t="s">
        <v>21339</v>
      </c>
      <c r="J1205" s="74" t="s">
        <v>21397</v>
      </c>
      <c r="K1205" s="74" t="s">
        <v>12741</v>
      </c>
      <c r="L1205" s="74">
        <v>553271</v>
      </c>
      <c r="M1205" s="74" t="s">
        <v>21341</v>
      </c>
      <c r="N1205" s="74">
        <v>1</v>
      </c>
      <c r="O1205" s="74" t="s">
        <v>21342</v>
      </c>
      <c r="P1205" s="74" t="s">
        <v>21343</v>
      </c>
      <c r="Q1205" s="74">
        <v>0</v>
      </c>
      <c r="R1205" s="74" t="s">
        <v>148</v>
      </c>
      <c r="S1205" s="74" t="s">
        <v>21338</v>
      </c>
      <c r="T1205" s="74" t="s">
        <v>402</v>
      </c>
      <c r="U1205" s="74">
        <v>0</v>
      </c>
      <c r="V1205" s="74">
        <v>0</v>
      </c>
    </row>
    <row r="1206" spans="3:22" x14ac:dyDescent="0.25">
      <c r="C1206" s="74" t="s">
        <v>21484</v>
      </c>
      <c r="D1206" s="74" t="s">
        <v>148</v>
      </c>
      <c r="E1206" s="74" t="s">
        <v>21338</v>
      </c>
      <c r="F1206" s="74">
        <v>560600</v>
      </c>
      <c r="G1206" s="74">
        <v>3</v>
      </c>
      <c r="H1206" s="135">
        <v>42989.47074074074</v>
      </c>
      <c r="I1206" s="74" t="s">
        <v>21339</v>
      </c>
      <c r="J1206" s="74" t="s">
        <v>21397</v>
      </c>
      <c r="K1206" s="74" t="s">
        <v>12741</v>
      </c>
      <c r="L1206" s="74">
        <v>553271</v>
      </c>
      <c r="M1206" s="74" t="s">
        <v>21341</v>
      </c>
      <c r="N1206" s="74">
        <v>1</v>
      </c>
      <c r="O1206" s="74" t="s">
        <v>21342</v>
      </c>
      <c r="P1206" s="74" t="s">
        <v>21343</v>
      </c>
      <c r="Q1206" s="74">
        <v>0</v>
      </c>
      <c r="R1206" s="74" t="s">
        <v>148</v>
      </c>
      <c r="S1206" s="74" t="s">
        <v>21338</v>
      </c>
      <c r="T1206" s="74" t="s">
        <v>402</v>
      </c>
      <c r="U1206" s="74">
        <v>0</v>
      </c>
      <c r="V1206" s="74">
        <v>0</v>
      </c>
    </row>
    <row r="1207" spans="3:22" x14ac:dyDescent="0.25">
      <c r="C1207" s="74" t="s">
        <v>21379</v>
      </c>
      <c r="D1207" s="74" t="s">
        <v>148</v>
      </c>
      <c r="E1207" s="74" t="s">
        <v>21338</v>
      </c>
      <c r="F1207" s="74">
        <v>809833</v>
      </c>
      <c r="G1207" s="74">
        <v>3</v>
      </c>
      <c r="H1207" s="135">
        <v>42989.458032407405</v>
      </c>
      <c r="I1207" s="74" t="s">
        <v>21354</v>
      </c>
      <c r="J1207" s="74" t="s">
        <v>21355</v>
      </c>
      <c r="K1207" s="74" t="s">
        <v>17888</v>
      </c>
      <c r="L1207" s="74">
        <v>553925</v>
      </c>
      <c r="M1207" s="74" t="s">
        <v>21341</v>
      </c>
      <c r="N1207" s="74">
        <v>1</v>
      </c>
      <c r="O1207" s="74" t="s">
        <v>21342</v>
      </c>
      <c r="P1207" s="74" t="s">
        <v>21345</v>
      </c>
      <c r="R1207" s="74" t="s">
        <v>148</v>
      </c>
      <c r="S1207" s="74" t="s">
        <v>21338</v>
      </c>
      <c r="T1207" s="74" t="s">
        <v>402</v>
      </c>
      <c r="U1207" s="74">
        <v>0</v>
      </c>
      <c r="V1207" s="74">
        <v>0</v>
      </c>
    </row>
    <row r="1208" spans="3:22" x14ac:dyDescent="0.25">
      <c r="C1208" s="74" t="s">
        <v>18795</v>
      </c>
      <c r="D1208" s="74" t="s">
        <v>148</v>
      </c>
      <c r="E1208" s="74" t="s">
        <v>21338</v>
      </c>
      <c r="F1208" s="74">
        <v>551367</v>
      </c>
      <c r="G1208" s="74">
        <v>1000</v>
      </c>
      <c r="H1208" s="135">
        <v>42989.45449074074</v>
      </c>
      <c r="I1208" s="74" t="s">
        <v>21339</v>
      </c>
      <c r="J1208" s="74" t="s">
        <v>21340</v>
      </c>
      <c r="K1208" s="74" t="s">
        <v>21612</v>
      </c>
      <c r="L1208" s="74">
        <v>805844</v>
      </c>
      <c r="M1208" s="74" t="s">
        <v>21341</v>
      </c>
      <c r="N1208" s="74">
        <v>1</v>
      </c>
      <c r="O1208" s="74" t="s">
        <v>21342</v>
      </c>
      <c r="P1208" s="74" t="s">
        <v>21343</v>
      </c>
      <c r="Q1208" s="74">
        <v>0</v>
      </c>
      <c r="R1208" s="74" t="s">
        <v>148</v>
      </c>
      <c r="S1208" s="74" t="s">
        <v>21338</v>
      </c>
      <c r="T1208" s="74" t="s">
        <v>402</v>
      </c>
      <c r="U1208" s="74">
        <v>0</v>
      </c>
      <c r="V1208" s="74">
        <v>0</v>
      </c>
    </row>
    <row r="1209" spans="3:22" x14ac:dyDescent="0.25">
      <c r="C1209" s="74" t="s">
        <v>18795</v>
      </c>
      <c r="D1209" s="74" t="s">
        <v>148</v>
      </c>
      <c r="E1209" s="74" t="s">
        <v>21338</v>
      </c>
      <c r="F1209" s="74">
        <v>551367</v>
      </c>
      <c r="G1209" s="74">
        <v>1000</v>
      </c>
      <c r="H1209" s="135">
        <v>42989.445439814815</v>
      </c>
      <c r="I1209" s="74" t="s">
        <v>21339</v>
      </c>
      <c r="J1209" s="74" t="s">
        <v>21340</v>
      </c>
      <c r="K1209" s="74" t="s">
        <v>21613</v>
      </c>
      <c r="L1209" s="74">
        <v>798194</v>
      </c>
      <c r="M1209" s="74" t="s">
        <v>21341</v>
      </c>
      <c r="N1209" s="74">
        <v>1</v>
      </c>
      <c r="O1209" s="74" t="s">
        <v>21342</v>
      </c>
      <c r="P1209" s="74" t="s">
        <v>21343</v>
      </c>
      <c r="Q1209" s="74">
        <v>0</v>
      </c>
      <c r="R1209" s="74" t="s">
        <v>148</v>
      </c>
      <c r="S1209" s="74" t="s">
        <v>21338</v>
      </c>
      <c r="T1209" s="74" t="s">
        <v>402</v>
      </c>
      <c r="U1209" s="74">
        <v>0</v>
      </c>
      <c r="V1209" s="74">
        <v>0</v>
      </c>
    </row>
    <row r="1210" spans="3:22" x14ac:dyDescent="0.25">
      <c r="C1210" s="74" t="s">
        <v>18795</v>
      </c>
      <c r="D1210" s="74" t="s">
        <v>148</v>
      </c>
      <c r="E1210" s="74" t="s">
        <v>21338</v>
      </c>
      <c r="F1210" s="74">
        <v>551367</v>
      </c>
      <c r="G1210" s="74">
        <v>1000</v>
      </c>
      <c r="H1210" s="135">
        <v>42989.436099537037</v>
      </c>
      <c r="I1210" s="74" t="s">
        <v>21339</v>
      </c>
      <c r="J1210" s="74" t="s">
        <v>21340</v>
      </c>
      <c r="K1210" s="74" t="s">
        <v>2108</v>
      </c>
      <c r="L1210" s="74">
        <v>551921</v>
      </c>
      <c r="M1210" s="74" t="s">
        <v>21341</v>
      </c>
      <c r="N1210" s="74">
        <v>1</v>
      </c>
      <c r="O1210" s="74" t="s">
        <v>21342</v>
      </c>
      <c r="P1210" s="74" t="s">
        <v>21343</v>
      </c>
      <c r="Q1210" s="74">
        <v>0</v>
      </c>
      <c r="R1210" s="74" t="s">
        <v>148</v>
      </c>
      <c r="S1210" s="74" t="s">
        <v>21338</v>
      </c>
      <c r="T1210" s="74" t="s">
        <v>402</v>
      </c>
      <c r="U1210" s="74">
        <v>0</v>
      </c>
      <c r="V1210" s="74">
        <v>0</v>
      </c>
    </row>
    <row r="1211" spans="3:22" x14ac:dyDescent="0.25">
      <c r="C1211" s="74" t="s">
        <v>18795</v>
      </c>
      <c r="D1211" s="74" t="s">
        <v>148</v>
      </c>
      <c r="E1211" s="74" t="s">
        <v>21338</v>
      </c>
      <c r="F1211" s="74">
        <v>551367</v>
      </c>
      <c r="G1211" s="74">
        <v>1000</v>
      </c>
      <c r="H1211" s="135">
        <v>42989.436099537037</v>
      </c>
      <c r="I1211" s="74" t="s">
        <v>21339</v>
      </c>
      <c r="J1211" s="74" t="s">
        <v>21340</v>
      </c>
      <c r="K1211" s="74" t="s">
        <v>6107</v>
      </c>
      <c r="L1211" s="74">
        <v>552417</v>
      </c>
      <c r="M1211" s="74" t="s">
        <v>21341</v>
      </c>
      <c r="N1211" s="74">
        <v>1</v>
      </c>
      <c r="O1211" s="74" t="s">
        <v>21342</v>
      </c>
      <c r="P1211" s="74" t="s">
        <v>21343</v>
      </c>
      <c r="Q1211" s="74">
        <v>0</v>
      </c>
      <c r="R1211" s="74" t="s">
        <v>148</v>
      </c>
      <c r="S1211" s="74" t="s">
        <v>21338</v>
      </c>
      <c r="T1211" s="74" t="s">
        <v>402</v>
      </c>
      <c r="U1211" s="74">
        <v>0</v>
      </c>
      <c r="V1211" s="74">
        <v>0</v>
      </c>
    </row>
    <row r="1212" spans="3:22" x14ac:dyDescent="0.25">
      <c r="C1212" s="74" t="s">
        <v>18795</v>
      </c>
      <c r="D1212" s="74" t="s">
        <v>148</v>
      </c>
      <c r="E1212" s="74" t="s">
        <v>21338</v>
      </c>
      <c r="F1212" s="74">
        <v>551367</v>
      </c>
      <c r="G1212" s="74">
        <v>1000</v>
      </c>
      <c r="H1212" s="135">
        <v>42989.42732638889</v>
      </c>
      <c r="I1212" s="74" t="s">
        <v>21339</v>
      </c>
      <c r="J1212" s="74" t="s">
        <v>21340</v>
      </c>
      <c r="K1212" s="74" t="s">
        <v>17534</v>
      </c>
      <c r="L1212" s="74">
        <v>553886</v>
      </c>
      <c r="M1212" s="74" t="s">
        <v>21341</v>
      </c>
      <c r="N1212" s="74">
        <v>1</v>
      </c>
      <c r="O1212" s="74" t="s">
        <v>21342</v>
      </c>
      <c r="P1212" s="74" t="s">
        <v>21343</v>
      </c>
      <c r="Q1212" s="74">
        <v>0</v>
      </c>
      <c r="R1212" s="74" t="s">
        <v>148</v>
      </c>
      <c r="S1212" s="74" t="s">
        <v>21338</v>
      </c>
      <c r="T1212" s="74" t="s">
        <v>402</v>
      </c>
      <c r="U1212" s="74">
        <v>0</v>
      </c>
      <c r="V1212" s="74">
        <v>0</v>
      </c>
    </row>
    <row r="1213" spans="3:22" x14ac:dyDescent="0.25">
      <c r="C1213" s="74" t="s">
        <v>533</v>
      </c>
      <c r="D1213" s="74" t="s">
        <v>148</v>
      </c>
      <c r="E1213" s="74" t="s">
        <v>21338</v>
      </c>
      <c r="F1213" s="74">
        <v>627566</v>
      </c>
      <c r="G1213" s="74">
        <v>3</v>
      </c>
      <c r="H1213" s="135">
        <v>42989.427152777775</v>
      </c>
      <c r="I1213" s="74" t="s">
        <v>21354</v>
      </c>
      <c r="J1213" s="74" t="s">
        <v>21355</v>
      </c>
      <c r="K1213" s="74" t="s">
        <v>20126</v>
      </c>
      <c r="L1213" s="74">
        <v>551720</v>
      </c>
      <c r="M1213" s="74" t="s">
        <v>21341</v>
      </c>
      <c r="N1213" s="74">
        <v>1</v>
      </c>
      <c r="O1213" s="74" t="s">
        <v>21342</v>
      </c>
      <c r="P1213" s="74" t="s">
        <v>21345</v>
      </c>
      <c r="R1213" s="74" t="s">
        <v>148</v>
      </c>
      <c r="S1213" s="74" t="s">
        <v>21338</v>
      </c>
      <c r="T1213" s="74" t="s">
        <v>402</v>
      </c>
      <c r="U1213" s="74">
        <v>0</v>
      </c>
      <c r="V1213" s="74">
        <v>0</v>
      </c>
    </row>
    <row r="1214" spans="3:22" x14ac:dyDescent="0.25">
      <c r="C1214" s="74" t="s">
        <v>533</v>
      </c>
      <c r="D1214" s="74" t="s">
        <v>148</v>
      </c>
      <c r="E1214" s="74" t="s">
        <v>21338</v>
      </c>
      <c r="F1214" s="74">
        <v>627566</v>
      </c>
      <c r="G1214" s="74">
        <v>3</v>
      </c>
      <c r="H1214" s="135">
        <v>42989.42701388889</v>
      </c>
      <c r="I1214" s="74" t="s">
        <v>21339</v>
      </c>
      <c r="J1214" s="74" t="s">
        <v>21360</v>
      </c>
      <c r="K1214" s="74" t="s">
        <v>20126</v>
      </c>
      <c r="L1214" s="74">
        <v>551720</v>
      </c>
      <c r="M1214" s="74" t="s">
        <v>21341</v>
      </c>
      <c r="N1214" s="74">
        <v>1</v>
      </c>
      <c r="O1214" s="74" t="s">
        <v>21359</v>
      </c>
      <c r="P1214" s="74" t="s">
        <v>21343</v>
      </c>
      <c r="Q1214" s="74" t="s">
        <v>21395</v>
      </c>
      <c r="R1214" s="74" t="s">
        <v>148</v>
      </c>
      <c r="S1214" s="74" t="s">
        <v>21338</v>
      </c>
      <c r="T1214" s="74" t="s">
        <v>402</v>
      </c>
      <c r="U1214" s="74">
        <v>0</v>
      </c>
      <c r="V1214" s="74">
        <v>0</v>
      </c>
    </row>
    <row r="1215" spans="3:22" x14ac:dyDescent="0.25">
      <c r="C1215" s="74" t="s">
        <v>21388</v>
      </c>
      <c r="D1215" s="74" t="s">
        <v>148</v>
      </c>
      <c r="E1215" s="74" t="s">
        <v>21338</v>
      </c>
      <c r="F1215" s="74">
        <v>560366</v>
      </c>
      <c r="G1215" s="74">
        <v>3</v>
      </c>
      <c r="H1215" s="135">
        <v>42989.418923611112</v>
      </c>
      <c r="I1215" s="74" t="s">
        <v>21354</v>
      </c>
      <c r="J1215" s="74" t="s">
        <v>21355</v>
      </c>
      <c r="K1215" s="74" t="s">
        <v>21614</v>
      </c>
      <c r="L1215" s="74">
        <v>580150</v>
      </c>
      <c r="M1215" s="74" t="s">
        <v>21341</v>
      </c>
      <c r="N1215" s="74">
        <v>1</v>
      </c>
      <c r="O1215" s="74" t="s">
        <v>21342</v>
      </c>
      <c r="P1215" s="74" t="s">
        <v>21345</v>
      </c>
      <c r="R1215" s="74" t="s">
        <v>148</v>
      </c>
      <c r="S1215" s="74" t="s">
        <v>21338</v>
      </c>
      <c r="T1215" s="74" t="s">
        <v>402</v>
      </c>
      <c r="U1215" s="74">
        <v>0</v>
      </c>
      <c r="V1215" s="74">
        <v>0</v>
      </c>
    </row>
    <row r="1216" spans="3:22" x14ac:dyDescent="0.25">
      <c r="C1216" s="74" t="s">
        <v>18795</v>
      </c>
      <c r="D1216" s="74" t="s">
        <v>148</v>
      </c>
      <c r="E1216" s="74" t="s">
        <v>21338</v>
      </c>
      <c r="F1216" s="74">
        <v>551367</v>
      </c>
      <c r="G1216" s="74">
        <v>1000</v>
      </c>
      <c r="H1216" s="135">
        <v>42989.406284722223</v>
      </c>
      <c r="I1216" s="74" t="s">
        <v>21339</v>
      </c>
      <c r="J1216" s="74" t="s">
        <v>21340</v>
      </c>
      <c r="K1216" s="74" t="s">
        <v>21615</v>
      </c>
      <c r="L1216" s="74">
        <v>656133</v>
      </c>
      <c r="M1216" s="74" t="s">
        <v>21341</v>
      </c>
      <c r="N1216" s="74">
        <v>1</v>
      </c>
      <c r="O1216" s="74" t="s">
        <v>21342</v>
      </c>
      <c r="P1216" s="74" t="s">
        <v>21343</v>
      </c>
      <c r="Q1216" s="74">
        <v>0</v>
      </c>
      <c r="R1216" s="74" t="s">
        <v>148</v>
      </c>
      <c r="S1216" s="74" t="s">
        <v>21338</v>
      </c>
      <c r="T1216" s="74" t="s">
        <v>402</v>
      </c>
      <c r="U1216" s="74">
        <v>0</v>
      </c>
      <c r="V1216" s="74">
        <v>0</v>
      </c>
    </row>
    <row r="1217" spans="3:22" x14ac:dyDescent="0.25">
      <c r="C1217" s="74" t="s">
        <v>533</v>
      </c>
      <c r="D1217" s="74" t="s">
        <v>148</v>
      </c>
      <c r="E1217" s="74" t="s">
        <v>21338</v>
      </c>
      <c r="F1217" s="74">
        <v>627566</v>
      </c>
      <c r="G1217" s="74">
        <v>3</v>
      </c>
      <c r="H1217" s="135">
        <v>42989.396296296298</v>
      </c>
      <c r="I1217" s="74" t="s">
        <v>21354</v>
      </c>
      <c r="J1217" s="74" t="s">
        <v>21355</v>
      </c>
      <c r="K1217" s="74" t="s">
        <v>21578</v>
      </c>
      <c r="L1217" s="74">
        <v>840602</v>
      </c>
      <c r="M1217" s="74" t="s">
        <v>21341</v>
      </c>
      <c r="N1217" s="74">
        <v>1</v>
      </c>
      <c r="O1217" s="74" t="s">
        <v>21342</v>
      </c>
      <c r="P1217" s="74" t="s">
        <v>21345</v>
      </c>
      <c r="R1217" s="74" t="s">
        <v>148</v>
      </c>
      <c r="S1217" s="74" t="s">
        <v>21338</v>
      </c>
      <c r="T1217" s="74" t="s">
        <v>402</v>
      </c>
      <c r="U1217" s="74">
        <v>0</v>
      </c>
      <c r="V1217" s="74">
        <v>0</v>
      </c>
    </row>
    <row r="1218" spans="3:22" x14ac:dyDescent="0.25">
      <c r="C1218" s="74" t="s">
        <v>533</v>
      </c>
      <c r="D1218" s="74" t="s">
        <v>148</v>
      </c>
      <c r="E1218" s="74" t="s">
        <v>21338</v>
      </c>
      <c r="F1218" s="74">
        <v>627566</v>
      </c>
      <c r="G1218" s="74">
        <v>3</v>
      </c>
      <c r="H1218" s="135">
        <v>42989.395879629628</v>
      </c>
      <c r="I1218" s="74" t="s">
        <v>21339</v>
      </c>
      <c r="J1218" s="74" t="s">
        <v>21360</v>
      </c>
      <c r="K1218" s="74" t="s">
        <v>21578</v>
      </c>
      <c r="L1218" s="74">
        <v>840602</v>
      </c>
      <c r="M1218" s="74" t="s">
        <v>21341</v>
      </c>
      <c r="N1218" s="74">
        <v>1</v>
      </c>
      <c r="O1218" s="74" t="s">
        <v>21359</v>
      </c>
      <c r="P1218" s="74" t="s">
        <v>21343</v>
      </c>
      <c r="Q1218" s="74" t="s">
        <v>21395</v>
      </c>
      <c r="R1218" s="74" t="s">
        <v>148</v>
      </c>
      <c r="S1218" s="74" t="s">
        <v>21338</v>
      </c>
      <c r="T1218" s="74" t="s">
        <v>402</v>
      </c>
      <c r="U1218" s="74">
        <v>0</v>
      </c>
      <c r="V1218" s="74">
        <v>0</v>
      </c>
    </row>
    <row r="1219" spans="3:22" x14ac:dyDescent="0.25">
      <c r="C1219" s="74" t="s">
        <v>18795</v>
      </c>
      <c r="D1219" s="74" t="s">
        <v>148</v>
      </c>
      <c r="E1219" s="74" t="s">
        <v>21338</v>
      </c>
      <c r="F1219" s="74">
        <v>551367</v>
      </c>
      <c r="G1219" s="74">
        <v>1000</v>
      </c>
      <c r="H1219" s="135">
        <v>42989.387546296297</v>
      </c>
      <c r="I1219" s="74" t="s">
        <v>21339</v>
      </c>
      <c r="J1219" s="74" t="s">
        <v>21340</v>
      </c>
      <c r="K1219" s="74" t="s">
        <v>7919</v>
      </c>
      <c r="L1219" s="74">
        <v>552652</v>
      </c>
      <c r="M1219" s="74" t="s">
        <v>21341</v>
      </c>
      <c r="N1219" s="74">
        <v>1</v>
      </c>
      <c r="O1219" s="74" t="s">
        <v>21342</v>
      </c>
      <c r="P1219" s="74" t="s">
        <v>21343</v>
      </c>
      <c r="Q1219" s="74">
        <v>0</v>
      </c>
      <c r="R1219" s="74" t="s">
        <v>148</v>
      </c>
      <c r="S1219" s="74" t="s">
        <v>21338</v>
      </c>
      <c r="T1219" s="74" t="s">
        <v>402</v>
      </c>
      <c r="U1219" s="74">
        <v>0</v>
      </c>
      <c r="V1219" s="74">
        <v>0</v>
      </c>
    </row>
    <row r="1220" spans="3:22" x14ac:dyDescent="0.25">
      <c r="C1220" s="74" t="s">
        <v>18795</v>
      </c>
      <c r="D1220" s="74" t="s">
        <v>148</v>
      </c>
      <c r="E1220" s="74" t="s">
        <v>21338</v>
      </c>
      <c r="F1220" s="74">
        <v>551367</v>
      </c>
      <c r="G1220" s="74">
        <v>1000</v>
      </c>
      <c r="H1220" s="135">
        <v>42989.375856481478</v>
      </c>
      <c r="I1220" s="74" t="s">
        <v>21339</v>
      </c>
      <c r="J1220" s="74" t="s">
        <v>21340</v>
      </c>
      <c r="K1220" s="74" t="s">
        <v>21616</v>
      </c>
      <c r="L1220" s="74">
        <v>726930</v>
      </c>
      <c r="M1220" s="74" t="s">
        <v>21341</v>
      </c>
      <c r="N1220" s="74">
        <v>1</v>
      </c>
      <c r="O1220" s="74" t="s">
        <v>21342</v>
      </c>
      <c r="P1220" s="74" t="s">
        <v>21343</v>
      </c>
      <c r="Q1220" s="74">
        <v>0</v>
      </c>
      <c r="R1220" s="74" t="s">
        <v>148</v>
      </c>
      <c r="S1220" s="74" t="s">
        <v>21338</v>
      </c>
      <c r="T1220" s="74" t="s">
        <v>402</v>
      </c>
      <c r="U1220" s="74">
        <v>0</v>
      </c>
      <c r="V1220" s="74">
        <v>0</v>
      </c>
    </row>
    <row r="1221" spans="3:22" x14ac:dyDescent="0.25">
      <c r="C1221" s="74" t="s">
        <v>18795</v>
      </c>
      <c r="D1221" s="74" t="s">
        <v>148</v>
      </c>
      <c r="E1221" s="74" t="s">
        <v>21338</v>
      </c>
      <c r="F1221" s="74">
        <v>551367</v>
      </c>
      <c r="G1221" s="74">
        <v>1000</v>
      </c>
      <c r="H1221" s="135">
        <v>42989.30363425926</v>
      </c>
      <c r="I1221" s="74" t="s">
        <v>21339</v>
      </c>
      <c r="J1221" s="74" t="s">
        <v>21340</v>
      </c>
      <c r="K1221" s="74" t="s">
        <v>5231</v>
      </c>
      <c r="L1221" s="74">
        <v>725339</v>
      </c>
      <c r="M1221" s="74" t="s">
        <v>21341</v>
      </c>
      <c r="N1221" s="74">
        <v>1</v>
      </c>
      <c r="O1221" s="74" t="s">
        <v>21342</v>
      </c>
      <c r="P1221" s="74" t="s">
        <v>21343</v>
      </c>
      <c r="Q1221" s="74">
        <v>0</v>
      </c>
      <c r="R1221" s="74" t="s">
        <v>148</v>
      </c>
      <c r="S1221" s="74" t="s">
        <v>21338</v>
      </c>
      <c r="T1221" s="74" t="s">
        <v>402</v>
      </c>
      <c r="U1221" s="74">
        <v>0</v>
      </c>
      <c r="V1221" s="74">
        <v>0</v>
      </c>
    </row>
    <row r="1222" spans="3:22" x14ac:dyDescent="0.25">
      <c r="C1222" s="74" t="s">
        <v>18795</v>
      </c>
      <c r="D1222" s="74" t="s">
        <v>148</v>
      </c>
      <c r="E1222" s="74" t="s">
        <v>21338</v>
      </c>
      <c r="F1222" s="74">
        <v>551367</v>
      </c>
      <c r="G1222" s="74">
        <v>1000</v>
      </c>
      <c r="H1222" s="135">
        <v>42989.090983796297</v>
      </c>
      <c r="I1222" s="74" t="s">
        <v>21339</v>
      </c>
      <c r="J1222" s="74" t="s">
        <v>21340</v>
      </c>
      <c r="K1222" s="74" t="s">
        <v>11124</v>
      </c>
      <c r="L1222" s="74">
        <v>553076</v>
      </c>
      <c r="M1222" s="74" t="s">
        <v>21341</v>
      </c>
      <c r="N1222" s="74">
        <v>1</v>
      </c>
      <c r="O1222" s="74" t="s">
        <v>21342</v>
      </c>
      <c r="P1222" s="74" t="s">
        <v>21343</v>
      </c>
      <c r="Q1222" s="74">
        <v>0</v>
      </c>
      <c r="R1222" s="74" t="s">
        <v>148</v>
      </c>
      <c r="S1222" s="74" t="s">
        <v>21338</v>
      </c>
      <c r="T1222" s="74" t="s">
        <v>402</v>
      </c>
      <c r="U1222" s="74">
        <v>0</v>
      </c>
      <c r="V1222" s="74">
        <v>0</v>
      </c>
    </row>
    <row r="1223" spans="3:22" x14ac:dyDescent="0.25">
      <c r="C1223" s="74" t="s">
        <v>18795</v>
      </c>
      <c r="D1223" s="74" t="s">
        <v>148</v>
      </c>
      <c r="E1223" s="74" t="s">
        <v>21338</v>
      </c>
      <c r="F1223" s="74">
        <v>551367</v>
      </c>
      <c r="G1223" s="74">
        <v>1000</v>
      </c>
      <c r="H1223" s="135">
        <v>42989.089988425927</v>
      </c>
      <c r="I1223" s="74" t="s">
        <v>21339</v>
      </c>
      <c r="J1223" s="74" t="s">
        <v>21340</v>
      </c>
      <c r="K1223" s="74" t="s">
        <v>11124</v>
      </c>
      <c r="L1223" s="74">
        <v>553076</v>
      </c>
      <c r="M1223" s="74" t="s">
        <v>21341</v>
      </c>
      <c r="N1223" s="74">
        <v>1</v>
      </c>
      <c r="O1223" s="74" t="s">
        <v>21342</v>
      </c>
      <c r="P1223" s="74" t="s">
        <v>21343</v>
      </c>
      <c r="Q1223" s="74">
        <v>0</v>
      </c>
      <c r="R1223" s="74" t="s">
        <v>148</v>
      </c>
      <c r="S1223" s="74" t="s">
        <v>21338</v>
      </c>
      <c r="T1223" s="74" t="s">
        <v>402</v>
      </c>
      <c r="U1223" s="74">
        <v>0</v>
      </c>
      <c r="V1223" s="74">
        <v>0</v>
      </c>
    </row>
    <row r="1224" spans="3:22" x14ac:dyDescent="0.25">
      <c r="C1224" s="74" t="s">
        <v>18795</v>
      </c>
      <c r="D1224" s="74" t="s">
        <v>148</v>
      </c>
      <c r="E1224" s="74" t="s">
        <v>21338</v>
      </c>
      <c r="F1224" s="74">
        <v>551367</v>
      </c>
      <c r="G1224" s="74">
        <v>1000</v>
      </c>
      <c r="H1224" s="135">
        <v>42989.089942129627</v>
      </c>
      <c r="I1224" s="74" t="s">
        <v>21339</v>
      </c>
      <c r="J1224" s="74" t="s">
        <v>21340</v>
      </c>
      <c r="K1224" s="74" t="s">
        <v>11124</v>
      </c>
      <c r="L1224" s="74">
        <v>553076</v>
      </c>
      <c r="M1224" s="74" t="s">
        <v>21341</v>
      </c>
      <c r="N1224" s="74">
        <v>1</v>
      </c>
      <c r="O1224" s="74" t="s">
        <v>21342</v>
      </c>
      <c r="P1224" s="74" t="s">
        <v>21343</v>
      </c>
      <c r="Q1224" s="74">
        <v>0</v>
      </c>
      <c r="R1224" s="74" t="s">
        <v>148</v>
      </c>
      <c r="S1224" s="74" t="s">
        <v>21338</v>
      </c>
      <c r="T1224" s="74" t="s">
        <v>402</v>
      </c>
      <c r="U1224" s="74">
        <v>0</v>
      </c>
      <c r="V1224" s="74">
        <v>0</v>
      </c>
    </row>
    <row r="1225" spans="3:22" x14ac:dyDescent="0.25">
      <c r="C1225" s="74" t="s">
        <v>735</v>
      </c>
      <c r="D1225" s="74" t="s">
        <v>148</v>
      </c>
      <c r="E1225" s="74" t="s">
        <v>21338</v>
      </c>
      <c r="F1225" s="74">
        <v>570025</v>
      </c>
      <c r="G1225" s="74">
        <v>3</v>
      </c>
      <c r="H1225" s="135">
        <v>42988.999247685184</v>
      </c>
      <c r="I1225" s="74" t="s">
        <v>21398</v>
      </c>
      <c r="J1225" s="74" t="s">
        <v>21366</v>
      </c>
      <c r="K1225" s="74" t="s">
        <v>21617</v>
      </c>
      <c r="L1225" s="74">
        <v>907867</v>
      </c>
      <c r="M1225" s="74" t="s">
        <v>21368</v>
      </c>
      <c r="N1225" s="74">
        <v>1</v>
      </c>
      <c r="O1225" s="74" t="s">
        <v>21369</v>
      </c>
      <c r="P1225" s="74" t="s">
        <v>21343</v>
      </c>
      <c r="Q1225" s="74" t="s">
        <v>21618</v>
      </c>
      <c r="R1225" s="74" t="s">
        <v>148</v>
      </c>
      <c r="S1225" s="74" t="s">
        <v>21338</v>
      </c>
      <c r="T1225" s="74" t="s">
        <v>21371</v>
      </c>
      <c r="U1225" s="74">
        <v>0</v>
      </c>
      <c r="V1225" s="74">
        <v>0</v>
      </c>
    </row>
    <row r="1226" spans="3:22" x14ac:dyDescent="0.25">
      <c r="C1226" s="74" t="s">
        <v>735</v>
      </c>
      <c r="D1226" s="74" t="s">
        <v>148</v>
      </c>
      <c r="E1226" s="74" t="s">
        <v>21338</v>
      </c>
      <c r="F1226" s="74">
        <v>570025</v>
      </c>
      <c r="G1226" s="74">
        <v>3</v>
      </c>
      <c r="H1226" s="135">
        <v>42988.996516203704</v>
      </c>
      <c r="I1226" s="74" t="s">
        <v>21398</v>
      </c>
      <c r="J1226" s="74" t="s">
        <v>21400</v>
      </c>
      <c r="K1226" s="74" t="s">
        <v>21617</v>
      </c>
      <c r="L1226" s="74">
        <v>907867</v>
      </c>
      <c r="M1226" s="74" t="s">
        <v>21368</v>
      </c>
      <c r="N1226" s="74">
        <v>1</v>
      </c>
      <c r="O1226" s="74" t="s">
        <v>21342</v>
      </c>
      <c r="P1226" s="74" t="s">
        <v>21343</v>
      </c>
      <c r="Q1226" s="74" t="s">
        <v>21619</v>
      </c>
      <c r="R1226" s="74" t="s">
        <v>148</v>
      </c>
      <c r="S1226" s="74" t="s">
        <v>21338</v>
      </c>
      <c r="T1226" s="74" t="s">
        <v>21371</v>
      </c>
      <c r="U1226" s="74">
        <v>0</v>
      </c>
      <c r="V1226" s="74">
        <v>0</v>
      </c>
    </row>
    <row r="1227" spans="3:22" x14ac:dyDescent="0.25">
      <c r="C1227" s="74" t="s">
        <v>735</v>
      </c>
      <c r="D1227" s="74" t="s">
        <v>148</v>
      </c>
      <c r="E1227" s="74" t="s">
        <v>21338</v>
      </c>
      <c r="F1227" s="74">
        <v>570025</v>
      </c>
      <c r="G1227" s="74">
        <v>3</v>
      </c>
      <c r="H1227" s="135">
        <v>42988.99559027778</v>
      </c>
      <c r="I1227" s="74" t="s">
        <v>21339</v>
      </c>
      <c r="J1227" s="74" t="s">
        <v>21364</v>
      </c>
      <c r="K1227" s="74" t="s">
        <v>21620</v>
      </c>
      <c r="L1227" s="74">
        <v>561109</v>
      </c>
      <c r="M1227" s="74" t="s">
        <v>21368</v>
      </c>
      <c r="N1227" s="74">
        <v>1</v>
      </c>
      <c r="O1227" s="74" t="s">
        <v>21342</v>
      </c>
      <c r="P1227" s="74" t="s">
        <v>21343</v>
      </c>
      <c r="Q1227" s="74">
        <v>0</v>
      </c>
      <c r="R1227" s="74" t="s">
        <v>148</v>
      </c>
      <c r="S1227" s="74" t="s">
        <v>21338</v>
      </c>
      <c r="T1227" s="74" t="s">
        <v>21371</v>
      </c>
      <c r="U1227" s="74">
        <v>0</v>
      </c>
      <c r="V1227" s="74">
        <v>0</v>
      </c>
    </row>
    <row r="1228" spans="3:22" x14ac:dyDescent="0.25">
      <c r="C1228" s="74" t="s">
        <v>735</v>
      </c>
      <c r="D1228" s="74" t="s">
        <v>148</v>
      </c>
      <c r="E1228" s="74" t="s">
        <v>21338</v>
      </c>
      <c r="F1228" s="74">
        <v>570025</v>
      </c>
      <c r="G1228" s="74">
        <v>3</v>
      </c>
      <c r="H1228" s="135">
        <v>42988.954571759263</v>
      </c>
      <c r="I1228" s="74" t="s">
        <v>21339</v>
      </c>
      <c r="J1228" s="74" t="s">
        <v>21360</v>
      </c>
      <c r="K1228" s="74" t="s">
        <v>16073</v>
      </c>
      <c r="L1228" s="74">
        <v>683238</v>
      </c>
      <c r="M1228" s="74" t="s">
        <v>21341</v>
      </c>
      <c r="N1228" s="74">
        <v>1</v>
      </c>
      <c r="O1228" s="74" t="s">
        <v>21342</v>
      </c>
      <c r="P1228" s="74" t="s">
        <v>21343</v>
      </c>
      <c r="Q1228" s="74" t="s">
        <v>21361</v>
      </c>
      <c r="R1228" s="74" t="s">
        <v>148</v>
      </c>
      <c r="S1228" s="74" t="s">
        <v>21338</v>
      </c>
      <c r="T1228" s="74" t="s">
        <v>402</v>
      </c>
      <c r="U1228" s="74">
        <v>0</v>
      </c>
      <c r="V1228" s="74">
        <v>0</v>
      </c>
    </row>
    <row r="1229" spans="3:22" x14ac:dyDescent="0.25">
      <c r="C1229" s="74" t="s">
        <v>735</v>
      </c>
      <c r="D1229" s="74" t="s">
        <v>148</v>
      </c>
      <c r="E1229" s="74" t="s">
        <v>21338</v>
      </c>
      <c r="F1229" s="74">
        <v>570025</v>
      </c>
      <c r="G1229" s="74">
        <v>3</v>
      </c>
      <c r="H1229" s="135">
        <v>42988.896574074075</v>
      </c>
      <c r="I1229" s="74" t="s">
        <v>21339</v>
      </c>
      <c r="J1229" s="74" t="s">
        <v>21362</v>
      </c>
      <c r="K1229" s="74" t="s">
        <v>21599</v>
      </c>
      <c r="L1229" s="74">
        <v>877289</v>
      </c>
      <c r="M1229" s="74" t="s">
        <v>21341</v>
      </c>
      <c r="N1229" s="74">
        <v>1</v>
      </c>
      <c r="O1229" s="74" t="s">
        <v>21342</v>
      </c>
      <c r="P1229" s="74" t="s">
        <v>21343</v>
      </c>
      <c r="Q1229" s="74" t="s">
        <v>21363</v>
      </c>
      <c r="R1229" s="74" t="s">
        <v>148</v>
      </c>
      <c r="S1229" s="74" t="s">
        <v>21338</v>
      </c>
      <c r="T1229" s="74" t="s">
        <v>393</v>
      </c>
      <c r="U1229" s="74">
        <v>0</v>
      </c>
      <c r="V1229" s="74">
        <v>0</v>
      </c>
    </row>
    <row r="1230" spans="3:22" x14ac:dyDescent="0.25">
      <c r="C1230" s="74" t="s">
        <v>735</v>
      </c>
      <c r="D1230" s="74" t="s">
        <v>148</v>
      </c>
      <c r="E1230" s="74" t="s">
        <v>21338</v>
      </c>
      <c r="F1230" s="74">
        <v>570025</v>
      </c>
      <c r="G1230" s="74">
        <v>3</v>
      </c>
      <c r="H1230" s="135">
        <v>42988.896226851852</v>
      </c>
      <c r="I1230" s="74" t="s">
        <v>21339</v>
      </c>
      <c r="J1230" s="74" t="s">
        <v>21364</v>
      </c>
      <c r="K1230" s="74" t="s">
        <v>21599</v>
      </c>
      <c r="L1230" s="74">
        <v>877289</v>
      </c>
      <c r="M1230" s="74" t="s">
        <v>21341</v>
      </c>
      <c r="N1230" s="74">
        <v>1</v>
      </c>
      <c r="O1230" s="74" t="s">
        <v>21342</v>
      </c>
      <c r="P1230" s="74" t="s">
        <v>21343</v>
      </c>
      <c r="Q1230" s="74">
        <v>0</v>
      </c>
      <c r="R1230" s="74" t="s">
        <v>148</v>
      </c>
      <c r="S1230" s="74" t="s">
        <v>21338</v>
      </c>
      <c r="T1230" s="74" t="s">
        <v>402</v>
      </c>
      <c r="U1230" s="74">
        <v>0</v>
      </c>
      <c r="V1230" s="74">
        <v>0</v>
      </c>
    </row>
    <row r="1231" spans="3:22" x14ac:dyDescent="0.25">
      <c r="C1231" s="74" t="s">
        <v>735</v>
      </c>
      <c r="D1231" s="74" t="s">
        <v>148</v>
      </c>
      <c r="E1231" s="74" t="s">
        <v>21338</v>
      </c>
      <c r="F1231" s="74">
        <v>570025</v>
      </c>
      <c r="G1231" s="74">
        <v>3</v>
      </c>
      <c r="H1231" s="135">
        <v>42988.89203703704</v>
      </c>
      <c r="I1231" s="74" t="s">
        <v>21339</v>
      </c>
      <c r="J1231" s="74" t="s">
        <v>21360</v>
      </c>
      <c r="K1231" s="74" t="s">
        <v>21599</v>
      </c>
      <c r="L1231" s="74">
        <v>877289</v>
      </c>
      <c r="M1231" s="74" t="s">
        <v>21341</v>
      </c>
      <c r="N1231" s="74">
        <v>1</v>
      </c>
      <c r="O1231" s="74" t="s">
        <v>21342</v>
      </c>
      <c r="P1231" s="74" t="s">
        <v>21343</v>
      </c>
      <c r="Q1231" s="74" t="s">
        <v>21361</v>
      </c>
      <c r="R1231" s="74" t="s">
        <v>148</v>
      </c>
      <c r="S1231" s="74" t="s">
        <v>21338</v>
      </c>
      <c r="T1231" s="74" t="s">
        <v>402</v>
      </c>
      <c r="U1231" s="74">
        <v>0</v>
      </c>
      <c r="V1231" s="74">
        <v>0</v>
      </c>
    </row>
    <row r="1232" spans="3:22" x14ac:dyDescent="0.25">
      <c r="C1232" s="74" t="s">
        <v>18795</v>
      </c>
      <c r="D1232" s="74" t="s">
        <v>148</v>
      </c>
      <c r="E1232" s="74" t="s">
        <v>21338</v>
      </c>
      <c r="F1232" s="74">
        <v>551367</v>
      </c>
      <c r="G1232" s="74">
        <v>1000</v>
      </c>
      <c r="H1232" s="135">
        <v>42987.449918981481</v>
      </c>
      <c r="I1232" s="74" t="s">
        <v>21339</v>
      </c>
      <c r="J1232" s="74" t="s">
        <v>21340</v>
      </c>
      <c r="K1232" s="74" t="s">
        <v>8253</v>
      </c>
      <c r="L1232" s="74">
        <v>552683</v>
      </c>
      <c r="M1232" s="74" t="s">
        <v>21341</v>
      </c>
      <c r="N1232" s="74">
        <v>1</v>
      </c>
      <c r="O1232" s="74" t="s">
        <v>21342</v>
      </c>
      <c r="P1232" s="74" t="s">
        <v>21343</v>
      </c>
      <c r="Q1232" s="74">
        <v>0</v>
      </c>
      <c r="R1232" s="74" t="s">
        <v>148</v>
      </c>
      <c r="S1232" s="74" t="s">
        <v>21338</v>
      </c>
      <c r="T1232" s="74" t="s">
        <v>402</v>
      </c>
      <c r="U1232" s="74">
        <v>0</v>
      </c>
      <c r="V1232" s="74">
        <v>0</v>
      </c>
    </row>
    <row r="1233" spans="3:22" x14ac:dyDescent="0.25">
      <c r="C1233" s="74" t="s">
        <v>18795</v>
      </c>
      <c r="D1233" s="74" t="s">
        <v>148</v>
      </c>
      <c r="E1233" s="74" t="s">
        <v>21338</v>
      </c>
      <c r="F1233" s="74">
        <v>551367</v>
      </c>
      <c r="G1233" s="74">
        <v>1000</v>
      </c>
      <c r="H1233" s="135">
        <v>42987.30976851852</v>
      </c>
      <c r="I1233" s="74" t="s">
        <v>21339</v>
      </c>
      <c r="J1233" s="74" t="s">
        <v>21340</v>
      </c>
      <c r="K1233" s="74" t="s">
        <v>9829</v>
      </c>
      <c r="L1233" s="74">
        <v>552894</v>
      </c>
      <c r="M1233" s="74" t="s">
        <v>21341</v>
      </c>
      <c r="N1233" s="74">
        <v>1</v>
      </c>
      <c r="O1233" s="74" t="s">
        <v>21342</v>
      </c>
      <c r="P1233" s="74" t="s">
        <v>21343</v>
      </c>
      <c r="Q1233" s="74">
        <v>0</v>
      </c>
      <c r="R1233" s="74" t="s">
        <v>148</v>
      </c>
      <c r="S1233" s="74" t="s">
        <v>21338</v>
      </c>
      <c r="T1233" s="74" t="s">
        <v>402</v>
      </c>
      <c r="U1233" s="74">
        <v>0</v>
      </c>
      <c r="V1233" s="74">
        <v>0</v>
      </c>
    </row>
    <row r="1234" spans="3:22" x14ac:dyDescent="0.25">
      <c r="C1234" s="74" t="s">
        <v>18795</v>
      </c>
      <c r="D1234" s="74" t="s">
        <v>148</v>
      </c>
      <c r="E1234" s="74" t="s">
        <v>21338</v>
      </c>
      <c r="F1234" s="74">
        <v>551367</v>
      </c>
      <c r="G1234" s="74">
        <v>1000</v>
      </c>
      <c r="H1234" s="135">
        <v>42987.238576388889</v>
      </c>
      <c r="I1234" s="74" t="s">
        <v>21339</v>
      </c>
      <c r="J1234" s="74" t="s">
        <v>21340</v>
      </c>
      <c r="K1234" s="74" t="s">
        <v>21621</v>
      </c>
      <c r="L1234" s="74">
        <v>555611</v>
      </c>
      <c r="M1234" s="74" t="s">
        <v>21341</v>
      </c>
      <c r="N1234" s="74">
        <v>1</v>
      </c>
      <c r="O1234" s="74" t="s">
        <v>21342</v>
      </c>
      <c r="P1234" s="74" t="s">
        <v>21343</v>
      </c>
      <c r="Q1234" s="74">
        <v>0</v>
      </c>
      <c r="R1234" s="74" t="s">
        <v>148</v>
      </c>
      <c r="S1234" s="74" t="s">
        <v>21338</v>
      </c>
      <c r="T1234" s="74" t="s">
        <v>393</v>
      </c>
      <c r="U1234" s="74">
        <v>0</v>
      </c>
      <c r="V1234" s="74">
        <v>0</v>
      </c>
    </row>
    <row r="1235" spans="3:22" x14ac:dyDescent="0.25">
      <c r="C1235" s="74" t="s">
        <v>18795</v>
      </c>
      <c r="D1235" s="74" t="s">
        <v>148</v>
      </c>
      <c r="E1235" s="74" t="s">
        <v>21338</v>
      </c>
      <c r="F1235" s="74">
        <v>551367</v>
      </c>
      <c r="G1235" s="74">
        <v>1000</v>
      </c>
      <c r="H1235" s="135">
        <v>42986.904351851852</v>
      </c>
      <c r="I1235" s="74" t="s">
        <v>21339</v>
      </c>
      <c r="J1235" s="74" t="s">
        <v>21340</v>
      </c>
      <c r="K1235" s="74" t="s">
        <v>21025</v>
      </c>
      <c r="L1235" s="74">
        <v>554301</v>
      </c>
      <c r="M1235" s="74" t="s">
        <v>21341</v>
      </c>
      <c r="N1235" s="74">
        <v>1</v>
      </c>
      <c r="O1235" s="74" t="s">
        <v>21342</v>
      </c>
      <c r="P1235" s="74" t="s">
        <v>21343</v>
      </c>
      <c r="Q1235" s="74">
        <v>0</v>
      </c>
      <c r="R1235" s="74" t="s">
        <v>148</v>
      </c>
      <c r="S1235" s="74" t="s">
        <v>21338</v>
      </c>
      <c r="T1235" s="74" t="s">
        <v>402</v>
      </c>
      <c r="U1235" s="74">
        <v>0</v>
      </c>
      <c r="V1235" s="74">
        <v>0</v>
      </c>
    </row>
    <row r="1236" spans="3:22" x14ac:dyDescent="0.25">
      <c r="C1236" s="74" t="s">
        <v>18795</v>
      </c>
      <c r="D1236" s="74" t="s">
        <v>148</v>
      </c>
      <c r="E1236" s="74" t="s">
        <v>21338</v>
      </c>
      <c r="F1236" s="74">
        <v>551367</v>
      </c>
      <c r="G1236" s="74">
        <v>1000</v>
      </c>
      <c r="H1236" s="135">
        <v>42986.783946759257</v>
      </c>
      <c r="I1236" s="74" t="s">
        <v>21339</v>
      </c>
      <c r="J1236" s="74" t="s">
        <v>21340</v>
      </c>
      <c r="K1236" s="74" t="s">
        <v>21281</v>
      </c>
      <c r="L1236" s="74">
        <v>554341</v>
      </c>
      <c r="M1236" s="74" t="s">
        <v>21341</v>
      </c>
      <c r="N1236" s="74">
        <v>1</v>
      </c>
      <c r="O1236" s="74" t="s">
        <v>21342</v>
      </c>
      <c r="P1236" s="74" t="s">
        <v>21343</v>
      </c>
      <c r="Q1236" s="74">
        <v>0</v>
      </c>
      <c r="R1236" s="74" t="s">
        <v>148</v>
      </c>
      <c r="S1236" s="74" t="s">
        <v>21338</v>
      </c>
      <c r="T1236" s="74" t="s">
        <v>402</v>
      </c>
      <c r="U1236" s="74">
        <v>0</v>
      </c>
      <c r="V1236" s="74">
        <v>0</v>
      </c>
    </row>
    <row r="1237" spans="3:22" x14ac:dyDescent="0.25">
      <c r="C1237" s="74" t="s">
        <v>18795</v>
      </c>
      <c r="D1237" s="74" t="s">
        <v>148</v>
      </c>
      <c r="E1237" s="74" t="s">
        <v>21338</v>
      </c>
      <c r="F1237" s="74">
        <v>551367</v>
      </c>
      <c r="G1237" s="74">
        <v>1000</v>
      </c>
      <c r="H1237" s="135">
        <v>42986.652407407404</v>
      </c>
      <c r="I1237" s="74" t="s">
        <v>21339</v>
      </c>
      <c r="J1237" s="74" t="s">
        <v>21340</v>
      </c>
      <c r="K1237" s="74" t="s">
        <v>21622</v>
      </c>
      <c r="L1237" s="74">
        <v>824934</v>
      </c>
      <c r="M1237" s="74" t="s">
        <v>21341</v>
      </c>
      <c r="N1237" s="74">
        <v>1</v>
      </c>
      <c r="O1237" s="74" t="s">
        <v>21342</v>
      </c>
      <c r="P1237" s="74" t="s">
        <v>21343</v>
      </c>
      <c r="Q1237" s="74">
        <v>0</v>
      </c>
      <c r="R1237" s="74" t="s">
        <v>148</v>
      </c>
      <c r="S1237" s="74" t="s">
        <v>21338</v>
      </c>
      <c r="T1237" s="74" t="s">
        <v>402</v>
      </c>
      <c r="U1237" s="74">
        <v>0</v>
      </c>
      <c r="V1237" s="74">
        <v>0</v>
      </c>
    </row>
    <row r="1238" spans="3:22" x14ac:dyDescent="0.25">
      <c r="C1238" s="74" t="s">
        <v>533</v>
      </c>
      <c r="D1238" s="74" t="s">
        <v>148</v>
      </c>
      <c r="E1238" s="74" t="s">
        <v>21338</v>
      </c>
      <c r="F1238" s="74">
        <v>627566</v>
      </c>
      <c r="G1238" s="74">
        <v>3</v>
      </c>
      <c r="H1238" s="135">
        <v>42986.629525462966</v>
      </c>
      <c r="I1238" s="74" t="s">
        <v>21354</v>
      </c>
      <c r="J1238" s="74" t="s">
        <v>21355</v>
      </c>
      <c r="K1238" s="74" t="s">
        <v>3798</v>
      </c>
      <c r="L1238" s="74">
        <v>893653</v>
      </c>
      <c r="M1238" s="74" t="s">
        <v>21341</v>
      </c>
      <c r="N1238" s="74">
        <v>1</v>
      </c>
      <c r="O1238" s="74" t="s">
        <v>21342</v>
      </c>
      <c r="P1238" s="74" t="s">
        <v>21345</v>
      </c>
      <c r="R1238" s="74" t="s">
        <v>148</v>
      </c>
      <c r="S1238" s="74" t="s">
        <v>21338</v>
      </c>
      <c r="T1238" s="74" t="s">
        <v>402</v>
      </c>
      <c r="U1238" s="74">
        <v>0</v>
      </c>
      <c r="V1238" s="74">
        <v>0</v>
      </c>
    </row>
    <row r="1239" spans="3:22" x14ac:dyDescent="0.25">
      <c r="C1239" s="74" t="s">
        <v>533</v>
      </c>
      <c r="D1239" s="74" t="s">
        <v>148</v>
      </c>
      <c r="E1239" s="74" t="s">
        <v>21338</v>
      </c>
      <c r="F1239" s="74">
        <v>627566</v>
      </c>
      <c r="G1239" s="74">
        <v>3</v>
      </c>
      <c r="H1239" s="135">
        <v>42986.629374999997</v>
      </c>
      <c r="I1239" s="74" t="s">
        <v>21339</v>
      </c>
      <c r="J1239" s="74" t="s">
        <v>21360</v>
      </c>
      <c r="K1239" s="74" t="s">
        <v>3798</v>
      </c>
      <c r="L1239" s="74">
        <v>893653</v>
      </c>
      <c r="M1239" s="74" t="s">
        <v>21341</v>
      </c>
      <c r="N1239" s="74">
        <v>1</v>
      </c>
      <c r="O1239" s="74" t="s">
        <v>21359</v>
      </c>
      <c r="P1239" s="74" t="s">
        <v>21343</v>
      </c>
      <c r="Q1239" s="74" t="s">
        <v>21395</v>
      </c>
      <c r="R1239" s="74" t="s">
        <v>148</v>
      </c>
      <c r="S1239" s="74" t="s">
        <v>21338</v>
      </c>
      <c r="T1239" s="74" t="s">
        <v>402</v>
      </c>
      <c r="U1239" s="74">
        <v>0</v>
      </c>
      <c r="V1239" s="74">
        <v>0</v>
      </c>
    </row>
    <row r="1240" spans="3:22" x14ac:dyDescent="0.25">
      <c r="C1240" s="74" t="s">
        <v>18795</v>
      </c>
      <c r="D1240" s="74" t="s">
        <v>148</v>
      </c>
      <c r="E1240" s="74" t="s">
        <v>21338</v>
      </c>
      <c r="F1240" s="74">
        <v>551367</v>
      </c>
      <c r="G1240" s="74">
        <v>1000</v>
      </c>
      <c r="H1240" s="135">
        <v>42986.612986111111</v>
      </c>
      <c r="I1240" s="74" t="s">
        <v>21339</v>
      </c>
      <c r="J1240" s="74" t="s">
        <v>21340</v>
      </c>
      <c r="K1240" s="74" t="s">
        <v>21623</v>
      </c>
      <c r="L1240" s="74">
        <v>898236</v>
      </c>
      <c r="M1240" s="74" t="s">
        <v>21341</v>
      </c>
      <c r="N1240" s="74">
        <v>1</v>
      </c>
      <c r="O1240" s="74" t="s">
        <v>21342</v>
      </c>
      <c r="P1240" s="74" t="s">
        <v>21343</v>
      </c>
      <c r="Q1240" s="74">
        <v>0</v>
      </c>
      <c r="R1240" s="74" t="s">
        <v>148</v>
      </c>
      <c r="S1240" s="74" t="s">
        <v>21338</v>
      </c>
      <c r="T1240" s="74" t="s">
        <v>393</v>
      </c>
      <c r="U1240" s="74">
        <v>0</v>
      </c>
      <c r="V1240" s="74">
        <v>0</v>
      </c>
    </row>
    <row r="1241" spans="3:22" x14ac:dyDescent="0.25">
      <c r="C1241" s="74" t="s">
        <v>18795</v>
      </c>
      <c r="D1241" s="74" t="s">
        <v>148</v>
      </c>
      <c r="E1241" s="74" t="s">
        <v>21338</v>
      </c>
      <c r="F1241" s="74">
        <v>551367</v>
      </c>
      <c r="G1241" s="74">
        <v>1000</v>
      </c>
      <c r="H1241" s="135">
        <v>42986.589050925926</v>
      </c>
      <c r="I1241" s="74" t="s">
        <v>21339</v>
      </c>
      <c r="J1241" s="74" t="s">
        <v>21340</v>
      </c>
      <c r="K1241" s="74" t="s">
        <v>16004</v>
      </c>
      <c r="L1241" s="74">
        <v>553680</v>
      </c>
      <c r="M1241" s="74" t="s">
        <v>21341</v>
      </c>
      <c r="N1241" s="74">
        <v>1</v>
      </c>
      <c r="O1241" s="74" t="s">
        <v>21342</v>
      </c>
      <c r="P1241" s="74" t="s">
        <v>21343</v>
      </c>
      <c r="Q1241" s="74">
        <v>0</v>
      </c>
      <c r="R1241" s="74" t="s">
        <v>148</v>
      </c>
      <c r="S1241" s="74" t="s">
        <v>21338</v>
      </c>
      <c r="T1241" s="74" t="s">
        <v>402</v>
      </c>
      <c r="U1241" s="74">
        <v>0</v>
      </c>
      <c r="V1241" s="74">
        <v>0</v>
      </c>
    </row>
    <row r="1242" spans="3:22" x14ac:dyDescent="0.25">
      <c r="C1242" s="74" t="s">
        <v>18795</v>
      </c>
      <c r="D1242" s="74" t="s">
        <v>148</v>
      </c>
      <c r="E1242" s="74" t="s">
        <v>21338</v>
      </c>
      <c r="F1242" s="74">
        <v>551367</v>
      </c>
      <c r="G1242" s="74">
        <v>1000</v>
      </c>
      <c r="H1242" s="135">
        <v>42986.583981481483</v>
      </c>
      <c r="I1242" s="74" t="s">
        <v>21339</v>
      </c>
      <c r="J1242" s="74" t="s">
        <v>21340</v>
      </c>
      <c r="K1242" s="74" t="s">
        <v>11806</v>
      </c>
      <c r="L1242" s="74">
        <v>553145</v>
      </c>
      <c r="M1242" s="74" t="s">
        <v>21341</v>
      </c>
      <c r="N1242" s="74">
        <v>1</v>
      </c>
      <c r="O1242" s="74" t="s">
        <v>21342</v>
      </c>
      <c r="P1242" s="74" t="s">
        <v>21343</v>
      </c>
      <c r="Q1242" s="74">
        <v>0</v>
      </c>
      <c r="R1242" s="74" t="s">
        <v>148</v>
      </c>
      <c r="S1242" s="74" t="s">
        <v>21338</v>
      </c>
      <c r="T1242" s="74" t="s">
        <v>402</v>
      </c>
      <c r="U1242" s="74">
        <v>0</v>
      </c>
      <c r="V1242" s="74">
        <v>0</v>
      </c>
    </row>
    <row r="1243" spans="3:22" x14ac:dyDescent="0.25">
      <c r="C1243" s="74" t="s">
        <v>21386</v>
      </c>
      <c r="D1243" s="74" t="s">
        <v>148</v>
      </c>
      <c r="E1243" s="74" t="s">
        <v>21338</v>
      </c>
      <c r="F1243" s="74">
        <v>674396</v>
      </c>
      <c r="G1243" s="74">
        <v>3</v>
      </c>
      <c r="H1243" s="135">
        <v>42986.576365740744</v>
      </c>
      <c r="I1243" s="74" t="s">
        <v>21398</v>
      </c>
      <c r="J1243" s="74" t="s">
        <v>21366</v>
      </c>
      <c r="K1243" s="74" t="s">
        <v>21367</v>
      </c>
      <c r="L1243" s="74">
        <v>561482</v>
      </c>
      <c r="M1243" s="74" t="s">
        <v>21368</v>
      </c>
      <c r="N1243" s="74">
        <v>1</v>
      </c>
      <c r="O1243" s="74" t="s">
        <v>21369</v>
      </c>
      <c r="P1243" s="74" t="s">
        <v>21343</v>
      </c>
      <c r="Q1243" s="74" t="s">
        <v>21624</v>
      </c>
      <c r="R1243" s="74" t="s">
        <v>148</v>
      </c>
      <c r="S1243" s="74" t="s">
        <v>21338</v>
      </c>
      <c r="T1243" s="74" t="s">
        <v>21371</v>
      </c>
      <c r="U1243" s="74">
        <v>0</v>
      </c>
      <c r="V1243" s="74">
        <v>0</v>
      </c>
    </row>
    <row r="1244" spans="3:22" x14ac:dyDescent="0.25">
      <c r="C1244" s="74" t="s">
        <v>21386</v>
      </c>
      <c r="D1244" s="74" t="s">
        <v>148</v>
      </c>
      <c r="E1244" s="74" t="s">
        <v>21338</v>
      </c>
      <c r="F1244" s="74">
        <v>674396</v>
      </c>
      <c r="G1244" s="74">
        <v>3</v>
      </c>
      <c r="H1244" s="135">
        <v>42986.576365740744</v>
      </c>
      <c r="I1244" s="74" t="s">
        <v>21339</v>
      </c>
      <c r="J1244" s="74" t="s">
        <v>21364</v>
      </c>
      <c r="K1244" s="74" t="s">
        <v>21604</v>
      </c>
      <c r="L1244" s="74">
        <v>907727</v>
      </c>
      <c r="M1244" s="74" t="s">
        <v>21341</v>
      </c>
      <c r="N1244" s="74">
        <v>1</v>
      </c>
      <c r="O1244" s="74" t="s">
        <v>21342</v>
      </c>
      <c r="P1244" s="74" t="s">
        <v>21343</v>
      </c>
      <c r="Q1244" s="74">
        <v>0</v>
      </c>
      <c r="R1244" s="74" t="s">
        <v>148</v>
      </c>
      <c r="S1244" s="74" t="s">
        <v>21338</v>
      </c>
      <c r="T1244" s="74" t="s">
        <v>402</v>
      </c>
      <c r="U1244" s="74">
        <v>0</v>
      </c>
      <c r="V1244" s="74">
        <v>0</v>
      </c>
    </row>
    <row r="1245" spans="3:22" x14ac:dyDescent="0.25">
      <c r="C1245" s="74" t="s">
        <v>21386</v>
      </c>
      <c r="D1245" s="74" t="s">
        <v>148</v>
      </c>
      <c r="E1245" s="74" t="s">
        <v>21338</v>
      </c>
      <c r="F1245" s="74">
        <v>674396</v>
      </c>
      <c r="G1245" s="74">
        <v>3</v>
      </c>
      <c r="H1245" s="135">
        <v>42986.576342592591</v>
      </c>
      <c r="I1245" s="74" t="s">
        <v>21398</v>
      </c>
      <c r="J1245" s="74" t="s">
        <v>21366</v>
      </c>
      <c r="K1245" s="74" t="s">
        <v>21381</v>
      </c>
      <c r="L1245" s="74">
        <v>555660</v>
      </c>
      <c r="M1245" s="74" t="s">
        <v>21368</v>
      </c>
      <c r="N1245" s="74">
        <v>1</v>
      </c>
      <c r="O1245" s="74" t="s">
        <v>21369</v>
      </c>
      <c r="P1245" s="74" t="s">
        <v>21343</v>
      </c>
      <c r="Q1245" s="74" t="s">
        <v>21624</v>
      </c>
      <c r="R1245" s="74" t="s">
        <v>148</v>
      </c>
      <c r="S1245" s="74" t="s">
        <v>21338</v>
      </c>
      <c r="T1245" s="74" t="s">
        <v>21371</v>
      </c>
      <c r="U1245" s="74">
        <v>0</v>
      </c>
      <c r="V1245" s="74">
        <v>0</v>
      </c>
    </row>
    <row r="1246" spans="3:22" x14ac:dyDescent="0.25">
      <c r="C1246" s="74" t="s">
        <v>21386</v>
      </c>
      <c r="D1246" s="74" t="s">
        <v>148</v>
      </c>
      <c r="E1246" s="74" t="s">
        <v>21338</v>
      </c>
      <c r="F1246" s="74">
        <v>674396</v>
      </c>
      <c r="G1246" s="74">
        <v>3</v>
      </c>
      <c r="H1246" s="135">
        <v>42986.576307870368</v>
      </c>
      <c r="I1246" s="74" t="s">
        <v>21339</v>
      </c>
      <c r="J1246" s="74" t="s">
        <v>21364</v>
      </c>
      <c r="K1246" s="74" t="s">
        <v>21604</v>
      </c>
      <c r="L1246" s="74">
        <v>907727</v>
      </c>
      <c r="M1246" s="74" t="s">
        <v>21341</v>
      </c>
      <c r="N1246" s="74">
        <v>1</v>
      </c>
      <c r="O1246" s="74" t="s">
        <v>21342</v>
      </c>
      <c r="P1246" s="74" t="s">
        <v>21343</v>
      </c>
      <c r="Q1246" s="74">
        <v>0</v>
      </c>
      <c r="R1246" s="74" t="s">
        <v>148</v>
      </c>
      <c r="S1246" s="74" t="s">
        <v>21338</v>
      </c>
      <c r="T1246" s="74" t="s">
        <v>402</v>
      </c>
      <c r="U1246" s="74">
        <v>0</v>
      </c>
      <c r="V1246" s="74">
        <v>0</v>
      </c>
    </row>
    <row r="1247" spans="3:22" x14ac:dyDescent="0.25">
      <c r="C1247" s="74" t="s">
        <v>21386</v>
      </c>
      <c r="D1247" s="74" t="s">
        <v>148</v>
      </c>
      <c r="E1247" s="74" t="s">
        <v>21338</v>
      </c>
      <c r="F1247" s="74">
        <v>674396</v>
      </c>
      <c r="G1247" s="74">
        <v>3</v>
      </c>
      <c r="H1247" s="135">
        <v>42986.576111111113</v>
      </c>
      <c r="I1247" s="74" t="s">
        <v>21339</v>
      </c>
      <c r="J1247" s="74" t="s">
        <v>21364</v>
      </c>
      <c r="K1247" s="74" t="s">
        <v>21604</v>
      </c>
      <c r="L1247" s="74">
        <v>907727</v>
      </c>
      <c r="M1247" s="74" t="s">
        <v>21341</v>
      </c>
      <c r="N1247" s="74">
        <v>1</v>
      </c>
      <c r="O1247" s="74" t="s">
        <v>21342</v>
      </c>
      <c r="P1247" s="74" t="s">
        <v>21343</v>
      </c>
      <c r="Q1247" s="74">
        <v>0</v>
      </c>
      <c r="R1247" s="74" t="s">
        <v>148</v>
      </c>
      <c r="S1247" s="74" t="s">
        <v>21338</v>
      </c>
      <c r="T1247" s="74" t="s">
        <v>402</v>
      </c>
      <c r="U1247" s="74">
        <v>0</v>
      </c>
      <c r="V1247" s="74">
        <v>0</v>
      </c>
    </row>
    <row r="1248" spans="3:22" x14ac:dyDescent="0.25">
      <c r="C1248" s="74" t="s">
        <v>21386</v>
      </c>
      <c r="D1248" s="74" t="s">
        <v>148</v>
      </c>
      <c r="E1248" s="74" t="s">
        <v>21338</v>
      </c>
      <c r="F1248" s="74">
        <v>674396</v>
      </c>
      <c r="G1248" s="74">
        <v>3</v>
      </c>
      <c r="H1248" s="135">
        <v>42986.575729166667</v>
      </c>
      <c r="I1248" s="74" t="s">
        <v>21398</v>
      </c>
      <c r="J1248" s="74" t="s">
        <v>21400</v>
      </c>
      <c r="K1248" s="74" t="s">
        <v>21604</v>
      </c>
      <c r="L1248" s="74">
        <v>907727</v>
      </c>
      <c r="M1248" s="74" t="s">
        <v>21341</v>
      </c>
      <c r="N1248" s="74">
        <v>1</v>
      </c>
      <c r="O1248" s="74" t="s">
        <v>21342</v>
      </c>
      <c r="P1248" s="74" t="s">
        <v>21343</v>
      </c>
      <c r="Q1248" s="74" t="s">
        <v>21625</v>
      </c>
      <c r="R1248" s="74" t="s">
        <v>148</v>
      </c>
      <c r="S1248" s="74" t="s">
        <v>21338</v>
      </c>
      <c r="T1248" s="74" t="s">
        <v>402</v>
      </c>
      <c r="U1248" s="74">
        <v>0</v>
      </c>
      <c r="V1248" s="74">
        <v>0</v>
      </c>
    </row>
    <row r="1249" spans="3:22" x14ac:dyDescent="0.25">
      <c r="C1249" s="74" t="s">
        <v>18795</v>
      </c>
      <c r="D1249" s="74" t="s">
        <v>148</v>
      </c>
      <c r="E1249" s="74" t="s">
        <v>21338</v>
      </c>
      <c r="F1249" s="74">
        <v>551367</v>
      </c>
      <c r="G1249" s="74">
        <v>1000</v>
      </c>
      <c r="H1249" s="135">
        <v>42986.565324074072</v>
      </c>
      <c r="I1249" s="74" t="s">
        <v>21339</v>
      </c>
      <c r="J1249" s="74" t="s">
        <v>21340</v>
      </c>
      <c r="K1249" s="74" t="s">
        <v>11806</v>
      </c>
      <c r="L1249" s="74">
        <v>553145</v>
      </c>
      <c r="M1249" s="74" t="s">
        <v>21341</v>
      </c>
      <c r="N1249" s="74">
        <v>1</v>
      </c>
      <c r="O1249" s="74" t="s">
        <v>21342</v>
      </c>
      <c r="P1249" s="74" t="s">
        <v>21343</v>
      </c>
      <c r="Q1249" s="74">
        <v>0</v>
      </c>
      <c r="R1249" s="74" t="s">
        <v>148</v>
      </c>
      <c r="S1249" s="74" t="s">
        <v>21338</v>
      </c>
      <c r="T1249" s="74" t="s">
        <v>402</v>
      </c>
      <c r="U1249" s="74">
        <v>0</v>
      </c>
      <c r="V1249" s="74">
        <v>0</v>
      </c>
    </row>
    <row r="1250" spans="3:22" x14ac:dyDescent="0.25">
      <c r="C1250" s="74" t="s">
        <v>9081</v>
      </c>
      <c r="D1250" s="74" t="s">
        <v>148</v>
      </c>
      <c r="E1250" s="74" t="s">
        <v>21338</v>
      </c>
      <c r="F1250" s="74">
        <v>722441</v>
      </c>
      <c r="G1250" s="74">
        <v>3</v>
      </c>
      <c r="H1250" s="135">
        <v>42986.559849537036</v>
      </c>
      <c r="I1250" s="74" t="s">
        <v>21354</v>
      </c>
      <c r="J1250" s="74" t="s">
        <v>21355</v>
      </c>
      <c r="K1250" s="74" t="s">
        <v>11806</v>
      </c>
      <c r="L1250" s="74">
        <v>553145</v>
      </c>
      <c r="M1250" s="74" t="s">
        <v>21341</v>
      </c>
      <c r="N1250" s="74">
        <v>1</v>
      </c>
      <c r="O1250" s="74" t="s">
        <v>21342</v>
      </c>
      <c r="P1250" s="74" t="s">
        <v>21345</v>
      </c>
      <c r="R1250" s="74" t="s">
        <v>148</v>
      </c>
      <c r="S1250" s="74" t="s">
        <v>21338</v>
      </c>
      <c r="T1250" s="74" t="s">
        <v>402</v>
      </c>
      <c r="U1250" s="74">
        <v>0</v>
      </c>
      <c r="V1250" s="74">
        <v>0</v>
      </c>
    </row>
    <row r="1251" spans="3:22" x14ac:dyDescent="0.25">
      <c r="C1251" s="74" t="s">
        <v>9081</v>
      </c>
      <c r="D1251" s="74" t="s">
        <v>148</v>
      </c>
      <c r="E1251" s="74" t="s">
        <v>21338</v>
      </c>
      <c r="F1251" s="74">
        <v>722441</v>
      </c>
      <c r="G1251" s="74">
        <v>3</v>
      </c>
      <c r="H1251" s="135">
        <v>42986.553148148145</v>
      </c>
      <c r="I1251" s="74" t="s">
        <v>21354</v>
      </c>
      <c r="J1251" s="74" t="s">
        <v>21355</v>
      </c>
      <c r="K1251" s="74" t="s">
        <v>11806</v>
      </c>
      <c r="L1251" s="74">
        <v>553145</v>
      </c>
      <c r="M1251" s="74" t="s">
        <v>21341</v>
      </c>
      <c r="N1251" s="74">
        <v>1</v>
      </c>
      <c r="O1251" s="74" t="s">
        <v>21342</v>
      </c>
      <c r="P1251" s="74" t="s">
        <v>21345</v>
      </c>
      <c r="R1251" s="74" t="s">
        <v>148</v>
      </c>
      <c r="S1251" s="74" t="s">
        <v>21338</v>
      </c>
      <c r="T1251" s="74" t="s">
        <v>402</v>
      </c>
      <c r="U1251" s="74">
        <v>0</v>
      </c>
      <c r="V1251" s="74">
        <v>0</v>
      </c>
    </row>
    <row r="1252" spans="3:22" x14ac:dyDescent="0.25">
      <c r="C1252" s="74" t="s">
        <v>18795</v>
      </c>
      <c r="D1252" s="74" t="s">
        <v>148</v>
      </c>
      <c r="E1252" s="74" t="s">
        <v>21338</v>
      </c>
      <c r="F1252" s="74">
        <v>551367</v>
      </c>
      <c r="G1252" s="74">
        <v>1000</v>
      </c>
      <c r="H1252" s="135">
        <v>42986.519502314812</v>
      </c>
      <c r="I1252" s="74" t="s">
        <v>21339</v>
      </c>
      <c r="J1252" s="74" t="s">
        <v>21340</v>
      </c>
      <c r="K1252" s="74" t="s">
        <v>19978</v>
      </c>
      <c r="L1252" s="74">
        <v>554173</v>
      </c>
      <c r="M1252" s="74" t="s">
        <v>21341</v>
      </c>
      <c r="N1252" s="74">
        <v>1</v>
      </c>
      <c r="O1252" s="74" t="s">
        <v>21342</v>
      </c>
      <c r="P1252" s="74" t="s">
        <v>21343</v>
      </c>
      <c r="Q1252" s="74">
        <v>0</v>
      </c>
      <c r="R1252" s="74" t="s">
        <v>148</v>
      </c>
      <c r="S1252" s="74" t="s">
        <v>21338</v>
      </c>
      <c r="T1252" s="74" t="s">
        <v>402</v>
      </c>
      <c r="U1252" s="74">
        <v>0</v>
      </c>
      <c r="V1252" s="74">
        <v>0</v>
      </c>
    </row>
    <row r="1253" spans="3:22" x14ac:dyDescent="0.25">
      <c r="C1253" s="74" t="s">
        <v>21385</v>
      </c>
      <c r="D1253" s="74" t="s">
        <v>148</v>
      </c>
      <c r="E1253" s="74" t="s">
        <v>21338</v>
      </c>
      <c r="F1253" s="74">
        <v>560579</v>
      </c>
      <c r="G1253" s="74">
        <v>3</v>
      </c>
      <c r="H1253" s="135">
        <v>42986.512997685182</v>
      </c>
      <c r="I1253" s="74" t="s">
        <v>21354</v>
      </c>
      <c r="J1253" s="74" t="s">
        <v>21355</v>
      </c>
      <c r="K1253" s="74" t="s">
        <v>16140</v>
      </c>
      <c r="L1253" s="74">
        <v>553701</v>
      </c>
      <c r="M1253" s="74" t="s">
        <v>21341</v>
      </c>
      <c r="N1253" s="74">
        <v>1</v>
      </c>
      <c r="O1253" s="74" t="s">
        <v>21342</v>
      </c>
      <c r="P1253" s="74" t="s">
        <v>21345</v>
      </c>
      <c r="R1253" s="74" t="s">
        <v>148</v>
      </c>
      <c r="S1253" s="74" t="s">
        <v>21338</v>
      </c>
      <c r="T1253" s="74" t="s">
        <v>402</v>
      </c>
      <c r="U1253" s="74">
        <v>0</v>
      </c>
      <c r="V1253" s="74">
        <v>0</v>
      </c>
    </row>
    <row r="1254" spans="3:22" x14ac:dyDescent="0.25">
      <c r="C1254" s="74" t="s">
        <v>21385</v>
      </c>
      <c r="D1254" s="74" t="s">
        <v>148</v>
      </c>
      <c r="E1254" s="74" t="s">
        <v>21338</v>
      </c>
      <c r="F1254" s="74">
        <v>560579</v>
      </c>
      <c r="G1254" s="74">
        <v>3</v>
      </c>
      <c r="H1254" s="135">
        <v>42986.512187499997</v>
      </c>
      <c r="I1254" s="74" t="s">
        <v>21354</v>
      </c>
      <c r="J1254" s="74" t="s">
        <v>21355</v>
      </c>
      <c r="K1254" s="74" t="s">
        <v>16140</v>
      </c>
      <c r="L1254" s="74">
        <v>553701</v>
      </c>
      <c r="M1254" s="74" t="s">
        <v>21341</v>
      </c>
      <c r="N1254" s="74">
        <v>1</v>
      </c>
      <c r="O1254" s="74" t="s">
        <v>21342</v>
      </c>
      <c r="P1254" s="74" t="s">
        <v>21345</v>
      </c>
      <c r="R1254" s="74" t="s">
        <v>148</v>
      </c>
      <c r="S1254" s="74" t="s">
        <v>21338</v>
      </c>
      <c r="T1254" s="74" t="s">
        <v>402</v>
      </c>
      <c r="U1254" s="74">
        <v>0</v>
      </c>
      <c r="V1254" s="74">
        <v>0</v>
      </c>
    </row>
    <row r="1255" spans="3:22" x14ac:dyDescent="0.25">
      <c r="C1255" s="74" t="s">
        <v>21385</v>
      </c>
      <c r="D1255" s="74" t="s">
        <v>148</v>
      </c>
      <c r="E1255" s="74" t="s">
        <v>21338</v>
      </c>
      <c r="F1255" s="74">
        <v>560579</v>
      </c>
      <c r="G1255" s="74">
        <v>3</v>
      </c>
      <c r="H1255" s="135">
        <v>42986.51158564815</v>
      </c>
      <c r="I1255" s="74" t="s">
        <v>21354</v>
      </c>
      <c r="J1255" s="74" t="s">
        <v>21355</v>
      </c>
      <c r="K1255" s="74" t="s">
        <v>16140</v>
      </c>
      <c r="L1255" s="74">
        <v>553701</v>
      </c>
      <c r="M1255" s="74" t="s">
        <v>21341</v>
      </c>
      <c r="N1255" s="74">
        <v>1</v>
      </c>
      <c r="O1255" s="74" t="s">
        <v>21342</v>
      </c>
      <c r="P1255" s="74" t="s">
        <v>21345</v>
      </c>
      <c r="R1255" s="74" t="s">
        <v>148</v>
      </c>
      <c r="S1255" s="74" t="s">
        <v>21338</v>
      </c>
      <c r="T1255" s="74" t="s">
        <v>402</v>
      </c>
      <c r="U1255" s="74">
        <v>0</v>
      </c>
      <c r="V1255" s="74">
        <v>0</v>
      </c>
    </row>
    <row r="1256" spans="3:22" x14ac:dyDescent="0.25">
      <c r="C1256" s="74" t="s">
        <v>21385</v>
      </c>
      <c r="D1256" s="74" t="s">
        <v>148</v>
      </c>
      <c r="E1256" s="74" t="s">
        <v>21338</v>
      </c>
      <c r="F1256" s="74">
        <v>560579</v>
      </c>
      <c r="G1256" s="74">
        <v>3</v>
      </c>
      <c r="H1256" s="135">
        <v>42986.510763888888</v>
      </c>
      <c r="I1256" s="74" t="s">
        <v>21354</v>
      </c>
      <c r="J1256" s="74" t="s">
        <v>21355</v>
      </c>
      <c r="K1256" s="74" t="s">
        <v>16140</v>
      </c>
      <c r="L1256" s="74">
        <v>553701</v>
      </c>
      <c r="M1256" s="74" t="s">
        <v>21341</v>
      </c>
      <c r="N1256" s="74">
        <v>1</v>
      </c>
      <c r="O1256" s="74" t="s">
        <v>21342</v>
      </c>
      <c r="P1256" s="74" t="s">
        <v>21345</v>
      </c>
      <c r="R1256" s="74" t="s">
        <v>148</v>
      </c>
      <c r="S1256" s="74" t="s">
        <v>21338</v>
      </c>
      <c r="T1256" s="74" t="s">
        <v>402</v>
      </c>
      <c r="U1256" s="74">
        <v>0</v>
      </c>
      <c r="V1256" s="74">
        <v>0</v>
      </c>
    </row>
    <row r="1257" spans="3:22" x14ac:dyDescent="0.25">
      <c r="C1257" s="74" t="s">
        <v>21385</v>
      </c>
      <c r="D1257" s="74" t="s">
        <v>148</v>
      </c>
      <c r="E1257" s="74" t="s">
        <v>21338</v>
      </c>
      <c r="F1257" s="74">
        <v>560579</v>
      </c>
      <c r="G1257" s="74">
        <v>3</v>
      </c>
      <c r="H1257" s="135">
        <v>42986.506539351853</v>
      </c>
      <c r="I1257" s="74" t="s">
        <v>21354</v>
      </c>
      <c r="J1257" s="74" t="s">
        <v>21355</v>
      </c>
      <c r="K1257" s="74" t="s">
        <v>16140</v>
      </c>
      <c r="L1257" s="74">
        <v>553701</v>
      </c>
      <c r="M1257" s="74" t="s">
        <v>21341</v>
      </c>
      <c r="N1257" s="74">
        <v>1</v>
      </c>
      <c r="O1257" s="74" t="s">
        <v>21342</v>
      </c>
      <c r="P1257" s="74" t="s">
        <v>21345</v>
      </c>
      <c r="R1257" s="74" t="s">
        <v>148</v>
      </c>
      <c r="S1257" s="74" t="s">
        <v>21338</v>
      </c>
      <c r="T1257" s="74" t="s">
        <v>402</v>
      </c>
      <c r="U1257" s="74">
        <v>0</v>
      </c>
      <c r="V1257" s="74">
        <v>0</v>
      </c>
    </row>
    <row r="1258" spans="3:22" x14ac:dyDescent="0.25">
      <c r="C1258" s="74" t="s">
        <v>18795</v>
      </c>
      <c r="D1258" s="74" t="s">
        <v>148</v>
      </c>
      <c r="E1258" s="74" t="s">
        <v>21338</v>
      </c>
      <c r="F1258" s="74">
        <v>551367</v>
      </c>
      <c r="G1258" s="74">
        <v>1000</v>
      </c>
      <c r="H1258" s="135">
        <v>42986.502500000002</v>
      </c>
      <c r="I1258" s="74" t="s">
        <v>21339</v>
      </c>
      <c r="J1258" s="74" t="s">
        <v>21340</v>
      </c>
      <c r="K1258" s="74" t="s">
        <v>17975</v>
      </c>
      <c r="L1258" s="74">
        <v>553939</v>
      </c>
      <c r="M1258" s="74" t="s">
        <v>21341</v>
      </c>
      <c r="N1258" s="74">
        <v>1</v>
      </c>
      <c r="O1258" s="74" t="s">
        <v>21342</v>
      </c>
      <c r="P1258" s="74" t="s">
        <v>21343</v>
      </c>
      <c r="Q1258" s="74">
        <v>0</v>
      </c>
      <c r="R1258" s="74" t="s">
        <v>148</v>
      </c>
      <c r="S1258" s="74" t="s">
        <v>21338</v>
      </c>
      <c r="T1258" s="74" t="s">
        <v>402</v>
      </c>
      <c r="U1258" s="74">
        <v>0</v>
      </c>
      <c r="V1258" s="74">
        <v>0</v>
      </c>
    </row>
    <row r="1259" spans="3:22" x14ac:dyDescent="0.25">
      <c r="C1259" s="74" t="s">
        <v>18795</v>
      </c>
      <c r="D1259" s="74" t="s">
        <v>148</v>
      </c>
      <c r="E1259" s="74" t="s">
        <v>21338</v>
      </c>
      <c r="F1259" s="74">
        <v>551367</v>
      </c>
      <c r="G1259" s="74">
        <v>1000</v>
      </c>
      <c r="H1259" s="135">
        <v>42986.477696759262</v>
      </c>
      <c r="I1259" s="74" t="s">
        <v>21339</v>
      </c>
      <c r="J1259" s="74" t="s">
        <v>21340</v>
      </c>
      <c r="K1259" s="74" t="s">
        <v>21584</v>
      </c>
      <c r="L1259" s="74">
        <v>907004</v>
      </c>
      <c r="M1259" s="74" t="s">
        <v>21341</v>
      </c>
      <c r="N1259" s="74">
        <v>1</v>
      </c>
      <c r="O1259" s="74" t="s">
        <v>21342</v>
      </c>
      <c r="P1259" s="74" t="s">
        <v>21343</v>
      </c>
      <c r="Q1259" s="74">
        <v>0</v>
      </c>
      <c r="R1259" s="74" t="s">
        <v>148</v>
      </c>
      <c r="S1259" s="74" t="s">
        <v>21338</v>
      </c>
      <c r="T1259" s="74" t="s">
        <v>402</v>
      </c>
      <c r="U1259" s="74">
        <v>0</v>
      </c>
      <c r="V1259" s="74">
        <v>0</v>
      </c>
    </row>
    <row r="1260" spans="3:22" x14ac:dyDescent="0.25">
      <c r="C1260" s="74" t="s">
        <v>21386</v>
      </c>
      <c r="D1260" s="74" t="s">
        <v>148</v>
      </c>
      <c r="E1260" s="74" t="s">
        <v>21338</v>
      </c>
      <c r="F1260" s="74">
        <v>674396</v>
      </c>
      <c r="G1260" s="74">
        <v>3</v>
      </c>
      <c r="H1260" s="135">
        <v>42986.477581018517</v>
      </c>
      <c r="I1260" s="74" t="s">
        <v>21339</v>
      </c>
      <c r="J1260" s="74" t="s">
        <v>21364</v>
      </c>
      <c r="K1260" s="74" t="s">
        <v>3136</v>
      </c>
      <c r="L1260" s="74">
        <v>552058</v>
      </c>
      <c r="M1260" s="74" t="s">
        <v>21341</v>
      </c>
      <c r="N1260" s="74">
        <v>1</v>
      </c>
      <c r="O1260" s="74" t="s">
        <v>21342</v>
      </c>
      <c r="P1260" s="74" t="s">
        <v>21343</v>
      </c>
      <c r="Q1260" s="74">
        <v>0</v>
      </c>
      <c r="R1260" s="74" t="s">
        <v>148</v>
      </c>
      <c r="S1260" s="74" t="s">
        <v>21338</v>
      </c>
      <c r="T1260" s="74" t="s">
        <v>402</v>
      </c>
      <c r="U1260" s="74">
        <v>0</v>
      </c>
      <c r="V1260" s="74">
        <v>0</v>
      </c>
    </row>
    <row r="1261" spans="3:22" x14ac:dyDescent="0.25">
      <c r="C1261" s="74" t="s">
        <v>21386</v>
      </c>
      <c r="D1261" s="74" t="s">
        <v>148</v>
      </c>
      <c r="E1261" s="74" t="s">
        <v>21338</v>
      </c>
      <c r="F1261" s="74">
        <v>674396</v>
      </c>
      <c r="G1261" s="74">
        <v>3</v>
      </c>
      <c r="H1261" s="135">
        <v>42986.477569444447</v>
      </c>
      <c r="I1261" s="74" t="s">
        <v>21365</v>
      </c>
      <c r="J1261" s="74" t="s">
        <v>21366</v>
      </c>
      <c r="K1261" s="74" t="s">
        <v>21372</v>
      </c>
      <c r="L1261" s="74">
        <v>555674</v>
      </c>
      <c r="M1261" s="74" t="s">
        <v>21368</v>
      </c>
      <c r="N1261" s="74">
        <v>1</v>
      </c>
      <c r="O1261" s="74" t="s">
        <v>21369</v>
      </c>
      <c r="P1261" s="74" t="s">
        <v>21343</v>
      </c>
      <c r="Q1261" s="74" t="s">
        <v>21626</v>
      </c>
      <c r="R1261" s="74" t="s">
        <v>148</v>
      </c>
      <c r="S1261" s="74" t="s">
        <v>21338</v>
      </c>
      <c r="T1261" s="74" t="s">
        <v>21371</v>
      </c>
      <c r="U1261" s="74">
        <v>0</v>
      </c>
      <c r="V1261" s="74">
        <v>0</v>
      </c>
    </row>
    <row r="1262" spans="3:22" x14ac:dyDescent="0.25">
      <c r="C1262" s="74" t="s">
        <v>21386</v>
      </c>
      <c r="D1262" s="74" t="s">
        <v>148</v>
      </c>
      <c r="E1262" s="74" t="s">
        <v>21338</v>
      </c>
      <c r="F1262" s="74">
        <v>674396</v>
      </c>
      <c r="G1262" s="74">
        <v>3</v>
      </c>
      <c r="H1262" s="135">
        <v>42986.47755787037</v>
      </c>
      <c r="I1262" s="74" t="s">
        <v>21365</v>
      </c>
      <c r="J1262" s="74" t="s">
        <v>21366</v>
      </c>
      <c r="K1262" s="74" t="s">
        <v>21376</v>
      </c>
      <c r="L1262" s="74">
        <v>555659</v>
      </c>
      <c r="M1262" s="74" t="s">
        <v>21368</v>
      </c>
      <c r="N1262" s="74">
        <v>1</v>
      </c>
      <c r="O1262" s="74" t="s">
        <v>21369</v>
      </c>
      <c r="P1262" s="74" t="s">
        <v>21343</v>
      </c>
      <c r="Q1262" s="74" t="s">
        <v>21626</v>
      </c>
      <c r="R1262" s="74" t="s">
        <v>148</v>
      </c>
      <c r="S1262" s="74" t="s">
        <v>21338</v>
      </c>
      <c r="T1262" s="74" t="s">
        <v>21371</v>
      </c>
      <c r="U1262" s="74">
        <v>0</v>
      </c>
      <c r="V1262" s="74">
        <v>0</v>
      </c>
    </row>
    <row r="1263" spans="3:22" x14ac:dyDescent="0.25">
      <c r="C1263" s="74" t="s">
        <v>21386</v>
      </c>
      <c r="D1263" s="74" t="s">
        <v>148</v>
      </c>
      <c r="E1263" s="74" t="s">
        <v>21338</v>
      </c>
      <c r="F1263" s="74">
        <v>674396</v>
      </c>
      <c r="G1263" s="74">
        <v>3</v>
      </c>
      <c r="H1263" s="135">
        <v>42986.47755787037</v>
      </c>
      <c r="I1263" s="74" t="s">
        <v>21365</v>
      </c>
      <c r="J1263" s="74" t="s">
        <v>21366</v>
      </c>
      <c r="K1263" s="74" t="s">
        <v>21373</v>
      </c>
      <c r="L1263" s="74">
        <v>555662</v>
      </c>
      <c r="M1263" s="74" t="s">
        <v>21368</v>
      </c>
      <c r="N1263" s="74">
        <v>1</v>
      </c>
      <c r="O1263" s="74" t="s">
        <v>21369</v>
      </c>
      <c r="P1263" s="74" t="s">
        <v>21343</v>
      </c>
      <c r="Q1263" s="74" t="s">
        <v>21626</v>
      </c>
      <c r="R1263" s="74" t="s">
        <v>148</v>
      </c>
      <c r="S1263" s="74" t="s">
        <v>21338</v>
      </c>
      <c r="T1263" s="74" t="s">
        <v>21371</v>
      </c>
      <c r="U1263" s="74">
        <v>0</v>
      </c>
      <c r="V1263" s="74">
        <v>0</v>
      </c>
    </row>
    <row r="1264" spans="3:22" x14ac:dyDescent="0.25">
      <c r="C1264" s="74" t="s">
        <v>21386</v>
      </c>
      <c r="D1264" s="74" t="s">
        <v>148</v>
      </c>
      <c r="E1264" s="74" t="s">
        <v>21338</v>
      </c>
      <c r="F1264" s="74">
        <v>674396</v>
      </c>
      <c r="G1264" s="74">
        <v>3</v>
      </c>
      <c r="H1264" s="135">
        <v>42986.477511574078</v>
      </c>
      <c r="I1264" s="74" t="s">
        <v>21365</v>
      </c>
      <c r="J1264" s="74" t="s">
        <v>21366</v>
      </c>
      <c r="K1264" s="74" t="s">
        <v>21377</v>
      </c>
      <c r="L1264" s="74">
        <v>555668</v>
      </c>
      <c r="M1264" s="74" t="s">
        <v>21368</v>
      </c>
      <c r="N1264" s="74">
        <v>1</v>
      </c>
      <c r="O1264" s="74" t="s">
        <v>21369</v>
      </c>
      <c r="P1264" s="74" t="s">
        <v>21343</v>
      </c>
      <c r="Q1264" s="74" t="s">
        <v>21626</v>
      </c>
      <c r="R1264" s="74" t="s">
        <v>148</v>
      </c>
      <c r="S1264" s="74" t="s">
        <v>21338</v>
      </c>
      <c r="T1264" s="74" t="s">
        <v>21371</v>
      </c>
      <c r="U1264" s="74">
        <v>0</v>
      </c>
      <c r="V1264" s="74">
        <v>0</v>
      </c>
    </row>
    <row r="1265" spans="3:22" x14ac:dyDescent="0.25">
      <c r="C1265" s="74" t="s">
        <v>21386</v>
      </c>
      <c r="D1265" s="74" t="s">
        <v>148</v>
      </c>
      <c r="E1265" s="74" t="s">
        <v>21338</v>
      </c>
      <c r="F1265" s="74">
        <v>674396</v>
      </c>
      <c r="G1265" s="74">
        <v>3</v>
      </c>
      <c r="H1265" s="135">
        <v>42986.477453703701</v>
      </c>
      <c r="I1265" s="74" t="s">
        <v>21398</v>
      </c>
      <c r="J1265" s="74" t="s">
        <v>21366</v>
      </c>
      <c r="K1265" s="74" t="s">
        <v>21381</v>
      </c>
      <c r="L1265" s="74">
        <v>555660</v>
      </c>
      <c r="M1265" s="74" t="s">
        <v>21368</v>
      </c>
      <c r="N1265" s="74">
        <v>1</v>
      </c>
      <c r="O1265" s="74" t="s">
        <v>21369</v>
      </c>
      <c r="P1265" s="74" t="s">
        <v>21343</v>
      </c>
      <c r="Q1265" s="74" t="s">
        <v>21626</v>
      </c>
      <c r="R1265" s="74" t="s">
        <v>148</v>
      </c>
      <c r="S1265" s="74" t="s">
        <v>21338</v>
      </c>
      <c r="T1265" s="74" t="s">
        <v>21371</v>
      </c>
      <c r="U1265" s="74">
        <v>0</v>
      </c>
      <c r="V1265" s="74">
        <v>0</v>
      </c>
    </row>
    <row r="1266" spans="3:22" x14ac:dyDescent="0.25">
      <c r="C1266" s="74" t="s">
        <v>21386</v>
      </c>
      <c r="D1266" s="74" t="s">
        <v>148</v>
      </c>
      <c r="E1266" s="74" t="s">
        <v>21338</v>
      </c>
      <c r="F1266" s="74">
        <v>674396</v>
      </c>
      <c r="G1266" s="74">
        <v>3</v>
      </c>
      <c r="H1266" s="135">
        <v>42986.477303240739</v>
      </c>
      <c r="I1266" s="74" t="s">
        <v>21339</v>
      </c>
      <c r="J1266" s="74" t="s">
        <v>21364</v>
      </c>
      <c r="K1266" s="74" t="s">
        <v>3136</v>
      </c>
      <c r="L1266" s="74">
        <v>552058</v>
      </c>
      <c r="M1266" s="74" t="s">
        <v>21341</v>
      </c>
      <c r="N1266" s="74">
        <v>1</v>
      </c>
      <c r="O1266" s="74" t="s">
        <v>21342</v>
      </c>
      <c r="P1266" s="74" t="s">
        <v>21343</v>
      </c>
      <c r="Q1266" s="74">
        <v>0</v>
      </c>
      <c r="R1266" s="74" t="s">
        <v>148</v>
      </c>
      <c r="S1266" s="74" t="s">
        <v>21338</v>
      </c>
      <c r="T1266" s="74" t="s">
        <v>402</v>
      </c>
      <c r="U1266" s="74">
        <v>0</v>
      </c>
      <c r="V1266" s="74">
        <v>0</v>
      </c>
    </row>
    <row r="1267" spans="3:22" x14ac:dyDescent="0.25">
      <c r="C1267" s="74" t="s">
        <v>21386</v>
      </c>
      <c r="D1267" s="74" t="s">
        <v>148</v>
      </c>
      <c r="E1267" s="74" t="s">
        <v>21338</v>
      </c>
      <c r="F1267" s="74">
        <v>674396</v>
      </c>
      <c r="G1267" s="74">
        <v>3</v>
      </c>
      <c r="H1267" s="135">
        <v>42986.476712962962</v>
      </c>
      <c r="I1267" s="74" t="s">
        <v>21339</v>
      </c>
      <c r="J1267" s="74" t="s">
        <v>21364</v>
      </c>
      <c r="K1267" s="74" t="s">
        <v>3136</v>
      </c>
      <c r="L1267" s="74">
        <v>552058</v>
      </c>
      <c r="M1267" s="74" t="s">
        <v>21341</v>
      </c>
      <c r="N1267" s="74">
        <v>1</v>
      </c>
      <c r="O1267" s="74" t="s">
        <v>21342</v>
      </c>
      <c r="P1267" s="74" t="s">
        <v>21343</v>
      </c>
      <c r="Q1267" s="74">
        <v>0</v>
      </c>
      <c r="R1267" s="74" t="s">
        <v>148</v>
      </c>
      <c r="S1267" s="74" t="s">
        <v>21338</v>
      </c>
      <c r="T1267" s="74" t="s">
        <v>402</v>
      </c>
      <c r="U1267" s="74">
        <v>0</v>
      </c>
      <c r="V1267" s="74">
        <v>0</v>
      </c>
    </row>
    <row r="1268" spans="3:22" x14ac:dyDescent="0.25">
      <c r="C1268" s="74" t="s">
        <v>18795</v>
      </c>
      <c r="D1268" s="74" t="s">
        <v>148</v>
      </c>
      <c r="E1268" s="74" t="s">
        <v>21338</v>
      </c>
      <c r="F1268" s="74">
        <v>551367</v>
      </c>
      <c r="G1268" s="74">
        <v>1000</v>
      </c>
      <c r="H1268" s="135">
        <v>42986.448831018519</v>
      </c>
      <c r="I1268" s="74" t="s">
        <v>21339</v>
      </c>
      <c r="J1268" s="74" t="s">
        <v>21340</v>
      </c>
      <c r="K1268" s="74" t="s">
        <v>20126</v>
      </c>
      <c r="L1268" s="74">
        <v>551720</v>
      </c>
      <c r="M1268" s="74" t="s">
        <v>21341</v>
      </c>
      <c r="N1268" s="74">
        <v>1</v>
      </c>
      <c r="O1268" s="74" t="s">
        <v>21342</v>
      </c>
      <c r="P1268" s="74" t="s">
        <v>21343</v>
      </c>
      <c r="Q1268" s="74">
        <v>0</v>
      </c>
      <c r="R1268" s="74" t="s">
        <v>148</v>
      </c>
      <c r="S1268" s="74" t="s">
        <v>21338</v>
      </c>
      <c r="T1268" s="74" t="s">
        <v>402</v>
      </c>
      <c r="U1268" s="74">
        <v>0</v>
      </c>
      <c r="V1268" s="74">
        <v>0</v>
      </c>
    </row>
    <row r="1269" spans="3:22" x14ac:dyDescent="0.25">
      <c r="C1269" s="74" t="s">
        <v>21511</v>
      </c>
      <c r="D1269" s="74">
        <v>0</v>
      </c>
      <c r="E1269" s="74" t="s">
        <v>21344</v>
      </c>
      <c r="F1269" s="74">
        <v>690215</v>
      </c>
      <c r="G1269" s="74">
        <v>1000</v>
      </c>
      <c r="H1269" s="135">
        <v>42986.432013888887</v>
      </c>
      <c r="I1269" s="74" t="s">
        <v>21339</v>
      </c>
      <c r="J1269" s="74" t="s">
        <v>21391</v>
      </c>
      <c r="K1269" s="74" t="s">
        <v>21627</v>
      </c>
      <c r="L1269" s="74">
        <v>907688</v>
      </c>
      <c r="M1269" s="74" t="s">
        <v>21341</v>
      </c>
      <c r="N1269" s="74">
        <v>1</v>
      </c>
      <c r="O1269" s="74" t="s">
        <v>21342</v>
      </c>
      <c r="P1269" s="74" t="s">
        <v>21343</v>
      </c>
      <c r="Q1269" s="74" t="s">
        <v>21628</v>
      </c>
      <c r="R1269" s="74" t="s">
        <v>148</v>
      </c>
      <c r="S1269" s="74" t="s">
        <v>21338</v>
      </c>
      <c r="T1269" s="74" t="s">
        <v>402</v>
      </c>
      <c r="U1269" s="74">
        <v>0</v>
      </c>
      <c r="V1269" s="74">
        <v>0</v>
      </c>
    </row>
    <row r="1270" spans="3:22" x14ac:dyDescent="0.25">
      <c r="C1270" s="74" t="s">
        <v>21511</v>
      </c>
      <c r="D1270" s="74">
        <v>0</v>
      </c>
      <c r="E1270" s="74" t="s">
        <v>21344</v>
      </c>
      <c r="F1270" s="74">
        <v>690215</v>
      </c>
      <c r="G1270" s="74">
        <v>1000</v>
      </c>
      <c r="H1270" s="135">
        <v>42986.432013888887</v>
      </c>
      <c r="I1270" s="74" t="s">
        <v>21339</v>
      </c>
      <c r="J1270" s="74" t="s">
        <v>21391</v>
      </c>
      <c r="K1270" s="74" t="s">
        <v>21627</v>
      </c>
      <c r="L1270" s="74">
        <v>907688</v>
      </c>
      <c r="M1270" s="74" t="s">
        <v>21341</v>
      </c>
      <c r="N1270" s="74">
        <v>1</v>
      </c>
      <c r="O1270" s="74" t="s">
        <v>21342</v>
      </c>
      <c r="P1270" s="74" t="s">
        <v>21343</v>
      </c>
      <c r="Q1270" s="74" t="s">
        <v>21628</v>
      </c>
      <c r="R1270" s="74" t="s">
        <v>148</v>
      </c>
      <c r="S1270" s="74" t="s">
        <v>21338</v>
      </c>
      <c r="T1270" s="74" t="s">
        <v>402</v>
      </c>
      <c r="U1270" s="74">
        <v>0</v>
      </c>
      <c r="V1270" s="74">
        <v>0</v>
      </c>
    </row>
    <row r="1271" spans="3:22" x14ac:dyDescent="0.25">
      <c r="C1271" s="74" t="s">
        <v>18795</v>
      </c>
      <c r="D1271" s="74" t="s">
        <v>148</v>
      </c>
      <c r="E1271" s="74" t="s">
        <v>21338</v>
      </c>
      <c r="F1271" s="74">
        <v>551367</v>
      </c>
      <c r="G1271" s="74">
        <v>1000</v>
      </c>
      <c r="H1271" s="135">
        <v>42986.427164351851</v>
      </c>
      <c r="I1271" s="74" t="s">
        <v>21339</v>
      </c>
      <c r="J1271" s="74" t="s">
        <v>21340</v>
      </c>
      <c r="K1271" s="74" t="s">
        <v>20046</v>
      </c>
      <c r="L1271" s="74">
        <v>554186</v>
      </c>
      <c r="M1271" s="74" t="s">
        <v>21341</v>
      </c>
      <c r="N1271" s="74">
        <v>1</v>
      </c>
      <c r="O1271" s="74" t="s">
        <v>21342</v>
      </c>
      <c r="P1271" s="74" t="s">
        <v>21343</v>
      </c>
      <c r="Q1271" s="74">
        <v>0</v>
      </c>
      <c r="R1271" s="74" t="s">
        <v>148</v>
      </c>
      <c r="S1271" s="74" t="s">
        <v>21338</v>
      </c>
      <c r="T1271" s="74" t="s">
        <v>402</v>
      </c>
      <c r="U1271" s="74">
        <v>0</v>
      </c>
      <c r="V1271" s="74">
        <v>0</v>
      </c>
    </row>
    <row r="1272" spans="3:22" x14ac:dyDescent="0.25">
      <c r="C1272" s="74" t="s">
        <v>21511</v>
      </c>
      <c r="D1272" s="74">
        <v>0</v>
      </c>
      <c r="E1272" s="74" t="s">
        <v>21344</v>
      </c>
      <c r="F1272" s="74">
        <v>690215</v>
      </c>
      <c r="G1272" s="74">
        <v>1000</v>
      </c>
      <c r="H1272" s="135">
        <v>42986.427025462966</v>
      </c>
      <c r="I1272" s="74" t="s">
        <v>21560</v>
      </c>
      <c r="J1272" s="74" t="s">
        <v>21561</v>
      </c>
      <c r="K1272" s="74" t="s">
        <v>21627</v>
      </c>
      <c r="L1272" s="74">
        <v>907688</v>
      </c>
      <c r="M1272" s="74" t="s">
        <v>21341</v>
      </c>
      <c r="N1272" s="74">
        <v>1</v>
      </c>
      <c r="O1272" s="74" t="s">
        <v>21342</v>
      </c>
      <c r="P1272" s="74" t="s">
        <v>21343</v>
      </c>
      <c r="Q1272" s="74" t="s">
        <v>21629</v>
      </c>
      <c r="R1272" s="74" t="s">
        <v>148</v>
      </c>
      <c r="S1272" s="74" t="s">
        <v>21338</v>
      </c>
      <c r="T1272" s="74" t="s">
        <v>402</v>
      </c>
      <c r="U1272" s="74">
        <v>0</v>
      </c>
      <c r="V1272" s="74">
        <v>0</v>
      </c>
    </row>
    <row r="1273" spans="3:22" x14ac:dyDescent="0.25">
      <c r="C1273" s="74" t="s">
        <v>21511</v>
      </c>
      <c r="D1273" s="74">
        <v>0</v>
      </c>
      <c r="E1273" s="74" t="s">
        <v>21344</v>
      </c>
      <c r="F1273" s="74">
        <v>690215</v>
      </c>
      <c r="G1273" s="74">
        <v>1000</v>
      </c>
      <c r="H1273" s="135">
        <v>42986.426585648151</v>
      </c>
      <c r="I1273" s="74" t="s">
        <v>21563</v>
      </c>
      <c r="J1273" s="74" t="s">
        <v>21564</v>
      </c>
      <c r="K1273" s="74" t="s">
        <v>21627</v>
      </c>
      <c r="L1273" s="74">
        <v>842851</v>
      </c>
      <c r="M1273" s="74" t="s">
        <v>21341</v>
      </c>
      <c r="N1273" s="74">
        <v>1</v>
      </c>
      <c r="O1273" s="74" t="s">
        <v>21342</v>
      </c>
      <c r="P1273" s="74" t="s">
        <v>21343</v>
      </c>
      <c r="Q1273" s="74" t="s">
        <v>21630</v>
      </c>
      <c r="R1273" s="74" t="s">
        <v>148</v>
      </c>
      <c r="S1273" s="74" t="s">
        <v>21338</v>
      </c>
      <c r="T1273" s="74" t="s">
        <v>393</v>
      </c>
      <c r="U1273" s="74">
        <v>0</v>
      </c>
      <c r="V1273" s="74">
        <v>0</v>
      </c>
    </row>
    <row r="1274" spans="3:22" x14ac:dyDescent="0.25">
      <c r="C1274" s="74" t="s">
        <v>21511</v>
      </c>
      <c r="D1274" s="74">
        <v>0</v>
      </c>
      <c r="E1274" s="74" t="s">
        <v>21344</v>
      </c>
      <c r="F1274" s="74">
        <v>690215</v>
      </c>
      <c r="G1274" s="74">
        <v>1000</v>
      </c>
      <c r="H1274" s="135">
        <v>42986.410694444443</v>
      </c>
      <c r="I1274" s="74" t="s">
        <v>21339</v>
      </c>
      <c r="J1274" s="74" t="s">
        <v>21360</v>
      </c>
      <c r="K1274" s="74" t="s">
        <v>21627</v>
      </c>
      <c r="L1274" s="74">
        <v>842851</v>
      </c>
      <c r="M1274" s="74" t="s">
        <v>21341</v>
      </c>
      <c r="N1274" s="74">
        <v>1</v>
      </c>
      <c r="O1274" s="74" t="s">
        <v>21342</v>
      </c>
      <c r="P1274" s="74" t="s">
        <v>21343</v>
      </c>
      <c r="Q1274" s="74" t="s">
        <v>21395</v>
      </c>
      <c r="R1274" s="74" t="s">
        <v>148</v>
      </c>
      <c r="S1274" s="74" t="s">
        <v>21338</v>
      </c>
      <c r="T1274" s="74" t="s">
        <v>393</v>
      </c>
      <c r="U1274" s="74">
        <v>0</v>
      </c>
      <c r="V1274" s="74">
        <v>0</v>
      </c>
    </row>
    <row r="1275" spans="3:22" x14ac:dyDescent="0.25">
      <c r="C1275" s="74" t="s">
        <v>18795</v>
      </c>
      <c r="D1275" s="74" t="s">
        <v>148</v>
      </c>
      <c r="E1275" s="74" t="s">
        <v>21338</v>
      </c>
      <c r="F1275" s="74">
        <v>551367</v>
      </c>
      <c r="G1275" s="74">
        <v>1000</v>
      </c>
      <c r="H1275" s="135">
        <v>42986.410046296296</v>
      </c>
      <c r="I1275" s="74" t="s">
        <v>21339</v>
      </c>
      <c r="J1275" s="74" t="s">
        <v>21340</v>
      </c>
      <c r="K1275" s="74" t="s">
        <v>17921</v>
      </c>
      <c r="L1275" s="74">
        <v>553931</v>
      </c>
      <c r="M1275" s="74" t="s">
        <v>21341</v>
      </c>
      <c r="N1275" s="74">
        <v>1</v>
      </c>
      <c r="O1275" s="74" t="s">
        <v>21342</v>
      </c>
      <c r="P1275" s="74" t="s">
        <v>21343</v>
      </c>
      <c r="Q1275" s="74">
        <v>0</v>
      </c>
      <c r="R1275" s="74" t="s">
        <v>148</v>
      </c>
      <c r="S1275" s="74" t="s">
        <v>21338</v>
      </c>
      <c r="T1275" s="74" t="s">
        <v>402</v>
      </c>
      <c r="U1275" s="74">
        <v>0</v>
      </c>
      <c r="V1275" s="74">
        <v>0</v>
      </c>
    </row>
    <row r="1276" spans="3:22" x14ac:dyDescent="0.25">
      <c r="C1276" s="74" t="s">
        <v>21511</v>
      </c>
      <c r="D1276" s="74">
        <v>0</v>
      </c>
      <c r="E1276" s="74" t="s">
        <v>21344</v>
      </c>
      <c r="F1276" s="74">
        <v>690215</v>
      </c>
      <c r="G1276" s="74">
        <v>1000</v>
      </c>
      <c r="H1276" s="135">
        <v>42986.401631944442</v>
      </c>
      <c r="I1276" s="74" t="s">
        <v>21339</v>
      </c>
      <c r="J1276" s="74" t="s">
        <v>21360</v>
      </c>
      <c r="K1276" s="74" t="s">
        <v>21627</v>
      </c>
      <c r="L1276" s="74">
        <v>842851</v>
      </c>
      <c r="M1276" s="74" t="s">
        <v>21341</v>
      </c>
      <c r="N1276" s="74">
        <v>1</v>
      </c>
      <c r="O1276" s="74" t="s">
        <v>21342</v>
      </c>
      <c r="P1276" s="74" t="s">
        <v>21343</v>
      </c>
      <c r="Q1276" s="74" t="s">
        <v>21361</v>
      </c>
      <c r="R1276" s="74" t="s">
        <v>148</v>
      </c>
      <c r="S1276" s="74" t="s">
        <v>21338</v>
      </c>
      <c r="T1276" s="74" t="s">
        <v>393</v>
      </c>
      <c r="U1276" s="74">
        <v>0</v>
      </c>
      <c r="V1276" s="74">
        <v>0</v>
      </c>
    </row>
    <row r="1277" spans="3:22" x14ac:dyDescent="0.25">
      <c r="C1277" s="74" t="s">
        <v>21511</v>
      </c>
      <c r="D1277" s="74">
        <v>0</v>
      </c>
      <c r="E1277" s="74" t="s">
        <v>21344</v>
      </c>
      <c r="F1277" s="74">
        <v>690215</v>
      </c>
      <c r="G1277" s="74">
        <v>1000</v>
      </c>
      <c r="H1277" s="135">
        <v>42986.399606481478</v>
      </c>
      <c r="I1277" s="74" t="s">
        <v>21339</v>
      </c>
      <c r="J1277" s="74" t="s">
        <v>21360</v>
      </c>
      <c r="K1277" s="74" t="s">
        <v>21627</v>
      </c>
      <c r="L1277" s="74">
        <v>842851</v>
      </c>
      <c r="M1277" s="74" t="s">
        <v>21341</v>
      </c>
      <c r="N1277" s="74">
        <v>1</v>
      </c>
      <c r="O1277" s="74" t="s">
        <v>21342</v>
      </c>
      <c r="P1277" s="74" t="s">
        <v>21343</v>
      </c>
      <c r="Q1277" s="74" t="s">
        <v>21361</v>
      </c>
      <c r="R1277" s="74" t="s">
        <v>148</v>
      </c>
      <c r="S1277" s="74" t="s">
        <v>21338</v>
      </c>
      <c r="T1277" s="74" t="s">
        <v>393</v>
      </c>
      <c r="U1277" s="74">
        <v>0</v>
      </c>
      <c r="V1277" s="74">
        <v>0</v>
      </c>
    </row>
    <row r="1278" spans="3:22" x14ac:dyDescent="0.25">
      <c r="C1278" s="74" t="s">
        <v>18795</v>
      </c>
      <c r="D1278" s="74" t="s">
        <v>148</v>
      </c>
      <c r="E1278" s="74" t="s">
        <v>21338</v>
      </c>
      <c r="F1278" s="74">
        <v>551367</v>
      </c>
      <c r="G1278" s="74">
        <v>1000</v>
      </c>
      <c r="H1278" s="135">
        <v>42986.396134259259</v>
      </c>
      <c r="I1278" s="74" t="s">
        <v>21339</v>
      </c>
      <c r="J1278" s="74" t="s">
        <v>21340</v>
      </c>
      <c r="K1278" s="74" t="s">
        <v>13541</v>
      </c>
      <c r="L1278" s="74">
        <v>553370</v>
      </c>
      <c r="M1278" s="74" t="s">
        <v>21341</v>
      </c>
      <c r="N1278" s="74">
        <v>1</v>
      </c>
      <c r="O1278" s="74" t="s">
        <v>21342</v>
      </c>
      <c r="P1278" s="74" t="s">
        <v>21343</v>
      </c>
      <c r="Q1278" s="74">
        <v>0</v>
      </c>
      <c r="R1278" s="74" t="s">
        <v>148</v>
      </c>
      <c r="S1278" s="74" t="s">
        <v>21338</v>
      </c>
      <c r="T1278" s="74" t="s">
        <v>402</v>
      </c>
      <c r="U1278" s="74">
        <v>0</v>
      </c>
      <c r="V1278" s="74">
        <v>0</v>
      </c>
    </row>
    <row r="1279" spans="3:22" x14ac:dyDescent="0.25">
      <c r="C1279" s="74" t="s">
        <v>21511</v>
      </c>
      <c r="D1279" s="74">
        <v>0</v>
      </c>
      <c r="E1279" s="74" t="s">
        <v>21344</v>
      </c>
      <c r="F1279" s="74">
        <v>690215</v>
      </c>
      <c r="G1279" s="74">
        <v>1000</v>
      </c>
      <c r="H1279" s="135">
        <v>42986.393842592595</v>
      </c>
      <c r="I1279" s="74" t="s">
        <v>21339</v>
      </c>
      <c r="J1279" s="74" t="s">
        <v>21360</v>
      </c>
      <c r="K1279" s="74" t="s">
        <v>21627</v>
      </c>
      <c r="L1279" s="74">
        <v>842851</v>
      </c>
      <c r="M1279" s="74" t="s">
        <v>21341</v>
      </c>
      <c r="N1279" s="74">
        <v>1</v>
      </c>
      <c r="O1279" s="74" t="s">
        <v>21342</v>
      </c>
      <c r="P1279" s="74" t="s">
        <v>21343</v>
      </c>
      <c r="Q1279" s="74" t="s">
        <v>21395</v>
      </c>
      <c r="R1279" s="74" t="s">
        <v>148</v>
      </c>
      <c r="S1279" s="74" t="s">
        <v>21338</v>
      </c>
      <c r="T1279" s="74" t="s">
        <v>393</v>
      </c>
      <c r="U1279" s="74">
        <v>0</v>
      </c>
      <c r="V1279" s="74">
        <v>0</v>
      </c>
    </row>
    <row r="1280" spans="3:22" x14ac:dyDescent="0.25">
      <c r="C1280" s="74" t="s">
        <v>18795</v>
      </c>
      <c r="D1280" s="74" t="s">
        <v>148</v>
      </c>
      <c r="E1280" s="74" t="s">
        <v>21338</v>
      </c>
      <c r="F1280" s="74">
        <v>551367</v>
      </c>
      <c r="G1280" s="74">
        <v>1000</v>
      </c>
      <c r="H1280" s="135">
        <v>42986.382418981484</v>
      </c>
      <c r="I1280" s="74" t="s">
        <v>21339</v>
      </c>
      <c r="J1280" s="74" t="s">
        <v>21340</v>
      </c>
      <c r="K1280" s="74" t="s">
        <v>6475</v>
      </c>
      <c r="L1280" s="74">
        <v>552472</v>
      </c>
      <c r="M1280" s="74" t="s">
        <v>21341</v>
      </c>
      <c r="N1280" s="74">
        <v>1</v>
      </c>
      <c r="O1280" s="74" t="s">
        <v>21342</v>
      </c>
      <c r="P1280" s="74" t="s">
        <v>21343</v>
      </c>
      <c r="Q1280" s="74">
        <v>0</v>
      </c>
      <c r="R1280" s="74" t="s">
        <v>148</v>
      </c>
      <c r="S1280" s="74" t="s">
        <v>21338</v>
      </c>
      <c r="T1280" s="74" t="s">
        <v>402</v>
      </c>
      <c r="U1280" s="74">
        <v>0</v>
      </c>
      <c r="V1280" s="74">
        <v>0</v>
      </c>
    </row>
    <row r="1281" spans="3:22" x14ac:dyDescent="0.25">
      <c r="C1281" s="74" t="s">
        <v>735</v>
      </c>
      <c r="D1281" s="74" t="s">
        <v>148</v>
      </c>
      <c r="E1281" s="74" t="s">
        <v>21338</v>
      </c>
      <c r="F1281" s="74">
        <v>570025</v>
      </c>
      <c r="G1281" s="74">
        <v>3</v>
      </c>
      <c r="H1281" s="135">
        <v>42986.365752314814</v>
      </c>
      <c r="I1281" s="74" t="s">
        <v>21339</v>
      </c>
      <c r="J1281" s="74" t="s">
        <v>21340</v>
      </c>
      <c r="K1281" s="74" t="s">
        <v>21631</v>
      </c>
      <c r="L1281" s="74">
        <v>641503</v>
      </c>
      <c r="M1281" s="74" t="s">
        <v>21341</v>
      </c>
      <c r="N1281" s="74">
        <v>1</v>
      </c>
      <c r="O1281" s="74" t="s">
        <v>21342</v>
      </c>
      <c r="P1281" s="74" t="s">
        <v>21343</v>
      </c>
      <c r="Q1281" s="74">
        <v>0</v>
      </c>
      <c r="R1281" s="74" t="s">
        <v>148</v>
      </c>
      <c r="S1281" s="74" t="s">
        <v>21338</v>
      </c>
      <c r="T1281" s="74" t="s">
        <v>402</v>
      </c>
      <c r="U1281" s="74">
        <v>0</v>
      </c>
      <c r="V1281" s="74">
        <v>0</v>
      </c>
    </row>
    <row r="1282" spans="3:22" x14ac:dyDescent="0.25">
      <c r="C1282" s="74" t="s">
        <v>735</v>
      </c>
      <c r="D1282" s="74" t="s">
        <v>148</v>
      </c>
      <c r="E1282" s="74" t="s">
        <v>21338</v>
      </c>
      <c r="F1282" s="74">
        <v>570025</v>
      </c>
      <c r="G1282" s="74">
        <v>3</v>
      </c>
      <c r="H1282" s="135">
        <v>42986.365347222221</v>
      </c>
      <c r="I1282" s="74" t="s">
        <v>21339</v>
      </c>
      <c r="J1282" s="74" t="s">
        <v>21391</v>
      </c>
      <c r="K1282" s="74" t="s">
        <v>21631</v>
      </c>
      <c r="L1282" s="74">
        <v>641503</v>
      </c>
      <c r="M1282" s="74" t="s">
        <v>21341</v>
      </c>
      <c r="N1282" s="74">
        <v>1</v>
      </c>
      <c r="O1282" s="74" t="s">
        <v>21342</v>
      </c>
      <c r="P1282" s="74" t="s">
        <v>21343</v>
      </c>
      <c r="Q1282" s="74" t="s">
        <v>21628</v>
      </c>
      <c r="R1282" s="74" t="s">
        <v>148</v>
      </c>
      <c r="S1282" s="74" t="s">
        <v>21338</v>
      </c>
      <c r="T1282" s="74" t="s">
        <v>402</v>
      </c>
      <c r="U1282" s="74">
        <v>0</v>
      </c>
      <c r="V1282" s="74">
        <v>0</v>
      </c>
    </row>
    <row r="1283" spans="3:22" x14ac:dyDescent="0.25">
      <c r="C1283" s="74" t="s">
        <v>735</v>
      </c>
      <c r="D1283" s="74" t="s">
        <v>148</v>
      </c>
      <c r="E1283" s="74" t="s">
        <v>21338</v>
      </c>
      <c r="F1283" s="74">
        <v>570025</v>
      </c>
      <c r="G1283" s="74">
        <v>3</v>
      </c>
      <c r="H1283" s="135">
        <v>42986.365347222221</v>
      </c>
      <c r="I1283" s="74" t="s">
        <v>21339</v>
      </c>
      <c r="J1283" s="74" t="s">
        <v>21391</v>
      </c>
      <c r="K1283" s="74" t="s">
        <v>21631</v>
      </c>
      <c r="L1283" s="74">
        <v>641503</v>
      </c>
      <c r="M1283" s="74" t="s">
        <v>21341</v>
      </c>
      <c r="N1283" s="74">
        <v>1</v>
      </c>
      <c r="O1283" s="74" t="s">
        <v>21342</v>
      </c>
      <c r="P1283" s="74" t="s">
        <v>21343</v>
      </c>
      <c r="Q1283" s="74" t="s">
        <v>21628</v>
      </c>
      <c r="R1283" s="74" t="s">
        <v>148</v>
      </c>
      <c r="S1283" s="74" t="s">
        <v>21338</v>
      </c>
      <c r="T1283" s="74" t="s">
        <v>402</v>
      </c>
      <c r="U1283" s="74">
        <v>0</v>
      </c>
      <c r="V1283" s="74">
        <v>0</v>
      </c>
    </row>
    <row r="1284" spans="3:22" x14ac:dyDescent="0.25">
      <c r="C1284" s="74" t="s">
        <v>735</v>
      </c>
      <c r="D1284" s="74" t="s">
        <v>148</v>
      </c>
      <c r="E1284" s="74" t="s">
        <v>21338</v>
      </c>
      <c r="F1284" s="74">
        <v>570025</v>
      </c>
      <c r="G1284" s="74">
        <v>3</v>
      </c>
      <c r="H1284" s="135">
        <v>42986.364710648151</v>
      </c>
      <c r="I1284" s="74" t="s">
        <v>21339</v>
      </c>
      <c r="J1284" s="74" t="s">
        <v>21360</v>
      </c>
      <c r="K1284" s="74" t="s">
        <v>21631</v>
      </c>
      <c r="L1284" s="74">
        <v>641503</v>
      </c>
      <c r="M1284" s="74" t="s">
        <v>21341</v>
      </c>
      <c r="N1284" s="74">
        <v>1</v>
      </c>
      <c r="O1284" s="74" t="s">
        <v>21342</v>
      </c>
      <c r="P1284" s="74" t="s">
        <v>21343</v>
      </c>
      <c r="Q1284" s="74" t="s">
        <v>21395</v>
      </c>
      <c r="R1284" s="74" t="s">
        <v>148</v>
      </c>
      <c r="S1284" s="74" t="s">
        <v>21338</v>
      </c>
      <c r="T1284" s="74" t="s">
        <v>402</v>
      </c>
      <c r="U1284" s="74">
        <v>0</v>
      </c>
      <c r="V1284" s="74">
        <v>0</v>
      </c>
    </row>
    <row r="1285" spans="3:22" x14ac:dyDescent="0.25">
      <c r="C1285" s="74" t="s">
        <v>735</v>
      </c>
      <c r="D1285" s="74" t="s">
        <v>148</v>
      </c>
      <c r="E1285" s="74" t="s">
        <v>21338</v>
      </c>
      <c r="F1285" s="74">
        <v>570025</v>
      </c>
      <c r="G1285" s="74">
        <v>3</v>
      </c>
      <c r="H1285" s="135">
        <v>42986.36440972222</v>
      </c>
      <c r="I1285" s="74" t="s">
        <v>21339</v>
      </c>
      <c r="J1285" s="74" t="s">
        <v>21362</v>
      </c>
      <c r="K1285" s="74" t="s">
        <v>21631</v>
      </c>
      <c r="L1285" s="74">
        <v>641503</v>
      </c>
      <c r="M1285" s="74" t="s">
        <v>21341</v>
      </c>
      <c r="N1285" s="74">
        <v>1</v>
      </c>
      <c r="O1285" s="74" t="s">
        <v>21342</v>
      </c>
      <c r="P1285" s="74" t="s">
        <v>21343</v>
      </c>
      <c r="Q1285" s="74" t="s">
        <v>21602</v>
      </c>
      <c r="R1285" s="74" t="s">
        <v>148</v>
      </c>
      <c r="S1285" s="74" t="s">
        <v>21338</v>
      </c>
      <c r="T1285" s="74" t="s">
        <v>402</v>
      </c>
      <c r="U1285" s="74">
        <v>0</v>
      </c>
      <c r="V1285" s="74">
        <v>0</v>
      </c>
    </row>
    <row r="1286" spans="3:22" x14ac:dyDescent="0.25">
      <c r="C1286" s="74" t="s">
        <v>18795</v>
      </c>
      <c r="D1286" s="74" t="s">
        <v>148</v>
      </c>
      <c r="E1286" s="74" t="s">
        <v>21338</v>
      </c>
      <c r="F1286" s="74">
        <v>551367</v>
      </c>
      <c r="G1286" s="74">
        <v>1000</v>
      </c>
      <c r="H1286" s="135">
        <v>42986.352916666663</v>
      </c>
      <c r="I1286" s="74" t="s">
        <v>21339</v>
      </c>
      <c r="J1286" s="74" t="s">
        <v>21340</v>
      </c>
      <c r="K1286" s="74" t="s">
        <v>4998</v>
      </c>
      <c r="L1286" s="74">
        <v>552260</v>
      </c>
      <c r="M1286" s="74" t="s">
        <v>21341</v>
      </c>
      <c r="N1286" s="74">
        <v>1</v>
      </c>
      <c r="O1286" s="74" t="s">
        <v>21342</v>
      </c>
      <c r="P1286" s="74" t="s">
        <v>21343</v>
      </c>
      <c r="Q1286" s="74">
        <v>0</v>
      </c>
      <c r="R1286" s="74" t="s">
        <v>148</v>
      </c>
      <c r="S1286" s="74" t="s">
        <v>21338</v>
      </c>
      <c r="T1286" s="74" t="s">
        <v>402</v>
      </c>
      <c r="U1286" s="74">
        <v>0</v>
      </c>
      <c r="V1286" s="74">
        <v>0</v>
      </c>
    </row>
    <row r="1287" spans="3:22" x14ac:dyDescent="0.25">
      <c r="C1287" s="74" t="s">
        <v>735</v>
      </c>
      <c r="D1287" s="74" t="s">
        <v>148</v>
      </c>
      <c r="E1287" s="74" t="s">
        <v>21338</v>
      </c>
      <c r="F1287" s="74">
        <v>570025</v>
      </c>
      <c r="G1287" s="74">
        <v>3</v>
      </c>
      <c r="H1287" s="135">
        <v>42986.351585648146</v>
      </c>
      <c r="I1287" s="74" t="s">
        <v>21339</v>
      </c>
      <c r="J1287" s="74" t="s">
        <v>21362</v>
      </c>
      <c r="K1287" s="74" t="s">
        <v>21599</v>
      </c>
      <c r="L1287" s="74">
        <v>877289</v>
      </c>
      <c r="M1287" s="74" t="s">
        <v>21341</v>
      </c>
      <c r="N1287" s="74">
        <v>1</v>
      </c>
      <c r="O1287" s="74" t="s">
        <v>21342</v>
      </c>
      <c r="P1287" s="74" t="s">
        <v>21343</v>
      </c>
      <c r="Q1287" s="74" t="s">
        <v>21602</v>
      </c>
      <c r="R1287" s="74" t="s">
        <v>148</v>
      </c>
      <c r="S1287" s="74" t="s">
        <v>21338</v>
      </c>
      <c r="T1287" s="74" t="s">
        <v>402</v>
      </c>
      <c r="U1287" s="74">
        <v>0</v>
      </c>
      <c r="V1287" s="74">
        <v>0</v>
      </c>
    </row>
    <row r="1288" spans="3:22" x14ac:dyDescent="0.25">
      <c r="C1288" s="74" t="s">
        <v>735</v>
      </c>
      <c r="D1288" s="74" t="s">
        <v>148</v>
      </c>
      <c r="E1288" s="74" t="s">
        <v>21338</v>
      </c>
      <c r="F1288" s="74">
        <v>570025</v>
      </c>
      <c r="G1288" s="74">
        <v>3</v>
      </c>
      <c r="H1288" s="135">
        <v>42986.351134259261</v>
      </c>
      <c r="I1288" s="74" t="s">
        <v>21339</v>
      </c>
      <c r="J1288" s="74" t="s">
        <v>21360</v>
      </c>
      <c r="K1288" s="74" t="s">
        <v>21599</v>
      </c>
      <c r="L1288" s="74">
        <v>877289</v>
      </c>
      <c r="M1288" s="74" t="s">
        <v>21341</v>
      </c>
      <c r="N1288" s="74">
        <v>1</v>
      </c>
      <c r="O1288" s="74" t="s">
        <v>21342</v>
      </c>
      <c r="P1288" s="74" t="s">
        <v>21343</v>
      </c>
      <c r="Q1288" s="74" t="s">
        <v>21395</v>
      </c>
      <c r="R1288" s="74" t="s">
        <v>148</v>
      </c>
      <c r="S1288" s="74" t="s">
        <v>21338</v>
      </c>
      <c r="T1288" s="74" t="s">
        <v>393</v>
      </c>
      <c r="U1288" s="74">
        <v>0</v>
      </c>
      <c r="V1288" s="74">
        <v>0</v>
      </c>
    </row>
    <row r="1289" spans="3:22" x14ac:dyDescent="0.25">
      <c r="C1289" s="74" t="s">
        <v>735</v>
      </c>
      <c r="D1289" s="74" t="s">
        <v>148</v>
      </c>
      <c r="E1289" s="74" t="s">
        <v>21338</v>
      </c>
      <c r="F1289" s="74">
        <v>570025</v>
      </c>
      <c r="G1289" s="74">
        <v>3</v>
      </c>
      <c r="H1289" s="135">
        <v>42986.349710648145</v>
      </c>
      <c r="I1289" s="74" t="s">
        <v>21339</v>
      </c>
      <c r="J1289" s="74" t="s">
        <v>21362</v>
      </c>
      <c r="K1289" s="74" t="s">
        <v>21599</v>
      </c>
      <c r="L1289" s="74">
        <v>877289</v>
      </c>
      <c r="M1289" s="74" t="s">
        <v>21341</v>
      </c>
      <c r="N1289" s="74">
        <v>1</v>
      </c>
      <c r="O1289" s="74" t="s">
        <v>21342</v>
      </c>
      <c r="P1289" s="74" t="s">
        <v>21343</v>
      </c>
      <c r="Q1289" s="74" t="s">
        <v>21363</v>
      </c>
      <c r="R1289" s="74" t="s">
        <v>148</v>
      </c>
      <c r="S1289" s="74" t="s">
        <v>21338</v>
      </c>
      <c r="T1289" s="74" t="s">
        <v>393</v>
      </c>
      <c r="U1289" s="74">
        <v>0</v>
      </c>
      <c r="V1289" s="74">
        <v>0</v>
      </c>
    </row>
    <row r="1290" spans="3:22" x14ac:dyDescent="0.25">
      <c r="C1290" s="74" t="s">
        <v>735</v>
      </c>
      <c r="D1290" s="74" t="s">
        <v>148</v>
      </c>
      <c r="E1290" s="74" t="s">
        <v>21338</v>
      </c>
      <c r="F1290" s="74">
        <v>570025</v>
      </c>
      <c r="G1290" s="74">
        <v>3</v>
      </c>
      <c r="H1290" s="135">
        <v>42986.349340277775</v>
      </c>
      <c r="I1290" s="74" t="s">
        <v>21365</v>
      </c>
      <c r="J1290" s="74" t="s">
        <v>21366</v>
      </c>
      <c r="K1290" s="74" t="s">
        <v>21403</v>
      </c>
      <c r="L1290" s="74">
        <v>561483</v>
      </c>
      <c r="M1290" s="74" t="s">
        <v>21368</v>
      </c>
      <c r="N1290" s="74">
        <v>1</v>
      </c>
      <c r="O1290" s="74" t="s">
        <v>21369</v>
      </c>
      <c r="P1290" s="74" t="s">
        <v>21343</v>
      </c>
      <c r="Q1290" s="74" t="s">
        <v>21632</v>
      </c>
      <c r="R1290" s="74" t="s">
        <v>148</v>
      </c>
      <c r="S1290" s="74" t="s">
        <v>21338</v>
      </c>
      <c r="T1290" s="74" t="s">
        <v>21371</v>
      </c>
      <c r="U1290" s="74">
        <v>0</v>
      </c>
      <c r="V1290" s="74">
        <v>0</v>
      </c>
    </row>
    <row r="1291" spans="3:22" x14ac:dyDescent="0.25">
      <c r="C1291" s="74" t="s">
        <v>735</v>
      </c>
      <c r="D1291" s="74" t="s">
        <v>148</v>
      </c>
      <c r="E1291" s="74" t="s">
        <v>21338</v>
      </c>
      <c r="F1291" s="74">
        <v>570025</v>
      </c>
      <c r="G1291" s="74">
        <v>3</v>
      </c>
      <c r="H1291" s="135">
        <v>42986.349340277775</v>
      </c>
      <c r="I1291" s="74" t="s">
        <v>21339</v>
      </c>
      <c r="J1291" s="74" t="s">
        <v>21364</v>
      </c>
      <c r="K1291" s="74" t="s">
        <v>21599</v>
      </c>
      <c r="L1291" s="74">
        <v>877289</v>
      </c>
      <c r="M1291" s="74" t="s">
        <v>21341</v>
      </c>
      <c r="N1291" s="74">
        <v>1</v>
      </c>
      <c r="O1291" s="74" t="s">
        <v>21342</v>
      </c>
      <c r="P1291" s="74" t="s">
        <v>21343</v>
      </c>
      <c r="Q1291" s="74">
        <v>0</v>
      </c>
      <c r="R1291" s="74" t="s">
        <v>148</v>
      </c>
      <c r="S1291" s="74" t="s">
        <v>21338</v>
      </c>
      <c r="T1291" s="74" t="s">
        <v>402</v>
      </c>
      <c r="U1291" s="74">
        <v>0</v>
      </c>
      <c r="V1291" s="74">
        <v>0</v>
      </c>
    </row>
    <row r="1292" spans="3:22" x14ac:dyDescent="0.25">
      <c r="C1292" s="74" t="s">
        <v>735</v>
      </c>
      <c r="D1292" s="74" t="s">
        <v>148</v>
      </c>
      <c r="E1292" s="74" t="s">
        <v>21338</v>
      </c>
      <c r="F1292" s="74">
        <v>570025</v>
      </c>
      <c r="G1292" s="74">
        <v>3</v>
      </c>
      <c r="H1292" s="135">
        <v>42986.349328703705</v>
      </c>
      <c r="I1292" s="74" t="s">
        <v>21365</v>
      </c>
      <c r="J1292" s="74" t="s">
        <v>21366</v>
      </c>
      <c r="K1292" s="74" t="s">
        <v>21367</v>
      </c>
      <c r="L1292" s="74">
        <v>561482</v>
      </c>
      <c r="M1292" s="74" t="s">
        <v>21368</v>
      </c>
      <c r="N1292" s="74">
        <v>1</v>
      </c>
      <c r="O1292" s="74" t="s">
        <v>21369</v>
      </c>
      <c r="P1292" s="74" t="s">
        <v>21343</v>
      </c>
      <c r="Q1292" s="74" t="s">
        <v>21632</v>
      </c>
      <c r="R1292" s="74" t="s">
        <v>148</v>
      </c>
      <c r="S1292" s="74" t="s">
        <v>21338</v>
      </c>
      <c r="T1292" s="74" t="s">
        <v>21371</v>
      </c>
      <c r="U1292" s="74">
        <v>0</v>
      </c>
      <c r="V1292" s="74">
        <v>0</v>
      </c>
    </row>
    <row r="1293" spans="3:22" x14ac:dyDescent="0.25">
      <c r="C1293" s="74" t="s">
        <v>735</v>
      </c>
      <c r="D1293" s="74" t="s">
        <v>148</v>
      </c>
      <c r="E1293" s="74" t="s">
        <v>21338</v>
      </c>
      <c r="F1293" s="74">
        <v>570025</v>
      </c>
      <c r="G1293" s="74">
        <v>3</v>
      </c>
      <c r="H1293" s="135">
        <v>42986.349305555559</v>
      </c>
      <c r="I1293" s="74" t="s">
        <v>21365</v>
      </c>
      <c r="J1293" s="74" t="s">
        <v>21366</v>
      </c>
      <c r="K1293" s="74" t="s">
        <v>21381</v>
      </c>
      <c r="L1293" s="74">
        <v>555660</v>
      </c>
      <c r="M1293" s="74" t="s">
        <v>21368</v>
      </c>
      <c r="N1293" s="74">
        <v>1</v>
      </c>
      <c r="O1293" s="74" t="s">
        <v>21369</v>
      </c>
      <c r="P1293" s="74" t="s">
        <v>21343</v>
      </c>
      <c r="Q1293" s="74" t="s">
        <v>21632</v>
      </c>
      <c r="R1293" s="74" t="s">
        <v>148</v>
      </c>
      <c r="S1293" s="74" t="s">
        <v>21338</v>
      </c>
      <c r="T1293" s="74" t="s">
        <v>21371</v>
      </c>
      <c r="U1293" s="74">
        <v>0</v>
      </c>
      <c r="V1293" s="74">
        <v>0</v>
      </c>
    </row>
    <row r="1294" spans="3:22" x14ac:dyDescent="0.25">
      <c r="C1294" s="74" t="s">
        <v>735</v>
      </c>
      <c r="D1294" s="74" t="s">
        <v>148</v>
      </c>
      <c r="E1294" s="74" t="s">
        <v>21338</v>
      </c>
      <c r="F1294" s="74">
        <v>570025</v>
      </c>
      <c r="G1294" s="74">
        <v>3</v>
      </c>
      <c r="H1294" s="135">
        <v>42986.349282407406</v>
      </c>
      <c r="I1294" s="74" t="s">
        <v>21339</v>
      </c>
      <c r="J1294" s="74" t="s">
        <v>21364</v>
      </c>
      <c r="K1294" s="74" t="s">
        <v>21599</v>
      </c>
      <c r="L1294" s="74">
        <v>877289</v>
      </c>
      <c r="M1294" s="74" t="s">
        <v>21341</v>
      </c>
      <c r="N1294" s="74">
        <v>1</v>
      </c>
      <c r="O1294" s="74" t="s">
        <v>21342</v>
      </c>
      <c r="P1294" s="74" t="s">
        <v>21343</v>
      </c>
      <c r="Q1294" s="74">
        <v>0</v>
      </c>
      <c r="R1294" s="74" t="s">
        <v>148</v>
      </c>
      <c r="S1294" s="74" t="s">
        <v>21338</v>
      </c>
      <c r="T1294" s="74" t="s">
        <v>402</v>
      </c>
      <c r="U1294" s="74">
        <v>0</v>
      </c>
      <c r="V1294" s="74">
        <v>0</v>
      </c>
    </row>
    <row r="1295" spans="3:22" x14ac:dyDescent="0.25">
      <c r="C1295" s="74" t="s">
        <v>735</v>
      </c>
      <c r="D1295" s="74" t="s">
        <v>148</v>
      </c>
      <c r="E1295" s="74" t="s">
        <v>21338</v>
      </c>
      <c r="F1295" s="74">
        <v>570025</v>
      </c>
      <c r="G1295" s="74">
        <v>3</v>
      </c>
      <c r="H1295" s="135">
        <v>42986.349189814813</v>
      </c>
      <c r="I1295" s="74" t="s">
        <v>21339</v>
      </c>
      <c r="J1295" s="74" t="s">
        <v>21364</v>
      </c>
      <c r="K1295" s="74" t="s">
        <v>21599</v>
      </c>
      <c r="L1295" s="74">
        <v>877289</v>
      </c>
      <c r="M1295" s="74" t="s">
        <v>21341</v>
      </c>
      <c r="N1295" s="74">
        <v>1</v>
      </c>
      <c r="O1295" s="74" t="s">
        <v>21342</v>
      </c>
      <c r="P1295" s="74" t="s">
        <v>21343</v>
      </c>
      <c r="Q1295" s="74">
        <v>0</v>
      </c>
      <c r="R1295" s="74" t="s">
        <v>148</v>
      </c>
      <c r="S1295" s="74" t="s">
        <v>21338</v>
      </c>
      <c r="T1295" s="74" t="s">
        <v>402</v>
      </c>
      <c r="U1295" s="74">
        <v>0</v>
      </c>
      <c r="V1295" s="74">
        <v>0</v>
      </c>
    </row>
    <row r="1296" spans="3:22" x14ac:dyDescent="0.25">
      <c r="C1296" s="74" t="s">
        <v>21390</v>
      </c>
      <c r="D1296" s="74" t="s">
        <v>148</v>
      </c>
      <c r="E1296" s="74" t="s">
        <v>21338</v>
      </c>
      <c r="F1296" s="74">
        <v>560864</v>
      </c>
      <c r="G1296" s="74">
        <v>3</v>
      </c>
      <c r="H1296" s="135">
        <v>42986.347430555557</v>
      </c>
      <c r="I1296" s="74" t="s">
        <v>21354</v>
      </c>
      <c r="J1296" s="74" t="s">
        <v>21355</v>
      </c>
      <c r="K1296" s="74" t="s">
        <v>21633</v>
      </c>
      <c r="L1296" s="74">
        <v>844160</v>
      </c>
      <c r="M1296" s="74" t="s">
        <v>21341</v>
      </c>
      <c r="N1296" s="74">
        <v>1</v>
      </c>
      <c r="O1296" s="74" t="s">
        <v>21342</v>
      </c>
      <c r="P1296" s="74" t="s">
        <v>21345</v>
      </c>
      <c r="R1296" s="74" t="s">
        <v>148</v>
      </c>
      <c r="S1296" s="74" t="s">
        <v>21338</v>
      </c>
      <c r="T1296" s="74" t="s">
        <v>402</v>
      </c>
      <c r="U1296" s="74">
        <v>0</v>
      </c>
      <c r="V1296" s="74">
        <v>0</v>
      </c>
    </row>
    <row r="1297" spans="3:22" x14ac:dyDescent="0.25">
      <c r="C1297" s="74" t="s">
        <v>533</v>
      </c>
      <c r="D1297" s="74" t="s">
        <v>148</v>
      </c>
      <c r="E1297" s="74" t="s">
        <v>21338</v>
      </c>
      <c r="F1297" s="74">
        <v>627566</v>
      </c>
      <c r="G1297" s="74">
        <v>3</v>
      </c>
      <c r="H1297" s="135">
        <v>42986.344039351854</v>
      </c>
      <c r="I1297" s="74" t="s">
        <v>21354</v>
      </c>
      <c r="J1297" s="74" t="s">
        <v>21355</v>
      </c>
      <c r="K1297" s="74" t="s">
        <v>21578</v>
      </c>
      <c r="L1297" s="74">
        <v>840602</v>
      </c>
      <c r="M1297" s="74" t="s">
        <v>21341</v>
      </c>
      <c r="N1297" s="74">
        <v>1</v>
      </c>
      <c r="O1297" s="74" t="s">
        <v>21342</v>
      </c>
      <c r="P1297" s="74" t="s">
        <v>21345</v>
      </c>
      <c r="R1297" s="74" t="s">
        <v>148</v>
      </c>
      <c r="S1297" s="74" t="s">
        <v>21338</v>
      </c>
      <c r="T1297" s="74" t="s">
        <v>402</v>
      </c>
      <c r="U1297" s="74">
        <v>0</v>
      </c>
      <c r="V1297" s="74">
        <v>0</v>
      </c>
    </row>
    <row r="1298" spans="3:22" x14ac:dyDescent="0.25">
      <c r="C1298" s="74" t="s">
        <v>533</v>
      </c>
      <c r="D1298" s="74" t="s">
        <v>148</v>
      </c>
      <c r="E1298" s="74" t="s">
        <v>21338</v>
      </c>
      <c r="F1298" s="74">
        <v>627566</v>
      </c>
      <c r="G1298" s="74">
        <v>3</v>
      </c>
      <c r="H1298" s="135">
        <v>42986.343877314815</v>
      </c>
      <c r="I1298" s="74" t="s">
        <v>21339</v>
      </c>
      <c r="J1298" s="74" t="s">
        <v>21360</v>
      </c>
      <c r="K1298" s="74" t="s">
        <v>21578</v>
      </c>
      <c r="L1298" s="74">
        <v>840602</v>
      </c>
      <c r="M1298" s="74" t="s">
        <v>21341</v>
      </c>
      <c r="N1298" s="74">
        <v>1</v>
      </c>
      <c r="O1298" s="74" t="s">
        <v>21359</v>
      </c>
      <c r="P1298" s="74" t="s">
        <v>21343</v>
      </c>
      <c r="Q1298" s="74" t="s">
        <v>21395</v>
      </c>
      <c r="R1298" s="74" t="s">
        <v>148</v>
      </c>
      <c r="S1298" s="74" t="s">
        <v>21338</v>
      </c>
      <c r="T1298" s="74" t="s">
        <v>402</v>
      </c>
      <c r="U1298" s="74">
        <v>0</v>
      </c>
      <c r="V1298" s="74">
        <v>0</v>
      </c>
    </row>
    <row r="1299" spans="3:22" x14ac:dyDescent="0.25">
      <c r="C1299" s="74" t="s">
        <v>735</v>
      </c>
      <c r="D1299" s="74" t="s">
        <v>148</v>
      </c>
      <c r="E1299" s="74" t="s">
        <v>21338</v>
      </c>
      <c r="F1299" s="74">
        <v>570025</v>
      </c>
      <c r="G1299" s="74">
        <v>3</v>
      </c>
      <c r="H1299" s="135">
        <v>42986.341689814813</v>
      </c>
      <c r="I1299" s="74" t="s">
        <v>21339</v>
      </c>
      <c r="J1299" s="74" t="s">
        <v>21360</v>
      </c>
      <c r="K1299" s="74" t="s">
        <v>21599</v>
      </c>
      <c r="L1299" s="74">
        <v>877289</v>
      </c>
      <c r="M1299" s="74" t="s">
        <v>21341</v>
      </c>
      <c r="N1299" s="74">
        <v>1</v>
      </c>
      <c r="O1299" s="74" t="s">
        <v>21342</v>
      </c>
      <c r="P1299" s="74" t="s">
        <v>21343</v>
      </c>
      <c r="Q1299" s="74" t="s">
        <v>21361</v>
      </c>
      <c r="R1299" s="74" t="s">
        <v>148</v>
      </c>
      <c r="S1299" s="74" t="s">
        <v>21338</v>
      </c>
      <c r="T1299" s="74" t="s">
        <v>402</v>
      </c>
      <c r="U1299" s="74">
        <v>0</v>
      </c>
      <c r="V1299" s="74">
        <v>0</v>
      </c>
    </row>
    <row r="1300" spans="3:22" x14ac:dyDescent="0.25">
      <c r="C1300" s="74" t="s">
        <v>735</v>
      </c>
      <c r="D1300" s="74" t="s">
        <v>148</v>
      </c>
      <c r="E1300" s="74" t="s">
        <v>21338</v>
      </c>
      <c r="F1300" s="74">
        <v>570025</v>
      </c>
      <c r="G1300" s="74">
        <v>3</v>
      </c>
      <c r="H1300" s="135">
        <v>42986.009641203702</v>
      </c>
      <c r="I1300" s="74" t="s">
        <v>21354</v>
      </c>
      <c r="J1300" s="74" t="s">
        <v>21355</v>
      </c>
      <c r="K1300" s="74" t="s">
        <v>21578</v>
      </c>
      <c r="L1300" s="74">
        <v>840602</v>
      </c>
      <c r="M1300" s="74" t="s">
        <v>21341</v>
      </c>
      <c r="N1300" s="74">
        <v>1</v>
      </c>
      <c r="O1300" s="74" t="s">
        <v>21342</v>
      </c>
      <c r="P1300" s="74" t="s">
        <v>21345</v>
      </c>
      <c r="R1300" s="74" t="s">
        <v>148</v>
      </c>
      <c r="S1300" s="74" t="s">
        <v>21338</v>
      </c>
      <c r="T1300" s="74" t="s">
        <v>402</v>
      </c>
      <c r="U1300" s="74">
        <v>0</v>
      </c>
      <c r="V1300" s="74">
        <v>0</v>
      </c>
    </row>
    <row r="1301" spans="3:22" x14ac:dyDescent="0.25">
      <c r="C1301" s="74" t="s">
        <v>735</v>
      </c>
      <c r="D1301" s="74" t="s">
        <v>148</v>
      </c>
      <c r="E1301" s="74" t="s">
        <v>21338</v>
      </c>
      <c r="F1301" s="74">
        <v>570025</v>
      </c>
      <c r="G1301" s="74">
        <v>3</v>
      </c>
      <c r="H1301" s="135">
        <v>42986.008969907409</v>
      </c>
      <c r="I1301" s="74" t="s">
        <v>21339</v>
      </c>
      <c r="J1301" s="74" t="s">
        <v>21360</v>
      </c>
      <c r="K1301" s="74" t="s">
        <v>21627</v>
      </c>
      <c r="L1301" s="74">
        <v>842851</v>
      </c>
      <c r="M1301" s="74" t="s">
        <v>21341</v>
      </c>
      <c r="N1301" s="74">
        <v>1</v>
      </c>
      <c r="O1301" s="74" t="s">
        <v>21342</v>
      </c>
      <c r="P1301" s="74" t="s">
        <v>21343</v>
      </c>
      <c r="Q1301" s="74" t="s">
        <v>21361</v>
      </c>
      <c r="R1301" s="74" t="s">
        <v>148</v>
      </c>
      <c r="S1301" s="74" t="s">
        <v>21338</v>
      </c>
      <c r="T1301" s="74" t="s">
        <v>393</v>
      </c>
      <c r="U1301" s="74">
        <v>0</v>
      </c>
      <c r="V1301" s="74">
        <v>0</v>
      </c>
    </row>
    <row r="1302" spans="3:22" x14ac:dyDescent="0.25">
      <c r="C1302" s="74" t="s">
        <v>735</v>
      </c>
      <c r="D1302" s="74" t="s">
        <v>148</v>
      </c>
      <c r="E1302" s="74" t="s">
        <v>21338</v>
      </c>
      <c r="F1302" s="74">
        <v>570025</v>
      </c>
      <c r="G1302" s="74">
        <v>3</v>
      </c>
      <c r="H1302" s="135">
        <v>42986.004803240743</v>
      </c>
      <c r="I1302" s="74" t="s">
        <v>21339</v>
      </c>
      <c r="J1302" s="74" t="s">
        <v>21360</v>
      </c>
      <c r="K1302" s="74" t="s">
        <v>21627</v>
      </c>
      <c r="L1302" s="74">
        <v>842851</v>
      </c>
      <c r="M1302" s="74" t="s">
        <v>21341</v>
      </c>
      <c r="N1302" s="74">
        <v>1</v>
      </c>
      <c r="O1302" s="74" t="s">
        <v>21342</v>
      </c>
      <c r="P1302" s="74" t="s">
        <v>21343</v>
      </c>
      <c r="Q1302" s="74" t="s">
        <v>21395</v>
      </c>
      <c r="R1302" s="74" t="s">
        <v>148</v>
      </c>
      <c r="S1302" s="74" t="s">
        <v>21338</v>
      </c>
      <c r="T1302" s="74" t="s">
        <v>393</v>
      </c>
      <c r="U1302" s="74">
        <v>0</v>
      </c>
      <c r="V1302" s="74">
        <v>0</v>
      </c>
    </row>
    <row r="1303" spans="3:22" x14ac:dyDescent="0.25">
      <c r="C1303" s="74" t="s">
        <v>21347</v>
      </c>
      <c r="D1303" s="74" t="s">
        <v>148</v>
      </c>
      <c r="E1303" s="74" t="s">
        <v>21338</v>
      </c>
      <c r="F1303" s="74">
        <v>637976</v>
      </c>
      <c r="G1303" s="74">
        <v>1</v>
      </c>
      <c r="H1303" s="135">
        <v>42985.899189814816</v>
      </c>
      <c r="I1303" s="74" t="s">
        <v>21348</v>
      </c>
      <c r="J1303" s="74" t="s">
        <v>21349</v>
      </c>
      <c r="K1303" s="74" t="s">
        <v>21347</v>
      </c>
      <c r="L1303" s="74">
        <v>637976</v>
      </c>
      <c r="M1303" s="74" t="s">
        <v>21341</v>
      </c>
      <c r="N1303" s="74">
        <v>0</v>
      </c>
      <c r="O1303" s="74" t="s">
        <v>21350</v>
      </c>
      <c r="P1303" s="74" t="s">
        <v>21343</v>
      </c>
      <c r="Q1303" s="74">
        <v>0</v>
      </c>
      <c r="R1303" s="74" t="s">
        <v>148</v>
      </c>
      <c r="S1303" s="74" t="s">
        <v>21338</v>
      </c>
      <c r="T1303" s="74" t="s">
        <v>402</v>
      </c>
      <c r="U1303" s="74">
        <v>0</v>
      </c>
      <c r="V1303" s="74">
        <v>0</v>
      </c>
    </row>
    <row r="1304" spans="3:22" x14ac:dyDescent="0.25">
      <c r="C1304" s="74" t="s">
        <v>21347</v>
      </c>
      <c r="D1304" s="74" t="s">
        <v>148</v>
      </c>
      <c r="E1304" s="74" t="s">
        <v>21338</v>
      </c>
      <c r="F1304" s="74">
        <v>637976</v>
      </c>
      <c r="G1304" s="74">
        <v>1</v>
      </c>
      <c r="H1304" s="135">
        <v>42985.899189814816</v>
      </c>
      <c r="I1304" s="74" t="s">
        <v>244</v>
      </c>
      <c r="J1304" s="74" t="s">
        <v>21349</v>
      </c>
      <c r="K1304" s="74" t="s">
        <v>21347</v>
      </c>
      <c r="L1304" s="74">
        <v>637976</v>
      </c>
      <c r="M1304" s="74" t="s">
        <v>21341</v>
      </c>
      <c r="N1304" s="74">
        <v>0</v>
      </c>
      <c r="O1304" s="74" t="s">
        <v>21350</v>
      </c>
      <c r="P1304" s="74" t="s">
        <v>21343</v>
      </c>
      <c r="Q1304" s="74">
        <v>0</v>
      </c>
      <c r="R1304" s="74" t="s">
        <v>148</v>
      </c>
      <c r="S1304" s="74" t="s">
        <v>21338</v>
      </c>
      <c r="T1304" s="74" t="s">
        <v>402</v>
      </c>
      <c r="U1304" s="74">
        <v>0</v>
      </c>
      <c r="V1304" s="74">
        <v>0</v>
      </c>
    </row>
    <row r="1305" spans="3:22" x14ac:dyDescent="0.25">
      <c r="C1305" s="74" t="s">
        <v>18795</v>
      </c>
      <c r="D1305" s="74" t="s">
        <v>148</v>
      </c>
      <c r="E1305" s="74" t="s">
        <v>21338</v>
      </c>
      <c r="F1305" s="74">
        <v>551367</v>
      </c>
      <c r="G1305" s="74">
        <v>1000</v>
      </c>
      <c r="H1305" s="135">
        <v>42985.86478009259</v>
      </c>
      <c r="I1305" s="74" t="s">
        <v>21339</v>
      </c>
      <c r="J1305" s="74" t="s">
        <v>21340</v>
      </c>
      <c r="K1305" s="74" t="s">
        <v>11329</v>
      </c>
      <c r="L1305" s="74">
        <v>553100</v>
      </c>
      <c r="M1305" s="74" t="s">
        <v>21341</v>
      </c>
      <c r="N1305" s="74">
        <v>1</v>
      </c>
      <c r="O1305" s="74" t="s">
        <v>21342</v>
      </c>
      <c r="P1305" s="74" t="s">
        <v>21343</v>
      </c>
      <c r="Q1305" s="74">
        <v>0</v>
      </c>
      <c r="R1305" s="74" t="s">
        <v>148</v>
      </c>
      <c r="S1305" s="74" t="s">
        <v>21338</v>
      </c>
      <c r="T1305" s="74" t="s">
        <v>402</v>
      </c>
      <c r="U1305" s="74">
        <v>0</v>
      </c>
      <c r="V1305" s="74">
        <v>0</v>
      </c>
    </row>
    <row r="1306" spans="3:22" x14ac:dyDescent="0.25">
      <c r="C1306" s="74" t="s">
        <v>21347</v>
      </c>
      <c r="D1306" s="74" t="s">
        <v>148</v>
      </c>
      <c r="E1306" s="74" t="s">
        <v>21338</v>
      </c>
      <c r="F1306" s="74">
        <v>637976</v>
      </c>
      <c r="G1306" s="74">
        <v>1</v>
      </c>
      <c r="H1306" s="135">
        <v>42985.801886574074</v>
      </c>
      <c r="I1306" s="74" t="s">
        <v>21348</v>
      </c>
      <c r="J1306" s="74" t="s">
        <v>21349</v>
      </c>
      <c r="K1306" s="74" t="s">
        <v>21347</v>
      </c>
      <c r="L1306" s="74">
        <v>637976</v>
      </c>
      <c r="M1306" s="74" t="s">
        <v>21341</v>
      </c>
      <c r="N1306" s="74">
        <v>0</v>
      </c>
      <c r="O1306" s="74" t="s">
        <v>21350</v>
      </c>
      <c r="P1306" s="74" t="s">
        <v>21343</v>
      </c>
      <c r="Q1306" s="74">
        <v>0</v>
      </c>
      <c r="R1306" s="74" t="s">
        <v>148</v>
      </c>
      <c r="S1306" s="74" t="s">
        <v>21338</v>
      </c>
      <c r="T1306" s="74" t="s">
        <v>402</v>
      </c>
      <c r="U1306" s="74">
        <v>0</v>
      </c>
      <c r="V1306" s="74">
        <v>0</v>
      </c>
    </row>
    <row r="1307" spans="3:22" x14ac:dyDescent="0.25">
      <c r="C1307" s="74" t="s">
        <v>21347</v>
      </c>
      <c r="D1307" s="74" t="s">
        <v>148</v>
      </c>
      <c r="E1307" s="74" t="s">
        <v>21338</v>
      </c>
      <c r="F1307" s="74">
        <v>637976</v>
      </c>
      <c r="G1307" s="74">
        <v>1</v>
      </c>
      <c r="H1307" s="135">
        <v>42985.801886574074</v>
      </c>
      <c r="I1307" s="74" t="s">
        <v>244</v>
      </c>
      <c r="J1307" s="74" t="s">
        <v>21349</v>
      </c>
      <c r="K1307" s="74" t="s">
        <v>21347</v>
      </c>
      <c r="L1307" s="74">
        <v>637976</v>
      </c>
      <c r="M1307" s="74" t="s">
        <v>21341</v>
      </c>
      <c r="N1307" s="74">
        <v>0</v>
      </c>
      <c r="O1307" s="74" t="s">
        <v>21350</v>
      </c>
      <c r="P1307" s="74" t="s">
        <v>21343</v>
      </c>
      <c r="Q1307" s="74">
        <v>0</v>
      </c>
      <c r="R1307" s="74" t="s">
        <v>148</v>
      </c>
      <c r="S1307" s="74" t="s">
        <v>21338</v>
      </c>
      <c r="T1307" s="74" t="s">
        <v>402</v>
      </c>
      <c r="U1307" s="74">
        <v>0</v>
      </c>
      <c r="V1307" s="74">
        <v>0</v>
      </c>
    </row>
    <row r="1308" spans="3:22" x14ac:dyDescent="0.25">
      <c r="C1308" s="74" t="s">
        <v>21347</v>
      </c>
      <c r="D1308" s="74" t="s">
        <v>148</v>
      </c>
      <c r="E1308" s="74" t="s">
        <v>21338</v>
      </c>
      <c r="F1308" s="74">
        <v>637976</v>
      </c>
      <c r="G1308" s="74">
        <v>1</v>
      </c>
      <c r="H1308" s="135">
        <v>42985.788831018515</v>
      </c>
      <c r="I1308" s="74" t="s">
        <v>21348</v>
      </c>
      <c r="J1308" s="74" t="s">
        <v>21349</v>
      </c>
      <c r="K1308" s="74" t="s">
        <v>21347</v>
      </c>
      <c r="L1308" s="74">
        <v>637976</v>
      </c>
      <c r="M1308" s="74" t="s">
        <v>21341</v>
      </c>
      <c r="N1308" s="74">
        <v>0</v>
      </c>
      <c r="O1308" s="74" t="s">
        <v>21350</v>
      </c>
      <c r="P1308" s="74" t="s">
        <v>21343</v>
      </c>
      <c r="Q1308" s="74">
        <v>0</v>
      </c>
      <c r="R1308" s="74" t="s">
        <v>148</v>
      </c>
      <c r="S1308" s="74" t="s">
        <v>21338</v>
      </c>
      <c r="T1308" s="74" t="s">
        <v>402</v>
      </c>
      <c r="U1308" s="74">
        <v>0</v>
      </c>
      <c r="V1308" s="74">
        <v>0</v>
      </c>
    </row>
    <row r="1309" spans="3:22" x14ac:dyDescent="0.25">
      <c r="C1309" s="74" t="s">
        <v>21347</v>
      </c>
      <c r="D1309" s="74" t="s">
        <v>148</v>
      </c>
      <c r="E1309" s="74" t="s">
        <v>21338</v>
      </c>
      <c r="F1309" s="74">
        <v>637976</v>
      </c>
      <c r="G1309" s="74">
        <v>1</v>
      </c>
      <c r="H1309" s="135">
        <v>42985.788831018515</v>
      </c>
      <c r="I1309" s="74" t="s">
        <v>244</v>
      </c>
      <c r="J1309" s="74" t="s">
        <v>21349</v>
      </c>
      <c r="K1309" s="74" t="s">
        <v>21347</v>
      </c>
      <c r="L1309" s="74">
        <v>637976</v>
      </c>
      <c r="M1309" s="74" t="s">
        <v>21341</v>
      </c>
      <c r="N1309" s="74">
        <v>0</v>
      </c>
      <c r="O1309" s="74" t="s">
        <v>21350</v>
      </c>
      <c r="P1309" s="74" t="s">
        <v>21343</v>
      </c>
      <c r="Q1309" s="74">
        <v>0</v>
      </c>
      <c r="R1309" s="74" t="s">
        <v>148</v>
      </c>
      <c r="S1309" s="74" t="s">
        <v>21338</v>
      </c>
      <c r="T1309" s="74" t="s">
        <v>402</v>
      </c>
      <c r="U1309" s="74">
        <v>0</v>
      </c>
      <c r="V1309" s="74">
        <v>0</v>
      </c>
    </row>
    <row r="1310" spans="3:22" x14ac:dyDescent="0.25">
      <c r="C1310" s="74" t="s">
        <v>18795</v>
      </c>
      <c r="D1310" s="74" t="s">
        <v>148</v>
      </c>
      <c r="E1310" s="74" t="s">
        <v>21338</v>
      </c>
      <c r="F1310" s="74">
        <v>551367</v>
      </c>
      <c r="G1310" s="74">
        <v>1000</v>
      </c>
      <c r="H1310" s="135">
        <v>42985.734166666669</v>
      </c>
      <c r="I1310" s="74" t="s">
        <v>21339</v>
      </c>
      <c r="J1310" s="74" t="s">
        <v>21340</v>
      </c>
      <c r="K1310" s="74" t="s">
        <v>2324</v>
      </c>
      <c r="L1310" s="74">
        <v>551955</v>
      </c>
      <c r="M1310" s="74" t="s">
        <v>21341</v>
      </c>
      <c r="N1310" s="74">
        <v>1</v>
      </c>
      <c r="O1310" s="74" t="s">
        <v>21342</v>
      </c>
      <c r="P1310" s="74" t="s">
        <v>21343</v>
      </c>
      <c r="Q1310" s="74">
        <v>0</v>
      </c>
      <c r="R1310" s="74" t="s">
        <v>148</v>
      </c>
      <c r="S1310" s="74" t="s">
        <v>21338</v>
      </c>
      <c r="T1310" s="74" t="s">
        <v>402</v>
      </c>
      <c r="U1310" s="74">
        <v>0</v>
      </c>
      <c r="V1310" s="74">
        <v>0</v>
      </c>
    </row>
    <row r="1311" spans="3:22" x14ac:dyDescent="0.25">
      <c r="C1311" s="74" t="s">
        <v>18795</v>
      </c>
      <c r="D1311" s="74" t="s">
        <v>148</v>
      </c>
      <c r="E1311" s="74" t="s">
        <v>21338</v>
      </c>
      <c r="F1311" s="74">
        <v>551367</v>
      </c>
      <c r="G1311" s="74">
        <v>1000</v>
      </c>
      <c r="H1311" s="135">
        <v>42985.696018518516</v>
      </c>
      <c r="I1311" s="74" t="s">
        <v>21339</v>
      </c>
      <c r="J1311" s="74" t="s">
        <v>21340</v>
      </c>
      <c r="K1311" s="74" t="s">
        <v>5137</v>
      </c>
      <c r="L1311" s="74">
        <v>552274</v>
      </c>
      <c r="M1311" s="74" t="s">
        <v>21341</v>
      </c>
      <c r="N1311" s="74">
        <v>1</v>
      </c>
      <c r="O1311" s="74" t="s">
        <v>21342</v>
      </c>
      <c r="P1311" s="74" t="s">
        <v>21343</v>
      </c>
      <c r="Q1311" s="74">
        <v>0</v>
      </c>
      <c r="R1311" s="74" t="s">
        <v>148</v>
      </c>
      <c r="S1311" s="74" t="s">
        <v>21338</v>
      </c>
      <c r="T1311" s="74" t="s">
        <v>402</v>
      </c>
      <c r="U1311" s="74">
        <v>0</v>
      </c>
      <c r="V1311" s="74">
        <v>0</v>
      </c>
    </row>
    <row r="1312" spans="3:22" x14ac:dyDescent="0.25">
      <c r="C1312" s="74" t="s">
        <v>21385</v>
      </c>
      <c r="D1312" s="74" t="s">
        <v>148</v>
      </c>
      <c r="E1312" s="74" t="s">
        <v>21338</v>
      </c>
      <c r="F1312" s="74">
        <v>560579</v>
      </c>
      <c r="G1312" s="74">
        <v>3</v>
      </c>
      <c r="H1312" s="135">
        <v>42985.695532407408</v>
      </c>
      <c r="I1312" s="74" t="s">
        <v>21354</v>
      </c>
      <c r="J1312" s="74" t="s">
        <v>21355</v>
      </c>
      <c r="K1312" s="74" t="s">
        <v>18777</v>
      </c>
      <c r="L1312" s="74">
        <v>554053</v>
      </c>
      <c r="M1312" s="74" t="s">
        <v>21341</v>
      </c>
      <c r="N1312" s="74">
        <v>1</v>
      </c>
      <c r="O1312" s="74" t="s">
        <v>21342</v>
      </c>
      <c r="P1312" s="74" t="s">
        <v>21345</v>
      </c>
      <c r="R1312" s="74" t="s">
        <v>148</v>
      </c>
      <c r="S1312" s="74" t="s">
        <v>21338</v>
      </c>
      <c r="T1312" s="74" t="s">
        <v>402</v>
      </c>
      <c r="U1312" s="74">
        <v>0</v>
      </c>
      <c r="V1312" s="74">
        <v>0</v>
      </c>
    </row>
    <row r="1313" spans="3:22" x14ac:dyDescent="0.25">
      <c r="C1313" s="74" t="s">
        <v>21385</v>
      </c>
      <c r="D1313" s="74" t="s">
        <v>148</v>
      </c>
      <c r="E1313" s="74" t="s">
        <v>21338</v>
      </c>
      <c r="F1313" s="74">
        <v>560579</v>
      </c>
      <c r="G1313" s="74">
        <v>3</v>
      </c>
      <c r="H1313" s="135">
        <v>42985.693981481483</v>
      </c>
      <c r="I1313" s="74" t="s">
        <v>21354</v>
      </c>
      <c r="J1313" s="74" t="s">
        <v>21355</v>
      </c>
      <c r="K1313" s="74" t="s">
        <v>18777</v>
      </c>
      <c r="L1313" s="74">
        <v>554053</v>
      </c>
      <c r="M1313" s="74" t="s">
        <v>21341</v>
      </c>
      <c r="N1313" s="74">
        <v>1</v>
      </c>
      <c r="O1313" s="74" t="s">
        <v>21342</v>
      </c>
      <c r="P1313" s="74" t="s">
        <v>21345</v>
      </c>
      <c r="R1313" s="74" t="s">
        <v>148</v>
      </c>
      <c r="S1313" s="74" t="s">
        <v>21338</v>
      </c>
      <c r="T1313" s="74" t="s">
        <v>402</v>
      </c>
      <c r="U1313" s="74">
        <v>0</v>
      </c>
      <c r="V1313" s="74">
        <v>0</v>
      </c>
    </row>
    <row r="1314" spans="3:22" x14ac:dyDescent="0.25">
      <c r="C1314" s="74" t="s">
        <v>21385</v>
      </c>
      <c r="D1314" s="74" t="s">
        <v>148</v>
      </c>
      <c r="E1314" s="74" t="s">
        <v>21338</v>
      </c>
      <c r="F1314" s="74">
        <v>560579</v>
      </c>
      <c r="G1314" s="74">
        <v>3</v>
      </c>
      <c r="H1314" s="135">
        <v>42985.693854166668</v>
      </c>
      <c r="I1314" s="74" t="s">
        <v>21354</v>
      </c>
      <c r="J1314" s="74" t="s">
        <v>21355</v>
      </c>
      <c r="K1314" s="74" t="s">
        <v>18777</v>
      </c>
      <c r="L1314" s="74">
        <v>554053</v>
      </c>
      <c r="M1314" s="74" t="s">
        <v>21341</v>
      </c>
      <c r="N1314" s="74">
        <v>1</v>
      </c>
      <c r="O1314" s="74" t="s">
        <v>21342</v>
      </c>
      <c r="P1314" s="74" t="s">
        <v>21345</v>
      </c>
      <c r="R1314" s="74" t="s">
        <v>148</v>
      </c>
      <c r="S1314" s="74" t="s">
        <v>21338</v>
      </c>
      <c r="T1314" s="74" t="s">
        <v>402</v>
      </c>
      <c r="U1314" s="74">
        <v>0</v>
      </c>
      <c r="V1314" s="74">
        <v>0</v>
      </c>
    </row>
    <row r="1315" spans="3:22" x14ac:dyDescent="0.25">
      <c r="C1315" s="74" t="s">
        <v>18795</v>
      </c>
      <c r="D1315" s="74" t="s">
        <v>148</v>
      </c>
      <c r="E1315" s="74" t="s">
        <v>21338</v>
      </c>
      <c r="F1315" s="74">
        <v>551367</v>
      </c>
      <c r="G1315" s="74">
        <v>1000</v>
      </c>
      <c r="H1315" s="135">
        <v>42985.683935185189</v>
      </c>
      <c r="I1315" s="74" t="s">
        <v>21339</v>
      </c>
      <c r="J1315" s="74" t="s">
        <v>21340</v>
      </c>
      <c r="K1315" s="74" t="s">
        <v>10852</v>
      </c>
      <c r="L1315" s="74">
        <v>553025</v>
      </c>
      <c r="M1315" s="74" t="s">
        <v>21341</v>
      </c>
      <c r="N1315" s="74">
        <v>1</v>
      </c>
      <c r="O1315" s="74" t="s">
        <v>21342</v>
      </c>
      <c r="P1315" s="74" t="s">
        <v>21343</v>
      </c>
      <c r="Q1315" s="74">
        <v>0</v>
      </c>
      <c r="R1315" s="74" t="s">
        <v>148</v>
      </c>
      <c r="S1315" s="74" t="s">
        <v>21338</v>
      </c>
      <c r="T1315" s="74" t="s">
        <v>402</v>
      </c>
      <c r="U1315" s="74">
        <v>0</v>
      </c>
      <c r="V1315" s="74">
        <v>0</v>
      </c>
    </row>
    <row r="1316" spans="3:22" x14ac:dyDescent="0.25">
      <c r="C1316" s="74" t="s">
        <v>533</v>
      </c>
      <c r="D1316" s="74" t="s">
        <v>148</v>
      </c>
      <c r="E1316" s="74" t="s">
        <v>21338</v>
      </c>
      <c r="F1316" s="74">
        <v>627566</v>
      </c>
      <c r="G1316" s="74">
        <v>3</v>
      </c>
      <c r="H1316" s="135">
        <v>42985.682372685187</v>
      </c>
      <c r="I1316" s="74" t="s">
        <v>21354</v>
      </c>
      <c r="J1316" s="74" t="s">
        <v>21355</v>
      </c>
      <c r="K1316" s="74" t="s">
        <v>21578</v>
      </c>
      <c r="L1316" s="74">
        <v>840602</v>
      </c>
      <c r="M1316" s="74" t="s">
        <v>21341</v>
      </c>
      <c r="N1316" s="74">
        <v>1</v>
      </c>
      <c r="O1316" s="74" t="s">
        <v>21342</v>
      </c>
      <c r="P1316" s="74" t="s">
        <v>21345</v>
      </c>
      <c r="R1316" s="74" t="s">
        <v>148</v>
      </c>
      <c r="S1316" s="74" t="s">
        <v>21338</v>
      </c>
      <c r="T1316" s="74" t="s">
        <v>402</v>
      </c>
      <c r="U1316" s="74">
        <v>0</v>
      </c>
      <c r="V1316" s="74">
        <v>0</v>
      </c>
    </row>
    <row r="1317" spans="3:22" x14ac:dyDescent="0.25">
      <c r="C1317" s="74" t="s">
        <v>533</v>
      </c>
      <c r="D1317" s="74" t="s">
        <v>148</v>
      </c>
      <c r="E1317" s="74" t="s">
        <v>21338</v>
      </c>
      <c r="F1317" s="74">
        <v>627566</v>
      </c>
      <c r="G1317" s="74">
        <v>3</v>
      </c>
      <c r="H1317" s="135">
        <v>42985.68209490741</v>
      </c>
      <c r="I1317" s="74" t="s">
        <v>21339</v>
      </c>
      <c r="J1317" s="74" t="s">
        <v>21360</v>
      </c>
      <c r="K1317" s="74" t="s">
        <v>21578</v>
      </c>
      <c r="L1317" s="74">
        <v>840602</v>
      </c>
      <c r="M1317" s="74" t="s">
        <v>21341</v>
      </c>
      <c r="N1317" s="74">
        <v>1</v>
      </c>
      <c r="O1317" s="74" t="s">
        <v>21359</v>
      </c>
      <c r="P1317" s="74" t="s">
        <v>21343</v>
      </c>
      <c r="Q1317" s="74" t="s">
        <v>21395</v>
      </c>
      <c r="R1317" s="74" t="s">
        <v>148</v>
      </c>
      <c r="S1317" s="74" t="s">
        <v>21338</v>
      </c>
      <c r="T1317" s="74" t="s">
        <v>402</v>
      </c>
      <c r="U1317" s="74">
        <v>0</v>
      </c>
      <c r="V1317" s="74">
        <v>0</v>
      </c>
    </row>
    <row r="1318" spans="3:22" x14ac:dyDescent="0.25">
      <c r="C1318" s="74" t="s">
        <v>18795</v>
      </c>
      <c r="D1318" s="74" t="s">
        <v>148</v>
      </c>
      <c r="E1318" s="74" t="s">
        <v>21338</v>
      </c>
      <c r="F1318" s="74">
        <v>551367</v>
      </c>
      <c r="G1318" s="74">
        <v>1000</v>
      </c>
      <c r="H1318" s="135">
        <v>42985.680254629631</v>
      </c>
      <c r="I1318" s="74" t="s">
        <v>21339</v>
      </c>
      <c r="J1318" s="74" t="s">
        <v>21340</v>
      </c>
      <c r="K1318" s="74" t="s">
        <v>16677</v>
      </c>
      <c r="L1318" s="74">
        <v>551688</v>
      </c>
      <c r="M1318" s="74" t="s">
        <v>21341</v>
      </c>
      <c r="N1318" s="74">
        <v>1</v>
      </c>
      <c r="O1318" s="74" t="s">
        <v>21342</v>
      </c>
      <c r="P1318" s="74" t="s">
        <v>21343</v>
      </c>
      <c r="Q1318" s="74">
        <v>0</v>
      </c>
      <c r="R1318" s="74" t="s">
        <v>148</v>
      </c>
      <c r="S1318" s="74" t="s">
        <v>21338</v>
      </c>
      <c r="T1318" s="74" t="s">
        <v>402</v>
      </c>
      <c r="U1318" s="74">
        <v>0</v>
      </c>
      <c r="V1318" s="74">
        <v>0</v>
      </c>
    </row>
    <row r="1319" spans="3:22" x14ac:dyDescent="0.25">
      <c r="C1319" s="74" t="s">
        <v>18795</v>
      </c>
      <c r="D1319" s="74" t="s">
        <v>148</v>
      </c>
      <c r="E1319" s="74" t="s">
        <v>21338</v>
      </c>
      <c r="F1319" s="74">
        <v>551367</v>
      </c>
      <c r="G1319" s="74">
        <v>1000</v>
      </c>
      <c r="H1319" s="135">
        <v>42985.666481481479</v>
      </c>
      <c r="I1319" s="74" t="s">
        <v>21339</v>
      </c>
      <c r="J1319" s="74" t="s">
        <v>21340</v>
      </c>
      <c r="K1319" s="74" t="s">
        <v>15317</v>
      </c>
      <c r="L1319" s="74">
        <v>553598</v>
      </c>
      <c r="M1319" s="74" t="s">
        <v>21341</v>
      </c>
      <c r="N1319" s="74">
        <v>1</v>
      </c>
      <c r="O1319" s="74" t="s">
        <v>21342</v>
      </c>
      <c r="P1319" s="74" t="s">
        <v>21343</v>
      </c>
      <c r="Q1319" s="74">
        <v>0</v>
      </c>
      <c r="R1319" s="74" t="s">
        <v>148</v>
      </c>
      <c r="S1319" s="74" t="s">
        <v>21338</v>
      </c>
      <c r="T1319" s="74" t="s">
        <v>402</v>
      </c>
      <c r="U1319" s="74">
        <v>0</v>
      </c>
      <c r="V1319" s="74">
        <v>0</v>
      </c>
    </row>
    <row r="1320" spans="3:22" x14ac:dyDescent="0.25">
      <c r="C1320" s="74" t="s">
        <v>18795</v>
      </c>
      <c r="D1320" s="74" t="s">
        <v>148</v>
      </c>
      <c r="E1320" s="74" t="s">
        <v>21338</v>
      </c>
      <c r="F1320" s="74">
        <v>551367</v>
      </c>
      <c r="G1320" s="74">
        <v>1000</v>
      </c>
      <c r="H1320" s="135">
        <v>42985.660069444442</v>
      </c>
      <c r="I1320" s="74" t="s">
        <v>21339</v>
      </c>
      <c r="J1320" s="74" t="s">
        <v>21340</v>
      </c>
      <c r="K1320" s="74" t="s">
        <v>18777</v>
      </c>
      <c r="L1320" s="74">
        <v>554053</v>
      </c>
      <c r="M1320" s="74" t="s">
        <v>21341</v>
      </c>
      <c r="N1320" s="74">
        <v>1</v>
      </c>
      <c r="O1320" s="74" t="s">
        <v>21342</v>
      </c>
      <c r="P1320" s="74" t="s">
        <v>21343</v>
      </c>
      <c r="Q1320" s="74">
        <v>0</v>
      </c>
      <c r="R1320" s="74" t="s">
        <v>148</v>
      </c>
      <c r="S1320" s="74" t="s">
        <v>21338</v>
      </c>
      <c r="T1320" s="74" t="s">
        <v>402</v>
      </c>
      <c r="U1320" s="74">
        <v>0</v>
      </c>
      <c r="V1320" s="74">
        <v>0</v>
      </c>
    </row>
    <row r="1321" spans="3:22" x14ac:dyDescent="0.25">
      <c r="C1321" s="74" t="s">
        <v>18795</v>
      </c>
      <c r="D1321" s="74" t="s">
        <v>148</v>
      </c>
      <c r="E1321" s="74" t="s">
        <v>21338</v>
      </c>
      <c r="F1321" s="74">
        <v>551367</v>
      </c>
      <c r="G1321" s="74">
        <v>1000</v>
      </c>
      <c r="H1321" s="135">
        <v>42985.65320601852</v>
      </c>
      <c r="I1321" s="74" t="s">
        <v>21339</v>
      </c>
      <c r="J1321" s="74" t="s">
        <v>21340</v>
      </c>
      <c r="K1321" s="74" t="s">
        <v>13733</v>
      </c>
      <c r="L1321" s="74">
        <v>553402</v>
      </c>
      <c r="M1321" s="74" t="s">
        <v>21341</v>
      </c>
      <c r="N1321" s="74">
        <v>1</v>
      </c>
      <c r="O1321" s="74" t="s">
        <v>21342</v>
      </c>
      <c r="P1321" s="74" t="s">
        <v>21343</v>
      </c>
      <c r="Q1321" s="74">
        <v>0</v>
      </c>
      <c r="R1321" s="74" t="s">
        <v>148</v>
      </c>
      <c r="S1321" s="74" t="s">
        <v>21338</v>
      </c>
      <c r="T1321" s="74" t="s">
        <v>402</v>
      </c>
      <c r="U1321" s="74">
        <v>0</v>
      </c>
      <c r="V1321" s="74">
        <v>0</v>
      </c>
    </row>
    <row r="1322" spans="3:22" x14ac:dyDescent="0.25">
      <c r="C1322" s="74" t="s">
        <v>18795</v>
      </c>
      <c r="D1322" s="74" t="s">
        <v>148</v>
      </c>
      <c r="E1322" s="74" t="s">
        <v>21338</v>
      </c>
      <c r="F1322" s="74">
        <v>551367</v>
      </c>
      <c r="G1322" s="74">
        <v>1000</v>
      </c>
      <c r="H1322" s="135">
        <v>42985.643877314818</v>
      </c>
      <c r="I1322" s="74" t="s">
        <v>21339</v>
      </c>
      <c r="J1322" s="74" t="s">
        <v>21340</v>
      </c>
      <c r="K1322" s="74" t="s">
        <v>14952</v>
      </c>
      <c r="L1322" s="74">
        <v>553565</v>
      </c>
      <c r="M1322" s="74" t="s">
        <v>21341</v>
      </c>
      <c r="N1322" s="74">
        <v>1</v>
      </c>
      <c r="O1322" s="74" t="s">
        <v>21342</v>
      </c>
      <c r="P1322" s="74" t="s">
        <v>21343</v>
      </c>
      <c r="Q1322" s="74">
        <v>0</v>
      </c>
      <c r="R1322" s="74" t="s">
        <v>148</v>
      </c>
      <c r="S1322" s="74" t="s">
        <v>21338</v>
      </c>
      <c r="T1322" s="74" t="s">
        <v>402</v>
      </c>
      <c r="U1322" s="74">
        <v>0</v>
      </c>
      <c r="V1322" s="74">
        <v>0</v>
      </c>
    </row>
    <row r="1323" spans="3:22" x14ac:dyDescent="0.25">
      <c r="C1323" s="74" t="s">
        <v>21347</v>
      </c>
      <c r="D1323" s="74" t="s">
        <v>148</v>
      </c>
      <c r="E1323" s="74" t="s">
        <v>21338</v>
      </c>
      <c r="F1323" s="74">
        <v>637976</v>
      </c>
      <c r="G1323" s="74">
        <v>1</v>
      </c>
      <c r="H1323" s="135">
        <v>42985.631215277775</v>
      </c>
      <c r="I1323" s="74" t="s">
        <v>21348</v>
      </c>
      <c r="J1323" s="74" t="s">
        <v>21349</v>
      </c>
      <c r="K1323" s="74" t="s">
        <v>21347</v>
      </c>
      <c r="L1323" s="74">
        <v>637976</v>
      </c>
      <c r="M1323" s="74" t="s">
        <v>21341</v>
      </c>
      <c r="N1323" s="74">
        <v>0</v>
      </c>
      <c r="O1323" s="74" t="s">
        <v>21350</v>
      </c>
      <c r="P1323" s="74" t="s">
        <v>21343</v>
      </c>
      <c r="Q1323" s="74">
        <v>0</v>
      </c>
      <c r="R1323" s="74" t="s">
        <v>148</v>
      </c>
      <c r="S1323" s="74" t="s">
        <v>21338</v>
      </c>
      <c r="T1323" s="74" t="s">
        <v>402</v>
      </c>
      <c r="U1323" s="74">
        <v>0</v>
      </c>
      <c r="V1323" s="74">
        <v>0</v>
      </c>
    </row>
    <row r="1324" spans="3:22" x14ac:dyDescent="0.25">
      <c r="C1324" s="74" t="s">
        <v>21347</v>
      </c>
      <c r="D1324" s="74" t="s">
        <v>148</v>
      </c>
      <c r="E1324" s="74" t="s">
        <v>21338</v>
      </c>
      <c r="F1324" s="74">
        <v>637976</v>
      </c>
      <c r="G1324" s="74">
        <v>1</v>
      </c>
      <c r="H1324" s="135">
        <v>42985.631215277775</v>
      </c>
      <c r="I1324" s="74" t="s">
        <v>244</v>
      </c>
      <c r="J1324" s="74" t="s">
        <v>21349</v>
      </c>
      <c r="K1324" s="74" t="s">
        <v>21347</v>
      </c>
      <c r="L1324" s="74">
        <v>637976</v>
      </c>
      <c r="M1324" s="74" t="s">
        <v>21341</v>
      </c>
      <c r="N1324" s="74">
        <v>0</v>
      </c>
      <c r="O1324" s="74" t="s">
        <v>21350</v>
      </c>
      <c r="P1324" s="74" t="s">
        <v>21343</v>
      </c>
      <c r="Q1324" s="74">
        <v>0</v>
      </c>
      <c r="R1324" s="74" t="s">
        <v>148</v>
      </c>
      <c r="S1324" s="74" t="s">
        <v>21338</v>
      </c>
      <c r="T1324" s="74" t="s">
        <v>402</v>
      </c>
      <c r="U1324" s="74">
        <v>0</v>
      </c>
      <c r="V1324" s="74">
        <v>0</v>
      </c>
    </row>
    <row r="1325" spans="3:22" x14ac:dyDescent="0.25">
      <c r="C1325" s="74" t="s">
        <v>18795</v>
      </c>
      <c r="D1325" s="74" t="s">
        <v>148</v>
      </c>
      <c r="E1325" s="74" t="s">
        <v>21338</v>
      </c>
      <c r="F1325" s="74">
        <v>551367</v>
      </c>
      <c r="G1325" s="74">
        <v>1000</v>
      </c>
      <c r="H1325" s="135">
        <v>42985.610648148147</v>
      </c>
      <c r="I1325" s="74" t="s">
        <v>21339</v>
      </c>
      <c r="J1325" s="74" t="s">
        <v>21340</v>
      </c>
      <c r="K1325" s="74" t="s">
        <v>11072</v>
      </c>
      <c r="L1325" s="74">
        <v>553055</v>
      </c>
      <c r="M1325" s="74" t="s">
        <v>21341</v>
      </c>
      <c r="N1325" s="74">
        <v>1</v>
      </c>
      <c r="O1325" s="74" t="s">
        <v>21342</v>
      </c>
      <c r="P1325" s="74" t="s">
        <v>21343</v>
      </c>
      <c r="Q1325" s="74">
        <v>0</v>
      </c>
      <c r="R1325" s="74" t="s">
        <v>148</v>
      </c>
      <c r="S1325" s="74" t="s">
        <v>21338</v>
      </c>
      <c r="T1325" s="74" t="s">
        <v>402</v>
      </c>
      <c r="U1325" s="74">
        <v>0</v>
      </c>
      <c r="V1325" s="74">
        <v>0</v>
      </c>
    </row>
    <row r="1326" spans="3:22" x14ac:dyDescent="0.25">
      <c r="C1326" s="74" t="s">
        <v>21388</v>
      </c>
      <c r="D1326" s="74" t="s">
        <v>148</v>
      </c>
      <c r="E1326" s="74" t="s">
        <v>21338</v>
      </c>
      <c r="F1326" s="74">
        <v>560366</v>
      </c>
      <c r="G1326" s="74">
        <v>3</v>
      </c>
      <c r="H1326" s="135">
        <v>42985.594537037039</v>
      </c>
      <c r="I1326" s="74" t="s">
        <v>21354</v>
      </c>
      <c r="J1326" s="74" t="s">
        <v>21355</v>
      </c>
      <c r="K1326" s="74" t="s">
        <v>21578</v>
      </c>
      <c r="L1326" s="74">
        <v>840602</v>
      </c>
      <c r="M1326" s="74" t="s">
        <v>21341</v>
      </c>
      <c r="N1326" s="74">
        <v>1</v>
      </c>
      <c r="O1326" s="74" t="s">
        <v>21342</v>
      </c>
      <c r="P1326" s="74" t="s">
        <v>21345</v>
      </c>
      <c r="R1326" s="74" t="s">
        <v>148</v>
      </c>
      <c r="S1326" s="74" t="s">
        <v>21338</v>
      </c>
      <c r="T1326" s="74" t="s">
        <v>402</v>
      </c>
      <c r="U1326" s="74">
        <v>0</v>
      </c>
      <c r="V1326" s="74">
        <v>0</v>
      </c>
    </row>
    <row r="1327" spans="3:22" x14ac:dyDescent="0.25">
      <c r="C1327" s="74" t="s">
        <v>18795</v>
      </c>
      <c r="D1327" s="74" t="s">
        <v>148</v>
      </c>
      <c r="E1327" s="74" t="s">
        <v>21338</v>
      </c>
      <c r="F1327" s="74">
        <v>551367</v>
      </c>
      <c r="G1327" s="74">
        <v>1000</v>
      </c>
      <c r="H1327" s="135">
        <v>42985.578333333331</v>
      </c>
      <c r="I1327" s="74" t="s">
        <v>21339</v>
      </c>
      <c r="J1327" s="74" t="s">
        <v>21340</v>
      </c>
      <c r="K1327" s="74" t="s">
        <v>17024</v>
      </c>
      <c r="L1327" s="74">
        <v>553804</v>
      </c>
      <c r="M1327" s="74" t="s">
        <v>21341</v>
      </c>
      <c r="N1327" s="74">
        <v>1</v>
      </c>
      <c r="O1327" s="74" t="s">
        <v>21342</v>
      </c>
      <c r="P1327" s="74" t="s">
        <v>21343</v>
      </c>
      <c r="Q1327" s="74">
        <v>0</v>
      </c>
      <c r="R1327" s="74" t="s">
        <v>148</v>
      </c>
      <c r="S1327" s="74" t="s">
        <v>21338</v>
      </c>
      <c r="T1327" s="74" t="s">
        <v>402</v>
      </c>
      <c r="U1327" s="74">
        <v>0</v>
      </c>
      <c r="V1327" s="74">
        <v>0</v>
      </c>
    </row>
    <row r="1328" spans="3:22" x14ac:dyDescent="0.25">
      <c r="C1328" s="74" t="s">
        <v>735</v>
      </c>
      <c r="D1328" s="74" t="s">
        <v>148</v>
      </c>
      <c r="E1328" s="74" t="s">
        <v>21338</v>
      </c>
      <c r="F1328" s="74">
        <v>570025</v>
      </c>
      <c r="G1328" s="74">
        <v>3</v>
      </c>
      <c r="H1328" s="135">
        <v>42985.563194444447</v>
      </c>
      <c r="I1328" s="74" t="s">
        <v>21339</v>
      </c>
      <c r="J1328" s="74" t="s">
        <v>21364</v>
      </c>
      <c r="K1328" s="74" t="s">
        <v>2681</v>
      </c>
      <c r="L1328" s="74">
        <v>907579</v>
      </c>
      <c r="M1328" s="74" t="s">
        <v>21341</v>
      </c>
      <c r="N1328" s="74">
        <v>1</v>
      </c>
      <c r="O1328" s="74" t="s">
        <v>21342</v>
      </c>
      <c r="P1328" s="74" t="s">
        <v>21343</v>
      </c>
      <c r="Q1328" s="74">
        <v>0</v>
      </c>
      <c r="R1328" s="74" t="s">
        <v>148</v>
      </c>
      <c r="S1328" s="74" t="s">
        <v>21338</v>
      </c>
      <c r="T1328" s="74" t="s">
        <v>402</v>
      </c>
      <c r="U1328" s="74">
        <v>0</v>
      </c>
      <c r="V1328" s="74">
        <v>0</v>
      </c>
    </row>
    <row r="1329" spans="3:22" x14ac:dyDescent="0.25">
      <c r="C1329" s="74" t="s">
        <v>735</v>
      </c>
      <c r="D1329" s="74" t="s">
        <v>148</v>
      </c>
      <c r="E1329" s="74" t="s">
        <v>21338</v>
      </c>
      <c r="F1329" s="74">
        <v>570025</v>
      </c>
      <c r="G1329" s="74">
        <v>3</v>
      </c>
      <c r="H1329" s="135">
        <v>42985.56318287037</v>
      </c>
      <c r="I1329" s="74" t="s">
        <v>21339</v>
      </c>
      <c r="J1329" s="74" t="s">
        <v>21364</v>
      </c>
      <c r="K1329" s="74" t="s">
        <v>2681</v>
      </c>
      <c r="L1329" s="74">
        <v>907579</v>
      </c>
      <c r="M1329" s="74" t="s">
        <v>21341</v>
      </c>
      <c r="N1329" s="74">
        <v>1</v>
      </c>
      <c r="O1329" s="74" t="s">
        <v>21342</v>
      </c>
      <c r="P1329" s="74" t="s">
        <v>21343</v>
      </c>
      <c r="Q1329" s="74">
        <v>0</v>
      </c>
      <c r="R1329" s="74" t="s">
        <v>148</v>
      </c>
      <c r="S1329" s="74" t="s">
        <v>21338</v>
      </c>
      <c r="T1329" s="74" t="s">
        <v>402</v>
      </c>
      <c r="U1329" s="74">
        <v>0</v>
      </c>
      <c r="V1329" s="74">
        <v>0</v>
      </c>
    </row>
    <row r="1330" spans="3:22" x14ac:dyDescent="0.25">
      <c r="C1330" s="74" t="s">
        <v>735</v>
      </c>
      <c r="D1330" s="74" t="s">
        <v>148</v>
      </c>
      <c r="E1330" s="74" t="s">
        <v>21338</v>
      </c>
      <c r="F1330" s="74">
        <v>570025</v>
      </c>
      <c r="G1330" s="74">
        <v>3</v>
      </c>
      <c r="H1330" s="135">
        <v>42985.563113425924</v>
      </c>
      <c r="I1330" s="74" t="s">
        <v>21339</v>
      </c>
      <c r="J1330" s="74" t="s">
        <v>21364</v>
      </c>
      <c r="K1330" s="74" t="s">
        <v>2681</v>
      </c>
      <c r="L1330" s="74">
        <v>907579</v>
      </c>
      <c r="M1330" s="74" t="s">
        <v>21341</v>
      </c>
      <c r="N1330" s="74">
        <v>1</v>
      </c>
      <c r="O1330" s="74" t="s">
        <v>21342</v>
      </c>
      <c r="P1330" s="74" t="s">
        <v>21343</v>
      </c>
      <c r="Q1330" s="74">
        <v>0</v>
      </c>
      <c r="R1330" s="74" t="s">
        <v>148</v>
      </c>
      <c r="S1330" s="74" t="s">
        <v>21338</v>
      </c>
      <c r="T1330" s="74" t="s">
        <v>402</v>
      </c>
      <c r="U1330" s="74">
        <v>0</v>
      </c>
      <c r="V1330" s="74">
        <v>0</v>
      </c>
    </row>
    <row r="1331" spans="3:22" x14ac:dyDescent="0.25">
      <c r="C1331" s="74" t="s">
        <v>735</v>
      </c>
      <c r="D1331" s="74" t="s">
        <v>148</v>
      </c>
      <c r="E1331" s="74" t="s">
        <v>21338</v>
      </c>
      <c r="F1331" s="74">
        <v>570025</v>
      </c>
      <c r="G1331" s="74">
        <v>3</v>
      </c>
      <c r="H1331" s="135">
        <v>42985.563101851854</v>
      </c>
      <c r="I1331" s="74" t="s">
        <v>21398</v>
      </c>
      <c r="J1331" s="74" t="s">
        <v>21366</v>
      </c>
      <c r="K1331" s="74" t="s">
        <v>21367</v>
      </c>
      <c r="L1331" s="74">
        <v>561482</v>
      </c>
      <c r="M1331" s="74" t="s">
        <v>21368</v>
      </c>
      <c r="N1331" s="74">
        <v>1</v>
      </c>
      <c r="O1331" s="74" t="s">
        <v>21369</v>
      </c>
      <c r="P1331" s="74" t="s">
        <v>21343</v>
      </c>
      <c r="Q1331" s="325" t="s">
        <v>21634</v>
      </c>
      <c r="R1331" s="74" t="s">
        <v>148</v>
      </c>
      <c r="S1331" s="74" t="s">
        <v>21338</v>
      </c>
      <c r="T1331" s="74" t="s">
        <v>21371</v>
      </c>
      <c r="U1331" s="74">
        <v>0</v>
      </c>
      <c r="V1331" s="74">
        <v>0</v>
      </c>
    </row>
    <row r="1332" spans="3:22" x14ac:dyDescent="0.25">
      <c r="C1332" s="74" t="s">
        <v>735</v>
      </c>
      <c r="D1332" s="74" t="s">
        <v>148</v>
      </c>
      <c r="E1332" s="74" t="s">
        <v>21338</v>
      </c>
      <c r="F1332" s="74">
        <v>570025</v>
      </c>
      <c r="G1332" s="74">
        <v>3</v>
      </c>
      <c r="H1332" s="135">
        <v>42985.563090277778</v>
      </c>
      <c r="I1332" s="74" t="s">
        <v>21398</v>
      </c>
      <c r="J1332" s="74" t="s">
        <v>21366</v>
      </c>
      <c r="K1332" s="74" t="s">
        <v>21376</v>
      </c>
      <c r="L1332" s="74">
        <v>555659</v>
      </c>
      <c r="M1332" s="74" t="s">
        <v>21368</v>
      </c>
      <c r="N1332" s="74">
        <v>1</v>
      </c>
      <c r="O1332" s="74" t="s">
        <v>21369</v>
      </c>
      <c r="P1332" s="74" t="s">
        <v>21343</v>
      </c>
      <c r="Q1332" s="325" t="s">
        <v>21634</v>
      </c>
      <c r="R1332" s="74" t="s">
        <v>148</v>
      </c>
      <c r="S1332" s="74" t="s">
        <v>21338</v>
      </c>
      <c r="T1332" s="74" t="s">
        <v>21371</v>
      </c>
      <c r="U1332" s="74">
        <v>0</v>
      </c>
      <c r="V1332" s="74">
        <v>0</v>
      </c>
    </row>
    <row r="1333" spans="3:22" x14ac:dyDescent="0.25">
      <c r="C1333" s="74" t="s">
        <v>735</v>
      </c>
      <c r="D1333" s="74" t="s">
        <v>148</v>
      </c>
      <c r="E1333" s="74" t="s">
        <v>21338</v>
      </c>
      <c r="F1333" s="74">
        <v>570025</v>
      </c>
      <c r="G1333" s="74">
        <v>3</v>
      </c>
      <c r="H1333" s="135">
        <v>42985.563078703701</v>
      </c>
      <c r="I1333" s="74" t="s">
        <v>21339</v>
      </c>
      <c r="J1333" s="74" t="s">
        <v>21364</v>
      </c>
      <c r="K1333" s="74" t="s">
        <v>2681</v>
      </c>
      <c r="L1333" s="74">
        <v>907579</v>
      </c>
      <c r="M1333" s="74" t="s">
        <v>21341</v>
      </c>
      <c r="N1333" s="74">
        <v>1</v>
      </c>
      <c r="O1333" s="74" t="s">
        <v>21342</v>
      </c>
      <c r="P1333" s="74" t="s">
        <v>21343</v>
      </c>
      <c r="Q1333" s="74">
        <v>0</v>
      </c>
      <c r="R1333" s="74" t="s">
        <v>148</v>
      </c>
      <c r="S1333" s="74" t="s">
        <v>21338</v>
      </c>
      <c r="T1333" s="74" t="s">
        <v>402</v>
      </c>
      <c r="U1333" s="74">
        <v>0</v>
      </c>
      <c r="V1333" s="74">
        <v>0</v>
      </c>
    </row>
    <row r="1334" spans="3:22" x14ac:dyDescent="0.25">
      <c r="C1334" s="74" t="s">
        <v>735</v>
      </c>
      <c r="D1334" s="74" t="s">
        <v>148</v>
      </c>
      <c r="E1334" s="74" t="s">
        <v>21338</v>
      </c>
      <c r="F1334" s="74">
        <v>570025</v>
      </c>
      <c r="G1334" s="74">
        <v>3</v>
      </c>
      <c r="H1334" s="135">
        <v>42985.562557870369</v>
      </c>
      <c r="I1334" s="74" t="s">
        <v>21339</v>
      </c>
      <c r="J1334" s="74" t="s">
        <v>21364</v>
      </c>
      <c r="K1334" s="74" t="s">
        <v>2681</v>
      </c>
      <c r="L1334" s="74">
        <v>907579</v>
      </c>
      <c r="M1334" s="74" t="s">
        <v>21341</v>
      </c>
      <c r="N1334" s="74">
        <v>1</v>
      </c>
      <c r="O1334" s="74" t="s">
        <v>21342</v>
      </c>
      <c r="P1334" s="74" t="s">
        <v>21343</v>
      </c>
      <c r="Q1334" s="74">
        <v>0</v>
      </c>
      <c r="R1334" s="74" t="s">
        <v>148</v>
      </c>
      <c r="S1334" s="74" t="s">
        <v>21338</v>
      </c>
      <c r="T1334" s="74" t="s">
        <v>402</v>
      </c>
      <c r="U1334" s="74">
        <v>0</v>
      </c>
      <c r="V1334" s="74">
        <v>0</v>
      </c>
    </row>
    <row r="1335" spans="3:22" x14ac:dyDescent="0.25">
      <c r="C1335" s="74" t="s">
        <v>21386</v>
      </c>
      <c r="D1335" s="74" t="s">
        <v>148</v>
      </c>
      <c r="E1335" s="74" t="s">
        <v>21338</v>
      </c>
      <c r="F1335" s="74">
        <v>674396</v>
      </c>
      <c r="G1335" s="74">
        <v>3</v>
      </c>
      <c r="H1335" s="135">
        <v>42985.561435185184</v>
      </c>
      <c r="I1335" s="74" t="s">
        <v>21398</v>
      </c>
      <c r="J1335" s="74" t="s">
        <v>21366</v>
      </c>
      <c r="K1335" s="74" t="s">
        <v>21403</v>
      </c>
      <c r="L1335" s="74">
        <v>561483</v>
      </c>
      <c r="M1335" s="74" t="s">
        <v>21368</v>
      </c>
      <c r="N1335" s="74">
        <v>1</v>
      </c>
      <c r="O1335" s="74" t="s">
        <v>21369</v>
      </c>
      <c r="P1335" s="74" t="s">
        <v>21343</v>
      </c>
      <c r="Q1335" s="74" t="s">
        <v>21635</v>
      </c>
      <c r="R1335" s="74" t="s">
        <v>148</v>
      </c>
      <c r="S1335" s="74" t="s">
        <v>21338</v>
      </c>
      <c r="T1335" s="74" t="s">
        <v>21371</v>
      </c>
      <c r="U1335" s="74">
        <v>0</v>
      </c>
      <c r="V1335" s="74">
        <v>0</v>
      </c>
    </row>
    <row r="1336" spans="3:22" x14ac:dyDescent="0.25">
      <c r="C1336" s="74" t="s">
        <v>21386</v>
      </c>
      <c r="D1336" s="74" t="s">
        <v>148</v>
      </c>
      <c r="E1336" s="74" t="s">
        <v>21338</v>
      </c>
      <c r="F1336" s="74">
        <v>674396</v>
      </c>
      <c r="G1336" s="74">
        <v>3</v>
      </c>
      <c r="H1336" s="135">
        <v>42985.561435185184</v>
      </c>
      <c r="I1336" s="74" t="s">
        <v>21339</v>
      </c>
      <c r="J1336" s="74" t="s">
        <v>21364</v>
      </c>
      <c r="K1336" s="74" t="s">
        <v>2527</v>
      </c>
      <c r="L1336" s="74">
        <v>907578</v>
      </c>
      <c r="M1336" s="74" t="s">
        <v>21341</v>
      </c>
      <c r="N1336" s="74">
        <v>1</v>
      </c>
      <c r="O1336" s="74" t="s">
        <v>21342</v>
      </c>
      <c r="P1336" s="74" t="s">
        <v>21343</v>
      </c>
      <c r="Q1336" s="74">
        <v>0</v>
      </c>
      <c r="R1336" s="74" t="s">
        <v>148</v>
      </c>
      <c r="S1336" s="74" t="s">
        <v>21338</v>
      </c>
      <c r="T1336" s="74" t="s">
        <v>402</v>
      </c>
      <c r="U1336" s="74">
        <v>0</v>
      </c>
      <c r="V1336" s="74">
        <v>0</v>
      </c>
    </row>
    <row r="1337" spans="3:22" x14ac:dyDescent="0.25">
      <c r="C1337" s="74" t="s">
        <v>21386</v>
      </c>
      <c r="D1337" s="74" t="s">
        <v>148</v>
      </c>
      <c r="E1337" s="74" t="s">
        <v>21338</v>
      </c>
      <c r="F1337" s="74">
        <v>674396</v>
      </c>
      <c r="G1337" s="74">
        <v>3</v>
      </c>
      <c r="H1337" s="135">
        <v>42985.561423611114</v>
      </c>
      <c r="I1337" s="74" t="s">
        <v>21398</v>
      </c>
      <c r="J1337" s="74" t="s">
        <v>21366</v>
      </c>
      <c r="K1337" s="74" t="s">
        <v>21367</v>
      </c>
      <c r="L1337" s="74">
        <v>561482</v>
      </c>
      <c r="M1337" s="74" t="s">
        <v>21368</v>
      </c>
      <c r="N1337" s="74">
        <v>1</v>
      </c>
      <c r="O1337" s="74" t="s">
        <v>21369</v>
      </c>
      <c r="P1337" s="74" t="s">
        <v>21343</v>
      </c>
      <c r="Q1337" s="74" t="s">
        <v>21635</v>
      </c>
      <c r="R1337" s="74" t="s">
        <v>148</v>
      </c>
      <c r="S1337" s="74" t="s">
        <v>21338</v>
      </c>
      <c r="T1337" s="74" t="s">
        <v>21371</v>
      </c>
      <c r="U1337" s="74">
        <v>0</v>
      </c>
      <c r="V1337" s="74">
        <v>0</v>
      </c>
    </row>
    <row r="1338" spans="3:22" x14ac:dyDescent="0.25">
      <c r="C1338" s="74" t="s">
        <v>21386</v>
      </c>
      <c r="D1338" s="74" t="s">
        <v>148</v>
      </c>
      <c r="E1338" s="74" t="s">
        <v>21338</v>
      </c>
      <c r="F1338" s="74">
        <v>674396</v>
      </c>
      <c r="G1338" s="74">
        <v>3</v>
      </c>
      <c r="H1338" s="135">
        <v>42985.561388888891</v>
      </c>
      <c r="I1338" s="74" t="s">
        <v>21398</v>
      </c>
      <c r="J1338" s="74" t="s">
        <v>21366</v>
      </c>
      <c r="K1338" s="74" t="s">
        <v>21381</v>
      </c>
      <c r="L1338" s="74">
        <v>555660</v>
      </c>
      <c r="M1338" s="74" t="s">
        <v>21368</v>
      </c>
      <c r="N1338" s="74">
        <v>1</v>
      </c>
      <c r="O1338" s="74" t="s">
        <v>21369</v>
      </c>
      <c r="P1338" s="74" t="s">
        <v>21343</v>
      </c>
      <c r="Q1338" s="74" t="s">
        <v>21635</v>
      </c>
      <c r="R1338" s="74" t="s">
        <v>148</v>
      </c>
      <c r="S1338" s="74" t="s">
        <v>21338</v>
      </c>
      <c r="T1338" s="74" t="s">
        <v>21371</v>
      </c>
      <c r="U1338" s="74">
        <v>0</v>
      </c>
      <c r="V1338" s="74">
        <v>0</v>
      </c>
    </row>
    <row r="1339" spans="3:22" x14ac:dyDescent="0.25">
      <c r="C1339" s="74" t="s">
        <v>21386</v>
      </c>
      <c r="D1339" s="74" t="s">
        <v>148</v>
      </c>
      <c r="E1339" s="74" t="s">
        <v>21338</v>
      </c>
      <c r="F1339" s="74">
        <v>674396</v>
      </c>
      <c r="G1339" s="74">
        <v>3</v>
      </c>
      <c r="H1339" s="135">
        <v>42985.561342592591</v>
      </c>
      <c r="I1339" s="74" t="s">
        <v>21339</v>
      </c>
      <c r="J1339" s="74" t="s">
        <v>21364</v>
      </c>
      <c r="K1339" s="74" t="s">
        <v>2527</v>
      </c>
      <c r="L1339" s="74">
        <v>907578</v>
      </c>
      <c r="M1339" s="74" t="s">
        <v>21341</v>
      </c>
      <c r="N1339" s="74">
        <v>1</v>
      </c>
      <c r="O1339" s="74" t="s">
        <v>21342</v>
      </c>
      <c r="P1339" s="74" t="s">
        <v>21343</v>
      </c>
      <c r="Q1339" s="74">
        <v>0</v>
      </c>
      <c r="R1339" s="74" t="s">
        <v>148</v>
      </c>
      <c r="S1339" s="74" t="s">
        <v>21338</v>
      </c>
      <c r="T1339" s="74" t="s">
        <v>402</v>
      </c>
      <c r="U1339" s="74">
        <v>0</v>
      </c>
      <c r="V1339" s="74">
        <v>0</v>
      </c>
    </row>
    <row r="1340" spans="3:22" x14ac:dyDescent="0.25">
      <c r="C1340" s="74" t="s">
        <v>735</v>
      </c>
      <c r="D1340" s="74" t="s">
        <v>148</v>
      </c>
      <c r="E1340" s="74" t="s">
        <v>21338</v>
      </c>
      <c r="F1340" s="74">
        <v>570025</v>
      </c>
      <c r="G1340" s="74">
        <v>3</v>
      </c>
      <c r="H1340" s="135">
        <v>42985.561261574076</v>
      </c>
      <c r="I1340" s="74" t="s">
        <v>21398</v>
      </c>
      <c r="J1340" s="74" t="s">
        <v>21400</v>
      </c>
      <c r="K1340" s="74" t="s">
        <v>2681</v>
      </c>
      <c r="L1340" s="74">
        <v>907579</v>
      </c>
      <c r="M1340" s="74" t="s">
        <v>21341</v>
      </c>
      <c r="N1340" s="74">
        <v>1</v>
      </c>
      <c r="O1340" s="74" t="s">
        <v>21342</v>
      </c>
      <c r="P1340" s="74" t="s">
        <v>21343</v>
      </c>
      <c r="Q1340" s="74" t="s">
        <v>21636</v>
      </c>
      <c r="R1340" s="74" t="s">
        <v>148</v>
      </c>
      <c r="S1340" s="74" t="s">
        <v>21338</v>
      </c>
      <c r="T1340" s="74" t="s">
        <v>402</v>
      </c>
      <c r="U1340" s="74">
        <v>0</v>
      </c>
      <c r="V1340" s="74">
        <v>0</v>
      </c>
    </row>
    <row r="1341" spans="3:22" x14ac:dyDescent="0.25">
      <c r="C1341" s="74" t="s">
        <v>21386</v>
      </c>
      <c r="D1341" s="74" t="s">
        <v>148</v>
      </c>
      <c r="E1341" s="74" t="s">
        <v>21338</v>
      </c>
      <c r="F1341" s="74">
        <v>674396</v>
      </c>
      <c r="G1341" s="74">
        <v>3</v>
      </c>
      <c r="H1341" s="135">
        <v>42985.561157407406</v>
      </c>
      <c r="I1341" s="74" t="s">
        <v>21339</v>
      </c>
      <c r="J1341" s="74" t="s">
        <v>21364</v>
      </c>
      <c r="K1341" s="74" t="s">
        <v>2527</v>
      </c>
      <c r="L1341" s="74">
        <v>907578</v>
      </c>
      <c r="M1341" s="74" t="s">
        <v>21341</v>
      </c>
      <c r="N1341" s="74">
        <v>1</v>
      </c>
      <c r="O1341" s="74" t="s">
        <v>21342</v>
      </c>
      <c r="P1341" s="74" t="s">
        <v>21343</v>
      </c>
      <c r="Q1341" s="74">
        <v>0</v>
      </c>
      <c r="R1341" s="74" t="s">
        <v>148</v>
      </c>
      <c r="S1341" s="74" t="s">
        <v>21338</v>
      </c>
      <c r="T1341" s="74" t="s">
        <v>402</v>
      </c>
      <c r="U1341" s="74">
        <v>0</v>
      </c>
      <c r="V1341" s="74">
        <v>0</v>
      </c>
    </row>
    <row r="1342" spans="3:22" x14ac:dyDescent="0.25">
      <c r="C1342" s="74" t="s">
        <v>21386</v>
      </c>
      <c r="D1342" s="74" t="s">
        <v>148</v>
      </c>
      <c r="E1342" s="74" t="s">
        <v>21338</v>
      </c>
      <c r="F1342" s="74">
        <v>674396</v>
      </c>
      <c r="G1342" s="74">
        <v>3</v>
      </c>
      <c r="H1342" s="135">
        <v>42985.559571759259</v>
      </c>
      <c r="I1342" s="74" t="s">
        <v>21398</v>
      </c>
      <c r="J1342" s="74" t="s">
        <v>21400</v>
      </c>
      <c r="K1342" s="74" t="s">
        <v>2527</v>
      </c>
      <c r="L1342" s="74">
        <v>907578</v>
      </c>
      <c r="M1342" s="74" t="s">
        <v>21341</v>
      </c>
      <c r="N1342" s="74">
        <v>1</v>
      </c>
      <c r="O1342" s="74" t="s">
        <v>21342</v>
      </c>
      <c r="P1342" s="74" t="s">
        <v>21343</v>
      </c>
      <c r="Q1342" s="74" t="s">
        <v>21637</v>
      </c>
      <c r="R1342" s="74" t="s">
        <v>148</v>
      </c>
      <c r="S1342" s="74" t="s">
        <v>21338</v>
      </c>
      <c r="T1342" s="74" t="s">
        <v>402</v>
      </c>
      <c r="U1342" s="74">
        <v>0</v>
      </c>
      <c r="V1342" s="74">
        <v>0</v>
      </c>
    </row>
    <row r="1343" spans="3:22" x14ac:dyDescent="0.25">
      <c r="C1343" s="74" t="s">
        <v>18795</v>
      </c>
      <c r="D1343" s="74" t="s">
        <v>148</v>
      </c>
      <c r="E1343" s="74" t="s">
        <v>21338</v>
      </c>
      <c r="F1343" s="74">
        <v>551367</v>
      </c>
      <c r="G1343" s="74">
        <v>1000</v>
      </c>
      <c r="H1343" s="135">
        <v>42985.551921296297</v>
      </c>
      <c r="I1343" s="74" t="s">
        <v>21339</v>
      </c>
      <c r="J1343" s="74" t="s">
        <v>21340</v>
      </c>
      <c r="K1343" s="74" t="s">
        <v>2090</v>
      </c>
      <c r="L1343" s="74">
        <v>551918</v>
      </c>
      <c r="M1343" s="74" t="s">
        <v>21341</v>
      </c>
      <c r="N1343" s="74">
        <v>1</v>
      </c>
      <c r="O1343" s="74" t="s">
        <v>21342</v>
      </c>
      <c r="P1343" s="74" t="s">
        <v>21343</v>
      </c>
      <c r="Q1343" s="74">
        <v>0</v>
      </c>
      <c r="R1343" s="74" t="s">
        <v>148</v>
      </c>
      <c r="S1343" s="74" t="s">
        <v>21338</v>
      </c>
      <c r="T1343" s="74" t="s">
        <v>402</v>
      </c>
      <c r="U1343" s="74">
        <v>0</v>
      </c>
      <c r="V1343" s="74">
        <v>0</v>
      </c>
    </row>
    <row r="1344" spans="3:22" x14ac:dyDescent="0.25">
      <c r="C1344" s="74" t="s">
        <v>18795</v>
      </c>
      <c r="D1344" s="74" t="s">
        <v>148</v>
      </c>
      <c r="E1344" s="74" t="s">
        <v>21338</v>
      </c>
      <c r="F1344" s="74">
        <v>551367</v>
      </c>
      <c r="G1344" s="74">
        <v>1000</v>
      </c>
      <c r="H1344" s="135">
        <v>42985.5469212963</v>
      </c>
      <c r="I1344" s="74" t="s">
        <v>21339</v>
      </c>
      <c r="J1344" s="74" t="s">
        <v>21340</v>
      </c>
      <c r="K1344" s="74" t="s">
        <v>20932</v>
      </c>
      <c r="L1344" s="74">
        <v>554286</v>
      </c>
      <c r="M1344" s="74" t="s">
        <v>21341</v>
      </c>
      <c r="N1344" s="74">
        <v>1</v>
      </c>
      <c r="O1344" s="74" t="s">
        <v>21342</v>
      </c>
      <c r="P1344" s="74" t="s">
        <v>21343</v>
      </c>
      <c r="Q1344" s="74">
        <v>0</v>
      </c>
      <c r="R1344" s="74" t="s">
        <v>148</v>
      </c>
      <c r="S1344" s="74" t="s">
        <v>21338</v>
      </c>
      <c r="T1344" s="74" t="s">
        <v>402</v>
      </c>
      <c r="U1344" s="74">
        <v>0</v>
      </c>
      <c r="V1344" s="74">
        <v>0</v>
      </c>
    </row>
    <row r="1345" spans="3:22" x14ac:dyDescent="0.25">
      <c r="C1345" s="74" t="s">
        <v>18795</v>
      </c>
      <c r="D1345" s="74" t="s">
        <v>148</v>
      </c>
      <c r="E1345" s="74" t="s">
        <v>21338</v>
      </c>
      <c r="F1345" s="74">
        <v>551367</v>
      </c>
      <c r="G1345" s="74">
        <v>1000</v>
      </c>
      <c r="H1345" s="135">
        <v>42985.545023148145</v>
      </c>
      <c r="I1345" s="74" t="s">
        <v>21339</v>
      </c>
      <c r="J1345" s="74" t="s">
        <v>21340</v>
      </c>
      <c r="K1345" s="74" t="s">
        <v>20063</v>
      </c>
      <c r="L1345" s="74">
        <v>554189</v>
      </c>
      <c r="M1345" s="74" t="s">
        <v>21341</v>
      </c>
      <c r="N1345" s="74">
        <v>1</v>
      </c>
      <c r="O1345" s="74" t="s">
        <v>21342</v>
      </c>
      <c r="P1345" s="74" t="s">
        <v>21343</v>
      </c>
      <c r="Q1345" s="74">
        <v>0</v>
      </c>
      <c r="R1345" s="74" t="s">
        <v>148</v>
      </c>
      <c r="S1345" s="74" t="s">
        <v>21338</v>
      </c>
      <c r="T1345" s="74" t="s">
        <v>402</v>
      </c>
      <c r="U1345" s="74">
        <v>0</v>
      </c>
      <c r="V1345" s="74">
        <v>0</v>
      </c>
    </row>
    <row r="1346" spans="3:22" x14ac:dyDescent="0.25">
      <c r="C1346" s="74" t="s">
        <v>533</v>
      </c>
      <c r="D1346" s="74" t="s">
        <v>148</v>
      </c>
      <c r="E1346" s="74" t="s">
        <v>21338</v>
      </c>
      <c r="F1346" s="74">
        <v>627566</v>
      </c>
      <c r="G1346" s="74">
        <v>3</v>
      </c>
      <c r="H1346" s="135">
        <v>42985.544004629628</v>
      </c>
      <c r="I1346" s="74" t="s">
        <v>21339</v>
      </c>
      <c r="J1346" s="74" t="s">
        <v>21360</v>
      </c>
      <c r="K1346" s="74" t="s">
        <v>14608</v>
      </c>
      <c r="L1346" s="74">
        <v>553525</v>
      </c>
      <c r="M1346" s="74" t="s">
        <v>21341</v>
      </c>
      <c r="N1346" s="74">
        <v>1</v>
      </c>
      <c r="O1346" s="74" t="s">
        <v>21359</v>
      </c>
      <c r="P1346" s="74" t="s">
        <v>21343</v>
      </c>
      <c r="Q1346" s="74" t="s">
        <v>21395</v>
      </c>
      <c r="R1346" s="74" t="s">
        <v>148</v>
      </c>
      <c r="S1346" s="74" t="s">
        <v>21338</v>
      </c>
      <c r="T1346" s="74" t="s">
        <v>402</v>
      </c>
      <c r="U1346" s="74">
        <v>0</v>
      </c>
      <c r="V1346" s="74">
        <v>0</v>
      </c>
    </row>
    <row r="1347" spans="3:22" x14ac:dyDescent="0.25">
      <c r="C1347" s="74" t="s">
        <v>18795</v>
      </c>
      <c r="D1347" s="74" t="s">
        <v>148</v>
      </c>
      <c r="E1347" s="74" t="s">
        <v>21338</v>
      </c>
      <c r="F1347" s="74">
        <v>551367</v>
      </c>
      <c r="G1347" s="74">
        <v>1000</v>
      </c>
      <c r="H1347" s="135">
        <v>42985.537835648145</v>
      </c>
      <c r="I1347" s="74" t="s">
        <v>21339</v>
      </c>
      <c r="J1347" s="74" t="s">
        <v>21340</v>
      </c>
      <c r="K1347" s="74" t="s">
        <v>10787</v>
      </c>
      <c r="L1347" s="74">
        <v>553016</v>
      </c>
      <c r="M1347" s="74" t="s">
        <v>21341</v>
      </c>
      <c r="N1347" s="74">
        <v>1</v>
      </c>
      <c r="O1347" s="74" t="s">
        <v>21342</v>
      </c>
      <c r="P1347" s="74" t="s">
        <v>21343</v>
      </c>
      <c r="Q1347" s="74">
        <v>0</v>
      </c>
      <c r="R1347" s="74" t="s">
        <v>148</v>
      </c>
      <c r="S1347" s="74" t="s">
        <v>21338</v>
      </c>
      <c r="T1347" s="74" t="s">
        <v>402</v>
      </c>
      <c r="U1347" s="74">
        <v>0</v>
      </c>
      <c r="V1347" s="74">
        <v>0</v>
      </c>
    </row>
    <row r="1348" spans="3:22" x14ac:dyDescent="0.25">
      <c r="C1348" s="74" t="s">
        <v>21386</v>
      </c>
      <c r="D1348" s="74" t="s">
        <v>148</v>
      </c>
      <c r="E1348" s="74" t="s">
        <v>21338</v>
      </c>
      <c r="F1348" s="74">
        <v>674396</v>
      </c>
      <c r="G1348" s="74">
        <v>3</v>
      </c>
      <c r="H1348" s="135">
        <v>42985.536064814813</v>
      </c>
      <c r="I1348" s="74" t="s">
        <v>21339</v>
      </c>
      <c r="J1348" s="74" t="s">
        <v>21360</v>
      </c>
      <c r="K1348" s="74" t="s">
        <v>21638</v>
      </c>
      <c r="L1348" s="74">
        <v>857256</v>
      </c>
      <c r="M1348" s="74" t="s">
        <v>21341</v>
      </c>
      <c r="N1348" s="74">
        <v>1</v>
      </c>
      <c r="O1348" s="74" t="s">
        <v>21342</v>
      </c>
      <c r="P1348" s="74" t="s">
        <v>21343</v>
      </c>
      <c r="Q1348" s="74" t="s">
        <v>21361</v>
      </c>
      <c r="R1348" s="74" t="s">
        <v>148</v>
      </c>
      <c r="S1348" s="74" t="s">
        <v>21338</v>
      </c>
      <c r="T1348" s="74" t="s">
        <v>402</v>
      </c>
      <c r="U1348" s="74">
        <v>0</v>
      </c>
      <c r="V1348" s="74">
        <v>0</v>
      </c>
    </row>
    <row r="1349" spans="3:22" x14ac:dyDescent="0.25">
      <c r="C1349" s="74" t="s">
        <v>21386</v>
      </c>
      <c r="D1349" s="74" t="s">
        <v>148</v>
      </c>
      <c r="E1349" s="74" t="s">
        <v>21338</v>
      </c>
      <c r="F1349" s="74">
        <v>674396</v>
      </c>
      <c r="G1349" s="74">
        <v>3</v>
      </c>
      <c r="H1349" s="135">
        <v>42985.535219907404</v>
      </c>
      <c r="I1349" s="74" t="s">
        <v>21339</v>
      </c>
      <c r="J1349" s="74" t="s">
        <v>21360</v>
      </c>
      <c r="K1349" s="74" t="s">
        <v>21638</v>
      </c>
      <c r="L1349" s="74">
        <v>857256</v>
      </c>
      <c r="M1349" s="74" t="s">
        <v>21341</v>
      </c>
      <c r="N1349" s="74">
        <v>1</v>
      </c>
      <c r="O1349" s="74" t="s">
        <v>21342</v>
      </c>
      <c r="P1349" s="74" t="s">
        <v>21343</v>
      </c>
      <c r="Q1349" s="74" t="s">
        <v>21361</v>
      </c>
      <c r="R1349" s="74" t="s">
        <v>148</v>
      </c>
      <c r="S1349" s="74" t="s">
        <v>21338</v>
      </c>
      <c r="T1349" s="74" t="s">
        <v>402</v>
      </c>
      <c r="U1349" s="74">
        <v>0</v>
      </c>
      <c r="V1349" s="74">
        <v>0</v>
      </c>
    </row>
    <row r="1350" spans="3:22" x14ac:dyDescent="0.25">
      <c r="C1350" s="74" t="s">
        <v>18795</v>
      </c>
      <c r="D1350" s="74" t="s">
        <v>148</v>
      </c>
      <c r="E1350" s="74" t="s">
        <v>21338</v>
      </c>
      <c r="F1350" s="74">
        <v>551367</v>
      </c>
      <c r="G1350" s="74">
        <v>1000</v>
      </c>
      <c r="H1350" s="135">
        <v>42985.52685185185</v>
      </c>
      <c r="I1350" s="74" t="s">
        <v>21339</v>
      </c>
      <c r="J1350" s="74" t="s">
        <v>21340</v>
      </c>
      <c r="K1350" s="74" t="s">
        <v>655</v>
      </c>
      <c r="L1350" s="74">
        <v>551742</v>
      </c>
      <c r="M1350" s="74" t="s">
        <v>21341</v>
      </c>
      <c r="N1350" s="74">
        <v>1</v>
      </c>
      <c r="O1350" s="74" t="s">
        <v>21342</v>
      </c>
      <c r="P1350" s="74" t="s">
        <v>21343</v>
      </c>
      <c r="Q1350" s="74">
        <v>0</v>
      </c>
      <c r="R1350" s="74" t="s">
        <v>148</v>
      </c>
      <c r="S1350" s="74" t="s">
        <v>21338</v>
      </c>
      <c r="T1350" s="74" t="s">
        <v>402</v>
      </c>
      <c r="U1350" s="74">
        <v>0</v>
      </c>
      <c r="V1350" s="74">
        <v>0</v>
      </c>
    </row>
    <row r="1351" spans="3:22" x14ac:dyDescent="0.25">
      <c r="C1351" s="74" t="s">
        <v>18795</v>
      </c>
      <c r="D1351" s="74" t="s">
        <v>148</v>
      </c>
      <c r="E1351" s="74" t="s">
        <v>21338</v>
      </c>
      <c r="F1351" s="74">
        <v>551367</v>
      </c>
      <c r="G1351" s="74">
        <v>1000</v>
      </c>
      <c r="H1351" s="135">
        <v>42985.523020833331</v>
      </c>
      <c r="I1351" s="74" t="s">
        <v>21339</v>
      </c>
      <c r="J1351" s="74" t="s">
        <v>21340</v>
      </c>
      <c r="K1351" s="74" t="s">
        <v>13978</v>
      </c>
      <c r="L1351" s="74">
        <v>553438</v>
      </c>
      <c r="M1351" s="74" t="s">
        <v>21341</v>
      </c>
      <c r="N1351" s="74">
        <v>1</v>
      </c>
      <c r="O1351" s="74" t="s">
        <v>21342</v>
      </c>
      <c r="P1351" s="74" t="s">
        <v>21343</v>
      </c>
      <c r="Q1351" s="74">
        <v>0</v>
      </c>
      <c r="R1351" s="74" t="s">
        <v>148</v>
      </c>
      <c r="S1351" s="74" t="s">
        <v>21338</v>
      </c>
      <c r="T1351" s="74" t="s">
        <v>402</v>
      </c>
      <c r="U1351" s="74">
        <v>0</v>
      </c>
      <c r="V1351" s="74">
        <v>0</v>
      </c>
    </row>
    <row r="1352" spans="3:22" x14ac:dyDescent="0.25">
      <c r="C1352" s="74" t="s">
        <v>18795</v>
      </c>
      <c r="D1352" s="74" t="s">
        <v>148</v>
      </c>
      <c r="E1352" s="74" t="s">
        <v>21338</v>
      </c>
      <c r="F1352" s="74">
        <v>551367</v>
      </c>
      <c r="G1352" s="74">
        <v>1000</v>
      </c>
      <c r="H1352" s="135">
        <v>42985.522777777776</v>
      </c>
      <c r="I1352" s="74" t="s">
        <v>21339</v>
      </c>
      <c r="J1352" s="74" t="s">
        <v>21340</v>
      </c>
      <c r="K1352" s="74" t="s">
        <v>15542</v>
      </c>
      <c r="L1352" s="74">
        <v>553624</v>
      </c>
      <c r="M1352" s="74" t="s">
        <v>21341</v>
      </c>
      <c r="N1352" s="74">
        <v>1</v>
      </c>
      <c r="O1352" s="74" t="s">
        <v>21342</v>
      </c>
      <c r="P1352" s="74" t="s">
        <v>21343</v>
      </c>
      <c r="Q1352" s="74">
        <v>0</v>
      </c>
      <c r="R1352" s="74" t="s">
        <v>148</v>
      </c>
      <c r="S1352" s="74" t="s">
        <v>21338</v>
      </c>
      <c r="T1352" s="74" t="s">
        <v>402</v>
      </c>
      <c r="U1352" s="74">
        <v>0</v>
      </c>
      <c r="V1352" s="74">
        <v>0</v>
      </c>
    </row>
    <row r="1353" spans="3:22" x14ac:dyDescent="0.25">
      <c r="C1353" s="74" t="s">
        <v>18795</v>
      </c>
      <c r="D1353" s="74" t="s">
        <v>148</v>
      </c>
      <c r="E1353" s="74" t="s">
        <v>21338</v>
      </c>
      <c r="F1353" s="74">
        <v>551367</v>
      </c>
      <c r="G1353" s="74">
        <v>1000</v>
      </c>
      <c r="H1353" s="135">
        <v>42985.52144675926</v>
      </c>
      <c r="I1353" s="74" t="s">
        <v>21339</v>
      </c>
      <c r="J1353" s="74" t="s">
        <v>21340</v>
      </c>
      <c r="K1353" s="74" t="s">
        <v>19491</v>
      </c>
      <c r="L1353" s="74">
        <v>823304</v>
      </c>
      <c r="M1353" s="74" t="s">
        <v>21341</v>
      </c>
      <c r="N1353" s="74">
        <v>1</v>
      </c>
      <c r="O1353" s="74" t="s">
        <v>21342</v>
      </c>
      <c r="P1353" s="74" t="s">
        <v>21343</v>
      </c>
      <c r="Q1353" s="74">
        <v>0</v>
      </c>
      <c r="R1353" s="74" t="s">
        <v>148</v>
      </c>
      <c r="S1353" s="74" t="s">
        <v>21338</v>
      </c>
      <c r="T1353" s="74" t="s">
        <v>402</v>
      </c>
      <c r="U1353" s="74">
        <v>0</v>
      </c>
      <c r="V1353" s="74">
        <v>0</v>
      </c>
    </row>
    <row r="1354" spans="3:22" x14ac:dyDescent="0.25">
      <c r="C1354" s="74" t="s">
        <v>18795</v>
      </c>
      <c r="D1354" s="74" t="s">
        <v>148</v>
      </c>
      <c r="E1354" s="74" t="s">
        <v>21338</v>
      </c>
      <c r="F1354" s="74">
        <v>551367</v>
      </c>
      <c r="G1354" s="74">
        <v>1000</v>
      </c>
      <c r="H1354" s="135">
        <v>42985.521099537036</v>
      </c>
      <c r="I1354" s="74" t="s">
        <v>21339</v>
      </c>
      <c r="J1354" s="74" t="s">
        <v>21340</v>
      </c>
      <c r="K1354" s="74" t="s">
        <v>10392</v>
      </c>
      <c r="L1354" s="74">
        <v>552981</v>
      </c>
      <c r="M1354" s="74" t="s">
        <v>21341</v>
      </c>
      <c r="N1354" s="74">
        <v>1</v>
      </c>
      <c r="O1354" s="74" t="s">
        <v>21342</v>
      </c>
      <c r="P1354" s="74" t="s">
        <v>21343</v>
      </c>
      <c r="Q1354" s="74">
        <v>0</v>
      </c>
      <c r="R1354" s="74" t="s">
        <v>148</v>
      </c>
      <c r="S1354" s="74" t="s">
        <v>21338</v>
      </c>
      <c r="T1354" s="74" t="s">
        <v>402</v>
      </c>
      <c r="U1354" s="74">
        <v>0</v>
      </c>
      <c r="V1354" s="74">
        <v>0</v>
      </c>
    </row>
    <row r="1355" spans="3:22" x14ac:dyDescent="0.25">
      <c r="C1355" s="74" t="s">
        <v>18795</v>
      </c>
      <c r="D1355" s="74" t="s">
        <v>148</v>
      </c>
      <c r="E1355" s="74" t="s">
        <v>21338</v>
      </c>
      <c r="F1355" s="74">
        <v>551367</v>
      </c>
      <c r="G1355" s="74">
        <v>1000</v>
      </c>
      <c r="H1355" s="135">
        <v>42985.499745370369</v>
      </c>
      <c r="I1355" s="74" t="s">
        <v>21339</v>
      </c>
      <c r="J1355" s="74" t="s">
        <v>21340</v>
      </c>
      <c r="K1355" s="74" t="s">
        <v>7562</v>
      </c>
      <c r="L1355" s="74">
        <v>552606</v>
      </c>
      <c r="M1355" s="74" t="s">
        <v>21341</v>
      </c>
      <c r="N1355" s="74">
        <v>1</v>
      </c>
      <c r="O1355" s="74" t="s">
        <v>21342</v>
      </c>
      <c r="P1355" s="74" t="s">
        <v>21343</v>
      </c>
      <c r="Q1355" s="74">
        <v>0</v>
      </c>
      <c r="R1355" s="74" t="s">
        <v>148</v>
      </c>
      <c r="S1355" s="74" t="s">
        <v>21338</v>
      </c>
      <c r="T1355" s="74" t="s">
        <v>402</v>
      </c>
      <c r="U1355" s="74">
        <v>0</v>
      </c>
      <c r="V1355" s="74">
        <v>0</v>
      </c>
    </row>
    <row r="1356" spans="3:22" x14ac:dyDescent="0.25">
      <c r="C1356" s="74" t="s">
        <v>18795</v>
      </c>
      <c r="D1356" s="74" t="s">
        <v>148</v>
      </c>
      <c r="E1356" s="74" t="s">
        <v>21338</v>
      </c>
      <c r="F1356" s="74">
        <v>551367</v>
      </c>
      <c r="G1356" s="74">
        <v>1000</v>
      </c>
      <c r="H1356" s="135">
        <v>42985.497997685183</v>
      </c>
      <c r="I1356" s="74" t="s">
        <v>21339</v>
      </c>
      <c r="J1356" s="74" t="s">
        <v>21340</v>
      </c>
      <c r="K1356" s="74" t="s">
        <v>1857</v>
      </c>
      <c r="L1356" s="74">
        <v>551884</v>
      </c>
      <c r="M1356" s="74" t="s">
        <v>21341</v>
      </c>
      <c r="N1356" s="74">
        <v>1</v>
      </c>
      <c r="O1356" s="74" t="s">
        <v>21342</v>
      </c>
      <c r="P1356" s="74" t="s">
        <v>21343</v>
      </c>
      <c r="Q1356" s="74">
        <v>0</v>
      </c>
      <c r="R1356" s="74" t="s">
        <v>148</v>
      </c>
      <c r="S1356" s="74" t="s">
        <v>21338</v>
      </c>
      <c r="T1356" s="74" t="s">
        <v>402</v>
      </c>
      <c r="U1356" s="74">
        <v>0</v>
      </c>
      <c r="V1356" s="74">
        <v>0</v>
      </c>
    </row>
    <row r="1357" spans="3:22" x14ac:dyDescent="0.25">
      <c r="C1357" s="74" t="s">
        <v>18795</v>
      </c>
      <c r="D1357" s="74" t="s">
        <v>148</v>
      </c>
      <c r="E1357" s="74" t="s">
        <v>21338</v>
      </c>
      <c r="F1357" s="74">
        <v>551367</v>
      </c>
      <c r="G1357" s="74">
        <v>1000</v>
      </c>
      <c r="H1357" s="135">
        <v>42985.497418981482</v>
      </c>
      <c r="I1357" s="74" t="s">
        <v>21339</v>
      </c>
      <c r="J1357" s="74" t="s">
        <v>21340</v>
      </c>
      <c r="K1357" s="74" t="s">
        <v>17205</v>
      </c>
      <c r="L1357" s="74">
        <v>553831</v>
      </c>
      <c r="M1357" s="74" t="s">
        <v>21341</v>
      </c>
      <c r="N1357" s="74">
        <v>1</v>
      </c>
      <c r="O1357" s="74" t="s">
        <v>21342</v>
      </c>
      <c r="P1357" s="74" t="s">
        <v>21343</v>
      </c>
      <c r="Q1357" s="74">
        <v>0</v>
      </c>
      <c r="R1357" s="74" t="s">
        <v>148</v>
      </c>
      <c r="S1357" s="74" t="s">
        <v>21338</v>
      </c>
      <c r="T1357" s="74" t="s">
        <v>402</v>
      </c>
      <c r="U1357" s="74">
        <v>0</v>
      </c>
      <c r="V1357" s="74">
        <v>0</v>
      </c>
    </row>
    <row r="1358" spans="3:22" x14ac:dyDescent="0.25">
      <c r="C1358" s="74" t="s">
        <v>21390</v>
      </c>
      <c r="D1358" s="74" t="s">
        <v>148</v>
      </c>
      <c r="E1358" s="74" t="s">
        <v>21338</v>
      </c>
      <c r="F1358" s="74">
        <v>560864</v>
      </c>
      <c r="G1358" s="74">
        <v>3</v>
      </c>
      <c r="H1358" s="135">
        <v>42985.496886574074</v>
      </c>
      <c r="I1358" s="74" t="s">
        <v>21354</v>
      </c>
      <c r="J1358" s="74" t="s">
        <v>21355</v>
      </c>
      <c r="K1358" s="74" t="s">
        <v>7683</v>
      </c>
      <c r="L1358" s="74">
        <v>551683</v>
      </c>
      <c r="M1358" s="74" t="s">
        <v>21341</v>
      </c>
      <c r="N1358" s="74">
        <v>1</v>
      </c>
      <c r="O1358" s="74" t="s">
        <v>21342</v>
      </c>
      <c r="P1358" s="74" t="s">
        <v>21345</v>
      </c>
      <c r="R1358" s="74" t="s">
        <v>148</v>
      </c>
      <c r="S1358" s="74" t="s">
        <v>21338</v>
      </c>
      <c r="T1358" s="74" t="s">
        <v>402</v>
      </c>
      <c r="U1358" s="74">
        <v>0</v>
      </c>
      <c r="V1358" s="74">
        <v>0</v>
      </c>
    </row>
    <row r="1359" spans="3:22" x14ac:dyDescent="0.25">
      <c r="C1359" s="74" t="s">
        <v>21390</v>
      </c>
      <c r="D1359" s="74" t="s">
        <v>148</v>
      </c>
      <c r="E1359" s="74" t="s">
        <v>21338</v>
      </c>
      <c r="F1359" s="74">
        <v>560864</v>
      </c>
      <c r="G1359" s="74">
        <v>3</v>
      </c>
      <c r="H1359" s="135">
        <v>42985.496793981481</v>
      </c>
      <c r="I1359" s="74" t="s">
        <v>21354</v>
      </c>
      <c r="J1359" s="74" t="s">
        <v>21355</v>
      </c>
      <c r="K1359" s="74" t="s">
        <v>7683</v>
      </c>
      <c r="L1359" s="74">
        <v>551683</v>
      </c>
      <c r="M1359" s="74" t="s">
        <v>21341</v>
      </c>
      <c r="N1359" s="74">
        <v>1</v>
      </c>
      <c r="O1359" s="74" t="s">
        <v>21342</v>
      </c>
      <c r="P1359" s="74" t="s">
        <v>21345</v>
      </c>
      <c r="R1359" s="74" t="s">
        <v>148</v>
      </c>
      <c r="S1359" s="74" t="s">
        <v>21338</v>
      </c>
      <c r="T1359" s="74" t="s">
        <v>402</v>
      </c>
      <c r="U1359" s="74">
        <v>0</v>
      </c>
      <c r="V1359" s="74">
        <v>0</v>
      </c>
    </row>
    <row r="1360" spans="3:22" x14ac:dyDescent="0.25">
      <c r="C1360" s="74" t="s">
        <v>18795</v>
      </c>
      <c r="D1360" s="74" t="s">
        <v>148</v>
      </c>
      <c r="E1360" s="74" t="s">
        <v>21338</v>
      </c>
      <c r="F1360" s="74">
        <v>551367</v>
      </c>
      <c r="G1360" s="74">
        <v>1000</v>
      </c>
      <c r="H1360" s="135">
        <v>42985.47965277778</v>
      </c>
      <c r="I1360" s="74" t="s">
        <v>21339</v>
      </c>
      <c r="J1360" s="74" t="s">
        <v>21340</v>
      </c>
      <c r="K1360" s="74" t="s">
        <v>19164</v>
      </c>
      <c r="L1360" s="74">
        <v>554078</v>
      </c>
      <c r="M1360" s="74" t="s">
        <v>21341</v>
      </c>
      <c r="N1360" s="74">
        <v>1</v>
      </c>
      <c r="O1360" s="74" t="s">
        <v>21342</v>
      </c>
      <c r="P1360" s="74" t="s">
        <v>21343</v>
      </c>
      <c r="Q1360" s="74">
        <v>0</v>
      </c>
      <c r="R1360" s="74" t="s">
        <v>148</v>
      </c>
      <c r="S1360" s="74" t="s">
        <v>21338</v>
      </c>
      <c r="T1360" s="74" t="s">
        <v>402</v>
      </c>
      <c r="U1360" s="74">
        <v>0</v>
      </c>
      <c r="V1360" s="74">
        <v>0</v>
      </c>
    </row>
    <row r="1361" spans="3:22" x14ac:dyDescent="0.25">
      <c r="C1361" s="74" t="s">
        <v>18795</v>
      </c>
      <c r="D1361" s="74" t="s">
        <v>148</v>
      </c>
      <c r="E1361" s="74" t="s">
        <v>21338</v>
      </c>
      <c r="F1361" s="74">
        <v>551367</v>
      </c>
      <c r="G1361" s="74">
        <v>1000</v>
      </c>
      <c r="H1361" s="135">
        <v>42985.478796296295</v>
      </c>
      <c r="I1361" s="74" t="s">
        <v>21339</v>
      </c>
      <c r="J1361" s="74" t="s">
        <v>21340</v>
      </c>
      <c r="K1361" s="74" t="s">
        <v>20896</v>
      </c>
      <c r="L1361" s="74">
        <v>554279</v>
      </c>
      <c r="M1361" s="74" t="s">
        <v>21341</v>
      </c>
      <c r="N1361" s="74">
        <v>1</v>
      </c>
      <c r="O1361" s="74" t="s">
        <v>21342</v>
      </c>
      <c r="P1361" s="74" t="s">
        <v>21343</v>
      </c>
      <c r="Q1361" s="74">
        <v>0</v>
      </c>
      <c r="R1361" s="74" t="s">
        <v>148</v>
      </c>
      <c r="S1361" s="74" t="s">
        <v>21338</v>
      </c>
      <c r="T1361" s="74" t="s">
        <v>402</v>
      </c>
      <c r="U1361" s="74">
        <v>0</v>
      </c>
      <c r="V1361" s="74">
        <v>0</v>
      </c>
    </row>
    <row r="1362" spans="3:22" x14ac:dyDescent="0.25">
      <c r="C1362" s="74" t="s">
        <v>18795</v>
      </c>
      <c r="D1362" s="74" t="s">
        <v>148</v>
      </c>
      <c r="E1362" s="74" t="s">
        <v>21338</v>
      </c>
      <c r="F1362" s="74">
        <v>551367</v>
      </c>
      <c r="G1362" s="74">
        <v>1000</v>
      </c>
      <c r="H1362" s="135">
        <v>42985.471018518518</v>
      </c>
      <c r="I1362" s="74" t="s">
        <v>21339</v>
      </c>
      <c r="J1362" s="74" t="s">
        <v>21340</v>
      </c>
      <c r="K1362" s="74" t="s">
        <v>10037</v>
      </c>
      <c r="L1362" s="74">
        <v>837434</v>
      </c>
      <c r="M1362" s="74" t="s">
        <v>21341</v>
      </c>
      <c r="N1362" s="74">
        <v>1</v>
      </c>
      <c r="O1362" s="74" t="s">
        <v>21342</v>
      </c>
      <c r="P1362" s="74" t="s">
        <v>21343</v>
      </c>
      <c r="Q1362" s="74">
        <v>0</v>
      </c>
      <c r="R1362" s="74" t="s">
        <v>148</v>
      </c>
      <c r="S1362" s="74" t="s">
        <v>21338</v>
      </c>
      <c r="T1362" s="74" t="s">
        <v>402</v>
      </c>
      <c r="U1362" s="74">
        <v>0</v>
      </c>
      <c r="V1362" s="74">
        <v>0</v>
      </c>
    </row>
    <row r="1363" spans="3:22" x14ac:dyDescent="0.25">
      <c r="C1363" s="74" t="s">
        <v>533</v>
      </c>
      <c r="D1363" s="74" t="s">
        <v>148</v>
      </c>
      <c r="E1363" s="74" t="s">
        <v>21338</v>
      </c>
      <c r="F1363" s="74">
        <v>627566</v>
      </c>
      <c r="G1363" s="74">
        <v>3</v>
      </c>
      <c r="H1363" s="135">
        <v>42985.463229166664</v>
      </c>
      <c r="I1363" s="74" t="s">
        <v>21354</v>
      </c>
      <c r="J1363" s="74" t="s">
        <v>21355</v>
      </c>
      <c r="K1363" s="74" t="s">
        <v>21578</v>
      </c>
      <c r="L1363" s="74">
        <v>840602</v>
      </c>
      <c r="M1363" s="74" t="s">
        <v>21341</v>
      </c>
      <c r="N1363" s="74">
        <v>1</v>
      </c>
      <c r="O1363" s="74" t="s">
        <v>21342</v>
      </c>
      <c r="P1363" s="74" t="s">
        <v>21345</v>
      </c>
      <c r="R1363" s="74" t="s">
        <v>148</v>
      </c>
      <c r="S1363" s="74" t="s">
        <v>21338</v>
      </c>
      <c r="T1363" s="74" t="s">
        <v>402</v>
      </c>
      <c r="U1363" s="74">
        <v>0</v>
      </c>
      <c r="V1363" s="74">
        <v>0</v>
      </c>
    </row>
    <row r="1364" spans="3:22" x14ac:dyDescent="0.25">
      <c r="C1364" s="74" t="s">
        <v>18795</v>
      </c>
      <c r="D1364" s="74" t="s">
        <v>148</v>
      </c>
      <c r="E1364" s="74" t="s">
        <v>21338</v>
      </c>
      <c r="F1364" s="74">
        <v>551367</v>
      </c>
      <c r="G1364" s="74">
        <v>1000</v>
      </c>
      <c r="H1364" s="135">
        <v>42985.452546296299</v>
      </c>
      <c r="I1364" s="74" t="s">
        <v>21339</v>
      </c>
      <c r="J1364" s="74" t="s">
        <v>21340</v>
      </c>
      <c r="K1364" s="74" t="s">
        <v>20249</v>
      </c>
      <c r="L1364" s="74">
        <v>554210</v>
      </c>
      <c r="M1364" s="74" t="s">
        <v>21341</v>
      </c>
      <c r="N1364" s="74">
        <v>1</v>
      </c>
      <c r="O1364" s="74" t="s">
        <v>21342</v>
      </c>
      <c r="P1364" s="74" t="s">
        <v>21343</v>
      </c>
      <c r="Q1364" s="74">
        <v>0</v>
      </c>
      <c r="R1364" s="74" t="s">
        <v>148</v>
      </c>
      <c r="S1364" s="74" t="s">
        <v>21338</v>
      </c>
      <c r="T1364" s="74" t="s">
        <v>402</v>
      </c>
      <c r="U1364" s="74">
        <v>0</v>
      </c>
      <c r="V1364" s="74">
        <v>0</v>
      </c>
    </row>
    <row r="1365" spans="3:22" x14ac:dyDescent="0.25">
      <c r="C1365" s="74" t="s">
        <v>18795</v>
      </c>
      <c r="D1365" s="74" t="s">
        <v>148</v>
      </c>
      <c r="E1365" s="74" t="s">
        <v>21338</v>
      </c>
      <c r="F1365" s="74">
        <v>551367</v>
      </c>
      <c r="G1365" s="74">
        <v>1000</v>
      </c>
      <c r="H1365" s="135">
        <v>42985.451261574075</v>
      </c>
      <c r="I1365" s="74" t="s">
        <v>21339</v>
      </c>
      <c r="J1365" s="74" t="s">
        <v>21340</v>
      </c>
      <c r="K1365" s="74" t="s">
        <v>17839</v>
      </c>
      <c r="L1365" s="74">
        <v>553915</v>
      </c>
      <c r="M1365" s="74" t="s">
        <v>21341</v>
      </c>
      <c r="N1365" s="74">
        <v>1</v>
      </c>
      <c r="O1365" s="74" t="s">
        <v>21342</v>
      </c>
      <c r="P1365" s="74" t="s">
        <v>21343</v>
      </c>
      <c r="Q1365" s="74">
        <v>0</v>
      </c>
      <c r="R1365" s="74" t="s">
        <v>148</v>
      </c>
      <c r="S1365" s="74" t="s">
        <v>21338</v>
      </c>
      <c r="T1365" s="74" t="s">
        <v>402</v>
      </c>
      <c r="U1365" s="74">
        <v>0</v>
      </c>
      <c r="V1365" s="74">
        <v>0</v>
      </c>
    </row>
    <row r="1366" spans="3:22" x14ac:dyDescent="0.25">
      <c r="C1366" s="74" t="s">
        <v>9081</v>
      </c>
      <c r="D1366" s="74" t="s">
        <v>148</v>
      </c>
      <c r="E1366" s="74" t="s">
        <v>21338</v>
      </c>
      <c r="F1366" s="74">
        <v>722441</v>
      </c>
      <c r="G1366" s="74">
        <v>3</v>
      </c>
      <c r="H1366" s="135">
        <v>42985.44568287037</v>
      </c>
      <c r="I1366" s="74" t="s">
        <v>21354</v>
      </c>
      <c r="J1366" s="74" t="s">
        <v>21355</v>
      </c>
      <c r="K1366" s="74" t="s">
        <v>19164</v>
      </c>
      <c r="L1366" s="74">
        <v>554078</v>
      </c>
      <c r="M1366" s="74" t="s">
        <v>21341</v>
      </c>
      <c r="N1366" s="74">
        <v>1</v>
      </c>
      <c r="O1366" s="74" t="s">
        <v>21342</v>
      </c>
      <c r="P1366" s="74" t="s">
        <v>21345</v>
      </c>
      <c r="R1366" s="74" t="s">
        <v>148</v>
      </c>
      <c r="S1366" s="74" t="s">
        <v>21338</v>
      </c>
      <c r="T1366" s="74" t="s">
        <v>402</v>
      </c>
      <c r="U1366" s="74">
        <v>0</v>
      </c>
      <c r="V1366" s="74">
        <v>0</v>
      </c>
    </row>
    <row r="1367" spans="3:22" x14ac:dyDescent="0.25">
      <c r="C1367" s="74" t="s">
        <v>18795</v>
      </c>
      <c r="D1367" s="74" t="s">
        <v>148</v>
      </c>
      <c r="E1367" s="74" t="s">
        <v>21338</v>
      </c>
      <c r="F1367" s="74">
        <v>551367</v>
      </c>
      <c r="G1367" s="74">
        <v>1000</v>
      </c>
      <c r="H1367" s="135">
        <v>42985.444108796299</v>
      </c>
      <c r="I1367" s="74" t="s">
        <v>21339</v>
      </c>
      <c r="J1367" s="74" t="s">
        <v>21340</v>
      </c>
      <c r="K1367" s="74" t="s">
        <v>21639</v>
      </c>
      <c r="L1367" s="74">
        <v>851547</v>
      </c>
      <c r="M1367" s="74" t="s">
        <v>21341</v>
      </c>
      <c r="N1367" s="74">
        <v>1</v>
      </c>
      <c r="O1367" s="74" t="s">
        <v>21342</v>
      </c>
      <c r="P1367" s="74" t="s">
        <v>21343</v>
      </c>
      <c r="Q1367" s="74">
        <v>0</v>
      </c>
      <c r="R1367" s="74" t="s">
        <v>148</v>
      </c>
      <c r="S1367" s="74" t="s">
        <v>21338</v>
      </c>
      <c r="T1367" s="74" t="s">
        <v>402</v>
      </c>
      <c r="U1367" s="74">
        <v>0</v>
      </c>
      <c r="V1367" s="74">
        <v>0</v>
      </c>
    </row>
    <row r="1368" spans="3:22" x14ac:dyDescent="0.25">
      <c r="C1368" s="74" t="s">
        <v>18795</v>
      </c>
      <c r="D1368" s="74" t="s">
        <v>148</v>
      </c>
      <c r="E1368" s="74" t="s">
        <v>21338</v>
      </c>
      <c r="F1368" s="74">
        <v>551367</v>
      </c>
      <c r="G1368" s="74">
        <v>1000</v>
      </c>
      <c r="H1368" s="135">
        <v>42985.433576388888</v>
      </c>
      <c r="I1368" s="74" t="s">
        <v>21339</v>
      </c>
      <c r="J1368" s="74" t="s">
        <v>21340</v>
      </c>
      <c r="K1368" s="74" t="s">
        <v>17331</v>
      </c>
      <c r="L1368" s="74">
        <v>553852</v>
      </c>
      <c r="M1368" s="74" t="s">
        <v>21341</v>
      </c>
      <c r="N1368" s="74">
        <v>1</v>
      </c>
      <c r="O1368" s="74" t="s">
        <v>21342</v>
      </c>
      <c r="P1368" s="74" t="s">
        <v>21343</v>
      </c>
      <c r="Q1368" s="74">
        <v>0</v>
      </c>
      <c r="R1368" s="74" t="s">
        <v>148</v>
      </c>
      <c r="S1368" s="74" t="s">
        <v>21338</v>
      </c>
      <c r="T1368" s="74" t="s">
        <v>402</v>
      </c>
      <c r="U1368" s="74">
        <v>0</v>
      </c>
      <c r="V1368" s="74">
        <v>0</v>
      </c>
    </row>
    <row r="1369" spans="3:22" x14ac:dyDescent="0.25">
      <c r="C1369" s="74" t="s">
        <v>18795</v>
      </c>
      <c r="D1369" s="74" t="s">
        <v>148</v>
      </c>
      <c r="E1369" s="74" t="s">
        <v>21338</v>
      </c>
      <c r="F1369" s="74">
        <v>551367</v>
      </c>
      <c r="G1369" s="74">
        <v>1000</v>
      </c>
      <c r="H1369" s="135">
        <v>42985.429907407408</v>
      </c>
      <c r="I1369" s="74" t="s">
        <v>21339</v>
      </c>
      <c r="J1369" s="74" t="s">
        <v>21340</v>
      </c>
      <c r="K1369" s="74" t="s">
        <v>3817</v>
      </c>
      <c r="L1369" s="74">
        <v>552140</v>
      </c>
      <c r="M1369" s="74" t="s">
        <v>21341</v>
      </c>
      <c r="N1369" s="74">
        <v>1</v>
      </c>
      <c r="O1369" s="74" t="s">
        <v>21342</v>
      </c>
      <c r="P1369" s="74" t="s">
        <v>21343</v>
      </c>
      <c r="Q1369" s="74">
        <v>0</v>
      </c>
      <c r="R1369" s="74" t="s">
        <v>148</v>
      </c>
      <c r="S1369" s="74" t="s">
        <v>21338</v>
      </c>
      <c r="T1369" s="74" t="s">
        <v>402</v>
      </c>
      <c r="U1369" s="74">
        <v>0</v>
      </c>
      <c r="V1369" s="74">
        <v>0</v>
      </c>
    </row>
    <row r="1370" spans="3:22" x14ac:dyDescent="0.25">
      <c r="C1370" s="74" t="s">
        <v>18795</v>
      </c>
      <c r="D1370" s="74" t="s">
        <v>148</v>
      </c>
      <c r="E1370" s="74" t="s">
        <v>21338</v>
      </c>
      <c r="F1370" s="74">
        <v>551367</v>
      </c>
      <c r="G1370" s="74">
        <v>1000</v>
      </c>
      <c r="H1370" s="135">
        <v>42985.427685185183</v>
      </c>
      <c r="I1370" s="74" t="s">
        <v>21339</v>
      </c>
      <c r="J1370" s="74" t="s">
        <v>21340</v>
      </c>
      <c r="K1370" s="74" t="s">
        <v>21640</v>
      </c>
      <c r="L1370" s="74">
        <v>824664</v>
      </c>
      <c r="M1370" s="74" t="s">
        <v>21341</v>
      </c>
      <c r="N1370" s="74">
        <v>1</v>
      </c>
      <c r="O1370" s="74" t="s">
        <v>21342</v>
      </c>
      <c r="P1370" s="74" t="s">
        <v>21343</v>
      </c>
      <c r="Q1370" s="74">
        <v>0</v>
      </c>
      <c r="R1370" s="74" t="s">
        <v>148</v>
      </c>
      <c r="S1370" s="74" t="s">
        <v>21338</v>
      </c>
      <c r="T1370" s="74" t="s">
        <v>402</v>
      </c>
      <c r="U1370" s="74">
        <v>0</v>
      </c>
      <c r="V1370" s="74">
        <v>0</v>
      </c>
    </row>
    <row r="1371" spans="3:22" x14ac:dyDescent="0.25">
      <c r="C1371" s="74" t="s">
        <v>9081</v>
      </c>
      <c r="D1371" s="74" t="s">
        <v>148</v>
      </c>
      <c r="E1371" s="74" t="s">
        <v>21338</v>
      </c>
      <c r="F1371" s="74">
        <v>722441</v>
      </c>
      <c r="G1371" s="74">
        <v>3</v>
      </c>
      <c r="H1371" s="135">
        <v>42985.421284722222</v>
      </c>
      <c r="I1371" s="74" t="s">
        <v>21354</v>
      </c>
      <c r="J1371" s="74" t="s">
        <v>21355</v>
      </c>
      <c r="K1371" s="74" t="s">
        <v>21285</v>
      </c>
      <c r="L1371" s="74">
        <v>722926</v>
      </c>
      <c r="M1371" s="74" t="s">
        <v>21341</v>
      </c>
      <c r="N1371" s="74">
        <v>1</v>
      </c>
      <c r="O1371" s="74" t="s">
        <v>21342</v>
      </c>
      <c r="P1371" s="74" t="s">
        <v>21345</v>
      </c>
      <c r="R1371" s="74" t="s">
        <v>148</v>
      </c>
      <c r="S1371" s="74" t="s">
        <v>21338</v>
      </c>
      <c r="T1371" s="74" t="s">
        <v>402</v>
      </c>
      <c r="U1371" s="74">
        <v>0</v>
      </c>
      <c r="V1371" s="74">
        <v>0</v>
      </c>
    </row>
    <row r="1372" spans="3:22" x14ac:dyDescent="0.25">
      <c r="C1372" s="74" t="s">
        <v>21385</v>
      </c>
      <c r="D1372" s="74" t="s">
        <v>148</v>
      </c>
      <c r="E1372" s="74" t="s">
        <v>21338</v>
      </c>
      <c r="F1372" s="74">
        <v>560579</v>
      </c>
      <c r="G1372" s="74">
        <v>3</v>
      </c>
      <c r="H1372" s="135">
        <v>42985.419016203705</v>
      </c>
      <c r="I1372" s="74" t="s">
        <v>21354</v>
      </c>
      <c r="J1372" s="74" t="s">
        <v>21355</v>
      </c>
      <c r="K1372" s="74" t="s">
        <v>17888</v>
      </c>
      <c r="L1372" s="74">
        <v>553925</v>
      </c>
      <c r="M1372" s="74" t="s">
        <v>21341</v>
      </c>
      <c r="N1372" s="74">
        <v>1</v>
      </c>
      <c r="O1372" s="74" t="s">
        <v>21342</v>
      </c>
      <c r="P1372" s="74" t="s">
        <v>21345</v>
      </c>
      <c r="R1372" s="74" t="s">
        <v>148</v>
      </c>
      <c r="S1372" s="74" t="s">
        <v>21338</v>
      </c>
      <c r="T1372" s="74" t="s">
        <v>402</v>
      </c>
      <c r="U1372" s="74">
        <v>0</v>
      </c>
      <c r="V1372" s="74">
        <v>0</v>
      </c>
    </row>
    <row r="1373" spans="3:22" x14ac:dyDescent="0.25">
      <c r="C1373" s="74" t="s">
        <v>18795</v>
      </c>
      <c r="D1373" s="74" t="s">
        <v>148</v>
      </c>
      <c r="E1373" s="74" t="s">
        <v>21338</v>
      </c>
      <c r="F1373" s="74">
        <v>551367</v>
      </c>
      <c r="G1373" s="74">
        <v>1000</v>
      </c>
      <c r="H1373" s="135">
        <v>42985.416018518517</v>
      </c>
      <c r="I1373" s="74" t="s">
        <v>21339</v>
      </c>
      <c r="J1373" s="74" t="s">
        <v>21340</v>
      </c>
      <c r="K1373" s="74" t="s">
        <v>18415</v>
      </c>
      <c r="L1373" s="74">
        <v>553995</v>
      </c>
      <c r="M1373" s="74" t="s">
        <v>21341</v>
      </c>
      <c r="N1373" s="74">
        <v>1</v>
      </c>
      <c r="O1373" s="74" t="s">
        <v>21342</v>
      </c>
      <c r="P1373" s="74" t="s">
        <v>21343</v>
      </c>
      <c r="Q1373" s="74">
        <v>0</v>
      </c>
      <c r="R1373" s="74" t="s">
        <v>148</v>
      </c>
      <c r="S1373" s="74" t="s">
        <v>21338</v>
      </c>
      <c r="T1373" s="74" t="s">
        <v>393</v>
      </c>
      <c r="U1373" s="74">
        <v>0</v>
      </c>
      <c r="V1373" s="74">
        <v>0</v>
      </c>
    </row>
    <row r="1374" spans="3:22" x14ac:dyDescent="0.25">
      <c r="C1374" s="74" t="s">
        <v>18795</v>
      </c>
      <c r="D1374" s="74" t="s">
        <v>148</v>
      </c>
      <c r="E1374" s="74" t="s">
        <v>21338</v>
      </c>
      <c r="F1374" s="74">
        <v>551367</v>
      </c>
      <c r="G1374" s="74">
        <v>1000</v>
      </c>
      <c r="H1374" s="135">
        <v>42985.415671296294</v>
      </c>
      <c r="I1374" s="74" t="s">
        <v>21339</v>
      </c>
      <c r="J1374" s="74" t="s">
        <v>21340</v>
      </c>
      <c r="K1374" s="74" t="s">
        <v>21285</v>
      </c>
      <c r="L1374" s="74">
        <v>722926</v>
      </c>
      <c r="M1374" s="74" t="s">
        <v>21341</v>
      </c>
      <c r="N1374" s="74">
        <v>1</v>
      </c>
      <c r="O1374" s="74" t="s">
        <v>21342</v>
      </c>
      <c r="P1374" s="74" t="s">
        <v>21343</v>
      </c>
      <c r="Q1374" s="74">
        <v>0</v>
      </c>
      <c r="R1374" s="74" t="s">
        <v>148</v>
      </c>
      <c r="S1374" s="74" t="s">
        <v>21338</v>
      </c>
      <c r="T1374" s="74" t="s">
        <v>402</v>
      </c>
      <c r="U1374" s="74">
        <v>0</v>
      </c>
      <c r="V1374" s="74">
        <v>0</v>
      </c>
    </row>
    <row r="1375" spans="3:22" x14ac:dyDescent="0.25">
      <c r="C1375" s="74" t="s">
        <v>21390</v>
      </c>
      <c r="D1375" s="74" t="s">
        <v>148</v>
      </c>
      <c r="E1375" s="74" t="s">
        <v>21338</v>
      </c>
      <c r="F1375" s="74">
        <v>560864</v>
      </c>
      <c r="G1375" s="74">
        <v>3</v>
      </c>
      <c r="H1375" s="135">
        <v>42985.401643518519</v>
      </c>
      <c r="I1375" s="74" t="s">
        <v>21354</v>
      </c>
      <c r="J1375" s="74" t="s">
        <v>21355</v>
      </c>
      <c r="K1375" s="74" t="s">
        <v>21641</v>
      </c>
      <c r="L1375" s="74">
        <v>729505</v>
      </c>
      <c r="M1375" s="74" t="s">
        <v>21341</v>
      </c>
      <c r="N1375" s="74">
        <v>1</v>
      </c>
      <c r="O1375" s="74" t="s">
        <v>21342</v>
      </c>
      <c r="P1375" s="74" t="s">
        <v>21345</v>
      </c>
      <c r="R1375" s="74" t="s">
        <v>148</v>
      </c>
      <c r="S1375" s="74" t="s">
        <v>21338</v>
      </c>
      <c r="T1375" s="74" t="s">
        <v>402</v>
      </c>
      <c r="U1375" s="74">
        <v>0</v>
      </c>
      <c r="V1375" s="74">
        <v>0</v>
      </c>
    </row>
    <row r="1376" spans="3:22" x14ac:dyDescent="0.25">
      <c r="C1376" s="74" t="s">
        <v>735</v>
      </c>
      <c r="D1376" s="74" t="s">
        <v>148</v>
      </c>
      <c r="E1376" s="74" t="s">
        <v>21338</v>
      </c>
      <c r="F1376" s="74">
        <v>570025</v>
      </c>
      <c r="G1376" s="74">
        <v>3</v>
      </c>
      <c r="H1376" s="135">
        <v>42985.395787037036</v>
      </c>
      <c r="I1376" s="74" t="s">
        <v>21339</v>
      </c>
      <c r="J1376" s="74" t="s">
        <v>21364</v>
      </c>
      <c r="K1376" s="74" t="s">
        <v>11887</v>
      </c>
      <c r="L1376" s="74">
        <v>553158</v>
      </c>
      <c r="M1376" s="74" t="s">
        <v>21341</v>
      </c>
      <c r="N1376" s="74">
        <v>1</v>
      </c>
      <c r="O1376" s="74" t="s">
        <v>21342</v>
      </c>
      <c r="P1376" s="74" t="s">
        <v>21343</v>
      </c>
      <c r="Q1376" s="74">
        <v>0</v>
      </c>
      <c r="R1376" s="74" t="s">
        <v>148</v>
      </c>
      <c r="S1376" s="74" t="s">
        <v>21338</v>
      </c>
      <c r="T1376" s="74" t="s">
        <v>402</v>
      </c>
      <c r="U1376" s="74">
        <v>0</v>
      </c>
      <c r="V1376" s="74">
        <v>0</v>
      </c>
    </row>
    <row r="1377" spans="3:22" x14ac:dyDescent="0.25">
      <c r="C1377" s="74" t="s">
        <v>18795</v>
      </c>
      <c r="D1377" s="74" t="s">
        <v>148</v>
      </c>
      <c r="E1377" s="74" t="s">
        <v>21338</v>
      </c>
      <c r="F1377" s="74">
        <v>551367</v>
      </c>
      <c r="G1377" s="74">
        <v>1000</v>
      </c>
      <c r="H1377" s="135">
        <v>42985.381273148145</v>
      </c>
      <c r="I1377" s="74" t="s">
        <v>21339</v>
      </c>
      <c r="J1377" s="74" t="s">
        <v>21340</v>
      </c>
      <c r="K1377" s="74" t="s">
        <v>3276</v>
      </c>
      <c r="L1377" s="74">
        <v>552077</v>
      </c>
      <c r="M1377" s="74" t="s">
        <v>21341</v>
      </c>
      <c r="N1377" s="74">
        <v>1</v>
      </c>
      <c r="O1377" s="74" t="s">
        <v>21342</v>
      </c>
      <c r="P1377" s="74" t="s">
        <v>21343</v>
      </c>
      <c r="Q1377" s="74">
        <v>0</v>
      </c>
      <c r="R1377" s="74" t="s">
        <v>148</v>
      </c>
      <c r="S1377" s="74" t="s">
        <v>21338</v>
      </c>
      <c r="T1377" s="74" t="s">
        <v>402</v>
      </c>
      <c r="U1377" s="74">
        <v>0</v>
      </c>
      <c r="V1377" s="74">
        <v>0</v>
      </c>
    </row>
    <row r="1378" spans="3:22" x14ac:dyDescent="0.25">
      <c r="C1378" s="74" t="s">
        <v>18795</v>
      </c>
      <c r="D1378" s="74" t="s">
        <v>148</v>
      </c>
      <c r="E1378" s="74" t="s">
        <v>21338</v>
      </c>
      <c r="F1378" s="74">
        <v>551367</v>
      </c>
      <c r="G1378" s="74">
        <v>1000</v>
      </c>
      <c r="H1378" s="135">
        <v>42985.377326388887</v>
      </c>
      <c r="I1378" s="74" t="s">
        <v>21339</v>
      </c>
      <c r="J1378" s="74" t="s">
        <v>21340</v>
      </c>
      <c r="K1378" s="74" t="s">
        <v>13764</v>
      </c>
      <c r="L1378" s="74">
        <v>553408</v>
      </c>
      <c r="M1378" s="74" t="s">
        <v>21341</v>
      </c>
      <c r="N1378" s="74">
        <v>1</v>
      </c>
      <c r="O1378" s="74" t="s">
        <v>21342</v>
      </c>
      <c r="P1378" s="74" t="s">
        <v>21343</v>
      </c>
      <c r="Q1378" s="74">
        <v>0</v>
      </c>
      <c r="R1378" s="74" t="s">
        <v>148</v>
      </c>
      <c r="S1378" s="74" t="s">
        <v>21338</v>
      </c>
      <c r="T1378" s="74" t="s">
        <v>402</v>
      </c>
      <c r="U1378" s="74">
        <v>0</v>
      </c>
      <c r="V1378" s="74">
        <v>0</v>
      </c>
    </row>
    <row r="1379" spans="3:22" x14ac:dyDescent="0.25">
      <c r="C1379" s="74" t="s">
        <v>21390</v>
      </c>
      <c r="D1379" s="74" t="s">
        <v>148</v>
      </c>
      <c r="E1379" s="74" t="s">
        <v>21338</v>
      </c>
      <c r="F1379" s="74">
        <v>560864</v>
      </c>
      <c r="G1379" s="74">
        <v>3</v>
      </c>
      <c r="H1379" s="135">
        <v>42985.371215277781</v>
      </c>
      <c r="I1379" s="74" t="s">
        <v>21354</v>
      </c>
      <c r="J1379" s="74" t="s">
        <v>21355</v>
      </c>
      <c r="K1379" s="74" t="s">
        <v>7956</v>
      </c>
      <c r="L1379" s="74">
        <v>552659</v>
      </c>
      <c r="M1379" s="74" t="s">
        <v>21341</v>
      </c>
      <c r="N1379" s="74">
        <v>1</v>
      </c>
      <c r="O1379" s="74" t="s">
        <v>21342</v>
      </c>
      <c r="P1379" s="74" t="s">
        <v>21345</v>
      </c>
      <c r="R1379" s="74" t="s">
        <v>148</v>
      </c>
      <c r="S1379" s="74" t="s">
        <v>21338</v>
      </c>
      <c r="T1379" s="74" t="s">
        <v>402</v>
      </c>
      <c r="U1379" s="74">
        <v>0</v>
      </c>
      <c r="V1379" s="74">
        <v>0</v>
      </c>
    </row>
    <row r="1380" spans="3:22" x14ac:dyDescent="0.25">
      <c r="C1380" s="74" t="s">
        <v>18795</v>
      </c>
      <c r="D1380" s="74" t="s">
        <v>148</v>
      </c>
      <c r="E1380" s="74" t="s">
        <v>21338</v>
      </c>
      <c r="F1380" s="74">
        <v>551367</v>
      </c>
      <c r="G1380" s="74">
        <v>1000</v>
      </c>
      <c r="H1380" s="135">
        <v>42985.358807870369</v>
      </c>
      <c r="I1380" s="74" t="s">
        <v>21339</v>
      </c>
      <c r="J1380" s="74" t="s">
        <v>21340</v>
      </c>
      <c r="K1380" s="74" t="s">
        <v>21642</v>
      </c>
      <c r="L1380" s="74">
        <v>560658</v>
      </c>
      <c r="M1380" s="74" t="s">
        <v>21341</v>
      </c>
      <c r="N1380" s="74">
        <v>1</v>
      </c>
      <c r="O1380" s="74" t="s">
        <v>21342</v>
      </c>
      <c r="P1380" s="74" t="s">
        <v>21343</v>
      </c>
      <c r="Q1380" s="74">
        <v>0</v>
      </c>
      <c r="R1380" s="74" t="s">
        <v>148</v>
      </c>
      <c r="S1380" s="74" t="s">
        <v>21338</v>
      </c>
      <c r="T1380" s="74" t="s">
        <v>393</v>
      </c>
      <c r="U1380" s="74">
        <v>0</v>
      </c>
      <c r="V1380" s="74">
        <v>0</v>
      </c>
    </row>
    <row r="1381" spans="3:22" x14ac:dyDescent="0.25">
      <c r="C1381" s="74" t="s">
        <v>18795</v>
      </c>
      <c r="D1381" s="74" t="s">
        <v>148</v>
      </c>
      <c r="E1381" s="74" t="s">
        <v>21338</v>
      </c>
      <c r="F1381" s="74">
        <v>551367</v>
      </c>
      <c r="G1381" s="74">
        <v>1000</v>
      </c>
      <c r="H1381" s="135">
        <v>42985.35837962963</v>
      </c>
      <c r="I1381" s="74" t="s">
        <v>21339</v>
      </c>
      <c r="J1381" s="74" t="s">
        <v>21340</v>
      </c>
      <c r="K1381" s="74" t="s">
        <v>7683</v>
      </c>
      <c r="L1381" s="74">
        <v>551683</v>
      </c>
      <c r="M1381" s="74" t="s">
        <v>21341</v>
      </c>
      <c r="N1381" s="74">
        <v>1</v>
      </c>
      <c r="O1381" s="74" t="s">
        <v>21342</v>
      </c>
      <c r="P1381" s="74" t="s">
        <v>21343</v>
      </c>
      <c r="Q1381" s="74">
        <v>0</v>
      </c>
      <c r="R1381" s="74" t="s">
        <v>148</v>
      </c>
      <c r="S1381" s="74" t="s">
        <v>21338</v>
      </c>
      <c r="T1381" s="74" t="s">
        <v>402</v>
      </c>
      <c r="U1381" s="74">
        <v>0</v>
      </c>
      <c r="V1381" s="74">
        <v>0</v>
      </c>
    </row>
    <row r="1382" spans="3:22" x14ac:dyDescent="0.25">
      <c r="C1382" s="74" t="s">
        <v>533</v>
      </c>
      <c r="D1382" s="74" t="s">
        <v>148</v>
      </c>
      <c r="E1382" s="74" t="s">
        <v>21338</v>
      </c>
      <c r="F1382" s="74">
        <v>627566</v>
      </c>
      <c r="G1382" s="74">
        <v>3</v>
      </c>
      <c r="H1382" s="135">
        <v>42985.34097222222</v>
      </c>
      <c r="I1382" s="74" t="s">
        <v>21354</v>
      </c>
      <c r="J1382" s="74" t="s">
        <v>21355</v>
      </c>
      <c r="K1382" s="74" t="s">
        <v>21578</v>
      </c>
      <c r="L1382" s="74">
        <v>840602</v>
      </c>
      <c r="M1382" s="74" t="s">
        <v>21341</v>
      </c>
      <c r="N1382" s="74">
        <v>1</v>
      </c>
      <c r="O1382" s="74" t="s">
        <v>21342</v>
      </c>
      <c r="P1382" s="74" t="s">
        <v>21345</v>
      </c>
      <c r="R1382" s="74" t="s">
        <v>148</v>
      </c>
      <c r="S1382" s="74" t="s">
        <v>21338</v>
      </c>
      <c r="T1382" s="74" t="s">
        <v>402</v>
      </c>
      <c r="U1382" s="74">
        <v>0</v>
      </c>
      <c r="V1382" s="74">
        <v>0</v>
      </c>
    </row>
    <row r="1383" spans="3:22" x14ac:dyDescent="0.25">
      <c r="C1383" s="74" t="s">
        <v>533</v>
      </c>
      <c r="D1383" s="74" t="s">
        <v>148</v>
      </c>
      <c r="E1383" s="74" t="s">
        <v>21338</v>
      </c>
      <c r="F1383" s="74">
        <v>627566</v>
      </c>
      <c r="G1383" s="74">
        <v>3</v>
      </c>
      <c r="H1383" s="135">
        <v>42985.340763888889</v>
      </c>
      <c r="I1383" s="74" t="s">
        <v>21339</v>
      </c>
      <c r="J1383" s="74" t="s">
        <v>21360</v>
      </c>
      <c r="K1383" s="74" t="s">
        <v>21578</v>
      </c>
      <c r="L1383" s="74">
        <v>840602</v>
      </c>
      <c r="M1383" s="74" t="s">
        <v>21341</v>
      </c>
      <c r="N1383" s="74">
        <v>1</v>
      </c>
      <c r="O1383" s="74" t="s">
        <v>21359</v>
      </c>
      <c r="P1383" s="74" t="s">
        <v>21343</v>
      </c>
      <c r="Q1383" s="74" t="s">
        <v>21395</v>
      </c>
      <c r="R1383" s="74" t="s">
        <v>148</v>
      </c>
      <c r="S1383" s="74" t="s">
        <v>21338</v>
      </c>
      <c r="T1383" s="74" t="s">
        <v>402</v>
      </c>
      <c r="U1383" s="74">
        <v>0</v>
      </c>
      <c r="V1383" s="74">
        <v>0</v>
      </c>
    </row>
    <row r="1384" spans="3:22" x14ac:dyDescent="0.25">
      <c r="C1384" s="74" t="s">
        <v>533</v>
      </c>
      <c r="D1384" s="74" t="s">
        <v>148</v>
      </c>
      <c r="E1384" s="74" t="s">
        <v>21338</v>
      </c>
      <c r="F1384" s="74">
        <v>627566</v>
      </c>
      <c r="G1384" s="74">
        <v>3</v>
      </c>
      <c r="H1384" s="135">
        <v>42985.339930555558</v>
      </c>
      <c r="I1384" s="74" t="s">
        <v>21354</v>
      </c>
      <c r="J1384" s="74" t="s">
        <v>21355</v>
      </c>
      <c r="K1384" s="74" t="s">
        <v>8875</v>
      </c>
      <c r="L1384" s="74">
        <v>552775</v>
      </c>
      <c r="M1384" s="74" t="s">
        <v>21341</v>
      </c>
      <c r="N1384" s="74">
        <v>1</v>
      </c>
      <c r="O1384" s="74" t="s">
        <v>21342</v>
      </c>
      <c r="P1384" s="74" t="s">
        <v>21345</v>
      </c>
      <c r="R1384" s="74" t="s">
        <v>148</v>
      </c>
      <c r="S1384" s="74" t="s">
        <v>21338</v>
      </c>
      <c r="T1384" s="74" t="s">
        <v>402</v>
      </c>
      <c r="U1384" s="74">
        <v>0</v>
      </c>
      <c r="V1384" s="74">
        <v>0</v>
      </c>
    </row>
    <row r="1385" spans="3:22" x14ac:dyDescent="0.25">
      <c r="C1385" s="74" t="s">
        <v>533</v>
      </c>
      <c r="D1385" s="74" t="s">
        <v>148</v>
      </c>
      <c r="E1385" s="74" t="s">
        <v>21338</v>
      </c>
      <c r="F1385" s="74">
        <v>627566</v>
      </c>
      <c r="G1385" s="74">
        <v>3</v>
      </c>
      <c r="H1385" s="135">
        <v>42985.339502314811</v>
      </c>
      <c r="I1385" s="74" t="s">
        <v>21339</v>
      </c>
      <c r="J1385" s="74" t="s">
        <v>21360</v>
      </c>
      <c r="K1385" s="74" t="s">
        <v>8875</v>
      </c>
      <c r="L1385" s="74">
        <v>552775</v>
      </c>
      <c r="M1385" s="74" t="s">
        <v>21341</v>
      </c>
      <c r="N1385" s="74">
        <v>1</v>
      </c>
      <c r="O1385" s="74" t="s">
        <v>21359</v>
      </c>
      <c r="P1385" s="74" t="s">
        <v>21343</v>
      </c>
      <c r="Q1385" s="74" t="s">
        <v>21395</v>
      </c>
      <c r="R1385" s="74" t="s">
        <v>148</v>
      </c>
      <c r="S1385" s="74" t="s">
        <v>21338</v>
      </c>
      <c r="T1385" s="74" t="s">
        <v>402</v>
      </c>
      <c r="U1385" s="74">
        <v>0</v>
      </c>
      <c r="V1385" s="74">
        <v>0</v>
      </c>
    </row>
    <row r="1386" spans="3:22" x14ac:dyDescent="0.25">
      <c r="C1386" s="74" t="s">
        <v>735</v>
      </c>
      <c r="D1386" s="74" t="s">
        <v>148</v>
      </c>
      <c r="E1386" s="74" t="s">
        <v>21338</v>
      </c>
      <c r="F1386" s="74">
        <v>570025</v>
      </c>
      <c r="G1386" s="74">
        <v>3</v>
      </c>
      <c r="H1386" s="135">
        <v>42984.997083333335</v>
      </c>
      <c r="I1386" s="74" t="s">
        <v>21339</v>
      </c>
      <c r="J1386" s="74" t="s">
        <v>21362</v>
      </c>
      <c r="K1386" s="74" t="s">
        <v>21643</v>
      </c>
      <c r="L1386" s="74">
        <v>823297</v>
      </c>
      <c r="M1386" s="74" t="s">
        <v>21341</v>
      </c>
      <c r="N1386" s="74">
        <v>1</v>
      </c>
      <c r="O1386" s="74" t="s">
        <v>21342</v>
      </c>
      <c r="P1386" s="74" t="s">
        <v>21343</v>
      </c>
      <c r="Q1386" s="74" t="s">
        <v>21363</v>
      </c>
      <c r="R1386" s="74" t="s">
        <v>148</v>
      </c>
      <c r="S1386" s="74" t="s">
        <v>21338</v>
      </c>
      <c r="T1386" s="74" t="s">
        <v>393</v>
      </c>
      <c r="U1386" s="74">
        <v>0</v>
      </c>
      <c r="V1386" s="74">
        <v>0</v>
      </c>
    </row>
    <row r="1387" spans="3:22" x14ac:dyDescent="0.25">
      <c r="C1387" s="74" t="s">
        <v>735</v>
      </c>
      <c r="D1387" s="74" t="s">
        <v>148</v>
      </c>
      <c r="E1387" s="74" t="s">
        <v>21338</v>
      </c>
      <c r="F1387" s="74">
        <v>570025</v>
      </c>
      <c r="G1387" s="74">
        <v>3</v>
      </c>
      <c r="H1387" s="135">
        <v>42984.996747685182</v>
      </c>
      <c r="I1387" s="74" t="s">
        <v>21339</v>
      </c>
      <c r="J1387" s="74" t="s">
        <v>21364</v>
      </c>
      <c r="K1387" s="74" t="s">
        <v>21643</v>
      </c>
      <c r="L1387" s="74">
        <v>823297</v>
      </c>
      <c r="M1387" s="74" t="s">
        <v>21341</v>
      </c>
      <c r="N1387" s="74">
        <v>1</v>
      </c>
      <c r="O1387" s="74" t="s">
        <v>21342</v>
      </c>
      <c r="P1387" s="74" t="s">
        <v>21343</v>
      </c>
      <c r="Q1387" s="74">
        <v>0</v>
      </c>
      <c r="R1387" s="74" t="s">
        <v>148</v>
      </c>
      <c r="S1387" s="74" t="s">
        <v>21338</v>
      </c>
      <c r="T1387" s="74" t="s">
        <v>402</v>
      </c>
      <c r="U1387" s="74">
        <v>0</v>
      </c>
      <c r="V1387" s="74">
        <v>0</v>
      </c>
    </row>
    <row r="1388" spans="3:22" x14ac:dyDescent="0.25">
      <c r="C1388" s="74" t="s">
        <v>735</v>
      </c>
      <c r="D1388" s="74" t="s">
        <v>148</v>
      </c>
      <c r="E1388" s="74" t="s">
        <v>21338</v>
      </c>
      <c r="F1388" s="74">
        <v>570025</v>
      </c>
      <c r="G1388" s="74">
        <v>3</v>
      </c>
      <c r="H1388" s="135">
        <v>42984.996562499997</v>
      </c>
      <c r="I1388" s="74" t="s">
        <v>21339</v>
      </c>
      <c r="J1388" s="74" t="s">
        <v>21360</v>
      </c>
      <c r="K1388" s="74" t="s">
        <v>21643</v>
      </c>
      <c r="L1388" s="74">
        <v>823297</v>
      </c>
      <c r="M1388" s="74" t="s">
        <v>21341</v>
      </c>
      <c r="N1388" s="74">
        <v>1</v>
      </c>
      <c r="O1388" s="74" t="s">
        <v>21342</v>
      </c>
      <c r="P1388" s="74" t="s">
        <v>21343</v>
      </c>
      <c r="Q1388" s="74" t="s">
        <v>21361</v>
      </c>
      <c r="R1388" s="74" t="s">
        <v>148</v>
      </c>
      <c r="S1388" s="74" t="s">
        <v>21338</v>
      </c>
      <c r="T1388" s="74" t="s">
        <v>402</v>
      </c>
      <c r="U1388" s="74">
        <v>0</v>
      </c>
      <c r="V1388" s="74">
        <v>0</v>
      </c>
    </row>
    <row r="1389" spans="3:22" x14ac:dyDescent="0.25">
      <c r="C1389" s="74" t="s">
        <v>735</v>
      </c>
      <c r="D1389" s="74" t="s">
        <v>148</v>
      </c>
      <c r="E1389" s="74" t="s">
        <v>21338</v>
      </c>
      <c r="F1389" s="74">
        <v>570025</v>
      </c>
      <c r="G1389" s="74">
        <v>3</v>
      </c>
      <c r="H1389" s="135">
        <v>42984.996550925927</v>
      </c>
      <c r="I1389" s="74" t="s">
        <v>21339</v>
      </c>
      <c r="J1389" s="74" t="s">
        <v>21360</v>
      </c>
      <c r="K1389" s="74" t="s">
        <v>21643</v>
      </c>
      <c r="L1389" s="74">
        <v>823297</v>
      </c>
      <c r="M1389" s="74" t="s">
        <v>21341</v>
      </c>
      <c r="N1389" s="74">
        <v>1</v>
      </c>
      <c r="O1389" s="74" t="s">
        <v>21342</v>
      </c>
      <c r="P1389" s="74" t="s">
        <v>21343</v>
      </c>
      <c r="Q1389" s="74" t="s">
        <v>21361</v>
      </c>
      <c r="R1389" s="74" t="s">
        <v>148</v>
      </c>
      <c r="S1389" s="74" t="s">
        <v>21338</v>
      </c>
      <c r="T1389" s="74" t="s">
        <v>402</v>
      </c>
      <c r="U1389" s="74">
        <v>0</v>
      </c>
      <c r="V1389" s="74">
        <v>0</v>
      </c>
    </row>
    <row r="1390" spans="3:22" x14ac:dyDescent="0.25">
      <c r="C1390" s="74" t="s">
        <v>735</v>
      </c>
      <c r="D1390" s="74" t="s">
        <v>148</v>
      </c>
      <c r="E1390" s="74" t="s">
        <v>21338</v>
      </c>
      <c r="F1390" s="74">
        <v>570025</v>
      </c>
      <c r="G1390" s="74">
        <v>3</v>
      </c>
      <c r="H1390" s="135">
        <v>42984.993310185186</v>
      </c>
      <c r="I1390" s="74" t="s">
        <v>21339</v>
      </c>
      <c r="J1390" s="74" t="s">
        <v>21391</v>
      </c>
      <c r="K1390" s="74" t="s">
        <v>21643</v>
      </c>
      <c r="L1390" s="74">
        <v>823297</v>
      </c>
      <c r="M1390" s="74" t="s">
        <v>21341</v>
      </c>
      <c r="N1390" s="74">
        <v>1</v>
      </c>
      <c r="O1390" s="74" t="s">
        <v>21342</v>
      </c>
      <c r="P1390" s="74" t="s">
        <v>21343</v>
      </c>
      <c r="Q1390" s="74" t="s">
        <v>21459</v>
      </c>
      <c r="R1390" s="74" t="s">
        <v>148</v>
      </c>
      <c r="S1390" s="74" t="s">
        <v>21338</v>
      </c>
      <c r="T1390" s="74" t="s">
        <v>402</v>
      </c>
      <c r="U1390" s="74">
        <v>0</v>
      </c>
      <c r="V1390" s="74">
        <v>0</v>
      </c>
    </row>
    <row r="1391" spans="3:22" x14ac:dyDescent="0.25">
      <c r="C1391" s="74" t="s">
        <v>735</v>
      </c>
      <c r="D1391" s="74" t="s">
        <v>148</v>
      </c>
      <c r="E1391" s="74" t="s">
        <v>21338</v>
      </c>
      <c r="F1391" s="74">
        <v>570025</v>
      </c>
      <c r="G1391" s="74">
        <v>3</v>
      </c>
      <c r="H1391" s="135">
        <v>42984.993310185186</v>
      </c>
      <c r="I1391" s="74" t="s">
        <v>21339</v>
      </c>
      <c r="J1391" s="74" t="s">
        <v>21391</v>
      </c>
      <c r="K1391" s="74" t="s">
        <v>21643</v>
      </c>
      <c r="L1391" s="74">
        <v>823297</v>
      </c>
      <c r="M1391" s="74" t="s">
        <v>21341</v>
      </c>
      <c r="N1391" s="74">
        <v>1</v>
      </c>
      <c r="O1391" s="74" t="s">
        <v>21342</v>
      </c>
      <c r="P1391" s="74" t="s">
        <v>21343</v>
      </c>
      <c r="Q1391" s="74" t="s">
        <v>21459</v>
      </c>
      <c r="R1391" s="74" t="s">
        <v>148</v>
      </c>
      <c r="S1391" s="74" t="s">
        <v>21338</v>
      </c>
      <c r="T1391" s="74" t="s">
        <v>402</v>
      </c>
      <c r="U1391" s="74">
        <v>0</v>
      </c>
      <c r="V1391" s="74">
        <v>0</v>
      </c>
    </row>
    <row r="1392" spans="3:22" x14ac:dyDescent="0.25">
      <c r="C1392" s="74" t="s">
        <v>18795</v>
      </c>
      <c r="D1392" s="74" t="s">
        <v>148</v>
      </c>
      <c r="E1392" s="74" t="s">
        <v>21338</v>
      </c>
      <c r="F1392" s="74">
        <v>551367</v>
      </c>
      <c r="G1392" s="74">
        <v>1000</v>
      </c>
      <c r="H1392" s="135">
        <v>42984.974895833337</v>
      </c>
      <c r="I1392" s="74" t="s">
        <v>21339</v>
      </c>
      <c r="J1392" s="74" t="s">
        <v>21340</v>
      </c>
      <c r="K1392" s="74" t="s">
        <v>21346</v>
      </c>
      <c r="L1392" s="74">
        <v>560511</v>
      </c>
      <c r="M1392" s="74" t="s">
        <v>21341</v>
      </c>
      <c r="N1392" s="74">
        <v>1</v>
      </c>
      <c r="O1392" s="74" t="s">
        <v>21342</v>
      </c>
      <c r="P1392" s="74" t="s">
        <v>21343</v>
      </c>
      <c r="Q1392" s="74">
        <v>0</v>
      </c>
      <c r="R1392" s="74" t="s">
        <v>148</v>
      </c>
      <c r="S1392" s="74" t="s">
        <v>21338</v>
      </c>
      <c r="T1392" s="74" t="s">
        <v>393</v>
      </c>
      <c r="U1392" s="74">
        <v>0</v>
      </c>
      <c r="V1392" s="74">
        <v>0</v>
      </c>
    </row>
    <row r="1393" spans="3:22" x14ac:dyDescent="0.25">
      <c r="C1393" s="74" t="s">
        <v>18795</v>
      </c>
      <c r="D1393" s="74" t="s">
        <v>148</v>
      </c>
      <c r="E1393" s="74" t="s">
        <v>21338</v>
      </c>
      <c r="F1393" s="74">
        <v>551367</v>
      </c>
      <c r="G1393" s="74">
        <v>1000</v>
      </c>
      <c r="H1393" s="135">
        <v>42984.849618055552</v>
      </c>
      <c r="I1393" s="74" t="s">
        <v>21339</v>
      </c>
      <c r="J1393" s="74" t="s">
        <v>21340</v>
      </c>
      <c r="K1393" s="74" t="s">
        <v>21633</v>
      </c>
      <c r="L1393" s="74">
        <v>844160</v>
      </c>
      <c r="M1393" s="74" t="s">
        <v>21341</v>
      </c>
      <c r="N1393" s="74">
        <v>1</v>
      </c>
      <c r="O1393" s="74" t="s">
        <v>21342</v>
      </c>
      <c r="P1393" s="74" t="s">
        <v>21343</v>
      </c>
      <c r="Q1393" s="74">
        <v>0</v>
      </c>
      <c r="R1393" s="74" t="s">
        <v>148</v>
      </c>
      <c r="S1393" s="74" t="s">
        <v>21338</v>
      </c>
      <c r="T1393" s="74" t="s">
        <v>402</v>
      </c>
      <c r="U1393" s="74">
        <v>0</v>
      </c>
      <c r="V1393" s="74">
        <v>0</v>
      </c>
    </row>
    <row r="1394" spans="3:22" x14ac:dyDescent="0.25">
      <c r="C1394" s="74" t="s">
        <v>18795</v>
      </c>
      <c r="D1394" s="74" t="s">
        <v>148</v>
      </c>
      <c r="E1394" s="74" t="s">
        <v>21338</v>
      </c>
      <c r="F1394" s="74">
        <v>551367</v>
      </c>
      <c r="G1394" s="74">
        <v>1000</v>
      </c>
      <c r="H1394" s="135">
        <v>42984.8047337963</v>
      </c>
      <c r="I1394" s="74" t="s">
        <v>21339</v>
      </c>
      <c r="J1394" s="74" t="s">
        <v>21340</v>
      </c>
      <c r="K1394" s="74" t="s">
        <v>6610</v>
      </c>
      <c r="L1394" s="74">
        <v>554329</v>
      </c>
      <c r="M1394" s="74" t="s">
        <v>21341</v>
      </c>
      <c r="N1394" s="74">
        <v>1</v>
      </c>
      <c r="O1394" s="74" t="s">
        <v>21342</v>
      </c>
      <c r="P1394" s="74" t="s">
        <v>21343</v>
      </c>
      <c r="Q1394" s="74">
        <v>0</v>
      </c>
      <c r="R1394" s="74" t="s">
        <v>148</v>
      </c>
      <c r="S1394" s="74" t="s">
        <v>21338</v>
      </c>
      <c r="T1394" s="74" t="s">
        <v>402</v>
      </c>
      <c r="U1394" s="74">
        <v>0</v>
      </c>
      <c r="V1394" s="74">
        <v>0</v>
      </c>
    </row>
    <row r="1395" spans="3:22" x14ac:dyDescent="0.25">
      <c r="C1395" s="74" t="s">
        <v>21347</v>
      </c>
      <c r="D1395" s="74" t="s">
        <v>148</v>
      </c>
      <c r="E1395" s="74" t="s">
        <v>21338</v>
      </c>
      <c r="F1395" s="74">
        <v>637976</v>
      </c>
      <c r="G1395" s="74">
        <v>1</v>
      </c>
      <c r="H1395" s="135">
        <v>42984.765104166669</v>
      </c>
      <c r="I1395" s="74" t="s">
        <v>21348</v>
      </c>
      <c r="J1395" s="74" t="s">
        <v>21349</v>
      </c>
      <c r="K1395" s="74" t="s">
        <v>21347</v>
      </c>
      <c r="L1395" s="74">
        <v>637976</v>
      </c>
      <c r="M1395" s="74" t="s">
        <v>21341</v>
      </c>
      <c r="N1395" s="74">
        <v>0</v>
      </c>
      <c r="O1395" s="74" t="s">
        <v>21350</v>
      </c>
      <c r="P1395" s="74" t="s">
        <v>21343</v>
      </c>
      <c r="Q1395" s="74">
        <v>0</v>
      </c>
      <c r="R1395" s="74" t="s">
        <v>148</v>
      </c>
      <c r="S1395" s="74" t="s">
        <v>21338</v>
      </c>
      <c r="T1395" s="74" t="s">
        <v>402</v>
      </c>
      <c r="U1395" s="74">
        <v>0</v>
      </c>
      <c r="V1395" s="74">
        <v>0</v>
      </c>
    </row>
    <row r="1396" spans="3:22" x14ac:dyDescent="0.25">
      <c r="C1396" s="74" t="s">
        <v>21347</v>
      </c>
      <c r="D1396" s="74" t="s">
        <v>148</v>
      </c>
      <c r="E1396" s="74" t="s">
        <v>21338</v>
      </c>
      <c r="F1396" s="74">
        <v>637976</v>
      </c>
      <c r="G1396" s="74">
        <v>1</v>
      </c>
      <c r="H1396" s="135">
        <v>42984.765104166669</v>
      </c>
      <c r="I1396" s="74" t="s">
        <v>244</v>
      </c>
      <c r="J1396" s="74" t="s">
        <v>21349</v>
      </c>
      <c r="K1396" s="74" t="s">
        <v>21347</v>
      </c>
      <c r="L1396" s="74">
        <v>637976</v>
      </c>
      <c r="M1396" s="74" t="s">
        <v>21341</v>
      </c>
      <c r="N1396" s="74">
        <v>0</v>
      </c>
      <c r="O1396" s="74" t="s">
        <v>21350</v>
      </c>
      <c r="P1396" s="74" t="s">
        <v>21343</v>
      </c>
      <c r="Q1396" s="74">
        <v>0</v>
      </c>
      <c r="R1396" s="74" t="s">
        <v>148</v>
      </c>
      <c r="S1396" s="74" t="s">
        <v>21338</v>
      </c>
      <c r="T1396" s="74" t="s">
        <v>402</v>
      </c>
      <c r="U1396" s="74">
        <v>0</v>
      </c>
      <c r="V1396" s="74">
        <v>0</v>
      </c>
    </row>
    <row r="1397" spans="3:22" x14ac:dyDescent="0.25">
      <c r="C1397" s="74" t="s">
        <v>21347</v>
      </c>
      <c r="D1397" s="74" t="s">
        <v>148</v>
      </c>
      <c r="E1397" s="74" t="s">
        <v>21338</v>
      </c>
      <c r="F1397" s="74">
        <v>637976</v>
      </c>
      <c r="G1397" s="74">
        <v>1</v>
      </c>
      <c r="H1397" s="135">
        <v>42984.724224537036</v>
      </c>
      <c r="I1397" s="74" t="s">
        <v>244</v>
      </c>
      <c r="J1397" s="74" t="s">
        <v>21349</v>
      </c>
      <c r="K1397" s="74" t="s">
        <v>21347</v>
      </c>
      <c r="L1397" s="74">
        <v>637976</v>
      </c>
      <c r="M1397" s="74" t="s">
        <v>21341</v>
      </c>
      <c r="N1397" s="74">
        <v>0</v>
      </c>
      <c r="O1397" s="74" t="s">
        <v>21350</v>
      </c>
      <c r="P1397" s="74" t="s">
        <v>21343</v>
      </c>
      <c r="Q1397" s="74">
        <v>0</v>
      </c>
      <c r="R1397" s="74" t="s">
        <v>148</v>
      </c>
      <c r="S1397" s="74" t="s">
        <v>21338</v>
      </c>
      <c r="T1397" s="74" t="s">
        <v>402</v>
      </c>
      <c r="U1397" s="74">
        <v>0</v>
      </c>
      <c r="V1397" s="74">
        <v>0</v>
      </c>
    </row>
    <row r="1398" spans="3:22" x14ac:dyDescent="0.25">
      <c r="C1398" s="74" t="s">
        <v>21347</v>
      </c>
      <c r="D1398" s="74" t="s">
        <v>148</v>
      </c>
      <c r="E1398" s="74" t="s">
        <v>21338</v>
      </c>
      <c r="F1398" s="74">
        <v>637976</v>
      </c>
      <c r="G1398" s="74">
        <v>1</v>
      </c>
      <c r="H1398" s="135">
        <v>42984.724212962959</v>
      </c>
      <c r="I1398" s="74" t="s">
        <v>21348</v>
      </c>
      <c r="J1398" s="74" t="s">
        <v>21349</v>
      </c>
      <c r="K1398" s="74" t="s">
        <v>21347</v>
      </c>
      <c r="L1398" s="74">
        <v>637976</v>
      </c>
      <c r="M1398" s="74" t="s">
        <v>21341</v>
      </c>
      <c r="N1398" s="74">
        <v>0</v>
      </c>
      <c r="O1398" s="74" t="s">
        <v>21350</v>
      </c>
      <c r="P1398" s="74" t="s">
        <v>21343</v>
      </c>
      <c r="Q1398" s="74">
        <v>0</v>
      </c>
      <c r="R1398" s="74" t="s">
        <v>148</v>
      </c>
      <c r="S1398" s="74" t="s">
        <v>21338</v>
      </c>
      <c r="T1398" s="74" t="s">
        <v>402</v>
      </c>
      <c r="U1398" s="74">
        <v>0</v>
      </c>
      <c r="V1398" s="74">
        <v>0</v>
      </c>
    </row>
    <row r="1399" spans="3:22" x14ac:dyDescent="0.25">
      <c r="C1399" s="74" t="s">
        <v>18795</v>
      </c>
      <c r="D1399" s="74" t="s">
        <v>148</v>
      </c>
      <c r="E1399" s="74" t="s">
        <v>21338</v>
      </c>
      <c r="F1399" s="74">
        <v>551367</v>
      </c>
      <c r="G1399" s="74">
        <v>1000</v>
      </c>
      <c r="H1399" s="135">
        <v>42984.722858796296</v>
      </c>
      <c r="I1399" s="74" t="s">
        <v>21339</v>
      </c>
      <c r="J1399" s="74" t="s">
        <v>21340</v>
      </c>
      <c r="K1399" s="74" t="s">
        <v>2788</v>
      </c>
      <c r="L1399" s="74">
        <v>552022</v>
      </c>
      <c r="M1399" s="74" t="s">
        <v>21341</v>
      </c>
      <c r="N1399" s="74">
        <v>1</v>
      </c>
      <c r="O1399" s="74" t="s">
        <v>21342</v>
      </c>
      <c r="P1399" s="74" t="s">
        <v>21343</v>
      </c>
      <c r="Q1399" s="74">
        <v>0</v>
      </c>
      <c r="R1399" s="74" t="s">
        <v>148</v>
      </c>
      <c r="S1399" s="74" t="s">
        <v>21338</v>
      </c>
      <c r="T1399" s="74" t="s">
        <v>402</v>
      </c>
      <c r="U1399" s="74">
        <v>0</v>
      </c>
      <c r="V1399" s="74">
        <v>0</v>
      </c>
    </row>
    <row r="1400" spans="3:22" x14ac:dyDescent="0.25">
      <c r="C1400" s="74" t="s">
        <v>18795</v>
      </c>
      <c r="D1400" s="74" t="s">
        <v>148</v>
      </c>
      <c r="E1400" s="74" t="s">
        <v>21338</v>
      </c>
      <c r="F1400" s="74">
        <v>551367</v>
      </c>
      <c r="G1400" s="74">
        <v>1000</v>
      </c>
      <c r="H1400" s="135">
        <v>42984.703715277778</v>
      </c>
      <c r="I1400" s="74" t="s">
        <v>21339</v>
      </c>
      <c r="J1400" s="74" t="s">
        <v>21340</v>
      </c>
      <c r="K1400" s="74" t="s">
        <v>3650</v>
      </c>
      <c r="L1400" s="74">
        <v>577307</v>
      </c>
      <c r="M1400" s="74" t="s">
        <v>21341</v>
      </c>
      <c r="N1400" s="74">
        <v>1</v>
      </c>
      <c r="O1400" s="74" t="s">
        <v>21342</v>
      </c>
      <c r="P1400" s="74" t="s">
        <v>21343</v>
      </c>
      <c r="Q1400" s="74">
        <v>0</v>
      </c>
      <c r="R1400" s="74" t="s">
        <v>148</v>
      </c>
      <c r="S1400" s="74" t="s">
        <v>21338</v>
      </c>
      <c r="T1400" s="74" t="s">
        <v>402</v>
      </c>
      <c r="U1400" s="74">
        <v>0</v>
      </c>
      <c r="V1400" s="74">
        <v>0</v>
      </c>
    </row>
    <row r="1401" spans="3:22" x14ac:dyDescent="0.25">
      <c r="C1401" s="74" t="s">
        <v>18795</v>
      </c>
      <c r="D1401" s="74" t="s">
        <v>148</v>
      </c>
      <c r="E1401" s="74" t="s">
        <v>21338</v>
      </c>
      <c r="F1401" s="74">
        <v>551367</v>
      </c>
      <c r="G1401" s="74">
        <v>1000</v>
      </c>
      <c r="H1401" s="135">
        <v>42984.699884259258</v>
      </c>
      <c r="I1401" s="74" t="s">
        <v>21339</v>
      </c>
      <c r="J1401" s="74" t="s">
        <v>21340</v>
      </c>
      <c r="K1401" s="74" t="s">
        <v>17579</v>
      </c>
      <c r="L1401" s="74">
        <v>553775</v>
      </c>
      <c r="M1401" s="74" t="s">
        <v>21341</v>
      </c>
      <c r="N1401" s="74">
        <v>1</v>
      </c>
      <c r="O1401" s="74" t="s">
        <v>21342</v>
      </c>
      <c r="P1401" s="74" t="s">
        <v>21343</v>
      </c>
      <c r="Q1401" s="74">
        <v>0</v>
      </c>
      <c r="R1401" s="74" t="s">
        <v>148</v>
      </c>
      <c r="S1401" s="74" t="s">
        <v>21338</v>
      </c>
      <c r="T1401" s="74" t="s">
        <v>402</v>
      </c>
      <c r="U1401" s="74">
        <v>0</v>
      </c>
      <c r="V1401" s="74">
        <v>0</v>
      </c>
    </row>
    <row r="1402" spans="3:22" x14ac:dyDescent="0.25">
      <c r="C1402" s="74" t="s">
        <v>21385</v>
      </c>
      <c r="D1402" s="74" t="s">
        <v>148</v>
      </c>
      <c r="E1402" s="74" t="s">
        <v>21338</v>
      </c>
      <c r="F1402" s="74">
        <v>560579</v>
      </c>
      <c r="G1402" s="74">
        <v>3</v>
      </c>
      <c r="H1402" s="135">
        <v>42984.697141203702</v>
      </c>
      <c r="I1402" s="74" t="s">
        <v>21354</v>
      </c>
      <c r="J1402" s="74" t="s">
        <v>21355</v>
      </c>
      <c r="K1402" s="74" t="s">
        <v>13440</v>
      </c>
      <c r="L1402" s="74">
        <v>553353</v>
      </c>
      <c r="M1402" s="74" t="s">
        <v>21341</v>
      </c>
      <c r="N1402" s="74">
        <v>1</v>
      </c>
      <c r="O1402" s="74" t="s">
        <v>21342</v>
      </c>
      <c r="P1402" s="74" t="s">
        <v>21345</v>
      </c>
      <c r="R1402" s="74" t="s">
        <v>148</v>
      </c>
      <c r="S1402" s="74" t="s">
        <v>21338</v>
      </c>
      <c r="T1402" s="74" t="s">
        <v>402</v>
      </c>
      <c r="U1402" s="74">
        <v>0</v>
      </c>
      <c r="V1402" s="74">
        <v>0</v>
      </c>
    </row>
    <row r="1403" spans="3:22" x14ac:dyDescent="0.25">
      <c r="C1403" s="74" t="s">
        <v>18795</v>
      </c>
      <c r="D1403" s="74" t="s">
        <v>148</v>
      </c>
      <c r="E1403" s="74" t="s">
        <v>21338</v>
      </c>
      <c r="F1403" s="74">
        <v>551367</v>
      </c>
      <c r="G1403" s="74">
        <v>1000</v>
      </c>
      <c r="H1403" s="135">
        <v>42984.669305555559</v>
      </c>
      <c r="I1403" s="74" t="s">
        <v>21339</v>
      </c>
      <c r="J1403" s="74" t="s">
        <v>21340</v>
      </c>
      <c r="K1403" s="74" t="s">
        <v>13008</v>
      </c>
      <c r="L1403" s="74">
        <v>553299</v>
      </c>
      <c r="M1403" s="74" t="s">
        <v>21341</v>
      </c>
      <c r="N1403" s="74">
        <v>1</v>
      </c>
      <c r="O1403" s="74" t="s">
        <v>21342</v>
      </c>
      <c r="P1403" s="74" t="s">
        <v>21343</v>
      </c>
      <c r="Q1403" s="74">
        <v>0</v>
      </c>
      <c r="R1403" s="74" t="s">
        <v>148</v>
      </c>
      <c r="S1403" s="74" t="s">
        <v>21338</v>
      </c>
      <c r="T1403" s="74" t="s">
        <v>402</v>
      </c>
      <c r="U1403" s="74">
        <v>0</v>
      </c>
      <c r="V1403" s="74">
        <v>0</v>
      </c>
    </row>
    <row r="1404" spans="3:22" x14ac:dyDescent="0.25">
      <c r="C1404" s="74" t="s">
        <v>18795</v>
      </c>
      <c r="D1404" s="74" t="s">
        <v>148</v>
      </c>
      <c r="E1404" s="74" t="s">
        <v>21338</v>
      </c>
      <c r="F1404" s="74">
        <v>551367</v>
      </c>
      <c r="G1404" s="74">
        <v>1000</v>
      </c>
      <c r="H1404" s="135">
        <v>42984.650636574072</v>
      </c>
      <c r="I1404" s="74" t="s">
        <v>21339</v>
      </c>
      <c r="J1404" s="74" t="s">
        <v>21340</v>
      </c>
      <c r="K1404" s="74" t="s">
        <v>16140</v>
      </c>
      <c r="L1404" s="74">
        <v>553701</v>
      </c>
      <c r="M1404" s="74" t="s">
        <v>21341</v>
      </c>
      <c r="N1404" s="74">
        <v>1</v>
      </c>
      <c r="O1404" s="74" t="s">
        <v>21342</v>
      </c>
      <c r="P1404" s="74" t="s">
        <v>21343</v>
      </c>
      <c r="Q1404" s="74">
        <v>0</v>
      </c>
      <c r="R1404" s="74" t="s">
        <v>148</v>
      </c>
      <c r="S1404" s="74" t="s">
        <v>21338</v>
      </c>
      <c r="T1404" s="74" t="s">
        <v>402</v>
      </c>
      <c r="U1404" s="74">
        <v>0</v>
      </c>
      <c r="V1404" s="74">
        <v>0</v>
      </c>
    </row>
    <row r="1405" spans="3:22" x14ac:dyDescent="0.25">
      <c r="C1405" s="74" t="s">
        <v>18795</v>
      </c>
      <c r="D1405" s="74" t="s">
        <v>148</v>
      </c>
      <c r="E1405" s="74" t="s">
        <v>21338</v>
      </c>
      <c r="F1405" s="74">
        <v>551367</v>
      </c>
      <c r="G1405" s="74">
        <v>1000</v>
      </c>
      <c r="H1405" s="135">
        <v>42984.649502314816</v>
      </c>
      <c r="I1405" s="74" t="s">
        <v>21339</v>
      </c>
      <c r="J1405" s="74" t="s">
        <v>21340</v>
      </c>
      <c r="K1405" s="74" t="s">
        <v>7847</v>
      </c>
      <c r="L1405" s="74">
        <v>552643</v>
      </c>
      <c r="M1405" s="74" t="s">
        <v>21341</v>
      </c>
      <c r="N1405" s="74">
        <v>1</v>
      </c>
      <c r="O1405" s="74" t="s">
        <v>21342</v>
      </c>
      <c r="P1405" s="74" t="s">
        <v>21343</v>
      </c>
      <c r="Q1405" s="74">
        <v>0</v>
      </c>
      <c r="R1405" s="74" t="s">
        <v>148</v>
      </c>
      <c r="S1405" s="74" t="s">
        <v>21338</v>
      </c>
      <c r="T1405" s="74" t="s">
        <v>402</v>
      </c>
      <c r="U1405" s="74">
        <v>0</v>
      </c>
      <c r="V1405" s="74">
        <v>0</v>
      </c>
    </row>
    <row r="1406" spans="3:22" x14ac:dyDescent="0.25">
      <c r="C1406" s="74" t="s">
        <v>18795</v>
      </c>
      <c r="D1406" s="74" t="s">
        <v>148</v>
      </c>
      <c r="E1406" s="74" t="s">
        <v>21338</v>
      </c>
      <c r="F1406" s="74">
        <v>551367</v>
      </c>
      <c r="G1406" s="74">
        <v>1000</v>
      </c>
      <c r="H1406" s="135">
        <v>42984.6484375</v>
      </c>
      <c r="I1406" s="74" t="s">
        <v>21339</v>
      </c>
      <c r="J1406" s="74" t="s">
        <v>21340</v>
      </c>
      <c r="K1406" s="74" t="s">
        <v>3679</v>
      </c>
      <c r="L1406" s="74">
        <v>552121</v>
      </c>
      <c r="M1406" s="74" t="s">
        <v>21341</v>
      </c>
      <c r="N1406" s="74">
        <v>1</v>
      </c>
      <c r="O1406" s="74" t="s">
        <v>21342</v>
      </c>
      <c r="P1406" s="74" t="s">
        <v>21343</v>
      </c>
      <c r="Q1406" s="74">
        <v>0</v>
      </c>
      <c r="R1406" s="74" t="s">
        <v>148</v>
      </c>
      <c r="S1406" s="74" t="s">
        <v>21338</v>
      </c>
      <c r="T1406" s="74" t="s">
        <v>402</v>
      </c>
      <c r="U1406" s="74">
        <v>0</v>
      </c>
      <c r="V1406" s="74">
        <v>0</v>
      </c>
    </row>
    <row r="1407" spans="3:22" x14ac:dyDescent="0.25">
      <c r="C1407" s="74" t="s">
        <v>533</v>
      </c>
      <c r="D1407" s="74" t="s">
        <v>148</v>
      </c>
      <c r="E1407" s="74" t="s">
        <v>21338</v>
      </c>
      <c r="F1407" s="74">
        <v>627566</v>
      </c>
      <c r="G1407" s="74">
        <v>3</v>
      </c>
      <c r="H1407" s="135">
        <v>42984.629988425928</v>
      </c>
      <c r="I1407" s="74" t="s">
        <v>21354</v>
      </c>
      <c r="J1407" s="74" t="s">
        <v>21355</v>
      </c>
      <c r="K1407" s="74" t="s">
        <v>19575</v>
      </c>
      <c r="L1407" s="74">
        <v>554117</v>
      </c>
      <c r="M1407" s="74" t="s">
        <v>21341</v>
      </c>
      <c r="N1407" s="74">
        <v>1</v>
      </c>
      <c r="O1407" s="74" t="s">
        <v>21342</v>
      </c>
      <c r="P1407" s="74" t="s">
        <v>21345</v>
      </c>
      <c r="R1407" s="74" t="s">
        <v>148</v>
      </c>
      <c r="S1407" s="74" t="s">
        <v>21338</v>
      </c>
      <c r="T1407" s="74" t="s">
        <v>402</v>
      </c>
      <c r="U1407" s="74">
        <v>0</v>
      </c>
      <c r="V1407" s="74">
        <v>0</v>
      </c>
    </row>
    <row r="1408" spans="3:22" x14ac:dyDescent="0.25">
      <c r="C1408" s="74" t="s">
        <v>533</v>
      </c>
      <c r="D1408" s="74" t="s">
        <v>148</v>
      </c>
      <c r="E1408" s="74" t="s">
        <v>21338</v>
      </c>
      <c r="F1408" s="74">
        <v>627566</v>
      </c>
      <c r="G1408" s="74">
        <v>3</v>
      </c>
      <c r="H1408" s="135">
        <v>42984.629699074074</v>
      </c>
      <c r="I1408" s="74" t="s">
        <v>21339</v>
      </c>
      <c r="J1408" s="74" t="s">
        <v>21360</v>
      </c>
      <c r="K1408" s="74" t="s">
        <v>19575</v>
      </c>
      <c r="L1408" s="74">
        <v>554117</v>
      </c>
      <c r="M1408" s="74" t="s">
        <v>21341</v>
      </c>
      <c r="N1408" s="74">
        <v>1</v>
      </c>
      <c r="O1408" s="74" t="s">
        <v>21359</v>
      </c>
      <c r="P1408" s="74" t="s">
        <v>21343</v>
      </c>
      <c r="Q1408" s="74" t="s">
        <v>21395</v>
      </c>
      <c r="R1408" s="74" t="s">
        <v>148</v>
      </c>
      <c r="S1408" s="74" t="s">
        <v>21338</v>
      </c>
      <c r="T1408" s="74" t="s">
        <v>402</v>
      </c>
      <c r="U1408" s="74">
        <v>0</v>
      </c>
      <c r="V1408" s="74">
        <v>0</v>
      </c>
    </row>
    <row r="1409" spans="3:22" x14ac:dyDescent="0.25">
      <c r="C1409" s="74" t="s">
        <v>21353</v>
      </c>
      <c r="D1409" s="74" t="s">
        <v>148</v>
      </c>
      <c r="E1409" s="74" t="s">
        <v>21338</v>
      </c>
      <c r="F1409" s="74">
        <v>560946</v>
      </c>
      <c r="G1409" s="74">
        <v>3</v>
      </c>
      <c r="H1409" s="135">
        <v>42984.627488425926</v>
      </c>
      <c r="I1409" s="74" t="s">
        <v>21339</v>
      </c>
      <c r="J1409" s="74" t="s">
        <v>21364</v>
      </c>
      <c r="K1409" s="74" t="s">
        <v>21351</v>
      </c>
      <c r="L1409" s="74">
        <v>707864</v>
      </c>
      <c r="M1409" s="74" t="s">
        <v>21341</v>
      </c>
      <c r="N1409" s="74">
        <v>3</v>
      </c>
      <c r="O1409" s="74" t="s">
        <v>21342</v>
      </c>
      <c r="P1409" s="74" t="s">
        <v>21343</v>
      </c>
      <c r="Q1409" s="74">
        <v>0</v>
      </c>
      <c r="R1409" s="74" t="s">
        <v>148</v>
      </c>
      <c r="S1409" s="74" t="s">
        <v>21338</v>
      </c>
      <c r="T1409" s="74" t="s">
        <v>535</v>
      </c>
      <c r="U1409" s="74">
        <v>0</v>
      </c>
      <c r="V1409" s="74">
        <v>0</v>
      </c>
    </row>
    <row r="1410" spans="3:22" x14ac:dyDescent="0.25">
      <c r="C1410" s="74" t="s">
        <v>21353</v>
      </c>
      <c r="D1410" s="74" t="s">
        <v>148</v>
      </c>
      <c r="E1410" s="74" t="s">
        <v>21338</v>
      </c>
      <c r="F1410" s="74">
        <v>560946</v>
      </c>
      <c r="G1410" s="74">
        <v>3</v>
      </c>
      <c r="H1410" s="135">
        <v>42984.625601851854</v>
      </c>
      <c r="I1410" s="74" t="s">
        <v>21339</v>
      </c>
      <c r="J1410" s="74" t="s">
        <v>21340</v>
      </c>
      <c r="K1410" s="74" t="s">
        <v>21353</v>
      </c>
      <c r="L1410" s="74">
        <v>560946</v>
      </c>
      <c r="M1410" s="74" t="s">
        <v>21341</v>
      </c>
      <c r="N1410" s="74">
        <v>3</v>
      </c>
      <c r="O1410" s="74" t="s">
        <v>21342</v>
      </c>
      <c r="P1410" s="74" t="s">
        <v>21343</v>
      </c>
      <c r="Q1410" s="74">
        <v>0</v>
      </c>
      <c r="R1410" s="74" t="s">
        <v>148</v>
      </c>
      <c r="S1410" s="74" t="s">
        <v>21338</v>
      </c>
      <c r="T1410" s="74" t="s">
        <v>535</v>
      </c>
      <c r="U1410" s="74">
        <v>0</v>
      </c>
      <c r="V1410" s="74">
        <v>0</v>
      </c>
    </row>
    <row r="1411" spans="3:22" x14ac:dyDescent="0.25">
      <c r="C1411" s="74" t="s">
        <v>21351</v>
      </c>
      <c r="D1411" s="74" t="s">
        <v>148</v>
      </c>
      <c r="E1411" s="74" t="s">
        <v>21338</v>
      </c>
      <c r="F1411" s="74">
        <v>707864</v>
      </c>
      <c r="G1411" s="74">
        <v>3</v>
      </c>
      <c r="H1411" s="135">
        <v>42984.624930555554</v>
      </c>
      <c r="I1411" s="74" t="s">
        <v>21339</v>
      </c>
      <c r="J1411" s="74" t="s">
        <v>21340</v>
      </c>
      <c r="K1411" s="74" t="s">
        <v>21353</v>
      </c>
      <c r="L1411" s="74">
        <v>560946</v>
      </c>
      <c r="M1411" s="74" t="s">
        <v>21341</v>
      </c>
      <c r="N1411" s="74">
        <v>3</v>
      </c>
      <c r="O1411" s="74" t="s">
        <v>21342</v>
      </c>
      <c r="P1411" s="74" t="s">
        <v>21343</v>
      </c>
      <c r="Q1411" s="74">
        <v>0</v>
      </c>
      <c r="R1411" s="74" t="s">
        <v>148</v>
      </c>
      <c r="S1411" s="74" t="s">
        <v>21338</v>
      </c>
      <c r="T1411" s="74" t="s">
        <v>535</v>
      </c>
      <c r="U1411" s="74">
        <v>0</v>
      </c>
      <c r="V1411" s="74">
        <v>0</v>
      </c>
    </row>
    <row r="1412" spans="3:22" x14ac:dyDescent="0.25">
      <c r="C1412" s="74" t="s">
        <v>18795</v>
      </c>
      <c r="D1412" s="74" t="s">
        <v>148</v>
      </c>
      <c r="E1412" s="74" t="s">
        <v>21338</v>
      </c>
      <c r="F1412" s="74">
        <v>551367</v>
      </c>
      <c r="G1412" s="74">
        <v>1000</v>
      </c>
      <c r="H1412" s="135">
        <v>42984.621516203704</v>
      </c>
      <c r="I1412" s="74" t="s">
        <v>21339</v>
      </c>
      <c r="J1412" s="74" t="s">
        <v>21340</v>
      </c>
      <c r="K1412" s="74" t="s">
        <v>20662</v>
      </c>
      <c r="L1412" s="74">
        <v>554251</v>
      </c>
      <c r="M1412" s="74" t="s">
        <v>21341</v>
      </c>
      <c r="N1412" s="74">
        <v>1</v>
      </c>
      <c r="O1412" s="74" t="s">
        <v>21342</v>
      </c>
      <c r="P1412" s="74" t="s">
        <v>21343</v>
      </c>
      <c r="Q1412" s="74">
        <v>0</v>
      </c>
      <c r="R1412" s="74" t="s">
        <v>148</v>
      </c>
      <c r="S1412" s="74" t="s">
        <v>21338</v>
      </c>
      <c r="T1412" s="74" t="s">
        <v>402</v>
      </c>
      <c r="U1412" s="74">
        <v>0</v>
      </c>
      <c r="V1412" s="74">
        <v>0</v>
      </c>
    </row>
    <row r="1413" spans="3:22" x14ac:dyDescent="0.25">
      <c r="C1413" s="74" t="s">
        <v>21386</v>
      </c>
      <c r="D1413" s="74" t="s">
        <v>148</v>
      </c>
      <c r="E1413" s="74" t="s">
        <v>21338</v>
      </c>
      <c r="F1413" s="74">
        <v>674396</v>
      </c>
      <c r="G1413" s="74">
        <v>3</v>
      </c>
      <c r="H1413" s="135">
        <v>42984.595590277779</v>
      </c>
      <c r="I1413" s="74" t="s">
        <v>21339</v>
      </c>
      <c r="J1413" s="74" t="s">
        <v>21364</v>
      </c>
      <c r="K1413" s="74" t="s">
        <v>11743</v>
      </c>
      <c r="L1413" s="74">
        <v>907442</v>
      </c>
      <c r="M1413" s="74" t="s">
        <v>21341</v>
      </c>
      <c r="N1413" s="74">
        <v>1</v>
      </c>
      <c r="O1413" s="74" t="s">
        <v>21342</v>
      </c>
      <c r="P1413" s="74" t="s">
        <v>21343</v>
      </c>
      <c r="Q1413" s="74">
        <v>0</v>
      </c>
      <c r="R1413" s="74" t="s">
        <v>148</v>
      </c>
      <c r="S1413" s="74" t="s">
        <v>21338</v>
      </c>
      <c r="T1413" s="74" t="s">
        <v>402</v>
      </c>
      <c r="U1413" s="74">
        <v>0</v>
      </c>
      <c r="V1413" s="74">
        <v>0</v>
      </c>
    </row>
    <row r="1414" spans="3:22" x14ac:dyDescent="0.25">
      <c r="C1414" s="74" t="s">
        <v>21386</v>
      </c>
      <c r="D1414" s="74" t="s">
        <v>148</v>
      </c>
      <c r="E1414" s="74" t="s">
        <v>21338</v>
      </c>
      <c r="F1414" s="74">
        <v>674396</v>
      </c>
      <c r="G1414" s="74">
        <v>3</v>
      </c>
      <c r="H1414" s="135">
        <v>42984.595578703702</v>
      </c>
      <c r="I1414" s="74" t="s">
        <v>21398</v>
      </c>
      <c r="J1414" s="74" t="s">
        <v>21366</v>
      </c>
      <c r="K1414" s="74" t="s">
        <v>21367</v>
      </c>
      <c r="L1414" s="74">
        <v>561482</v>
      </c>
      <c r="M1414" s="74" t="s">
        <v>21368</v>
      </c>
      <c r="N1414" s="74">
        <v>1</v>
      </c>
      <c r="O1414" s="74" t="s">
        <v>21369</v>
      </c>
      <c r="P1414" s="74" t="s">
        <v>21343</v>
      </c>
      <c r="Q1414" s="74" t="s">
        <v>21644</v>
      </c>
      <c r="R1414" s="74" t="s">
        <v>148</v>
      </c>
      <c r="S1414" s="74" t="s">
        <v>21338</v>
      </c>
      <c r="T1414" s="74" t="s">
        <v>21371</v>
      </c>
      <c r="U1414" s="74">
        <v>0</v>
      </c>
      <c r="V1414" s="74">
        <v>0</v>
      </c>
    </row>
    <row r="1415" spans="3:22" x14ac:dyDescent="0.25">
      <c r="C1415" s="74" t="s">
        <v>21386</v>
      </c>
      <c r="D1415" s="74" t="s">
        <v>148</v>
      </c>
      <c r="E1415" s="74" t="s">
        <v>21338</v>
      </c>
      <c r="F1415" s="74">
        <v>674396</v>
      </c>
      <c r="G1415" s="74">
        <v>3</v>
      </c>
      <c r="H1415" s="135">
        <v>42984.595578703702</v>
      </c>
      <c r="I1415" s="74" t="s">
        <v>21398</v>
      </c>
      <c r="J1415" s="74" t="s">
        <v>21366</v>
      </c>
      <c r="K1415" s="74" t="s">
        <v>21403</v>
      </c>
      <c r="L1415" s="74">
        <v>561483</v>
      </c>
      <c r="M1415" s="74" t="s">
        <v>21368</v>
      </c>
      <c r="N1415" s="74">
        <v>1</v>
      </c>
      <c r="O1415" s="74" t="s">
        <v>21369</v>
      </c>
      <c r="P1415" s="74" t="s">
        <v>21343</v>
      </c>
      <c r="Q1415" s="74" t="s">
        <v>21644</v>
      </c>
      <c r="R1415" s="74" t="s">
        <v>148</v>
      </c>
      <c r="S1415" s="74" t="s">
        <v>21338</v>
      </c>
      <c r="T1415" s="74" t="s">
        <v>21371</v>
      </c>
      <c r="U1415" s="74">
        <v>0</v>
      </c>
      <c r="V1415" s="74">
        <v>0</v>
      </c>
    </row>
    <row r="1416" spans="3:22" x14ac:dyDescent="0.25">
      <c r="C1416" s="74" t="s">
        <v>21386</v>
      </c>
      <c r="D1416" s="74" t="s">
        <v>148</v>
      </c>
      <c r="E1416" s="74" t="s">
        <v>21338</v>
      </c>
      <c r="F1416" s="74">
        <v>674396</v>
      </c>
      <c r="G1416" s="74">
        <v>3</v>
      </c>
      <c r="H1416" s="135">
        <v>42984.595555555556</v>
      </c>
      <c r="I1416" s="74" t="s">
        <v>21398</v>
      </c>
      <c r="J1416" s="74" t="s">
        <v>21366</v>
      </c>
      <c r="K1416" s="74" t="s">
        <v>21381</v>
      </c>
      <c r="L1416" s="74">
        <v>555660</v>
      </c>
      <c r="M1416" s="74" t="s">
        <v>21368</v>
      </c>
      <c r="N1416" s="74">
        <v>1</v>
      </c>
      <c r="O1416" s="74" t="s">
        <v>21369</v>
      </c>
      <c r="P1416" s="74" t="s">
        <v>21343</v>
      </c>
      <c r="Q1416" s="74" t="s">
        <v>21644</v>
      </c>
      <c r="R1416" s="74" t="s">
        <v>148</v>
      </c>
      <c r="S1416" s="74" t="s">
        <v>21338</v>
      </c>
      <c r="T1416" s="74" t="s">
        <v>21371</v>
      </c>
      <c r="U1416" s="74">
        <v>0</v>
      </c>
      <c r="V1416" s="74">
        <v>0</v>
      </c>
    </row>
    <row r="1417" spans="3:22" x14ac:dyDescent="0.25">
      <c r="C1417" s="74" t="s">
        <v>21386</v>
      </c>
      <c r="D1417" s="74" t="s">
        <v>148</v>
      </c>
      <c r="E1417" s="74" t="s">
        <v>21338</v>
      </c>
      <c r="F1417" s="74">
        <v>674396</v>
      </c>
      <c r="G1417" s="74">
        <v>3</v>
      </c>
      <c r="H1417" s="135">
        <v>42984.595532407409</v>
      </c>
      <c r="I1417" s="74" t="s">
        <v>21339</v>
      </c>
      <c r="J1417" s="74" t="s">
        <v>21364</v>
      </c>
      <c r="K1417" s="74" t="s">
        <v>11743</v>
      </c>
      <c r="L1417" s="74">
        <v>907442</v>
      </c>
      <c r="M1417" s="74" t="s">
        <v>21341</v>
      </c>
      <c r="N1417" s="74">
        <v>1</v>
      </c>
      <c r="O1417" s="74" t="s">
        <v>21342</v>
      </c>
      <c r="P1417" s="74" t="s">
        <v>21343</v>
      </c>
      <c r="Q1417" s="74">
        <v>0</v>
      </c>
      <c r="R1417" s="74" t="s">
        <v>148</v>
      </c>
      <c r="S1417" s="74" t="s">
        <v>21338</v>
      </c>
      <c r="T1417" s="74" t="s">
        <v>402</v>
      </c>
      <c r="U1417" s="74">
        <v>0</v>
      </c>
      <c r="V1417" s="74">
        <v>0</v>
      </c>
    </row>
    <row r="1418" spans="3:22" x14ac:dyDescent="0.25">
      <c r="C1418" s="74" t="s">
        <v>21386</v>
      </c>
      <c r="D1418" s="74" t="s">
        <v>148</v>
      </c>
      <c r="E1418" s="74" t="s">
        <v>21338</v>
      </c>
      <c r="F1418" s="74">
        <v>674396</v>
      </c>
      <c r="G1418" s="74">
        <v>3</v>
      </c>
      <c r="H1418" s="135">
        <v>42984.595138888886</v>
      </c>
      <c r="I1418" s="74" t="s">
        <v>21339</v>
      </c>
      <c r="J1418" s="74" t="s">
        <v>21364</v>
      </c>
      <c r="K1418" s="74" t="s">
        <v>11743</v>
      </c>
      <c r="L1418" s="74">
        <v>907442</v>
      </c>
      <c r="M1418" s="74" t="s">
        <v>21341</v>
      </c>
      <c r="N1418" s="74">
        <v>1</v>
      </c>
      <c r="O1418" s="74" t="s">
        <v>21342</v>
      </c>
      <c r="P1418" s="74" t="s">
        <v>21343</v>
      </c>
      <c r="Q1418" s="74">
        <v>0</v>
      </c>
      <c r="R1418" s="74" t="s">
        <v>148</v>
      </c>
      <c r="S1418" s="74" t="s">
        <v>21338</v>
      </c>
      <c r="T1418" s="74" t="s">
        <v>402</v>
      </c>
      <c r="U1418" s="74">
        <v>0</v>
      </c>
      <c r="V1418" s="74">
        <v>0</v>
      </c>
    </row>
    <row r="1419" spans="3:22" x14ac:dyDescent="0.25">
      <c r="C1419" s="74" t="s">
        <v>21386</v>
      </c>
      <c r="D1419" s="74" t="s">
        <v>148</v>
      </c>
      <c r="E1419" s="74" t="s">
        <v>21338</v>
      </c>
      <c r="F1419" s="74">
        <v>674396</v>
      </c>
      <c r="G1419" s="74">
        <v>3</v>
      </c>
      <c r="H1419" s="135">
        <v>42984.594895833332</v>
      </c>
      <c r="I1419" s="74" t="s">
        <v>21398</v>
      </c>
      <c r="J1419" s="74" t="s">
        <v>21400</v>
      </c>
      <c r="K1419" s="74" t="s">
        <v>11743</v>
      </c>
      <c r="L1419" s="74">
        <v>907442</v>
      </c>
      <c r="M1419" s="74" t="s">
        <v>21341</v>
      </c>
      <c r="N1419" s="74">
        <v>1</v>
      </c>
      <c r="O1419" s="74" t="s">
        <v>21342</v>
      </c>
      <c r="P1419" s="74" t="s">
        <v>21343</v>
      </c>
      <c r="Q1419" s="74" t="s">
        <v>21645</v>
      </c>
      <c r="R1419" s="74" t="s">
        <v>148</v>
      </c>
      <c r="S1419" s="74" t="s">
        <v>21338</v>
      </c>
      <c r="T1419" s="74" t="s">
        <v>402</v>
      </c>
      <c r="U1419" s="74">
        <v>0</v>
      </c>
      <c r="V1419" s="74">
        <v>0</v>
      </c>
    </row>
    <row r="1420" spans="3:22" x14ac:dyDescent="0.25">
      <c r="C1420" s="74" t="s">
        <v>18795</v>
      </c>
      <c r="D1420" s="74" t="s">
        <v>148</v>
      </c>
      <c r="E1420" s="74" t="s">
        <v>21338</v>
      </c>
      <c r="F1420" s="74">
        <v>551367</v>
      </c>
      <c r="G1420" s="74">
        <v>1000</v>
      </c>
      <c r="H1420" s="135">
        <v>42984.589212962965</v>
      </c>
      <c r="I1420" s="74" t="s">
        <v>21339</v>
      </c>
      <c r="J1420" s="74" t="s">
        <v>21340</v>
      </c>
      <c r="K1420" s="74" t="s">
        <v>7364</v>
      </c>
      <c r="L1420" s="74">
        <v>685572</v>
      </c>
      <c r="M1420" s="74" t="s">
        <v>21341</v>
      </c>
      <c r="N1420" s="74">
        <v>1</v>
      </c>
      <c r="O1420" s="74" t="s">
        <v>21342</v>
      </c>
      <c r="P1420" s="74" t="s">
        <v>21343</v>
      </c>
      <c r="Q1420" s="74">
        <v>0</v>
      </c>
      <c r="R1420" s="74" t="s">
        <v>148</v>
      </c>
      <c r="S1420" s="74" t="s">
        <v>21338</v>
      </c>
      <c r="T1420" s="74" t="s">
        <v>402</v>
      </c>
      <c r="U1420" s="74">
        <v>0</v>
      </c>
      <c r="V1420" s="74">
        <v>0</v>
      </c>
    </row>
    <row r="1421" spans="3:22" x14ac:dyDescent="0.25">
      <c r="C1421" s="74" t="s">
        <v>18795</v>
      </c>
      <c r="D1421" s="74" t="s">
        <v>148</v>
      </c>
      <c r="E1421" s="74" t="s">
        <v>21338</v>
      </c>
      <c r="F1421" s="74">
        <v>551367</v>
      </c>
      <c r="G1421" s="74">
        <v>1000</v>
      </c>
      <c r="H1421" s="135">
        <v>42984.589143518519</v>
      </c>
      <c r="I1421" s="74" t="s">
        <v>21339</v>
      </c>
      <c r="J1421" s="74" t="s">
        <v>21340</v>
      </c>
      <c r="K1421" s="74" t="s">
        <v>21646</v>
      </c>
      <c r="L1421" s="74">
        <v>862422</v>
      </c>
      <c r="M1421" s="74" t="s">
        <v>21341</v>
      </c>
      <c r="N1421" s="74">
        <v>1</v>
      </c>
      <c r="O1421" s="74" t="s">
        <v>21342</v>
      </c>
      <c r="P1421" s="74" t="s">
        <v>21343</v>
      </c>
      <c r="Q1421" s="74">
        <v>0</v>
      </c>
      <c r="R1421" s="74" t="s">
        <v>148</v>
      </c>
      <c r="S1421" s="74" t="s">
        <v>21338</v>
      </c>
      <c r="T1421" s="74" t="s">
        <v>402</v>
      </c>
      <c r="U1421" s="74">
        <v>0</v>
      </c>
      <c r="V1421" s="74">
        <v>0</v>
      </c>
    </row>
    <row r="1422" spans="3:22" x14ac:dyDescent="0.25">
      <c r="C1422" s="74" t="s">
        <v>18795</v>
      </c>
      <c r="D1422" s="74" t="s">
        <v>148</v>
      </c>
      <c r="E1422" s="74" t="s">
        <v>21338</v>
      </c>
      <c r="F1422" s="74">
        <v>551367</v>
      </c>
      <c r="G1422" s="74">
        <v>1000</v>
      </c>
      <c r="H1422" s="135">
        <v>42984.578506944446</v>
      </c>
      <c r="I1422" s="74" t="s">
        <v>21339</v>
      </c>
      <c r="J1422" s="74" t="s">
        <v>21340</v>
      </c>
      <c r="K1422" s="74" t="s">
        <v>15481</v>
      </c>
      <c r="L1422" s="74">
        <v>553616</v>
      </c>
      <c r="M1422" s="74" t="s">
        <v>21341</v>
      </c>
      <c r="N1422" s="74">
        <v>1</v>
      </c>
      <c r="O1422" s="74" t="s">
        <v>21342</v>
      </c>
      <c r="P1422" s="74" t="s">
        <v>21343</v>
      </c>
      <c r="Q1422" s="74">
        <v>0</v>
      </c>
      <c r="R1422" s="74" t="s">
        <v>148</v>
      </c>
      <c r="S1422" s="74" t="s">
        <v>21338</v>
      </c>
      <c r="T1422" s="74" t="s">
        <v>393</v>
      </c>
      <c r="U1422" s="74">
        <v>0</v>
      </c>
      <c r="V1422" s="74">
        <v>0</v>
      </c>
    </row>
    <row r="1423" spans="3:22" x14ac:dyDescent="0.25">
      <c r="C1423" s="74" t="s">
        <v>21390</v>
      </c>
      <c r="D1423" s="74" t="s">
        <v>148</v>
      </c>
      <c r="E1423" s="74" t="s">
        <v>21338</v>
      </c>
      <c r="F1423" s="74">
        <v>560864</v>
      </c>
      <c r="G1423" s="74">
        <v>3</v>
      </c>
      <c r="H1423" s="135">
        <v>42984.578333333331</v>
      </c>
      <c r="I1423" s="74" t="s">
        <v>21354</v>
      </c>
      <c r="J1423" s="74" t="s">
        <v>21355</v>
      </c>
      <c r="K1423" s="74" t="s">
        <v>21578</v>
      </c>
      <c r="L1423" s="74">
        <v>840602</v>
      </c>
      <c r="M1423" s="74" t="s">
        <v>21341</v>
      </c>
      <c r="N1423" s="74">
        <v>1</v>
      </c>
      <c r="O1423" s="74" t="s">
        <v>21342</v>
      </c>
      <c r="P1423" s="74" t="s">
        <v>21345</v>
      </c>
      <c r="R1423" s="74" t="s">
        <v>148</v>
      </c>
      <c r="S1423" s="74" t="s">
        <v>21338</v>
      </c>
      <c r="T1423" s="74" t="s">
        <v>402</v>
      </c>
      <c r="U1423" s="74">
        <v>0</v>
      </c>
      <c r="V1423" s="74">
        <v>0</v>
      </c>
    </row>
    <row r="1424" spans="3:22" x14ac:dyDescent="0.25">
      <c r="C1424" s="74" t="s">
        <v>21347</v>
      </c>
      <c r="D1424" s="74" t="s">
        <v>148</v>
      </c>
      <c r="E1424" s="74" t="s">
        <v>21338</v>
      </c>
      <c r="F1424" s="74">
        <v>637976</v>
      </c>
      <c r="G1424" s="74">
        <v>1</v>
      </c>
      <c r="H1424" s="135">
        <v>42984.570729166669</v>
      </c>
      <c r="I1424" s="74" t="s">
        <v>21348</v>
      </c>
      <c r="J1424" s="74" t="s">
        <v>21349</v>
      </c>
      <c r="K1424" s="74" t="s">
        <v>21347</v>
      </c>
      <c r="L1424" s="74">
        <v>637976</v>
      </c>
      <c r="M1424" s="74" t="s">
        <v>21341</v>
      </c>
      <c r="N1424" s="74">
        <v>0</v>
      </c>
      <c r="O1424" s="74" t="s">
        <v>21350</v>
      </c>
      <c r="P1424" s="74" t="s">
        <v>21343</v>
      </c>
      <c r="Q1424" s="74">
        <v>0</v>
      </c>
      <c r="R1424" s="74" t="s">
        <v>148</v>
      </c>
      <c r="S1424" s="74" t="s">
        <v>21338</v>
      </c>
      <c r="T1424" s="74" t="s">
        <v>402</v>
      </c>
      <c r="U1424" s="74">
        <v>0</v>
      </c>
      <c r="V1424" s="74">
        <v>0</v>
      </c>
    </row>
    <row r="1425" spans="3:22" x14ac:dyDescent="0.25">
      <c r="C1425" s="74" t="s">
        <v>21347</v>
      </c>
      <c r="D1425" s="74" t="s">
        <v>148</v>
      </c>
      <c r="E1425" s="74" t="s">
        <v>21338</v>
      </c>
      <c r="F1425" s="74">
        <v>637976</v>
      </c>
      <c r="G1425" s="74">
        <v>1</v>
      </c>
      <c r="H1425" s="135">
        <v>42984.570729166669</v>
      </c>
      <c r="I1425" s="74" t="s">
        <v>244</v>
      </c>
      <c r="J1425" s="74" t="s">
        <v>21349</v>
      </c>
      <c r="K1425" s="74" t="s">
        <v>21347</v>
      </c>
      <c r="L1425" s="74">
        <v>637976</v>
      </c>
      <c r="M1425" s="74" t="s">
        <v>21341</v>
      </c>
      <c r="N1425" s="74">
        <v>0</v>
      </c>
      <c r="O1425" s="74" t="s">
        <v>21350</v>
      </c>
      <c r="P1425" s="74" t="s">
        <v>21343</v>
      </c>
      <c r="Q1425" s="74">
        <v>0</v>
      </c>
      <c r="R1425" s="74" t="s">
        <v>148</v>
      </c>
      <c r="S1425" s="74" t="s">
        <v>21338</v>
      </c>
      <c r="T1425" s="74" t="s">
        <v>402</v>
      </c>
      <c r="U1425" s="74">
        <v>0</v>
      </c>
      <c r="V1425" s="74">
        <v>0</v>
      </c>
    </row>
    <row r="1426" spans="3:22" x14ac:dyDescent="0.25">
      <c r="C1426" s="74" t="s">
        <v>533</v>
      </c>
      <c r="D1426" s="74" t="s">
        <v>148</v>
      </c>
      <c r="E1426" s="74" t="s">
        <v>21338</v>
      </c>
      <c r="F1426" s="74">
        <v>627566</v>
      </c>
      <c r="G1426" s="74">
        <v>3</v>
      </c>
      <c r="H1426" s="135">
        <v>42984.554849537039</v>
      </c>
      <c r="I1426" s="74" t="s">
        <v>21354</v>
      </c>
      <c r="J1426" s="74" t="s">
        <v>21355</v>
      </c>
      <c r="K1426" s="74" t="s">
        <v>21578</v>
      </c>
      <c r="L1426" s="74">
        <v>840602</v>
      </c>
      <c r="M1426" s="74" t="s">
        <v>21341</v>
      </c>
      <c r="N1426" s="74">
        <v>1</v>
      </c>
      <c r="O1426" s="74" t="s">
        <v>21342</v>
      </c>
      <c r="P1426" s="74" t="s">
        <v>21345</v>
      </c>
      <c r="R1426" s="74" t="s">
        <v>148</v>
      </c>
      <c r="S1426" s="74" t="s">
        <v>21338</v>
      </c>
      <c r="T1426" s="74" t="s">
        <v>402</v>
      </c>
      <c r="U1426" s="74">
        <v>0</v>
      </c>
      <c r="V1426" s="74">
        <v>0</v>
      </c>
    </row>
    <row r="1427" spans="3:22" x14ac:dyDescent="0.25">
      <c r="C1427" s="74" t="s">
        <v>533</v>
      </c>
      <c r="D1427" s="74" t="s">
        <v>148</v>
      </c>
      <c r="E1427" s="74" t="s">
        <v>21338</v>
      </c>
      <c r="F1427" s="74">
        <v>627566</v>
      </c>
      <c r="G1427" s="74">
        <v>3</v>
      </c>
      <c r="H1427" s="135">
        <v>42984.554699074077</v>
      </c>
      <c r="I1427" s="74" t="s">
        <v>21339</v>
      </c>
      <c r="J1427" s="74" t="s">
        <v>21360</v>
      </c>
      <c r="K1427" s="74" t="s">
        <v>21578</v>
      </c>
      <c r="L1427" s="74">
        <v>840602</v>
      </c>
      <c r="M1427" s="74" t="s">
        <v>21341</v>
      </c>
      <c r="N1427" s="74">
        <v>1</v>
      </c>
      <c r="O1427" s="74" t="s">
        <v>21359</v>
      </c>
      <c r="P1427" s="74" t="s">
        <v>21343</v>
      </c>
      <c r="Q1427" s="74" t="s">
        <v>21395</v>
      </c>
      <c r="R1427" s="74" t="s">
        <v>148</v>
      </c>
      <c r="S1427" s="74" t="s">
        <v>21338</v>
      </c>
      <c r="T1427" s="74" t="s">
        <v>402</v>
      </c>
      <c r="U1427" s="74">
        <v>0</v>
      </c>
      <c r="V1427" s="74">
        <v>0</v>
      </c>
    </row>
    <row r="1428" spans="3:22" x14ac:dyDescent="0.25">
      <c r="C1428" s="74" t="s">
        <v>533</v>
      </c>
      <c r="D1428" s="74" t="s">
        <v>148</v>
      </c>
      <c r="E1428" s="74" t="s">
        <v>21338</v>
      </c>
      <c r="F1428" s="74">
        <v>627566</v>
      </c>
      <c r="G1428" s="74">
        <v>3</v>
      </c>
      <c r="H1428" s="135">
        <v>42984.554479166669</v>
      </c>
      <c r="I1428" s="74" t="s">
        <v>21354</v>
      </c>
      <c r="J1428" s="74" t="s">
        <v>21355</v>
      </c>
      <c r="K1428" s="74" t="s">
        <v>21647</v>
      </c>
      <c r="L1428" s="74">
        <v>808752</v>
      </c>
      <c r="M1428" s="74" t="s">
        <v>21341</v>
      </c>
      <c r="N1428" s="74">
        <v>1</v>
      </c>
      <c r="O1428" s="74" t="s">
        <v>21342</v>
      </c>
      <c r="P1428" s="74" t="s">
        <v>21345</v>
      </c>
      <c r="R1428" s="74" t="s">
        <v>148</v>
      </c>
      <c r="S1428" s="74" t="s">
        <v>21338</v>
      </c>
      <c r="T1428" s="74" t="s">
        <v>402</v>
      </c>
      <c r="U1428" s="74">
        <v>0</v>
      </c>
      <c r="V1428" s="74">
        <v>0</v>
      </c>
    </row>
    <row r="1429" spans="3:22" x14ac:dyDescent="0.25">
      <c r="C1429" s="74" t="s">
        <v>21388</v>
      </c>
      <c r="D1429" s="74" t="s">
        <v>148</v>
      </c>
      <c r="E1429" s="74" t="s">
        <v>21338</v>
      </c>
      <c r="F1429" s="74">
        <v>560366</v>
      </c>
      <c r="G1429" s="74">
        <v>3</v>
      </c>
      <c r="H1429" s="135">
        <v>42984.547997685186</v>
      </c>
      <c r="I1429" s="74" t="s">
        <v>21354</v>
      </c>
      <c r="J1429" s="74" t="s">
        <v>21355</v>
      </c>
      <c r="K1429" s="74" t="s">
        <v>16140</v>
      </c>
      <c r="L1429" s="74">
        <v>553701</v>
      </c>
      <c r="M1429" s="74" t="s">
        <v>21341</v>
      </c>
      <c r="N1429" s="74">
        <v>1</v>
      </c>
      <c r="O1429" s="74" t="s">
        <v>21342</v>
      </c>
      <c r="P1429" s="74" t="s">
        <v>21345</v>
      </c>
      <c r="R1429" s="74" t="s">
        <v>148</v>
      </c>
      <c r="S1429" s="74" t="s">
        <v>21338</v>
      </c>
      <c r="T1429" s="74" t="s">
        <v>402</v>
      </c>
      <c r="U1429" s="74">
        <v>0</v>
      </c>
      <c r="V1429" s="74">
        <v>0</v>
      </c>
    </row>
    <row r="1430" spans="3:22" x14ac:dyDescent="0.25">
      <c r="C1430" s="74" t="s">
        <v>18795</v>
      </c>
      <c r="D1430" s="74" t="s">
        <v>148</v>
      </c>
      <c r="E1430" s="74" t="s">
        <v>21338</v>
      </c>
      <c r="F1430" s="74">
        <v>551367</v>
      </c>
      <c r="G1430" s="74">
        <v>1000</v>
      </c>
      <c r="H1430" s="135">
        <v>42984.54792824074</v>
      </c>
      <c r="I1430" s="74" t="s">
        <v>21339</v>
      </c>
      <c r="J1430" s="74" t="s">
        <v>21340</v>
      </c>
      <c r="K1430" s="74" t="s">
        <v>7293</v>
      </c>
      <c r="L1430" s="74">
        <v>552575</v>
      </c>
      <c r="M1430" s="74" t="s">
        <v>21341</v>
      </c>
      <c r="N1430" s="74">
        <v>1</v>
      </c>
      <c r="O1430" s="74" t="s">
        <v>21342</v>
      </c>
      <c r="P1430" s="74" t="s">
        <v>21343</v>
      </c>
      <c r="Q1430" s="74">
        <v>0</v>
      </c>
      <c r="R1430" s="74" t="s">
        <v>148</v>
      </c>
      <c r="S1430" s="74" t="s">
        <v>21338</v>
      </c>
      <c r="T1430" s="74" t="s">
        <v>402</v>
      </c>
      <c r="U1430" s="74">
        <v>0</v>
      </c>
      <c r="V1430" s="74">
        <v>0</v>
      </c>
    </row>
    <row r="1431" spans="3:22" x14ac:dyDescent="0.25">
      <c r="C1431" s="74" t="s">
        <v>18795</v>
      </c>
      <c r="D1431" s="74" t="s">
        <v>148</v>
      </c>
      <c r="E1431" s="74" t="s">
        <v>21338</v>
      </c>
      <c r="F1431" s="74">
        <v>551367</v>
      </c>
      <c r="G1431" s="74">
        <v>1000</v>
      </c>
      <c r="H1431" s="135">
        <v>42984.539479166669</v>
      </c>
      <c r="I1431" s="74" t="s">
        <v>21339</v>
      </c>
      <c r="J1431" s="74" t="s">
        <v>21340</v>
      </c>
      <c r="K1431" s="74" t="s">
        <v>21647</v>
      </c>
      <c r="L1431" s="74">
        <v>808752</v>
      </c>
      <c r="M1431" s="74" t="s">
        <v>21341</v>
      </c>
      <c r="N1431" s="74">
        <v>1</v>
      </c>
      <c r="O1431" s="74" t="s">
        <v>21342</v>
      </c>
      <c r="P1431" s="74" t="s">
        <v>21343</v>
      </c>
      <c r="Q1431" s="74">
        <v>0</v>
      </c>
      <c r="R1431" s="74" t="s">
        <v>148</v>
      </c>
      <c r="S1431" s="74" t="s">
        <v>21338</v>
      </c>
      <c r="T1431" s="74" t="s">
        <v>402</v>
      </c>
      <c r="U1431" s="74">
        <v>0</v>
      </c>
      <c r="V1431" s="74">
        <v>0</v>
      </c>
    </row>
    <row r="1432" spans="3:22" x14ac:dyDescent="0.25">
      <c r="C1432" s="74" t="s">
        <v>533</v>
      </c>
      <c r="D1432" s="74" t="s">
        <v>148</v>
      </c>
      <c r="E1432" s="74" t="s">
        <v>21338</v>
      </c>
      <c r="F1432" s="74">
        <v>627566</v>
      </c>
      <c r="G1432" s="74">
        <v>3</v>
      </c>
      <c r="H1432" s="135">
        <v>42984.538495370369</v>
      </c>
      <c r="I1432" s="74" t="s">
        <v>21354</v>
      </c>
      <c r="J1432" s="74" t="s">
        <v>21355</v>
      </c>
      <c r="K1432" s="74" t="s">
        <v>21647</v>
      </c>
      <c r="L1432" s="74">
        <v>808752</v>
      </c>
      <c r="M1432" s="74" t="s">
        <v>21341</v>
      </c>
      <c r="N1432" s="74">
        <v>1</v>
      </c>
      <c r="O1432" s="74" t="s">
        <v>21342</v>
      </c>
      <c r="P1432" s="74" t="s">
        <v>21345</v>
      </c>
      <c r="R1432" s="74" t="s">
        <v>148</v>
      </c>
      <c r="S1432" s="74" t="s">
        <v>21338</v>
      </c>
      <c r="T1432" s="74" t="s">
        <v>402</v>
      </c>
      <c r="U1432" s="74">
        <v>0</v>
      </c>
      <c r="V1432" s="74">
        <v>0</v>
      </c>
    </row>
    <row r="1433" spans="3:22" x14ac:dyDescent="0.25">
      <c r="C1433" s="74" t="s">
        <v>533</v>
      </c>
      <c r="D1433" s="74" t="s">
        <v>148</v>
      </c>
      <c r="E1433" s="74" t="s">
        <v>21338</v>
      </c>
      <c r="F1433" s="74">
        <v>627566</v>
      </c>
      <c r="G1433" s="74">
        <v>3</v>
      </c>
      <c r="H1433" s="135">
        <v>42984.538113425922</v>
      </c>
      <c r="I1433" s="74" t="s">
        <v>21339</v>
      </c>
      <c r="J1433" s="74" t="s">
        <v>21360</v>
      </c>
      <c r="K1433" s="74" t="s">
        <v>21647</v>
      </c>
      <c r="L1433" s="74">
        <v>808752</v>
      </c>
      <c r="M1433" s="74" t="s">
        <v>21341</v>
      </c>
      <c r="N1433" s="74">
        <v>1</v>
      </c>
      <c r="O1433" s="74" t="s">
        <v>21359</v>
      </c>
      <c r="P1433" s="74" t="s">
        <v>21343</v>
      </c>
      <c r="Q1433" s="74" t="s">
        <v>21395</v>
      </c>
      <c r="R1433" s="74" t="s">
        <v>148</v>
      </c>
      <c r="S1433" s="74" t="s">
        <v>21338</v>
      </c>
      <c r="T1433" s="74" t="s">
        <v>402</v>
      </c>
      <c r="U1433" s="74">
        <v>0</v>
      </c>
      <c r="V1433" s="74">
        <v>0</v>
      </c>
    </row>
    <row r="1434" spans="3:22" x14ac:dyDescent="0.25">
      <c r="C1434" s="74" t="s">
        <v>18795</v>
      </c>
      <c r="D1434" s="74" t="s">
        <v>148</v>
      </c>
      <c r="E1434" s="74" t="s">
        <v>21338</v>
      </c>
      <c r="F1434" s="74">
        <v>551367</v>
      </c>
      <c r="G1434" s="74">
        <v>1000</v>
      </c>
      <c r="H1434" s="135">
        <v>42984.522581018522</v>
      </c>
      <c r="I1434" s="74" t="s">
        <v>21339</v>
      </c>
      <c r="J1434" s="74" t="s">
        <v>21340</v>
      </c>
      <c r="K1434" s="74" t="s">
        <v>7272</v>
      </c>
      <c r="L1434" s="74">
        <v>552572</v>
      </c>
      <c r="M1434" s="74" t="s">
        <v>21341</v>
      </c>
      <c r="N1434" s="74">
        <v>1</v>
      </c>
      <c r="O1434" s="74" t="s">
        <v>21342</v>
      </c>
      <c r="P1434" s="74" t="s">
        <v>21343</v>
      </c>
      <c r="Q1434" s="74">
        <v>0</v>
      </c>
      <c r="R1434" s="74" t="s">
        <v>148</v>
      </c>
      <c r="S1434" s="74" t="s">
        <v>21338</v>
      </c>
      <c r="T1434" s="74" t="s">
        <v>402</v>
      </c>
      <c r="U1434" s="74">
        <v>0</v>
      </c>
      <c r="V1434" s="74">
        <v>0</v>
      </c>
    </row>
    <row r="1435" spans="3:22" x14ac:dyDescent="0.25">
      <c r="C1435" s="74" t="s">
        <v>21570</v>
      </c>
      <c r="D1435" s="74">
        <v>0</v>
      </c>
      <c r="E1435" s="74" t="s">
        <v>21344</v>
      </c>
      <c r="F1435" s="74">
        <v>673354</v>
      </c>
      <c r="G1435" s="74">
        <v>1000</v>
      </c>
      <c r="H1435" s="135">
        <v>42984.516817129632</v>
      </c>
      <c r="I1435" s="74" t="s">
        <v>21398</v>
      </c>
      <c r="J1435" s="74" t="s">
        <v>21649</v>
      </c>
      <c r="K1435" s="74" t="s">
        <v>21650</v>
      </c>
      <c r="L1435" s="74">
        <v>907409</v>
      </c>
      <c r="M1435" s="74" t="s">
        <v>21651</v>
      </c>
      <c r="N1435" s="74">
        <v>1</v>
      </c>
      <c r="O1435" s="74" t="s">
        <v>21342</v>
      </c>
      <c r="P1435" s="74" t="s">
        <v>21343</v>
      </c>
      <c r="Q1435" s="74" t="s">
        <v>21652</v>
      </c>
      <c r="R1435" s="74" t="s">
        <v>148</v>
      </c>
      <c r="S1435" s="74" t="s">
        <v>21338</v>
      </c>
      <c r="T1435" s="74" t="s">
        <v>402</v>
      </c>
      <c r="U1435" s="74">
        <v>0</v>
      </c>
      <c r="V1435" s="74">
        <v>0</v>
      </c>
    </row>
    <row r="1436" spans="3:22" x14ac:dyDescent="0.25">
      <c r="C1436" s="74" t="s">
        <v>21570</v>
      </c>
      <c r="D1436" s="74">
        <v>0</v>
      </c>
      <c r="E1436" s="74" t="s">
        <v>21344</v>
      </c>
      <c r="F1436" s="74">
        <v>673354</v>
      </c>
      <c r="G1436" s="74">
        <v>1000</v>
      </c>
      <c r="H1436" s="135">
        <v>42984.516817129632</v>
      </c>
      <c r="I1436" s="74" t="s">
        <v>21365</v>
      </c>
      <c r="J1436" s="74" t="s">
        <v>21649</v>
      </c>
      <c r="K1436" s="74" t="s">
        <v>21650</v>
      </c>
      <c r="L1436" s="74">
        <v>907409</v>
      </c>
      <c r="M1436" s="74" t="s">
        <v>21651</v>
      </c>
      <c r="N1436" s="74">
        <v>1</v>
      </c>
      <c r="O1436" s="74" t="s">
        <v>21342</v>
      </c>
      <c r="P1436" s="74" t="s">
        <v>21343</v>
      </c>
      <c r="Q1436" s="74" t="s">
        <v>21653</v>
      </c>
      <c r="R1436" s="74" t="s">
        <v>148</v>
      </c>
      <c r="S1436" s="74" t="s">
        <v>21338</v>
      </c>
      <c r="T1436" s="74" t="s">
        <v>402</v>
      </c>
      <c r="U1436" s="74">
        <v>0</v>
      </c>
      <c r="V1436" s="74">
        <v>0</v>
      </c>
    </row>
    <row r="1437" spans="3:22" x14ac:dyDescent="0.25">
      <c r="C1437" s="74" t="s">
        <v>21570</v>
      </c>
      <c r="D1437" s="74">
        <v>0</v>
      </c>
      <c r="E1437" s="74" t="s">
        <v>21344</v>
      </c>
      <c r="F1437" s="74">
        <v>673354</v>
      </c>
      <c r="G1437" s="74">
        <v>1000</v>
      </c>
      <c r="H1437" s="135">
        <v>42984.5158912037</v>
      </c>
      <c r="I1437" s="74" t="s">
        <v>21398</v>
      </c>
      <c r="J1437" s="74" t="s">
        <v>21649</v>
      </c>
      <c r="K1437" s="74" t="s">
        <v>21654</v>
      </c>
      <c r="L1437" s="74">
        <v>907411</v>
      </c>
      <c r="M1437" s="74" t="s">
        <v>21651</v>
      </c>
      <c r="N1437" s="74">
        <v>1</v>
      </c>
      <c r="O1437" s="74" t="s">
        <v>21342</v>
      </c>
      <c r="P1437" s="74" t="s">
        <v>21343</v>
      </c>
      <c r="Q1437" s="74" t="s">
        <v>21655</v>
      </c>
      <c r="R1437" s="74" t="s">
        <v>148</v>
      </c>
      <c r="S1437" s="74" t="s">
        <v>21338</v>
      </c>
      <c r="T1437" s="74" t="s">
        <v>402</v>
      </c>
      <c r="U1437" s="74">
        <v>0</v>
      </c>
      <c r="V1437" s="74">
        <v>0</v>
      </c>
    </row>
    <row r="1438" spans="3:22" x14ac:dyDescent="0.25">
      <c r="C1438" s="74" t="s">
        <v>21570</v>
      </c>
      <c r="D1438" s="74">
        <v>0</v>
      </c>
      <c r="E1438" s="74" t="s">
        <v>21344</v>
      </c>
      <c r="F1438" s="74">
        <v>673354</v>
      </c>
      <c r="G1438" s="74">
        <v>1000</v>
      </c>
      <c r="H1438" s="135">
        <v>42984.5158912037</v>
      </c>
      <c r="I1438" s="74" t="s">
        <v>21365</v>
      </c>
      <c r="J1438" s="74" t="s">
        <v>21649</v>
      </c>
      <c r="K1438" s="74" t="s">
        <v>21654</v>
      </c>
      <c r="L1438" s="74">
        <v>907411</v>
      </c>
      <c r="M1438" s="74" t="s">
        <v>21651</v>
      </c>
      <c r="N1438" s="74">
        <v>1</v>
      </c>
      <c r="O1438" s="74" t="s">
        <v>21342</v>
      </c>
      <c r="P1438" s="74" t="s">
        <v>21343</v>
      </c>
      <c r="Q1438" s="74" t="s">
        <v>21653</v>
      </c>
      <c r="R1438" s="74" t="s">
        <v>148</v>
      </c>
      <c r="S1438" s="74" t="s">
        <v>21338</v>
      </c>
      <c r="T1438" s="74" t="s">
        <v>402</v>
      </c>
      <c r="U1438" s="74">
        <v>0</v>
      </c>
      <c r="V1438" s="74">
        <v>0</v>
      </c>
    </row>
    <row r="1439" spans="3:22" x14ac:dyDescent="0.25">
      <c r="C1439" s="74" t="s">
        <v>21570</v>
      </c>
      <c r="D1439" s="74">
        <v>0</v>
      </c>
      <c r="E1439" s="74" t="s">
        <v>21344</v>
      </c>
      <c r="F1439" s="74">
        <v>673354</v>
      </c>
      <c r="G1439" s="74">
        <v>1000</v>
      </c>
      <c r="H1439" s="135">
        <v>42984.514884259261</v>
      </c>
      <c r="I1439" s="74" t="s">
        <v>21398</v>
      </c>
      <c r="J1439" s="74" t="s">
        <v>21657</v>
      </c>
      <c r="K1439" s="74" t="s">
        <v>21650</v>
      </c>
      <c r="L1439" s="74">
        <v>907409</v>
      </c>
      <c r="M1439" s="74" t="s">
        <v>21651</v>
      </c>
      <c r="N1439" s="74">
        <v>1</v>
      </c>
      <c r="O1439" s="74" t="s">
        <v>21342</v>
      </c>
      <c r="P1439" s="74" t="s">
        <v>21345</v>
      </c>
      <c r="Q1439" s="74" t="s">
        <v>21658</v>
      </c>
      <c r="R1439" s="74" t="s">
        <v>148</v>
      </c>
      <c r="S1439" s="74" t="s">
        <v>21338</v>
      </c>
      <c r="T1439" s="74" t="s">
        <v>402</v>
      </c>
      <c r="U1439" s="74">
        <v>0</v>
      </c>
      <c r="V1439" s="74">
        <v>0</v>
      </c>
    </row>
    <row r="1440" spans="3:22" x14ac:dyDescent="0.25">
      <c r="C1440" s="74" t="s">
        <v>21570</v>
      </c>
      <c r="D1440" s="74">
        <v>0</v>
      </c>
      <c r="E1440" s="74" t="s">
        <v>21344</v>
      </c>
      <c r="F1440" s="74">
        <v>673354</v>
      </c>
      <c r="G1440" s="74">
        <v>1000</v>
      </c>
      <c r="H1440" s="135">
        <v>42984.514884259261</v>
      </c>
      <c r="I1440" s="74" t="s">
        <v>21339</v>
      </c>
      <c r="J1440" s="74" t="s">
        <v>21656</v>
      </c>
      <c r="K1440" s="74" t="s">
        <v>21650</v>
      </c>
      <c r="L1440" s="74">
        <v>907409</v>
      </c>
      <c r="M1440" s="74" t="s">
        <v>21651</v>
      </c>
      <c r="N1440" s="74">
        <v>1</v>
      </c>
      <c r="O1440" s="74" t="s">
        <v>21342</v>
      </c>
      <c r="P1440" s="74" t="s">
        <v>21345</v>
      </c>
      <c r="Q1440" s="74" t="b">
        <v>0</v>
      </c>
      <c r="R1440" s="74" t="s">
        <v>148</v>
      </c>
      <c r="S1440" s="74" t="s">
        <v>21338</v>
      </c>
      <c r="T1440" s="74" t="s">
        <v>402</v>
      </c>
      <c r="U1440" s="74">
        <v>0</v>
      </c>
      <c r="V1440" s="74">
        <v>0</v>
      </c>
    </row>
    <row r="1441" spans="3:22" x14ac:dyDescent="0.25">
      <c r="C1441" s="74" t="s">
        <v>21570</v>
      </c>
      <c r="D1441" s="74">
        <v>0</v>
      </c>
      <c r="E1441" s="74" t="s">
        <v>21344</v>
      </c>
      <c r="F1441" s="74">
        <v>673354</v>
      </c>
      <c r="G1441" s="74">
        <v>1000</v>
      </c>
      <c r="H1441" s="135">
        <v>42984.513819444444</v>
      </c>
      <c r="I1441" s="74" t="s">
        <v>21398</v>
      </c>
      <c r="J1441" s="74" t="s">
        <v>21657</v>
      </c>
      <c r="K1441" s="74" t="s">
        <v>21654</v>
      </c>
      <c r="L1441" s="74">
        <v>907411</v>
      </c>
      <c r="M1441" s="74" t="s">
        <v>21651</v>
      </c>
      <c r="N1441" s="74">
        <v>1</v>
      </c>
      <c r="O1441" s="74" t="s">
        <v>21342</v>
      </c>
      <c r="P1441" s="74" t="s">
        <v>21345</v>
      </c>
      <c r="Q1441" s="74" t="s">
        <v>21659</v>
      </c>
      <c r="R1441" s="74" t="s">
        <v>148</v>
      </c>
      <c r="S1441" s="74" t="s">
        <v>21338</v>
      </c>
      <c r="T1441" s="74" t="s">
        <v>402</v>
      </c>
      <c r="U1441" s="74">
        <v>0</v>
      </c>
      <c r="V1441" s="74">
        <v>0</v>
      </c>
    </row>
    <row r="1442" spans="3:22" x14ac:dyDescent="0.25">
      <c r="C1442" s="74" t="s">
        <v>21570</v>
      </c>
      <c r="D1442" s="74">
        <v>0</v>
      </c>
      <c r="E1442" s="74" t="s">
        <v>21344</v>
      </c>
      <c r="F1442" s="74">
        <v>673354</v>
      </c>
      <c r="G1442" s="74">
        <v>1000</v>
      </c>
      <c r="H1442" s="135">
        <v>42984.513819444444</v>
      </c>
      <c r="I1442" s="74" t="s">
        <v>21339</v>
      </c>
      <c r="J1442" s="74" t="s">
        <v>21656</v>
      </c>
      <c r="K1442" s="74" t="s">
        <v>21654</v>
      </c>
      <c r="L1442" s="74">
        <v>907411</v>
      </c>
      <c r="M1442" s="74" t="s">
        <v>21651</v>
      </c>
      <c r="N1442" s="74">
        <v>1</v>
      </c>
      <c r="O1442" s="74" t="s">
        <v>21342</v>
      </c>
      <c r="P1442" s="74" t="s">
        <v>21345</v>
      </c>
      <c r="Q1442" s="74" t="b">
        <v>0</v>
      </c>
      <c r="R1442" s="74" t="s">
        <v>148</v>
      </c>
      <c r="S1442" s="74" t="s">
        <v>21338</v>
      </c>
      <c r="T1442" s="74" t="s">
        <v>402</v>
      </c>
      <c r="U1442" s="74">
        <v>0</v>
      </c>
      <c r="V1442" s="74">
        <v>0</v>
      </c>
    </row>
    <row r="1443" spans="3:22" x14ac:dyDescent="0.25">
      <c r="C1443" s="74" t="s">
        <v>21570</v>
      </c>
      <c r="D1443" s="74">
        <v>0</v>
      </c>
      <c r="E1443" s="74" t="s">
        <v>21344</v>
      </c>
      <c r="F1443" s="74">
        <v>673354</v>
      </c>
      <c r="G1443" s="74">
        <v>1000</v>
      </c>
      <c r="H1443" s="135">
        <v>42984.512719907405</v>
      </c>
      <c r="I1443" s="74" t="s">
        <v>21398</v>
      </c>
      <c r="J1443" s="74" t="s">
        <v>21660</v>
      </c>
      <c r="K1443" s="74" t="s">
        <v>21654</v>
      </c>
      <c r="L1443" s="74">
        <v>907411</v>
      </c>
      <c r="M1443" s="74" t="s">
        <v>21651</v>
      </c>
      <c r="N1443" s="74">
        <v>1</v>
      </c>
      <c r="O1443" s="74" t="s">
        <v>21342</v>
      </c>
      <c r="P1443" s="74" t="s">
        <v>21343</v>
      </c>
      <c r="Q1443" s="74" t="s">
        <v>21661</v>
      </c>
      <c r="R1443" s="74" t="s">
        <v>148</v>
      </c>
      <c r="S1443" s="74" t="s">
        <v>21338</v>
      </c>
      <c r="T1443" s="74" t="s">
        <v>402</v>
      </c>
      <c r="U1443" s="74">
        <v>0</v>
      </c>
      <c r="V1443" s="74">
        <v>0</v>
      </c>
    </row>
    <row r="1444" spans="3:22" x14ac:dyDescent="0.25">
      <c r="C1444" s="74" t="s">
        <v>21570</v>
      </c>
      <c r="D1444" s="74">
        <v>0</v>
      </c>
      <c r="E1444" s="74" t="s">
        <v>21344</v>
      </c>
      <c r="F1444" s="74">
        <v>673354</v>
      </c>
      <c r="G1444" s="74">
        <v>1000</v>
      </c>
      <c r="H1444" s="135">
        <v>42984.499560185184</v>
      </c>
      <c r="I1444" s="74" t="s">
        <v>21398</v>
      </c>
      <c r="J1444" s="74" t="s">
        <v>21400</v>
      </c>
      <c r="K1444" s="74" t="s">
        <v>21654</v>
      </c>
      <c r="L1444" s="74">
        <v>907411</v>
      </c>
      <c r="M1444" s="74" t="s">
        <v>21651</v>
      </c>
      <c r="N1444" s="74">
        <v>1</v>
      </c>
      <c r="O1444" s="74" t="s">
        <v>21342</v>
      </c>
      <c r="P1444" s="74" t="s">
        <v>21343</v>
      </c>
      <c r="Q1444" s="74" t="s">
        <v>21661</v>
      </c>
      <c r="R1444" s="74" t="s">
        <v>148</v>
      </c>
      <c r="S1444" s="74" t="s">
        <v>21338</v>
      </c>
      <c r="T1444" s="74" t="s">
        <v>402</v>
      </c>
      <c r="U1444" s="74">
        <v>0</v>
      </c>
      <c r="V1444" s="74">
        <v>0</v>
      </c>
    </row>
    <row r="1445" spans="3:22" x14ac:dyDescent="0.25">
      <c r="C1445" s="74" t="s">
        <v>21570</v>
      </c>
      <c r="D1445" s="74">
        <v>0</v>
      </c>
      <c r="E1445" s="74" t="s">
        <v>21344</v>
      </c>
      <c r="F1445" s="74">
        <v>673354</v>
      </c>
      <c r="G1445" s="74">
        <v>1000</v>
      </c>
      <c r="H1445" s="135">
        <v>42984.49832175926</v>
      </c>
      <c r="I1445" s="74" t="s">
        <v>21398</v>
      </c>
      <c r="J1445" s="74" t="s">
        <v>21660</v>
      </c>
      <c r="K1445" s="74" t="s">
        <v>21650</v>
      </c>
      <c r="L1445" s="74">
        <v>907409</v>
      </c>
      <c r="M1445" s="74" t="s">
        <v>21651</v>
      </c>
      <c r="N1445" s="74">
        <v>1</v>
      </c>
      <c r="O1445" s="74" t="s">
        <v>21342</v>
      </c>
      <c r="P1445" s="74" t="s">
        <v>21343</v>
      </c>
      <c r="Q1445" s="74" t="s">
        <v>21662</v>
      </c>
      <c r="R1445" s="74" t="s">
        <v>148</v>
      </c>
      <c r="S1445" s="74" t="s">
        <v>21338</v>
      </c>
      <c r="T1445" s="74" t="s">
        <v>402</v>
      </c>
      <c r="U1445" s="74">
        <v>0</v>
      </c>
      <c r="V1445" s="74">
        <v>0</v>
      </c>
    </row>
    <row r="1446" spans="3:22" x14ac:dyDescent="0.25">
      <c r="C1446" s="74" t="s">
        <v>21570</v>
      </c>
      <c r="D1446" s="74">
        <v>0</v>
      </c>
      <c r="E1446" s="74" t="s">
        <v>21344</v>
      </c>
      <c r="F1446" s="74">
        <v>673354</v>
      </c>
      <c r="G1446" s="74">
        <v>1000</v>
      </c>
      <c r="H1446" s="135">
        <v>42984.493483796294</v>
      </c>
      <c r="I1446" s="74" t="s">
        <v>21339</v>
      </c>
      <c r="J1446" s="74" t="s">
        <v>21663</v>
      </c>
      <c r="K1446" s="74" t="s">
        <v>21650</v>
      </c>
      <c r="L1446" s="74">
        <v>907409</v>
      </c>
      <c r="M1446" s="74" t="s">
        <v>21651</v>
      </c>
      <c r="N1446" s="74">
        <v>1</v>
      </c>
      <c r="O1446" s="74" t="s">
        <v>21342</v>
      </c>
      <c r="P1446" s="74" t="s">
        <v>21345</v>
      </c>
      <c r="R1446" s="74" t="s">
        <v>148</v>
      </c>
      <c r="S1446" s="74" t="s">
        <v>21338</v>
      </c>
      <c r="T1446" s="74" t="s">
        <v>402</v>
      </c>
      <c r="U1446" s="74">
        <v>0</v>
      </c>
      <c r="V1446" s="74">
        <v>0</v>
      </c>
    </row>
    <row r="1447" spans="3:22" x14ac:dyDescent="0.25">
      <c r="C1447" s="74" t="s">
        <v>21570</v>
      </c>
      <c r="D1447" s="74">
        <v>0</v>
      </c>
      <c r="E1447" s="74" t="s">
        <v>21344</v>
      </c>
      <c r="F1447" s="74">
        <v>673354</v>
      </c>
      <c r="G1447" s="74">
        <v>1000</v>
      </c>
      <c r="H1447" s="135">
        <v>42984.491805555554</v>
      </c>
      <c r="I1447" s="74" t="s">
        <v>21339</v>
      </c>
      <c r="J1447" s="74" t="s">
        <v>21663</v>
      </c>
      <c r="K1447" s="74" t="s">
        <v>21650</v>
      </c>
      <c r="L1447" s="74">
        <v>907409</v>
      </c>
      <c r="M1447" s="74" t="s">
        <v>21651</v>
      </c>
      <c r="N1447" s="74">
        <v>1</v>
      </c>
      <c r="O1447" s="74" t="s">
        <v>21342</v>
      </c>
      <c r="P1447" s="74" t="s">
        <v>21345</v>
      </c>
      <c r="R1447" s="74" t="s">
        <v>148</v>
      </c>
      <c r="S1447" s="74" t="s">
        <v>21338</v>
      </c>
      <c r="T1447" s="74" t="s">
        <v>402</v>
      </c>
      <c r="U1447" s="74">
        <v>0</v>
      </c>
      <c r="V1447" s="74">
        <v>0</v>
      </c>
    </row>
    <row r="1448" spans="3:22" x14ac:dyDescent="0.25">
      <c r="C1448" s="74" t="s">
        <v>21570</v>
      </c>
      <c r="D1448" s="74">
        <v>0</v>
      </c>
      <c r="E1448" s="74" t="s">
        <v>21344</v>
      </c>
      <c r="F1448" s="74">
        <v>673354</v>
      </c>
      <c r="G1448" s="74">
        <v>1000</v>
      </c>
      <c r="H1448" s="135">
        <v>42984.49077546296</v>
      </c>
      <c r="I1448" s="74" t="s">
        <v>21398</v>
      </c>
      <c r="J1448" s="74" t="s">
        <v>21400</v>
      </c>
      <c r="K1448" s="74" t="s">
        <v>21650</v>
      </c>
      <c r="L1448" s="74">
        <v>907409</v>
      </c>
      <c r="M1448" s="74" t="s">
        <v>21651</v>
      </c>
      <c r="N1448" s="74">
        <v>1</v>
      </c>
      <c r="O1448" s="74" t="s">
        <v>21342</v>
      </c>
      <c r="P1448" s="74" t="s">
        <v>21343</v>
      </c>
      <c r="Q1448" s="74" t="s">
        <v>21662</v>
      </c>
      <c r="R1448" s="74" t="s">
        <v>148</v>
      </c>
      <c r="S1448" s="74" t="s">
        <v>21338</v>
      </c>
      <c r="T1448" s="74" t="s">
        <v>402</v>
      </c>
      <c r="U1448" s="74">
        <v>0</v>
      </c>
      <c r="V1448" s="74">
        <v>0</v>
      </c>
    </row>
    <row r="1449" spans="3:22" x14ac:dyDescent="0.25">
      <c r="C1449" s="74" t="s">
        <v>18795</v>
      </c>
      <c r="D1449" s="74" t="s">
        <v>148</v>
      </c>
      <c r="E1449" s="74" t="s">
        <v>21338</v>
      </c>
      <c r="F1449" s="74">
        <v>551367</v>
      </c>
      <c r="G1449" s="74">
        <v>1000</v>
      </c>
      <c r="H1449" s="135">
        <v>42984.472141203703</v>
      </c>
      <c r="I1449" s="74" t="s">
        <v>21339</v>
      </c>
      <c r="J1449" s="74" t="s">
        <v>21340</v>
      </c>
      <c r="K1449" s="74" t="s">
        <v>21285</v>
      </c>
      <c r="L1449" s="74">
        <v>722926</v>
      </c>
      <c r="M1449" s="74" t="s">
        <v>21341</v>
      </c>
      <c r="N1449" s="74">
        <v>1</v>
      </c>
      <c r="O1449" s="74" t="s">
        <v>21342</v>
      </c>
      <c r="P1449" s="74" t="s">
        <v>21343</v>
      </c>
      <c r="Q1449" s="74">
        <v>0</v>
      </c>
      <c r="R1449" s="74" t="s">
        <v>148</v>
      </c>
      <c r="S1449" s="74" t="s">
        <v>21338</v>
      </c>
      <c r="T1449" s="74" t="s">
        <v>402</v>
      </c>
      <c r="U1449" s="74">
        <v>0</v>
      </c>
      <c r="V1449" s="74">
        <v>0</v>
      </c>
    </row>
    <row r="1450" spans="3:22" x14ac:dyDescent="0.25">
      <c r="C1450" s="74" t="s">
        <v>18795</v>
      </c>
      <c r="D1450" s="74" t="s">
        <v>148</v>
      </c>
      <c r="E1450" s="74" t="s">
        <v>21338</v>
      </c>
      <c r="F1450" s="74">
        <v>551367</v>
      </c>
      <c r="G1450" s="74">
        <v>1000</v>
      </c>
      <c r="H1450" s="135">
        <v>42984.471203703702</v>
      </c>
      <c r="I1450" s="74" t="s">
        <v>21339</v>
      </c>
      <c r="J1450" s="74" t="s">
        <v>21340</v>
      </c>
      <c r="K1450" s="74" t="s">
        <v>10177</v>
      </c>
      <c r="L1450" s="74">
        <v>552944</v>
      </c>
      <c r="M1450" s="74" t="s">
        <v>21341</v>
      </c>
      <c r="N1450" s="74">
        <v>1</v>
      </c>
      <c r="O1450" s="74" t="s">
        <v>21342</v>
      </c>
      <c r="P1450" s="74" t="s">
        <v>21343</v>
      </c>
      <c r="Q1450" s="74">
        <v>0</v>
      </c>
      <c r="R1450" s="74" t="s">
        <v>148</v>
      </c>
      <c r="S1450" s="74" t="s">
        <v>21338</v>
      </c>
      <c r="T1450" s="74" t="s">
        <v>402</v>
      </c>
      <c r="U1450" s="74">
        <v>0</v>
      </c>
      <c r="V1450" s="74">
        <v>0</v>
      </c>
    </row>
    <row r="1451" spans="3:22" x14ac:dyDescent="0.25">
      <c r="C1451" s="74" t="s">
        <v>18795</v>
      </c>
      <c r="D1451" s="74" t="s">
        <v>148</v>
      </c>
      <c r="E1451" s="74" t="s">
        <v>21338</v>
      </c>
      <c r="F1451" s="74">
        <v>551367</v>
      </c>
      <c r="G1451" s="74">
        <v>1000</v>
      </c>
      <c r="H1451" s="135">
        <v>42984.460590277777</v>
      </c>
      <c r="I1451" s="74" t="s">
        <v>21339</v>
      </c>
      <c r="J1451" s="74" t="s">
        <v>21340</v>
      </c>
      <c r="K1451" s="74" t="s">
        <v>7477</v>
      </c>
      <c r="L1451" s="74">
        <v>554326</v>
      </c>
      <c r="M1451" s="74" t="s">
        <v>21341</v>
      </c>
      <c r="N1451" s="74">
        <v>1</v>
      </c>
      <c r="O1451" s="74" t="s">
        <v>21342</v>
      </c>
      <c r="P1451" s="74" t="s">
        <v>21343</v>
      </c>
      <c r="Q1451" s="74">
        <v>0</v>
      </c>
      <c r="R1451" s="74" t="s">
        <v>148</v>
      </c>
      <c r="S1451" s="74" t="s">
        <v>21338</v>
      </c>
      <c r="T1451" s="74" t="s">
        <v>402</v>
      </c>
      <c r="U1451" s="74">
        <v>0</v>
      </c>
      <c r="V1451" s="74">
        <v>0</v>
      </c>
    </row>
    <row r="1452" spans="3:22" x14ac:dyDescent="0.25">
      <c r="C1452" s="74" t="s">
        <v>21385</v>
      </c>
      <c r="D1452" s="74" t="s">
        <v>148</v>
      </c>
      <c r="E1452" s="74" t="s">
        <v>21338</v>
      </c>
      <c r="F1452" s="74">
        <v>560579</v>
      </c>
      <c r="G1452" s="74">
        <v>3</v>
      </c>
      <c r="H1452" s="135">
        <v>42984.455682870372</v>
      </c>
      <c r="I1452" s="74" t="s">
        <v>21354</v>
      </c>
      <c r="J1452" s="74" t="s">
        <v>21355</v>
      </c>
      <c r="K1452" s="74" t="s">
        <v>21648</v>
      </c>
      <c r="L1452" s="74">
        <v>906038</v>
      </c>
      <c r="M1452" s="74" t="s">
        <v>21341</v>
      </c>
      <c r="N1452" s="74">
        <v>1</v>
      </c>
      <c r="O1452" s="74" t="s">
        <v>21342</v>
      </c>
      <c r="P1452" s="74" t="s">
        <v>21345</v>
      </c>
      <c r="R1452" s="74" t="s">
        <v>148</v>
      </c>
      <c r="S1452" s="74" t="s">
        <v>21338</v>
      </c>
      <c r="T1452" s="74" t="s">
        <v>402</v>
      </c>
      <c r="U1452" s="74">
        <v>0</v>
      </c>
      <c r="V1452" s="74">
        <v>0</v>
      </c>
    </row>
    <row r="1453" spans="3:22" x14ac:dyDescent="0.25">
      <c r="C1453" s="74" t="s">
        <v>735</v>
      </c>
      <c r="D1453" s="74" t="s">
        <v>148</v>
      </c>
      <c r="E1453" s="74" t="s">
        <v>21338</v>
      </c>
      <c r="F1453" s="74">
        <v>570025</v>
      </c>
      <c r="G1453" s="74">
        <v>3</v>
      </c>
      <c r="H1453" s="135">
        <v>42984.453287037039</v>
      </c>
      <c r="I1453" s="74" t="s">
        <v>21339</v>
      </c>
      <c r="J1453" s="74" t="s">
        <v>21340</v>
      </c>
      <c r="K1453" s="74" t="s">
        <v>8833</v>
      </c>
      <c r="L1453" s="74">
        <v>715531</v>
      </c>
      <c r="M1453" s="74" t="s">
        <v>21341</v>
      </c>
      <c r="N1453" s="74">
        <v>1</v>
      </c>
      <c r="O1453" s="74" t="s">
        <v>21342</v>
      </c>
      <c r="P1453" s="74" t="s">
        <v>21343</v>
      </c>
      <c r="Q1453" s="74">
        <v>0</v>
      </c>
      <c r="R1453" s="74" t="s">
        <v>148</v>
      </c>
      <c r="S1453" s="74" t="s">
        <v>21338</v>
      </c>
      <c r="T1453" s="74" t="s">
        <v>402</v>
      </c>
      <c r="U1453" s="74">
        <v>0</v>
      </c>
      <c r="V1453" s="74">
        <v>0</v>
      </c>
    </row>
    <row r="1454" spans="3:22" x14ac:dyDescent="0.25">
      <c r="C1454" s="74" t="s">
        <v>21385</v>
      </c>
      <c r="D1454" s="74" t="s">
        <v>148</v>
      </c>
      <c r="E1454" s="74" t="s">
        <v>21338</v>
      </c>
      <c r="F1454" s="74">
        <v>560579</v>
      </c>
      <c r="G1454" s="74">
        <v>3</v>
      </c>
      <c r="H1454" s="135">
        <v>42984.44939814815</v>
      </c>
      <c r="I1454" s="74" t="s">
        <v>21354</v>
      </c>
      <c r="J1454" s="74" t="s">
        <v>21355</v>
      </c>
      <c r="K1454" s="74" t="s">
        <v>21648</v>
      </c>
      <c r="L1454" s="74">
        <v>906038</v>
      </c>
      <c r="M1454" s="74" t="s">
        <v>21341</v>
      </c>
      <c r="N1454" s="74">
        <v>1</v>
      </c>
      <c r="O1454" s="74" t="s">
        <v>21342</v>
      </c>
      <c r="P1454" s="74" t="s">
        <v>21345</v>
      </c>
      <c r="R1454" s="74" t="s">
        <v>148</v>
      </c>
      <c r="S1454" s="74" t="s">
        <v>21338</v>
      </c>
      <c r="T1454" s="74" t="s">
        <v>402</v>
      </c>
      <c r="U1454" s="74">
        <v>0</v>
      </c>
      <c r="V1454" s="74">
        <v>0</v>
      </c>
    </row>
    <row r="1455" spans="3:22" x14ac:dyDescent="0.25">
      <c r="C1455" s="74" t="s">
        <v>735</v>
      </c>
      <c r="D1455" s="74" t="s">
        <v>148</v>
      </c>
      <c r="E1455" s="74" t="s">
        <v>21338</v>
      </c>
      <c r="F1455" s="74">
        <v>570025</v>
      </c>
      <c r="G1455" s="74">
        <v>3</v>
      </c>
      <c r="H1455" s="135">
        <v>42984.448506944442</v>
      </c>
      <c r="I1455" s="74" t="s">
        <v>21339</v>
      </c>
      <c r="J1455" s="74" t="s">
        <v>21391</v>
      </c>
      <c r="K1455" s="74" t="s">
        <v>8833</v>
      </c>
      <c r="L1455" s="74">
        <v>715531</v>
      </c>
      <c r="M1455" s="74" t="s">
        <v>21341</v>
      </c>
      <c r="N1455" s="74">
        <v>1</v>
      </c>
      <c r="O1455" s="74" t="s">
        <v>21342</v>
      </c>
      <c r="P1455" s="74" t="s">
        <v>21343</v>
      </c>
      <c r="Q1455" s="74" t="s">
        <v>21664</v>
      </c>
      <c r="R1455" s="74" t="s">
        <v>148</v>
      </c>
      <c r="S1455" s="74" t="s">
        <v>21338</v>
      </c>
      <c r="T1455" s="74" t="s">
        <v>402</v>
      </c>
      <c r="U1455" s="74">
        <v>0</v>
      </c>
      <c r="V1455" s="74">
        <v>0</v>
      </c>
    </row>
    <row r="1456" spans="3:22" x14ac:dyDescent="0.25">
      <c r="C1456" s="74" t="s">
        <v>735</v>
      </c>
      <c r="D1456" s="74" t="s">
        <v>148</v>
      </c>
      <c r="E1456" s="74" t="s">
        <v>21338</v>
      </c>
      <c r="F1456" s="74">
        <v>570025</v>
      </c>
      <c r="G1456" s="74">
        <v>3</v>
      </c>
      <c r="H1456" s="135">
        <v>42984.448506944442</v>
      </c>
      <c r="I1456" s="74" t="s">
        <v>21339</v>
      </c>
      <c r="J1456" s="74" t="s">
        <v>21391</v>
      </c>
      <c r="K1456" s="74" t="s">
        <v>8833</v>
      </c>
      <c r="L1456" s="74">
        <v>715531</v>
      </c>
      <c r="M1456" s="74" t="s">
        <v>21341</v>
      </c>
      <c r="N1456" s="74">
        <v>1</v>
      </c>
      <c r="O1456" s="74" t="s">
        <v>21342</v>
      </c>
      <c r="P1456" s="74" t="s">
        <v>21343</v>
      </c>
      <c r="Q1456" s="74" t="s">
        <v>21664</v>
      </c>
      <c r="R1456" s="74" t="s">
        <v>148</v>
      </c>
      <c r="S1456" s="74" t="s">
        <v>21338</v>
      </c>
      <c r="T1456" s="74" t="s">
        <v>402</v>
      </c>
      <c r="U1456" s="74">
        <v>0</v>
      </c>
      <c r="V1456" s="74">
        <v>0</v>
      </c>
    </row>
    <row r="1457" spans="3:22" x14ac:dyDescent="0.25">
      <c r="C1457" s="74" t="s">
        <v>735</v>
      </c>
      <c r="D1457" s="74" t="s">
        <v>148</v>
      </c>
      <c r="E1457" s="74" t="s">
        <v>21338</v>
      </c>
      <c r="F1457" s="74">
        <v>570025</v>
      </c>
      <c r="G1457" s="74">
        <v>3</v>
      </c>
      <c r="H1457" s="135">
        <v>42984.447199074071</v>
      </c>
      <c r="I1457" s="74" t="s">
        <v>21339</v>
      </c>
      <c r="J1457" s="74" t="s">
        <v>21362</v>
      </c>
      <c r="K1457" s="74" t="s">
        <v>8833</v>
      </c>
      <c r="L1457" s="74">
        <v>715531</v>
      </c>
      <c r="M1457" s="74" t="s">
        <v>21341</v>
      </c>
      <c r="N1457" s="74">
        <v>1</v>
      </c>
      <c r="O1457" s="74" t="s">
        <v>21342</v>
      </c>
      <c r="P1457" s="74" t="s">
        <v>21343</v>
      </c>
      <c r="Q1457" s="74" t="s">
        <v>21602</v>
      </c>
      <c r="R1457" s="74" t="s">
        <v>148</v>
      </c>
      <c r="S1457" s="74" t="s">
        <v>21338</v>
      </c>
      <c r="T1457" s="74" t="s">
        <v>402</v>
      </c>
      <c r="U1457" s="74">
        <v>0</v>
      </c>
      <c r="V1457" s="74">
        <v>0</v>
      </c>
    </row>
    <row r="1458" spans="3:22" x14ac:dyDescent="0.25">
      <c r="C1458" s="74" t="s">
        <v>735</v>
      </c>
      <c r="D1458" s="74" t="s">
        <v>148</v>
      </c>
      <c r="E1458" s="74" t="s">
        <v>21338</v>
      </c>
      <c r="F1458" s="74">
        <v>570025</v>
      </c>
      <c r="G1458" s="74">
        <v>3</v>
      </c>
      <c r="H1458" s="135">
        <v>42984.444282407407</v>
      </c>
      <c r="I1458" s="74" t="s">
        <v>21339</v>
      </c>
      <c r="J1458" s="74" t="s">
        <v>21360</v>
      </c>
      <c r="K1458" s="74" t="s">
        <v>8833</v>
      </c>
      <c r="L1458" s="74">
        <v>715531</v>
      </c>
      <c r="M1458" s="74" t="s">
        <v>21341</v>
      </c>
      <c r="N1458" s="74">
        <v>1</v>
      </c>
      <c r="O1458" s="74" t="s">
        <v>21342</v>
      </c>
      <c r="P1458" s="74" t="s">
        <v>21343</v>
      </c>
      <c r="Q1458" s="74" t="s">
        <v>21395</v>
      </c>
      <c r="R1458" s="74" t="s">
        <v>148</v>
      </c>
      <c r="S1458" s="74" t="s">
        <v>21338</v>
      </c>
      <c r="T1458" s="74" t="s">
        <v>393</v>
      </c>
      <c r="U1458" s="74">
        <v>0</v>
      </c>
      <c r="V1458" s="74">
        <v>0</v>
      </c>
    </row>
    <row r="1459" spans="3:22" x14ac:dyDescent="0.25">
      <c r="C1459" s="74" t="s">
        <v>18795</v>
      </c>
      <c r="D1459" s="74" t="s">
        <v>148</v>
      </c>
      <c r="E1459" s="74" t="s">
        <v>21338</v>
      </c>
      <c r="F1459" s="74">
        <v>551367</v>
      </c>
      <c r="G1459" s="74">
        <v>1000</v>
      </c>
      <c r="H1459" s="135">
        <v>42984.441932870373</v>
      </c>
      <c r="I1459" s="74" t="s">
        <v>21339</v>
      </c>
      <c r="J1459" s="74" t="s">
        <v>21340</v>
      </c>
      <c r="K1459" s="74" t="s">
        <v>11908</v>
      </c>
      <c r="L1459" s="74">
        <v>553161</v>
      </c>
      <c r="M1459" s="74" t="s">
        <v>21341</v>
      </c>
      <c r="N1459" s="74">
        <v>1</v>
      </c>
      <c r="O1459" s="74" t="s">
        <v>21342</v>
      </c>
      <c r="P1459" s="74" t="s">
        <v>21343</v>
      </c>
      <c r="Q1459" s="74">
        <v>0</v>
      </c>
      <c r="R1459" s="74" t="s">
        <v>148</v>
      </c>
      <c r="S1459" s="74" t="s">
        <v>21338</v>
      </c>
      <c r="T1459" s="74" t="s">
        <v>402</v>
      </c>
      <c r="U1459" s="74">
        <v>0</v>
      </c>
      <c r="V1459" s="74">
        <v>0</v>
      </c>
    </row>
    <row r="1460" spans="3:22" x14ac:dyDescent="0.25">
      <c r="C1460" s="74" t="s">
        <v>18795</v>
      </c>
      <c r="D1460" s="74" t="s">
        <v>148</v>
      </c>
      <c r="E1460" s="74" t="s">
        <v>21338</v>
      </c>
      <c r="F1460" s="74">
        <v>551367</v>
      </c>
      <c r="G1460" s="74">
        <v>1000</v>
      </c>
      <c r="H1460" s="135">
        <v>42984.4294212963</v>
      </c>
      <c r="I1460" s="74" t="s">
        <v>21339</v>
      </c>
      <c r="J1460" s="74" t="s">
        <v>21340</v>
      </c>
      <c r="K1460" s="74" t="s">
        <v>2576</v>
      </c>
      <c r="L1460" s="74">
        <v>554179</v>
      </c>
      <c r="M1460" s="74" t="s">
        <v>21341</v>
      </c>
      <c r="N1460" s="74">
        <v>1</v>
      </c>
      <c r="O1460" s="74" t="s">
        <v>21342</v>
      </c>
      <c r="P1460" s="74" t="s">
        <v>21343</v>
      </c>
      <c r="Q1460" s="74">
        <v>0</v>
      </c>
      <c r="R1460" s="74" t="s">
        <v>148</v>
      </c>
      <c r="S1460" s="74" t="s">
        <v>21338</v>
      </c>
      <c r="T1460" s="74" t="s">
        <v>402</v>
      </c>
      <c r="U1460" s="74">
        <v>0</v>
      </c>
      <c r="V1460" s="74">
        <v>0</v>
      </c>
    </row>
    <row r="1461" spans="3:22" x14ac:dyDescent="0.25">
      <c r="C1461" s="74" t="s">
        <v>735</v>
      </c>
      <c r="D1461" s="74" t="s">
        <v>148</v>
      </c>
      <c r="E1461" s="74" t="s">
        <v>21338</v>
      </c>
      <c r="F1461" s="74">
        <v>570025</v>
      </c>
      <c r="G1461" s="74">
        <v>3</v>
      </c>
      <c r="H1461" s="135">
        <v>42984.426666666666</v>
      </c>
      <c r="I1461" s="74" t="s">
        <v>21339</v>
      </c>
      <c r="J1461" s="74" t="s">
        <v>21364</v>
      </c>
      <c r="K1461" s="74" t="s">
        <v>11270</v>
      </c>
      <c r="L1461" s="74">
        <v>907387</v>
      </c>
      <c r="M1461" s="74" t="s">
        <v>21341</v>
      </c>
      <c r="N1461" s="74">
        <v>1</v>
      </c>
      <c r="O1461" s="74" t="s">
        <v>21342</v>
      </c>
      <c r="P1461" s="74" t="s">
        <v>21343</v>
      </c>
      <c r="Q1461" s="74">
        <v>0</v>
      </c>
      <c r="R1461" s="74" t="s">
        <v>148</v>
      </c>
      <c r="S1461" s="74" t="s">
        <v>21338</v>
      </c>
      <c r="T1461" s="74" t="s">
        <v>402</v>
      </c>
      <c r="U1461" s="74">
        <v>0</v>
      </c>
      <c r="V1461" s="74">
        <v>0</v>
      </c>
    </row>
    <row r="1462" spans="3:22" x14ac:dyDescent="0.25">
      <c r="C1462" s="74" t="s">
        <v>735</v>
      </c>
      <c r="D1462" s="74" t="s">
        <v>148</v>
      </c>
      <c r="E1462" s="74" t="s">
        <v>21338</v>
      </c>
      <c r="F1462" s="74">
        <v>570025</v>
      </c>
      <c r="G1462" s="74">
        <v>3</v>
      </c>
      <c r="H1462" s="135">
        <v>42984.426655092589</v>
      </c>
      <c r="I1462" s="74" t="s">
        <v>21398</v>
      </c>
      <c r="J1462" s="74" t="s">
        <v>21366</v>
      </c>
      <c r="K1462" s="74" t="s">
        <v>21367</v>
      </c>
      <c r="L1462" s="74">
        <v>561482</v>
      </c>
      <c r="M1462" s="74" t="s">
        <v>21368</v>
      </c>
      <c r="N1462" s="74">
        <v>1</v>
      </c>
      <c r="O1462" s="74" t="s">
        <v>21369</v>
      </c>
      <c r="P1462" s="74" t="s">
        <v>21343</v>
      </c>
      <c r="Q1462" s="325" t="s">
        <v>21665</v>
      </c>
      <c r="R1462" s="74" t="s">
        <v>148</v>
      </c>
      <c r="S1462" s="74" t="s">
        <v>21338</v>
      </c>
      <c r="T1462" s="74" t="s">
        <v>21371</v>
      </c>
      <c r="U1462" s="74">
        <v>0</v>
      </c>
      <c r="V1462" s="74">
        <v>0</v>
      </c>
    </row>
    <row r="1463" spans="3:22" x14ac:dyDescent="0.25">
      <c r="C1463" s="74" t="s">
        <v>735</v>
      </c>
      <c r="D1463" s="74" t="s">
        <v>148</v>
      </c>
      <c r="E1463" s="74" t="s">
        <v>21338</v>
      </c>
      <c r="F1463" s="74">
        <v>570025</v>
      </c>
      <c r="G1463" s="74">
        <v>3</v>
      </c>
      <c r="H1463" s="135">
        <v>42984.42664351852</v>
      </c>
      <c r="I1463" s="74" t="s">
        <v>21398</v>
      </c>
      <c r="J1463" s="74" t="s">
        <v>21366</v>
      </c>
      <c r="K1463" s="74" t="s">
        <v>21381</v>
      </c>
      <c r="L1463" s="74">
        <v>555660</v>
      </c>
      <c r="M1463" s="74" t="s">
        <v>21368</v>
      </c>
      <c r="N1463" s="74">
        <v>1</v>
      </c>
      <c r="O1463" s="74" t="s">
        <v>21369</v>
      </c>
      <c r="P1463" s="74" t="s">
        <v>21343</v>
      </c>
      <c r="Q1463" s="325" t="s">
        <v>21665</v>
      </c>
      <c r="R1463" s="74" t="s">
        <v>148</v>
      </c>
      <c r="S1463" s="74" t="s">
        <v>21338</v>
      </c>
      <c r="T1463" s="74" t="s">
        <v>21371</v>
      </c>
      <c r="U1463" s="74">
        <v>0</v>
      </c>
      <c r="V1463" s="74">
        <v>0</v>
      </c>
    </row>
    <row r="1464" spans="3:22" x14ac:dyDescent="0.25">
      <c r="C1464" s="74" t="s">
        <v>735</v>
      </c>
      <c r="D1464" s="74" t="s">
        <v>148</v>
      </c>
      <c r="E1464" s="74" t="s">
        <v>21338</v>
      </c>
      <c r="F1464" s="74">
        <v>570025</v>
      </c>
      <c r="G1464" s="74">
        <v>3</v>
      </c>
      <c r="H1464" s="135">
        <v>42984.426620370374</v>
      </c>
      <c r="I1464" s="74" t="s">
        <v>21339</v>
      </c>
      <c r="J1464" s="74" t="s">
        <v>21364</v>
      </c>
      <c r="K1464" s="74" t="s">
        <v>11270</v>
      </c>
      <c r="L1464" s="74">
        <v>907387</v>
      </c>
      <c r="M1464" s="74" t="s">
        <v>21341</v>
      </c>
      <c r="N1464" s="74">
        <v>1</v>
      </c>
      <c r="O1464" s="74" t="s">
        <v>21342</v>
      </c>
      <c r="P1464" s="74" t="s">
        <v>21343</v>
      </c>
      <c r="Q1464" s="74">
        <v>0</v>
      </c>
      <c r="R1464" s="74" t="s">
        <v>148</v>
      </c>
      <c r="S1464" s="74" t="s">
        <v>21338</v>
      </c>
      <c r="T1464" s="74" t="s">
        <v>402</v>
      </c>
      <c r="U1464" s="74">
        <v>0</v>
      </c>
      <c r="V1464" s="74">
        <v>0</v>
      </c>
    </row>
    <row r="1465" spans="3:22" x14ac:dyDescent="0.25">
      <c r="C1465" s="74" t="s">
        <v>735</v>
      </c>
      <c r="D1465" s="74" t="s">
        <v>148</v>
      </c>
      <c r="E1465" s="74" t="s">
        <v>21338</v>
      </c>
      <c r="F1465" s="74">
        <v>570025</v>
      </c>
      <c r="G1465" s="74">
        <v>3</v>
      </c>
      <c r="H1465" s="135">
        <v>42984.426342592589</v>
      </c>
      <c r="I1465" s="74" t="s">
        <v>21339</v>
      </c>
      <c r="J1465" s="74" t="s">
        <v>21364</v>
      </c>
      <c r="K1465" s="74" t="s">
        <v>11270</v>
      </c>
      <c r="L1465" s="74">
        <v>907387</v>
      </c>
      <c r="M1465" s="74" t="s">
        <v>21341</v>
      </c>
      <c r="N1465" s="74">
        <v>1</v>
      </c>
      <c r="O1465" s="74" t="s">
        <v>21342</v>
      </c>
      <c r="P1465" s="74" t="s">
        <v>21343</v>
      </c>
      <c r="Q1465" s="74">
        <v>0</v>
      </c>
      <c r="R1465" s="74" t="s">
        <v>148</v>
      </c>
      <c r="S1465" s="74" t="s">
        <v>21338</v>
      </c>
      <c r="T1465" s="74" t="s">
        <v>402</v>
      </c>
      <c r="U1465" s="74">
        <v>0</v>
      </c>
      <c r="V1465" s="74">
        <v>0</v>
      </c>
    </row>
    <row r="1466" spans="3:22" x14ac:dyDescent="0.25">
      <c r="C1466" s="74" t="s">
        <v>735</v>
      </c>
      <c r="D1466" s="74" t="s">
        <v>148</v>
      </c>
      <c r="E1466" s="74" t="s">
        <v>21338</v>
      </c>
      <c r="F1466" s="74">
        <v>570025</v>
      </c>
      <c r="G1466" s="74">
        <v>3</v>
      </c>
      <c r="H1466" s="135">
        <v>42984.426018518519</v>
      </c>
      <c r="I1466" s="74" t="s">
        <v>21398</v>
      </c>
      <c r="J1466" s="74" t="s">
        <v>21400</v>
      </c>
      <c r="K1466" s="74" t="s">
        <v>11270</v>
      </c>
      <c r="L1466" s="74">
        <v>907387</v>
      </c>
      <c r="M1466" s="74" t="s">
        <v>21341</v>
      </c>
      <c r="N1466" s="74">
        <v>1</v>
      </c>
      <c r="O1466" s="74" t="s">
        <v>21342</v>
      </c>
      <c r="P1466" s="74" t="s">
        <v>21343</v>
      </c>
      <c r="Q1466" s="74" t="s">
        <v>21666</v>
      </c>
      <c r="R1466" s="74" t="s">
        <v>148</v>
      </c>
      <c r="S1466" s="74" t="s">
        <v>21338</v>
      </c>
      <c r="T1466" s="74" t="s">
        <v>402</v>
      </c>
      <c r="U1466" s="74">
        <v>0</v>
      </c>
      <c r="V1466" s="74">
        <v>0</v>
      </c>
    </row>
    <row r="1467" spans="3:22" x14ac:dyDescent="0.25">
      <c r="C1467" s="74" t="s">
        <v>9081</v>
      </c>
      <c r="D1467" s="74" t="s">
        <v>148</v>
      </c>
      <c r="E1467" s="74" t="s">
        <v>21338</v>
      </c>
      <c r="F1467" s="74">
        <v>722441</v>
      </c>
      <c r="G1467" s="74">
        <v>3</v>
      </c>
      <c r="H1467" s="135">
        <v>42984.415486111109</v>
      </c>
      <c r="I1467" s="74" t="s">
        <v>21354</v>
      </c>
      <c r="J1467" s="74" t="s">
        <v>21355</v>
      </c>
      <c r="K1467" s="74" t="s">
        <v>7836</v>
      </c>
      <c r="L1467" s="74">
        <v>814693</v>
      </c>
      <c r="M1467" s="74" t="s">
        <v>21341</v>
      </c>
      <c r="N1467" s="74">
        <v>1</v>
      </c>
      <c r="O1467" s="74" t="s">
        <v>21342</v>
      </c>
      <c r="P1467" s="74" t="s">
        <v>21345</v>
      </c>
      <c r="R1467" s="74" t="s">
        <v>148</v>
      </c>
      <c r="S1467" s="74" t="s">
        <v>21338</v>
      </c>
      <c r="T1467" s="74" t="s">
        <v>402</v>
      </c>
      <c r="U1467" s="74">
        <v>0</v>
      </c>
      <c r="V1467" s="74">
        <v>0</v>
      </c>
    </row>
    <row r="1468" spans="3:22" x14ac:dyDescent="0.25">
      <c r="C1468" s="74" t="s">
        <v>18795</v>
      </c>
      <c r="D1468" s="74" t="s">
        <v>148</v>
      </c>
      <c r="E1468" s="74" t="s">
        <v>21338</v>
      </c>
      <c r="F1468" s="74">
        <v>551367</v>
      </c>
      <c r="G1468" s="74">
        <v>1000</v>
      </c>
      <c r="H1468" s="135">
        <v>42984.41375</v>
      </c>
      <c r="I1468" s="74" t="s">
        <v>21339</v>
      </c>
      <c r="J1468" s="74" t="s">
        <v>21340</v>
      </c>
      <c r="K1468" s="74" t="s">
        <v>20847</v>
      </c>
      <c r="L1468" s="74">
        <v>554274</v>
      </c>
      <c r="M1468" s="74" t="s">
        <v>21341</v>
      </c>
      <c r="N1468" s="74">
        <v>1</v>
      </c>
      <c r="O1468" s="74" t="s">
        <v>21342</v>
      </c>
      <c r="P1468" s="74" t="s">
        <v>21343</v>
      </c>
      <c r="Q1468" s="74">
        <v>0</v>
      </c>
      <c r="R1468" s="74" t="s">
        <v>148</v>
      </c>
      <c r="S1468" s="74" t="s">
        <v>21338</v>
      </c>
      <c r="T1468" s="74" t="s">
        <v>402</v>
      </c>
      <c r="U1468" s="74">
        <v>0</v>
      </c>
      <c r="V1468" s="74">
        <v>0</v>
      </c>
    </row>
    <row r="1469" spans="3:22" x14ac:dyDescent="0.25">
      <c r="C1469" s="74" t="s">
        <v>21390</v>
      </c>
      <c r="D1469" s="74" t="s">
        <v>148</v>
      </c>
      <c r="E1469" s="74" t="s">
        <v>21338</v>
      </c>
      <c r="F1469" s="74">
        <v>560864</v>
      </c>
      <c r="G1469" s="74">
        <v>3</v>
      </c>
      <c r="H1469" s="135">
        <v>42984.41134259259</v>
      </c>
      <c r="I1469" s="74" t="s">
        <v>21354</v>
      </c>
      <c r="J1469" s="74" t="s">
        <v>21355</v>
      </c>
      <c r="K1469" s="74" t="s">
        <v>20847</v>
      </c>
      <c r="L1469" s="74">
        <v>554274</v>
      </c>
      <c r="M1469" s="74" t="s">
        <v>21341</v>
      </c>
      <c r="N1469" s="74">
        <v>1</v>
      </c>
      <c r="O1469" s="74" t="s">
        <v>21342</v>
      </c>
      <c r="P1469" s="74" t="s">
        <v>21345</v>
      </c>
      <c r="R1469" s="74" t="s">
        <v>148</v>
      </c>
      <c r="S1469" s="74" t="s">
        <v>21338</v>
      </c>
      <c r="T1469" s="74" t="s">
        <v>402</v>
      </c>
      <c r="U1469" s="74">
        <v>0</v>
      </c>
      <c r="V1469" s="74">
        <v>0</v>
      </c>
    </row>
    <row r="1470" spans="3:22" x14ac:dyDescent="0.25">
      <c r="C1470" s="74" t="s">
        <v>735</v>
      </c>
      <c r="D1470" s="74" t="s">
        <v>148</v>
      </c>
      <c r="E1470" s="74" t="s">
        <v>21338</v>
      </c>
      <c r="F1470" s="74">
        <v>570025</v>
      </c>
      <c r="G1470" s="74">
        <v>3</v>
      </c>
      <c r="H1470" s="135">
        <v>42984.398287037038</v>
      </c>
      <c r="I1470" s="74" t="s">
        <v>21339</v>
      </c>
      <c r="J1470" s="74" t="s">
        <v>21362</v>
      </c>
      <c r="K1470" s="74" t="s">
        <v>21667</v>
      </c>
      <c r="L1470" s="74">
        <v>865136</v>
      </c>
      <c r="M1470" s="74" t="s">
        <v>21341</v>
      </c>
      <c r="N1470" s="74">
        <v>1</v>
      </c>
      <c r="O1470" s="74" t="s">
        <v>21342</v>
      </c>
      <c r="P1470" s="74" t="s">
        <v>21343</v>
      </c>
      <c r="Q1470" s="74" t="s">
        <v>21363</v>
      </c>
      <c r="R1470" s="74" t="s">
        <v>148</v>
      </c>
      <c r="S1470" s="74" t="s">
        <v>21338</v>
      </c>
      <c r="T1470" s="74" t="s">
        <v>393</v>
      </c>
      <c r="U1470" s="74">
        <v>0</v>
      </c>
      <c r="V1470" s="74">
        <v>0</v>
      </c>
    </row>
    <row r="1471" spans="3:22" x14ac:dyDescent="0.25">
      <c r="C1471" s="74" t="s">
        <v>735</v>
      </c>
      <c r="D1471" s="74" t="s">
        <v>148</v>
      </c>
      <c r="E1471" s="74" t="s">
        <v>21338</v>
      </c>
      <c r="F1471" s="74">
        <v>570025</v>
      </c>
      <c r="G1471" s="74">
        <v>3</v>
      </c>
      <c r="H1471" s="135">
        <v>42984.397951388892</v>
      </c>
      <c r="I1471" s="74" t="s">
        <v>21339</v>
      </c>
      <c r="J1471" s="74" t="s">
        <v>21364</v>
      </c>
      <c r="K1471" s="74" t="s">
        <v>21667</v>
      </c>
      <c r="L1471" s="74">
        <v>865136</v>
      </c>
      <c r="M1471" s="74" t="s">
        <v>21341</v>
      </c>
      <c r="N1471" s="74">
        <v>1</v>
      </c>
      <c r="O1471" s="74" t="s">
        <v>21342</v>
      </c>
      <c r="P1471" s="74" t="s">
        <v>21343</v>
      </c>
      <c r="Q1471" s="74">
        <v>0</v>
      </c>
      <c r="R1471" s="74" t="s">
        <v>148</v>
      </c>
      <c r="S1471" s="74" t="s">
        <v>21338</v>
      </c>
      <c r="T1471" s="74" t="s">
        <v>402</v>
      </c>
      <c r="U1471" s="74">
        <v>0</v>
      </c>
      <c r="V1471" s="74">
        <v>0</v>
      </c>
    </row>
    <row r="1472" spans="3:22" x14ac:dyDescent="0.25">
      <c r="C1472" s="74" t="s">
        <v>735</v>
      </c>
      <c r="D1472" s="74" t="s">
        <v>148</v>
      </c>
      <c r="E1472" s="74" t="s">
        <v>21338</v>
      </c>
      <c r="F1472" s="74">
        <v>570025</v>
      </c>
      <c r="G1472" s="74">
        <v>3</v>
      </c>
      <c r="H1472" s="135">
        <v>42984.397939814815</v>
      </c>
      <c r="I1472" s="74" t="s">
        <v>21365</v>
      </c>
      <c r="J1472" s="74" t="s">
        <v>21366</v>
      </c>
      <c r="K1472" s="74" t="s">
        <v>21367</v>
      </c>
      <c r="L1472" s="74">
        <v>561482</v>
      </c>
      <c r="M1472" s="74" t="s">
        <v>21368</v>
      </c>
      <c r="N1472" s="74">
        <v>1</v>
      </c>
      <c r="O1472" s="74" t="s">
        <v>21369</v>
      </c>
      <c r="P1472" s="74" t="s">
        <v>21343</v>
      </c>
      <c r="Q1472" s="74" t="s">
        <v>21668</v>
      </c>
      <c r="R1472" s="74" t="s">
        <v>148</v>
      </c>
      <c r="S1472" s="74" t="s">
        <v>21338</v>
      </c>
      <c r="T1472" s="74" t="s">
        <v>21371</v>
      </c>
      <c r="U1472" s="74">
        <v>0</v>
      </c>
      <c r="V1472" s="74">
        <v>0</v>
      </c>
    </row>
    <row r="1473" spans="3:22" x14ac:dyDescent="0.25">
      <c r="C1473" s="74" t="s">
        <v>735</v>
      </c>
      <c r="D1473" s="74" t="s">
        <v>148</v>
      </c>
      <c r="E1473" s="74" t="s">
        <v>21338</v>
      </c>
      <c r="F1473" s="74">
        <v>570025</v>
      </c>
      <c r="G1473" s="74">
        <v>3</v>
      </c>
      <c r="H1473" s="135">
        <v>42984.397928240738</v>
      </c>
      <c r="I1473" s="74" t="s">
        <v>21365</v>
      </c>
      <c r="J1473" s="74" t="s">
        <v>21366</v>
      </c>
      <c r="K1473" s="74" t="s">
        <v>21381</v>
      </c>
      <c r="L1473" s="74">
        <v>555660</v>
      </c>
      <c r="M1473" s="74" t="s">
        <v>21368</v>
      </c>
      <c r="N1473" s="74">
        <v>1</v>
      </c>
      <c r="O1473" s="74" t="s">
        <v>21369</v>
      </c>
      <c r="P1473" s="74" t="s">
        <v>21343</v>
      </c>
      <c r="Q1473" s="74" t="s">
        <v>21668</v>
      </c>
      <c r="R1473" s="74" t="s">
        <v>148</v>
      </c>
      <c r="S1473" s="74" t="s">
        <v>21338</v>
      </c>
      <c r="T1473" s="74" t="s">
        <v>21371</v>
      </c>
      <c r="U1473" s="74">
        <v>0</v>
      </c>
      <c r="V1473" s="74">
        <v>0</v>
      </c>
    </row>
    <row r="1474" spans="3:22" x14ac:dyDescent="0.25">
      <c r="C1474" s="74" t="s">
        <v>735</v>
      </c>
      <c r="D1474" s="74" t="s">
        <v>148</v>
      </c>
      <c r="E1474" s="74" t="s">
        <v>21338</v>
      </c>
      <c r="F1474" s="74">
        <v>570025</v>
      </c>
      <c r="G1474" s="74">
        <v>3</v>
      </c>
      <c r="H1474" s="135">
        <v>42984.397905092592</v>
      </c>
      <c r="I1474" s="74" t="s">
        <v>21339</v>
      </c>
      <c r="J1474" s="74" t="s">
        <v>21364</v>
      </c>
      <c r="K1474" s="74" t="s">
        <v>21667</v>
      </c>
      <c r="L1474" s="74">
        <v>865136</v>
      </c>
      <c r="M1474" s="74" t="s">
        <v>21341</v>
      </c>
      <c r="N1474" s="74">
        <v>1</v>
      </c>
      <c r="O1474" s="74" t="s">
        <v>21342</v>
      </c>
      <c r="P1474" s="74" t="s">
        <v>21343</v>
      </c>
      <c r="Q1474" s="74">
        <v>0</v>
      </c>
      <c r="R1474" s="74" t="s">
        <v>148</v>
      </c>
      <c r="S1474" s="74" t="s">
        <v>21338</v>
      </c>
      <c r="T1474" s="74" t="s">
        <v>402</v>
      </c>
      <c r="U1474" s="74">
        <v>0</v>
      </c>
      <c r="V1474" s="74">
        <v>0</v>
      </c>
    </row>
    <row r="1475" spans="3:22" x14ac:dyDescent="0.25">
      <c r="C1475" s="74" t="s">
        <v>735</v>
      </c>
      <c r="D1475" s="74" t="s">
        <v>148</v>
      </c>
      <c r="E1475" s="74" t="s">
        <v>21338</v>
      </c>
      <c r="F1475" s="74">
        <v>570025</v>
      </c>
      <c r="G1475" s="74">
        <v>3</v>
      </c>
      <c r="H1475" s="135">
        <v>42984.397847222222</v>
      </c>
      <c r="I1475" s="74" t="s">
        <v>21339</v>
      </c>
      <c r="J1475" s="74" t="s">
        <v>21364</v>
      </c>
      <c r="K1475" s="74" t="s">
        <v>21667</v>
      </c>
      <c r="L1475" s="74">
        <v>865136</v>
      </c>
      <c r="M1475" s="74" t="s">
        <v>21341</v>
      </c>
      <c r="N1475" s="74">
        <v>1</v>
      </c>
      <c r="O1475" s="74" t="s">
        <v>21342</v>
      </c>
      <c r="P1475" s="74" t="s">
        <v>21343</v>
      </c>
      <c r="Q1475" s="74">
        <v>0</v>
      </c>
      <c r="R1475" s="74" t="s">
        <v>148</v>
      </c>
      <c r="S1475" s="74" t="s">
        <v>21338</v>
      </c>
      <c r="T1475" s="74" t="s">
        <v>402</v>
      </c>
      <c r="U1475" s="74">
        <v>0</v>
      </c>
      <c r="V1475" s="74">
        <v>0</v>
      </c>
    </row>
    <row r="1476" spans="3:22" x14ac:dyDescent="0.25">
      <c r="C1476" s="74" t="s">
        <v>735</v>
      </c>
      <c r="D1476" s="74" t="s">
        <v>148</v>
      </c>
      <c r="E1476" s="74" t="s">
        <v>21338</v>
      </c>
      <c r="F1476" s="74">
        <v>570025</v>
      </c>
      <c r="G1476" s="74">
        <v>3</v>
      </c>
      <c r="H1476" s="135">
        <v>42984.397615740738</v>
      </c>
      <c r="I1476" s="74" t="s">
        <v>21339</v>
      </c>
      <c r="J1476" s="74" t="s">
        <v>21360</v>
      </c>
      <c r="K1476" s="74" t="s">
        <v>21667</v>
      </c>
      <c r="L1476" s="74">
        <v>865136</v>
      </c>
      <c r="M1476" s="74" t="s">
        <v>21341</v>
      </c>
      <c r="N1476" s="74">
        <v>1</v>
      </c>
      <c r="O1476" s="74" t="s">
        <v>21342</v>
      </c>
      <c r="P1476" s="74" t="s">
        <v>21343</v>
      </c>
      <c r="Q1476" s="74" t="s">
        <v>21361</v>
      </c>
      <c r="R1476" s="74" t="s">
        <v>148</v>
      </c>
      <c r="S1476" s="74" t="s">
        <v>21338</v>
      </c>
      <c r="T1476" s="74" t="s">
        <v>402</v>
      </c>
      <c r="U1476" s="74">
        <v>0</v>
      </c>
      <c r="V1476" s="74">
        <v>0</v>
      </c>
    </row>
    <row r="1477" spans="3:22" x14ac:dyDescent="0.25">
      <c r="C1477" s="74" t="s">
        <v>533</v>
      </c>
      <c r="D1477" s="74" t="s">
        <v>148</v>
      </c>
      <c r="E1477" s="74" t="s">
        <v>21338</v>
      </c>
      <c r="F1477" s="74">
        <v>627566</v>
      </c>
      <c r="G1477" s="74">
        <v>3</v>
      </c>
      <c r="H1477" s="135">
        <v>42984.393171296295</v>
      </c>
      <c r="I1477" s="74" t="s">
        <v>21354</v>
      </c>
      <c r="J1477" s="74" t="s">
        <v>21355</v>
      </c>
      <c r="K1477" s="74" t="s">
        <v>21578</v>
      </c>
      <c r="L1477" s="74">
        <v>840602</v>
      </c>
      <c r="M1477" s="74" t="s">
        <v>21341</v>
      </c>
      <c r="N1477" s="74">
        <v>1</v>
      </c>
      <c r="O1477" s="74" t="s">
        <v>21342</v>
      </c>
      <c r="P1477" s="74" t="s">
        <v>21345</v>
      </c>
      <c r="R1477" s="74" t="s">
        <v>148</v>
      </c>
      <c r="S1477" s="74" t="s">
        <v>21338</v>
      </c>
      <c r="T1477" s="74" t="s">
        <v>402</v>
      </c>
      <c r="U1477" s="74">
        <v>0</v>
      </c>
      <c r="V1477" s="74">
        <v>0</v>
      </c>
    </row>
    <row r="1478" spans="3:22" x14ac:dyDescent="0.25">
      <c r="C1478" s="74" t="s">
        <v>533</v>
      </c>
      <c r="D1478" s="74" t="s">
        <v>148</v>
      </c>
      <c r="E1478" s="74" t="s">
        <v>21338</v>
      </c>
      <c r="F1478" s="74">
        <v>627566</v>
      </c>
      <c r="G1478" s="74">
        <v>3</v>
      </c>
      <c r="H1478" s="135">
        <v>42984.392974537041</v>
      </c>
      <c r="I1478" s="74" t="s">
        <v>21339</v>
      </c>
      <c r="J1478" s="74" t="s">
        <v>21360</v>
      </c>
      <c r="K1478" s="74" t="s">
        <v>21578</v>
      </c>
      <c r="L1478" s="74">
        <v>840602</v>
      </c>
      <c r="M1478" s="74" t="s">
        <v>21341</v>
      </c>
      <c r="N1478" s="74">
        <v>1</v>
      </c>
      <c r="O1478" s="74" t="s">
        <v>21359</v>
      </c>
      <c r="P1478" s="74" t="s">
        <v>21343</v>
      </c>
      <c r="Q1478" s="74" t="s">
        <v>21395</v>
      </c>
      <c r="R1478" s="74" t="s">
        <v>148</v>
      </c>
      <c r="S1478" s="74" t="s">
        <v>21338</v>
      </c>
      <c r="T1478" s="74" t="s">
        <v>402</v>
      </c>
      <c r="U1478" s="74">
        <v>0</v>
      </c>
      <c r="V1478" s="74">
        <v>0</v>
      </c>
    </row>
    <row r="1479" spans="3:22" x14ac:dyDescent="0.25">
      <c r="C1479" s="74" t="s">
        <v>533</v>
      </c>
      <c r="D1479" s="74" t="s">
        <v>148</v>
      </c>
      <c r="E1479" s="74" t="s">
        <v>21338</v>
      </c>
      <c r="F1479" s="74">
        <v>627566</v>
      </c>
      <c r="G1479" s="74">
        <v>3</v>
      </c>
      <c r="H1479" s="135">
        <v>42984.392974537041</v>
      </c>
      <c r="I1479" s="74" t="s">
        <v>21339</v>
      </c>
      <c r="J1479" s="74" t="s">
        <v>21360</v>
      </c>
      <c r="K1479" s="74" t="s">
        <v>21578</v>
      </c>
      <c r="L1479" s="74">
        <v>840602</v>
      </c>
      <c r="M1479" s="74" t="s">
        <v>21341</v>
      </c>
      <c r="N1479" s="74">
        <v>1</v>
      </c>
      <c r="O1479" s="74" t="s">
        <v>21359</v>
      </c>
      <c r="P1479" s="74" t="s">
        <v>21343</v>
      </c>
      <c r="Q1479" s="74" t="s">
        <v>21395</v>
      </c>
      <c r="R1479" s="74" t="s">
        <v>148</v>
      </c>
      <c r="S1479" s="74" t="s">
        <v>21338</v>
      </c>
      <c r="T1479" s="74" t="s">
        <v>402</v>
      </c>
      <c r="U1479" s="74">
        <v>0</v>
      </c>
      <c r="V1479" s="74">
        <v>0</v>
      </c>
    </row>
    <row r="1480" spans="3:22" x14ac:dyDescent="0.25">
      <c r="C1480" s="74" t="s">
        <v>18795</v>
      </c>
      <c r="D1480" s="74" t="s">
        <v>148</v>
      </c>
      <c r="E1480" s="74" t="s">
        <v>21338</v>
      </c>
      <c r="F1480" s="74">
        <v>551367</v>
      </c>
      <c r="G1480" s="74">
        <v>1000</v>
      </c>
      <c r="H1480" s="135">
        <v>42984.372673611113</v>
      </c>
      <c r="I1480" s="74" t="s">
        <v>21339</v>
      </c>
      <c r="J1480" s="74" t="s">
        <v>21340</v>
      </c>
      <c r="K1480" s="74" t="s">
        <v>21647</v>
      </c>
      <c r="L1480" s="74">
        <v>808752</v>
      </c>
      <c r="M1480" s="74" t="s">
        <v>21341</v>
      </c>
      <c r="N1480" s="74">
        <v>1</v>
      </c>
      <c r="O1480" s="74" t="s">
        <v>21342</v>
      </c>
      <c r="P1480" s="74" t="s">
        <v>21343</v>
      </c>
      <c r="Q1480" s="74">
        <v>0</v>
      </c>
      <c r="R1480" s="74" t="s">
        <v>148</v>
      </c>
      <c r="S1480" s="74" t="s">
        <v>21338</v>
      </c>
      <c r="T1480" s="74" t="s">
        <v>402</v>
      </c>
      <c r="U1480" s="74">
        <v>0</v>
      </c>
      <c r="V1480" s="74">
        <v>0</v>
      </c>
    </row>
    <row r="1481" spans="3:22" x14ac:dyDescent="0.25">
      <c r="C1481" s="74" t="s">
        <v>735</v>
      </c>
      <c r="D1481" s="74" t="s">
        <v>148</v>
      </c>
      <c r="E1481" s="74" t="s">
        <v>21338</v>
      </c>
      <c r="F1481" s="74">
        <v>570025</v>
      </c>
      <c r="G1481" s="74">
        <v>3</v>
      </c>
      <c r="H1481" s="135">
        <v>42984.368750000001</v>
      </c>
      <c r="I1481" s="74" t="s">
        <v>21339</v>
      </c>
      <c r="J1481" s="74" t="s">
        <v>21364</v>
      </c>
      <c r="K1481" s="74" t="s">
        <v>830</v>
      </c>
      <c r="L1481" s="74">
        <v>551759</v>
      </c>
      <c r="M1481" s="74" t="s">
        <v>21341</v>
      </c>
      <c r="N1481" s="74">
        <v>1</v>
      </c>
      <c r="O1481" s="74" t="s">
        <v>21342</v>
      </c>
      <c r="P1481" s="74" t="s">
        <v>21343</v>
      </c>
      <c r="Q1481" s="74">
        <v>0</v>
      </c>
      <c r="R1481" s="74" t="s">
        <v>148</v>
      </c>
      <c r="S1481" s="74" t="s">
        <v>21338</v>
      </c>
      <c r="T1481" s="74" t="s">
        <v>393</v>
      </c>
      <c r="U1481" s="74">
        <v>0</v>
      </c>
      <c r="V1481" s="74">
        <v>0</v>
      </c>
    </row>
    <row r="1482" spans="3:22" x14ac:dyDescent="0.25">
      <c r="C1482" s="74" t="s">
        <v>735</v>
      </c>
      <c r="D1482" s="74" t="s">
        <v>148</v>
      </c>
      <c r="E1482" s="74" t="s">
        <v>21338</v>
      </c>
      <c r="F1482" s="74">
        <v>570025</v>
      </c>
      <c r="G1482" s="74">
        <v>3</v>
      </c>
      <c r="H1482" s="135">
        <v>42984.368530092594</v>
      </c>
      <c r="I1482" s="74" t="s">
        <v>21339</v>
      </c>
      <c r="J1482" s="74" t="s">
        <v>21362</v>
      </c>
      <c r="K1482" s="74" t="s">
        <v>830</v>
      </c>
      <c r="L1482" s="74">
        <v>551759</v>
      </c>
      <c r="M1482" s="74" t="s">
        <v>21341</v>
      </c>
      <c r="N1482" s="74">
        <v>1</v>
      </c>
      <c r="O1482" s="74" t="s">
        <v>21342</v>
      </c>
      <c r="P1482" s="74" t="s">
        <v>21343</v>
      </c>
      <c r="Q1482" s="74" t="s">
        <v>21363</v>
      </c>
      <c r="R1482" s="74" t="s">
        <v>148</v>
      </c>
      <c r="S1482" s="74" t="s">
        <v>21338</v>
      </c>
      <c r="T1482" s="74" t="s">
        <v>393</v>
      </c>
      <c r="U1482" s="74">
        <v>0</v>
      </c>
      <c r="V1482" s="74">
        <v>0</v>
      </c>
    </row>
    <row r="1483" spans="3:22" x14ac:dyDescent="0.25">
      <c r="C1483" s="74" t="s">
        <v>735</v>
      </c>
      <c r="D1483" s="74" t="s">
        <v>148</v>
      </c>
      <c r="E1483" s="74" t="s">
        <v>21338</v>
      </c>
      <c r="F1483" s="74">
        <v>570025</v>
      </c>
      <c r="G1483" s="74">
        <v>3</v>
      </c>
      <c r="H1483" s="135">
        <v>42984.367766203701</v>
      </c>
      <c r="I1483" s="74" t="s">
        <v>21339</v>
      </c>
      <c r="J1483" s="74" t="s">
        <v>21364</v>
      </c>
      <c r="K1483" s="74" t="s">
        <v>830</v>
      </c>
      <c r="L1483" s="74">
        <v>551759</v>
      </c>
      <c r="M1483" s="74" t="s">
        <v>21341</v>
      </c>
      <c r="N1483" s="74">
        <v>1</v>
      </c>
      <c r="O1483" s="74" t="s">
        <v>21342</v>
      </c>
      <c r="P1483" s="74" t="s">
        <v>21343</v>
      </c>
      <c r="Q1483" s="74">
        <v>0</v>
      </c>
      <c r="R1483" s="74" t="s">
        <v>148</v>
      </c>
      <c r="S1483" s="74" t="s">
        <v>21338</v>
      </c>
      <c r="T1483" s="74" t="s">
        <v>402</v>
      </c>
      <c r="U1483" s="74">
        <v>0</v>
      </c>
      <c r="V1483" s="74">
        <v>0</v>
      </c>
    </row>
    <row r="1484" spans="3:22" x14ac:dyDescent="0.25">
      <c r="C1484" s="74" t="s">
        <v>735</v>
      </c>
      <c r="D1484" s="74" t="s">
        <v>148</v>
      </c>
      <c r="E1484" s="74" t="s">
        <v>21338</v>
      </c>
      <c r="F1484" s="74">
        <v>570025</v>
      </c>
      <c r="G1484" s="74">
        <v>3</v>
      </c>
      <c r="H1484" s="135">
        <v>42984.367754629631</v>
      </c>
      <c r="I1484" s="74" t="s">
        <v>21365</v>
      </c>
      <c r="J1484" s="74" t="s">
        <v>21366</v>
      </c>
      <c r="K1484" s="74" t="s">
        <v>21367</v>
      </c>
      <c r="L1484" s="74">
        <v>561482</v>
      </c>
      <c r="M1484" s="74" t="s">
        <v>21368</v>
      </c>
      <c r="N1484" s="74">
        <v>1</v>
      </c>
      <c r="O1484" s="74" t="s">
        <v>21369</v>
      </c>
      <c r="P1484" s="74" t="s">
        <v>21343</v>
      </c>
      <c r="Q1484" s="74" t="s">
        <v>21669</v>
      </c>
      <c r="R1484" s="74" t="s">
        <v>148</v>
      </c>
      <c r="S1484" s="74" t="s">
        <v>21338</v>
      </c>
      <c r="T1484" s="74" t="s">
        <v>21371</v>
      </c>
      <c r="U1484" s="74">
        <v>0</v>
      </c>
      <c r="V1484" s="74">
        <v>0</v>
      </c>
    </row>
    <row r="1485" spans="3:22" x14ac:dyDescent="0.25">
      <c r="C1485" s="74" t="s">
        <v>735</v>
      </c>
      <c r="D1485" s="74" t="s">
        <v>148</v>
      </c>
      <c r="E1485" s="74" t="s">
        <v>21338</v>
      </c>
      <c r="F1485" s="74">
        <v>570025</v>
      </c>
      <c r="G1485" s="74">
        <v>3</v>
      </c>
      <c r="H1485" s="135">
        <v>42984.367094907408</v>
      </c>
      <c r="I1485" s="74" t="s">
        <v>21365</v>
      </c>
      <c r="J1485" s="74" t="s">
        <v>21366</v>
      </c>
      <c r="K1485" s="74" t="s">
        <v>21381</v>
      </c>
      <c r="L1485" s="74">
        <v>555660</v>
      </c>
      <c r="M1485" s="74" t="s">
        <v>21368</v>
      </c>
      <c r="N1485" s="74">
        <v>1</v>
      </c>
      <c r="O1485" s="74" t="s">
        <v>21369</v>
      </c>
      <c r="P1485" s="74" t="s">
        <v>21343</v>
      </c>
      <c r="Q1485" s="74" t="s">
        <v>21669</v>
      </c>
      <c r="R1485" s="74" t="s">
        <v>148</v>
      </c>
      <c r="S1485" s="74" t="s">
        <v>21338</v>
      </c>
      <c r="T1485" s="74" t="s">
        <v>21371</v>
      </c>
      <c r="U1485" s="74">
        <v>0</v>
      </c>
      <c r="V1485" s="74">
        <v>0</v>
      </c>
    </row>
    <row r="1486" spans="3:22" x14ac:dyDescent="0.25">
      <c r="C1486" s="74" t="s">
        <v>735</v>
      </c>
      <c r="D1486" s="74" t="s">
        <v>148</v>
      </c>
      <c r="E1486" s="74" t="s">
        <v>21338</v>
      </c>
      <c r="F1486" s="74">
        <v>570025</v>
      </c>
      <c r="G1486" s="74">
        <v>3</v>
      </c>
      <c r="H1486" s="135">
        <v>42984.364652777775</v>
      </c>
      <c r="I1486" s="74" t="s">
        <v>21365</v>
      </c>
      <c r="J1486" s="74" t="s">
        <v>21366</v>
      </c>
      <c r="K1486" s="74" t="s">
        <v>21377</v>
      </c>
      <c r="L1486" s="74">
        <v>555668</v>
      </c>
      <c r="M1486" s="74" t="s">
        <v>21368</v>
      </c>
      <c r="N1486" s="74">
        <v>1</v>
      </c>
      <c r="O1486" s="74" t="s">
        <v>21369</v>
      </c>
      <c r="P1486" s="74" t="s">
        <v>21343</v>
      </c>
      <c r="Q1486" s="74" t="s">
        <v>21669</v>
      </c>
      <c r="R1486" s="74" t="s">
        <v>148</v>
      </c>
      <c r="S1486" s="74" t="s">
        <v>21338</v>
      </c>
      <c r="T1486" s="74" t="s">
        <v>21371</v>
      </c>
      <c r="U1486" s="74">
        <v>0</v>
      </c>
      <c r="V1486" s="74">
        <v>0</v>
      </c>
    </row>
    <row r="1487" spans="3:22" x14ac:dyDescent="0.25">
      <c r="C1487" s="74" t="s">
        <v>735</v>
      </c>
      <c r="D1487" s="74" t="s">
        <v>148</v>
      </c>
      <c r="E1487" s="74" t="s">
        <v>21338</v>
      </c>
      <c r="F1487" s="74">
        <v>570025</v>
      </c>
      <c r="G1487" s="74">
        <v>3</v>
      </c>
      <c r="H1487" s="135">
        <v>42984.364386574074</v>
      </c>
      <c r="I1487" s="74" t="s">
        <v>21339</v>
      </c>
      <c r="J1487" s="74" t="s">
        <v>21364</v>
      </c>
      <c r="K1487" s="74" t="s">
        <v>830</v>
      </c>
      <c r="L1487" s="74">
        <v>551759</v>
      </c>
      <c r="M1487" s="74" t="s">
        <v>21341</v>
      </c>
      <c r="N1487" s="74">
        <v>1</v>
      </c>
      <c r="O1487" s="74" t="s">
        <v>21342</v>
      </c>
      <c r="P1487" s="74" t="s">
        <v>21343</v>
      </c>
      <c r="Q1487" s="74">
        <v>0</v>
      </c>
      <c r="R1487" s="74" t="s">
        <v>148</v>
      </c>
      <c r="S1487" s="74" t="s">
        <v>21338</v>
      </c>
      <c r="T1487" s="74" t="s">
        <v>402</v>
      </c>
      <c r="U1487" s="74">
        <v>0</v>
      </c>
      <c r="V1487" s="74">
        <v>0</v>
      </c>
    </row>
    <row r="1488" spans="3:22" x14ac:dyDescent="0.25">
      <c r="C1488" s="74" t="s">
        <v>735</v>
      </c>
      <c r="D1488" s="74" t="s">
        <v>148</v>
      </c>
      <c r="E1488" s="74" t="s">
        <v>21338</v>
      </c>
      <c r="F1488" s="74">
        <v>570025</v>
      </c>
      <c r="G1488" s="74">
        <v>3</v>
      </c>
      <c r="H1488" s="135">
        <v>42984.364328703705</v>
      </c>
      <c r="I1488" s="74" t="s">
        <v>21339</v>
      </c>
      <c r="J1488" s="74" t="s">
        <v>21364</v>
      </c>
      <c r="K1488" s="74" t="s">
        <v>830</v>
      </c>
      <c r="L1488" s="74">
        <v>551759</v>
      </c>
      <c r="M1488" s="74" t="s">
        <v>21341</v>
      </c>
      <c r="N1488" s="74">
        <v>1</v>
      </c>
      <c r="O1488" s="74" t="s">
        <v>21342</v>
      </c>
      <c r="P1488" s="74" t="s">
        <v>21343</v>
      </c>
      <c r="Q1488" s="74">
        <v>0</v>
      </c>
      <c r="R1488" s="74" t="s">
        <v>148</v>
      </c>
      <c r="S1488" s="74" t="s">
        <v>21338</v>
      </c>
      <c r="T1488" s="74" t="s">
        <v>402</v>
      </c>
      <c r="U1488" s="74">
        <v>0</v>
      </c>
      <c r="V1488" s="74">
        <v>0</v>
      </c>
    </row>
    <row r="1489" spans="3:22" x14ac:dyDescent="0.25">
      <c r="C1489" s="74" t="s">
        <v>18795</v>
      </c>
      <c r="D1489" s="74" t="s">
        <v>148</v>
      </c>
      <c r="E1489" s="74" t="s">
        <v>21338</v>
      </c>
      <c r="F1489" s="74">
        <v>551367</v>
      </c>
      <c r="G1489" s="74">
        <v>1000</v>
      </c>
      <c r="H1489" s="135">
        <v>42984.363576388889</v>
      </c>
      <c r="I1489" s="74" t="s">
        <v>21339</v>
      </c>
      <c r="J1489" s="74" t="s">
        <v>21340</v>
      </c>
      <c r="K1489" s="74" t="s">
        <v>15900</v>
      </c>
      <c r="L1489" s="74">
        <v>553664</v>
      </c>
      <c r="M1489" s="74" t="s">
        <v>21341</v>
      </c>
      <c r="N1489" s="74">
        <v>1</v>
      </c>
      <c r="O1489" s="74" t="s">
        <v>21342</v>
      </c>
      <c r="P1489" s="74" t="s">
        <v>21343</v>
      </c>
      <c r="Q1489" s="74">
        <v>0</v>
      </c>
      <c r="R1489" s="74" t="s">
        <v>148</v>
      </c>
      <c r="S1489" s="74" t="s">
        <v>21338</v>
      </c>
      <c r="T1489" s="74" t="s">
        <v>402</v>
      </c>
      <c r="U1489" s="74">
        <v>0</v>
      </c>
      <c r="V1489" s="74">
        <v>0</v>
      </c>
    </row>
    <row r="1490" spans="3:22" x14ac:dyDescent="0.25">
      <c r="C1490" s="74" t="s">
        <v>735</v>
      </c>
      <c r="D1490" s="74" t="s">
        <v>148</v>
      </c>
      <c r="E1490" s="74" t="s">
        <v>21338</v>
      </c>
      <c r="F1490" s="74">
        <v>570025</v>
      </c>
      <c r="G1490" s="74">
        <v>3</v>
      </c>
      <c r="H1490" s="135">
        <v>42984.362372685187</v>
      </c>
      <c r="I1490" s="74" t="s">
        <v>21339</v>
      </c>
      <c r="J1490" s="74" t="s">
        <v>21360</v>
      </c>
      <c r="K1490" s="74" t="s">
        <v>830</v>
      </c>
      <c r="L1490" s="74">
        <v>551759</v>
      </c>
      <c r="M1490" s="74" t="s">
        <v>21341</v>
      </c>
      <c r="N1490" s="74">
        <v>1</v>
      </c>
      <c r="O1490" s="74" t="s">
        <v>21342</v>
      </c>
      <c r="P1490" s="74" t="s">
        <v>21343</v>
      </c>
      <c r="Q1490" s="74" t="s">
        <v>21361</v>
      </c>
      <c r="R1490" s="74" t="s">
        <v>148</v>
      </c>
      <c r="S1490" s="74" t="s">
        <v>21338</v>
      </c>
      <c r="T1490" s="74" t="s">
        <v>402</v>
      </c>
      <c r="U1490" s="74">
        <v>0</v>
      </c>
      <c r="V1490" s="74">
        <v>0</v>
      </c>
    </row>
    <row r="1491" spans="3:22" x14ac:dyDescent="0.25">
      <c r="C1491" s="74" t="s">
        <v>735</v>
      </c>
      <c r="D1491" s="74" t="s">
        <v>148</v>
      </c>
      <c r="E1491" s="74" t="s">
        <v>21338</v>
      </c>
      <c r="F1491" s="74">
        <v>570025</v>
      </c>
      <c r="G1491" s="74">
        <v>3</v>
      </c>
      <c r="H1491" s="135">
        <v>42984.351724537039</v>
      </c>
      <c r="I1491" s="74" t="s">
        <v>21339</v>
      </c>
      <c r="J1491" s="74" t="s">
        <v>21362</v>
      </c>
      <c r="K1491" s="74" t="s">
        <v>8833</v>
      </c>
      <c r="L1491" s="74">
        <v>715531</v>
      </c>
      <c r="M1491" s="74" t="s">
        <v>21341</v>
      </c>
      <c r="N1491" s="74">
        <v>1</v>
      </c>
      <c r="O1491" s="74" t="s">
        <v>21342</v>
      </c>
      <c r="P1491" s="74" t="s">
        <v>21343</v>
      </c>
      <c r="Q1491" s="74" t="s">
        <v>21363</v>
      </c>
      <c r="R1491" s="74" t="s">
        <v>148</v>
      </c>
      <c r="S1491" s="74" t="s">
        <v>21338</v>
      </c>
      <c r="T1491" s="74" t="s">
        <v>393</v>
      </c>
      <c r="U1491" s="74">
        <v>0</v>
      </c>
      <c r="V1491" s="74">
        <v>0</v>
      </c>
    </row>
    <row r="1492" spans="3:22" x14ac:dyDescent="0.25">
      <c r="C1492" s="74" t="s">
        <v>735</v>
      </c>
      <c r="D1492" s="74" t="s">
        <v>148</v>
      </c>
      <c r="E1492" s="74" t="s">
        <v>21338</v>
      </c>
      <c r="F1492" s="74">
        <v>570025</v>
      </c>
      <c r="G1492" s="74">
        <v>3</v>
      </c>
      <c r="H1492" s="135">
        <v>42984.350405092591</v>
      </c>
      <c r="I1492" s="74" t="s">
        <v>21365</v>
      </c>
      <c r="J1492" s="74" t="s">
        <v>21366</v>
      </c>
      <c r="K1492" s="74" t="s">
        <v>21403</v>
      </c>
      <c r="L1492" s="74">
        <v>561483</v>
      </c>
      <c r="M1492" s="74" t="s">
        <v>21368</v>
      </c>
      <c r="N1492" s="74">
        <v>1</v>
      </c>
      <c r="O1492" s="74" t="s">
        <v>21369</v>
      </c>
      <c r="P1492" s="74" t="s">
        <v>21343</v>
      </c>
      <c r="Q1492" s="74" t="s">
        <v>21670</v>
      </c>
      <c r="R1492" s="74" t="s">
        <v>148</v>
      </c>
      <c r="S1492" s="74" t="s">
        <v>21338</v>
      </c>
      <c r="T1492" s="74" t="s">
        <v>21371</v>
      </c>
      <c r="U1492" s="74">
        <v>0</v>
      </c>
      <c r="V1492" s="74">
        <v>0</v>
      </c>
    </row>
    <row r="1493" spans="3:22" x14ac:dyDescent="0.25">
      <c r="C1493" s="74" t="s">
        <v>735</v>
      </c>
      <c r="D1493" s="74" t="s">
        <v>148</v>
      </c>
      <c r="E1493" s="74" t="s">
        <v>21338</v>
      </c>
      <c r="F1493" s="74">
        <v>570025</v>
      </c>
      <c r="G1493" s="74">
        <v>3</v>
      </c>
      <c r="H1493" s="135">
        <v>42984.350405092591</v>
      </c>
      <c r="I1493" s="74" t="s">
        <v>21339</v>
      </c>
      <c r="J1493" s="74" t="s">
        <v>21364</v>
      </c>
      <c r="K1493" s="74" t="s">
        <v>8833</v>
      </c>
      <c r="L1493" s="74">
        <v>715531</v>
      </c>
      <c r="M1493" s="74" t="s">
        <v>21341</v>
      </c>
      <c r="N1493" s="74">
        <v>1</v>
      </c>
      <c r="O1493" s="74" t="s">
        <v>21342</v>
      </c>
      <c r="P1493" s="74" t="s">
        <v>21343</v>
      </c>
      <c r="Q1493" s="74">
        <v>0</v>
      </c>
      <c r="R1493" s="74" t="s">
        <v>148</v>
      </c>
      <c r="S1493" s="74" t="s">
        <v>21338</v>
      </c>
      <c r="T1493" s="74" t="s">
        <v>402</v>
      </c>
      <c r="U1493" s="74">
        <v>0</v>
      </c>
      <c r="V1493" s="74">
        <v>0</v>
      </c>
    </row>
    <row r="1494" spans="3:22" x14ac:dyDescent="0.25">
      <c r="C1494" s="74" t="s">
        <v>735</v>
      </c>
      <c r="D1494" s="74" t="s">
        <v>148</v>
      </c>
      <c r="E1494" s="74" t="s">
        <v>21338</v>
      </c>
      <c r="F1494" s="74">
        <v>570025</v>
      </c>
      <c r="G1494" s="74">
        <v>3</v>
      </c>
      <c r="H1494" s="135">
        <v>42984.350393518522</v>
      </c>
      <c r="I1494" s="74" t="s">
        <v>21365</v>
      </c>
      <c r="J1494" s="74" t="s">
        <v>21366</v>
      </c>
      <c r="K1494" s="74" t="s">
        <v>21367</v>
      </c>
      <c r="L1494" s="74">
        <v>561482</v>
      </c>
      <c r="M1494" s="74" t="s">
        <v>21368</v>
      </c>
      <c r="N1494" s="74">
        <v>1</v>
      </c>
      <c r="O1494" s="74" t="s">
        <v>21369</v>
      </c>
      <c r="P1494" s="74" t="s">
        <v>21343</v>
      </c>
      <c r="Q1494" s="74" t="s">
        <v>21670</v>
      </c>
      <c r="R1494" s="74" t="s">
        <v>148</v>
      </c>
      <c r="S1494" s="74" t="s">
        <v>21338</v>
      </c>
      <c r="T1494" s="74" t="s">
        <v>21371</v>
      </c>
      <c r="U1494" s="74">
        <v>0</v>
      </c>
      <c r="V1494" s="74">
        <v>0</v>
      </c>
    </row>
    <row r="1495" spans="3:22" x14ac:dyDescent="0.25">
      <c r="C1495" s="74" t="s">
        <v>735</v>
      </c>
      <c r="D1495" s="74" t="s">
        <v>148</v>
      </c>
      <c r="E1495" s="74" t="s">
        <v>21338</v>
      </c>
      <c r="F1495" s="74">
        <v>570025</v>
      </c>
      <c r="G1495" s="74">
        <v>3</v>
      </c>
      <c r="H1495" s="135">
        <v>42984.350358796299</v>
      </c>
      <c r="I1495" s="74" t="s">
        <v>21365</v>
      </c>
      <c r="J1495" s="74" t="s">
        <v>21366</v>
      </c>
      <c r="K1495" s="74" t="s">
        <v>21376</v>
      </c>
      <c r="L1495" s="74">
        <v>555659</v>
      </c>
      <c r="M1495" s="74" t="s">
        <v>21368</v>
      </c>
      <c r="N1495" s="74">
        <v>1</v>
      </c>
      <c r="O1495" s="74" t="s">
        <v>21369</v>
      </c>
      <c r="P1495" s="74" t="s">
        <v>21343</v>
      </c>
      <c r="Q1495" s="74" t="s">
        <v>21670</v>
      </c>
      <c r="R1495" s="74" t="s">
        <v>148</v>
      </c>
      <c r="S1495" s="74" t="s">
        <v>21338</v>
      </c>
      <c r="T1495" s="74" t="s">
        <v>21371</v>
      </c>
      <c r="U1495" s="74">
        <v>0</v>
      </c>
      <c r="V1495" s="74">
        <v>0</v>
      </c>
    </row>
    <row r="1496" spans="3:22" x14ac:dyDescent="0.25">
      <c r="C1496" s="74" t="s">
        <v>735</v>
      </c>
      <c r="D1496" s="74" t="s">
        <v>148</v>
      </c>
      <c r="E1496" s="74" t="s">
        <v>21338</v>
      </c>
      <c r="F1496" s="74">
        <v>570025</v>
      </c>
      <c r="G1496" s="74">
        <v>3</v>
      </c>
      <c r="H1496" s="135">
        <v>42984.350312499999</v>
      </c>
      <c r="I1496" s="74" t="s">
        <v>21339</v>
      </c>
      <c r="J1496" s="74" t="s">
        <v>21364</v>
      </c>
      <c r="K1496" s="74" t="s">
        <v>8833</v>
      </c>
      <c r="L1496" s="74">
        <v>715531</v>
      </c>
      <c r="M1496" s="74" t="s">
        <v>21341</v>
      </c>
      <c r="N1496" s="74">
        <v>1</v>
      </c>
      <c r="O1496" s="74" t="s">
        <v>21342</v>
      </c>
      <c r="P1496" s="74" t="s">
        <v>21343</v>
      </c>
      <c r="Q1496" s="74">
        <v>0</v>
      </c>
      <c r="R1496" s="74" t="s">
        <v>148</v>
      </c>
      <c r="S1496" s="74" t="s">
        <v>21338</v>
      </c>
      <c r="T1496" s="74" t="s">
        <v>402</v>
      </c>
      <c r="U1496" s="74">
        <v>0</v>
      </c>
      <c r="V1496" s="74">
        <v>0</v>
      </c>
    </row>
    <row r="1497" spans="3:22" x14ac:dyDescent="0.25">
      <c r="C1497" s="74" t="s">
        <v>735</v>
      </c>
      <c r="D1497" s="74" t="s">
        <v>148</v>
      </c>
      <c r="E1497" s="74" t="s">
        <v>21338</v>
      </c>
      <c r="F1497" s="74">
        <v>570025</v>
      </c>
      <c r="G1497" s="74">
        <v>3</v>
      </c>
      <c r="H1497" s="135">
        <v>42984.350069444445</v>
      </c>
      <c r="I1497" s="74" t="s">
        <v>21339</v>
      </c>
      <c r="J1497" s="74" t="s">
        <v>21364</v>
      </c>
      <c r="K1497" s="74" t="s">
        <v>8833</v>
      </c>
      <c r="L1497" s="74">
        <v>715531</v>
      </c>
      <c r="M1497" s="74" t="s">
        <v>21341</v>
      </c>
      <c r="N1497" s="74">
        <v>1</v>
      </c>
      <c r="O1497" s="74" t="s">
        <v>21342</v>
      </c>
      <c r="P1497" s="74" t="s">
        <v>21343</v>
      </c>
      <c r="Q1497" s="74">
        <v>0</v>
      </c>
      <c r="R1497" s="74" t="s">
        <v>148</v>
      </c>
      <c r="S1497" s="74" t="s">
        <v>21338</v>
      </c>
      <c r="T1497" s="74" t="s">
        <v>402</v>
      </c>
      <c r="U1497" s="74">
        <v>0</v>
      </c>
      <c r="V1497" s="74">
        <v>0</v>
      </c>
    </row>
    <row r="1498" spans="3:22" x14ac:dyDescent="0.25">
      <c r="C1498" s="74" t="s">
        <v>735</v>
      </c>
      <c r="D1498" s="74" t="s">
        <v>148</v>
      </c>
      <c r="E1498" s="74" t="s">
        <v>21338</v>
      </c>
      <c r="F1498" s="74">
        <v>570025</v>
      </c>
      <c r="G1498" s="74">
        <v>3</v>
      </c>
      <c r="H1498" s="135">
        <v>42984.347233796296</v>
      </c>
      <c r="I1498" s="74" t="s">
        <v>21339</v>
      </c>
      <c r="J1498" s="74" t="s">
        <v>21360</v>
      </c>
      <c r="K1498" s="74" t="s">
        <v>8833</v>
      </c>
      <c r="L1498" s="74">
        <v>715531</v>
      </c>
      <c r="M1498" s="74" t="s">
        <v>21341</v>
      </c>
      <c r="N1498" s="74">
        <v>1</v>
      </c>
      <c r="O1498" s="74" t="s">
        <v>21342</v>
      </c>
      <c r="P1498" s="74" t="s">
        <v>21343</v>
      </c>
      <c r="Q1498" s="74" t="s">
        <v>21361</v>
      </c>
      <c r="R1498" s="74" t="s">
        <v>148</v>
      </c>
      <c r="S1498" s="74" t="s">
        <v>21338</v>
      </c>
      <c r="T1498" s="74" t="s">
        <v>402</v>
      </c>
      <c r="U1498" s="74">
        <v>0</v>
      </c>
      <c r="V1498" s="74">
        <v>0</v>
      </c>
    </row>
    <row r="1499" spans="3:22" x14ac:dyDescent="0.25">
      <c r="C1499" s="74" t="s">
        <v>18795</v>
      </c>
      <c r="D1499" s="74" t="s">
        <v>148</v>
      </c>
      <c r="E1499" s="74" t="s">
        <v>21338</v>
      </c>
      <c r="F1499" s="74">
        <v>551367</v>
      </c>
      <c r="G1499" s="74">
        <v>1000</v>
      </c>
      <c r="H1499" s="135">
        <v>42984.01421296296</v>
      </c>
      <c r="I1499" s="74" t="s">
        <v>21339</v>
      </c>
      <c r="J1499" s="74" t="s">
        <v>21340</v>
      </c>
      <c r="K1499" s="74" t="s">
        <v>7035</v>
      </c>
      <c r="L1499" s="74">
        <v>552541</v>
      </c>
      <c r="M1499" s="74" t="s">
        <v>21341</v>
      </c>
      <c r="N1499" s="74">
        <v>1</v>
      </c>
      <c r="O1499" s="74" t="s">
        <v>21342</v>
      </c>
      <c r="P1499" s="74" t="s">
        <v>21343</v>
      </c>
      <c r="Q1499" s="74">
        <v>0</v>
      </c>
      <c r="R1499" s="74" t="s">
        <v>148</v>
      </c>
      <c r="S1499" s="74" t="s">
        <v>21338</v>
      </c>
      <c r="T1499" s="74" t="s">
        <v>402</v>
      </c>
      <c r="U1499" s="74">
        <v>0</v>
      </c>
      <c r="V1499" s="74">
        <v>0</v>
      </c>
    </row>
    <row r="1500" spans="3:22" x14ac:dyDescent="0.25">
      <c r="C1500" s="74" t="s">
        <v>18795</v>
      </c>
      <c r="D1500" s="74" t="s">
        <v>148</v>
      </c>
      <c r="E1500" s="74" t="s">
        <v>21338</v>
      </c>
      <c r="F1500" s="74">
        <v>551367</v>
      </c>
      <c r="G1500" s="74">
        <v>1000</v>
      </c>
      <c r="H1500" s="135">
        <v>42983.843148148146</v>
      </c>
      <c r="I1500" s="74" t="s">
        <v>21339</v>
      </c>
      <c r="J1500" s="74" t="s">
        <v>21340</v>
      </c>
      <c r="K1500" s="74" t="s">
        <v>21671</v>
      </c>
      <c r="L1500" s="74">
        <v>561057</v>
      </c>
      <c r="M1500" s="74" t="s">
        <v>21341</v>
      </c>
      <c r="N1500" s="74">
        <v>1</v>
      </c>
      <c r="O1500" s="74" t="s">
        <v>21342</v>
      </c>
      <c r="P1500" s="74" t="s">
        <v>21343</v>
      </c>
      <c r="Q1500" s="74">
        <v>0</v>
      </c>
      <c r="R1500" s="74" t="s">
        <v>148</v>
      </c>
      <c r="S1500" s="74" t="s">
        <v>21338</v>
      </c>
      <c r="T1500" s="74" t="s">
        <v>393</v>
      </c>
      <c r="U1500" s="74">
        <v>0</v>
      </c>
      <c r="V1500" s="74">
        <v>0</v>
      </c>
    </row>
    <row r="1501" spans="3:22" x14ac:dyDescent="0.25">
      <c r="C1501" s="74" t="s">
        <v>18795</v>
      </c>
      <c r="D1501" s="74" t="s">
        <v>148</v>
      </c>
      <c r="E1501" s="74" t="s">
        <v>21338</v>
      </c>
      <c r="F1501" s="74">
        <v>551367</v>
      </c>
      <c r="G1501" s="74">
        <v>1000</v>
      </c>
      <c r="H1501" s="135">
        <v>42983.8284375</v>
      </c>
      <c r="I1501" s="74" t="s">
        <v>21339</v>
      </c>
      <c r="J1501" s="74" t="s">
        <v>21340</v>
      </c>
      <c r="K1501" s="74" t="s">
        <v>10773</v>
      </c>
      <c r="L1501" s="74">
        <v>722847</v>
      </c>
      <c r="M1501" s="74" t="s">
        <v>21341</v>
      </c>
      <c r="N1501" s="74">
        <v>1</v>
      </c>
      <c r="O1501" s="74" t="s">
        <v>21342</v>
      </c>
      <c r="P1501" s="74" t="s">
        <v>21343</v>
      </c>
      <c r="Q1501" s="74">
        <v>0</v>
      </c>
      <c r="R1501" s="74" t="s">
        <v>148</v>
      </c>
      <c r="S1501" s="74" t="s">
        <v>21338</v>
      </c>
      <c r="T1501" s="74" t="s">
        <v>402</v>
      </c>
      <c r="U1501" s="74">
        <v>0</v>
      </c>
      <c r="V1501" s="74">
        <v>0</v>
      </c>
    </row>
    <row r="1502" spans="3:22" x14ac:dyDescent="0.25">
      <c r="C1502" s="74" t="s">
        <v>18795</v>
      </c>
      <c r="D1502" s="74" t="s">
        <v>148</v>
      </c>
      <c r="E1502" s="74" t="s">
        <v>21338</v>
      </c>
      <c r="F1502" s="74">
        <v>551367</v>
      </c>
      <c r="G1502" s="74">
        <v>1000</v>
      </c>
      <c r="H1502" s="135">
        <v>42983.773206018515</v>
      </c>
      <c r="I1502" s="74" t="s">
        <v>21339</v>
      </c>
      <c r="J1502" s="74" t="s">
        <v>21340</v>
      </c>
      <c r="K1502" s="74" t="s">
        <v>9759</v>
      </c>
      <c r="L1502" s="74">
        <v>552885</v>
      </c>
      <c r="M1502" s="74" t="s">
        <v>21341</v>
      </c>
      <c r="N1502" s="74">
        <v>1</v>
      </c>
      <c r="O1502" s="74" t="s">
        <v>21342</v>
      </c>
      <c r="P1502" s="74" t="s">
        <v>21343</v>
      </c>
      <c r="Q1502" s="74">
        <v>0</v>
      </c>
      <c r="R1502" s="74" t="s">
        <v>148</v>
      </c>
      <c r="S1502" s="74" t="s">
        <v>21338</v>
      </c>
      <c r="T1502" s="74" t="s">
        <v>402</v>
      </c>
      <c r="U1502" s="74">
        <v>0</v>
      </c>
      <c r="V1502" s="74">
        <v>0</v>
      </c>
    </row>
    <row r="1503" spans="3:22" x14ac:dyDescent="0.25">
      <c r="C1503" s="74" t="s">
        <v>21351</v>
      </c>
      <c r="D1503" s="74" t="s">
        <v>148</v>
      </c>
      <c r="E1503" s="74" t="s">
        <v>21338</v>
      </c>
      <c r="F1503" s="74">
        <v>707864</v>
      </c>
      <c r="G1503" s="74">
        <v>3</v>
      </c>
      <c r="H1503" s="135">
        <v>42983.709317129629</v>
      </c>
      <c r="I1503" s="74" t="s">
        <v>21354</v>
      </c>
      <c r="J1503" s="74" t="s">
        <v>21355</v>
      </c>
      <c r="K1503" s="74" t="s">
        <v>4613</v>
      </c>
      <c r="L1503" s="74">
        <v>552325</v>
      </c>
      <c r="M1503" s="74" t="s">
        <v>21341</v>
      </c>
      <c r="N1503" s="74">
        <v>1</v>
      </c>
      <c r="O1503" s="74" t="s">
        <v>21342</v>
      </c>
      <c r="P1503" s="74" t="s">
        <v>21345</v>
      </c>
      <c r="R1503" s="74" t="s">
        <v>148</v>
      </c>
      <c r="S1503" s="74" t="s">
        <v>21338</v>
      </c>
      <c r="T1503" s="74" t="s">
        <v>402</v>
      </c>
      <c r="U1503" s="74">
        <v>0</v>
      </c>
      <c r="V1503" s="74">
        <v>0</v>
      </c>
    </row>
    <row r="1504" spans="3:22" x14ac:dyDescent="0.25">
      <c r="C1504" s="74" t="s">
        <v>18795</v>
      </c>
      <c r="D1504" s="74" t="s">
        <v>148</v>
      </c>
      <c r="E1504" s="74" t="s">
        <v>21338</v>
      </c>
      <c r="F1504" s="74">
        <v>551367</v>
      </c>
      <c r="G1504" s="74">
        <v>1000</v>
      </c>
      <c r="H1504" s="135">
        <v>42983.698831018519</v>
      </c>
      <c r="I1504" s="74" t="s">
        <v>21339</v>
      </c>
      <c r="J1504" s="74" t="s">
        <v>21340</v>
      </c>
      <c r="K1504" s="74" t="s">
        <v>4695</v>
      </c>
      <c r="L1504" s="74">
        <v>552228</v>
      </c>
      <c r="M1504" s="74" t="s">
        <v>21341</v>
      </c>
      <c r="N1504" s="74">
        <v>1</v>
      </c>
      <c r="O1504" s="74" t="s">
        <v>21342</v>
      </c>
      <c r="P1504" s="74" t="s">
        <v>21343</v>
      </c>
      <c r="Q1504" s="74">
        <v>0</v>
      </c>
      <c r="R1504" s="74" t="s">
        <v>148</v>
      </c>
      <c r="S1504" s="74" t="s">
        <v>21338</v>
      </c>
      <c r="T1504" s="74" t="s">
        <v>402</v>
      </c>
      <c r="U1504" s="74">
        <v>0</v>
      </c>
      <c r="V1504" s="74">
        <v>0</v>
      </c>
    </row>
    <row r="1505" spans="3:22" x14ac:dyDescent="0.25">
      <c r="C1505" s="74" t="s">
        <v>21347</v>
      </c>
      <c r="D1505" s="74" t="s">
        <v>148</v>
      </c>
      <c r="E1505" s="74" t="s">
        <v>21338</v>
      </c>
      <c r="F1505" s="74">
        <v>637976</v>
      </c>
      <c r="G1505" s="74">
        <v>1</v>
      </c>
      <c r="H1505" s="135">
        <v>42983.697951388887</v>
      </c>
      <c r="I1505" s="74" t="s">
        <v>21348</v>
      </c>
      <c r="J1505" s="74" t="s">
        <v>21349</v>
      </c>
      <c r="K1505" s="74" t="s">
        <v>21347</v>
      </c>
      <c r="L1505" s="74">
        <v>637976</v>
      </c>
      <c r="M1505" s="74" t="s">
        <v>21341</v>
      </c>
      <c r="N1505" s="74">
        <v>0</v>
      </c>
      <c r="O1505" s="74" t="s">
        <v>21350</v>
      </c>
      <c r="P1505" s="74" t="s">
        <v>21343</v>
      </c>
      <c r="Q1505" s="74">
        <v>0</v>
      </c>
      <c r="R1505" s="74" t="s">
        <v>148</v>
      </c>
      <c r="S1505" s="74" t="s">
        <v>21338</v>
      </c>
      <c r="T1505" s="74" t="s">
        <v>402</v>
      </c>
      <c r="U1505" s="74">
        <v>0</v>
      </c>
      <c r="V1505" s="74">
        <v>0</v>
      </c>
    </row>
    <row r="1506" spans="3:22" x14ac:dyDescent="0.25">
      <c r="C1506" s="74" t="s">
        <v>21347</v>
      </c>
      <c r="D1506" s="74" t="s">
        <v>148</v>
      </c>
      <c r="E1506" s="74" t="s">
        <v>21338</v>
      </c>
      <c r="F1506" s="74">
        <v>637976</v>
      </c>
      <c r="G1506" s="74">
        <v>1</v>
      </c>
      <c r="H1506" s="135">
        <v>42983.697951388887</v>
      </c>
      <c r="I1506" s="74" t="s">
        <v>244</v>
      </c>
      <c r="J1506" s="74" t="s">
        <v>21349</v>
      </c>
      <c r="K1506" s="74" t="s">
        <v>21347</v>
      </c>
      <c r="L1506" s="74">
        <v>637976</v>
      </c>
      <c r="M1506" s="74" t="s">
        <v>21341</v>
      </c>
      <c r="N1506" s="74">
        <v>0</v>
      </c>
      <c r="O1506" s="74" t="s">
        <v>21350</v>
      </c>
      <c r="P1506" s="74" t="s">
        <v>21343</v>
      </c>
      <c r="Q1506" s="74">
        <v>0</v>
      </c>
      <c r="R1506" s="74" t="s">
        <v>148</v>
      </c>
      <c r="S1506" s="74" t="s">
        <v>21338</v>
      </c>
      <c r="T1506" s="74" t="s">
        <v>402</v>
      </c>
      <c r="U1506" s="74">
        <v>0</v>
      </c>
      <c r="V1506" s="74">
        <v>0</v>
      </c>
    </row>
    <row r="1507" spans="3:22" x14ac:dyDescent="0.25">
      <c r="C1507" s="74" t="s">
        <v>21347</v>
      </c>
      <c r="D1507" s="74" t="s">
        <v>148</v>
      </c>
      <c r="E1507" s="74" t="s">
        <v>21338</v>
      </c>
      <c r="F1507" s="74">
        <v>637976</v>
      </c>
      <c r="G1507" s="74">
        <v>1</v>
      </c>
      <c r="H1507" s="135">
        <v>42983.682662037034</v>
      </c>
      <c r="I1507" s="74" t="s">
        <v>21348</v>
      </c>
      <c r="J1507" s="74" t="s">
        <v>21349</v>
      </c>
      <c r="K1507" s="74" t="s">
        <v>21347</v>
      </c>
      <c r="L1507" s="74">
        <v>637976</v>
      </c>
      <c r="M1507" s="74" t="s">
        <v>21341</v>
      </c>
      <c r="N1507" s="74">
        <v>0</v>
      </c>
      <c r="O1507" s="74" t="s">
        <v>21350</v>
      </c>
      <c r="P1507" s="74" t="s">
        <v>21343</v>
      </c>
      <c r="Q1507" s="74">
        <v>0</v>
      </c>
      <c r="R1507" s="74" t="s">
        <v>148</v>
      </c>
      <c r="S1507" s="74" t="s">
        <v>21338</v>
      </c>
      <c r="T1507" s="74" t="s">
        <v>402</v>
      </c>
      <c r="U1507" s="74">
        <v>0</v>
      </c>
      <c r="V1507" s="74">
        <v>0</v>
      </c>
    </row>
    <row r="1508" spans="3:22" x14ac:dyDescent="0.25">
      <c r="C1508" s="74" t="s">
        <v>21347</v>
      </c>
      <c r="D1508" s="74" t="s">
        <v>148</v>
      </c>
      <c r="E1508" s="74" t="s">
        <v>21338</v>
      </c>
      <c r="F1508" s="74">
        <v>637976</v>
      </c>
      <c r="G1508" s="74">
        <v>1</v>
      </c>
      <c r="H1508" s="135">
        <v>42983.682662037034</v>
      </c>
      <c r="I1508" s="74" t="s">
        <v>244</v>
      </c>
      <c r="J1508" s="74" t="s">
        <v>21349</v>
      </c>
      <c r="K1508" s="74" t="s">
        <v>21347</v>
      </c>
      <c r="L1508" s="74">
        <v>637976</v>
      </c>
      <c r="M1508" s="74" t="s">
        <v>21341</v>
      </c>
      <c r="N1508" s="74">
        <v>0</v>
      </c>
      <c r="O1508" s="74" t="s">
        <v>21350</v>
      </c>
      <c r="P1508" s="74" t="s">
        <v>21343</v>
      </c>
      <c r="Q1508" s="74">
        <v>0</v>
      </c>
      <c r="R1508" s="74" t="s">
        <v>148</v>
      </c>
      <c r="S1508" s="74" t="s">
        <v>21338</v>
      </c>
      <c r="T1508" s="74" t="s">
        <v>402</v>
      </c>
      <c r="U1508" s="74">
        <v>0</v>
      </c>
      <c r="V1508" s="74">
        <v>0</v>
      </c>
    </row>
    <row r="1509" spans="3:22" x14ac:dyDescent="0.25">
      <c r="C1509" s="74" t="s">
        <v>18795</v>
      </c>
      <c r="D1509" s="74" t="s">
        <v>148</v>
      </c>
      <c r="E1509" s="74" t="s">
        <v>21338</v>
      </c>
      <c r="F1509" s="74">
        <v>551367</v>
      </c>
      <c r="G1509" s="74">
        <v>1000</v>
      </c>
      <c r="H1509" s="135">
        <v>42983.666412037041</v>
      </c>
      <c r="I1509" s="74" t="s">
        <v>21339</v>
      </c>
      <c r="J1509" s="74" t="s">
        <v>21340</v>
      </c>
      <c r="K1509" s="74" t="s">
        <v>13412</v>
      </c>
      <c r="L1509" s="74">
        <v>553349</v>
      </c>
      <c r="M1509" s="74" t="s">
        <v>21341</v>
      </c>
      <c r="N1509" s="74">
        <v>1</v>
      </c>
      <c r="O1509" s="74" t="s">
        <v>21342</v>
      </c>
      <c r="P1509" s="74" t="s">
        <v>21343</v>
      </c>
      <c r="Q1509" s="74">
        <v>0</v>
      </c>
      <c r="R1509" s="74" t="s">
        <v>148</v>
      </c>
      <c r="S1509" s="74" t="s">
        <v>21338</v>
      </c>
      <c r="T1509" s="74" t="s">
        <v>402</v>
      </c>
      <c r="U1509" s="74">
        <v>0</v>
      </c>
      <c r="V1509" s="74">
        <v>0</v>
      </c>
    </row>
    <row r="1510" spans="3:22" x14ac:dyDescent="0.25">
      <c r="C1510" s="74" t="s">
        <v>18795</v>
      </c>
      <c r="D1510" s="74" t="s">
        <v>148</v>
      </c>
      <c r="E1510" s="74" t="s">
        <v>21338</v>
      </c>
      <c r="F1510" s="74">
        <v>551367</v>
      </c>
      <c r="G1510" s="74">
        <v>1000</v>
      </c>
      <c r="H1510" s="135">
        <v>42983.660393518519</v>
      </c>
      <c r="I1510" s="74" t="s">
        <v>21339</v>
      </c>
      <c r="J1510" s="74" t="s">
        <v>21340</v>
      </c>
      <c r="K1510" s="74" t="s">
        <v>21672</v>
      </c>
      <c r="L1510" s="74">
        <v>816413</v>
      </c>
      <c r="M1510" s="74" t="s">
        <v>21341</v>
      </c>
      <c r="N1510" s="74">
        <v>1</v>
      </c>
      <c r="O1510" s="74" t="s">
        <v>21342</v>
      </c>
      <c r="P1510" s="74" t="s">
        <v>21343</v>
      </c>
      <c r="Q1510" s="74">
        <v>0</v>
      </c>
      <c r="R1510" s="74" t="s">
        <v>148</v>
      </c>
      <c r="S1510" s="74" t="s">
        <v>21338</v>
      </c>
      <c r="T1510" s="74" t="s">
        <v>402</v>
      </c>
      <c r="U1510" s="74">
        <v>0</v>
      </c>
      <c r="V1510" s="74">
        <v>0</v>
      </c>
    </row>
    <row r="1511" spans="3:22" x14ac:dyDescent="0.25">
      <c r="C1511" s="74" t="s">
        <v>18795</v>
      </c>
      <c r="D1511" s="74" t="s">
        <v>148</v>
      </c>
      <c r="E1511" s="74" t="s">
        <v>21338</v>
      </c>
      <c r="F1511" s="74">
        <v>551367</v>
      </c>
      <c r="G1511" s="74">
        <v>1000</v>
      </c>
      <c r="H1511" s="135">
        <v>42983.645462962966</v>
      </c>
      <c r="I1511" s="74" t="s">
        <v>21339</v>
      </c>
      <c r="J1511" s="74" t="s">
        <v>21340</v>
      </c>
      <c r="K1511" s="74" t="s">
        <v>7004</v>
      </c>
      <c r="L1511" s="74">
        <v>551700</v>
      </c>
      <c r="M1511" s="74" t="s">
        <v>21341</v>
      </c>
      <c r="N1511" s="74">
        <v>1</v>
      </c>
      <c r="O1511" s="74" t="s">
        <v>21342</v>
      </c>
      <c r="P1511" s="74" t="s">
        <v>21343</v>
      </c>
      <c r="Q1511" s="74">
        <v>0</v>
      </c>
      <c r="R1511" s="74" t="s">
        <v>148</v>
      </c>
      <c r="S1511" s="74" t="s">
        <v>21338</v>
      </c>
      <c r="T1511" s="74" t="s">
        <v>402</v>
      </c>
      <c r="U1511" s="74">
        <v>0</v>
      </c>
      <c r="V1511" s="74">
        <v>0</v>
      </c>
    </row>
    <row r="1512" spans="3:22" x14ac:dyDescent="0.25">
      <c r="C1512" s="74" t="s">
        <v>18795</v>
      </c>
      <c r="D1512" s="74" t="s">
        <v>148</v>
      </c>
      <c r="E1512" s="74" t="s">
        <v>21338</v>
      </c>
      <c r="F1512" s="74">
        <v>551367</v>
      </c>
      <c r="G1512" s="74">
        <v>1000</v>
      </c>
      <c r="H1512" s="135">
        <v>42983.640787037039</v>
      </c>
      <c r="I1512" s="74" t="s">
        <v>21339</v>
      </c>
      <c r="J1512" s="74" t="s">
        <v>21340</v>
      </c>
      <c r="K1512" s="74" t="s">
        <v>5277</v>
      </c>
      <c r="L1512" s="74">
        <v>552307</v>
      </c>
      <c r="M1512" s="74" t="s">
        <v>21341</v>
      </c>
      <c r="N1512" s="74">
        <v>1</v>
      </c>
      <c r="O1512" s="74" t="s">
        <v>21342</v>
      </c>
      <c r="P1512" s="74" t="s">
        <v>21343</v>
      </c>
      <c r="Q1512" s="74">
        <v>0</v>
      </c>
      <c r="R1512" s="74" t="s">
        <v>148</v>
      </c>
      <c r="S1512" s="74" t="s">
        <v>21338</v>
      </c>
      <c r="T1512" s="74" t="s">
        <v>402</v>
      </c>
      <c r="U1512" s="74">
        <v>0</v>
      </c>
      <c r="V1512" s="74">
        <v>0</v>
      </c>
    </row>
    <row r="1513" spans="3:22" x14ac:dyDescent="0.25">
      <c r="C1513" s="74" t="s">
        <v>18795</v>
      </c>
      <c r="D1513" s="74" t="s">
        <v>148</v>
      </c>
      <c r="E1513" s="74" t="s">
        <v>21338</v>
      </c>
      <c r="F1513" s="74">
        <v>551367</v>
      </c>
      <c r="G1513" s="74">
        <v>1000</v>
      </c>
      <c r="H1513" s="135">
        <v>42983.62777777778</v>
      </c>
      <c r="I1513" s="74" t="s">
        <v>21339</v>
      </c>
      <c r="J1513" s="74" t="s">
        <v>21340</v>
      </c>
      <c r="K1513" s="74" t="s">
        <v>7653</v>
      </c>
      <c r="L1513" s="74">
        <v>552617</v>
      </c>
      <c r="M1513" s="74" t="s">
        <v>21341</v>
      </c>
      <c r="N1513" s="74">
        <v>1</v>
      </c>
      <c r="O1513" s="74" t="s">
        <v>21342</v>
      </c>
      <c r="P1513" s="74" t="s">
        <v>21343</v>
      </c>
      <c r="Q1513" s="74">
        <v>0</v>
      </c>
      <c r="R1513" s="74" t="s">
        <v>148</v>
      </c>
      <c r="S1513" s="74" t="s">
        <v>21338</v>
      </c>
      <c r="T1513" s="74" t="s">
        <v>402</v>
      </c>
      <c r="U1513" s="74">
        <v>0</v>
      </c>
      <c r="V1513" s="74">
        <v>0</v>
      </c>
    </row>
    <row r="1514" spans="3:22" x14ac:dyDescent="0.25">
      <c r="C1514" s="74" t="s">
        <v>18795</v>
      </c>
      <c r="D1514" s="74" t="s">
        <v>148</v>
      </c>
      <c r="E1514" s="74" t="s">
        <v>21338</v>
      </c>
      <c r="F1514" s="74">
        <v>551367</v>
      </c>
      <c r="G1514" s="74">
        <v>1000</v>
      </c>
      <c r="H1514" s="135">
        <v>42983.607523148145</v>
      </c>
      <c r="I1514" s="74" t="s">
        <v>21339</v>
      </c>
      <c r="J1514" s="74" t="s">
        <v>21340</v>
      </c>
      <c r="K1514" s="74" t="s">
        <v>9269</v>
      </c>
      <c r="L1514" s="74">
        <v>551706</v>
      </c>
      <c r="M1514" s="74" t="s">
        <v>21341</v>
      </c>
      <c r="N1514" s="74">
        <v>1</v>
      </c>
      <c r="O1514" s="74" t="s">
        <v>21342</v>
      </c>
      <c r="P1514" s="74" t="s">
        <v>21343</v>
      </c>
      <c r="Q1514" s="74">
        <v>0</v>
      </c>
      <c r="R1514" s="74" t="s">
        <v>148</v>
      </c>
      <c r="S1514" s="74" t="s">
        <v>21338</v>
      </c>
      <c r="T1514" s="74" t="s">
        <v>402</v>
      </c>
      <c r="U1514" s="74">
        <v>0</v>
      </c>
      <c r="V1514" s="74">
        <v>0</v>
      </c>
    </row>
    <row r="1515" spans="3:22" x14ac:dyDescent="0.25">
      <c r="C1515" s="74" t="s">
        <v>21386</v>
      </c>
      <c r="D1515" s="74" t="s">
        <v>148</v>
      </c>
      <c r="E1515" s="74" t="s">
        <v>21338</v>
      </c>
      <c r="F1515" s="74">
        <v>674396</v>
      </c>
      <c r="G1515" s="74">
        <v>3</v>
      </c>
      <c r="H1515" s="135">
        <v>42983.598877314813</v>
      </c>
      <c r="I1515" s="74" t="s">
        <v>21339</v>
      </c>
      <c r="J1515" s="74" t="s">
        <v>21364</v>
      </c>
      <c r="K1515" s="74" t="s">
        <v>1813</v>
      </c>
      <c r="L1515" s="74">
        <v>905872</v>
      </c>
      <c r="M1515" s="74" t="s">
        <v>21341</v>
      </c>
      <c r="N1515" s="74">
        <v>1</v>
      </c>
      <c r="O1515" s="74" t="s">
        <v>21342</v>
      </c>
      <c r="P1515" s="74" t="s">
        <v>21343</v>
      </c>
      <c r="Q1515" s="74">
        <v>0</v>
      </c>
      <c r="R1515" s="74" t="s">
        <v>148</v>
      </c>
      <c r="S1515" s="74" t="s">
        <v>21338</v>
      </c>
      <c r="T1515" s="74" t="s">
        <v>402</v>
      </c>
      <c r="U1515" s="74">
        <v>0</v>
      </c>
      <c r="V1515" s="74">
        <v>0</v>
      </c>
    </row>
    <row r="1516" spans="3:22" x14ac:dyDescent="0.25">
      <c r="C1516" s="74" t="s">
        <v>21386</v>
      </c>
      <c r="D1516" s="74" t="s">
        <v>148</v>
      </c>
      <c r="E1516" s="74" t="s">
        <v>21338</v>
      </c>
      <c r="F1516" s="74">
        <v>674396</v>
      </c>
      <c r="G1516" s="74">
        <v>3</v>
      </c>
      <c r="H1516" s="135">
        <v>42983.598865740743</v>
      </c>
      <c r="I1516" s="74" t="s">
        <v>21398</v>
      </c>
      <c r="J1516" s="74" t="s">
        <v>21366</v>
      </c>
      <c r="K1516" s="74" t="s">
        <v>21403</v>
      </c>
      <c r="L1516" s="74">
        <v>561483</v>
      </c>
      <c r="M1516" s="74" t="s">
        <v>21368</v>
      </c>
      <c r="N1516" s="74">
        <v>1</v>
      </c>
      <c r="O1516" s="74" t="s">
        <v>21369</v>
      </c>
      <c r="P1516" s="74" t="s">
        <v>21343</v>
      </c>
      <c r="Q1516" s="74" t="s">
        <v>21673</v>
      </c>
      <c r="R1516" s="74" t="s">
        <v>148</v>
      </c>
      <c r="S1516" s="74" t="s">
        <v>21338</v>
      </c>
      <c r="T1516" s="74" t="s">
        <v>21371</v>
      </c>
      <c r="U1516" s="74">
        <v>0</v>
      </c>
      <c r="V1516" s="74">
        <v>0</v>
      </c>
    </row>
    <row r="1517" spans="3:22" x14ac:dyDescent="0.25">
      <c r="C1517" s="74" t="s">
        <v>21386</v>
      </c>
      <c r="D1517" s="74" t="s">
        <v>148</v>
      </c>
      <c r="E1517" s="74" t="s">
        <v>21338</v>
      </c>
      <c r="F1517" s="74">
        <v>674396</v>
      </c>
      <c r="G1517" s="74">
        <v>3</v>
      </c>
      <c r="H1517" s="135">
        <v>42983.598634259259</v>
      </c>
      <c r="I1517" s="74" t="s">
        <v>21339</v>
      </c>
      <c r="J1517" s="74" t="s">
        <v>21364</v>
      </c>
      <c r="K1517" s="74" t="s">
        <v>1813</v>
      </c>
      <c r="L1517" s="74">
        <v>905872</v>
      </c>
      <c r="M1517" s="74" t="s">
        <v>21341</v>
      </c>
      <c r="N1517" s="74">
        <v>1</v>
      </c>
      <c r="O1517" s="74" t="s">
        <v>21342</v>
      </c>
      <c r="P1517" s="74" t="s">
        <v>21343</v>
      </c>
      <c r="Q1517" s="74">
        <v>0</v>
      </c>
      <c r="R1517" s="74" t="s">
        <v>148</v>
      </c>
      <c r="S1517" s="74" t="s">
        <v>21338</v>
      </c>
      <c r="T1517" s="74" t="s">
        <v>402</v>
      </c>
      <c r="U1517" s="74">
        <v>0</v>
      </c>
      <c r="V1517" s="74">
        <v>0</v>
      </c>
    </row>
    <row r="1518" spans="3:22" x14ac:dyDescent="0.25">
      <c r="C1518" s="74" t="s">
        <v>21386</v>
      </c>
      <c r="D1518" s="74" t="s">
        <v>148</v>
      </c>
      <c r="E1518" s="74" t="s">
        <v>21338</v>
      </c>
      <c r="F1518" s="74">
        <v>674396</v>
      </c>
      <c r="G1518" s="74">
        <v>3</v>
      </c>
      <c r="H1518" s="135">
        <v>42983.598495370374</v>
      </c>
      <c r="I1518" s="74" t="s">
        <v>21339</v>
      </c>
      <c r="J1518" s="74" t="s">
        <v>21364</v>
      </c>
      <c r="K1518" s="74" t="s">
        <v>1813</v>
      </c>
      <c r="L1518" s="74">
        <v>905872</v>
      </c>
      <c r="M1518" s="74" t="s">
        <v>21341</v>
      </c>
      <c r="N1518" s="74">
        <v>1</v>
      </c>
      <c r="O1518" s="74" t="s">
        <v>21342</v>
      </c>
      <c r="P1518" s="74" t="s">
        <v>21343</v>
      </c>
      <c r="Q1518" s="74">
        <v>0</v>
      </c>
      <c r="R1518" s="74" t="s">
        <v>148</v>
      </c>
      <c r="S1518" s="74" t="s">
        <v>21338</v>
      </c>
      <c r="T1518" s="74" t="s">
        <v>402</v>
      </c>
      <c r="U1518" s="74">
        <v>0</v>
      </c>
      <c r="V1518" s="74">
        <v>0</v>
      </c>
    </row>
    <row r="1519" spans="3:22" x14ac:dyDescent="0.25">
      <c r="C1519" s="74" t="s">
        <v>18795</v>
      </c>
      <c r="D1519" s="74" t="s">
        <v>148</v>
      </c>
      <c r="E1519" s="74" t="s">
        <v>21338</v>
      </c>
      <c r="F1519" s="74">
        <v>551367</v>
      </c>
      <c r="G1519" s="74">
        <v>1000</v>
      </c>
      <c r="H1519" s="135">
        <v>42983.583182870374</v>
      </c>
      <c r="I1519" s="74" t="s">
        <v>21339</v>
      </c>
      <c r="J1519" s="74" t="s">
        <v>21340</v>
      </c>
      <c r="K1519" s="74" t="s">
        <v>4007</v>
      </c>
      <c r="L1519" s="74">
        <v>552159</v>
      </c>
      <c r="M1519" s="74" t="s">
        <v>21341</v>
      </c>
      <c r="N1519" s="74">
        <v>1</v>
      </c>
      <c r="O1519" s="74" t="s">
        <v>21342</v>
      </c>
      <c r="P1519" s="74" t="s">
        <v>21343</v>
      </c>
      <c r="Q1519" s="74">
        <v>0</v>
      </c>
      <c r="R1519" s="74" t="s">
        <v>148</v>
      </c>
      <c r="S1519" s="74" t="s">
        <v>21338</v>
      </c>
      <c r="T1519" s="74" t="s">
        <v>402</v>
      </c>
      <c r="U1519" s="74">
        <v>0</v>
      </c>
      <c r="V1519" s="74">
        <v>0</v>
      </c>
    </row>
    <row r="1520" spans="3:22" x14ac:dyDescent="0.25">
      <c r="C1520" s="74" t="s">
        <v>18795</v>
      </c>
      <c r="D1520" s="74" t="s">
        <v>148</v>
      </c>
      <c r="E1520" s="74" t="s">
        <v>21338</v>
      </c>
      <c r="F1520" s="74">
        <v>551367</v>
      </c>
      <c r="G1520" s="74">
        <v>1000</v>
      </c>
      <c r="H1520" s="135">
        <v>42983.582372685189</v>
      </c>
      <c r="I1520" s="74" t="s">
        <v>21339</v>
      </c>
      <c r="J1520" s="74" t="s">
        <v>21340</v>
      </c>
      <c r="K1520" s="74" t="s">
        <v>7731</v>
      </c>
      <c r="L1520" s="74">
        <v>552630</v>
      </c>
      <c r="M1520" s="74" t="s">
        <v>21341</v>
      </c>
      <c r="N1520" s="74">
        <v>1</v>
      </c>
      <c r="O1520" s="74" t="s">
        <v>21342</v>
      </c>
      <c r="P1520" s="74" t="s">
        <v>21343</v>
      </c>
      <c r="Q1520" s="74">
        <v>0</v>
      </c>
      <c r="R1520" s="74" t="s">
        <v>148</v>
      </c>
      <c r="S1520" s="74" t="s">
        <v>21338</v>
      </c>
      <c r="T1520" s="74" t="s">
        <v>402</v>
      </c>
      <c r="U1520" s="74">
        <v>0</v>
      </c>
      <c r="V1520" s="74">
        <v>0</v>
      </c>
    </row>
    <row r="1521" spans="3:22" x14ac:dyDescent="0.25">
      <c r="C1521" s="74" t="s">
        <v>21390</v>
      </c>
      <c r="D1521" s="74" t="s">
        <v>148</v>
      </c>
      <c r="E1521" s="74" t="s">
        <v>21338</v>
      </c>
      <c r="F1521" s="74">
        <v>560864</v>
      </c>
      <c r="G1521" s="74">
        <v>3</v>
      </c>
      <c r="H1521" s="135">
        <v>42983.580196759256</v>
      </c>
      <c r="I1521" s="74" t="s">
        <v>21339</v>
      </c>
      <c r="J1521" s="74" t="s">
        <v>21356</v>
      </c>
      <c r="K1521" s="74" t="s">
        <v>21674</v>
      </c>
      <c r="L1521" s="74">
        <v>906734</v>
      </c>
      <c r="M1521" s="74" t="s">
        <v>21341</v>
      </c>
      <c r="N1521" s="74">
        <v>1</v>
      </c>
      <c r="O1521" s="74" t="s">
        <v>21342</v>
      </c>
      <c r="P1521" s="74" t="s">
        <v>21343</v>
      </c>
      <c r="Q1521" s="74" t="s">
        <v>21395</v>
      </c>
      <c r="R1521" s="74" t="s">
        <v>148</v>
      </c>
      <c r="S1521" s="74" t="s">
        <v>21338</v>
      </c>
      <c r="T1521" s="74" t="s">
        <v>402</v>
      </c>
      <c r="U1521" s="74">
        <v>0</v>
      </c>
      <c r="V1521" s="74">
        <v>0</v>
      </c>
    </row>
    <row r="1522" spans="3:22" x14ac:dyDescent="0.25">
      <c r="C1522" s="74" t="s">
        <v>18795</v>
      </c>
      <c r="D1522" s="74" t="s">
        <v>148</v>
      </c>
      <c r="E1522" s="74" t="s">
        <v>21338</v>
      </c>
      <c r="F1522" s="74">
        <v>551367</v>
      </c>
      <c r="G1522" s="74">
        <v>1000</v>
      </c>
      <c r="H1522" s="135">
        <v>42983.571585648147</v>
      </c>
      <c r="I1522" s="74" t="s">
        <v>21339</v>
      </c>
      <c r="J1522" s="74" t="s">
        <v>21340</v>
      </c>
      <c r="K1522" s="74" t="s">
        <v>21648</v>
      </c>
      <c r="L1522" s="74">
        <v>906038</v>
      </c>
      <c r="M1522" s="74" t="s">
        <v>21341</v>
      </c>
      <c r="N1522" s="74">
        <v>1</v>
      </c>
      <c r="O1522" s="74" t="s">
        <v>21342</v>
      </c>
      <c r="P1522" s="74" t="s">
        <v>21343</v>
      </c>
      <c r="Q1522" s="74">
        <v>0</v>
      </c>
      <c r="R1522" s="74" t="s">
        <v>148</v>
      </c>
      <c r="S1522" s="74" t="s">
        <v>21338</v>
      </c>
      <c r="T1522" s="74" t="s">
        <v>402</v>
      </c>
      <c r="U1522" s="74">
        <v>0</v>
      </c>
      <c r="V1522" s="74">
        <v>0</v>
      </c>
    </row>
    <row r="1523" spans="3:22" x14ac:dyDescent="0.25">
      <c r="C1523" s="74" t="s">
        <v>18795</v>
      </c>
      <c r="D1523" s="74" t="s">
        <v>148</v>
      </c>
      <c r="E1523" s="74" t="s">
        <v>21338</v>
      </c>
      <c r="F1523" s="74">
        <v>551367</v>
      </c>
      <c r="G1523" s="74">
        <v>1000</v>
      </c>
      <c r="H1523" s="135">
        <v>42983.564155092594</v>
      </c>
      <c r="I1523" s="74" t="s">
        <v>21339</v>
      </c>
      <c r="J1523" s="74" t="s">
        <v>21340</v>
      </c>
      <c r="K1523" s="74" t="s">
        <v>17105</v>
      </c>
      <c r="L1523" s="74">
        <v>553817</v>
      </c>
      <c r="M1523" s="74" t="s">
        <v>21341</v>
      </c>
      <c r="N1523" s="74">
        <v>1</v>
      </c>
      <c r="O1523" s="74" t="s">
        <v>21342</v>
      </c>
      <c r="P1523" s="74" t="s">
        <v>21343</v>
      </c>
      <c r="Q1523" s="74">
        <v>0</v>
      </c>
      <c r="R1523" s="74" t="s">
        <v>148</v>
      </c>
      <c r="S1523" s="74" t="s">
        <v>21338</v>
      </c>
      <c r="T1523" s="74" t="s">
        <v>402</v>
      </c>
      <c r="U1523" s="74">
        <v>0</v>
      </c>
      <c r="V1523" s="74">
        <v>0</v>
      </c>
    </row>
    <row r="1524" spans="3:22" x14ac:dyDescent="0.25">
      <c r="C1524" s="74" t="s">
        <v>18795</v>
      </c>
      <c r="D1524" s="74" t="s">
        <v>148</v>
      </c>
      <c r="E1524" s="74" t="s">
        <v>21338</v>
      </c>
      <c r="F1524" s="74">
        <v>551367</v>
      </c>
      <c r="G1524" s="74">
        <v>1000</v>
      </c>
      <c r="H1524" s="135">
        <v>42983.557291666664</v>
      </c>
      <c r="I1524" s="74" t="s">
        <v>21339</v>
      </c>
      <c r="J1524" s="74" t="s">
        <v>21340</v>
      </c>
      <c r="K1524" s="74" t="s">
        <v>13933</v>
      </c>
      <c r="L1524" s="74">
        <v>553430</v>
      </c>
      <c r="M1524" s="74" t="s">
        <v>21341</v>
      </c>
      <c r="N1524" s="74">
        <v>1</v>
      </c>
      <c r="O1524" s="74" t="s">
        <v>21342</v>
      </c>
      <c r="P1524" s="74" t="s">
        <v>21343</v>
      </c>
      <c r="Q1524" s="74">
        <v>0</v>
      </c>
      <c r="R1524" s="74" t="s">
        <v>148</v>
      </c>
      <c r="S1524" s="74" t="s">
        <v>21338</v>
      </c>
      <c r="T1524" s="74" t="s">
        <v>402</v>
      </c>
      <c r="U1524" s="74">
        <v>0</v>
      </c>
      <c r="V1524" s="74">
        <v>0</v>
      </c>
    </row>
    <row r="1525" spans="3:22" x14ac:dyDescent="0.25">
      <c r="C1525" s="74" t="s">
        <v>18795</v>
      </c>
      <c r="D1525" s="74" t="s">
        <v>148</v>
      </c>
      <c r="E1525" s="74" t="s">
        <v>21338</v>
      </c>
      <c r="F1525" s="74">
        <v>551367</v>
      </c>
      <c r="G1525" s="74">
        <v>1000</v>
      </c>
      <c r="H1525" s="135">
        <v>42983.556504629632</v>
      </c>
      <c r="I1525" s="74" t="s">
        <v>21339</v>
      </c>
      <c r="J1525" s="74" t="s">
        <v>21340</v>
      </c>
      <c r="K1525" s="74" t="s">
        <v>21675</v>
      </c>
      <c r="L1525" s="74">
        <v>906748</v>
      </c>
      <c r="M1525" s="74" t="s">
        <v>21341</v>
      </c>
      <c r="N1525" s="74">
        <v>1</v>
      </c>
      <c r="O1525" s="74" t="s">
        <v>21342</v>
      </c>
      <c r="P1525" s="74" t="s">
        <v>21343</v>
      </c>
      <c r="Q1525" s="74">
        <v>0</v>
      </c>
      <c r="R1525" s="74" t="s">
        <v>148</v>
      </c>
      <c r="S1525" s="74" t="s">
        <v>21338</v>
      </c>
      <c r="T1525" s="74" t="s">
        <v>402</v>
      </c>
      <c r="U1525" s="74">
        <v>0</v>
      </c>
      <c r="V1525" s="74">
        <v>0</v>
      </c>
    </row>
    <row r="1526" spans="3:22" x14ac:dyDescent="0.25">
      <c r="C1526" s="74" t="s">
        <v>18795</v>
      </c>
      <c r="D1526" s="74" t="s">
        <v>148</v>
      </c>
      <c r="E1526" s="74" t="s">
        <v>21338</v>
      </c>
      <c r="F1526" s="74">
        <v>551367</v>
      </c>
      <c r="G1526" s="74">
        <v>1000</v>
      </c>
      <c r="H1526" s="135">
        <v>42983.553206018521</v>
      </c>
      <c r="I1526" s="74" t="s">
        <v>21339</v>
      </c>
      <c r="J1526" s="74" t="s">
        <v>21340</v>
      </c>
      <c r="K1526" s="74" t="s">
        <v>4613</v>
      </c>
      <c r="L1526" s="74">
        <v>552325</v>
      </c>
      <c r="M1526" s="74" t="s">
        <v>21341</v>
      </c>
      <c r="N1526" s="74">
        <v>1</v>
      </c>
      <c r="O1526" s="74" t="s">
        <v>21342</v>
      </c>
      <c r="P1526" s="74" t="s">
        <v>21343</v>
      </c>
      <c r="Q1526" s="74">
        <v>0</v>
      </c>
      <c r="R1526" s="74" t="s">
        <v>148</v>
      </c>
      <c r="S1526" s="74" t="s">
        <v>21338</v>
      </c>
      <c r="T1526" s="74" t="s">
        <v>402</v>
      </c>
      <c r="U1526" s="74">
        <v>0</v>
      </c>
      <c r="V1526" s="74">
        <v>0</v>
      </c>
    </row>
    <row r="1527" spans="3:22" x14ac:dyDescent="0.25">
      <c r="C1527" s="74" t="s">
        <v>18795</v>
      </c>
      <c r="D1527" s="74" t="s">
        <v>148</v>
      </c>
      <c r="E1527" s="74" t="s">
        <v>21338</v>
      </c>
      <c r="F1527" s="74">
        <v>551367</v>
      </c>
      <c r="G1527" s="74">
        <v>1000</v>
      </c>
      <c r="H1527" s="135">
        <v>42983.547743055555</v>
      </c>
      <c r="I1527" s="74" t="s">
        <v>21339</v>
      </c>
      <c r="J1527" s="74" t="s">
        <v>21340</v>
      </c>
      <c r="K1527" s="74" t="s">
        <v>21674</v>
      </c>
      <c r="L1527" s="74">
        <v>906734</v>
      </c>
      <c r="M1527" s="74" t="s">
        <v>21341</v>
      </c>
      <c r="N1527" s="74">
        <v>1</v>
      </c>
      <c r="O1527" s="74" t="s">
        <v>21342</v>
      </c>
      <c r="P1527" s="74" t="s">
        <v>21343</v>
      </c>
      <c r="Q1527" s="74">
        <v>0</v>
      </c>
      <c r="R1527" s="74" t="s">
        <v>148</v>
      </c>
      <c r="S1527" s="74" t="s">
        <v>21338</v>
      </c>
      <c r="T1527" s="74" t="s">
        <v>402</v>
      </c>
      <c r="U1527" s="74">
        <v>0</v>
      </c>
      <c r="V1527" s="74">
        <v>0</v>
      </c>
    </row>
    <row r="1528" spans="3:22" x14ac:dyDescent="0.25">
      <c r="C1528" s="74" t="s">
        <v>18795</v>
      </c>
      <c r="D1528" s="74" t="s">
        <v>148</v>
      </c>
      <c r="E1528" s="74" t="s">
        <v>21338</v>
      </c>
      <c r="F1528" s="74">
        <v>551367</v>
      </c>
      <c r="G1528" s="74">
        <v>1000</v>
      </c>
      <c r="H1528" s="135">
        <v>42983.547581018516</v>
      </c>
      <c r="I1528" s="74" t="s">
        <v>21339</v>
      </c>
      <c r="J1528" s="74" t="s">
        <v>21340</v>
      </c>
      <c r="K1528" s="74" t="s">
        <v>927</v>
      </c>
      <c r="L1528" s="74">
        <v>551771</v>
      </c>
      <c r="M1528" s="74" t="s">
        <v>21341</v>
      </c>
      <c r="N1528" s="74">
        <v>1</v>
      </c>
      <c r="O1528" s="74" t="s">
        <v>21342</v>
      </c>
      <c r="P1528" s="74" t="s">
        <v>21343</v>
      </c>
      <c r="Q1528" s="74">
        <v>0</v>
      </c>
      <c r="R1528" s="74" t="s">
        <v>148</v>
      </c>
      <c r="S1528" s="74" t="s">
        <v>21338</v>
      </c>
      <c r="T1528" s="74" t="s">
        <v>402</v>
      </c>
      <c r="U1528" s="74">
        <v>0</v>
      </c>
      <c r="V1528" s="74">
        <v>0</v>
      </c>
    </row>
    <row r="1529" spans="3:22" x14ac:dyDescent="0.25">
      <c r="C1529" s="74" t="s">
        <v>18795</v>
      </c>
      <c r="D1529" s="74" t="s">
        <v>148</v>
      </c>
      <c r="E1529" s="74" t="s">
        <v>21338</v>
      </c>
      <c r="F1529" s="74">
        <v>551367</v>
      </c>
      <c r="G1529" s="74">
        <v>1000</v>
      </c>
      <c r="H1529" s="135">
        <v>42983.546157407407</v>
      </c>
      <c r="I1529" s="74" t="s">
        <v>21339</v>
      </c>
      <c r="J1529" s="74" t="s">
        <v>21340</v>
      </c>
      <c r="K1529" s="74" t="s">
        <v>11818</v>
      </c>
      <c r="L1529" s="74">
        <v>553148</v>
      </c>
      <c r="M1529" s="74" t="s">
        <v>21341</v>
      </c>
      <c r="N1529" s="74">
        <v>1</v>
      </c>
      <c r="O1529" s="74" t="s">
        <v>21342</v>
      </c>
      <c r="P1529" s="74" t="s">
        <v>21343</v>
      </c>
      <c r="Q1529" s="74">
        <v>0</v>
      </c>
      <c r="R1529" s="74" t="s">
        <v>148</v>
      </c>
      <c r="S1529" s="74" t="s">
        <v>21338</v>
      </c>
      <c r="T1529" s="74" t="s">
        <v>402</v>
      </c>
      <c r="U1529" s="74">
        <v>0</v>
      </c>
      <c r="V1529" s="74">
        <v>0</v>
      </c>
    </row>
    <row r="1530" spans="3:22" x14ac:dyDescent="0.25">
      <c r="C1530" s="74" t="s">
        <v>21390</v>
      </c>
      <c r="D1530" s="74" t="s">
        <v>148</v>
      </c>
      <c r="E1530" s="74" t="s">
        <v>21338</v>
      </c>
      <c r="F1530" s="74">
        <v>560864</v>
      </c>
      <c r="G1530" s="74">
        <v>3</v>
      </c>
      <c r="H1530" s="135">
        <v>42983.537569444445</v>
      </c>
      <c r="I1530" s="74" t="s">
        <v>21354</v>
      </c>
      <c r="J1530" s="74" t="s">
        <v>21355</v>
      </c>
      <c r="K1530" s="74" t="s">
        <v>1644</v>
      </c>
      <c r="L1530" s="74">
        <v>551861</v>
      </c>
      <c r="M1530" s="74" t="s">
        <v>21341</v>
      </c>
      <c r="N1530" s="74">
        <v>1</v>
      </c>
      <c r="O1530" s="74" t="s">
        <v>21342</v>
      </c>
      <c r="P1530" s="74" t="s">
        <v>21345</v>
      </c>
      <c r="R1530" s="74" t="s">
        <v>148</v>
      </c>
      <c r="S1530" s="74" t="s">
        <v>21338</v>
      </c>
      <c r="T1530" s="74" t="s">
        <v>402</v>
      </c>
      <c r="U1530" s="74">
        <v>0</v>
      </c>
      <c r="V1530" s="74">
        <v>0</v>
      </c>
    </row>
    <row r="1531" spans="3:22" x14ac:dyDescent="0.25">
      <c r="C1531" s="74" t="s">
        <v>21347</v>
      </c>
      <c r="D1531" s="74" t="s">
        <v>148</v>
      </c>
      <c r="E1531" s="74" t="s">
        <v>21338</v>
      </c>
      <c r="F1531" s="74">
        <v>637976</v>
      </c>
      <c r="G1531" s="74">
        <v>1</v>
      </c>
      <c r="H1531" s="135">
        <v>42983.536087962966</v>
      </c>
      <c r="I1531" s="74" t="s">
        <v>21348</v>
      </c>
      <c r="J1531" s="74" t="s">
        <v>21349</v>
      </c>
      <c r="K1531" s="74" t="s">
        <v>21347</v>
      </c>
      <c r="L1531" s="74">
        <v>637976</v>
      </c>
      <c r="M1531" s="74" t="s">
        <v>21341</v>
      </c>
      <c r="N1531" s="74">
        <v>0</v>
      </c>
      <c r="O1531" s="74" t="s">
        <v>21350</v>
      </c>
      <c r="P1531" s="74" t="s">
        <v>21343</v>
      </c>
      <c r="Q1531" s="74">
        <v>0</v>
      </c>
      <c r="R1531" s="74" t="s">
        <v>148</v>
      </c>
      <c r="S1531" s="74" t="s">
        <v>21338</v>
      </c>
      <c r="T1531" s="74" t="s">
        <v>402</v>
      </c>
      <c r="U1531" s="74">
        <v>0</v>
      </c>
      <c r="V1531" s="74">
        <v>0</v>
      </c>
    </row>
    <row r="1532" spans="3:22" x14ac:dyDescent="0.25">
      <c r="C1532" s="74" t="s">
        <v>21347</v>
      </c>
      <c r="D1532" s="74" t="s">
        <v>148</v>
      </c>
      <c r="E1532" s="74" t="s">
        <v>21338</v>
      </c>
      <c r="F1532" s="74">
        <v>637976</v>
      </c>
      <c r="G1532" s="74">
        <v>1</v>
      </c>
      <c r="H1532" s="135">
        <v>42983.536087962966</v>
      </c>
      <c r="I1532" s="74" t="s">
        <v>244</v>
      </c>
      <c r="J1532" s="74" t="s">
        <v>21349</v>
      </c>
      <c r="K1532" s="74" t="s">
        <v>21347</v>
      </c>
      <c r="L1532" s="74">
        <v>637976</v>
      </c>
      <c r="M1532" s="74" t="s">
        <v>21341</v>
      </c>
      <c r="N1532" s="74">
        <v>0</v>
      </c>
      <c r="O1532" s="74" t="s">
        <v>21350</v>
      </c>
      <c r="P1532" s="74" t="s">
        <v>21343</v>
      </c>
      <c r="Q1532" s="74">
        <v>0</v>
      </c>
      <c r="R1532" s="74" t="s">
        <v>148</v>
      </c>
      <c r="S1532" s="74" t="s">
        <v>21338</v>
      </c>
      <c r="T1532" s="74" t="s">
        <v>402</v>
      </c>
      <c r="U1532" s="74">
        <v>0</v>
      </c>
      <c r="V1532" s="74">
        <v>0</v>
      </c>
    </row>
    <row r="1533" spans="3:22" x14ac:dyDescent="0.25">
      <c r="C1533" s="74" t="s">
        <v>18795</v>
      </c>
      <c r="D1533" s="74" t="s">
        <v>148</v>
      </c>
      <c r="E1533" s="74" t="s">
        <v>21338</v>
      </c>
      <c r="F1533" s="74">
        <v>551367</v>
      </c>
      <c r="G1533" s="74">
        <v>1000</v>
      </c>
      <c r="H1533" s="135">
        <v>42983.53162037037</v>
      </c>
      <c r="I1533" s="74" t="s">
        <v>21339</v>
      </c>
      <c r="J1533" s="74" t="s">
        <v>21340</v>
      </c>
      <c r="K1533" s="74" t="s">
        <v>4759</v>
      </c>
      <c r="L1533" s="74">
        <v>552237</v>
      </c>
      <c r="M1533" s="74" t="s">
        <v>21341</v>
      </c>
      <c r="N1533" s="74">
        <v>1</v>
      </c>
      <c r="O1533" s="74" t="s">
        <v>21342</v>
      </c>
      <c r="P1533" s="74" t="s">
        <v>21343</v>
      </c>
      <c r="Q1533" s="74">
        <v>0</v>
      </c>
      <c r="R1533" s="74" t="s">
        <v>148</v>
      </c>
      <c r="S1533" s="74" t="s">
        <v>21338</v>
      </c>
      <c r="T1533" s="74" t="s">
        <v>402</v>
      </c>
      <c r="U1533" s="74">
        <v>0</v>
      </c>
      <c r="V1533" s="74">
        <v>0</v>
      </c>
    </row>
    <row r="1534" spans="3:22" x14ac:dyDescent="0.25">
      <c r="C1534" s="74" t="s">
        <v>18795</v>
      </c>
      <c r="D1534" s="74" t="s">
        <v>148</v>
      </c>
      <c r="E1534" s="74" t="s">
        <v>21338</v>
      </c>
      <c r="F1534" s="74">
        <v>551367</v>
      </c>
      <c r="G1534" s="74">
        <v>1000</v>
      </c>
      <c r="H1534" s="135">
        <v>42983.524201388886</v>
      </c>
      <c r="I1534" s="74" t="s">
        <v>21339</v>
      </c>
      <c r="J1534" s="74" t="s">
        <v>21340</v>
      </c>
      <c r="K1534" s="74" t="s">
        <v>20703</v>
      </c>
      <c r="L1534" s="74">
        <v>551722</v>
      </c>
      <c r="M1534" s="74" t="s">
        <v>21341</v>
      </c>
      <c r="N1534" s="74">
        <v>1</v>
      </c>
      <c r="O1534" s="74" t="s">
        <v>21342</v>
      </c>
      <c r="P1534" s="74" t="s">
        <v>21343</v>
      </c>
      <c r="Q1534" s="74">
        <v>0</v>
      </c>
      <c r="R1534" s="74" t="s">
        <v>148</v>
      </c>
      <c r="S1534" s="74" t="s">
        <v>21338</v>
      </c>
      <c r="T1534" s="74" t="s">
        <v>402</v>
      </c>
      <c r="U1534" s="74">
        <v>0</v>
      </c>
      <c r="V1534" s="74">
        <v>0</v>
      </c>
    </row>
    <row r="1535" spans="3:22" x14ac:dyDescent="0.25">
      <c r="C1535" s="74" t="s">
        <v>18795</v>
      </c>
      <c r="D1535" s="74" t="s">
        <v>148</v>
      </c>
      <c r="E1535" s="74" t="s">
        <v>21338</v>
      </c>
      <c r="F1535" s="74">
        <v>551367</v>
      </c>
      <c r="G1535" s="74">
        <v>1000</v>
      </c>
      <c r="H1535" s="135">
        <v>42983.520972222221</v>
      </c>
      <c r="I1535" s="74" t="s">
        <v>21339</v>
      </c>
      <c r="J1535" s="74" t="s">
        <v>21340</v>
      </c>
      <c r="K1535" s="74" t="s">
        <v>21676</v>
      </c>
      <c r="L1535" s="74">
        <v>812373</v>
      </c>
      <c r="M1535" s="74" t="s">
        <v>21341</v>
      </c>
      <c r="N1535" s="74">
        <v>1</v>
      </c>
      <c r="O1535" s="74" t="s">
        <v>21342</v>
      </c>
      <c r="P1535" s="74" t="s">
        <v>21343</v>
      </c>
      <c r="Q1535" s="74">
        <v>0</v>
      </c>
      <c r="R1535" s="74" t="s">
        <v>148</v>
      </c>
      <c r="S1535" s="74" t="s">
        <v>21338</v>
      </c>
      <c r="T1535" s="74" t="s">
        <v>402</v>
      </c>
      <c r="U1535" s="74">
        <v>0</v>
      </c>
      <c r="V1535" s="74">
        <v>0</v>
      </c>
    </row>
    <row r="1536" spans="3:22" x14ac:dyDescent="0.25">
      <c r="C1536" s="74" t="s">
        <v>18795</v>
      </c>
      <c r="D1536" s="74" t="s">
        <v>148</v>
      </c>
      <c r="E1536" s="74" t="s">
        <v>21338</v>
      </c>
      <c r="F1536" s="74">
        <v>551367</v>
      </c>
      <c r="G1536" s="74">
        <v>1000</v>
      </c>
      <c r="H1536" s="135">
        <v>42983.519293981481</v>
      </c>
      <c r="I1536" s="74" t="s">
        <v>21339</v>
      </c>
      <c r="J1536" s="74" t="s">
        <v>21340</v>
      </c>
      <c r="K1536" s="74" t="s">
        <v>1644</v>
      </c>
      <c r="L1536" s="74">
        <v>551861</v>
      </c>
      <c r="M1536" s="74" t="s">
        <v>21341</v>
      </c>
      <c r="N1536" s="74">
        <v>1</v>
      </c>
      <c r="O1536" s="74" t="s">
        <v>21342</v>
      </c>
      <c r="P1536" s="74" t="s">
        <v>21343</v>
      </c>
      <c r="Q1536" s="74">
        <v>0</v>
      </c>
      <c r="R1536" s="74" t="s">
        <v>148</v>
      </c>
      <c r="S1536" s="74" t="s">
        <v>21338</v>
      </c>
      <c r="T1536" s="74" t="s">
        <v>402</v>
      </c>
      <c r="U1536" s="74">
        <v>0</v>
      </c>
      <c r="V1536" s="74">
        <v>0</v>
      </c>
    </row>
    <row r="1537" spans="3:22" x14ac:dyDescent="0.25">
      <c r="C1537" s="74" t="s">
        <v>2974</v>
      </c>
      <c r="D1537" s="74" t="s">
        <v>148</v>
      </c>
      <c r="E1537" s="74" t="s">
        <v>21338</v>
      </c>
      <c r="F1537" s="74">
        <v>627564</v>
      </c>
      <c r="G1537" s="74">
        <v>3</v>
      </c>
      <c r="H1537" s="135">
        <v>42983.51866898148</v>
      </c>
      <c r="I1537" s="74" t="s">
        <v>21354</v>
      </c>
      <c r="J1537" s="74" t="s">
        <v>21355</v>
      </c>
      <c r="K1537" s="74" t="s">
        <v>21677</v>
      </c>
      <c r="L1537" s="74">
        <v>831700</v>
      </c>
      <c r="M1537" s="74" t="s">
        <v>21341</v>
      </c>
      <c r="N1537" s="74">
        <v>1</v>
      </c>
      <c r="O1537" s="74" t="s">
        <v>21342</v>
      </c>
      <c r="P1537" s="74" t="s">
        <v>21345</v>
      </c>
      <c r="R1537" s="74" t="s">
        <v>148</v>
      </c>
      <c r="S1537" s="74" t="s">
        <v>21338</v>
      </c>
      <c r="T1537" s="74" t="s">
        <v>402</v>
      </c>
      <c r="U1537" s="74">
        <v>0</v>
      </c>
      <c r="V1537" s="74">
        <v>0</v>
      </c>
    </row>
    <row r="1538" spans="3:22" x14ac:dyDescent="0.25">
      <c r="C1538" s="74" t="s">
        <v>735</v>
      </c>
      <c r="D1538" s="74" t="s">
        <v>148</v>
      </c>
      <c r="E1538" s="74" t="s">
        <v>21338</v>
      </c>
      <c r="F1538" s="74">
        <v>570025</v>
      </c>
      <c r="G1538" s="74">
        <v>3</v>
      </c>
      <c r="H1538" s="135">
        <v>42983.515543981484</v>
      </c>
      <c r="I1538" s="74" t="s">
        <v>21339</v>
      </c>
      <c r="J1538" s="74" t="s">
        <v>21362</v>
      </c>
      <c r="K1538" s="74" t="s">
        <v>10573</v>
      </c>
      <c r="L1538" s="74">
        <v>552994</v>
      </c>
      <c r="M1538" s="74" t="s">
        <v>21341</v>
      </c>
      <c r="N1538" s="74">
        <v>1</v>
      </c>
      <c r="O1538" s="74" t="s">
        <v>21342</v>
      </c>
      <c r="P1538" s="74" t="s">
        <v>21343</v>
      </c>
      <c r="Q1538" s="74" t="s">
        <v>21363</v>
      </c>
      <c r="R1538" s="74" t="s">
        <v>148</v>
      </c>
      <c r="S1538" s="74" t="s">
        <v>21338</v>
      </c>
      <c r="T1538" s="74" t="s">
        <v>393</v>
      </c>
      <c r="U1538" s="74">
        <v>0</v>
      </c>
      <c r="V1538" s="74">
        <v>0</v>
      </c>
    </row>
    <row r="1539" spans="3:22" x14ac:dyDescent="0.25">
      <c r="C1539" s="74" t="s">
        <v>735</v>
      </c>
      <c r="D1539" s="74" t="s">
        <v>148</v>
      </c>
      <c r="E1539" s="74" t="s">
        <v>21338</v>
      </c>
      <c r="F1539" s="74">
        <v>570025</v>
      </c>
      <c r="G1539" s="74">
        <v>3</v>
      </c>
      <c r="H1539" s="135">
        <v>42983.515138888892</v>
      </c>
      <c r="I1539" s="74" t="s">
        <v>21339</v>
      </c>
      <c r="J1539" s="74" t="s">
        <v>21364</v>
      </c>
      <c r="K1539" s="74" t="s">
        <v>10573</v>
      </c>
      <c r="L1539" s="74">
        <v>552994</v>
      </c>
      <c r="M1539" s="74" t="s">
        <v>21341</v>
      </c>
      <c r="N1539" s="74">
        <v>1</v>
      </c>
      <c r="O1539" s="74" t="s">
        <v>21342</v>
      </c>
      <c r="P1539" s="74" t="s">
        <v>21343</v>
      </c>
      <c r="Q1539" s="74">
        <v>0</v>
      </c>
      <c r="R1539" s="74" t="s">
        <v>148</v>
      </c>
      <c r="S1539" s="74" t="s">
        <v>21338</v>
      </c>
      <c r="T1539" s="74" t="s">
        <v>402</v>
      </c>
      <c r="U1539" s="74">
        <v>0</v>
      </c>
      <c r="V1539" s="74">
        <v>0</v>
      </c>
    </row>
    <row r="1540" spans="3:22" x14ac:dyDescent="0.25">
      <c r="C1540" s="74" t="s">
        <v>735</v>
      </c>
      <c r="D1540" s="74" t="s">
        <v>148</v>
      </c>
      <c r="E1540" s="74" t="s">
        <v>21338</v>
      </c>
      <c r="F1540" s="74">
        <v>570025</v>
      </c>
      <c r="G1540" s="74">
        <v>3</v>
      </c>
      <c r="H1540" s="135">
        <v>42983.515127314815</v>
      </c>
      <c r="I1540" s="74" t="s">
        <v>21365</v>
      </c>
      <c r="J1540" s="74" t="s">
        <v>21366</v>
      </c>
      <c r="K1540" s="74" t="s">
        <v>21678</v>
      </c>
      <c r="L1540" s="74">
        <v>555676</v>
      </c>
      <c r="M1540" s="74" t="s">
        <v>21368</v>
      </c>
      <c r="N1540" s="74">
        <v>1</v>
      </c>
      <c r="O1540" s="74" t="s">
        <v>21369</v>
      </c>
      <c r="P1540" s="74" t="s">
        <v>21343</v>
      </c>
      <c r="Q1540" s="74" t="s">
        <v>21679</v>
      </c>
      <c r="R1540" s="74" t="s">
        <v>148</v>
      </c>
      <c r="S1540" s="74" t="s">
        <v>21338</v>
      </c>
      <c r="T1540" s="74" t="s">
        <v>21371</v>
      </c>
      <c r="U1540" s="74">
        <v>0</v>
      </c>
      <c r="V1540" s="74">
        <v>0</v>
      </c>
    </row>
    <row r="1541" spans="3:22" x14ac:dyDescent="0.25">
      <c r="C1541" s="74" t="s">
        <v>735</v>
      </c>
      <c r="D1541" s="74" t="s">
        <v>148</v>
      </c>
      <c r="E1541" s="74" t="s">
        <v>21338</v>
      </c>
      <c r="F1541" s="74">
        <v>570025</v>
      </c>
      <c r="G1541" s="74">
        <v>3</v>
      </c>
      <c r="H1541" s="135">
        <v>42983.515115740738</v>
      </c>
      <c r="I1541" s="74" t="s">
        <v>21365</v>
      </c>
      <c r="J1541" s="74" t="s">
        <v>21366</v>
      </c>
      <c r="K1541" s="74" t="s">
        <v>21403</v>
      </c>
      <c r="L1541" s="74">
        <v>561483</v>
      </c>
      <c r="M1541" s="74" t="s">
        <v>21368</v>
      </c>
      <c r="N1541" s="74">
        <v>1</v>
      </c>
      <c r="O1541" s="74" t="s">
        <v>21369</v>
      </c>
      <c r="P1541" s="74" t="s">
        <v>21343</v>
      </c>
      <c r="Q1541" s="74" t="s">
        <v>21679</v>
      </c>
      <c r="R1541" s="74" t="s">
        <v>148</v>
      </c>
      <c r="S1541" s="74" t="s">
        <v>21338</v>
      </c>
      <c r="T1541" s="74" t="s">
        <v>21371</v>
      </c>
      <c r="U1541" s="74">
        <v>0</v>
      </c>
      <c r="V1541" s="74">
        <v>0</v>
      </c>
    </row>
    <row r="1542" spans="3:22" x14ac:dyDescent="0.25">
      <c r="C1542" s="74" t="s">
        <v>735</v>
      </c>
      <c r="D1542" s="74" t="s">
        <v>148</v>
      </c>
      <c r="E1542" s="74" t="s">
        <v>21338</v>
      </c>
      <c r="F1542" s="74">
        <v>570025</v>
      </c>
      <c r="G1542" s="74">
        <v>3</v>
      </c>
      <c r="H1542" s="135">
        <v>42983.515104166669</v>
      </c>
      <c r="I1542" s="74" t="s">
        <v>21365</v>
      </c>
      <c r="J1542" s="74" t="s">
        <v>21366</v>
      </c>
      <c r="K1542" s="74" t="s">
        <v>21367</v>
      </c>
      <c r="L1542" s="74">
        <v>561482</v>
      </c>
      <c r="M1542" s="74" t="s">
        <v>21368</v>
      </c>
      <c r="N1542" s="74">
        <v>1</v>
      </c>
      <c r="O1542" s="74" t="s">
        <v>21369</v>
      </c>
      <c r="P1542" s="74" t="s">
        <v>21343</v>
      </c>
      <c r="Q1542" s="74" t="s">
        <v>21679</v>
      </c>
      <c r="R1542" s="74" t="s">
        <v>148</v>
      </c>
      <c r="S1542" s="74" t="s">
        <v>21338</v>
      </c>
      <c r="T1542" s="74" t="s">
        <v>21371</v>
      </c>
      <c r="U1542" s="74">
        <v>0</v>
      </c>
      <c r="V1542" s="74">
        <v>0</v>
      </c>
    </row>
    <row r="1543" spans="3:22" x14ac:dyDescent="0.25">
      <c r="C1543" s="74" t="s">
        <v>735</v>
      </c>
      <c r="D1543" s="74" t="s">
        <v>148</v>
      </c>
      <c r="E1543" s="74" t="s">
        <v>21338</v>
      </c>
      <c r="F1543" s="74">
        <v>570025</v>
      </c>
      <c r="G1543" s="74">
        <v>3</v>
      </c>
      <c r="H1543" s="135">
        <v>42983.515092592592</v>
      </c>
      <c r="I1543" s="74" t="s">
        <v>21365</v>
      </c>
      <c r="J1543" s="74" t="s">
        <v>21366</v>
      </c>
      <c r="K1543" s="74" t="s">
        <v>21519</v>
      </c>
      <c r="L1543" s="74">
        <v>555672</v>
      </c>
      <c r="M1543" s="74" t="s">
        <v>21368</v>
      </c>
      <c r="N1543" s="74">
        <v>1</v>
      </c>
      <c r="O1543" s="74" t="s">
        <v>21369</v>
      </c>
      <c r="P1543" s="74" t="s">
        <v>21343</v>
      </c>
      <c r="Q1543" s="74" t="s">
        <v>21679</v>
      </c>
      <c r="R1543" s="74" t="s">
        <v>148</v>
      </c>
      <c r="S1543" s="74" t="s">
        <v>21338</v>
      </c>
      <c r="T1543" s="74" t="s">
        <v>21371</v>
      </c>
      <c r="U1543" s="74">
        <v>0</v>
      </c>
      <c r="V1543" s="74">
        <v>0</v>
      </c>
    </row>
    <row r="1544" spans="3:22" x14ac:dyDescent="0.25">
      <c r="C1544" s="74" t="s">
        <v>735</v>
      </c>
      <c r="D1544" s="74" t="s">
        <v>148</v>
      </c>
      <c r="E1544" s="74" t="s">
        <v>21338</v>
      </c>
      <c r="F1544" s="74">
        <v>570025</v>
      </c>
      <c r="G1544" s="74">
        <v>3</v>
      </c>
      <c r="H1544" s="135">
        <v>42983.515081018515</v>
      </c>
      <c r="I1544" s="74" t="s">
        <v>21365</v>
      </c>
      <c r="J1544" s="74" t="s">
        <v>21366</v>
      </c>
      <c r="K1544" s="74" t="s">
        <v>21526</v>
      </c>
      <c r="L1544" s="74">
        <v>606187</v>
      </c>
      <c r="M1544" s="74" t="s">
        <v>21368</v>
      </c>
      <c r="N1544" s="74">
        <v>1</v>
      </c>
      <c r="O1544" s="74" t="s">
        <v>21369</v>
      </c>
      <c r="P1544" s="74" t="s">
        <v>21343</v>
      </c>
      <c r="Q1544" s="74" t="s">
        <v>21679</v>
      </c>
      <c r="R1544" s="74" t="s">
        <v>148</v>
      </c>
      <c r="S1544" s="74" t="s">
        <v>21338</v>
      </c>
      <c r="T1544" s="74" t="s">
        <v>21371</v>
      </c>
      <c r="U1544" s="74">
        <v>0</v>
      </c>
      <c r="V1544" s="74">
        <v>0</v>
      </c>
    </row>
    <row r="1545" spans="3:22" x14ac:dyDescent="0.25">
      <c r="C1545" s="74" t="s">
        <v>735</v>
      </c>
      <c r="D1545" s="74" t="s">
        <v>148</v>
      </c>
      <c r="E1545" s="74" t="s">
        <v>21338</v>
      </c>
      <c r="F1545" s="74">
        <v>570025</v>
      </c>
      <c r="G1545" s="74">
        <v>3</v>
      </c>
      <c r="H1545" s="135">
        <v>42983.515069444446</v>
      </c>
      <c r="I1545" s="74" t="s">
        <v>21365</v>
      </c>
      <c r="J1545" s="74" t="s">
        <v>21366</v>
      </c>
      <c r="K1545" s="74" t="s">
        <v>21373</v>
      </c>
      <c r="L1545" s="74">
        <v>555662</v>
      </c>
      <c r="M1545" s="74" t="s">
        <v>21368</v>
      </c>
      <c r="N1545" s="74">
        <v>1</v>
      </c>
      <c r="O1545" s="74" t="s">
        <v>21369</v>
      </c>
      <c r="P1545" s="74" t="s">
        <v>21343</v>
      </c>
      <c r="Q1545" s="74" t="s">
        <v>21679</v>
      </c>
      <c r="R1545" s="74" t="s">
        <v>148</v>
      </c>
      <c r="S1545" s="74" t="s">
        <v>21338</v>
      </c>
      <c r="T1545" s="74" t="s">
        <v>21371</v>
      </c>
      <c r="U1545" s="74">
        <v>0</v>
      </c>
      <c r="V1545" s="74">
        <v>0</v>
      </c>
    </row>
    <row r="1546" spans="3:22" x14ac:dyDescent="0.25">
      <c r="C1546" s="74" t="s">
        <v>735</v>
      </c>
      <c r="D1546" s="74" t="s">
        <v>148</v>
      </c>
      <c r="E1546" s="74" t="s">
        <v>21338</v>
      </c>
      <c r="F1546" s="74">
        <v>570025</v>
      </c>
      <c r="G1546" s="74">
        <v>3</v>
      </c>
      <c r="H1546" s="135">
        <v>42983.515057870369</v>
      </c>
      <c r="I1546" s="74" t="s">
        <v>21365</v>
      </c>
      <c r="J1546" s="74" t="s">
        <v>21366</v>
      </c>
      <c r="K1546" s="74" t="s">
        <v>21376</v>
      </c>
      <c r="L1546" s="74">
        <v>555659</v>
      </c>
      <c r="M1546" s="74" t="s">
        <v>21368</v>
      </c>
      <c r="N1546" s="74">
        <v>1</v>
      </c>
      <c r="O1546" s="74" t="s">
        <v>21369</v>
      </c>
      <c r="P1546" s="74" t="s">
        <v>21343</v>
      </c>
      <c r="Q1546" s="74" t="s">
        <v>21679</v>
      </c>
      <c r="R1546" s="74" t="s">
        <v>148</v>
      </c>
      <c r="S1546" s="74" t="s">
        <v>21338</v>
      </c>
      <c r="T1546" s="74" t="s">
        <v>21371</v>
      </c>
      <c r="U1546" s="74">
        <v>0</v>
      </c>
      <c r="V1546" s="74">
        <v>0</v>
      </c>
    </row>
    <row r="1547" spans="3:22" x14ac:dyDescent="0.25">
      <c r="C1547" s="74" t="s">
        <v>735</v>
      </c>
      <c r="D1547" s="74" t="s">
        <v>148</v>
      </c>
      <c r="E1547" s="74" t="s">
        <v>21338</v>
      </c>
      <c r="F1547" s="74">
        <v>570025</v>
      </c>
      <c r="G1547" s="74">
        <v>3</v>
      </c>
      <c r="H1547" s="135">
        <v>42983.515046296299</v>
      </c>
      <c r="I1547" s="74" t="s">
        <v>21365</v>
      </c>
      <c r="J1547" s="74" t="s">
        <v>21366</v>
      </c>
      <c r="K1547" s="74" t="s">
        <v>21377</v>
      </c>
      <c r="L1547" s="74">
        <v>555668</v>
      </c>
      <c r="M1547" s="74" t="s">
        <v>21368</v>
      </c>
      <c r="N1547" s="74">
        <v>1</v>
      </c>
      <c r="O1547" s="74" t="s">
        <v>21369</v>
      </c>
      <c r="P1547" s="74" t="s">
        <v>21343</v>
      </c>
      <c r="Q1547" s="74" t="s">
        <v>21679</v>
      </c>
      <c r="R1547" s="74" t="s">
        <v>148</v>
      </c>
      <c r="S1547" s="74" t="s">
        <v>21338</v>
      </c>
      <c r="T1547" s="74" t="s">
        <v>21371</v>
      </c>
      <c r="U1547" s="74">
        <v>0</v>
      </c>
      <c r="V1547" s="74">
        <v>0</v>
      </c>
    </row>
    <row r="1548" spans="3:22" x14ac:dyDescent="0.25">
      <c r="C1548" s="74" t="s">
        <v>735</v>
      </c>
      <c r="D1548" s="74" t="s">
        <v>148</v>
      </c>
      <c r="E1548" s="74" t="s">
        <v>21338</v>
      </c>
      <c r="F1548" s="74">
        <v>570025</v>
      </c>
      <c r="G1548" s="74">
        <v>3</v>
      </c>
      <c r="H1548" s="135">
        <v>42983.515011574076</v>
      </c>
      <c r="I1548" s="74" t="s">
        <v>21339</v>
      </c>
      <c r="J1548" s="74" t="s">
        <v>21364</v>
      </c>
      <c r="K1548" s="74" t="s">
        <v>10573</v>
      </c>
      <c r="L1548" s="74">
        <v>552994</v>
      </c>
      <c r="M1548" s="74" t="s">
        <v>21341</v>
      </c>
      <c r="N1548" s="74">
        <v>1</v>
      </c>
      <c r="O1548" s="74" t="s">
        <v>21342</v>
      </c>
      <c r="P1548" s="74" t="s">
        <v>21343</v>
      </c>
      <c r="Q1548" s="74">
        <v>0</v>
      </c>
      <c r="R1548" s="74" t="s">
        <v>148</v>
      </c>
      <c r="S1548" s="74" t="s">
        <v>21338</v>
      </c>
      <c r="T1548" s="74" t="s">
        <v>402</v>
      </c>
      <c r="U1548" s="74">
        <v>0</v>
      </c>
      <c r="V1548" s="74">
        <v>0</v>
      </c>
    </row>
    <row r="1549" spans="3:22" x14ac:dyDescent="0.25">
      <c r="C1549" s="74" t="s">
        <v>735</v>
      </c>
      <c r="D1549" s="74" t="s">
        <v>148</v>
      </c>
      <c r="E1549" s="74" t="s">
        <v>21338</v>
      </c>
      <c r="F1549" s="74">
        <v>570025</v>
      </c>
      <c r="G1549" s="74">
        <v>3</v>
      </c>
      <c r="H1549" s="135">
        <v>42983.51489583333</v>
      </c>
      <c r="I1549" s="74" t="s">
        <v>21339</v>
      </c>
      <c r="J1549" s="74" t="s">
        <v>21364</v>
      </c>
      <c r="K1549" s="74" t="s">
        <v>10573</v>
      </c>
      <c r="L1549" s="74">
        <v>552994</v>
      </c>
      <c r="M1549" s="74" t="s">
        <v>21341</v>
      </c>
      <c r="N1549" s="74">
        <v>1</v>
      </c>
      <c r="O1549" s="74" t="s">
        <v>21342</v>
      </c>
      <c r="P1549" s="74" t="s">
        <v>21343</v>
      </c>
      <c r="Q1549" s="74">
        <v>0</v>
      </c>
      <c r="R1549" s="74" t="s">
        <v>148</v>
      </c>
      <c r="S1549" s="74" t="s">
        <v>21338</v>
      </c>
      <c r="T1549" s="74" t="s">
        <v>402</v>
      </c>
      <c r="U1549" s="74">
        <v>0</v>
      </c>
      <c r="V1549" s="74">
        <v>0</v>
      </c>
    </row>
    <row r="1550" spans="3:22" x14ac:dyDescent="0.25">
      <c r="C1550" s="74" t="s">
        <v>735</v>
      </c>
      <c r="D1550" s="74" t="s">
        <v>148</v>
      </c>
      <c r="E1550" s="74" t="s">
        <v>21338</v>
      </c>
      <c r="F1550" s="74">
        <v>570025</v>
      </c>
      <c r="G1550" s="74">
        <v>3</v>
      </c>
      <c r="H1550" s="135">
        <v>42983.513854166667</v>
      </c>
      <c r="I1550" s="74" t="s">
        <v>21339</v>
      </c>
      <c r="J1550" s="74" t="s">
        <v>21360</v>
      </c>
      <c r="K1550" s="74" t="s">
        <v>10573</v>
      </c>
      <c r="L1550" s="74">
        <v>552994</v>
      </c>
      <c r="M1550" s="74" t="s">
        <v>21341</v>
      </c>
      <c r="N1550" s="74">
        <v>1</v>
      </c>
      <c r="O1550" s="74" t="s">
        <v>21342</v>
      </c>
      <c r="P1550" s="74" t="s">
        <v>21343</v>
      </c>
      <c r="Q1550" s="74" t="s">
        <v>21361</v>
      </c>
      <c r="R1550" s="74" t="s">
        <v>148</v>
      </c>
      <c r="S1550" s="74" t="s">
        <v>21338</v>
      </c>
      <c r="T1550" s="74" t="s">
        <v>402</v>
      </c>
      <c r="U1550" s="74">
        <v>0</v>
      </c>
      <c r="V1550" s="74">
        <v>0</v>
      </c>
    </row>
    <row r="1551" spans="3:22" x14ac:dyDescent="0.25">
      <c r="C1551" s="74" t="s">
        <v>18795</v>
      </c>
      <c r="D1551" s="74" t="s">
        <v>148</v>
      </c>
      <c r="E1551" s="74" t="s">
        <v>21338</v>
      </c>
      <c r="F1551" s="74">
        <v>551367</v>
      </c>
      <c r="G1551" s="74">
        <v>1000</v>
      </c>
      <c r="H1551" s="135">
        <v>42983.506631944445</v>
      </c>
      <c r="I1551" s="74" t="s">
        <v>21339</v>
      </c>
      <c r="J1551" s="74" t="s">
        <v>21340</v>
      </c>
      <c r="K1551" s="74" t="s">
        <v>12307</v>
      </c>
      <c r="L1551" s="74">
        <v>553213</v>
      </c>
      <c r="M1551" s="74" t="s">
        <v>21341</v>
      </c>
      <c r="N1551" s="74">
        <v>1</v>
      </c>
      <c r="O1551" s="74" t="s">
        <v>21342</v>
      </c>
      <c r="P1551" s="74" t="s">
        <v>21343</v>
      </c>
      <c r="Q1551" s="74">
        <v>0</v>
      </c>
      <c r="R1551" s="74" t="s">
        <v>148</v>
      </c>
      <c r="S1551" s="74" t="s">
        <v>21338</v>
      </c>
      <c r="T1551" s="74" t="s">
        <v>402</v>
      </c>
      <c r="U1551" s="74">
        <v>0</v>
      </c>
      <c r="V1551" s="74">
        <v>0</v>
      </c>
    </row>
    <row r="1552" spans="3:22" x14ac:dyDescent="0.25">
      <c r="C1552" s="74" t="s">
        <v>18795</v>
      </c>
      <c r="D1552" s="74" t="s">
        <v>148</v>
      </c>
      <c r="E1552" s="74" t="s">
        <v>21338</v>
      </c>
      <c r="F1552" s="74">
        <v>551367</v>
      </c>
      <c r="G1552" s="74">
        <v>1000</v>
      </c>
      <c r="H1552" s="135">
        <v>42983.503935185188</v>
      </c>
      <c r="I1552" s="74" t="s">
        <v>21339</v>
      </c>
      <c r="J1552" s="74" t="s">
        <v>21340</v>
      </c>
      <c r="K1552" s="74" t="s">
        <v>21680</v>
      </c>
      <c r="L1552" s="74">
        <v>616000</v>
      </c>
      <c r="M1552" s="74" t="s">
        <v>21341</v>
      </c>
      <c r="N1552" s="74">
        <v>1</v>
      </c>
      <c r="O1552" s="74" t="s">
        <v>21342</v>
      </c>
      <c r="P1552" s="74" t="s">
        <v>21343</v>
      </c>
      <c r="Q1552" s="74">
        <v>0</v>
      </c>
      <c r="R1552" s="74" t="s">
        <v>148</v>
      </c>
      <c r="S1552" s="74" t="s">
        <v>21338</v>
      </c>
      <c r="T1552" s="74" t="s">
        <v>402</v>
      </c>
      <c r="U1552" s="74">
        <v>0</v>
      </c>
      <c r="V1552" s="74">
        <v>0</v>
      </c>
    </row>
    <row r="1553" spans="3:22" x14ac:dyDescent="0.25">
      <c r="C1553" s="74" t="s">
        <v>18795</v>
      </c>
      <c r="D1553" s="74" t="s">
        <v>148</v>
      </c>
      <c r="E1553" s="74" t="s">
        <v>21338</v>
      </c>
      <c r="F1553" s="74">
        <v>551367</v>
      </c>
      <c r="G1553" s="74">
        <v>1000</v>
      </c>
      <c r="H1553" s="135">
        <v>42983.496354166666</v>
      </c>
      <c r="I1553" s="74" t="s">
        <v>21339</v>
      </c>
      <c r="J1553" s="74" t="s">
        <v>21340</v>
      </c>
      <c r="K1553" s="74" t="s">
        <v>13971</v>
      </c>
      <c r="L1553" s="74">
        <v>553436</v>
      </c>
      <c r="M1553" s="74" t="s">
        <v>21341</v>
      </c>
      <c r="N1553" s="74">
        <v>1</v>
      </c>
      <c r="O1553" s="74" t="s">
        <v>21342</v>
      </c>
      <c r="P1553" s="74" t="s">
        <v>21343</v>
      </c>
      <c r="Q1553" s="74">
        <v>0</v>
      </c>
      <c r="R1553" s="74" t="s">
        <v>148</v>
      </c>
      <c r="S1553" s="74" t="s">
        <v>21338</v>
      </c>
      <c r="T1553" s="74" t="s">
        <v>402</v>
      </c>
      <c r="U1553" s="74">
        <v>0</v>
      </c>
      <c r="V1553" s="74">
        <v>0</v>
      </c>
    </row>
    <row r="1554" spans="3:22" x14ac:dyDescent="0.25">
      <c r="C1554" s="74" t="s">
        <v>18795</v>
      </c>
      <c r="D1554" s="74" t="s">
        <v>148</v>
      </c>
      <c r="E1554" s="74" t="s">
        <v>21338</v>
      </c>
      <c r="F1554" s="74">
        <v>551367</v>
      </c>
      <c r="G1554" s="74">
        <v>1000</v>
      </c>
      <c r="H1554" s="135">
        <v>42983.492337962962</v>
      </c>
      <c r="I1554" s="74" t="s">
        <v>21339</v>
      </c>
      <c r="J1554" s="74" t="s">
        <v>21340</v>
      </c>
      <c r="K1554" s="74" t="s">
        <v>20559</v>
      </c>
      <c r="L1554" s="74">
        <v>554238</v>
      </c>
      <c r="M1554" s="74" t="s">
        <v>21341</v>
      </c>
      <c r="N1554" s="74">
        <v>1</v>
      </c>
      <c r="O1554" s="74" t="s">
        <v>21342</v>
      </c>
      <c r="P1554" s="74" t="s">
        <v>21343</v>
      </c>
      <c r="Q1554" s="74">
        <v>0</v>
      </c>
      <c r="R1554" s="74" t="s">
        <v>148</v>
      </c>
      <c r="S1554" s="74" t="s">
        <v>21338</v>
      </c>
      <c r="T1554" s="74" t="s">
        <v>402</v>
      </c>
      <c r="U1554" s="74">
        <v>0</v>
      </c>
      <c r="V1554" s="74">
        <v>0</v>
      </c>
    </row>
    <row r="1555" spans="3:22" x14ac:dyDescent="0.25">
      <c r="C1555" s="74" t="s">
        <v>18795</v>
      </c>
      <c r="D1555" s="74" t="s">
        <v>148</v>
      </c>
      <c r="E1555" s="74" t="s">
        <v>21338</v>
      </c>
      <c r="F1555" s="74">
        <v>551367</v>
      </c>
      <c r="G1555" s="74">
        <v>1000</v>
      </c>
      <c r="H1555" s="135">
        <v>42983.48710648148</v>
      </c>
      <c r="I1555" s="74" t="s">
        <v>21339</v>
      </c>
      <c r="J1555" s="74" t="s">
        <v>21340</v>
      </c>
      <c r="K1555" s="74" t="s">
        <v>14758</v>
      </c>
      <c r="L1555" s="74">
        <v>553548</v>
      </c>
      <c r="M1555" s="74" t="s">
        <v>21341</v>
      </c>
      <c r="N1555" s="74">
        <v>1</v>
      </c>
      <c r="O1555" s="74" t="s">
        <v>21342</v>
      </c>
      <c r="P1555" s="74" t="s">
        <v>21343</v>
      </c>
      <c r="Q1555" s="74">
        <v>0</v>
      </c>
      <c r="R1555" s="74" t="s">
        <v>148</v>
      </c>
      <c r="S1555" s="74" t="s">
        <v>21338</v>
      </c>
      <c r="T1555" s="74" t="s">
        <v>402</v>
      </c>
      <c r="U1555" s="74">
        <v>0</v>
      </c>
      <c r="V1555" s="74">
        <v>0</v>
      </c>
    </row>
    <row r="1556" spans="3:22" x14ac:dyDescent="0.25">
      <c r="C1556" s="74" t="s">
        <v>18795</v>
      </c>
      <c r="D1556" s="74" t="s">
        <v>148</v>
      </c>
      <c r="E1556" s="74" t="s">
        <v>21338</v>
      </c>
      <c r="F1556" s="74">
        <v>551367</v>
      </c>
      <c r="G1556" s="74">
        <v>1000</v>
      </c>
      <c r="H1556" s="135">
        <v>42983.486562500002</v>
      </c>
      <c r="I1556" s="74" t="s">
        <v>21339</v>
      </c>
      <c r="J1556" s="74" t="s">
        <v>21340</v>
      </c>
      <c r="K1556" s="74" t="s">
        <v>2817</v>
      </c>
      <c r="L1556" s="74">
        <v>552027</v>
      </c>
      <c r="M1556" s="74" t="s">
        <v>21341</v>
      </c>
      <c r="N1556" s="74">
        <v>1</v>
      </c>
      <c r="O1556" s="74" t="s">
        <v>21342</v>
      </c>
      <c r="P1556" s="74" t="s">
        <v>21343</v>
      </c>
      <c r="Q1556" s="74">
        <v>0</v>
      </c>
      <c r="R1556" s="74" t="s">
        <v>148</v>
      </c>
      <c r="S1556" s="74" t="s">
        <v>21338</v>
      </c>
      <c r="T1556" s="74" t="s">
        <v>402</v>
      </c>
      <c r="U1556" s="74">
        <v>0</v>
      </c>
      <c r="V1556" s="74">
        <v>0</v>
      </c>
    </row>
    <row r="1557" spans="3:22" x14ac:dyDescent="0.25">
      <c r="C1557" s="74" t="s">
        <v>18795</v>
      </c>
      <c r="D1557" s="74" t="s">
        <v>148</v>
      </c>
      <c r="E1557" s="74" t="s">
        <v>21338</v>
      </c>
      <c r="F1557" s="74">
        <v>551367</v>
      </c>
      <c r="G1557" s="74">
        <v>1000</v>
      </c>
      <c r="H1557" s="135">
        <v>42983.475532407407</v>
      </c>
      <c r="I1557" s="74" t="s">
        <v>21339</v>
      </c>
      <c r="J1557" s="74" t="s">
        <v>21340</v>
      </c>
      <c r="K1557" s="74" t="s">
        <v>17657</v>
      </c>
      <c r="L1557" s="74">
        <v>553903</v>
      </c>
      <c r="M1557" s="74" t="s">
        <v>21341</v>
      </c>
      <c r="N1557" s="74">
        <v>1</v>
      </c>
      <c r="O1557" s="74" t="s">
        <v>21342</v>
      </c>
      <c r="P1557" s="74" t="s">
        <v>21343</v>
      </c>
      <c r="Q1557" s="74">
        <v>0</v>
      </c>
      <c r="R1557" s="74" t="s">
        <v>148</v>
      </c>
      <c r="S1557" s="74" t="s">
        <v>21338</v>
      </c>
      <c r="T1557" s="74" t="s">
        <v>402</v>
      </c>
      <c r="U1557" s="74">
        <v>0</v>
      </c>
      <c r="V1557" s="74">
        <v>0</v>
      </c>
    </row>
    <row r="1558" spans="3:22" x14ac:dyDescent="0.25">
      <c r="C1558" s="74" t="s">
        <v>18795</v>
      </c>
      <c r="D1558" s="74" t="s">
        <v>148</v>
      </c>
      <c r="E1558" s="74" t="s">
        <v>21338</v>
      </c>
      <c r="F1558" s="74">
        <v>551367</v>
      </c>
      <c r="G1558" s="74">
        <v>1000</v>
      </c>
      <c r="H1558" s="135">
        <v>42983.47415509259</v>
      </c>
      <c r="I1558" s="74" t="s">
        <v>21339</v>
      </c>
      <c r="J1558" s="74" t="s">
        <v>21340</v>
      </c>
      <c r="K1558" s="74" t="s">
        <v>12580</v>
      </c>
      <c r="L1558" s="74">
        <v>553248</v>
      </c>
      <c r="M1558" s="74" t="s">
        <v>21341</v>
      </c>
      <c r="N1558" s="74">
        <v>1</v>
      </c>
      <c r="O1558" s="74" t="s">
        <v>21342</v>
      </c>
      <c r="P1558" s="74" t="s">
        <v>21343</v>
      </c>
      <c r="Q1558" s="74">
        <v>0</v>
      </c>
      <c r="R1558" s="74" t="s">
        <v>148</v>
      </c>
      <c r="S1558" s="74" t="s">
        <v>21338</v>
      </c>
      <c r="T1558" s="74" t="s">
        <v>402</v>
      </c>
      <c r="U1558" s="74">
        <v>0</v>
      </c>
      <c r="V1558" s="74">
        <v>0</v>
      </c>
    </row>
    <row r="1559" spans="3:22" x14ac:dyDescent="0.25">
      <c r="C1559" s="74" t="s">
        <v>18795</v>
      </c>
      <c r="D1559" s="74" t="s">
        <v>148</v>
      </c>
      <c r="E1559" s="74" t="s">
        <v>21338</v>
      </c>
      <c r="F1559" s="74">
        <v>551367</v>
      </c>
      <c r="G1559" s="74">
        <v>1000</v>
      </c>
      <c r="H1559" s="135">
        <v>42983.473773148151</v>
      </c>
      <c r="I1559" s="74" t="s">
        <v>21339</v>
      </c>
      <c r="J1559" s="74" t="s">
        <v>21340</v>
      </c>
      <c r="K1559" s="74" t="s">
        <v>17828</v>
      </c>
      <c r="L1559" s="74">
        <v>553912</v>
      </c>
      <c r="M1559" s="74" t="s">
        <v>21341</v>
      </c>
      <c r="N1559" s="74">
        <v>1</v>
      </c>
      <c r="O1559" s="74" t="s">
        <v>21342</v>
      </c>
      <c r="P1559" s="74" t="s">
        <v>21343</v>
      </c>
      <c r="Q1559" s="74">
        <v>0</v>
      </c>
      <c r="R1559" s="74" t="s">
        <v>148</v>
      </c>
      <c r="S1559" s="74" t="s">
        <v>21338</v>
      </c>
      <c r="T1559" s="74" t="s">
        <v>402</v>
      </c>
      <c r="U1559" s="74">
        <v>0</v>
      </c>
      <c r="V1559" s="74">
        <v>0</v>
      </c>
    </row>
    <row r="1560" spans="3:22" x14ac:dyDescent="0.25">
      <c r="C1560" s="74" t="s">
        <v>18795</v>
      </c>
      <c r="D1560" s="74" t="s">
        <v>148</v>
      </c>
      <c r="E1560" s="74" t="s">
        <v>21338</v>
      </c>
      <c r="F1560" s="74">
        <v>551367</v>
      </c>
      <c r="G1560" s="74">
        <v>1000</v>
      </c>
      <c r="H1560" s="135">
        <v>42983.471203703702</v>
      </c>
      <c r="I1560" s="74" t="s">
        <v>21339</v>
      </c>
      <c r="J1560" s="74" t="s">
        <v>21340</v>
      </c>
      <c r="K1560" s="74" t="s">
        <v>11006</v>
      </c>
      <c r="L1560" s="74">
        <v>553048</v>
      </c>
      <c r="M1560" s="74" t="s">
        <v>21341</v>
      </c>
      <c r="N1560" s="74">
        <v>1</v>
      </c>
      <c r="O1560" s="74" t="s">
        <v>21342</v>
      </c>
      <c r="P1560" s="74" t="s">
        <v>21343</v>
      </c>
      <c r="Q1560" s="74">
        <v>0</v>
      </c>
      <c r="R1560" s="74" t="s">
        <v>148</v>
      </c>
      <c r="S1560" s="74" t="s">
        <v>21338</v>
      </c>
      <c r="T1560" s="74" t="s">
        <v>402</v>
      </c>
      <c r="U1560" s="74">
        <v>0</v>
      </c>
      <c r="V1560" s="74">
        <v>0</v>
      </c>
    </row>
    <row r="1561" spans="3:22" x14ac:dyDescent="0.25">
      <c r="C1561" s="74" t="s">
        <v>18795</v>
      </c>
      <c r="D1561" s="74" t="s">
        <v>148</v>
      </c>
      <c r="E1561" s="74" t="s">
        <v>21338</v>
      </c>
      <c r="F1561" s="74">
        <v>551367</v>
      </c>
      <c r="G1561" s="74">
        <v>1000</v>
      </c>
      <c r="H1561" s="135">
        <v>42983.468356481484</v>
      </c>
      <c r="I1561" s="74" t="s">
        <v>21339</v>
      </c>
      <c r="J1561" s="74" t="s">
        <v>21340</v>
      </c>
      <c r="K1561" s="74" t="s">
        <v>19164</v>
      </c>
      <c r="L1561" s="74">
        <v>554078</v>
      </c>
      <c r="M1561" s="74" t="s">
        <v>21341</v>
      </c>
      <c r="N1561" s="74">
        <v>1</v>
      </c>
      <c r="O1561" s="74" t="s">
        <v>21342</v>
      </c>
      <c r="P1561" s="74" t="s">
        <v>21343</v>
      </c>
      <c r="Q1561" s="74">
        <v>0</v>
      </c>
      <c r="R1561" s="74" t="s">
        <v>148</v>
      </c>
      <c r="S1561" s="74" t="s">
        <v>21338</v>
      </c>
      <c r="T1561" s="74" t="s">
        <v>402</v>
      </c>
      <c r="U1561" s="74">
        <v>0</v>
      </c>
      <c r="V1561" s="74">
        <v>0</v>
      </c>
    </row>
    <row r="1562" spans="3:22" x14ac:dyDescent="0.25">
      <c r="C1562" s="74" t="s">
        <v>18795</v>
      </c>
      <c r="D1562" s="74" t="s">
        <v>148</v>
      </c>
      <c r="E1562" s="74" t="s">
        <v>21338</v>
      </c>
      <c r="F1562" s="74">
        <v>551367</v>
      </c>
      <c r="G1562" s="74">
        <v>1000</v>
      </c>
      <c r="H1562" s="135">
        <v>42983.466446759259</v>
      </c>
      <c r="I1562" s="74" t="s">
        <v>21339</v>
      </c>
      <c r="J1562" s="74" t="s">
        <v>21340</v>
      </c>
      <c r="K1562" s="74" t="s">
        <v>17828</v>
      </c>
      <c r="L1562" s="74">
        <v>553912</v>
      </c>
      <c r="M1562" s="74" t="s">
        <v>21341</v>
      </c>
      <c r="N1562" s="74">
        <v>1</v>
      </c>
      <c r="O1562" s="74" t="s">
        <v>21342</v>
      </c>
      <c r="P1562" s="74" t="s">
        <v>21343</v>
      </c>
      <c r="Q1562" s="74">
        <v>0</v>
      </c>
      <c r="R1562" s="74" t="s">
        <v>148</v>
      </c>
      <c r="S1562" s="74" t="s">
        <v>21338</v>
      </c>
      <c r="T1562" s="74" t="s">
        <v>402</v>
      </c>
      <c r="U1562" s="74">
        <v>0</v>
      </c>
      <c r="V1562" s="74">
        <v>0</v>
      </c>
    </row>
    <row r="1563" spans="3:22" x14ac:dyDescent="0.25">
      <c r="C1563" s="74" t="s">
        <v>18795</v>
      </c>
      <c r="D1563" s="74" t="s">
        <v>148</v>
      </c>
      <c r="E1563" s="74" t="s">
        <v>21338</v>
      </c>
      <c r="F1563" s="74">
        <v>551367</v>
      </c>
      <c r="G1563" s="74">
        <v>1000</v>
      </c>
      <c r="H1563" s="135">
        <v>42983.46502314815</v>
      </c>
      <c r="I1563" s="74" t="s">
        <v>21339</v>
      </c>
      <c r="J1563" s="74" t="s">
        <v>21340</v>
      </c>
      <c r="K1563" s="74" t="s">
        <v>21681</v>
      </c>
      <c r="L1563" s="74">
        <v>570905</v>
      </c>
      <c r="M1563" s="74" t="s">
        <v>21341</v>
      </c>
      <c r="N1563" s="74">
        <v>1</v>
      </c>
      <c r="O1563" s="74" t="s">
        <v>21342</v>
      </c>
      <c r="P1563" s="74" t="s">
        <v>21343</v>
      </c>
      <c r="Q1563" s="74">
        <v>0</v>
      </c>
      <c r="R1563" s="74" t="s">
        <v>148</v>
      </c>
      <c r="S1563" s="74" t="s">
        <v>21338</v>
      </c>
      <c r="T1563" s="74" t="s">
        <v>393</v>
      </c>
      <c r="U1563" s="74">
        <v>0</v>
      </c>
      <c r="V1563" s="74">
        <v>0</v>
      </c>
    </row>
    <row r="1564" spans="3:22" x14ac:dyDescent="0.25">
      <c r="C1564" s="74" t="s">
        <v>18795</v>
      </c>
      <c r="D1564" s="74" t="s">
        <v>148</v>
      </c>
      <c r="E1564" s="74" t="s">
        <v>21338</v>
      </c>
      <c r="F1564" s="74">
        <v>551367</v>
      </c>
      <c r="G1564" s="74">
        <v>1000</v>
      </c>
      <c r="H1564" s="135">
        <v>42983.462476851855</v>
      </c>
      <c r="I1564" s="74" t="s">
        <v>21339</v>
      </c>
      <c r="J1564" s="74" t="s">
        <v>21340</v>
      </c>
      <c r="K1564" s="74" t="s">
        <v>13810</v>
      </c>
      <c r="L1564" s="74">
        <v>553405</v>
      </c>
      <c r="M1564" s="74" t="s">
        <v>21341</v>
      </c>
      <c r="N1564" s="74">
        <v>1</v>
      </c>
      <c r="O1564" s="74" t="s">
        <v>21342</v>
      </c>
      <c r="P1564" s="74" t="s">
        <v>21343</v>
      </c>
      <c r="Q1564" s="74">
        <v>0</v>
      </c>
      <c r="R1564" s="74" t="s">
        <v>148</v>
      </c>
      <c r="S1564" s="74" t="s">
        <v>21338</v>
      </c>
      <c r="T1564" s="74" t="s">
        <v>402</v>
      </c>
      <c r="U1564" s="74">
        <v>0</v>
      </c>
      <c r="V1564" s="74">
        <v>0</v>
      </c>
    </row>
    <row r="1565" spans="3:22" x14ac:dyDescent="0.25">
      <c r="C1565" s="74" t="s">
        <v>18795</v>
      </c>
      <c r="D1565" s="74" t="s">
        <v>148</v>
      </c>
      <c r="E1565" s="74" t="s">
        <v>21338</v>
      </c>
      <c r="F1565" s="74">
        <v>551367</v>
      </c>
      <c r="G1565" s="74">
        <v>1000</v>
      </c>
      <c r="H1565" s="135">
        <v>42983.460833333331</v>
      </c>
      <c r="I1565" s="74" t="s">
        <v>21339</v>
      </c>
      <c r="J1565" s="74" t="s">
        <v>21340</v>
      </c>
      <c r="K1565" s="74" t="s">
        <v>21682</v>
      </c>
      <c r="L1565" s="74">
        <v>560269</v>
      </c>
      <c r="M1565" s="74" t="s">
        <v>21341</v>
      </c>
      <c r="N1565" s="74">
        <v>1</v>
      </c>
      <c r="O1565" s="74" t="s">
        <v>21342</v>
      </c>
      <c r="P1565" s="74" t="s">
        <v>21343</v>
      </c>
      <c r="Q1565" s="74">
        <v>0</v>
      </c>
      <c r="R1565" s="74" t="s">
        <v>148</v>
      </c>
      <c r="S1565" s="74" t="s">
        <v>21338</v>
      </c>
      <c r="T1565" s="74" t="s">
        <v>393</v>
      </c>
      <c r="U1565" s="74">
        <v>0</v>
      </c>
      <c r="V1565" s="74">
        <v>0</v>
      </c>
    </row>
    <row r="1566" spans="3:22" x14ac:dyDescent="0.25">
      <c r="C1566" s="74" t="s">
        <v>735</v>
      </c>
      <c r="D1566" s="74" t="s">
        <v>148</v>
      </c>
      <c r="E1566" s="74" t="s">
        <v>21338</v>
      </c>
      <c r="F1566" s="74">
        <v>570025</v>
      </c>
      <c r="G1566" s="74">
        <v>3</v>
      </c>
      <c r="H1566" s="135">
        <v>42983.459629629629</v>
      </c>
      <c r="I1566" s="74" t="s">
        <v>21339</v>
      </c>
      <c r="J1566" s="74" t="s">
        <v>21362</v>
      </c>
      <c r="K1566" s="74" t="s">
        <v>5346</v>
      </c>
      <c r="L1566" s="74">
        <v>552318</v>
      </c>
      <c r="M1566" s="74" t="s">
        <v>21341</v>
      </c>
      <c r="N1566" s="74">
        <v>1</v>
      </c>
      <c r="O1566" s="74" t="s">
        <v>21342</v>
      </c>
      <c r="P1566" s="74" t="s">
        <v>21343</v>
      </c>
      <c r="Q1566" s="74" t="s">
        <v>21363</v>
      </c>
      <c r="R1566" s="74" t="s">
        <v>148</v>
      </c>
      <c r="S1566" s="74" t="s">
        <v>21338</v>
      </c>
      <c r="T1566" s="74" t="s">
        <v>393</v>
      </c>
      <c r="U1566" s="74">
        <v>0</v>
      </c>
      <c r="V1566" s="74">
        <v>0</v>
      </c>
    </row>
    <row r="1567" spans="3:22" x14ac:dyDescent="0.25">
      <c r="C1567" s="74" t="s">
        <v>735</v>
      </c>
      <c r="D1567" s="74" t="s">
        <v>148</v>
      </c>
      <c r="E1567" s="74" t="s">
        <v>21338</v>
      </c>
      <c r="F1567" s="74">
        <v>570025</v>
      </c>
      <c r="G1567" s="74">
        <v>3</v>
      </c>
      <c r="H1567" s="135">
        <v>42983.458414351851</v>
      </c>
      <c r="I1567" s="74" t="s">
        <v>21339</v>
      </c>
      <c r="J1567" s="74" t="s">
        <v>21364</v>
      </c>
      <c r="K1567" s="74" t="s">
        <v>5346</v>
      </c>
      <c r="L1567" s="74">
        <v>552318</v>
      </c>
      <c r="M1567" s="74" t="s">
        <v>21341</v>
      </c>
      <c r="N1567" s="74">
        <v>1</v>
      </c>
      <c r="O1567" s="74" t="s">
        <v>21342</v>
      </c>
      <c r="P1567" s="74" t="s">
        <v>21343</v>
      </c>
      <c r="Q1567" s="74">
        <v>0</v>
      </c>
      <c r="R1567" s="74" t="s">
        <v>148</v>
      </c>
      <c r="S1567" s="74" t="s">
        <v>21338</v>
      </c>
      <c r="T1567" s="74" t="s">
        <v>402</v>
      </c>
      <c r="U1567" s="74">
        <v>0</v>
      </c>
      <c r="V1567" s="74">
        <v>0</v>
      </c>
    </row>
    <row r="1568" spans="3:22" x14ac:dyDescent="0.25">
      <c r="C1568" s="74" t="s">
        <v>735</v>
      </c>
      <c r="D1568" s="74" t="s">
        <v>148</v>
      </c>
      <c r="E1568" s="74" t="s">
        <v>21338</v>
      </c>
      <c r="F1568" s="74">
        <v>570025</v>
      </c>
      <c r="G1568" s="74">
        <v>3</v>
      </c>
      <c r="H1568" s="135">
        <v>42983.458402777775</v>
      </c>
      <c r="I1568" s="74" t="s">
        <v>21365</v>
      </c>
      <c r="J1568" s="74" t="s">
        <v>21366</v>
      </c>
      <c r="K1568" s="74" t="s">
        <v>21403</v>
      </c>
      <c r="L1568" s="74">
        <v>561483</v>
      </c>
      <c r="M1568" s="74" t="s">
        <v>21368</v>
      </c>
      <c r="N1568" s="74">
        <v>1</v>
      </c>
      <c r="O1568" s="74" t="s">
        <v>21369</v>
      </c>
      <c r="P1568" s="74" t="s">
        <v>21343</v>
      </c>
      <c r="Q1568" s="74" t="s">
        <v>21683</v>
      </c>
      <c r="R1568" s="74" t="s">
        <v>148</v>
      </c>
      <c r="S1568" s="74" t="s">
        <v>21338</v>
      </c>
      <c r="T1568" s="74" t="s">
        <v>21371</v>
      </c>
      <c r="U1568" s="74">
        <v>0</v>
      </c>
      <c r="V1568" s="74">
        <v>0</v>
      </c>
    </row>
    <row r="1569" spans="3:22" x14ac:dyDescent="0.25">
      <c r="C1569" s="74" t="s">
        <v>735</v>
      </c>
      <c r="D1569" s="74" t="s">
        <v>148</v>
      </c>
      <c r="E1569" s="74" t="s">
        <v>21338</v>
      </c>
      <c r="F1569" s="74">
        <v>570025</v>
      </c>
      <c r="G1569" s="74">
        <v>3</v>
      </c>
      <c r="H1569" s="135">
        <v>42983.458391203705</v>
      </c>
      <c r="I1569" s="74" t="s">
        <v>21365</v>
      </c>
      <c r="J1569" s="74" t="s">
        <v>21366</v>
      </c>
      <c r="K1569" s="74" t="s">
        <v>21367</v>
      </c>
      <c r="L1569" s="74">
        <v>561482</v>
      </c>
      <c r="M1569" s="74" t="s">
        <v>21368</v>
      </c>
      <c r="N1569" s="74">
        <v>1</v>
      </c>
      <c r="O1569" s="74" t="s">
        <v>21369</v>
      </c>
      <c r="P1569" s="74" t="s">
        <v>21343</v>
      </c>
      <c r="Q1569" s="74" t="s">
        <v>21683</v>
      </c>
      <c r="R1569" s="74" t="s">
        <v>148</v>
      </c>
      <c r="S1569" s="74" t="s">
        <v>21338</v>
      </c>
      <c r="T1569" s="74" t="s">
        <v>21371</v>
      </c>
      <c r="U1569" s="74">
        <v>0</v>
      </c>
      <c r="V1569" s="74">
        <v>0</v>
      </c>
    </row>
    <row r="1570" spans="3:22" x14ac:dyDescent="0.25">
      <c r="C1570" s="74" t="s">
        <v>735</v>
      </c>
      <c r="D1570" s="74" t="s">
        <v>148</v>
      </c>
      <c r="E1570" s="74" t="s">
        <v>21338</v>
      </c>
      <c r="F1570" s="74">
        <v>570025</v>
      </c>
      <c r="G1570" s="74">
        <v>3</v>
      </c>
      <c r="H1570" s="135">
        <v>42983.458379629628</v>
      </c>
      <c r="I1570" s="74" t="s">
        <v>21365</v>
      </c>
      <c r="J1570" s="74" t="s">
        <v>21366</v>
      </c>
      <c r="K1570" s="74" t="s">
        <v>21519</v>
      </c>
      <c r="L1570" s="74">
        <v>555672</v>
      </c>
      <c r="M1570" s="74" t="s">
        <v>21368</v>
      </c>
      <c r="N1570" s="74">
        <v>1</v>
      </c>
      <c r="O1570" s="74" t="s">
        <v>21369</v>
      </c>
      <c r="P1570" s="74" t="s">
        <v>21343</v>
      </c>
      <c r="Q1570" s="74" t="s">
        <v>21683</v>
      </c>
      <c r="R1570" s="74" t="s">
        <v>148</v>
      </c>
      <c r="S1570" s="74" t="s">
        <v>21338</v>
      </c>
      <c r="T1570" s="74" t="s">
        <v>21371</v>
      </c>
      <c r="U1570" s="74">
        <v>0</v>
      </c>
      <c r="V1570" s="74">
        <v>0</v>
      </c>
    </row>
    <row r="1571" spans="3:22" x14ac:dyDescent="0.25">
      <c r="C1571" s="74" t="s">
        <v>735</v>
      </c>
      <c r="D1571" s="74" t="s">
        <v>148</v>
      </c>
      <c r="E1571" s="74" t="s">
        <v>21338</v>
      </c>
      <c r="F1571" s="74">
        <v>570025</v>
      </c>
      <c r="G1571" s="74">
        <v>3</v>
      </c>
      <c r="H1571" s="135">
        <v>42983.458368055559</v>
      </c>
      <c r="I1571" s="74" t="s">
        <v>21365</v>
      </c>
      <c r="J1571" s="74" t="s">
        <v>21366</v>
      </c>
      <c r="K1571" s="74" t="s">
        <v>21526</v>
      </c>
      <c r="L1571" s="74">
        <v>606187</v>
      </c>
      <c r="M1571" s="74" t="s">
        <v>21368</v>
      </c>
      <c r="N1571" s="74">
        <v>1</v>
      </c>
      <c r="O1571" s="74" t="s">
        <v>21369</v>
      </c>
      <c r="P1571" s="74" t="s">
        <v>21343</v>
      </c>
      <c r="Q1571" s="74" t="s">
        <v>21683</v>
      </c>
      <c r="R1571" s="74" t="s">
        <v>148</v>
      </c>
      <c r="S1571" s="74" t="s">
        <v>21338</v>
      </c>
      <c r="T1571" s="74" t="s">
        <v>21371</v>
      </c>
      <c r="U1571" s="74">
        <v>0</v>
      </c>
      <c r="V1571" s="74">
        <v>0</v>
      </c>
    </row>
    <row r="1572" spans="3:22" x14ac:dyDescent="0.25">
      <c r="C1572" s="74" t="s">
        <v>735</v>
      </c>
      <c r="D1572" s="74" t="s">
        <v>148</v>
      </c>
      <c r="E1572" s="74" t="s">
        <v>21338</v>
      </c>
      <c r="F1572" s="74">
        <v>570025</v>
      </c>
      <c r="G1572" s="74">
        <v>3</v>
      </c>
      <c r="H1572" s="135">
        <v>42983.458344907405</v>
      </c>
      <c r="I1572" s="74" t="s">
        <v>21365</v>
      </c>
      <c r="J1572" s="74" t="s">
        <v>21366</v>
      </c>
      <c r="K1572" s="74" t="s">
        <v>21373</v>
      </c>
      <c r="L1572" s="74">
        <v>555662</v>
      </c>
      <c r="M1572" s="74" t="s">
        <v>21368</v>
      </c>
      <c r="N1572" s="74">
        <v>1</v>
      </c>
      <c r="O1572" s="74" t="s">
        <v>21369</v>
      </c>
      <c r="P1572" s="74" t="s">
        <v>21343</v>
      </c>
      <c r="Q1572" s="74" t="s">
        <v>21683</v>
      </c>
      <c r="R1572" s="74" t="s">
        <v>148</v>
      </c>
      <c r="S1572" s="74" t="s">
        <v>21338</v>
      </c>
      <c r="T1572" s="74" t="s">
        <v>21371</v>
      </c>
      <c r="U1572" s="74">
        <v>0</v>
      </c>
      <c r="V1572" s="74">
        <v>0</v>
      </c>
    </row>
    <row r="1573" spans="3:22" x14ac:dyDescent="0.25">
      <c r="C1573" s="74" t="s">
        <v>735</v>
      </c>
      <c r="D1573" s="74" t="s">
        <v>148</v>
      </c>
      <c r="E1573" s="74" t="s">
        <v>21338</v>
      </c>
      <c r="F1573" s="74">
        <v>570025</v>
      </c>
      <c r="G1573" s="74">
        <v>3</v>
      </c>
      <c r="H1573" s="135">
        <v>42983.458333333336</v>
      </c>
      <c r="I1573" s="74" t="s">
        <v>21365</v>
      </c>
      <c r="J1573" s="74" t="s">
        <v>21366</v>
      </c>
      <c r="K1573" s="74" t="s">
        <v>21376</v>
      </c>
      <c r="L1573" s="74">
        <v>555659</v>
      </c>
      <c r="M1573" s="74" t="s">
        <v>21368</v>
      </c>
      <c r="N1573" s="74">
        <v>1</v>
      </c>
      <c r="O1573" s="74" t="s">
        <v>21369</v>
      </c>
      <c r="P1573" s="74" t="s">
        <v>21343</v>
      </c>
      <c r="Q1573" s="74" t="s">
        <v>21683</v>
      </c>
      <c r="R1573" s="74" t="s">
        <v>148</v>
      </c>
      <c r="S1573" s="74" t="s">
        <v>21338</v>
      </c>
      <c r="T1573" s="74" t="s">
        <v>21371</v>
      </c>
      <c r="U1573" s="74">
        <v>0</v>
      </c>
      <c r="V1573" s="74">
        <v>0</v>
      </c>
    </row>
    <row r="1574" spans="3:22" x14ac:dyDescent="0.25">
      <c r="C1574" s="74" t="s">
        <v>735</v>
      </c>
      <c r="D1574" s="74" t="s">
        <v>148</v>
      </c>
      <c r="E1574" s="74" t="s">
        <v>21338</v>
      </c>
      <c r="F1574" s="74">
        <v>570025</v>
      </c>
      <c r="G1574" s="74">
        <v>3</v>
      </c>
      <c r="H1574" s="135">
        <v>42983.458321759259</v>
      </c>
      <c r="I1574" s="74" t="s">
        <v>21365</v>
      </c>
      <c r="J1574" s="74" t="s">
        <v>21366</v>
      </c>
      <c r="K1574" s="74" t="s">
        <v>21377</v>
      </c>
      <c r="L1574" s="74">
        <v>555668</v>
      </c>
      <c r="M1574" s="74" t="s">
        <v>21368</v>
      </c>
      <c r="N1574" s="74">
        <v>1</v>
      </c>
      <c r="O1574" s="74" t="s">
        <v>21369</v>
      </c>
      <c r="P1574" s="74" t="s">
        <v>21343</v>
      </c>
      <c r="Q1574" s="74" t="s">
        <v>21683</v>
      </c>
      <c r="R1574" s="74" t="s">
        <v>148</v>
      </c>
      <c r="S1574" s="74" t="s">
        <v>21338</v>
      </c>
      <c r="T1574" s="74" t="s">
        <v>21371</v>
      </c>
      <c r="U1574" s="74">
        <v>0</v>
      </c>
      <c r="V1574" s="74">
        <v>0</v>
      </c>
    </row>
    <row r="1575" spans="3:22" x14ac:dyDescent="0.25">
      <c r="C1575" s="74" t="s">
        <v>735</v>
      </c>
      <c r="D1575" s="74" t="s">
        <v>148</v>
      </c>
      <c r="E1575" s="74" t="s">
        <v>21338</v>
      </c>
      <c r="F1575" s="74">
        <v>570025</v>
      </c>
      <c r="G1575" s="74">
        <v>3</v>
      </c>
      <c r="H1575" s="135">
        <v>42983.458298611113</v>
      </c>
      <c r="I1575" s="74" t="s">
        <v>21339</v>
      </c>
      <c r="J1575" s="74" t="s">
        <v>21364</v>
      </c>
      <c r="K1575" s="74" t="s">
        <v>5346</v>
      </c>
      <c r="L1575" s="74">
        <v>552318</v>
      </c>
      <c r="M1575" s="74" t="s">
        <v>21341</v>
      </c>
      <c r="N1575" s="74">
        <v>1</v>
      </c>
      <c r="O1575" s="74" t="s">
        <v>21342</v>
      </c>
      <c r="P1575" s="74" t="s">
        <v>21343</v>
      </c>
      <c r="Q1575" s="74">
        <v>0</v>
      </c>
      <c r="R1575" s="74" t="s">
        <v>148</v>
      </c>
      <c r="S1575" s="74" t="s">
        <v>21338</v>
      </c>
      <c r="T1575" s="74" t="s">
        <v>402</v>
      </c>
      <c r="U1575" s="74">
        <v>0</v>
      </c>
      <c r="V1575" s="74">
        <v>0</v>
      </c>
    </row>
    <row r="1576" spans="3:22" x14ac:dyDescent="0.25">
      <c r="C1576" s="74" t="s">
        <v>735</v>
      </c>
      <c r="D1576" s="74" t="s">
        <v>148</v>
      </c>
      <c r="E1576" s="74" t="s">
        <v>21338</v>
      </c>
      <c r="F1576" s="74">
        <v>570025</v>
      </c>
      <c r="G1576" s="74">
        <v>3</v>
      </c>
      <c r="H1576" s="135">
        <v>42983.458229166667</v>
      </c>
      <c r="I1576" s="74" t="s">
        <v>21339</v>
      </c>
      <c r="J1576" s="74" t="s">
        <v>21364</v>
      </c>
      <c r="K1576" s="74" t="s">
        <v>5346</v>
      </c>
      <c r="L1576" s="74">
        <v>552318</v>
      </c>
      <c r="M1576" s="74" t="s">
        <v>21341</v>
      </c>
      <c r="N1576" s="74">
        <v>1</v>
      </c>
      <c r="O1576" s="74" t="s">
        <v>21342</v>
      </c>
      <c r="P1576" s="74" t="s">
        <v>21343</v>
      </c>
      <c r="Q1576" s="74">
        <v>0</v>
      </c>
      <c r="R1576" s="74" t="s">
        <v>148</v>
      </c>
      <c r="S1576" s="74" t="s">
        <v>21338</v>
      </c>
      <c r="T1576" s="74" t="s">
        <v>402</v>
      </c>
      <c r="U1576" s="74">
        <v>0</v>
      </c>
      <c r="V1576" s="74">
        <v>0</v>
      </c>
    </row>
    <row r="1577" spans="3:22" x14ac:dyDescent="0.25">
      <c r="C1577" s="74" t="s">
        <v>21385</v>
      </c>
      <c r="D1577" s="74" t="s">
        <v>148</v>
      </c>
      <c r="E1577" s="74" t="s">
        <v>21338</v>
      </c>
      <c r="F1577" s="74">
        <v>560579</v>
      </c>
      <c r="G1577" s="74">
        <v>3</v>
      </c>
      <c r="H1577" s="135">
        <v>42983.457071759258</v>
      </c>
      <c r="I1577" s="74" t="s">
        <v>21354</v>
      </c>
      <c r="J1577" s="74" t="s">
        <v>21355</v>
      </c>
      <c r="K1577" s="74" t="s">
        <v>2657</v>
      </c>
      <c r="L1577" s="74">
        <v>552004</v>
      </c>
      <c r="M1577" s="74" t="s">
        <v>21341</v>
      </c>
      <c r="N1577" s="74">
        <v>1</v>
      </c>
      <c r="O1577" s="74" t="s">
        <v>21342</v>
      </c>
      <c r="P1577" s="74" t="s">
        <v>21345</v>
      </c>
      <c r="R1577" s="74" t="s">
        <v>148</v>
      </c>
      <c r="S1577" s="74" t="s">
        <v>21338</v>
      </c>
      <c r="T1577" s="74" t="s">
        <v>402</v>
      </c>
      <c r="U1577" s="74">
        <v>0</v>
      </c>
      <c r="V1577" s="74">
        <v>0</v>
      </c>
    </row>
    <row r="1578" spans="3:22" x14ac:dyDescent="0.25">
      <c r="C1578" s="74" t="s">
        <v>21385</v>
      </c>
      <c r="D1578" s="74" t="s">
        <v>148</v>
      </c>
      <c r="E1578" s="74" t="s">
        <v>21338</v>
      </c>
      <c r="F1578" s="74">
        <v>560579</v>
      </c>
      <c r="G1578" s="74">
        <v>3</v>
      </c>
      <c r="H1578" s="135">
        <v>42983.457002314812</v>
      </c>
      <c r="I1578" s="74" t="s">
        <v>21354</v>
      </c>
      <c r="J1578" s="74" t="s">
        <v>21355</v>
      </c>
      <c r="K1578" s="74" t="s">
        <v>2657</v>
      </c>
      <c r="L1578" s="74">
        <v>552004</v>
      </c>
      <c r="M1578" s="74" t="s">
        <v>21341</v>
      </c>
      <c r="N1578" s="74">
        <v>1</v>
      </c>
      <c r="O1578" s="74" t="s">
        <v>21342</v>
      </c>
      <c r="P1578" s="74" t="s">
        <v>21345</v>
      </c>
      <c r="R1578" s="74" t="s">
        <v>148</v>
      </c>
      <c r="S1578" s="74" t="s">
        <v>21338</v>
      </c>
      <c r="T1578" s="74" t="s">
        <v>402</v>
      </c>
      <c r="U1578" s="74">
        <v>0</v>
      </c>
      <c r="V1578" s="74">
        <v>0</v>
      </c>
    </row>
    <row r="1579" spans="3:22" x14ac:dyDescent="0.25">
      <c r="C1579" s="74" t="s">
        <v>18795</v>
      </c>
      <c r="D1579" s="74" t="s">
        <v>148</v>
      </c>
      <c r="E1579" s="74" t="s">
        <v>21338</v>
      </c>
      <c r="F1579" s="74">
        <v>551367</v>
      </c>
      <c r="G1579" s="74">
        <v>1000</v>
      </c>
      <c r="H1579" s="135">
        <v>42983.456875000003</v>
      </c>
      <c r="I1579" s="74" t="s">
        <v>21339</v>
      </c>
      <c r="J1579" s="74" t="s">
        <v>21340</v>
      </c>
      <c r="K1579" s="74" t="s">
        <v>1714</v>
      </c>
      <c r="L1579" s="74">
        <v>551869</v>
      </c>
      <c r="M1579" s="74" t="s">
        <v>21341</v>
      </c>
      <c r="N1579" s="74">
        <v>1</v>
      </c>
      <c r="O1579" s="74" t="s">
        <v>21342</v>
      </c>
      <c r="P1579" s="74" t="s">
        <v>21343</v>
      </c>
      <c r="Q1579" s="74">
        <v>0</v>
      </c>
      <c r="R1579" s="74" t="s">
        <v>148</v>
      </c>
      <c r="S1579" s="74" t="s">
        <v>21338</v>
      </c>
      <c r="T1579" s="74" t="s">
        <v>402</v>
      </c>
      <c r="U1579" s="74">
        <v>0</v>
      </c>
      <c r="V1579" s="74">
        <v>0</v>
      </c>
    </row>
    <row r="1580" spans="3:22" x14ac:dyDescent="0.25">
      <c r="C1580" s="74" t="s">
        <v>18795</v>
      </c>
      <c r="D1580" s="74" t="s">
        <v>148</v>
      </c>
      <c r="E1580" s="74" t="s">
        <v>21338</v>
      </c>
      <c r="F1580" s="74">
        <v>551367</v>
      </c>
      <c r="G1580" s="74">
        <v>1000</v>
      </c>
      <c r="H1580" s="135">
        <v>42983.456134259257</v>
      </c>
      <c r="I1580" s="74" t="s">
        <v>21339</v>
      </c>
      <c r="J1580" s="74" t="s">
        <v>21340</v>
      </c>
      <c r="K1580" s="74" t="s">
        <v>16923</v>
      </c>
      <c r="L1580" s="74">
        <v>553791</v>
      </c>
      <c r="M1580" s="74" t="s">
        <v>21341</v>
      </c>
      <c r="N1580" s="74">
        <v>1</v>
      </c>
      <c r="O1580" s="74" t="s">
        <v>21342</v>
      </c>
      <c r="P1580" s="74" t="s">
        <v>21343</v>
      </c>
      <c r="Q1580" s="74">
        <v>0</v>
      </c>
      <c r="R1580" s="74" t="s">
        <v>148</v>
      </c>
      <c r="S1580" s="74" t="s">
        <v>21338</v>
      </c>
      <c r="T1580" s="74" t="s">
        <v>402</v>
      </c>
      <c r="U1580" s="74">
        <v>0</v>
      </c>
      <c r="V1580" s="74">
        <v>0</v>
      </c>
    </row>
    <row r="1581" spans="3:22" x14ac:dyDescent="0.25">
      <c r="C1581" s="74" t="s">
        <v>735</v>
      </c>
      <c r="D1581" s="74" t="s">
        <v>148</v>
      </c>
      <c r="E1581" s="74" t="s">
        <v>21338</v>
      </c>
      <c r="F1581" s="74">
        <v>570025</v>
      </c>
      <c r="G1581" s="74">
        <v>3</v>
      </c>
      <c r="H1581" s="135">
        <v>42983.454456018517</v>
      </c>
      <c r="I1581" s="74" t="s">
        <v>21339</v>
      </c>
      <c r="J1581" s="74" t="s">
        <v>21360</v>
      </c>
      <c r="K1581" s="74" t="s">
        <v>5346</v>
      </c>
      <c r="L1581" s="74">
        <v>552318</v>
      </c>
      <c r="M1581" s="74" t="s">
        <v>21341</v>
      </c>
      <c r="N1581" s="74">
        <v>1</v>
      </c>
      <c r="O1581" s="74" t="s">
        <v>21342</v>
      </c>
      <c r="P1581" s="74" t="s">
        <v>21343</v>
      </c>
      <c r="Q1581" s="74" t="s">
        <v>21361</v>
      </c>
      <c r="R1581" s="74" t="s">
        <v>148</v>
      </c>
      <c r="S1581" s="74" t="s">
        <v>21338</v>
      </c>
      <c r="T1581" s="74" t="s">
        <v>402</v>
      </c>
      <c r="U1581" s="74">
        <v>0</v>
      </c>
      <c r="V1581" s="74">
        <v>0</v>
      </c>
    </row>
    <row r="1582" spans="3:22" x14ac:dyDescent="0.25">
      <c r="C1582" s="74" t="s">
        <v>18795</v>
      </c>
      <c r="D1582" s="74" t="s">
        <v>148</v>
      </c>
      <c r="E1582" s="74" t="s">
        <v>21338</v>
      </c>
      <c r="F1582" s="74">
        <v>551367</v>
      </c>
      <c r="G1582" s="74">
        <v>1000</v>
      </c>
      <c r="H1582" s="135">
        <v>42983.45275462963</v>
      </c>
      <c r="I1582" s="74" t="s">
        <v>21339</v>
      </c>
      <c r="J1582" s="74" t="s">
        <v>21340</v>
      </c>
      <c r="K1582" s="74" t="s">
        <v>11773</v>
      </c>
      <c r="L1582" s="74">
        <v>569899</v>
      </c>
      <c r="M1582" s="74" t="s">
        <v>21341</v>
      </c>
      <c r="N1582" s="74">
        <v>1</v>
      </c>
      <c r="O1582" s="74" t="s">
        <v>21342</v>
      </c>
      <c r="P1582" s="74" t="s">
        <v>21343</v>
      </c>
      <c r="Q1582" s="74">
        <v>0</v>
      </c>
      <c r="R1582" s="74" t="s">
        <v>148</v>
      </c>
      <c r="S1582" s="74" t="s">
        <v>21338</v>
      </c>
      <c r="T1582" s="74" t="s">
        <v>402</v>
      </c>
      <c r="U1582" s="74">
        <v>0</v>
      </c>
      <c r="V1582" s="74">
        <v>0</v>
      </c>
    </row>
    <row r="1583" spans="3:22" x14ac:dyDescent="0.25">
      <c r="C1583" s="74" t="s">
        <v>735</v>
      </c>
      <c r="D1583" s="74" t="s">
        <v>148</v>
      </c>
      <c r="E1583" s="74" t="s">
        <v>21338</v>
      </c>
      <c r="F1583" s="74">
        <v>570025</v>
      </c>
      <c r="G1583" s="74">
        <v>3</v>
      </c>
      <c r="H1583" s="135">
        <v>42983.451724537037</v>
      </c>
      <c r="I1583" s="74" t="s">
        <v>21339</v>
      </c>
      <c r="J1583" s="74" t="s">
        <v>21362</v>
      </c>
      <c r="K1583" s="74" t="s">
        <v>21684</v>
      </c>
      <c r="L1583" s="74">
        <v>633896</v>
      </c>
      <c r="M1583" s="74" t="s">
        <v>21341</v>
      </c>
      <c r="N1583" s="74">
        <v>1</v>
      </c>
      <c r="O1583" s="74" t="s">
        <v>21342</v>
      </c>
      <c r="P1583" s="74" t="s">
        <v>21343</v>
      </c>
      <c r="Q1583" s="74" t="s">
        <v>21363</v>
      </c>
      <c r="R1583" s="74" t="s">
        <v>148</v>
      </c>
      <c r="S1583" s="74" t="s">
        <v>21338</v>
      </c>
      <c r="T1583" s="74" t="s">
        <v>393</v>
      </c>
      <c r="U1583" s="74">
        <v>0</v>
      </c>
      <c r="V1583" s="74">
        <v>0</v>
      </c>
    </row>
    <row r="1584" spans="3:22" x14ac:dyDescent="0.25">
      <c r="C1584" s="74" t="s">
        <v>735</v>
      </c>
      <c r="D1584" s="74" t="s">
        <v>148</v>
      </c>
      <c r="E1584" s="74" t="s">
        <v>21338</v>
      </c>
      <c r="F1584" s="74">
        <v>570025</v>
      </c>
      <c r="G1584" s="74">
        <v>3</v>
      </c>
      <c r="H1584" s="135">
        <v>42983.450891203705</v>
      </c>
      <c r="I1584" s="74" t="s">
        <v>21339</v>
      </c>
      <c r="J1584" s="74" t="s">
        <v>21364</v>
      </c>
      <c r="K1584" s="74" t="s">
        <v>21684</v>
      </c>
      <c r="L1584" s="74">
        <v>633896</v>
      </c>
      <c r="M1584" s="74" t="s">
        <v>21341</v>
      </c>
      <c r="N1584" s="74">
        <v>1</v>
      </c>
      <c r="O1584" s="74" t="s">
        <v>21342</v>
      </c>
      <c r="P1584" s="74" t="s">
        <v>21343</v>
      </c>
      <c r="Q1584" s="74">
        <v>0</v>
      </c>
      <c r="R1584" s="74" t="s">
        <v>148</v>
      </c>
      <c r="S1584" s="74" t="s">
        <v>21338</v>
      </c>
      <c r="T1584" s="74" t="s">
        <v>402</v>
      </c>
      <c r="U1584" s="74">
        <v>0</v>
      </c>
      <c r="V1584" s="74">
        <v>0</v>
      </c>
    </row>
    <row r="1585" spans="3:22" x14ac:dyDescent="0.25">
      <c r="C1585" s="74" t="s">
        <v>735</v>
      </c>
      <c r="D1585" s="74" t="s">
        <v>148</v>
      </c>
      <c r="E1585" s="74" t="s">
        <v>21338</v>
      </c>
      <c r="F1585" s="74">
        <v>570025</v>
      </c>
      <c r="G1585" s="74">
        <v>3</v>
      </c>
      <c r="H1585" s="135">
        <v>42983.450879629629</v>
      </c>
      <c r="I1585" s="74" t="s">
        <v>21365</v>
      </c>
      <c r="J1585" s="74" t="s">
        <v>21366</v>
      </c>
      <c r="K1585" s="74" t="s">
        <v>21367</v>
      </c>
      <c r="L1585" s="74">
        <v>561482</v>
      </c>
      <c r="M1585" s="74" t="s">
        <v>21368</v>
      </c>
      <c r="N1585" s="74">
        <v>1</v>
      </c>
      <c r="O1585" s="74" t="s">
        <v>21369</v>
      </c>
      <c r="P1585" s="74" t="s">
        <v>21343</v>
      </c>
      <c r="Q1585" s="74" t="s">
        <v>21685</v>
      </c>
      <c r="R1585" s="74" t="s">
        <v>148</v>
      </c>
      <c r="S1585" s="74" t="s">
        <v>21338</v>
      </c>
      <c r="T1585" s="74" t="s">
        <v>21371</v>
      </c>
      <c r="U1585" s="74">
        <v>0</v>
      </c>
      <c r="V1585" s="74">
        <v>0</v>
      </c>
    </row>
    <row r="1586" spans="3:22" x14ac:dyDescent="0.25">
      <c r="C1586" s="74" t="s">
        <v>735</v>
      </c>
      <c r="D1586" s="74" t="s">
        <v>148</v>
      </c>
      <c r="E1586" s="74" t="s">
        <v>21338</v>
      </c>
      <c r="F1586" s="74">
        <v>570025</v>
      </c>
      <c r="G1586" s="74">
        <v>3</v>
      </c>
      <c r="H1586" s="135">
        <v>42983.450856481482</v>
      </c>
      <c r="I1586" s="74" t="s">
        <v>21365</v>
      </c>
      <c r="J1586" s="74" t="s">
        <v>21366</v>
      </c>
      <c r="K1586" s="74" t="s">
        <v>21381</v>
      </c>
      <c r="L1586" s="74">
        <v>555660</v>
      </c>
      <c r="M1586" s="74" t="s">
        <v>21368</v>
      </c>
      <c r="N1586" s="74">
        <v>1</v>
      </c>
      <c r="O1586" s="74" t="s">
        <v>21369</v>
      </c>
      <c r="P1586" s="74" t="s">
        <v>21343</v>
      </c>
      <c r="Q1586" s="74" t="s">
        <v>21685</v>
      </c>
      <c r="R1586" s="74" t="s">
        <v>148</v>
      </c>
      <c r="S1586" s="74" t="s">
        <v>21338</v>
      </c>
      <c r="T1586" s="74" t="s">
        <v>21371</v>
      </c>
      <c r="U1586" s="74">
        <v>0</v>
      </c>
      <c r="V1586" s="74">
        <v>0</v>
      </c>
    </row>
    <row r="1587" spans="3:22" x14ac:dyDescent="0.25">
      <c r="C1587" s="74" t="s">
        <v>735</v>
      </c>
      <c r="D1587" s="74" t="s">
        <v>148</v>
      </c>
      <c r="E1587" s="74" t="s">
        <v>21338</v>
      </c>
      <c r="F1587" s="74">
        <v>570025</v>
      </c>
      <c r="G1587" s="74">
        <v>3</v>
      </c>
      <c r="H1587" s="135">
        <v>42983.450833333336</v>
      </c>
      <c r="I1587" s="74" t="s">
        <v>21339</v>
      </c>
      <c r="J1587" s="74" t="s">
        <v>21364</v>
      </c>
      <c r="K1587" s="74" t="s">
        <v>21684</v>
      </c>
      <c r="L1587" s="74">
        <v>633896</v>
      </c>
      <c r="M1587" s="74" t="s">
        <v>21341</v>
      </c>
      <c r="N1587" s="74">
        <v>1</v>
      </c>
      <c r="O1587" s="74" t="s">
        <v>21342</v>
      </c>
      <c r="P1587" s="74" t="s">
        <v>21343</v>
      </c>
      <c r="Q1587" s="74">
        <v>0</v>
      </c>
      <c r="R1587" s="74" t="s">
        <v>148</v>
      </c>
      <c r="S1587" s="74" t="s">
        <v>21338</v>
      </c>
      <c r="T1587" s="74" t="s">
        <v>402</v>
      </c>
      <c r="U1587" s="74">
        <v>0</v>
      </c>
      <c r="V1587" s="74">
        <v>0</v>
      </c>
    </row>
    <row r="1588" spans="3:22" x14ac:dyDescent="0.25">
      <c r="C1588" s="74" t="s">
        <v>735</v>
      </c>
      <c r="D1588" s="74" t="s">
        <v>148</v>
      </c>
      <c r="E1588" s="74" t="s">
        <v>21338</v>
      </c>
      <c r="F1588" s="74">
        <v>570025</v>
      </c>
      <c r="G1588" s="74">
        <v>3</v>
      </c>
      <c r="H1588" s="135">
        <v>42983.450775462959</v>
      </c>
      <c r="I1588" s="74" t="s">
        <v>21339</v>
      </c>
      <c r="J1588" s="74" t="s">
        <v>21364</v>
      </c>
      <c r="K1588" s="74" t="s">
        <v>21684</v>
      </c>
      <c r="L1588" s="74">
        <v>633896</v>
      </c>
      <c r="M1588" s="74" t="s">
        <v>21341</v>
      </c>
      <c r="N1588" s="74">
        <v>1</v>
      </c>
      <c r="O1588" s="74" t="s">
        <v>21342</v>
      </c>
      <c r="P1588" s="74" t="s">
        <v>21343</v>
      </c>
      <c r="Q1588" s="74">
        <v>0</v>
      </c>
      <c r="R1588" s="74" t="s">
        <v>148</v>
      </c>
      <c r="S1588" s="74" t="s">
        <v>21338</v>
      </c>
      <c r="T1588" s="74" t="s">
        <v>402</v>
      </c>
      <c r="U1588" s="74">
        <v>0</v>
      </c>
      <c r="V1588" s="74">
        <v>0</v>
      </c>
    </row>
    <row r="1589" spans="3:22" x14ac:dyDescent="0.25">
      <c r="C1589" s="74" t="s">
        <v>18795</v>
      </c>
      <c r="D1589" s="74" t="s">
        <v>148</v>
      </c>
      <c r="E1589" s="74" t="s">
        <v>21338</v>
      </c>
      <c r="F1589" s="74">
        <v>551367</v>
      </c>
      <c r="G1589" s="74">
        <v>1000</v>
      </c>
      <c r="H1589" s="135">
        <v>42983.450682870367</v>
      </c>
      <c r="I1589" s="74" t="s">
        <v>21339</v>
      </c>
      <c r="J1589" s="74" t="s">
        <v>21340</v>
      </c>
      <c r="K1589" s="74" t="s">
        <v>9615</v>
      </c>
      <c r="L1589" s="74">
        <v>552870</v>
      </c>
      <c r="M1589" s="74" t="s">
        <v>21341</v>
      </c>
      <c r="N1589" s="74">
        <v>1</v>
      </c>
      <c r="O1589" s="74" t="s">
        <v>21342</v>
      </c>
      <c r="P1589" s="74" t="s">
        <v>21343</v>
      </c>
      <c r="Q1589" s="74">
        <v>0</v>
      </c>
      <c r="R1589" s="74" t="s">
        <v>148</v>
      </c>
      <c r="S1589" s="74" t="s">
        <v>21338</v>
      </c>
      <c r="T1589" s="74" t="s">
        <v>402</v>
      </c>
      <c r="U1589" s="74">
        <v>0</v>
      </c>
      <c r="V1589" s="74">
        <v>0</v>
      </c>
    </row>
    <row r="1590" spans="3:22" x14ac:dyDescent="0.25">
      <c r="C1590" s="74" t="s">
        <v>735</v>
      </c>
      <c r="D1590" s="74" t="s">
        <v>148</v>
      </c>
      <c r="E1590" s="74" t="s">
        <v>21338</v>
      </c>
      <c r="F1590" s="74">
        <v>570025</v>
      </c>
      <c r="G1590" s="74">
        <v>3</v>
      </c>
      <c r="H1590" s="135">
        <v>42983.45039351852</v>
      </c>
      <c r="I1590" s="74" t="s">
        <v>21339</v>
      </c>
      <c r="J1590" s="74" t="s">
        <v>21360</v>
      </c>
      <c r="K1590" s="74" t="s">
        <v>21684</v>
      </c>
      <c r="L1590" s="74">
        <v>633896</v>
      </c>
      <c r="M1590" s="74" t="s">
        <v>21341</v>
      </c>
      <c r="N1590" s="74">
        <v>1</v>
      </c>
      <c r="O1590" s="74" t="s">
        <v>21342</v>
      </c>
      <c r="P1590" s="74" t="s">
        <v>21343</v>
      </c>
      <c r="Q1590" s="74" t="s">
        <v>21361</v>
      </c>
      <c r="R1590" s="74" t="s">
        <v>148</v>
      </c>
      <c r="S1590" s="74" t="s">
        <v>21338</v>
      </c>
      <c r="T1590" s="74" t="s">
        <v>402</v>
      </c>
      <c r="U1590" s="74">
        <v>0</v>
      </c>
      <c r="V1590" s="74">
        <v>0</v>
      </c>
    </row>
    <row r="1591" spans="3:22" x14ac:dyDescent="0.25">
      <c r="C1591" s="74" t="s">
        <v>21385</v>
      </c>
      <c r="D1591" s="74" t="s">
        <v>148</v>
      </c>
      <c r="E1591" s="74" t="s">
        <v>21338</v>
      </c>
      <c r="F1591" s="74">
        <v>560579</v>
      </c>
      <c r="G1591" s="74">
        <v>3</v>
      </c>
      <c r="H1591" s="135">
        <v>42983.449201388888</v>
      </c>
      <c r="I1591" s="74" t="s">
        <v>21354</v>
      </c>
      <c r="J1591" s="74" t="s">
        <v>21355</v>
      </c>
      <c r="K1591" s="74" t="s">
        <v>21641</v>
      </c>
      <c r="L1591" s="74">
        <v>729505</v>
      </c>
      <c r="M1591" s="74" t="s">
        <v>21341</v>
      </c>
      <c r="N1591" s="74">
        <v>1</v>
      </c>
      <c r="O1591" s="74" t="s">
        <v>21342</v>
      </c>
      <c r="P1591" s="74" t="s">
        <v>21345</v>
      </c>
      <c r="R1591" s="74" t="s">
        <v>148</v>
      </c>
      <c r="S1591" s="74" t="s">
        <v>21338</v>
      </c>
      <c r="T1591" s="74" t="s">
        <v>402</v>
      </c>
      <c r="U1591" s="74">
        <v>0</v>
      </c>
      <c r="V1591" s="74">
        <v>0</v>
      </c>
    </row>
    <row r="1592" spans="3:22" x14ac:dyDescent="0.25">
      <c r="C1592" s="74" t="s">
        <v>21385</v>
      </c>
      <c r="D1592" s="74" t="s">
        <v>148</v>
      </c>
      <c r="E1592" s="74" t="s">
        <v>21338</v>
      </c>
      <c r="F1592" s="74">
        <v>560579</v>
      </c>
      <c r="G1592" s="74">
        <v>3</v>
      </c>
      <c r="H1592" s="135">
        <v>42983.449143518519</v>
      </c>
      <c r="I1592" s="74" t="s">
        <v>21354</v>
      </c>
      <c r="J1592" s="74" t="s">
        <v>21355</v>
      </c>
      <c r="K1592" s="74" t="s">
        <v>21641</v>
      </c>
      <c r="L1592" s="74">
        <v>729505</v>
      </c>
      <c r="M1592" s="74" t="s">
        <v>21341</v>
      </c>
      <c r="N1592" s="74">
        <v>1</v>
      </c>
      <c r="O1592" s="74" t="s">
        <v>21342</v>
      </c>
      <c r="P1592" s="74" t="s">
        <v>21345</v>
      </c>
      <c r="R1592" s="74" t="s">
        <v>148</v>
      </c>
      <c r="S1592" s="74" t="s">
        <v>21338</v>
      </c>
      <c r="T1592" s="74" t="s">
        <v>402</v>
      </c>
      <c r="U1592" s="74">
        <v>0</v>
      </c>
      <c r="V1592" s="74">
        <v>0</v>
      </c>
    </row>
    <row r="1593" spans="3:22" x14ac:dyDescent="0.25">
      <c r="C1593" s="74" t="s">
        <v>18795</v>
      </c>
      <c r="D1593" s="74" t="s">
        <v>148</v>
      </c>
      <c r="E1593" s="74" t="s">
        <v>21338</v>
      </c>
      <c r="F1593" s="74">
        <v>551367</v>
      </c>
      <c r="G1593" s="74">
        <v>1000</v>
      </c>
      <c r="H1593" s="135">
        <v>42983.440393518518</v>
      </c>
      <c r="I1593" s="74" t="s">
        <v>21339</v>
      </c>
      <c r="J1593" s="74" t="s">
        <v>21340</v>
      </c>
      <c r="K1593" s="74" t="s">
        <v>11244</v>
      </c>
      <c r="L1593" s="74">
        <v>553084</v>
      </c>
      <c r="M1593" s="74" t="s">
        <v>21341</v>
      </c>
      <c r="N1593" s="74">
        <v>1</v>
      </c>
      <c r="O1593" s="74" t="s">
        <v>21342</v>
      </c>
      <c r="P1593" s="74" t="s">
        <v>21343</v>
      </c>
      <c r="Q1593" s="74">
        <v>0</v>
      </c>
      <c r="R1593" s="74" t="s">
        <v>148</v>
      </c>
      <c r="S1593" s="74" t="s">
        <v>21338</v>
      </c>
      <c r="T1593" s="74" t="s">
        <v>402</v>
      </c>
      <c r="U1593" s="74">
        <v>0</v>
      </c>
      <c r="V1593" s="74">
        <v>0</v>
      </c>
    </row>
    <row r="1594" spans="3:22" x14ac:dyDescent="0.25">
      <c r="C1594" s="74" t="s">
        <v>21390</v>
      </c>
      <c r="D1594" s="74" t="s">
        <v>148</v>
      </c>
      <c r="E1594" s="74" t="s">
        <v>21338</v>
      </c>
      <c r="F1594" s="74">
        <v>560864</v>
      </c>
      <c r="G1594" s="74">
        <v>3</v>
      </c>
      <c r="H1594" s="135">
        <v>42983.43986111111</v>
      </c>
      <c r="I1594" s="74" t="s">
        <v>21354</v>
      </c>
      <c r="J1594" s="74" t="s">
        <v>21355</v>
      </c>
      <c r="K1594" s="74" t="s">
        <v>10107</v>
      </c>
      <c r="L1594" s="74">
        <v>552934</v>
      </c>
      <c r="M1594" s="74" t="s">
        <v>21341</v>
      </c>
      <c r="N1594" s="74">
        <v>1</v>
      </c>
      <c r="O1594" s="74" t="s">
        <v>21342</v>
      </c>
      <c r="P1594" s="74" t="s">
        <v>21345</v>
      </c>
      <c r="R1594" s="74" t="s">
        <v>148</v>
      </c>
      <c r="S1594" s="74" t="s">
        <v>21338</v>
      </c>
      <c r="T1594" s="74" t="s">
        <v>402</v>
      </c>
      <c r="U1594" s="74">
        <v>0</v>
      </c>
      <c r="V1594" s="74">
        <v>0</v>
      </c>
    </row>
    <row r="1595" spans="3:22" x14ac:dyDescent="0.25">
      <c r="C1595" s="74" t="s">
        <v>18795</v>
      </c>
      <c r="D1595" s="74" t="s">
        <v>148</v>
      </c>
      <c r="E1595" s="74" t="s">
        <v>21338</v>
      </c>
      <c r="F1595" s="74">
        <v>551367</v>
      </c>
      <c r="G1595" s="74">
        <v>1000</v>
      </c>
      <c r="H1595" s="135">
        <v>42983.434398148151</v>
      </c>
      <c r="I1595" s="74" t="s">
        <v>21339</v>
      </c>
      <c r="J1595" s="74" t="s">
        <v>21340</v>
      </c>
      <c r="K1595" s="74" t="s">
        <v>21109</v>
      </c>
      <c r="L1595" s="74">
        <v>554314</v>
      </c>
      <c r="M1595" s="74" t="s">
        <v>21341</v>
      </c>
      <c r="N1595" s="74">
        <v>1</v>
      </c>
      <c r="O1595" s="74" t="s">
        <v>21342</v>
      </c>
      <c r="P1595" s="74" t="s">
        <v>21343</v>
      </c>
      <c r="Q1595" s="74">
        <v>0</v>
      </c>
      <c r="R1595" s="74" t="s">
        <v>148</v>
      </c>
      <c r="S1595" s="74" t="s">
        <v>21338</v>
      </c>
      <c r="T1595" s="74" t="s">
        <v>402</v>
      </c>
      <c r="U1595" s="74">
        <v>0</v>
      </c>
      <c r="V1595" s="74">
        <v>0</v>
      </c>
    </row>
    <row r="1596" spans="3:22" x14ac:dyDescent="0.25">
      <c r="C1596" s="74" t="s">
        <v>18795</v>
      </c>
      <c r="D1596" s="74" t="s">
        <v>148</v>
      </c>
      <c r="E1596" s="74" t="s">
        <v>21338</v>
      </c>
      <c r="F1596" s="74">
        <v>551367</v>
      </c>
      <c r="G1596" s="74">
        <v>1000</v>
      </c>
      <c r="H1596" s="135">
        <v>42983.432523148149</v>
      </c>
      <c r="I1596" s="74" t="s">
        <v>21339</v>
      </c>
      <c r="J1596" s="74" t="s">
        <v>21340</v>
      </c>
      <c r="K1596" s="74" t="s">
        <v>19719</v>
      </c>
      <c r="L1596" s="74">
        <v>554136</v>
      </c>
      <c r="M1596" s="74" t="s">
        <v>21341</v>
      </c>
      <c r="N1596" s="74">
        <v>1</v>
      </c>
      <c r="O1596" s="74" t="s">
        <v>21342</v>
      </c>
      <c r="P1596" s="74" t="s">
        <v>21343</v>
      </c>
      <c r="Q1596" s="74">
        <v>0</v>
      </c>
      <c r="R1596" s="74" t="s">
        <v>148</v>
      </c>
      <c r="S1596" s="74" t="s">
        <v>21338</v>
      </c>
      <c r="T1596" s="74" t="s">
        <v>402</v>
      </c>
      <c r="U1596" s="74">
        <v>0</v>
      </c>
      <c r="V1596" s="74">
        <v>0</v>
      </c>
    </row>
    <row r="1597" spans="3:22" x14ac:dyDescent="0.25">
      <c r="C1597" s="74" t="s">
        <v>18795</v>
      </c>
      <c r="D1597" s="74" t="s">
        <v>148</v>
      </c>
      <c r="E1597" s="74" t="s">
        <v>21338</v>
      </c>
      <c r="F1597" s="74">
        <v>551367</v>
      </c>
      <c r="G1597" s="74">
        <v>1000</v>
      </c>
      <c r="H1597" s="135">
        <v>42983.430173611108</v>
      </c>
      <c r="I1597" s="74" t="s">
        <v>21339</v>
      </c>
      <c r="J1597" s="74" t="s">
        <v>21340</v>
      </c>
      <c r="K1597" s="74" t="s">
        <v>3311</v>
      </c>
      <c r="L1597" s="74">
        <v>552081</v>
      </c>
      <c r="M1597" s="74" t="s">
        <v>21341</v>
      </c>
      <c r="N1597" s="74">
        <v>1</v>
      </c>
      <c r="O1597" s="74" t="s">
        <v>21342</v>
      </c>
      <c r="P1597" s="74" t="s">
        <v>21343</v>
      </c>
      <c r="Q1597" s="74">
        <v>0</v>
      </c>
      <c r="R1597" s="74" t="s">
        <v>148</v>
      </c>
      <c r="S1597" s="74" t="s">
        <v>21338</v>
      </c>
      <c r="T1597" s="74" t="s">
        <v>402</v>
      </c>
      <c r="U1597" s="74">
        <v>0</v>
      </c>
      <c r="V1597" s="74">
        <v>0</v>
      </c>
    </row>
    <row r="1598" spans="3:22" x14ac:dyDescent="0.25">
      <c r="C1598" s="74" t="s">
        <v>18795</v>
      </c>
      <c r="D1598" s="74" t="s">
        <v>148</v>
      </c>
      <c r="E1598" s="74" t="s">
        <v>21338</v>
      </c>
      <c r="F1598" s="74">
        <v>551367</v>
      </c>
      <c r="G1598" s="74">
        <v>1000</v>
      </c>
      <c r="H1598" s="135">
        <v>42983.426759259259</v>
      </c>
      <c r="I1598" s="74" t="s">
        <v>21339</v>
      </c>
      <c r="J1598" s="74" t="s">
        <v>21340</v>
      </c>
      <c r="K1598" s="74" t="s">
        <v>2781</v>
      </c>
      <c r="L1598" s="74">
        <v>552021</v>
      </c>
      <c r="M1598" s="74" t="s">
        <v>21341</v>
      </c>
      <c r="N1598" s="74">
        <v>1</v>
      </c>
      <c r="O1598" s="74" t="s">
        <v>21342</v>
      </c>
      <c r="P1598" s="74" t="s">
        <v>21343</v>
      </c>
      <c r="Q1598" s="74">
        <v>0</v>
      </c>
      <c r="R1598" s="74" t="s">
        <v>148</v>
      </c>
      <c r="S1598" s="74" t="s">
        <v>21338</v>
      </c>
      <c r="T1598" s="74" t="s">
        <v>402</v>
      </c>
      <c r="U1598" s="74">
        <v>0</v>
      </c>
      <c r="V1598" s="74">
        <v>0</v>
      </c>
    </row>
    <row r="1599" spans="3:22" x14ac:dyDescent="0.25">
      <c r="C1599" s="74" t="s">
        <v>735</v>
      </c>
      <c r="D1599" s="74" t="s">
        <v>148</v>
      </c>
      <c r="E1599" s="74" t="s">
        <v>21338</v>
      </c>
      <c r="F1599" s="74">
        <v>570025</v>
      </c>
      <c r="G1599" s="74">
        <v>3</v>
      </c>
      <c r="H1599" s="135">
        <v>42983.426435185182</v>
      </c>
      <c r="I1599" s="74" t="s">
        <v>21339</v>
      </c>
      <c r="J1599" s="74" t="s">
        <v>21362</v>
      </c>
      <c r="K1599" s="74" t="s">
        <v>14829</v>
      </c>
      <c r="L1599" s="74">
        <v>719187</v>
      </c>
      <c r="M1599" s="74" t="s">
        <v>21341</v>
      </c>
      <c r="N1599" s="74">
        <v>1</v>
      </c>
      <c r="O1599" s="74" t="s">
        <v>21342</v>
      </c>
      <c r="P1599" s="74" t="s">
        <v>21343</v>
      </c>
      <c r="Q1599" s="74" t="s">
        <v>21363</v>
      </c>
      <c r="R1599" s="74" t="s">
        <v>148</v>
      </c>
      <c r="S1599" s="74" t="s">
        <v>21338</v>
      </c>
      <c r="T1599" s="74" t="s">
        <v>393</v>
      </c>
      <c r="U1599" s="74">
        <v>0</v>
      </c>
      <c r="V1599" s="74">
        <v>0</v>
      </c>
    </row>
    <row r="1600" spans="3:22" x14ac:dyDescent="0.25">
      <c r="C1600" s="74" t="s">
        <v>735</v>
      </c>
      <c r="D1600" s="74" t="s">
        <v>148</v>
      </c>
      <c r="E1600" s="74" t="s">
        <v>21338</v>
      </c>
      <c r="F1600" s="74">
        <v>570025</v>
      </c>
      <c r="G1600" s="74">
        <v>3</v>
      </c>
      <c r="H1600" s="135">
        <v>42983.426030092596</v>
      </c>
      <c r="I1600" s="74" t="s">
        <v>21365</v>
      </c>
      <c r="J1600" s="74" t="s">
        <v>21366</v>
      </c>
      <c r="K1600" s="74" t="s">
        <v>21367</v>
      </c>
      <c r="L1600" s="74">
        <v>561482</v>
      </c>
      <c r="M1600" s="74" t="s">
        <v>21368</v>
      </c>
      <c r="N1600" s="74">
        <v>1</v>
      </c>
      <c r="O1600" s="74" t="s">
        <v>21369</v>
      </c>
      <c r="P1600" s="74" t="s">
        <v>21343</v>
      </c>
      <c r="Q1600" s="74" t="s">
        <v>21686</v>
      </c>
      <c r="R1600" s="74" t="s">
        <v>148</v>
      </c>
      <c r="S1600" s="74" t="s">
        <v>21338</v>
      </c>
      <c r="T1600" s="74" t="s">
        <v>21371</v>
      </c>
      <c r="U1600" s="74">
        <v>0</v>
      </c>
      <c r="V1600" s="74">
        <v>0</v>
      </c>
    </row>
    <row r="1601" spans="3:22" x14ac:dyDescent="0.25">
      <c r="C1601" s="74" t="s">
        <v>735</v>
      </c>
      <c r="D1601" s="74" t="s">
        <v>148</v>
      </c>
      <c r="E1601" s="74" t="s">
        <v>21338</v>
      </c>
      <c r="F1601" s="74">
        <v>570025</v>
      </c>
      <c r="G1601" s="74">
        <v>3</v>
      </c>
      <c r="H1601" s="135">
        <v>42983.426030092596</v>
      </c>
      <c r="I1601" s="74" t="s">
        <v>21339</v>
      </c>
      <c r="J1601" s="74" t="s">
        <v>21364</v>
      </c>
      <c r="K1601" s="74" t="s">
        <v>14829</v>
      </c>
      <c r="L1601" s="74">
        <v>719187</v>
      </c>
      <c r="M1601" s="74" t="s">
        <v>21341</v>
      </c>
      <c r="N1601" s="74">
        <v>1</v>
      </c>
      <c r="O1601" s="74" t="s">
        <v>21342</v>
      </c>
      <c r="P1601" s="74" t="s">
        <v>21343</v>
      </c>
      <c r="Q1601" s="74">
        <v>0</v>
      </c>
      <c r="R1601" s="74" t="s">
        <v>148</v>
      </c>
      <c r="S1601" s="74" t="s">
        <v>21338</v>
      </c>
      <c r="T1601" s="74" t="s">
        <v>402</v>
      </c>
      <c r="U1601" s="74">
        <v>0</v>
      </c>
      <c r="V1601" s="74">
        <v>0</v>
      </c>
    </row>
    <row r="1602" spans="3:22" x14ac:dyDescent="0.25">
      <c r="C1602" s="74" t="s">
        <v>735</v>
      </c>
      <c r="D1602" s="74" t="s">
        <v>148</v>
      </c>
      <c r="E1602" s="74" t="s">
        <v>21338</v>
      </c>
      <c r="F1602" s="74">
        <v>570025</v>
      </c>
      <c r="G1602" s="74">
        <v>3</v>
      </c>
      <c r="H1602" s="135">
        <v>42983.425983796296</v>
      </c>
      <c r="I1602" s="74" t="s">
        <v>21365</v>
      </c>
      <c r="J1602" s="74" t="s">
        <v>21366</v>
      </c>
      <c r="K1602" s="74" t="s">
        <v>21381</v>
      </c>
      <c r="L1602" s="74">
        <v>555660</v>
      </c>
      <c r="M1602" s="74" t="s">
        <v>21368</v>
      </c>
      <c r="N1602" s="74">
        <v>1</v>
      </c>
      <c r="O1602" s="74" t="s">
        <v>21369</v>
      </c>
      <c r="P1602" s="74" t="s">
        <v>21343</v>
      </c>
      <c r="Q1602" s="74" t="s">
        <v>21686</v>
      </c>
      <c r="R1602" s="74" t="s">
        <v>148</v>
      </c>
      <c r="S1602" s="74" t="s">
        <v>21338</v>
      </c>
      <c r="T1602" s="74" t="s">
        <v>21371</v>
      </c>
      <c r="U1602" s="74">
        <v>0</v>
      </c>
      <c r="V1602" s="74">
        <v>0</v>
      </c>
    </row>
    <row r="1603" spans="3:22" x14ac:dyDescent="0.25">
      <c r="C1603" s="74" t="s">
        <v>735</v>
      </c>
      <c r="D1603" s="74" t="s">
        <v>148</v>
      </c>
      <c r="E1603" s="74" t="s">
        <v>21338</v>
      </c>
      <c r="F1603" s="74">
        <v>570025</v>
      </c>
      <c r="G1603" s="74">
        <v>3</v>
      </c>
      <c r="H1603" s="135">
        <v>42983.42596064815</v>
      </c>
      <c r="I1603" s="74" t="s">
        <v>21339</v>
      </c>
      <c r="J1603" s="74" t="s">
        <v>21364</v>
      </c>
      <c r="K1603" s="74" t="s">
        <v>14829</v>
      </c>
      <c r="L1603" s="74">
        <v>719187</v>
      </c>
      <c r="M1603" s="74" t="s">
        <v>21341</v>
      </c>
      <c r="N1603" s="74">
        <v>1</v>
      </c>
      <c r="O1603" s="74" t="s">
        <v>21342</v>
      </c>
      <c r="P1603" s="74" t="s">
        <v>21343</v>
      </c>
      <c r="Q1603" s="74">
        <v>0</v>
      </c>
      <c r="R1603" s="74" t="s">
        <v>148</v>
      </c>
      <c r="S1603" s="74" t="s">
        <v>21338</v>
      </c>
      <c r="T1603" s="74" t="s">
        <v>402</v>
      </c>
      <c r="U1603" s="74">
        <v>0</v>
      </c>
      <c r="V1603" s="74">
        <v>0</v>
      </c>
    </row>
    <row r="1604" spans="3:22" x14ac:dyDescent="0.25">
      <c r="C1604" s="74" t="s">
        <v>735</v>
      </c>
      <c r="D1604" s="74" t="s">
        <v>148</v>
      </c>
      <c r="E1604" s="74" t="s">
        <v>21338</v>
      </c>
      <c r="F1604" s="74">
        <v>570025</v>
      </c>
      <c r="G1604" s="74">
        <v>3</v>
      </c>
      <c r="H1604" s="135">
        <v>42983.425891203704</v>
      </c>
      <c r="I1604" s="74" t="s">
        <v>21339</v>
      </c>
      <c r="J1604" s="74" t="s">
        <v>21364</v>
      </c>
      <c r="K1604" s="74" t="s">
        <v>14829</v>
      </c>
      <c r="L1604" s="74">
        <v>719187</v>
      </c>
      <c r="M1604" s="74" t="s">
        <v>21341</v>
      </c>
      <c r="N1604" s="74">
        <v>1</v>
      </c>
      <c r="O1604" s="74" t="s">
        <v>21342</v>
      </c>
      <c r="P1604" s="74" t="s">
        <v>21343</v>
      </c>
      <c r="Q1604" s="74">
        <v>0</v>
      </c>
      <c r="R1604" s="74" t="s">
        <v>148</v>
      </c>
      <c r="S1604" s="74" t="s">
        <v>21338</v>
      </c>
      <c r="T1604" s="74" t="s">
        <v>402</v>
      </c>
      <c r="U1604" s="74">
        <v>0</v>
      </c>
      <c r="V1604" s="74">
        <v>0</v>
      </c>
    </row>
    <row r="1605" spans="3:22" x14ac:dyDescent="0.25">
      <c r="C1605" s="74" t="s">
        <v>18795</v>
      </c>
      <c r="D1605" s="74" t="s">
        <v>148</v>
      </c>
      <c r="E1605" s="74" t="s">
        <v>21338</v>
      </c>
      <c r="F1605" s="74">
        <v>551367</v>
      </c>
      <c r="G1605" s="74">
        <v>1000</v>
      </c>
      <c r="H1605" s="135">
        <v>42983.425567129627</v>
      </c>
      <c r="I1605" s="74" t="s">
        <v>21339</v>
      </c>
      <c r="J1605" s="74" t="s">
        <v>21340</v>
      </c>
      <c r="K1605" s="74" t="s">
        <v>11887</v>
      </c>
      <c r="L1605" s="74">
        <v>553158</v>
      </c>
      <c r="M1605" s="74" t="s">
        <v>21341</v>
      </c>
      <c r="N1605" s="74">
        <v>1</v>
      </c>
      <c r="O1605" s="74" t="s">
        <v>21342</v>
      </c>
      <c r="P1605" s="74" t="s">
        <v>21343</v>
      </c>
      <c r="Q1605" s="74">
        <v>0</v>
      </c>
      <c r="R1605" s="74" t="s">
        <v>148</v>
      </c>
      <c r="S1605" s="74" t="s">
        <v>21338</v>
      </c>
      <c r="T1605" s="74" t="s">
        <v>402</v>
      </c>
      <c r="U1605" s="74">
        <v>0</v>
      </c>
      <c r="V1605" s="74">
        <v>0</v>
      </c>
    </row>
    <row r="1606" spans="3:22" x14ac:dyDescent="0.25">
      <c r="C1606" s="74" t="s">
        <v>735</v>
      </c>
      <c r="D1606" s="74" t="s">
        <v>148</v>
      </c>
      <c r="E1606" s="74" t="s">
        <v>21338</v>
      </c>
      <c r="F1606" s="74">
        <v>570025</v>
      </c>
      <c r="G1606" s="74">
        <v>3</v>
      </c>
      <c r="H1606" s="135">
        <v>42983.425405092596</v>
      </c>
      <c r="I1606" s="74" t="s">
        <v>21339</v>
      </c>
      <c r="J1606" s="74" t="s">
        <v>21360</v>
      </c>
      <c r="K1606" s="74" t="s">
        <v>14829</v>
      </c>
      <c r="L1606" s="74">
        <v>719187</v>
      </c>
      <c r="M1606" s="74" t="s">
        <v>21341</v>
      </c>
      <c r="N1606" s="74">
        <v>1</v>
      </c>
      <c r="O1606" s="74" t="s">
        <v>21342</v>
      </c>
      <c r="P1606" s="74" t="s">
        <v>21343</v>
      </c>
      <c r="Q1606" s="74" t="s">
        <v>21361</v>
      </c>
      <c r="R1606" s="74" t="s">
        <v>148</v>
      </c>
      <c r="S1606" s="74" t="s">
        <v>21338</v>
      </c>
      <c r="T1606" s="74" t="s">
        <v>402</v>
      </c>
      <c r="U1606" s="74">
        <v>0</v>
      </c>
      <c r="V1606" s="74">
        <v>0</v>
      </c>
    </row>
    <row r="1607" spans="3:22" x14ac:dyDescent="0.25">
      <c r="C1607" s="74" t="s">
        <v>21390</v>
      </c>
      <c r="D1607" s="74" t="s">
        <v>148</v>
      </c>
      <c r="E1607" s="74" t="s">
        <v>21338</v>
      </c>
      <c r="F1607" s="74">
        <v>560864</v>
      </c>
      <c r="G1607" s="74">
        <v>3</v>
      </c>
      <c r="H1607" s="135">
        <v>42983.421261574076</v>
      </c>
      <c r="I1607" s="74" t="s">
        <v>21354</v>
      </c>
      <c r="J1607" s="74" t="s">
        <v>21355</v>
      </c>
      <c r="K1607" s="74" t="s">
        <v>16516</v>
      </c>
      <c r="L1607" s="74">
        <v>551681</v>
      </c>
      <c r="M1607" s="74" t="s">
        <v>21341</v>
      </c>
      <c r="N1607" s="74">
        <v>1</v>
      </c>
      <c r="O1607" s="74" t="s">
        <v>21342</v>
      </c>
      <c r="P1607" s="74" t="s">
        <v>21345</v>
      </c>
      <c r="R1607" s="74" t="s">
        <v>148</v>
      </c>
      <c r="S1607" s="74" t="s">
        <v>21338</v>
      </c>
      <c r="T1607" s="74" t="s">
        <v>402</v>
      </c>
      <c r="U1607" s="74">
        <v>0</v>
      </c>
      <c r="V1607" s="74">
        <v>0</v>
      </c>
    </row>
    <row r="1608" spans="3:22" x14ac:dyDescent="0.25">
      <c r="C1608" s="74" t="s">
        <v>18795</v>
      </c>
      <c r="D1608" s="74" t="s">
        <v>148</v>
      </c>
      <c r="E1608" s="74" t="s">
        <v>21338</v>
      </c>
      <c r="F1608" s="74">
        <v>551367</v>
      </c>
      <c r="G1608" s="74">
        <v>1000</v>
      </c>
      <c r="H1608" s="135">
        <v>42983.416574074072</v>
      </c>
      <c r="I1608" s="74" t="s">
        <v>21339</v>
      </c>
      <c r="J1608" s="74" t="s">
        <v>21340</v>
      </c>
      <c r="K1608" s="74" t="s">
        <v>9539</v>
      </c>
      <c r="L1608" s="74">
        <v>552856</v>
      </c>
      <c r="M1608" s="74" t="s">
        <v>21341</v>
      </c>
      <c r="N1608" s="74">
        <v>1</v>
      </c>
      <c r="O1608" s="74" t="s">
        <v>21342</v>
      </c>
      <c r="P1608" s="74" t="s">
        <v>21343</v>
      </c>
      <c r="Q1608" s="74">
        <v>0</v>
      </c>
      <c r="R1608" s="74" t="s">
        <v>148</v>
      </c>
      <c r="S1608" s="74" t="s">
        <v>21338</v>
      </c>
      <c r="T1608" s="74" t="s">
        <v>402</v>
      </c>
      <c r="U1608" s="74">
        <v>0</v>
      </c>
      <c r="V1608" s="74">
        <v>0</v>
      </c>
    </row>
    <row r="1609" spans="3:22" x14ac:dyDescent="0.25">
      <c r="C1609" s="74" t="s">
        <v>18795</v>
      </c>
      <c r="D1609" s="74" t="s">
        <v>148</v>
      </c>
      <c r="E1609" s="74" t="s">
        <v>21338</v>
      </c>
      <c r="F1609" s="74">
        <v>551367</v>
      </c>
      <c r="G1609" s="74">
        <v>1000</v>
      </c>
      <c r="H1609" s="135">
        <v>42983.414398148147</v>
      </c>
      <c r="I1609" s="74" t="s">
        <v>21339</v>
      </c>
      <c r="J1609" s="74" t="s">
        <v>21340</v>
      </c>
      <c r="K1609" s="74" t="s">
        <v>21687</v>
      </c>
      <c r="L1609" s="74">
        <v>680219</v>
      </c>
      <c r="M1609" s="74" t="s">
        <v>21341</v>
      </c>
      <c r="N1609" s="74">
        <v>1</v>
      </c>
      <c r="O1609" s="74" t="s">
        <v>21342</v>
      </c>
      <c r="P1609" s="74" t="s">
        <v>21343</v>
      </c>
      <c r="Q1609" s="74">
        <v>0</v>
      </c>
      <c r="R1609" s="74" t="s">
        <v>148</v>
      </c>
      <c r="S1609" s="74" t="s">
        <v>21338</v>
      </c>
      <c r="T1609" s="74" t="s">
        <v>402</v>
      </c>
      <c r="U1609" s="74">
        <v>0</v>
      </c>
      <c r="V1609" s="74">
        <v>0</v>
      </c>
    </row>
    <row r="1610" spans="3:22" x14ac:dyDescent="0.25">
      <c r="C1610" s="74" t="s">
        <v>18795</v>
      </c>
      <c r="D1610" s="74" t="s">
        <v>148</v>
      </c>
      <c r="E1610" s="74" t="s">
        <v>21338</v>
      </c>
      <c r="F1610" s="74">
        <v>551367</v>
      </c>
      <c r="G1610" s="74">
        <v>1000</v>
      </c>
      <c r="H1610" s="135">
        <v>42983.411481481482</v>
      </c>
      <c r="I1610" s="74" t="s">
        <v>21339</v>
      </c>
      <c r="J1610" s="74" t="s">
        <v>21340</v>
      </c>
      <c r="K1610" s="74" t="s">
        <v>13462</v>
      </c>
      <c r="L1610" s="74">
        <v>553358</v>
      </c>
      <c r="M1610" s="74" t="s">
        <v>21341</v>
      </c>
      <c r="N1610" s="74">
        <v>1</v>
      </c>
      <c r="O1610" s="74" t="s">
        <v>21342</v>
      </c>
      <c r="P1610" s="74" t="s">
        <v>21343</v>
      </c>
      <c r="Q1610" s="74">
        <v>0</v>
      </c>
      <c r="R1610" s="74" t="s">
        <v>148</v>
      </c>
      <c r="S1610" s="74" t="s">
        <v>21338</v>
      </c>
      <c r="T1610" s="74" t="s">
        <v>402</v>
      </c>
      <c r="U1610" s="74">
        <v>0</v>
      </c>
      <c r="V1610" s="74">
        <v>0</v>
      </c>
    </row>
    <row r="1611" spans="3:22" x14ac:dyDescent="0.25">
      <c r="C1611" s="74" t="s">
        <v>18795</v>
      </c>
      <c r="D1611" s="74" t="s">
        <v>148</v>
      </c>
      <c r="E1611" s="74" t="s">
        <v>21338</v>
      </c>
      <c r="F1611" s="74">
        <v>551367</v>
      </c>
      <c r="G1611" s="74">
        <v>1000</v>
      </c>
      <c r="H1611" s="135">
        <v>42983.406793981485</v>
      </c>
      <c r="I1611" s="74" t="s">
        <v>21339</v>
      </c>
      <c r="J1611" s="74" t="s">
        <v>21340</v>
      </c>
      <c r="K1611" s="74" t="s">
        <v>15148</v>
      </c>
      <c r="L1611" s="74">
        <v>553581</v>
      </c>
      <c r="M1611" s="74" t="s">
        <v>21341</v>
      </c>
      <c r="N1611" s="74">
        <v>1</v>
      </c>
      <c r="O1611" s="74" t="s">
        <v>21342</v>
      </c>
      <c r="P1611" s="74" t="s">
        <v>21343</v>
      </c>
      <c r="Q1611" s="74">
        <v>0</v>
      </c>
      <c r="R1611" s="74" t="s">
        <v>148</v>
      </c>
      <c r="S1611" s="74" t="s">
        <v>21338</v>
      </c>
      <c r="T1611" s="74" t="s">
        <v>402</v>
      </c>
      <c r="U1611" s="74">
        <v>0</v>
      </c>
      <c r="V1611" s="74">
        <v>0</v>
      </c>
    </row>
    <row r="1612" spans="3:22" x14ac:dyDescent="0.25">
      <c r="C1612" s="74" t="s">
        <v>18795</v>
      </c>
      <c r="D1612" s="74" t="s">
        <v>148</v>
      </c>
      <c r="E1612" s="74" t="s">
        <v>21338</v>
      </c>
      <c r="F1612" s="74">
        <v>551367</v>
      </c>
      <c r="G1612" s="74">
        <v>1000</v>
      </c>
      <c r="H1612" s="135">
        <v>42983.406458333331</v>
      </c>
      <c r="I1612" s="74" t="s">
        <v>21339</v>
      </c>
      <c r="J1612" s="74" t="s">
        <v>21340</v>
      </c>
      <c r="K1612" s="74" t="s">
        <v>7836</v>
      </c>
      <c r="L1612" s="74">
        <v>814693</v>
      </c>
      <c r="M1612" s="74" t="s">
        <v>21341</v>
      </c>
      <c r="N1612" s="74">
        <v>1</v>
      </c>
      <c r="O1612" s="74" t="s">
        <v>21342</v>
      </c>
      <c r="P1612" s="74" t="s">
        <v>21343</v>
      </c>
      <c r="Q1612" s="74">
        <v>0</v>
      </c>
      <c r="R1612" s="74" t="s">
        <v>148</v>
      </c>
      <c r="S1612" s="74" t="s">
        <v>21338</v>
      </c>
      <c r="T1612" s="74" t="s">
        <v>402</v>
      </c>
      <c r="U1612" s="74">
        <v>0</v>
      </c>
      <c r="V1612" s="74">
        <v>0</v>
      </c>
    </row>
    <row r="1613" spans="3:22" x14ac:dyDescent="0.25">
      <c r="C1613" s="74" t="s">
        <v>18795</v>
      </c>
      <c r="D1613" s="74" t="s">
        <v>148</v>
      </c>
      <c r="E1613" s="74" t="s">
        <v>21338</v>
      </c>
      <c r="F1613" s="74">
        <v>551367</v>
      </c>
      <c r="G1613" s="74">
        <v>1000</v>
      </c>
      <c r="H1613" s="135">
        <v>42983.399340277778</v>
      </c>
      <c r="I1613" s="74" t="s">
        <v>21339</v>
      </c>
      <c r="J1613" s="74" t="s">
        <v>21340</v>
      </c>
      <c r="K1613" s="74" t="s">
        <v>10436</v>
      </c>
      <c r="L1613" s="74">
        <v>552985</v>
      </c>
      <c r="M1613" s="74" t="s">
        <v>21341</v>
      </c>
      <c r="N1613" s="74">
        <v>1</v>
      </c>
      <c r="O1613" s="74" t="s">
        <v>21342</v>
      </c>
      <c r="P1613" s="74" t="s">
        <v>21343</v>
      </c>
      <c r="Q1613" s="74">
        <v>0</v>
      </c>
      <c r="R1613" s="74" t="s">
        <v>148</v>
      </c>
      <c r="S1613" s="74" t="s">
        <v>21338</v>
      </c>
      <c r="T1613" s="74" t="s">
        <v>402</v>
      </c>
      <c r="U1613" s="74">
        <v>0</v>
      </c>
      <c r="V1613" s="74">
        <v>0</v>
      </c>
    </row>
    <row r="1614" spans="3:22" x14ac:dyDescent="0.25">
      <c r="C1614" s="74" t="s">
        <v>18795</v>
      </c>
      <c r="D1614" s="74" t="s">
        <v>148</v>
      </c>
      <c r="E1614" s="74" t="s">
        <v>21338</v>
      </c>
      <c r="F1614" s="74">
        <v>551367</v>
      </c>
      <c r="G1614" s="74">
        <v>1000</v>
      </c>
      <c r="H1614" s="135">
        <v>42983.392881944441</v>
      </c>
      <c r="I1614" s="74" t="s">
        <v>21339</v>
      </c>
      <c r="J1614" s="74" t="s">
        <v>21340</v>
      </c>
      <c r="K1614" s="74" t="s">
        <v>13440</v>
      </c>
      <c r="L1614" s="74">
        <v>553353</v>
      </c>
      <c r="M1614" s="74" t="s">
        <v>21341</v>
      </c>
      <c r="N1614" s="74">
        <v>1</v>
      </c>
      <c r="O1614" s="74" t="s">
        <v>21342</v>
      </c>
      <c r="P1614" s="74" t="s">
        <v>21343</v>
      </c>
      <c r="Q1614" s="74">
        <v>0</v>
      </c>
      <c r="R1614" s="74" t="s">
        <v>148</v>
      </c>
      <c r="S1614" s="74" t="s">
        <v>21338</v>
      </c>
      <c r="T1614" s="74" t="s">
        <v>402</v>
      </c>
      <c r="U1614" s="74">
        <v>0</v>
      </c>
      <c r="V1614" s="74">
        <v>0</v>
      </c>
    </row>
    <row r="1615" spans="3:22" x14ac:dyDescent="0.25">
      <c r="C1615" s="74" t="s">
        <v>18795</v>
      </c>
      <c r="D1615" s="74" t="s">
        <v>148</v>
      </c>
      <c r="E1615" s="74" t="s">
        <v>21338</v>
      </c>
      <c r="F1615" s="74">
        <v>551367</v>
      </c>
      <c r="G1615" s="74">
        <v>1000</v>
      </c>
      <c r="H1615" s="135">
        <v>42983.387013888889</v>
      </c>
      <c r="I1615" s="74" t="s">
        <v>21339</v>
      </c>
      <c r="J1615" s="74" t="s">
        <v>21340</v>
      </c>
      <c r="K1615" s="74" t="s">
        <v>18542</v>
      </c>
      <c r="L1615" s="74">
        <v>554013</v>
      </c>
      <c r="M1615" s="74" t="s">
        <v>21341</v>
      </c>
      <c r="N1615" s="74">
        <v>1</v>
      </c>
      <c r="O1615" s="74" t="s">
        <v>21342</v>
      </c>
      <c r="P1615" s="74" t="s">
        <v>21343</v>
      </c>
      <c r="Q1615" s="74">
        <v>0</v>
      </c>
      <c r="R1615" s="74" t="s">
        <v>148</v>
      </c>
      <c r="S1615" s="74" t="s">
        <v>21338</v>
      </c>
      <c r="T1615" s="74" t="s">
        <v>402</v>
      </c>
      <c r="U1615" s="74">
        <v>0</v>
      </c>
      <c r="V1615" s="74">
        <v>0</v>
      </c>
    </row>
    <row r="1616" spans="3:22" x14ac:dyDescent="0.25">
      <c r="C1616" s="74" t="s">
        <v>18795</v>
      </c>
      <c r="D1616" s="74" t="s">
        <v>148</v>
      </c>
      <c r="E1616" s="74" t="s">
        <v>21338</v>
      </c>
      <c r="F1616" s="74">
        <v>551367</v>
      </c>
      <c r="G1616" s="74">
        <v>1000</v>
      </c>
      <c r="H1616" s="135">
        <v>42983.385347222225</v>
      </c>
      <c r="I1616" s="74" t="s">
        <v>21339</v>
      </c>
      <c r="J1616" s="74" t="s">
        <v>21340</v>
      </c>
      <c r="K1616" s="74" t="s">
        <v>21641</v>
      </c>
      <c r="L1616" s="74">
        <v>729505</v>
      </c>
      <c r="M1616" s="74" t="s">
        <v>21341</v>
      </c>
      <c r="N1616" s="74">
        <v>1</v>
      </c>
      <c r="O1616" s="74" t="s">
        <v>21342</v>
      </c>
      <c r="P1616" s="74" t="s">
        <v>21343</v>
      </c>
      <c r="Q1616" s="74">
        <v>0</v>
      </c>
      <c r="R1616" s="74" t="s">
        <v>148</v>
      </c>
      <c r="S1616" s="74" t="s">
        <v>21338</v>
      </c>
      <c r="T1616" s="74" t="s">
        <v>402</v>
      </c>
      <c r="U1616" s="74">
        <v>0</v>
      </c>
      <c r="V1616" s="74">
        <v>0</v>
      </c>
    </row>
    <row r="1617" spans="3:22" x14ac:dyDescent="0.25">
      <c r="C1617" s="74" t="s">
        <v>18795</v>
      </c>
      <c r="D1617" s="74" t="s">
        <v>148</v>
      </c>
      <c r="E1617" s="74" t="s">
        <v>21338</v>
      </c>
      <c r="F1617" s="74">
        <v>551367</v>
      </c>
      <c r="G1617" s="74">
        <v>1000</v>
      </c>
      <c r="H1617" s="135">
        <v>42983.381736111114</v>
      </c>
      <c r="I1617" s="74" t="s">
        <v>21339</v>
      </c>
      <c r="J1617" s="74" t="s">
        <v>21340</v>
      </c>
      <c r="K1617" s="74" t="s">
        <v>21688</v>
      </c>
      <c r="L1617" s="74">
        <v>560616</v>
      </c>
      <c r="M1617" s="74" t="s">
        <v>21341</v>
      </c>
      <c r="N1617" s="74">
        <v>1</v>
      </c>
      <c r="O1617" s="74" t="s">
        <v>21342</v>
      </c>
      <c r="P1617" s="74" t="s">
        <v>21343</v>
      </c>
      <c r="Q1617" s="74">
        <v>0</v>
      </c>
      <c r="R1617" s="74" t="s">
        <v>148</v>
      </c>
      <c r="S1617" s="74" t="s">
        <v>21338</v>
      </c>
      <c r="T1617" s="74" t="s">
        <v>393</v>
      </c>
      <c r="U1617" s="74">
        <v>0</v>
      </c>
      <c r="V1617" s="74">
        <v>0</v>
      </c>
    </row>
    <row r="1618" spans="3:22" x14ac:dyDescent="0.25">
      <c r="C1618" s="74" t="s">
        <v>18795</v>
      </c>
      <c r="D1618" s="74" t="s">
        <v>148</v>
      </c>
      <c r="E1618" s="74" t="s">
        <v>21338</v>
      </c>
      <c r="F1618" s="74">
        <v>551367</v>
      </c>
      <c r="G1618" s="74">
        <v>1000</v>
      </c>
      <c r="H1618" s="135">
        <v>42983.372731481482</v>
      </c>
      <c r="I1618" s="74" t="s">
        <v>21339</v>
      </c>
      <c r="J1618" s="74" t="s">
        <v>21340</v>
      </c>
      <c r="K1618" s="74" t="s">
        <v>17828</v>
      </c>
      <c r="L1618" s="74">
        <v>553912</v>
      </c>
      <c r="M1618" s="74" t="s">
        <v>21341</v>
      </c>
      <c r="N1618" s="74">
        <v>1</v>
      </c>
      <c r="O1618" s="74" t="s">
        <v>21342</v>
      </c>
      <c r="P1618" s="74" t="s">
        <v>21343</v>
      </c>
      <c r="Q1618" s="74">
        <v>0</v>
      </c>
      <c r="R1618" s="74" t="s">
        <v>148</v>
      </c>
      <c r="S1618" s="74" t="s">
        <v>21338</v>
      </c>
      <c r="T1618" s="74" t="s">
        <v>402</v>
      </c>
      <c r="U1618" s="74">
        <v>0</v>
      </c>
      <c r="V1618" s="74">
        <v>0</v>
      </c>
    </row>
    <row r="1619" spans="3:22" x14ac:dyDescent="0.25">
      <c r="C1619" s="74" t="s">
        <v>18795</v>
      </c>
      <c r="D1619" s="74" t="s">
        <v>148</v>
      </c>
      <c r="E1619" s="74" t="s">
        <v>21338</v>
      </c>
      <c r="F1619" s="74">
        <v>551367</v>
      </c>
      <c r="G1619" s="74">
        <v>1000</v>
      </c>
      <c r="H1619" s="135">
        <v>42983.371851851851</v>
      </c>
      <c r="I1619" s="74" t="s">
        <v>21339</v>
      </c>
      <c r="J1619" s="74" t="s">
        <v>21340</v>
      </c>
      <c r="K1619" s="74" t="s">
        <v>14707</v>
      </c>
      <c r="L1619" s="74">
        <v>553542</v>
      </c>
      <c r="M1619" s="74" t="s">
        <v>21341</v>
      </c>
      <c r="N1619" s="74">
        <v>1</v>
      </c>
      <c r="O1619" s="74" t="s">
        <v>21342</v>
      </c>
      <c r="P1619" s="74" t="s">
        <v>21343</v>
      </c>
      <c r="Q1619" s="74">
        <v>0</v>
      </c>
      <c r="R1619" s="74" t="s">
        <v>148</v>
      </c>
      <c r="S1619" s="74" t="s">
        <v>21338</v>
      </c>
      <c r="T1619" s="74" t="s">
        <v>402</v>
      </c>
      <c r="U1619" s="74">
        <v>0</v>
      </c>
      <c r="V1619" s="74">
        <v>0</v>
      </c>
    </row>
    <row r="1620" spans="3:22" x14ac:dyDescent="0.25">
      <c r="C1620" s="74" t="s">
        <v>18795</v>
      </c>
      <c r="D1620" s="74" t="s">
        <v>148</v>
      </c>
      <c r="E1620" s="74" t="s">
        <v>21338</v>
      </c>
      <c r="F1620" s="74">
        <v>551367</v>
      </c>
      <c r="G1620" s="74">
        <v>1000</v>
      </c>
      <c r="H1620" s="135">
        <v>42983.366053240738</v>
      </c>
      <c r="I1620" s="74" t="s">
        <v>21339</v>
      </c>
      <c r="J1620" s="74" t="s">
        <v>21340</v>
      </c>
      <c r="K1620" s="74" t="s">
        <v>2760</v>
      </c>
      <c r="L1620" s="74">
        <v>552018</v>
      </c>
      <c r="M1620" s="74" t="s">
        <v>21341</v>
      </c>
      <c r="N1620" s="74">
        <v>1</v>
      </c>
      <c r="O1620" s="74" t="s">
        <v>21342</v>
      </c>
      <c r="P1620" s="74" t="s">
        <v>21343</v>
      </c>
      <c r="Q1620" s="74">
        <v>0</v>
      </c>
      <c r="R1620" s="74" t="s">
        <v>148</v>
      </c>
      <c r="S1620" s="74" t="s">
        <v>21338</v>
      </c>
      <c r="T1620" s="74" t="s">
        <v>402</v>
      </c>
      <c r="U1620" s="74">
        <v>0</v>
      </c>
      <c r="V1620" s="74">
        <v>0</v>
      </c>
    </row>
    <row r="1621" spans="3:22" x14ac:dyDescent="0.25">
      <c r="C1621" s="74" t="s">
        <v>18795</v>
      </c>
      <c r="D1621" s="74" t="s">
        <v>148</v>
      </c>
      <c r="E1621" s="74" t="s">
        <v>21338</v>
      </c>
      <c r="F1621" s="74">
        <v>551367</v>
      </c>
      <c r="G1621" s="74">
        <v>1000</v>
      </c>
      <c r="H1621" s="135">
        <v>42983.364155092589</v>
      </c>
      <c r="I1621" s="74" t="s">
        <v>21339</v>
      </c>
      <c r="J1621" s="74" t="s">
        <v>21340</v>
      </c>
      <c r="K1621" s="74" t="s">
        <v>10294</v>
      </c>
      <c r="L1621" s="74">
        <v>552964</v>
      </c>
      <c r="M1621" s="74" t="s">
        <v>21341</v>
      </c>
      <c r="N1621" s="74">
        <v>1</v>
      </c>
      <c r="O1621" s="74" t="s">
        <v>21342</v>
      </c>
      <c r="P1621" s="74" t="s">
        <v>21343</v>
      </c>
      <c r="Q1621" s="74">
        <v>0</v>
      </c>
      <c r="R1621" s="74" t="s">
        <v>148</v>
      </c>
      <c r="S1621" s="74" t="s">
        <v>21338</v>
      </c>
      <c r="T1621" s="74" t="s">
        <v>402</v>
      </c>
      <c r="U1621" s="74">
        <v>0</v>
      </c>
      <c r="V1621" s="74">
        <v>0</v>
      </c>
    </row>
    <row r="1622" spans="3:22" x14ac:dyDescent="0.25">
      <c r="C1622" s="74" t="s">
        <v>18795</v>
      </c>
      <c r="D1622" s="74" t="s">
        <v>148</v>
      </c>
      <c r="E1622" s="74" t="s">
        <v>21338</v>
      </c>
      <c r="F1622" s="74">
        <v>551367</v>
      </c>
      <c r="G1622" s="74">
        <v>1000</v>
      </c>
      <c r="H1622" s="135">
        <v>42983.36241898148</v>
      </c>
      <c r="I1622" s="74" t="s">
        <v>21339</v>
      </c>
      <c r="J1622" s="74" t="s">
        <v>21340</v>
      </c>
      <c r="K1622" s="74" t="s">
        <v>10623</v>
      </c>
      <c r="L1622" s="74">
        <v>553003</v>
      </c>
      <c r="M1622" s="74" t="s">
        <v>21341</v>
      </c>
      <c r="N1622" s="74">
        <v>1</v>
      </c>
      <c r="O1622" s="74" t="s">
        <v>21342</v>
      </c>
      <c r="P1622" s="74" t="s">
        <v>21343</v>
      </c>
      <c r="Q1622" s="74">
        <v>0</v>
      </c>
      <c r="R1622" s="74" t="s">
        <v>148</v>
      </c>
      <c r="S1622" s="74" t="s">
        <v>21338</v>
      </c>
      <c r="T1622" s="74" t="s">
        <v>393</v>
      </c>
      <c r="U1622" s="74">
        <v>0</v>
      </c>
      <c r="V1622" s="74">
        <v>0</v>
      </c>
    </row>
    <row r="1623" spans="3:22" x14ac:dyDescent="0.25">
      <c r="C1623" s="74" t="s">
        <v>18795</v>
      </c>
      <c r="D1623" s="74" t="s">
        <v>148</v>
      </c>
      <c r="E1623" s="74" t="s">
        <v>21338</v>
      </c>
      <c r="F1623" s="74">
        <v>551367</v>
      </c>
      <c r="G1623" s="74">
        <v>1000</v>
      </c>
      <c r="H1623" s="135">
        <v>42983.360358796293</v>
      </c>
      <c r="I1623" s="74" t="s">
        <v>21339</v>
      </c>
      <c r="J1623" s="74" t="s">
        <v>21340</v>
      </c>
      <c r="K1623" s="74" t="s">
        <v>7455</v>
      </c>
      <c r="L1623" s="74">
        <v>552589</v>
      </c>
      <c r="M1623" s="74" t="s">
        <v>21341</v>
      </c>
      <c r="N1623" s="74">
        <v>1</v>
      </c>
      <c r="O1623" s="74" t="s">
        <v>21342</v>
      </c>
      <c r="P1623" s="74" t="s">
        <v>21343</v>
      </c>
      <c r="Q1623" s="74">
        <v>0</v>
      </c>
      <c r="R1623" s="74" t="s">
        <v>148</v>
      </c>
      <c r="S1623" s="74" t="s">
        <v>21338</v>
      </c>
      <c r="T1623" s="74" t="s">
        <v>402</v>
      </c>
      <c r="U1623" s="74">
        <v>0</v>
      </c>
      <c r="V1623" s="74">
        <v>0</v>
      </c>
    </row>
    <row r="1624" spans="3:22" x14ac:dyDescent="0.25">
      <c r="C1624" s="74" t="s">
        <v>18795</v>
      </c>
      <c r="D1624" s="74" t="s">
        <v>148</v>
      </c>
      <c r="E1624" s="74" t="s">
        <v>21338</v>
      </c>
      <c r="F1624" s="74">
        <v>551367</v>
      </c>
      <c r="G1624" s="74">
        <v>1000</v>
      </c>
      <c r="H1624" s="135">
        <v>42983.35396990741</v>
      </c>
      <c r="I1624" s="74" t="s">
        <v>21339</v>
      </c>
      <c r="J1624" s="74" t="s">
        <v>21340</v>
      </c>
      <c r="K1624" s="74" t="s">
        <v>2657</v>
      </c>
      <c r="L1624" s="74">
        <v>552004</v>
      </c>
      <c r="M1624" s="74" t="s">
        <v>21341</v>
      </c>
      <c r="N1624" s="74">
        <v>1</v>
      </c>
      <c r="O1624" s="74" t="s">
        <v>21342</v>
      </c>
      <c r="P1624" s="74" t="s">
        <v>21343</v>
      </c>
      <c r="Q1624" s="74">
        <v>0</v>
      </c>
      <c r="R1624" s="74" t="s">
        <v>148</v>
      </c>
      <c r="S1624" s="74" t="s">
        <v>21338</v>
      </c>
      <c r="T1624" s="74" t="s">
        <v>402</v>
      </c>
      <c r="U1624" s="74">
        <v>0</v>
      </c>
      <c r="V1624" s="74">
        <v>0</v>
      </c>
    </row>
    <row r="1625" spans="3:22" x14ac:dyDescent="0.25">
      <c r="C1625" s="74" t="s">
        <v>21390</v>
      </c>
      <c r="D1625" s="74" t="s">
        <v>148</v>
      </c>
      <c r="E1625" s="74" t="s">
        <v>21338</v>
      </c>
      <c r="F1625" s="74">
        <v>560864</v>
      </c>
      <c r="G1625" s="74">
        <v>3</v>
      </c>
      <c r="H1625" s="135">
        <v>42983.352002314816</v>
      </c>
      <c r="I1625" s="74" t="s">
        <v>21354</v>
      </c>
      <c r="J1625" s="74" t="s">
        <v>21355</v>
      </c>
      <c r="K1625" s="74" t="s">
        <v>21689</v>
      </c>
      <c r="L1625" s="74">
        <v>894733</v>
      </c>
      <c r="M1625" s="74" t="s">
        <v>21341</v>
      </c>
      <c r="N1625" s="74">
        <v>1</v>
      </c>
      <c r="O1625" s="74" t="s">
        <v>21342</v>
      </c>
      <c r="P1625" s="74" t="s">
        <v>21345</v>
      </c>
      <c r="R1625" s="74" t="s">
        <v>148</v>
      </c>
      <c r="S1625" s="74" t="s">
        <v>21338</v>
      </c>
      <c r="T1625" s="74" t="s">
        <v>402</v>
      </c>
      <c r="U1625" s="74">
        <v>0</v>
      </c>
      <c r="V1625" s="74">
        <v>0</v>
      </c>
    </row>
    <row r="1626" spans="3:22" x14ac:dyDescent="0.25">
      <c r="C1626" s="74" t="s">
        <v>18795</v>
      </c>
      <c r="D1626" s="74" t="s">
        <v>148</v>
      </c>
      <c r="E1626" s="74" t="s">
        <v>21338</v>
      </c>
      <c r="F1626" s="74">
        <v>551367</v>
      </c>
      <c r="G1626" s="74">
        <v>1000</v>
      </c>
      <c r="H1626" s="135">
        <v>42983.346712962964</v>
      </c>
      <c r="I1626" s="74" t="s">
        <v>21339</v>
      </c>
      <c r="J1626" s="74" t="s">
        <v>21340</v>
      </c>
      <c r="K1626" s="74" t="s">
        <v>6545</v>
      </c>
      <c r="L1626" s="74">
        <v>552480</v>
      </c>
      <c r="M1626" s="74" t="s">
        <v>21341</v>
      </c>
      <c r="N1626" s="74">
        <v>1</v>
      </c>
      <c r="O1626" s="74" t="s">
        <v>21342</v>
      </c>
      <c r="P1626" s="74" t="s">
        <v>21343</v>
      </c>
      <c r="Q1626" s="74">
        <v>0</v>
      </c>
      <c r="R1626" s="74" t="s">
        <v>148</v>
      </c>
      <c r="S1626" s="74" t="s">
        <v>21338</v>
      </c>
      <c r="T1626" s="74" t="s">
        <v>402</v>
      </c>
      <c r="U1626" s="74">
        <v>0</v>
      </c>
      <c r="V1626" s="74">
        <v>0</v>
      </c>
    </row>
    <row r="1627" spans="3:22" x14ac:dyDescent="0.25">
      <c r="C1627" s="74" t="s">
        <v>18795</v>
      </c>
      <c r="D1627" s="74" t="s">
        <v>148</v>
      </c>
      <c r="E1627" s="74" t="s">
        <v>21338</v>
      </c>
      <c r="F1627" s="74">
        <v>551367</v>
      </c>
      <c r="G1627" s="74">
        <v>1000</v>
      </c>
      <c r="H1627" s="135">
        <v>42983.34269675926</v>
      </c>
      <c r="I1627" s="74" t="s">
        <v>21339</v>
      </c>
      <c r="J1627" s="74" t="s">
        <v>21340</v>
      </c>
      <c r="K1627" s="74" t="s">
        <v>9472</v>
      </c>
      <c r="L1627" s="74">
        <v>552844</v>
      </c>
      <c r="M1627" s="74" t="s">
        <v>21341</v>
      </c>
      <c r="N1627" s="74">
        <v>1</v>
      </c>
      <c r="O1627" s="74" t="s">
        <v>21342</v>
      </c>
      <c r="P1627" s="74" t="s">
        <v>21343</v>
      </c>
      <c r="Q1627" s="74">
        <v>0</v>
      </c>
      <c r="R1627" s="74" t="s">
        <v>148</v>
      </c>
      <c r="S1627" s="74" t="s">
        <v>21338</v>
      </c>
      <c r="T1627" s="74" t="s">
        <v>402</v>
      </c>
      <c r="U1627" s="74">
        <v>0</v>
      </c>
      <c r="V1627" s="74">
        <v>0</v>
      </c>
    </row>
    <row r="1628" spans="3:22" x14ac:dyDescent="0.25">
      <c r="C1628" s="74" t="s">
        <v>18795</v>
      </c>
      <c r="D1628" s="74" t="s">
        <v>148</v>
      </c>
      <c r="E1628" s="74" t="s">
        <v>21338</v>
      </c>
      <c r="F1628" s="74">
        <v>551367</v>
      </c>
      <c r="G1628" s="74">
        <v>1000</v>
      </c>
      <c r="H1628" s="135">
        <v>42983.336458333331</v>
      </c>
      <c r="I1628" s="74" t="s">
        <v>21339</v>
      </c>
      <c r="J1628" s="74" t="s">
        <v>21340</v>
      </c>
      <c r="K1628" s="74" t="s">
        <v>21690</v>
      </c>
      <c r="L1628" s="74">
        <v>560826</v>
      </c>
      <c r="M1628" s="74" t="s">
        <v>21341</v>
      </c>
      <c r="N1628" s="74">
        <v>1</v>
      </c>
      <c r="O1628" s="74" t="s">
        <v>21342</v>
      </c>
      <c r="P1628" s="74" t="s">
        <v>21343</v>
      </c>
      <c r="Q1628" s="74">
        <v>0</v>
      </c>
      <c r="R1628" s="74" t="s">
        <v>148</v>
      </c>
      <c r="S1628" s="74" t="s">
        <v>21338</v>
      </c>
      <c r="T1628" s="74" t="s">
        <v>393</v>
      </c>
      <c r="U1628" s="74">
        <v>0</v>
      </c>
      <c r="V1628" s="74">
        <v>0</v>
      </c>
    </row>
    <row r="1629" spans="3:22" x14ac:dyDescent="0.25">
      <c r="C1629" s="74" t="s">
        <v>18795</v>
      </c>
      <c r="D1629" s="74" t="s">
        <v>148</v>
      </c>
      <c r="E1629" s="74" t="s">
        <v>21338</v>
      </c>
      <c r="F1629" s="74">
        <v>551367</v>
      </c>
      <c r="G1629" s="74">
        <v>1000</v>
      </c>
      <c r="H1629" s="135">
        <v>42983.321006944447</v>
      </c>
      <c r="I1629" s="74" t="s">
        <v>21339</v>
      </c>
      <c r="J1629" s="74" t="s">
        <v>21340</v>
      </c>
      <c r="K1629" s="74" t="s">
        <v>11240</v>
      </c>
      <c r="L1629" s="74">
        <v>553083</v>
      </c>
      <c r="M1629" s="74" t="s">
        <v>21341</v>
      </c>
      <c r="N1629" s="74">
        <v>1</v>
      </c>
      <c r="O1629" s="74" t="s">
        <v>21342</v>
      </c>
      <c r="P1629" s="74" t="s">
        <v>21343</v>
      </c>
      <c r="Q1629" s="74">
        <v>0</v>
      </c>
      <c r="R1629" s="74" t="s">
        <v>148</v>
      </c>
      <c r="S1629" s="74" t="s">
        <v>21338</v>
      </c>
      <c r="T1629" s="74" t="s">
        <v>402</v>
      </c>
      <c r="U1629" s="74">
        <v>0</v>
      </c>
      <c r="V1629" s="74">
        <v>0</v>
      </c>
    </row>
    <row r="1630" spans="3:22" x14ac:dyDescent="0.25">
      <c r="C1630" s="74" t="s">
        <v>18795</v>
      </c>
      <c r="D1630" s="74" t="s">
        <v>148</v>
      </c>
      <c r="E1630" s="74" t="s">
        <v>21338</v>
      </c>
      <c r="F1630" s="74">
        <v>551367</v>
      </c>
      <c r="G1630" s="74">
        <v>1000</v>
      </c>
      <c r="H1630" s="135">
        <v>42982.893287037034</v>
      </c>
      <c r="I1630" s="74" t="s">
        <v>21339</v>
      </c>
      <c r="J1630" s="74" t="s">
        <v>21340</v>
      </c>
      <c r="K1630" s="74" t="s">
        <v>3723</v>
      </c>
      <c r="L1630" s="74">
        <v>552127</v>
      </c>
      <c r="M1630" s="74" t="s">
        <v>21341</v>
      </c>
      <c r="N1630" s="74">
        <v>1</v>
      </c>
      <c r="O1630" s="74" t="s">
        <v>21342</v>
      </c>
      <c r="P1630" s="74" t="s">
        <v>21343</v>
      </c>
      <c r="Q1630" s="74">
        <v>0</v>
      </c>
      <c r="R1630" s="74" t="s">
        <v>148</v>
      </c>
      <c r="S1630" s="74" t="s">
        <v>21338</v>
      </c>
      <c r="T1630" s="74" t="s">
        <v>402</v>
      </c>
      <c r="U1630" s="74">
        <v>0</v>
      </c>
      <c r="V1630" s="74">
        <v>0</v>
      </c>
    </row>
    <row r="1631" spans="3:22" x14ac:dyDescent="0.25">
      <c r="C1631" s="74" t="s">
        <v>18795</v>
      </c>
      <c r="D1631" s="74" t="s">
        <v>148</v>
      </c>
      <c r="E1631" s="74" t="s">
        <v>21338</v>
      </c>
      <c r="F1631" s="74">
        <v>551367</v>
      </c>
      <c r="G1631" s="74">
        <v>1000</v>
      </c>
      <c r="H1631" s="135">
        <v>42982.712442129632</v>
      </c>
      <c r="I1631" s="74" t="s">
        <v>21339</v>
      </c>
      <c r="J1631" s="74" t="s">
        <v>21340</v>
      </c>
      <c r="K1631" s="74" t="s">
        <v>13709</v>
      </c>
      <c r="L1631" s="74">
        <v>553399</v>
      </c>
      <c r="M1631" s="74" t="s">
        <v>21341</v>
      </c>
      <c r="N1631" s="74">
        <v>1</v>
      </c>
      <c r="O1631" s="74" t="s">
        <v>21342</v>
      </c>
      <c r="P1631" s="74" t="s">
        <v>21343</v>
      </c>
      <c r="Q1631" s="74">
        <v>0</v>
      </c>
      <c r="R1631" s="74" t="s">
        <v>148</v>
      </c>
      <c r="S1631" s="74" t="s">
        <v>21338</v>
      </c>
      <c r="T1631" s="74" t="s">
        <v>402</v>
      </c>
      <c r="U1631" s="74">
        <v>0</v>
      </c>
      <c r="V1631" s="74">
        <v>0</v>
      </c>
    </row>
    <row r="1632" spans="3:22" x14ac:dyDescent="0.25">
      <c r="C1632" s="74" t="s">
        <v>18795</v>
      </c>
      <c r="D1632" s="74" t="s">
        <v>148</v>
      </c>
      <c r="E1632" s="74" t="s">
        <v>21338</v>
      </c>
      <c r="F1632" s="74">
        <v>551367</v>
      </c>
      <c r="G1632" s="74">
        <v>1000</v>
      </c>
      <c r="H1632" s="135">
        <v>42982.68954861111</v>
      </c>
      <c r="I1632" s="74" t="s">
        <v>21339</v>
      </c>
      <c r="J1632" s="74" t="s">
        <v>21340</v>
      </c>
      <c r="K1632" s="74" t="s">
        <v>21691</v>
      </c>
      <c r="L1632" s="74">
        <v>897809</v>
      </c>
      <c r="M1632" s="74" t="s">
        <v>21341</v>
      </c>
      <c r="N1632" s="74">
        <v>1</v>
      </c>
      <c r="O1632" s="74" t="s">
        <v>21342</v>
      </c>
      <c r="P1632" s="74" t="s">
        <v>21343</v>
      </c>
      <c r="Q1632" s="74">
        <v>0</v>
      </c>
      <c r="R1632" s="74" t="s">
        <v>148</v>
      </c>
      <c r="S1632" s="74" t="s">
        <v>21338</v>
      </c>
      <c r="T1632" s="74" t="s">
        <v>393</v>
      </c>
      <c r="U1632" s="74">
        <v>0</v>
      </c>
      <c r="V1632" s="74">
        <v>0</v>
      </c>
    </row>
    <row r="1633" spans="3:22" x14ac:dyDescent="0.25">
      <c r="C1633" s="74" t="s">
        <v>18795</v>
      </c>
      <c r="D1633" s="74" t="s">
        <v>148</v>
      </c>
      <c r="E1633" s="74" t="s">
        <v>21338</v>
      </c>
      <c r="F1633" s="74">
        <v>551367</v>
      </c>
      <c r="G1633" s="74">
        <v>1000</v>
      </c>
      <c r="H1633" s="135">
        <v>42982.376712962963</v>
      </c>
      <c r="I1633" s="74" t="s">
        <v>21339</v>
      </c>
      <c r="J1633" s="74" t="s">
        <v>21340</v>
      </c>
      <c r="K1633" s="74" t="s">
        <v>20757</v>
      </c>
      <c r="L1633" s="74">
        <v>554260</v>
      </c>
      <c r="M1633" s="74" t="s">
        <v>21341</v>
      </c>
      <c r="N1633" s="74">
        <v>1</v>
      </c>
      <c r="O1633" s="74" t="s">
        <v>21342</v>
      </c>
      <c r="P1633" s="74" t="s">
        <v>21343</v>
      </c>
      <c r="Q1633" s="74">
        <v>0</v>
      </c>
      <c r="R1633" s="74" t="s">
        <v>148</v>
      </c>
      <c r="S1633" s="74" t="s">
        <v>21338</v>
      </c>
      <c r="T1633" s="74" t="s">
        <v>402</v>
      </c>
      <c r="U1633" s="74">
        <v>0</v>
      </c>
      <c r="V1633" s="74">
        <v>0</v>
      </c>
    </row>
    <row r="1634" spans="3:22" x14ac:dyDescent="0.25">
      <c r="C1634" s="74" t="s">
        <v>18795</v>
      </c>
      <c r="D1634" s="74" t="s">
        <v>148</v>
      </c>
      <c r="E1634" s="74" t="s">
        <v>21338</v>
      </c>
      <c r="F1634" s="74">
        <v>551367</v>
      </c>
      <c r="G1634" s="74">
        <v>1000</v>
      </c>
      <c r="H1634" s="135">
        <v>42981.659317129626</v>
      </c>
      <c r="I1634" s="74" t="s">
        <v>21339</v>
      </c>
      <c r="J1634" s="74" t="s">
        <v>21340</v>
      </c>
      <c r="K1634" s="74" t="s">
        <v>2013</v>
      </c>
      <c r="L1634" s="74">
        <v>551908</v>
      </c>
      <c r="M1634" s="74" t="s">
        <v>21341</v>
      </c>
      <c r="N1634" s="74">
        <v>1</v>
      </c>
      <c r="O1634" s="74" t="s">
        <v>21342</v>
      </c>
      <c r="P1634" s="74" t="s">
        <v>21343</v>
      </c>
      <c r="Q1634" s="74">
        <v>0</v>
      </c>
      <c r="R1634" s="74" t="s">
        <v>148</v>
      </c>
      <c r="S1634" s="74" t="s">
        <v>21338</v>
      </c>
      <c r="T1634" s="74" t="s">
        <v>402</v>
      </c>
      <c r="U1634" s="74">
        <v>0</v>
      </c>
      <c r="V1634" s="74">
        <v>0</v>
      </c>
    </row>
    <row r="1635" spans="3:22" x14ac:dyDescent="0.25">
      <c r="C1635" s="74" t="s">
        <v>18795</v>
      </c>
      <c r="D1635" s="74" t="s">
        <v>148</v>
      </c>
      <c r="E1635" s="74" t="s">
        <v>21338</v>
      </c>
      <c r="F1635" s="74">
        <v>551367</v>
      </c>
      <c r="G1635" s="74">
        <v>1000</v>
      </c>
      <c r="H1635" s="135">
        <v>42981.098124999997</v>
      </c>
      <c r="I1635" s="74" t="s">
        <v>21339</v>
      </c>
      <c r="J1635" s="74" t="s">
        <v>21340</v>
      </c>
      <c r="K1635" s="74" t="s">
        <v>6016</v>
      </c>
      <c r="L1635" s="74">
        <v>552402</v>
      </c>
      <c r="M1635" s="74" t="s">
        <v>21341</v>
      </c>
      <c r="N1635" s="74">
        <v>1</v>
      </c>
      <c r="O1635" s="74" t="s">
        <v>21342</v>
      </c>
      <c r="P1635" s="74" t="s">
        <v>21343</v>
      </c>
      <c r="Q1635" s="74">
        <v>0</v>
      </c>
      <c r="R1635" s="74" t="s">
        <v>148</v>
      </c>
      <c r="S1635" s="74" t="s">
        <v>21338</v>
      </c>
      <c r="T1635" s="74" t="s">
        <v>393</v>
      </c>
      <c r="U1635" s="74">
        <v>0</v>
      </c>
      <c r="V1635" s="74">
        <v>0</v>
      </c>
    </row>
    <row r="1636" spans="3:22" x14ac:dyDescent="0.25">
      <c r="C1636" s="74" t="s">
        <v>18795</v>
      </c>
      <c r="D1636" s="74" t="s">
        <v>148</v>
      </c>
      <c r="E1636" s="74" t="s">
        <v>21338</v>
      </c>
      <c r="F1636" s="74">
        <v>551367</v>
      </c>
      <c r="G1636" s="74">
        <v>1000</v>
      </c>
      <c r="H1636" s="135">
        <v>42980.452361111114</v>
      </c>
      <c r="I1636" s="74" t="s">
        <v>21339</v>
      </c>
      <c r="J1636" s="74" t="s">
        <v>21340</v>
      </c>
      <c r="K1636" s="74" t="s">
        <v>16516</v>
      </c>
      <c r="L1636" s="74">
        <v>551681</v>
      </c>
      <c r="M1636" s="74" t="s">
        <v>21341</v>
      </c>
      <c r="N1636" s="74">
        <v>1</v>
      </c>
      <c r="O1636" s="74" t="s">
        <v>21342</v>
      </c>
      <c r="P1636" s="74" t="s">
        <v>21343</v>
      </c>
      <c r="Q1636" s="74">
        <v>0</v>
      </c>
      <c r="R1636" s="74" t="s">
        <v>148</v>
      </c>
      <c r="S1636" s="74" t="s">
        <v>21338</v>
      </c>
      <c r="T1636" s="74" t="s">
        <v>402</v>
      </c>
      <c r="U1636" s="74">
        <v>0</v>
      </c>
      <c r="V1636" s="74">
        <v>0</v>
      </c>
    </row>
    <row r="1637" spans="3:22" x14ac:dyDescent="0.25">
      <c r="C1637" s="74" t="s">
        <v>18795</v>
      </c>
      <c r="D1637" s="74" t="s">
        <v>148</v>
      </c>
      <c r="E1637" s="74" t="s">
        <v>21338</v>
      </c>
      <c r="F1637" s="74">
        <v>551367</v>
      </c>
      <c r="G1637" s="74">
        <v>1000</v>
      </c>
      <c r="H1637" s="135">
        <v>42980.437164351853</v>
      </c>
      <c r="I1637" s="74" t="s">
        <v>21339</v>
      </c>
      <c r="J1637" s="74" t="s">
        <v>21340</v>
      </c>
      <c r="K1637" s="74" t="s">
        <v>20892</v>
      </c>
      <c r="L1637" s="74">
        <v>554278</v>
      </c>
      <c r="M1637" s="74" t="s">
        <v>21341</v>
      </c>
      <c r="N1637" s="74">
        <v>1</v>
      </c>
      <c r="O1637" s="74" t="s">
        <v>21342</v>
      </c>
      <c r="P1637" s="74" t="s">
        <v>21343</v>
      </c>
      <c r="Q1637" s="74">
        <v>0</v>
      </c>
      <c r="R1637" s="74" t="s">
        <v>148</v>
      </c>
      <c r="S1637" s="74" t="s">
        <v>21338</v>
      </c>
      <c r="T1637" s="74" t="s">
        <v>402</v>
      </c>
      <c r="U1637" s="74">
        <v>0</v>
      </c>
      <c r="V1637" s="74">
        <v>0</v>
      </c>
    </row>
    <row r="1638" spans="3:22" x14ac:dyDescent="0.25">
      <c r="C1638" s="74" t="s">
        <v>18795</v>
      </c>
      <c r="D1638" s="74" t="s">
        <v>148</v>
      </c>
      <c r="E1638" s="74" t="s">
        <v>21338</v>
      </c>
      <c r="F1638" s="74">
        <v>551367</v>
      </c>
      <c r="G1638" s="74">
        <v>1000</v>
      </c>
      <c r="H1638" s="135">
        <v>42979.921342592592</v>
      </c>
      <c r="I1638" s="74" t="s">
        <v>21339</v>
      </c>
      <c r="J1638" s="74" t="s">
        <v>21340</v>
      </c>
      <c r="K1638" s="74" t="s">
        <v>17078</v>
      </c>
      <c r="L1638" s="74">
        <v>553813</v>
      </c>
      <c r="M1638" s="74" t="s">
        <v>21341</v>
      </c>
      <c r="N1638" s="74">
        <v>1</v>
      </c>
      <c r="O1638" s="74" t="s">
        <v>21342</v>
      </c>
      <c r="P1638" s="74" t="s">
        <v>21343</v>
      </c>
      <c r="Q1638" s="74">
        <v>0</v>
      </c>
      <c r="R1638" s="74" t="s">
        <v>148</v>
      </c>
      <c r="S1638" s="74" t="s">
        <v>21338</v>
      </c>
      <c r="T1638" s="74" t="s">
        <v>402</v>
      </c>
      <c r="U1638" s="74">
        <v>0</v>
      </c>
      <c r="V1638" s="74">
        <v>0</v>
      </c>
    </row>
    <row r="1639" spans="3:22" x14ac:dyDescent="0.25">
      <c r="C1639" s="74" t="s">
        <v>533</v>
      </c>
      <c r="D1639" s="74" t="s">
        <v>148</v>
      </c>
      <c r="E1639" s="74" t="s">
        <v>21338</v>
      </c>
      <c r="F1639" s="74">
        <v>627566</v>
      </c>
      <c r="G1639" s="74">
        <v>3</v>
      </c>
      <c r="H1639" s="135">
        <v>42979.749571759261</v>
      </c>
      <c r="I1639" s="74" t="s">
        <v>21354</v>
      </c>
      <c r="J1639" s="74" t="s">
        <v>21355</v>
      </c>
      <c r="K1639" s="74" t="s">
        <v>13674</v>
      </c>
      <c r="L1639" s="74">
        <v>553393</v>
      </c>
      <c r="M1639" s="74" t="s">
        <v>21341</v>
      </c>
      <c r="N1639" s="74">
        <v>1</v>
      </c>
      <c r="O1639" s="74" t="s">
        <v>21342</v>
      </c>
      <c r="P1639" s="74" t="s">
        <v>21345</v>
      </c>
      <c r="R1639" s="74" t="s">
        <v>148</v>
      </c>
      <c r="S1639" s="74" t="s">
        <v>21338</v>
      </c>
      <c r="T1639" s="74" t="s">
        <v>402</v>
      </c>
      <c r="U1639" s="74">
        <v>0</v>
      </c>
      <c r="V1639" s="74">
        <v>0</v>
      </c>
    </row>
    <row r="1640" spans="3:22" x14ac:dyDescent="0.25">
      <c r="C1640" s="74" t="s">
        <v>533</v>
      </c>
      <c r="D1640" s="74" t="s">
        <v>148</v>
      </c>
      <c r="E1640" s="74" t="s">
        <v>21338</v>
      </c>
      <c r="F1640" s="74">
        <v>627566</v>
      </c>
      <c r="G1640" s="74">
        <v>3</v>
      </c>
      <c r="H1640" s="135">
        <v>42979.748182870368</v>
      </c>
      <c r="I1640" s="74" t="s">
        <v>21354</v>
      </c>
      <c r="J1640" s="74" t="s">
        <v>21355</v>
      </c>
      <c r="K1640" s="74" t="s">
        <v>13674</v>
      </c>
      <c r="L1640" s="74">
        <v>553393</v>
      </c>
      <c r="M1640" s="74" t="s">
        <v>21341</v>
      </c>
      <c r="N1640" s="74">
        <v>1</v>
      </c>
      <c r="O1640" s="74" t="s">
        <v>21342</v>
      </c>
      <c r="P1640" s="74" t="s">
        <v>21345</v>
      </c>
      <c r="R1640" s="74" t="s">
        <v>148</v>
      </c>
      <c r="S1640" s="74" t="s">
        <v>21338</v>
      </c>
      <c r="T1640" s="74" t="s">
        <v>402</v>
      </c>
      <c r="U1640" s="74">
        <v>0</v>
      </c>
      <c r="V1640" s="74">
        <v>0</v>
      </c>
    </row>
    <row r="1641" spans="3:22" x14ac:dyDescent="0.25">
      <c r="C1641" s="74" t="s">
        <v>533</v>
      </c>
      <c r="D1641" s="74" t="s">
        <v>148</v>
      </c>
      <c r="E1641" s="74" t="s">
        <v>21338</v>
      </c>
      <c r="F1641" s="74">
        <v>627566</v>
      </c>
      <c r="G1641" s="74">
        <v>3</v>
      </c>
      <c r="H1641" s="135">
        <v>42979.747696759259</v>
      </c>
      <c r="I1641" s="74" t="s">
        <v>21339</v>
      </c>
      <c r="J1641" s="74" t="s">
        <v>21360</v>
      </c>
      <c r="K1641" s="74" t="s">
        <v>13674</v>
      </c>
      <c r="L1641" s="74">
        <v>553393</v>
      </c>
      <c r="M1641" s="74" t="s">
        <v>21341</v>
      </c>
      <c r="N1641" s="74">
        <v>1</v>
      </c>
      <c r="O1641" s="74" t="s">
        <v>21359</v>
      </c>
      <c r="P1641" s="74" t="s">
        <v>21343</v>
      </c>
      <c r="Q1641" s="74" t="s">
        <v>21395</v>
      </c>
      <c r="R1641" s="74" t="s">
        <v>148</v>
      </c>
      <c r="S1641" s="74" t="s">
        <v>21338</v>
      </c>
      <c r="T1641" s="74" t="s">
        <v>402</v>
      </c>
      <c r="U1641" s="74">
        <v>0</v>
      </c>
      <c r="V1641" s="74">
        <v>0</v>
      </c>
    </row>
    <row r="1642" spans="3:22" x14ac:dyDescent="0.25">
      <c r="C1642" s="74" t="s">
        <v>533</v>
      </c>
      <c r="D1642" s="74" t="s">
        <v>148</v>
      </c>
      <c r="E1642" s="74" t="s">
        <v>21338</v>
      </c>
      <c r="F1642" s="74">
        <v>627566</v>
      </c>
      <c r="G1642" s="74">
        <v>3</v>
      </c>
      <c r="H1642" s="135">
        <v>42979.747696759259</v>
      </c>
      <c r="I1642" s="74" t="s">
        <v>21339</v>
      </c>
      <c r="J1642" s="74" t="s">
        <v>21360</v>
      </c>
      <c r="K1642" s="74" t="s">
        <v>13674</v>
      </c>
      <c r="L1642" s="74">
        <v>553393</v>
      </c>
      <c r="M1642" s="74" t="s">
        <v>21341</v>
      </c>
      <c r="N1642" s="74">
        <v>1</v>
      </c>
      <c r="O1642" s="74" t="s">
        <v>21359</v>
      </c>
      <c r="P1642" s="74" t="s">
        <v>21343</v>
      </c>
      <c r="Q1642" s="74" t="s">
        <v>21395</v>
      </c>
      <c r="R1642" s="74" t="s">
        <v>148</v>
      </c>
      <c r="S1642" s="74" t="s">
        <v>21338</v>
      </c>
      <c r="T1642" s="74" t="s">
        <v>402</v>
      </c>
      <c r="U1642" s="74">
        <v>0</v>
      </c>
      <c r="V1642" s="74">
        <v>0</v>
      </c>
    </row>
    <row r="1643" spans="3:22" x14ac:dyDescent="0.25">
      <c r="C1643" s="74" t="s">
        <v>18795</v>
      </c>
      <c r="D1643" s="74" t="s">
        <v>148</v>
      </c>
      <c r="E1643" s="74" t="s">
        <v>21338</v>
      </c>
      <c r="F1643" s="74">
        <v>551367</v>
      </c>
      <c r="G1643" s="74">
        <v>1000</v>
      </c>
      <c r="H1643" s="135">
        <v>42979.707118055558</v>
      </c>
      <c r="I1643" s="74" t="s">
        <v>21339</v>
      </c>
      <c r="J1643" s="74" t="s">
        <v>21340</v>
      </c>
      <c r="K1643" s="74" t="s">
        <v>12238</v>
      </c>
      <c r="L1643" s="74">
        <v>553203</v>
      </c>
      <c r="M1643" s="74" t="s">
        <v>21341</v>
      </c>
      <c r="N1643" s="74">
        <v>1</v>
      </c>
      <c r="O1643" s="74" t="s">
        <v>21342</v>
      </c>
      <c r="P1643" s="74" t="s">
        <v>21343</v>
      </c>
      <c r="Q1643" s="74">
        <v>0</v>
      </c>
      <c r="R1643" s="74" t="s">
        <v>148</v>
      </c>
      <c r="S1643" s="74" t="s">
        <v>21338</v>
      </c>
      <c r="T1643" s="74" t="s">
        <v>393</v>
      </c>
      <c r="U1643" s="74">
        <v>0</v>
      </c>
      <c r="V1643" s="74">
        <v>0</v>
      </c>
    </row>
    <row r="1644" spans="3:22" x14ac:dyDescent="0.25">
      <c r="C1644" s="74" t="s">
        <v>21386</v>
      </c>
      <c r="D1644" s="74" t="s">
        <v>148</v>
      </c>
      <c r="E1644" s="74" t="s">
        <v>21338</v>
      </c>
      <c r="F1644" s="74">
        <v>674396</v>
      </c>
      <c r="G1644" s="74">
        <v>3</v>
      </c>
      <c r="H1644" s="135">
        <v>42979.605671296296</v>
      </c>
      <c r="I1644" s="74" t="s">
        <v>21398</v>
      </c>
      <c r="J1644" s="74" t="s">
        <v>21366</v>
      </c>
      <c r="K1644" s="74" t="s">
        <v>21367</v>
      </c>
      <c r="L1644" s="74">
        <v>561482</v>
      </c>
      <c r="M1644" s="74" t="s">
        <v>21368</v>
      </c>
      <c r="N1644" s="74">
        <v>1</v>
      </c>
      <c r="O1644" s="74" t="s">
        <v>21369</v>
      </c>
      <c r="P1644" s="74" t="s">
        <v>21343</v>
      </c>
      <c r="Q1644" s="74" t="s">
        <v>21692</v>
      </c>
      <c r="R1644" s="74" t="s">
        <v>148</v>
      </c>
      <c r="S1644" s="74" t="s">
        <v>21338</v>
      </c>
      <c r="T1644" s="74" t="s">
        <v>21371</v>
      </c>
      <c r="U1644" s="74">
        <v>0</v>
      </c>
      <c r="V1644" s="74">
        <v>0</v>
      </c>
    </row>
    <row r="1645" spans="3:22" x14ac:dyDescent="0.25">
      <c r="C1645" s="74" t="s">
        <v>21386</v>
      </c>
      <c r="D1645" s="74" t="s">
        <v>148</v>
      </c>
      <c r="E1645" s="74" t="s">
        <v>21338</v>
      </c>
      <c r="F1645" s="74">
        <v>674396</v>
      </c>
      <c r="G1645" s="74">
        <v>3</v>
      </c>
      <c r="H1645" s="135">
        <v>42979.605671296296</v>
      </c>
      <c r="I1645" s="74" t="s">
        <v>21339</v>
      </c>
      <c r="J1645" s="74" t="s">
        <v>21364</v>
      </c>
      <c r="K1645" s="74" t="s">
        <v>21584</v>
      </c>
      <c r="L1645" s="74">
        <v>907004</v>
      </c>
      <c r="M1645" s="74" t="s">
        <v>21341</v>
      </c>
      <c r="N1645" s="74">
        <v>1</v>
      </c>
      <c r="O1645" s="74" t="s">
        <v>21342</v>
      </c>
      <c r="P1645" s="74" t="s">
        <v>21343</v>
      </c>
      <c r="Q1645" s="74">
        <v>0</v>
      </c>
      <c r="R1645" s="74" t="s">
        <v>148</v>
      </c>
      <c r="S1645" s="74" t="s">
        <v>21338</v>
      </c>
      <c r="T1645" s="74" t="s">
        <v>402</v>
      </c>
      <c r="U1645" s="74">
        <v>0</v>
      </c>
      <c r="V1645" s="74">
        <v>0</v>
      </c>
    </row>
    <row r="1646" spans="3:22" x14ac:dyDescent="0.25">
      <c r="C1646" s="74" t="s">
        <v>21386</v>
      </c>
      <c r="D1646" s="74" t="s">
        <v>148</v>
      </c>
      <c r="E1646" s="74" t="s">
        <v>21338</v>
      </c>
      <c r="F1646" s="74">
        <v>674396</v>
      </c>
      <c r="G1646" s="74">
        <v>3</v>
      </c>
      <c r="H1646" s="135">
        <v>42979.605624999997</v>
      </c>
      <c r="I1646" s="74" t="s">
        <v>21398</v>
      </c>
      <c r="J1646" s="74" t="s">
        <v>21366</v>
      </c>
      <c r="K1646" s="74" t="s">
        <v>21381</v>
      </c>
      <c r="L1646" s="74">
        <v>555660</v>
      </c>
      <c r="M1646" s="74" t="s">
        <v>21368</v>
      </c>
      <c r="N1646" s="74">
        <v>1</v>
      </c>
      <c r="O1646" s="74" t="s">
        <v>21369</v>
      </c>
      <c r="P1646" s="74" t="s">
        <v>21343</v>
      </c>
      <c r="Q1646" s="74" t="s">
        <v>21692</v>
      </c>
      <c r="R1646" s="74" t="s">
        <v>148</v>
      </c>
      <c r="S1646" s="74" t="s">
        <v>21338</v>
      </c>
      <c r="T1646" s="74" t="s">
        <v>21371</v>
      </c>
      <c r="U1646" s="74">
        <v>0</v>
      </c>
      <c r="V1646" s="74">
        <v>0</v>
      </c>
    </row>
    <row r="1647" spans="3:22" x14ac:dyDescent="0.25">
      <c r="C1647" s="74" t="s">
        <v>21386</v>
      </c>
      <c r="D1647" s="74" t="s">
        <v>148</v>
      </c>
      <c r="E1647" s="74" t="s">
        <v>21338</v>
      </c>
      <c r="F1647" s="74">
        <v>674396</v>
      </c>
      <c r="G1647" s="74">
        <v>3</v>
      </c>
      <c r="H1647" s="135">
        <v>42979.605312500003</v>
      </c>
      <c r="I1647" s="74" t="s">
        <v>21339</v>
      </c>
      <c r="J1647" s="74" t="s">
        <v>21364</v>
      </c>
      <c r="K1647" s="74" t="s">
        <v>21584</v>
      </c>
      <c r="L1647" s="74">
        <v>907004</v>
      </c>
      <c r="M1647" s="74" t="s">
        <v>21341</v>
      </c>
      <c r="N1647" s="74">
        <v>1</v>
      </c>
      <c r="O1647" s="74" t="s">
        <v>21342</v>
      </c>
      <c r="P1647" s="74" t="s">
        <v>21343</v>
      </c>
      <c r="Q1647" s="74">
        <v>0</v>
      </c>
      <c r="R1647" s="74" t="s">
        <v>148</v>
      </c>
      <c r="S1647" s="74" t="s">
        <v>21338</v>
      </c>
      <c r="T1647" s="74" t="s">
        <v>402</v>
      </c>
      <c r="U1647" s="74">
        <v>0</v>
      </c>
      <c r="V1647" s="74">
        <v>0</v>
      </c>
    </row>
    <row r="1648" spans="3:22" x14ac:dyDescent="0.25">
      <c r="C1648" s="74" t="s">
        <v>21386</v>
      </c>
      <c r="D1648" s="74" t="s">
        <v>148</v>
      </c>
      <c r="E1648" s="74" t="s">
        <v>21338</v>
      </c>
      <c r="F1648" s="74">
        <v>674396</v>
      </c>
      <c r="G1648" s="74">
        <v>3</v>
      </c>
      <c r="H1648" s="135">
        <v>42979.604386574072</v>
      </c>
      <c r="I1648" s="74" t="s">
        <v>21339</v>
      </c>
      <c r="J1648" s="74" t="s">
        <v>21364</v>
      </c>
      <c r="K1648" s="74" t="s">
        <v>21584</v>
      </c>
      <c r="L1648" s="74">
        <v>907004</v>
      </c>
      <c r="M1648" s="74" t="s">
        <v>21341</v>
      </c>
      <c r="N1648" s="74">
        <v>1</v>
      </c>
      <c r="O1648" s="74" t="s">
        <v>21342</v>
      </c>
      <c r="P1648" s="74" t="s">
        <v>21343</v>
      </c>
      <c r="Q1648" s="74">
        <v>0</v>
      </c>
      <c r="R1648" s="74" t="s">
        <v>148</v>
      </c>
      <c r="S1648" s="74" t="s">
        <v>21338</v>
      </c>
      <c r="T1648" s="74" t="s">
        <v>402</v>
      </c>
      <c r="U1648" s="74">
        <v>0</v>
      </c>
      <c r="V1648" s="74">
        <v>0</v>
      </c>
    </row>
    <row r="1649" spans="3:22" x14ac:dyDescent="0.25">
      <c r="C1649" s="74" t="s">
        <v>21386</v>
      </c>
      <c r="D1649" s="74" t="s">
        <v>148</v>
      </c>
      <c r="E1649" s="74" t="s">
        <v>21338</v>
      </c>
      <c r="F1649" s="74">
        <v>674396</v>
      </c>
      <c r="G1649" s="74">
        <v>3</v>
      </c>
      <c r="H1649" s="135">
        <v>42979.603414351855</v>
      </c>
      <c r="I1649" s="74" t="s">
        <v>21398</v>
      </c>
      <c r="J1649" s="74" t="s">
        <v>21400</v>
      </c>
      <c r="K1649" s="74" t="s">
        <v>21584</v>
      </c>
      <c r="L1649" s="74">
        <v>907004</v>
      </c>
      <c r="M1649" s="74" t="s">
        <v>21341</v>
      </c>
      <c r="N1649" s="74">
        <v>1</v>
      </c>
      <c r="O1649" s="74" t="s">
        <v>21342</v>
      </c>
      <c r="P1649" s="74" t="s">
        <v>21343</v>
      </c>
      <c r="Q1649" s="74" t="s">
        <v>21693</v>
      </c>
      <c r="R1649" s="74" t="s">
        <v>148</v>
      </c>
      <c r="S1649" s="74" t="s">
        <v>21338</v>
      </c>
      <c r="T1649" s="74" t="s">
        <v>402</v>
      </c>
      <c r="U1649" s="74">
        <v>0</v>
      </c>
      <c r="V1649" s="74">
        <v>0</v>
      </c>
    </row>
    <row r="1650" spans="3:22" x14ac:dyDescent="0.25">
      <c r="C1650" s="74" t="s">
        <v>18795</v>
      </c>
      <c r="D1650" s="74" t="s">
        <v>148</v>
      </c>
      <c r="E1650" s="74" t="s">
        <v>21338</v>
      </c>
      <c r="F1650" s="74">
        <v>551367</v>
      </c>
      <c r="G1650" s="74">
        <v>1000</v>
      </c>
      <c r="H1650" s="135">
        <v>42979.569710648146</v>
      </c>
      <c r="I1650" s="74" t="s">
        <v>21339</v>
      </c>
      <c r="J1650" s="74" t="s">
        <v>21340</v>
      </c>
      <c r="K1650" s="74" t="s">
        <v>21603</v>
      </c>
      <c r="L1650" s="74">
        <v>906982</v>
      </c>
      <c r="M1650" s="74" t="s">
        <v>21341</v>
      </c>
      <c r="N1650" s="74">
        <v>1</v>
      </c>
      <c r="O1650" s="74" t="s">
        <v>21342</v>
      </c>
      <c r="P1650" s="74" t="s">
        <v>21343</v>
      </c>
      <c r="Q1650" s="74">
        <v>0</v>
      </c>
      <c r="R1650" s="74" t="s">
        <v>148</v>
      </c>
      <c r="S1650" s="74" t="s">
        <v>21338</v>
      </c>
      <c r="T1650" s="74" t="s">
        <v>402</v>
      </c>
      <c r="U1650" s="74">
        <v>0</v>
      </c>
      <c r="V1650" s="74">
        <v>0</v>
      </c>
    </row>
    <row r="1651" spans="3:22" x14ac:dyDescent="0.25">
      <c r="C1651" s="74" t="s">
        <v>18795</v>
      </c>
      <c r="D1651" s="74" t="s">
        <v>148</v>
      </c>
      <c r="E1651" s="74" t="s">
        <v>21338</v>
      </c>
      <c r="F1651" s="74">
        <v>551367</v>
      </c>
      <c r="G1651" s="74">
        <v>1000</v>
      </c>
      <c r="H1651" s="135">
        <v>42979.534282407411</v>
      </c>
      <c r="I1651" s="74" t="s">
        <v>21339</v>
      </c>
      <c r="J1651" s="74" t="s">
        <v>21340</v>
      </c>
      <c r="K1651" s="74" t="s">
        <v>17009</v>
      </c>
      <c r="L1651" s="74">
        <v>569501</v>
      </c>
      <c r="M1651" s="74" t="s">
        <v>21341</v>
      </c>
      <c r="N1651" s="74">
        <v>1</v>
      </c>
      <c r="O1651" s="74" t="s">
        <v>21342</v>
      </c>
      <c r="P1651" s="74" t="s">
        <v>21343</v>
      </c>
      <c r="Q1651" s="74">
        <v>0</v>
      </c>
      <c r="R1651" s="74" t="s">
        <v>148</v>
      </c>
      <c r="S1651" s="74" t="s">
        <v>21338</v>
      </c>
      <c r="T1651" s="74" t="s">
        <v>402</v>
      </c>
      <c r="U1651" s="74">
        <v>0</v>
      </c>
      <c r="V1651" s="74">
        <v>0</v>
      </c>
    </row>
    <row r="1652" spans="3:22" x14ac:dyDescent="0.25">
      <c r="C1652" s="74" t="s">
        <v>18795</v>
      </c>
      <c r="D1652" s="74" t="s">
        <v>148</v>
      </c>
      <c r="E1652" s="74" t="s">
        <v>21338</v>
      </c>
      <c r="F1652" s="74">
        <v>551367</v>
      </c>
      <c r="G1652" s="74">
        <v>1000</v>
      </c>
      <c r="H1652" s="135">
        <v>42979.532233796293</v>
      </c>
      <c r="I1652" s="74" t="s">
        <v>21339</v>
      </c>
      <c r="J1652" s="74" t="s">
        <v>21340</v>
      </c>
      <c r="K1652" s="74" t="s">
        <v>13601</v>
      </c>
      <c r="L1652" s="74">
        <v>553379</v>
      </c>
      <c r="M1652" s="74" t="s">
        <v>21341</v>
      </c>
      <c r="N1652" s="74">
        <v>1</v>
      </c>
      <c r="O1652" s="74" t="s">
        <v>21342</v>
      </c>
      <c r="P1652" s="74" t="s">
        <v>21343</v>
      </c>
      <c r="Q1652" s="74">
        <v>0</v>
      </c>
      <c r="R1652" s="74" t="s">
        <v>148</v>
      </c>
      <c r="S1652" s="74" t="s">
        <v>21338</v>
      </c>
      <c r="T1652" s="74" t="s">
        <v>402</v>
      </c>
      <c r="U1652" s="74">
        <v>0</v>
      </c>
      <c r="V1652" s="74">
        <v>0</v>
      </c>
    </row>
    <row r="1653" spans="3:22" x14ac:dyDescent="0.25">
      <c r="C1653" s="74" t="s">
        <v>18795</v>
      </c>
      <c r="D1653" s="74" t="s">
        <v>148</v>
      </c>
      <c r="E1653" s="74" t="s">
        <v>21338</v>
      </c>
      <c r="F1653" s="74">
        <v>551367</v>
      </c>
      <c r="G1653" s="74">
        <v>1000</v>
      </c>
      <c r="H1653" s="135">
        <v>42979.528796296298</v>
      </c>
      <c r="I1653" s="74" t="s">
        <v>21339</v>
      </c>
      <c r="J1653" s="74" t="s">
        <v>21340</v>
      </c>
      <c r="K1653" s="74" t="s">
        <v>21694</v>
      </c>
      <c r="L1653" s="74">
        <v>658898</v>
      </c>
      <c r="M1653" s="74" t="s">
        <v>21341</v>
      </c>
      <c r="N1653" s="74">
        <v>1</v>
      </c>
      <c r="O1653" s="74" t="s">
        <v>21342</v>
      </c>
      <c r="P1653" s="74" t="s">
        <v>21343</v>
      </c>
      <c r="Q1653" s="74">
        <v>0</v>
      </c>
      <c r="R1653" s="74" t="s">
        <v>148</v>
      </c>
      <c r="S1653" s="74" t="s">
        <v>21338</v>
      </c>
      <c r="T1653" s="74" t="s">
        <v>402</v>
      </c>
      <c r="U1653" s="74">
        <v>0</v>
      </c>
      <c r="V1653" s="74">
        <v>0</v>
      </c>
    </row>
    <row r="1654" spans="3:22" x14ac:dyDescent="0.25">
      <c r="C1654" s="74" t="s">
        <v>21386</v>
      </c>
      <c r="D1654" s="74" t="s">
        <v>148</v>
      </c>
      <c r="E1654" s="74" t="s">
        <v>21338</v>
      </c>
      <c r="F1654" s="74">
        <v>674396</v>
      </c>
      <c r="G1654" s="74">
        <v>3</v>
      </c>
      <c r="H1654" s="135">
        <v>42979.504537037035</v>
      </c>
      <c r="I1654" s="74" t="s">
        <v>21398</v>
      </c>
      <c r="J1654" s="74" t="s">
        <v>21366</v>
      </c>
      <c r="K1654" s="74" t="s">
        <v>21367</v>
      </c>
      <c r="L1654" s="74">
        <v>561482</v>
      </c>
      <c r="M1654" s="74" t="s">
        <v>21368</v>
      </c>
      <c r="N1654" s="74">
        <v>1</v>
      </c>
      <c r="O1654" s="74" t="s">
        <v>21369</v>
      </c>
      <c r="P1654" s="74" t="s">
        <v>21343</v>
      </c>
      <c r="Q1654" s="74" t="s">
        <v>21695</v>
      </c>
      <c r="R1654" s="74" t="s">
        <v>148</v>
      </c>
      <c r="S1654" s="74" t="s">
        <v>21338</v>
      </c>
      <c r="T1654" s="74" t="s">
        <v>21371</v>
      </c>
      <c r="U1654" s="74">
        <v>0</v>
      </c>
      <c r="V1654" s="74">
        <v>0</v>
      </c>
    </row>
    <row r="1655" spans="3:22" x14ac:dyDescent="0.25">
      <c r="C1655" s="74" t="s">
        <v>21386</v>
      </c>
      <c r="D1655" s="74" t="s">
        <v>148</v>
      </c>
      <c r="E1655" s="74" t="s">
        <v>21338</v>
      </c>
      <c r="F1655" s="74">
        <v>674396</v>
      </c>
      <c r="G1655" s="74">
        <v>3</v>
      </c>
      <c r="H1655" s="135">
        <v>42979.504537037035</v>
      </c>
      <c r="I1655" s="74" t="s">
        <v>21339</v>
      </c>
      <c r="J1655" s="74" t="s">
        <v>21364</v>
      </c>
      <c r="K1655" s="74" t="s">
        <v>21603</v>
      </c>
      <c r="L1655" s="74">
        <v>906982</v>
      </c>
      <c r="M1655" s="74" t="s">
        <v>21341</v>
      </c>
      <c r="N1655" s="74">
        <v>1</v>
      </c>
      <c r="O1655" s="74" t="s">
        <v>21342</v>
      </c>
      <c r="P1655" s="74" t="s">
        <v>21343</v>
      </c>
      <c r="Q1655" s="74">
        <v>0</v>
      </c>
      <c r="R1655" s="74" t="s">
        <v>148</v>
      </c>
      <c r="S1655" s="74" t="s">
        <v>21338</v>
      </c>
      <c r="T1655" s="74" t="s">
        <v>402</v>
      </c>
      <c r="U1655" s="74">
        <v>0</v>
      </c>
      <c r="V1655" s="74">
        <v>0</v>
      </c>
    </row>
    <row r="1656" spans="3:22" x14ac:dyDescent="0.25">
      <c r="C1656" s="74" t="s">
        <v>21386</v>
      </c>
      <c r="D1656" s="74" t="s">
        <v>148</v>
      </c>
      <c r="E1656" s="74" t="s">
        <v>21338</v>
      </c>
      <c r="F1656" s="74">
        <v>674396</v>
      </c>
      <c r="G1656" s="74">
        <v>3</v>
      </c>
      <c r="H1656" s="135">
        <v>42979.504525462966</v>
      </c>
      <c r="I1656" s="74" t="s">
        <v>21398</v>
      </c>
      <c r="J1656" s="74" t="s">
        <v>21366</v>
      </c>
      <c r="K1656" s="74" t="s">
        <v>21381</v>
      </c>
      <c r="L1656" s="74">
        <v>555660</v>
      </c>
      <c r="M1656" s="74" t="s">
        <v>21368</v>
      </c>
      <c r="N1656" s="74">
        <v>1</v>
      </c>
      <c r="O1656" s="74" t="s">
        <v>21369</v>
      </c>
      <c r="P1656" s="74" t="s">
        <v>21343</v>
      </c>
      <c r="Q1656" s="74" t="s">
        <v>21695</v>
      </c>
      <c r="R1656" s="74" t="s">
        <v>148</v>
      </c>
      <c r="S1656" s="74" t="s">
        <v>21338</v>
      </c>
      <c r="T1656" s="74" t="s">
        <v>21371</v>
      </c>
      <c r="U1656" s="74">
        <v>0</v>
      </c>
      <c r="V1656" s="74">
        <v>0</v>
      </c>
    </row>
    <row r="1657" spans="3:22" x14ac:dyDescent="0.25">
      <c r="C1657" s="74" t="s">
        <v>21386</v>
      </c>
      <c r="D1657" s="74" t="s">
        <v>148</v>
      </c>
      <c r="E1657" s="74" t="s">
        <v>21338</v>
      </c>
      <c r="F1657" s="74">
        <v>674396</v>
      </c>
      <c r="G1657" s="74">
        <v>3</v>
      </c>
      <c r="H1657" s="135">
        <v>42979.504502314812</v>
      </c>
      <c r="I1657" s="74" t="s">
        <v>21339</v>
      </c>
      <c r="J1657" s="74" t="s">
        <v>21364</v>
      </c>
      <c r="K1657" s="74" t="s">
        <v>21603</v>
      </c>
      <c r="L1657" s="74">
        <v>906982</v>
      </c>
      <c r="M1657" s="74" t="s">
        <v>21341</v>
      </c>
      <c r="N1657" s="74">
        <v>1</v>
      </c>
      <c r="O1657" s="74" t="s">
        <v>21342</v>
      </c>
      <c r="P1657" s="74" t="s">
        <v>21343</v>
      </c>
      <c r="Q1657" s="74">
        <v>0</v>
      </c>
      <c r="R1657" s="74" t="s">
        <v>148</v>
      </c>
      <c r="S1657" s="74" t="s">
        <v>21338</v>
      </c>
      <c r="T1657" s="74" t="s">
        <v>402</v>
      </c>
      <c r="U1657" s="74">
        <v>0</v>
      </c>
      <c r="V1657" s="74">
        <v>0</v>
      </c>
    </row>
    <row r="1658" spans="3:22" x14ac:dyDescent="0.25">
      <c r="C1658" s="74" t="s">
        <v>21386</v>
      </c>
      <c r="D1658" s="74" t="s">
        <v>148</v>
      </c>
      <c r="E1658" s="74" t="s">
        <v>21338</v>
      </c>
      <c r="F1658" s="74">
        <v>674396</v>
      </c>
      <c r="G1658" s="74">
        <v>3</v>
      </c>
      <c r="H1658" s="135">
        <v>42979.504120370373</v>
      </c>
      <c r="I1658" s="74" t="s">
        <v>21339</v>
      </c>
      <c r="J1658" s="74" t="s">
        <v>21364</v>
      </c>
      <c r="K1658" s="74" t="s">
        <v>21603</v>
      </c>
      <c r="L1658" s="74">
        <v>906982</v>
      </c>
      <c r="M1658" s="74" t="s">
        <v>21341</v>
      </c>
      <c r="N1658" s="74">
        <v>1</v>
      </c>
      <c r="O1658" s="74" t="s">
        <v>21342</v>
      </c>
      <c r="P1658" s="74" t="s">
        <v>21343</v>
      </c>
      <c r="Q1658" s="74">
        <v>0</v>
      </c>
      <c r="R1658" s="74" t="s">
        <v>148</v>
      </c>
      <c r="S1658" s="74" t="s">
        <v>21338</v>
      </c>
      <c r="T1658" s="74" t="s">
        <v>402</v>
      </c>
      <c r="U1658" s="74">
        <v>0</v>
      </c>
      <c r="V1658" s="74">
        <v>0</v>
      </c>
    </row>
    <row r="1659" spans="3:22" x14ac:dyDescent="0.25">
      <c r="C1659" s="74" t="s">
        <v>21386</v>
      </c>
      <c r="D1659" s="74" t="s">
        <v>148</v>
      </c>
      <c r="E1659" s="74" t="s">
        <v>21338</v>
      </c>
      <c r="F1659" s="74">
        <v>674396</v>
      </c>
      <c r="G1659" s="74">
        <v>3</v>
      </c>
      <c r="H1659" s="135">
        <v>42979.503761574073</v>
      </c>
      <c r="I1659" s="74" t="s">
        <v>21398</v>
      </c>
      <c r="J1659" s="74" t="s">
        <v>21400</v>
      </c>
      <c r="K1659" s="74" t="s">
        <v>21603</v>
      </c>
      <c r="L1659" s="74">
        <v>906982</v>
      </c>
      <c r="M1659" s="74" t="s">
        <v>21341</v>
      </c>
      <c r="N1659" s="74">
        <v>1</v>
      </c>
      <c r="O1659" s="74" t="s">
        <v>21342</v>
      </c>
      <c r="P1659" s="74" t="s">
        <v>21343</v>
      </c>
      <c r="Q1659" s="74" t="s">
        <v>21696</v>
      </c>
      <c r="R1659" s="74" t="s">
        <v>148</v>
      </c>
      <c r="S1659" s="74" t="s">
        <v>21338</v>
      </c>
      <c r="T1659" s="74" t="s">
        <v>402</v>
      </c>
      <c r="U1659" s="74">
        <v>0</v>
      </c>
      <c r="V1659" s="74">
        <v>0</v>
      </c>
    </row>
    <row r="1660" spans="3:22" x14ac:dyDescent="0.25">
      <c r="C1660" s="74" t="s">
        <v>21385</v>
      </c>
      <c r="D1660" s="74" t="s">
        <v>148</v>
      </c>
      <c r="E1660" s="74" t="s">
        <v>21338</v>
      </c>
      <c r="F1660" s="74">
        <v>560579</v>
      </c>
      <c r="G1660" s="74">
        <v>3</v>
      </c>
      <c r="H1660" s="135">
        <v>42979.488645833335</v>
      </c>
      <c r="I1660" s="74" t="s">
        <v>21354</v>
      </c>
      <c r="J1660" s="74" t="s">
        <v>21355</v>
      </c>
      <c r="K1660" s="74" t="s">
        <v>16900</v>
      </c>
      <c r="L1660" s="74">
        <v>553786</v>
      </c>
      <c r="M1660" s="74" t="s">
        <v>21341</v>
      </c>
      <c r="N1660" s="74">
        <v>1</v>
      </c>
      <c r="O1660" s="74" t="s">
        <v>21342</v>
      </c>
      <c r="P1660" s="74" t="s">
        <v>21345</v>
      </c>
      <c r="R1660" s="74" t="s">
        <v>148</v>
      </c>
      <c r="S1660" s="74" t="s">
        <v>21338</v>
      </c>
      <c r="T1660" s="74" t="s">
        <v>402</v>
      </c>
      <c r="U1660" s="74">
        <v>0</v>
      </c>
      <c r="V1660" s="74">
        <v>0</v>
      </c>
    </row>
    <row r="1661" spans="3:22" x14ac:dyDescent="0.25">
      <c r="C1661" s="74" t="s">
        <v>21385</v>
      </c>
      <c r="D1661" s="74" t="s">
        <v>148</v>
      </c>
      <c r="E1661" s="74" t="s">
        <v>21338</v>
      </c>
      <c r="F1661" s="74">
        <v>560579</v>
      </c>
      <c r="G1661" s="74">
        <v>3</v>
      </c>
      <c r="H1661" s="135">
        <v>42979.488576388889</v>
      </c>
      <c r="I1661" s="74" t="s">
        <v>21354</v>
      </c>
      <c r="J1661" s="74" t="s">
        <v>21355</v>
      </c>
      <c r="K1661" s="74" t="s">
        <v>16900</v>
      </c>
      <c r="L1661" s="74">
        <v>553786</v>
      </c>
      <c r="M1661" s="74" t="s">
        <v>21341</v>
      </c>
      <c r="N1661" s="74">
        <v>1</v>
      </c>
      <c r="O1661" s="74" t="s">
        <v>21342</v>
      </c>
      <c r="P1661" s="74" t="s">
        <v>21345</v>
      </c>
      <c r="R1661" s="74" t="s">
        <v>148</v>
      </c>
      <c r="S1661" s="74" t="s">
        <v>21338</v>
      </c>
      <c r="T1661" s="74" t="s">
        <v>402</v>
      </c>
      <c r="U1661" s="74">
        <v>0</v>
      </c>
      <c r="V1661" s="74">
        <v>0</v>
      </c>
    </row>
    <row r="1662" spans="3:22" x14ac:dyDescent="0.25">
      <c r="C1662" s="74" t="s">
        <v>21386</v>
      </c>
      <c r="D1662" s="74" t="s">
        <v>148</v>
      </c>
      <c r="E1662" s="74" t="s">
        <v>21338</v>
      </c>
      <c r="F1662" s="74">
        <v>674396</v>
      </c>
      <c r="G1662" s="74">
        <v>3</v>
      </c>
      <c r="H1662" s="135">
        <v>42979.469884259262</v>
      </c>
      <c r="I1662" s="74" t="s">
        <v>21339</v>
      </c>
      <c r="J1662" s="74" t="s">
        <v>21362</v>
      </c>
      <c r="K1662" s="74" t="s">
        <v>11299</v>
      </c>
      <c r="L1662" s="74">
        <v>553094</v>
      </c>
      <c r="M1662" s="74" t="s">
        <v>21341</v>
      </c>
      <c r="N1662" s="74">
        <v>1</v>
      </c>
      <c r="O1662" s="74" t="s">
        <v>21342</v>
      </c>
      <c r="P1662" s="74" t="s">
        <v>21343</v>
      </c>
      <c r="Q1662" s="74" t="s">
        <v>21363</v>
      </c>
      <c r="R1662" s="74" t="s">
        <v>148</v>
      </c>
      <c r="S1662" s="74" t="s">
        <v>21338</v>
      </c>
      <c r="T1662" s="74" t="s">
        <v>393</v>
      </c>
      <c r="U1662" s="74">
        <v>0</v>
      </c>
      <c r="V1662" s="74">
        <v>0</v>
      </c>
    </row>
    <row r="1663" spans="3:22" x14ac:dyDescent="0.25">
      <c r="C1663" s="74" t="s">
        <v>21386</v>
      </c>
      <c r="D1663" s="74" t="s">
        <v>148</v>
      </c>
      <c r="E1663" s="74" t="s">
        <v>21338</v>
      </c>
      <c r="F1663" s="74">
        <v>674396</v>
      </c>
      <c r="G1663" s="74">
        <v>3</v>
      </c>
      <c r="H1663" s="135">
        <v>42979.469594907408</v>
      </c>
      <c r="I1663" s="74" t="s">
        <v>21365</v>
      </c>
      <c r="J1663" s="74" t="s">
        <v>21366</v>
      </c>
      <c r="K1663" s="74" t="s">
        <v>21367</v>
      </c>
      <c r="L1663" s="74">
        <v>561482</v>
      </c>
      <c r="M1663" s="74" t="s">
        <v>21368</v>
      </c>
      <c r="N1663" s="74">
        <v>1</v>
      </c>
      <c r="O1663" s="74" t="s">
        <v>21369</v>
      </c>
      <c r="P1663" s="74" t="s">
        <v>21343</v>
      </c>
      <c r="Q1663" s="74" t="s">
        <v>21697</v>
      </c>
      <c r="R1663" s="74" t="s">
        <v>148</v>
      </c>
      <c r="S1663" s="74" t="s">
        <v>21338</v>
      </c>
      <c r="T1663" s="74" t="s">
        <v>21371</v>
      </c>
      <c r="U1663" s="74">
        <v>0</v>
      </c>
      <c r="V1663" s="74">
        <v>0</v>
      </c>
    </row>
    <row r="1664" spans="3:22" x14ac:dyDescent="0.25">
      <c r="C1664" s="74" t="s">
        <v>21386</v>
      </c>
      <c r="D1664" s="74" t="s">
        <v>148</v>
      </c>
      <c r="E1664" s="74" t="s">
        <v>21338</v>
      </c>
      <c r="F1664" s="74">
        <v>674396</v>
      </c>
      <c r="G1664" s="74">
        <v>3</v>
      </c>
      <c r="H1664" s="135">
        <v>42979.469594907408</v>
      </c>
      <c r="I1664" s="74" t="s">
        <v>21339</v>
      </c>
      <c r="J1664" s="74" t="s">
        <v>21364</v>
      </c>
      <c r="K1664" s="74" t="s">
        <v>11299</v>
      </c>
      <c r="L1664" s="74">
        <v>553094</v>
      </c>
      <c r="M1664" s="74" t="s">
        <v>21341</v>
      </c>
      <c r="N1664" s="74">
        <v>1</v>
      </c>
      <c r="O1664" s="74" t="s">
        <v>21342</v>
      </c>
      <c r="P1664" s="74" t="s">
        <v>21343</v>
      </c>
      <c r="Q1664" s="74">
        <v>0</v>
      </c>
      <c r="R1664" s="74" t="s">
        <v>148</v>
      </c>
      <c r="S1664" s="74" t="s">
        <v>21338</v>
      </c>
      <c r="T1664" s="74" t="s">
        <v>402</v>
      </c>
      <c r="U1664" s="74">
        <v>0</v>
      </c>
      <c r="V1664" s="74">
        <v>0</v>
      </c>
    </row>
    <row r="1665" spans="3:22" x14ac:dyDescent="0.25">
      <c r="C1665" s="74" t="s">
        <v>21386</v>
      </c>
      <c r="D1665" s="74" t="s">
        <v>148</v>
      </c>
      <c r="E1665" s="74" t="s">
        <v>21338</v>
      </c>
      <c r="F1665" s="74">
        <v>674396</v>
      </c>
      <c r="G1665" s="74">
        <v>3</v>
      </c>
      <c r="H1665" s="135">
        <v>42979.469583333332</v>
      </c>
      <c r="I1665" s="74" t="s">
        <v>21365</v>
      </c>
      <c r="J1665" s="74" t="s">
        <v>21366</v>
      </c>
      <c r="K1665" s="74" t="s">
        <v>21372</v>
      </c>
      <c r="L1665" s="74">
        <v>555674</v>
      </c>
      <c r="M1665" s="74" t="s">
        <v>21368</v>
      </c>
      <c r="N1665" s="74">
        <v>1</v>
      </c>
      <c r="O1665" s="74" t="s">
        <v>21369</v>
      </c>
      <c r="P1665" s="74" t="s">
        <v>21343</v>
      </c>
      <c r="Q1665" s="74" t="s">
        <v>21697</v>
      </c>
      <c r="R1665" s="74" t="s">
        <v>148</v>
      </c>
      <c r="S1665" s="74" t="s">
        <v>21338</v>
      </c>
      <c r="T1665" s="74" t="s">
        <v>21371</v>
      </c>
      <c r="U1665" s="74">
        <v>0</v>
      </c>
      <c r="V1665" s="74">
        <v>0</v>
      </c>
    </row>
    <row r="1666" spans="3:22" x14ac:dyDescent="0.25">
      <c r="C1666" s="74" t="s">
        <v>21386</v>
      </c>
      <c r="D1666" s="74" t="s">
        <v>148</v>
      </c>
      <c r="E1666" s="74" t="s">
        <v>21338</v>
      </c>
      <c r="F1666" s="74">
        <v>674396</v>
      </c>
      <c r="G1666" s="74">
        <v>3</v>
      </c>
      <c r="H1666" s="135">
        <v>42979.469571759262</v>
      </c>
      <c r="I1666" s="74" t="s">
        <v>21365</v>
      </c>
      <c r="J1666" s="74" t="s">
        <v>21366</v>
      </c>
      <c r="K1666" s="74" t="s">
        <v>21373</v>
      </c>
      <c r="L1666" s="74">
        <v>555662</v>
      </c>
      <c r="M1666" s="74" t="s">
        <v>21368</v>
      </c>
      <c r="N1666" s="74">
        <v>1</v>
      </c>
      <c r="O1666" s="74" t="s">
        <v>21369</v>
      </c>
      <c r="P1666" s="74" t="s">
        <v>21343</v>
      </c>
      <c r="Q1666" s="74" t="s">
        <v>21697</v>
      </c>
      <c r="R1666" s="74" t="s">
        <v>148</v>
      </c>
      <c r="S1666" s="74" t="s">
        <v>21338</v>
      </c>
      <c r="T1666" s="74" t="s">
        <v>21371</v>
      </c>
      <c r="U1666" s="74">
        <v>0</v>
      </c>
      <c r="V1666" s="74">
        <v>0</v>
      </c>
    </row>
    <row r="1667" spans="3:22" x14ac:dyDescent="0.25">
      <c r="C1667" s="74" t="s">
        <v>21386</v>
      </c>
      <c r="D1667" s="74" t="s">
        <v>148</v>
      </c>
      <c r="E1667" s="74" t="s">
        <v>21338</v>
      </c>
      <c r="F1667" s="74">
        <v>674396</v>
      </c>
      <c r="G1667" s="74">
        <v>3</v>
      </c>
      <c r="H1667" s="135">
        <v>42979.469560185185</v>
      </c>
      <c r="I1667" s="74" t="s">
        <v>21365</v>
      </c>
      <c r="J1667" s="74" t="s">
        <v>21366</v>
      </c>
      <c r="K1667" s="74" t="s">
        <v>21377</v>
      </c>
      <c r="L1667" s="74">
        <v>555668</v>
      </c>
      <c r="M1667" s="74" t="s">
        <v>21368</v>
      </c>
      <c r="N1667" s="74">
        <v>1</v>
      </c>
      <c r="O1667" s="74" t="s">
        <v>21369</v>
      </c>
      <c r="P1667" s="74" t="s">
        <v>21343</v>
      </c>
      <c r="Q1667" s="74" t="s">
        <v>21697</v>
      </c>
      <c r="R1667" s="74" t="s">
        <v>148</v>
      </c>
      <c r="S1667" s="74" t="s">
        <v>21338</v>
      </c>
      <c r="T1667" s="74" t="s">
        <v>21371</v>
      </c>
      <c r="U1667" s="74">
        <v>0</v>
      </c>
      <c r="V1667" s="74">
        <v>0</v>
      </c>
    </row>
    <row r="1668" spans="3:22" x14ac:dyDescent="0.25">
      <c r="C1668" s="74" t="s">
        <v>21386</v>
      </c>
      <c r="D1668" s="74" t="s">
        <v>148</v>
      </c>
      <c r="E1668" s="74" t="s">
        <v>21338</v>
      </c>
      <c r="F1668" s="74">
        <v>674396</v>
      </c>
      <c r="G1668" s="74">
        <v>3</v>
      </c>
      <c r="H1668" s="135">
        <v>42979.469560185185</v>
      </c>
      <c r="I1668" s="74" t="s">
        <v>21365</v>
      </c>
      <c r="J1668" s="74" t="s">
        <v>21366</v>
      </c>
      <c r="K1668" s="74" t="s">
        <v>21376</v>
      </c>
      <c r="L1668" s="74">
        <v>555659</v>
      </c>
      <c r="M1668" s="74" t="s">
        <v>21368</v>
      </c>
      <c r="N1668" s="74">
        <v>1</v>
      </c>
      <c r="O1668" s="74" t="s">
        <v>21369</v>
      </c>
      <c r="P1668" s="74" t="s">
        <v>21343</v>
      </c>
      <c r="Q1668" s="74" t="s">
        <v>21697</v>
      </c>
      <c r="R1668" s="74" t="s">
        <v>148</v>
      </c>
      <c r="S1668" s="74" t="s">
        <v>21338</v>
      </c>
      <c r="T1668" s="74" t="s">
        <v>21371</v>
      </c>
      <c r="U1668" s="74">
        <v>0</v>
      </c>
      <c r="V1668" s="74">
        <v>0</v>
      </c>
    </row>
    <row r="1669" spans="3:22" x14ac:dyDescent="0.25">
      <c r="C1669" s="74" t="s">
        <v>21386</v>
      </c>
      <c r="D1669" s="74" t="s">
        <v>148</v>
      </c>
      <c r="E1669" s="74" t="s">
        <v>21338</v>
      </c>
      <c r="F1669" s="74">
        <v>674396</v>
      </c>
      <c r="G1669" s="74">
        <v>3</v>
      </c>
      <c r="H1669" s="135">
        <v>42979.469537037039</v>
      </c>
      <c r="I1669" s="74" t="s">
        <v>21339</v>
      </c>
      <c r="J1669" s="74" t="s">
        <v>21364</v>
      </c>
      <c r="K1669" s="74" t="s">
        <v>11299</v>
      </c>
      <c r="L1669" s="74">
        <v>553094</v>
      </c>
      <c r="M1669" s="74" t="s">
        <v>21341</v>
      </c>
      <c r="N1669" s="74">
        <v>1</v>
      </c>
      <c r="O1669" s="74" t="s">
        <v>21342</v>
      </c>
      <c r="P1669" s="74" t="s">
        <v>21343</v>
      </c>
      <c r="Q1669" s="74">
        <v>0</v>
      </c>
      <c r="R1669" s="74" t="s">
        <v>148</v>
      </c>
      <c r="S1669" s="74" t="s">
        <v>21338</v>
      </c>
      <c r="T1669" s="74" t="s">
        <v>402</v>
      </c>
      <c r="U1669" s="74">
        <v>0</v>
      </c>
      <c r="V1669" s="74">
        <v>0</v>
      </c>
    </row>
    <row r="1670" spans="3:22" x14ac:dyDescent="0.25">
      <c r="C1670" s="74" t="s">
        <v>21386</v>
      </c>
      <c r="D1670" s="74" t="s">
        <v>148</v>
      </c>
      <c r="E1670" s="74" t="s">
        <v>21338</v>
      </c>
      <c r="F1670" s="74">
        <v>674396</v>
      </c>
      <c r="G1670" s="74">
        <v>3</v>
      </c>
      <c r="H1670" s="135">
        <v>42979.469467592593</v>
      </c>
      <c r="I1670" s="74" t="s">
        <v>21339</v>
      </c>
      <c r="J1670" s="74" t="s">
        <v>21364</v>
      </c>
      <c r="K1670" s="74" t="s">
        <v>11299</v>
      </c>
      <c r="L1670" s="74">
        <v>553094</v>
      </c>
      <c r="M1670" s="74" t="s">
        <v>21341</v>
      </c>
      <c r="N1670" s="74">
        <v>1</v>
      </c>
      <c r="O1670" s="74" t="s">
        <v>21342</v>
      </c>
      <c r="P1670" s="74" t="s">
        <v>21343</v>
      </c>
      <c r="Q1670" s="74">
        <v>0</v>
      </c>
      <c r="R1670" s="74" t="s">
        <v>148</v>
      </c>
      <c r="S1670" s="74" t="s">
        <v>21338</v>
      </c>
      <c r="T1670" s="74" t="s">
        <v>402</v>
      </c>
      <c r="U1670" s="74">
        <v>0</v>
      </c>
      <c r="V1670" s="74">
        <v>0</v>
      </c>
    </row>
    <row r="1671" spans="3:22" x14ac:dyDescent="0.25">
      <c r="C1671" s="74" t="s">
        <v>21386</v>
      </c>
      <c r="D1671" s="74" t="s">
        <v>148</v>
      </c>
      <c r="E1671" s="74" t="s">
        <v>21338</v>
      </c>
      <c r="F1671" s="74">
        <v>674396</v>
      </c>
      <c r="G1671" s="74">
        <v>3</v>
      </c>
      <c r="H1671" s="135">
        <v>42979.469050925924</v>
      </c>
      <c r="I1671" s="74" t="s">
        <v>21339</v>
      </c>
      <c r="J1671" s="74" t="s">
        <v>21360</v>
      </c>
      <c r="K1671" s="74" t="s">
        <v>11299</v>
      </c>
      <c r="L1671" s="74">
        <v>553094</v>
      </c>
      <c r="M1671" s="74" t="s">
        <v>21341</v>
      </c>
      <c r="N1671" s="74">
        <v>1</v>
      </c>
      <c r="O1671" s="74" t="s">
        <v>21342</v>
      </c>
      <c r="P1671" s="74" t="s">
        <v>21343</v>
      </c>
      <c r="Q1671" s="74" t="s">
        <v>21361</v>
      </c>
      <c r="R1671" s="74" t="s">
        <v>148</v>
      </c>
      <c r="S1671" s="74" t="s">
        <v>21338</v>
      </c>
      <c r="T1671" s="74" t="s">
        <v>402</v>
      </c>
      <c r="U1671" s="74">
        <v>0</v>
      </c>
      <c r="V1671" s="74">
        <v>0</v>
      </c>
    </row>
    <row r="1672" spans="3:22" x14ac:dyDescent="0.25">
      <c r="C1672" s="74" t="s">
        <v>21386</v>
      </c>
      <c r="D1672" s="74" t="s">
        <v>148</v>
      </c>
      <c r="E1672" s="74" t="s">
        <v>21338</v>
      </c>
      <c r="F1672" s="74">
        <v>674396</v>
      </c>
      <c r="G1672" s="74">
        <v>3</v>
      </c>
      <c r="H1672" s="135">
        <v>42979.468761574077</v>
      </c>
      <c r="I1672" s="74" t="s">
        <v>21339</v>
      </c>
      <c r="J1672" s="74" t="s">
        <v>21360</v>
      </c>
      <c r="K1672" s="74" t="s">
        <v>11299</v>
      </c>
      <c r="L1672" s="74">
        <v>553094</v>
      </c>
      <c r="M1672" s="74" t="s">
        <v>21341</v>
      </c>
      <c r="N1672" s="74">
        <v>1</v>
      </c>
      <c r="O1672" s="74" t="s">
        <v>21342</v>
      </c>
      <c r="P1672" s="74" t="s">
        <v>21343</v>
      </c>
      <c r="Q1672" s="74" t="s">
        <v>21361</v>
      </c>
      <c r="R1672" s="74" t="s">
        <v>148</v>
      </c>
      <c r="S1672" s="74" t="s">
        <v>21338</v>
      </c>
      <c r="T1672" s="74" t="s">
        <v>402</v>
      </c>
      <c r="U1672" s="74">
        <v>0</v>
      </c>
      <c r="V1672" s="74">
        <v>0</v>
      </c>
    </row>
    <row r="1673" spans="3:22" x14ac:dyDescent="0.25">
      <c r="C1673" s="74" t="s">
        <v>18795</v>
      </c>
      <c r="D1673" s="74" t="s">
        <v>148</v>
      </c>
      <c r="E1673" s="74" t="s">
        <v>21338</v>
      </c>
      <c r="F1673" s="74">
        <v>551367</v>
      </c>
      <c r="G1673" s="74">
        <v>1000</v>
      </c>
      <c r="H1673" s="135">
        <v>42979.464513888888</v>
      </c>
      <c r="I1673" s="74" t="s">
        <v>21339</v>
      </c>
      <c r="J1673" s="74" t="s">
        <v>21340</v>
      </c>
      <c r="K1673" s="74" t="s">
        <v>21698</v>
      </c>
      <c r="L1673" s="74">
        <v>653418</v>
      </c>
      <c r="M1673" s="74" t="s">
        <v>21341</v>
      </c>
      <c r="N1673" s="74">
        <v>1</v>
      </c>
      <c r="O1673" s="74" t="s">
        <v>21342</v>
      </c>
      <c r="P1673" s="74" t="s">
        <v>21343</v>
      </c>
      <c r="Q1673" s="74">
        <v>0</v>
      </c>
      <c r="R1673" s="74" t="s">
        <v>148</v>
      </c>
      <c r="S1673" s="74" t="s">
        <v>21338</v>
      </c>
      <c r="T1673" s="74" t="s">
        <v>402</v>
      </c>
      <c r="U1673" s="74">
        <v>0</v>
      </c>
      <c r="V1673" s="74">
        <v>0</v>
      </c>
    </row>
    <row r="1674" spans="3:22" x14ac:dyDescent="0.25">
      <c r="C1674" s="74" t="s">
        <v>18795</v>
      </c>
      <c r="D1674" s="74" t="s">
        <v>148</v>
      </c>
      <c r="E1674" s="74" t="s">
        <v>21338</v>
      </c>
      <c r="F1674" s="74">
        <v>551367</v>
      </c>
      <c r="G1674" s="74">
        <v>1000</v>
      </c>
      <c r="H1674" s="135">
        <v>42979.462511574071</v>
      </c>
      <c r="I1674" s="74" t="s">
        <v>21339</v>
      </c>
      <c r="J1674" s="74" t="s">
        <v>21340</v>
      </c>
      <c r="K1674" s="74" t="s">
        <v>8598</v>
      </c>
      <c r="L1674" s="74">
        <v>552738</v>
      </c>
      <c r="M1674" s="74" t="s">
        <v>21341</v>
      </c>
      <c r="N1674" s="74">
        <v>1</v>
      </c>
      <c r="O1674" s="74" t="s">
        <v>21342</v>
      </c>
      <c r="P1674" s="74" t="s">
        <v>21343</v>
      </c>
      <c r="Q1674" s="74">
        <v>0</v>
      </c>
      <c r="R1674" s="74" t="s">
        <v>148</v>
      </c>
      <c r="S1674" s="74" t="s">
        <v>21338</v>
      </c>
      <c r="T1674" s="74" t="s">
        <v>402</v>
      </c>
      <c r="U1674" s="74">
        <v>0</v>
      </c>
      <c r="V1674" s="74">
        <v>0</v>
      </c>
    </row>
    <row r="1675" spans="3:22" x14ac:dyDescent="0.25">
      <c r="C1675" s="74" t="s">
        <v>18795</v>
      </c>
      <c r="D1675" s="74" t="s">
        <v>148</v>
      </c>
      <c r="E1675" s="74" t="s">
        <v>21338</v>
      </c>
      <c r="F1675" s="74">
        <v>551367</v>
      </c>
      <c r="G1675" s="74">
        <v>1000</v>
      </c>
      <c r="H1675" s="135">
        <v>42979.437303240738</v>
      </c>
      <c r="I1675" s="74" t="s">
        <v>21339</v>
      </c>
      <c r="J1675" s="74" t="s">
        <v>21340</v>
      </c>
      <c r="K1675" s="74" t="s">
        <v>15074</v>
      </c>
      <c r="L1675" s="74">
        <v>721306</v>
      </c>
      <c r="M1675" s="74" t="s">
        <v>21341</v>
      </c>
      <c r="N1675" s="74">
        <v>1</v>
      </c>
      <c r="O1675" s="74" t="s">
        <v>21342</v>
      </c>
      <c r="P1675" s="74" t="s">
        <v>21343</v>
      </c>
      <c r="Q1675" s="74">
        <v>0</v>
      </c>
      <c r="R1675" s="74" t="s">
        <v>148</v>
      </c>
      <c r="S1675" s="74" t="s">
        <v>21338</v>
      </c>
      <c r="T1675" s="74" t="s">
        <v>402</v>
      </c>
      <c r="U1675" s="74">
        <v>0</v>
      </c>
      <c r="V1675" s="74">
        <v>0</v>
      </c>
    </row>
    <row r="1676" spans="3:22" x14ac:dyDescent="0.25">
      <c r="C1676" s="74" t="s">
        <v>21386</v>
      </c>
      <c r="D1676" s="74" t="s">
        <v>148</v>
      </c>
      <c r="E1676" s="74" t="s">
        <v>21338</v>
      </c>
      <c r="F1676" s="74">
        <v>674396</v>
      </c>
      <c r="G1676" s="74">
        <v>3</v>
      </c>
      <c r="H1676" s="135">
        <v>42979.417847222219</v>
      </c>
      <c r="I1676" s="74" t="s">
        <v>21339</v>
      </c>
      <c r="J1676" s="74" t="s">
        <v>21364</v>
      </c>
      <c r="K1676" s="74" t="s">
        <v>21540</v>
      </c>
      <c r="L1676" s="74">
        <v>906965</v>
      </c>
      <c r="M1676" s="74" t="s">
        <v>21341</v>
      </c>
      <c r="N1676" s="74">
        <v>1</v>
      </c>
      <c r="O1676" s="74" t="s">
        <v>21342</v>
      </c>
      <c r="P1676" s="74" t="s">
        <v>21343</v>
      </c>
      <c r="Q1676" s="74">
        <v>0</v>
      </c>
      <c r="R1676" s="74" t="s">
        <v>148</v>
      </c>
      <c r="S1676" s="74" t="s">
        <v>21338</v>
      </c>
      <c r="T1676" s="74" t="s">
        <v>402</v>
      </c>
      <c r="U1676" s="74">
        <v>0</v>
      </c>
      <c r="V1676" s="74">
        <v>0</v>
      </c>
    </row>
    <row r="1677" spans="3:22" x14ac:dyDescent="0.25">
      <c r="C1677" s="74" t="s">
        <v>21386</v>
      </c>
      <c r="D1677" s="74" t="s">
        <v>148</v>
      </c>
      <c r="E1677" s="74" t="s">
        <v>21338</v>
      </c>
      <c r="F1677" s="74">
        <v>674396</v>
      </c>
      <c r="G1677" s="74">
        <v>3</v>
      </c>
      <c r="H1677" s="135">
        <v>42979.41783564815</v>
      </c>
      <c r="I1677" s="74" t="s">
        <v>21398</v>
      </c>
      <c r="J1677" s="74" t="s">
        <v>21366</v>
      </c>
      <c r="K1677" s="74" t="s">
        <v>21367</v>
      </c>
      <c r="L1677" s="74">
        <v>561482</v>
      </c>
      <c r="M1677" s="74" t="s">
        <v>21368</v>
      </c>
      <c r="N1677" s="74">
        <v>1</v>
      </c>
      <c r="O1677" s="74" t="s">
        <v>21369</v>
      </c>
      <c r="P1677" s="74" t="s">
        <v>21343</v>
      </c>
      <c r="Q1677" s="74" t="s">
        <v>21541</v>
      </c>
      <c r="R1677" s="74" t="s">
        <v>148</v>
      </c>
      <c r="S1677" s="74" t="s">
        <v>21338</v>
      </c>
      <c r="T1677" s="74" t="s">
        <v>21371</v>
      </c>
      <c r="U1677" s="74">
        <v>0</v>
      </c>
      <c r="V1677" s="74">
        <v>0</v>
      </c>
    </row>
    <row r="1678" spans="3:22" x14ac:dyDescent="0.25">
      <c r="C1678" s="74" t="s">
        <v>21386</v>
      </c>
      <c r="D1678" s="74" t="s">
        <v>148</v>
      </c>
      <c r="E1678" s="74" t="s">
        <v>21338</v>
      </c>
      <c r="F1678" s="74">
        <v>674396</v>
      </c>
      <c r="G1678" s="74">
        <v>3</v>
      </c>
      <c r="H1678" s="135">
        <v>42979.417824074073</v>
      </c>
      <c r="I1678" s="74" t="s">
        <v>21398</v>
      </c>
      <c r="J1678" s="74" t="s">
        <v>21366</v>
      </c>
      <c r="K1678" s="74" t="s">
        <v>21381</v>
      </c>
      <c r="L1678" s="74">
        <v>555660</v>
      </c>
      <c r="M1678" s="74" t="s">
        <v>21368</v>
      </c>
      <c r="N1678" s="74">
        <v>1</v>
      </c>
      <c r="O1678" s="74" t="s">
        <v>21369</v>
      </c>
      <c r="P1678" s="74" t="s">
        <v>21343</v>
      </c>
      <c r="Q1678" s="74" t="s">
        <v>21541</v>
      </c>
      <c r="R1678" s="74" t="s">
        <v>148</v>
      </c>
      <c r="S1678" s="74" t="s">
        <v>21338</v>
      </c>
      <c r="T1678" s="74" t="s">
        <v>21371</v>
      </c>
      <c r="U1678" s="74">
        <v>0</v>
      </c>
      <c r="V1678" s="74">
        <v>0</v>
      </c>
    </row>
    <row r="1679" spans="3:22" x14ac:dyDescent="0.25">
      <c r="C1679" s="74" t="s">
        <v>21386</v>
      </c>
      <c r="D1679" s="74" t="s">
        <v>148</v>
      </c>
      <c r="E1679" s="74" t="s">
        <v>21338</v>
      </c>
      <c r="F1679" s="74">
        <v>674396</v>
      </c>
      <c r="G1679" s="74">
        <v>3</v>
      </c>
      <c r="H1679" s="135">
        <v>42979.417569444442</v>
      </c>
      <c r="I1679" s="74" t="s">
        <v>21339</v>
      </c>
      <c r="J1679" s="74" t="s">
        <v>21364</v>
      </c>
      <c r="K1679" s="74" t="s">
        <v>21540</v>
      </c>
      <c r="L1679" s="74">
        <v>906965</v>
      </c>
      <c r="M1679" s="74" t="s">
        <v>21341</v>
      </c>
      <c r="N1679" s="74">
        <v>1</v>
      </c>
      <c r="O1679" s="74" t="s">
        <v>21342</v>
      </c>
      <c r="P1679" s="74" t="s">
        <v>21343</v>
      </c>
      <c r="Q1679" s="74">
        <v>0</v>
      </c>
      <c r="R1679" s="74" t="s">
        <v>148</v>
      </c>
      <c r="S1679" s="74" t="s">
        <v>21338</v>
      </c>
      <c r="T1679" s="74" t="s">
        <v>402</v>
      </c>
      <c r="U1679" s="74">
        <v>0</v>
      </c>
      <c r="V1679" s="74">
        <v>0</v>
      </c>
    </row>
    <row r="1680" spans="3:22" x14ac:dyDescent="0.25">
      <c r="C1680" s="74" t="s">
        <v>21386</v>
      </c>
      <c r="D1680" s="74" t="s">
        <v>148</v>
      </c>
      <c r="E1680" s="74" t="s">
        <v>21338</v>
      </c>
      <c r="F1680" s="74">
        <v>674396</v>
      </c>
      <c r="G1680" s="74">
        <v>3</v>
      </c>
      <c r="H1680" s="135">
        <v>42979.414340277777</v>
      </c>
      <c r="I1680" s="74" t="s">
        <v>21339</v>
      </c>
      <c r="J1680" s="74" t="s">
        <v>21364</v>
      </c>
      <c r="K1680" s="74" t="s">
        <v>21540</v>
      </c>
      <c r="L1680" s="74">
        <v>906965</v>
      </c>
      <c r="M1680" s="74" t="s">
        <v>21341</v>
      </c>
      <c r="N1680" s="74">
        <v>1</v>
      </c>
      <c r="O1680" s="74" t="s">
        <v>21342</v>
      </c>
      <c r="P1680" s="74" t="s">
        <v>21343</v>
      </c>
      <c r="Q1680" s="74">
        <v>0</v>
      </c>
      <c r="R1680" s="74" t="s">
        <v>148</v>
      </c>
      <c r="S1680" s="74" t="s">
        <v>21338</v>
      </c>
      <c r="T1680" s="74" t="s">
        <v>402</v>
      </c>
      <c r="U1680" s="74">
        <v>0</v>
      </c>
      <c r="V1680" s="74">
        <v>0</v>
      </c>
    </row>
    <row r="1681" spans="3:22" x14ac:dyDescent="0.25">
      <c r="C1681" s="74" t="s">
        <v>18795</v>
      </c>
      <c r="D1681" s="74" t="s">
        <v>148</v>
      </c>
      <c r="E1681" s="74" t="s">
        <v>21338</v>
      </c>
      <c r="F1681" s="74">
        <v>551367</v>
      </c>
      <c r="G1681" s="74">
        <v>1000</v>
      </c>
      <c r="H1681" s="135">
        <v>42979.409120370372</v>
      </c>
      <c r="I1681" s="74" t="s">
        <v>21339</v>
      </c>
      <c r="J1681" s="74" t="s">
        <v>21340</v>
      </c>
      <c r="K1681" s="74" t="s">
        <v>21700</v>
      </c>
      <c r="L1681" s="74">
        <v>863509</v>
      </c>
      <c r="M1681" s="74" t="s">
        <v>21341</v>
      </c>
      <c r="N1681" s="74">
        <v>1</v>
      </c>
      <c r="O1681" s="74" t="s">
        <v>21342</v>
      </c>
      <c r="P1681" s="74" t="s">
        <v>21343</v>
      </c>
      <c r="Q1681" s="74">
        <v>0</v>
      </c>
      <c r="R1681" s="74" t="s">
        <v>148</v>
      </c>
      <c r="S1681" s="74" t="s">
        <v>21338</v>
      </c>
      <c r="T1681" s="74" t="s">
        <v>402</v>
      </c>
      <c r="U1681" s="74">
        <v>0</v>
      </c>
      <c r="V1681" s="74">
        <v>0</v>
      </c>
    </row>
    <row r="1682" spans="3:22" x14ac:dyDescent="0.25">
      <c r="C1682" s="74" t="s">
        <v>21386</v>
      </c>
      <c r="D1682" s="74" t="s">
        <v>148</v>
      </c>
      <c r="E1682" s="74" t="s">
        <v>21338</v>
      </c>
      <c r="F1682" s="74">
        <v>674396</v>
      </c>
      <c r="G1682" s="74">
        <v>3</v>
      </c>
      <c r="H1682" s="135">
        <v>42979.408472222225</v>
      </c>
      <c r="I1682" s="74" t="s">
        <v>21398</v>
      </c>
      <c r="J1682" s="74" t="s">
        <v>21400</v>
      </c>
      <c r="K1682" s="74" t="s">
        <v>21540</v>
      </c>
      <c r="L1682" s="74">
        <v>906965</v>
      </c>
      <c r="M1682" s="74" t="s">
        <v>21341</v>
      </c>
      <c r="N1682" s="74">
        <v>1</v>
      </c>
      <c r="O1682" s="74" t="s">
        <v>21342</v>
      </c>
      <c r="P1682" s="74" t="s">
        <v>21343</v>
      </c>
      <c r="Q1682" s="74" t="s">
        <v>21701</v>
      </c>
      <c r="R1682" s="74" t="s">
        <v>148</v>
      </c>
      <c r="S1682" s="74" t="s">
        <v>21338</v>
      </c>
      <c r="T1682" s="74" t="s">
        <v>402</v>
      </c>
      <c r="U1682" s="74">
        <v>0</v>
      </c>
      <c r="V1682" s="74">
        <v>0</v>
      </c>
    </row>
    <row r="1683" spans="3:22" x14ac:dyDescent="0.25">
      <c r="C1683" s="74" t="s">
        <v>21386</v>
      </c>
      <c r="D1683" s="74" t="s">
        <v>148</v>
      </c>
      <c r="E1683" s="74" t="s">
        <v>21338</v>
      </c>
      <c r="F1683" s="74">
        <v>674396</v>
      </c>
      <c r="G1683" s="74">
        <v>3</v>
      </c>
      <c r="H1683" s="135">
        <v>42979.38108796296</v>
      </c>
      <c r="I1683" s="74" t="s">
        <v>21339</v>
      </c>
      <c r="J1683" s="74" t="s">
        <v>21364</v>
      </c>
      <c r="K1683" s="74" t="s">
        <v>21699</v>
      </c>
      <c r="L1683" s="74">
        <v>906958</v>
      </c>
      <c r="M1683" s="74" t="s">
        <v>21341</v>
      </c>
      <c r="N1683" s="74">
        <v>1</v>
      </c>
      <c r="O1683" s="74" t="s">
        <v>21342</v>
      </c>
      <c r="P1683" s="74" t="s">
        <v>21343</v>
      </c>
      <c r="Q1683" s="74">
        <v>0</v>
      </c>
      <c r="R1683" s="74" t="s">
        <v>148</v>
      </c>
      <c r="S1683" s="74" t="s">
        <v>21338</v>
      </c>
      <c r="T1683" s="74" t="s">
        <v>402</v>
      </c>
      <c r="U1683" s="74">
        <v>0</v>
      </c>
      <c r="V1683" s="74">
        <v>0</v>
      </c>
    </row>
    <row r="1684" spans="3:22" x14ac:dyDescent="0.25">
      <c r="C1684" s="74" t="s">
        <v>21386</v>
      </c>
      <c r="D1684" s="74" t="s">
        <v>148</v>
      </c>
      <c r="E1684" s="74" t="s">
        <v>21338</v>
      </c>
      <c r="F1684" s="74">
        <v>674396</v>
      </c>
      <c r="G1684" s="74">
        <v>3</v>
      </c>
      <c r="H1684" s="135">
        <v>42979.381076388891</v>
      </c>
      <c r="I1684" s="74" t="s">
        <v>21398</v>
      </c>
      <c r="J1684" s="74" t="s">
        <v>21366</v>
      </c>
      <c r="K1684" s="74" t="s">
        <v>21367</v>
      </c>
      <c r="L1684" s="74">
        <v>561482</v>
      </c>
      <c r="M1684" s="74" t="s">
        <v>21368</v>
      </c>
      <c r="N1684" s="74">
        <v>1</v>
      </c>
      <c r="O1684" s="74" t="s">
        <v>21369</v>
      </c>
      <c r="P1684" s="74" t="s">
        <v>21343</v>
      </c>
      <c r="Q1684" s="74" t="s">
        <v>21702</v>
      </c>
      <c r="R1684" s="74" t="s">
        <v>148</v>
      </c>
      <c r="S1684" s="74" t="s">
        <v>21338</v>
      </c>
      <c r="T1684" s="74" t="s">
        <v>21371</v>
      </c>
      <c r="U1684" s="74">
        <v>0</v>
      </c>
      <c r="V1684" s="74">
        <v>0</v>
      </c>
    </row>
    <row r="1685" spans="3:22" x14ac:dyDescent="0.25">
      <c r="C1685" s="74" t="s">
        <v>21386</v>
      </c>
      <c r="D1685" s="74" t="s">
        <v>148</v>
      </c>
      <c r="E1685" s="74" t="s">
        <v>21338</v>
      </c>
      <c r="F1685" s="74">
        <v>674396</v>
      </c>
      <c r="G1685" s="74">
        <v>3</v>
      </c>
      <c r="H1685" s="135">
        <v>42979.381064814814</v>
      </c>
      <c r="I1685" s="74" t="s">
        <v>21398</v>
      </c>
      <c r="J1685" s="74" t="s">
        <v>21366</v>
      </c>
      <c r="K1685" s="74" t="s">
        <v>21381</v>
      </c>
      <c r="L1685" s="74">
        <v>555660</v>
      </c>
      <c r="M1685" s="74" t="s">
        <v>21368</v>
      </c>
      <c r="N1685" s="74">
        <v>1</v>
      </c>
      <c r="O1685" s="74" t="s">
        <v>21369</v>
      </c>
      <c r="P1685" s="74" t="s">
        <v>21343</v>
      </c>
      <c r="Q1685" s="74" t="s">
        <v>21702</v>
      </c>
      <c r="R1685" s="74" t="s">
        <v>148</v>
      </c>
      <c r="S1685" s="74" t="s">
        <v>21338</v>
      </c>
      <c r="T1685" s="74" t="s">
        <v>21371</v>
      </c>
      <c r="U1685" s="74">
        <v>0</v>
      </c>
      <c r="V1685" s="74">
        <v>0</v>
      </c>
    </row>
    <row r="1686" spans="3:22" x14ac:dyDescent="0.25">
      <c r="C1686" s="74" t="s">
        <v>21386</v>
      </c>
      <c r="D1686" s="74" t="s">
        <v>148</v>
      </c>
      <c r="E1686" s="74" t="s">
        <v>21338</v>
      </c>
      <c r="F1686" s="74">
        <v>674396</v>
      </c>
      <c r="G1686" s="74">
        <v>3</v>
      </c>
      <c r="H1686" s="135">
        <v>42979.380624999998</v>
      </c>
      <c r="I1686" s="74" t="s">
        <v>21339</v>
      </c>
      <c r="J1686" s="74" t="s">
        <v>21364</v>
      </c>
      <c r="K1686" s="74" t="s">
        <v>21699</v>
      </c>
      <c r="L1686" s="74">
        <v>906958</v>
      </c>
      <c r="M1686" s="74" t="s">
        <v>21341</v>
      </c>
      <c r="N1686" s="74">
        <v>1</v>
      </c>
      <c r="O1686" s="74" t="s">
        <v>21342</v>
      </c>
      <c r="P1686" s="74" t="s">
        <v>21343</v>
      </c>
      <c r="Q1686" s="74">
        <v>0</v>
      </c>
      <c r="R1686" s="74" t="s">
        <v>148</v>
      </c>
      <c r="S1686" s="74" t="s">
        <v>21338</v>
      </c>
      <c r="T1686" s="74" t="s">
        <v>402</v>
      </c>
      <c r="U1686" s="74">
        <v>0</v>
      </c>
      <c r="V1686" s="74">
        <v>0</v>
      </c>
    </row>
    <row r="1687" spans="3:22" x14ac:dyDescent="0.25">
      <c r="C1687" s="74" t="s">
        <v>21386</v>
      </c>
      <c r="D1687" s="74" t="s">
        <v>148</v>
      </c>
      <c r="E1687" s="74" t="s">
        <v>21338</v>
      </c>
      <c r="F1687" s="74">
        <v>674396</v>
      </c>
      <c r="G1687" s="74">
        <v>3</v>
      </c>
      <c r="H1687" s="135">
        <v>42979.378761574073</v>
      </c>
      <c r="I1687" s="74" t="s">
        <v>21339</v>
      </c>
      <c r="J1687" s="74" t="s">
        <v>21364</v>
      </c>
      <c r="K1687" s="74" t="s">
        <v>21699</v>
      </c>
      <c r="L1687" s="74">
        <v>906958</v>
      </c>
      <c r="M1687" s="74" t="s">
        <v>21341</v>
      </c>
      <c r="N1687" s="74">
        <v>1</v>
      </c>
      <c r="O1687" s="74" t="s">
        <v>21342</v>
      </c>
      <c r="P1687" s="74" t="s">
        <v>21343</v>
      </c>
      <c r="Q1687" s="74">
        <v>0</v>
      </c>
      <c r="R1687" s="74" t="s">
        <v>148</v>
      </c>
      <c r="S1687" s="74" t="s">
        <v>21338</v>
      </c>
      <c r="T1687" s="74" t="s">
        <v>402</v>
      </c>
      <c r="U1687" s="74">
        <v>0</v>
      </c>
      <c r="V1687" s="74">
        <v>0</v>
      </c>
    </row>
    <row r="1688" spans="3:22" x14ac:dyDescent="0.25">
      <c r="C1688" s="74" t="s">
        <v>21386</v>
      </c>
      <c r="D1688" s="74" t="s">
        <v>148</v>
      </c>
      <c r="E1688" s="74" t="s">
        <v>21338</v>
      </c>
      <c r="F1688" s="74">
        <v>674396</v>
      </c>
      <c r="G1688" s="74">
        <v>3</v>
      </c>
      <c r="H1688" s="135">
        <v>42979.377743055556</v>
      </c>
      <c r="I1688" s="74" t="s">
        <v>21398</v>
      </c>
      <c r="J1688" s="74" t="s">
        <v>21400</v>
      </c>
      <c r="K1688" s="74" t="s">
        <v>21699</v>
      </c>
      <c r="L1688" s="74">
        <v>906958</v>
      </c>
      <c r="M1688" s="74" t="s">
        <v>21341</v>
      </c>
      <c r="N1688" s="74">
        <v>1</v>
      </c>
      <c r="O1688" s="74" t="s">
        <v>21342</v>
      </c>
      <c r="P1688" s="74" t="s">
        <v>21343</v>
      </c>
      <c r="Q1688" s="74" t="s">
        <v>21703</v>
      </c>
      <c r="R1688" s="74" t="s">
        <v>148</v>
      </c>
      <c r="S1688" s="74" t="s">
        <v>21338</v>
      </c>
      <c r="T1688" s="74" t="s">
        <v>402</v>
      </c>
      <c r="U1688" s="74">
        <v>0</v>
      </c>
      <c r="V1688" s="74">
        <v>0</v>
      </c>
    </row>
  </sheetData>
  <pageMargins left="0.7" right="0.7" top="0.75" bottom="0.75" header="0.3" footer="0.3"/>
  <drawing r:id="rId1"/>
  <legacyDrawing r:id="rId2"/>
  <controls>
    <mc:AlternateContent xmlns:mc="http://schemas.openxmlformats.org/markup-compatibility/2006">
      <mc:Choice Requires="x14">
        <control shapeId="24577" r:id="rId3" name="bStartHere_back11">
          <controlPr defaultSize="0" autoLine="0" r:id="rId4">
            <anchor moveWithCells="1">
              <from>
                <xdr:col>0</xdr:col>
                <xdr:colOff>114300</xdr:colOff>
                <xdr:row>0</xdr:row>
                <xdr:rowOff>76200</xdr:rowOff>
              </from>
              <to>
                <xdr:col>1</xdr:col>
                <xdr:colOff>295275</xdr:colOff>
                <xdr:row>0</xdr:row>
                <xdr:rowOff>704850</xdr:rowOff>
              </to>
            </anchor>
          </controlPr>
        </control>
      </mc:Choice>
      <mc:Fallback>
        <control shapeId="24577" r:id="rId3" name="bStartHere_back11"/>
      </mc:Fallback>
    </mc:AlternateContent>
    <mc:AlternateContent xmlns:mc="http://schemas.openxmlformats.org/markup-compatibility/2006">
      <mc:Choice Requires="x14">
        <control shapeId="24578" r:id="rId5" name="bRemoveOps">
          <controlPr defaultSize="0" autoLine="0" r:id="rId6">
            <anchor moveWithCells="1">
              <from>
                <xdr:col>1</xdr:col>
                <xdr:colOff>552450</xdr:colOff>
                <xdr:row>0</xdr:row>
                <xdr:rowOff>66675</xdr:rowOff>
              </from>
              <to>
                <xdr:col>2</xdr:col>
                <xdr:colOff>952500</xdr:colOff>
                <xdr:row>0</xdr:row>
                <xdr:rowOff>695325</xdr:rowOff>
              </to>
            </anchor>
          </controlPr>
        </control>
      </mc:Choice>
      <mc:Fallback>
        <control shapeId="24578" r:id="rId5" name="bRemoveOps"/>
      </mc:Fallback>
    </mc:AlternateContent>
    <mc:AlternateContent xmlns:mc="http://schemas.openxmlformats.org/markup-compatibility/2006">
      <mc:Choice Requires="x14">
        <control shapeId="24579" r:id="rId7" name="bRmJob">
          <controlPr defaultSize="0" autoLine="0" r:id="rId8">
            <anchor moveWithCells="1">
              <from>
                <xdr:col>3</xdr:col>
                <xdr:colOff>114300</xdr:colOff>
                <xdr:row>0</xdr:row>
                <xdr:rowOff>76200</xdr:rowOff>
              </from>
              <to>
                <xdr:col>4</xdr:col>
                <xdr:colOff>276225</xdr:colOff>
                <xdr:row>0</xdr:row>
                <xdr:rowOff>704850</xdr:rowOff>
              </to>
            </anchor>
          </controlPr>
        </control>
      </mc:Choice>
      <mc:Fallback>
        <control shapeId="24579" r:id="rId7" name="bRmJob"/>
      </mc:Fallback>
    </mc:AlternateContent>
  </controls>
  <tableParts count="1">
    <tablePart r:id="rId9"/>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R30"/>
  <sheetViews>
    <sheetView workbookViewId="0">
      <selection activeCell="T21" sqref="T21"/>
    </sheetView>
  </sheetViews>
  <sheetFormatPr defaultColWidth="9.140625" defaultRowHeight="15" x14ac:dyDescent="0.25"/>
  <cols>
    <col min="1" max="1" width="23.42578125" bestFit="1" customWidth="1"/>
    <col min="2" max="2" width="8.42578125" style="18" hidden="1" customWidth="1"/>
    <col min="3" max="3" width="7.42578125" style="18" hidden="1" customWidth="1"/>
    <col min="4" max="4" width="8" style="18" hidden="1" customWidth="1"/>
    <col min="5" max="5" width="7.7109375" style="18" hidden="1" customWidth="1"/>
    <col min="6" max="6" width="27.5703125" style="18" hidden="1" customWidth="1"/>
    <col min="7" max="7" width="7.7109375" style="18" hidden="1" customWidth="1"/>
    <col min="8" max="8" width="22.140625" style="18" hidden="1" customWidth="1"/>
    <col min="9" max="9" width="7.5703125" style="18" hidden="1" customWidth="1"/>
    <col min="10" max="11" width="7.5703125" style="18" bestFit="1" customWidth="1"/>
    <col min="12" max="16384" width="9.140625" style="18"/>
  </cols>
  <sheetData>
    <row r="1" spans="1:18" customFormat="1" ht="15.75" thickBot="1" x14ac:dyDescent="0.3">
      <c r="I1" s="74"/>
      <c r="J1" s="74"/>
      <c r="K1" s="74"/>
      <c r="O1" s="74"/>
    </row>
    <row r="2" spans="1:18" s="21" customFormat="1" ht="15.75" thickBot="1" x14ac:dyDescent="0.3">
      <c r="B2" s="63" t="s">
        <v>73</v>
      </c>
      <c r="C2" s="63" t="s">
        <v>74</v>
      </c>
      <c r="D2" s="63" t="s">
        <v>96</v>
      </c>
      <c r="E2" s="63" t="s">
        <v>154</v>
      </c>
      <c r="F2" s="63" t="s">
        <v>156</v>
      </c>
      <c r="G2" s="63" t="s">
        <v>158</v>
      </c>
      <c r="H2" s="63" t="s">
        <v>171</v>
      </c>
      <c r="I2" s="63" t="s">
        <v>173</v>
      </c>
      <c r="J2" s="63" t="s">
        <v>175</v>
      </c>
      <c r="K2" s="63" t="s">
        <v>176</v>
      </c>
      <c r="L2" s="63" t="s">
        <v>177</v>
      </c>
      <c r="M2" s="63" t="s">
        <v>190</v>
      </c>
      <c r="N2" s="63" t="s">
        <v>192</v>
      </c>
      <c r="O2" s="151" t="s">
        <v>200</v>
      </c>
      <c r="P2" s="151" t="s">
        <v>202</v>
      </c>
      <c r="Q2" s="151" t="s">
        <v>212</v>
      </c>
      <c r="R2" s="63" t="s">
        <v>209</v>
      </c>
    </row>
    <row r="3" spans="1:18" s="30" customFormat="1" x14ac:dyDescent="0.25">
      <c r="A3" s="27" t="s">
        <v>87</v>
      </c>
      <c r="B3" s="64">
        <v>0</v>
      </c>
      <c r="C3" s="64">
        <v>0</v>
      </c>
      <c r="D3" s="64">
        <v>0</v>
      </c>
      <c r="E3" s="64">
        <v>0</v>
      </c>
      <c r="F3" s="64">
        <v>1</v>
      </c>
      <c r="G3" s="64">
        <v>0</v>
      </c>
      <c r="H3" s="64">
        <v>2</v>
      </c>
      <c r="I3" s="64">
        <v>0</v>
      </c>
      <c r="J3" s="64">
        <v>0</v>
      </c>
      <c r="K3" s="64">
        <v>0</v>
      </c>
      <c r="L3" s="64">
        <v>0</v>
      </c>
      <c r="M3" s="64">
        <v>0</v>
      </c>
      <c r="N3" s="64">
        <v>2</v>
      </c>
      <c r="O3" s="64">
        <v>0</v>
      </c>
      <c r="P3" s="64">
        <v>0</v>
      </c>
      <c r="Q3" s="64">
        <v>0</v>
      </c>
      <c r="R3" s="64">
        <v>1</v>
      </c>
    </row>
    <row r="4" spans="1:18" s="31" customFormat="1" x14ac:dyDescent="0.25">
      <c r="A4" s="28" t="s">
        <v>93</v>
      </c>
      <c r="B4" s="65"/>
      <c r="C4" s="65"/>
      <c r="D4" s="65"/>
      <c r="E4" s="65"/>
      <c r="F4" s="65">
        <v>2234</v>
      </c>
      <c r="G4" s="65"/>
      <c r="H4" s="65">
        <v>0</v>
      </c>
      <c r="I4" s="65"/>
      <c r="J4" s="65"/>
      <c r="K4" s="65"/>
      <c r="L4" s="65"/>
      <c r="M4" s="65"/>
      <c r="N4" s="65" t="s">
        <v>199</v>
      </c>
      <c r="O4" s="65"/>
      <c r="P4" s="65"/>
      <c r="Q4" s="65"/>
      <c r="R4" s="65">
        <v>1195</v>
      </c>
    </row>
    <row r="5" spans="1:18" s="31" customFormat="1" x14ac:dyDescent="0.25">
      <c r="A5" s="28" t="s">
        <v>94</v>
      </c>
      <c r="B5" s="65"/>
      <c r="C5" s="65"/>
      <c r="D5" s="65"/>
      <c r="E5" s="65"/>
      <c r="F5" s="65">
        <v>86</v>
      </c>
      <c r="G5" s="65"/>
      <c r="H5" s="65">
        <v>0</v>
      </c>
      <c r="I5" s="65"/>
      <c r="J5" s="65"/>
      <c r="K5" s="65"/>
      <c r="L5" s="65"/>
      <c r="M5" s="65"/>
      <c r="N5" s="65"/>
      <c r="O5" s="65"/>
      <c r="P5" s="65"/>
      <c r="Q5" s="65"/>
      <c r="R5" s="65">
        <v>89</v>
      </c>
    </row>
    <row r="6" spans="1:18" s="32" customFormat="1" ht="45" x14ac:dyDescent="0.25">
      <c r="A6" s="29" t="s">
        <v>90</v>
      </c>
      <c r="B6" s="66"/>
      <c r="C6" s="66"/>
      <c r="D6" s="66"/>
      <c r="E6" s="66"/>
      <c r="F6" s="66" t="s">
        <v>157</v>
      </c>
      <c r="G6" s="66"/>
      <c r="H6" s="127" t="s">
        <v>172</v>
      </c>
      <c r="I6" s="127"/>
      <c r="J6" s="127"/>
      <c r="K6" s="127"/>
      <c r="L6" s="127"/>
      <c r="M6" s="127"/>
      <c r="N6" s="127" t="s">
        <v>198</v>
      </c>
      <c r="O6" s="127"/>
      <c r="P6" s="127"/>
      <c r="Q6" s="127"/>
      <c r="R6" s="127">
        <v>283240</v>
      </c>
    </row>
    <row r="7" spans="1:18" s="32" customFormat="1" x14ac:dyDescent="0.25">
      <c r="A7" s="29" t="s">
        <v>91</v>
      </c>
      <c r="B7" s="66"/>
      <c r="C7" s="66"/>
      <c r="D7" s="66"/>
      <c r="E7" s="66"/>
      <c r="F7" s="66">
        <v>2</v>
      </c>
      <c r="G7" s="66"/>
      <c r="H7" s="66"/>
      <c r="I7" s="66"/>
      <c r="J7" s="66"/>
      <c r="K7" s="66"/>
      <c r="L7" s="66"/>
      <c r="M7" s="66"/>
      <c r="N7" s="66">
        <v>2</v>
      </c>
      <c r="O7" s="66"/>
      <c r="P7" s="66"/>
      <c r="Q7" s="66"/>
      <c r="R7" s="66"/>
    </row>
    <row r="8" spans="1:18" s="32" customFormat="1" x14ac:dyDescent="0.25">
      <c r="A8" s="29" t="s">
        <v>80</v>
      </c>
      <c r="B8" s="66"/>
      <c r="C8" s="66"/>
      <c r="D8" s="66"/>
      <c r="E8" s="66"/>
      <c r="F8" s="66">
        <v>2234</v>
      </c>
      <c r="G8" s="66"/>
      <c r="H8" s="66"/>
      <c r="I8" s="66"/>
      <c r="J8" s="66"/>
      <c r="K8" s="66"/>
      <c r="L8" s="66"/>
      <c r="M8" s="66"/>
      <c r="N8" s="66" t="s">
        <v>199</v>
      </c>
      <c r="O8" s="66"/>
      <c r="P8" s="66"/>
      <c r="Q8" s="66"/>
      <c r="R8" s="66"/>
    </row>
    <row r="9" spans="1:18" s="32" customFormat="1" ht="15.75" thickBot="1" x14ac:dyDescent="0.3">
      <c r="A9" s="29" t="s">
        <v>92</v>
      </c>
      <c r="B9" s="66"/>
      <c r="C9" s="66"/>
      <c r="D9" s="66"/>
      <c r="E9" s="66"/>
      <c r="F9" s="66">
        <v>86</v>
      </c>
      <c r="G9" s="66"/>
      <c r="H9" s="66"/>
      <c r="I9" s="66"/>
      <c r="J9" s="66"/>
      <c r="K9" s="66"/>
      <c r="L9" s="66"/>
      <c r="M9" s="66"/>
      <c r="N9" s="66"/>
      <c r="O9" s="66"/>
      <c r="P9" s="66"/>
      <c r="Q9" s="66"/>
      <c r="R9" s="66"/>
    </row>
    <row r="10" spans="1:18" s="30" customFormat="1" x14ac:dyDescent="0.25">
      <c r="A10" s="27" t="s">
        <v>88</v>
      </c>
      <c r="B10" s="64">
        <v>0</v>
      </c>
      <c r="C10" s="64">
        <v>0</v>
      </c>
      <c r="D10" s="64">
        <v>0</v>
      </c>
      <c r="E10" s="64">
        <v>0</v>
      </c>
      <c r="F10" s="64">
        <v>0</v>
      </c>
      <c r="G10" s="64">
        <v>0</v>
      </c>
      <c r="H10" s="64">
        <v>0</v>
      </c>
      <c r="I10" s="64">
        <v>0</v>
      </c>
      <c r="J10" s="64">
        <v>0</v>
      </c>
      <c r="K10" s="64">
        <v>0</v>
      </c>
      <c r="L10" s="64">
        <v>0</v>
      </c>
      <c r="M10" s="64">
        <v>0</v>
      </c>
      <c r="N10" s="64">
        <v>0</v>
      </c>
      <c r="O10" s="64">
        <v>0</v>
      </c>
      <c r="P10" s="64">
        <v>0</v>
      </c>
      <c r="Q10" s="64">
        <v>0</v>
      </c>
      <c r="R10" s="64">
        <v>0</v>
      </c>
    </row>
    <row r="11" spans="1:18" s="31" customFormat="1" x14ac:dyDescent="0.25">
      <c r="A11" s="28" t="s">
        <v>93</v>
      </c>
      <c r="B11" s="65"/>
      <c r="C11" s="65"/>
      <c r="D11" s="65"/>
      <c r="E11" s="65"/>
      <c r="F11" s="65"/>
      <c r="G11" s="65"/>
      <c r="H11" s="65"/>
      <c r="I11" s="65"/>
      <c r="J11" s="65"/>
      <c r="K11" s="65"/>
      <c r="L11" s="65"/>
      <c r="M11" s="65"/>
      <c r="N11" s="65"/>
      <c r="O11" s="65"/>
      <c r="P11" s="65"/>
      <c r="Q11" s="65"/>
      <c r="R11" s="65"/>
    </row>
    <row r="12" spans="1:18" s="31" customFormat="1" x14ac:dyDescent="0.25">
      <c r="A12" s="28" t="s">
        <v>94</v>
      </c>
      <c r="B12" s="65"/>
      <c r="C12" s="65"/>
      <c r="D12" s="65"/>
      <c r="E12" s="65"/>
      <c r="F12" s="65"/>
      <c r="G12" s="65"/>
      <c r="H12" s="65"/>
      <c r="I12" s="65"/>
      <c r="J12" s="65"/>
      <c r="K12" s="65"/>
      <c r="L12" s="65"/>
      <c r="M12" s="65"/>
      <c r="N12" s="65"/>
      <c r="O12" s="65"/>
      <c r="P12" s="65"/>
      <c r="Q12" s="65"/>
      <c r="R12" s="65"/>
    </row>
    <row r="13" spans="1:18" s="32" customFormat="1" x14ac:dyDescent="0.25">
      <c r="A13" s="29" t="s">
        <v>90</v>
      </c>
      <c r="B13" s="66"/>
      <c r="C13" s="66"/>
      <c r="D13" s="66"/>
      <c r="E13" s="66"/>
      <c r="F13" s="66"/>
      <c r="G13" s="66"/>
      <c r="H13" s="66"/>
      <c r="I13" s="66"/>
      <c r="J13" s="66"/>
      <c r="K13" s="66"/>
      <c r="L13" s="66"/>
      <c r="M13" s="66"/>
      <c r="N13" s="66"/>
      <c r="O13" s="66"/>
      <c r="P13" s="66"/>
      <c r="Q13" s="66"/>
      <c r="R13" s="66"/>
    </row>
    <row r="14" spans="1:18" s="32" customFormat="1" x14ac:dyDescent="0.25">
      <c r="A14" s="29" t="s">
        <v>91</v>
      </c>
      <c r="B14" s="66"/>
      <c r="C14" s="66"/>
      <c r="D14" s="66"/>
      <c r="E14" s="66"/>
      <c r="F14" s="66"/>
      <c r="G14" s="66"/>
      <c r="H14" s="66"/>
      <c r="I14" s="66"/>
      <c r="J14" s="66"/>
      <c r="K14" s="66"/>
      <c r="L14" s="66"/>
      <c r="M14" s="66"/>
      <c r="N14" s="66"/>
      <c r="O14" s="66"/>
      <c r="P14" s="66"/>
      <c r="Q14" s="66"/>
      <c r="R14" s="66"/>
    </row>
    <row r="15" spans="1:18" s="32" customFormat="1" x14ac:dyDescent="0.25">
      <c r="A15" s="29" t="s">
        <v>80</v>
      </c>
      <c r="B15" s="66"/>
      <c r="C15" s="66"/>
      <c r="D15" s="66"/>
      <c r="E15" s="66"/>
      <c r="F15" s="66"/>
      <c r="G15" s="66"/>
      <c r="H15" s="66"/>
      <c r="I15" s="66"/>
      <c r="J15" s="66"/>
      <c r="K15" s="66"/>
      <c r="L15" s="66"/>
      <c r="M15" s="66"/>
      <c r="N15" s="66"/>
      <c r="O15" s="66"/>
      <c r="P15" s="66"/>
      <c r="Q15" s="66"/>
      <c r="R15" s="66"/>
    </row>
    <row r="16" spans="1:18" s="32" customFormat="1" ht="15.75" thickBot="1" x14ac:dyDescent="0.3">
      <c r="A16" s="29" t="s">
        <v>92</v>
      </c>
      <c r="B16" s="66"/>
      <c r="C16" s="66"/>
      <c r="D16" s="66"/>
      <c r="E16" s="66"/>
      <c r="F16" s="66"/>
      <c r="G16" s="66"/>
      <c r="H16" s="66"/>
      <c r="I16" s="66"/>
      <c r="J16" s="66"/>
      <c r="K16" s="66"/>
      <c r="L16" s="66"/>
      <c r="M16" s="66"/>
      <c r="N16" s="66"/>
      <c r="O16" s="66"/>
      <c r="P16" s="66"/>
      <c r="Q16" s="66"/>
      <c r="R16" s="66"/>
    </row>
    <row r="17" spans="1:18" s="30" customFormat="1" x14ac:dyDescent="0.25">
      <c r="A17" s="27" t="s">
        <v>89</v>
      </c>
      <c r="B17" s="64">
        <v>0</v>
      </c>
      <c r="C17" s="64">
        <v>0</v>
      </c>
      <c r="D17" s="64">
        <v>0</v>
      </c>
      <c r="E17" s="64">
        <v>0</v>
      </c>
      <c r="F17" s="64">
        <v>0</v>
      </c>
      <c r="G17" s="64">
        <v>0</v>
      </c>
      <c r="H17" s="64">
        <v>0</v>
      </c>
      <c r="I17" s="64">
        <v>0</v>
      </c>
      <c r="J17" s="64">
        <v>0</v>
      </c>
      <c r="K17" s="64">
        <v>0</v>
      </c>
      <c r="L17" s="64">
        <v>0</v>
      </c>
      <c r="M17" s="64">
        <v>0</v>
      </c>
      <c r="N17" s="64">
        <v>0</v>
      </c>
      <c r="O17" s="64">
        <v>0</v>
      </c>
      <c r="P17" s="64">
        <v>0</v>
      </c>
      <c r="Q17" s="64">
        <v>0</v>
      </c>
      <c r="R17" s="64">
        <v>0</v>
      </c>
    </row>
    <row r="18" spans="1:18" s="31" customFormat="1" x14ac:dyDescent="0.25">
      <c r="A18" s="28" t="s">
        <v>93</v>
      </c>
      <c r="B18" s="65"/>
      <c r="C18" s="65"/>
      <c r="D18" s="65"/>
      <c r="E18" s="65"/>
      <c r="F18" s="65"/>
      <c r="G18" s="65"/>
      <c r="H18" s="65"/>
      <c r="I18" s="65"/>
      <c r="J18" s="65"/>
      <c r="K18" s="65"/>
      <c r="L18" s="65"/>
      <c r="M18" s="65"/>
      <c r="N18" s="65"/>
      <c r="O18" s="65"/>
      <c r="P18" s="65"/>
      <c r="Q18" s="65"/>
      <c r="R18" s="65"/>
    </row>
    <row r="19" spans="1:18" s="31" customFormat="1" x14ac:dyDescent="0.25">
      <c r="A19" s="28" t="s">
        <v>94</v>
      </c>
      <c r="B19" s="65"/>
      <c r="C19" s="65"/>
      <c r="D19" s="65"/>
      <c r="E19" s="65"/>
      <c r="F19" s="65"/>
      <c r="G19" s="65"/>
      <c r="H19" s="65"/>
      <c r="I19" s="65"/>
      <c r="J19" s="65"/>
      <c r="K19" s="65"/>
      <c r="L19" s="65"/>
      <c r="M19" s="65"/>
      <c r="N19" s="65"/>
      <c r="O19" s="65"/>
      <c r="P19" s="65"/>
      <c r="Q19" s="65"/>
      <c r="R19" s="65"/>
    </row>
    <row r="20" spans="1:18" s="32" customFormat="1" x14ac:dyDescent="0.25">
      <c r="A20" s="29" t="s">
        <v>90</v>
      </c>
      <c r="B20" s="66"/>
      <c r="C20" s="66"/>
      <c r="D20" s="66"/>
      <c r="E20" s="66"/>
      <c r="F20" s="66"/>
      <c r="G20" s="66"/>
      <c r="H20" s="66"/>
      <c r="I20" s="66"/>
      <c r="J20" s="66"/>
      <c r="K20" s="66"/>
      <c r="L20" s="66"/>
      <c r="M20" s="66"/>
      <c r="N20" s="66"/>
      <c r="O20" s="66"/>
      <c r="P20" s="66"/>
      <c r="Q20" s="66"/>
      <c r="R20" s="66"/>
    </row>
    <row r="21" spans="1:18" s="32" customFormat="1" x14ac:dyDescent="0.25">
      <c r="A21" s="29" t="s">
        <v>91</v>
      </c>
      <c r="B21" s="66"/>
      <c r="C21" s="66"/>
      <c r="D21" s="66"/>
      <c r="E21" s="66"/>
      <c r="F21" s="66"/>
      <c r="G21" s="66"/>
      <c r="H21" s="66"/>
      <c r="I21" s="66"/>
      <c r="J21" s="66"/>
      <c r="K21" s="66"/>
      <c r="L21" s="66"/>
      <c r="M21" s="66"/>
      <c r="N21" s="66"/>
      <c r="O21" s="66"/>
      <c r="P21" s="66"/>
      <c r="Q21" s="66"/>
      <c r="R21" s="66"/>
    </row>
    <row r="22" spans="1:18" s="32" customFormat="1" x14ac:dyDescent="0.25">
      <c r="A22" s="29" t="s">
        <v>80</v>
      </c>
      <c r="B22" s="66"/>
      <c r="C22" s="66"/>
      <c r="D22" s="66"/>
      <c r="E22" s="66"/>
      <c r="F22" s="66"/>
      <c r="G22" s="66"/>
      <c r="H22" s="66"/>
      <c r="I22" s="66"/>
      <c r="J22" s="66"/>
      <c r="K22" s="66"/>
      <c r="L22" s="66"/>
      <c r="M22" s="66"/>
      <c r="N22" s="66"/>
      <c r="O22" s="66"/>
      <c r="P22" s="66"/>
      <c r="Q22" s="66"/>
      <c r="R22" s="66"/>
    </row>
    <row r="23" spans="1:18" s="32" customFormat="1" ht="15.75" thickBot="1" x14ac:dyDescent="0.3">
      <c r="A23" s="29" t="s">
        <v>92</v>
      </c>
      <c r="B23" s="67"/>
      <c r="C23" s="67"/>
      <c r="D23" s="67"/>
      <c r="E23" s="67"/>
      <c r="F23" s="67"/>
      <c r="G23" s="67"/>
      <c r="H23" s="67"/>
      <c r="I23" s="67"/>
      <c r="J23" s="67"/>
      <c r="K23" s="67"/>
      <c r="L23" s="67"/>
      <c r="M23" s="67"/>
      <c r="N23" s="67"/>
      <c r="O23" s="67"/>
      <c r="P23" s="67"/>
      <c r="Q23" s="67"/>
      <c r="R23" s="67"/>
    </row>
    <row r="24" spans="1:18" s="32" customFormat="1" x14ac:dyDescent="0.25">
      <c r="A24" s="34"/>
    </row>
    <row r="25" spans="1:18" s="32" customFormat="1" x14ac:dyDescent="0.25">
      <c r="A25" s="34"/>
    </row>
    <row r="26" spans="1:18" s="32" customFormat="1" x14ac:dyDescent="0.25">
      <c r="A26" s="34"/>
    </row>
    <row r="29" spans="1:18" x14ac:dyDescent="0.25">
      <c r="A29" s="33"/>
    </row>
    <row r="30" spans="1:18" x14ac:dyDescent="0.25">
      <c r="A30" s="33"/>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rgb="FFFF0000"/>
  </sheetPr>
  <dimension ref="A1:R19"/>
  <sheetViews>
    <sheetView workbookViewId="0">
      <pane xSplit="5" ySplit="15" topLeftCell="F16" activePane="bottomRight" state="frozen"/>
      <selection pane="topRight" activeCell="F1" sqref="F1"/>
      <selection pane="bottomLeft" activeCell="A16" sqref="A16"/>
      <selection pane="bottomRight" activeCell="G23" sqref="G23"/>
    </sheetView>
  </sheetViews>
  <sheetFormatPr defaultColWidth="14.7109375" defaultRowHeight="15" x14ac:dyDescent="0.25"/>
  <cols>
    <col min="1" max="1" width="23.28515625" bestFit="1" customWidth="1"/>
    <col min="15" max="15" width="14.7109375" style="74"/>
  </cols>
  <sheetData>
    <row r="1" spans="1:18" x14ac:dyDescent="0.25">
      <c r="A1" s="55" t="s">
        <v>116</v>
      </c>
      <c r="B1" s="49" t="s">
        <v>102</v>
      </c>
      <c r="C1" s="49" t="s">
        <v>101</v>
      </c>
      <c r="D1" s="49" t="s">
        <v>100</v>
      </c>
      <c r="E1" s="50" t="s">
        <v>99</v>
      </c>
    </row>
    <row r="2" spans="1:18" x14ac:dyDescent="0.25">
      <c r="A2" s="51" t="s">
        <v>117</v>
      </c>
      <c r="B2" s="58">
        <v>0.1</v>
      </c>
      <c r="C2" s="58">
        <v>0.1</v>
      </c>
      <c r="D2" s="58">
        <v>0</v>
      </c>
      <c r="E2" s="59">
        <v>0</v>
      </c>
    </row>
    <row r="3" spans="1:18" ht="30.75" thickBot="1" x14ac:dyDescent="0.3">
      <c r="A3" s="52" t="s">
        <v>118</v>
      </c>
      <c r="B3" s="53" t="s">
        <v>119</v>
      </c>
      <c r="C3" s="53" t="s">
        <v>119</v>
      </c>
      <c r="D3" s="53" t="s">
        <v>120</v>
      </c>
      <c r="E3" s="54" t="s">
        <v>120</v>
      </c>
    </row>
    <row r="4" spans="1:18" ht="15.75" thickBot="1" x14ac:dyDescent="0.3"/>
    <row r="5" spans="1:18" x14ac:dyDescent="0.25">
      <c r="A5" s="55" t="s">
        <v>72</v>
      </c>
      <c r="B5" s="56" t="s">
        <v>121</v>
      </c>
      <c r="C5" s="56" t="s">
        <v>122</v>
      </c>
      <c r="D5" s="56" t="s">
        <v>123</v>
      </c>
      <c r="E5" s="57" t="s">
        <v>124</v>
      </c>
    </row>
    <row r="6" spans="1:18" ht="15.75" thickBot="1" x14ac:dyDescent="0.3">
      <c r="A6" s="52" t="s">
        <v>117</v>
      </c>
      <c r="B6" s="60">
        <v>0.15</v>
      </c>
      <c r="C6" s="60">
        <v>0.1</v>
      </c>
      <c r="D6" s="60">
        <v>0.05</v>
      </c>
      <c r="E6" s="61">
        <v>2.5000000000000001E-2</v>
      </c>
    </row>
    <row r="8" spans="1:18" s="21" customFormat="1" ht="15.75" thickBot="1" x14ac:dyDescent="0.3">
      <c r="B8" s="21" t="s">
        <v>73</v>
      </c>
      <c r="C8" s="21" t="s">
        <v>74</v>
      </c>
      <c r="D8" s="21" t="s">
        <v>96</v>
      </c>
      <c r="E8" s="21" t="s">
        <v>154</v>
      </c>
      <c r="F8" s="21" t="s">
        <v>156</v>
      </c>
      <c r="G8" s="21" t="s">
        <v>158</v>
      </c>
      <c r="H8" s="21" t="s">
        <v>171</v>
      </c>
      <c r="I8" s="21" t="s">
        <v>173</v>
      </c>
      <c r="J8" s="21" t="s">
        <v>175</v>
      </c>
      <c r="K8" s="21" t="s">
        <v>176</v>
      </c>
      <c r="L8" s="21" t="s">
        <v>190</v>
      </c>
      <c r="M8" s="21" t="s">
        <v>192</v>
      </c>
      <c r="N8" s="21" t="s">
        <v>207</v>
      </c>
      <c r="O8" s="21" t="s">
        <v>208</v>
      </c>
      <c r="P8" s="21" t="s">
        <v>205</v>
      </c>
      <c r="Q8" s="21" t="s">
        <v>209</v>
      </c>
      <c r="R8" s="21" t="s">
        <v>214</v>
      </c>
    </row>
    <row r="9" spans="1:18" s="30" customFormat="1" x14ac:dyDescent="0.25">
      <c r="A9" s="27" t="s">
        <v>115</v>
      </c>
    </row>
    <row r="10" spans="1:18" s="68" customFormat="1" x14ac:dyDescent="0.25">
      <c r="A10" s="68" t="s">
        <v>49</v>
      </c>
      <c r="B10" s="68">
        <v>0</v>
      </c>
      <c r="C10" s="68">
        <v>0</v>
      </c>
      <c r="D10" s="68">
        <v>0</v>
      </c>
      <c r="E10" s="68">
        <v>0</v>
      </c>
      <c r="F10" s="68">
        <v>0</v>
      </c>
      <c r="G10" s="68">
        <v>0</v>
      </c>
      <c r="H10" s="68">
        <v>0</v>
      </c>
      <c r="I10" s="68">
        <v>0</v>
      </c>
      <c r="J10" s="68">
        <v>0</v>
      </c>
      <c r="K10" s="68">
        <v>0</v>
      </c>
      <c r="L10" s="68">
        <v>0</v>
      </c>
      <c r="M10" s="68">
        <v>0</v>
      </c>
      <c r="N10" s="68">
        <v>0</v>
      </c>
      <c r="O10" s="68">
        <v>0</v>
      </c>
      <c r="P10" s="68">
        <v>0</v>
      </c>
      <c r="Q10" s="68">
        <v>0</v>
      </c>
      <c r="R10" s="68">
        <f>0</f>
        <v>0</v>
      </c>
    </row>
    <row r="11" spans="1:18" s="68" customFormat="1" ht="15.75" thickBot="1" x14ac:dyDescent="0.3">
      <c r="A11" s="68" t="s">
        <v>50</v>
      </c>
      <c r="B11" s="68">
        <v>0</v>
      </c>
      <c r="C11" s="68">
        <v>0</v>
      </c>
      <c r="D11" s="68">
        <v>0</v>
      </c>
      <c r="E11" s="68">
        <v>0</v>
      </c>
      <c r="F11" s="68">
        <v>0</v>
      </c>
      <c r="G11" s="68">
        <v>0</v>
      </c>
      <c r="H11" s="68">
        <v>0</v>
      </c>
      <c r="I11" s="68">
        <v>0</v>
      </c>
      <c r="J11" s="68">
        <v>0</v>
      </c>
      <c r="K11" s="68">
        <v>0</v>
      </c>
      <c r="L11" s="68">
        <v>0</v>
      </c>
      <c r="M11" s="68">
        <v>0</v>
      </c>
      <c r="N11" s="68">
        <v>0</v>
      </c>
      <c r="O11" s="68">
        <v>0</v>
      </c>
      <c r="P11" s="68">
        <v>0</v>
      </c>
      <c r="Q11" s="68">
        <v>0</v>
      </c>
      <c r="R11" s="68">
        <f>0</f>
        <v>0</v>
      </c>
    </row>
    <row r="12" spans="1:18" s="30" customFormat="1" x14ac:dyDescent="0.25">
      <c r="A12" s="27" t="s">
        <v>72</v>
      </c>
    </row>
    <row r="13" spans="1:18" s="68" customFormat="1" x14ac:dyDescent="0.25">
      <c r="A13" s="68" t="s">
        <v>10</v>
      </c>
      <c r="B13" s="68">
        <v>0</v>
      </c>
      <c r="C13" s="68">
        <v>0</v>
      </c>
      <c r="D13" s="68">
        <v>0</v>
      </c>
      <c r="E13" s="68">
        <v>0</v>
      </c>
      <c r="F13" s="68">
        <v>0</v>
      </c>
      <c r="G13" s="68">
        <v>0</v>
      </c>
      <c r="H13" s="68">
        <v>0</v>
      </c>
      <c r="I13" s="68">
        <v>0</v>
      </c>
      <c r="J13" s="68">
        <v>0</v>
      </c>
      <c r="K13" s="68">
        <v>0</v>
      </c>
      <c r="L13" s="68">
        <v>0</v>
      </c>
      <c r="M13" s="68">
        <v>0</v>
      </c>
      <c r="N13" s="68">
        <v>0</v>
      </c>
      <c r="O13" s="68">
        <v>0</v>
      </c>
      <c r="P13" s="68">
        <v>0</v>
      </c>
      <c r="Q13" s="152">
        <v>453.93</v>
      </c>
      <c r="R13" s="68">
        <f>0</f>
        <v>0</v>
      </c>
    </row>
    <row r="14" spans="1:18" s="68" customFormat="1" x14ac:dyDescent="0.25">
      <c r="A14" s="68" t="s">
        <v>82</v>
      </c>
      <c r="B14" s="68">
        <v>0</v>
      </c>
      <c r="C14" s="68">
        <v>0</v>
      </c>
      <c r="D14" s="68">
        <v>0</v>
      </c>
      <c r="E14" s="68">
        <v>0</v>
      </c>
      <c r="F14" s="68">
        <v>0</v>
      </c>
      <c r="G14" s="68">
        <v>0</v>
      </c>
      <c r="H14" s="68">
        <v>0</v>
      </c>
      <c r="I14" s="68">
        <v>0</v>
      </c>
      <c r="J14" s="68">
        <v>0</v>
      </c>
      <c r="K14" s="68">
        <v>0</v>
      </c>
      <c r="L14" s="68">
        <v>0</v>
      </c>
      <c r="M14" s="68">
        <v>0</v>
      </c>
      <c r="N14" s="68">
        <v>0</v>
      </c>
      <c r="O14" s="68">
        <v>0</v>
      </c>
      <c r="P14" s="68">
        <v>0</v>
      </c>
      <c r="Q14" s="68">
        <v>0</v>
      </c>
      <c r="R14" s="68">
        <f>0</f>
        <v>0</v>
      </c>
    </row>
    <row r="15" spans="1:18" s="68" customFormat="1" x14ac:dyDescent="0.25">
      <c r="A15" s="68" t="s">
        <v>83</v>
      </c>
      <c r="B15" s="68">
        <v>0</v>
      </c>
      <c r="C15" s="68">
        <v>0</v>
      </c>
      <c r="D15" s="68">
        <v>0</v>
      </c>
      <c r="E15" s="68">
        <v>0</v>
      </c>
      <c r="F15" s="68">
        <v>0</v>
      </c>
      <c r="G15" s="68">
        <v>0</v>
      </c>
      <c r="H15" s="68">
        <v>0</v>
      </c>
      <c r="I15" s="68">
        <v>0</v>
      </c>
      <c r="J15" s="68">
        <v>0</v>
      </c>
      <c r="K15" s="68">
        <v>0</v>
      </c>
      <c r="L15" s="68">
        <v>0</v>
      </c>
      <c r="M15" s="68">
        <v>0</v>
      </c>
      <c r="N15" s="68">
        <v>0</v>
      </c>
      <c r="O15" s="68">
        <v>0</v>
      </c>
      <c r="P15" s="68">
        <v>0</v>
      </c>
      <c r="Q15" s="68">
        <v>0</v>
      </c>
      <c r="R15" s="68">
        <f>0</f>
        <v>0</v>
      </c>
    </row>
    <row r="16" spans="1:18" s="18" customFormat="1" x14ac:dyDescent="0.25"/>
    <row r="17" s="18" customFormat="1" x14ac:dyDescent="0.25"/>
    <row r="18" s="18" customFormat="1" x14ac:dyDescent="0.25"/>
    <row r="19" s="18" customFormat="1" x14ac:dyDescent="0.25"/>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00B050"/>
  </sheetPr>
  <dimension ref="A3:F38"/>
  <sheetViews>
    <sheetView workbookViewId="0">
      <selection activeCell="C36" sqref="C36"/>
    </sheetView>
  </sheetViews>
  <sheetFormatPr defaultRowHeight="15" x14ac:dyDescent="0.25"/>
  <cols>
    <col min="1" max="1" width="19" style="220" customWidth="1"/>
    <col min="3" max="3" width="47.5703125" bestFit="1" customWidth="1"/>
    <col min="4" max="4" width="15.5703125" bestFit="1" customWidth="1"/>
    <col min="5" max="5" width="6.7109375" bestFit="1" customWidth="1"/>
    <col min="6" max="6" width="10.7109375" bestFit="1" customWidth="1"/>
  </cols>
  <sheetData>
    <row r="3" spans="3:6" x14ac:dyDescent="0.25">
      <c r="C3" s="326" t="s">
        <v>21707</v>
      </c>
      <c r="D3" s="326" t="s">
        <v>21704</v>
      </c>
    </row>
    <row r="4" spans="3:6" x14ac:dyDescent="0.25">
      <c r="C4" s="326" t="s">
        <v>21706</v>
      </c>
      <c r="D4" s="74" t="s">
        <v>21708</v>
      </c>
      <c r="E4" s="74" t="s">
        <v>148</v>
      </c>
      <c r="F4" s="74" t="s">
        <v>21705</v>
      </c>
    </row>
    <row r="5" spans="3:6" x14ac:dyDescent="0.25">
      <c r="C5" s="132" t="s">
        <v>21398</v>
      </c>
      <c r="D5" s="133">
        <v>8</v>
      </c>
      <c r="E5" s="133">
        <v>102</v>
      </c>
      <c r="F5" s="133">
        <v>110</v>
      </c>
    </row>
    <row r="6" spans="3:6" x14ac:dyDescent="0.25">
      <c r="C6" s="136" t="s">
        <v>21400</v>
      </c>
      <c r="D6" s="133">
        <v>2</v>
      </c>
      <c r="E6" s="133">
        <v>30</v>
      </c>
      <c r="F6" s="133">
        <v>32</v>
      </c>
    </row>
    <row r="7" spans="3:6" x14ac:dyDescent="0.25">
      <c r="C7" s="136" t="s">
        <v>21357</v>
      </c>
      <c r="D7" s="133"/>
      <c r="E7" s="133">
        <v>4</v>
      </c>
      <c r="F7" s="133">
        <v>4</v>
      </c>
    </row>
    <row r="8" spans="3:6" x14ac:dyDescent="0.25">
      <c r="C8" s="136" t="s">
        <v>21649</v>
      </c>
      <c r="D8" s="133">
        <v>2</v>
      </c>
      <c r="E8" s="133"/>
      <c r="F8" s="133">
        <v>2</v>
      </c>
    </row>
    <row r="9" spans="3:6" x14ac:dyDescent="0.25">
      <c r="C9" s="136" t="s">
        <v>21657</v>
      </c>
      <c r="D9" s="133">
        <v>2</v>
      </c>
      <c r="E9" s="133"/>
      <c r="F9" s="133">
        <v>2</v>
      </c>
    </row>
    <row r="10" spans="3:6" x14ac:dyDescent="0.25">
      <c r="C10" s="136" t="s">
        <v>21660</v>
      </c>
      <c r="D10" s="133">
        <v>2</v>
      </c>
      <c r="E10" s="133"/>
      <c r="F10" s="133">
        <v>2</v>
      </c>
    </row>
    <row r="11" spans="3:6" x14ac:dyDescent="0.25">
      <c r="C11" s="136" t="s">
        <v>21366</v>
      </c>
      <c r="D11" s="133"/>
      <c r="E11" s="133">
        <v>68</v>
      </c>
      <c r="F11" s="133">
        <v>68</v>
      </c>
    </row>
    <row r="12" spans="3:6" x14ac:dyDescent="0.25">
      <c r="C12" s="132" t="s">
        <v>21560</v>
      </c>
      <c r="D12" s="133">
        <v>2</v>
      </c>
      <c r="E12" s="133"/>
      <c r="F12" s="133">
        <v>2</v>
      </c>
    </row>
    <row r="13" spans="3:6" x14ac:dyDescent="0.25">
      <c r="C13" s="136" t="s">
        <v>21561</v>
      </c>
      <c r="D13" s="133">
        <v>2</v>
      </c>
      <c r="E13" s="133"/>
      <c r="F13" s="133">
        <v>2</v>
      </c>
    </row>
    <row r="14" spans="3:6" x14ac:dyDescent="0.25">
      <c r="C14" s="132" t="s">
        <v>21365</v>
      </c>
      <c r="D14" s="133">
        <v>2</v>
      </c>
      <c r="E14" s="133">
        <v>191</v>
      </c>
      <c r="F14" s="133">
        <v>193</v>
      </c>
    </row>
    <row r="15" spans="3:6" x14ac:dyDescent="0.25">
      <c r="C15" s="136" t="s">
        <v>21400</v>
      </c>
      <c r="D15" s="133"/>
      <c r="E15" s="133">
        <v>1</v>
      </c>
      <c r="F15" s="133">
        <v>1</v>
      </c>
    </row>
    <row r="16" spans="3:6" x14ac:dyDescent="0.25">
      <c r="C16" s="136" t="s">
        <v>21357</v>
      </c>
      <c r="D16" s="133"/>
      <c r="E16" s="133">
        <v>2</v>
      </c>
      <c r="F16" s="133">
        <v>2</v>
      </c>
    </row>
    <row r="17" spans="3:6" x14ac:dyDescent="0.25">
      <c r="C17" s="136" t="s">
        <v>21649</v>
      </c>
      <c r="D17" s="133">
        <v>2</v>
      </c>
      <c r="E17" s="133"/>
      <c r="F17" s="133">
        <v>2</v>
      </c>
    </row>
    <row r="18" spans="3:6" x14ac:dyDescent="0.25">
      <c r="C18" s="136" t="s">
        <v>21366</v>
      </c>
      <c r="D18" s="133"/>
      <c r="E18" s="133">
        <v>188</v>
      </c>
      <c r="F18" s="133">
        <v>188</v>
      </c>
    </row>
    <row r="19" spans="3:6" x14ac:dyDescent="0.25">
      <c r="C19" s="132" t="s">
        <v>21339</v>
      </c>
      <c r="D19" s="133">
        <v>11</v>
      </c>
      <c r="E19" s="133">
        <v>1107</v>
      </c>
      <c r="F19" s="133">
        <v>1118</v>
      </c>
    </row>
    <row r="20" spans="3:6" x14ac:dyDescent="0.25">
      <c r="C20" s="136" t="s">
        <v>21656</v>
      </c>
      <c r="D20" s="133">
        <v>2</v>
      </c>
      <c r="E20" s="133"/>
      <c r="F20" s="133">
        <v>2</v>
      </c>
    </row>
    <row r="21" spans="3:6" x14ac:dyDescent="0.25">
      <c r="C21" s="136" t="s">
        <v>21356</v>
      </c>
      <c r="D21" s="133"/>
      <c r="E21" s="133">
        <v>9</v>
      </c>
      <c r="F21" s="133">
        <v>9</v>
      </c>
    </row>
    <row r="22" spans="3:6" x14ac:dyDescent="0.25">
      <c r="C22" s="136" t="s">
        <v>21397</v>
      </c>
      <c r="D22" s="133"/>
      <c r="E22" s="133">
        <v>6</v>
      </c>
      <c r="F22" s="133">
        <v>6</v>
      </c>
    </row>
    <row r="23" spans="3:6" x14ac:dyDescent="0.25">
      <c r="C23" s="136" t="s">
        <v>21360</v>
      </c>
      <c r="D23" s="133">
        <v>5</v>
      </c>
      <c r="E23" s="133">
        <v>104</v>
      </c>
      <c r="F23" s="133">
        <v>109</v>
      </c>
    </row>
    <row r="24" spans="3:6" x14ac:dyDescent="0.25">
      <c r="C24" s="136" t="s">
        <v>21391</v>
      </c>
      <c r="D24" s="133">
        <v>2</v>
      </c>
      <c r="E24" s="133">
        <v>16</v>
      </c>
      <c r="F24" s="133">
        <v>18</v>
      </c>
    </row>
    <row r="25" spans="3:6" x14ac:dyDescent="0.25">
      <c r="C25" s="136" t="s">
        <v>21362</v>
      </c>
      <c r="D25" s="133"/>
      <c r="E25" s="133">
        <v>52</v>
      </c>
      <c r="F25" s="133">
        <v>52</v>
      </c>
    </row>
    <row r="26" spans="3:6" x14ac:dyDescent="0.25">
      <c r="C26" s="136" t="s">
        <v>21340</v>
      </c>
      <c r="D26" s="133"/>
      <c r="E26" s="133">
        <v>655</v>
      </c>
      <c r="F26" s="133">
        <v>655</v>
      </c>
    </row>
    <row r="27" spans="3:6" x14ac:dyDescent="0.25">
      <c r="C27" s="136" t="s">
        <v>21465</v>
      </c>
      <c r="D27" s="133"/>
      <c r="E27" s="133">
        <v>3</v>
      </c>
      <c r="F27" s="133">
        <v>3</v>
      </c>
    </row>
    <row r="28" spans="3:6" x14ac:dyDescent="0.25">
      <c r="C28" s="136" t="s">
        <v>21364</v>
      </c>
      <c r="D28" s="133"/>
      <c r="E28" s="133">
        <v>262</v>
      </c>
      <c r="F28" s="133">
        <v>262</v>
      </c>
    </row>
    <row r="29" spans="3:6" x14ac:dyDescent="0.25">
      <c r="C29" s="136" t="s">
        <v>21663</v>
      </c>
      <c r="D29" s="133">
        <v>2</v>
      </c>
      <c r="E29" s="133"/>
      <c r="F29" s="133">
        <v>2</v>
      </c>
    </row>
    <row r="30" spans="3:6" x14ac:dyDescent="0.25">
      <c r="C30" s="132" t="s">
        <v>21709</v>
      </c>
      <c r="D30" s="133"/>
      <c r="E30" s="133">
        <v>44</v>
      </c>
      <c r="F30" s="133">
        <v>44</v>
      </c>
    </row>
    <row r="31" spans="3:6" x14ac:dyDescent="0.25">
      <c r="C31" s="136" t="s">
        <v>21349</v>
      </c>
      <c r="D31" s="133"/>
      <c r="E31" s="133">
        <v>44</v>
      </c>
      <c r="F31" s="133">
        <v>44</v>
      </c>
    </row>
    <row r="32" spans="3:6" x14ac:dyDescent="0.25">
      <c r="C32" s="132" t="s">
        <v>21710</v>
      </c>
      <c r="D32" s="133"/>
      <c r="E32" s="133">
        <v>44</v>
      </c>
      <c r="F32" s="133">
        <v>44</v>
      </c>
    </row>
    <row r="33" spans="3:6" x14ac:dyDescent="0.25">
      <c r="C33" s="136" t="s">
        <v>21349</v>
      </c>
      <c r="D33" s="133"/>
      <c r="E33" s="133">
        <v>44</v>
      </c>
      <c r="F33" s="133">
        <v>44</v>
      </c>
    </row>
    <row r="34" spans="3:6" x14ac:dyDescent="0.25">
      <c r="C34" s="132" t="s">
        <v>21711</v>
      </c>
      <c r="D34" s="133">
        <v>2</v>
      </c>
      <c r="E34" s="133"/>
      <c r="F34" s="133">
        <v>2</v>
      </c>
    </row>
    <row r="35" spans="3:6" x14ac:dyDescent="0.25">
      <c r="C35" s="136" t="s">
        <v>21564</v>
      </c>
      <c r="D35" s="133">
        <v>2</v>
      </c>
      <c r="E35" s="133"/>
      <c r="F35" s="133">
        <v>2</v>
      </c>
    </row>
    <row r="36" spans="3:6" x14ac:dyDescent="0.25">
      <c r="C36" s="132" t="s">
        <v>21354</v>
      </c>
      <c r="D36" s="133"/>
      <c r="E36" s="133">
        <v>172</v>
      </c>
      <c r="F36" s="133">
        <v>172</v>
      </c>
    </row>
    <row r="37" spans="3:6" x14ac:dyDescent="0.25">
      <c r="C37" s="136" t="s">
        <v>21355</v>
      </c>
      <c r="D37" s="133"/>
      <c r="E37" s="133">
        <v>172</v>
      </c>
      <c r="F37" s="133">
        <v>172</v>
      </c>
    </row>
    <row r="38" spans="3:6" x14ac:dyDescent="0.25">
      <c r="C38" s="132" t="s">
        <v>21705</v>
      </c>
      <c r="D38" s="133">
        <v>25</v>
      </c>
      <c r="E38" s="133">
        <v>1660</v>
      </c>
      <c r="F38" s="133">
        <v>1685</v>
      </c>
    </row>
  </sheetData>
  <pageMargins left="0.7" right="0.7" top="0.75" bottom="0.75" header="0.3" footer="0.3"/>
  <drawing r:id="rId2"/>
  <legacyDrawing r:id="rId3"/>
  <controls>
    <mc:AlternateContent xmlns:mc="http://schemas.openxmlformats.org/markup-compatibility/2006">
      <mc:Choice Requires="x14">
        <control shapeId="34817" r:id="rId4" name="bStartHere_back10">
          <controlPr defaultSize="0" autoLine="0" r:id="rId5">
            <anchor moveWithCells="1">
              <from>
                <xdr:col>0</xdr:col>
                <xdr:colOff>104775</xdr:colOff>
                <xdr:row>0</xdr:row>
                <xdr:rowOff>95250</xdr:rowOff>
              </from>
              <to>
                <xdr:col>0</xdr:col>
                <xdr:colOff>1190625</xdr:colOff>
                <xdr:row>3</xdr:row>
                <xdr:rowOff>133350</xdr:rowOff>
              </to>
            </anchor>
          </controlPr>
        </control>
      </mc:Choice>
      <mc:Fallback>
        <control shapeId="34817" r:id="rId4" name="bStartHere_back10"/>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98DB11B6FC533945AD1E798590BC2DEF" ma:contentTypeVersion="0" ma:contentTypeDescription="Create a new document." ma:contentTypeScope="" ma:versionID="00dc2c7704290a1151fb53e8c53d828a">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E2ECBD6F-6590-40F0-9002-BFF10F81141E}">
  <ds:schemaRefs>
    <ds:schemaRef ds:uri="http://schemas.microsoft.com/sharepoint/v3/contenttype/forms"/>
  </ds:schemaRefs>
</ds:datastoreItem>
</file>

<file path=customXml/itemProps2.xml><?xml version="1.0" encoding="utf-8"?>
<ds:datastoreItem xmlns:ds="http://schemas.openxmlformats.org/officeDocument/2006/customXml" ds:itemID="{2F3F487B-FD6C-4B07-A905-28F00CBAFDD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EB559267-8DCC-4ECE-9CF3-7B5FAE39B72E}">
  <ds:schemaRef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purl.org/dc/term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Start Here</vt:lpstr>
      <vt:lpstr>SPS Data</vt:lpstr>
      <vt:lpstr>User Counts</vt:lpstr>
      <vt:lpstr>Exec Summary</vt:lpstr>
      <vt:lpstr>Availability</vt:lpstr>
      <vt:lpstr>Top 10 Tickets</vt:lpstr>
      <vt:lpstr>Insight Tickets table</vt:lpstr>
      <vt:lpstr>Ticket Stats</vt:lpstr>
      <vt:lpstr>Storage</vt:lpstr>
      <vt:lpstr>Top 10 Mailboxes</vt:lpstr>
      <vt:lpstr>Quarantine</vt:lpstr>
      <vt:lpstr>ProofPoint</vt:lpstr>
      <vt:lpstr>CC Ops Data</vt:lpstr>
      <vt:lpstr>Outages</vt:lpstr>
      <vt:lpstr>Credits</vt:lpstr>
      <vt:lpstr>CCOps Summary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Keenan Coughlin</dc:creator>
  <cp:lastModifiedBy>jackcwang</cp:lastModifiedBy>
  <cp:lastPrinted>2014-11-24T16:29:42Z</cp:lastPrinted>
  <dcterms:created xsi:type="dcterms:W3CDTF">2010-04-07T12:59:06Z</dcterms:created>
  <dcterms:modified xsi:type="dcterms:W3CDTF">2017-10-25T03:43:07Z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0x01010098DB11B6FC533945AD1E798590BC2DEF</vt:lpwstr>
  </property>
  <property fmtid="{D5CDD505-2E9C-101B-9397-08002B2CF9AE}" pid="3" name="WorkbookGuid">
    <vt:lpwstr>b2aa8eb4-bd24-493e-b6fb-c6d18da94a13</vt:lpwstr>
  </property>
</Properties>
</file>